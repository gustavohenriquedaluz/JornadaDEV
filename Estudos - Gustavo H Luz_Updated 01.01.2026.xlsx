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gles" sheetId="1" r:id="rId4"/>
    <sheet state="visible" name="Mineiração ING" sheetId="2" r:id="rId5"/>
    <sheet state="visible" name="DEV" sheetId="3" r:id="rId6"/>
    <sheet state="visible" name="Mineiração DEV" sheetId="4" r:id="rId7"/>
    <sheet state="visible" name="Maratona Java" sheetId="5" r:id="rId8"/>
    <sheet state="visible" name="Página7" sheetId="6" r:id="rId9"/>
  </sheets>
  <definedNames>
    <definedName hidden="1" localSheetId="0" name="_xlnm._FilterDatabase">Ingles!$A$2:$G$1964</definedName>
    <definedName hidden="1" localSheetId="1" name="_xlnm._FilterDatabase">'Mineiração ING'!$A$1:$G$11612</definedName>
    <definedName hidden="1" localSheetId="2" name="_xlnm._FilterDatabase">DEV!$A$3:$G$684</definedName>
  </definedNames>
  <calcPr/>
</workbook>
</file>

<file path=xl/sharedStrings.xml><?xml version="1.0" encoding="utf-8"?>
<sst xmlns="http://schemas.openxmlformats.org/spreadsheetml/2006/main" count="15803" uniqueCount="7230">
  <si>
    <t>DATA</t>
  </si>
  <si>
    <t>ETAPA</t>
  </si>
  <si>
    <t>MODULO</t>
  </si>
  <si>
    <t>Aula</t>
  </si>
  <si>
    <t>MAR</t>
  </si>
  <si>
    <t>Tempo</t>
  </si>
  <si>
    <t>obs</t>
  </si>
  <si>
    <t>Etapa 1: Fundação</t>
  </si>
  <si>
    <t>Primeiros passos</t>
  </si>
  <si>
    <t>Passo 1 - Comece por aqui</t>
  </si>
  <si>
    <t>Passo 2 - Definindo seu perfil</t>
  </si>
  <si>
    <t>Passo 3 - Como acessar os cursos extras</t>
  </si>
  <si>
    <t>Passo 4 - Conclusão dos primeiros passos</t>
  </si>
  <si>
    <t>Extra 1 - Funcionamento da comunidade</t>
  </si>
  <si>
    <t>Módulo 001</t>
  </si>
  <si>
    <t>M01V01 Cronograma de Estudos - Parte 1</t>
  </si>
  <si>
    <t>M01V02 Cronograma de Estudos - Parte 2</t>
  </si>
  <si>
    <t>M01V03 A técnica do estudo de textos com áudio</t>
  </si>
  <si>
    <t>M01V04 Jack Hannaford 01</t>
  </si>
  <si>
    <t>M01V05 Exemplo prático de estudo de textos com áudio</t>
  </si>
  <si>
    <t>M01V06 Anki e o método de sentenças</t>
  </si>
  <si>
    <t>M01V07 Como instalar e configurar corretamente o Anki</t>
  </si>
  <si>
    <t>M01V08 Como estudar com o Anki na Etapa 1</t>
  </si>
  <si>
    <t>M01V09 Conclusão do Módulo 01</t>
  </si>
  <si>
    <t>Módulo 002</t>
  </si>
  <si>
    <t>M02V10 Instruções do Módulo 02</t>
  </si>
  <si>
    <t>M02V11 Jack Hannaford 02</t>
  </si>
  <si>
    <t>Complementos do dia</t>
  </si>
  <si>
    <t>M02V12 Jack Hannaford 03</t>
  </si>
  <si>
    <t>M02V13 Jack Hannaford 04</t>
  </si>
  <si>
    <t>M02V14 Jack Hannaford 05</t>
  </si>
  <si>
    <t>M02V15 Jack Hannaford 06</t>
  </si>
  <si>
    <t>M02V16 Jack Hannaford 07</t>
  </si>
  <si>
    <t>M02V17 Jack Hannaford 08</t>
  </si>
  <si>
    <t>M02V18 Conclusão do Módulo 02</t>
  </si>
  <si>
    <t>715 words, 288 unique words</t>
  </si>
  <si>
    <t>Jack Hannaford Arquivos Completos</t>
  </si>
  <si>
    <t>Módulo 003</t>
  </si>
  <si>
    <t>M03V19 Instruções do Módulo 03</t>
  </si>
  <si>
    <t>Jack Hannaford Natalie Complete Audio</t>
  </si>
  <si>
    <t>M03V20 The Endless Tale 01</t>
  </si>
  <si>
    <t>Playlist de histórias (Listening)</t>
  </si>
  <si>
    <t>M03V21 The Endless Tale 02</t>
  </si>
  <si>
    <t>M03V22 The Endless Tale 03</t>
  </si>
  <si>
    <t>M03V23 The Endless Tale 04</t>
  </si>
  <si>
    <t>M03V24 The Endless Tale 05</t>
  </si>
  <si>
    <t>M03V25 The Endless Tale 06</t>
  </si>
  <si>
    <t>M03V26 The Endless Tale 07</t>
  </si>
  <si>
    <t>M03V27 Conclusão do Módulo 03</t>
  </si>
  <si>
    <t>642 words, 254 unique words (Total 1382 words, 440 unique words (+152 words)</t>
  </si>
  <si>
    <t>The Endless Tale Arquivos Completos</t>
  </si>
  <si>
    <t>Módulo 004</t>
  </si>
  <si>
    <t>M04V28 Instruções do Módulo 04</t>
  </si>
  <si>
    <t>M04V29 Jack and the Beanstalk 01</t>
  </si>
  <si>
    <t>M04V30 Jack and the Beanstalk 02</t>
  </si>
  <si>
    <t>M04V31 Jack and the Beanstalk 03</t>
  </si>
  <si>
    <t>Jack and the Beanstalk | Part 04</t>
  </si>
  <si>
    <t>M04V33 Jack and the Beanstalk 05</t>
  </si>
  <si>
    <t>M04V34 Jack and the Beanstalk 06</t>
  </si>
  <si>
    <t>M04V35 Conclusão do Módulo 04</t>
  </si>
  <si>
    <t>Jack and the Beanstalk Arquivos Completos</t>
  </si>
  <si>
    <t>Total 2036 words, 541 unique words</t>
  </si>
  <si>
    <t>Módulo 005</t>
  </si>
  <si>
    <t>M05V36 Instruções do Módulo 05</t>
  </si>
  <si>
    <t>M05V37 The Boy Who Flew Too High 01</t>
  </si>
  <si>
    <t xml:space="preserve">The Boy Who Flew Too High | Part 02
</t>
  </si>
  <si>
    <t>M05V39 The Boy Who Flew Too High 03</t>
  </si>
  <si>
    <t>The Boy Who Flew Too High | Part 04</t>
  </si>
  <si>
    <t>The Boy Who Flew Too High | Part 05</t>
  </si>
  <si>
    <t>The Boy Who Flew Too High | Part 06</t>
  </si>
  <si>
    <t>The Boy Who Flew Too High | Part 07</t>
  </si>
  <si>
    <t>The Boy Who Flew Too High Arquivos Completos</t>
  </si>
  <si>
    <t>M05V44 Planilha de conclusão do Módulo 05</t>
  </si>
  <si>
    <t>Total 2750 words, 713 unique words</t>
  </si>
  <si>
    <t>Módulo 006</t>
  </si>
  <si>
    <t>M06V45 Instruções do Módulo 06</t>
  </si>
  <si>
    <t>M06V46 The Bell of Atri 01</t>
  </si>
  <si>
    <t>M06V47 The Bell of Atri 02</t>
  </si>
  <si>
    <t>M06V48 The Bell of Atri 03</t>
  </si>
  <si>
    <t>M06V49 The Bell of Atri 04</t>
  </si>
  <si>
    <t>M06V50 The Bell of Atri 05</t>
  </si>
  <si>
    <t>M06V51 The Bell of Atri 06</t>
  </si>
  <si>
    <t>M06V52 The Bell of Atri 07</t>
  </si>
  <si>
    <t>M06V53 The Bell of Atri 08</t>
  </si>
  <si>
    <t>The Bell of Atri Arquivos Completos</t>
  </si>
  <si>
    <t>M06V54 Conclusão do Módulo 06</t>
  </si>
  <si>
    <t>Total 3530 words, 871 unique words</t>
  </si>
  <si>
    <t>Módulo 007</t>
  </si>
  <si>
    <t>M07V56 Goldilocks and the Three Bears 01</t>
  </si>
  <si>
    <t>M07V57 Goldilocks and the Three Bears 02</t>
  </si>
  <si>
    <t>M07V58 Goldilocks and the Three Bears 03</t>
  </si>
  <si>
    <t>M07V59 Goldilocks and the Three Bears 04</t>
  </si>
  <si>
    <t>Estudo do texto</t>
  </si>
  <si>
    <t>Anki (CIMV + 4000 essential words)</t>
  </si>
  <si>
    <t>M07V60 Goldilocks and the Three Bears 05</t>
  </si>
  <si>
    <t>M07V61 Goldilocks and the Three Bears 06</t>
  </si>
  <si>
    <t>M07V62 Goldilocks and the Three Bears 07</t>
  </si>
  <si>
    <t>M07V63 Conclusão do Módulo 07</t>
  </si>
  <si>
    <t>Goldilocks and the Three Bears Arquivos Completos</t>
  </si>
  <si>
    <t>Total 4285 words, 968 unique words</t>
  </si>
  <si>
    <t>Módulo 008</t>
  </si>
  <si>
    <t>M08V64 Instruções do Módulo 08</t>
  </si>
  <si>
    <t>M08V65 Antonio Canova 01</t>
  </si>
  <si>
    <t>M08V66 Antonio Canova 02</t>
  </si>
  <si>
    <t>M08V67 Antonio Canova 03</t>
  </si>
  <si>
    <t>M08V68 Antonio Canova 04</t>
  </si>
  <si>
    <t>M08V69 Antonio Canova 05</t>
  </si>
  <si>
    <t>M08V70 Antonio Canova 06</t>
  </si>
  <si>
    <t>M08V71 Antonio Canova 07</t>
  </si>
  <si>
    <t>M08V72 Conclusão do Módulo 08</t>
  </si>
  <si>
    <t>Antonio Canova Arquivos Completos</t>
  </si>
  <si>
    <t>Total 5023 words, 1073 unique words</t>
  </si>
  <si>
    <t>Módulo 009</t>
  </si>
  <si>
    <t>M09V73 Instruções do Módulo 09</t>
  </si>
  <si>
    <t>M09V74 Why Cats and Dogs are Enemies 01</t>
  </si>
  <si>
    <t>M09V75 Why Cats and Dogs are Enemies 02</t>
  </si>
  <si>
    <t>M09V75 Why Cats and Dogs are Enemies 03</t>
  </si>
  <si>
    <t>M09V75 Why Cats and Dogs are Enemies 04</t>
  </si>
  <si>
    <t>M09V75 Why Cats and Dogs are Enemies 05</t>
  </si>
  <si>
    <t>M09V75 Why Cats and Dogs are Enemies 06</t>
  </si>
  <si>
    <t>M09V75 Why Cats and Dogs are Enemies 07</t>
  </si>
  <si>
    <t>M09V75 Why Cats and Dogs are Enemies 08</t>
  </si>
  <si>
    <t>M09V82 Conclusão da Fundação</t>
  </si>
  <si>
    <t>Cats and Dogs Arquivos Completos</t>
  </si>
  <si>
    <t>Total 5790 words, 1226 unique words</t>
  </si>
  <si>
    <t>Etapa 2: Mineração</t>
  </si>
  <si>
    <t>Módulo 010</t>
  </si>
  <si>
    <t>M10V83 Introdução da Etapa 2</t>
  </si>
  <si>
    <t>M10V84 A Técnica da Mineração de Frases</t>
  </si>
  <si>
    <t>M10V85 Rotina diária de estudos e sua primeira mineração</t>
  </si>
  <si>
    <t>M10V86 Lost and Found 01</t>
  </si>
  <si>
    <t>Mineração (10 palavras)</t>
  </si>
  <si>
    <t>M10V87 Lost and Found 02</t>
  </si>
  <si>
    <t>M10V88 Lost and Found 03</t>
  </si>
  <si>
    <t>M10V89 Lost and Found 04</t>
  </si>
  <si>
    <t>M10V90 Lost and Found 05</t>
  </si>
  <si>
    <t>M10V91 Lost and Found 06</t>
  </si>
  <si>
    <t>M10V92 Lost and Found 07</t>
  </si>
  <si>
    <t>M10V93 Lost and Found 08</t>
  </si>
  <si>
    <t>M10V94 Lost and Found 09</t>
  </si>
  <si>
    <t>M10V95 Lost and Found 10</t>
  </si>
  <si>
    <t>M10V96 Conclusão do Módulo 10</t>
  </si>
  <si>
    <t>Total 7315 words, 1509 unique words</t>
  </si>
  <si>
    <t>Módulo 011</t>
  </si>
  <si>
    <t>M11V97 Introdução ao Módulo 11</t>
  </si>
  <si>
    <t>M11V98 Steve Jobs 001</t>
  </si>
  <si>
    <t>M11V99 Steve Jobs 002</t>
  </si>
  <si>
    <t>M11V100 Steve Jobs 003</t>
  </si>
  <si>
    <t>M11V101 Steve Jobs 004</t>
  </si>
  <si>
    <t>M11V102 Steve Jobs 005</t>
  </si>
  <si>
    <t>M11V103 Steve Jobs 006</t>
  </si>
  <si>
    <t>M11V104 Steve Jobs 007</t>
  </si>
  <si>
    <t>M11V105 Steve Jobs 008</t>
  </si>
  <si>
    <t>M11V106 Steve Jobs 009</t>
  </si>
  <si>
    <t>M11V107 Steve Jobs 010</t>
  </si>
  <si>
    <t>M11V108 Steve Jobs 011</t>
  </si>
  <si>
    <t>M11V109 Steve Jobs 012</t>
  </si>
  <si>
    <t>M11V110 Steve Jobs 013</t>
  </si>
  <si>
    <t>M11V111 Conclusão do Módulo 11</t>
  </si>
  <si>
    <t>Total 9600 words, 1904 unique words</t>
  </si>
  <si>
    <t>Steve Jobs Arquivos Completos</t>
  </si>
  <si>
    <t>Módulo 012</t>
  </si>
  <si>
    <t>M12V112 Introdução ao Módulo 12</t>
  </si>
  <si>
    <t>M12V113 A Change in Routine 001</t>
  </si>
  <si>
    <t>M12V114 A Change in Routine 002</t>
  </si>
  <si>
    <t>M12V115 A Change in Routine 003</t>
  </si>
  <si>
    <t>M12V116 A Change in Routine 004</t>
  </si>
  <si>
    <t>M12V117 A Change in Routine 005</t>
  </si>
  <si>
    <t>M12V118 A Change in Routine 006</t>
  </si>
  <si>
    <t>M12V119 A Change in Routine 007</t>
  </si>
  <si>
    <t>M12V120 A Change in Routine 008</t>
  </si>
  <si>
    <t>M12V121 A Change in Routine 009</t>
  </si>
  <si>
    <t>M12V122 Conclusão do Módulo 12</t>
  </si>
  <si>
    <t>Total 11111 words, 2193 unique words</t>
  </si>
  <si>
    <t>A Change in Routine Arquivos Completos</t>
  </si>
  <si>
    <t>Módulo 013</t>
  </si>
  <si>
    <t>M13V123 Introdução do Módulo 13</t>
  </si>
  <si>
    <t>M13V124 Hills Like White Elephants 001</t>
  </si>
  <si>
    <t>M13V125 Hills Like White Elephants 002</t>
  </si>
  <si>
    <t>M13V126 Hills Like White Elephants 003</t>
  </si>
  <si>
    <t>M13V127 Hills Like White Elephants 004</t>
  </si>
  <si>
    <t>Reestudo do texto M11 Steve Jobs</t>
  </si>
  <si>
    <t>M13V128 Hills Like White Elephants 005</t>
  </si>
  <si>
    <t>M13V129 Hills Like White Elephants 006</t>
  </si>
  <si>
    <t>M13V130 Hills Like White Elephants 007</t>
  </si>
  <si>
    <t>M13V131 Hills Like White Elephants 008</t>
  </si>
  <si>
    <t>M13V132 Hills Like White Elephants 009</t>
  </si>
  <si>
    <t>M13V133 Conclusão do Módulo 13</t>
  </si>
  <si>
    <t>Hills Like White Elephants Arquivos Completos</t>
  </si>
  <si>
    <t>Total 12575 words, 2281 unique words</t>
  </si>
  <si>
    <t>Módulo 014</t>
  </si>
  <si>
    <t>M14V134 Introdução do Módulo 14</t>
  </si>
  <si>
    <t>M14V135 The Red Bandits of Montgomery 01</t>
  </si>
  <si>
    <t>M14V136 The Red Bandits of Montgomery 02</t>
  </si>
  <si>
    <t>M14V137 The Red Bandits of Montgomery 03</t>
  </si>
  <si>
    <t>A MANEIRA MAIS FÁCIL DE MONTAR FRASES EM INGLÊS</t>
  </si>
  <si>
    <t>M14V138 The Red Bandits of Montgomery 04</t>
  </si>
  <si>
    <t>M14V139 The Red Bandits of Montgomery 05</t>
  </si>
  <si>
    <t>M14V140 The Red Bandits of Montgomery 06</t>
  </si>
  <si>
    <t>M14V141 The Red Bandits of Montgomery 07</t>
  </si>
  <si>
    <t>M14V142 Conclusão do Módulo 14</t>
  </si>
  <si>
    <t>Total 13800 words, 2416 unique words</t>
  </si>
  <si>
    <t>The Red Bandits of Montgomery Arquivos Completos</t>
  </si>
  <si>
    <t>YT: A técnica do MAR (para aprender inglês) | Explicação completa!</t>
  </si>
  <si>
    <t>CURSO DE INGLÊS MAIRO VERGARA - OUVIR PLAYLIST, REVISAR ANKI, TEXTOS COM ÁUDIO | DÚVIDAS FREQUENTES</t>
  </si>
  <si>
    <t>MINHA EXPERIÊNCIA COM O CURSO DE INGLÊS MAIRO VERGARA APÓS 1 ANO DE ESTUDOS</t>
  </si>
  <si>
    <t>Etapa 3: Mar</t>
  </si>
  <si>
    <t>Módulo 015</t>
  </si>
  <si>
    <t>M15V143 O caminho até a fluência no inglês</t>
  </si>
  <si>
    <t>M15V144 A mentalidade anti-mimimi</t>
  </si>
  <si>
    <t>M15V145 O MAR - Aula 01</t>
  </si>
  <si>
    <t>M15V146 O MAR - Aula 02</t>
  </si>
  <si>
    <t>M15V147 O MAR - Aula 03</t>
  </si>
  <si>
    <t>M15V148 Como encontrar vídeos com legendas no YouTube</t>
  </si>
  <si>
    <t>MAR - The office</t>
  </si>
  <si>
    <t>SIM</t>
  </si>
  <si>
    <t>Módulo 016</t>
  </si>
  <si>
    <t>M16V150 Mineração de Sentenças no MAR</t>
  </si>
  <si>
    <t>M16V151 Objetivos da Etapa 3</t>
  </si>
  <si>
    <t>MAR - Séries \ Vídeos</t>
  </si>
  <si>
    <t>M16V152 Introdução e como usar as Grammar Lessons</t>
  </si>
  <si>
    <t>Livro</t>
  </si>
  <si>
    <t>Harry Potter and the Philosopher's Stone</t>
  </si>
  <si>
    <t>MAR - Nível 1 - Avatar: TLA + 6 minutes BBC</t>
  </si>
  <si>
    <t>Anki - Planejamento e refatoração dos flashcards</t>
  </si>
  <si>
    <t>Anki - Reratoração dos flashcards</t>
  </si>
  <si>
    <t>MAR - Nível 1 - The Dragon Prince (Netflix)</t>
  </si>
  <si>
    <t>Conversation Club (Basic) - IBM</t>
  </si>
  <si>
    <t>Palavra</t>
  </si>
  <si>
    <t>Coluna 6</t>
  </si>
  <si>
    <t>Significado</t>
  </si>
  <si>
    <t>Número</t>
  </si>
  <si>
    <t>Tradução</t>
  </si>
  <si>
    <t>OK</t>
  </si>
  <si>
    <t>Had</t>
  </si>
  <si>
    <t>Slow down</t>
  </si>
  <si>
    <t>Was</t>
  </si>
  <si>
    <t>As well</t>
  </si>
  <si>
    <t>In a row</t>
  </si>
  <si>
    <t>Mischief</t>
  </si>
  <si>
    <t>Just</t>
  </si>
  <si>
    <t>Enjoyed</t>
  </si>
  <si>
    <t>Enjoy</t>
  </si>
  <si>
    <t>Around</t>
  </si>
  <si>
    <t>Have</t>
  </si>
  <si>
    <t>Check on</t>
  </si>
  <si>
    <t>Verificar / Ver o Estado de (Alguém/Algo)</t>
  </si>
  <si>
    <t>ok</t>
  </si>
  <si>
    <t>Gasket</t>
  </si>
  <si>
    <t>Leak</t>
  </si>
  <si>
    <t>Couldn't</t>
  </si>
  <si>
    <t>Just about</t>
  </si>
  <si>
    <t>Tinkering</t>
  </si>
  <si>
    <t>Seemed</t>
  </si>
  <si>
    <t>Causing</t>
  </si>
  <si>
    <t>Get</t>
  </si>
  <si>
    <t>were</t>
  </si>
  <si>
    <t>while</t>
  </si>
  <si>
    <t>Enquanto (Simultaneidade / TI)</t>
  </si>
  <si>
    <t>yelling</t>
  </si>
  <si>
    <t>toward</t>
  </si>
  <si>
    <t>them</t>
  </si>
  <si>
    <t>There</t>
  </si>
  <si>
    <t>weren't</t>
  </si>
  <si>
    <t>tiptoed</t>
  </si>
  <si>
    <t>giggle</t>
  </si>
  <si>
    <t>he'd</t>
  </si>
  <si>
    <t>been</t>
  </si>
  <si>
    <t>even</t>
  </si>
  <si>
    <t>ran off</t>
  </si>
  <si>
    <t>Fugiu / Partiu Correndo (Movimento)</t>
  </si>
  <si>
    <t>We're</t>
  </si>
  <si>
    <t>Nós Somos / Nós Estamos (Estado / Identidade)</t>
  </si>
  <si>
    <t>wouldn't</t>
  </si>
  <si>
    <t>that</t>
  </si>
  <si>
    <t>tripped</t>
  </si>
  <si>
    <t>over</t>
  </si>
  <si>
    <t>Acima de / Sobre (Posição)</t>
  </si>
  <si>
    <t>yanked</t>
  </si>
  <si>
    <t>skinned</t>
  </si>
  <si>
    <t>notices</t>
  </si>
  <si>
    <t>Notas / Avisos (Substantivo)</t>
  </si>
  <si>
    <t>thought</t>
  </si>
  <si>
    <t>might</t>
  </si>
  <si>
    <t>landmarks</t>
  </si>
  <si>
    <t>Pontos de Referência / Marcos (Físicos)</t>
  </si>
  <si>
    <t>headed</t>
  </si>
  <si>
    <t>taught</t>
  </si>
  <si>
    <t>they'd</t>
  </si>
  <si>
    <t>shelter</t>
  </si>
  <si>
    <t>get back</t>
  </si>
  <si>
    <t>we'll</t>
  </si>
  <si>
    <t>campground</t>
  </si>
  <si>
    <t>beginning</t>
  </si>
  <si>
    <t>pattern</t>
  </si>
  <si>
    <t>although</t>
  </si>
  <si>
    <t>struggled</t>
  </si>
  <si>
    <t>filled</t>
  </si>
  <si>
    <t>droopy</t>
  </si>
  <si>
    <t>drooling</t>
  </si>
  <si>
    <t>may</t>
  </si>
  <si>
    <t>scent</t>
  </si>
  <si>
    <t>stuffed</t>
  </si>
  <si>
    <t>cuddled</t>
  </si>
  <si>
    <t>blanket</t>
  </si>
  <si>
    <t>trunk</t>
  </si>
  <si>
    <t>embedded</t>
  </si>
  <si>
    <t>hillside</t>
  </si>
  <si>
    <t>snuggled</t>
  </si>
  <si>
    <t>ration</t>
  </si>
  <si>
    <t>doubt</t>
  </si>
  <si>
    <t>surely</t>
  </si>
  <si>
    <t>careful</t>
  </si>
  <si>
    <t>just in case</t>
  </si>
  <si>
    <t>as soon as</t>
  </si>
  <si>
    <t>felt</t>
  </si>
  <si>
    <t>isn't</t>
  </si>
  <si>
    <t>act</t>
  </si>
  <si>
    <t>even more</t>
  </si>
  <si>
    <t>run out of</t>
  </si>
  <si>
    <t>pretended</t>
  </si>
  <si>
    <t>shuddered</t>
  </si>
  <si>
    <t>Soon enough</t>
  </si>
  <si>
    <t>eyelids</t>
  </si>
  <si>
    <t>droop</t>
  </si>
  <si>
    <t>turning</t>
  </si>
  <si>
    <t>frightened</t>
  </si>
  <si>
    <t>rodents</t>
  </si>
  <si>
    <t>on-edge</t>
  </si>
  <si>
    <t>awake</t>
  </si>
  <si>
    <t>awakened</t>
  </si>
  <si>
    <t>jumped up</t>
  </si>
  <si>
    <t>relief</t>
  </si>
  <si>
    <t>rescuers</t>
  </si>
  <si>
    <t>on their own</t>
  </si>
  <si>
    <t>invitations</t>
  </si>
  <si>
    <t>way</t>
  </si>
  <si>
    <t>ordeal</t>
  </si>
  <si>
    <t>at least</t>
  </si>
  <si>
    <t>usually</t>
  </si>
  <si>
    <t>get ready</t>
  </si>
  <si>
    <t>having</t>
  </si>
  <si>
    <t>finest</t>
  </si>
  <si>
    <t>college</t>
  </si>
  <si>
    <t>closest</t>
  </si>
  <si>
    <t>Mais Próximo / Mais Perto (Distância / Tempo)</t>
  </si>
  <si>
    <t>ever</t>
  </si>
  <si>
    <t>dropped out</t>
  </si>
  <si>
    <t>gotten</t>
  </si>
  <si>
    <t>unwed</t>
  </si>
  <si>
    <t>should</t>
  </si>
  <si>
    <t>lawyer</t>
  </si>
  <si>
    <t>popped out</t>
  </si>
  <si>
    <t>got</t>
  </si>
  <si>
    <t>We've</t>
  </si>
  <si>
    <t>found out</t>
  </si>
  <si>
    <t>refused</t>
  </si>
  <si>
    <t>relented</t>
  </si>
  <si>
    <t>naively</t>
  </si>
  <si>
    <t>being</t>
  </si>
  <si>
    <t>deal with</t>
  </si>
  <si>
    <t>look into</t>
  </si>
  <si>
    <t>seems</t>
  </si>
  <si>
    <t>couldn’t</t>
  </si>
  <si>
    <t>wanted</t>
  </si>
  <si>
    <t>figure out</t>
  </si>
  <si>
    <t>entire</t>
  </si>
  <si>
    <t>work out</t>
  </si>
  <si>
    <t>taking</t>
  </si>
  <si>
    <t>dropping in</t>
  </si>
  <si>
    <t>wasn’t</t>
  </si>
  <si>
    <t>stumbled into</t>
  </si>
  <si>
    <t>priceless</t>
  </si>
  <si>
    <t>offered</t>
  </si>
  <si>
    <t>perhaps</t>
  </si>
  <si>
    <t>Throughout</t>
  </si>
  <si>
    <t>beautifully</t>
  </si>
  <si>
    <t>didn’t</t>
  </si>
  <si>
    <t>decided</t>
  </si>
  <si>
    <t>varying</t>
  </si>
  <si>
    <t>subtle</t>
  </si>
  <si>
    <t>can't</t>
  </si>
  <si>
    <t>came</t>
  </si>
  <si>
    <t>proportionally</t>
  </si>
  <si>
    <t>likely</t>
  </si>
  <si>
    <t>Of course</t>
  </si>
  <si>
    <t>backwards</t>
  </si>
  <si>
    <t>can’t</t>
  </si>
  <si>
    <t>forward</t>
  </si>
  <si>
    <t>Encaminhar / Repassar (TI e Comunicação)</t>
  </si>
  <si>
    <t>somehow</t>
  </si>
  <si>
    <t>whatever</t>
  </si>
  <si>
    <t>down the road</t>
  </si>
  <si>
    <t>confidence</t>
  </si>
  <si>
    <t>Confiança / Certeza (Crença em Si)</t>
  </si>
  <si>
    <t>going through</t>
  </si>
  <si>
    <t>we'd</t>
  </si>
  <si>
    <t>released</t>
  </si>
  <si>
    <t>got fired</t>
  </si>
  <si>
    <t>hired</t>
  </si>
  <si>
    <t>falling out</t>
  </si>
  <si>
    <t>sided</t>
  </si>
  <si>
    <t>publicly</t>
  </si>
  <si>
    <t>hang out</t>
  </si>
  <si>
    <t>caught up</t>
  </si>
  <si>
    <t>didn't</t>
  </si>
  <si>
    <t>I'd</t>
  </si>
  <si>
    <t>let</t>
  </si>
  <si>
    <t>screwing up</t>
  </si>
  <si>
    <t>badly</t>
  </si>
  <si>
    <t>running away</t>
  </si>
  <si>
    <t>dawn</t>
  </si>
  <si>
    <t>Amanhecer / Alvorecer (Tempo)</t>
  </si>
  <si>
    <t>less</t>
  </si>
  <si>
    <t>freed</t>
  </si>
  <si>
    <t>fell in love</t>
  </si>
  <si>
    <t>went</t>
  </si>
  <si>
    <t>remarkable</t>
  </si>
  <si>
    <t>pretty</t>
  </si>
  <si>
    <t>hadn't</t>
  </si>
  <si>
    <t>guess</t>
  </si>
  <si>
    <t>You've got to</t>
  </si>
  <si>
    <t>matters</t>
  </si>
  <si>
    <t>yet</t>
  </si>
  <si>
    <t>roll on</t>
  </si>
  <si>
    <t>settle</t>
  </si>
  <si>
    <t>quote</t>
  </si>
  <si>
    <t>most</t>
  </si>
  <si>
    <t>I've</t>
  </si>
  <si>
    <t>whenever</t>
  </si>
  <si>
    <t>naked</t>
  </si>
  <si>
    <t>Nu / Despido (Pessoa)</t>
  </si>
  <si>
    <t>groceries</t>
  </si>
  <si>
    <t>chill out</t>
  </si>
  <si>
    <t>turning in</t>
  </si>
  <si>
    <t>went off</t>
  </si>
  <si>
    <t>catch up</t>
  </si>
  <si>
    <t>about</t>
  </si>
  <si>
    <t>certainly</t>
  </si>
  <si>
    <t>expect</t>
  </si>
  <si>
    <t>longer</t>
  </si>
  <si>
    <t>advised</t>
  </si>
  <si>
    <t>affairs</t>
  </si>
  <si>
    <t>buttoned up</t>
  </si>
  <si>
    <t>means</t>
  </si>
  <si>
    <t>you'd</t>
  </si>
  <si>
    <t>sure</t>
  </si>
  <si>
    <t>lived</t>
  </si>
  <si>
    <t>Later</t>
  </si>
  <si>
    <t>evening</t>
  </si>
  <si>
    <t>needle</t>
  </si>
  <si>
    <t>turned</t>
  </si>
  <si>
    <t>thankfully</t>
  </si>
  <si>
    <t>through</t>
  </si>
  <si>
    <t>Através de / Por Meio de (Movimento Físico)</t>
  </si>
  <si>
    <t>than</t>
  </si>
  <si>
    <t>useful</t>
  </si>
  <si>
    <t>brought up</t>
  </si>
  <si>
    <t>wanna</t>
  </si>
  <si>
    <t>no one</t>
  </si>
  <si>
    <t>Ninguém</t>
  </si>
  <si>
    <t>has</t>
  </si>
  <si>
    <t>clears out</t>
  </si>
  <si>
    <t>cleared away</t>
  </si>
  <si>
    <t>quite</t>
  </si>
  <si>
    <t>someone else</t>
  </si>
  <si>
    <t>inner</t>
  </si>
  <si>
    <t>Interno / De Dentro (Físico / Espacial)</t>
  </si>
  <si>
    <t>Everything else</t>
  </si>
  <si>
    <t>drown out</t>
  </si>
  <si>
    <t>whole</t>
  </si>
  <si>
    <t>fellow</t>
  </si>
  <si>
    <t>brought</t>
  </si>
  <si>
    <t>came along</t>
  </si>
  <si>
    <t>sort of</t>
  </si>
  <si>
    <t>neat</t>
  </si>
  <si>
    <t>hitchhiking</t>
  </si>
  <si>
    <t>Beneath</t>
  </si>
  <si>
    <t>farewell</t>
  </si>
  <si>
    <t>signed off</t>
  </si>
  <si>
    <t>rest</t>
  </si>
  <si>
    <t>sort out</t>
  </si>
  <si>
    <t>eating out</t>
  </si>
  <si>
    <t>savoring</t>
  </si>
  <si>
    <t>came across</t>
  </si>
  <si>
    <t>yesterday</t>
  </si>
  <si>
    <t>fill out</t>
  </si>
  <si>
    <t>glad</t>
  </si>
  <si>
    <t>knew</t>
  </si>
  <si>
    <t>effort</t>
  </si>
  <si>
    <t>been gone</t>
  </si>
  <si>
    <t>break out</t>
  </si>
  <si>
    <t>Irromper / Estourar (Guerra, Doença, Fogo)</t>
  </si>
  <si>
    <t>deep down</t>
  </si>
  <si>
    <t>No fundo / No íntimo (Sentimentos)</t>
  </si>
  <si>
    <t>thoughtlessly</t>
  </si>
  <si>
    <t>concern</t>
  </si>
  <si>
    <t>whole grains</t>
  </si>
  <si>
    <t>predictable</t>
  </si>
  <si>
    <t>barely</t>
  </si>
  <si>
    <t>get out</t>
  </si>
  <si>
    <t>answer</t>
  </si>
  <si>
    <t>afternoon</t>
  </si>
  <si>
    <t>look over</t>
  </si>
  <si>
    <t>clock out</t>
  </si>
  <si>
    <t>heat up</t>
  </si>
  <si>
    <t>desserts</t>
  </si>
  <si>
    <t>haul</t>
  </si>
  <si>
    <t>bulk</t>
  </si>
  <si>
    <t>couch</t>
  </si>
  <si>
    <t>Sofá / Divã (Móvel)</t>
  </si>
  <si>
    <t>notice</t>
  </si>
  <si>
    <t>eerie</t>
  </si>
  <si>
    <t>disbelief</t>
  </si>
  <si>
    <t>gave up</t>
  </si>
  <si>
    <t>still</t>
  </si>
  <si>
    <t>strangeness</t>
  </si>
  <si>
    <t>whizzing</t>
  </si>
  <si>
    <t>dumpster</t>
  </si>
  <si>
    <t>spilled</t>
  </si>
  <si>
    <t>Derramou / Entornou (Líquido/Conteúdo)</t>
  </si>
  <si>
    <t>rustled</t>
  </si>
  <si>
    <t>ordinarily</t>
  </si>
  <si>
    <t>faint</t>
  </si>
  <si>
    <t>forgotten</t>
  </si>
  <si>
    <t>noticed</t>
  </si>
  <si>
    <t>across</t>
  </si>
  <si>
    <t>rustling</t>
  </si>
  <si>
    <t>spotted</t>
  </si>
  <si>
    <t>explained</t>
  </si>
  <si>
    <t>belong</t>
  </si>
  <si>
    <t>whip-like</t>
  </si>
  <si>
    <t>wagging</t>
  </si>
  <si>
    <t>Abanando / Balançando (Cauda, Dedo)</t>
  </si>
  <si>
    <t>either</t>
  </si>
  <si>
    <t>pulled</t>
  </si>
  <si>
    <t>Puxou / Arrastou (Movimento Físico)</t>
  </si>
  <si>
    <t>puppy</t>
  </si>
  <si>
    <t>mutt</t>
  </si>
  <si>
    <t>though</t>
  </si>
  <si>
    <t>nearly</t>
  </si>
  <si>
    <t>gleefully</t>
  </si>
  <si>
    <t>over and over</t>
  </si>
  <si>
    <t>chuckled</t>
  </si>
  <si>
    <t>warmth</t>
  </si>
  <si>
    <t>scooped</t>
  </si>
  <si>
    <t>looked forward</t>
  </si>
  <si>
    <t>sorrowful</t>
  </si>
  <si>
    <t>enamored</t>
  </si>
  <si>
    <t>trashcan</t>
  </si>
  <si>
    <t>upended</t>
  </si>
  <si>
    <t>Virado / De Cabeça para Baixo (Físico)</t>
  </si>
  <si>
    <t>emptied</t>
  </si>
  <si>
    <t>torn</t>
  </si>
  <si>
    <t>whimpered</t>
  </si>
  <si>
    <t>Choramingou / Gemeu (Som Baixo / Físico)</t>
  </si>
  <si>
    <t>tucking</t>
  </si>
  <si>
    <t>ducking</t>
  </si>
  <si>
    <t>Abaixando-se / Agachando-se (Corpo)</t>
  </si>
  <si>
    <t>chew</t>
  </si>
  <si>
    <t>treats</t>
  </si>
  <si>
    <t>Trata / Cuida de (Verbo)</t>
  </si>
  <si>
    <t>leash</t>
  </si>
  <si>
    <t>kennel</t>
  </si>
  <si>
    <t>Canil / Casinha de Cachorro (Substantivo)</t>
  </si>
  <si>
    <t>hooked</t>
  </si>
  <si>
    <t>panting</t>
  </si>
  <si>
    <t>chewed</t>
  </si>
  <si>
    <t>wasted</t>
  </si>
  <si>
    <t>Desperdiçado / Mal Empregado</t>
  </si>
  <si>
    <t>cravings</t>
  </si>
  <si>
    <t>Desejos / Vontades (Físico/Comida)</t>
  </si>
  <si>
    <t>lay off</t>
  </si>
  <si>
    <t>Demitir / Dispensar (Funcionário)</t>
  </si>
  <si>
    <t>burn off</t>
  </si>
  <si>
    <t>chime</t>
  </si>
  <si>
    <t>lighter</t>
  </si>
  <si>
    <t>jog</t>
  </si>
  <si>
    <t>toothy</t>
  </si>
  <si>
    <t>grin</t>
  </si>
  <si>
    <t>sleek</t>
  </si>
  <si>
    <t>slimmed down</t>
  </si>
  <si>
    <t>wardrobe</t>
  </si>
  <si>
    <t>nose</t>
  </si>
  <si>
    <t>tacked</t>
  </si>
  <si>
    <t>flirting</t>
  </si>
  <si>
    <t>lessened</t>
  </si>
  <si>
    <t>restroom</t>
  </si>
  <si>
    <t>formerly</t>
  </si>
  <si>
    <t>envisioned</t>
  </si>
  <si>
    <t>scrounging</t>
  </si>
  <si>
    <t>settled in</t>
  </si>
  <si>
    <t>intended</t>
  </si>
  <si>
    <t>following</t>
  </si>
  <si>
    <t>woken</t>
  </si>
  <si>
    <t>hooting</t>
  </si>
  <si>
    <t>roared</t>
  </si>
  <si>
    <t>it’ll</t>
  </si>
  <si>
    <t>tried</t>
  </si>
  <si>
    <t>snarled</t>
  </si>
  <si>
    <t>dangling</t>
  </si>
  <si>
    <t>bushy</t>
  </si>
  <si>
    <t>gasped</t>
  </si>
  <si>
    <t>clapped</t>
  </si>
  <si>
    <t>conceived</t>
  </si>
  <si>
    <t>sidewalk</t>
  </si>
  <si>
    <t>since</t>
  </si>
  <si>
    <t>worldwide</t>
  </si>
  <si>
    <t>give up</t>
  </si>
  <si>
    <t>unpredictable</t>
  </si>
  <si>
    <t>despite</t>
  </si>
  <si>
    <t>dilapidated</t>
  </si>
  <si>
    <t>venture</t>
  </si>
  <si>
    <t>piqued</t>
  </si>
  <si>
    <t>there was</t>
  </si>
  <si>
    <t>against</t>
  </si>
  <si>
    <t>building</t>
  </si>
  <si>
    <t>curtain</t>
  </si>
  <si>
    <t>strings</t>
  </si>
  <si>
    <t>beads</t>
  </si>
  <si>
    <t>keep out</t>
  </si>
  <si>
    <t>shade</t>
  </si>
  <si>
    <t>went on</t>
  </si>
  <si>
    <t>Continuou / Prosseguiu</t>
  </si>
  <si>
    <t>taken off</t>
  </si>
  <si>
    <t>pads</t>
  </si>
  <si>
    <t>beer</t>
  </si>
  <si>
    <t>country</t>
  </si>
  <si>
    <t>dry</t>
  </si>
  <si>
    <t>seen</t>
  </si>
  <si>
    <t>doesn't</t>
  </si>
  <si>
    <t>bead</t>
  </si>
  <si>
    <t>came out</t>
  </si>
  <si>
    <t>permeating</t>
  </si>
  <si>
    <t>wonder</t>
  </si>
  <si>
    <t>Perguntar-se / Questionar-se (Curiosidade)</t>
  </si>
  <si>
    <t>licorice</t>
  </si>
  <si>
    <t>That's</t>
  </si>
  <si>
    <t>waited</t>
  </si>
  <si>
    <t>You've</t>
  </si>
  <si>
    <t>absinthe</t>
  </si>
  <si>
    <t>cut it out</t>
  </si>
  <si>
    <t>Wasn't</t>
  </si>
  <si>
    <t>bright</t>
  </si>
  <si>
    <t>lovely</t>
  </si>
  <si>
    <t>blew</t>
  </si>
  <si>
    <t>mind</t>
  </si>
  <si>
    <t>anything</t>
  </si>
  <si>
    <t>Qualquer Coisa (Em Afirmações)</t>
  </si>
  <si>
    <t>afterward</t>
  </si>
  <si>
    <t>bothers</t>
  </si>
  <si>
    <t>took hold of</t>
  </si>
  <si>
    <t>afraid</t>
  </si>
  <si>
    <t>rather</t>
  </si>
  <si>
    <t>anyway</t>
  </si>
  <si>
    <t>actually</t>
  </si>
  <si>
    <t>suddenly</t>
  </si>
  <si>
    <t>big deal</t>
  </si>
  <si>
    <t>drop-in</t>
  </si>
  <si>
    <t>promised</t>
  </si>
  <si>
    <t>Prometeu / Assegurou (Compromisso Verbal)</t>
  </si>
  <si>
    <t>tuition</t>
  </si>
  <si>
    <t>spending</t>
  </si>
  <si>
    <t>issue</t>
  </si>
  <si>
    <t>overflowing</t>
  </si>
  <si>
    <t>run its course</t>
  </si>
  <si>
    <t>put out</t>
  </si>
  <si>
    <t>sort</t>
  </si>
  <si>
    <t>unless</t>
  </si>
  <si>
    <t>won't</t>
  </si>
  <si>
    <t>worry</t>
  </si>
  <si>
    <t>without</t>
  </si>
  <si>
    <t>used to</t>
  </si>
  <si>
    <t>cozy</t>
  </si>
  <si>
    <t>serve</t>
  </si>
  <si>
    <t>Servir (Alimentos / Clientes)</t>
  </si>
  <si>
    <t>give in</t>
  </si>
  <si>
    <t>instead</t>
  </si>
  <si>
    <t>whether</t>
  </si>
  <si>
    <t>mean</t>
  </si>
  <si>
    <t>stood up</t>
  </si>
  <si>
    <t>fields</t>
  </si>
  <si>
    <t>along</t>
  </si>
  <si>
    <t>banks</t>
  </si>
  <si>
    <t>beyond</t>
  </si>
  <si>
    <t>everywhere</t>
  </si>
  <si>
    <t>take it away</t>
  </si>
  <si>
    <t>thus</t>
  </si>
  <si>
    <t>whose</t>
  </si>
  <si>
    <t>Cujo / Cuja (Relativo de Posse)</t>
  </si>
  <si>
    <t>Come on</t>
  </si>
  <si>
    <t>mustn't</t>
  </si>
  <si>
    <t>nor</t>
  </si>
  <si>
    <t>sat down</t>
  </si>
  <si>
    <t>go through with</t>
  </si>
  <si>
    <t>willing</t>
  </si>
  <si>
    <t>whom</t>
  </si>
  <si>
    <t>hence</t>
  </si>
  <si>
    <t>seldom</t>
  </si>
  <si>
    <t>rarely</t>
  </si>
  <si>
    <t>get along</t>
  </si>
  <si>
    <t>Se Dar Bem / Conviver (Relacionamento)</t>
  </si>
  <si>
    <t>course</t>
  </si>
  <si>
    <t>does</t>
  </si>
  <si>
    <t>but</t>
  </si>
  <si>
    <t>else</t>
  </si>
  <si>
    <t>all right</t>
  </si>
  <si>
    <t>labels</t>
  </si>
  <si>
    <t>spent</t>
  </si>
  <si>
    <t>put down</t>
  </si>
  <si>
    <t>damp</t>
  </si>
  <si>
    <t>brightly</t>
  </si>
  <si>
    <t>thank</t>
  </si>
  <si>
    <t>I'd better</t>
  </si>
  <si>
    <t>come back</t>
  </si>
  <si>
    <t>picked up</t>
  </si>
  <si>
    <t>Pegou / Levantou (Físico)</t>
  </si>
  <si>
    <t>carried</t>
  </si>
  <si>
    <t>tracks</t>
  </si>
  <si>
    <t>reasonably</t>
  </si>
  <si>
    <t>drank</t>
  </si>
  <si>
    <t xml:space="preserve">went out </t>
  </si>
  <si>
    <t>Parou de funcionar / Apagou (TI / Sistemas)</t>
  </si>
  <si>
    <t>simply</t>
  </si>
  <si>
    <t>merely</t>
  </si>
  <si>
    <t>hardly</t>
  </si>
  <si>
    <t>once</t>
  </si>
  <si>
    <t>twice</t>
  </si>
  <si>
    <t>thrice</t>
  </si>
  <si>
    <t>like</t>
  </si>
  <si>
    <t>unlikely</t>
  </si>
  <si>
    <t>Improvável / Pouco Provável (Probabilidade)</t>
  </si>
  <si>
    <t>therefore</t>
  </si>
  <si>
    <t>furthermore</t>
  </si>
  <si>
    <t>moreover</t>
  </si>
  <si>
    <t>otherwise</t>
  </si>
  <si>
    <t>instead of</t>
  </si>
  <si>
    <t>because of</t>
  </si>
  <si>
    <t>due to</t>
  </si>
  <si>
    <t>as well as</t>
  </si>
  <si>
    <t>in addition to</t>
  </si>
  <si>
    <t>often</t>
  </si>
  <si>
    <t>consequently</t>
  </si>
  <si>
    <t>below</t>
  </si>
  <si>
    <t>folks</t>
  </si>
  <si>
    <t>Pessoas / Pessoal / Familiares</t>
  </si>
  <si>
    <t>square</t>
  </si>
  <si>
    <t>round</t>
  </si>
  <si>
    <t>found fault</t>
  </si>
  <si>
    <t>robber</t>
  </si>
  <si>
    <t>letting</t>
  </si>
  <si>
    <t>colds</t>
  </si>
  <si>
    <t>sneezed</t>
  </si>
  <si>
    <t>times gone by</t>
  </si>
  <si>
    <t>objection</t>
  </si>
  <si>
    <t>picked out</t>
  </si>
  <si>
    <t>cottage</t>
  </si>
  <si>
    <t>rent</t>
  </si>
  <si>
    <t>picked</t>
  </si>
  <si>
    <t>barn</t>
  </si>
  <si>
    <t>drove off</t>
  </si>
  <si>
    <t>Partiu / Foi Embora (Veículo)</t>
  </si>
  <si>
    <t>wringing her hands</t>
  </si>
  <si>
    <t>Come in</t>
  </si>
  <si>
    <t>held</t>
  </si>
  <si>
    <t>weep</t>
  </si>
  <si>
    <t>woe</t>
  </si>
  <si>
    <t>taken away</t>
  </si>
  <si>
    <t>Retirado / Removido (Posse ou Acesso)</t>
  </si>
  <si>
    <t>rye</t>
  </si>
  <si>
    <t>Centeio (Grão / Cereal)</t>
  </si>
  <si>
    <t>take comfort</t>
  </si>
  <si>
    <t>peat</t>
  </si>
  <si>
    <t>heap</t>
  </si>
  <si>
    <t>glanced</t>
  </si>
  <si>
    <t>peaked</t>
  </si>
  <si>
    <t>ruffles</t>
  </si>
  <si>
    <t>burglars</t>
  </si>
  <si>
    <t>asleep</t>
  </si>
  <si>
    <t>which is</t>
  </si>
  <si>
    <t>shires</t>
  </si>
  <si>
    <t>Condados / Regiões (Geografia)</t>
  </si>
  <si>
    <t>Welsh</t>
  </si>
  <si>
    <t>upon</t>
  </si>
  <si>
    <t>had been killed</t>
  </si>
  <si>
    <t>cradle</t>
  </si>
  <si>
    <t>shed</t>
  </si>
  <si>
    <t>Derramar / Soltar (Lágrimas, Pele)</t>
  </si>
  <si>
    <t>neither</t>
  </si>
  <si>
    <t>wondered</t>
  </si>
  <si>
    <t>Perguntou-se / Questionou-se (Curiosidade)</t>
  </si>
  <si>
    <t>laughing at herself</t>
  </si>
  <si>
    <t>what there was in it</t>
  </si>
  <si>
    <t>cheerfully</t>
  </si>
  <si>
    <t>got hold of</t>
  </si>
  <si>
    <t>begged</t>
  </si>
  <si>
    <t>piteously</t>
  </si>
  <si>
    <t>cloak</t>
  </si>
  <si>
    <t>there were</t>
  </si>
  <si>
    <t>she thought</t>
  </si>
  <si>
    <t>Ela Pensou / Ela Achou (Opinião / Crença)</t>
  </si>
  <si>
    <t>There are</t>
  </si>
  <si>
    <t>cheer</t>
  </si>
  <si>
    <t>eagerly</t>
  </si>
  <si>
    <t>stated</t>
  </si>
  <si>
    <t>scooped up</t>
  </si>
  <si>
    <t>brooded</t>
  </si>
  <si>
    <t>Chocou / Incubou (Biologia)</t>
  </si>
  <si>
    <t>slept a wink</t>
  </si>
  <si>
    <t>Provided</t>
  </si>
  <si>
    <t>Wherever</t>
  </si>
  <si>
    <t>Onde quer que / Em qualquer lugar</t>
  </si>
  <si>
    <t>Whoever</t>
  </si>
  <si>
    <t>rose up</t>
  </si>
  <si>
    <t>Levantou-se / Subiu (Movimento Físico)</t>
  </si>
  <si>
    <t>neighbor</t>
  </si>
  <si>
    <t>relatives</t>
  </si>
  <si>
    <t>Parentes / Familiares</t>
  </si>
  <si>
    <t>several</t>
  </si>
  <si>
    <t>kinsfolk</t>
  </si>
  <si>
    <t>downcast</t>
  </si>
  <si>
    <t>homewards</t>
  </si>
  <si>
    <t>tripping</t>
  </si>
  <si>
    <t>Creeping</t>
  </si>
  <si>
    <t>set about</t>
  </si>
  <si>
    <t>guesses</t>
  </si>
  <si>
    <t>allowed</t>
  </si>
  <si>
    <t>answered</t>
  </si>
  <si>
    <t>smiling</t>
  </si>
  <si>
    <t>rattled off</t>
  </si>
  <si>
    <t>shook</t>
  </si>
  <si>
    <t>shook her head</t>
  </si>
  <si>
    <t>gleam</t>
  </si>
  <si>
    <t>blast</t>
  </si>
  <si>
    <t>rooted out</t>
  </si>
  <si>
    <t>furnished</t>
  </si>
  <si>
    <t>housetops</t>
  </si>
  <si>
    <t>flare up</t>
  </si>
  <si>
    <t>clearing</t>
  </si>
  <si>
    <t>jingling</t>
  </si>
  <si>
    <t>poured</t>
  </si>
  <si>
    <t>slept soundly</t>
  </si>
  <si>
    <t>Dormiu Profundamente / Dormiu Pesado</t>
  </si>
  <si>
    <t>Whichever</t>
  </si>
  <si>
    <t>When</t>
  </si>
  <si>
    <t>Quando (Tempo)</t>
  </si>
  <si>
    <t>Those</t>
  </si>
  <si>
    <t>Some</t>
  </si>
  <si>
    <t>Any</t>
  </si>
  <si>
    <t>Few</t>
  </si>
  <si>
    <t>Many</t>
  </si>
  <si>
    <t>Little</t>
  </si>
  <si>
    <t>both</t>
  </si>
  <si>
    <t>Another</t>
  </si>
  <si>
    <t>Such</t>
  </si>
  <si>
    <t>Same</t>
  </si>
  <si>
    <t>Own</t>
  </si>
  <si>
    <t>Also</t>
  </si>
  <si>
    <t>Too</t>
  </si>
  <si>
    <t>So</t>
  </si>
  <si>
    <t>Really</t>
  </si>
  <si>
    <t>Already</t>
  </si>
  <si>
    <t>Wholly</t>
  </si>
  <si>
    <t>Scarcely</t>
  </si>
  <si>
    <t>Largely</t>
  </si>
  <si>
    <t>Chiefly</t>
  </si>
  <si>
    <t>Ultimately</t>
  </si>
  <si>
    <t>Albeit</t>
  </si>
  <si>
    <t>Occasionally</t>
  </si>
  <si>
    <t>Generally</t>
  </si>
  <si>
    <t>Mostly</t>
  </si>
  <si>
    <t>Truly</t>
  </si>
  <si>
    <t>every</t>
  </si>
  <si>
    <t>Beside</t>
  </si>
  <si>
    <t>Ao lado de / Junto a (Posição Física)</t>
  </si>
  <si>
    <t>In spite of</t>
  </si>
  <si>
    <t>Afford</t>
  </si>
  <si>
    <t>Achieve</t>
  </si>
  <si>
    <t>Admit</t>
  </si>
  <si>
    <t>Advise</t>
  </si>
  <si>
    <t>Affect</t>
  </si>
  <si>
    <t>Aim</t>
  </si>
  <si>
    <t>allow</t>
  </si>
  <si>
    <t>Announce</t>
  </si>
  <si>
    <t>Apologize</t>
  </si>
  <si>
    <t>Appear</t>
  </si>
  <si>
    <t>Argue</t>
  </si>
  <si>
    <t>uncle</t>
  </si>
  <si>
    <t>sitter</t>
  </si>
  <si>
    <t>ourselves</t>
  </si>
  <si>
    <t>shred</t>
  </si>
  <si>
    <t>Rasgar / Desfiar (Material)</t>
  </si>
  <si>
    <t>swamped</t>
  </si>
  <si>
    <t>promise</t>
  </si>
  <si>
    <t>lame</t>
  </si>
  <si>
    <t>dorky</t>
  </si>
  <si>
    <t>sniffing</t>
  </si>
  <si>
    <t>Farejando / Fungando (Nariz / Animal)</t>
  </si>
  <si>
    <t>treat</t>
  </si>
  <si>
    <t>tie</t>
  </si>
  <si>
    <t>gotta</t>
  </si>
  <si>
    <t>spat</t>
  </si>
  <si>
    <t>Cuspiu / Escarrou (Verbo)</t>
  </si>
  <si>
    <t>themselves</t>
  </si>
  <si>
    <t>hold on</t>
  </si>
  <si>
    <t>statements</t>
  </si>
  <si>
    <t>kitschy</t>
  </si>
  <si>
    <t>leave it up</t>
  </si>
  <si>
    <t>Deixar Para / Delegar (Decisão)</t>
  </si>
  <si>
    <t>complains</t>
  </si>
  <si>
    <t>Reclama / Queixa-se (Verbo)</t>
  </si>
  <si>
    <t>outrageous</t>
  </si>
  <si>
    <t>fostering</t>
  </si>
  <si>
    <t>condo</t>
  </si>
  <si>
    <t>slut</t>
  </si>
  <si>
    <t>veil</t>
  </si>
  <si>
    <t>branch</t>
  </si>
  <si>
    <t>dump</t>
  </si>
  <si>
    <t>ground</t>
  </si>
  <si>
    <t>Chão / Solo / Terra (Físico)</t>
  </si>
  <si>
    <t>dartboard</t>
  </si>
  <si>
    <t>stuff</t>
  </si>
  <si>
    <t>weird</t>
  </si>
  <si>
    <t>teaser</t>
  </si>
  <si>
    <t>dime</t>
  </si>
  <si>
    <t>hanging</t>
  </si>
  <si>
    <t>commit</t>
  </si>
  <si>
    <t>beet</t>
  </si>
  <si>
    <t>damn</t>
  </si>
  <si>
    <t>tenants</t>
  </si>
  <si>
    <t>rapping</t>
  </si>
  <si>
    <t>loneliness</t>
  </si>
  <si>
    <t>resourceful</t>
  </si>
  <si>
    <t>severance</t>
  </si>
  <si>
    <t>listen up</t>
  </si>
  <si>
    <t>hang in there</t>
  </si>
  <si>
    <t>what's up</t>
  </si>
  <si>
    <t>accountants</t>
  </si>
  <si>
    <t>someplace</t>
  </si>
  <si>
    <t>goes</t>
  </si>
  <si>
    <t>leverage</t>
  </si>
  <si>
    <t>no longer</t>
  </si>
  <si>
    <t>scrambling</t>
  </si>
  <si>
    <t>unpleasant</t>
  </si>
  <si>
    <t>forgot</t>
  </si>
  <si>
    <t>headquarters</t>
  </si>
  <si>
    <t>get started</t>
  </si>
  <si>
    <t>tape</t>
  </si>
  <si>
    <t>harassment</t>
  </si>
  <si>
    <t>Assédio / Importunação (Legal / Social)</t>
  </si>
  <si>
    <t>chopping off</t>
  </si>
  <si>
    <t>payroll</t>
  </si>
  <si>
    <t>postponed</t>
  </si>
  <si>
    <t>warehouse</t>
  </si>
  <si>
    <t>Warehouse - Armazém / Depósito (Físico)</t>
  </si>
  <si>
    <t>grocery</t>
  </si>
  <si>
    <t>booty</t>
  </si>
  <si>
    <t>unseen</t>
  </si>
  <si>
    <t>dropped</t>
  </si>
  <si>
    <t>owe</t>
  </si>
  <si>
    <t>seriously</t>
  </si>
  <si>
    <t>sunny</t>
  </si>
  <si>
    <t>lowering</t>
  </si>
  <si>
    <t>attracted</t>
  </si>
  <si>
    <t>honeymoon</t>
  </si>
  <si>
    <t>fart</t>
  </si>
  <si>
    <t>sucks</t>
  </si>
  <si>
    <t>dropping off</t>
  </si>
  <si>
    <t>next up</t>
  </si>
  <si>
    <t>treating</t>
  </si>
  <si>
    <t>hangers</t>
  </si>
  <si>
    <t>Cabides (Vestuário)</t>
  </si>
  <si>
    <t>firefighter</t>
  </si>
  <si>
    <t>bragging</t>
  </si>
  <si>
    <t>Gabando-se / Vangloriando-se (Habilidade/Feitos)</t>
  </si>
  <si>
    <t>get set</t>
  </si>
  <si>
    <t>folk</t>
  </si>
  <si>
    <t>delight</t>
  </si>
  <si>
    <t>disgusting</t>
  </si>
  <si>
    <t>stepdad</t>
  </si>
  <si>
    <t>undersell</t>
  </si>
  <si>
    <t>Vender por Preço Mais Baixo / Preço Menor</t>
  </si>
  <si>
    <t>poetry</t>
  </si>
  <si>
    <t>deadline</t>
  </si>
  <si>
    <t>Prazo Final / Data Limite (Tempo)</t>
  </si>
  <si>
    <t>screwed</t>
  </si>
  <si>
    <t>Parafusado / Apertado (Mecânico)</t>
  </si>
  <si>
    <t>namely</t>
  </si>
  <si>
    <t>niece</t>
  </si>
  <si>
    <t>betrayal</t>
  </si>
  <si>
    <t>douche</t>
  </si>
  <si>
    <t>Ducha / Lavagem (Higiene)</t>
  </si>
  <si>
    <t>shattered</t>
  </si>
  <si>
    <t>thrilled</t>
  </si>
  <si>
    <t>merciless</t>
  </si>
  <si>
    <t>muchly</t>
  </si>
  <si>
    <t>personnel</t>
  </si>
  <si>
    <t>turnover</t>
  </si>
  <si>
    <t>west</t>
  </si>
  <si>
    <t>Oeste (Direção/Região)</t>
  </si>
  <si>
    <t>east</t>
  </si>
  <si>
    <t>East - Leste (Direção/Região)</t>
  </si>
  <si>
    <t>nailed it</t>
  </si>
  <si>
    <t>weirdo</t>
  </si>
  <si>
    <t>creeps me out</t>
  </si>
  <si>
    <t>temp</t>
  </si>
  <si>
    <t>handling</t>
  </si>
  <si>
    <t>chains</t>
  </si>
  <si>
    <t>beady</t>
  </si>
  <si>
    <t>freaking</t>
  </si>
  <si>
    <t>accomplish</t>
  </si>
  <si>
    <t>waitress</t>
  </si>
  <si>
    <t>overreaction</t>
  </si>
  <si>
    <t>misjudged</t>
  </si>
  <si>
    <t>sucking up</t>
  </si>
  <si>
    <t>tardiness</t>
  </si>
  <si>
    <t>flashed</t>
  </si>
  <si>
    <t>excitement</t>
  </si>
  <si>
    <t>foliage</t>
  </si>
  <si>
    <t>floodlight</t>
  </si>
  <si>
    <t>burlap</t>
  </si>
  <si>
    <t>portray</t>
  </si>
  <si>
    <t>fuss</t>
  </si>
  <si>
    <t>sketch</t>
  </si>
  <si>
    <t>alongside</t>
  </si>
  <si>
    <t>deviant</t>
  </si>
  <si>
    <t>figured</t>
  </si>
  <si>
    <t>Calculou / Estimou (Cálculo / Quantidade)</t>
  </si>
  <si>
    <t>dish</t>
  </si>
  <si>
    <t>smear</t>
  </si>
  <si>
    <t>worth</t>
  </si>
  <si>
    <t>healthy</t>
  </si>
  <si>
    <t>fooling around</t>
  </si>
  <si>
    <t>breasts</t>
  </si>
  <si>
    <t>cleavage</t>
  </si>
  <si>
    <t>hazards</t>
  </si>
  <si>
    <t>cought</t>
  </si>
  <si>
    <t>undergo</t>
  </si>
  <si>
    <t>Passar por / Submeter-se a (Processos/Mudanças)</t>
  </si>
  <si>
    <t>contender</t>
  </si>
  <si>
    <t>cons</t>
  </si>
  <si>
    <t>blindfold</t>
  </si>
  <si>
    <t>pail</t>
  </si>
  <si>
    <t>supposed</t>
  </si>
  <si>
    <t>claimed</t>
  </si>
  <si>
    <t>Alegou / Afirmou (Comunicação)</t>
  </si>
  <si>
    <t>mustard</t>
  </si>
  <si>
    <t>gullet</t>
  </si>
  <si>
    <t>handful</t>
  </si>
  <si>
    <t>pall</t>
  </si>
  <si>
    <t>stepping</t>
  </si>
  <si>
    <t>Pisando / Caminhando (Movimento Físico)</t>
  </si>
  <si>
    <t>upturned</t>
  </si>
  <si>
    <t>misunderstand</t>
  </si>
  <si>
    <t>mittens</t>
  </si>
  <si>
    <t>thumbs up</t>
  </si>
  <si>
    <t>pointless</t>
  </si>
  <si>
    <t>laughter</t>
  </si>
  <si>
    <t>pleasure</t>
  </si>
  <si>
    <t>singling</t>
  </si>
  <si>
    <t>Selecionar / Isolar (Ação de Escolha)</t>
  </si>
  <si>
    <t>earthlings</t>
  </si>
  <si>
    <t>attend</t>
  </si>
  <si>
    <t>Comparecer / Estar Presente (Local/Evento)</t>
  </si>
  <si>
    <t>anecdote</t>
  </si>
  <si>
    <t>brainchild</t>
  </si>
  <si>
    <t>Criação / Invenção Original / Ideia</t>
  </si>
  <si>
    <t>beaten</t>
  </si>
  <si>
    <t>pipsqueak</t>
  </si>
  <si>
    <t>prone</t>
  </si>
  <si>
    <t>mocking</t>
  </si>
  <si>
    <t>pelts</t>
  </si>
  <si>
    <t>lieu</t>
  </si>
  <si>
    <t>terminated</t>
  </si>
  <si>
    <t>popped</t>
  </si>
  <si>
    <t>dealio</t>
  </si>
  <si>
    <t>amongst</t>
  </si>
  <si>
    <t>assorted</t>
  </si>
  <si>
    <t>cutlery</t>
  </si>
  <si>
    <t>worhless</t>
  </si>
  <si>
    <t>prongs</t>
  </si>
  <si>
    <t>reams</t>
  </si>
  <si>
    <t>Resmas (Papel)</t>
  </si>
  <si>
    <t>throw up</t>
  </si>
  <si>
    <t>notary</t>
  </si>
  <si>
    <t>straightfoward</t>
  </si>
  <si>
    <t>kidnapping</t>
  </si>
  <si>
    <t>hemp</t>
  </si>
  <si>
    <t>snot-nose</t>
  </si>
  <si>
    <t>hostage</t>
  </si>
  <si>
    <t>stole</t>
  </si>
  <si>
    <t>napkins</t>
  </si>
  <si>
    <t>Guardanapos (Mesa)</t>
  </si>
  <si>
    <t>stubborn</t>
  </si>
  <si>
    <t>felony</t>
  </si>
  <si>
    <t>bitterness</t>
  </si>
  <si>
    <t>creaminess</t>
  </si>
  <si>
    <t>float</t>
  </si>
  <si>
    <t>indoor</t>
  </si>
  <si>
    <t>baptized</t>
  </si>
  <si>
    <t>bun</t>
  </si>
  <si>
    <t>sprinkle</t>
  </si>
  <si>
    <t>suit</t>
  </si>
  <si>
    <t>stifling</t>
  </si>
  <si>
    <t>go ahead</t>
  </si>
  <si>
    <t>lately</t>
  </si>
  <si>
    <t>yacht</t>
  </si>
  <si>
    <t>messed up</t>
  </si>
  <si>
    <t>Estragou / Cometeu Erro (Ação)</t>
  </si>
  <si>
    <t>matresses</t>
  </si>
  <si>
    <t>cater</t>
  </si>
  <si>
    <t>misuse</t>
  </si>
  <si>
    <t>elderly</t>
  </si>
  <si>
    <t>lifeblood</t>
  </si>
  <si>
    <t>cutest</t>
  </si>
  <si>
    <t>table-making</t>
  </si>
  <si>
    <t>improv</t>
  </si>
  <si>
    <t>pretend</t>
  </si>
  <si>
    <t>spices</t>
  </si>
  <si>
    <t>cherub</t>
  </si>
  <si>
    <t>scrubbing</t>
  </si>
  <si>
    <t>relieved</t>
  </si>
  <si>
    <t>oats</t>
  </si>
  <si>
    <t>doorstep</t>
  </si>
  <si>
    <t>oatmeal</t>
  </si>
  <si>
    <t>stinks</t>
  </si>
  <si>
    <t>nightime</t>
  </si>
  <si>
    <t>wireless</t>
  </si>
  <si>
    <t>chattering</t>
  </si>
  <si>
    <t>useless</t>
  </si>
  <si>
    <t>proven</t>
  </si>
  <si>
    <t>Comprovado / Demonstrado (Evidência)</t>
  </si>
  <si>
    <t>seal</t>
  </si>
  <si>
    <t>Vedação / Junta Estanque (Físico)</t>
  </si>
  <si>
    <t>clunking</t>
  </si>
  <si>
    <t>fail</t>
  </si>
  <si>
    <t>writhe</t>
  </si>
  <si>
    <t>Contorcer-se / Debater-se (Dor Física ou Agonia)</t>
  </si>
  <si>
    <t>clutching</t>
  </si>
  <si>
    <t>donkey</t>
  </si>
  <si>
    <t>clunk</t>
  </si>
  <si>
    <t>cop</t>
  </si>
  <si>
    <t>captivating</t>
  </si>
  <si>
    <t xml:space="preserve">relentless </t>
  </si>
  <si>
    <t>Implacável / Incessante / Persistente</t>
  </si>
  <si>
    <t>moaning</t>
  </si>
  <si>
    <t>Gemendo / Lamentando (Dor ou Prazer)</t>
  </si>
  <si>
    <t>bringing</t>
  </si>
  <si>
    <t>nab</t>
  </si>
  <si>
    <t>yawning</t>
  </si>
  <si>
    <t>Bocejando (Fisiológico)</t>
  </si>
  <si>
    <t>up comes</t>
  </si>
  <si>
    <t>at all</t>
  </si>
  <si>
    <t>cocktail</t>
  </si>
  <si>
    <t>smooches</t>
  </si>
  <si>
    <t>whomever</t>
  </si>
  <si>
    <t>jerks</t>
  </si>
  <si>
    <t>disinfect</t>
  </si>
  <si>
    <t>turns out</t>
  </si>
  <si>
    <t>gambler</t>
  </si>
  <si>
    <t>doubling</t>
  </si>
  <si>
    <t>tied</t>
  </si>
  <si>
    <t>mob</t>
  </si>
  <si>
    <t>uncrazy</t>
  </si>
  <si>
    <t>selfish</t>
  </si>
  <si>
    <t>bankruptcy</t>
  </si>
  <si>
    <t>Falência / Insolvência</t>
  </si>
  <si>
    <t>do-over</t>
  </si>
  <si>
    <t>witness</t>
  </si>
  <si>
    <t>baggage</t>
  </si>
  <si>
    <t>fancy</t>
  </si>
  <si>
    <t>strengthens</t>
  </si>
  <si>
    <t>somber</t>
  </si>
  <si>
    <t>footwork</t>
  </si>
  <si>
    <t>poses</t>
  </si>
  <si>
    <t>Coloca / Apresenta (Proposta/Pergunta)</t>
  </si>
  <si>
    <t>heartstrings</t>
  </si>
  <si>
    <t>quaint</t>
  </si>
  <si>
    <t>clever</t>
  </si>
  <si>
    <t>Inteligente / Habilidoso (Raciocínio Rápido)</t>
  </si>
  <si>
    <t>maneuvering</t>
  </si>
  <si>
    <t>astounding</t>
  </si>
  <si>
    <t>mumbles</t>
  </si>
  <si>
    <t>move away</t>
  </si>
  <si>
    <t>worst</t>
  </si>
  <si>
    <t>sobs</t>
  </si>
  <si>
    <t>passionate</t>
  </si>
  <si>
    <t>runaway</t>
  </si>
  <si>
    <t>creditors</t>
  </si>
  <si>
    <t>counsel</t>
  </si>
  <si>
    <t>acidic</t>
  </si>
  <si>
    <t>chewy</t>
  </si>
  <si>
    <t>airtime</t>
  </si>
  <si>
    <t>shabby</t>
  </si>
  <si>
    <t>blanking</t>
  </si>
  <si>
    <t>cutting edge</t>
  </si>
  <si>
    <t>necking</t>
  </si>
  <si>
    <t>nuzzling</t>
  </si>
  <si>
    <t>kiddo</t>
  </si>
  <si>
    <t>cracking</t>
  </si>
  <si>
    <t>morons</t>
  </si>
  <si>
    <t>Idiotas / Estúpidos (Pessoas)</t>
  </si>
  <si>
    <t>titillated</t>
  </si>
  <si>
    <t>slung</t>
  </si>
  <si>
    <t>lumber</t>
  </si>
  <si>
    <t>pivotal</t>
  </si>
  <si>
    <t>piss</t>
  </si>
  <si>
    <t>hashbrowns</t>
  </si>
  <si>
    <t>fiery</t>
  </si>
  <si>
    <t>bubbly</t>
  </si>
  <si>
    <t>cheek</t>
  </si>
  <si>
    <t>earlobe</t>
  </si>
  <si>
    <t>crap-fest</t>
  </si>
  <si>
    <t>depth</t>
  </si>
  <si>
    <t>chariots</t>
  </si>
  <si>
    <t>mouthing</t>
  </si>
  <si>
    <t>Articulando / Mexendo os Lábios (Sem Som)</t>
  </si>
  <si>
    <t>hiting</t>
  </si>
  <si>
    <t>limitless</t>
  </si>
  <si>
    <t>feast</t>
  </si>
  <si>
    <t>aboard</t>
  </si>
  <si>
    <t>approached</t>
  </si>
  <si>
    <t>dummy</t>
  </si>
  <si>
    <t>Fictício / De Teste / Simulado (TI / Prático)</t>
  </si>
  <si>
    <t>wrist</t>
  </si>
  <si>
    <t>chapel</t>
  </si>
  <si>
    <t>prayers</t>
  </si>
  <si>
    <t>meant</t>
  </si>
  <si>
    <t>tithes</t>
  </si>
  <si>
    <t>neared</t>
  </si>
  <si>
    <t>sensed</t>
  </si>
  <si>
    <t>foolishly</t>
  </si>
  <si>
    <t>collapsed</t>
  </si>
  <si>
    <t>dragged</t>
  </si>
  <si>
    <t>horned</t>
  </si>
  <si>
    <t>cannot</t>
  </si>
  <si>
    <t>hermit</t>
  </si>
  <si>
    <t>northeast</t>
  </si>
  <si>
    <t>Nordeste (Direção/Região)</t>
  </si>
  <si>
    <t>gospel</t>
  </si>
  <si>
    <t>posing</t>
  </si>
  <si>
    <t>humankind</t>
  </si>
  <si>
    <t>sin</t>
  </si>
  <si>
    <t>tread</t>
  </si>
  <si>
    <t>Pisar / Caminhar / Andar (Movimento)</t>
  </si>
  <si>
    <t>bundled</t>
  </si>
  <si>
    <t>brewing</t>
  </si>
  <si>
    <t>freshly</t>
  </si>
  <si>
    <t>coated</t>
  </si>
  <si>
    <t>dried</t>
  </si>
  <si>
    <t>prophesied</t>
  </si>
  <si>
    <t>amid</t>
  </si>
  <si>
    <t>damned</t>
  </si>
  <si>
    <t>Condenado / Amaldiçoado (Religioso/Formal)</t>
  </si>
  <si>
    <t>chunk</t>
  </si>
  <si>
    <t>fallen</t>
  </si>
  <si>
    <t>mirroring</t>
  </si>
  <si>
    <t>vein</t>
  </si>
  <si>
    <t>babbling</t>
  </si>
  <si>
    <t>feud</t>
  </si>
  <si>
    <t>linger</t>
  </si>
  <si>
    <t>Demorar-se / Permanecer (Em um Local)</t>
  </si>
  <si>
    <t>gatehouse</t>
  </si>
  <si>
    <t>cleansing</t>
  </si>
  <si>
    <t>meaningless</t>
  </si>
  <si>
    <t>dare</t>
  </si>
  <si>
    <t>lad</t>
  </si>
  <si>
    <t>cedarwood</t>
  </si>
  <si>
    <t>shrine</t>
  </si>
  <si>
    <t>inscribe</t>
  </si>
  <si>
    <t>troubles</t>
  </si>
  <si>
    <t>brazier</t>
  </si>
  <si>
    <t>greed</t>
  </si>
  <si>
    <t>honing</t>
  </si>
  <si>
    <t>imprisonment</t>
  </si>
  <si>
    <t>valiant</t>
  </si>
  <si>
    <t>foretold</t>
  </si>
  <si>
    <t>cascos</t>
  </si>
  <si>
    <t>swayback</t>
  </si>
  <si>
    <t>cloudy</t>
  </si>
  <si>
    <t>crow</t>
  </si>
  <si>
    <t>Corvo / Gralha (Pássaro)</t>
  </si>
  <si>
    <t>bait</t>
  </si>
  <si>
    <t>sworn</t>
  </si>
  <si>
    <t>hubris</t>
  </si>
  <si>
    <t>steeds</t>
  </si>
  <si>
    <t>tithing</t>
  </si>
  <si>
    <t>sweep</t>
  </si>
  <si>
    <t>dues</t>
  </si>
  <si>
    <t>consciousness</t>
  </si>
  <si>
    <t>escort</t>
  </si>
  <si>
    <t>arrangements</t>
  </si>
  <si>
    <t>restraint</t>
  </si>
  <si>
    <t>Autocontrole / Moderação (Comportamento)</t>
  </si>
  <si>
    <t>carry on</t>
  </si>
  <si>
    <t>reigns</t>
  </si>
  <si>
    <t>Reina / Governa / Predomina (Verbo)</t>
  </si>
  <si>
    <t>deserve</t>
  </si>
  <si>
    <t>militia</t>
  </si>
  <si>
    <t>hard-ass</t>
  </si>
  <si>
    <t>raising</t>
  </si>
  <si>
    <t>tidings</t>
  </si>
  <si>
    <t>Notícias / Novidades / Boas Novas</t>
  </si>
  <si>
    <t>wickedness</t>
  </si>
  <si>
    <t>temptation</t>
  </si>
  <si>
    <t>radiance</t>
  </si>
  <si>
    <t>righteousness</t>
  </si>
  <si>
    <t>sear</t>
  </si>
  <si>
    <t>thy</t>
  </si>
  <si>
    <t>thine</t>
  </si>
  <si>
    <t>Teu / Sua (Adjetivo Possessivo - Antes de Vogal/H)</t>
  </si>
  <si>
    <t>sighting</t>
  </si>
  <si>
    <t>stock</t>
  </si>
  <si>
    <t>gratitude</t>
  </si>
  <si>
    <t>unmatched</t>
  </si>
  <si>
    <t>reliable</t>
  </si>
  <si>
    <t>Seek him out</t>
  </si>
  <si>
    <t>flock</t>
  </si>
  <si>
    <t>carver</t>
  </si>
  <si>
    <t>overseer</t>
  </si>
  <si>
    <t>boulder</t>
  </si>
  <si>
    <t>renown</t>
  </si>
  <si>
    <t>reached</t>
  </si>
  <si>
    <t>burnt</t>
  </si>
  <si>
    <t>faithless</t>
  </si>
  <si>
    <t>favored</t>
  </si>
  <si>
    <t>priest</t>
  </si>
  <si>
    <t>dung-slick</t>
  </si>
  <si>
    <t>newcomers</t>
  </si>
  <si>
    <t>shithole</t>
  </si>
  <si>
    <t>dung</t>
  </si>
  <si>
    <t>slick</t>
  </si>
  <si>
    <t>birth</t>
  </si>
  <si>
    <t>Nascimento / Parto (Físico)</t>
  </si>
  <si>
    <t>petal</t>
  </si>
  <si>
    <t>pulses</t>
  </si>
  <si>
    <t>touches</t>
  </si>
  <si>
    <t>Toca / Encosta (Físico)</t>
  </si>
  <si>
    <t>sullied</t>
  </si>
  <si>
    <t>burrows</t>
  </si>
  <si>
    <t>Tocas / Covas (Substantivo)</t>
  </si>
  <si>
    <t>purge</t>
  </si>
  <si>
    <t>shroud</t>
  </si>
  <si>
    <t>caul</t>
  </si>
  <si>
    <t>western</t>
  </si>
  <si>
    <t>silvered</t>
  </si>
  <si>
    <t>crude</t>
  </si>
  <si>
    <t>vacant</t>
  </si>
  <si>
    <t>halls</t>
  </si>
  <si>
    <t>slay</t>
  </si>
  <si>
    <t>mindbreaker</t>
  </si>
  <si>
    <t>source</t>
  </si>
  <si>
    <t>mauler</t>
  </si>
  <si>
    <t>sickbed</t>
  </si>
  <si>
    <t>void</t>
  </si>
  <si>
    <t>chandelier</t>
  </si>
  <si>
    <t>severing</t>
  </si>
  <si>
    <t>bond</t>
  </si>
  <si>
    <t>blacksmith</t>
  </si>
  <si>
    <t>stash</t>
  </si>
  <si>
    <t>jeweler</t>
  </si>
  <si>
    <t>purveyor</t>
  </si>
  <si>
    <t>stable</t>
  </si>
  <si>
    <t>don</t>
  </si>
  <si>
    <t>anew</t>
  </si>
  <si>
    <t>De Novo / Novamente (Repetição)</t>
  </si>
  <si>
    <t>riddled</t>
  </si>
  <si>
    <t>sacred</t>
  </si>
  <si>
    <t>attempt</t>
  </si>
  <si>
    <t>Tentativa / Esforço (Substantivo)</t>
  </si>
  <si>
    <t>chalk</t>
  </si>
  <si>
    <t>dammnation</t>
  </si>
  <si>
    <t>Danação / Condenação Eterna</t>
  </si>
  <si>
    <t>filth</t>
  </si>
  <si>
    <t>begone</t>
  </si>
  <si>
    <t>woodsman</t>
  </si>
  <si>
    <t>stalked</t>
  </si>
  <si>
    <t>disappeared</t>
  </si>
  <si>
    <t>go on</t>
  </si>
  <si>
    <t>Continuar / Prosseguir (Ação)</t>
  </si>
  <si>
    <t>rate</t>
  </si>
  <si>
    <t>wilderness</t>
  </si>
  <si>
    <t>wrenching</t>
  </si>
  <si>
    <t>Arrancar / Torcer (Ação Física)</t>
  </si>
  <si>
    <t>grim</t>
  </si>
  <si>
    <t>Sombrio / Severo / Sinuoso (Aparência)</t>
  </si>
  <si>
    <t>judging</t>
  </si>
  <si>
    <t>my due</t>
  </si>
  <si>
    <t>bolder</t>
  </si>
  <si>
    <t>Mais Ousado / Mais Corajoso</t>
  </si>
  <si>
    <t>cross</t>
  </si>
  <si>
    <t>foothills</t>
  </si>
  <si>
    <t>tearing</t>
  </si>
  <si>
    <t>atop</t>
  </si>
  <si>
    <t>injured</t>
  </si>
  <si>
    <t>outpost</t>
  </si>
  <si>
    <t>overrun</t>
  </si>
  <si>
    <t>fiends</t>
  </si>
  <si>
    <t>stationed</t>
  </si>
  <si>
    <t>drove</t>
  </si>
  <si>
    <t>watchmen</t>
  </si>
  <si>
    <t>fond</t>
  </si>
  <si>
    <t>arsonist</t>
  </si>
  <si>
    <t>marauder</t>
  </si>
  <si>
    <t>firebrand</t>
  </si>
  <si>
    <t>prowler</t>
  </si>
  <si>
    <t>ghoul</t>
  </si>
  <si>
    <t>villager</t>
  </si>
  <si>
    <t>wasteland</t>
  </si>
  <si>
    <t>revenant</t>
  </si>
  <si>
    <t>marred</t>
  </si>
  <si>
    <t>set them up</t>
  </si>
  <si>
    <t>Configurar / Instalar / Preparar</t>
  </si>
  <si>
    <t>bodyguard</t>
  </si>
  <si>
    <t>deserving</t>
  </si>
  <si>
    <t>Merecedor / Digno de (Recompensa / Algo Bom)</t>
  </si>
  <si>
    <t>pilgrims</t>
  </si>
  <si>
    <t>toll</t>
  </si>
  <si>
    <t>Pedágio / Tarifa (Finanças / Transporte)</t>
  </si>
  <si>
    <t>assemble</t>
  </si>
  <si>
    <t>bear</t>
  </si>
  <si>
    <t>arrest</t>
  </si>
  <si>
    <t>menace</t>
  </si>
  <si>
    <t>heathen</t>
  </si>
  <si>
    <t>hoping</t>
  </si>
  <si>
    <t>ambushed</t>
  </si>
  <si>
    <t>wound</t>
  </si>
  <si>
    <t>neck</t>
  </si>
  <si>
    <t>handiwork</t>
  </si>
  <si>
    <t>thick</t>
  </si>
  <si>
    <t>Grosso / Espesso (Dimensão)</t>
  </si>
  <si>
    <t>forearm</t>
  </si>
  <si>
    <t>stripped</t>
  </si>
  <si>
    <t>goods</t>
  </si>
  <si>
    <t>broken</t>
  </si>
  <si>
    <t>thoroughly</t>
  </si>
  <si>
    <t>ransacked</t>
  </si>
  <si>
    <t>unsavory</t>
  </si>
  <si>
    <t>Desagradável / Repugnante (Sabor/Cheiro)</t>
  </si>
  <si>
    <t>sinner</t>
  </si>
  <si>
    <t>hideout</t>
  </si>
  <si>
    <t>conniving</t>
  </si>
  <si>
    <t>bound</t>
  </si>
  <si>
    <t>Amarrado / Preso / Unido (Físico)</t>
  </si>
  <si>
    <t>overlook</t>
  </si>
  <si>
    <t>foul</t>
  </si>
  <si>
    <t>deeds</t>
  </si>
  <si>
    <t>shattering</t>
  </si>
  <si>
    <t>Quebrando / Estilhaçando (Físico)</t>
  </si>
  <si>
    <t>dealing</t>
  </si>
  <si>
    <t>smugglers</t>
  </si>
  <si>
    <t>hoard</t>
  </si>
  <si>
    <t>damnit</t>
  </si>
  <si>
    <t>start over</t>
  </si>
  <si>
    <t>frostbite</t>
  </si>
  <si>
    <t>stray</t>
  </si>
  <si>
    <t>crest</t>
  </si>
  <si>
    <t>scattered</t>
  </si>
  <si>
    <t>shoddy</t>
  </si>
  <si>
    <t>telling</t>
  </si>
  <si>
    <t>sly</t>
  </si>
  <si>
    <t>brigands</t>
  </si>
  <si>
    <t>plundered</t>
  </si>
  <si>
    <t>Wanderers</t>
  </si>
  <si>
    <t>suited</t>
  </si>
  <si>
    <t>Adequado / Apropriado (Aptidão)</t>
  </si>
  <si>
    <t>Crumbled</t>
  </si>
  <si>
    <t>Whiteout</t>
  </si>
  <si>
    <t>rely</t>
  </si>
  <si>
    <t>oozes</t>
  </si>
  <si>
    <t>rejoice</t>
  </si>
  <si>
    <t>hardships</t>
  </si>
  <si>
    <t>Dificuldades / Sofrimentos (Geral)</t>
  </si>
  <si>
    <t>frigid</t>
  </si>
  <si>
    <t>disease</t>
  </si>
  <si>
    <t>suitable</t>
  </si>
  <si>
    <t>sick</t>
  </si>
  <si>
    <t>we must store</t>
  </si>
  <si>
    <t>Devemos Armazenar / É Obrigatório Gravar (Dados / TI)</t>
  </si>
  <si>
    <t>weakened</t>
  </si>
  <si>
    <t>workforce</t>
  </si>
  <si>
    <t>absentees</t>
  </si>
  <si>
    <t>harsh</t>
  </si>
  <si>
    <t>our</t>
  </si>
  <si>
    <t>illness</t>
  </si>
  <si>
    <t>dwindle</t>
  </si>
  <si>
    <t>endangering</t>
  </si>
  <si>
    <t>liveable</t>
  </si>
  <si>
    <t>urges</t>
  </si>
  <si>
    <t>portents</t>
  </si>
  <si>
    <t>heels</t>
  </si>
  <si>
    <t>gather</t>
  </si>
  <si>
    <t>stockpile</t>
  </si>
  <si>
    <t>Estoque / Reserva (Substantivo)</t>
  </si>
  <si>
    <t>Gathered</t>
  </si>
  <si>
    <t>prequel</t>
  </si>
  <si>
    <t>uncover</t>
  </si>
  <si>
    <t>past</t>
  </si>
  <si>
    <t>ward</t>
  </si>
  <si>
    <t>Enfermaria / Ala (Hospitalar)</t>
  </si>
  <si>
    <t>thin</t>
  </si>
  <si>
    <t>knowledge</t>
  </si>
  <si>
    <t>wayward</t>
  </si>
  <si>
    <t>Desobediente / Teimoso / Rebelde (Comportamento)</t>
  </si>
  <si>
    <t>worthy</t>
  </si>
  <si>
    <t>bled</t>
  </si>
  <si>
    <t>set out</t>
  </si>
  <si>
    <t>Partir / Iniciar Jornada</t>
  </si>
  <si>
    <t>avenge</t>
  </si>
  <si>
    <t>laying</t>
  </si>
  <si>
    <t>crops</t>
  </si>
  <si>
    <t>pitched</t>
  </si>
  <si>
    <t>scronged up</t>
  </si>
  <si>
    <t>exaggerate</t>
  </si>
  <si>
    <t>after your money</t>
  </si>
  <si>
    <t>unfold</t>
  </si>
  <si>
    <t>northern</t>
  </si>
  <si>
    <t>Setentrional / Do Norte (Geografia Global)</t>
  </si>
  <si>
    <t>suppose</t>
  </si>
  <si>
    <t>wrathful</t>
  </si>
  <si>
    <t>wrath</t>
  </si>
  <si>
    <t>bloodthirsty</t>
  </si>
  <si>
    <t>worry not</t>
  </si>
  <si>
    <t>seized</t>
  </si>
  <si>
    <t>miracle</t>
  </si>
  <si>
    <t>cellar</t>
  </si>
  <si>
    <t>chalice</t>
  </si>
  <si>
    <t>cleargy</t>
  </si>
  <si>
    <t>mewling</t>
  </si>
  <si>
    <t>flee</t>
  </si>
  <si>
    <t>wore</t>
  </si>
  <si>
    <t>Usou / Vestiu (Roupa / Acessório)</t>
  </si>
  <si>
    <t>soared</t>
  </si>
  <si>
    <t>hisses</t>
  </si>
  <si>
    <t>sudden</t>
  </si>
  <si>
    <t>joke</t>
  </si>
  <si>
    <t>washed</t>
  </si>
  <si>
    <t>toast</t>
  </si>
  <si>
    <t>damm it</t>
  </si>
  <si>
    <t>steady</t>
  </si>
  <si>
    <t>easier</t>
  </si>
  <si>
    <t>Mais Fácil / Menos Difícil</t>
  </si>
  <si>
    <t>gone</t>
  </si>
  <si>
    <t>Ausente / Partiu (Movimento)</t>
  </si>
  <si>
    <t>mild</t>
  </si>
  <si>
    <t>Suave / Brando (Clima / Temperatura)</t>
  </si>
  <si>
    <t>overstressed</t>
  </si>
  <si>
    <t>gasps</t>
  </si>
  <si>
    <t>cotton</t>
  </si>
  <si>
    <t>ally</t>
  </si>
  <si>
    <t>pendant</t>
  </si>
  <si>
    <t>sighs</t>
  </si>
  <si>
    <t>mispronounce</t>
  </si>
  <si>
    <t>broad</t>
  </si>
  <si>
    <t>overthinking</t>
  </si>
  <si>
    <t>compliment</t>
  </si>
  <si>
    <t>Elogio / Elogiar (Social/Profissional)</t>
  </si>
  <si>
    <t>kidding around</t>
  </si>
  <si>
    <t>Brincando / Fazendo Piadas</t>
  </si>
  <si>
    <t>dumb</t>
  </si>
  <si>
    <t>envy</t>
  </si>
  <si>
    <t>recall</t>
  </si>
  <si>
    <t>profoundly</t>
  </si>
  <si>
    <t>humph</t>
  </si>
  <si>
    <t>count</t>
  </si>
  <si>
    <t>retching</t>
  </si>
  <si>
    <t>starring</t>
  </si>
  <si>
    <t>fatter</t>
  </si>
  <si>
    <t>get over here</t>
  </si>
  <si>
    <t>bunch</t>
  </si>
  <si>
    <t>gonna</t>
  </si>
  <si>
    <t>shatter</t>
  </si>
  <si>
    <t>ruined</t>
  </si>
  <si>
    <t>decency</t>
  </si>
  <si>
    <t>Decoro / Propriedade (Social / Comportamento)</t>
  </si>
  <si>
    <t>crappy</t>
  </si>
  <si>
    <t>bothering</t>
  </si>
  <si>
    <t>Incomodando / Aborrecendo / Perturbando</t>
  </si>
  <si>
    <t>skinny</t>
  </si>
  <si>
    <t>Magro / Esquelético (Físico)</t>
  </si>
  <si>
    <t>regrettable</t>
  </si>
  <si>
    <t>hates</t>
  </si>
  <si>
    <t>slept</t>
  </si>
  <si>
    <t>memoirist</t>
  </si>
  <si>
    <t>tranquilizer</t>
  </si>
  <si>
    <t>businessperson</t>
  </si>
  <si>
    <t>drop by</t>
  </si>
  <si>
    <t>get it</t>
  </si>
  <si>
    <t>roommate</t>
  </si>
  <si>
    <t>keep down</t>
  </si>
  <si>
    <t>Manter Baixo / Controlar (Nível, Volume)</t>
  </si>
  <si>
    <t>handsome</t>
  </si>
  <si>
    <t>routing</t>
  </si>
  <si>
    <t>produce</t>
  </si>
  <si>
    <t>rough</t>
  </si>
  <si>
    <t>regret</t>
  </si>
  <si>
    <t>saturated</t>
  </si>
  <si>
    <t>childhood</t>
  </si>
  <si>
    <t>parents</t>
  </si>
  <si>
    <t>simultaneously</t>
  </si>
  <si>
    <t>guest</t>
  </si>
  <si>
    <t>emphasize</t>
  </si>
  <si>
    <t>shame</t>
  </si>
  <si>
    <t>sneezing</t>
  </si>
  <si>
    <t>frontline</t>
  </si>
  <si>
    <t>chrotle</t>
  </si>
  <si>
    <t>grunting</t>
  </si>
  <si>
    <t>elitism</t>
  </si>
  <si>
    <t>straight</t>
  </si>
  <si>
    <t>receiving</t>
  </si>
  <si>
    <t>slap</t>
  </si>
  <si>
    <t>nails</t>
  </si>
  <si>
    <t>sitting</t>
  </si>
  <si>
    <t>Sentado / Estando Sentado (Posição Física)</t>
  </si>
  <si>
    <t>goddamn</t>
  </si>
  <si>
    <t>slightly</t>
  </si>
  <si>
    <t>hooray</t>
  </si>
  <si>
    <t>roof</t>
  </si>
  <si>
    <t>Teto / Telhado (Estrutura Externa)</t>
  </si>
  <si>
    <t>uneventful</t>
  </si>
  <si>
    <t>craftsmanship</t>
  </si>
  <si>
    <t>slacked</t>
  </si>
  <si>
    <t>Afrouxou / Relaxou (Esforço)</t>
  </si>
  <si>
    <t>horn</t>
  </si>
  <si>
    <t>pin</t>
  </si>
  <si>
    <t>deconstruction</t>
  </si>
  <si>
    <t>specifically</t>
  </si>
  <si>
    <t>troops</t>
  </si>
  <si>
    <t>jerk</t>
  </si>
  <si>
    <t>swallow</t>
  </si>
  <si>
    <t>distinction</t>
  </si>
  <si>
    <t>divergent</t>
  </si>
  <si>
    <t>insurgent</t>
  </si>
  <si>
    <t>hunger</t>
  </si>
  <si>
    <t>Fome / Necessidade de Comer (Fisiológico)</t>
  </si>
  <si>
    <t>covered</t>
  </si>
  <si>
    <t>controversial</t>
  </si>
  <si>
    <t>cowardly</t>
  </si>
  <si>
    <t>Covarde / Medroso (Característica)</t>
  </si>
  <si>
    <t>remarks</t>
  </si>
  <si>
    <t>Comentário / Observação (Substantivo)</t>
  </si>
  <si>
    <t>entrepreneur</t>
  </si>
  <si>
    <t>scamming</t>
  </si>
  <si>
    <t>get me away</t>
  </si>
  <si>
    <t>be nice</t>
  </si>
  <si>
    <t>quickly</t>
  </si>
  <si>
    <t>cupboard</t>
  </si>
  <si>
    <t>Armário / Guarda-Louças (Móvel)</t>
  </si>
  <si>
    <t>forgive</t>
  </si>
  <si>
    <t>Perdoar / Desculpar (Pessoa / Erro)</t>
  </si>
  <si>
    <t>smart</t>
  </si>
  <si>
    <t>marker</t>
  </si>
  <si>
    <t>Caneta Marcadora / Pincel Atômico</t>
  </si>
  <si>
    <t>hanging out</t>
  </si>
  <si>
    <t>Socializando / Convivendo</t>
  </si>
  <si>
    <t>doorbell</t>
  </si>
  <si>
    <t>token</t>
  </si>
  <si>
    <t>stale</t>
  </si>
  <si>
    <t>sadly</t>
  </si>
  <si>
    <t>say it</t>
  </si>
  <si>
    <t>single one</t>
  </si>
  <si>
    <t>pawn</t>
  </si>
  <si>
    <t>deeply</t>
  </si>
  <si>
    <t>ambivalent</t>
  </si>
  <si>
    <t>digestible</t>
  </si>
  <si>
    <t>Digerível / Leve (Alimento)</t>
  </si>
  <si>
    <t>thrives</t>
  </si>
  <si>
    <t>Prospera / Tem Sucesso / Desenvolve-se (Abstrato)</t>
  </si>
  <si>
    <t>crowd</t>
  </si>
  <si>
    <t>handle</t>
  </si>
  <si>
    <t>unbelievable</t>
  </si>
  <si>
    <t>Incrível / Surpreendente (Qualidade)</t>
  </si>
  <si>
    <t>open up</t>
  </si>
  <si>
    <t>warts</t>
  </si>
  <si>
    <t>heiress</t>
  </si>
  <si>
    <t>waxing</t>
  </si>
  <si>
    <t>Crescente / Aumentando (Lua)</t>
  </si>
  <si>
    <t>knew it</t>
  </si>
  <si>
    <t>hang up</t>
  </si>
  <si>
    <t>Desligar / Encerrar a Chamada (Telefone)</t>
  </si>
  <si>
    <t>dipwad</t>
  </si>
  <si>
    <t>clattering</t>
  </si>
  <si>
    <t>besides</t>
  </si>
  <si>
    <t>Além de / Além disso (Adição)</t>
  </si>
  <si>
    <t>better</t>
  </si>
  <si>
    <t>served</t>
  </si>
  <si>
    <t>Serviu / Atendeu (Alimentos / Clientes)</t>
  </si>
  <si>
    <t xml:space="preserve">counseling </t>
  </si>
  <si>
    <t>captive</t>
  </si>
  <si>
    <t>cashier</t>
  </si>
  <si>
    <t>busting</t>
  </si>
  <si>
    <t>inhaling</t>
  </si>
  <si>
    <t>drill</t>
  </si>
  <si>
    <t>forefather</t>
  </si>
  <si>
    <t>Ancestrais / Antepassados (Familiar)</t>
  </si>
  <si>
    <t>screw you</t>
  </si>
  <si>
    <t>gazer</t>
  </si>
  <si>
    <t>dispatch</t>
  </si>
  <si>
    <t>Despachar / Enviar (Verbo - Comunicação)</t>
  </si>
  <si>
    <t>dept</t>
  </si>
  <si>
    <t>surfing</t>
  </si>
  <si>
    <t>supportive</t>
  </si>
  <si>
    <t>soon</t>
  </si>
  <si>
    <t>keypad</t>
  </si>
  <si>
    <t>sake</t>
  </si>
  <si>
    <t>sharply</t>
  </si>
  <si>
    <t>siren</t>
  </si>
  <si>
    <t>attorney</t>
  </si>
  <si>
    <t>Advogado / Procurador Legal (Profissional)</t>
  </si>
  <si>
    <t>asked for me</t>
  </si>
  <si>
    <t>wise</t>
  </si>
  <si>
    <t>pitch it</t>
  </si>
  <si>
    <t>earful</t>
  </si>
  <si>
    <t>wrote down</t>
  </si>
  <si>
    <t>Anotou / Registrou / Escreveu</t>
  </si>
  <si>
    <t>sarched</t>
  </si>
  <si>
    <t>remorse</t>
  </si>
  <si>
    <t>weigh</t>
  </si>
  <si>
    <t>Pesar / Medir o Peso</t>
  </si>
  <si>
    <t>set me up</t>
  </si>
  <si>
    <t>casing</t>
  </si>
  <si>
    <t>Invólucro / Estrutura Externa (Físico/Mecânico)</t>
  </si>
  <si>
    <t>go figure</t>
  </si>
  <si>
    <t>poking</t>
  </si>
  <si>
    <t>Cutucando / Cutucar (Físico)</t>
  </si>
  <si>
    <t>crack</t>
  </si>
  <si>
    <t>meantime</t>
  </si>
  <si>
    <t>clout</t>
  </si>
  <si>
    <t>kidnapped</t>
  </si>
  <si>
    <t>put the word out</t>
  </si>
  <si>
    <t>shut her up</t>
  </si>
  <si>
    <t>warn</t>
  </si>
  <si>
    <t>unintended</t>
  </si>
  <si>
    <t>mastermind</t>
  </si>
  <si>
    <t>incriminating</t>
  </si>
  <si>
    <t>beg</t>
  </si>
  <si>
    <t>groaning</t>
  </si>
  <si>
    <t>bullshit</t>
  </si>
  <si>
    <t>Bobagem / Besteira / Mentira (Informação)</t>
  </si>
  <si>
    <t>embezzled</t>
  </si>
  <si>
    <t>scumbag</t>
  </si>
  <si>
    <t>stashed</t>
  </si>
  <si>
    <t>Salvo temporariamente / Armazenado (TI/Git)</t>
  </si>
  <si>
    <t>booking</t>
  </si>
  <si>
    <t>puss out</t>
  </si>
  <si>
    <t>edible</t>
  </si>
  <si>
    <t>resembling</t>
  </si>
  <si>
    <t>bookie</t>
  </si>
  <si>
    <t>foreclosed</t>
  </si>
  <si>
    <t>wants</t>
  </si>
  <si>
    <t>happening</t>
  </si>
  <si>
    <t>awaits</t>
  </si>
  <si>
    <t>Aguarda / Espera por (Expectativa)</t>
  </si>
  <si>
    <t>check it out</t>
  </si>
  <si>
    <t>possession</t>
  </si>
  <si>
    <t>mops</t>
  </si>
  <si>
    <t>snoring</t>
  </si>
  <si>
    <t>billboard</t>
  </si>
  <si>
    <t>greedy</t>
  </si>
  <si>
    <t>Ganancioso / Avarento (Pessoa/Desejo)</t>
  </si>
  <si>
    <t>rounded up</t>
  </si>
  <si>
    <t>warned</t>
  </si>
  <si>
    <t>assure</t>
  </si>
  <si>
    <t>teensy</t>
  </si>
  <si>
    <t>bargaining</t>
  </si>
  <si>
    <t>Negociando / Pechinchando (Preço)</t>
  </si>
  <si>
    <t>maneuverability</t>
  </si>
  <si>
    <t>earned</t>
  </si>
  <si>
    <t>pissed</t>
  </si>
  <si>
    <t>fairness</t>
  </si>
  <si>
    <t>bribe</t>
  </si>
  <si>
    <t>retainer</t>
  </si>
  <si>
    <t>shiny</t>
  </si>
  <si>
    <t>Brilhante / Lustroso / Reluzente (Físico)</t>
  </si>
  <si>
    <t>kiddie</t>
  </si>
  <si>
    <t>commitment</t>
  </si>
  <si>
    <t>Comprometimento / Compromisso (Profissional)</t>
  </si>
  <si>
    <t>loafers</t>
  </si>
  <si>
    <t>Mocassins / Sapatos sem cadarço</t>
  </si>
  <si>
    <t>guilty</t>
  </si>
  <si>
    <t>backyard</t>
  </si>
  <si>
    <t>loquacious</t>
  </si>
  <si>
    <t>cuffed</t>
  </si>
  <si>
    <t>argued</t>
  </si>
  <si>
    <t>woodsy</t>
  </si>
  <si>
    <t>ratted</t>
  </si>
  <si>
    <t>Delatou / Traiu (Gíria)</t>
  </si>
  <si>
    <t>wazoo</t>
  </si>
  <si>
    <t>hourly</t>
  </si>
  <si>
    <t>research</t>
  </si>
  <si>
    <t>filing</t>
  </si>
  <si>
    <t>Arquivamento / Organização (Documentos/TI)</t>
  </si>
  <si>
    <t>cloth</t>
  </si>
  <si>
    <t>bleach</t>
  </si>
  <si>
    <t>curling</t>
  </si>
  <si>
    <t>Enrolando / Curvando (Ação)</t>
  </si>
  <si>
    <t>ringlets</t>
  </si>
  <si>
    <t>tricky</t>
  </si>
  <si>
    <t>Complicado / Difícil / Espinhoso (Problema)</t>
  </si>
  <si>
    <t>interrupting</t>
  </si>
  <si>
    <t>Interrompendo / Cortando (Fala ou Ação)</t>
  </si>
  <si>
    <t>perks</t>
  </si>
  <si>
    <t>cease</t>
  </si>
  <si>
    <t>mortuary</t>
  </si>
  <si>
    <t>degree</t>
  </si>
  <si>
    <t>Grau / Temperatura / Ângulo (Medida)</t>
  </si>
  <si>
    <t>sciences</t>
  </si>
  <si>
    <t>taken</t>
  </si>
  <si>
    <t>apprenticeship</t>
  </si>
  <si>
    <t>Aprendizado / Estágio Profissional</t>
  </si>
  <si>
    <t>logged</t>
  </si>
  <si>
    <t>Registrado / Gravado (TI / Eventos)</t>
  </si>
  <si>
    <t>aiding</t>
  </si>
  <si>
    <t>ins</t>
  </si>
  <si>
    <t>embalming</t>
  </si>
  <si>
    <t>properly</t>
  </si>
  <si>
    <t>deceased</t>
  </si>
  <si>
    <t>avenue</t>
  </si>
  <si>
    <t>Avenida / Rua Larga (Geografia)</t>
  </si>
  <si>
    <t>attracts</t>
  </si>
  <si>
    <t>called</t>
  </si>
  <si>
    <t>Chamou / Ligou (Comunicação)</t>
  </si>
  <si>
    <t>honorees</t>
  </si>
  <si>
    <t>allowing</t>
  </si>
  <si>
    <t>has been</t>
  </si>
  <si>
    <t>Foi / Esteve (Present Perfect - Estado ou Tempo)</t>
  </si>
  <si>
    <t>adopting</t>
  </si>
  <si>
    <t>unusual</t>
  </si>
  <si>
    <t>hoody</t>
  </si>
  <si>
    <t>aloof</t>
  </si>
  <si>
    <t>amiss</t>
  </si>
  <si>
    <t>hallway's</t>
  </si>
  <si>
    <t>Do Corredor / Corredor de (Possessivo)</t>
  </si>
  <si>
    <t>painted</t>
  </si>
  <si>
    <t>strangers</t>
  </si>
  <si>
    <t>cause</t>
  </si>
  <si>
    <t>hiding</t>
  </si>
  <si>
    <t>Escondendo / Ocultando (Ação Transitiva)</t>
  </si>
  <si>
    <t>pills</t>
  </si>
  <si>
    <t>inside</t>
  </si>
  <si>
    <t>Dentro / No Interior de (Localização Física)</t>
  </si>
  <si>
    <t>spit</t>
  </si>
  <si>
    <t>Cuspir / Escarrar (Saliva)</t>
  </si>
  <si>
    <t>tomorrow</t>
  </si>
  <si>
    <t>scream</t>
  </si>
  <si>
    <t>Grito / Berro (Substantivo)</t>
  </si>
  <si>
    <t>shout</t>
  </si>
  <si>
    <t>their</t>
  </si>
  <si>
    <t>lies</t>
  </si>
  <si>
    <t>Mente / Conta Mentiras (Verbo - Falsidade)</t>
  </si>
  <si>
    <t>getting</t>
  </si>
  <si>
    <t>alive</t>
  </si>
  <si>
    <t>geting out</t>
  </si>
  <si>
    <t>forget</t>
  </si>
  <si>
    <t>padded</t>
  </si>
  <si>
    <t>till</t>
  </si>
  <si>
    <t>why'd</t>
  </si>
  <si>
    <t>gone by</t>
  </si>
  <si>
    <t>selfish love</t>
  </si>
  <si>
    <t>heart</t>
  </si>
  <si>
    <t>sunshine</t>
  </si>
  <si>
    <t>Luz do Sol / Raios Solares (Físico)</t>
  </si>
  <si>
    <t>masses</t>
  </si>
  <si>
    <t>Multidão / Povo Comum (População)</t>
  </si>
  <si>
    <t>plot</t>
  </si>
  <si>
    <t>construction</t>
  </si>
  <si>
    <t>bodies</t>
  </si>
  <si>
    <t>hatred</t>
  </si>
  <si>
    <t>mankind</t>
  </si>
  <si>
    <t>brainwashed</t>
  </si>
  <si>
    <t>pawns</t>
  </si>
  <si>
    <t>struck</t>
  </si>
  <si>
    <t>Bateu / Atingiu (Físico / Impacto)</t>
  </si>
  <si>
    <t>knees</t>
  </si>
  <si>
    <t>crawling</t>
  </si>
  <si>
    <t>Engatinhando / Rastejando (Movimento)</t>
  </si>
  <si>
    <t>begging</t>
  </si>
  <si>
    <t>mercies</t>
  </si>
  <si>
    <t>sins</t>
  </si>
  <si>
    <t>Pecados / Transgressões (Moral / Religioso)</t>
  </si>
  <si>
    <t>spreads</t>
  </si>
  <si>
    <t>Espalha / Disseminar (Verbo - Movimento / Informação)</t>
  </si>
  <si>
    <t>tragic</t>
  </si>
  <si>
    <t>fooled</t>
  </si>
  <si>
    <t>Enganou / Iludiu / Logrou</t>
  </si>
  <si>
    <t>alarming</t>
  </si>
  <si>
    <t>charming</t>
  </si>
  <si>
    <t>rapport</t>
  </si>
  <si>
    <t>uncovering</t>
  </si>
  <si>
    <t>Descobrindo / Revelando (Informação / Segredo)</t>
  </si>
  <si>
    <t>manifest</t>
  </si>
  <si>
    <t>approaching</t>
  </si>
  <si>
    <t>afterbirth</t>
  </si>
  <si>
    <t>maiden</t>
  </si>
  <si>
    <t>Solteira / Donzela (Histórico / Formal)</t>
  </si>
  <si>
    <t>backs</t>
  </si>
  <si>
    <t>Costas / Dorsos (Anatomia / Parte de Trás)</t>
  </si>
  <si>
    <t>polemically</t>
  </si>
  <si>
    <t>foes</t>
  </si>
  <si>
    <t>hate</t>
  </si>
  <si>
    <t>wounds</t>
  </si>
  <si>
    <t>Feridas / Lesões (Físico)</t>
  </si>
  <si>
    <t>preachers</t>
  </si>
  <si>
    <t>listened</t>
  </si>
  <si>
    <t>dropouts</t>
  </si>
  <si>
    <t>conditioned</t>
  </si>
  <si>
    <t>driving</t>
  </si>
  <si>
    <t>heirs</t>
  </si>
  <si>
    <t>inheriting</t>
  </si>
  <si>
    <t>numb</t>
  </si>
  <si>
    <t>blame</t>
  </si>
  <si>
    <t>Culpar / Atribuir responsabilidade (Verbo)</t>
  </si>
  <si>
    <t>ledge</t>
  </si>
  <si>
    <t>Saliência / Borda Estreita (Físico)</t>
  </si>
  <si>
    <t>unhappy</t>
  </si>
  <si>
    <t>ever had</t>
  </si>
  <si>
    <t>shared</t>
  </si>
  <si>
    <t>astray</t>
  </si>
  <si>
    <t>unreal</t>
  </si>
  <si>
    <t>Irreal / Falso / Não Genuíno</t>
  </si>
  <si>
    <t>focused</t>
  </si>
  <si>
    <t>Focado / Concentrado (Atenção / Esforço)</t>
  </si>
  <si>
    <t>unique</t>
  </si>
  <si>
    <t>glance</t>
  </si>
  <si>
    <t>fully</t>
  </si>
  <si>
    <t>kinda</t>
  </si>
  <si>
    <t>next one</t>
  </si>
  <si>
    <t>fairly</t>
  </si>
  <si>
    <t>Bastante / Razoavelmente (Grau)</t>
  </si>
  <si>
    <t>catalyst</t>
  </si>
  <si>
    <t>infusion</t>
  </si>
  <si>
    <t>applies</t>
  </si>
  <si>
    <t>trigger</t>
  </si>
  <si>
    <t>Gatilho (Arma / Dispositivo Físico)</t>
  </si>
  <si>
    <t>smoldering</t>
  </si>
  <si>
    <t>lens</t>
  </si>
  <si>
    <t>behalf</t>
  </si>
  <si>
    <t>prawn</t>
  </si>
  <si>
    <t>coasted</t>
  </si>
  <si>
    <t>Deslizou / Veio sem Esforço (Movimento)</t>
  </si>
  <si>
    <t>wailing</t>
  </si>
  <si>
    <t>hovered</t>
  </si>
  <si>
    <t>Hovered - Passar o mouse / Pairar (TI e Web)</t>
  </si>
  <si>
    <t>deliberate</t>
  </si>
  <si>
    <t>verge</t>
  </si>
  <si>
    <t>Limite / Borda / Beira (Físico ou Abstrato)</t>
  </si>
  <si>
    <t>shining</t>
  </si>
  <si>
    <t>established</t>
  </si>
  <si>
    <t>growling</t>
  </si>
  <si>
    <t>fenced</t>
  </si>
  <si>
    <t>Cercado / Delimitado (Barreira)</t>
  </si>
  <si>
    <t>scum</t>
  </si>
  <si>
    <t>detached</t>
  </si>
  <si>
    <t>Separado / Solto (Físico)</t>
  </si>
  <si>
    <t>tensions rose</t>
  </si>
  <si>
    <t>footage</t>
  </si>
  <si>
    <t>Filmagem / Gravação (Mídia / Vídeo)</t>
  </si>
  <si>
    <t>township</t>
  </si>
  <si>
    <t xml:space="preserve">nationwide </t>
  </si>
  <si>
    <t>leftover</t>
  </si>
  <si>
    <t>Sobras / Restos (Comida)</t>
  </si>
  <si>
    <t>briefing</t>
  </si>
  <si>
    <t>undertaken</t>
  </si>
  <si>
    <t>undertaker</t>
  </si>
  <si>
    <t>Agente Funerário / Dono de Funerária</t>
  </si>
  <si>
    <t>shake</t>
  </si>
  <si>
    <t>disgusted</t>
  </si>
  <si>
    <t>ammunition</t>
  </si>
  <si>
    <t>forgiven</t>
  </si>
  <si>
    <t>vest</t>
  </si>
  <si>
    <t>Colete / Colete Social (Vestuário)</t>
  </si>
  <si>
    <t>comply</t>
  </si>
  <si>
    <t>sets out</t>
  </si>
  <si>
    <t>human-rights</t>
  </si>
  <si>
    <t>banging</t>
  </si>
  <si>
    <t>backed</t>
  </si>
  <si>
    <t xml:space="preserve">heavily </t>
  </si>
  <si>
    <t>shack</t>
  </si>
  <si>
    <t>convoy</t>
  </si>
  <si>
    <t>Comboio / Caravana (Grupo de Veículos)</t>
  </si>
  <si>
    <t>clampdown</t>
  </si>
  <si>
    <t>Repressão / Ação Punitiva (Legal / Oficial)</t>
  </si>
  <si>
    <t>sack</t>
  </si>
  <si>
    <t>prod</t>
  </si>
  <si>
    <t>prodding</t>
  </si>
  <si>
    <t>Cutucando / Empurrando (Físico)</t>
  </si>
  <si>
    <t>straightway</t>
  </si>
  <si>
    <t>Imediatamente / Logo Depois</t>
  </si>
  <si>
    <t>catnip</t>
  </si>
  <si>
    <t>eviction</t>
  </si>
  <si>
    <t>slum</t>
  </si>
  <si>
    <t>hijacking</t>
  </si>
  <si>
    <t>Sequestro / Roubo (Veículos/Físico)</t>
  </si>
  <si>
    <t>pipes</t>
  </si>
  <si>
    <t>popping</t>
  </si>
  <si>
    <t>pops out</t>
  </si>
  <si>
    <t>sissies</t>
  </si>
  <si>
    <t>assumed</t>
  </si>
  <si>
    <t>manner</t>
  </si>
  <si>
    <t>spade</t>
  </si>
  <si>
    <t>screeching</t>
  </si>
  <si>
    <t>Guincho / Rangido (Som)</t>
  </si>
  <si>
    <t>look sharp</t>
  </si>
  <si>
    <t>Estar Elegante / Estar Arrumado</t>
  </si>
  <si>
    <t>hollow</t>
  </si>
  <si>
    <t>amassed</t>
  </si>
  <si>
    <t>Acumulou / Juntou (Riqueza / Objetos)</t>
  </si>
  <si>
    <t>stand by</t>
  </si>
  <si>
    <t>flaunting</t>
  </si>
  <si>
    <t>Ostentando / Exibindo (Riqueza / Sucesso)</t>
  </si>
  <si>
    <t>medevac</t>
  </si>
  <si>
    <t>treat it</t>
  </si>
  <si>
    <t>poled</t>
  </si>
  <si>
    <t>Impulsionou / Moveu com Vara (Movimento)</t>
  </si>
  <si>
    <t>manners</t>
  </si>
  <si>
    <t>charge you</t>
  </si>
  <si>
    <t>sharper</t>
  </si>
  <si>
    <t>dizzy</t>
  </si>
  <si>
    <t>patrons</t>
  </si>
  <si>
    <t>puking</t>
  </si>
  <si>
    <t>black stuff</t>
  </si>
  <si>
    <t xml:space="preserve">get started </t>
  </si>
  <si>
    <t>alley</t>
  </si>
  <si>
    <t>stabbed</t>
  </si>
  <si>
    <t>Esfaqueou / Feriu (Físico)</t>
  </si>
  <si>
    <t>caller</t>
  </si>
  <si>
    <t>ran away</t>
  </si>
  <si>
    <t>upper</t>
  </si>
  <si>
    <t>assailant</t>
  </si>
  <si>
    <t>torso</t>
  </si>
  <si>
    <t>tangled</t>
  </si>
  <si>
    <t>ex-spouse</t>
  </si>
  <si>
    <t>soaked</t>
  </si>
  <si>
    <t>Encharcado / Molhado / Imerso (Físico)</t>
  </si>
  <si>
    <t>sobbing</t>
  </si>
  <si>
    <t>switching</t>
  </si>
  <si>
    <t>eastern</t>
  </si>
  <si>
    <t>kite</t>
  </si>
  <si>
    <t>deny</t>
  </si>
  <si>
    <t>questioning</t>
  </si>
  <si>
    <t>height</t>
  </si>
  <si>
    <t>Altura / Medida Vertical (Físico)</t>
  </si>
  <si>
    <t>grunt</t>
  </si>
  <si>
    <t>nasty</t>
  </si>
  <si>
    <t>morphing</t>
  </si>
  <si>
    <t>groan</t>
  </si>
  <si>
    <t>boiled</t>
  </si>
  <si>
    <t>Ferveu / Fervido (Líquido / Temperatura)</t>
  </si>
  <si>
    <t>coat</t>
  </si>
  <si>
    <t>Casaco / Sobretudo (Vestuário)</t>
  </si>
  <si>
    <t>well-being</t>
  </si>
  <si>
    <t>runt</t>
  </si>
  <si>
    <t>Runt - O menor da ninhada / Nanico (Geral)</t>
  </si>
  <si>
    <t>footsteps</t>
  </si>
  <si>
    <t>Passos / Ruído de Passos (Som / Marca)</t>
  </si>
  <si>
    <t>steam</t>
  </si>
  <si>
    <t>pissed me off</t>
  </si>
  <si>
    <t>former</t>
  </si>
  <si>
    <t>itchy</t>
  </si>
  <si>
    <t>resigned</t>
  </si>
  <si>
    <t>Demitiu-se / Pediu Demissão (Carreira)</t>
  </si>
  <si>
    <t>wholesome</t>
  </si>
  <si>
    <t>Saudável / Nutritivo (Físico)</t>
  </si>
  <si>
    <t>younger</t>
  </si>
  <si>
    <t>eat up</t>
  </si>
  <si>
    <t>Comer Tudo / Devorar</t>
  </si>
  <si>
    <t>shy</t>
  </si>
  <si>
    <t>blowing</t>
  </si>
  <si>
    <t>funniest</t>
  </si>
  <si>
    <t>crimson</t>
  </si>
  <si>
    <t>guess not</t>
  </si>
  <si>
    <t>worrying</t>
  </si>
  <si>
    <t>Preocupando / Inquietando (Ação de Causar Ansiedade)</t>
  </si>
  <si>
    <t>enduring</t>
  </si>
  <si>
    <t>Duradouro / Perpétuo (Qualidade)</t>
  </si>
  <si>
    <t>adding it</t>
  </si>
  <si>
    <t>raise</t>
  </si>
  <si>
    <t>indeed</t>
  </si>
  <si>
    <t>De Fato / Na Verdade (Confirmação)</t>
  </si>
  <si>
    <t>quench</t>
  </si>
  <si>
    <t>Saciar / Matar (Sede)</t>
  </si>
  <si>
    <t>flesh</t>
  </si>
  <si>
    <t>settling</t>
  </si>
  <si>
    <t>major</t>
  </si>
  <si>
    <t>Principal / Grande (Adjetivo)</t>
  </si>
  <si>
    <t>canteen</t>
  </si>
  <si>
    <t>Refeitório / Cantina (Instituição)</t>
  </si>
  <si>
    <t>whistling</t>
  </si>
  <si>
    <t>it's been</t>
  </si>
  <si>
    <t>buddy</t>
  </si>
  <si>
    <t>clearly</t>
  </si>
  <si>
    <t>wind</t>
  </si>
  <si>
    <t>moisture</t>
  </si>
  <si>
    <t>Umidade / Humidade (Clima / Ambiente)</t>
  </si>
  <si>
    <t xml:space="preserve">braking </t>
  </si>
  <si>
    <t>what the heck</t>
  </si>
  <si>
    <t>it over</t>
  </si>
  <si>
    <t>merging</t>
  </si>
  <si>
    <t>can you handle</t>
  </si>
  <si>
    <t>Você Consegue Lidar / Assumir (Responsabilidade)</t>
  </si>
  <si>
    <t>Condemned</t>
  </si>
  <si>
    <t>Condenado / Sentenciado (Legal)</t>
  </si>
  <si>
    <t>committed</t>
  </si>
  <si>
    <t>unforgivable</t>
  </si>
  <si>
    <t>shouldn't</t>
  </si>
  <si>
    <t>groans</t>
  </si>
  <si>
    <t>Gemidos / Lamentos (Substantivo / Som)</t>
  </si>
  <si>
    <t>not even close</t>
  </si>
  <si>
    <t>tongues</t>
  </si>
  <si>
    <t>stumbling</t>
  </si>
  <si>
    <t>rabid</t>
  </si>
  <si>
    <t>Rábico / Com Raiva (Doença)</t>
  </si>
  <si>
    <t>yells</t>
  </si>
  <si>
    <t>lend</t>
  </si>
  <si>
    <t>suit yourself</t>
  </si>
  <si>
    <t>greetings</t>
  </si>
  <si>
    <t>livelier</t>
  </si>
  <si>
    <t>overused</t>
  </si>
  <si>
    <t>Usado em Excesso / Clichê (Comunicação)</t>
  </si>
  <si>
    <t>chewling</t>
  </si>
  <si>
    <t>cheap</t>
  </si>
  <si>
    <t>hold up</t>
  </si>
  <si>
    <t>Atrasar / Reter</t>
  </si>
  <si>
    <t>stay short forever</t>
  </si>
  <si>
    <t>midget</t>
  </si>
  <si>
    <t>pay attention</t>
  </si>
  <si>
    <t>tastes</t>
  </si>
  <si>
    <t>pour</t>
  </si>
  <si>
    <t>dunno</t>
  </si>
  <si>
    <t>silocn</t>
  </si>
  <si>
    <t>rebound</t>
  </si>
  <si>
    <t>isn't it</t>
  </si>
  <si>
    <t>burst</t>
  </si>
  <si>
    <t>Estourar / Romper (Físico)</t>
  </si>
  <si>
    <t>became</t>
  </si>
  <si>
    <t>charge</t>
  </si>
  <si>
    <t>leap up</t>
  </si>
  <si>
    <t>bypasses</t>
  </si>
  <si>
    <t>aggravated</t>
  </si>
  <si>
    <t>inflicted</t>
  </si>
  <si>
    <t>fought</t>
  </si>
  <si>
    <t>perched</t>
  </si>
  <si>
    <t>Pousou / Empoleirou-se (Aves)</t>
  </si>
  <si>
    <t>dressed</t>
  </si>
  <si>
    <t>aside</t>
  </si>
  <si>
    <t>counted</t>
  </si>
  <si>
    <t>Contou / Numerou (Matemática / TI)</t>
  </si>
  <si>
    <t>trafficking</t>
  </si>
  <si>
    <t>sign</t>
  </si>
  <si>
    <t>gave</t>
  </si>
  <si>
    <t>stood</t>
  </si>
  <si>
    <t>Stood - Ficou de pé / Estava (Posição Física)</t>
  </si>
  <si>
    <t>cliff</t>
  </si>
  <si>
    <t>let it out</t>
  </si>
  <si>
    <t>Soltar / Permitir a Saída</t>
  </si>
  <si>
    <t>skeletal</t>
  </si>
  <si>
    <t>Esquelético / Relativo à Estrutura (Anatomia / Estrutura)</t>
  </si>
  <si>
    <t>ignited</t>
  </si>
  <si>
    <t>raging</t>
  </si>
  <si>
    <t>gasp</t>
  </si>
  <si>
    <t>attunement</t>
  </si>
  <si>
    <t>Sintonia / Harmonia / Ajuste Fino</t>
  </si>
  <si>
    <t>spark</t>
  </si>
  <si>
    <t>A &lt;strong&gt;spark&lt;/strong&gt; can start a fire.,"&lt;strong&gt;Spark&lt;/strong&gt;: faísca, brilho; (verbo) faíscar, provocar, acender.&lt;br&gt;&lt;br&gt;Refere-se a uma partícula pequena de fogo. Figurativamente, é algo que provoca ou acende uma ideia, emoção ou evento. A nuance é a de um pequeno estímulo que inicia algo maior."</t>
  </si>
  <si>
    <t>well</t>
  </si>
  <si>
    <t>The team worked &lt;strong&gt;well&lt;/strong&gt;.,"&lt;strong&gt;Well&lt;/strong&gt;: bem (advérbio); poço (substantivo); (interjeição) bem, então.&lt;br&gt;&lt;br&gt;Pode ser um advérbio que significa de maneira satisfatória ou correta. Como substantivo, é um poço de água. A nuance é entre a qualidade da ação e a fonte de água."</t>
  </si>
  <si>
    <t>salvage</t>
  </si>
  <si>
    <t>He tried to &lt;strong&gt;salvage&lt;/strong&gt; the car.,"&lt;strong&gt;Salvage&lt;/strong&gt;: salvar, resgatar, recuperar (verbo); salvamento, resgate (substantivo).&lt;br&gt;&lt;br&gt;Significa salvar algo de uma perda total. O termo implica uma ação de resgate de algo que estava em risco de ser perdido. A nuance é a de recuperar algo valioso de uma situação crítica."</t>
  </si>
  <si>
    <t>hooded</t>
  </si>
  <si>
    <t>She wore a &lt;strong&gt;hooded&lt;/strong&gt; jacket.,"&lt;strong&gt;Hooded&lt;/strong&gt;: encapuzado, com capuz.&lt;br&gt;&lt;br&gt;Descreve alguém que está usando um capuz ou algo que tem a forma de um capuz. A nuance é a de uma vestimenta que cobre a cabeça."</t>
  </si>
  <si>
    <t>bench</t>
  </si>
  <si>
    <t>The cat sat on the &lt;strong&gt;bench&lt;/strong&gt;.,"&lt;strong&gt;Bench&lt;/strong&gt;: banco.&lt;br&gt;&lt;br&gt;Refere-se a um assento longo e rígido para várias pessoas, geralmente feito de madeira, metal ou pedra."</t>
  </si>
  <si>
    <t>weakness</t>
  </si>
  <si>
    <t>Ponto Fraco / Fraqueza (Pessoal/Geral)</t>
  </si>
  <si>
    <t>soulless</t>
  </si>
  <si>
    <t>The old house felt &lt;strong&gt;soulless&lt;/strong&gt;.,"&lt;strong&gt;Soulless&lt;/strong&gt;: sem alma, inexpressivo, insípido.&lt;br&gt;&lt;br&gt;Descreve algo que é percebido como carente de emoção, paixão ou vivacidade. A nuance é a da ausência de vida ou de profundidade."</t>
  </si>
  <si>
    <t>cascade</t>
  </si>
  <si>
    <t>The waterfall formed a beautiful &lt;strong&gt;cascade&lt;/strong&gt;.,"&lt;strong&gt;Cascade&lt;/strong&gt;: cascata; (verbo) cair em cascata.&lt;br&gt;&lt;br&gt;Refere-se a uma pequena cachoeira ou uma série de quedas d'água. Figurativamente, é algo que acontece em uma sucessão rápida."</t>
  </si>
  <si>
    <t>just like</t>
  </si>
  <si>
    <t>I want a drink &lt;strong&gt;just like&lt;/strong&gt; this one.,"&lt;strong&gt;Just like&lt;/strong&gt;: exatamente como, assim como, igual.&lt;br&gt;&lt;br&gt;É uma expressão que significa que algo é idêntico ou muito semelhante a outra coisa. A nuance é a da comparação que indica semelhança exata."</t>
  </si>
  <si>
    <t>enfolding</t>
  </si>
  <si>
    <t>Envolvendo / Abraçando (Físico)</t>
  </si>
  <si>
    <t>swap</t>
  </si>
  <si>
    <t>They plan to &lt;strong&gt;swap&lt;/strong&gt; roles.,"&lt;strong&gt;Swap&lt;/strong&gt;: trocar, permutar.&lt;br&gt;&lt;br&gt;Significa trocar algo com outra pessoa. A nuance é a da troca mútua e direta."</t>
  </si>
  <si>
    <t>your</t>
  </si>
  <si>
    <t>She has &lt;strong&gt;your&lt;/strong&gt; book.,"&lt;strong&gt;Your&lt;/strong&gt;: seu, sua, seus, suas.&lt;br&gt;&lt;br&gt;Indica que algo pertence a você. A nuance é a da posse."</t>
  </si>
  <si>
    <t>according</t>
  </si>
  <si>
    <t>They acted &lt;strong&gt;according&lt;/strong&gt; to the rules.,"&lt;strong&gt;According&lt;/strong&gt;: de acordo com, conforme.&lt;br&gt;&lt;br&gt;É usada para indicar conformidade com uma fonte (regras, lei, pessoa). A nuance é a da concordância ou da conformidade."</t>
  </si>
  <si>
    <t>make sure</t>
  </si>
  <si>
    <t>I need to &lt;strong&gt;make sure&lt;/strong&gt; he's okay.,"&lt;strong&gt;Make sure&lt;/strong&gt;: certificar-se, garantir.&lt;br&gt;&lt;br&gt;Significa tomar medidas para garantir que algo seja o caso. A nuance é a da garantia de um resultado."</t>
  </si>
  <si>
    <t>uncut</t>
  </si>
  <si>
    <t>The flour was &lt;strong&gt;uncut&lt;/strong&gt;.,"&lt;strong&gt;Uncut&lt;/strong&gt;: puro, não cortado, não editado.&lt;br&gt;&lt;br&gt;Descreve algo que está em seu estado original, sem ser diluído, cortado ou editado. A nuance é a da pureza ou originalidade."</t>
  </si>
  <si>
    <t>tomb</t>
  </si>
  <si>
    <t>The ancient queen's &lt;strong&gt;tomb&lt;/strong&gt; was found.,"&lt;strong&gt;Tomb&lt;/strong&gt;: tumba, túmulo, sepultura.&lt;br&gt;&lt;br&gt;É uma estrutura para enterrar uma pessoa morta. A nuance é a do local de sepultamento."</t>
  </si>
  <si>
    <t>side</t>
  </si>
  <si>
    <t>He moved to one &lt;strong&gt;side&lt;/strong&gt;.,"&lt;strong&gt;Side&lt;/strong&gt;: lado.&lt;br&gt;&lt;br&gt;Refere-se a uma superfície ou parte de algo que não é a frente nem o topo. A nuance é a da posição lateral."</t>
  </si>
  <si>
    <t>so that</t>
  </si>
  <si>
    <t>Para Que / A Fim de Que (Propósito)</t>
  </si>
  <si>
    <t>deal</t>
  </si>
  <si>
    <t>We will make a &lt;strong&gt;deal&lt;/strong&gt;.,"&lt;strong&gt;Deal&lt;/strong&gt;: acordo, trato, negócio.&lt;br&gt;&lt;br&gt;Refere-se a um acordo ou transação comercial. A nuance é a de um entendimento mútuo."</t>
  </si>
  <si>
    <t>exposure</t>
  </si>
  <si>
    <t>The team's success depends on &lt;strong&gt;exposure&lt;/strong&gt;.,"&lt;strong&gt;Exposure&lt;/strong&gt;: exposição, contato.&lt;br&gt;&lt;br&gt;É o estado de ser exposto a algo, como luz, riscos ou publicidade. A nuance é a da condição de estar exposto."</t>
  </si>
  <si>
    <t>hitting</t>
  </si>
  <si>
    <t>unearth</t>
  </si>
  <si>
    <t>They will &lt;strong&gt;unearth&lt;/strong&gt; the treasure.,"&lt;strong&gt;Unearth&lt;/strong&gt;: desenterrar, descobrir.&lt;br&gt;&lt;br&gt;Significa desenterrar algo que estava escondido no solo. Figurativamente, é descobrir algo secreto. A nuance é a da revelação ou da descoberta."</t>
  </si>
  <si>
    <t>as your</t>
  </si>
  <si>
    <t>He worked hard &lt;strong&gt;as your&lt;/strong&gt; mentor.,"&lt;strong&gt;As your&lt;/strong&gt;: como seu.&lt;br&gt;&lt;br&gt;Indica a forma ou o papel que alguém desempenha em relação a você. A nuance é a da qualificação ou da relação."</t>
  </si>
  <si>
    <t>it is taken</t>
  </si>
  <si>
    <t>The data &lt;strong&gt;it is taken&lt;/strong&gt; from a report.,"&lt;strong&gt;It is taken&lt;/strong&gt;: ele/ela é pego(a), é retirado(a).&lt;br&gt;&lt;br&gt;Indica que algo é retirado de uma fonte. A nuance é a da extração."</t>
  </si>
  <si>
    <t>conduit</t>
  </si>
  <si>
    <t>The pipes act as a &lt;strong&gt;conduit&lt;/strong&gt;.,"&lt;strong&gt;Conduit&lt;/strong&gt;: conduto, canal, meio.&lt;br&gt;&lt;br&gt;Refere-se a um canal ou tubo pelo qual algo passa. Figurativamente, é um meio de transmissão. A nuance é a do canal ou do intermediário."</t>
  </si>
  <si>
    <t>it also</t>
  </si>
  <si>
    <t>He likes it and &lt;strong&gt;it also&lt;/strong&gt; likes him.,"&lt;strong&gt;It also&lt;/strong&gt;: ele/ela também.&lt;br&gt;&lt;br&gt;É uma expressão que adiciona uma informação a um sujeito neutro. A nuance é a da inclusão de algo."</t>
  </si>
  <si>
    <t>mitigate</t>
  </si>
  <si>
    <t>They want to &lt;strong&gt;mitigate&lt;/strong&gt; the risks.,"&lt;strong&gt;Mitigate&lt;/strong&gt;: mitigar, atenuar, suavizar.&lt;br&gt;&lt;br&gt;Significa tornar algo menos severo, doloroso ou grave. A nuance é a da redução de um problema."</t>
  </si>
  <si>
    <t>unholy</t>
  </si>
  <si>
    <t>He lived an &lt;strong&gt;unholy&lt;/strong&gt; life.,"&lt;strong&gt;Unholy&lt;/strong&gt;: ímpio, profano, não sagrado.&lt;br&gt;&lt;br&gt;Descreve algo que é ímpio, não sagrado ou moralmente ruim. A nuance é a da falta de santidade ou da maldade."</t>
  </si>
  <si>
    <t>presence</t>
  </si>
  <si>
    <t>The police maintained a strong &lt;strong&gt;presence&lt;/strong&gt;.,"&lt;strong&gt;Presence&lt;/strong&gt;: presença.&lt;br&gt;&lt;br&gt;Refere-se ao estado de existir ou estar em um local. Também pode ser o carisma, a aura ou o impacto que uma pessoa causa em um ambiente. A nuance é a de existência, visibilidade ou impacto pessoal."</t>
  </si>
  <si>
    <t>radius</t>
  </si>
  <si>
    <t>The bomb blast had a wide &lt;strong&gt;radius&lt;/strong&gt;.,"&lt;strong&gt;Radius&lt;/strong&gt;: raio.&lt;br&gt;&lt;br&gt;É a distância do centro de um círculo até a borda. Figurativamente, é a área de influência. A nuance é a da distância central ou da área de influência."</t>
  </si>
  <si>
    <t>ensure</t>
  </si>
  <si>
    <t>They need to &lt;strong&gt;ensure&lt;/strong&gt; safety.,"&lt;strong&gt;Ensure&lt;/strong&gt;: garantir, assegurar.&lt;br&gt;&lt;br&gt;Significa tomar medidas para garantir que algo aconteça ou que seja o caso. A nuance é a da garantia de um resultado."</t>
  </si>
  <si>
    <t>downside</t>
  </si>
  <si>
    <t>Desvantagem / Aspecto Negativo</t>
  </si>
  <si>
    <t>is that</t>
  </si>
  <si>
    <t>&lt;strong&gt;Is that&lt;/strong&gt; all you have to say?,"&lt;strong&gt;Is that&lt;/strong&gt;: é isso?, é mesmo?.&lt;br&gt;&lt;br&gt;É uma expressão interrogativa curta usada para pedir confirmação sobre uma afirmação ou perguntar se algo é o caso. A nuance é a da busca por confirmação ou a da curiosidade."</t>
  </si>
  <si>
    <t>augments</t>
  </si>
  <si>
    <t>Reforçar / Intensificar (Abstrato)</t>
  </si>
  <si>
    <t>gigantic</t>
  </si>
  <si>
    <t>They saw a &lt;strong&gt;gigantic&lt;/strong&gt; shadow.,"&lt;strong&gt;Gigantic&lt;/strong&gt;: gigantesco, enorme, colossal.&lt;br&gt;&lt;br&gt;Descreve algo de tamanho e escala extremamente grandes. A nuance é a da vastidão."</t>
  </si>
  <si>
    <t>gamma</t>
  </si>
  <si>
    <t>The &lt;strong&gt;gamma&lt;/strong&gt; rays are dangerous.,"&lt;strong&gt;Gamma&lt;/strong&gt;: gama.&lt;br&gt;&lt;br&gt;Refere-se a um tipo de radiação eletromagnética de alta energia. A nuance é a da radiação de alta energia."</t>
  </si>
  <si>
    <t>core</t>
  </si>
  <si>
    <t>The earth has an iron &lt;strong&gt;core&lt;/strong&gt;.,"&lt;strong&gt;Core&lt;/strong&gt;: núcleo, essência.&lt;br&gt;&lt;br&gt;É a parte central de algo. Figurativamente, é o ponto mais importante de um problema. A nuance é a da parte central e essencial."</t>
  </si>
  <si>
    <t>skidrow</t>
  </si>
  <si>
    <t>The store moved to &lt;strong&gt;Skid Row&lt;/strong&gt;.,"&lt;strong&gt;Skid Row&lt;/strong&gt;: bairro pobre, área degradada.&lt;br&gt;&lt;br&gt;É uma gíria para uma área urbana degradada, onde há pobreza e falta de moradia. A nuance é a da área de pobreza."</t>
  </si>
  <si>
    <t>reloaded</t>
  </si>
  <si>
    <t>The system was &lt;strong&gt;reloaded&lt;/strong&gt;.,"&lt;strong&gt;Reloaded&lt;/strong&gt;: recarregado.&lt;br&gt;&lt;br&gt;Significa ter carregado algo novamente. No contexto digital, é carregar um programa ou página de novo. A nuance é a da recarga ou do reinício."</t>
  </si>
  <si>
    <t>needed</t>
  </si>
  <si>
    <t>He &lt;strong&gt;needed&lt;/strong&gt; more time.,"&lt;strong&gt;Needed&lt;/strong&gt;: precisou, necessitou.&lt;br&gt;&lt;br&gt;É o passado do verbo ""to need"". A nuance é a da necessidade no passado."</t>
  </si>
  <si>
    <t>pleasent</t>
  </si>
  <si>
    <t>The dinner was very &lt;strong&gt;pleasant&lt;/strong&gt;.,"&lt;strong&gt;Pleasant&lt;/strong&gt;: agradável, prazeroso.&lt;br&gt;&lt;br&gt;Descreve algo que é agradável, charmoso e que dá prazer. A nuance é a da experiência positiva."</t>
  </si>
  <si>
    <t>treated</t>
  </si>
  <si>
    <t>The wood was &lt;strong&gt;treated&lt;/strong&gt;.,"&lt;strong&gt;Treated&lt;/strong&gt;: tratado.&lt;br&gt;&lt;br&gt;É o passado do verbo ""to treat"". Significa ter aplicado um processo em algo. A nuance é a da aplicação de um tratamento."</t>
  </si>
  <si>
    <t>freezing</t>
  </si>
  <si>
    <t>The lake was &lt;strong&gt;freezing&lt;/strong&gt;.,"&lt;strong&gt;Freezing&lt;/strong&gt;: gelado, congelante.&lt;br&gt;&lt;br&gt;Descreve algo que é extremamente frio. A nuance é a da temperatura extremamente baixa."</t>
  </si>
  <si>
    <t>gut</t>
  </si>
  <si>
    <t>He felt a pain in his &lt;strong&gt;gut&lt;/strong&gt;.,"&lt;strong&gt;Gut&lt;/strong&gt;: intestino, barriga; (figurado) intuição.&lt;br&gt;&lt;br&gt;Refere-se ao intestino ou à barriga. Figurativamente, é o instinto ou a intuição. A nuance é a da parte física ou da intuição."</t>
  </si>
  <si>
    <t>mistake</t>
  </si>
  <si>
    <t>That was a big &lt;strong&gt;mistake&lt;/strong&gt;.,"&lt;strong&gt;Mistake&lt;/strong&gt;: erro, engano.&lt;br&gt;&lt;br&gt;Refere-se a uma ação ou julgamento que está incorreto ou equivocado. A nuance é a da falha ou do engano."</t>
  </si>
  <si>
    <t>slots</t>
  </si>
  <si>
    <t>The machine takes coin &lt;strong&gt;slots&lt;/strong&gt;.,"&lt;strong&gt;Slots&lt;/strong&gt;: ranhuras, fendas; (jogos) caça-níqueis.&lt;br&gt;&lt;br&gt;São ranhuras finas em algo. Em jogos de azar, são as máquinas caça-níqueis. A nuance é a da abertura fina ou do jogo de azar."</t>
  </si>
  <si>
    <t>effigy</t>
  </si>
  <si>
    <t>He built an &lt;strong&gt;effigy&lt;/strong&gt; of the king.,"&lt;strong&gt;Effigy&lt;/strong&gt;: efígie.&lt;br&gt;&lt;br&gt;É uma representação de uma pessoa, muitas vezes de forma grosseira, feita para ser danificada ou destruída como protesto. A nuance é a da representação simbólica para desrespeito."</t>
  </si>
  <si>
    <t>zealot</t>
  </si>
  <si>
    <t>The &lt;strong&gt;zealot&lt;/strong&gt; refused to compromise.,"&lt;strong&gt;Zealot&lt;/strong&gt;: zelote, fanático.&lt;br&gt;&lt;br&gt;É uma pessoa que é fanática e intransigente em suas crenças, especialmente as religiosas ou políticas. A nuance é a do fanatismo ou extremismo."</t>
  </si>
  <si>
    <t>breach</t>
  </si>
  <si>
    <t>They found a &lt;strong&gt;breach&lt;/strong&gt; in security.,"&lt;strong&gt;Breach&lt;/strong&gt;: violação, quebra, fenda.&lt;br&gt;&lt;br&gt;Significa uma quebra de um acordo, regra ou barreira. A nuance é a da violação ou da falha."</t>
  </si>
  <si>
    <t>grandpa</t>
  </si>
  <si>
    <t>My &lt;strong&gt;grandpa&lt;/strong&gt; told me a story.,"&lt;strong&gt;Grandpa&lt;/strong&gt;: avô.&lt;br&gt;&lt;br&gt;É um termo afetuoso e informal para avô. A nuance é a da relação familiar."</t>
  </si>
  <si>
    <t>stringer</t>
  </si>
  <si>
    <t>Correspondente / Colaborador (Jornalismo)</t>
  </si>
  <si>
    <t>bonded</t>
  </si>
  <si>
    <t>The two companies are &lt;strong&gt;bonded&lt;/strong&gt;.,"&lt;strong&gt;Bonded&lt;/strong&gt;: ligado, vinculado, unido.&lt;br&gt;&lt;br&gt;Significa que duas coisas estão ligadas por uma conexão forte, seja ela física, química ou emocional. A nuance é a da conexão ou da união."</t>
  </si>
  <si>
    <t>adress</t>
  </si>
  <si>
    <t>They need to &lt;strong&gt;address&lt;/strong&gt; the problem.,"&lt;strong&gt;Address&lt;/strong&gt;: endereço; (verbo) endereçar, abordar.&lt;br&gt;&lt;br&gt;Refere-se ao endereço de um local. Como verbo, significa abordar um problema ou falar diretamente com alguém. A nuance é a do local ou da abordagem."</t>
  </si>
  <si>
    <t>coming up</t>
  </si>
  <si>
    <t>He has a meeting &lt;strong&gt;coming up&lt;/strong&gt;.,"&lt;strong&gt;Coming up&lt;/strong&gt;: vindo, se aproximando, subindo.&lt;br&gt;&lt;br&gt;É uma expressão que indica algo que vai acontecer em breve. A nuance é a da iminência ou da proximidade de um evento."</t>
  </si>
  <si>
    <t>days ago</t>
  </si>
  <si>
    <t>We saw him &lt;strong&gt;days ago&lt;/strong&gt;.,"&lt;strong&gt;Days ago&lt;/strong&gt;: dias atrás.&lt;br&gt;&lt;br&gt;Indica um período de tempo que se passou. A nuance é a da referência temporal."</t>
  </si>
  <si>
    <t>riding</t>
  </si>
  <si>
    <t>They were &lt;strong&gt;riding&lt;/strong&gt; their horses.,"&lt;strong&gt;Riding&lt;/strong&gt;: cavalgando, andando.&lt;br&gt;&lt;br&gt;É o gerúndio do verbo ""to ride"", que significa estar em cima de um animal ou veículo em movimento. A nuance é a da ação de se mover em algo."</t>
  </si>
  <si>
    <t>could've</t>
  </si>
  <si>
    <t>He &lt;strong&gt;could've&lt;/strong&gt; been a doctor.,"&lt;strong&gt;Could've&lt;/strong&gt;: poderia ter.&lt;br&gt;&lt;br&gt;É uma contração de ""could have"". Indica uma possibilidade no passado que não se concretizou. A nuance é a da possibilidade não realizada."</t>
  </si>
  <si>
    <t>curious</t>
  </si>
  <si>
    <t>She was a &lt;strong&gt;curious&lt;/strong&gt; girl.,"&lt;strong&gt;Curious&lt;/strong&gt;: curioso.&lt;br&gt;&lt;br&gt;Descreve alguém que tem um desejo forte de saber sobre algo. A nuance é a da vontade de saber."</t>
  </si>
  <si>
    <t>staring</t>
  </si>
  <si>
    <t>He was &lt;strong&gt;staring&lt;/strong&gt; at the picture.,"&lt;strong&gt;Staring&lt;/strong&gt;: encarando, olhando fixamente.&lt;br&gt;&lt;br&gt;É o gerúndio do verbo ""to stare"". Significa olhar de forma fixa e prolongada para algo ou alguém. A nuance é a da observação intensa e prolongada."</t>
  </si>
  <si>
    <t>overlooking</t>
  </si>
  <si>
    <t>Olhando de Cima / Tendo Vista para (Físico/Geografia)</t>
  </si>
  <si>
    <t>nap</t>
  </si>
  <si>
    <t>I need to take a &lt;strong&gt;nap&lt;/strong&gt;.,"&lt;strong&gt;Nap&lt;/strong&gt;: cochilo, soneca.&lt;br&gt;&lt;br&gt;É um curto período de sono durante o dia. A nuance é a do sono breve e reparador."</t>
  </si>
  <si>
    <t>how come?</t>
  </si>
  <si>
    <t>&lt;strong&gt;How come&lt;/strong&gt; you are so sad?,"&lt;strong&gt;How come&lt;/strong&gt;: por que, como é que.&lt;br&gt;&lt;br&gt;É uma expressão informal para perguntar a razão de algo, similar a ""why"". A nuance é a da informalidade."</t>
  </si>
  <si>
    <t>rephrase</t>
  </si>
  <si>
    <t>Please &lt;strong&gt;rephrase&lt;/strong&gt; your question.,"&lt;strong&gt;Rephrase&lt;/strong&gt;: reformular.&lt;br&gt;&lt;br&gt;Significa dizer ou escrever algo de uma forma diferente, geralmente para tornar mais claro. A nuance é a da reformulação verbal."</t>
  </si>
  <si>
    <t>dudes</t>
  </si>
  <si>
    <t>He was with his &lt;strong&gt;dudes&lt;/strong&gt;.,"&lt;strong&gt;Dudes&lt;/strong&gt;: caras, amigos.&lt;br&gt;&lt;br&gt;É uma gíria informal e amigável para se referir a amigos ou homens em geral. A nuance é a da informalidade e camaradagem."</t>
  </si>
  <si>
    <t>lying</t>
  </si>
  <si>
    <t>The book was &lt;strong&gt;lying&lt;/strong&gt; on the floor.,"&lt;strong&gt;Lying&lt;/strong&gt;: mentindo, deitado.&lt;br&gt;&lt;br&gt;É o gerúndio do verbo ""to lie"". Pode significar não dizer a verdade ou estar em uma posição horizontal. A nuance é a da falsidade ou da posição."</t>
  </si>
  <si>
    <t>exploiting</t>
  </si>
  <si>
    <t>The company was &lt;strong&gt;exploiting&lt;/strong&gt; workers.,"&lt;strong&gt;Exploiting&lt;/strong&gt;: explorando.&lt;br&gt;&lt;br&gt;É o gerúndio do verbo ""to exploit"". Significa tirar vantagem de forma injusta de algo ou alguém. A nuance é a da exploração injusta."</t>
  </si>
  <si>
    <t>compelling</t>
  </si>
  <si>
    <t>A &lt;strong&gt;compelling&lt;/strong&gt; new documentary.,"&lt;strong&gt;Compelling&lt;/strong&gt;: convincente, irresistível.&lt;br&gt;&lt;br&gt;Descreve algo que é tão interessante ou poderoso que atrai e mantém a atenção. A nuance é a da força de persuasão."</t>
  </si>
  <si>
    <t>i got a</t>
  </si>
  <si>
    <t>&lt;strong&gt;I got a&lt;/strong&gt; new car.,"&lt;strong&gt;I got a&lt;/strong&gt;: eu tenho, eu peguei.&lt;br&gt;&lt;br&gt;É uma forma informal de ""I have a"". É usada para indicar posse ou aquisição. A nuance é a da informalidade."</t>
  </si>
  <si>
    <t>i got all night</t>
  </si>
  <si>
    <t>I have &lt;strong&gt;all night&lt;/strong&gt; to finish.,"&lt;strong&gt;All night&lt;/strong&gt;: a noite toda.&lt;br&gt;&lt;br&gt;Indica a duração de um período de tempo. A nuance é a da duração total da noite."</t>
  </si>
  <si>
    <t>pointed out</t>
  </si>
  <si>
    <t>He &lt;strong&gt;pointed out&lt;/strong&gt; the mistake.,"&lt;strong&gt;Pointed out&lt;/strong&gt;: apontou, indicou.&lt;br&gt;&lt;br&gt;É o passado de ""to point out"". Significa ter chamado a atenção para algo. A nuance é a da indicação ou do destaque."</t>
  </si>
  <si>
    <t>corner</t>
  </si>
  <si>
    <t>The ball was in the &lt;strong&gt;corner&lt;/strong&gt;.,"&lt;strong&gt;Corner&lt;/strong&gt;: canto, esquina.&lt;br&gt;&lt;br&gt;Refere-se ao ponto onde duas linhas ou superfícies se encontram. A nuance é a da junção de dois lados."</t>
  </si>
  <si>
    <t>assaulted</t>
  </si>
  <si>
    <t>Agressão / Atacado (Físico ou Legal)</t>
  </si>
  <si>
    <t>dodge</t>
  </si>
  <si>
    <t>Esquivar-se / Desviar (Físico)</t>
  </si>
  <si>
    <t>worse</t>
  </si>
  <si>
    <t>Pior / Inferior (Qualidade / Condição)</t>
  </si>
  <si>
    <t>making this up</t>
  </si>
  <si>
    <t>Inventar / Criar (Ficção ou Mentira)</t>
  </si>
  <si>
    <t>rethink</t>
  </si>
  <si>
    <t>We need to &lt;strong&gt;rethink&lt;/strong&gt; the plan.,"&lt;strong&gt;Rethink&lt;/strong&gt;: repensar.&lt;br&gt;&lt;br&gt;Significa pensar novamente sobre uma decisão ou ideia, geralmente para melhorá-la. A nuance é a da reavaliação."</t>
  </si>
  <si>
    <t>haunt</t>
  </si>
  <si>
    <t>The ghost will &lt;strong&gt;haunt&lt;/strong&gt; the house.,"&lt;strong&gt;Haunt&lt;/strong&gt;: assombrar, frequentar.&lt;br&gt;&lt;br&gt;Significa assombrar um lugar ou uma pessoa (como um fantasma). Figurativamente, é algo que perturba a mente de alguém. A nuance é a da assombração ou da presença fantasmagórica."</t>
  </si>
  <si>
    <t>screw it</t>
  </si>
  <si>
    <t>He said, "&lt;strong&gt;Screw it&lt;/strong&gt;".,"&lt;strong&gt;Screw it&lt;/strong&gt;: que se dane, dane-se.&lt;br&gt;&lt;br&gt;É uma expressão de gíria que indica despreocupação ou desistência de uma tarefa ou situação. A nuance é a da desistência informal."</t>
  </si>
  <si>
    <t>threatening</t>
  </si>
  <si>
    <t>He had a &lt;strong&gt;threatening&lt;/strong&gt; tone.,"&lt;strong&gt;Threatening&lt;/strong&gt;: ameaçador.&lt;br&gt;&lt;br&gt;Descreve algo que sugere perigo ou ameaça. A nuance é a da sugestão de perigo."</t>
  </si>
  <si>
    <t>liars</t>
  </si>
  <si>
    <t>The children were &lt;strong&gt;liars&lt;/strong&gt;.,"&lt;strong&gt;Liars&lt;/strong&gt;: mentirosos.&lt;br&gt;&lt;br&gt;É o plural de ""liar"". Refere-se a pessoas que não dizem a verdade. A nuance é a da falsidade."</t>
  </si>
  <si>
    <t>cared</t>
  </si>
  <si>
    <t>He &lt;strong&gt;cared&lt;/strong&gt; for his sick mother.,"&lt;strong&gt;Cared&lt;/strong&gt;: importou-se, cuidou.&lt;br&gt;&lt;br&gt;É o passado de ""to care"". Significa ter se importado ou cuidado de alguém. A nuance é a da preocupação ou cuidado no passado."</t>
  </si>
  <si>
    <t>took care of it</t>
  </si>
  <si>
    <t>Cuidou Disso / Lidou Com Isso (Responsabilidade)</t>
  </si>
  <si>
    <t>get rid</t>
  </si>
  <si>
    <t>Get rid of - Livrar-se de / Eliminar / Descartar (Geral)</t>
  </si>
  <si>
    <t>afterwards</t>
  </si>
  <si>
    <t>Afterwards - Depois / Mais tarde / Posteriormente</t>
  </si>
  <si>
    <t>prosecutor</t>
  </si>
  <si>
    <t>The &lt;strong&gt;prosecutor&lt;/strong&gt; made his case.,"&lt;strong&gt;Prosecutor&lt;/strong&gt;: promotor de justiça.&lt;br&gt;&lt;br&gt;É o advogado que representa o estado em um tribunal criminal. A nuance é a da figura legal."</t>
  </si>
  <si>
    <t>accomplice</t>
  </si>
  <si>
    <t>He was an &lt;strong&gt;accomplice&lt;/strong&gt; in the crime.,"&lt;strong&gt;Accomplice&lt;/strong&gt;: cúmplice.&lt;br&gt;&lt;br&gt;É uma pessoa que ajuda outra a cometer um crime. A nuance é a da cumplicidade."</t>
  </si>
  <si>
    <t>warrant</t>
  </si>
  <si>
    <t>The police have a &lt;strong&gt;warrant&lt;/strong&gt; for his arrest.,"&lt;strong&gt;Warrant&lt;/strong&gt;: mandado, ordem judicial.&lt;br&gt;&lt;br&gt;É uma ordem legal que autoriza a polícia a agir (prender, revistar, etc.). A nuance é a da autorização legal."</t>
  </si>
  <si>
    <t>locked up</t>
  </si>
  <si>
    <t>The prisoner was &lt;strong&gt;locked up&lt;/strong&gt;.,"&lt;strong&gt;Locked up&lt;/strong&gt;: trancado, preso.&lt;br&gt;&lt;br&gt;Significa estar em uma prisão ou em um local fechado sem poder sair. A nuance é a da privação de liberdade."</t>
  </si>
  <si>
    <t>capable</t>
  </si>
  <si>
    <t>He is &lt;strong&gt;capable&lt;/strong&gt; of doing this job.,"&lt;strong&gt;Capable&lt;/strong&gt;: capaz.&lt;br&gt;&lt;br&gt;Descreve a habilidade de fazer algo com sucesso. A nuance é a da aptidão."</t>
  </si>
  <si>
    <t>plea</t>
  </si>
  <si>
    <t>The defendant made a &lt;strong&gt;plea&lt;/strong&gt;.,"&lt;strong&gt;Plea&lt;/strong&gt;: apelo, súplica; declaração em tribunal.&lt;br&gt;&lt;br&gt;É a declaração de um réu em tribunal sobre sua culpa ou inocência. Também pode ser um pedido urgente ou emocional. A nuance é a da declaração legal ou do pedido."</t>
  </si>
  <si>
    <t>psychiatrist</t>
  </si>
  <si>
    <t>He works as a &lt;strong&gt;psychiatrist&lt;/strong&gt;.,"&lt;strong&gt;Psychiatrist&lt;/strong&gt;: psiquiatra.&lt;br&gt;&lt;br&gt;É um médico especializado em tratar doenças mentais. A nuance é a da profissão médica."</t>
  </si>
  <si>
    <t>who've</t>
  </si>
  <si>
    <t>The people &lt;strong&gt;who've&lt;/strong&gt; left.,"&lt;strong&gt;Who've&lt;/strong&gt;: quem tem, que tem.&lt;br&gt;&lt;br&gt;É uma contração de ""who have"". É usada para se referir a pessoas que fizeram algo. A nuance é a da conexão com um grupo."</t>
  </si>
  <si>
    <t xml:space="preserve">unbleached </t>
  </si>
  <si>
    <t>Não Branqueado / Sem Tratamento Químico (Cor)</t>
  </si>
  <si>
    <t>addiction</t>
  </si>
  <si>
    <t>He has an &lt;strong&gt;addiction&lt;/strong&gt; to gambling.,"&lt;strong&gt;Addiction&lt;/strong&gt;: vício, dependência.&lt;br&gt;&lt;br&gt;É uma compulsão por uma substância ou atividade, que é difícil de controlar. A nuance é a da dependência."</t>
  </si>
  <si>
    <t>ravaged</t>
  </si>
  <si>
    <t>The city was &lt;strong&gt;ravaged&lt;/strong&gt; by a storm.,"&lt;strong&gt;Ravaged&lt;/strong&gt;: devastado, arruinado.&lt;br&gt;&lt;br&gt;Descreve algo que foi severamente destruído ou danificado. A nuance é a da destruição ou do estrago."</t>
  </si>
  <si>
    <t>cheaper</t>
  </si>
  <si>
    <t>The product was &lt;strong&gt;cheaper&lt;/strong&gt;.,"&lt;strong&gt;Cheaper&lt;/strong&gt;: mais barato.&lt;br&gt;&lt;br&gt;É o grau comparativo de ""cheap"". Indica um preço inferior. A nuance é a do preço inferior."</t>
  </si>
  <si>
    <t>from then on</t>
  </si>
  <si>
    <t>&lt;strong&gt;From then on&lt;/strong&gt;, he never spoke to her.,"&lt;strong&gt;From then on&lt;/strong&gt;: a partir de então.&lt;br&gt;&lt;br&gt;É uma expressão que indica o ponto de início de uma ação ou estado que continua. A nuance é a da temporalidade."</t>
  </si>
  <si>
    <t>archetype</t>
  </si>
  <si>
    <t>He is the &lt;strong&gt;archetype&lt;/strong&gt; of a hero.,"&lt;strong&gt;Archetype&lt;/strong&gt;: arquétipo.&lt;br&gt;&lt;br&gt;É um modelo original ou exemplo perfeito de um tipo de pessoa ou coisa. A nuance é a da representação perfeita de um tipo."</t>
  </si>
  <si>
    <t>sober</t>
  </si>
  <si>
    <t>Não Embriagado / Lúcido</t>
  </si>
  <si>
    <t>pronged</t>
  </si>
  <si>
    <t>The two teams played a &lt;strong&gt;pronged&lt;/strong&gt; game.,"&lt;strong&gt;Pronged&lt;/strong&gt;: com dentes, com pontas.&lt;br&gt;&lt;br&gt;Descreve algo que tem pontas ou dentes. Figurativamente, é um ataque ou abordagem com múltiplos pontos. A nuance é a da forma pontiaguda."</t>
  </si>
  <si>
    <t>approach</t>
  </si>
  <si>
    <t>The &lt;strong&gt;approach&lt;/strong&gt; to the problem was clever.,"&lt;strong&gt;Approach&lt;/strong&gt;: abordagem, aproximação.&lt;br&gt;&lt;br&gt;Refere-se à maneira de lidar com algo. Também pode ser o ato de se aproximar. A nuance é a do método ou do movimento."</t>
  </si>
  <si>
    <t>dealer</t>
  </si>
  <si>
    <t>He is a drug &lt;strong&gt;dealer&lt;/strong&gt;.,"&lt;strong&gt;Dealer&lt;/strong&gt;: negociante, traficante.&lt;br&gt;&lt;br&gt;É uma pessoa que compra e vende algo, seja legal ou ilegal. A nuance é a do comércio."</t>
  </si>
  <si>
    <t>drum</t>
  </si>
  <si>
    <t>He plays the &lt;strong&gt;drum&lt;/strong&gt;.,"&lt;strong&gt;Drum&lt;/strong&gt;: tambor.&lt;br&gt;&lt;br&gt;É um instrumento de percussão. A nuance é a do instrumento musical."</t>
  </si>
  <si>
    <t>contestant</t>
  </si>
  <si>
    <t>She was a &lt;strong&gt;contestant&lt;/strong&gt; in the show.,"&lt;strong&gt;Contestant&lt;/strong&gt;: concorrente, participante.&lt;br&gt;&lt;br&gt;É uma pessoa que participa de uma competição. A nuance é a da participação em um concurso."</t>
  </si>
  <si>
    <t>contest</t>
  </si>
  <si>
    <t>Competição / Disputa (Substantivo)</t>
  </si>
  <si>
    <t>backdrop</t>
  </si>
  <si>
    <t>Pano de Fundo / Cenário (Físico)</t>
  </si>
  <si>
    <t>he'll</t>
  </si>
  <si>
    <t>Ele Vai / Ele Irá (Futuro Simples)</t>
  </si>
  <si>
    <t>coke</t>
  </si>
  <si>
    <t>Coca-Cola / Refrigerante</t>
  </si>
  <si>
    <t>gnawing</t>
  </si>
  <si>
    <t>Roendo / Roedura (Físico)</t>
  </si>
  <si>
    <t>kicked me out</t>
  </si>
  <si>
    <t>His landlord &lt;strong&gt;kicked me out&lt;/strong&gt;.,"&lt;strong&gt;Kicked me out&lt;/strong&gt;: me expulsou, me pôs para fora.&lt;br&gt;&lt;br&gt;É uma expressão informal para ser forçado a sair de um lugar. A nuance é a da expulsão."</t>
  </si>
  <si>
    <t>digs</t>
  </si>
  <si>
    <t>Cava / Escava (Físico)</t>
  </si>
  <si>
    <t>copper</t>
  </si>
  <si>
    <t>The wires are made of &lt;strong&gt;copper&lt;/strong&gt;.,"&lt;strong&gt;Copper&lt;/strong&gt;: cobre.&lt;br&gt;&lt;br&gt;É um metal de cor avermelhada. A nuance é a do material metálico."</t>
  </si>
  <si>
    <t>swore</t>
  </si>
  <si>
    <t>He &lt;strong&gt;swore&lt;/strong&gt; to tell the truth.,"&lt;strong&gt;Swore&lt;/strong&gt;: jurou, xingou.&lt;br&gt;&lt;br&gt;É o passado de ""to swear"". Significa ter feito um juramento ou ter dito palavrões. A nuance é a do juramento ou da ofensa verbal."</t>
  </si>
  <si>
    <t>snowing</t>
  </si>
  <si>
    <t>It was &lt;strong&gt;snowing&lt;/strong&gt; heavily.,"&lt;strong&gt;Snowing&lt;/strong&gt;: nevando.&lt;br&gt;&lt;br&gt;É o ato de nevar. A nuance é a da precipitação de neve."</t>
  </si>
  <si>
    <t>homeless</t>
  </si>
  <si>
    <t>The &lt;strong&gt;homeless&lt;/strong&gt; man asked for help.,"&lt;strong&gt;Homeless&lt;/strong&gt;: sem-teto, desabrigado.&lt;br&gt;&lt;br&gt;Descreve uma pessoa que não tem um lugar para morar. A nuance é a da falta de moradia."</t>
  </si>
  <si>
    <t>stressed</t>
  </si>
  <si>
    <t>Estressado / Sob Tensão (Emocional / Psicológico)</t>
  </si>
  <si>
    <t>loot at</t>
  </si>
  <si>
    <t>&lt;strong&gt;Look at&lt;/strong&gt; that beautiful sunset.,"&lt;strong&gt;Look at&lt;/strong&gt;: olhe para.&lt;br&gt;&lt;br&gt;É uma expressão para direcionar a atenção visual para algo. A nuance é a da observação."</t>
  </si>
  <si>
    <t>cut back</t>
  </si>
  <si>
    <t>Reduzir / Diminuir (Gastos / Quantidade)</t>
  </si>
  <si>
    <t>failing</t>
  </si>
  <si>
    <t>Falhando / Errando (Ação)</t>
  </si>
  <si>
    <t>has found</t>
  </si>
  <si>
    <t>He &lt;strong&gt;has found&lt;/strong&gt; a new job.,"&lt;strong&gt;Has found&lt;/strong&gt;: encontrou, achou.&lt;br&gt;&lt;br&gt;É o presente perfeito de ""to find"". Indica que algo foi encontrado. A nuance é a da descoberta."</t>
  </si>
  <si>
    <t>sinks</t>
  </si>
  <si>
    <t>The water &lt;strong&gt;sinks&lt;/strong&gt; into the ground.,"&lt;strong&gt;Sinks&lt;/strong&gt;: afunda, pia.&lt;br&gt;&lt;br&gt;É o ato de ir para baixo d'água ou o objeto de cozinha. A nuance é a do movimento para baixo."</t>
  </si>
  <si>
    <t>drift away</t>
  </si>
  <si>
    <t>He began to &lt;strong&gt;drift away&lt;/strong&gt;.,"&lt;strong&gt;Drift away&lt;/strong&gt;: se afastar, se distanciar.&lt;br&gt;&lt;br&gt;Significa se afastar gradualmente. A nuance é a do afastamento gradual."</t>
  </si>
  <si>
    <t>mastering</t>
  </si>
  <si>
    <t>She is &lt;strong&gt;mastering&lt;/strong&gt; a new skill.,"&lt;strong&gt;Mastering&lt;/strong&gt;: dominando, dominando.&lt;br&gt;&lt;br&gt;É o ato de se tornar mestre em algo. A nuance é a do domínio de uma habilidade."</t>
  </si>
  <si>
    <t>faltering</t>
  </si>
  <si>
    <t>His voice was &lt;strong&gt;faltering&lt;/strong&gt;.,"&lt;strong&gt;Faltering&lt;/strong&gt;: vacilante, hesitante.&lt;br&gt;&lt;br&gt;Descreve algo que está perdendo força ou hesitando. A nuance é a da fraqueza ou da hesitação."</t>
  </si>
  <si>
    <t xml:space="preserve">cherishes </t>
  </si>
  <si>
    <t>Valoriza / Acaricia (Apreciação)</t>
  </si>
  <si>
    <t xml:space="preserve">rediscovering </t>
  </si>
  <si>
    <t>He is &lt;strong&gt;rediscovering&lt;/strong&gt; his passion.,"&lt;strong&gt;Rediscovering&lt;/strong&gt;: redescobrindo.&lt;br&gt;&lt;br&gt;É o ato de descobrir algo novamente. A nuance é a da redescoberta."</t>
  </si>
  <si>
    <t>triumph</t>
  </si>
  <si>
    <t>Triunfo / Vitória / Sucesso (Substantivo)</t>
  </si>
  <si>
    <t>pay off</t>
  </si>
  <si>
    <t>His hard work will &lt;strong&gt;pay off&lt;/strong&gt;.,"&lt;strong&gt;Pay off&lt;/strong&gt;: valer a pena, compensar.&lt;br&gt;&lt;br&gt;Significa que um esforço ou investimento terá um resultado positivo. A nuance é a da recompensa."</t>
  </si>
  <si>
    <t>breathing</t>
  </si>
  <si>
    <t>He was &lt;strong&gt;breathing&lt;/strong&gt; heavily.,"&lt;strong&gt;Breathing&lt;/strong&gt;: respirando.&lt;br&gt;&lt;br&gt;É o ato de respirar. A nuance é a da respiração."</t>
  </si>
  <si>
    <t>borrowed</t>
  </si>
  <si>
    <t>He &lt;strong&gt;borrowed&lt;/strong&gt; a book from the library.,"&lt;strong&gt;Borrowed&lt;/strong&gt;: pegou emprestado.&lt;br&gt;&lt;br&gt;É o passado de ""to borrow"". A nuance é a do empréstimo no passado."</t>
  </si>
  <si>
    <t>firing</t>
  </si>
  <si>
    <t>The company is &lt;strong&gt;firing&lt;/strong&gt; employees.,"&lt;strong&gt;Firing&lt;/strong&gt;: demitindo, disparando.&lt;br&gt;&lt;br&gt;É o ato de demitir alguém ou de disparar uma arma. A nuance é a da demissão ou do disparo."</t>
  </si>
  <si>
    <t>kiln</t>
  </si>
  <si>
    <t>The pottery was baked in a &lt;strong&gt;kiln&lt;/strong&gt;.,"&lt;strong&gt;Kiln&lt;/strong&gt;: forno (de cerâmica, tijolos).&lt;br&gt;&lt;br&gt;É um tipo de forno usado para cozer cerâmica, tijolos, etc. A nuance é a do forno industrial."</t>
  </si>
  <si>
    <t>thumbprint</t>
  </si>
  <si>
    <t>Impressão Digital (Marca Física)</t>
  </si>
  <si>
    <t>debts</t>
  </si>
  <si>
    <t>He has a lot of &lt;strong&gt;debts&lt;/strong&gt;.,"&lt;strong&gt;Debts&lt;/strong&gt;: dívidas.&lt;br&gt;&lt;br&gt;É o dinheiro que se deve a alguém. A nuance é a da obrigação financeira."</t>
  </si>
  <si>
    <t>wealthy</t>
  </si>
  <si>
    <t>She is a very &lt;strong&gt;wealthy&lt;/strong&gt; woman.,"&lt;strong&gt;Wealthy&lt;/strong&gt;: rico, abastado.&lt;br&gt;&lt;br&gt;Descreve alguém que tem muito dinheiro e bens. A nuance é a da riqueza."</t>
  </si>
  <si>
    <t>borrowing</t>
  </si>
  <si>
    <t>He is &lt;strong&gt;borrowing&lt;/strong&gt; money.,"&lt;strong&gt;Borrowing&lt;/strong&gt;: pegando emprestado.&lt;br&gt;&lt;br&gt;É o gerúndio de ""to borrow"". A nuance é a do empréstimo em andamento."</t>
  </si>
  <si>
    <t>lawyers</t>
  </si>
  <si>
    <t>The &lt;strong&gt;lawyers&lt;/strong&gt; are in court.,"&lt;strong&gt;Lawyers&lt;/strong&gt;: advogados.&lt;br&gt;&lt;br&gt;São profissionais que representam pessoas em questões legais. A nuance é a da profissão legal."</t>
  </si>
  <si>
    <t>endless</t>
  </si>
  <si>
    <t>The road was &lt;strong&gt;endless&lt;/strong&gt;.,"&lt;strong&gt;Endless&lt;/strong&gt;: sem fim, infinito.&lt;br&gt;&lt;br&gt;Descreve algo que parece não ter fim. A nuance é a da infinidade."</t>
  </si>
  <si>
    <t>trapped</t>
  </si>
  <si>
    <t>The bird was &lt;strong&gt;trapped&lt;/strong&gt; in the cage.,"&lt;strong&gt;Trapped&lt;/strong&gt;: preso, encurralado.&lt;br&gt;&lt;br&gt;Descreve o estado de estar preso sem poder sair. A nuance é a da imobilidade."</t>
  </si>
  <si>
    <t>desirable</t>
  </si>
  <si>
    <t>The job offer was very &lt;strong&gt;desirable&lt;/strong&gt;.,"&lt;strong&gt;Desirable&lt;/strong&gt;: desejável, atraente.&lt;br&gt;&lt;br&gt;Descreve algo que é desejado ou que atrai. A nuance é a da atração."</t>
  </si>
  <si>
    <t>tent</t>
  </si>
  <si>
    <t>They set up a &lt;strong&gt;tent&lt;/strong&gt;.,"&lt;strong&gt;Tent&lt;/strong&gt;: barraca, tenda.&lt;br&gt;&lt;br&gt;É um abrigo temporário feito de lona. A nuance é a do abrigo temporário."</t>
  </si>
  <si>
    <t>hand over</t>
  </si>
  <si>
    <t>Entregar / Passar (Objeto Físico)</t>
  </si>
  <si>
    <t>interest</t>
  </si>
  <si>
    <t>Interesse / Curiosidade (Comunicação / Atenção)</t>
  </si>
  <si>
    <t>goes toward</t>
  </si>
  <si>
    <t>scheme</t>
  </si>
  <si>
    <t>The whole thing was a &lt;strong&gt;scheme&lt;/strong&gt;.,"&lt;strong&gt;Scheme&lt;/strong&gt;: esquema, plano.&lt;br&gt;&lt;br&gt;É um plano, muitas vezes secreto ou desonesto. A nuance é a da intriga ou do plano."</t>
  </si>
  <si>
    <t>clay</t>
  </si>
  <si>
    <t>The pot was made of &lt;strong&gt;clay&lt;/strong&gt;.,"&lt;strong&gt;Clay&lt;/strong&gt;: argila.&lt;br&gt;&lt;br&gt;É um tipo de terra usada para fazer cerâmica. A nuance é a do material."</t>
  </si>
  <si>
    <t>quota</t>
  </si>
  <si>
    <t>Cota / Limite (Recursos/Participação)</t>
  </si>
  <si>
    <t>dig up</t>
  </si>
  <si>
    <t>They had to &lt;strong&gt;dig up&lt;/strong&gt; the old pipes.,"&lt;strong&gt;Dig up&lt;/strong&gt;: desenterrar.&lt;br&gt;&lt;br&gt;Significa cavar para encontrar algo. A nuance é a da descoberta."</t>
  </si>
  <si>
    <t>squatting</t>
  </si>
  <si>
    <t>Agachamento / Posição de Cócoras</t>
  </si>
  <si>
    <t>adds</t>
  </si>
  <si>
    <t>Somar / Calcular</t>
  </si>
  <si>
    <t>mud</t>
  </si>
  <si>
    <t>Lama / Lodo (Substância)</t>
  </si>
  <si>
    <t>squat</t>
  </si>
  <si>
    <t>He did a &lt;strong&gt;squat&lt;/strong&gt;.,"&lt;strong&gt;Squat&lt;/strong&gt;: agachamento.&lt;br&gt;&lt;br&gt;É um exercício físico. A nuance é a do movimento físico."</t>
  </si>
  <si>
    <t>proud</t>
  </si>
  <si>
    <t>She was very &lt;strong&gt;proud&lt;/strong&gt; of her son.,"&lt;strong&gt;Proud&lt;/strong&gt;: orgulhoso.&lt;br&gt;&lt;br&gt;É o sentimento de satisfação por uma conquista. A nuance é a da satisfação."</t>
  </si>
  <si>
    <t>herd</t>
  </si>
  <si>
    <t>Rebanho / Manada (Animais)</t>
  </si>
  <si>
    <t>sweating</t>
  </si>
  <si>
    <t>He was &lt;strong&gt;sweating&lt;/strong&gt; a lot.,"&lt;strong&gt;Sweating&lt;/strong&gt;: suando.&lt;br&gt;&lt;br&gt;É o ato de suar. A nuance é a da transpiração."</t>
  </si>
  <si>
    <t>shocked</t>
  </si>
  <si>
    <t>She was &lt;strong&gt;shocked&lt;/strong&gt; by the news.,"&lt;strong&gt;Shocked&lt;/strong&gt;: chocado.&lt;br&gt;&lt;br&gt;É o estado de surpresa ou choque. A nuance é a da surpresa."</t>
  </si>
  <si>
    <t>bake</t>
  </si>
  <si>
    <t>She likes to &lt;strong&gt;bake&lt;/strong&gt; cakes.,"&lt;strong&gt;Bake&lt;/strong&gt;: assar.&lt;br&gt;&lt;br&gt;É o ato de cozinhar no forno. A nuance é a do cozimento no forno."</t>
  </si>
  <si>
    <t>earn</t>
  </si>
  <si>
    <t>He wants to &lt;strong&gt;earn&lt;/strong&gt; a lot of money.,"&lt;strong&gt;Earn&lt;/strong&gt;: ganhar, merecer.&lt;br&gt;&lt;br&gt;É o ato de receber dinheiro por um trabalho. A nuance é a da recompensa."</t>
  </si>
  <si>
    <t>affordable</t>
  </si>
  <si>
    <t>The price was very &lt;strong&gt;affordable&lt;/strong&gt;.,"&lt;strong&gt;Affordable&lt;/strong&gt;: acessível, que se pode pagar.&lt;br&gt;&lt;br&gt;Descreve algo que tem um preço que se pode pagar. A nuance é a do preço justo."</t>
  </si>
  <si>
    <t>plots</t>
  </si>
  <si>
    <t>The story had many &lt;strong&gt;plots&lt;/strong&gt;.,"&lt;strong&gt;Plots&lt;/strong&gt;: enredos, tramas, lotes.&lt;br&gt;&lt;br&gt;São os enredos de uma história. Também podem ser lotes de terra. A nuance é a da narrativa ou da propriedade."</t>
  </si>
  <si>
    <t>blisters</t>
  </si>
  <si>
    <t>Bolhas na pele (Saúde)</t>
  </si>
  <si>
    <t>clearer</t>
  </si>
  <si>
    <t>The explanation is much &lt;strong&gt;clearer&lt;/strong&gt;.,"&lt;div&gt;&lt;strong&gt;Clearer:&lt;/strong&gt; Mais claro, mais nítido.&lt;/div&gt;&lt;div&gt;&lt;br&gt;&lt;/div&gt;&lt;div&gt;É o comparativo de ""clear"". Significa que algo é mais fácil de ver, ouvir ou entender. A nuance é a de &lt;strong&gt;maior compreensibilidade ou visibilidade&lt;/strong&gt;.&lt;/div&gt;"</t>
  </si>
  <si>
    <t>stabl.e</t>
  </si>
  <si>
    <t>The patient is now &lt;strong&gt;stable&lt;/strong&gt;.,"&lt;div&gt;&lt;strong&gt;Stable:&lt;/strong&gt; Estável, firme.&lt;/div&gt;&lt;div&gt;&lt;br&gt;&lt;/div&gt;&lt;div&gt;Descreve algo que não está mudando ou que é firme e seguro. Pode ser usado para condições de saúde, estruturas ou emoções. A nuance é a de &lt;strong&gt;firmeza e ausência de mudança&lt;/strong&gt;.&lt;/div&gt;"</t>
  </si>
  <si>
    <t>concert</t>
  </si>
  <si>
    <t>Concerto / Show (Música)</t>
  </si>
  <si>
    <t>domain</t>
  </si>
  <si>
    <t>This is his &lt;strong&gt;domain&lt;/strong&gt;.,"&lt;div&gt;&lt;strong&gt;Domain:&lt;/strong&gt; Domínio, área.&lt;/div&gt;&lt;div&gt;&lt;br&gt;&lt;/div&gt;&lt;div&gt;Refere-se a uma área de conhecimento, controle ou influência. Também é usado em tecnologia (domain name). A nuance é a de uma &lt;strong&gt;área de especialidade ou controle&lt;/strong&gt;.&lt;/div&gt;"</t>
  </si>
  <si>
    <t>sounds</t>
  </si>
  <si>
    <t>Sons / Ruídos (Substantivo)</t>
  </si>
  <si>
    <t>maintains</t>
  </si>
  <si>
    <t>Mantém / Conserva (Estado ou Funcionamento)</t>
  </si>
  <si>
    <t>turns</t>
  </si>
  <si>
    <t>Vira / Gira / Muda de Direção (Verbo)</t>
  </si>
  <si>
    <t>refresher</t>
  </si>
  <si>
    <t>Treinamento de Reciclagem / Revisão</t>
  </si>
  <si>
    <t>in order</t>
  </si>
  <si>
    <t>Em Ordem / Sequencialmente (Estrutura)</t>
  </si>
  <si>
    <t>best to first</t>
  </si>
  <si>
    <t>It's &lt;strong&gt;best to&lt;/strong&gt; think &lt;strong&gt;first&lt;/strong&gt;.,"&lt;div&gt;&lt;strong&gt;Best to... first:&lt;/strong&gt; É melhor... primeiro.&lt;/div&gt;&lt;div&gt;&lt;br&gt;&lt;/div&gt;&lt;div&gt;Esta estrutura é usada para dar um conselho, indicando que a ação mais sábia é realizar algo antes de qualquer outra coisa. A nuance é a de &lt;strong&gt;priorizar uma ação como a mais sensata&lt;/strong&gt;.&lt;/div&gt;"</t>
  </si>
  <si>
    <t>primitive</t>
  </si>
  <si>
    <t>Básico / Primário / Inicial (Estado/TI)</t>
  </si>
  <si>
    <t>for a while</t>
  </si>
  <si>
    <t>Let's rest &lt;strong&gt;for a while&lt;/strong&gt;.,"&lt;div&gt;&lt;strong&gt;For a while:&lt;/strong&gt; Por um tempo, por um instante.&lt;/div&gt;&lt;div&gt;&lt;br&gt;&lt;/div&gt;&lt;div&gt;Expressão que indica um período de tempo não especificado, mas geralmente não muito longo. A duração exata depende totalmente do contexto. A nuance é a de um &lt;strong&gt;período de tempo indefinido&lt;/strong&gt;.&lt;/div&gt;"</t>
  </si>
  <si>
    <t>written</t>
  </si>
  <si>
    <t>The letter was &lt;strong&gt;written&lt;/strong&gt; by hand.,"&lt;div&gt;&lt;strong&gt;Written:&lt;/strong&gt; Escrito.&lt;/div&gt;&lt;div&gt;&lt;br&gt;&lt;/div&gt;&lt;div&gt;É o particípio passado do verbo ""to write"". Usado em tempos verbais compostos (ex: have written) ou na voz passiva (ex: was written). A nuance é a de &lt;strong&gt;algo que foi registrado em texto&lt;/strong&gt;.&lt;/div&gt;"</t>
  </si>
  <si>
    <t>larger</t>
  </si>
  <si>
    <t>We need a &lt;strong&gt;larger&lt;/strong&gt; table.,"&lt;div&gt;&lt;strong&gt;Larger:&lt;/strong&gt; Maior.&lt;/div&gt;&lt;div&gt;&lt;br&gt;&lt;/div&gt;&lt;div&gt;É o comparativo de ""large"". Usado para comparar o tamanho de dois ou mais itens, indicando que um é maior que o outro. A nuance é a de &lt;strong&gt;tamanho ou escala superior&lt;/strong&gt;.&lt;/div&gt;"</t>
  </si>
  <si>
    <t>entity</t>
  </si>
  <si>
    <t>The company is a legal &lt;strong&gt;entity&lt;/strong&gt;.,"&lt;div&gt;&lt;strong&gt;Entity:&lt;/strong&gt; Entidade.&lt;/div&gt;&lt;div&gt;&lt;br&gt;&lt;/div&gt;&lt;div&gt;Refere-se a algo que existe separadamente, com sua própria identidade, seja uma pessoa, organização ou objeto. A nuance é a de uma &lt;strong&gt;existência distinta e independente&lt;/strong&gt;.&lt;/div&gt;"</t>
  </si>
  <si>
    <t>array</t>
  </si>
  <si>
    <t>Vetor / Matriz (Computação/Java)</t>
  </si>
  <si>
    <t>almost</t>
  </si>
  <si>
    <t>I am &lt;strong&gt;almost&lt;/strong&gt; finished.,"&lt;div&gt;&lt;strong&gt;Almost:&lt;/strong&gt; Quase.&lt;/div&gt;&lt;div&gt;&lt;br&gt;&lt;/div&gt;&lt;div&gt;Advérbio usado para indicar que algo está muito perto de acontecer ou de ser verdade, mas não completamente. A nuance é a da &lt;strong&gt;proximidade de uma conclusão ou estado&lt;/strong&gt;.&lt;/div&gt;"</t>
  </si>
  <si>
    <t>sctruct</t>
  </si>
  <si>
    <t>In C, a &lt;strong&gt;struct&lt;/strong&gt; groups variables.,"&lt;div&gt;&lt;strong&gt;Struct:&lt;/strong&gt; Estrutura.&lt;/div&gt;&lt;div&gt;&lt;br&gt;&lt;/div&gt;&lt;div&gt;Abreviação de ""structure"" em programação. É um tipo de dado que agrupa diferentes variáveis sob um único nome. A nuance é a de um &lt;strong&gt;agrupamento de dados relacionados&lt;/strong&gt;.&lt;/div&gt;"</t>
  </si>
  <si>
    <t>overview</t>
  </si>
  <si>
    <t>Let's get an &lt;strong&gt;overview&lt;/strong&gt;.,"&lt;div&gt;&lt;strong&gt;Overview:&lt;/strong&gt; Visão geral, resumo.&lt;/div&gt;&lt;div&gt;&lt;br&gt;&lt;/div&gt;&lt;div&gt;Refere-se a um resumo ou descrição geral de um assunto, sem entrar em detalhes. A nuance é a de uma &lt;strong&gt;perspectiva ampla e resumida&lt;/strong&gt;.&lt;/div&gt;"</t>
  </si>
  <si>
    <t>instance</t>
  </si>
  <si>
    <t>Exemplo / Ocorrência (Geral / TI)</t>
  </si>
  <si>
    <t>whereas</t>
  </si>
  <si>
    <t>Contraste / Comparação</t>
  </si>
  <si>
    <t>common</t>
  </si>
  <si>
    <t>Frequente / Usual</t>
  </si>
  <si>
    <t>precursor</t>
  </si>
  <si>
    <t>Precursor / Antecessor (Pessoa ou Coisa)</t>
  </si>
  <si>
    <t>initialize</t>
  </si>
  <si>
    <t>You must &lt;strong&gt;initialize&lt;/strong&gt; the variable.,"&lt;div&gt;&lt;strong&gt;Initialize:&lt;/strong&gt; Inicializar.&lt;/div&gt;&lt;div&gt;&lt;br&gt;&lt;/div&gt;&lt;div&gt;Em programação, significa atribuir um valor inicial a uma variável antes de ela ser usada. A nuance é a de &lt;strong&gt;dar o primeiro valor ou estado a algo&lt;/strong&gt;.&lt;/div&gt;"</t>
  </si>
  <si>
    <t>current</t>
  </si>
  <si>
    <t>What is the &lt;strong&gt;current&lt;/strong&gt; status?,"&lt;div&gt;&lt;strong&gt;Current:&lt;/strong&gt; Atual.&lt;/div&gt;&lt;div&gt;&lt;br&gt;&lt;/div&gt;&lt;div&gt;Adjetivo que descreve algo que está acontecendo ou existindo no presente momento. A nuance é a de &lt;strong&gt;pertencer ao agora&lt;/strong&gt;.&lt;/div&gt;"</t>
  </si>
  <si>
    <t>imply</t>
  </si>
  <si>
    <t>Implicar / Subentender (Significado)</t>
  </si>
  <si>
    <t>squares</t>
  </si>
  <si>
    <t>Quadrados / Formas Quadradas (Geometria/Objetos)</t>
  </si>
  <si>
    <t>definition</t>
  </si>
  <si>
    <t>What's the &lt;strong&gt;definition&lt;/strong&gt;?,"&lt;div&gt;&lt;strong&gt;Definition:&lt;/strong&gt; Definição.&lt;/div&gt;&lt;div&gt;&lt;br&gt;&lt;/div&gt;&lt;div&gt;Refere-se à explicação do significado de uma palavra ou conceito. A nuance é a da &lt;strong&gt;explicação clara de um significado&lt;/strong&gt;.&lt;/div&gt;"</t>
  </si>
  <si>
    <t>contain</t>
  </si>
  <si>
    <t>Conter / Incluir / Ter Dentro (Composição)</t>
  </si>
  <si>
    <t>encapsulation</t>
  </si>
  <si>
    <t>Encapsulamento (TI / POO)</t>
  </si>
  <si>
    <t>inherit</t>
  </si>
  <si>
    <t>The class will &lt;strong&gt;inherit&lt;/strong&gt; properties.,"&lt;div&gt;&lt;strong&gt;Inherit:&lt;/strong&gt; Herdar.&lt;/div&gt;&lt;div&gt;&lt;br&gt;&lt;/div&gt;&lt;div&gt;Em programação, uma classe pode herdar atributos e métodos de outra. No geral, significa receber algo de um predecessor. A nuance é a de &lt;strong&gt;receber características de uma fonte anterior&lt;/strong&gt;.&lt;/div&gt;"</t>
  </si>
  <si>
    <t>abstraction</t>
  </si>
  <si>
    <t>Abstração (TI / POO)</t>
  </si>
  <si>
    <t>polymorphism</t>
  </si>
  <si>
    <t>&lt;strong&gt;Polymorphism&lt;/strong&gt; allows flexibility.,"&lt;div&gt;&lt;strong&gt;Polymorphism:&lt;/strong&gt; Polimorfismo.&lt;/div&gt;&lt;div&gt;&lt;br&gt;&lt;/div&gt;&lt;div&gt;Em programação, é a capacidade de um objeto assumir muitas formas, permitindo que uma mesma ação seja executada de maneiras diferentes. A nuance é a de &lt;strong&gt;uma interface, múltiplas implementações&lt;/strong&gt;.&lt;/div&gt;"</t>
  </si>
  <si>
    <t>bundling</t>
  </si>
  <si>
    <t>Agrupando / Empacotando (Físico/TI)</t>
  </si>
  <si>
    <t>in practice</t>
  </si>
  <si>
    <t>&lt;strong&gt;In practice&lt;/strong&gt;, it is different.,"&lt;div&gt;&lt;strong&gt;In practice:&lt;/strong&gt; Na prática.&lt;/div&gt;&lt;div&gt;&lt;br&gt;&lt;/div&gt;&lt;div&gt;Expressão usada para contrastar a teoria com a realidade. Descreve como algo funciona em uma situação real. A nuance é a de &lt;strong&gt;aplicação no mundo real&lt;/strong&gt;.&lt;/div&gt;"</t>
  </si>
  <si>
    <t>these</t>
  </si>
  <si>
    <t>Estes / Estas (Referência a Múltiplos Objetos)</t>
  </si>
  <si>
    <t>retrieve</t>
  </si>
  <si>
    <t>Recuperar / Obter (Dados/Objeto)</t>
  </si>
  <si>
    <t>easiest</t>
  </si>
  <si>
    <t>This is the &lt;strong&gt;easiest&lt;/strong&gt; way.,"&lt;div&gt;&lt;strong&gt;Easiest:&lt;/strong&gt; O mais fácil.&lt;/div&gt;&lt;div&gt;&lt;br&gt;&lt;/div&gt;&lt;div&gt;É o superlativo de ""easy"". Usado para descrever a opção que requer o menor esforço entre todas. A nuance é a do &lt;strong&gt;grau máximo de facilidade&lt;/strong&gt;.&lt;/div&gt;"</t>
  </si>
  <si>
    <t>depend</t>
  </si>
  <si>
    <t>Depender / Ser Condicionado a</t>
  </si>
  <si>
    <t>levels</t>
  </si>
  <si>
    <t>Níveis / Graus (Medida / Abstração)</t>
  </si>
  <si>
    <t>getter</t>
  </si>
  <si>
    <t>A &lt;strong&gt;getter&lt;/strong&gt; returns the value.,"&lt;div&gt;&lt;strong&gt;Getter:&lt;/strong&gt; Método de acesso.&lt;/div&gt;&lt;div&gt;&lt;br&gt;&lt;/div&gt;&lt;div&gt;Em programação, um ""getter"" é um método usado para acessar (obter) o valor de um atributo privado de uma classe. A nuance é a de &lt;strong&gt;um método que obtém um valor&lt;/strong&gt;.&lt;/div&gt;"</t>
  </si>
  <si>
    <t>discussed</t>
  </si>
  <si>
    <t>Discutiu / Debateu (Comunicação / Reunião)</t>
  </si>
  <si>
    <t>column</t>
  </si>
  <si>
    <t>Coluna (TI / Banco de Dados)</t>
  </si>
  <si>
    <t>may be</t>
  </si>
  <si>
    <t>This &lt;strong&gt;may be&lt;/strong&gt; the answer.,"&lt;div&gt;&lt;strong&gt;May be:&lt;/strong&gt; Pode ser.&lt;/div&gt;&lt;div&gt;&lt;br&gt;&lt;/div&gt;&lt;div&gt;Expressão que indica possibilidade. É diferente de ""maybe"" (talvez), que é um advérbio. ""May be"" é a combinação do verbo modal ""may"" com o verbo ""be"". A nuance é a de &lt;strong&gt;uma possibilidade existente&lt;/strong&gt;.&lt;/div&gt;"</t>
  </si>
  <si>
    <t>end up</t>
  </si>
  <si>
    <t>Acabar / Ir Parar (Resultado Final)</t>
  </si>
  <si>
    <t>occupy</t>
  </si>
  <si>
    <t>The books &lt;strong&gt;occupy&lt;/strong&gt; the shelf.,"&lt;div&gt;&lt;strong&gt;Occupy:&lt;/strong&gt; Ocupar.&lt;/div&gt;&lt;div&gt;&lt;br&gt;&lt;/div&gt;&lt;div&gt;Significa preencher um espaço, tempo ou posição. Também pode significar tomar controle de um lugar. A nuance é a de &lt;strong&gt;preencher ou tomar controle&lt;/strong&gt;.&lt;/div&gt;"</t>
  </si>
  <si>
    <t>went over</t>
  </si>
  <si>
    <t>Revisou / Examinou / Conferiu</t>
  </si>
  <si>
    <t>knowledgeable</t>
  </si>
  <si>
    <t>He is very &lt;strong&gt;knowledgeable&lt;/strong&gt;.,"&lt;div&gt;&lt;strong&gt;Knowledgeable:&lt;/strong&gt; Bem informado, que tem muito conhecimento.&lt;/div&gt;&lt;div&gt;&lt;br&gt;&lt;/div&gt;&lt;div&gt;Adjetivo que descreve uma pessoa que sabe muito sobre um determinado assunto. A nuance é a de &lt;strong&gt;ter profundo conhecimento em uma área&lt;/strong&gt;.&lt;/div&gt;"</t>
  </si>
  <si>
    <t>sections</t>
  </si>
  <si>
    <t>Let's check their &lt;strong&gt;sections&lt;/strong&gt;.,"&lt;div&gt;&lt;strong&gt;Sections:&lt;/strong&gt; Seções, partes.&lt;/div&gt;&lt;div&gt;&lt;br&gt;&lt;/div&gt;&lt;div&gt;Refere-se às diferentes partes ou divisões de algo, como um documento, uma loja ou uma cidade. A nuance é a da &lt;strong&gt;divisão em partes&lt;/strong&gt;.&lt;/div&gt;"</t>
  </si>
  <si>
    <t>overall</t>
  </si>
  <si>
    <t>The &lt;strong&gt;overall&lt;/strong&gt; result was good.,"&lt;div&gt;&lt;strong&gt;Overall:&lt;/strong&gt; Geral, no geral.&lt;/div&gt;&lt;div&gt;&lt;br&gt;&lt;/div&gt;&lt;div&gt;Usado para se referir a algo como um todo, incluindo todas as partes. A nuance é a de uma &lt;strong&gt;visão ou conclusão geral&lt;/strong&gt;.&lt;/div&gt;"</t>
  </si>
  <si>
    <t>vital</t>
  </si>
  <si>
    <t>Vital / Essencial à Vida (Saúde)</t>
  </si>
  <si>
    <t>unwanted</t>
  </si>
  <si>
    <t>Indesejado / Não Querido (Desejo)</t>
  </si>
  <si>
    <t>refers</t>
  </si>
  <si>
    <t>This name &lt;strong&gt;refers&lt;/strong&gt; to a variable.,"&lt;div&gt;&lt;strong&gt;Refers:&lt;/strong&gt; Refere-se.&lt;/div&gt;&lt;div&gt;&lt;br&gt;&lt;/div&gt;&lt;div&gt;Verbo ""to refer"" na terceira pessoa. Significa direcionar a atenção para algo ou mencionar algo. A nuance é a de &lt;strong&gt;apontar ou fazer menção a algo&lt;/strong&gt;.&lt;/div&gt;"</t>
  </si>
  <si>
    <t>brake</t>
  </si>
  <si>
    <t>Freio / Mecanismo de Freagem (Substantivo)</t>
  </si>
  <si>
    <t>especially</t>
  </si>
  <si>
    <t>I like this, &lt;strong&gt;especially&lt;/strong&gt; the color.,"&lt;div&gt;&lt;strong&gt;Especially:&lt;/strong&gt; Especialmente, principalmente.&lt;/div&gt;&lt;div&gt;&lt;br&gt;&lt;/div&gt;&lt;div&gt;Advérbio usado para destacar algo em particular sobre os outros. A nuance é a de &lt;strong&gt;dar destaque ou ênfase&lt;/strong&gt;.&lt;/div&gt;"</t>
  </si>
  <si>
    <t>concerned</t>
  </si>
  <si>
    <t>I'm &lt;strong&gt;concerned&lt;/strong&gt; about the deadline.,"&lt;div&gt;&lt;strong&gt;Concerned:&lt;/strong&gt; Preocupado.&lt;/div&gt;&lt;div&gt;&lt;br&gt;&lt;/div&gt;&lt;div&gt;Descreve o estado de estar preocupado ou ansioso com algo. A nuance é a do &lt;strong&gt;sentimento de preocupação&lt;/strong&gt;.&lt;/div&gt;"</t>
  </si>
  <si>
    <t>tend</t>
  </si>
  <si>
    <t>Tende a / Tem Tendência (Probabilidade)</t>
  </si>
  <si>
    <t>manageable</t>
  </si>
  <si>
    <t>Gerenciável / Controlável (Escopo / Dificuldade)</t>
  </si>
  <si>
    <t>chunks</t>
  </si>
  <si>
    <t>wheels</t>
  </si>
  <si>
    <t>The car needs new &lt;strong&gt;wheels&lt;/strong&gt;.,"&lt;div&gt;&lt;strong&gt;Wheels:&lt;/strong&gt; Rodas.&lt;/div&gt;&lt;div&gt;&lt;br&gt;&lt;/div&gt;&lt;div&gt;Refere-se às rodas de um veículo. Informalmente, pode ser uma gíria para carro. A nuance é a do &lt;strong&gt;componente circular que permite o movimento&lt;/strong&gt;.&lt;/div&gt;"</t>
  </si>
  <si>
    <t>to achieve</t>
  </si>
  <si>
    <t>Para Alcançar / Para Obter (Meta / Sucesso)</t>
  </si>
  <si>
    <t>typically</t>
  </si>
  <si>
    <t>Tipicamente / Geralmente / Normalmente (Frequência)</t>
  </si>
  <si>
    <t>should be</t>
  </si>
  <si>
    <t>Deve Ser / Deveria Estar (Obrigação / Norma)</t>
  </si>
  <si>
    <t>as it should</t>
  </si>
  <si>
    <t>The code works &lt;strong&gt;as it should&lt;/strong&gt;.,"&lt;div&gt;&lt;strong&gt;As it should:&lt;/strong&gt; Como deveria.&lt;/div&gt;&lt;div&gt;&lt;br&gt;&lt;/div&gt;&lt;div&gt;Expressão que confirma que algo está funcionando ou acontecendo da maneira correta e esperada. A nuance é a da &lt;strong&gt;confirmação do funcionamento correto&lt;/strong&gt;.&lt;/div&gt;"</t>
  </si>
  <si>
    <t>reliant</t>
  </si>
  <si>
    <t>The system is &lt;strong&gt;reliant&lt;/strong&gt; on the network.,"&lt;div&gt;&lt;strong&gt;Reliant:&lt;/strong&gt; Dependente, confiante.&lt;/div&gt;&lt;div&gt;&lt;br&gt;&lt;/div&gt;&lt;div&gt;Descreve a necessidade de algo ou alguém para funcionar corretamente. A nuance é a da &lt;strong&gt;dependência para suporte ou funcionamento&lt;/strong&gt;.&lt;/div&gt;"</t>
  </si>
  <si>
    <t>coupled</t>
  </si>
  <si>
    <t>Acoplado / Ligado / Unido (Físico/Técnico)</t>
  </si>
  <si>
    <t>clash</t>
  </si>
  <si>
    <t>Conflito / Colisão (Físico / Abstrato)</t>
  </si>
  <si>
    <t>subclass</t>
  </si>
  <si>
    <t>This is a &lt;strong&gt;subclass&lt;/strong&gt; of Animal.,"&lt;div&gt;&lt;strong&gt;Subclass:&lt;/strong&gt; Subclasse.&lt;/div&gt;&lt;div&gt;&lt;br&gt;&lt;/div&gt;&lt;div&gt;Em programação, é uma classe que herda características de outra (a superclasse). A nuance é a de uma &lt;strong&gt;classe derivada de outra&lt;/strong&gt;.&lt;/div&gt;"</t>
  </si>
  <si>
    <t>incrementally</t>
  </si>
  <si>
    <t>We will build it &lt;strong&gt;incrementally&lt;/strong&gt;.,"&lt;div&gt;&lt;strong&gt;Incrementally:&lt;/strong&gt; Incrementalmente, gradualmente.&lt;/div&gt;&lt;div&gt;&lt;br&gt;&lt;/div&gt;&lt;div&gt;Advérbio que descreve o processo de fazer algo em pequenas etapas ou acréscimos. A nuance é a do &lt;strong&gt;progresso em pequenas partes&lt;/strong&gt;.&lt;/div&gt;"</t>
  </si>
  <si>
    <t>inheritance</t>
  </si>
  <si>
    <t>Java supports &lt;strong&gt;inheritance&lt;/strong&gt;.,"&lt;div&gt;&lt;strong&gt;Inheritance:&lt;/strong&gt; Herança.&lt;/div&gt;&lt;div&gt;&lt;br&gt;&lt;/div&gt;&lt;div&gt;Em programação, é o mecanismo pelo qual uma classe (subclasse) pode herdar atributos e métodos de outra (superclasse). A nuance é a da &lt;strong&gt;reutilização e especialização de código&lt;/strong&gt;.&lt;/div&gt;"</t>
  </si>
  <si>
    <t>broader</t>
  </si>
  <si>
    <t>The topic is &lt;strong&gt;broader&lt;/strong&gt; now.,"&lt;div&gt;&lt;strong&gt;Broader:&lt;/strong&gt; Mais amplo, mais abrangente.&lt;/div&gt;&lt;div&gt;&lt;br&gt;&lt;/div&gt;&lt;div&gt;É o comparativo de ""broad"". Significa que algo cobre uma área ou gama maior. A nuance é a de uma &lt;strong&gt;maior abrangência ou escopo&lt;/strong&gt;.&lt;/div&gt;"</t>
  </si>
  <si>
    <t>hierarchy</t>
  </si>
  <si>
    <t>The &lt;strong&gt;hierarchy&lt;/strong&gt; is clear.,"&lt;div&gt;&lt;strong&gt;Hierarchy:&lt;/strong&gt; Hierarquia.&lt;/div&gt;&lt;div&gt;&lt;br&gt;&lt;/div&gt;&lt;div&gt;Refere-se a um sistema no qual pessoas ou coisas são organizadas em diferentes níveis de importância ou autoridade. A nuance é a de uma &lt;strong&gt;estrutura de níveis&lt;/strong&gt;.&lt;/div&gt;"</t>
  </si>
  <si>
    <t>their on</t>
  </si>
  <si>
    <t>They have &lt;strong&gt;their own&lt;/strong&gt; car.,"&lt;div&gt;&lt;strong&gt;Their own:&lt;/strong&gt; Deles próprios.&lt;/div&gt;&lt;div&gt;&lt;br&gt;&lt;/div&gt;&lt;div&gt;Expressão usada para enfatizar que algo pertence a um grupo de pessoas, e não a mais ninguém. A nuance é a de &lt;strong&gt;posse exclusiva&lt;/strong&gt;.&lt;/div&gt;"</t>
  </si>
  <si>
    <t>somewhere</t>
  </si>
  <si>
    <t>It must be &lt;strong&gt;somewhere&lt;/strong&gt;.,"&lt;div&gt;&lt;strong&gt;Somewhere:&lt;/strong&gt; Em algum lugar.&lt;/div&gt;&lt;div&gt;&lt;br&gt;&lt;/div&gt;&lt;div&gt;Advérbio que se refere a um lugar não especificado ou desconhecido. A nuance é a de uma &lt;strong&gt;localização indefinida&lt;/strong&gt;.&lt;/div&gt;"</t>
  </si>
  <si>
    <t>as a whole</t>
  </si>
  <si>
    <t>The team, &lt;strong&gt;as a whole&lt;/strong&gt;, played well.,"&lt;div&gt;&lt;strong&gt;As a whole:&lt;/strong&gt; Como um todo, no geral.&lt;/div&gt;&lt;div&gt;&lt;br&gt;&lt;/div&gt;&lt;div&gt;Expressão usada para se referir a um grupo ou a uma coisa inteira, considerando todas as suas partes juntas. A nuance é a de &lt;strong&gt;considerar o conjunto completo&lt;/strong&gt;.&lt;/div&gt;"</t>
  </si>
  <si>
    <t>modifier</t>
  </si>
  <si>
    <t>Modificador (TI / Programação)</t>
  </si>
  <si>
    <t>defined</t>
  </si>
  <si>
    <t>It was &lt;strong&gt;defined&lt;/strong&gt; earlier.,"&lt;div&gt;&lt;strong&gt;Defined:&lt;/strong&gt; Definido.&lt;/div&gt;&lt;div&gt;&lt;br&gt;&lt;/div&gt;&lt;div&gt;Significa que o significado ou as características de algo foram claramente estabelecidos. Em programação, que uma variável ou função foi declarada. A nuance é a de &lt;strong&gt;ter sido claramente estabelecido&lt;/strong&gt;.&lt;/div&gt;"</t>
  </si>
  <si>
    <t>private</t>
  </si>
  <si>
    <t>Particular / Pessoal / Exclusivo (Geral/POO)</t>
  </si>
  <si>
    <t>conflict</t>
  </si>
  <si>
    <t>Conflito / Disputa / Choque (Substantivo)</t>
  </si>
  <si>
    <t>dynamic</t>
  </si>
  <si>
    <t>Dinâmico / Mutável (TI / Sistema)</t>
  </si>
  <si>
    <t>occurs</t>
  </si>
  <si>
    <t>Ocorre / Acontece (Evento / Fato)</t>
  </si>
  <si>
    <t>describes</t>
  </si>
  <si>
    <t>Descreve / Retrata (Pessoa, Lugar ou Evento)</t>
  </si>
  <si>
    <t>go over</t>
  </si>
  <si>
    <t>Revisar / Examinar / Conferir</t>
  </si>
  <si>
    <t xml:space="preserve">pertinent </t>
  </si>
  <si>
    <t>This information is &lt;strong&gt;pertinent&lt;/strong&gt;.,"&lt;div&gt;&lt;strong&gt;Pertinent:&lt;/strong&gt; Pertinente, relevante.&lt;/div&gt;&lt;div&gt;&lt;br&gt;&lt;/div&gt;&lt;div&gt;Adjetivo que descreve algo que está diretamente relacionado e é importante para o assunto em questão. A nuance é a de &lt;strong&gt;relevância direta&lt;/strong&gt;.&lt;/div&gt;"</t>
  </si>
  <si>
    <t>gallon</t>
  </si>
  <si>
    <t>Galão (Unidade de Medida)</t>
  </si>
  <si>
    <t>override</t>
  </si>
  <si>
    <t>Sobrepor / Anular (Comando / Código)</t>
  </si>
  <si>
    <t>decrease</t>
  </si>
  <si>
    <t>You should &lt;strong&gt;decrease&lt;/strong&gt; the speed.,"&lt;div&gt;&lt;strong&gt;Decrease:&lt;/strong&gt; Diminuir, reduzir.&lt;/div&gt;&lt;div&gt;&lt;br&gt;&lt;/div&gt;&lt;div&gt;Significa tornar algo menor em quantidade, tamanho ou intensidade. O oposto de ""increase"". A nuance é a de &lt;strong&gt;redução&lt;/strong&gt;.&lt;/div&gt;"</t>
  </si>
  <si>
    <t>signature</t>
  </si>
  <si>
    <t>Assinatura (Legal / Formal)</t>
  </si>
  <si>
    <t>shift</t>
  </si>
  <si>
    <t>Mudança / Alteração (Geral / Abstrato)</t>
  </si>
  <si>
    <t>differentiated</t>
  </si>
  <si>
    <t>They are &lt;strong&gt;differentiated&lt;/strong&gt; by color.,"&lt;div&gt;&lt;strong&gt;Differentiated:&lt;/strong&gt; Diferenciado.&lt;/div&gt;&lt;div&gt;&lt;br&gt;&lt;/div&gt;&lt;div&gt;Significa que as diferenças entre duas ou mais coisas são mostradas ou reconhecidas. A nuance é a de &lt;strong&gt;tornar ou mostrar as diferenças&lt;/strong&gt;.&lt;/div&gt;"</t>
  </si>
  <si>
    <t>known</t>
  </si>
  <si>
    <t>Conhecido / Sabido (Fato ou Informação)</t>
  </si>
  <si>
    <t>accepts</t>
  </si>
  <si>
    <t>Aceita / Recebe (Físico / Digital)</t>
  </si>
  <si>
    <t>to better</t>
  </si>
  <si>
    <t>This is &lt;strong&gt;to better&lt;/strong&gt; understand.,"&lt;div&gt;&lt;strong&gt;To better:&lt;/strong&gt; Para melhor.&lt;/div&gt;&lt;div&gt;&lt;br&gt;&lt;/div&gt;&lt;div&gt;Estrutura usada para indicar que uma ação é feita com o propósito de melhorar algo (neste caso, o entendimento). A nuance é a de &lt;strong&gt;fazer algo com o propósito de melhoria&lt;/strong&gt;.&lt;/div&gt;"</t>
  </si>
  <si>
    <t>indicates</t>
  </si>
  <si>
    <t>Indica / Aponta / Mostra (Direção ou Local)</t>
  </si>
  <si>
    <t>given</t>
  </si>
  <si>
    <t>Dado / Apresentado (Premissa / Fato)</t>
  </si>
  <si>
    <t>dear</t>
  </si>
  <si>
    <t>Caro / Estimado (Início de Carta / Formal)</t>
  </si>
  <si>
    <t>overloading</t>
  </si>
  <si>
    <t>Method &lt;strong&gt;overloading&lt;/strong&gt; is useful.,"&lt;div&gt;&lt;strong&gt;Overloading:&lt;/strong&gt; Sobrecarga.&lt;/div&gt;&lt;div&gt;&lt;br&gt;&lt;/div&gt;&lt;div&gt;Em programação, é a capacidade de definir múltiplos métodos com o mesmo nome, mas com parâmetros diferentes, na mesma classe. A nuance é a de &lt;strong&gt;mesmo nome, diferentes parâmetros&lt;/strong&gt;.&lt;/div&gt;"</t>
  </si>
  <si>
    <t>to do so</t>
  </si>
  <si>
    <t>You need a key &lt;strong&gt;to do so&lt;/strong&gt;.,"&lt;div&gt;&lt;strong&gt;To do so:&lt;/strong&gt; Para fazer isso.&lt;/div&gt;&lt;div&gt;&lt;br&gt;&lt;/div&gt;&lt;div&gt;É uma forma formal e concisa de se referir a uma ação que acabou de ser mencionada, evitando repetição. A nuance é a de &lt;strong&gt;executar a ação mencionada&lt;/strong&gt;.&lt;/div&gt;"</t>
  </si>
  <si>
    <t>in such a way</t>
  </si>
  <si>
    <t>It was designed &lt;strong&gt;in such a way&lt;/strong&gt;.,"&lt;div&gt;&lt;strong&gt;In such a way:&lt;/strong&gt; De tal forma, de tal maneira.&lt;/div&gt;&lt;div&gt;&lt;br&gt;&lt;/div&gt;&lt;div&gt;Expressão usada para explicar o método ou a maneira como algo foi feito para alcançar um resultado específico. A nuance é a de &lt;strong&gt;um método com um propósito&lt;/strong&gt;.&lt;/div&gt;"</t>
  </si>
  <si>
    <t>it can be</t>
  </si>
  <si>
    <t>&lt;strong&gt;It can be&lt;/strong&gt; difficult sometimes.,"&lt;div&gt;&lt;strong&gt;It can be:&lt;/strong&gt; Pode ser.&lt;/div&gt;&lt;div&gt;&lt;br&gt;&lt;/div&gt;&lt;div&gt;Expressão que afirma que uma possibilidade existe. É uma declaração de que algo é possível. A nuance é a de &lt;strong&gt;afirmar uma possibilidade&lt;/strong&gt;.&lt;/div&gt;"</t>
  </si>
  <si>
    <t>reusable</t>
  </si>
  <si>
    <t>Reutilizável (TI / POO)</t>
  </si>
  <si>
    <t>principle</t>
  </si>
  <si>
    <t>Princípio / Lei Fundamental (Regra)</t>
  </si>
  <si>
    <t>descriptive</t>
  </si>
  <si>
    <t>Descritivo / Narrativo (Comunicação)</t>
  </si>
  <si>
    <t>curly</t>
  </si>
  <si>
    <t>Encaracolado / Cacheado (Cabelo)</t>
  </si>
  <si>
    <t>static</t>
  </si>
  <si>
    <t>Estático / Fixo / Imutável (TI / POO)</t>
  </si>
  <si>
    <t>needs</t>
  </si>
  <si>
    <t>The program &lt;strong&gt;needs&lt;/strong&gt; this file.,"&lt;div&gt;&lt;strong&gt;Needs:&lt;/strong&gt; Precisa de.&lt;/div&gt;&lt;div&gt;&lt;br&gt;&lt;/div&gt;&lt;div&gt;Verbo ""to need"" na terceira pessoa. Indica que algo é necessário ou requerido. A nuance é a de um &lt;strong&gt;requisito essencial&lt;/strong&gt;.&lt;/div&gt;"</t>
  </si>
  <si>
    <t>include</t>
  </si>
  <si>
    <t>Incluir / Conter / Abranger (Composição)</t>
  </si>
  <si>
    <t>class</t>
  </si>
  <si>
    <t>This is a Java &lt;strong&gt;class&lt;/strong&gt;.,"&lt;div&gt;&lt;strong&gt;Class:&lt;/strong&gt; Classe, aula.&lt;/div&gt;&lt;div&gt;&lt;br&gt;&lt;/div&gt;&lt;div&gt;Em programação, é um modelo para criar objetos. No geral, pode ser uma aula ou uma categoria de coisas. A nuance é a de um &lt;strong&gt;modelo ou categoria&lt;/strong&gt;.&lt;/div&gt;"</t>
  </si>
  <si>
    <t>or even</t>
  </si>
  <si>
    <t>It could be this, &lt;strong&gt;or even&lt;/strong&gt; that.,"&lt;div&gt;&lt;strong&gt;Or even:&lt;/strong&gt; Ou até mesmo.&lt;/div&gt;&lt;div&gt;&lt;br&gt;&lt;/div&gt;&lt;div&gt;Expressão usada para introduzir uma possibilidade mais extrema ou surpreendente em comparação com a anterior. A nuance é a de &lt;strong&gt;adicionar uma opção mais forte&lt;/strong&gt;.&lt;/div&gt;"</t>
  </si>
  <si>
    <t>string</t>
  </si>
  <si>
    <t>Sequência de Caracteres (TI / Java)</t>
  </si>
  <si>
    <t>integer</t>
  </si>
  <si>
    <t>This is an &lt;strong&gt;integer&lt;/strong&gt;.,"&lt;div&gt;&lt;strong&gt;Integer:&lt;/strong&gt; Número inteiro.&lt;/div&gt;&lt;div&gt;&lt;br&gt;&lt;/div&gt;&lt;div&gt;Refere-se a um número inteiro, que não tem parte fracionária. A nuance é a de um &lt;strong&gt;número completo, sem frações&lt;/strong&gt;.&lt;/div&gt;"</t>
  </si>
  <si>
    <t>are known</t>
  </si>
  <si>
    <t>São Conhecidos / São Famosos (Reputação)</t>
  </si>
  <si>
    <t>double</t>
  </si>
  <si>
    <t>Use a &lt;strong&gt;double&lt;/strong&gt; for this number.,"&lt;div&gt;&lt;strong&gt;Double:&lt;/strong&gt; Duplo, dobro.&lt;/div&gt;&lt;div&gt;&lt;br&gt;&lt;/div&gt;&lt;div&gt;Em programação, é um tipo de dado para números com pontos flutuantes (decimais) de precisão dupla. A nuance é a de um &lt;strong&gt;número decimal de alta precisão&lt;/strong&gt;.&lt;/div&gt;"</t>
  </si>
  <si>
    <t>long</t>
  </si>
  <si>
    <t>Longo / Extenso (Distância / Duração)</t>
  </si>
  <si>
    <t>isn't set up</t>
  </si>
  <si>
    <t>The value &lt;strong&gt;isn't set up&lt;/strong&gt;.,"&lt;div&gt;&lt;strong&gt;Isn't set up:&lt;/strong&gt; Não está configurado.&lt;/div&gt;&lt;div&gt;&lt;br&gt;&lt;/div&gt;&lt;div&gt;Expressão que significa que algo não foi preparado, arranjado ou inicializado para uso. A nuance é a da &lt;strong&gt;falta de preparação ou configuração&lt;/strong&gt;.&lt;/div&gt;"</t>
  </si>
  <si>
    <t>debt</t>
  </si>
  <si>
    <t>This is technical &lt;strong&gt;debt&lt;/strong&gt;.,"&lt;div&gt;&lt;strong&gt;Debt:&lt;/strong&gt; Dívida, débito.&lt;/div&gt;&lt;div&gt;&lt;br&gt;&lt;/div&gt;&lt;div&gt;Em programação, ""technical debt"" refere-se ao custo implícito de retrabalho causado por escolher uma solução fácil agora em vez de usar uma abordagem melhor. A nuance é a de uma &lt;strong&gt;obrigação futura causada por uma decisão presente&lt;/strong&gt;.&lt;/div&gt;"</t>
  </si>
  <si>
    <t>sponge</t>
  </si>
  <si>
    <t>Sponge - Esponja (Objeto Físico)</t>
  </si>
  <si>
    <t>comma</t>
  </si>
  <si>
    <t>Comma - Vírgula (Sinal de Pontuação / Sintaxe Java)</t>
  </si>
  <si>
    <t>matching</t>
  </si>
  <si>
    <t>Correspondendo / Equivalendo (Igualdade)</t>
  </si>
  <si>
    <t>differ</t>
  </si>
  <si>
    <t>The results may &lt;strong&gt;differ&lt;/strong&gt;.,"&lt;div&gt;&lt;strong&gt;Differ:&lt;/strong&gt; Diferir, ser diferente.&lt;/div&gt;&lt;div&gt;&lt;br&gt;&lt;/div&gt;&lt;div&gt;Verbo que significa não ser o mesmo que outra coisa ou pessoa. A nuance é a da &lt;strong&gt;existência de uma diferença&lt;/strong&gt;.&lt;/div&gt;"</t>
  </si>
  <si>
    <t>lenght</t>
  </si>
  <si>
    <t>Comprimento / Extensão (Dimensão)</t>
  </si>
  <si>
    <t>with these</t>
  </si>
  <si>
    <t>&lt;strong&gt;With these&lt;/strong&gt;, you can build it.,"&lt;div&gt;&lt;strong&gt;With these:&lt;/strong&gt; Com estes, com estas.&lt;/div&gt;&lt;div&gt;&lt;br&gt;&lt;/div&gt;&lt;div&gt;Expressão usada para indicar que os itens mencionados anteriormente (próximos a quem fala) são as ferramentas ou os meios para realizar uma ação. A nuance é a de &lt;strong&gt;usar os itens presentes&lt;/strong&gt;.&lt;/div&gt;"</t>
  </si>
  <si>
    <t>normally</t>
  </si>
  <si>
    <t>Normally - Normalmente / Geralmente (Rotina e Padrão)</t>
  </si>
  <si>
    <t>usage</t>
  </si>
  <si>
    <t>Uso / Utilização (Ato de Usar)</t>
  </si>
  <si>
    <t>itself</t>
  </si>
  <si>
    <t>A Si Mesmo / A Si Próprio (Reflexivo)</t>
  </si>
  <si>
    <t>directly</t>
  </si>
  <si>
    <t>Diretamente / Imediatamente (Tempo / Ação)</t>
  </si>
  <si>
    <t>that way</t>
  </si>
  <si>
    <t>Naquela Direção / Por Aquele Caminho (Direção)</t>
  </si>
  <si>
    <t>cubed</t>
  </si>
  <si>
    <t>Elevado ao Cubo / Elevado à Terceira Potência (Matemática)</t>
  </si>
  <si>
    <t>declare</t>
  </si>
  <si>
    <t>You must &lt;strong&gt;declare&lt;/strong&gt; a variable.,"&lt;div&gt;&lt;strong&gt;Declare:&lt;/strong&gt; Declarar.&lt;/div&gt;&lt;div&gt;&lt;br&gt;&lt;/div&gt;&lt;div&gt;Em programação, significa criar uma variável, função ou classe, especificando seu nome e tipo antes de usá-la. A nuance é a de &lt;strong&gt;anunciar formalmente a existência de um elemento no código&lt;/strong&gt;.&lt;/div&gt;"</t>
  </si>
  <si>
    <t>assigning</t>
  </si>
  <si>
    <t>You are &lt;strong&gt;assigning&lt;/strong&gt; a value.,"&lt;div&gt;&lt;strong&gt;Assigning:&lt;/strong&gt; Atribuindo.&lt;/div&gt;&lt;div&gt;&lt;br&gt;&lt;/div&gt;&lt;div&gt;É o ato de dar um valor a uma variável. Em muitas linguagens, usa-se o sinal de igual (=) para isso. A nuance é a de &lt;strong&gt;dar um valor a algo&lt;/strong&gt;.&lt;/div&gt;"</t>
  </si>
  <si>
    <t>have to be</t>
  </si>
  <si>
    <t>Tem Que Ser / Precisa Ser (Obrigação / Regra)</t>
  </si>
  <si>
    <t>let me</t>
  </si>
  <si>
    <t>Deixe-me / Permita-me (Pedido de Permissão)</t>
  </si>
  <si>
    <t>let's</t>
  </si>
  <si>
    <t>&lt;strong&gt;Let's&lt;/strong&gt; start the project.,"&lt;div&gt;&lt;strong&gt;Let's:&lt;/strong&gt; Vamos.&lt;/div&gt;&lt;div&gt;&lt;br&gt;&lt;/div&gt;&lt;div&gt;É a contração de ""let us"". Usada para fazer uma sugestão de uma atividade em grupo que inclui quem fala. A nuance é a de uma &lt;strong&gt;sugestão para uma ação conjunta&lt;/strong&gt;.&lt;/div&gt;"</t>
  </si>
  <si>
    <t>parakeet</t>
  </si>
  <si>
    <t>The &lt;strong&gt;parakeet&lt;/strong&gt; is a small bird.,"&lt;div&gt;&lt;strong&gt;Parakeet:&lt;/strong&gt; Periquito.&lt;/div&gt;&lt;div&gt;&lt;br&gt;&lt;/div&gt;&lt;div&gt;Refere-se a uma espécie de papagaio pequeno e de cauda longa, muitas vezes mantido como animal de estimação. A nuance é a de um &lt;strong&gt;pássaro específico&lt;/strong&gt;.&lt;/div&gt;"</t>
  </si>
  <si>
    <t>parameter</t>
  </si>
  <si>
    <t>Parameter - Parâmetro (Programação Java - ALTA Relevância)</t>
  </si>
  <si>
    <t>equal</t>
  </si>
  <si>
    <t>Igual / Equivalente (Valor / Quantidade)</t>
  </si>
  <si>
    <t>simplified</t>
  </si>
  <si>
    <t>Simplificado / Facilitado (Complexidade)</t>
  </si>
  <si>
    <t>beginner</t>
  </si>
  <si>
    <t>Iniciante / Principiante (Habilidade / Nível)</t>
  </si>
  <si>
    <t>sign up</t>
  </si>
  <si>
    <t>Inscrever-se / Registrar-se (Serviço/Conta)</t>
  </si>
  <si>
    <t>overloaded</t>
  </si>
  <si>
    <t>Sobrecarga / Excesso de Carga (TI / Física)</t>
  </si>
  <si>
    <t>method</t>
  </si>
  <si>
    <t>Método / Função (TI / Programação)</t>
  </si>
  <si>
    <t>fine</t>
  </si>
  <si>
    <t>Bom / Ótimo / Bem (Qualidade / Condição)</t>
  </si>
  <si>
    <t>topping</t>
  </si>
  <si>
    <t>Cobertura / Recheio (Culinária)</t>
  </si>
  <si>
    <t>plus</t>
  </si>
  <si>
    <t>Vantagem / Bônus (Substantivo)</t>
  </si>
  <si>
    <t>previously</t>
  </si>
  <si>
    <t>As mentioned &lt;strong&gt;previously&lt;/strong&gt;.,"&lt;div&gt;&lt;strong&gt;Previously:&lt;/strong&gt; Previamente, anteriormente.&lt;/div&gt;&lt;div&gt;&lt;br&gt;&lt;/div&gt;&lt;div&gt;Advérbio que se refere a um tempo anterior ao momento presente ou ao que está sendo discutido. A nuance é a de &lt;strong&gt;algo que aconteceu antes&lt;/strong&gt;.&lt;/div&gt;"</t>
  </si>
  <si>
    <t>spell</t>
  </si>
  <si>
    <t>Feitiço / Encantamento (Substantivo)</t>
  </si>
  <si>
    <t>flat</t>
  </si>
  <si>
    <t>Plano / Liso / Nivelado (Superfície)</t>
  </si>
  <si>
    <t>scope</t>
  </si>
  <si>
    <t>Escopo / Alcance (Projeto / Abstrato)</t>
  </si>
  <si>
    <t>view</t>
  </si>
  <si>
    <t>Vista / Paisagem (Físico)</t>
  </si>
  <si>
    <t>set up</t>
  </si>
  <si>
    <t>Instalar / Configurar (TI / Equipamento)</t>
  </si>
  <si>
    <t>outside</t>
  </si>
  <si>
    <t>Fora / No Exterior de (Localização Física)</t>
  </si>
  <si>
    <t>feature</t>
  </si>
  <si>
    <t>Característica / Aspecto (Substantivo)</t>
  </si>
  <si>
    <t>golden</t>
  </si>
  <si>
    <t>Dourado / De Ouro (Cor/Material)</t>
  </si>
  <si>
    <t>throne</t>
  </si>
  <si>
    <t>Trono (Assento de Realeza)</t>
  </si>
  <si>
    <t>born</t>
  </si>
  <si>
    <t>Nascido (Origem / Evento)</t>
  </si>
  <si>
    <t>patterns</t>
  </si>
  <si>
    <t>Padrões / Modelos (Design / Estrutura)</t>
  </si>
  <si>
    <t>gonna be</t>
  </si>
  <si>
    <t>Vai Ser / Será (Futuro / Plano)</t>
  </si>
  <si>
    <t>going up</t>
  </si>
  <si>
    <t>Subindo / Indo para Cima (Movimento Físico)</t>
  </si>
  <si>
    <t>glowing</t>
  </si>
  <si>
    <t>Brilhando / Radiante (Luz)</t>
  </si>
  <si>
    <t>looking for</t>
  </si>
  <si>
    <t>Procurar / Buscar</t>
  </si>
  <si>
    <t>We are &lt;strong&gt;looking&lt;/strong&gt; for a solution.,"&lt;div&gt;&lt;strong&gt;Looking:&lt;/strong&gt; Procurando, olhando.&lt;/div&gt;&lt;div&gt;&lt;br&gt;&lt;/div&gt;&lt;div&gt;Verbo ""to look"" no gerúndio. ""Looking for"" é um phrasal verb que significa procurar. A nuance é a do &lt;strong&gt;ato de procurar ou olhar&lt;/strong&gt;.&lt;/div&gt;"</t>
  </si>
  <si>
    <t>build</t>
  </si>
  <si>
    <t>Construir / Montar (Verbo - Software / Físico)</t>
  </si>
  <si>
    <t>maintenance</t>
  </si>
  <si>
    <t>Manutenção / Conservação (Física)</t>
  </si>
  <si>
    <t>practically</t>
  </si>
  <si>
    <t>Praticamente / Quase (Virtualmente)</t>
  </si>
  <si>
    <t>plays</t>
  </si>
  <si>
    <t>Joga / Brinca (Ação)</t>
  </si>
  <si>
    <t>army</t>
  </si>
  <si>
    <t>Exército / Forças Armadas (Militar)</t>
  </si>
  <si>
    <t>undead</t>
  </si>
  <si>
    <t>The hero fought the &lt;strong&gt;undead&lt;/strong&gt;.,"&lt;div&gt;&lt;strong&gt;Undead:&lt;/strong&gt; Morto-vivo.&lt;/div&gt;&lt;div&gt;&lt;br&gt;&lt;/div&gt;&lt;div&gt;Refere-se a criaturas que estão mortas mas se comportam como se estivessem vivas, como zumbis e vampiros. A nuance é a de uma &lt;strong&gt;criatura morta e reanimada&lt;/strong&gt;.&lt;/div&gt;"</t>
  </si>
  <si>
    <t>pamper</t>
  </si>
  <si>
    <t>You should &lt;strong&gt;pamper&lt;/strong&gt; yourself.,"&lt;div&gt;&lt;strong&gt;Pamper:&lt;/strong&gt; Mimar, paparicar.&lt;/div&gt;&lt;div&gt;&lt;br&gt;&lt;/div&gt;&lt;div&gt;Significa tratar alguém com extremo cuidado e conforto, oferecendo luxos. A nuance é a de um &lt;strong&gt;cuidado excessivo e luxuoso&lt;/strong&gt;.&lt;/div&gt;"</t>
  </si>
  <si>
    <t>carrying</t>
  </si>
  <si>
    <t>Carregando / Transportando (Físico)</t>
  </si>
  <si>
    <t>royal</t>
  </si>
  <si>
    <t>Real / Relativo à Realeza (Monarquia)</t>
  </si>
  <si>
    <t>deepest</t>
  </si>
  <si>
    <t>Mais Profundo (Distância Física)</t>
  </si>
  <si>
    <t>darkest</t>
  </si>
  <si>
    <t>Mais Escuro / Mais Sombrio (Luz)</t>
  </si>
  <si>
    <t>pit</t>
  </si>
  <si>
    <t>Poço / Buraco / Cova (Físico)</t>
  </si>
  <si>
    <t>ditching</t>
  </si>
  <si>
    <t>Descartando / Abandonando (Objeto/Pessoa/Ideia)</t>
  </si>
  <si>
    <t>mid-battle</t>
  </si>
  <si>
    <t>He fled &lt;strong&gt;mid-battle&lt;/strong&gt;.,"&lt;div&gt;&lt;strong&gt;Mid-battle:&lt;/strong&gt; No meio da batalha.&lt;/div&gt;&lt;div&gt;&lt;br&gt;&lt;/div&gt;&lt;div&gt;Expressão que significa que algo aconteceu durante o decorrer de uma batalha ou conflito. A nuance é a de &lt;strong&gt;ocorrer durante um conflito&lt;/strong&gt;.&lt;/div&gt;"</t>
  </si>
  <si>
    <t>minion</t>
  </si>
  <si>
    <t>Servo / Subordinado (Literal/Figurado)</t>
  </si>
  <si>
    <t>tanky</t>
  </si>
  <si>
    <t>This character is very &lt;strong&gt;tanky&lt;/strong&gt;.,"&lt;div&gt;&lt;strong&gt;Tanky:&lt;/strong&gt; Resistente, ""tanque"".&lt;/div&gt;&lt;div&gt;&lt;br&gt;&lt;/div&gt;&lt;div&gt;Gíria de jogos que descreve um personagem com muita vida e defesa, capaz de absorver muito dano. A nuance é a de &lt;strong&gt;alta capacidade de sobrevivência&lt;/strong&gt;.&lt;/div&gt;"</t>
  </si>
  <si>
    <t>stand up</t>
  </si>
  <si>
    <t>Deixar Plantado (Compromisso)</t>
  </si>
  <si>
    <t>denizens</t>
  </si>
  <si>
    <t>Habitantes / Moradores (Literal)</t>
  </si>
  <si>
    <t>relies</t>
  </si>
  <si>
    <t>Depende (Dependência de Algo/Alguém)</t>
  </si>
  <si>
    <t>exclusively</t>
  </si>
  <si>
    <t>Exclusivamente / Somente (Foco Único)</t>
  </si>
  <si>
    <t>fulfilling</t>
  </si>
  <si>
    <t>Realizador / Gratificante (Sentimento)</t>
  </si>
  <si>
    <t>completely</t>
  </si>
  <si>
    <t>Completamente / Totalmente (Totalidade)</t>
  </si>
  <si>
    <t>soul</t>
  </si>
  <si>
    <t>Alma / Espírito (Religião / Essência)</t>
  </si>
  <si>
    <t>multiplier</t>
  </si>
  <si>
    <t>Multiplicador (Matemática / TI)</t>
  </si>
  <si>
    <t>reap</t>
  </si>
  <si>
    <t>Colher / Ceifar (Colheita / Agricultura)</t>
  </si>
  <si>
    <t>plateau</t>
  </si>
  <si>
    <t>Planalto / Platô (Geografia / Físico)</t>
  </si>
  <si>
    <t>guaranteed</t>
  </si>
  <si>
    <t>Garantido / Assegurado (Promessa / Segurança)</t>
  </si>
  <si>
    <t>overpowered</t>
  </si>
  <si>
    <t>Dominado / Vencido (Força Física ou Numérica)</t>
  </si>
  <si>
    <t>substantially</t>
  </si>
  <si>
    <t>Substancialmente / Consideravelmente (Quantidade / Grau)</t>
  </si>
  <si>
    <t>tapping</t>
  </si>
  <si>
    <t>You are &lt;strong&gt;tapping into&lt;/strong&gt; a new power.,"&lt;div&gt;&lt;strong&gt;Tapping into:&lt;/strong&gt; Acessando, utilizando.&lt;/div&gt;&lt;div&gt;&lt;br&gt;&lt;/div&gt;&lt;div&gt;Phrasal verb que significa conseguir usar ou acessar um recurso, como uma fonte de energia, conhecimento ou poder. A nuance é a de &lt;strong&gt;conseguir acesso a um recurso valioso&lt;/strong&gt;.&lt;/div&gt;"</t>
  </si>
  <si>
    <t>roughly</t>
  </si>
  <si>
    <t>cornered</t>
  </si>
  <si>
    <t>Encurralado / Sem Saída (Físico / Situação)</t>
  </si>
  <si>
    <t>reapers</t>
  </si>
  <si>
    <t>Ceifeiros / Colheitadeiras (Agricultura)</t>
  </si>
  <si>
    <t>brew</t>
  </si>
  <si>
    <t>The witch is making a &lt;strong&gt;brew&lt;/strong&gt;.,"&lt;div&gt;&lt;strong&gt;Brew:&lt;/strong&gt; Fazer (cerveja, chá), poção.&lt;/div&gt;&lt;div&gt;&lt;br&gt;&lt;/div&gt;&lt;div&gt;Como verbo, é o processo de fazer cerveja, chá ou café. Como substantivo, pode ser a bebida em si ou uma poção mágica. A nuance é a de &lt;strong&gt;preparar uma bebida por infusão ou uma mistura&lt;/strong&gt;.&lt;/div&gt;"</t>
  </si>
  <si>
    <t>playability</t>
  </si>
  <si>
    <t>Jogabilidade (Jogos / Mídia Interativa)</t>
  </si>
  <si>
    <t>assumes</t>
  </si>
  <si>
    <t>Supor / Presumir</t>
  </si>
  <si>
    <t>torment</t>
  </si>
  <si>
    <t>Sofrimento / Agonia (Substantivo)</t>
  </si>
  <si>
    <t>get there</t>
  </si>
  <si>
    <t>We will eventually &lt;strong&gt;get there&lt;/strong&gt;.,"&lt;div&gt;&lt;strong&gt;Get there:&lt;/strong&gt; Chegar lá.&lt;/div&gt;&lt;div&gt;&lt;br&gt;&lt;/div&gt;&lt;div&gt;Expressão que significa alcançar um destino ou um objetivo, muitas vezes após um esforço. A nuance é a de &lt;strong&gt;alcançar um destino ou objetivo&lt;/strong&gt;.&lt;/div&gt;"</t>
  </si>
  <si>
    <t>compares</t>
  </si>
  <si>
    <t>Compara / Confronta (Similaridade / Diferença)</t>
  </si>
  <si>
    <t>enhanced</t>
  </si>
  <si>
    <t>This is an &lt;strong&gt;enhanced&lt;/strong&gt; version.,"&lt;div&gt;&lt;strong&gt;Enhanced:&lt;/strong&gt; Aprimorado, melhorado.&lt;/div&gt;&lt;div&gt;&lt;br&gt;&lt;/div&gt;&lt;div&gt;Significa que a qualidade ou o valor de algo foi melhorado ou aumentado. A nuance é a de uma &lt;strong&gt;melhoria na qualidade&lt;/strong&gt;.&lt;/div&gt;"</t>
  </si>
  <si>
    <t>blight</t>
  </si>
  <si>
    <t>Praga / Doença (Vegetal)</t>
  </si>
  <si>
    <t>provides</t>
  </si>
  <si>
    <t>Fornece / Oferece (Entrega de Algo)</t>
  </si>
  <si>
    <t>enemies</t>
  </si>
  <si>
    <t>Inimigos / Oponentes (Pessoas / Grupos)</t>
  </si>
  <si>
    <t>eater</t>
  </si>
  <si>
    <t>He is a soul &lt;strong&gt;eater&lt;/strong&gt;.,"&lt;div&gt;&lt;strong&gt;Eater:&lt;/strong&gt; Comedor.&lt;/div&gt;&lt;div&gt;&lt;br&gt;&lt;/div&gt;&lt;div&gt;Refere-se a alguém ou algo que come. Frequentemente usado em combinação com outras palavras (ex: ""big eater"", ""soul eater""). A nuance é a de &lt;strong&gt;aquele que come&lt;/strong&gt;.&lt;/div&gt;"</t>
  </si>
  <si>
    <t>instantly</t>
  </si>
  <si>
    <t>The fire was doused &lt;strong&gt;instantly&lt;/strong&gt;.,"&lt;div&gt;&lt;strong&gt;Instantly:&lt;/strong&gt; Instantaneamente, imediatamente.&lt;/div&gt;&lt;div&gt;&lt;br&gt;&lt;/div&gt;&lt;div&gt;Advérbio que significa que algo aconteceu de forma imediata, sem nenhum atraso. A nuance é a da &lt;strong&gt;ação imediata&lt;/strong&gt;.&lt;/div&gt;"</t>
  </si>
  <si>
    <t>fuel</t>
  </si>
  <si>
    <t>Combustível / Gás / Energia (Substantivo)</t>
  </si>
  <si>
    <t>fueled</t>
  </si>
  <si>
    <t>Abasteceu / Alimentou (Físico)</t>
  </si>
  <si>
    <t>decrepify</t>
  </si>
  <si>
    <t>The curse will &lt;strong&gt;decrepify&lt;/strong&gt; the enemy.,"&lt;div&gt;&lt;strong&gt;Decrepify:&lt;/strong&gt; Tornar decrépito.&lt;/div&gt;&lt;div&gt;&lt;br&gt;&lt;/div&gt;&lt;div&gt;Verbo que significa tornar algo ou alguém velho e fraco. Em jogos, geralmente é uma maldição que enfraquece o inimigo. A nuance é a de &lt;strong&gt;causar fraqueza e envelhecimento&lt;/strong&gt;.&lt;/div&gt;"</t>
  </si>
  <si>
    <t>procs</t>
  </si>
  <si>
    <t>triggered</t>
  </si>
  <si>
    <t>Desencadeado / Ativado (Ação / TI)</t>
  </si>
  <si>
    <t>breeches</t>
  </si>
  <si>
    <t>He wore riding &lt;strong&gt;breeches&lt;/strong&gt;.,"&lt;div&gt;&lt;strong&gt;Breeches:&lt;/strong&gt; Calções, culotes.&lt;/div&gt;&lt;div&gt;&lt;br&gt;&lt;/div&gt;&lt;div&gt;Refere-se a um tipo de calça curta que vai até os joelhos, historicamente usada para cavalgar. A nuance é a de uma &lt;strong&gt;peça de vestuário histórica&lt;/strong&gt;.&lt;/div&gt;"</t>
  </si>
  <si>
    <t>solely</t>
  </si>
  <si>
    <t>This works &lt;strong&gt;solely&lt;/strong&gt; because of that.,"&lt;div&gt;&lt;strong&gt;Solely:&lt;/strong&gt; Unicamente, exclusivamente.&lt;/div&gt;&lt;div&gt;&lt;br&gt;&lt;/div&gt;&lt;div&gt;Advérbio que significa ""apenas"" e nada mais. Enfatiza que não há nenhuma outra pessoa, coisa ou razão envolvida. Sinônimo de ""exclusively"". A nuance é a da &lt;strong&gt;exclusividade total&lt;/strong&gt;.&lt;/div&gt;"</t>
  </si>
  <si>
    <t>runs out</t>
  </si>
  <si>
    <t>Esgota / Acaba (Recursos/Tempo)</t>
  </si>
  <si>
    <t>tendrils</t>
  </si>
  <si>
    <t>Gavinhas / Vides (Botânica)</t>
  </si>
  <si>
    <t>pulls</t>
  </si>
  <si>
    <t>Puxa / Arrasta (Movimento Físico)</t>
  </si>
  <si>
    <t>tightly</t>
  </si>
  <si>
    <t>Firmemente / Apertadamente (Físico)</t>
  </si>
  <si>
    <t>off of you</t>
  </si>
  <si>
    <t>Get the enemies &lt;strong&gt;off of you&lt;/strong&gt;.,"&lt;div&gt;&lt;strong&gt;Off of you:&lt;/strong&gt; Fora de você, de cima de você.&lt;/div&gt;&lt;div&gt;&lt;br&gt;&lt;/div&gt;&lt;div&gt;Expressão que indica a remoção de algo que estava em contato direto com seu corpo. A nuance é a da &lt;strong&gt;remoção de algo que está em contato&lt;/strong&gt;.&lt;/div&gt;"</t>
  </si>
  <si>
    <t>this does</t>
  </si>
  <si>
    <t>&lt;strong&gt;This does&lt;/strong&gt; a lot of damage.,"&lt;div&gt;&lt;strong&gt;This does:&lt;/strong&gt; Isto faz.&lt;/div&gt;&lt;div&gt;&lt;br&gt;&lt;/div&gt;&lt;div&gt;Estrutura que enfatiza a ação de um sujeito (this). O ""does"" é o verbo auxiliar ""do"" na terceira pessoa, usado para dar ênfase. A nuance é a de &lt;strong&gt;enfatizar a ação do sujeito&lt;/strong&gt;.&lt;/div&gt;"</t>
  </si>
  <si>
    <t>blessing</t>
  </si>
  <si>
    <t>Bênção / Graça Divina (Religioso)</t>
  </si>
  <si>
    <t>curse</t>
  </si>
  <si>
    <t>Maldição / Praga (Substantivo)</t>
  </si>
  <si>
    <t>clutch</t>
  </si>
  <si>
    <t>Embreagem (Mecânica)</t>
  </si>
  <si>
    <t>density</t>
  </si>
  <si>
    <t>Densidade (Física / TI)</t>
  </si>
  <si>
    <t>stagger</t>
  </si>
  <si>
    <t>Cambalear / Vacilar (Movimento)</t>
  </si>
  <si>
    <t>glue</t>
  </si>
  <si>
    <t>We need strong glue to fix the broken wooden chair.</t>
  </si>
  <si>
    <t>smooth</t>
  </si>
  <si>
    <t>Liso / Suave / Uniforme (Textura/Superfície)</t>
  </si>
  <si>
    <t>weather</t>
  </si>
  <si>
    <t>Clima / Condição Atmosférica (Substantivo)</t>
  </si>
  <si>
    <t>perform</t>
  </si>
  <si>
    <t>Executar / Realizar (Tarefa / Função)</t>
  </si>
  <si>
    <t>certain</t>
  </si>
  <si>
    <t>Certo / Certeza (Convicção)</t>
  </si>
  <si>
    <t>define</t>
  </si>
  <si>
    <t>Definir / Explicar (Conceito/Significado)</t>
  </si>
  <si>
    <t>chapter</t>
  </si>
  <si>
    <t>Capítulo (Livro / Documento)</t>
  </si>
  <si>
    <t>followed</t>
  </si>
  <si>
    <t>Seguiu / Perseguiu (Movimento/Ação)</t>
  </si>
  <si>
    <t>desktop</t>
  </si>
  <si>
    <t>Computador de Mesa / PC</t>
  </si>
  <si>
    <t>i just got</t>
  </si>
  <si>
    <t>Eu Acabei de Conseguir / Receber (Posse/Obtenção)</t>
  </si>
  <si>
    <t>listed</t>
  </si>
  <si>
    <t>Listado / Enumerado / Arrolado (Sequência)</t>
  </si>
  <si>
    <t>each</t>
  </si>
  <si>
    <t>Cada (Individualidade)</t>
  </si>
  <si>
    <t>oriented</t>
  </si>
  <si>
    <t>Orientado / Direcionado (POO / Sentido)</t>
  </si>
  <si>
    <t>concepts</t>
  </si>
  <si>
    <t>Conceitos / Ideias (Abstrato / Geral)</t>
  </si>
  <si>
    <t>breaks</t>
  </si>
  <si>
    <t>Quebra / Rompe / Viola (Verbo)</t>
  </si>
  <si>
    <t>owned</t>
  </si>
  <si>
    <t>Possuído / Pertencente (Propriedade)</t>
  </si>
  <si>
    <t>demand</t>
  </si>
  <si>
    <t>Demanda / Procura (Economia)</t>
  </si>
  <si>
    <t>job</t>
  </si>
  <si>
    <t>Emprego / Cargo / Posição (Carreira)</t>
  </si>
  <si>
    <t>open-source</t>
  </si>
  <si>
    <t>Linux is &lt;strong&gt;open-source&lt;/strong&gt;.,"&lt;div&gt;&lt;strong&gt;Open-source:&lt;/strong&gt; De código aberto.&lt;/div&gt;&lt;div&gt;&lt;br&gt;&lt;/div&gt;&lt;div&gt;Refere-se a software cujo código-fonte está disponível para que qualquer pessoa possa ver, modificar e distribuir. A nuance é a do &lt;strong&gt;código-fonte acessível publicamente&lt;/strong&gt;.&lt;/div&gt;"</t>
  </si>
  <si>
    <t>tens</t>
  </si>
  <si>
    <t>Dezenas / Décadas (Número / Tempo)</t>
  </si>
  <si>
    <t>permits</t>
  </si>
  <si>
    <t>Permite / Autoriza (Verbo)</t>
  </si>
  <si>
    <t>by the end</t>
  </si>
  <si>
    <t>Até o Fim de / Ao Término de (Tempo)</t>
  </si>
  <si>
    <t>close to</t>
  </si>
  <si>
    <t>Perto de / Próximo a (Distância ou Tempo)</t>
  </si>
  <si>
    <t>prior</t>
  </si>
  <si>
    <t>Anterior / Precedente (Adjetivo)</t>
  </si>
  <si>
    <t>way back</t>
  </si>
  <si>
    <t>This happened &lt;strong&gt;way back&lt;/strong&gt; in 2005.,"&lt;div&gt;&lt;strong&gt;Way back:&lt;/strong&gt; Há muito tempo.&lt;/div&gt;&lt;div&gt;&lt;br&gt;&lt;/div&gt;&lt;div&gt;Expressão informal que enfatiza que algo aconteceu há muito tempo no passado. A nuance é a de um &lt;strong&gt;passado distante&lt;/strong&gt;.&lt;/div&gt;"</t>
  </si>
  <si>
    <t>and get this</t>
  </si>
  <si>
    <t>&lt;strong&gt;And get this&lt;/strong&gt;, he won the lottery.,"&lt;div&gt;&lt;strong&gt;And get this:&lt;/strong&gt; E escuta só, e veja só.&lt;/div&gt;&lt;div&gt;&lt;br&gt;&lt;/div&gt;&lt;div&gt;Expressão informal usada para introduzir uma informação surpreendente ou chocante. A nuance é a de &lt;strong&gt;apresentar uma informação impactante&lt;/strong&gt;.&lt;/div&gt;"</t>
  </si>
  <si>
    <t>pretty much</t>
  </si>
  <si>
    <t>It is &lt;strong&gt;pretty much&lt;/strong&gt; the same.,"&lt;div&gt;&lt;strong&gt;Pretty much:&lt;/strong&gt; Praticamente, basicamente.&lt;/div&gt;&lt;div&gt;&lt;br&gt;&lt;/div&gt;&lt;div&gt;Expressão informal que significa ""quase"" ou ""na maior parte"". Sinônimo de ""almost"" ou ""basically"". A nuance é a de &lt;strong&gt;quase totalidade&lt;/strong&gt;.&lt;/div&gt;"</t>
  </si>
  <si>
    <t>got it</t>
  </si>
  <si>
    <t>Okay, I &lt;strong&gt;got it&lt;/strong&gt;.,"&lt;div&gt;&lt;strong&gt;Got it:&lt;/strong&gt; Entendi.&lt;/div&gt;&lt;div&gt;&lt;br&gt;&lt;/div&gt;&lt;div&gt;Expressão informal que é uma forma curta de dizer ""I have got it"" ou ""I understand"". A nuance é a da &lt;strong&gt;confirmação de entendimento&lt;/strong&gt;.&lt;/div&gt;"</t>
  </si>
  <si>
    <t>address</t>
  </si>
  <si>
    <t>Endereço / Local (Substantivo)</t>
  </si>
  <si>
    <t>checkout</t>
  </si>
  <si>
    <t>Finalização de Compra / Caixa (Substantivo)</t>
  </si>
  <si>
    <t>breeze</t>
  </si>
  <si>
    <t>Brisa / Vento Leve (Clima)</t>
  </si>
  <si>
    <t>demonstrate</t>
  </si>
  <si>
    <t>Demonstrar / Mostrar (Habilidade / Prova)</t>
  </si>
  <si>
    <t>managing</t>
  </si>
  <si>
    <t>Gerenciando / Administrando (Controle)</t>
  </si>
  <si>
    <t>collections</t>
  </si>
  <si>
    <t>Coleções / Estruturas de Dados (TI / Java)</t>
  </si>
  <si>
    <t>uppercase</t>
  </si>
  <si>
    <t>Maiúsculo / Caixa Alta (Tipografia)</t>
  </si>
  <si>
    <t>letter</t>
  </si>
  <si>
    <t>Carta / Correspondência (Comunicação)</t>
  </si>
  <si>
    <t>leather</t>
  </si>
  <si>
    <t>The jacket is made of &lt;strong&gt;leather&lt;/strong&gt;.,"&lt;div&gt;&lt;strong&gt;Leather:&lt;/strong&gt; Couro.&lt;/div&gt;&lt;div&gt;&lt;br&gt;&lt;/div&gt;&lt;div&gt;Refere-se ao material feito da pele de um animal, usado para fazer sapatos, jaquetas, etc. A nuance é a do &lt;strong&gt;material específico&lt;/strong&gt;.&lt;/div&gt;"</t>
  </si>
  <si>
    <t>named</t>
  </si>
  <si>
    <t>Nomeado / Batizado (Dar Nome)</t>
  </si>
  <si>
    <t>main</t>
  </si>
  <si>
    <t>Principal / Essencial / Primário (Adjetivo)</t>
  </si>
  <si>
    <t>sensitive</t>
  </si>
  <si>
    <t>Sensível / Suscetível (Físico / Emocional)</t>
  </si>
  <si>
    <t>into</t>
  </si>
  <si>
    <t>starting</t>
  </si>
  <si>
    <t>This is a good &lt;strong&gt;starting point&lt;/strong&gt;.,"&lt;div&gt;&lt;strong&gt;Starting point:&lt;/strong&gt; Ponto de partida.&lt;/div&gt;&lt;div&gt;&lt;br&gt;&lt;/div&gt;&lt;div&gt;Refere-se ao lugar ou ao momento em que algo começa. A nuance é a do &lt;strong&gt;início de um processo ou jornada&lt;/strong&gt;.&lt;/div&gt;"</t>
  </si>
  <si>
    <t>point</t>
  </si>
  <si>
    <t>built-in</t>
  </si>
  <si>
    <t>Java has many &lt;strong&gt;built-in&lt;/strong&gt; methods.,"&lt;div&gt;&lt;strong&gt;Built-in:&lt;/strong&gt; Embutido, integrado.&lt;/div&gt;&lt;div&gt;&lt;br&gt;&lt;/div&gt;&lt;div&gt;Descreve uma funcionalidade que já faz parte de um sistema ou produto e não precisa ser adicionada separadamente. A nuance é a de &lt;strong&gt;fazer parte do sistema original&lt;/strong&gt;.&lt;/div&gt;"</t>
  </si>
  <si>
    <t>curly braces</t>
  </si>
  <si>
    <t>Use &lt;strong&gt;curly braces&lt;/strong&gt; here.,"&lt;div&gt;&lt;strong&gt;Curly braces:&lt;/strong&gt; Chaves { }.&lt;/div&gt;&lt;div&gt;&lt;br&gt;&lt;/div&gt;&lt;div&gt;Refere-se aos caracteres { e }, usados em programação para definir blocos de código, como corpos de classes, métodos ou laços. A nuance é a de um &lt;strong&gt;delimitador de bloco de código&lt;/strong&gt;.&lt;/div&gt;"</t>
  </si>
  <si>
    <t>statement</t>
  </si>
  <si>
    <t>Declaração / Afirmação (Comunicação)</t>
  </si>
  <si>
    <t>This is a Java &lt;strong&gt;statement&lt;/strong&gt;.,"&lt;div&gt;&lt;strong&gt;Statement:&lt;/strong&gt; Declaração, instrução.&lt;/div&gt;&lt;div&gt;&lt;br&gt;&lt;/div&gt;&lt;div&gt;Em programação, é a menor unidade de código executável que expressa uma ação a ser realizada. Geralmente termina com um ponto e vírgula. A nuance é a de uma &lt;strong&gt;única instrução de código&lt;/strong&gt;.&lt;/div&gt;"</t>
  </si>
  <si>
    <t>semicolon</t>
  </si>
  <si>
    <t>Ponto e Vírgula (TI / Programação)</t>
  </si>
  <si>
    <t>colon</t>
  </si>
  <si>
    <t>Cólon (Anatomia)</t>
  </si>
  <si>
    <t>syntax</t>
  </si>
  <si>
    <t>Sintaxe (Programação / Linguística)</t>
  </si>
  <si>
    <t>compiler</t>
  </si>
  <si>
    <t>Compilador (Programa de Software)</t>
  </si>
  <si>
    <t>expected</t>
  </si>
  <si>
    <t>Esperado / Aguardado (Previsão)</t>
  </si>
  <si>
    <t>one by one</t>
  </si>
  <si>
    <t>The code runs &lt;strong&gt;one by one&lt;/strong&gt;.,"&lt;div&gt;&lt;strong&gt;One by one:&lt;/strong&gt; Um por um.&lt;/div&gt;&lt;div&gt;&lt;br&gt;&lt;/div&gt;&lt;div&gt;Advérbio que descreve um processo no qual cada item de um grupo é tratado individualmente e em sequência. A nuance é a da &lt;strong&gt;execução sequencial e individual&lt;/strong&gt;.&lt;/div&gt;"</t>
  </si>
  <si>
    <t>executed</t>
  </si>
  <si>
    <t>Executado / Realizado (Ação/Processo)</t>
  </si>
  <si>
    <t>as you</t>
  </si>
  <si>
    <t>&lt;strong&gt;As you&lt;/strong&gt; can see...,"&lt;div&gt;&lt;strong&gt;As you:&lt;/strong&gt; Como você.&lt;/div&gt;&lt;div&gt;&lt;br&gt;&lt;/div&gt;&lt;div&gt;Início de uma frase usada para direcionar a atenção de alguém para algo que é evidente ou que será explicado. A nuance é a de &lt;strong&gt;direcionar a atenção do ouvinte&lt;/strong&gt;.&lt;/div&gt;"</t>
  </si>
  <si>
    <t>quotes</t>
  </si>
  <si>
    <t>Embrulhado / Envolto (Físico)</t>
  </si>
  <si>
    <t>wrapped</t>
  </si>
  <si>
    <t>sentence</t>
  </si>
  <si>
    <t>Frase / Oração (Gramática)</t>
  </si>
  <si>
    <t>insert</t>
  </si>
  <si>
    <t>Inserir / Colocar Dentro (Físico/Geral)</t>
  </si>
  <si>
    <t>readability</t>
  </si>
  <si>
    <t>Legibilidade / Clareza (Código / Texto)</t>
  </si>
  <si>
    <t>unlike</t>
  </si>
  <si>
    <t>Ao Contrário de / Diferente de (Preposição)</t>
  </si>
  <si>
    <t>calculations</t>
  </si>
  <si>
    <t>Cálculos / Contas (Matemática / TI)</t>
  </si>
  <si>
    <t>comments</t>
  </si>
  <si>
    <t>Comentários / Observações (Substantivo)</t>
  </si>
  <si>
    <t>slashes</t>
  </si>
  <si>
    <t>Barras / Sinais de Barra (TI / Tipografia)</t>
  </si>
  <si>
    <t>amazing</t>
  </si>
  <si>
    <t>Surpreendente / Assombroso (Surpresa)</t>
  </si>
  <si>
    <t>drag</t>
  </si>
  <si>
    <t>Arrastar / Puxar (Movimento Físico)</t>
  </si>
  <si>
    <t>containers</t>
  </si>
  <si>
    <t>Recipientes / Embalagens (Físico)</t>
  </si>
  <si>
    <t>storing</t>
  </si>
  <si>
    <t>Armazenando / Guardando (Dados/Bens)</t>
  </si>
  <si>
    <t>types</t>
  </si>
  <si>
    <t>Tipos / Categorias (Geral / POO)</t>
  </si>
  <si>
    <t>surrounded</t>
  </si>
  <si>
    <t>Cercado / Envolvido (Físico)</t>
  </si>
  <si>
    <t>stores</t>
  </si>
  <si>
    <t>Lojas / Estabelecimentos (Substantivo)</t>
  </si>
  <si>
    <t>integers</t>
  </si>
  <si>
    <t>These are &lt;strong&gt;integers&lt;/strong&gt;.,"&lt;div&gt;&lt;strong&gt;Integers:&lt;/strong&gt; Números inteiros.&lt;/div&gt;&lt;div&gt;&lt;br&gt;&lt;/div&gt;&lt;div&gt;Refere-se a números inteiros, sem partes fracionárias. É um tipo de dado primitivo em muitas linguagens. A nuance é a de um &lt;strong&gt;número completo&lt;/strong&gt;.&lt;/div&gt;"</t>
  </si>
  <si>
    <t>floating</t>
  </si>
  <si>
    <t>Flutuando / Boiando (Físico)</t>
  </si>
  <si>
    <t>characters</t>
  </si>
  <si>
    <t>Caracteres / Símbolos (TI / Texto)</t>
  </si>
  <si>
    <t>decimals</t>
  </si>
  <si>
    <t>Decimais / Números Fracionários (Matemática)</t>
  </si>
  <si>
    <t>such as</t>
  </si>
  <si>
    <t>Como / A Exemplo de (Exemplificação)</t>
  </si>
  <si>
    <t>bolean</t>
  </si>
  <si>
    <t>The value is true or false, a &lt;strong&gt;boolean&lt;/strong&gt;.,"&lt;div&gt;&lt;strong&gt;Boolean:&lt;/strong&gt; Booleano.&lt;/div&gt;&lt;div&gt;&lt;br&gt;&lt;/div&gt;&lt;div&gt;É um tipo de dado em programação que pode ter apenas dois valores: verdadeiro (true) ou falso (false). A nuance é a de um &lt;strong&gt;valor lógico binário&lt;/strong&gt;.&lt;/div&gt;"</t>
  </si>
  <si>
    <t>declaring</t>
  </si>
  <si>
    <t>Declarando / Anunciando (Formal)</t>
  </si>
  <si>
    <t>choose</t>
  </si>
  <si>
    <t>Escolher / Selecionar</t>
  </si>
  <si>
    <t>optionally</t>
  </si>
  <si>
    <t>You can &lt;strong&gt;optionally&lt;/strong&gt; add a value.,"&lt;div&gt;&lt;strong&gt;Optionally:&lt;/strong&gt; Opcionalmente.&lt;/div&gt;&lt;div&gt;&lt;br&gt;&lt;/div&gt;&lt;div&gt;Advérbio que significa que algo não é obrigatório; pode ser feito ou não, por escolha. A nuance é a da &lt;strong&gt;não obrigatoriedade&lt;/strong&gt;.&lt;/div&gt;"</t>
  </si>
  <si>
    <t>assign</t>
  </si>
  <si>
    <t>Atribuir / Designar (Tarefa / Função)</t>
  </si>
  <si>
    <t>overwrite</t>
  </si>
  <si>
    <t>Sobrescrever / Gravar Por Cima (TI / Dados)</t>
  </si>
  <si>
    <t>previous</t>
  </si>
  <si>
    <t>Anterior / Imediatamente Precedente (Sequência)</t>
  </si>
  <si>
    <t>keyword</t>
  </si>
  <si>
    <t>Palavra-Chave / Palavra Reservada (TI / Programação)</t>
  </si>
  <si>
    <t>constant</t>
  </si>
  <si>
    <t>Contínuo / Incessante (Tempo)</t>
  </si>
  <si>
    <t>unchangeable</t>
  </si>
  <si>
    <t>Imutável / Inalterável (TI e Java)</t>
  </si>
  <si>
    <t>mixing</t>
  </si>
  <si>
    <t>Misturando / Combinando (Físico/Substâncias)</t>
  </si>
  <si>
    <t>output</t>
  </si>
  <si>
    <t>Saída / Dados de Saída (TI / Abstrato)</t>
  </si>
  <si>
    <t>input</t>
  </si>
  <si>
    <t>Entrada / Dados de Entrada (TI / Abstrato)</t>
  </si>
  <si>
    <t>shorter</t>
  </si>
  <si>
    <t>Mais Curto / Menor (Comprimento / Duração)</t>
  </si>
  <si>
    <t>understandable</t>
  </si>
  <si>
    <t>The code should be &lt;strong&gt;understandable&lt;/strong&gt;.,"&lt;div&gt;&lt;strong&gt;Understandable:&lt;/strong&gt; Compreensível, entendível.&lt;/div&gt;&lt;div&gt;&lt;br&gt;&lt;/div&gt;&lt;div&gt;Adjetivo que descreve algo que é fácil de entender. A nuance é a da &lt;strong&gt;facilidade de compreensão&lt;/strong&gt;.&lt;/div&gt;"</t>
  </si>
  <si>
    <t>maintainable</t>
  </si>
  <si>
    <t>Passível de Manutenção (TI / Engenharia)</t>
  </si>
  <si>
    <t>case</t>
  </si>
  <si>
    <t>convention</t>
  </si>
  <si>
    <t>Follow the naming &lt;strong&gt;convention&lt;/strong&gt;.,"&lt;div&gt;&lt;strong&gt;Naming convention:&lt;/strong&gt; Convenção de nomenclatura.&lt;/div&gt;&lt;div&gt;&lt;br&gt;&lt;/div&gt;&lt;div&gt;Refere-se a um conjunto de regras para a escolha de nomes de variáveis, funções, etc. Ajuda na legibilidade do código. A nuance é a de &lt;strong&gt;regras para nomear elementos&lt;/strong&gt;.&lt;/div&gt;"</t>
  </si>
  <si>
    <t>so on</t>
  </si>
  <si>
    <t>avoid</t>
  </si>
  <si>
    <t>Evitar / Prevenir (Evento/Problema)</t>
  </si>
  <si>
    <t>fractional</t>
  </si>
  <si>
    <t>Fracionário / Parcial (Matemática/Divisão)</t>
  </si>
  <si>
    <t>even though</t>
  </si>
  <si>
    <t>byte</t>
  </si>
  <si>
    <t>ninth</t>
  </si>
  <si>
    <t>reference</t>
  </si>
  <si>
    <t>built</t>
  </si>
  <si>
    <t>chosen</t>
  </si>
  <si>
    <t>hash</t>
  </si>
  <si>
    <t>you got it</t>
  </si>
  <si>
    <t>figure all</t>
  </si>
  <si>
    <t>employees</t>
  </si>
  <si>
    <t>whiffed</t>
  </si>
  <si>
    <t>put</t>
  </si>
  <si>
    <t>misspelled</t>
  </si>
  <si>
    <t>my fault</t>
  </si>
  <si>
    <t>home run</t>
  </si>
  <si>
    <t>eye-catching</t>
  </si>
  <si>
    <t>sounds good</t>
  </si>
  <si>
    <t>redeeming</t>
  </si>
  <si>
    <t>rushed it</t>
  </si>
  <si>
    <t>strive</t>
  </si>
  <si>
    <t>every last</t>
  </si>
  <si>
    <t>good stuff</t>
  </si>
  <si>
    <t>cutting</t>
  </si>
  <si>
    <t>fingertips</t>
  </si>
  <si>
    <t>manufacturing</t>
  </si>
  <si>
    <t>being able</t>
  </si>
  <si>
    <t>maybe even</t>
  </si>
  <si>
    <t>elevated</t>
  </si>
  <si>
    <t>capturing</t>
  </si>
  <si>
    <t>available</t>
  </si>
  <si>
    <t>tankfarm</t>
  </si>
  <si>
    <t>grit</t>
  </si>
  <si>
    <t>hang on</t>
  </si>
  <si>
    <t>lazy</t>
  </si>
  <si>
    <t>mock</t>
  </si>
  <si>
    <t>involved</t>
  </si>
  <si>
    <t>my gosh</t>
  </si>
  <si>
    <t>bunkmates</t>
  </si>
  <si>
    <t>to head out</t>
  </si>
  <si>
    <t>earn your keep</t>
  </si>
  <si>
    <t>rindg our asses</t>
  </si>
  <si>
    <t>pummeled</t>
  </si>
  <si>
    <t>frank</t>
  </si>
  <si>
    <t>comes off</t>
  </si>
  <si>
    <t>blasted</t>
  </si>
  <si>
    <t>rude</t>
  </si>
  <si>
    <t>mind-blowing</t>
  </si>
  <si>
    <t>trated</t>
  </si>
  <si>
    <t>tact</t>
  </si>
  <si>
    <t>grace</t>
  </si>
  <si>
    <t>being off</t>
  </si>
  <si>
    <t>full drive</t>
  </si>
  <si>
    <t>crapped on</t>
  </si>
  <si>
    <t>rushed</t>
  </si>
  <si>
    <t>crusty</t>
  </si>
  <si>
    <t>for real</t>
  </si>
  <si>
    <t>turn into</t>
  </si>
  <si>
    <t>squawks</t>
  </si>
  <si>
    <t>calm down</t>
  </si>
  <si>
    <t>a bit</t>
  </si>
  <si>
    <t>looks</t>
  </si>
  <si>
    <t>pushing</t>
  </si>
  <si>
    <t>ended up</t>
  </si>
  <si>
    <t>proper</t>
  </si>
  <si>
    <t>t-shirt</t>
  </si>
  <si>
    <t>grit and gravel</t>
  </si>
  <si>
    <t>flannel</t>
  </si>
  <si>
    <t>fabric</t>
  </si>
  <si>
    <t>spot-on</t>
  </si>
  <si>
    <t>exclusives</t>
  </si>
  <si>
    <t>advice</t>
  </si>
  <si>
    <t>upcycled</t>
  </si>
  <si>
    <t>go for it</t>
  </si>
  <si>
    <t>brands</t>
  </si>
  <si>
    <t>come up with</t>
  </si>
  <si>
    <t>fourth</t>
  </si>
  <si>
    <t>awesome</t>
  </si>
  <si>
    <t>spend</t>
  </si>
  <si>
    <t>all-rounder</t>
  </si>
  <si>
    <t>wasting</t>
  </si>
  <si>
    <t>wisdom</t>
  </si>
  <si>
    <t>latest</t>
  </si>
  <si>
    <t>cheerful</t>
  </si>
  <si>
    <t>arguably</t>
  </si>
  <si>
    <t>waffly</t>
  </si>
  <si>
    <t>clamshell</t>
  </si>
  <si>
    <t>doodling</t>
  </si>
  <si>
    <t>inches</t>
  </si>
  <si>
    <t>mainly</t>
  </si>
  <si>
    <t>contained</t>
  </si>
  <si>
    <t>wary</t>
  </si>
  <si>
    <t>jarring</t>
  </si>
  <si>
    <t>sticking</t>
  </si>
  <si>
    <t>expensive</t>
  </si>
  <si>
    <t>taller</t>
  </si>
  <si>
    <t>aspect</t>
  </si>
  <si>
    <t>commonly</t>
  </si>
  <si>
    <t>halfway</t>
  </si>
  <si>
    <t>thats what</t>
  </si>
  <si>
    <t>tied to</t>
  </si>
  <si>
    <t>preferably</t>
  </si>
  <si>
    <t>lacking</t>
  </si>
  <si>
    <t>wildly</t>
  </si>
  <si>
    <t>naming</t>
  </si>
  <si>
    <t>crisis</t>
  </si>
  <si>
    <t>quantified</t>
  </si>
  <si>
    <t>forecast</t>
  </si>
  <si>
    <t>satori</t>
  </si>
  <si>
    <t>flatline</t>
  </si>
  <si>
    <t>techie</t>
  </si>
  <si>
    <t>ahead</t>
  </si>
  <si>
    <t>trust</t>
  </si>
  <si>
    <t>hitjob</t>
  </si>
  <si>
    <t>refuse</t>
  </si>
  <si>
    <t>grenadine</t>
  </si>
  <si>
    <t>lime</t>
  </si>
  <si>
    <t>nerves</t>
  </si>
  <si>
    <t>by the way</t>
  </si>
  <si>
    <t>diaper</t>
  </si>
  <si>
    <t>bounce off</t>
  </si>
  <si>
    <t>selling</t>
  </si>
  <si>
    <t>currently</t>
  </si>
  <si>
    <t>revenue</t>
  </si>
  <si>
    <t>at our</t>
  </si>
  <si>
    <t>dipped</t>
  </si>
  <si>
    <t>trendy</t>
  </si>
  <si>
    <t>hip</t>
  </si>
  <si>
    <t>attempts</t>
  </si>
  <si>
    <t>lunched</t>
  </si>
  <si>
    <t>desperation</t>
  </si>
  <si>
    <t>campaign</t>
  </si>
  <si>
    <t>afforded</t>
  </si>
  <si>
    <t>frustrated</t>
  </si>
  <si>
    <t>locking up</t>
  </si>
  <si>
    <t>landline</t>
  </si>
  <si>
    <t>payables</t>
  </si>
  <si>
    <t>fulfilled</t>
  </si>
  <si>
    <t>it'd</t>
  </si>
  <si>
    <t>scratch</t>
  </si>
  <si>
    <t>guss what</t>
  </si>
  <si>
    <t>blocks</t>
  </si>
  <si>
    <t>packed up</t>
  </si>
  <si>
    <t>located</t>
  </si>
  <si>
    <t>brainy</t>
  </si>
  <si>
    <t>daycare</t>
  </si>
  <si>
    <t>incorporated</t>
  </si>
  <si>
    <t>fabrics</t>
  </si>
  <si>
    <t>accessorize</t>
  </si>
  <si>
    <t>portions</t>
  </si>
  <si>
    <t>not yet</t>
  </si>
  <si>
    <t>forgetting</t>
  </si>
  <si>
    <t>awkward</t>
  </si>
  <si>
    <t>bathing</t>
  </si>
  <si>
    <t>attachable</t>
  </si>
  <si>
    <t>blushing</t>
  </si>
  <si>
    <t>roll</t>
  </si>
  <si>
    <t>proved</t>
  </si>
  <si>
    <t>nervous</t>
  </si>
  <si>
    <t>messing up</t>
  </si>
  <si>
    <t>a little bit</t>
  </si>
  <si>
    <t>did that</t>
  </si>
  <si>
    <t>bullied</t>
  </si>
  <si>
    <t>court</t>
  </si>
  <si>
    <t>picking on</t>
  </si>
  <si>
    <t>believer</t>
  </si>
  <si>
    <t>closing down</t>
  </si>
  <si>
    <t>too hip</t>
  </si>
  <si>
    <t>redesign</t>
  </si>
  <si>
    <t>proceeds</t>
  </si>
  <si>
    <t>resonate</t>
  </si>
  <si>
    <t>marketed</t>
  </si>
  <si>
    <t>halo</t>
  </si>
  <si>
    <t>head out</t>
  </si>
  <si>
    <t>let's roll</t>
  </si>
  <si>
    <t>i've gotten</t>
  </si>
  <si>
    <t>mesh</t>
  </si>
  <si>
    <t>waist</t>
  </si>
  <si>
    <t>belt</t>
  </si>
  <si>
    <t>hike</t>
  </si>
  <si>
    <t>amusement</t>
  </si>
  <si>
    <t>elevates</t>
  </si>
  <si>
    <t>enlisted</t>
  </si>
  <si>
    <t>when it</t>
  </si>
  <si>
    <t>self-confidence</t>
  </si>
  <si>
    <t>hug</t>
  </si>
  <si>
    <t>tremendous</t>
  </si>
  <si>
    <t>gotcha</t>
  </si>
  <si>
    <t>dissimilar</t>
  </si>
  <si>
    <t>wet</t>
  </si>
  <si>
    <t>wipes</t>
  </si>
  <si>
    <t>pouch</t>
  </si>
  <si>
    <t>fledged</t>
  </si>
  <si>
    <t>stylish</t>
  </si>
  <si>
    <t>i get</t>
  </si>
  <si>
    <t>imaginary</t>
  </si>
  <si>
    <t>upset</t>
  </si>
  <si>
    <t>leading</t>
  </si>
  <si>
    <t>tagging</t>
  </si>
  <si>
    <t>tripped up</t>
  </si>
  <si>
    <t>discouraged</t>
  </si>
  <si>
    <t>just as well</t>
  </si>
  <si>
    <t>overtook</t>
  </si>
  <si>
    <t>cleared</t>
  </si>
  <si>
    <t>flap</t>
  </si>
  <si>
    <t>this one</t>
  </si>
  <si>
    <t>faux</t>
  </si>
  <si>
    <t>stands out</t>
  </si>
  <si>
    <t>numerous</t>
  </si>
  <si>
    <t>drooping</t>
  </si>
  <si>
    <t>great</t>
  </si>
  <si>
    <t>outsell</t>
  </si>
  <si>
    <t>sat</t>
  </si>
  <si>
    <t>tane</t>
  </si>
  <si>
    <t>witnessed</t>
  </si>
  <si>
    <t>into it</t>
  </si>
  <si>
    <t>by showing</t>
  </si>
  <si>
    <t>he got</t>
  </si>
  <si>
    <t>patriarch</t>
  </si>
  <si>
    <t>tight</t>
  </si>
  <si>
    <t>tremendously</t>
  </si>
  <si>
    <t>squeezing</t>
  </si>
  <si>
    <t>acting</t>
  </si>
  <si>
    <t>struggling</t>
  </si>
  <si>
    <t>wondering</t>
  </si>
  <si>
    <t>profit</t>
  </si>
  <si>
    <t>on my way</t>
  </si>
  <si>
    <t>successful</t>
  </si>
  <si>
    <t>it could be</t>
  </si>
  <si>
    <t>tasted</t>
  </si>
  <si>
    <t>viability</t>
  </si>
  <si>
    <t>slice</t>
  </si>
  <si>
    <t>discourages</t>
  </si>
  <si>
    <t>how's</t>
  </si>
  <si>
    <t>revolutionize</t>
  </si>
  <si>
    <t>let you</t>
  </si>
  <si>
    <t>lecture</t>
  </si>
  <si>
    <t>inaudible</t>
  </si>
  <si>
    <t>founder</t>
  </si>
  <si>
    <t>semester</t>
  </si>
  <si>
    <t>forth</t>
  </si>
  <si>
    <t>attach</t>
  </si>
  <si>
    <t>amplified</t>
  </si>
  <si>
    <t>dissimilarities</t>
  </si>
  <si>
    <t>slotted</t>
  </si>
  <si>
    <t>embodied</t>
  </si>
  <si>
    <t>duck</t>
  </si>
  <si>
    <t>you know</t>
  </si>
  <si>
    <t>perry</t>
  </si>
  <si>
    <t>beacon</t>
  </si>
  <si>
    <t>seared</t>
  </si>
  <si>
    <t>it came</t>
  </si>
  <si>
    <t>captivity</t>
  </si>
  <si>
    <t>crippled</t>
  </si>
  <si>
    <t>midst</t>
  </si>
  <si>
    <t>rise up</t>
  </si>
  <si>
    <t>sweltering</t>
  </si>
  <si>
    <t>slave</t>
  </si>
  <si>
    <t>brotherhood</t>
  </si>
  <si>
    <t>heat</t>
  </si>
  <si>
    <t>discourage</t>
  </si>
  <si>
    <t>into a</t>
  </si>
  <si>
    <t>down in</t>
  </si>
  <si>
    <t>dripping</t>
  </si>
  <si>
    <t>exalted</t>
  </si>
  <si>
    <t>hew</t>
  </si>
  <si>
    <t>crooked</t>
  </si>
  <si>
    <t>faith</t>
  </si>
  <si>
    <t>jangling</t>
  </si>
  <si>
    <t>pilgrim</t>
  </si>
  <si>
    <t>freedom</t>
  </si>
  <si>
    <t>prodigious</t>
  </si>
  <si>
    <t>molehill</t>
  </si>
  <si>
    <t>hamlet</t>
  </si>
  <si>
    <t>hang</t>
  </si>
  <si>
    <t>ham</t>
  </si>
  <si>
    <t>jets</t>
  </si>
  <si>
    <t>dissimilarity</t>
  </si>
  <si>
    <t>jaws</t>
  </si>
  <si>
    <t>soundtrack</t>
  </si>
  <si>
    <t>sunder</t>
  </si>
  <si>
    <t>sounded</t>
  </si>
  <si>
    <t>spoof</t>
  </si>
  <si>
    <t>spoke</t>
  </si>
  <si>
    <t>spot</t>
  </si>
  <si>
    <t>dolls</t>
  </si>
  <si>
    <t>so long</t>
  </si>
  <si>
    <t>tonight</t>
  </si>
  <si>
    <t>speech</t>
  </si>
  <si>
    <t>cheering</t>
  </si>
  <si>
    <t>workout</t>
  </si>
  <si>
    <t>which one</t>
  </si>
  <si>
    <t>as i look</t>
  </si>
  <si>
    <t>plain</t>
  </si>
  <si>
    <t>handicap</t>
  </si>
  <si>
    <t>tuesday</t>
  </si>
  <si>
    <t>sealed</t>
  </si>
  <si>
    <t>as much</t>
  </si>
  <si>
    <t>fact</t>
  </si>
  <si>
    <t>capitol</t>
  </si>
  <si>
    <t>route</t>
  </si>
  <si>
    <t>in fact</t>
  </si>
  <si>
    <t>regardless</t>
  </si>
  <si>
    <t>Ocupação Ilegal</t>
  </si>
  <si>
    <t>Assumir / Tomar para si</t>
  </si>
  <si>
    <t>Adotar / Mostrar (Aparência)</t>
  </si>
  <si>
    <t>perk up</t>
  </si>
  <si>
    <t>Expor / Explicar (Ideias)</t>
  </si>
  <si>
    <t>Planejar / Estabelecer</t>
  </si>
  <si>
    <t>Adicionar / Acrescentar (Substância/Item)</t>
  </si>
  <si>
    <t>Comentar / Complementar (Fala)</t>
  </si>
  <si>
    <t>looking into</t>
  </si>
  <si>
    <t>looking</t>
  </si>
  <si>
    <t>Investigar / Examinar</t>
  </si>
  <si>
    <t>looking forward to</t>
  </si>
  <si>
    <t>Aguardar Ansiosamente</t>
  </si>
  <si>
    <t>Notar / Comentar (Verbo)</t>
  </si>
  <si>
    <t>Compartilhado / Mútuo</t>
  </si>
  <si>
    <t>Não Refinado / Baixo (Formal)</t>
  </si>
  <si>
    <t>The wealthy</t>
  </si>
  <si>
    <t>Os Ricos</t>
  </si>
  <si>
    <t>Revolucionado / Subvertido (Figurado)</t>
  </si>
  <si>
    <t>Formal / Legal</t>
  </si>
  <si>
    <t>Origem / Surgimento (Figurado)</t>
  </si>
  <si>
    <t>Linhagem / Descendência (Social)</t>
  </si>
  <si>
    <t>Condição de Aprendiz</t>
  </si>
  <si>
    <t>Saída / Desocupação (Hospedagem)</t>
  </si>
  <si>
    <t>Verificar / Conferir (Verbo)</t>
  </si>
  <si>
    <t>Oportuno / Vantajoso (Figurado)</t>
  </si>
  <si>
    <t>De Sorte / Afortunado</t>
  </si>
  <si>
    <t>Major (Militar/Acadêmico)</t>
  </si>
  <si>
    <t>Levantar-se / Pôr-se de Pé (Físico)</t>
  </si>
  <si>
    <t>Defender / Apoiar (Ação)</t>
  </si>
  <si>
    <t>Frequentadores / Cidadãos (Figurado)</t>
  </si>
  <si>
    <t>Diminuiu / Aliviou (Ritmo/Tensão)</t>
  </si>
  <si>
    <t>Emitir / Soltar (Som)</t>
  </si>
  <si>
    <t>Alargar (Roupas)</t>
  </si>
  <si>
    <t>Cantar (O Galo)</t>
  </si>
  <si>
    <t>Exultar / Vangloriar-se (Humano)</t>
  </si>
  <si>
    <t>Aconteceu / Ocorreu</t>
  </si>
  <si>
    <t>Começou a / Moveu-se (Para a Ação)</t>
  </si>
  <si>
    <t>Vestido / Trajado</t>
  </si>
  <si>
    <t>Beneficiou / Conveio</t>
  </si>
  <si>
    <t>Duração / Período (Tempo)</t>
  </si>
  <si>
    <t>Detalhe / Profundidade (Figurado)</t>
  </si>
  <si>
    <t>Marcos / Eventos (Históricos/Científicos)</t>
  </si>
  <si>
    <t>Reter / Não Vomitar (Comida)</t>
  </si>
  <si>
    <t>Oprimir / Reprimir (Figurado)</t>
  </si>
  <si>
    <t>regarding</t>
  </si>
  <si>
    <t>Servir / Ser Útil (Função)</t>
  </si>
  <si>
    <t>Cumprir (Dever / Tempo)</t>
  </si>
  <si>
    <t>Sacar (Esportes)</t>
  </si>
  <si>
    <t>Curling (Esporte)</t>
  </si>
  <si>
    <t>Excessivamente Forte / Apelativo (Gíria/Jogos)</t>
  </si>
  <si>
    <t>Esgrimido / Praticou Esgrima (Esporte)</t>
  </si>
  <si>
    <t>Receptou / Negociou (Ilegalmente)</t>
  </si>
  <si>
    <t>Longarina / Viga de Suporte (Construção)</t>
  </si>
  <si>
    <t>Discussão / Desentendimento (Substantivo)</t>
  </si>
  <si>
    <t>Idiota / Babaca (Gíria Ofensiva)</t>
  </si>
  <si>
    <t>Cumprindo / Executando (Dever)</t>
  </si>
  <si>
    <t>Discurso / Discursar (Comunicação)</t>
  </si>
  <si>
    <t>Abordar / Lidar com (Problema)</t>
  </si>
  <si>
    <t>Confia / Conta com (Fé/Confiança)</t>
  </si>
  <si>
    <t>Explosão / Surto (Emocional)</t>
  </si>
  <si>
    <t>Irromper / Sair de Repente (Movimento)</t>
  </si>
  <si>
    <t>Causa / Coloca (Risco/Perigo)</t>
  </si>
  <si>
    <t>Posar (Para Foto/Aparência)</t>
  </si>
  <si>
    <t>Mais / Além de (Preposição/Conjunção)</t>
  </si>
  <si>
    <t>Positivo / A Mais (Adjetivo Informal)</t>
  </si>
  <si>
    <t>drowned</t>
  </si>
  <si>
    <t>Afogou-se / Morreu por Submersão</t>
  </si>
  <si>
    <t>Coberto / Submerso (Figurado)</t>
  </si>
  <si>
    <t>Regiões / Terras (Figurado/Cultural)</t>
  </si>
  <si>
    <t>Acabado / Esgotado (Estado)</t>
  </si>
  <si>
    <t>Perdido / Desaparecido</t>
  </si>
  <si>
    <t>Roído / Destruído (Literal)</t>
  </si>
  <si>
    <t>Extrato / Demonstrativo (Financeiro)</t>
  </si>
  <si>
    <t>Posição / Tese (Design/Estilo)</t>
  </si>
  <si>
    <t>Tem estado fazendo (Present Perfect Continuous)</t>
  </si>
  <si>
    <t>Foi + (Particípio Passado) (Voz Passiva)</t>
  </si>
  <si>
    <t>Atormentar / Torturar (Verbo)</t>
  </si>
  <si>
    <t>Moralmente Bom / Sadio (Moral)</t>
  </si>
  <si>
    <t>Sólido / Completo (Figurado)</t>
  </si>
  <si>
    <t>Grau Acadêmico / Diploma</t>
  </si>
  <si>
    <t>Nível / Extensão (Qualidade)</t>
  </si>
  <si>
    <t>Minion (Personagem/Gíria)</t>
  </si>
  <si>
    <t>Fundadores / Pioneiros (Social/Nacional)</t>
  </si>
  <si>
    <t>Citou / Mencionou / Identificou</t>
  </si>
  <si>
    <t>Designado / Indicado (Cargo)</t>
  </si>
  <si>
    <t>Sustenta / Defende (Opinião)</t>
  </si>
  <si>
    <t>Sustenta / Prover (Financeiro)</t>
  </si>
  <si>
    <t>Coleção / Exibição (Grande Quantidade)</t>
  </si>
  <si>
    <t>Escava / Enterra-se (Verbo)</t>
  </si>
  <si>
    <t>Amaldiçoar / Praguejar (Verbo)</t>
  </si>
  <si>
    <t>Vexame / Peste (Algo Ruim)</t>
  </si>
  <si>
    <t>Funcionalidade / Recurso (TI/Produto)</t>
  </si>
  <si>
    <t>Apresentar / Destacar (Verbo)</t>
  </si>
  <si>
    <t>Consumir / Gastar (Recursos/Tempo)</t>
  </si>
  <si>
    <t>Cuspir / Escarrar (Raiva/Fogo)</t>
  </si>
  <si>
    <t>Espeto / Grelha (Culinária)</t>
  </si>
  <si>
    <t>Assaltar / Deter (Crime)</t>
  </si>
  <si>
    <t>Aguentar / Suportar (Resistência)</t>
  </si>
  <si>
    <t>Anseios / Necessidades (Abstrato)</t>
  </si>
  <si>
    <t>Executado / Rodado (Computação/Java)</t>
  </si>
  <si>
    <t>Executado / Sentenciado (Pena de Morte)</t>
  </si>
  <si>
    <t>Estocar / Acumular (Verbo)</t>
  </si>
  <si>
    <t>Tutelado / Pupilo (Legal)</t>
  </si>
  <si>
    <t>Distrito / Setor (Divisão Administrativa)</t>
  </si>
  <si>
    <t>Devido / Necessário (Obrigação Social)</t>
  </si>
  <si>
    <t>Hesitar / Enrolar (Ação)</t>
  </si>
  <si>
    <t>Sentença / Pena (Judicial)</t>
  </si>
  <si>
    <t>Protege / Preserva</t>
  </si>
  <si>
    <t>Imparcial / Indiferente (Emocional)</t>
  </si>
  <si>
    <t>Isolado / Independente (Residência)</t>
  </si>
  <si>
    <t>Informação Essencial / Detalhes (Gíria)</t>
  </si>
  <si>
    <t>Mechas / Extensões (Figurado)</t>
  </si>
  <si>
    <t>Descoberto / Exposto (Figurado/Literal)</t>
  </si>
  <si>
    <t>Resistência / Atrito (Substantivo)</t>
  </si>
  <si>
    <t>Primitivo / Antigo (Arte/Cultura)</t>
  </si>
  <si>
    <t>Desencadear / Causar (Ação / TI)</t>
  </si>
  <si>
    <t>Estímulo / Trauma (Psicologia)</t>
  </si>
  <si>
    <t>Chocar / Surpreender (Figurado)</t>
  </si>
  <si>
    <t>Escalonar / Distribuir (Tempo/Posição)</t>
  </si>
  <si>
    <t>Grandes Quantidades / Blocos (Físico)</t>
  </si>
  <si>
    <t>Missas (Religioso)</t>
  </si>
  <si>
    <t>Improvável / Incomum (Adjetivo)</t>
  </si>
  <si>
    <t>Sustenta / Prover (Sustento Financeiro)</t>
  </si>
  <si>
    <t>Soletrar (Verbo)</t>
  </si>
  <si>
    <t>Período / Turno (Tempo)</t>
  </si>
  <si>
    <t>Contêineres (Tecnologia/TI)</t>
  </si>
  <si>
    <t>Coque (Combustível)</t>
  </si>
  <si>
    <t>Fofocando / Mexericando (Língua)</t>
  </si>
  <si>
    <t>Escapar / Fugir (Confinamento)</t>
  </si>
  <si>
    <t>Surgir (Espinhas / Manchas na Pele)</t>
  </si>
  <si>
    <t>O Teu / A Tua (Pronome Possessivo)</t>
  </si>
  <si>
    <t>Esquivando-se / Evitando (Figurado)</t>
  </si>
  <si>
    <t>Mergulhando / Submergindo (Água)</t>
  </si>
  <si>
    <t>Confinar / Pôr no Canil (Verbo)</t>
  </si>
  <si>
    <t>Acompanhado de / Combinado com</t>
  </si>
  <si>
    <t>Casado / Emparelhado (Relacionamento)</t>
  </si>
  <si>
    <t>Caminho / Meio / Método (Figurado)</t>
  </si>
  <si>
    <t>Embriagado / Drogado (Gíria)</t>
  </si>
  <si>
    <t>Debilitado / Debilitado (Físico)</t>
  </si>
  <si>
    <t>Sai Correndo / Escapa (Movimento)</t>
  </si>
  <si>
    <t>Pedi / Solicitei (Formal)</t>
  </si>
  <si>
    <t>Você Consegue Manusear / Segurar (Físico)</t>
  </si>
  <si>
    <t>Cantil (Recipiente)</t>
  </si>
  <si>
    <t>Lanchonete / Bar (Social)</t>
  </si>
  <si>
    <t>Alegria / Otimismo (Figurado/Afetivo)</t>
  </si>
  <si>
    <t>Apresentação / Registro (Legal/Formal)</t>
  </si>
  <si>
    <t>Limagem / Lixamento (Físico)</t>
  </si>
  <si>
    <t>Residindo / Passando Tempo (Local)</t>
  </si>
  <si>
    <t>Pendurado / Saliente (Físico)</t>
  </si>
  <si>
    <t>Sinalizador / Marco (Referência Física)</t>
  </si>
  <si>
    <t>Indicador / Marcador (TI/Abstrato)</t>
  </si>
  <si>
    <t>Maldito / Infeliz (Abominável/Informal)</t>
  </si>
  <si>
    <t>Muito / Extremamente (Intensificador)</t>
  </si>
  <si>
    <t>Destruir / Triturar (Documentos/Segurança)</t>
  </si>
  <si>
    <t>Tocar (Música) / Destruir (Habilidade)</t>
  </si>
  <si>
    <t>Sequestro / Desvio (TI / Digital)</t>
  </si>
  <si>
    <t>Alimentar / Incentivar / Abastecer (Verbo)</t>
  </si>
  <si>
    <t>Destruindo / Chocando (Figurado/Emocional)</t>
  </si>
  <si>
    <t>Expressar / Formular (Ideias)</t>
  </si>
  <si>
    <t>De Forma Alguma / Nem Um Pouco (Em Negativas)</t>
  </si>
  <si>
    <t>Algo / Alguma Coisa (Em Perguntas)</t>
  </si>
  <si>
    <t>Confiar / Contar com</t>
  </si>
  <si>
    <t>Estar Suspenso / Estar Pendurado (Uso Raro)</t>
  </si>
  <si>
    <t>Escondendo-se / Ocultando-se (Ação Intransitiva)</t>
  </si>
  <si>
    <t>Surra / Castigo (Substantivo/Informal)</t>
  </si>
  <si>
    <t>Pausas / Intervalos (Substantivo)</t>
  </si>
  <si>
    <t>Ocorre (Mudança de Sorte)</t>
  </si>
  <si>
    <t>Beira / Margem (Figurado)</t>
  </si>
  <si>
    <t>Cavando / Fazendo Vala (Terra)</t>
  </si>
  <si>
    <t>Pousando na Água (Aeronave)</t>
  </si>
  <si>
    <t>Vezes / Turnos (Substantivo)</t>
  </si>
  <si>
    <t>Transforma / Torna-se</t>
  </si>
  <si>
    <t>Questionável / Duvidoso (Moral)</t>
  </si>
  <si>
    <t>Nível / Auge / Ponto Máximo (Figurado)</t>
  </si>
  <si>
    <t>Prioridade / Algo Anterior (Substantivo)</t>
  </si>
  <si>
    <t>look at</t>
  </si>
  <si>
    <t>Olhar / Observar / Examinar (Físico)</t>
  </si>
  <si>
    <t>Considerar / Analisar / Avaliar (Abstrato)</t>
  </si>
  <si>
    <t>Anulação / Substituição (Substantivo)</t>
  </si>
  <si>
    <t>Exigência / Requerimento (Substantivo)</t>
  </si>
  <si>
    <t>Exigir / Requerer (Verbo)</t>
  </si>
  <si>
    <t>Relembrar / Restabelecer (Memória/Situação)</t>
  </si>
  <si>
    <t>Galpão / Barracão (Substantivo)</t>
  </si>
  <si>
    <t>Livrar-se de / Abandonar (Figurado)</t>
  </si>
  <si>
    <t>Gente / Amigos (Dirigindo-se a um Público)</t>
  </si>
  <si>
    <t>Sugere / Sinaliza (Informação ou Resultado)</t>
  </si>
  <si>
    <t>Em Apuros / Lascado (Gíria)</t>
  </si>
  <si>
    <t>Arruinado / Enganado</t>
  </si>
  <si>
    <t>Seal - Foca / Leão-Marinho (Animal)</t>
  </si>
  <si>
    <t>Selar / Lacrar / Fechar (Ação)</t>
  </si>
  <si>
    <t>Toques / Detalhes (Substantivo)</t>
  </si>
  <si>
    <t>Refere-se a / Afeta (Figurado)</t>
  </si>
  <si>
    <t>Padrão / Hábito (Linguística / Comportamento)</t>
  </si>
  <si>
    <t>Regata / Camiseta (Inglês Britânico)</t>
  </si>
  <si>
    <t>Armazém de Dados (TI / Digital)</t>
  </si>
  <si>
    <t>Incluindo / Contendo (Figurado)</t>
  </si>
  <si>
    <t>Magooa / Fere (Emocional)</t>
  </si>
  <si>
    <t>Dois-Pontos (Pontuação)</t>
  </si>
  <si>
    <t>Extrai / Retira (Dados / Objeto)</t>
  </si>
  <si>
    <t>Atrai / Atrai (Figurado / Força)</t>
  </si>
  <si>
    <t>Princípio / Moral (Ética)</t>
  </si>
  <si>
    <t>Define / Especifica (Técnico / TI)</t>
  </si>
  <si>
    <t>Bloqueando / Obstruindo (Sinal ou Linha)</t>
  </si>
  <si>
    <t>Nomeado / Intitulado</t>
  </si>
  <si>
    <t>Convocado / Requerido</t>
  </si>
  <si>
    <t>Alimentou / Incentivou (Figurado)</t>
  </si>
  <si>
    <t>Praças / Largos (Localização)</t>
  </si>
  <si>
    <t>Quadrados / Potências (Matemática)</t>
  </si>
  <si>
    <t>Licenças / Autorizações (Substantivo)</t>
  </si>
  <si>
    <t>Possibilita / Oferece (Oportunidade)</t>
  </si>
  <si>
    <t>allows</t>
  </si>
  <si>
    <t>Permite / Dá Permissão (Autorização)</t>
  </si>
  <si>
    <t>Possibilita / Viabiliza (Oportunidade)</t>
  </si>
  <si>
    <t>Ter Peso / Importância</t>
  </si>
  <si>
    <t>Ponderar / Avaliar / Considerar</t>
  </si>
  <si>
    <t>Guloso / Voraz (TI / Regex)</t>
  </si>
  <si>
    <t>Confidencial / Sigiloso (Informação)</t>
  </si>
  <si>
    <t>Soldado (Militar)</t>
  </si>
  <si>
    <t>Bebida Refrescante</t>
  </si>
  <si>
    <t>Vendendo em Pacote / Agregando (Negócios)</t>
  </si>
  <si>
    <t>Área de Trabalho (Interface Gráfica)</t>
  </si>
  <si>
    <t>Conformado / Resignado (Atitude)</t>
  </si>
  <si>
    <t>Entregou / Cedeu (Formal)</t>
  </si>
  <si>
    <t>Grande Quantidade (Figurado)</t>
  </si>
  <si>
    <t>Estrago / Flagelo (Figurado / Social)</t>
  </si>
  <si>
    <t>Caracteristicamente / Representando (Essência)</t>
  </si>
  <si>
    <t>Mesmo / Sem Dúvida (Ênfase)</t>
  </si>
  <si>
    <t>Sério? / Jura? (Surpresa/Ironia)</t>
  </si>
  <si>
    <t>Tranquilo / Fácil / Sem Problemas (Processo)</t>
  </si>
  <si>
    <t>Alisar / Facilitar (Verbo)</t>
  </si>
  <si>
    <t>Transferir / Ceder (Autoridade/Responsabilidade)</t>
  </si>
  <si>
    <t>Mínimo / Minúsculo / Muito Pequeno (Grau)</t>
  </si>
  <si>
    <t>Abster-se de / Esquivar-se de (Pessoa/Lugar)</t>
  </si>
  <si>
    <t>Sustentável / Preservável (Geral)</t>
  </si>
  <si>
    <t>Mais Breve / Mais Conciso (Comunicação)</t>
  </si>
  <si>
    <t>Contribuição / Sugestão (Comunicação / Negócios)</t>
  </si>
  <si>
    <t>Produção / Rendimento / Resultado (Geral)</t>
  </si>
  <si>
    <t>Integrando / Combinando (Ideias/TI)</t>
  </si>
  <si>
    <t>Invariável / Estável (Estado)</t>
  </si>
  <si>
    <t>Constante (TI / Matemática)</t>
  </si>
  <si>
    <t>Palavra-Chave / Tema Central (Geral)</t>
  </si>
  <si>
    <t>Anterior / Passado (Tempo Distante)</t>
  </si>
  <si>
    <t>Substituir / Anular (Figurado / Comando)</t>
  </si>
  <si>
    <t>Atribuir / Alocar (Valor / TI)</t>
  </si>
  <si>
    <t>Ceder / Transferir (Legalmente)</t>
  </si>
  <si>
    <t>Preferir / Ter Preferência</t>
  </si>
  <si>
    <t>Decidir / Determinar</t>
  </si>
  <si>
    <t>Declarando (TI / Programação)</t>
  </si>
  <si>
    <t>Informando / Reportando (Legal/Alfândega)</t>
  </si>
  <si>
    <t>Tais como / Semelhante a (Similaridade)</t>
  </si>
  <si>
    <t>Sistema Decimal / Base 10 (Matemática/TI)</t>
  </si>
  <si>
    <t>Personagens (Arte / Narrativa)</t>
  </si>
  <si>
    <t>Caráteres / Tipos (Pessoas/Moral)</t>
  </si>
  <si>
    <t>Flutuando / Solto (TI / Web Design)</t>
  </si>
  <si>
    <t>Circulando / Variável (Financeiro)</t>
  </si>
  <si>
    <t>Armazena / Guarda (Verbo / TI)</t>
  </si>
  <si>
    <t>Provisões / Suprimentos (Substantivo)</t>
  </si>
  <si>
    <t>Imerso / Envolvido (Figurado/Abstrato)</t>
  </si>
  <si>
    <t>Digita / Datilografa (Verbo)</t>
  </si>
  <si>
    <t>Tipos / Modelos (Formatos)</t>
  </si>
  <si>
    <t>Abastecendo / Provedor (Figurado)</t>
  </si>
  <si>
    <t>Fantástico / Excepcional (Qualidade)</t>
  </si>
  <si>
    <t>Cortes / Ferimentos (Substantivo)</t>
  </si>
  <si>
    <t>Corta / Reduz (Verbo)</t>
  </si>
  <si>
    <t>Comenta / Faz Observações (Verbo)</t>
  </si>
  <si>
    <t>Comentários (TI / Código)</t>
  </si>
  <si>
    <t>Planos / Previsões (Abstrato / Negócios)</t>
  </si>
  <si>
    <t>Acessibilidade / Compreensão (Geral)</t>
  </si>
  <si>
    <t>Inserir / Adicionar (TI / Banco de Dados)</t>
  </si>
  <si>
    <t>Inserir / Incluir (Publicidade / Mídia)</t>
  </si>
  <si>
    <t>Finalizado / Concluído (Projeto / Ação)</t>
  </si>
  <si>
    <t>Absorto / Envolvido (Figurado / Emocional)</t>
  </si>
  <si>
    <t>Compilador / Responsável por Compilar (Pessoa/Empresa)</t>
  </si>
  <si>
    <t>Sintaxe / Arranjo (Figurado / Ordem)</t>
  </si>
  <si>
    <t>Ponto e Vírgula (Gramática / Escrita)</t>
  </si>
  <si>
    <t>Starting point</t>
  </si>
  <si>
    <t>Ponto de Partida / Início (Físico / Tempo)</t>
  </si>
  <si>
    <t>Premissa / Base (Abstrato / Ideia)</t>
  </si>
  <si>
    <t>Confidencial / Sigiloso (TI / Segurança)</t>
  </si>
  <si>
    <t>Sensível / Preciso (Medição / Equipamento)</t>
  </si>
  <si>
    <t>Principal (Método/TI)</t>
  </si>
  <si>
    <t>Letra / Caractere (Alfabeto / TI)</t>
  </si>
  <si>
    <t>Credencial / Diploma (Formal)</t>
  </si>
  <si>
    <t>capital</t>
  </si>
  <si>
    <t>Capital / Recurso Financeiro (Economia)</t>
  </si>
  <si>
    <t>Letra Maiúscula (Tipografia)</t>
  </si>
  <si>
    <t>Capital / Cidade Principal (Geografia)</t>
  </si>
  <si>
    <t>Maiúscula (TI / Programação)</t>
  </si>
  <si>
    <t>Coleções / Reunir (Objetos/Dinheiro)</t>
  </si>
  <si>
    <t>Conseguindo / Dando um Jeito (Habilidade)</t>
  </si>
  <si>
    <t>Lidar com / Controlando (Emoções/Crises)</t>
  </si>
  <si>
    <t>Manifestar / Exprimir (Sentimento)</t>
  </si>
  <si>
    <t>Manifestar / Protestar (Social)</t>
  </si>
  <si>
    <t>Moleza / Algo Fácil (Figurado / Informal)</t>
  </si>
  <si>
    <t>Incomodar / Irritar (Verbo)</t>
  </si>
  <si>
    <t>Semelhante a / Quase (Similaridade ou Aproximação)</t>
  </si>
  <si>
    <t>No Final / No Resultado (Conclusão)</t>
  </si>
  <si>
    <t>Notas de Dez / Cédulas (Moeda)</t>
  </si>
  <si>
    <t>as change</t>
  </si>
  <si>
    <t>Como Troco / Como Troca (Dinheiro / Substituição)</t>
  </si>
  <si>
    <t>Tarefa / Missão (Trabalho Específico)</t>
  </si>
  <si>
    <t>Processo / Resultado (Qualidade)</t>
  </si>
  <si>
    <t>Concepções / Entendimentos (Visão Pessoal)</t>
  </si>
  <si>
    <t>Adaptado / Familiarizado</t>
  </si>
  <si>
    <t>Colocado / Alinhado (Físico)</t>
  </si>
  <si>
    <t>Cada / Por (Preço / Quantidade)</t>
  </si>
  <si>
    <t>Cotado / Registrado (Finanças / Bolsa)</t>
  </si>
  <si>
    <t>Eu Acabei de Ficar / Chegar a (Estado/Mudança)</t>
  </si>
  <si>
    <t>Seguiu / Cumpriu (Regra/Instrução)</t>
  </si>
  <si>
    <t>Seguiu-se / Sucedeu (Ordem/Tempo)</t>
  </si>
  <si>
    <t>Fase / Período / Etapa (Figurado)</t>
  </si>
  <si>
    <t>Declarar / Atribuir (TI / Programação)</t>
  </si>
  <si>
    <t>Determinar / Estabelecer (Fronteira/Forma)</t>
  </si>
  <si>
    <t>Determinado / Específico (Não Revelado)</t>
  </si>
  <si>
    <t>Inevitável / Garantido</t>
  </si>
  <si>
    <t>Apresentar / Atuar (Arte / Entretenimento)</t>
  </si>
  <si>
    <t>Desempenhar / Ter Desempenho (Habilidade)</t>
  </si>
  <si>
    <t>Superar / Resistir / Aguentar (Verbo)</t>
  </si>
  <si>
    <t>weathered</t>
  </si>
  <si>
    <t>Superou / Resistiu (Dificuldade / Crise)</t>
  </si>
  <si>
    <t>Desgastado / Envelhecido (Pelo Clima)</t>
  </si>
  <si>
    <t>Colar / Unir (Verbo)</t>
  </si>
  <si>
    <t>Concentração / Espessura (Figurado)</t>
  </si>
  <si>
    <t>Agarrar / Segurar Firmemente (Verbo)</t>
  </si>
  <si>
    <t>Garras / Poder / Momento Decisivo (Figurado)</t>
  </si>
  <si>
    <t>Sorte / Vantagem / Bênção (Figurado)</t>
  </si>
  <si>
    <t>Permissão / Aprovação</t>
  </si>
  <si>
    <t>Intimamente / Rigididamente (Figurado / TI)</t>
  </si>
  <si>
    <t>Acumulou / Coletou (Dados / Conhecimento)</t>
  </si>
  <si>
    <t>Pronunciando / Expressando (Ideias ou Opinião)</t>
  </si>
  <si>
    <t>Exultar / Triunfar (Verbo)</t>
  </si>
  <si>
    <t>Dentro de Si / Íntimo (Emocional)</t>
  </si>
  <si>
    <t>Interno / Confidencial (Informação)</t>
  </si>
  <si>
    <t>Deixe-me / Posso (Introdução para Sugestão/Explicação)</t>
  </si>
  <si>
    <t>Seja Rápido / Mova-se Rápido (Comando)</t>
  </si>
  <si>
    <t>Famoso / Reconhecido (Reputação)</t>
  </si>
  <si>
    <t>Conhecido (Pessoa)</t>
  </si>
  <si>
    <t>Erros / Falhas (Figurado)</t>
  </si>
  <si>
    <t>Por Meio de / Usando (Método / Agente)</t>
  </si>
  <si>
    <t>Concluído / Terminado (Estado)</t>
  </si>
  <si>
    <t>Ostentando / Exibindo (Posse)</t>
  </si>
  <si>
    <t>Corda / Fio / Barbante (Físico)</t>
  </si>
  <si>
    <t>Série / Sequência (Figurado)</t>
  </si>
  <si>
    <t>Mental / Íntimo / Secreto (Psicológico)</t>
  </si>
  <si>
    <t>Agiu sem Esforço / Levou Fácil (Figurado)</t>
  </si>
  <si>
    <t>Inspecionando / Observando (Crime)</t>
  </si>
  <si>
    <t>Perdoar / Cancelar (Dívida / Empréstimo)</t>
  </si>
  <si>
    <t>Em Sessão / Reunido (Formal / Legal)</t>
  </si>
  <si>
    <t>Ficar / Estar Parado (Figurado)</t>
  </si>
  <si>
    <t>Contratar / Recrutar</t>
  </si>
  <si>
    <t>Início / Surgimento (Figurado)</t>
  </si>
  <si>
    <t>Combinando / Coordenando (Estilo/Cor)</t>
  </si>
  <si>
    <t>Emparelhando / Unindo</t>
  </si>
  <si>
    <t>O Próprio / Ele Próprio (Enfático)</t>
  </si>
  <si>
    <t>Parando Bruscamente / Travando</t>
  </si>
  <si>
    <t>halt</t>
  </si>
  <si>
    <t>Parada / Fim / Interrupção (Substantivo)</t>
  </si>
  <si>
    <t>Parar / Interromper (Verbo)</t>
  </si>
  <si>
    <t>Hesitar / Manquejar (Movimento)</t>
  </si>
  <si>
    <t>Admirou-se / Espantou-se (Surpresa)</t>
  </si>
  <si>
    <t>De Forma Nova / Renovada (Recomeço)</t>
  </si>
  <si>
    <t>Baixa / Queda (Mercado / Finanças)</t>
  </si>
  <si>
    <t>A Fim de / Para (Propósito)</t>
  </si>
  <si>
    <t>Em Ordem / Adequado (Condição)</t>
  </si>
  <si>
    <t>processes</t>
  </si>
  <si>
    <t>laptop</t>
  </si>
  <si>
    <t>Passos / Exemplo (Padrão a Seguir)</t>
  </si>
  <si>
    <t>corridor</t>
  </si>
  <si>
    <t>heard</t>
  </si>
  <si>
    <t>traced</t>
  </si>
  <si>
    <t>follows</t>
  </si>
  <si>
    <t>father</t>
  </si>
  <si>
    <t>Investigar / Inspecionar (Validade)</t>
  </si>
  <si>
    <t>boss</t>
  </si>
  <si>
    <t>report</t>
  </si>
  <si>
    <t>technician</t>
  </si>
  <si>
    <t>Condenado / Interditado (Construção / Uso)</t>
  </si>
  <si>
    <t>Condemned - Condenado / Criticado (Crítica)</t>
  </si>
  <si>
    <t>Deve Ser / Só Pode Ser (Probabilidade / Suposição)</t>
  </si>
  <si>
    <t>Aprovado / Verificado (Legal / Formal)</t>
  </si>
  <si>
    <t>Fermentado / Levedado (Culinária)</t>
  </si>
  <si>
    <t>Derrubado / Cortado (Árvores)</t>
  </si>
  <si>
    <t>Meta / Objetivo (Comercial / Formal)</t>
  </si>
  <si>
    <t>Compreensível / Assimalável (Informação)</t>
  </si>
  <si>
    <t>Contexto / Cenário (Figurado / Ambiente)</t>
  </si>
  <si>
    <t>Atormentação / Tormento (Geral)</t>
  </si>
  <si>
    <t>Estas Coisas / Estes (Pronome Nominal)</t>
  </si>
  <si>
    <t>Embora / Ao Passo Que (Contraste)</t>
  </si>
  <si>
    <t>Tempo / Período (Substantivo)</t>
  </si>
  <si>
    <t>Punhalada / Traição (Figurado / Emocional)</t>
  </si>
  <si>
    <t>Esquelético / Extremamente Magro (Aparência)</t>
  </si>
  <si>
    <t>Camadas / Pisos (Físico / Estrutura)</t>
  </si>
  <si>
    <t>Nivela / Igualiza (Verbo)</t>
  </si>
  <si>
    <t>Enlamear / Sujar (Verbo)</t>
  </si>
  <si>
    <t>Cuidar de / Tratar de (Pessoas/Necessidades)</t>
  </si>
  <si>
    <t>Acompanhar / Servir (Formal)</t>
  </si>
  <si>
    <t>Executando Passo a Passo (TI / Debugging)</t>
  </si>
  <si>
    <t>Intervindo / Agindo (Figurado)</t>
  </si>
  <si>
    <t>slippery</t>
  </si>
  <si>
    <t>Escorregadio / Escorregadiço (Físico)</t>
  </si>
  <si>
    <t>Escorregadio / Enganador (Figurado / Ética)</t>
  </si>
  <si>
    <t>Diretamente / Sem Intermédios (Acesso / TI)</t>
  </si>
  <si>
    <t>Exatamente / Precisamente (Localização)</t>
  </si>
  <si>
    <t>Escancarado / Profundo / Amplo (Abertura)</t>
  </si>
  <si>
    <t>faces</t>
  </si>
  <si>
    <t>boring</t>
  </si>
  <si>
    <t>Reclamando / Queixando-se (Irritação)</t>
  </si>
  <si>
    <t>softly</t>
  </si>
  <si>
    <t>pain</t>
  </si>
  <si>
    <t>ache</t>
  </si>
  <si>
    <t>poor</t>
  </si>
  <si>
    <t>Foi Bem Recebido / Entendido</t>
  </si>
  <si>
    <t>Excedeu / Ultrapassou (Limite Físico ou Abstrato)</t>
  </si>
  <si>
    <t>committing</t>
  </si>
  <si>
    <t>exam</t>
  </si>
  <si>
    <t>apology</t>
  </si>
  <si>
    <t>poorly</t>
  </si>
  <si>
    <t>offended</t>
  </si>
  <si>
    <t>rainfall</t>
  </si>
  <si>
    <t>Sério / Sóbrio (Atitude)</t>
  </si>
  <si>
    <t>Simples / Sóbrio (Cor / Estilo)</t>
  </si>
  <si>
    <t>entirely</t>
  </si>
  <si>
    <t>maintained</t>
  </si>
  <si>
    <t>Ele Deve / Ele Deve Estar (Obrigação / Probabilidade)</t>
  </si>
  <si>
    <t>Mais Íntimo / Mais Chegado (Relacionamento / Afinidade)</t>
  </si>
  <si>
    <t>Mais Certo / Mais Exato (Aproximação)</t>
  </si>
  <si>
    <t>Entrar em Conflito / Chocar (Verbo)</t>
  </si>
  <si>
    <t>Bondade / Respeito (Ética Fundamental)</t>
  </si>
  <si>
    <t>acted</t>
  </si>
  <si>
    <t>politician</t>
  </si>
  <si>
    <t>sense</t>
  </si>
  <si>
    <t>workplace</t>
  </si>
  <si>
    <t>questioned</t>
  </si>
  <si>
    <t>paying</t>
  </si>
  <si>
    <t>damages</t>
  </si>
  <si>
    <t>Pior / Mais Doente (Saúde / Sentimento)</t>
  </si>
  <si>
    <t>boxer</t>
  </si>
  <si>
    <t>punches</t>
  </si>
  <si>
    <t>fast</t>
  </si>
  <si>
    <t>hard</t>
  </si>
  <si>
    <t>net</t>
  </si>
  <si>
    <t>repeatedly</t>
  </si>
  <si>
    <t>release</t>
  </si>
  <si>
    <t>highs</t>
  </si>
  <si>
    <t>ramp</t>
  </si>
  <si>
    <t>blizzard</t>
  </si>
  <si>
    <t>Falindo / Quebrando (Negócios / Físico)</t>
  </si>
  <si>
    <t>Falha / Fraqueza (Substantivo)</t>
  </si>
  <si>
    <t>module</t>
  </si>
  <si>
    <t>keeps</t>
  </si>
  <si>
    <t>handles</t>
  </si>
  <si>
    <t>peak</t>
  </si>
  <si>
    <t>load</t>
  </si>
  <si>
    <t>overcomplicate</t>
  </si>
  <si>
    <t>forgave</t>
  </si>
  <si>
    <t>apologized</t>
  </si>
  <si>
    <t>Banda de Rodagem / Piso (Pneu)</t>
  </si>
  <si>
    <t>Pisar / Esmagar / Reprimir (Figurado</t>
  </si>
  <si>
    <t>waking</t>
  </si>
  <si>
    <t>lightly</t>
  </si>
  <si>
    <t>trod</t>
  </si>
  <si>
    <t>worn</t>
  </si>
  <si>
    <t>rights</t>
  </si>
  <si>
    <t>massive</t>
  </si>
  <si>
    <t>tires</t>
  </si>
  <si>
    <t>Pneus (Veículos)</t>
  </si>
  <si>
    <t>Cansa / Fatiga (Físico)</t>
  </si>
  <si>
    <t>Esgota / Irrita (Paciência / Interesse)</t>
  </si>
  <si>
    <t>wear</t>
  </si>
  <si>
    <t>flight</t>
  </si>
  <si>
    <t>easily</t>
  </si>
  <si>
    <t>complaining</t>
  </si>
  <si>
    <t>jokes</t>
  </si>
  <si>
    <t>Extraiu / Obteve / Puxou (Dados / TI)</t>
  </si>
  <si>
    <t>Distendeu / Estirou (Lesão)</t>
  </si>
  <si>
    <t>tractor</t>
  </si>
  <si>
    <t>large</t>
  </si>
  <si>
    <t>chair</t>
  </si>
  <si>
    <t>closer</t>
  </si>
  <si>
    <t>repository</t>
  </si>
  <si>
    <t>librarian</t>
  </si>
  <si>
    <t>hamstring</t>
  </si>
  <si>
    <t>weight</t>
  </si>
  <si>
    <t>ligament</t>
  </si>
  <si>
    <t>Escaninho / Depósito (Espaço Interno)</t>
  </si>
  <si>
    <t>dishes</t>
  </si>
  <si>
    <t>stored</t>
  </si>
  <si>
    <t>hall</t>
  </si>
  <si>
    <t>hid</t>
  </si>
  <si>
    <t>narrow</t>
  </si>
  <si>
    <t>linen</t>
  </si>
  <si>
    <t>contains</t>
  </si>
  <si>
    <t>Deve Ser / Provavelmente É (Probabilidade / Expectativa)</t>
  </si>
  <si>
    <t>calculated</t>
  </si>
  <si>
    <t>interface</t>
  </si>
  <si>
    <t>understand</t>
  </si>
  <si>
    <t>use</t>
  </si>
  <si>
    <t>its</t>
  </si>
  <si>
    <t>package</t>
  </si>
  <si>
    <t>delivered</t>
  </si>
  <si>
    <t>by now</t>
  </si>
  <si>
    <t>office</t>
  </si>
  <si>
    <t>coding</t>
  </si>
  <si>
    <t>Reinados / Domínios (Substantivo)</t>
  </si>
  <si>
    <t>vast</t>
  </si>
  <si>
    <t>ancient</t>
  </si>
  <si>
    <t>displays</t>
  </si>
  <si>
    <t>Tentar / Esforçar-se (Verbo)</t>
  </si>
  <si>
    <t>Atentado / Tentativa de Crime</t>
  </si>
  <si>
    <t>deploy</t>
  </si>
  <si>
    <t>company</t>
  </si>
  <si>
    <t>arrested</t>
  </si>
  <si>
    <t>robbery</t>
  </si>
  <si>
    <t>Enfatizado / Destacado (Comunicação)</t>
  </si>
  <si>
    <t>Sob Estresse / Sob Carga (TI / Engenharia)</t>
  </si>
  <si>
    <t>huge</t>
  </si>
  <si>
    <t>immediate</t>
  </si>
  <si>
    <t>thirst</t>
  </si>
  <si>
    <t>Apagar / Resfriar / Interromper (Fogo, Emoção, Metal)</t>
  </si>
  <si>
    <t>severe</t>
  </si>
  <si>
    <t>dryness</t>
  </si>
  <si>
    <t>burning</t>
  </si>
  <si>
    <t>Mais de / Acima de (Quantidade)</t>
  </si>
  <si>
    <t>Acabado / Encerrado (Fim)</t>
  </si>
  <si>
    <t>Por Toda / Durante (Distribuição / Tempo)</t>
  </si>
  <si>
    <t>placed</t>
  </si>
  <si>
    <t>hundred</t>
  </si>
  <si>
    <t>surface</t>
  </si>
  <si>
    <t>going on</t>
  </si>
  <si>
    <t>strange</t>
  </si>
  <si>
    <t>noise</t>
  </si>
  <si>
    <t>Errático / Imprevisível (Movimento / Posição)</t>
  </si>
  <si>
    <t>punished</t>
  </si>
  <si>
    <t>skipping</t>
  </si>
  <si>
    <t>drifted</t>
  </si>
  <si>
    <t>off course</t>
  </si>
  <si>
    <t>strands</t>
  </si>
  <si>
    <t>Se Dando ao Trabalho de / Fazendo Esforço</t>
  </si>
  <si>
    <t>Norte / Setentrional (Região Específica)</t>
  </si>
  <si>
    <t>winds</t>
  </si>
  <si>
    <t>Reivindicou / Solicitou (Legal / Seguro)</t>
  </si>
  <si>
    <t>Reivindicou / Tirou (Vidas / Vítimas)</t>
  </si>
  <si>
    <t>firm</t>
  </si>
  <si>
    <t>near</t>
  </si>
  <si>
    <t>Gritar / Berra (Verbo)</t>
  </si>
  <si>
    <t>Atingiu / Surpreendeu (Ideia / Emoção)</t>
  </si>
  <si>
    <t>Acometido / Paralisado (Doença / Greve)</t>
  </si>
  <si>
    <t>Dessa Forma / Desse Modo (Método)</t>
  </si>
  <si>
    <t>Por Isso / Por Essa Razão (Causa)</t>
  </si>
  <si>
    <t>Pendurar / Guardar (Roupas)</t>
  </si>
  <si>
    <t>Reter / Atrasar / Impedir (Figurado)</t>
  </si>
  <si>
    <t>Inesperado / Atípico (Comportamento)</t>
  </si>
  <si>
    <t>Depilando / Encerando (Cosméticos / Tratamento)</t>
  </si>
  <si>
    <t>Crescendo / Tornando-se (Figurado)</t>
  </si>
  <si>
    <t>Remoeu / Meditou (Preocupação)</t>
  </si>
  <si>
    <t>Devemos Guardar / É Necessário Estocar (Físico / Geral)</t>
  </si>
  <si>
    <t>Cresce Vigorosamente / Viceja (Biológico)</t>
  </si>
  <si>
    <t>Crucial / De Importância Extrema (Necessidade)</t>
  </si>
  <si>
    <t>Revelou / Traiu (Segredo/Informação)</t>
  </si>
  <si>
    <t>Na Prática / De Forma Prática</t>
  </si>
  <si>
    <t>Manequim / Boneco (Objeto Físico)</t>
  </si>
  <si>
    <t>Estúpido / Idiota (Informal / Ofensivo)</t>
  </si>
  <si>
    <t>crash</t>
  </si>
  <si>
    <t>ran</t>
  </si>
  <si>
    <t>clothes</t>
  </si>
  <si>
    <t>safety</t>
  </si>
  <si>
    <t>weighted</t>
  </si>
  <si>
    <t>Atribuído / Entregue (Presente / Direito)</t>
  </si>
  <si>
    <t>Dada / Em particular (Substantivo)</t>
  </si>
  <si>
    <t>Designado / Especificado (Parâmetro / TI)</t>
  </si>
  <si>
    <t>Não Solicitado / Intrusa (Intrusão/Spam)</t>
  </si>
  <si>
    <t>Camada / Revestimento (Físico / Pintura)</t>
  </si>
  <si>
    <t>Revestir / Cobrir (Verbo)</t>
  </si>
  <si>
    <t>insulation</t>
  </si>
  <si>
    <t>Frear / Reduzir a Velocidade (Verbo)</t>
  </si>
  <si>
    <t>firmly</t>
  </si>
  <si>
    <t>rotors</t>
  </si>
  <si>
    <t>sharp</t>
  </si>
  <si>
    <t>Aprendeu / Adquiriu (Habilidade/Informação)</t>
  </si>
  <si>
    <t>Melhorou / Aumentou (Velocidade/Ritmo)</t>
  </si>
  <si>
    <t>Confuso / Desorganizado (Estado)</t>
  </si>
  <si>
    <t>Aguarda / Reserva (Destino / Oportunidade)</t>
  </si>
  <si>
    <t>Dominado / Derrotado (Gíria/Figurado)</t>
  </si>
  <si>
    <t>Em Desvantagem / Em Apuros</t>
  </si>
  <si>
    <t>Lamentou / Queixou-se (Comunicação)</t>
  </si>
  <si>
    <t>hurt</t>
  </si>
  <si>
    <t>protest</t>
  </si>
  <si>
    <t>him</t>
  </si>
  <si>
    <t>De Modo Covarde (Advérbio)</t>
  </si>
  <si>
    <t>Acordo / Harmonia (Figurado / Formal)</t>
  </si>
  <si>
    <t>Empreendedor / Idealizador (Histórico/Formal)</t>
  </si>
  <si>
    <t>Cuidar / Tratar de (Atenção / Suporte)</t>
  </si>
  <si>
    <t>Ir / Mover-se (Direção)</t>
  </si>
  <si>
    <t>southward</t>
  </si>
  <si>
    <t>gardener</t>
  </si>
  <si>
    <t>Já Que / Dado Que (Condição)</t>
  </si>
  <si>
    <t>Quando (TI / Condicionais)</t>
  </si>
  <si>
    <t>Custo / Consequência Negativa (Figurado)</t>
  </si>
  <si>
    <t>Toque (De Sino)</t>
  </si>
  <si>
    <t>highway</t>
  </si>
  <si>
    <t>government</t>
  </si>
  <si>
    <t>serious</t>
  </si>
  <si>
    <t>casualties</t>
  </si>
  <si>
    <t>disaster</t>
  </si>
  <si>
    <t>signaling</t>
  </si>
  <si>
    <t>noon</t>
  </si>
  <si>
    <t>Contorcer-se / Lutar (Emocional ou Embaraço)</t>
  </si>
  <si>
    <t>Turno (Trabalho)</t>
  </si>
  <si>
    <t>Deslocar / Mover (Bit a Bit / Carro)</t>
  </si>
  <si>
    <t>Negociação Coletiva / Trato (Formal)</t>
  </si>
  <si>
    <t>contract</t>
  </si>
  <si>
    <t>salesman</t>
  </si>
  <si>
    <t>timeline</t>
  </si>
  <si>
    <t>union</t>
  </si>
  <si>
    <t>wages</t>
  </si>
  <si>
    <t>management</t>
  </si>
  <si>
    <t>legally</t>
  </si>
  <si>
    <t>Absorventes Higiênicos (Inglês Britânico)</t>
  </si>
  <si>
    <t>bought</t>
  </si>
  <si>
    <t>sanitary</t>
  </si>
  <si>
    <t>drugstore</t>
  </si>
  <si>
    <t>labeled</t>
  </si>
  <si>
    <t>trip</t>
  </si>
  <si>
    <t>fold</t>
  </si>
  <si>
    <t>neatly</t>
  </si>
  <si>
    <t>Astuto / Capcioso / Enganador (Pessoa / Item)</t>
  </si>
  <si>
    <t>Procurador / Mandatário (Legal)</t>
  </si>
  <si>
    <t>merger</t>
  </si>
  <si>
    <t>negotiations</t>
  </si>
  <si>
    <t>lawsuit</t>
  </si>
  <si>
    <t>qualified</t>
  </si>
  <si>
    <t>appointed</t>
  </si>
  <si>
    <t>assets</t>
  </si>
  <si>
    <t>grants</t>
  </si>
  <si>
    <t>estate</t>
  </si>
  <si>
    <t>legal</t>
  </si>
  <si>
    <t>absent</t>
  </si>
  <si>
    <t>Precursor / Substância Anterior (Ciência / Química)</t>
  </si>
  <si>
    <t>framework</t>
  </si>
  <si>
    <t>abstract</t>
  </si>
  <si>
    <t>prototype</t>
  </si>
  <si>
    <t>enzyme</t>
  </si>
  <si>
    <t>chemical</t>
  </si>
  <si>
    <t>form</t>
  </si>
  <si>
    <t>compound</t>
  </si>
  <si>
    <t>Igual / Justo (Direitos / Tratamento)</t>
  </si>
  <si>
    <t>Equivaler a / Ser Igual a (Verbo)</t>
  </si>
  <si>
    <t>ensured</t>
  </si>
  <si>
    <t>threads</t>
  </si>
  <si>
    <t>constitution</t>
  </si>
  <si>
    <t>guarantees</t>
  </si>
  <si>
    <t>treatment</t>
  </si>
  <si>
    <t>pint</t>
  </si>
  <si>
    <t>measurement</t>
  </si>
  <si>
    <t>Empoleirado / Situado no Alto (Localização)</t>
  </si>
  <si>
    <t>parrot</t>
  </si>
  <si>
    <t>shoulder</t>
  </si>
  <si>
    <t>steep</t>
  </si>
  <si>
    <t>Privações / Escassez (Financeiro / Material)</t>
  </si>
  <si>
    <t>faced</t>
  </si>
  <si>
    <t>overcome</t>
  </si>
  <si>
    <t>suffered</t>
  </si>
  <si>
    <t>hurricane</t>
  </si>
  <si>
    <t>Visão / Opinião / Ponto de Vista (Abstrato)</t>
  </si>
  <si>
    <t>Visualização / Exibição (TI / Dados)</t>
  </si>
  <si>
    <t>Cozido em Água (Culinária)</t>
  </si>
  <si>
    <t>Fervia / Estava Furioso (Figurado / Emoção)</t>
  </si>
  <si>
    <t>Desvalorizar / Vender Barato (Habilidade / Valor)</t>
  </si>
  <si>
    <t>Contestar / Disputar (Verbo)</t>
  </si>
  <si>
    <t>Contender / Lutar por (Conquista)</t>
  </si>
  <si>
    <t>Entendeu / Raciocinou (Compreensão / Lógica)</t>
  </si>
  <si>
    <t>Apareceu / Figurou (Presença)</t>
  </si>
  <si>
    <t>Despacho / Relatório (Substantivo)</t>
  </si>
  <si>
    <t>Despachar / Executar (TI / Eliminar)</t>
  </si>
  <si>
    <t>Preocupante / Alarmante (Adjetivo / Estado)</t>
  </si>
  <si>
    <t>Estático / Parado / Sem Movimento (Físico)</t>
  </si>
  <si>
    <t>Método / Procedimento (Geral)</t>
  </si>
  <si>
    <t>Ordem / Organização</t>
  </si>
  <si>
    <t>approaches</t>
  </si>
  <si>
    <t>requires</t>
  </si>
  <si>
    <t>Estacou / Instalou Postes (Estrutura)</t>
  </si>
  <si>
    <t>boatman</t>
  </si>
  <si>
    <t>hiker</t>
  </si>
  <si>
    <t>debris</t>
  </si>
  <si>
    <t>vessel</t>
  </si>
  <si>
    <t>Inaugural / Inicial (Viagem / Evento)</t>
  </si>
  <si>
    <t>Intocado / Virgem (Natureza / Local)</t>
  </si>
  <si>
    <t>voyage</t>
  </si>
  <si>
    <t>explorers</t>
  </si>
  <si>
    <t>untouched</t>
  </si>
  <si>
    <t>forest</t>
  </si>
  <si>
    <t>exploitation</t>
  </si>
  <si>
    <t>Grandes Quantidades / Montes (Figurado)</t>
  </si>
  <si>
    <t>ordered</t>
  </si>
  <si>
    <t>wrote</t>
  </si>
  <si>
    <t>Espiralado / Enrolado (Forma / Objeto)</t>
  </si>
  <si>
    <t>inherited</t>
  </si>
  <si>
    <t>plumes</t>
  </si>
  <si>
    <t>ceiling</t>
  </si>
  <si>
    <t>vine</t>
  </si>
  <si>
    <t>climbing</t>
  </si>
  <si>
    <t>brackets</t>
  </si>
  <si>
    <t>legacy</t>
  </si>
  <si>
    <t>enough</t>
  </si>
  <si>
    <t>Modificador / Alterador (Geral / Linguagem)</t>
  </si>
  <si>
    <t>uses</t>
  </si>
  <si>
    <t>tone</t>
  </si>
  <si>
    <t>temporal</t>
  </si>
  <si>
    <t>taste</t>
  </si>
  <si>
    <t>flavor</t>
  </si>
  <si>
    <t>Suportando / Aguentando (Sofrimento)</t>
  </si>
  <si>
    <t>aims</t>
  </si>
  <si>
    <t>novel</t>
  </si>
  <si>
    <t>profound</t>
  </si>
  <si>
    <t>scandal</t>
  </si>
  <si>
    <t>recurring</t>
  </si>
  <si>
    <t>Podar / Cortar (Plantas)</t>
  </si>
  <si>
    <t>unnecessary</t>
  </si>
  <si>
    <t>intake</t>
  </si>
  <si>
    <t>bushes</t>
  </si>
  <si>
    <t>overgrown</t>
  </si>
  <si>
    <t>branches</t>
  </si>
  <si>
    <t>encourage</t>
  </si>
  <si>
    <t>growth</t>
  </si>
  <si>
    <t>Assinatura (TI / Programação)</t>
  </si>
  <si>
    <t>Marca / Característica Distintiva</t>
  </si>
  <si>
    <t>parties</t>
  </si>
  <si>
    <t>verified</t>
  </si>
  <si>
    <t>criminal</t>
  </si>
  <si>
    <t>tugging</t>
  </si>
  <si>
    <t>unexpectedly</t>
  </si>
  <si>
    <t>preers</t>
  </si>
  <si>
    <t>kept</t>
  </si>
  <si>
    <t>Leve / Fraco (Intensidade / Efeito)</t>
  </si>
  <si>
    <t>Suave / Delicado (Sabor / Caráter)</t>
  </si>
  <si>
    <t>surprisingly</t>
  </si>
  <si>
    <t>predicts</t>
  </si>
  <si>
    <t>climate</t>
  </si>
  <si>
    <t>coast</t>
  </si>
  <si>
    <t>symptoms</t>
  </si>
  <si>
    <t>criticism</t>
  </si>
  <si>
    <t>mistakes</t>
  </si>
  <si>
    <t>cleaning</t>
  </si>
  <si>
    <t>Encapsulamento / Revestimento (Biológico / Físico)</t>
  </si>
  <si>
    <t>maintain</t>
  </si>
  <si>
    <t>medicine</t>
  </si>
  <si>
    <t>polymer</t>
  </si>
  <si>
    <t>locked</t>
  </si>
  <si>
    <t>Trancado / Fechado (Físico / Acesso)</t>
  </si>
  <si>
    <t>Preso / Fixado / Imóvel</t>
  </si>
  <si>
    <t>Travado / Sem Mudança (TI / Valor)</t>
  </si>
  <si>
    <t>Bombardeado / Atingido (Figurado)</t>
  </si>
  <si>
    <t>Evitar / Fugir de (Responsabilidade / Pergunta)</t>
  </si>
  <si>
    <t>managed</t>
  </si>
  <si>
    <t>thrown</t>
  </si>
  <si>
    <t>failure</t>
  </si>
  <si>
    <t>taxes</t>
  </si>
  <si>
    <t>ratio</t>
  </si>
  <si>
    <t>Manter / Não Mudar (Ex: Decoração, Estrutura)</t>
  </si>
  <si>
    <t>board</t>
  </si>
  <si>
    <t>Ocorre / Vem à Mente (Ideia / Pensamento)</t>
  </si>
  <si>
    <t>Prometido / Destinado (Potencial / Destino)</t>
  </si>
  <si>
    <t>refund</t>
  </si>
  <si>
    <t>Remanescente / Excedente (Recurso / Material)</t>
  </si>
  <si>
    <t>Mais Confortável / Mais Suave</t>
  </si>
  <si>
    <t>Implicar / Conter / Envolver (Consequência)</t>
  </si>
  <si>
    <t>Para Concretizar / Para Realizar (Resultado / Estado)</t>
  </si>
  <si>
    <t>Progredir / Se Virar (Progresso)</t>
  </si>
  <si>
    <t>Ficar Mais Velho / Idoso</t>
  </si>
  <si>
    <t>Maleável / Manuseável (Físico)</t>
  </si>
  <si>
    <t>Serviu / Foi Útil (Função / Propósito)</t>
  </si>
  <si>
    <t>Cumpriu / Exerceu (Dever / Tempo)</t>
  </si>
  <si>
    <t>Entregue / Notificado (Legal)</t>
  </si>
  <si>
    <t>Resolveu / Solucionou (Problema)</t>
  </si>
  <si>
    <t>Juros (Finanças)</t>
  </si>
  <si>
    <t>Interesse / Participação / Quota (Legal / Financeiro)</t>
  </si>
  <si>
    <t>Prejudicar / Prejudicar (Verbo)</t>
  </si>
  <si>
    <t>sparked</t>
  </si>
  <si>
    <t>ruling</t>
  </si>
  <si>
    <t>checking</t>
  </si>
  <si>
    <t>Acabar por / Terminar por (Ação Conclusiva)</t>
  </si>
  <si>
    <t>Terminar / Encerrar (Localização Final)</t>
  </si>
  <si>
    <t>Implausível / Inacreditável (Veracidade)</t>
  </si>
  <si>
    <t>comeback</t>
  </si>
  <si>
    <t>achieved</t>
  </si>
  <si>
    <t>advertisement</t>
  </si>
  <si>
    <t>overlord</t>
  </si>
  <si>
    <t>commanded</t>
  </si>
  <si>
    <t>his</t>
  </si>
  <si>
    <t>constantly</t>
  </si>
  <si>
    <t>Desagradável / Desanimador (Situação / Notícia)</t>
  </si>
  <si>
    <t>Cruel / Feroz (Ação / Método)</t>
  </si>
  <si>
    <t>land</t>
  </si>
  <si>
    <t>sculpt</t>
  </si>
  <si>
    <t>O Corredor Está / O Corredor Tem (Verbo Contração)</t>
  </si>
  <si>
    <t>Assinatura / ID Único (TI / Digital)</t>
  </si>
  <si>
    <t>Confiança / Fidelidade (Relação)</t>
  </si>
  <si>
    <t>Confidencialidade / Sigilo (Segurança)</t>
  </si>
  <si>
    <t>during</t>
  </si>
  <si>
    <t>prevents</t>
  </si>
  <si>
    <t>pottery</t>
  </si>
  <si>
    <t>overnight</t>
  </si>
  <si>
    <t>bricks</t>
  </si>
  <si>
    <t>trace</t>
  </si>
  <si>
    <t>Exibindo / Desrespeitando (Regra / Atitude)</t>
  </si>
  <si>
    <t>Explorado Demais / Desgastado (Recurso)</t>
  </si>
  <si>
    <t>severely</t>
  </si>
  <si>
    <t>avoided</t>
  </si>
  <si>
    <t>outdated</t>
  </si>
  <si>
    <t>Conter / Reprimir / Limitar (Controle)</t>
  </si>
  <si>
    <t>spread</t>
  </si>
  <si>
    <t>firewall</t>
  </si>
  <si>
    <t>threats</t>
  </si>
  <si>
    <t>Qualificativo / Atributivo (Gramática / Função)</t>
  </si>
  <si>
    <t>Obrigatório / Destinado a (Dever / Inevitabilidade)</t>
  </si>
  <si>
    <t>A Caminho de / Destinado a (Direção)</t>
  </si>
  <si>
    <t>Reutilizável / Reciclável (Objeto / Material)</t>
  </si>
  <si>
    <t>switched</t>
  </si>
  <si>
    <t>De Modo Que / Com a Consequência de (Resultado)</t>
  </si>
  <si>
    <t>Agir Como Idiotas (Verbo)</t>
  </si>
  <si>
    <t>impatient</t>
  </si>
  <si>
    <t>middle</t>
  </si>
  <si>
    <t>lane</t>
  </si>
  <si>
    <t>laughing</t>
  </si>
  <si>
    <t>everything</t>
  </si>
  <si>
    <t>at</t>
  </si>
  <si>
    <t>Suportes / Tirantes (Estrutura / Construção)</t>
  </si>
  <si>
    <t>suits</t>
  </si>
  <si>
    <t>deck</t>
  </si>
  <si>
    <t>tiles</t>
  </si>
  <si>
    <t>Supervisionando / Vigiando (Função)</t>
  </si>
  <si>
    <t>Deixando Passar / Ignorando (Erro / Falha)</t>
  </si>
  <si>
    <t>park</t>
  </si>
  <si>
    <t>phase</t>
  </si>
  <si>
    <t>Brincou / Agiu de Forma Tola</t>
  </si>
  <si>
    <t>convincing</t>
  </si>
  <si>
    <t>lie</t>
  </si>
  <si>
    <t>trick</t>
  </si>
  <si>
    <t>playground</t>
  </si>
  <si>
    <t>Inacreditável / Fantástico (Gíria)</t>
  </si>
  <si>
    <t>Subindo / Aumentando (Preço / Valor)</t>
  </si>
  <si>
    <t>Sendo Construído / Sendo Erguido</t>
  </si>
  <si>
    <t>tower</t>
  </si>
  <si>
    <t>floor</t>
  </si>
  <si>
    <t>trail</t>
  </si>
  <si>
    <t>Acontecer / Ocorrer (Evento)</t>
  </si>
  <si>
    <t>Continuar / Durar (Tempo)</t>
  </si>
  <si>
    <t>Apoia / Suporta (Verbo)</t>
  </si>
  <si>
    <t>Anda para Trás / Recua (Verbo)</t>
  </si>
  <si>
    <t>Trazido / Carregado / Suportado (Peso/Ação)</t>
  </si>
  <si>
    <t>Admirar-se / Espantar-se (Surpresa / Verbo)</t>
  </si>
  <si>
    <t>Maravilha / Prodígio (Substantivo)</t>
  </si>
  <si>
    <t>traffic</t>
  </si>
  <si>
    <t>sheer</t>
  </si>
  <si>
    <t>scale</t>
  </si>
  <si>
    <t>beauty</t>
  </si>
  <si>
    <t>sunset</t>
  </si>
  <si>
    <t>feat</t>
  </si>
  <si>
    <t>than ever</t>
  </si>
  <si>
    <t>Do Que Nunca / Mais do Que Antes</t>
  </si>
  <si>
    <t>miserable</t>
  </si>
  <si>
    <t>Se Estende / Se Alastra (Área / Tempo)</t>
  </si>
  <si>
    <t>Diferenças / Margens (Finanças / TI)</t>
  </si>
  <si>
    <t>social</t>
  </si>
  <si>
    <t>media</t>
  </si>
  <si>
    <t>network</t>
  </si>
  <si>
    <t>evenly</t>
  </si>
  <si>
    <t>field</t>
  </si>
  <si>
    <t>valley</t>
  </si>
  <si>
    <t>darkness</t>
  </si>
  <si>
    <t>further</t>
  </si>
  <si>
    <t>urban</t>
  </si>
  <si>
    <t>decade</t>
  </si>
  <si>
    <t>actual</t>
  </si>
  <si>
    <t>cost</t>
  </si>
  <si>
    <t>points</t>
  </si>
  <si>
    <t>graph</t>
  </si>
  <si>
    <t>Novo / Superficial / Chamativo (Figurado)</t>
  </si>
  <si>
    <t>paint</t>
  </si>
  <si>
    <t>coin</t>
  </si>
  <si>
    <t>polished</t>
  </si>
  <si>
    <t>scratches</t>
  </si>
  <si>
    <t>chasing</t>
  </si>
  <si>
    <t>lacked</t>
  </si>
  <si>
    <t>real</t>
  </si>
  <si>
    <t>soundly</t>
  </si>
  <si>
    <t>São de Conhecimento / São Sabidos (Fato / Informação)</t>
  </si>
  <si>
    <t>constraints</t>
  </si>
  <si>
    <t>stakeholders</t>
  </si>
  <si>
    <t>Desejar / Ansiar (Verbo)</t>
  </si>
  <si>
    <t>Longo / Longe (Advérbio)</t>
  </si>
  <si>
    <t>delivery</t>
  </si>
  <si>
    <t>until</t>
  </si>
  <si>
    <t>final</t>
  </si>
  <si>
    <t>vacation</t>
  </si>
  <si>
    <t>fix</t>
  </si>
  <si>
    <t>quit</t>
  </si>
  <si>
    <t>quiet</t>
  </si>
  <si>
    <t>take</t>
  </si>
  <si>
    <t>stayed</t>
  </si>
  <si>
    <t>Ela Considerou / Ela Teve a Intenção</t>
  </si>
  <si>
    <t>Fanático / Excessivo / Fervoroso (Figurado)</t>
  </si>
  <si>
    <t>Incentivando / Provocando (Abstrato)</t>
  </si>
  <si>
    <t>Corroendo / Atormentando (Emocional)</t>
  </si>
  <si>
    <t>Acionado / Disparado (Físico / Mecânico)</t>
  </si>
  <si>
    <t>Desencadeado / Provocado (Emocional)</t>
  </si>
  <si>
    <t>occurred</t>
  </si>
  <si>
    <t>complex</t>
  </si>
  <si>
    <t>chain</t>
  </si>
  <si>
    <t>hidden</t>
  </si>
  <si>
    <t>hunting</t>
  </si>
  <si>
    <t>trap</t>
  </si>
  <si>
    <t>anxiety</t>
  </si>
  <si>
    <t>producer</t>
  </si>
  <si>
    <t>concurrently</t>
  </si>
  <si>
    <t>Ameaças / Riscos (Abstrato)</t>
  </si>
  <si>
    <t>Distraction</t>
  </si>
  <si>
    <t>fatigue</t>
  </si>
  <si>
    <t>lifelong</t>
  </si>
  <si>
    <t>Equipara-se / Se Iguala (Qualidade / Valor)</t>
  </si>
  <si>
    <t>Usabilidade / Viabilidade de Uso (Geral)</t>
  </si>
  <si>
    <t>Ceifadores (Morte / Figurado)</t>
  </si>
  <si>
    <t>ripe</t>
  </si>
  <si>
    <t>grain</t>
  </si>
  <si>
    <t>cut</t>
  </si>
  <si>
    <t>replaced</t>
  </si>
  <si>
    <t>myth</t>
  </si>
  <si>
    <t>depicts</t>
  </si>
  <si>
    <t>scythe</t>
  </si>
  <si>
    <t>feared</t>
  </si>
  <si>
    <t>collect</t>
  </si>
  <si>
    <t>souls</t>
  </si>
  <si>
    <t>dark</t>
  </si>
  <si>
    <t>Monopolizado / Dominado (Mercado / Finanças)</t>
  </si>
  <si>
    <t>finally</t>
  </si>
  <si>
    <t>barking</t>
  </si>
  <si>
    <t>loud</t>
  </si>
  <si>
    <t>opposing</t>
  </si>
  <si>
    <t>strategy</t>
  </si>
  <si>
    <t>digital</t>
  </si>
  <si>
    <t>watches</t>
  </si>
  <si>
    <t>supply</t>
  </si>
  <si>
    <t>resource</t>
  </si>
  <si>
    <t>base</t>
  </si>
  <si>
    <t>basement</t>
  </si>
  <si>
    <t>specific</t>
  </si>
  <si>
    <t>niche</t>
  </si>
  <si>
    <t>Tapping into</t>
  </si>
  <si>
    <t>Aproveitando / Explorando (Recursos / Oportunidade)</t>
  </si>
  <si>
    <t>Conectando-se a / Grampeando (Eletricidade / Informação)</t>
  </si>
  <si>
    <t>emerging</t>
  </si>
  <si>
    <t>market</t>
  </si>
  <si>
    <t>line</t>
  </si>
  <si>
    <t>someone</t>
  </si>
  <si>
    <t>stream</t>
  </si>
  <si>
    <t>Essencialmente / Fundamentalmente (Natureza)</t>
  </si>
  <si>
    <t>refactoring</t>
  </si>
  <si>
    <t>plan</t>
  </si>
  <si>
    <t>reduce</t>
  </si>
  <si>
    <t>estimate</t>
  </si>
  <si>
    <t>decreased</t>
  </si>
  <si>
    <t>server</t>
  </si>
  <si>
    <t>optimization</t>
  </si>
  <si>
    <t>equivalent</t>
  </si>
  <si>
    <t>argument</t>
  </si>
  <si>
    <t>minor</t>
  </si>
  <si>
    <t>errors</t>
  </si>
  <si>
    <t>Garantido / Certo / Inevitável (Certeza Absoluta)</t>
  </si>
  <si>
    <t>defects</t>
  </si>
  <si>
    <t>Estagnação / Nível Constante (Figurado)</t>
  </si>
  <si>
    <t>on</t>
  </si>
  <si>
    <t>in</t>
  </si>
  <si>
    <t>under</t>
  </si>
  <si>
    <t>strategies</t>
  </si>
  <si>
    <t>to</t>
  </si>
  <si>
    <t>Colher / Obter (Resultados / Consequências)</t>
  </si>
  <si>
    <t>eventually</t>
  </si>
  <si>
    <t>planning</t>
  </si>
  <si>
    <t>hits</t>
  </si>
  <si>
    <t>efficiently</t>
  </si>
  <si>
    <t>must</t>
  </si>
  <si>
    <t>Multiplicador / Efeito (Economia / Figurado)</t>
  </si>
  <si>
    <t>equation</t>
  </si>
  <si>
    <t>checked</t>
  </si>
  <si>
    <t>value</t>
  </si>
  <si>
    <t>algorithm</t>
  </si>
  <si>
    <t>Pessoa / Indivíduo (Geral)</t>
  </si>
  <si>
    <t>Espírito / Paixão (Música / Estilo)</t>
  </si>
  <si>
    <t>sermon</t>
  </si>
  <si>
    <t>nature</t>
  </si>
  <si>
    <t>believes</t>
  </si>
  <si>
    <t>dies</t>
  </si>
  <si>
    <t>kindness</t>
  </si>
  <si>
    <t>goodness</t>
  </si>
  <si>
    <t>deserted</t>
  </si>
  <si>
    <t>village</t>
  </si>
  <si>
    <t>sight</t>
  </si>
  <si>
    <t>genuine</t>
  </si>
  <si>
    <t>performs</t>
  </si>
  <si>
    <t>passion</t>
  </si>
  <si>
    <t>deep</t>
  </si>
  <si>
    <t>rhythm</t>
  </si>
  <si>
    <t>Perfeitamente / Exaustivamente (Ênfase)</t>
  </si>
  <si>
    <t>understood</t>
  </si>
  <si>
    <t>overhaul</t>
  </si>
  <si>
    <t>structure</t>
  </si>
  <si>
    <t>wiring</t>
  </si>
  <si>
    <t>Restritivamente / Sem Partilha</t>
  </si>
  <si>
    <t>lead</t>
  </si>
  <si>
    <t>sold</t>
  </si>
  <si>
    <t>internal</t>
  </si>
  <si>
    <t>team</t>
  </si>
  <si>
    <t>property</t>
  </si>
  <si>
    <t>purposes</t>
  </si>
  <si>
    <t>within</t>
  </si>
  <si>
    <t>secure</t>
  </si>
  <si>
    <t>tank</t>
  </si>
  <si>
    <t>Caroço / Semente (Fruta)</t>
  </si>
  <si>
    <t>Opor / Pôr em Confronto (Verbo)</t>
  </si>
  <si>
    <t>be careful</t>
  </si>
  <si>
    <t>cherry</t>
  </si>
  <si>
    <t>avocado</t>
  </si>
  <si>
    <t>peach</t>
  </si>
  <si>
    <t>discarded</t>
  </si>
  <si>
    <t>cool</t>
  </si>
  <si>
    <t>leaves</t>
  </si>
  <si>
    <t>dug</t>
  </si>
  <si>
    <t>room</t>
  </si>
  <si>
    <t>scenario</t>
  </si>
  <si>
    <t>Mais Sombrio / Pior (Figurado / Moral)</t>
  </si>
  <si>
    <t>cave</t>
  </si>
  <si>
    <t>visited</t>
  </si>
  <si>
    <t>searched</t>
  </si>
  <si>
    <t>moonless</t>
  </si>
  <si>
    <t>marked</t>
  </si>
  <si>
    <t>revealed</t>
  </si>
  <si>
    <t>reveal</t>
  </si>
  <si>
    <t>possibilities</t>
  </si>
  <si>
    <t>Mais Intenso / Mais Sincero (Emoção / Sentimento)</t>
  </si>
  <si>
    <t>Mais Profundo / Mais Abrangente (Conhecimento / Escopo)</t>
  </si>
  <si>
    <t>reaches</t>
  </si>
  <si>
    <t>oil</t>
  </si>
  <si>
    <t>sea</t>
  </si>
  <si>
    <t>layer</t>
  </si>
  <si>
    <t>apologies</t>
  </si>
  <si>
    <t>expressed</t>
  </si>
  <si>
    <t>remained</t>
  </si>
  <si>
    <t>understanding</t>
  </si>
  <si>
    <t>Grande / Magnífico / Excelente (Figurado / Informal)</t>
  </si>
  <si>
    <t>Carregando / Suportando (TI / Abstrato)</t>
  </si>
  <si>
    <t>Carregando / Acompanhando (Doença / Consequência)</t>
  </si>
  <si>
    <t>suitcases</t>
  </si>
  <si>
    <t>stairs</t>
  </si>
  <si>
    <t>confidential</t>
  </si>
  <si>
    <t>bridge</t>
  </si>
  <si>
    <t>platform</t>
  </si>
  <si>
    <t>transmitted</t>
  </si>
  <si>
    <t>unknowingly</t>
  </si>
  <si>
    <t>budget</t>
  </si>
  <si>
    <t>burden</t>
  </si>
  <si>
    <t>quarter's</t>
  </si>
  <si>
    <t>losses</t>
  </si>
  <si>
    <t>Exército / Multidão (Figurado / Grande Grupo)</t>
  </si>
  <si>
    <t>division</t>
  </si>
  <si>
    <t>joined</t>
  </si>
  <si>
    <t>growing</t>
  </si>
  <si>
    <t>dedicated</t>
  </si>
  <si>
    <t>Toca / Apresenta (Mídia / Música / Teatro)</t>
  </si>
  <si>
    <t>an</t>
  </si>
  <si>
    <t>a</t>
  </si>
  <si>
    <t>smoothly</t>
  </si>
  <si>
    <t>Peças / Jogadas (Substantivo)</t>
  </si>
  <si>
    <t>theatrical</t>
  </si>
  <si>
    <t>drama</t>
  </si>
  <si>
    <t>historical</t>
  </si>
  <si>
    <t>writer</t>
  </si>
  <si>
    <t>designed</t>
  </si>
  <si>
    <t>exciting</t>
  </si>
  <si>
    <t>Constituição / Tipo Físico (Substantivo)</t>
  </si>
  <si>
    <t>Versão / Compilação (Substantivo - TI)</t>
  </si>
  <si>
    <t>nightly</t>
  </si>
  <si>
    <t>commercial</t>
  </si>
  <si>
    <t>data</t>
  </si>
  <si>
    <t>Elogioso / Entusiasmado (Figurado)</t>
  </si>
  <si>
    <t>Quente / Incandescente (Calor)</t>
  </si>
  <si>
    <t>horizon</t>
  </si>
  <si>
    <t>intensely</t>
  </si>
  <si>
    <t>press</t>
  </si>
  <si>
    <t>praise</t>
  </si>
  <si>
    <t>campfire</t>
  </si>
  <si>
    <t>embers</t>
  </si>
  <si>
    <t>cheeks</t>
  </si>
  <si>
    <t>Vai Ser / Deve Ser (Probabilidade / Suposição)</t>
  </si>
  <si>
    <t>Padrões / Tendências (Comportamento / Dados)</t>
  </si>
  <si>
    <t>Moldes / Gabaritos (Físico)</t>
  </si>
  <si>
    <t>precisely</t>
  </si>
  <si>
    <t>solve</t>
  </si>
  <si>
    <t>code</t>
  </si>
  <si>
    <t>recurrent</t>
  </si>
  <si>
    <t>logs</t>
  </si>
  <si>
    <t>found</t>
  </si>
  <si>
    <t>customer</t>
  </si>
  <si>
    <t>buying</t>
  </si>
  <si>
    <t>improve</t>
  </si>
  <si>
    <t>child</t>
  </si>
  <si>
    <t>exhibit</t>
  </si>
  <si>
    <t>disruptive</t>
  </si>
  <si>
    <t>sewing</t>
  </si>
  <si>
    <t>arranging</t>
  </si>
  <si>
    <t>Trono / Poder (Figurado / Autoridade)</t>
  </si>
  <si>
    <t>Externo / De Fora (TI / Fontes)</t>
  </si>
  <si>
    <t>Exceção / Além de (Limite)</t>
  </si>
  <si>
    <t>fresh</t>
  </si>
  <si>
    <t>wait</t>
  </si>
  <si>
    <t>library</t>
  </si>
  <si>
    <t>consultant</t>
  </si>
  <si>
    <t>expertise</t>
  </si>
  <si>
    <t>Estabelecer / Fundar (Negócios / Organização)</t>
  </si>
  <si>
    <t>Preparar / Organizar (Evento / Situação)</t>
  </si>
  <si>
    <t>overseas</t>
  </si>
  <si>
    <t>Escopo / Visibilidade (TI / Programação)</t>
  </si>
  <si>
    <t>Escopo / Oportunidade (Extensão / Limite)</t>
  </si>
  <si>
    <t>began</t>
  </si>
  <si>
    <t>gives us</t>
  </si>
  <si>
    <t>financial</t>
  </si>
  <si>
    <t>increased</t>
  </si>
  <si>
    <t>Apartamento (Moradia - Inglês Britânico)</t>
  </si>
  <si>
    <t>Vazio / Sem Gás / Descarregado (Estado)</t>
  </si>
  <si>
    <t>chose</t>
  </si>
  <si>
    <t>minimalist</t>
  </si>
  <si>
    <t>rented</t>
  </si>
  <si>
    <t>fell</t>
  </si>
  <si>
    <t>Ultrapassando / Superando (Limite / Quantidade)</t>
  </si>
  <si>
    <t>whipped</t>
  </si>
  <si>
    <t>calls</t>
  </si>
  <si>
    <t>Multa (Punição)</t>
  </si>
  <si>
    <t>Fino / Delicado / Preciso (Textura / Detalhe)</t>
  </si>
  <si>
    <t>speeding</t>
  </si>
  <si>
    <t>parking</t>
  </si>
  <si>
    <t>coarse</t>
  </si>
  <si>
    <t>trouble</t>
  </si>
  <si>
    <t>brush</t>
  </si>
  <si>
    <t>change</t>
  </si>
  <si>
    <t>time</t>
  </si>
  <si>
    <t>grab</t>
  </si>
  <si>
    <t>Sobrecarga / Cheio (Figurado / Informal)</t>
  </si>
  <si>
    <t>Novato / Recém-Chegado (Grupo / Local)</t>
  </si>
  <si>
    <t>Simplificado / Básico (Versão)</t>
  </si>
  <si>
    <t>deployment</t>
  </si>
  <si>
    <t>Nós Estamos Fazendo (Ação em Progresso)</t>
  </si>
  <si>
    <t>launching</t>
  </si>
  <si>
    <t>Guloseimas / Mimos / Presentes (Substantivo)</t>
  </si>
  <si>
    <t>Trata / Reage a (Reação Química/Física)</t>
  </si>
  <si>
    <t>Parar / Abster-se de (Comportamento)</t>
  </si>
  <si>
    <t>Desistir / Entregar</t>
  </si>
  <si>
    <t>quarter</t>
  </si>
  <si>
    <t>Afastou / Expulsou / Repeliu</t>
  </si>
  <si>
    <t>into the</t>
  </si>
  <si>
    <t>Captura / Monitoramento (TI / Rede)</t>
  </si>
  <si>
    <t>bowl</t>
  </si>
  <si>
    <t>cautiously</t>
  </si>
  <si>
    <t>garden</t>
  </si>
  <si>
    <t>unauthorized</t>
  </si>
  <si>
    <t>Reclamações / Queixas (Substantivo)</t>
  </si>
  <si>
    <t>Momento Crítico / Ponto Final (Figurado)</t>
  </si>
  <si>
    <t>strict</t>
  </si>
  <si>
    <t>extended</t>
  </si>
  <si>
    <t>morning</t>
  </si>
  <si>
    <t>right</t>
  </si>
  <si>
    <t>inevitable</t>
  </si>
  <si>
    <t>year-end</t>
  </si>
  <si>
    <t>pushed</t>
  </si>
  <si>
    <t>direct</t>
  </si>
  <si>
    <t>ties</t>
  </si>
  <si>
    <t>partner</t>
  </si>
  <si>
    <t>Merecedor / Sujeito a (Crítica / Punição)</t>
  </si>
  <si>
    <t>reckless</t>
  </si>
  <si>
    <t>critique</t>
  </si>
  <si>
    <t>penalty</t>
  </si>
  <si>
    <t>Denso / Viscoso (Líquidos / Fumaça)</t>
  </si>
  <si>
    <t>Estúpido / Burro (Figurado / Informal)</t>
  </si>
  <si>
    <t>Fica / Jaz / Está Localizado (Verbo - Posição)</t>
  </si>
  <si>
    <t>Mentiras / Inverdades (Substantivo)</t>
  </si>
  <si>
    <t>Indexando / Varrendo (TI / Web)</t>
  </si>
  <si>
    <t>Movendo-se Lentamente / Engarrafado</t>
  </si>
  <si>
    <t>Focado / Orientado (Direção / Escopo)</t>
  </si>
  <si>
    <t>Focado / Nítido (Imagem / Óptica)</t>
  </si>
  <si>
    <t>Acostamento / Beira de Estrada (Geografia)</t>
  </si>
  <si>
    <t>Beirar / Tender a (Verbo)</t>
  </si>
  <si>
    <t>Escolta / Acompanhar (Verbo)</t>
  </si>
  <si>
    <t>Geme / Lamenta (Verbo)</t>
  </si>
  <si>
    <t>Contou / Incluiu (Série / Grupo)</t>
  </si>
  <si>
    <t>Importou / Foi Importante</t>
  </si>
  <si>
    <t>Intacto / Natural / Não Alterado (Figurado)</t>
  </si>
  <si>
    <t>environmental</t>
  </si>
  <si>
    <t>homemade</t>
  </si>
  <si>
    <t>bread</t>
  </si>
  <si>
    <t>Abstração / Resumo (Geral)</t>
  </si>
  <si>
    <t>unclear</t>
  </si>
  <si>
    <t>making</t>
  </si>
  <si>
    <t>real-world</t>
  </si>
  <si>
    <t>Debateu / Considerou (Formal / Lógica)</t>
  </si>
  <si>
    <t>implications</t>
  </si>
  <si>
    <t>Coluna / Pilar (Engenharia / Estrutura)</t>
  </si>
  <si>
    <t>Coluna (Jornal / Formato de Texto)</t>
  </si>
  <si>
    <t>Energético / Vibrante (Qualidade / Ação)</t>
  </si>
  <si>
    <t>Dinâmico / Em Mudança (Estado)</t>
  </si>
  <si>
    <t>Caro / Dispendioso (Preço)</t>
  </si>
  <si>
    <t>Querido / Amado (Afeto / Valor)</t>
  </si>
  <si>
    <t>Imprimiu / Copiou (Documento)</t>
  </si>
  <si>
    <t>surgical</t>
  </si>
  <si>
    <t>clung</t>
  </si>
  <si>
    <t>crowding</t>
  </si>
  <si>
    <t>sports</t>
  </si>
  <si>
    <t>Metragem / Área (Medida)</t>
  </si>
  <si>
    <t>Restrição / Controle (Medida)</t>
  </si>
  <si>
    <t>Astuto / Sagaz (Malícia)</t>
  </si>
  <si>
    <t>Cortado em Cubos (Culinária)</t>
  </si>
  <si>
    <t>Cúbico / Em Forma de Cubo (Dimensão)</t>
  </si>
  <si>
    <t>uniformly</t>
  </si>
  <si>
    <t>mathematical</t>
  </si>
  <si>
    <t>math</t>
  </si>
  <si>
    <t>dessert</t>
  </si>
  <si>
    <t>Incluir / Adicionar (Concessão / Item)</t>
  </si>
  <si>
    <t>Aceita / Concorda com (Acordo / Consentimento)</t>
  </si>
  <si>
    <t>Assume / Acolhe (Dever / Mudança)</t>
  </si>
  <si>
    <t>Bebido / Bêbado (Gíria Informal)</t>
  </si>
  <si>
    <t>Absorto / Imerso (Figurado)</t>
  </si>
  <si>
    <t>Levantou-se / Rebelou-se (Revolta / Oposição)</t>
  </si>
  <si>
    <t>Elevou-se / Tornou-se Proeminente</t>
  </si>
  <si>
    <t>Discordar / Entrar em Conflito (Verbo)</t>
  </si>
  <si>
    <t>Barulho / Estrondo (Som)</t>
  </si>
  <si>
    <t>Parece / Soa Como (Verbo - Opinião)</t>
  </si>
  <si>
    <t>Soar / Tocar (Verbo - Sinal)</t>
  </si>
  <si>
    <t>coming</t>
  </si>
  <si>
    <t>breached</t>
  </si>
  <si>
    <t>bell</t>
  </si>
  <si>
    <t>trumpet</t>
  </si>
  <si>
    <t>Teor de Água / Líquido (Material / Produto)</t>
  </si>
  <si>
    <t>must be</t>
  </si>
  <si>
    <t>measured</t>
  </si>
  <si>
    <t>contend</t>
  </si>
  <si>
    <t>minimal</t>
  </si>
  <si>
    <t>seeds</t>
  </si>
  <si>
    <t>packing</t>
  </si>
  <si>
    <t>Multidão / Grupo (Figurado)</t>
  </si>
  <si>
    <t>customers</t>
  </si>
  <si>
    <t>addressed</t>
  </si>
  <si>
    <t>eager</t>
  </si>
  <si>
    <t>slowly</t>
  </si>
  <si>
    <t>watering</t>
  </si>
  <si>
    <t>hole</t>
  </si>
  <si>
    <t>Aterramento / Terra (Eletricidade / TI)</t>
  </si>
  <si>
    <t>Base / Motivo / Fundamento (Abstrato)</t>
  </si>
  <si>
    <t>anchored</t>
  </si>
  <si>
    <t>hardness</t>
  </si>
  <si>
    <t>frozen</t>
  </si>
  <si>
    <t>circuit</t>
  </si>
  <si>
    <t>lack</t>
  </si>
  <si>
    <t>shock</t>
  </si>
  <si>
    <t>eletrical</t>
  </si>
  <si>
    <t>caused</t>
  </si>
  <si>
    <t>Descobrindo / Tirando a Cobertura (Físico)</t>
  </si>
  <si>
    <t>Desgastou / Gastou (Físico)</t>
  </si>
  <si>
    <t>Carregou / Exibiu (Expressão)</t>
  </si>
  <si>
    <t>screen</t>
  </si>
  <si>
    <t>friction</t>
  </si>
  <si>
    <t>component</t>
  </si>
  <si>
    <t>metal</t>
  </si>
  <si>
    <t>carpet</t>
  </si>
  <si>
    <t>participle</t>
  </si>
  <si>
    <t>foot</t>
  </si>
  <si>
    <t>frown</t>
  </si>
  <si>
    <t>indifference</t>
  </si>
  <si>
    <t>Mais Negrito / Mais Grosso (Tipografia / TI)</t>
  </si>
  <si>
    <t>draw</t>
  </si>
  <si>
    <t>printed</t>
  </si>
  <si>
    <t>set</t>
  </si>
  <si>
    <t>file</t>
  </si>
  <si>
    <t>lines</t>
  </si>
  <si>
    <t>Fome / Ambição / Desejo Intenso (Figurado)</t>
  </si>
  <si>
    <t>lunch</t>
  </si>
  <si>
    <t>drought</t>
  </si>
  <si>
    <t>causes</t>
  </si>
  <si>
    <t>fierce</t>
  </si>
  <si>
    <t>Bobeando / Enganando (Verbo)</t>
  </si>
  <si>
    <t>Que Bobagem! (Interjeição)</t>
  </si>
  <si>
    <t>oik</t>
  </si>
  <si>
    <t>nothing but</t>
  </si>
  <si>
    <t>pure</t>
  </si>
  <si>
    <t>spends</t>
  </si>
  <si>
    <t>prowess</t>
  </si>
  <si>
    <t>ridiculous</t>
  </si>
  <si>
    <t>Teto / Limite Superior (Figurado)</t>
  </si>
  <si>
    <t>panels</t>
  </si>
  <si>
    <t>damaged</t>
  </si>
  <si>
    <t>onto</t>
  </si>
  <si>
    <t>climbed</t>
  </si>
  <si>
    <t>agreement</t>
  </si>
  <si>
    <t>hit</t>
  </si>
  <si>
    <t>Uísque de Centeio (Bebida)</t>
  </si>
  <si>
    <t>glass</t>
  </si>
  <si>
    <t>harvest</t>
  </si>
  <si>
    <t>mature</t>
  </si>
  <si>
    <t>used</t>
  </si>
  <si>
    <t>hardy</t>
  </si>
  <si>
    <t>cereal</t>
  </si>
  <si>
    <t>grass</t>
  </si>
  <si>
    <t>strong</t>
  </si>
  <si>
    <t>bar</t>
  </si>
  <si>
    <t>distinct</t>
  </si>
  <si>
    <t>distinctive</t>
  </si>
  <si>
    <t>profile</t>
  </si>
  <si>
    <t>ounces</t>
  </si>
  <si>
    <t>recipe</t>
  </si>
  <si>
    <t>one</t>
  </si>
  <si>
    <t>two</t>
  </si>
  <si>
    <t>three</t>
  </si>
  <si>
    <t>four</t>
  </si>
  <si>
    <t>five</t>
  </si>
  <si>
    <t>six</t>
  </si>
  <si>
    <t>seven</t>
  </si>
  <si>
    <t>eight</t>
  </si>
  <si>
    <t>nine</t>
  </si>
  <si>
    <t>ten</t>
  </si>
  <si>
    <t>eleven</t>
  </si>
  <si>
    <t>twelve</t>
  </si>
  <si>
    <t>thirteen</t>
  </si>
  <si>
    <t>fourteen</t>
  </si>
  <si>
    <t>fifteen</t>
  </si>
  <si>
    <t>sixteen</t>
  </si>
  <si>
    <t>seventeen</t>
  </si>
  <si>
    <t>eighteen</t>
  </si>
  <si>
    <t>nineteen</t>
  </si>
  <si>
    <t>twenty</t>
  </si>
  <si>
    <t>Thirty</t>
  </si>
  <si>
    <t>Forty</t>
  </si>
  <si>
    <t>Fifty</t>
  </si>
  <si>
    <t>Sixty</t>
  </si>
  <si>
    <t>Seventy</t>
  </si>
  <si>
    <t>Eighty</t>
  </si>
  <si>
    <t>Ninety</t>
  </si>
  <si>
    <t>One hundred</t>
  </si>
  <si>
    <t>thousand</t>
  </si>
  <si>
    <t>million</t>
  </si>
  <si>
    <t>billion</t>
  </si>
  <si>
    <t>Nota / Observa / Percebe (Verbo)</t>
  </si>
  <si>
    <t>Notificações / Alertas (TI / Legal)</t>
  </si>
  <si>
    <t>posts</t>
  </si>
  <si>
    <t>reads</t>
  </si>
  <si>
    <t>carefully</t>
  </si>
  <si>
    <t>signing</t>
  </si>
  <si>
    <t>punctuation</t>
  </si>
  <si>
    <t>De quem (Interrogativo)</t>
  </si>
  <si>
    <t>Armar uma cilada / Incriminar falsamente</t>
  </si>
  <si>
    <t>Estabelecer / Financiar / Dar condições</t>
  </si>
  <si>
    <t>rack</t>
  </si>
  <si>
    <t>fall</t>
  </si>
  <si>
    <t>caught</t>
  </si>
  <si>
    <t>academic</t>
  </si>
  <si>
    <t>Implacável / Cruel / Sem Trégua (Negativo)</t>
  </si>
  <si>
    <t>Aposentos / Moradia (Gíria)</t>
  </si>
  <si>
    <t>Alfinetadas / Críticas (Figurado)</t>
  </si>
  <si>
    <t>Identificar / Isolar (TI e Lógica)</t>
  </si>
  <si>
    <t>cases</t>
  </si>
  <si>
    <t>log</t>
  </si>
  <si>
    <t>entries</t>
  </si>
  <si>
    <t>Sair para lazer (Social)</t>
  </si>
  <si>
    <t>Namorar / Sair com alguém (Romântico)</t>
  </si>
  <si>
    <t>Tornar-se obsoleto (Moda/Tendência)</t>
  </si>
  <si>
    <t>Aumentada (Realidade Aumentada - AR)</t>
  </si>
  <si>
    <t>Para frente / Adiante (Direção/Tempo)</t>
  </si>
  <si>
    <t>Precoce / Atrevido (Comportamento)</t>
  </si>
  <si>
    <t>Atacante (Esportes)</t>
  </si>
  <si>
    <t>faster</t>
  </si>
  <si>
    <t>bit</t>
  </si>
  <si>
    <t>asking</t>
  </si>
  <si>
    <t>planned</t>
  </si>
  <si>
    <t>page</t>
  </si>
  <si>
    <t>Levar para fora / Afastar (Físico)</t>
  </si>
  <si>
    <t>Subtrair (Matemática)</t>
  </si>
  <si>
    <t>Absorver / Aprender (Conceitual)</t>
  </si>
  <si>
    <t>access</t>
  </si>
  <si>
    <t>trash</t>
  </si>
  <si>
    <t>bug</t>
  </si>
  <si>
    <t>units</t>
  </si>
  <si>
    <t>lesson</t>
  </si>
  <si>
    <t>Justamente / De forma justa (Justiça)</t>
  </si>
  <si>
    <t>distributed</t>
  </si>
  <si>
    <t>among</t>
  </si>
  <si>
    <t>candidates</t>
  </si>
  <si>
    <t>judge</t>
  </si>
  <si>
    <t>need</t>
  </si>
  <si>
    <t>Preguiçosos / Vadios (Pessoas)</t>
  </si>
  <si>
    <t>wears</t>
  </si>
  <si>
    <t>polish</t>
  </si>
  <si>
    <t>dev</t>
  </si>
  <si>
    <t>want</t>
  </si>
  <si>
    <t>Relativos / Proporcionais (TI e Lógica)</t>
  </si>
  <si>
    <t>Pronomes Relativos (Gramática)</t>
  </si>
  <si>
    <t>Restrição / Limitação (Técnico / Físico)</t>
  </si>
  <si>
    <t>Imobilização / Contenção (Físico)</t>
  </si>
  <si>
    <t>showed</t>
  </si>
  <si>
    <t>heated</t>
  </si>
  <si>
    <t>exercise</t>
  </si>
  <si>
    <t>giving</t>
  </si>
  <si>
    <t>feedback</t>
  </si>
  <si>
    <t>leader</t>
  </si>
  <si>
    <t>with</t>
  </si>
  <si>
    <t>provocation</t>
  </si>
  <si>
    <t>budgetary</t>
  </si>
  <si>
    <t>delayed</t>
  </si>
  <si>
    <t>design</t>
  </si>
  <si>
    <t>physical</t>
  </si>
  <si>
    <t>seatbelts</t>
  </si>
  <si>
    <t>De onde quer que (Origem)</t>
  </si>
  <si>
    <t>Onde?! (Enfático/Surpresa)</t>
  </si>
  <si>
    <t>Dilacerante / Doloroso (Emocional)</t>
  </si>
  <si>
    <t>Drástico / Forçado (Mudança)</t>
  </si>
  <si>
    <t>chortle</t>
  </si>
  <si>
    <t>Rir com gosto / Gargalhar (Alegria/Triunfo)</t>
  </si>
  <si>
    <t>Riso de Satisfação (Substantivo)</t>
  </si>
  <si>
    <t>silly</t>
  </si>
  <si>
    <t>funny</t>
  </si>
  <si>
    <t>demo</t>
  </si>
  <si>
    <t>escaped</t>
  </si>
  <si>
    <t>lips</t>
  </si>
  <si>
    <t>Criar na hora / Improvisar (Dados)</t>
  </si>
  <si>
    <t>Escondido / Guardado (Geral)</t>
  </si>
  <si>
    <t>Acumulado / Estocado (Suprimentos)</t>
  </si>
  <si>
    <t>Fixado / Permanente (Geral)</t>
  </si>
  <si>
    <t>Localização de Servidor / Cloud (TI)</t>
  </si>
  <si>
    <t>Bisbilhotar / Investigar (TI e Geral)</t>
  </si>
  <si>
    <t>Abrir um buraco (Redes / Segurança)</t>
  </si>
  <si>
    <t>Zombar / Fazer piada (Social)</t>
  </si>
  <si>
    <t>Vulnerabilidade / Falha (TI e Segurança)</t>
  </si>
  <si>
    <t>Fragilidade (Estrutural/Materiais)</t>
  </si>
  <si>
    <t>Identifying</t>
  </si>
  <si>
    <t>biggest</t>
  </si>
  <si>
    <t>encryption</t>
  </si>
  <si>
    <t>diet</t>
  </si>
  <si>
    <t>patch</t>
  </si>
  <si>
    <t>java</t>
  </si>
  <si>
    <t>foundation</t>
  </si>
  <si>
    <t>sink</t>
  </si>
  <si>
    <t>Bolhas / Deformações (Materiais/TI)</t>
  </si>
  <si>
    <t>Embalagens (Blister Pack)</t>
  </si>
  <si>
    <t>painful</t>
  </si>
  <si>
    <t>pop</t>
  </si>
  <si>
    <t>humidity</t>
  </si>
  <si>
    <t>forming</t>
  </si>
  <si>
    <t>cards</t>
  </si>
  <si>
    <t>Passar por (Saúde/Treinamento)</t>
  </si>
  <si>
    <t>scheduled</t>
  </si>
  <si>
    <t>surgery</t>
  </si>
  <si>
    <t>hires</t>
  </si>
  <si>
    <t>series</t>
  </si>
  <si>
    <t>tests</t>
  </si>
  <si>
    <t>Aliás / Além do mais (Justificativa)</t>
  </si>
  <si>
    <t>Exceto / Fora (Exclusão - Menos comum)</t>
  </si>
  <si>
    <t>Irrelevante / Fora de questão (Expressão)</t>
  </si>
  <si>
    <t>Fora de si / Descontrolado (Emocional)</t>
  </si>
  <si>
    <t>Compromisso / Obrigação (Contratual/Social)</t>
  </si>
  <si>
    <t>Entrega / Garantia (TI e Lógica)</t>
  </si>
  <si>
    <t>Lá no fundo / No fundo de (Lugar)</t>
  </si>
  <si>
    <t>Na essência / Na base (Conceitual/TI)</t>
  </si>
  <si>
    <t>Região de Data Center / Cloud (TI)</t>
  </si>
  <si>
    <t>Ocidental (Contexto Cultural/Econômico)</t>
  </si>
  <si>
    <t>sets</t>
  </si>
  <si>
    <t>expanding</t>
  </si>
  <si>
    <t>cursor</t>
  </si>
  <si>
    <t>availability</t>
  </si>
  <si>
    <t>zone</t>
  </si>
  <si>
    <t>standards</t>
  </si>
  <si>
    <t>Cortesia / Gratuito (Serviços)</t>
  </si>
  <si>
    <t>Oferecimento de / Cortesia de (Expressão)</t>
  </si>
  <si>
    <t>complement</t>
  </si>
  <si>
    <t>received</t>
  </si>
  <si>
    <t>she</t>
  </si>
  <si>
    <t>her</t>
  </si>
  <si>
    <t>it</t>
  </si>
  <si>
    <t>they</t>
  </si>
  <si>
    <t>are</t>
  </si>
  <si>
    <t>senior</t>
  </si>
  <si>
    <t>junior</t>
  </si>
  <si>
    <t>industrial</t>
  </si>
  <si>
    <t>industrious</t>
  </si>
  <si>
    <t>drinks</t>
  </si>
  <si>
    <t>Culpa / Responsabilidade (Substantivo)</t>
  </si>
  <si>
    <t>Ser o culpado / Ser a causa (Expressão)</t>
  </si>
  <si>
    <t>took</t>
  </si>
  <si>
    <t>intern</t>
  </si>
  <si>
    <t>where</t>
  </si>
  <si>
    <t>faulty</t>
  </si>
  <si>
    <t>script</t>
  </si>
  <si>
    <t>scalability</t>
  </si>
  <si>
    <t>scalable</t>
  </si>
  <si>
    <t>Runt Frame / Runt Packet - Pacote anômalo (Redes / TI)</t>
  </si>
  <si>
    <t>Sponge - Absorver como uma esponja (Metafórico - TI/Aprendizado)</t>
  </si>
  <si>
    <t>scarcity</t>
  </si>
  <si>
    <t>Sponge - "Aproveitador" / Viver às custas de (Gíria - Inglês Real)</t>
  </si>
  <si>
    <t>Sponge - Consumir excessivamente (Técnico)</t>
  </si>
  <si>
    <t>Parameters - Parâmetros / Limites (Mundo Real / Corporativo)</t>
  </si>
  <si>
    <t>Parameterize - Parametrizar (Técnico / Java)</t>
  </si>
  <si>
    <t>Hovered - Pairar / Flutuar (Físico - Inglês Real)</t>
  </si>
  <si>
    <t>Hovered - Rondar / Estacionar (Métricas e Comportamento)</t>
  </si>
  <si>
    <t>tooltip</t>
  </si>
  <si>
    <t>appeared</t>
  </si>
  <si>
    <t>button</t>
  </si>
  <si>
    <t>link</t>
  </si>
  <si>
    <t>url</t>
  </si>
  <si>
    <t>hummingbird</t>
  </si>
  <si>
    <t>mist</t>
  </si>
  <si>
    <t>cpu</t>
  </si>
  <si>
    <t>Stood out - Destacou-se (Mundo Real / Corporativo)</t>
  </si>
  <si>
    <t>Stood the test of time - Resistiu ao tempo (Expressão)</t>
  </si>
  <si>
    <t>Stood up to - Resistiu a / Aguentou (Técnico / Social)</t>
  </si>
  <si>
    <t>heavy</t>
  </si>
  <si>
    <t>heads</t>
  </si>
  <si>
    <t>head</t>
  </si>
  <si>
    <t>Shortly afterwards - Logo depois / Pouco depois</t>
  </si>
  <si>
    <t>Comma-separated - Separado por vírgulas (Técnico / Dados)</t>
  </si>
  <si>
    <t>Oxford Comma - Vírgula de Oxford (Gramática / Escrita Fina)</t>
  </si>
  <si>
    <t>East - Região de Cloud / Data Center (TI - ALTA Relevância)</t>
  </si>
  <si>
    <t>Eastern - Oriental / Do Leste (Adjetivo)</t>
  </si>
  <si>
    <t>Get rid of - Remover / Deletar (TI e Java)</t>
  </si>
  <si>
    <t>Get rid of - Demitir / Dispensar (Corporativo)</t>
  </si>
  <si>
    <t>Normally - De forma normal / Corretamente (Técnico / Java)</t>
  </si>
  <si>
    <t>takes</t>
  </si>
  <si>
    <t>approve</t>
  </si>
  <si>
    <t>pull</t>
  </si>
  <si>
    <t>request</t>
  </si>
  <si>
    <t>Tipo</t>
  </si>
  <si>
    <t>Onde</t>
  </si>
  <si>
    <t>Curso</t>
  </si>
  <si>
    <t>Etapa</t>
  </si>
  <si>
    <t>Alura</t>
  </si>
  <si>
    <t>Lógica de programação e JS</t>
  </si>
  <si>
    <t>YT Brocode</t>
  </si>
  <si>
    <t>Udemy</t>
  </si>
  <si>
    <t>Fundamentos</t>
  </si>
  <si>
    <t>Curso: Git e GitHub: compartilhando e colaborando em projetos</t>
  </si>
  <si>
    <t>Compartilhando projetos</t>
  </si>
  <si>
    <t>Complementos</t>
  </si>
  <si>
    <t>Colaborando em projetos</t>
  </si>
  <si>
    <t>Lógica de programação: praticando com desafios</t>
  </si>
  <si>
    <t>Curso em video</t>
  </si>
  <si>
    <t>Javascript [40 Horas]</t>
  </si>
  <si>
    <t>Introdução – JavaScript Moderno</t>
  </si>
  <si>
    <t>Aula 1 – O que o JavaScript é capaz de fazer?</t>
  </si>
  <si>
    <t>Aula 2 – Como chegamos até aqui?</t>
  </si>
  <si>
    <t>Aula 3 – Dando os primeiros passos</t>
  </si>
  <si>
    <t>Aula 4 – Criando o seu primeiro script</t>
  </si>
  <si>
    <t>Módulo B: Comandos Básicos do JavaScript</t>
  </si>
  <si>
    <t>Aula 5 – Variáveis e Tipos Primitivos</t>
  </si>
  <si>
    <t>Aula 6 – Tratamento de dados</t>
  </si>
  <si>
    <t>Aula 7 – Operadores (Parte1)</t>
  </si>
  <si>
    <t>Anki</t>
  </si>
  <si>
    <t>Aula 8 – Operadores (Parte 2)</t>
  </si>
  <si>
    <t>Módulo C: Entendendo o DOM</t>
  </si>
  <si>
    <t>Aula 9 – Introdução ao DOM</t>
  </si>
  <si>
    <t>Vídeo</t>
  </si>
  <si>
    <t>Youtube - Marco Bruno</t>
  </si>
  <si>
    <t>querySelector vs getElementBy</t>
  </si>
  <si>
    <t>Aula 10 – Eventos DOM</t>
  </si>
  <si>
    <t>Aula 11 – Condições (Parte 1)</t>
  </si>
  <si>
    <t>Aula 12 – Condições (Parte 2)</t>
  </si>
  <si>
    <t>Exercícios JavaScript (Parte 1)</t>
  </si>
  <si>
    <t>Exercícios JavaScript (Parte 2)</t>
  </si>
  <si>
    <t>Exercícios JavaScript (Parte 3)</t>
  </si>
  <si>
    <t>Módulo E: Repetições em JavaScript</t>
  </si>
  <si>
    <t>Aula 13 – Repetições (Parte 1)</t>
  </si>
  <si>
    <t>Aula 14 – Repetições (Parte 2)</t>
  </si>
  <si>
    <t>Exercícios JavaScript (Parte 4)</t>
  </si>
  <si>
    <t>Exercícios JavaScript (Parte 5)</t>
  </si>
  <si>
    <t>Exercícios JavaScript (Parte 6)</t>
  </si>
  <si>
    <t>Aula 15 – Variáveis Compostas</t>
  </si>
  <si>
    <t>Aula 16 – Funções</t>
  </si>
  <si>
    <t>Exercícios JavaScript (Parte 7)</t>
  </si>
  <si>
    <t>Exercícios JavaScript (Parte 8)</t>
  </si>
  <si>
    <t>YT</t>
  </si>
  <si>
    <t>Guided Learning in Google Gemini</t>
  </si>
  <si>
    <t xml:space="preserve">
🚨 Google Turns Gemini into a Teacher! Check Out the New Guided Learning!</t>
  </si>
  <si>
    <t>Java Básico [40 Horas]</t>
  </si>
  <si>
    <t>Aula 1 – História do Java</t>
  </si>
  <si>
    <t>Exercícios de Java #01</t>
  </si>
  <si>
    <t>Aula 02 – Como Funciona o Java</t>
  </si>
  <si>
    <t>Youtube</t>
  </si>
  <si>
    <t>Eclipse Java. How to download and install Eclipse IDE 2025? Step by Step.</t>
  </si>
  <si>
    <t>08 - Configurando a IDE Eclipse</t>
  </si>
  <si>
    <t xml:space="preserve">
Como Usar Eclipse No Java + O Seu Primeiro Projeto (Princípios Básicos)</t>
  </si>
  <si>
    <t>Youtube - Brocode</t>
  </si>
  <si>
    <t>Java course</t>
  </si>
  <si>
    <t>Youtube - DevDojo</t>
  </si>
  <si>
    <t>Lógica Virado no Jiraya (Java)</t>
  </si>
  <si>
    <t>Lógica de programação Virado no Jiraya - Introdução ao curso</t>
  </si>
  <si>
    <t>Lógica Virado no Jiraya 01 - Filtrando os fracos</t>
  </si>
  <si>
    <t>Lógica Virado no Jiraya 02 - Algoritmos e linguagens de programação</t>
  </si>
  <si>
    <t>Lógica Virado no Jiraya 03 - Como Java Funciona</t>
  </si>
  <si>
    <t>Lógica Virado no Jiraya 04 - Instalando Java</t>
  </si>
  <si>
    <t>Lógica Virado no Jiraya 05 - Meu primeiro programa</t>
  </si>
  <si>
    <t>Lógica Virado no Jiraya 06 - Memória volátil</t>
  </si>
  <si>
    <t>Java POO [40 Horas]</t>
  </si>
  <si>
    <t>Aula Teórica 1 – O que é Programação Orientada a Objetos?</t>
  </si>
  <si>
    <t xml:space="preserve">
INTENSIVÃO ORIENTAÇÃO A OBJETOS ⏰ | Java, Typescript e Go</t>
  </si>
  <si>
    <t>Lógica Virado no Jiraya 07 - Variáveis e tipos primitivos</t>
  </si>
  <si>
    <t>Lógica Virado no Jiraya 08 - Comentários + Exercícios</t>
  </si>
  <si>
    <t>Lógica Virado no Jiraya 09 - Instalando IDE IntelliJ Idea</t>
  </si>
  <si>
    <t>como usar eclipse Java [PASSO A PASSO]</t>
  </si>
  <si>
    <t>Lógica Virado no Jiraya 10 - Valores literais + exercícios</t>
  </si>
  <si>
    <t xml:space="preserve">
Eclipse IDE Autocomplete Code | Code Suggestion in Eclipse Java</t>
  </si>
  <si>
    <t>Lógica Virado no Jiraya 11 - Reutilizando variáveis + exercícios</t>
  </si>
  <si>
    <t>Lógica Virado no Jiraya 12 - String, char e boolean</t>
  </si>
  <si>
    <t xml:space="preserve">
Lógica Virado no Jiraya 13 - Controle de fluxo if-else pt 01</t>
  </si>
  <si>
    <t xml:space="preserve">
Lógica Virado no Jiraya 14 - Controle de fluxo if-else pt 02</t>
  </si>
  <si>
    <t>Lógica Virado no Jiraya 15 - Controle de fluxo if-else pt 03</t>
  </si>
  <si>
    <t>Lógica Virado no Jiraya 16 - Controle de fluxo IF - ELSE pt 04</t>
  </si>
  <si>
    <t>Lógica Virado no Jiraya 17 - Controle de fluxo IF - ELSE pt 05</t>
  </si>
  <si>
    <t>Lógica Virado no Jiraya 18 - Controle de fluxo IF - ELSE pt 06</t>
  </si>
  <si>
    <t>Como Usar Scanner em Java? POO Java na Prática com a Classe Scanner</t>
  </si>
  <si>
    <t>Lógica Virado no Jiraya 19 - Lendo dados do teclado</t>
  </si>
  <si>
    <t>Processo de desenvolvimento de software</t>
  </si>
  <si>
    <t>What is Agile? | Agile Methodology | Agile Frameworks - Scrum, Kanban, Lean, XP, Crystal | Edureka</t>
  </si>
  <si>
    <t>AGIL METHODOLOGY (What is it for and how does it work?) | Agile Methods</t>
  </si>
  <si>
    <t>SCRUM O QUE É (de um Jeito BEM Prático)</t>
  </si>
  <si>
    <t>Lógica Virado no Jiraya 20 - Controle de fluxo IF - ELSE pt 07</t>
  </si>
  <si>
    <t xml:space="preserve">
Lógica Virado no Jiraya 21 - Controle de fluxo IF - ELSE pt 08</t>
  </si>
  <si>
    <t>Lógica Virado no Jiraya 22 - Controle de fluxo IF - ELSE pt 09</t>
  </si>
  <si>
    <t>Lógica Virado no Jiraya 23 - Controle de fluxo IF - ELSE pt 10</t>
  </si>
  <si>
    <t>Lógica Virado no Jiraya 24 - Controle de fluxo IF - ELSE pt 11</t>
  </si>
  <si>
    <t>Lógica Virado no Jiraya 25 - Estruturando o código em pacotes</t>
  </si>
  <si>
    <t>Brejas e Bugs</t>
  </si>
  <si>
    <t>Brejas e Bugs 01 - A verdade sobre os certificados</t>
  </si>
  <si>
    <t>Lógica Virado no Jiraya 26 - Switch case pt 01</t>
  </si>
  <si>
    <t>Lógica Virado no Jiraya 27 - Switch case pt 02</t>
  </si>
  <si>
    <t>Lógica Virado no Jiraya 28 - While pt 01</t>
  </si>
  <si>
    <t>Lógica Virado no Jiraya 29 - While pt 02</t>
  </si>
  <si>
    <t>Lógica Virado no Jiraya 30 - While pt 03</t>
  </si>
  <si>
    <t>Lógica Virado no Jiraya 31 - While pt 04</t>
  </si>
  <si>
    <t>Lógica Virado no Jiraya 32 - Do-While pt 05</t>
  </si>
  <si>
    <t>Lógica Virado no Jiraya 33 - For pt 01</t>
  </si>
  <si>
    <t>Lógica Virado no Jiraya 34 - For pt 02</t>
  </si>
  <si>
    <t xml:space="preserve">
Brejas e Bugs 02 - Super estagiários</t>
  </si>
  <si>
    <t>Brejas e Bugs 03 - Carreira profissional</t>
  </si>
  <si>
    <t>Brejas e Bugs 04 - Sucesso na carreira (01 of 03)</t>
  </si>
  <si>
    <t>Lógica Virado no Jiraya 35 - For pt 03</t>
  </si>
  <si>
    <t>Lógica Virado no Jiraya 36 - Arrays pt 01</t>
  </si>
  <si>
    <t>Lógica Virado no Jiraya 37 - Arrays pt 02</t>
  </si>
  <si>
    <t>Lógica Virado no Jiraya 38 - Arrays pt 03</t>
  </si>
  <si>
    <t>Lógica Virado no Jiraya 39 - Arrays pt 04</t>
  </si>
  <si>
    <t>Lógica Virado no Jiraya 40 - Arrays Multidimensionais pt 01</t>
  </si>
  <si>
    <t xml:space="preserve">
Lógica Virado no Jiraya 41 - Arrays Multidimensionais pt 02</t>
  </si>
  <si>
    <t>Lógica Virado no Jiraya 42 - Arrays Multidimensionais pt 03</t>
  </si>
  <si>
    <t>Lógica Virado no Jiraya 43 - Acabou! E agora?</t>
  </si>
  <si>
    <t>Criação de flashcards</t>
  </si>
  <si>
    <t>Java COMPLETO Programação Orientada a Objetos (Nelio Alves)</t>
  </si>
  <si>
    <t>Seção 1: Introdução</t>
  </si>
  <si>
    <t>1.Introdução: visão geral do curso</t>
  </si>
  <si>
    <t>2. Mapa de estudos da carreira Java</t>
  </si>
  <si>
    <t>Seção 2: Conceitos de programação</t>
  </si>
  <si>
    <t>3. Visão geral do capítulo</t>
  </si>
  <si>
    <t>4. Material de apoio do capítulo</t>
  </si>
  <si>
    <t>5. Algoritmo, Automação, Programa de Computador</t>
  </si>
  <si>
    <t>6. O que é preciso para se fazer um programa de computador</t>
  </si>
  <si>
    <t>7. Linguagem de programação, léxica, sintática</t>
  </si>
  <si>
    <t>8. IDE - Ambiente Integrado de Desenvolvimento</t>
  </si>
  <si>
    <t>9. Compilação, interpretação, código fonte, código objeto, máquina virtual</t>
  </si>
  <si>
    <t>Seção 3: Introdução a linguagem Java</t>
  </si>
  <si>
    <t>10. Visão geral do capítulo</t>
  </si>
  <si>
    <t>11. Material de apoio do capítulo</t>
  </si>
  <si>
    <t>12. Entendendo as versões do Java</t>
  </si>
  <si>
    <t>13. Histórico e edições de Java</t>
  </si>
  <si>
    <t>14. JDK / JVM - Máquina Virtual do Java</t>
  </si>
  <si>
    <t>15. Estrutura de uma aplicação Java</t>
  </si>
  <si>
    <t>16. Instalando o Java JDK</t>
  </si>
  <si>
    <t>17. Instalando o Eclipse</t>
  </si>
  <si>
    <t>18. Primeiro programa em Java no Eclipse</t>
  </si>
  <si>
    <t>Brejas e Bugs 05 - Sucesso na carreira (02 of 03)</t>
  </si>
  <si>
    <t>Seção 4: Estrutura sequencial</t>
  </si>
  <si>
    <t>19. Visão geral do capítulo</t>
  </si>
  <si>
    <t>20. Material de apoio do capítulo</t>
  </si>
  <si>
    <t>21. Expressões aritméticas</t>
  </si>
  <si>
    <t>22. Variáveis e tipos básicos em Java</t>
  </si>
  <si>
    <t>23. As três operações básicas de programação</t>
  </si>
  <si>
    <t>24. Saída de dados em Java</t>
  </si>
  <si>
    <t xml:space="preserve"> Brejas e Bugs 06 - Sucesso na carreira (03 of 03)</t>
  </si>
  <si>
    <t>25. Processamento de dados em Java, Casting</t>
  </si>
  <si>
    <t>Maratona Java Virado No Jiraya</t>
  </si>
  <si>
    <t xml:space="preserve">
00 - Maratona Java Virado No Jiraya - Bem-vindo</t>
  </si>
  <si>
    <t>01 - O que esperar do curso</t>
  </si>
  <si>
    <t>02 - Como Java Funciona</t>
  </si>
  <si>
    <t>03 - Fazendo o download da JDK 15</t>
  </si>
  <si>
    <t>04 - Configurando variaveis de ambiente</t>
  </si>
  <si>
    <t xml:space="preserve">
05 - Executando compilação manualmente</t>
  </si>
  <si>
    <t>06 - Download da IDE IntelliJ Community</t>
  </si>
  <si>
    <t>07 - Conhecendo a IDE IntelliJ Community</t>
  </si>
  <si>
    <t>08 - Organizando o código em pacotes</t>
  </si>
  <si>
    <t>09 - Comentários</t>
  </si>
  <si>
    <t>10 - Tipos primitivos pt 01 - convenções de variáveis</t>
  </si>
  <si>
    <t>11 - Tipos primitivos pt 02 - declaração e tamanho em memória</t>
  </si>
  <si>
    <t>12 - Tipos primitivos pt 03 - casting</t>
  </si>
  <si>
    <t>13 - Tipos primitivos pt 04 - Strings</t>
  </si>
  <si>
    <t xml:space="preserve">
14 - Tipos primitivos pt 05 - Exercício</t>
  </si>
  <si>
    <t>Leitura</t>
  </si>
  <si>
    <t>Livro físico</t>
  </si>
  <si>
    <t>Use a Cabeça Java – 3ª Ed</t>
  </si>
  <si>
    <t>15 - Operadores pt 01 - Aritiméticos</t>
  </si>
  <si>
    <t>16 - Operadores pt 02 - Relacionais</t>
  </si>
  <si>
    <t>17 - Operadores pt 03 - Lógicos AND</t>
  </si>
  <si>
    <t>18 - Operadores pt 04 - Lógicos OR</t>
  </si>
  <si>
    <t>Brejas e Bugs 07 - Do desemprego a Amazon com DevDojo!</t>
  </si>
  <si>
    <t>19 - Operadores pt 05 - Atribuição</t>
  </si>
  <si>
    <t>20 - Estruturas Condicionais pt 01 - IF</t>
  </si>
  <si>
    <t>21 - Estruturas Condicionais pt 02 - ELSE IF</t>
  </si>
  <si>
    <t>22 - Estruturas Condicionais pt 03 - Operador ternário</t>
  </si>
  <si>
    <t>Como Debugar um Código Java no Eclipse IDE (execução passo a passo)</t>
  </si>
  <si>
    <t xml:space="preserve">
Intro to Object Oriented Programming - Crash Course</t>
  </si>
  <si>
    <t xml:space="preserve">
23 - Estruturas Condicionais pt 04 - Tabela Verdade e exercício</t>
  </si>
  <si>
    <t>24 - Estruturas Condicionais pt 05 - Resolução do exercícios</t>
  </si>
  <si>
    <t>Introdução à Programação Orientada a Objetos (POO): uma explicação fácil</t>
  </si>
  <si>
    <t>25 - Estruturas Condicionais pt 06 - Switch</t>
  </si>
  <si>
    <t>Brejas e Bugs 09 - Mentoria e mentalidade BR</t>
  </si>
  <si>
    <t>Brejas e Bugs 10 - Momento DevDojo Psicologia</t>
  </si>
  <si>
    <t>Brejas e Bugs 11 - Mentoria 2, ainda näo foi dessa vez</t>
  </si>
  <si>
    <t>26 - Estruturas Condicionais pt 07 - Switch exercício</t>
  </si>
  <si>
    <t>27 - Estruturas de Repetição pt 01 - Laços de repetição while, do while, for</t>
  </si>
  <si>
    <t>Brejas e Bugs 12 - O Escolhido</t>
  </si>
  <si>
    <t>DevDojo na área com novidade. Clube de Membros Virado No Jiraya!</t>
  </si>
  <si>
    <t>Brejas e Bugs 13 - Um papo sincero sobre avaliação de teste técnico para emprego</t>
  </si>
  <si>
    <t>Brejas e Bugs 14 - Entrevista do capiroto</t>
  </si>
  <si>
    <t>28 - Estruturas de Repetição pt 02 - Exercício for</t>
  </si>
  <si>
    <t>29 - Estruturas de Repetição pt 03 - Break</t>
  </si>
  <si>
    <t>30 - Estruturas de Repetição pt 04 - Exercício Break</t>
  </si>
  <si>
    <t>31 - Estruturas de Repetição pt 05 - Continue</t>
  </si>
  <si>
    <t>32 - Arrays pt 01</t>
  </si>
  <si>
    <t xml:space="preserve">
Gerenciamento de memória - Stack vs Heap | Dias de Dev</t>
  </si>
  <si>
    <t>Understanding JAVA GARBAGE COLLECTOR (Heap, Stack, Garbage Collector)</t>
  </si>
  <si>
    <t>Memory Management (Part 1) | Understanding Backend for Beginners (Part 5)</t>
  </si>
  <si>
    <t xml:space="preserve"> 17 Certificação Java (Diferença entre variáveis de referencia a objetos e variáveis primitivas)</t>
  </si>
  <si>
    <t>33 - Arrays pt 02</t>
  </si>
  <si>
    <t>34 - Arrays pt 03</t>
  </si>
  <si>
    <t>35 - Arrays pt 04 - Foreach</t>
  </si>
  <si>
    <t>Brejas e Bugs 15 - Entrevista do Capiroto Parte 2 - A Redenção!</t>
  </si>
  <si>
    <t>Brejas e Bugs 16 - Caminho das pedras para virar desenvolvedor júnior com DevDojo</t>
  </si>
  <si>
    <t>36 - Arrays Multidimensionais pt 01</t>
  </si>
  <si>
    <t>37 - Arrays Multidimensionais pt 02 - Foreach</t>
  </si>
  <si>
    <t>38 - Arrays Multidimensionais pt 03 - Inicialização</t>
  </si>
  <si>
    <t>39 - Orientação Objetos pt 01 - Introdução classes pt 01</t>
  </si>
  <si>
    <t>40 - Orientação Objetos - Introdução classes pt 02</t>
  </si>
  <si>
    <t>Java Classes &amp; Objects</t>
  </si>
  <si>
    <t>41 - Orientação Objetos - Coesão</t>
  </si>
  <si>
    <t>42 - Orientação Objetos - Exercício Classes</t>
  </si>
  <si>
    <t>43 - Orientação Objetos - Referência de objetos</t>
  </si>
  <si>
    <t>44 - Orientação Objetos - Métodos pt 01</t>
  </si>
  <si>
    <t>45 - Orientação Objetos - Métodos pt 02 - Parâmetros</t>
  </si>
  <si>
    <t>Defina e use métodos em Java! - Ep. 4</t>
  </si>
  <si>
    <t>46 - Orientação Objetos - Métodos pt 03 - Retorno pt 01</t>
  </si>
  <si>
    <t>Intro to Object Oriented Programming - Crash Course</t>
  </si>
  <si>
    <t>METHODS in Java are easy 📞</t>
  </si>
  <si>
    <t>Java OVERLOADED METHODS are easy! 🍕</t>
  </si>
  <si>
    <t>Entendendo Métodos em Java - Curso de Java - Aula 09</t>
  </si>
  <si>
    <t>47 - Orientação Objetos - Métodos pt 04 - Retorno pt 02</t>
  </si>
  <si>
    <t>Site</t>
  </si>
  <si>
    <t>https://www.w3schools.com/java/default.asp</t>
  </si>
  <si>
    <t>DESCOMPLICANDO A ORIENTACAO OBJETO COM JAVA - JAVA PARA INICIANTES</t>
  </si>
  <si>
    <t>48 - Orientação Objetos - Métodos pt 05 - Parâmetros tipo primitivo</t>
  </si>
  <si>
    <t>49 - Orientação Objetos - Métodos pt 06 - Parâmetros tipo referência</t>
  </si>
  <si>
    <t>50 - Orientação Objetos - Métodos pt 07 - Parâmetros tipo referência pt 02</t>
  </si>
  <si>
    <t>51 - Orientação Objetos - Métodos pt 08 - Referência this</t>
  </si>
  <si>
    <t>52 - Orientação Objetos - Métodos pt 09 - Varargs</t>
  </si>
  <si>
    <t>53 - Orientação Objetos - Métodos pt 10 - Exercise</t>
  </si>
  <si>
    <t>Curso POO Teoria #06a - Pilares da POO: Encapsulamento</t>
  </si>
  <si>
    <t>POO JAVA: Java e Encapsulamento Como Usar? Encapsulamento Java Tutorial</t>
  </si>
  <si>
    <t>54 - Orientação Objetos - Modificador de acesso private, get e set pt 01</t>
  </si>
  <si>
    <t xml:space="preserve">
54 - Orientação Objetos - Modificador de acesso private, get e set pt 01</t>
  </si>
  <si>
    <t>55 - Orientação Objetos - Modificador de acesso private, get e set pt 02</t>
  </si>
  <si>
    <t>Curso POO Teoria #04a - Métodos Especiais</t>
  </si>
  <si>
    <t>Curso POO Java #04b - Métodos Getter, Setter e Construtor</t>
  </si>
  <si>
    <t>56 - Orientação Objetos - Modificador de acesso private, get e set pt 03</t>
  </si>
  <si>
    <t>Configurando visibilidade de Atributos e Métodos (private, public) - Curso Java POO Aula #5</t>
  </si>
  <si>
    <t>57 - Orientação Objetos - Sobrecarga de métodos</t>
  </si>
  <si>
    <t>58 - Orientação Objetos - Construtores pt 01</t>
  </si>
  <si>
    <t>Exercício</t>
  </si>
  <si>
    <t>Exercícios</t>
  </si>
  <si>
    <t>59 - Orientação Objetos - Construtores pt 02 - Sobrecarga</t>
  </si>
  <si>
    <t>60 - Orientação Objetos - Blocos de inicialização</t>
  </si>
  <si>
    <t>61 - Orientação Objetos - Modificador static</t>
  </si>
  <si>
    <t>62 - Orientação Objetos - Métodos estáticos</t>
  </si>
  <si>
    <t xml:space="preserve">
63 - Orientação Objetos - Bloco de inicialização estático</t>
  </si>
  <si>
    <t>Youtube - 
Fabio Akita</t>
  </si>
  <si>
    <t>Basic Knowledge for Beginners in Programming.</t>
  </si>
  <si>
    <t>A História do Front-End para Iniciantes em Programação | Série "Começando aos 40"</t>
  </si>
  <si>
    <t xml:space="preserve">
64 - Orientação Objetos - Associação pt 01 - Arrays com Objetos</t>
  </si>
  <si>
    <t>65 - Orientação Objetos - Associação pt 02 - Associação unidirecional um para muitos</t>
  </si>
  <si>
    <t>66 - Orientação Objetos - Associação pt 03 - Associação unidirecional muitos para um</t>
  </si>
  <si>
    <t>Associação entre Classes em Java (Conceito e Exercício)</t>
  </si>
  <si>
    <t>Python? Java? Rust? Qual a Diferença? | Discutindo Linguagens</t>
  </si>
  <si>
    <t>Curso de Java 36 - Orientação a Objetos: Relacionamento entre Classes (tem um e tem muitos)</t>
  </si>
  <si>
    <t xml:space="preserve">
67 - Orientação Objetos - Associação pt 04 - Associação bidirecional</t>
  </si>
  <si>
    <t xml:space="preserve">
OOP Nuggets 07 - Aulão sobre ASSOCIAÇÃO, AGREGAÇÃO e COMPOSIÇÂO de CLASSES</t>
  </si>
  <si>
    <t xml:space="preserve">
Java - Associação entre classes (associação simples)</t>
  </si>
  <si>
    <t>Java - Associação entre classes (agregação)</t>
  </si>
  <si>
    <t xml:space="preserve">
Como Usar Scanner em Java? POO Java na Prática com a Classe Scanner</t>
  </si>
  <si>
    <t>CLASSES JAVA: POO JAVA, Objetos, Atributos, Construtores e Métodos</t>
  </si>
  <si>
    <t>Como Usar o Scanner em Java? Aprenda Como Fazer Entrada de Dados em Java na Prática com Scanner</t>
  </si>
  <si>
    <t>Baixo Acoplamento e Alta Coesão</t>
  </si>
  <si>
    <t>Acoplamento e Coesão (2 "palavrões" essenciais na programação) // Dicionário do Programador</t>
  </si>
  <si>
    <t>Orientacao a Objetos com Java: Agora voce aprende</t>
  </si>
  <si>
    <t>68 - Orientação Objetos - Leitura de dados pelo console</t>
  </si>
  <si>
    <t>Projeto de Software - Coesão e Acoplamento - MVC</t>
  </si>
  <si>
    <t xml:space="preserve">
70 - Orientação Objetos - Associação pt 05 - Exercício Associação</t>
  </si>
  <si>
    <t>Herança em Java (extends) - Conceito e Exemplo</t>
  </si>
  <si>
    <t>71 - Orientação Objetos - Herança pt 01</t>
  </si>
  <si>
    <t>72 - Orientação Objetos - Herança pt 02 - Super</t>
  </si>
  <si>
    <t>73 - Orientação Objetos - Herança pt 03 - protected</t>
  </si>
  <si>
    <t>Inheritance and Polymorphism (Java Tutorial)</t>
  </si>
  <si>
    <t>Learn Java inheritance in 9 minutes! 👨‍👧‍👦</t>
  </si>
  <si>
    <t>Conceito de Métodos (static) em Java</t>
  </si>
  <si>
    <t>Polimorfismo e Herança com java</t>
  </si>
  <si>
    <t xml:space="preserve">
Como fazer Herança de classes no Java - Curso Java POO Aula #11</t>
  </si>
  <si>
    <t>Como fazer sobrescrita de métodos (Herança parte 2) - Curso Java POO Aula #12</t>
  </si>
  <si>
    <t>Modificador protected nos métodos - Curso Java POO Aula #13</t>
  </si>
  <si>
    <t>Youtube - Curso em Vídeo</t>
  </si>
  <si>
    <t>Como criar interface em Java - Curso Java POO Aula #9</t>
  </si>
  <si>
    <t>74 - Orientação Objetos - Herança pt 04 - Construtores</t>
  </si>
  <si>
    <t>75 - Orientação Objetos - Herança pt 05 - Sequência de inicialização</t>
  </si>
  <si>
    <t>Curso POO Teoria #10a - Herança (Parte 1)</t>
  </si>
  <si>
    <t>Youtube - Fiasco</t>
  </si>
  <si>
    <t>Herança em Java - Um tutorial de orientação a objeto com Naruto #12</t>
  </si>
  <si>
    <t>Se não aprender JAVA com esse video. - ̗̀ DESISTE ̖́- - Curso de programacao iniciante</t>
  </si>
  <si>
    <t>76 - Orientação Objetos - Sobrescrita do método toString</t>
  </si>
  <si>
    <t>77 - Orientação Objetos - Modificador final pt 01 - Tipo primitivo</t>
  </si>
  <si>
    <t>78 - Orientação Objetos - Modificador final pt 02 - Tipo referência</t>
  </si>
  <si>
    <t>79 - Orientação Objetos - Modificador final pt 03 - Classes e métodos</t>
  </si>
  <si>
    <t xml:space="preserve">
80 - Orientação Objetos - Enumeração pt 01 - Introdução</t>
  </si>
  <si>
    <t xml:space="preserve">
81 - Orientação Objetos - Enumeração pt 02 - Construtores e atributos</t>
  </si>
  <si>
    <t xml:space="preserve">
82 - Orientação Objetos - Enumeração pt 03 - Sobrescrita de métodos</t>
  </si>
  <si>
    <t>83 - Orientação Objetos - Enumeração pt 04 - Busca por atributos</t>
  </si>
  <si>
    <t>Aula01 - Usando o GitHub no Eclipse: do Repositório à Branch — Passo a Passo Completo!</t>
  </si>
  <si>
    <t>SUBINDO ARQUIVOS DO SEU PROJETO PARA O GITHUB USANDO O GIT BASH</t>
  </si>
  <si>
    <t>84 - Orientação Objetos - Classes abstratas pt 01</t>
  </si>
  <si>
    <t xml:space="preserve">
85 - Object Orientation - Abstract Classes pt 02 - Abstract Methods</t>
  </si>
  <si>
    <t xml:space="preserve">
86 - Orientação Objetos - Classes abstratas pt 03 - Métodos abstratos regras</t>
  </si>
  <si>
    <t>87 - Orientação Objetos - Interfaces pt 01 - Introdução</t>
  </si>
  <si>
    <t>88 - Orientação Objetos - Interfaces pt 02 - Implementando múltiplas interfaces</t>
  </si>
  <si>
    <t>89 - Orientação Objetos - Interfaces pt 03 - Atributos e métodos estáticos</t>
  </si>
  <si>
    <t>90 - Orientação Objetos - Polimorfismo pt 01 - Introdução</t>
  </si>
  <si>
    <t>91 - Orientação Objetos - Polimorfismo pt 02 - Funcionamento</t>
  </si>
  <si>
    <t>92 - Orientação Objetos - Polimorfismo pt 03 - Parâmetros polimórficos</t>
  </si>
  <si>
    <t xml:space="preserve">
93 - Orientação Objetos - Polimorfismo pt 04 - Cast e instanceof</t>
  </si>
  <si>
    <t>94 - Orientação Objetos - Polimorfismo pt 05 - Programação orientada a interface</t>
  </si>
  <si>
    <t>95 - Exceções pt 01 - Errors</t>
  </si>
  <si>
    <t>96 - Exceções pt 02 - RuntimeException</t>
  </si>
  <si>
    <t>97 - Exceções pt 03 - Exception</t>
  </si>
  <si>
    <t>Data</t>
  </si>
  <si>
    <t>Tema</t>
  </si>
  <si>
    <t>Palavra ou conceito</t>
  </si>
  <si>
    <t>Definição</t>
  </si>
  <si>
    <t>imput</t>
  </si>
  <si>
    <t>boulean</t>
  </si>
  <si>
    <t>int</t>
  </si>
  <si>
    <t>function</t>
  </si>
  <si>
    <t>git</t>
  </si>
  <si>
    <t>github</t>
  </si>
  <si>
    <t>ide</t>
  </si>
  <si>
    <t>Número decimal</t>
  </si>
  <si>
    <t>indice</t>
  </si>
  <si>
    <t>iterador</t>
  </si>
  <si>
    <t>elemento</t>
  </si>
  <si>
    <t>objeto</t>
  </si>
  <si>
    <t>Big O</t>
  </si>
  <si>
    <t>for</t>
  </si>
  <si>
    <t>JVM</t>
  </si>
  <si>
    <t>POO - Programação orientada a objetos</t>
  </si>
  <si>
    <t>Linguagem fortemente tipada</t>
  </si>
  <si>
    <t>paradigmas de programação</t>
  </si>
  <si>
    <t>variáveis</t>
  </si>
  <si>
    <t>expressões</t>
  </si>
  <si>
    <t>Algoritmos</t>
  </si>
  <si>
    <t>cliente</t>
  </si>
  <si>
    <t>servidor</t>
  </si>
  <si>
    <t>html</t>
  </si>
  <si>
    <t>css</t>
  </si>
  <si>
    <t>javascript</t>
  </si>
  <si>
    <t>ecma</t>
  </si>
  <si>
    <t>&lt;h1&gt;</t>
  </si>
  <si>
    <t>&lt;p&gt;</t>
  </si>
  <si>
    <t>identificadores</t>
  </si>
  <si>
    <t>operadores</t>
  </si>
  <si>
    <t>tipos primitivos</t>
  </si>
  <si>
    <t>markdown</t>
  </si>
  <si>
    <t>DOM</t>
  </si>
  <si>
    <t>git init</t>
  </si>
  <si>
    <t>git push</t>
  </si>
  <si>
    <t>git remote add</t>
  </si>
  <si>
    <t>git remote -v</t>
  </si>
  <si>
    <t>git remote set-url origin</t>
  </si>
  <si>
    <t>git remote rename origin novo-origin</t>
  </si>
  <si>
    <t>git clone</t>
  </si>
  <si>
    <t>git status</t>
  </si>
  <si>
    <t>git log</t>
  </si>
  <si>
    <t>git diff</t>
  </si>
  <si>
    <t>git add</t>
  </si>
  <si>
    <t>git commit</t>
  </si>
  <si>
    <t>git commit --amend -m "mensagem"</t>
  </si>
  <si>
    <t>git push origin main</t>
  </si>
  <si>
    <t>git pull origin main</t>
  </si>
  <si>
    <t>git reset</t>
  </si>
  <si>
    <t>Branches (Git)</t>
  </si>
  <si>
    <t>Master\Main</t>
  </si>
  <si>
    <t>Repositories</t>
  </si>
  <si>
    <t>Pull Requests</t>
  </si>
  <si>
    <t>Code Review</t>
  </si>
  <si>
    <t>pair programming</t>
  </si>
  <si>
    <t>Issues (gitHub \ git)</t>
  </si>
  <si>
    <t>Wikis e DOCs (gitHub \ git)</t>
  </si>
  <si>
    <t>Merge Editor (vscode)</t>
  </si>
  <si>
    <t>Arquivo .gitignore</t>
  </si>
  <si>
    <t>gist</t>
  </si>
  <si>
    <t>Operadores aritméticos</t>
  </si>
  <si>
    <t>Operadores de atribuição</t>
  </si>
  <si>
    <t>Operadores relacionais</t>
  </si>
  <si>
    <t>Operadores ternários</t>
  </si>
  <si>
    <t>HTML: Child</t>
  </si>
  <si>
    <t>HTML: Parent</t>
  </si>
  <si>
    <t>Condições aninhadas</t>
  </si>
  <si>
    <t>Condições múltiplas</t>
  </si>
  <si>
    <t>Comando switch</t>
  </si>
  <si>
    <t>Qual a função do break no comando switch?</t>
  </si>
  <si>
    <t>CSS: background</t>
  </si>
  <si>
    <t>CSS: font</t>
  </si>
  <si>
    <t>CSS: text-align</t>
  </si>
  <si>
    <t>CSS: border-radios</t>
  </si>
  <si>
    <t>CSS: padding</t>
  </si>
  <si>
    <t>CSS: width</t>
  </si>
  <si>
    <t>CSS: margin</t>
  </si>
  <si>
    <t>HTML: onload</t>
  </si>
  <si>
    <t>HTML: div</t>
  </si>
  <si>
    <t>HTML: footer</t>
  </si>
  <si>
    <t>HTML: radio</t>
  </si>
  <si>
    <t>Qual a diferença do While e o do While?</t>
  </si>
  <si>
    <t>Quais os 3 passos do for?</t>
  </si>
  <si>
    <t>Qual cenário o for é recomendado e mais utilizado?</t>
  </si>
  <si>
    <t>Variáveis simples</t>
  </si>
  <si>
    <t>Variáveis compostas</t>
  </si>
  <si>
    <t>Array \ vetor</t>
  </si>
  <si>
    <t>Toda função precisa ter um return?</t>
  </si>
  <si>
    <t>As funções podem ter mais de um return?</t>
  </si>
  <si>
    <t>As funções precisam ter algum parâmetro?</t>
  </si>
  <si>
    <t>O que são parâmetros em funções?</t>
  </si>
  <si>
    <t>Funções recursivas</t>
  </si>
  <si>
    <t>Em que situação eu seria obrigado a usar o tipo long em vez de int?</t>
  </si>
  <si>
    <t>Quando o número pode ultrapassar o limite de 2 bilhões (ex: IDs de um banco de dados, cálculos científicos ou financeiros muito grandes).</t>
  </si>
  <si>
    <t>Qual a principal vantagem de usar byte para um número que você sabe que é pequeno (ex: idade de uma pessoa)?</t>
  </si>
  <si>
    <t>Economia de memória. Ele usa 4x menos espaço que um int, o que é importante em arrays muito grandes ou em sistemas com memória limitada.</t>
  </si>
  <si>
    <t>Qual é a menor unidade de informação em um computador?</t>
  </si>
  <si>
    <t>O bit. Ele pode ter apenas dois valores: 0 (desligado) ou 1 (ligado).</t>
  </si>
  <si>
    <t>Qual o tamanho em memória e o propósito do tipo byte em Java?</t>
  </si>
  <si>
    <t>Tamanho: 1 byte (que equivale a 8 bits).
Propósito: Usado para números inteiros muito pequenos (de -128 a 127). Sua principal vantagem é a economia de memória.</t>
  </si>
  <si>
    <t>Qual o tamanho em memória do tipo short em Java?</t>
  </si>
  <si>
    <t>Tamanho: 2 bytes (16 bits).
(É usado para números inteiros pequenos, sendo menos comum que byte ou int).</t>
  </si>
  <si>
    <t>Qual o tamanho em memória e o propósito do tipo int em Java?</t>
  </si>
  <si>
    <t>Tamanho: 4 bytes (32 bits).
Propósito: É o tipo padrão e mais utilizado para números inteiros em Java. Ideal para a maioria das situações cotidianas.</t>
  </si>
  <si>
    <t>Qual o tamanho em memória e o propósito do tipo long em Java?</t>
  </si>
  <si>
    <t>Tamanho: 8 bytes (64 bits).
Propósito: Usado para números inteiros extremamente grandes, que ultrapassam o limite de 2 bilhões do int.</t>
  </si>
  <si>
    <t>O que é uma linguagem de baixo nível?</t>
  </si>
  <si>
    <t>É uma linguagem de programação que está muito próxima da "língua" do hardware do computador. Ela oferece controle direto sobre o processador e a memória, mas é difícil para humanos lerem e escreverem.&lt;br&gt;Exemplo: Assembly.</t>
  </si>
  <si>
    <t>O que é uma linguagem de alto nível?</t>
  </si>
  <si>
    <t>É uma linguagem de programação projetada para ser fácil para humanos lerem e escreverem, usando palavras e lógicas do nosso dia a dia. Ela precisa ser traduzida (compilada ou interpretada) para a linguagem de máquina para ser executada.&lt;br&gt;Exemplo: Java, Python.</t>
  </si>
  <si>
    <t>Em Programação Orientada a Objetos, o que é uma Classe?</t>
  </si>
  <si>
    <t>Uma Classe é o molde, a planta baixa ou o projeto de um objeto. Ela é um conceito abstrato que define:&lt;br&gt;1. Atributos (Dados): As características que um objeto daquele tipo terá. Ex: uma classe Carro define que todo carro terá uma cor e uma marca.&lt;br&gt;2. Métodos (Ações): Os comportamentos que um objeto daquele tipo poderá executar. Ex: a classe Carro define que todo carro poderá acelerar() e frear().&lt;br&gt;&lt;br&gt;A classe em si não é o objeto real, apenas o modelo que o descreve.</t>
  </si>
  <si>
    <t>Em Programação Orientada a Objetos, o que é um Objeto?</t>
  </si>
  <si>
    <t>Um Objeto é a instância concreta e real de uma classe. É a "coisa" que foi construída a partir do molde (da classe).&lt;br&gt;Enquanto a Classe Carro é a planta baixa, um objeto é o carro de verdade na sua garagem. Você pode criar vários objetos (vários carros) a partir de uma única classe. Cada objeto tem seus próprios valores para os atributos (um carro pode ser azul, outro vermelho) mas todos compartilham os mesmos comportamentos definidos na classe.</t>
  </si>
  <si>
    <t>O que é a JVM (Java Virtual Machine)?</t>
  </si>
  <si>
    <t>É a Máquina Virtual do Java. É um programa que cria um ambiente de execução padronizado. Sua principal função é carregar o bytecode (arquivos .class) e traduzi-lo para a linguagem de máquina nativa do computador onde está rodando (Windows, Mac, Linux).</t>
  </si>
  <si>
    <t>O que é o javac?</t>
  </si>
  <si>
    <t>É o Compilador do Java (Java Compiler). É a ferramenta que lê o seu código-fonte (arquivos .java) e, se não houver erros, o traduz para bytecode (criando os arquivos .class).</t>
  </si>
  <si>
    <t>O que é o bytecode em Java?</t>
  </si>
  <si>
    <t>É o código de formato intermediário, neutro de plataforma, gerado pelo compilador javac. Não é a linguagem do seu computador, mas sim a linguagem da JVM. É o que permite que o Java seja "Write Once, Run Anywhere".</t>
  </si>
  <si>
    <t>O que significa o conceito "Write Once, Run Anywhere" (Escreva uma vez, rode em qualquer lugar) do Java?</t>
  </si>
  <si>
    <t>Significa que você pode escrever seu programa Java uma única vez, compilá-lo para bytecode, e esse mesmo arquivo de bytecode pode ser executado em qualquer computador ou sistema operacional que tenha uma JVM instalada, sem precisar de nenhuma modificação.</t>
  </si>
  <si>
    <t>O que são as Convenções de Código em Java?</t>
  </si>
  <si>
    <t>São um conjunto de boas práticas e diretrizes de estilo para a escrita de código. Elas não são regras obrigatórias para o compilador, mas sim um "acordo" entre programadores para garantir que o código seja legível, consistente e fácil de manter.</t>
  </si>
  <si>
    <t>Qual a convenção de nomenclatura para variáveis e métodos em Java?</t>
  </si>
  <si>
    <t>lowerCamelCase. A primeira palavra começa com letra minúscula, e as palavras seguintes começam com maiúscula.&lt;br&gt;Exemplos: int numeroDeAlunos;, void calcularImpostoTotal()</t>
  </si>
  <si>
    <t>Qual a convenção de nomenclatura para Classes em Java?</t>
  </si>
  <si>
    <t>UpperCamelCase (ou PascalCase). Todas as palavras começam com letra maiúscula.&lt;br&gt;Exemplos: class CalculadoraDeImposto;, class ConexaoBancoDeDados;</t>
  </si>
  <si>
    <t>Para que servem os Packages (pacotes) em Java?</t>
  </si>
  <si>
    <t>Servem para três coisas principais:&lt;br&gt;1. Organizar as classes em "pastas" lógicas.&lt;br&gt;2. Evitar conflitos de nomes de classes.&lt;br&gt;3. Controlar o acesso a classes e membros (encapsulamento).</t>
  </si>
  <si>
    <t>O que significa a sigla "psvm" e a linha public static void main(String[] args)?</t>
  </si>
  <si>
    <t>É a assinatura do método principal, o ponto de entrada de todo programa Java executável.&lt;br&gt;* public: O método pode ser acessado de qualquer lugar.&lt;br&gt;* static: O método pertence à classe, não a um objeto.&lt;br&gt;* void: O método não retorna nenhum valor.&lt;br&gt;* main: É o nome obrigatório que a JVM procura para iniciar o programa.&lt;br&gt;* (String[] args): Permite receber argumentos da linha de comando.</t>
  </si>
  <si>
    <t>O que é virtualização?</t>
  </si>
  <si>
    <t>É a tecnologia que permite criar uma versão virtual (simulada) de algo que normalmente é físico, como um computador. Ela permite rodar múltiplos sistemas operacionais isolados em uma única máquina física.</t>
  </si>
  <si>
    <t>Qual a diferença entre JDK e JRE?</t>
  </si>
  <si>
    <t>* JRE (Java Runtime Environment): É o ambiente de execução. Contém a JVM e as bibliotecas necessárias para rodar aplicações Java.&lt;br&gt;* JDK (Java Development Kit): É o kit de desenvolvimento. Contém tudo o que o JRE tem, mais as ferramentas para desenvolver aplicações, como o compilador (javac).</t>
  </si>
  <si>
    <t>O que é memória volátil?</t>
  </si>
  <si>
    <t>É um tipo de memória de computador que precisa de energia para manter a informação armazenada. Se a energia for desligada, todos os dados são perdidos. A memória RAM é o principal exemplo.</t>
  </si>
  <si>
    <t>O que é um tipo primitivo em Java?</t>
  </si>
  <si>
    <t>É um tipo de dado básico que armazena o valor diretamente na variável, e não uma referência a um objeto. Existem 8 tipos primitivos em Java: byte, short, int, long, float, double, char, boolean.</t>
  </si>
  <si>
    <t>Tipo primitivo: O que é boolean e como declarar?</t>
  </si>
  <si>
    <t>Representa um de dois valores possíveis: true ou false.&lt;br&gt;Declaração: boolean isJavaFun = true;</t>
  </si>
  <si>
    <t>Tipo primitivo: O que é char e como declarar?</t>
  </si>
  <si>
    <t>Representa um único caractere Unicode de 16 bits. O valor é declarado entre aspas simples.&lt;br&gt;Declaração: char letra = 'A';</t>
  </si>
  <si>
    <t>Tipo primitivo: O que é float e como declarar?</t>
  </si>
  <si>
    <t>Representa um número de ponto flutuante de precisão simples (32 bits). É obrigatório usar o sufixo F ou f.&lt;br&gt;Declaração: float salario = 4700.50F;</t>
  </si>
  <si>
    <t>Como criar um comentário de uma linha em Java?</t>
  </si>
  <si>
    <t>Usando duas barras //. O compilador ignora tudo o que vem depois delas na mesma linha.&lt;br&gt;Exemplo: // Este é um comentário.</t>
  </si>
  <si>
    <t>Como criar um comentário de várias linhas em Java?</t>
  </si>
  <si>
    <t>Começando com /* e terminando com */. Tudo que estiver entre eles é ignorado.&lt;br&gt;Exemplo: /* Este é um comentário &lt;br&gt; que ocupa várias linhas. */</t>
  </si>
  <si>
    <t>Como forçar o Java a tratar um número literal como float ou double?</t>
  </si>
  <si>
    <t>Adicionando um sufixo ao número:&lt;br&gt;* F ou f para float. Ex: 1500.00F&lt;br&gt;* D ou d para double (opcional, pois double é o padrão). Ex: 1500.00D</t>
  </si>
  <si>
    <t>O que é Widening Primitive Conversion em Java?</t>
  </si>
  <si>
    <t>É a conversão automática e segura de um valor de um tipo primitivo para outro tipo "maior" (com maior capacidade). O Java faz isso sozinho pois não há risco de perda de dados.&lt;br&gt;Exemplo: int i = 100; double d = i;</t>
  </si>
  <si>
    <t>Qual a hierarquia da Widening Primitive Conversion em Java?</t>
  </si>
  <si>
    <t>byte -&gt; short -&gt; int -&gt; long -&gt; float -&gt; double&lt;br&gt;(Um tipo pode ser convertido automaticamente para qualquer tipo à sua direita).</t>
  </si>
  <si>
    <t>É possível converter um long para um float automaticamente em Java?</t>
  </si>
  <si>
    <t>Sim. Apesar do long usar mais bits (64) que o float (32), a faixa de valores que um float pode representar é muito maior.</t>
  </si>
  <si>
    <t>O que é uma String em Java?</t>
  </si>
  <si>
    <t>É um objeto que representa uma sequência de caracteres. Não é um tipo primitivo. Por ser um objeto, ela tem métodos próprios (ex: .length(), .equals()).</t>
  </si>
  <si>
    <t>Qual a relação entre a tabela ASCII e o tipo primitivo char?</t>
  </si>
  <si>
    <t>O char armazena um caractere, mas internamente ele guarda um número que corresponde ao código daquele caractere na tabela de caracteres (como ASCII ou Unicode). Isso permite fazer operações matemáticas com char. Ex: char letra = 'A'; letra++; (letra agora valerá 'B').</t>
  </si>
  <si>
    <t>O que são operadores aritméticos?</t>
  </si>
  <si>
    <t>São operadores usados para realizar operações matemáticas básicas.&lt;br&gt;Exemplos: +, -, *, /, % (módulo).</t>
  </si>
  <si>
    <t>Para que serve o operador módulo %?</t>
  </si>
  <si>
    <t>Ele retorna o resto de uma divisão inteira. É muito útil para descobrir se um número é par (numero % 2 == 0) ou ímpar (numero % 2 != 0).</t>
  </si>
  <si>
    <t>O que é e para que serve a atribuição composta?</t>
  </si>
  <si>
    <t>É um atalho para executar uma operação e atribuir o resultado à própria variável.&lt;br&gt;Exemplo: x += 5; é o mesmo que x = x + 5;. Outros exemplos: -=, *=, /=.</t>
  </si>
  <si>
    <t>Operadores de comparação: Qual a diferença entre = e ==?</t>
  </si>
  <si>
    <t>* = (um igual): É o operador de atribuição. Ele coloca o valor da direita na variável da esquerda.&lt;br&gt;* == (dois iguais): É o operador de comparação. Ele verifica se dois valores são iguais e retorna true ou false.</t>
  </si>
  <si>
    <t>O que o operador de comparação != significa?</t>
  </si>
  <si>
    <t>Significa "diferente de". Retorna true se os dois valores comparados forem diferentes.</t>
  </si>
  <si>
    <t>O que o operador lógico &amp;&amp; (E / AND) faz?</t>
  </si>
  <si>
    <t>Retorna true somente se ambas as condições (à sua esquerda e direita) forem verdadeiras.</t>
  </si>
  <si>
    <t>O que o operador lógico ! (NÃO / NOT) faz?</t>
  </si>
  <si>
    <t>Ele inverte um valor booleano. !true se torna false, e !false se torna true.</t>
  </si>
  <si>
    <t>O que o operador lógico ^ (XOR / OU Exclusivo) faz?</t>
  </si>
  <si>
    <t>Retorna true somente se exatamente uma das condições for verdadeira, mas não ambas. É o "ou um, ou outro, mas não os dois".</t>
  </si>
  <si>
    <t>O que é um operador ternário e para que serve?</t>
  </si>
  <si>
    <t>É um atalho para escrever uma estrutura if-else simples em uma única linha. É usado principalmente para atribuir um de dois valores a uma variável, dependendo de uma condição.</t>
  </si>
  <si>
    <t>Qual a vantagem do operador ternário em relação ao if-else?</t>
  </si>
  <si>
    <t>Concisão. Ele transforma um bloco de código de 4 ou 5 linhas em apenas uma, tornando o código mais enxuto para atribuições simples.</t>
  </si>
  <si>
    <t>Qual a sintaxe do operador ternário?</t>
  </si>
  <si>
    <t>condição ? valor_se_verdadeiro : valor_se_falso;</t>
  </si>
  <si>
    <t>O que é o Scanner em Java?</t>
  </si>
  <si>
    <t>É uma classe da biblioteca java.util usada para ler a entrada de dados do usuário, geralmente a partir do teclado no console.</t>
  </si>
  <si>
    <t>Como declarar e importar o Scanner?</t>
  </si>
  <si>
    <t>1. Importar: import java.util.Scanner; (no topo do arquivo)&lt;br&gt;2. Declarar: Scanner scanner = new Scanner(System.in); (dentro do método)</t>
  </si>
  <si>
    <t>Como usar o Scanner para obter um número inteiro?</t>
  </si>
  <si>
    <t>Usando o método .nextInt().&lt;br&gt;Exemplo: int idade = scanner.nextInt();</t>
  </si>
  <si>
    <t>Como usar o Scanner para obter um texto (String)?</t>
  </si>
  <si>
    <t>Usando o método .nextLine() para ler uma linha inteira de texto.&lt;br&gt;Exemplo: String nome = scanner.nextLine();</t>
  </si>
  <si>
    <t>O que não pode esquecer de fazer no final do código ao usar o Scanner?</t>
  </si>
  <si>
    <t>Fechar o scanner para liberar os recursos do sistema, usando o método .close().&lt;br&gt;Exemplo: scanner.close();</t>
  </si>
  <si>
    <t>O que são bibliotecas em Java (ex: java.util)?</t>
  </si>
  <si>
    <t>São coleções de classes e pacotes com funcionalidades prontas que podemos "importar" e usar em nossos programas. java.util contém classes utilitárias como Scanner.</t>
  </si>
  <si>
    <t>Para que serve a biblioteca Math?</t>
  </si>
  <si>
    <t>É uma classe que fornece métodos estáticos para realizar operações matemáticas mais complexas, como Math.pow() (potência), Math.sqrt() (raiz quadrada) e Math.random() (número aleatório).</t>
  </si>
  <si>
    <t>Como retornar algo no console do Java? (atalho "sout")</t>
  </si>
  <si>
    <t>Usando o comando System.out.println(). O atalho sout no Eclipse expande para essa linha.</t>
  </si>
  <si>
    <t>Como concatenar (juntar) dados no System.out.println()?</t>
  </si>
  <si>
    <t>Usando o operador +.&lt;br&gt;Exemplo: System.out.println("Idade: " + idade);</t>
  </si>
  <si>
    <t>Qual a diferença entre null, empty e blank para uma String?</t>
  </si>
  <si>
    <t>* null: A variável não aponta para objeto nenhum (não há "caixa").&lt;br&gt;* empty (""): O objeto existe, mas tem zero caracteres (a "caixa" está vazia). Use .isEmpty().&lt;br&gt;* blank (" "): O objeto existe, mas só contém espaços em branco. Use .isBlank().</t>
  </si>
  <si>
    <t>Qual a forma correta de comparar o conteúdo de duas Strings?</t>
  </si>
  <si>
    <t>Usando o método .equals(), e nunca o operador ==.</t>
  </si>
  <si>
    <t>Qual a diferença entre .equals() e .equalsIgnoreCase()?</t>
  </si>
  <si>
    <t>* .equals(): É case-sensitive (diferencia 'a' de 'A').&lt;br&gt;* .equalsIgnoreCase(): É case-insensitive (ignora a diferença entre 'a' e 'A').</t>
  </si>
  <si>
    <t>Qual a diferença entre == e .equals() ao comparar objetos como String?</t>
  </si>
  <si>
    <t>* ==: Compara se as duas variáveis apontam para o mesmo endereço de memória (mesmo objeto).&lt;br&gt;* .equals(): Compara se o conteúdo dos objetos é o mesmo.</t>
  </si>
  <si>
    <t>Qual a convenção para declarar nomes de packages?</t>
  </si>
  <si>
    <t>Usar o domínio da empresa/projeto ao contrário, tudo em minúsculas.&lt;br&gt;Exemplo: br.com.ibm.meuprojeto</t>
  </si>
  <si>
    <t>Quando usar switch e quando usar if-else?</t>
  </si>
  <si>
    <t>* switch: Quando a decisão é baseada no valor exato de uma única variável.&lt;br&gt;* if-else: Para qualquer outra lógica mais complexa, como intervalos (&gt;,&lt;) ou múltiplas condições (&amp;&amp;, `</t>
  </si>
  <si>
    <t>No switch, o que não pode esquecer em cada case para parar a execução?</t>
  </si>
  <si>
    <t>O comando break;. Sem ele, o Java continuará executando o código dos cases seguintes (fall-through).</t>
  </si>
  <si>
    <t>Para que serve o default no switch?</t>
  </si>
  <si>
    <t>Funciona como o else final. O bloco default é executado se o valor da variável não corresponder a nenhum dos cases.</t>
  </si>
  <si>
    <t>O que são estruturas de repetição (laços/loops)?</t>
  </si>
  <si>
    <t>São estruturas de controle que permitem executar um mesmo bloco de código várias vezes, enquanto uma condição for atendida.</t>
  </si>
  <si>
    <t>O que é o while e quando usá-lo?</t>
  </si>
  <si>
    <t>É um loop que executa um bloco de código enquanto uma condição for verdadeira. É ideal quando você não sabe o número exato de repetições.</t>
  </si>
  <si>
    <t>O que é um iterador e para que ele serve em loops?</t>
  </si>
  <si>
    <t>É uma variável (geralmente um contador) que controla a execução do loop. Seu valor é modificado a cada repetição para garantir que, em algum momento, a condição de parada seja alcançada.</t>
  </si>
  <si>
    <t>O que é o do-while e qual sua diferença para o while?</t>
  </si>
  <si>
    <t>É um loop que primeiro executa o bloco, e só depois testa a condição. Isso garante que o código seja executado pelo menos uma vez.</t>
  </si>
  <si>
    <t>O que é o for e qual sua vantagem sobre o while?</t>
  </si>
  <si>
    <t>É um loop ideal para quando você sabe o número de repetições. Sua vantagem é a sintaxe compacta, que agrupa a inicialização, condição e incremento do iterador em uma única linha.</t>
  </si>
  <si>
    <t>Qual a sintaxe do for?</t>
  </si>
  <si>
    <t>for (inicializacao; condicao; incremento) { ... }</t>
  </si>
  <si>
    <t>O que é o for-each, e qual sua diferença do for?</t>
  </si>
  <si>
    <t>É uma forma simplificada do for, usada para percorrer todos os elementos de um array ou coleção. É mais limpo e seguro que o for clássico para essa tarefa, pois não usa um contador de índice.</t>
  </si>
  <si>
    <t>O que é um for aninhado e para que serve?</t>
  </si>
  <si>
    <t>É um for dentro de outro for. Para cada volta do loop de fora, o de dentro executa seu ciclo completo. É útil para trabalhar com estruturas de tabela ou grade, como arrays multidimensionais.</t>
  </si>
  <si>
    <t>O que são arrays e qual sua vantagem sobre variáveis comuns?</t>
  </si>
  <si>
    <t>É uma estrutura que armazena uma coleção de elementos do mesmo tipo. Sua vantagem é permitir guardar múltiplos valores em uma única variável, de forma organizada e acessível por um índice.</t>
  </si>
  <si>
    <t>Um array pode ter mais de um tipo de dado?</t>
  </si>
  <si>
    <t>Não. Um array em Java só pode armazenar elementos do mesmo tipo (ex: um array de int só guarda ints).</t>
  </si>
  <si>
    <t>Qual a sintaxe para criar um array?</t>
  </si>
  <si>
    <t>tipo[] nomeDoArray = new tipo[tamanho];&lt;br&gt;Exemplo: int[] idades = new int[10];</t>
  </si>
  <si>
    <t>Qual a função do array.length?</t>
  </si>
  <si>
    <t>É uma propriedade que retorna o tamanho total (o número de posições) do array.</t>
  </si>
  <si>
    <t>O tamanho de um array pode ser ajustado automaticamente?</t>
  </si>
  <si>
    <t>Não. O tamanho de um array em Java é fixo e definido no momento da sua criação.</t>
  </si>
  <si>
    <t>O que acontece se eu tentar acessar um índice que não existe no array?</t>
  </si>
  <si>
    <t>O programa lança um erro em tempo de execução chamado ArrayIndexOutOfBoundsException.</t>
  </si>
  <si>
    <t>O que são arrays multidimensionais?</t>
  </si>
  <si>
    <t>São "arrays de arrays", criando uma estrutura de tabela com linhas e colunas (para 2D), ou de cubo (para 3D).</t>
  </si>
  <si>
    <t>Qual a sintaxe para criar um array multidimensional (2D)?</t>
  </si>
  <si>
    <t>tipo[][] nomeDoArray = new tipo[linhas][colunas];&lt;br&gt;Exemplo: int[][] tabuleiro = new int[3][3];</t>
  </si>
  <si>
    <t>Em um loop, qual a diferença entre break e continue?</t>
  </si>
  <si>
    <t>* break: Para completamente a execução do loop e sai dele.&lt;br&gt;* continue: Pula a iteração atual e vai direto para a próxima. O loop não é encerrado.</t>
  </si>
  <si>
    <t>O que é Casting (ou Narrowing Primitive Conversion) em Java?</t>
  </si>
  <si>
    <t>É a conversão manual e forçada de um tipo de dado primitivo para um tipo "menor" (com menor capacidade). É necessário pois há risco de perda de dados, e você precisa dizer ao compilador que está ciente do risco.&lt;br&gt;Exemplo: int i = (int) 3.14; (o valor de i será 3)</t>
  </si>
  <si>
    <t>O que é escopo de uma variável?</t>
  </si>
  <si>
    <t>É a região do código onde a variável é acessível e "existe". Uma variável declarada dentro de um bloco de código (delimitado por {}) só pode ser usada dentro daquele bloco. Ela é criada quando o bloco inicia e destruída quando o bloco termina.</t>
  </si>
  <si>
    <t>Qual a sintaxe do for-each para percorrer um array?</t>
  </si>
  <si>
    <t>for (Tipo variavelTemporaria : nomeDoArray) { ... }&lt;br&gt;Exemplo:&lt;br&gt;String[] nomes = {"Ana", "Bia"};&lt;br&gt;for (String nome : nomes) { System.out.println(nome); }</t>
  </si>
  <si>
    <t>Qual o problema comum ao usar scanner.nextInt() seguido de scanner.nextLine()?</t>
  </si>
  <si>
    <t>O .nextInt() lê apenas o número e deixa o caractere de "Enter" (\n) para trás no buffer. O .nextLine() seguinte lê esse "Enter" como uma linha vazia e não espera pela entrada do usuário.&lt;br&gt;Solução: Adicionar um scanner.nextLine(); extra para consumir o "Enter" que sobrou.</t>
  </si>
  <si>
    <t>Para que serve a palavra-chave final em uma variável?</t>
  </si>
  <si>
    <t>Torna a variável uma constante. Uma vez que um valor é atribuído a uma variável final, ela não pode ser alterada. É usada para garantir a imutabilidade de um valor.&lt;br&gt;Exemplo: final double PI = 3.14;</t>
  </si>
  <si>
    <t>O que são linguagens de programação e quais são suas duas regras principais?</t>
  </si>
  <si>
    <t>É um conjunto de regras &lt;strong&gt;léxicas&lt;/strong&gt; e &lt;strong&gt;sintáticas&lt;/strong&gt; para escrever um programa.&lt;br&gt;&lt;br&gt;1. &lt;strong&gt;Regras Léxicas:&lt;/strong&gt; Diz respeito à correção das palavras "isoladas" (ortografia).&lt;br&gt;Ex: A palavra-chave &lt;code&gt;main&lt;/code&gt; está correta, enquanto &lt;code&gt;maim&lt;/code&gt; está errada.&lt;br&gt;&lt;br&gt;2. &lt;strong&gt;Regras Sintáticas:&lt;/strong&gt; Diz respeito à correção das sentenças (gramática).&lt;br&gt;Ex: A sentença &lt;code&gt;x = 2 + y;&lt;/code&gt; está correta, enquanto &lt;code&gt;x = + 2 y;&lt;/code&gt; está errada.</t>
  </si>
  <si>
    <t>O que é indentação?</t>
  </si>
  <si>
    <t>É a prática de adicionar &lt;strong&gt;espaços em branco&lt;/strong&gt; (ou tabs) no início de uma linha de código para mostrar sua &lt;strong&gt;hierarquia&lt;/strong&gt; e estrutura. A indentação não afeta como o código Java funciona, mas é uma &lt;strong&gt;convenção crucial&lt;/strong&gt; para a &lt;strong&gt;legibilidade&lt;/strong&gt;.&lt;br&gt;&lt;br&gt;Código dentro de um bloco (&lt;code&gt;{}&lt;/code&gt;), como em um &lt;code&gt;if&lt;/code&gt;, &lt;code&gt;for&lt;/code&gt; ou método, é indentado para deixar claro que ele pertence àquele bloco.&lt;br&gt;&lt;br&gt;&lt;strong&gt;Exemplo:&lt;/strong&gt;&lt;br&gt;&lt;code&gt;public void metodo() {&lt;br&gt;    if (condicao) {&lt;br&gt;        // Este código está duplamente indentado&lt;br&gt;    }&lt;br&gt;}&lt;/code&gt;</t>
  </si>
  <si>
    <t>O que é &lt;strong&gt;depuração&lt;/strong&gt; (ou "debugging")?</t>
  </si>
  <si>
    <t>É o processo de &lt;strong&gt;encontrar e corrigir erros (bugs)&lt;/strong&gt; em um programa. Em vez de apenas ler o código, a depuração é feita com uma ferramenta chamada &lt;strong&gt;debugger&lt;/strong&gt; (depurador), que permite:&lt;br&gt;&lt;br&gt;
&lt;strong&gt;Pausar a execução&lt;/strong&gt; do programa em pontos específicos (chamados &lt;code&gt;breakpoints&lt;/code&gt;).&lt;br&gt;
&lt;strong&gt;Inspecionar os valores das variáveis&lt;/strong&gt; em tempo real.&lt;br&gt;
&lt;strong&gt;Executar o código passo a passo&lt;/strong&gt;, linha por linha.&lt;br&gt;&lt;br&gt;
O objetivo não é apenas ver o que está errado, mas entender por que o código está se comportando de maneira inesperada.</t>
  </si>
  <si>
    <t>O que é o &lt;strong&gt;código objeto&lt;/strong&gt; (Object Code)?</t>
  </si>
  <si>
    <t>É o &lt;strong&gt;resultado do processo de compilação&lt;/strong&gt;. O código objeto é um código de nível intermediário, mais próximo da linguagem de máquina, mas que geralmente ainda não é um programa totalmente executável.&lt;br&gt;&lt;br&gt;Ele é a "tradução" do seu código-fonte feita pelo compilador. Em linguagens como C++, ele é salvo em arquivos &lt;code&gt;.o&lt;/code&gt; ou &lt;code&gt;.obj&lt;/code&gt; e precisa de um passo final (linkedição) para se tornar um executável.&lt;br&gt;&lt;br&gt;No contexto do Java, o &lt;strong&gt;bytecode&lt;/strong&gt; (o arquivo &lt;code&gt;.class&lt;/code&gt;) é a forma de &lt;strong&gt;código objeto&lt;/strong&gt;. Ele não é executado diretamente pelo sistema operacional, mas sim pela &lt;strong&gt;JVM&lt;/strong&gt;.</t>
  </si>
  <si>
    <t>Descreva as etapas do processo de &lt;strong&gt;compilação&lt;/strong&gt; e cite linguagens que tipicamente usam essa abordagem.</t>
  </si>
  <si>
    <t>É um processo de tradução completa que ocorre em duas etapas principais, &lt;strong&gt;antes&lt;/strong&gt; da execução:&lt;br&gt;&lt;br&gt;
&lt;strong&gt;Compilação:&lt;/strong&gt; O &lt;strong&gt;Compilador&lt;/strong&gt; lê o &lt;code&gt;código-fonte&lt;/code&gt;, faz a &lt;strong&gt;análise léxica&lt;/strong&gt; (ortografia) e &lt;strong&gt;sintática&lt;/strong&gt; (gramática), e o traduz para um &lt;code&gt;código objeto&lt;/code&gt;.&lt;br&gt;&lt;br&gt;
&lt;strong&gt;Construção (Build):&lt;/strong&gt; Um &lt;strong&gt;Gerador de Código&lt;/strong&gt; (Linker) pega o &lt;code&gt;código objeto&lt;/code&gt; e o transforma em um &lt;code&gt;código executável&lt;/code&gt;, que é específico para o sistema operacional.&lt;br&gt;&lt;br&gt;
O programa final é executado diretamente pelo hardware, resultando em alta performance.&lt;br&gt;&lt;br&gt;
&lt;strong&gt;Linguagens Típicas:&lt;/strong&gt; C, C++.</t>
  </si>
  <si>
    <t>Como funciona o processo de &lt;strong&gt;interpretação&lt;/strong&gt; e cite linguagens que tipicamente usam essa abordagem.</t>
  </si>
  <si>
    <t>É um processo de tradução e execução que acontece &lt;strong&gt;em tempo real&lt;/strong&gt;, sob demanda.&lt;br&gt;&lt;br&gt;
&lt;strong&gt;Código Fonte:&lt;/strong&gt; É lido diretamente por um programa chamado &lt;strong&gt;Interpretador&lt;/strong&gt;.&lt;br&gt;&lt;br&gt;
&lt;strong&gt;Interpretação:&lt;/strong&gt; Para cada instrução, o Interpretador realiza a &lt;strong&gt;análise léxica, sintática e a geração de código&lt;/strong&gt; linha por linha, executando cada uma imediatamente antes de passar para a próxima.&lt;br&gt;&lt;br&gt;
Não é gerado um arquivo executável separado; o interpretador é sempre necessário para rodar o código.&lt;br&gt;&lt;br&gt;
&lt;strong&gt;Linguagens Típicas:&lt;/strong&gt; PHP, JavaScript, Python, Ruby.</t>
  </si>
  <si>
    <t>Como funciona o processo de &lt;strong&gt;abordagem híbrida&lt;/strong&gt; e cite linguagens que tipicamente usam essa abordagem.</t>
  </si>
  <si>
    <t>É um processo de duas etapas que combina compilação e interpretação.&lt;br&gt;&lt;br&gt;
&lt;strong&gt;Pré-compilação:&lt;/strong&gt; O &lt;strong&gt;Compilador&lt;/strong&gt; lê o &lt;code&gt;código-fonte&lt;/code&gt; e o traduz para um código intermediário, universal, chamado &lt;strong&gt;&lt;code&gt;Bytecode&lt;/code&gt;&lt;/strong&gt;. Essa etapa inclui a análise léxica e sintática.&lt;br&gt;&lt;br&gt;
&lt;strong&gt;Interpretação (na Máquina Virtual):&lt;/strong&gt; O &lt;code&gt;Bytecode&lt;/code&gt; é executado por uma &lt;strong&gt;Máquina Virtual (como a JVM)&lt;/strong&gt;. Ela interpreta o bytecode sob demanda, traduzindo-o para a linguagem de máquina do computador específico em que está rodando.&lt;br&gt;&lt;br&gt;
Essa abordagem une a portabilidade da interpretação com a performance da compilação.&lt;br&gt;&lt;br&gt;
&lt;strong&gt;Linguagens Típicas:&lt;/strong&gt; Java, C#.</t>
  </si>
  <si>
    <t>Cite algumas vantagens e desvantagens da &lt;strong&gt;abordagem híbrida&lt;/strong&gt; que o Java utiliza.</t>
  </si>
  <si>
    <t>&lt;strong&gt;Vantagens:&lt;/strong&gt;&lt;br&gt;
&lt;ul&gt;
&lt;li&gt;&lt;strong&gt;Portabilidade:&lt;/strong&gt; O mesmo bytecode roda em qualquer lugar que tenha a JVM ("Write Once, Run Anywhere").&lt;/li&gt;
&lt;li&gt;&lt;strong&gt;Segurança:&lt;/strong&gt; A JVM cria uma camada de proteção entre o código e o sistema operacional.&lt;/li&gt;
&lt;/ul&gt;
&lt;strong&gt;Desvantagens:&lt;/strong&gt;&lt;br&gt;
&lt;ul&gt;
&lt;li&gt;&lt;strong&gt;Performance Inicial:&lt;/strong&gt; Pode ser um pouco mais lento para iniciar do que um programa compilado, pois a JVM precisa carregar e começar a traduzir o bytecode.&lt;/li&gt;
&lt;li&gt;&lt;strong&gt;Dependência:&lt;/strong&gt; Requer que o JRE (com a JVM) esteja instalado na máquina do usuário.&lt;/li&gt;
&lt;/ul&gt;</t>
  </si>
  <si>
    <t>Qual a diferença fundamental entre as abordagens de &lt;strong&gt;compilação&lt;/strong&gt;, &lt;strong&gt;interpretação&lt;/strong&gt; e &lt;strong&gt;híbrida&lt;/strong&gt;?</t>
  </si>
  <si>
    <t>A diferença está em &lt;strong&gt;quando&lt;/strong&gt; e &lt;strong&gt;como&lt;/strong&gt; o código-fonte é traduzido para a linguagem de máquina.&lt;br&gt;&lt;br&gt;
&lt;ul&gt;
&lt;li&gt;
&lt;strong&gt;Compilação (Ex: C++):&lt;/strong&gt;&lt;br&gt;
O código é &lt;strong&gt;totalmente traduzido ANTES&lt;/strong&gt; da execução para um &lt;strong&gt;código executável&lt;/strong&gt;, específico para um sistema operacional. O foco é na &lt;strong&gt;máxima performance&lt;/strong&gt; de execução.
&lt;/li&gt;
&lt;br&gt;
&lt;li&gt;
&lt;strong&gt;Interpretação (Ex: Python):&lt;/strong&gt;&lt;br&gt;
O código é traduzido e executado &lt;strong&gt;linha por linha, DURANTE&lt;/strong&gt; a execução, por um programa Interpretador. O foco é na &lt;strong&gt;flexibilidade e agilidade&lt;/strong&gt; de desenvolvimento.
&lt;/li&gt;
&lt;br&gt;
&lt;li&gt;
&lt;strong&gt;Híbrida (Ex: Java):&lt;/strong&gt;&lt;br&gt;
O código é primeiro &lt;strong&gt;compilado&lt;/strong&gt; para um código intermediário universal (&lt;strong&gt;bytecode&lt;/strong&gt;), e depois esse bytecode é &lt;strong&gt;interpretado&lt;/strong&gt; por uma Máquina Virtual (JVM). O foco é na &lt;strong&gt;portabilidade&lt;/strong&gt; ("escreva uma vez, rode em qualquer lugar") com boa performance.
&lt;/li&gt;
&lt;/ul&gt;</t>
  </si>
  <si>
    <t>O que é &lt;strong&gt;análise léxica&lt;/strong&gt; que o compilador realiza?</t>
  </si>
  <si>
    <t>É a &lt;strong&gt;primeira fase&lt;/strong&gt; da compilação, onde o código-fonte é quebrado em pequenos pedaços chamados &lt;strong&gt;"tokens"&lt;/strong&gt; (como palavras-chave, identificadores, números e operadores).&lt;br&gt;&lt;br&gt;
&lt;strong&gt;Analogia:&lt;/strong&gt; Pense na análise léxica como a verificação da &lt;strong&gt;ortografia&lt;/strong&gt; de um texto. Ela verifica se cada "palavra" individual do seu código é válida e pertence ao vocabulário da linguagem.&lt;br&gt;&lt;br&gt;
&lt;strong&gt;Exemplo:&lt;/strong&gt;&lt;br&gt;
Na linha &lt;code&gt;int x = 5;&lt;/code&gt;, a análise léxica identifica os tokens &lt;code&gt;int&lt;/code&gt;, &lt;code&gt;x&lt;/code&gt;, &lt;code&gt;=&lt;/code&gt;, &lt;code&gt;5&lt;/code&gt; e &lt;code&gt;;&lt;/code&gt;. Se você escrevesse &lt;code&gt;ent&lt;/code&gt; em vez de &lt;code&gt;int&lt;/code&gt;, ocorreria um &lt;strong&gt;erro léxico&lt;/strong&gt;.</t>
  </si>
  <si>
    <t>O que é &lt;strong&gt;análise sintática&lt;/strong&gt; que o compilador realiza?</t>
  </si>
  <si>
    <t>É a &lt;strong&gt;segunda fase&lt;/strong&gt; da compilação, que ocorre após a análise léxica. Ela verifica se a &lt;strong&gt;sequência de tokens&lt;/strong&gt; forma uma "sentença" válida, de acordo com as regras da linguagem.&lt;br&gt;&lt;br&gt;
&lt;strong&gt;Analogia:&lt;/strong&gt; Pense na análise sintática como a verificação da &lt;strong&gt;gramática&lt;/strong&gt; de uma frase. As palavras podem estar escritas corretamente (análise léxica passou), mas a ordem e a estrutura delas podem estar erradas.&lt;br&gt;&lt;br&gt;
&lt;strong&gt;Exemplo:&lt;/strong&gt;&lt;br&gt;
A sentença &lt;code&gt;int x = 5;&lt;/code&gt; é &lt;strong&gt;sintaticamente correta&lt;/strong&gt;. A sentença &lt;code&gt;int = x 5;&lt;/code&gt; causaria um &lt;strong&gt;erro sintático&lt;/strong&gt;, pois a "gramática" do Java não permite essa construção.</t>
  </si>
  <si>
    <t>Quais as vantagens e desvantagens da abordagem de &lt;strong&gt;compilação&lt;/strong&gt;?</t>
  </si>
  <si>
    <t>&lt;strong&gt;Vantagens:&lt;/strong&gt;&lt;br&gt;
&lt;ul&gt;
&lt;li&gt;&lt;strong&gt;Velocidade do Programa:&lt;/strong&gt; Por ser traduzido diretamente para a linguagem de máquina, o código executável atinge a máxima performance possível.&lt;/li&gt;
&lt;li&gt;&lt;strong&gt;Auxílio do Compilador:&lt;/strong&gt; Muitos erros de sintaxe e de tipo são detectados &lt;strong&gt;antes&lt;/strong&gt; da execução, durante o processo de compilação, tornando o código final mais robusto.&lt;/li&gt;
&lt;/ul&gt;
&lt;br&gt;
&lt;strong&gt;Desvantagens:&lt;/strong&gt;&lt;br&gt;
&lt;ul&gt;
&lt;li&gt;&lt;strong&gt;Falta de Portabilidade:&lt;/strong&gt; O arquivo executável gerado é específico para um sistema operacional e arquitetura (um &lt;code&gt;.exe&lt;/code&gt; do Windows não roda no Linux).&lt;/li&gt;
&lt;li&gt;&lt;strong&gt;Ciclo de Desenvolvimento Mais Lento:&lt;/strong&gt; Qualquer pequena alteração no código-fonte exige que o programa seja totalmente recompilado antes de ser testado novamente.&lt;/li&gt;
&lt;/ul&gt;</t>
  </si>
  <si>
    <t>Quais as vantagens e desvantagens da abordagem de &lt;strong&gt;interpretação&lt;/strong&gt;?</t>
  </si>
  <si>
    <t>&lt;strong&gt;Vantagens:&lt;/strong&gt;&lt;br&gt;
&lt;ul&gt;
&lt;li&gt;&lt;strong&gt;Portabilidade:&lt;/strong&gt; O mesmo código-fonte roda em qualquer plataforma que tenha o interpretador correspondente instalado.&lt;/li&gt;
&lt;li&gt;&lt;strong&gt;Flexibilidade e Agilidade:&lt;/strong&gt; O ciclo de "escrever e testar" é instantâneo, pois não há etapa de compilação. Ideal para prototipagem e desenvolvimento rápido.&lt;/li&gt;
&lt;/ul&gt;
&lt;br&gt;
&lt;strong&gt;Desvantagens:&lt;/strong&gt;&lt;br&gt;
&lt;ul&gt;
&lt;li&gt;&lt;strong&gt;Velocidade de Execução:&lt;/strong&gt; Geralmente mais lento que o código compilado, pois cada linha é traduzida em tempo real a cada execução.&lt;/li&gt;
&lt;li&gt;&lt;strong&gt;Erros em Tempo de Execução:&lt;/strong&gt; Erros de sintaxe ou tipo podem passar despercebidos até que a linha específica seja executada, o que pode ser um risco em produção.&lt;/li&gt;
&lt;/ul&gt;</t>
  </si>
  <si>
    <t>O que é uma versão de Java &lt;strong&gt;LTS&lt;/strong&gt;?</t>
  </si>
  <si>
    <t>&lt;strong&gt;LTS&lt;/strong&gt; significa &lt;strong&gt;Long-Term Support&lt;/strong&gt; (Suporte de Longo Prazo).&lt;br&gt;&lt;br&gt;
É uma versão especial do Java que recebe &lt;strong&gt;suporte oficial e atualizações de segurança por um período muito mais longo&lt;/strong&gt; (geralmente vários anos), em comparação com as versões não-LTS, que são lançadas a cada seis meses com novas funcionalidades, mas com um suporte bem mais curto.&lt;br&gt;&lt;br&gt;
&lt;strong&gt;Por que é importante?&lt;/strong&gt;&lt;br&gt;
Empresas e projetos grandes, como os da IBM, preferem usar versões LTS porque elas garantem &lt;strong&gt;estabilidade, segurança e previsibilidade&lt;/strong&gt; para aplicações que precisam rodar por muitos anos sem grandes mudanças.&lt;br&gt;&lt;br&gt;
&lt;strong&gt;Exemplos de versões LTS:&lt;/strong&gt; Java 8, 11, 17, 21.</t>
  </si>
  <si>
    <t xml:space="preserve">O que são &lt;strong&gt;Bibliotecas&lt;/strong&gt; ou &lt;strong&gt;APIs&lt;/strong&gt; em programação?
</t>
  </si>
  <si>
    <t>São coleções de &lt;strong&gt;código pré-escrito e reutilizável&lt;/strong&gt; (classes e métodos) que os programadores podem usar para realizar tarefas comuns sem ter que "reinventar a roda".&lt;br&gt;&lt;br&gt;
&lt;strong&gt;API (Application Programming Interface)&lt;/strong&gt; é a "interface" ou o "cardápio" que a biblioteca oferece, definindo quais funcionalidades estão disponíveis e como usá-las.&lt;br&gt;&lt;br&gt;
&lt;strong&gt;Analogia:&lt;/strong&gt; Uma biblioteca é como a cozinha de um restaurante e a API é o cardápio. Você não precisa saber como o chef prepara o prato (a lógica interna); você apenas escolhe um item do cardápio (chama um método da API) e recebe o resultado pronto.&lt;br&gt;&lt;br&gt;
Em Java, elas são organizadas em &lt;strong&gt;packages&lt;/strong&gt; (ex: &lt;code&gt;java.util&lt;/code&gt;).</t>
  </si>
  <si>
    <t>O que é um &lt;strong&gt;ambiente de execução&lt;/strong&gt; (Runtime Environment)?</t>
  </si>
  <si>
    <t>É o &lt;strong&gt;software fundamental&lt;/strong&gt; que um programa precisa para poder rodar em um computador. Ele atua como uma camada entre o programa e o sistema operacional, fornecendo os recursos necessários para a execução.&lt;br&gt;&lt;br&gt;
No caso do Java, o ambiente de execução é o &lt;strong&gt;JRE (Java Runtime Environment)&lt;/strong&gt;. Seus principais componentes são:&lt;br&gt;
&lt;ul&gt;
&lt;li&gt;A &lt;strong&gt;JVM (Java Virtual Machine)&lt;/strong&gt;, que de fato executa o bytecode.&lt;/li&gt;
&lt;li&gt;As &lt;strong&gt;Bibliotecas Padrão do Java&lt;/strong&gt; (APIs), com funcionalidades essenciais.&lt;/li&gt;
&lt;li&gt;Outros arquivos de configuração.&lt;/li&gt;
&lt;/ul&gt;
&lt;br&gt;
Sem um ambiente de execução, o programa é apenas um arquivo inerte.</t>
  </si>
  <si>
    <t>O que é a edição &lt;strong&gt;Java ME&lt;/strong&gt; e para o que ela é ideal?</t>
  </si>
  <si>
    <t>&lt;strong&gt;ME&lt;/strong&gt; significa &lt;strong&gt;Micro Edition&lt;/strong&gt;.&lt;br&gt;&lt;br&gt;
É uma versão da plataforma Java projetada para dispositivos com &lt;strong&gt;recursos limitados&lt;/strong&gt; de processamento e memória.&lt;br&gt;&lt;br&gt;
&lt;strong&gt;Ideal para:&lt;/strong&gt; Sistemas embarcados, sensores, TVs digitais e aplicações para celulares mais antigos. Hoje em dia, é menos comum para o desenvolvimento de apps de smartphone, que geralmente usam Android (que tem sua própria base em Java) ou iOS.</t>
  </si>
  <si>
    <t>O que é a edição &lt;strong&gt;Java SE&lt;/strong&gt; e para o que ela é ideal?</t>
  </si>
  <si>
    <t>É a &lt;strong&gt;edição principal e o núcleo&lt;/strong&gt; da plataforma Java. Ela contém todas as bibliotecas e APIs fundamentais da linguagem, incluindo a JVM, as estruturas de dados e as ferramentas de rede.&lt;br&gt;&lt;br&gt;
&lt;strong&gt;É a base para todas as outras edições e o que a maioria dos programadores aprende primeiro.&lt;/strong&gt;&lt;br&gt;&lt;br&gt;
&lt;strong&gt;Ideal para:&lt;/strong&gt; Aplicações desktop, servidores de pequeno e médio porte e para o desenvolvimento de qualquer aplicação Java em geral.</t>
  </si>
  <si>
    <t>O que é a edição &lt;strong&gt;Java EE&lt;/strong&gt; e para o que ela é ideal?</t>
  </si>
  <si>
    <t>&lt;strong&gt;EE&lt;/strong&gt; significa &lt;strong&gt;Enterprise Edition&lt;/strong&gt;. (Hoje em dia, a tecnologia evoluiu e é gerenciada pela Eclipse Foundation sob o nome de &lt;strong&gt;Jakarta EE&lt;/strong&gt;).&lt;br&gt;&lt;br&gt;
É uma extensão da Java SE. Ela adiciona um conjunto de especificações e APIs robustas para construir &lt;strong&gt;aplicações corporativas de grande escala&lt;/strong&gt;, distribuídas e baseadas na web.&lt;br&gt;&lt;br&gt;
&lt;strong&gt;Ideal para:&lt;/strong&gt; Sistemas bancários, e-commerce, serviços para grandes empresas (como os que você pode encontrar na IBM), e qualquer aplicação que precise de alta performance, segurança e escalabilidade.</t>
  </si>
  <si>
    <t>O que é a &lt;strong&gt;Compilação JIT (Just-In-Time)&lt;/strong&gt; e qual o seu principal objetivo na JVM?</t>
  </si>
  <si>
    <t>É um &lt;strong&gt;otimizador de performance&lt;/strong&gt; que faz parte da JVM. A sigla JIT significa "Na Hora Certa".&lt;br&gt;&lt;br&gt;
Enquanto o Interpretador da JVM traduz o bytecode linha por linha, o compilador JIT atua de forma mais inteligente:&lt;br&gt;&lt;br&gt;
&lt;strong&gt;Identificação:&lt;/strong&gt; Ele observa o código em execução e identifica os trechos que são executados com mais frequência (chamados de "hotspots").&lt;br&gt;&lt;br&gt;
&lt;strong&gt;Compilação Nativa:&lt;/strong&gt; Quando um trecho de código se torna "quente", o JIT o compila &lt;strong&gt;uma única vez&lt;/strong&gt; para a linguagem de máquina nativa do computador, da mesma forma que um compilador de C++ faria.&lt;br&gt;&lt;br&gt;
&lt;strong&gt;Execução Rápida:&lt;/strong&gt; Nas próximas vezes que aquele trecho de código for chamado, a JVM não precisa mais interpretá-lo; ela executa a versão nativa já compilada, que é muito mais rápida.&lt;br&gt;&lt;br&gt;
&lt;strong&gt;Objetivo Principal:&lt;/strong&gt; Aumentar drasticamente a velocidade de execução de um programa Java, combinando a portabilidade do bytecode com a performance do código nativo.</t>
  </si>
  <si>
    <t>Em arquitetura de software, o que são classes de &lt;strong&gt;Entities&lt;/strong&gt; (Entidades)?</t>
  </si>
  <si>
    <t>São classes que representam os dados fundamentais do seu sistema, os "substantivos" do seu negócio. Elas são um reflexo direto de uma tabela do banco de dados.&lt;br&gt;&lt;br&gt;
&lt;strong&gt;Características Principais:&lt;/strong&gt;
&lt;ul&gt;
&lt;li&gt;Contêm principalmente &lt;strong&gt;atributos (dados)&lt;/strong&gt; e métodos simples para acessar esses dados (getters e setters).&lt;/li&gt;
&lt;li&gt;&lt;strong&gt;Não devem ter lógica de negócio complexa.&lt;/strong&gt; Sua responsabilidade é apenas carregar e guardar os dados.&lt;/li&gt;
&lt;/ul&gt;
&lt;br&gt;
&lt;strong&gt;Analogia:&lt;/strong&gt; Se o seu sistema fosse uma biblioteca, as classes &lt;code&gt;Livro&lt;/code&gt; e &lt;code&gt;Usuario&lt;/code&gt; seriam as suas entidades. Elas representam os "objetos" principais com os quais o sistema trabalha.</t>
  </si>
  <si>
    <t>Em arquitetura de software, o que são classes de &lt;strong&gt;Services&lt;/strong&gt; (Serviços)?</t>
  </si>
  <si>
    <t>São as classes que contêm a lógica de negócio do seu sistema, as "regras" e os "verbos" da sua aplicação. Elas orquestram as operações.&lt;br&gt;&lt;br&gt;
&lt;strong&gt;Características Principais:&lt;/strong&gt;
&lt;ul&gt;
&lt;li&gt;Coordenam o trabalho entre outras camadas (como os Repositories).&lt;/li&gt;
&lt;li&gt;Contêm a lógica principal das funcionalidades do sistema.&lt;/li&gt;
&lt;/ul&gt;
&lt;br&gt;
&lt;strong&gt;Analogia:&lt;/strong&gt; Na biblioteca, um &lt;code&gt;EmprestimoService&lt;/code&gt; seria a classe de serviço. Ela conteria métodos como &lt;code&gt;realizarEmprestimo(livro, usuario)&lt;/code&gt;, que aplicaria as regras de negócio (ex: "o usuário pode pegar este livro?", "o livro está disponível?").</t>
  </si>
  <si>
    <t>Em arquitetura de software, o que são classes de &lt;strong&gt;Repositories&lt;/strong&gt; (Repositórios)?</t>
  </si>
  <si>
    <t>São classes responsáveis por &lt;strong&gt;toda a comunicação com o banco de dados&lt;/strong&gt;. Elas atuam como uma camada de abstração para as operações de persistência de dados (salvar, buscar, deletar, etc.).&lt;br&gt;&lt;br&gt;
&lt;strong&gt;Características Principais:&lt;/strong&gt;
&lt;ul&gt;
&lt;li&gt;Isolam o resto do sistema dos detalhes de como os dados são salvos (SQL, NoSQL, etc.).&lt;/li&gt;
&lt;li&gt;Oferecem métodos claros para manipulação de dados, como &lt;code&gt;salvar(livro)&lt;/code&gt;, &lt;code&gt;buscarPorId(id)&lt;/code&gt;, &lt;code&gt;deletar(livro)&lt;/code&gt;.&lt;/li&gt;
&lt;/ul&gt;
&lt;br&gt;
&lt;strong&gt;Analogia:&lt;/strong&gt; Na biblioteca, um &lt;code&gt;LivroRepository&lt;/code&gt; seria o "bibliotecário". O &lt;code&gt;EmprestimoService&lt;/code&gt; não vai diretamente na prateleira (banco de dados) pegar o livro. Ele pede ao bibliotecário (o Repository) para buscar o livro por ele.</t>
  </si>
  <si>
    <t>Em Java, o que é um &lt;strong&gt;Módulo&lt;/strong&gt;?</t>
  </si>
  <si>
    <t>É uma unidade de organização de alto nível, introduzida no Java 9. Um módulo é uma &lt;strong&gt;coleção de pacotes relacionados&lt;/strong&gt;, empacotados como um único componente.&lt;br&gt;&lt;br&gt;
Sua principal característica é que ele é definido por um arquivo descritor, o &lt;code&gt;module-info.java&lt;/code&gt;, que declara explicitamente:&lt;br&gt;
&lt;ul&gt;
&lt;li&gt;&lt;strong&gt;&lt;code&gt;requires&lt;/code&gt;&lt;/strong&gt;: Quais outros módulos ele precisa para funcionar (suas dependências).&lt;/li&gt;
&lt;li&gt;&lt;strong&gt;&lt;code&gt;exports&lt;/code&gt;&lt;/strong&gt;: Quais de seus pacotes ele torna públicos para outros módulos usarem.&lt;/li&gt;
&lt;/ul&gt;
&lt;br&gt;
&lt;strong&gt;Analogia:&lt;/strong&gt; Se um pacote é uma "gaveta", um módulo é o "armário" inteiro, que pode ser selado e ter apenas algumas gavetas visíveis para o exterior.</t>
  </si>
  <si>
    <t>Qual a principal diferença entre &lt;strong&gt;Módulos&lt;/strong&gt; e &lt;strong&gt;Packages&lt;/strong&gt; em Java?</t>
  </si>
  <si>
    <t>A diferença está no &lt;strong&gt;nível e na força do encapsulamento&lt;/strong&gt; (controle de acesso).&lt;br&gt;&lt;br&gt;
&lt;ul&gt;
&lt;li&gt;
&lt;strong&gt;Packages (Pacotes):&lt;/strong&gt;&lt;br&gt;
Organizam &lt;strong&gt;classes&lt;/strong&gt; em "pastas". Uma classe &lt;code&gt;public&lt;/code&gt; dentro de um pacote é, por padrão, acessível por qualquer outro código no projeto. O encapsulamento é mais fraco.
&lt;/li&gt;
&lt;br&gt;
&lt;li&gt;
&lt;strong&gt;Modules (Módulos):&lt;/strong&gt;&lt;br&gt;
Organizam &lt;strong&gt;pacotes&lt;/strong&gt; em "componentes". Um módulo &lt;strong&gt;esconde todos os seus pacotes por padrão&lt;/strong&gt;. Uma classe &lt;code&gt;public&lt;/code&gt; dentro de um pacote só se torna acessível para outros módulos se aquele pacote for explicitamente listado na cláusula &lt;code&gt;exports&lt;/code&gt; do arquivo &lt;code&gt;module-info.java&lt;/code&gt;. O encapsulamento é muito mais forte.
&lt;/li&gt;
&lt;/ul&gt;
&lt;br&gt;
&lt;strong&gt;Hierarquia:&lt;/strong&gt; Módulo → Pacote → Classe.</t>
  </si>
  <si>
    <t>O que são &lt;strong&gt;expressões aritméticas&lt;/strong&gt; em programação?</t>
  </si>
  <si>
    <t>É uma combinação de &lt;strong&gt;valores&lt;/strong&gt; (números), &lt;strong&gt;variáveis&lt;/strong&gt; e &lt;strong&gt;operadores aritméticos&lt;/strong&gt; que, quando avaliada, resulta em um único valor numérico.&lt;br&gt;&lt;br&gt;
&lt;strong&gt;Exemplo:&lt;/strong&gt; A expressão &lt;code&gt;salario * 0.15&lt;/code&gt; calcula 15% do salário e resulta em um único número.</t>
  </si>
  <si>
    <t>Quais são os 5 &lt;strong&gt;operadores aritméticos&lt;/strong&gt; básicos em Java?</t>
  </si>
  <si>
    <t>&lt;ul&gt;
&lt;li&gt;&lt;code&gt;+&lt;/code&gt; (Adição)&lt;/li&gt;
&lt;li&gt;&lt;code&gt;-&lt;/code&gt; (Subtração)&lt;/li&gt;
&lt;li&gt;&lt;code&gt;*&lt;/code&gt; (Multiplicação)&lt;/li&gt;
&lt;li&gt;&lt;code&gt;/&lt;/code&gt; (Divisão)&lt;/li&gt;
&lt;li&gt;&lt;code&gt;%&lt;/code&gt; (Módulo ou Resto da Divisão)&lt;/li&gt;
&lt;/ul&gt;</t>
  </si>
  <si>
    <t>O que são &lt;strong&gt;regras de precedência&lt;/strong&gt; de operadores?</t>
  </si>
  <si>
    <t>São as regras que definem a &lt;strong&gt;ordem&lt;/strong&gt; em que os operadores são executados em uma expressão complexa, assim como na matemática.&lt;br&gt;&lt;br&gt;Elas garantem que uma expressão como &lt;code&gt;3 + 2 * 4&lt;/code&gt; tenha um resultado previsível e consistente, pois a multiplicação é feita antes da soma.</t>
  </si>
  <si>
    <t>Qual a &lt;strong&gt;ordem de precedência&lt;/strong&gt; dos operadores aritméticos em Java?</t>
  </si>
  <si>
    <t>A ordem é a mesma da matemática:&lt;br&gt;&lt;br&gt;
&lt;strong&gt;Primeiro:&lt;/strong&gt; Multiplicação (&lt;code&gt;*&lt;/code&gt;), Divisão (&lt;code&gt;/&lt;/code&gt;) e Módulo (&lt;code&gt;%&lt;/code&gt;).&lt;br&gt;
&lt;strong&gt;Depois:&lt;/strong&gt; Adição (&lt;code&gt;+&lt;/code&gt;) e Subtração (&lt;code&gt;-&lt;/code&gt;).&lt;br&gt;&lt;br&gt;
Se houver operadores com a mesma precedência na expressão, eles são avaliados da &lt;strong&gt;esquerda para a direita&lt;/strong&gt;.&lt;br&gt;&lt;br&gt;
&lt;strong&gt;Prioridade Máxima:&lt;/strong&gt; Parênteses &lt;code&gt;()&lt;/code&gt;. Qualquer expressão dentro de parênteses é avaliada primeiro.</t>
  </si>
  <si>
    <t>Qual o resultado da operação &lt;code&gt;3 + 2 * 4&lt;/code&gt;?</t>
  </si>
  <si>
    <t>Verso (Resposta):
O resultado é &lt;strong&gt;11&lt;/strong&gt;.&lt;br&gt;&lt;br&gt;
&lt;strong&gt;Passo a passo:&lt;/strong&gt;&lt;br&gt;
A multiplicação (&lt;code&gt;*&lt;/code&gt;) tem maior precedência: &lt;code&gt;2 * 4 = 8&lt;/code&gt;.&lt;br&gt;
Em seguida, a adição (&lt;code&gt;+&lt;/code&gt;): &lt;code&gt;3 + 8 = 11&lt;/code&gt;.</t>
  </si>
  <si>
    <t>Qual o resultado da operação &lt;code&gt;(3 + 2) * 4&lt;/code&gt;?</t>
  </si>
  <si>
    <t>O resultado é &lt;strong&gt;20&lt;/strong&gt;.&lt;br&gt;&lt;br&gt;
&lt;strong&gt;Passo a passo:&lt;/strong&gt;&lt;br&gt;
1.Os parênteses &lt;code&gt;()&lt;/code&gt; têm a maior precedência: &lt;code&gt;(3 + 2) = 5&lt;/code&gt;.&lt;br&gt;
2.Em seguida, a multiplicação (&lt;code&gt;*&lt;/code&gt;): &lt;code&gt;5 * 4 = 20&lt;/code&gt;.</t>
  </si>
  <si>
    <t>Qual a diferença entre &lt;strong&gt;&lt;code&gt;System.out.print()&lt;/code&gt;&lt;/strong&gt; e &lt;strong&gt;&lt;code&gt;System.out.println()&lt;/code&gt;&lt;/strong&gt;?</t>
  </si>
  <si>
    <t>Ambos imprimem texto no console, mas a diferença está na &lt;strong&gt;quebra de linha&lt;/strong&gt;.&lt;br&gt;&lt;br&gt;
&lt;ul&gt;
&lt;li&gt;&lt;strong&gt;&lt;code&gt;print()&lt;/code&gt;&lt;/strong&gt;: Imprime o texto e o cursor permanece &lt;strong&gt;na mesma linha&lt;/strong&gt;, esperando pela próxima impressão.&lt;/li&gt;
&lt;br&gt;
&lt;li&gt;&lt;strong&gt;&lt;code&gt;println()&lt;/code&gt;&lt;/strong&gt;: (&lt;em&gt;print line&lt;/em&gt;) Imprime o texto e, ao final, move o cursor para o &lt;strong&gt;início da próxima linha&lt;/strong&gt;.&lt;/li&gt;
&lt;/ul&gt;
&lt;br&gt;
&lt;strong&gt;Exemplo:&lt;/strong&gt;&lt;br&gt;
&lt;code&gt;System.out.print("Olá ");&lt;/code&gt;&lt;br&gt;
&lt;code&gt;System.out.print("Mundo!");&lt;/code&gt;&lt;br&gt;
&lt;strong&gt;Saída:&lt;/strong&gt; &lt;code&gt;Olá Mundo!&lt;/code&gt;&lt;br&gt;&lt;br&gt;
&lt;code&gt;System.out.println("Olá ");&lt;/code&gt;&lt;br&gt;
&lt;code&gt;System.out.println("Mundo!");&lt;/code&gt;&lt;br&gt;
&lt;strong&gt;Saída:&lt;/strong&gt;&lt;br&gt;
&lt;code&gt;Olá &lt;/code&gt;&lt;br&gt;
&lt;code&gt;Mundo!&lt;/code&gt;</t>
  </si>
  <si>
    <t>Para que serve o &lt;strong&gt;&lt;code&gt;System.out.printf()&lt;/code&gt;&lt;/strong&gt; e qual sua sintaxe básica?</t>
  </si>
  <si>
    <t>Serve para imprimir uma &lt;strong&gt;String formatada&lt;/strong&gt; no console. O "f" vem de "formatado".&lt;br&gt;&lt;br&gt;
Ele permite criar um "template" de texto com &lt;strong&gt;placeholders&lt;/strong&gt; (marcadores de lugar, como &lt;code&gt;%s&lt;/code&gt; ou &lt;code&gt;%d&lt;/code&gt;), que são substituídos pelos valores das variáveis na ordem em que são passadas.&lt;br&gt;&lt;br&gt;
&lt;strong&gt;Sintaxe:&lt;/strong&gt;&lt;br&gt;
&lt;code&gt;System.out.printf("template_com_%placeholders", variavel1, variavel2);&lt;/code&gt;&lt;br&gt;&lt;br&gt;
&lt;strong&gt;Exemplo:&lt;/strong&gt;&lt;br&gt;
&lt;code&gt;System.out.printf("Nome: %s, Idade: %d", "Gustavo", 27);&lt;/code&gt;</t>
  </si>
  <si>
    <t>Qual o padrão de formatação do &lt;strong&gt;&lt;code&gt;System.out.printf()&lt;/code&gt;&lt;/strong&gt; para exibir um número com &lt;strong&gt;duas casas decimais&lt;/strong&gt;?</t>
  </si>
  <si>
    <t>O padrão é &lt;strong&gt;&lt;code&gt;%.2f&lt;/code&gt;&lt;/strong&gt;.&lt;br&gt;&lt;br&gt;
&lt;strong&gt;Análise:&lt;/strong&gt;&lt;br&gt;
&lt;ul&gt;
&lt;li&gt;&lt;strong&gt;&lt;code&gt;%f&lt;/code&gt;&lt;/strong&gt;: Indica que o valor é um número de ponto flutuante.&lt;/li&gt;
&lt;li&gt;&lt;strong&gt;&lt;code&gt;.2&lt;/code&gt;&lt;/strong&gt;: É a instrução que especifica que o número deve ser formatado com exatamente &lt;strong&gt;2 casas decimais&lt;/strong&gt; (arredondando ou adicionando zeros, se necessário).&lt;/li&gt;
&lt;/ul&gt;
&lt;br&gt;
&lt;strong&gt;Exemplo:&lt;/strong&gt;&lt;br&gt;
&lt;code&gt;double preco = 4.5;&lt;/code&gt;&lt;br&gt;
&lt;code&gt;System.out.printf("Preço: R$ %.2f", preco);&lt;/code&gt;&lt;br&gt;
&lt;strong&gt;Saída:&lt;/strong&gt; &lt;code&gt;Preço: R$ 4,50&lt;/code&gt;</t>
  </si>
  <si>
    <t>Para que serve o &lt;strong&gt;&lt;code&gt;Locale.setDefault()&lt;/code&gt;&lt;/strong&gt; e qual sua relação com o caractere delimitador de casas decimais?</t>
  </si>
  <si>
    <t>Serve para definir a &lt;strong&gt;localização (região)&lt;/strong&gt; padrão para todo o programa. Isso afeta como o Java formata números, moedas e datas.&lt;br&gt;&lt;br&gt;
Sua principal relação com as casas decimais é que ele define o &lt;strong&gt;separador&lt;/strong&gt; padrão:&lt;br&gt;&lt;br&gt;
&lt;ul&gt;
&lt;li&gt;&lt;strong&gt;&lt;code&gt;Locale.US&lt;/code&gt;&lt;/strong&gt; (padrão em muitas JVMs): Usa o &lt;strong&gt;ponto&lt;/strong&gt; (&lt;code&gt;.&lt;/code&gt;) como separador. Ex: &lt;code&gt;1234.56&lt;/code&gt;.&lt;/li&gt;
&lt;li&gt;&lt;strong&gt;&lt;code&gt;Locale("pt", "BR")&lt;/code&gt;&lt;/strong&gt;: Usa a &lt;strong&gt;vírgula&lt;/strong&gt; (&lt;code&gt;,&lt;/code&gt;) como separador, conforme o padrão brasileiro. Ex: &lt;code&gt;1234,56&lt;/code&gt;.&lt;/li&gt;
&lt;/ul&gt;
&lt;br&gt;
&lt;strong&gt;Como usar:&lt;/strong&gt;&lt;br&gt;
&lt;code&gt;import java.util.Locale;&lt;/code&gt;&lt;br&gt;
&lt;code&gt;Locale.setDefault(Locale.US);&lt;/code&gt;</t>
  </si>
  <si>
    <t>No &lt;code&gt;printf&lt;/code&gt;, o que é um &lt;strong&gt;placeholder&lt;/strong&gt; e quais são os principais para diferentes tipos de dados?</t>
  </si>
  <si>
    <t>Um &lt;strong&gt;placeholder&lt;/strong&gt; é um código especial que começa com &lt;code&gt;%&lt;/code&gt; e serve como um "marcador de lugar" no template de texto, indicando onde o valor de uma variável deve ser inserido.&lt;br&gt;&lt;br&gt;
&lt;strong&gt;Principais placeholders:&lt;/strong&gt;&lt;br&gt;
&lt;ul&gt;
&lt;li&gt;&lt;strong&gt;&lt;code&gt;%s&lt;/code&gt;&lt;/strong&gt;: para &lt;strong&gt;S&lt;/strong&gt;trings (textos).&lt;/li&gt;
&lt;li&gt;&lt;strong&gt;&lt;code&gt;%d&lt;/code&gt;&lt;/strong&gt;: para números inteiros &lt;strong&gt;d&lt;/strong&gt;ecimais (&lt;code&gt;int&lt;/code&gt;, &lt;code&gt;long&lt;/code&gt;, etc.).&lt;/li&gt;
&lt;li&gt;&lt;strong&gt;&lt;code&gt;%f&lt;/code&gt;&lt;/strong&gt;: para números de ponto &lt;strong&gt;f&lt;/strong&gt;lutuante (&lt;code&gt;float&lt;/code&gt;, &lt;code&gt;double&lt;/code&gt;).&lt;/li&gt;
&lt;li&gt;&lt;strong&gt;&lt;code&gt;%c&lt;/code&gt;&lt;/strong&gt;: para um único &lt;strong&gt;c&lt;/strong&gt;aractere (&lt;code&gt;char&lt;/code&gt;).&lt;/li&gt;
&lt;li&gt;&lt;strong&gt;&lt;code&gt;%n&lt;/code&gt;&lt;/strong&gt;: para uma quebra de linha (&lt;strong&gt;n&lt;/strong&gt;ew line), que funciona em qualquer sistema operacional.&lt;/li&gt;
&lt;/ul&gt;</t>
  </si>
  <si>
    <t>Como um programador experiente 'lê' o símbolo &lt;strong&gt;=&lt;/strong&gt; na linha de código abaixo?&lt;br&gt;&lt;br&gt;
&lt;code&gt;int idade = 27;&lt;/code&gt;</t>
  </si>
  <si>
    <t>"A variável &lt;code&gt;idade&lt;/code&gt; &lt;strong&gt;recebe&lt;/strong&gt; o valor &lt;code&gt;27&lt;/code&gt;."&lt;br&gt;&lt;br&gt;
&lt;strong&gt;Por quê?&lt;/strong&gt;&lt;br&gt;
Em programação, é crucial diferenciar os operadores:&lt;br&gt;
&lt;ul&gt;
&lt;li&gt;&lt;strong&gt;&lt;code&gt;=&lt;/code&gt; (Atribuição):&lt;/strong&gt; É uma &lt;strong&gt;ordem&lt;/strong&gt;. Significa "guarde o valor da direita na variável da esquerda". Ler como "recebe" reforça essa ideia de ação.&lt;/li&gt;
&lt;br&gt;
&lt;li&gt;&lt;strong&gt;&lt;code&gt;==&lt;/code&gt; (Comparação):&lt;/strong&gt; É uma &lt;strong&gt;pergunta&lt;/strong&gt;. Significa "o valor da esquerda é igual ao da direita?".&lt;/li&gt;
&lt;/ul&gt;
&lt;br&gt;
Ler &lt;code&gt;=&lt;/code&gt; como "recebe" ajuda a evitar um dos bugs mais comuns de iniciantes: usar &lt;code&gt;=&lt;/code&gt; em um &lt;code&gt;if&lt;/code&gt; quando na verdade se queria usar &lt;code&gt;==&lt;/code&gt;.</t>
  </si>
  <si>
    <t>O que quer dizer a expressão "&lt;strong&gt;Iniciar uma variável&lt;/strong&gt;" em programação?</t>
  </si>
  <si>
    <t>"Iniciar" (ou &lt;strong&gt;inicializar&lt;/strong&gt;) uma variável significa &lt;strong&gt;atribuir a ela o seu primeiro valor&lt;/strong&gt;. É o ato de dar um valor inicial a uma variável no momento em que ela é criada ou logo depois.&lt;br&gt;&lt;br&gt;
O processo completo pode ser visto em duas etapas distintas:&lt;br&gt;
&lt;ol&gt;
&lt;li&gt;&lt;strong&gt;Declaração:&lt;/strong&gt; É quando você "cria a caixa", definindo seu tipo e nome. Neste momento, a caixa ainda está "vazia".&lt;br&gt;
&lt;code&gt;int idade;&lt;/code&gt;&lt;/li&gt;
&lt;br&gt;
&lt;li&gt;&lt;strong&gt;Inicialização:&lt;/strong&gt; É quando você coloca o primeiro valor dentro da caixa.&lt;br&gt;
&lt;code&gt;idade = 45;&lt;/code&gt;&lt;/li&gt;
&lt;/ol&gt;
&lt;br&gt;
É muito comum fazer a declaração e a inicialização na mesma linha, como no exemplo "Iniciar uma variável do tipo inteiro com valor 45":&lt;br&gt;
&lt;code&gt;int idade = 45;&lt;/code&gt;</t>
  </si>
  <si>
    <t>O que é &lt;strong&gt;Casting&lt;/strong&gt; de tipos primitivos (ou &lt;em&gt;Narrowing Primitive Conversion&lt;/em&gt;)?</t>
  </si>
  <si>
    <t>É a conversão &lt;strong&gt;manual e forçada&lt;/strong&gt; de um tipo de dado primitivo para um tipo "menor" (com menor capacidade), onde há risco de perda de dados.&lt;br&gt;&lt;br&gt;
O Java não permite essa conversão automaticamente por segurança. O &lt;strong&gt;casting&lt;/strong&gt; é o programador dizendo ao compilador: "Eu sei que dados podem ser perdidos, mas eu assumo o risco e forço a conversão."&lt;br&gt;&lt;br&gt;
Para números, a conversão de &lt;code&gt;double&lt;/code&gt;/&lt;code&gt;float&lt;/code&gt; para &lt;code&gt;int&lt;/code&gt;/&lt;code&gt;long&lt;/code&gt; &lt;strong&gt;trunca&lt;/strong&gt; o valor (corta a parte decimal, não arredonda).&lt;br&gt;&lt;br&gt;
&lt;strong&gt;Sintaxe:&lt;/strong&gt;&lt;br&gt;
&lt;code&gt;double preco = 99.99;&lt;/code&gt;&lt;br&gt;
&lt;code&gt;int precoInteiro = (int) preco; // 'precoInteiro' agora vale 99&lt;/code&gt;</t>
  </si>
  <si>
    <t>A &lt;strong&gt;&lt;code&gt;String&lt;/code&gt;&lt;/strong&gt; é um tipo primitivo em Java?</t>
  </si>
  <si>
    <t>&lt;strong&gt;Não&lt;/strong&gt;. A &lt;code&gt;String&lt;/code&gt; em Java é um &lt;strong&gt;Objeto&lt;/strong&gt;, uma instância da classe &lt;code&gt;String&lt;/code&gt;.&lt;br&gt;&lt;br&gt;
A principal dica para lembrar disso é a convenção de nomenclatura:&lt;br&gt;
&lt;ul&gt;
&lt;li&gt;Tipos primitivos são escritos com letras minúsculas (&lt;code&gt;int&lt;/code&gt;, &lt;code&gt;double&lt;/code&gt;, &lt;code&gt;char&lt;/code&gt;).&lt;/li&gt;
&lt;li&gt;&lt;code&gt;String&lt;/code&gt; começa com "S" maiúsculo, seguindo a convenção &lt;code&gt;UpperCamelCase&lt;/code&gt; para nomes de Classes.&lt;/li&gt;
&lt;/ul&gt;
&lt;br&gt;
Por ser um objeto, uma &lt;code&gt;String&lt;/code&gt; possui métodos que podem ser chamados (ex: &lt;code&gt;.length()&lt;/code&gt;, &lt;code&gt;.equals()&lt;/code&gt;), algo que os tipos primitivos não têm.&lt;br&gt;&lt;br&gt;
&lt;strong&gt;Sintaxe:&lt;/strong&gt; &lt;code&gt;String nome = "Maria";&lt;/code&gt;</t>
  </si>
  <si>
    <t>Qual a regra que o Java segue ao avaliar uma expressão com o operador &lt;strong&gt;&lt;code&gt;+&lt;/code&gt;&lt;/strong&gt; que mistura números e &lt;code&gt;String&lt;/code&gt;s?</t>
  </si>
  <si>
    <t>O Java avalia a expressão da &lt;strong&gt;esquerda para a direita&lt;/strong&gt;. O operador &lt;code&gt;+&lt;/code&gt; funcionará como &lt;strong&gt;adição matemática&lt;/strong&gt; até encontrar a primeira &lt;code&gt;String&lt;/code&gt;. A partir desse ponto, ele passa a funcionar &lt;strong&gt;exclusivamente como concatenação&lt;/strong&gt; (junção de texto) para o resto da expressão.&lt;br&gt;&lt;br&gt;
&lt;strong&gt;Exemplo 1:&lt;/strong&gt; &lt;code&gt;System.out.println(10 + 20 + "Soma");&lt;/code&gt;
&lt;ol&gt;
&lt;li&gt;&lt;code&gt;10 + 20&lt;/code&gt; é avaliado primeiro (adição) → &lt;code&gt;30&lt;/code&gt;&lt;/li&gt;
&lt;li&gt;&lt;code&gt;30 + "Soma"&lt;/code&gt; é avaliado em seguida (concatenação) → &lt;code&gt;"30Soma"&lt;/code&gt;&lt;/li&gt;
&lt;/ol&gt;
&lt;strong&gt;Resultado:&lt;/strong&gt; &lt;code&gt;30Soma&lt;/code&gt;&lt;br&gt;&lt;br&gt;
&lt;strong&gt;Exemplo 2:&lt;/strong&gt; &lt;code&gt;System.out.println("Soma" + 10 + 20);&lt;/code&gt;
&lt;ol&gt;
&lt;li&gt;&lt;code&gt;"Soma" + 10&lt;/code&gt; é avaliado primeiro (concatenação, pois já começou com String) → &lt;code&gt;"Soma10"&lt;/code&gt;&lt;/li&gt;
&lt;li&gt;&lt;code&gt;"Soma10" + 20&lt;/code&gt; é avaliado em seguida (concatenação) → &lt;code&gt;"Soma1020"&lt;/code&gt;&lt;/li&gt;
&lt;/ol&gt;
&lt;strong&gt;Resultado:&lt;/strong&gt; &lt;code&gt;Soma1020&lt;/code&gt;</t>
  </si>
  <si>
    <t>Qual o resultado da operação abaixo e por quê?&lt;br&gt;&lt;br&gt;
&lt;code&gt;int resultado = 2 / 4;&lt;/code&gt;</t>
  </si>
  <si>
    <t>O resultado é &lt;strong&gt;0&lt;/strong&gt;.&lt;br&gt;&lt;br&gt;
&lt;strong&gt;Por quê?&lt;/strong&gt;&lt;br&gt;
Quando o Java divide dois números inteiros (&lt;code&gt;int&lt;/code&gt;), ele realiza uma &lt;strong&gt;divisão inteira&lt;/strong&gt;. O resultado também será um inteiro.&lt;br&gt;&lt;br&gt;
O processo não é de arredondamento, mas sim de &lt;strong&gt;truncamento&lt;/strong&gt;: o Java simplesmente "corta" e descarta toda a parte decimal do resultado.&lt;br&gt;
&lt;code&gt;2 / 4 = 0.5&lt;/code&gt; → a parte &lt;code&gt;.5&lt;/code&gt; é descartada → o resultado é &lt;code&gt;0&lt;/code&gt;.&lt;br&gt;&lt;br&gt;
&lt;strong&gt;Como obter o resultado correto (0.5)?&lt;/strong&gt;&lt;br&gt;
Para forçar uma divisão de ponto flutuante, pelo menos um dos números na operação deve ser um &lt;code&gt;double&lt;/code&gt; (ou &lt;code&gt;float&lt;/code&gt;).&lt;br&gt;&lt;br&gt;
&lt;code&gt;double resultadoCorreto = 2.0 / 4; // Agora o resultado é 0.5&lt;/code&gt;</t>
  </si>
  <si>
    <t>O que é &lt;strong&gt;truncar&lt;/strong&gt; um número em Java e qual a diferença para o &lt;strong&gt;arredondamento&lt;/strong&gt;?</t>
  </si>
  <si>
    <t>&lt;strong&gt;Truncar&lt;/strong&gt; significa literalmente &lt;strong&gt;"cortar"&lt;/strong&gt; a parte decimal de um número, descartando-a completamente, sem nenhuma análise do seu valor.&lt;br&gt;&lt;br&gt;
O &lt;strong&gt;arredondamento&lt;/strong&gt;, por outro lado, analisa a parte decimal para decidir se o número inteiro deve ser mantido ou incrementado.&lt;br&gt;&lt;br&gt;
&lt;strong&gt;Exemplo com o valor &lt;code&gt;7.9&lt;/code&gt;:&lt;/strong&gt;
&lt;ul&gt;
&lt;li&gt;&lt;strong&gt;Truncado:&lt;/strong&gt; O &lt;code&gt;.9&lt;/code&gt; é cortado fora → o resultado é &lt;strong&gt;&lt;code&gt;7&lt;/code&gt;&lt;/strong&gt;.&lt;/li&gt;
&lt;li&gt;&lt;strong&gt;Arredondado:&lt;/strong&gt; O &lt;code&gt;.9&lt;/code&gt; é analisado → o resultado é &lt;strong&gt;&lt;code&gt;8&lt;/code&gt;&lt;/strong&gt;.&lt;/li&gt;
&lt;/ul&gt;
&lt;br&gt;
Em Java, o truncamento é a operação padrão em duas situações comuns:&lt;br&gt;
Na &lt;strong&gt;divisão entre inteiros&lt;/strong&gt; (&lt;code&gt;7 / 2&lt;/code&gt; resulta em &lt;code&gt;3&lt;/code&gt;).&lt;br&gt;
No &lt;strong&gt;casting&lt;/strong&gt; de um &lt;code&gt;double&lt;/code&gt; ou &lt;code&gt;float&lt;/code&gt; para um tipo inteiro (&lt;code&gt;(int) 7.9&lt;/code&gt; resulta em &lt;code&gt;7&lt;/code&gt;).</t>
  </si>
  <si>
    <t>Qual a diferença entre os operadores lógicos &lt;strong&gt;&lt;code&gt;&amp;&amp;&lt;/code&gt; (E)&lt;/strong&gt; e &lt;strong&gt;&lt;code&gt;||&lt;/code&gt; (OU)&lt;/strong&gt;?</t>
  </si>
  <si>
    <t>A diferença está em quão rigorosa é a condição para o resultado ser &lt;code&gt;true&lt;/code&gt;.&lt;br&gt;&lt;br&gt;
&lt;ul&gt;
&lt;li&gt;
&lt;strong&gt;&lt;code&gt;&amp;&amp;&lt;/code&gt; (E / AND):&lt;/strong&gt; É o "porteiro exigente". Retorna &lt;code&gt;true&lt;/code&gt; apenas se &lt;strong&gt;AMBAS&lt;/strong&gt; as condições forem verdadeiras.
&lt;/li&gt;
&lt;br&gt;
&lt;li&gt;
&lt;strong&gt;&lt;code&gt;||&lt;/code&gt; (OU / OR):&lt;/strong&gt; É o "vendedor flexível". Retorna &lt;code&gt;true&lt;/code&gt; se &lt;strong&gt;PELO MENOS UMA&lt;/strong&gt; das condições for verdadeira.
&lt;/li&gt;
&lt;/ul&gt;</t>
  </si>
  <si>
    <t>Para que serve o operador lógico &lt;strong&gt;&lt;code&gt;!&lt;/code&gt; (NÃO / NOT)&lt;/strong&gt;?</t>
  </si>
  <si>
    <t>O operador &lt;code&gt;!&lt;/code&gt; serve para &lt;strong&gt;inverter um valor booleano&lt;/strong&gt;. O que era &lt;code&gt;true&lt;/code&gt; se torna &lt;code&gt;false&lt;/code&gt;, e o que era &lt;code&gt;false&lt;/code&gt; se torna &lt;code&gt;true&lt;/code&gt;.&lt;br&gt;&lt;br&gt;
Ele não age diretamente sobre números, mas sim sobre o &lt;strong&gt;resultado&lt;/strong&gt; de uma expressão que seja &lt;code&gt;true&lt;/code&gt; ou &lt;code&gt;false&lt;/code&gt;.&lt;br&gt;&lt;br&gt;
&lt;strong&gt;Exemplo:&lt;/strong&gt;&lt;br&gt;
A expressão &lt;code&gt;10 == 10&lt;/code&gt; resulta em &lt;code&gt;true&lt;/code&gt;.&lt;br&gt;
A expressão &lt;code&gt;!(10 == 10)&lt;/code&gt; resulta em &lt;strong&gt;&lt;code&gt;false&lt;/code&gt;&lt;/strong&gt;.</t>
  </si>
  <si>
    <t>O que faz a expressão &lt;strong&gt;&lt;code&gt;iterador++&lt;/code&gt;&lt;/strong&gt; dentro de um loop e por que ela é tão importante?</t>
  </si>
  <si>
    <t>É o &lt;strong&gt;operador de incremento&lt;/strong&gt;. Sua função é adicionar &lt;code&gt;1&lt;/code&gt; ao valor da variável a cada repetição.
Ele &lt;strong&gt;atualiza&lt;/strong&gt; o iterador, garantindo que o loop &lt;strong&gt;progrida&lt;/strong&gt; em direção à sua condição de parada.
&lt;strong&gt;Por que é crucial?&lt;/strong&gt;
Sem o incremento, a variável de controle do loop nunca mudaria, a condição de parada nunca seria alcançada e o programa entraria em um &lt;strong&gt;loop infinito&lt;/strong&gt;.
&lt;strong&gt;Exemplo (&lt;code&gt;for&lt;/code&gt;):&lt;/strong&gt;
Na sintaxe &lt;code&gt;for (int i = 0; i &lt; 10; i++)&lt;/code&gt;, o &lt;code&gt;i++&lt;/code&gt; é a parte que faz o &lt;code&gt;i&lt;/code&gt; avançar, garantindo que o loop pare na décima iteração.</t>
  </si>
  <si>
    <t>Qual a diferença entre &lt;strong&gt;&lt;code&gt;i++&lt;/code&gt; (pós-incremento)&lt;/strong&gt; e &lt;strong&gt;&lt;code&gt;++i&lt;/code&gt; (pré-incremento)&lt;/strong&gt; em Java?</t>
  </si>
  <si>
    <t>Ambos adicionam 1 à variável &lt;code&gt;i&lt;/code&gt;, mas a diferença está na &lt;strong&gt;ordem da operação&lt;/strong&gt; quando usados dentro de outra expressão:
&lt;ul&gt;
&lt;li&gt;
&lt;strong&gt;&lt;code&gt;i++&lt;/code&gt; (Pós-incremento):&lt;/strong&gt; Primeiro, o valor &lt;strong&gt;ATUAL&lt;/strong&gt; de &lt;code&gt;i&lt;/code&gt; é usado na expressão, e &lt;strong&gt;DEPOIS&lt;/strong&gt; o &lt;code&gt;i&lt;/code&gt; é incrementado.
&lt;/li&gt;
&lt;br&gt;
&lt;li&gt;
&lt;strong&gt;&lt;code&gt;++i&lt;/code&gt; (Pré-incremento):&lt;/strong&gt; Primeiro, o &lt;code&gt;i&lt;/code&gt; é &lt;strong&gt;INCREMENTADO&lt;/strong&gt;, e &lt;strong&gt;DEPOIS&lt;/strong&gt; o seu &lt;strong&gt;NOVO&lt;/strong&gt; valor é usado na expressão.
&lt;/li&gt;
&lt;/ul&gt;
&lt;br&gt;
&lt;strong&gt;Exemplo prático:&lt;/strong&gt;&lt;br&gt;
&lt;code&gt;int i = 5;&lt;/code&gt;&lt;br&gt;
&lt;code&gt;System.out.println(i++); // Saída: 5 (depois, i vira 6)&lt;/code&gt;&lt;br&gt;&lt;br&gt;
&lt;code&gt;int j = 5;&lt;/code&gt;&lt;br&gt;
&lt;code&gt;System.out.println(++j); // Saída: 6 (j vira 6 antes de ser usado)&lt;/code&gt;&lt;br&gt;&lt;br&gt;
&lt;strong&gt;Observação em Loops:&lt;/strong&gt;&lt;br&gt;
Na parte de incremento de um loop &lt;code&gt;for&lt;/code&gt; (&lt;code&gt;for (int i=0; i &lt; 5; i++)&lt;/code&gt;), a operação é isolada. Portanto, usar &lt;code&gt;i++&lt;/code&gt; ou &lt;code&gt;++i&lt;/code&gt; &lt;strong&gt;não faz diferença funcional&lt;/strong&gt;. O uso de &lt;code&gt;i++&lt;/code&gt; é a convenção padrão.</t>
  </si>
  <si>
    <t>Qual será a saída do código abaixo e por quê?
&lt;code&gt;boolean cor = false;&lt;/code&gt;
&lt;code&gt;if (cor = true) {&lt;/code&gt;
&lt;code&gt;    System.out.println("Amarelo");&lt;/code&gt;
&lt;code&gt;} else {&lt;/code&gt;
&lt;code&gt;    System.out.println("Vermelho");&lt;/code&gt;
&lt;code&gt;}&lt;/code&gt;</t>
  </si>
  <si>
    <t>A saída será &lt;strong&gt;"Amarelo"&lt;/strong&gt;.
&lt;strong&gt;Por quê?&lt;/strong&gt;
O erro está em usar o operador de &lt;strong&gt;atribuição&lt;/strong&gt; (&lt;code&gt;=&lt;/code&gt;) em vez do de &lt;strong&gt;comparação&lt;/strong&gt; (&lt;code&gt;==&lt;/code&gt;).
A expressão &lt;code&gt;(cor = true)&lt;/code&gt; primeiro &lt;strong&gt;atribui&lt;/strong&gt; o valor &lt;code&gt;true&lt;/code&gt; à variável &lt;code&gt;cor&lt;/code&gt;, e o resultado dessa atribuição é o próprio valor &lt;code&gt;true&lt;/code&gt;, que é então usado na condição do &lt;code&gt;if&lt;/code&gt;. Por isso, o primeiro bloco é sempre executado.</t>
  </si>
  <si>
    <t>Qual o atalho no &lt;strong&gt;Eclipse&lt;/strong&gt; para &lt;strong&gt;duplicar&lt;/strong&gt; a linha atual (ou as linhas selecionadas)?</t>
  </si>
  <si>
    <t>O atalho principal é &lt;strong&gt;&lt;code&gt;Ctrl + Alt + Seta para Baixo&lt;/code&gt;&lt;/strong&gt;.
Este comando copia a linha atual e a cola imediatamente abaixo.
&lt;strong&gt;Dica extra:&lt;/strong&gt;
Para duplicar a linha para &lt;strong&gt;cima&lt;/strong&gt;, o atalho é &lt;strong&gt;&lt;code&gt;Ctrl + Alt + Seta para Cima&lt;/code&gt;&lt;/strong&gt;.</t>
  </si>
  <si>
    <t>O que significa &lt;strong&gt;inicializar uma variável&lt;/strong&gt; e por que o Java exige isso para variáveis locais antes de serem usadas?</t>
  </si>
  <si>
    <t>&lt;strong&gt;Inicializar&lt;/strong&gt; uma variável é o ato de atribuir a ela o seu &lt;strong&gt;primeiro valor&lt;/strong&gt;. É diferente de &lt;strong&gt;declarar&lt;/strong&gt;, que é apenas "criar a caixa".
&lt;code&gt;double salario; // Declarada, mas não inicializada&lt;/code&gt;
&lt;code&gt;double salario = 0.0; // Declarada E inicializada&lt;/code&gt;
&lt;strong&gt;Por que é obrigatório?&lt;/strong&gt;
É um mecanismo de &lt;strong&gt;segurança&lt;/strong&gt; do compilador. Ele precisa ter &lt;strong&gt;100% de certeza&lt;/strong&gt; de que uma variável local receberá um valor em &lt;strong&gt;todos os caminhos possíveis&lt;/strong&gt; do código antes de ser lida. Se houver uma estrutura &lt;code&gt;if-else if&lt;/code&gt; sem um &lt;code&gt;else&lt;/code&gt; final, por exemplo, existe um caminho teórico onde a variável pode não ser inicializada. Para prevenir o erro de tentar usar uma variável "vazia", o compilador te força a garantir que isso nunca aconteça.</t>
  </si>
  <si>
    <t>Quais são os tipos de dados compatíveis com a instrução &lt;strong&gt;&lt;code&gt;switch&lt;/code&gt;&lt;/strong&gt; em Java?</t>
  </si>
  <si>
    <t>O &lt;code&gt;switch&lt;/code&gt; só funciona com tipos que permitem uma comparação de &lt;strong&gt;igualdade exata&lt;/strong&gt;. Os tipos compatíveis são:
&lt;ul&gt;
&lt;li&gt;&lt;strong&gt;Tipos Inteiros Primitivos:&lt;/strong&gt; &lt;code&gt;byte&lt;/code&gt;, &lt;code&gt;short&lt;/code&gt;, &lt;code&gt;char&lt;/code&gt;, e &lt;code&gt;int&lt;/code&gt;.&lt;/li&gt;
&lt;li&gt;&lt;strong&gt;Tipos Especiais (Objetos):&lt;/strong&gt; &lt;code&gt;String&lt;/code&gt; (a partir do Java 7) e &lt;code&gt;Enum&lt;/code&gt;.&lt;/li&gt;
&lt;/ul&gt;
&lt;br&gt;
&lt;strong&gt;Importante:&lt;/strong&gt; Tipos como &lt;code&gt;long&lt;/code&gt;, &lt;code&gt;float&lt;/code&gt;, &lt;code&gt;double&lt;/code&gt; e &lt;code&gt;boolean&lt;/code&gt; &lt;strong&gt;não são permitidos&lt;/strong&gt;. Para eles, a estrutura &lt;code&gt;if-else if&lt;/code&gt; deve ser usada.</t>
  </si>
  <si>
    <t>No contexto do método &lt;strong&gt;&lt;code&gt;switch&lt;/code&gt;&lt;/strong&gt;, o que é o recurso &lt;strong&gt;"fall-through"&lt;/strong&gt; (queda livre)?</t>
  </si>
  <si>
    <t>É o comportamento padrão do &lt;code&gt;switch&lt;/code&gt; que acontece quando um &lt;code&gt;case&lt;/code&gt; &lt;strong&gt;não&lt;/strong&gt; termina com um &lt;code&gt;break;&lt;/code&gt;.
Quando um &lt;code&gt;case&lt;/code&gt; corresponde ao valor, o Java executa o código e "cai" (&lt;em&gt;falls through&lt;/em&gt;), continuando a executar o código dos &lt;code&gt;case&lt;/code&gt;s seguintes, &lt;strong&gt;sem testar suas condições&lt;/strong&gt;, até encontrar um &lt;code&gt;break&lt;/code&gt; ou o fim do &lt;code&gt;switch&lt;/code&gt;.
&lt;strong&gt;Para que serve?&lt;/strong&gt;
É usado intencionalmente para &lt;strong&gt;agrupar múltiplos casos&lt;/strong&gt; que devem executar o mesmo bloco de código, evitando repetição.
&lt;strong&gt;Exemplo:&lt;/strong&gt;
&lt;code&gt;byte dia = 4;&lt;/code&gt;
&lt;code&gt;switch (dia) {&lt;/code&gt;
&lt;code&gt;    case 1:&lt;/code&gt;
&lt;code&gt;    case 7:&lt;/code&gt;
&lt;code&gt;        System.out.println("FDS");&lt;/code&gt;
&lt;code&gt;        break;&lt;/code&gt;
&lt;code&gt;    case 2:&lt;/code&gt;
&lt;code&gt;    case 3:&lt;/code&gt;
&lt;code&gt;    case 4: // O programa entra aqui e "cai" até o break.&lt;/code&gt;
&lt;code&gt;    case 5:&lt;/code&gt;
&lt;code&gt;    case 6:&lt;/code&gt;
&lt;code&gt;        System.out.println("Dia útil");&lt;/code&gt;
&lt;code&gt;        break;&lt;/code&gt;
&lt;code&gt;}&lt;/code&gt;</t>
  </si>
  <si>
    <t>Qual será a saída (output) do código abaixo e por quê?
&lt;code&gt;int count = 0;&lt;/code&gt;
&lt;code&gt;while (count &lt;= 2) {&lt;/code&gt;
&lt;code&gt;    System.out.println(++count);&lt;/code&gt;
&lt;code&gt;}&lt;/code&gt;</t>
  </si>
  <si>
    <t>A saída será:
&lt;code&gt;1&lt;/code&gt;
&lt;code&gt;2&lt;/code&gt;
&lt;code&gt;3&lt;/code&gt;
&lt;strong&gt;Por quê?&lt;/strong&gt;
O operador de &lt;strong&gt;pré-incremento (&lt;code&gt;++count&lt;/code&gt;)&lt;/strong&gt; incrementa a variável &lt;strong&gt;ANTES&lt;/strong&gt; de seu valor ser usado na expressão.
&lt;strong&gt;Passo a passo:&lt;/strong&gt;
&lt;strong&gt;Loop 1:&lt;/strong&gt; &lt;code&gt;count&lt;/code&gt; é 0. A condição (&lt;code&gt;0 &lt;= 2&lt;/code&gt;) é &lt;code&gt;true&lt;/code&gt;. &lt;code&gt;++count&lt;/code&gt; muda &lt;code&gt;count&lt;/code&gt; para 1. O &lt;code&gt;println&lt;/code&gt; imprime &lt;strong&gt;1&lt;/strong&gt;.
&lt;strong&gt;Loop 2:&lt;/strong&gt; &lt;code&gt;count&lt;/code&gt; é 1. A condição (&lt;code&gt;1 &lt;= 2&lt;/code&gt;) é &lt;code&gt;true&lt;/code&gt;. &lt;code&gt;++count&lt;/code&gt; muda &lt;code&gt;count&lt;/code&gt; para 2. O &lt;code&gt;println&lt;/code&gt; imprime &lt;strong&gt;2&lt;/strong&gt;.
&lt;strong&gt;Loop 3:&lt;/strong&gt; &lt;code&gt;count&lt;/code&gt; é 2. A condição (&lt;code&gt;2 &lt;= 2&lt;/code&gt;) é &lt;code&gt;true&lt;/code&gt;. &lt;code&gt;++count&lt;/code&gt; muda &lt;code&gt;count&lt;/code&gt; para 3. O &lt;code&gt;println&lt;/code&gt; imprime &lt;strong&gt;3&lt;/strong&gt;.
&lt;strong&gt;Fim:&lt;/strong&gt; &lt;code&gt;count&lt;/code&gt; agora é 3. A condição (&lt;code&gt;3 &lt;= 2&lt;/code&gt;) é &lt;code&gt;false&lt;/code&gt; e o loop termina.</t>
  </si>
  <si>
    <t>Dentro de um loop, qual a função do comando &lt;strong&gt;&lt;code&gt;continue;&lt;/code&gt;&lt;/strong&gt;?</t>
  </si>
  <si>
    <t>O comando &lt;code&gt;continue&lt;/code&gt; &lt;strong&gt;interrompe a iteração atual&lt;/strong&gt; do loop e "pula" imediatamente para o início da &lt;strong&gt;próxima iteração&lt;/strong&gt;. Ele ignora todo o código que vem depois dele dentro do bloco do loop, mas não encerra o loop por completo.
&lt;strong&gt;Analogia:&lt;/strong&gt; Pense em uma playlist. O &lt;code&gt;continue&lt;/code&gt; é como o botão "pular faixa": você não para de ouvir música (o loop continua), você apenas pula para a próxima canção.
&lt;strong&gt;Exemplo (imprimir apenas números ímpares):&lt;/strong&gt;
&lt;pre&gt;&lt;code&gt;
for (int i = 0; i &amp;lt;= 10; i++) {
if (i % 2 == 0) {
continue; // Se for par, pula o println
}
System.out.println(i);
}
&lt;/code&gt;&lt;/pre&gt;</t>
  </si>
  <si>
    <t>O que são &lt;strong&gt;variáveis de tipo primitivo&lt;/strong&gt; em Java?</t>
  </si>
  <si>
    <t>Verso (Resposta):
São os tipos de dados mais básicos da linguagem (&lt;code&gt;int&lt;/code&gt;, &lt;code&gt;double&lt;/code&gt;, &lt;code&gt;boolean&lt;/code&gt;, etc.).
Sua principal característica é que elas guardam o &lt;strong&gt;valor real diretamente na memória Stack&lt;/strong&gt;, que é uma área de acesso rápido e organizado.
Por guardarem o valor em si, e não um endereço, a comparação com &lt;code&gt;==&lt;/code&gt; funciona como o esperado, comparando os valores diretos.</t>
  </si>
  <si>
    <t>O que são &lt;strong&gt;variáveis de tipo referência&lt;/strong&gt; em Java?</t>
  </si>
  <si>
    <t>São variáveis que guardam qualquer tipo de &lt;strong&gt;objeto&lt;/strong&gt; (&lt;code&gt;String&lt;/code&gt;, &lt;code&gt;Scanner&lt;/code&gt;, Arrays, etc.).
Elas não guardam o objeto em si. Em vez disso, elas armazenam na memória &lt;strong&gt;Stack&lt;/strong&gt; apenas um &lt;strong&gt;endereço (referência)&lt;/strong&gt; que aponta para o local onde o objeto real está guardado, na memória &lt;strong&gt;Heap&lt;/strong&gt;.
Por isso, ao comparar duas variáveis de referência com &lt;code&gt;==&lt;/code&gt;, o Java compara os endereços de memória, e não o conteúdo dos objetos.</t>
  </si>
  <si>
    <t>O que é a memória &lt;strong&gt;Stack (Pilha)&lt;/strong&gt; e como ela funciona na JVM?</t>
  </si>
  <si>
    <t>É uma área de memória &lt;strong&gt;pequena, rápida e altamente organizada&lt;/strong&gt;, gerenciada automaticamente pela JVM.
&lt;strong&gt;O que armazena:&lt;/strong&gt;
&lt;strong&gt;Tipos Primitivos&lt;/strong&gt; (&lt;code&gt;int&lt;/code&gt;, &lt;code&gt;double&lt;/code&gt;, etc.) com seus valores diretos.
&lt;strong&gt;Referências a Objetos&lt;/strong&gt; (os "endereços" para os objetos que estão na Heap).
&lt;strong&gt;Controle de Execução de Métodos&lt;/strong&gt; (cada método em execução tem seu próprio "bloco" ou "frame" na pilha).
&lt;strong&gt;Como funciona (LIFO - Last-In, First-Out):&lt;/strong&gt;
Funciona como uma pilha de pratos. Quando um método é chamado, seu bloco é colocado no topo. Quando ele termina, seu bloco é o primeiro a ser removido, e a memória é liberada instantaneamente. Se a pilha encher, ocorre um &lt;code&gt;StackOverflowError&lt;/code&gt;.</t>
  </si>
  <si>
    <t>O que é a memória &lt;strong&gt;Heap (Monte)&lt;/strong&gt; e como ela funciona na JVM?</t>
  </si>
  <si>
    <t>É uma área de memória &lt;strong&gt;grande, flexível e de acesso mais lento&lt;/strong&gt; que a Stack.
&lt;strong&gt;O que armazena:&lt;/strong&gt;
Todos os &lt;strong&gt;objetos&lt;/strong&gt; criados no programa (ex: com &lt;code&gt;new String()&lt;/code&gt;, &lt;code&gt;new Scanner()&lt;/code&gt;, etc.).
&lt;strong&gt;Como funciona (Garbage Collection):&lt;/strong&gt;
Os objetos na Heap não são removidos automaticamente quando um método termina. Eles permanecem na memória enquanto houver pelo menos uma referência (na Stack) apontando para eles.
Um processo chamado &lt;strong&gt;Garbage Collector (GC)&lt;/strong&gt; roda periodicamente para encontrar e deletar os objetos que não são mais referenciados, liberando a memória. Se a Heap encher, ocorre um &lt;code&gt;OutOfMemoryError&lt;/code&gt;.</t>
  </si>
  <si>
    <t>O que é a regra &lt;strong&gt;LIFO&lt;/strong&gt; e onde ela se aplica na JVM?</t>
  </si>
  <si>
    <t>LIFO significa &lt;strong&gt;Last-In, First-Out&lt;/strong&gt; ("O Último a Entrar é o Primeiro a Sair").
É a regra que governa como a memória &lt;strong&gt;Stack (Pilha)&lt;/strong&gt; é gerenciada. Funciona como uma pilha de pratos: o último método chamado (o prato colocado no topo) é o primeiro a ser finalizado e removido.</t>
  </si>
  <si>
    <t>O que é o &lt;strong&gt;Garbage Collector (GC)&lt;/strong&gt; e em qual área da memória ele atua?</t>
  </si>
  <si>
    <t>É um processo automático da JVM que atua na memória &lt;strong&gt;Heap (Monte)&lt;/strong&gt;.
Sua função é identificar e deletar objetos que não são mais referenciados por nenhuma parte do programa ("lixo"), liberando a memória para uso futuro.</t>
  </si>
  <si>
    <t>Por que a memória de um &lt;strong&gt;primitivo&lt;/strong&gt; na Stack é liberada instantaneamente, mas a de um &lt;strong&gt;objeto&lt;/strong&gt; na Heap não?</t>
  </si>
  <si>
    <t>Porque eles vivem em lugares diferentes com regras diferentes.
Quando um método termina, seu bloco inteiro na &lt;strong&gt;Stack&lt;/strong&gt; é destruído. Se um primitivo estava lá, ele desaparece junto.
Se uma &lt;strong&gt;referência&lt;/strong&gt; estava lá, apenas a referência (o "endereço") é destruída. O &lt;strong&gt;objeto&lt;/strong&gt; real continua na &lt;strong&gt;Heap&lt;/strong&gt; até que o &lt;strong&gt;Garbage Collector&lt;/strong&gt; perceba que ele ficou "órfão" (sem referências) e o remova.</t>
  </si>
  <si>
    <t>No contexto da Stack, o que é um &lt;strong&gt;Stack Frame&lt;/strong&gt;?</t>
  </si>
  <si>
    <t>É o "bloco" de memória criado na &lt;strong&gt;Stack&lt;/strong&gt; para &lt;strong&gt;cada chamada de método&lt;/strong&gt;.
Cada Stack Frame contém as variáveis locais e os parâmetros daquele método específico. A Pilha (Stack) é, na verdade, uma pilha de Stack Frames.</t>
  </si>
  <si>
    <t>Por definição, qual acesso à memória é mais rápido: &lt;strong&gt;Stack&lt;/strong&gt; ou &lt;strong&gt;Heap&lt;/strong&gt;?</t>
  </si>
  <si>
    <t>O acesso à memória &lt;strong&gt;Stack (Pilha)&lt;/strong&gt; é muito mais rápido.
A gestão da Stack é simples e previsível (apenas mover um ponteiro), enquanto a alocação e o acesso na Heap são mais complexos e envolvem o Garbage Collector.</t>
  </si>
  <si>
    <t>No contexto da Stack, o que significa "&lt;strong&gt;controle de execução dos métodos&lt;/strong&gt;"?</t>
  </si>
  <si>
    <t>Refere-se a como a Stack gerencia a ordem em que os métodos são chamados e retornam.
A pilha de &lt;strong&gt;Stack Frames&lt;/strong&gt; funciona como um histórico de chamadas: o frame no topo é o método atualmente em execução. Quando ele termina, o controle volta para o método do frame logo abaixo na pilha, garantindo o fluxo correto do programa.</t>
  </si>
  <si>
    <t>O que é uma &lt;strong&gt;variável local não inicializada&lt;/strong&gt; em Java e por que o compilador gera um erro ao tentar usá-la?</t>
  </si>
  <si>
    <t>É uma variável declarada dentro de um método, mas que ainda não recebeu seu primeiro valor.
O compilador do Java proíbe seu uso como uma medida de &lt;strong&gt;segurança&lt;/strong&gt;. Uma variável não inicializada aponta para um espaço na memória que pode conter "lixo" (&lt;em&gt;garbage value&lt;/em&gt;) de operações anteriores, o que levaria a resultados imprevisíveis.
Ao forçar a inicialização em &lt;strong&gt;todos os caminhos possíveis&lt;/strong&gt; do código (incluindo todas as ramificações de um &lt;code&gt;if-else&lt;/code&gt;), o Java garante que o programa se comporte de maneira previsível.</t>
  </si>
  <si>
    <t>Qual a diferença de inicialização entre &lt;strong&gt;variáveis locais&lt;/strong&gt; e &lt;strong&gt;atributos de classe&lt;/strong&gt;?</t>
  </si>
  <si>
    <t>&lt;strong&gt;Variáveis Locais&lt;/strong&gt; (dentro de um método): &lt;strong&gt;Não são inicializadas automaticamente&lt;/strong&gt;. O programador é obrigado a atribuir um valor antes do uso.
&lt;strong&gt;Atributos de Classe&lt;/strong&gt; (variáveis de instância): &lt;strong&gt;São inicializadas automaticamente&lt;/strong&gt; com valores padrão (&lt;code&gt;0&lt;/code&gt; para números, &lt;code&gt;false&lt;/code&gt; para boolean, &lt;code&gt;null&lt;/code&gt; para objetos) se nenhum valor for fornecido.</t>
  </si>
  <si>
    <t>Por que o código abaixo gera um erro de compilação na última linha?
&lt;code&gt;double imposto;&lt;/code&gt;
&lt;code&gt;if (salario &gt; 4500) { imposto = 0.30; }&lt;/code&gt;
&lt;code&gt;System.out.println(imposto);&lt;/code&gt;</t>
  </si>
  <si>
    <t>Porque o compilador analisa a estrutura e vê um caminho de execução onde a variável &lt;code&gt;imposto&lt;/code&gt; &lt;strong&gt;pode não ser inicializada&lt;/strong&gt; (o caminho onde &lt;code&gt;salario &lt;= 4500&lt;/code&gt;).
Para evitar o risco de usar uma variável com "valor lixo", ele gera um erro e exige que a inicialização seja garantida em todos os cenários possíveis (seja com um &lt;code&gt;else&lt;/code&gt; ou inicializando a variável na declaração, ex: &lt;code&gt;double imposto = 0.0;&lt;/code&gt;).</t>
  </si>
  <si>
    <t>No contexto de gerenciamento de memória em Java, o que é um &lt;strong&gt;"garbage value"&lt;/strong&gt; (valor lixo)?</t>
  </si>
  <si>
    <t>É o valor imprevisível que reside em uma posição de memória antes que ela seja inicializada pelo programa.
Quando você declara uma variável local (ex: &lt;code&gt;int numero;&lt;/code&gt;), o Java reserva um espaço na memória, mas não o limpa. O "garbage value" são os &lt;strong&gt;restos de bits&lt;/strong&gt; de operações anteriores que estavam ocupando aquele espaço.
É por isso que usar uma variável não inicializada é perigoso: você estaria usando um dado aleatório e sem sentido em seus cálculos.</t>
  </si>
  <si>
    <t>Se o Java permitisse usar uma variável local &lt;strong&gt;não inicializada&lt;/strong&gt;, por que o programa poderia ter resultados inesperados e imprevisíveis?</t>
  </si>
  <si>
    <t>Porque o programa leria e utilizaria o &lt;strong&gt;"garbage value"&lt;/strong&gt; (valor lixo) que está naquele espaço de memória.
Como esse valor é um resto aleatório de operações antigas, ele é imprevisível. Qualquer cálculo ou decisão (&lt;code&gt;if&lt;/code&gt;) feito com base nesse valor aleatório também se tornaria imprevisível, gerando bugs que são extremamente difíceis de rastrear, pois poderiam se manifestar de formas diferentes a cada execução do programa.</t>
  </si>
  <si>
    <t>O que é o &lt;strong&gt;princípio DRY&lt;/strong&gt; em programação?</t>
  </si>
  <si>
    <t>DRY significa &lt;strong&gt;Don't Repeat Yourself&lt;/strong&gt; ("Não se Repita").
É um princípio fundamental do desenvolvimento de software que diz que você deve evitar a duplicação de código. Se você tem a mesma lógica em vários lugares, o ideal é extraí-la para um único local (como um &lt;strong&gt;método&lt;/strong&gt;) e chamá-la sempre que necessário.
&lt;strong&gt;Vantagens:&lt;/strong&gt;
&lt;strong&gt;Manutenção mais fácil:&lt;/strong&gt; Se precisar corrigir um bug ou fazer uma melhoria, você só muda em um lugar.
&lt;strong&gt;Menos erros:&lt;/strong&gt; Reduz a chance de corrigir um bug em um lugar e esquecer nos outros onde o código foi copiado.</t>
  </si>
  <si>
    <t>Qual a principal diferença de inicialização entre variáveis declaradas &lt;strong&gt;dentro&lt;/strong&gt; de um método e &lt;strong&gt;fora&lt;/strong&gt; de um método em Java?</t>
  </si>
  <si>
    <t>A diferença está em quem é o responsável pela inicialização:
1.&lt;strong&gt;Fora do Método (Atributos de Instância):&lt;/strong&gt; São inicializadas &lt;strong&gt;automaticamente&lt;/strong&gt; pelo Java com valores padrão (&lt;code&gt;0&lt;/code&gt;, &lt;code&gt;false&lt;/code&gt;, &lt;code&gt;null&lt;/code&gt;). Isso garante que o objeto sempre comece em um estado previsível.
2.&lt;strong&gt;Dentro do Método (Variáveis Locais):&lt;/strong&gt; &lt;strong&gt;Não são inicializadas automaticamente&lt;/strong&gt;. O programador é &lt;strong&gt;obrigado&lt;/strong&gt; a atribuir um valor antes de usá-la. O compilador gera um erro se houver qualquer caminho lógico em que a variável possa ser usada sem ter um valor.</t>
  </si>
  <si>
    <t>Em Java, como são chamadas as variáveis declaradas diretamente dentro da classe, mas &lt;strong&gt;fora&lt;/strong&gt; de qualquer método?</t>
  </si>
  <si>
    <t>São chamadas de &lt;strong&gt;Atributos de Instância&lt;/strong&gt; ou &lt;strong&gt;Campos&lt;/strong&gt; (Fields). Elas definem as características de um objeto.</t>
  </si>
  <si>
    <t>Em Java, como são chamadas as variáveis declaradas &lt;strong&gt;dentro&lt;/strong&gt; de um método?</t>
  </si>
  <si>
    <t>São chamadas de &lt;strong&gt;Variáveis Locais&lt;/strong&gt;. Elas são temporárias e só existem enquanto o método está sendo executado.</t>
  </si>
  <si>
    <t>Quais são os valores padrão que o Java atribui automaticamente aos &lt;strong&gt;atributos de instância&lt;/strong&gt; não inicializados?</t>
  </si>
  <si>
    <t>&lt;ul&gt;
&lt;li&gt;Números (&lt;code&gt;byte&lt;/code&gt;, &lt;code&gt;short&lt;/code&gt;, &lt;code&gt;int&lt;/code&gt;, &lt;code&gt;long&lt;/code&gt;, &lt;code&gt;float&lt;/code&gt;, &lt;code&gt;double&lt;/code&gt;): &lt;strong&gt;0&lt;/strong&gt; ou &lt;strong&gt;0.0&lt;/strong&gt;&lt;/li&gt;
&lt;li&gt;&lt;code&gt;boolean&lt;/code&gt;: &lt;strong&gt;false&lt;/strong&gt;&lt;/li&gt;
&lt;li&gt;&lt;code&gt;char&lt;/code&gt;: &lt;strong&gt;'\u0000'&lt;/strong&gt; (caractere nulo)&lt;/li&gt;
&lt;li&gt;Qualquer Objeto (&lt;code&gt;String&lt;/code&gt;, etc.): &lt;strong&gt;null&lt;/strong&gt;&lt;/li&gt;
&lt;/ul&gt;</t>
  </si>
  <si>
    <t>Ao criar um array com &lt;code&gt;new int[4];&lt;/code&gt;, qual valor será impresso por &lt;code&gt;System.out.println(idades[2]);&lt;/code&gt; e por quê?</t>
  </si>
  <si>
    <t>Será impresso o valor &lt;strong&gt;0&lt;/strong&gt;.
&lt;strong&gt;Por quê?&lt;/strong&gt;
Um array em Java é um &lt;strong&gt;objeto&lt;/strong&gt;. Quando um objeto é criado com a palavra-chave &lt;code&gt;new&lt;/code&gt;, seus "componentes internos" (no caso do array, seus elementos) são &lt;strong&gt;automaticamente inicializados&lt;/strong&gt; com valores padrão pelo Java para garantir um estado previsível.
Os valores padrão são:
Números: &lt;strong&gt;0&lt;/strong&gt; ou &lt;strong&gt;0.0&lt;/strong&gt;
&lt;code&gt;boolean&lt;/code&gt;: &lt;strong&gt;false&lt;/strong&gt;
&lt;code&gt;char&lt;/code&gt;: &lt;strong&gt;'\u0000'&lt;/strong&gt; (caractere nulo)
Objetos (ex: &lt;code&gt;String&lt;/code&gt;): &lt;strong&gt;null&lt;/strong&gt;</t>
  </si>
  <si>
    <t>Ao criar um array, existe uma forma mais fácil de inicializá-lo com valores, sem precisar atribuir um por um?</t>
  </si>
  <si>
    <t>Sim. A forma mais fácil é a &lt;strong&gt;inicialização direta&lt;/strong&gt;, usando chaves &lt;code&gt;{}&lt;/code&gt;.
Essa sintaxe cria o array com o tamanho exato necessário e já atribui os valores fornecidos a cada posição, começando do índice 0.
&lt;strong&gt;Exemplo:&lt;/strong&gt;
&lt;code&gt;int[] idades = {31, 23, 11, 67, 32};&lt;/code&gt;
Isto é um atalho para criar um array de 5 posições e preenchê-lo, tudo em uma única linha.</t>
  </si>
  <si>
    <t>Identifique o erro de compilação no código abaixo e explique o motivo.
&lt;code&gt;int[] salarios = {2000.50, 4000, 4670.99, 2000};&lt;/code&gt;</t>
  </si>
  <si>
    <t>O erro de compilação ocorre porque o código tenta inserir valores do tipo &lt;strong&gt;&lt;code&gt;double&lt;/code&gt;&lt;/strong&gt; (&lt;code&gt;2000.50&lt;/code&gt; e &lt;code&gt;4670.99&lt;/code&gt;) em um array que foi declarado para armazenar apenas valores do tipo &lt;strong&gt;&lt;code&gt;int&lt;/code&gt;&lt;/strong&gt;.
&lt;strong&gt;Por quê?&lt;/strong&gt;
Um array em Java é &lt;strong&gt;fortemente tipado&lt;/strong&gt;, o que significa que ele só pode armazenar elementos do tipo exato que foi declarado. A tentativa de misturar tipos de dados incompatíveis (neste caso, inteiros com decimais) é um erro que o compilador detecta para garantir a segurança e a previsibilidade do código.</t>
  </si>
  <si>
    <t>Como funciona e qual a sintaxe para percorrer um &lt;strong&gt;array multidimensional&lt;/strong&gt; (2D) usando o &lt;strong&gt;for-each&lt;/strong&gt; em Java?</t>
  </si>
  <si>
    <t>Utiliza-se um &lt;code&gt;for-each&lt;/code&gt; &lt;strong&gt;aninhado&lt;/strong&gt; (um dentro do outro), seguindo a lógica de "array de arrays":
&lt;ul&gt;
&lt;li&gt;&lt;strong&gt;1. Loop Externo:&lt;/strong&gt; Itera sobre o array "pai". A variável de controle deve ter o tipo de um array simples (ex: &lt;code&gt;int[]&lt;/code&gt;), pois ela receberá cada linha (que é um array) a cada iteração.&lt;/li&gt;
&lt;li&gt;&lt;strong&gt;2. Loop Interno:&lt;/strong&gt; Itera sobre o array da linha atual (capturado pelo loop externo). A variável de controle terá o tipo do elemento final (ex: &lt;code&gt;int&lt;/code&gt;).&lt;/li&gt;
&lt;/ul&gt;
&lt;strong&gt;Exemplo:&lt;/strong&gt;
&lt;pre&gt;&lt;code&gt;int[][] dias = {{1,2},{3,4,5},{6}};
// Para cada array de int (arrBase) DENTRO de dias...
for (int[] arrBase : dias) {
// Para cada int (num) DENTRO de arrBase...
for (int num : arrBase) {
System.out.println(num);
}
}&lt;/code&gt;&lt;/pre&gt;</t>
  </si>
  <si>
    <t>Como criar um &lt;strong&gt;array multidimensional&lt;/strong&gt; em Java onde os arrays internos possuem &lt;strong&gt;tamanhos diferentes&lt;/strong&gt; (Jagged Array)?</t>
  </si>
  <si>
    <t>Para criar um "Jagged Array", você deve seguir dois passos:
&lt;ol&gt;
&lt;li&gt;&lt;strong&gt;Declarar o array base:&lt;/strong&gt; Especifique o tamanho do array principal (número de linhas), mas deixe o tamanho dos arrays internos em branco.&lt;/li&gt;
&lt;li&gt;&lt;strong&gt;Inicializar cada array interno:&lt;/strong&gt; Percorra o array principal e inicialize cada posição (linha) com um novo array do tamanho desejado.&lt;/li&gt;
&lt;/ol&gt;
&lt;strong&gt;Exemplo:&lt;/strong&gt;
&lt;pre&gt;&lt;code&gt;// 1. Declara o array base com 3 posições (linhas)
int[][] arrayInt = new int[3][];
// 2. Inicializa cada array interno individualmente
arrayInt[0] = new int[2];        // Linha 0 com 2 colunas
arrayInt[1] = new int[] {1,2,3}; // Linha 1 com 3 colunas
arrayInt[2] = new int[] {1,2,3,4,5,6}; // Linha 2 com 6 colunas
&lt;/code&gt;&lt;/pre&gt;</t>
  </si>
  <si>
    <t>Qual o principal objetivo da &lt;strong&gt;Programação Orientada a Objetos (POO)&lt;/strong&gt; e quais problemas ela visa resolver?</t>
  </si>
  <si>
    <t>O principal objetivo é &lt;strong&gt;gerenciar a complexidade&lt;/strong&gt; do software, trazendo o desenvolvimento para mais perto de como pensamos sobre o mundo real.
Ela faz isso ao permitir &lt;strong&gt;modelar conceitos e entidades do mundo real&lt;/strong&gt; como "objetos" no código. Cada objeto agrupa:
&lt;ul&gt;
&lt;li&gt;&lt;strong&gt;Atributos (Dados):&lt;/strong&gt; As características ou o estado daquela entidade (ex: a cor, o ano e o modelo de um carro).&lt;/li&gt;
&lt;li&gt;&lt;strong&gt;Métodos (Comportamentos):&lt;/strong&gt; As ações que a entidade pode realizar (ex: um carro pode &lt;code&gt;ligar()&lt;/code&gt;, &lt;code&gt;acelerar()&lt;/code&gt;, &lt;code&gt;frear()&lt;/code&gt;).&lt;/li&gt;
&lt;/ul&gt;
Isso resulta em um código mais &lt;strong&gt;organizado, reutilizável e fácil de manter&lt;/strong&gt;.</t>
  </si>
  <si>
    <t>O que são &lt;strong&gt;Modificadores de Acesso&lt;/strong&gt; em Java e quais são os 4 níveis de visibilidade?</t>
  </si>
  <si>
    <t>São palavras-chave que definem o nível de &lt;strong&gt;visibilidade&lt;/strong&gt; (quem pode acessar) de classes, atributos e métodos. Eles são a base do &lt;strong&gt;Encapsulamento&lt;/strong&gt;.
Os 4 níveis, do mais ao menos restritivo, são:
&lt;ol&gt;
&lt;li&gt;&lt;code&gt;private&lt;/code&gt;: Acessível &lt;strong&gt;apenas&lt;/strong&gt; dentro da própria classe onde foi declarado.&lt;/li&gt;
&lt;li&gt;&lt;code&gt;default&lt;/code&gt; (ou Package-Private): Acessível apenas por classes dentro do &lt;strong&gt;mesmo pacote&lt;/strong&gt;. Ocorre quando &lt;strong&gt;nenhum modificador&lt;/strong&gt; é especificado.&lt;/li&gt;
&lt;li&gt;&lt;code&gt;protected&lt;/code&gt;: Acessível por classes no mesmo pacote e por &lt;strong&gt;subclasses&lt;/strong&gt; (através de herança), mesmo em pacotes diferentes.&lt;/li&gt;
&lt;li&gt;&lt;</t>
  </si>
  <si>
    <t>O que são &lt;strong&gt;atributos&lt;/strong&gt; em uma classe de POO?</t>
  </si>
  <si>
    <t>São as &lt;strong&gt;variáveis&lt;/strong&gt; declaradas dentro de uma classe que representam suas &lt;strong&gt;características, propriedades ou dados&lt;/strong&gt;. Os atributos definem o &lt;strong&gt;estado&lt;/strong&gt; de um objeto.
Exemplo: Em uma classe &lt;code&gt;Cachorro&lt;/code&gt;, os atributos poderiam ser:
&lt;ul&gt;
&lt;li&gt;&lt;code&gt;String nome;&lt;/code&gt;&lt;/li&gt;
&lt;li&gt;&lt;code&gt;int idade;&lt;/code&gt;&lt;/li&gt;
&lt;li&gt;&lt;code&gt;double peso;&lt;/code&gt;&lt;/li&gt;
&lt;/ul&gt;
Eles respondem à pergunta: "O que o objeto &lt;strong&gt;é&lt;/strong&gt; ou &lt;strong&gt;tem&lt;/strong&gt;?"</t>
  </si>
  <si>
    <t>O que são &lt;strong&gt;métodos&lt;/strong&gt; em uma classe de POO?</t>
  </si>
  <si>
    <t>São as &lt;strong&gt;funções&lt;/strong&gt; declaradas dentro de uma classe que representam seus &lt;strong&gt;comportamentos ou ações&lt;/strong&gt;. Os métodos definem o que um objeto &lt;strong&gt;sabe fazer&lt;/strong&gt; e frequentemente manipulam os atributos (o estado) do objeto.
Exemplo: Em uma classe &lt;code&gt;Cachorro&lt;/code&gt;, os métodos poderiam ser:
&lt;ul&gt;
&lt;li&gt;&lt;code&gt;public void latir() { ... }&lt;/code&gt;&lt;/li&gt;
&lt;li&gt;&lt;code&gt;public void comer(double quantidade) { ... }&lt;/code&gt;&lt;/li&gt;
&lt;li&gt;&lt;code&gt;public void dormir() { ... }&lt;/code&gt;&lt;/li&gt;
&lt;/ul&gt;
Eles respondem à pergunta: "O que o objeto &lt;strong&gt;faz&lt;/strong&gt;?"</t>
  </si>
  <si>
    <t>Em POO, o que é &lt;strong&gt;coesão&lt;/strong&gt; de uma classe e o que a torna "altamente coesa"?</t>
  </si>
  <si>
    <t>&lt;strong&gt;Coesão&lt;/strong&gt; é o grau em que os membros de uma classe (atributos e métodos) estão funcionalmente relacionados, trabalhando juntos para um &lt;strong&gt;único propósito bem definido&lt;/strong&gt;.
Uma classe é &lt;strong&gt;altamente coesa&lt;/strong&gt; quando ela tem uma única responsabilidade. Tudo dentro dela serve exclusivamente a esse propósito.
&lt;strong&gt;Princípio-chave:&lt;/strong&gt; Uma classe deve ter apenas um motivo para existir e para ser alterada.</t>
  </si>
  <si>
    <t>Cite um exemplo de uma classe &lt;strong&gt;não coesa&lt;/strong&gt; (baixa coesão) em POO.</t>
  </si>
  <si>
    <t>Uma classe genérica chamada &lt;code&gt;GerenciadorSistema&lt;/code&gt; que mistura responsabilidades sem relação entre si:
&lt;pre&gt;&lt;code&gt;public class GerenciadorSistema {
// Responsabilidade de Usuário
public void autenticarUsuario(String user, String pass){...}
// Responsabilidade de Log
public void registrarLog(String mensagem){...}
// Responsabilidade de E-mail
public void enviarEmailConfirmacao(String email){...}
// Responsabilidade Financeira
public double calcularJurosPedido(Pedido pedido){...}
}
&lt;/code&gt;&lt;/pre&gt;
Esta classe não tem um propósito único. O ideal seria ter classes separadas: &lt;code&gt;Autenticador&lt;/code&gt;, &lt;code&gt;Logger&lt;/code&gt;, &lt;code&gt;ServicoDeEmail&lt;/code&gt; e &lt;code&gt;CalculadoraFinanceira&lt;/code&gt;.</t>
  </si>
  <si>
    <t>Cite um exemplo de uma classe &lt;strong&gt;altamente coesa&lt;/strong&gt; em POO.</t>
  </si>
  <si>
    <t>Uma classe &lt;code&gt;NotaFiscal&lt;/code&gt; que tem a responsabilidade única de representar e gerenciar os dados de uma nota fiscal.
&lt;pre&gt;&lt;code&gt;public class NotaFiscal {
// Atributos
private int numero;
private double valorTotal;
private List&amp;lt;Item&amp;gt; itens;
private String nomeCliente;
// Métodos
public void adicionarItem(Item item) { ... }
public void removerItem(Item item) { ... }
public double calcularImpostos() { ... }
public void emitir() { ... }
}
&lt;/code&gt;&lt;/pre&gt;
Todos os seus atributos e métodos estão diretamente relacionados ao conceito de "Nota Fiscal", tornando-a altamente coesa. Um método como &lt;code&gt;validarCPF()&lt;/code&gt; não pertenceria a esta classe.</t>
  </si>
  <si>
    <t>Qual a sintaxe básica para declarar um &lt;strong&gt;atributo&lt;/strong&gt; (variável de instância) em uma classe Java?</t>
  </si>
  <si>
    <t>A sintaxe segue o padrão:
&lt;code&gt;[modificador de acesso] [tipo] [nomeDoAtributo];&lt;/code&gt;
Onde:
&lt;ul&gt;
&lt;li&gt;&lt;strong&gt;Modificador de Acesso (Opcional):&lt;/strong&gt; Define a visibilidade (ex: &lt;code&gt;public&lt;/code&gt;, &lt;code&gt;private&lt;/code&gt;). Se omitido, o padrão é &lt;em&gt;package-private&lt;/em&gt;.&lt;/li&gt;
&lt;li&gt;&lt;strong&gt;Tipo:&lt;/strong&gt; O tipo de dado que o atributo vai armazenar (ex: &lt;code&gt;int&lt;/code&gt;, &lt;code&gt;double&lt;/code&gt;, &lt;code&gt;String&lt;/code&gt;, ou o nome de outra classe).&lt;/li&gt;
&lt;li&gt;&lt;strong&gt;Nome do Atributo:&lt;/strong&gt; O identificador da variável, seguindo a convenção camelCase (ex: &lt;code&gt;nomeCliente&lt;/code&gt;).&lt;/li&gt;
&lt;/ul&gt;
&lt;strong&gt;Exemplos:&lt;/strong&gt;
&lt;pre&gt;&lt;code&gt;public class Carro {
public String modelo;
private double velocidadeAtual;
int anoDeFabricacao; // Acesso default
}
&lt;/code&gt;&lt;/pre&gt;</t>
  </si>
  <si>
    <t>Em um método, qual a diferença fundamental entre um &lt;strong&gt;valor de retorno&lt;/strong&gt; (&lt;code&gt;return&lt;/code&gt;) e uma &lt;strong&gt;saída no console&lt;/strong&gt; (&lt;code&gt;System.out.println&lt;/code&gt;)?</t>
  </si>
  <si>
    <t>A diferença está em &lt;strong&gt;para quem&lt;/strong&gt; a informação se destina e &lt;strong&gt;como&lt;/strong&gt; ela pode ser usada.
&lt;table&gt;
&lt;tr&gt;
&lt;th style="text-align:left"&gt;Característica&lt;/th&gt;
&lt;th style="text-align:left"&gt;Valor de Retorno (&lt;code&gt;return&lt;/code&gt;)&lt;/th&gt;
&lt;th style="text-align:left"&gt;Saída no Console (&lt;code&gt;println&lt;/code&gt;)&lt;/th&gt;
&lt;/tr&gt;
&lt;tr&gt;
&lt;td&gt;&lt;strong&gt;Propósito&lt;/strong&gt;&lt;/td&gt;
&lt;td&gt;Entregar um dado para &lt;strong&gt;outro método ou variável&lt;/strong&gt; usar.&lt;/td&gt;
&lt;td&gt;Exibir uma informação para o &lt;strong&gt;usuário humano&lt;/strong&gt; ler.&lt;/td&gt;
&lt;/tr&gt;
&lt;tr&gt;
&lt;td&gt;&lt;strong&gt;Destino&lt;/strong&gt;&lt;/td&gt;
&lt;td&gt;O dado volta para a linha de código que fez a chamada.&lt;/td&gt;
&lt;td&gt;O dado é enviado para o fluxo de saída padrão (o console).&lt;/td&gt;
&lt;/tr&gt;
&lt;tr&gt;
&lt;td&gt;&lt;strong&gt;Uso&lt;/strong&gt;&lt;/td&gt;
&lt;td&gt;Pode ser armazenado em uma variável, usado em cálculos, passado para outro método, etc.&lt;/td&gt;
&lt;td&gt;É "fim de linha". O programa não pode pegar de volta o que foi impresso na tela para usar em lógicas.&lt;/td&gt;
&lt;/tr&gt;
&lt;tr&gt;
&lt;td&gt;&lt;strong&gt;Tipo do Método&lt;/strong&gt;&lt;/td&gt;
&lt;td&gt;Deve ter um tipo de retorno (ex: &lt;code&gt;int&lt;/code&gt;, &lt;code&gt;String&lt;/code&gt;).&lt;/td&gt;
&lt;td&gt;Geralmente é usado em métodos com retorno &lt;code&gt;void&lt;/code&gt;.&lt;/td&gt;
&lt;/tr&gt;
&lt;/table&gt;
&lt;strong&gt;Exemplo Prático:&lt;/strong&gt;
&lt;pre&gt;&lt;code&gt;public class Calculadora {
// 1. Método com RETORNO
public int somar(int a, int b) {
    int resultado = a + b;
    return resultado; // Devolve o DADO para quem chamou
}
// 2. Método com SAÍDA (Efeito Colateral)
public void imprimirSoma(int a, int b) {
    int resultado = a + b;
    // Apenas MOSTRA para o humano, não devolve nada
    System.out.println(&amp;quot;O resultado é: &amp;quot; + resultado);
}
}
// Como usar:
int somaParaUsarDepois = somar(5, 3); // O valor 8 é RETORNADO e guardado.
imprimirSoma(5, 3); // A string "O resultado é: 8" é MOSTRADA no console.
&lt;/code&gt;&lt;/pre&gt;</t>
  </si>
  <si>
    <t>Na declaração de um método em Java, o que a palavra-chave &lt;strong&gt;&lt;code&gt;void&lt;/code&gt;&lt;/strong&gt; significa?</t>
  </si>
  <si>
    <t>&lt;code&gt;void&lt;/code&gt; é uma palavra-chave usada no tipo de retorno de um método para indicar que ele &lt;strong&gt;não retorna nenhum valor&lt;/strong&gt; para o código que o chamou.
O propósito de um método &lt;code&gt;void&lt;/code&gt; é executar uma ação ou causar um &lt;strong&gt;efeito colateral&lt;/strong&gt; (&lt;em&gt;Side Effect&lt;/em&gt;), como:
&lt;ul&gt;
&lt;li&gt;Modificar o estado de um atributo (ex: &lt;code&gt;this.nome = "novo nome";&lt;/code&gt;).&lt;/li&gt;
&lt;li&gt;Imprimir uma informação no console (ex: &lt;code&gt;System.out.println("Olá");&lt;/code&gt;).&lt;/li&gt;
&lt;li&gt;Chamar outros métodos.&lt;/li&gt;
&lt;/ul&gt;
&lt;strong&gt;Exemplo de Contraste:&lt;/strong&gt;
&lt;pre&gt;&lt;code&gt;public class Contador {
private int numero = 0;
// Método VOID: não retorna nada, apenas executa a ação
// de modificar o atributo &amp;quot;numero&amp;quot;.
public void incrementar() {
    this.numero++;
}
// Método NÃO-VOID: retorna um valor do tipo int.
public int getNumero() {
    return this.numero;
}
}
&lt;/code&gt;&lt;/pre&gt;</t>
  </si>
  <si>
    <t>Qual é a convenção de nomenclatura (&lt;em&gt;naming convention&lt;/em&gt;) para &lt;strong&gt;métodos&lt;/strong&gt; em Java?</t>
  </si>
  <si>
    <t>A convenção para nomes de métodos é o &lt;strong&gt;camelCase&lt;/strong&gt;, com a primeira letra minúscula.
Regras:
&lt;ol&gt;
&lt;li&gt;O nome deve começar com uma letra &lt;strong&gt;minúscula&lt;/strong&gt;.&lt;/li&gt;
&lt;li&gt;Se o nome for composto por várias palavras, a primeira letra de cada palavra subsequente deve ser &lt;strong&gt;maiúscula&lt;/strong&gt; (ex: &lt;code&gt;buscarClientePorId&lt;/code&gt;).&lt;/li&gt;
&lt;li&gt;O nome deve ser um &lt;strong&gt;verbo ou uma frase verbal&lt;/strong&gt; que descreva a ação que o método executa.&lt;/li&gt;
&lt;/ol&gt;
&lt;strong&gt;Exemplos:&lt;/strong&gt;
&lt;pre&gt;&lt;code&gt;// Bons nomes de métodos (verbos, camelCase)
public void calcularImposto() { ... }
public String getNomeCompleto() { ... }
public void enviarNotificacaoPorEmail() { ... }
// Nomes ruins
public void Calculadora() { ... } // Errado: começa com maiúscula (parece construtor)
public void nome_cliente() { ... } // Errado: usa snake_case, não camelCase
public void email() { ... } // Ruim: é um substantivo, não um verbo/ação
&lt;/code&gt;&lt;/pre&gt;</t>
  </si>
  <si>
    <t>O que são &lt;strong&gt;parâmetros&lt;/strong&gt; e &lt;strong&gt;argumentos&lt;/strong&gt; em um método Java?</t>
  </si>
  <si>
    <t>Eles permitem passar informações para dentro de um método, tornando-o flexível e reutilizável.
&lt;ul&gt;
&lt;li&gt;&lt;strong&gt;Parâmetros:&lt;/strong&gt; São as &lt;strong&gt;variáveis&lt;/strong&gt; listadas na &lt;strong&gt;declaração&lt;/strong&gt; do método. Eles definem os tipos de dados que o método espera receber.&lt;/li&gt;
&lt;li&gt;&lt;strong&gt;Argumentos:&lt;/strong&gt; São os &lt;strong&gt;valores reais&lt;/strong&gt; passados para os parâmetros quando o método é &lt;strong&gt;chamado&lt;/strong&gt;.&lt;/li&gt;
&lt;/ul&gt;
&lt;strong&gt;Analogia:&lt;/strong&gt; O &lt;strong&gt;parâmetro&lt;/strong&gt; é a vaga de estacionamento reservada na garagem (&lt;code&gt;int num1&lt;/code&gt;). O &lt;strong&gt;argumento&lt;/strong&gt; é o carro real que estaciona nessa vaga (&lt;code&gt;4&lt;/code&gt;).
&lt;strong&gt;Exemplo:&lt;/strong&gt;
&lt;pre&gt;&lt;code&gt;// Na classe Calculadora
// 'num1' e 'num2' são os PARÂMETROS
public void somar(int num1, int num2) {
System.out.println(num1 + num2);
}
// No código que chama o método
Calculadora calc = new Calculadora();
// 4 e 6 são os ARGUMENTOS
calc.somar(4, 6); // Saída no console: 10
&lt;/code&gt;&lt;/pre&gt;</t>
  </si>
  <si>
    <t>Qual a diferença entre &lt;strong&gt;parâmetro&lt;/strong&gt; e &lt;strong&gt;argumento&lt;/strong&gt; em um método?</t>
  </si>
  <si>
    <t>&lt;ul&gt;
&lt;li&gt;&lt;strong&gt;Parâmetro:&lt;/strong&gt; É a &lt;strong&gt;variável&lt;/strong&gt; na &lt;strong&gt;assinatura/declaração&lt;/strong&gt; do método. Funciona como um "molde" ou um espaço reservado que define o tipo de dado que o método espera receber.&lt;/li&gt;
&lt;li&gt;&lt;strong&gt;Argumento:&lt;/strong&gt; É o &lt;strong&gt;valor real e concreto&lt;/strong&gt; que é passado para o parâmetro quando o método é &lt;strong&gt;chamado/invocado&lt;/strong&gt;.&lt;/li&gt;
&lt;/ul&gt;
&lt;strong&gt;Exemplo Prático:&lt;/strong&gt;
&lt;pre&gt;&lt;code&gt;// ---- DECLARAÇÃO DO MÉTODO ----
// num1 e num2 são os PARÂMETROS
public void somar(int num1, int num2) {
System.out.println(num1 + num2);
}
// ---- CHAMADA DO MÉTODO ----
Calculadora calc = new Calculadora();
// 4 e 6 são os ARGUMENTOS
calc.somar(4, 6);
&lt;/code&gt;&lt;/pre&gt;</t>
  </si>
  <si>
    <t>Qual a sintaxe para declarar um método que &lt;strong&gt;não retorna&lt;/strong&gt; nenhum valor?</t>
  </si>
  <si>
    <t xml:space="preserve">Utiliza-se a palavra-chave &lt;strong&gt;&lt;code&gt;void&lt;/code&gt;&lt;/strong&gt; no lugar do tipo de retorno. Estes métodos são usados para executar ações (efeitos colaterais), como imprimir algo na tela ou modificar um atributo.
A sintaxe é:
&lt;code&gt;[modificador] &lt;strong&gt;void&lt;/strong&gt; nomeDoMetodo { ... }&lt;/code&gt;
&lt;strong&gt;Exemplo:&lt;/strong&gt;
&lt;pre&gt;&lt;code&gt;public class Impressora {
// Este método executa uma ação, mas não devolve resposta.
public void imprimirMensagem(String mensagem) {
System.out.println(mensagem);
}
}
&lt;/code&gt;&lt;/pre&gt;
</t>
  </si>
  <si>
    <t>Qual a sintaxe para declarar um método que &lt;strong&gt;retorna&lt;/strong&gt; um valor?</t>
  </si>
  <si>
    <t>Substitui-se a palavra-chave &lt;code&gt;void&lt;/code&gt; pelo &lt;strong&gt;tipo do dado&lt;/strong&gt; que o método irá retornar. Dentro do método, é obrigatório o uso da palavra-chave &lt;code&gt;return&lt;/code&gt; para devolver o valor.
A sintaxe é:
&lt;code&gt;[modificador] &lt;strong&gt;[tipoDeRetorno]&lt;/strong&gt; nomeDoMetodo { ... return valor; }&lt;/code&gt;
&lt;strong&gt;Exemplo:&lt;/strong&gt;
&lt;pre&gt;&lt;code&gt;public class Calculadora {
// Este método promete devolver um 'double' e o faz com 'return'.
public double calcularMedia(double nota1, double nota2) {
double media = (nota1 + nota2) / 2;
return media;
}
}
&lt;/code&gt;&lt;/pre&gt;</t>
  </si>
  <si>
    <t>O que é um &lt;strong&gt;Code Smell&lt;/strong&gt; (mau cheiro no código) em programação?</t>
  </si>
  <si>
    <t>É uma característica no código-fonte que, apesar de &lt;strong&gt;não ser um bug&lt;/strong&gt; (o programa funciona), indica um &lt;strong&gt;problema mais profundo no design&lt;/strong&gt; ou na implementação.
É um "sintoma" de que algo "não cheira bem", sugerindo que o código provavelmente será difícil de entender, modificar ou manter no futuro. Code smells são indicadores de &lt;strong&gt;dívida técnica&lt;/strong&gt; (&lt;em&gt;technical debt&lt;/em&gt;).
&lt;strong&gt;Exemplos comuns de Code Smells:&lt;/strong&gt;
&lt;ul&gt;
&lt;li&gt;&lt;strong&gt;Métodos Longos:&lt;/strong&gt; Um método com dezenas ou centenas de linhas quase sempre tem baixa coesão e responsabilidades demais.&lt;/li&gt;
&lt;li&gt;&lt;strong&gt;Código Duplicado:&lt;/strong&gt; O mesmo bloco de código copiado e colado em vários lugares. Se precisar corrigir um bug, terá que corrigir em todos eles.&lt;/li&gt;
&lt;li&gt;&lt;strong&gt;Nomes Ruins:&lt;/strong&gt; Variáveis com nomes vagos (&lt;code&gt;x&lt;/code&gt;, &lt;code&gt;data&lt;/code&gt;, &lt;code&gt;coisa&lt;/code&gt;) ou métodos que não descrevem o que fazem (&lt;code&gt;processarDados()&lt;/code&gt;).&lt;/li&gt;
&lt;li&gt;&lt;strong&gt;Classes "faz-tudo":&lt;/strong&gt; Classes com baixa coesão que acumulam funcionalidades não relacionadas.&lt;/li&gt;
&lt;/ul&gt;</t>
  </si>
  <si>
    <t>No Eclipse IDE, para que serve o atalho &lt;strong&gt;&lt;code&gt;Ctrl + Shift + F&lt;/code&gt;&lt;/strong&gt;?</t>
  </si>
  <si>
    <t>Serve para &lt;strong&gt;formatar&lt;/strong&gt; (&lt;em&gt;Format&lt;/em&gt;) o código-fonte do arquivo selecionado automaticamente.
Esta ação ajusta a &lt;strong&gt;indentação, espaçamentos e quebras de linha&lt;/strong&gt; do código para que ele siga um padrão consistente e legível, definido nas configurações da IDE.
É uma ferramenta essencial para manter o código limpo e organizado rapidamente, garantindo um estilo visual uniforme no projeto.</t>
  </si>
  <si>
    <t>No Eclipse IDE, para que serve o atalho &lt;strong&gt;&lt;code&gt;Ctrl + Alt + Seta para Baixo&lt;/code&gt;&lt;/strong&gt;?</t>
  </si>
  <si>
    <t>Serve para &lt;strong&gt;duplicar&lt;/strong&gt; a linha atual (ou o bloco de linhas selecionado) imediatamente abaixo da original.
É um atalho extremamente útil para agilizar a escrita de código repetitivo, como a criação de múltiplas variáveis ou chamadas de método similares.
&lt;strong&gt;Dica:&lt;/strong&gt; Usar &lt;code&gt;Ctrl + Alt + Seta para Cima&lt;/code&gt; faz a mesma coisa, mas duplica a linha para &lt;strong&gt;cima&lt;/strong&gt;.</t>
  </si>
  <si>
    <t>Ao passar uma variável de tipo &lt;strong&gt;primitivo&lt;/strong&gt; para um método, as alterações feitas no parâmetro &lt;strong&gt;dentro&lt;/strong&gt; do método afetam a variável &lt;strong&gt;original&lt;/strong&gt;?
&lt;strong&gt;Exemplo:&lt;/strong&gt;
&lt;pre&gt;&lt;code&gt;int numeroOriginal = 10;
alterar(numeroOriginal);
System.out.println(numeroOriginal); // Qual valor será impresso?
public void alterar(int numeroParametro) {
numeroParametro = 20;
}
&lt;/code&gt;&lt;/pre&gt;</t>
  </si>
  <si>
    <t>&lt;strong&gt;Não, a variável original não é alterada.&lt;/strong&gt; O valor impresso será &lt;strong&gt;10&lt;/strong&gt;.
Isso ocorre porque Java utiliza &lt;strong&gt;passagem por cópia de valor&lt;/strong&gt; (&lt;em&gt;pass-by-value&lt;/em&gt;) para tipos primitivos.
&lt;ul&gt;
&lt;li&gt;O método não recebe a variável original, mas sim uma &lt;strong&gt;cópia&lt;/strong&gt; independente do seu valor.&lt;/li&gt;
&lt;li&gt;Qualquer alteração feita no parâmetro (&lt;code&gt;numeroParametro = 20&lt;/code&gt;) afeta apenas a cópia, que existe somente dentro do escopo do método.&lt;/li&gt;
&lt;li&gt;A variável original (&lt;code&gt;numeroOriginal&lt;/code&gt;) permanece com seu valor inalterado.&lt;/li&gt;
&lt;/ul&gt;
&lt;strong&gt;Conclusão fundamental:&lt;/strong&gt; Não é possível criar um método &lt;code&gt;void&lt;/code&gt; que modifique permanentemente o valor de uma variável primitiva que foi passada como argumento.</t>
  </si>
  <si>
    <t>Ao passar uma variável de tipo &lt;strong&gt;referência&lt;/strong&gt; (um objeto) para um método, o objeto original é afetado pelas alterações feitas no parâmetro?</t>
  </si>
  <si>
    <t>&lt;strong&gt;Sim, o estado do objeto original é afetado.&lt;/strong&gt;
Isso ocorre porque, ao passar um objeto, o Java copia o &lt;strong&gt;valor da referência&lt;/strong&gt; (o endereço para o objeto na memória Heap) para o parâmetro do método.
&lt;ul&gt;
&lt;li&gt;O resultado é que tanto a variável original quanto o parâmetro do método apontam para o &lt;strong&gt;mesmo e único objeto&lt;/strong&gt; na memória.&lt;/li&gt;
&lt;li&gt;Portanto, qualquer alteração nos atributos do objeto feita através do parâmetro do método será refletida na variável original, pois ambas "controlam" a mesma instância.&lt;/li&gt;
&lt;/ul&gt;
&lt;strong&gt;Analogia:&lt;/strong&gt; Duas pessoas com cópias do mesmo controle remoto para a mesma TV. Se uma delas mudar o canal, a TV muda para todos.</t>
  </si>
  <si>
    <t>Qual a diferença fundamental de comportamento ao passar &lt;strong&gt;tipos primitivos&lt;/strong&gt; vs. &lt;strong&gt;tipos de referência (objetos)&lt;/strong&gt; como parâmetros para um método?</t>
  </si>
  <si>
    <t>A diferença está no que é copiado para o parâmetro do método, o que muda completamente o resultado final.
&lt;ul&gt;
&lt;li&gt;&lt;strong&gt;Tipos Primitivos (ex: &lt;code&gt;int&lt;/code&gt;):&lt;/strong&gt;
&lt;ul&gt;
&lt;li&gt;&lt;strong&gt;O que é copiado:&lt;/strong&gt; Uma cópia do &lt;strong&gt;valor literal&lt;/strong&gt; (ex: o número 10).&lt;/li&gt;
&lt;li&gt;&lt;strong&gt;Consequência:&lt;/strong&gt; O método opera em uma cópia independente. Alterações feitas no parâmetro &lt;strong&gt;NÃO AFETAM&lt;/strong&gt; a variável original.&lt;/li&gt;
&lt;/ul&gt;
&lt;/li&gt;
&lt;li&gt;&lt;strong&gt;Tipos de Referência (Objetos):&lt;/strong&gt;
&lt;ul&gt;
&lt;li&gt;&lt;strong&gt;O que é copiado:&lt;/strong&gt; Uma cópia do &lt;strong&gt;endereço de memória&lt;/strong&gt; do objeto.&lt;/li&gt;
&lt;li&gt;&lt;strong&gt;Consequência:&lt;/strong&gt; Ambas as referências (original e a do parâmetro) apontam para o &lt;strong&gt;mesmo objeto&lt;/strong&gt;. Alterações no estado do objeto &lt;strong&gt;AFETAM&lt;/strong&gt; a instância original.&lt;/li&gt;
&lt;/ul&gt;
&lt;/li&gt;
&lt;/ul&gt;</t>
  </si>
  <si>
    <t>Quais são os dois principais usos da palavra-chave &lt;strong&gt;&lt;code&gt;this&lt;/code&gt;&lt;/strong&gt; em métodos Java?</t>
  </si>
  <si>
    <t>&lt;code&gt;this&lt;/code&gt; é uma referência para o próprio objeto (a instância atual). Seus dois usos principais são:
&lt;ol&gt;
&lt;li&gt;&lt;strong&gt;Desambiguação de Nomes:&lt;/strong&gt; Resolver o conflito quando um parâmetro de método tem o mesmo nome de um atributo da classe. &lt;code&gt;this.nome = nome;&lt;/code&gt; garante que estamos nos referindo ao atributo.&lt;/li&gt;
&lt;li&gt;&lt;strong&gt;Passar a Si Mesmo como Argumento:&lt;/strong&gt; Permitir que um objeto passe uma referência de si mesmo para outro método. Ex: &lt;code&gt;outroObjeto.processar(this);&lt;/code&gt;.&lt;/li&gt;
&lt;/ol&gt;</t>
  </si>
  <si>
    <t>Em programação, o que significa o termo &lt;strong&gt;Shadowing&lt;/strong&gt; (Ofuscamento de Variável)?</t>
  </si>
  <si>
    <t>Ocorre quando uma variável declarada em um escopo interno (ex: um parâmetro ou variável local de um método) tem o &lt;strong&gt;mesmo nome&lt;/strong&gt; de uma variável de um escopo mais externo (ex: um atributo de classe).
Dentro do escopo interno, a variável mais "próxima" (a local) prevalece e "ofusca" (esconde) a variável mais externa. Qualquer referência àquele nome, sem um qualificador explícito, será direcionada à variável local.
&lt;strong&gt;Exemplo:&lt;/strong&gt;
&lt;pre&gt;&lt;code&gt;public class Exemplo {
private int x = 10; // Atributo
public void meuMetodo() {
    int x = 20; // Var. local ofusca o atributo
    System.out.println(x); // Imprime 20
}
}
&lt;/code&gt;&lt;/pre&gt;</t>
  </si>
  <si>
    <t xml:space="preserve">Como podemos acessar um atributo de instância que está sendo "ofuscado" (&lt;em&gt;shadowed&lt;/em&gt;) por uma variável local com o mesmo nome?
</t>
  </si>
  <si>
    <t>Utilizando a palavra-chave &lt;strong&gt;&lt;code&gt;this&lt;/code&gt;&lt;/strong&gt;.
O &lt;code&gt;this&lt;/code&gt; age como um qualificador explícito que "fura" o escopo local e resolve a ambiguidade, especificando que queremos acessar o membro que pertence à instância atual do objeto.
&lt;strong&gt;Exemplo:&lt;/strong&gt;
&lt;pre&gt;&lt;code&gt;public class Exemplo {
private int x = 10; // Atributo da instância
public void meuMetodo() {
    int x = 20; // Variável local
    System.out.println(x);        // Imprime 20 (acessa a var. local)
    System.out.println(this.x); // Imprime 10 (acessa o atributo da instância)
}
}
&lt;/code&gt;&lt;/pre&gt;</t>
  </si>
  <si>
    <t>Em Orientação a Objetos, o que é &lt;strong&gt;Sobrecarga de Métodos&lt;/strong&gt; (Method Overloading)?</t>
  </si>
  <si>
    <t>É a capacidade de definir, dentro da &lt;strong&gt;mesma classe&lt;/strong&gt;, múltiplos métodos com o &lt;strong&gt;mesmo nome&lt;/strong&gt;, contanto que suas &lt;strong&gt;listas de parâmetros&lt;/strong&gt; sejam diferentes.
O objetivo é oferecer flexibilidade e conveniência, permitindo que uma mesma "ação" (método) possa ser executada com diferentes tipos ou quantidades de informação (parâmetros). O compilador Java identifica qual versão do método chamar com base nos argumentos fornecidos.
&lt;strong&gt;Exemplo de Cenário:&lt;/strong&gt;
&lt;pre&gt;&lt;code&gt;public class Sistema {
// Cadastro para um adulto
public void cadastrar(String nome, String cpf) { ... }
// SOBRECARGA: mesmo nome, mas para um menor de idade
public void cadastrar(String nome, String cpf, String cpfResponsavel) { ... }
}
&lt;/code&gt;&lt;/pre&gt;</t>
  </si>
  <si>
    <t>Quais são as regras que diferenciam a &lt;strong&gt;assinatura&lt;/strong&gt; de um método para permitir a &lt;strong&gt;sobrecarga&lt;/strong&gt;?</t>
  </si>
  <si>
    <t>Para que métodos com o mesmo nome sejam considerados sobrecarregados, suas listas de parâmetros devem ser diferentes em pelo menos um dos seguintes aspectos:
&lt;ol&gt;
&lt;li&gt;O &lt;strong&gt;número&lt;/strong&gt; de parâmetros.&lt;/li&gt;
&lt;li&gt;O &lt;strong&gt;tipo&lt;/strong&gt; dos parâmetros.&lt;/li&gt;
&lt;li&gt;A &lt;strong&gt;ordem&lt;/strong&gt; dos tipos dos parâmetros.&lt;/li&gt;
&lt;/ol&gt;
&lt;strong&gt;Exemplo:&lt;/strong&gt;
&lt;pre&gt;&lt;code&gt;// Todas as chamadas abaixo são válidas e distintas
public void calcular() { ... }
public void calcular(int a) { ... } // Tipo diferente
public void calcular(double a) { ... } // Tipo diferente
public void calcular(int a, double b) { ... } // Ordem diferente
public void calcular(double b, int a) { ... } // Ordem diferente
&lt;/code&gt;&lt;/pre&gt;</t>
  </si>
  <si>
    <t>Na sobrecarga de métodos, quais características &lt;strong&gt;não são suficientes&lt;/strong&gt; para diferenciar dois métodos?</t>
  </si>
  <si>
    <t>Existem duas características que, sozinhas, não diferenciam a assinatura de um método e causam um erro de compilação se usadas para tentar sobrecarregar:
&lt;ul&gt;
&lt;li&gt;&lt;strong&gt;Apenas o tipo de retorno:&lt;/strong&gt; O compilador não consegue decidir qual método chamar apenas com base em onde você vai guardar o resultado.
&lt;pre&gt;&lt;code&gt;// ERRO DE COMPILAÇÃO!
public void calcular() { ... }
public int calcular() { ... }&lt;/code&gt;&lt;/pre&gt;
&lt;/li&gt;
&lt;li&gt;&lt;strong&gt;Apenas os nomes dos parâmetros:&lt;/strong&gt; Os nomes são irrelevantes para a assinatura; apenas os tipos importam.
&lt;pre&gt;&lt;code&gt;// ERRO DE COMPILAÇÃO! (Assinaturas idênticas)
public void calcular(int numero1, int numero2) { ... }
public void calcular(int valorA, int valorB) { ... }&lt;/code&gt;&lt;/pre&gt;
&lt;/li&gt;
&lt;/ul&gt;</t>
  </si>
  <si>
    <t>O que é a &lt;strong&gt;assinatura de um método&lt;/strong&gt; (Method Signature) em Java e quais são seus componentes?</t>
  </si>
  <si>
    <t>É a "identidade única" de um método dentro de uma classe. É a forma como o compilador Java diferencia um método de outro, o que torna a sobrecarga (overloading) possível.
A assinatura é composta por duas partes:
&lt;ul&gt;
&lt;li&gt;O &lt;strong&gt;nome&lt;/strong&gt; do método.&lt;/li&gt;
&lt;li&gt;A &lt;strong&gt;sequência de tipos&lt;/strong&gt; dos seus parâmetros (a quantidade e a ordem importam).&lt;/li&gt;
&lt;/ul&gt;
&lt;strong&gt;Exemplo:&lt;/strong&gt; Para o método:
&lt;code&gt;public int somar(int valorA, int valorB) { ... }&lt;/code&gt;
A assinatura é: &lt;strong&gt;&lt;code&gt;somar(int, int)&lt;/code&gt;&lt;/strong&gt;
O que &lt;strong&gt;NÃO faz parte&lt;/strong&gt; da assinatura:
&lt;ul&gt;
&lt;li&gt;O tipo de retorno (&lt;code&gt;public &lt;strong&gt;int&lt;/strong&gt;...&lt;/code&gt;)&lt;/li&gt;
&lt;li&gt;Os modificadores de acesso (&lt;code&gt;&lt;strong&gt;public&lt;/strong&gt;...&lt;/code&gt;)&lt;/li&gt;
&lt;li&gt;Os nomes dos parâmetros (&lt;code&gt;valorA&lt;/code&gt;, &lt;code&gt;valorB&lt;/code&gt;)&lt;/li&gt;
&lt;/ul&gt;</t>
  </si>
  <si>
    <t>Em Java, o que é um &lt;strong&gt;parâmetro Varargs&lt;/strong&gt; e qual sua sintaxe?</t>
  </si>
  <si>
    <t>Varargs (Argumentos Variáveis) é uma forma mais flexível e conveniente de declarar um método que pode aceitar zero ou mais argumentos de um mesmo tipo.
A sintaxe utiliza o tipo do dado seguido por três pontos (...). Dentro do método, o parâmetro Varargs é tratado exatamente como um array daquele tipo.
&lt;strong&gt;Exemplo de Declaração:&lt;/strong&gt;
&lt;pre&gt;&lt;code&gt;// 'numeros' aqui dentro é um array (int[])
public void imprimirNumeros(int... numeros) {
for (int num : numeros) {
System.out.println(num);
}
}
&lt;/code&gt;&lt;/pre&gt;
&lt;strong&gt;Exemplo de Chamada:&lt;/strong&gt;
&lt;pre&gt;&lt;code&gt;imprimirNumeros(); // 0 argumentos
imprimirNumeros(1, 2, 3); // 3 argumentos
imprimirNumeros(99); // 1 argumento
&lt;/code&gt;&lt;/pre&gt;</t>
  </si>
  <si>
    <t>Qual a principal vantagem de um método com &lt;strong&gt;Varargs&lt;/strong&gt; em comparação com um que aceita um &lt;strong&gt;array&lt;/strong&gt;?</t>
  </si>
  <si>
    <t>A principal vantagem é a flexibilidade para quem chama o método. Um método com Varargs oferece o melhor dos dois mundos:
&lt;ol&gt;
&lt;li&gt;&lt;strong&gt;Conveniência:&lt;/strong&gt; Permite que o método seja chamado com argumentos "soltos", separados por vírgula, sem a necessidade de criar um array manualmente.&lt;/li&gt;
&lt;li&gt;&lt;strong&gt;Compatibilidade:&lt;/strong&gt; Ele também aceita, sem problemas, um array pré-existente daquele tipo.&lt;/li&gt;
&lt;/ol&gt;
Isso torna o método mais amigável e adaptável a diferentes cenários de uso.
&lt;strong&gt;Exemplo da Dupla Utilidade:&lt;/strong&gt;
&lt;pre&gt;&lt;code&gt;public void calcular(double... valores) { ... }
// Uso 1: Conveniência com valores soltos
calcular(10.5, 9.0, 8.8);
// Uso 2: Compatibilidade com array existente
double[] notas = {10.5, 9.0, 8.8};
calcular(notas); // Funciona perfeitamente
&lt;/code&gt;&lt;/pre&gt;</t>
  </si>
  <si>
    <t>Em design de software, o que é &lt;strong&gt;acoplamento&lt;/strong&gt; (coupling)?</t>
  </si>
  <si>
    <t>É o grau de &lt;strong&gt;dependência&lt;/strong&gt; entre duas ou mais partes de um sistema (ex: duas classes).
&lt;ul&gt;
&lt;li&gt;&lt;strong&gt;Alto Acoplamento (Ruim):&lt;/strong&gt; Uma mudança em uma classe exige mudanças em outras. As classes são frágeis e difíceis de reutilizar ou testar de forma isolada. Causa um "efeito dominó".&lt;/li&gt;
&lt;li&gt;&lt;strong&gt;Baixo Acoplamento (Bom):&lt;/strong&gt; As classes são independentes e se comunicam através de interfaces bem definidas (contratos). Uma mudança em uma classe não impacta as outras. O código é mais flexível, reutilizável e fácil de manter.&lt;/li&gt;
&lt;/ul&gt;
O objetivo de um bom design é sempre buscar o &lt;strong&gt;baixo acoplamento&lt;/strong&gt;.</t>
  </si>
  <si>
    <t>Qual a diferença entre &lt;strong&gt;acoplamento&lt;/strong&gt; e &lt;strong&gt;visibilidade&lt;/strong&gt; (modificadores de acesso)?</t>
  </si>
  <si>
    <t>Embora relacionados, são conceitos distintos:
&lt;ul&gt;
&lt;li&gt;&lt;strong&gt;Visibilidade (public, private):&lt;/strong&gt; Define a &lt;strong&gt;permissão de acesso&lt;/strong&gt;. Responde à pergunta: "Eu posso &lt;em&gt;ver&lt;/em&gt; ou &lt;em&gt;tocar&lt;/em&gt; neste membro?". É uma regra de compilação.&lt;/li&gt;
&lt;li&gt;&lt;strong&gt;Acoplamento:&lt;/strong&gt; Define o grau de &lt;strong&gt;dependência direta&lt;/strong&gt; de uma implementação concreta. Responde à pergunta: "Se a implementação interna da &lt;em&gt;Classe B&lt;/em&gt; mudar, a &lt;em&gt;Classe A&lt;/em&gt; vai quebrar?". É um conceito de design e arquitetura.&lt;/li&gt;
&lt;/ul&gt;
A visibilidade é uma das &lt;strong&gt;ferramentas&lt;/strong&gt; para gerenciar o acoplamento. Usar &lt;code&gt;private&lt;/code&gt; ajuda a esconder detalhes e reduzir a dependência, mas o acoplamento principal ocorre quando uma classe cria ou depende diretamente de outra classe concreta.</t>
  </si>
  <si>
    <t>Em design de software, o que é &lt;strong&gt;acoplamento&lt;/strong&gt; (coupling) sob a perspectiva de conexão e dependência?</t>
  </si>
  <si>
    <t>Acoplamento é o grau de &lt;strong&gt;conexão e dependência&lt;/strong&gt; que uma classe tem em relação a outra. Ele mede o quão "amarradas" elas estão, o que impacta diretamente a flexibilidade e a manutenção do código.
&lt;ul&gt;
&lt;li&gt;&lt;strong&gt;Alto Acoplamento (Ruim):&lt;/strong&gt;
&lt;ul&gt;
&lt;li&gt;Uma classe tem uma &lt;strong&gt;forte conexão&lt;/strong&gt; e é &lt;strong&gt;altamente dependente&lt;/strong&gt; da implementação interna e específica de outra.&lt;/li&gt;
&lt;li&gt;&lt;strong&gt;Consequência:&lt;/strong&gt; Uma mudança em uma classe força mudanças em outras, criando um "efeito dominó" que torna o sistema frágil.&lt;/li&gt;
&lt;li&gt;&lt;strong&gt;Analogia:&lt;/strong&gt; Um celular antigo que só funciona com um modelo específico de carregador proprietário.&lt;/li&gt;
&lt;/ul&gt;
&lt;/li&gt;
&lt;li&gt;&lt;strong&gt;Baixo Acoplamento (Bom):&lt;/strong&gt;
&lt;ul&gt;
&lt;li&gt;As classes têm uma &lt;strong&gt;conexão fraca&lt;/strong&gt; e uma &lt;strong&gt;dependência mínima&lt;/strong&gt;. Elas se comunicam através de "contratos" (interfaces) bem definidos, sem precisar conhecer os detalhes internos uma da outra.&lt;/li&gt;
&lt;li&gt;&lt;strong&gt;Consequência:&lt;/strong&gt; As classes são independentes e modulares. Você pode alterar ou substituir uma delas sem quebrar o resto do sistema.&lt;/li&gt;
&lt;li&gt;&lt;strong&gt;Analogia:&lt;/strong&gt; Um celular moderno com porta USB-C, que funciona com qualquer carregador que siga esse padrão.&lt;/li&gt;
&lt;/ul&gt;
&lt;/li&gt;
&lt;/ul&gt;
O objetivo de um bom design de software é sempre buscar o &lt;strong&gt;baixo acoplamento&lt;/strong&gt;.</t>
  </si>
  <si>
    <t>Quando devo usar &lt;strong&gt;&lt;code&gt;==&lt;/code&gt;&lt;/strong&gt; e quando devo usar &lt;strong&gt;&lt;code&gt;.equals()&lt;/code&gt;&lt;/strong&gt; para comparar valores em Java?</t>
  </si>
  <si>
    <t>&lt;table&gt; &lt;tr&gt; &lt;th style="text-align:left"&gt;Se você está comparando...&lt;/th&gt; &lt;th style="text-align:left"&gt;Use...&lt;/th&gt; &lt;th style="text-align:left"&gt;Porque você está comparando...&lt;/th&gt; &lt;/tr&gt; &lt;tr&gt; &lt;td&gt;&lt;strong&gt;Tipos Primitivos&lt;/strong&gt;
(&lt;code&gt;int&lt;/code&gt;, &lt;code&gt;double&lt;/code&gt;, &lt;code&gt;boolean&lt;/code&gt;, &lt;code&gt;char&lt;/code&gt;, etc.)&lt;/td&gt; &lt;td&gt;&lt;strong&gt;&lt;code&gt;==&lt;/code&gt;&lt;/strong&gt;&lt;/td&gt; &lt;td&gt;Os &lt;strong&gt;valores literais&lt;/strong&gt; diretamente.&lt;/td&gt; &lt;/tr&gt; &lt;tr&gt; &lt;td&gt;&lt;strong&gt;Objetos&lt;/strong&gt;
(&lt;code&gt;String&lt;/code&gt;, &lt;code&gt;Scanner&lt;/code&gt;, &lt;code&gt;Cachorro&lt;/code&gt;, etc.)&lt;/td&gt; &lt;td&gt;&lt;strong&gt;&lt;code&gt;.equals()&lt;/code&gt;&lt;/strong&gt;&lt;/td&gt; &lt;td&gt;O &lt;strong&gt;conteúdo&lt;/strong&gt; ou o estado interno dos objetos.&lt;/td&gt; &lt;/tr&gt; &lt;/table&gt;
&lt;strong&gt;A Armadilha:&lt;/strong&gt; Usar &lt;code&gt;==&lt;/code&gt; com objetos (como &lt;code&gt;String&lt;/code&gt;) não compara o conteúdo, mas sim se as duas referências apontam para o &lt;strong&gt;exatamente mesmo endereço de memória&lt;/strong&gt;, o que quase nunca é o que você quer fazer.</t>
  </si>
  <si>
    <t>Em POO, o que é o princípio do &lt;strong&gt;Encapsulamento&lt;/strong&gt; (Encapsulation)?</t>
  </si>
  <si>
    <t>É o princípio de agrupar os &lt;strong&gt;dados (atributos)&lt;/strong&gt; e os &lt;strong&gt;métodos&lt;/strong&gt; que operam nesses dados dentro de uma única unidade (a classe), escondendo os detalhes internos e protegendo a integridade dos dados.
A implementação prática do encapsulamento é feita através de:
&lt;ul&gt; &lt;li&gt;Declarar os atributos como &lt;code&gt;private&lt;/code&gt; para protegê-los do acesso externo direto.&lt;/li&gt; &lt;li&gt;Prover métodos &lt;code&gt;public&lt;/code&gt; (como Getters e Setters) que funcionam como uma "interface pública" controlada para interagir com os dados.&lt;/li&gt; &lt;/ul&gt; O objetivo é garantir que o objeto esteja sempre em um estado válido, pois todas as interações são forçadas a passar pelas regras de negócio definidas nos métodos públicos.</t>
  </si>
  <si>
    <t>Qual a diferença fundamental entre declarar um atributo como &lt;strong&gt;&lt;code&gt;public&lt;/code&gt;&lt;/strong&gt; e como &lt;strong&gt;&lt;code&gt;private&lt;/code&gt;&lt;/strong&gt;?</t>
  </si>
  <si>
    <t>A diferença está na &lt;strong&gt;visibilidade&lt;/strong&gt; e no nível de &lt;strong&gt;proteção&lt;/strong&gt;.
&lt;ul&gt; &lt;li&gt;&lt;strong&gt;&lt;code&gt;public&lt;/code&gt;:&lt;/strong&gt; O atributo é totalmente visível e pode ser lido e modificado diretamente por qualquer outra classe. Isso é considerado uma má prática, pois não há controle sobre os dados, quebrando o encapsulamento.&lt;/li&gt;
&lt;li&gt;&lt;strong&gt;&lt;code&gt;private&lt;/code&gt;:&lt;/strong&gt; O atributo só é visível e acessível de dentro da própria classe. Ele fica protegido de acessos externos diretos, forçando a interação através de métodos públicos, o que garante a integridade dos dados.&lt;/li&gt; &lt;/ul&gt;</t>
  </si>
  <si>
    <t>O que é o conceito de &lt;strong&gt;baixo acoplamento&lt;/strong&gt; e &lt;strong&gt;alto acoplamento&lt;/strong&gt;? Qual deles deve ser evitado e por quê?</t>
  </si>
  <si>
    <t>Acoplamento é o grau de &lt;strong&gt;conexão e dependência&lt;/strong&gt; entre classes.
&lt;ul&gt; &lt;li&gt;&lt;strong&gt;Alto Acoplamento (Ruim):&lt;/strong&gt; Ocorre quando uma classe depende diretamente da implementação interna e específica de outra. Deve ser &lt;strong&gt;evitado&lt;/strong&gt; porque torna o código frágil, difícil de manter e de reutilizar (uma mudança em uma classe quebra as outras - "efeito dominó").&lt;/li&gt;
&lt;li&gt;&lt;strong&gt;Baixo Acoplamento (Bom):&lt;/strong&gt; Ocorre quando as classes são independentes e se comunicam através de "contratos" (interfaces públicas), sem conhecer os detalhes internos umas das outras. Isso torna o código flexível, modular e fácil de dar manutenção.&lt;/li&gt; &lt;/ul&gt;</t>
  </si>
  <si>
    <t>Para que serve um método &lt;strong&gt;Getter&lt;/strong&gt; e qual a sua convenção de sintaxe?</t>
  </si>
  <si>
    <t>Um Getter é um método &lt;code&gt;public&lt;/code&gt; cuja única responsabilidade é &lt;strong&gt;ler e retornar&lt;/strong&gt; o valor de um atributo &lt;code&gt;private&lt;/code&gt;. Ele provê um acesso de "somente leitura" controlado ao estado de um objeto.
A convenção de nomenclatura é usar o prefixo &lt;code&gt;get&lt;/code&gt; seguido do nome do atributo com a primeira letra maiúscula.
&lt;strong&gt;Exemplo:&lt;/strong&gt;
&lt;pre&gt;&lt;code&gt;public class Pessoa { private String nome;
public String getNome() {
    return this.nome;
}
} &lt;/code&gt;&lt;/pre&gt;</t>
  </si>
  <si>
    <t>Para que serve um método &lt;strong&gt;Setter&lt;/strong&gt; e qual a sua convenção de sintaxe?</t>
  </si>
  <si>
    <t>Um Setter é um método &lt;code&gt;public&lt;/code&gt;, geralmente &lt;code&gt;void&lt;/code&gt;, cuja responsabilidade é &lt;strong&gt;modificar&lt;/strong&gt; o valor de um atributo &lt;code&gt;private&lt;/code&gt;. É o local ideal para adicionar &lt;strong&gt;regras de negócio e validações&lt;/strong&gt; para garantir que o objeto não entre em um estado inválido.
A convenção de nomenclatura é usar o prefixo &lt;code&gt;set&lt;/code&gt; seguido do nome do atributo com a primeira letra maiúscula.
&lt;strong&gt;Exemplo:&lt;/strong&gt;
&lt;pre&gt;&lt;code&gt;public class Pessoa { private int idade;
public void setIdade(int idade) {
    if (idade &amp;gt; 0) { // Regra de negócio
        this.idade = idade;
    }
}
} &lt;/code&gt;&lt;/pre&gt;</t>
  </si>
  <si>
    <t>Qual a relação entre o uso de métodos &lt;strong&gt;Getters/Setters&lt;/strong&gt; e o &lt;strong&gt;baixo acoplamento&lt;/strong&gt;?</t>
  </si>
  <si>
    <t>Getters e Setters são a &lt;strong&gt;ferramenta prática&lt;/strong&gt; para alcançar o baixo acoplamento.
&lt;ul&gt; &lt;li&gt;Eles formam uma &lt;strong&gt;interface pública estável&lt;/strong&gt; (um "contrato") para interagir com os dados de um objeto.&lt;/li&gt; &lt;li&gt;Outras classes se acoplam a esses métodos, e não aos atributos diretamente.&lt;/li&gt; &lt;li&gt;Isso permite que a &lt;strong&gt;implementação interna&lt;/strong&gt; de como um atributo é armazenado ou calculado possa ser alterada no futuro, sem quebrar as classes que dependem daquele contrato. O detalhe interno fica escondido (encapsulado), e a dependência externa se dá apenas com a assinatura do método.&lt;/li&gt; &lt;/ul&gt;</t>
  </si>
  <si>
    <t>Qual a diferença fundamental entre usar &lt;strong&gt;&lt;code&gt;==&lt;/code&gt;&lt;/strong&gt; e o método &lt;strong&gt;&lt;code&gt;.equals()&lt;/code&gt;&lt;/strong&gt; para comparar objetos em Java, especialmente &lt;code&gt;String&lt;/code&gt;s?</t>
  </si>
  <si>
    <t>&lt;ul&gt; &lt;li&gt;&lt;strong&gt;&lt;code&gt;==&lt;/code&gt; (Comparador de Referência):&lt;/strong&gt; Compara se duas variáveis de referência apontam para o &lt;strong&gt;exatamente mesmo endereço de memória&lt;/strong&gt;. Ele responde à pergunta: "Estas duas variáveis são o mesmo objeto?".&lt;/li&gt;
&lt;li&gt;&lt;strong&gt;&lt;code&gt;.equals()&lt;/code&gt; (Comparador de Conteúdo):&lt;/strong&gt; É um método que, na classe &lt;code&gt;String&lt;/code&gt;, foi programado para ignorar os endereços de memória e comparar o &lt;strong&gt;conteúdo real&lt;/strong&gt; dos objetos, caractere por caractere. Ele responde à pergunta: "Estes dois objetos representam o mesmo valor?".&lt;/li&gt; &lt;/ul&gt; &lt;strong&gt;Regra de Ouro:&lt;/strong&gt; Para comparar o conteúdo de objetos, use sempre &lt;code&gt;.equals()&lt;/code&gt;. Use &lt;code&gt;==&lt;/code&gt; apenas para tipos primitivos ou se você realmente precisar saber se duas referências apontam para o mesmo objeto na memória.</t>
  </si>
  <si>
    <t>O que é o &lt;strong&gt;String Pool&lt;/strong&gt; em Java e como ele funciona?</t>
  </si>
  <si>
    <t>É uma área especial de armazenamento na memória Heap onde o Java guarda objetos &lt;code&gt;String&lt;/code&gt; literais (textos criados com aspas duplas, ex: &lt;code&gt;"Java"&lt;/code&gt;).
&lt;strong&gt;Como funciona:&lt;/strong&gt; Para economizar memória, se o Java encontra a mesma String literal várias vezes no código, ele cria &lt;strong&gt;apenas um objeto&lt;/strong&gt; no String Pool e faz com que todas as variáveis de referência que usam aquele literal apontem para o mesmo endereço de memória.</t>
  </si>
  <si>
    <t>Por que &lt;code&gt;"Gustavo" == "Gustavo"&lt;/code&gt; retorna &lt;strong&gt;&lt;code&gt;true&lt;/code&gt;&lt;/strong&gt;, mas &lt;code&gt;"Gustavo" == new String("Gustavo")&lt;/code&gt; retorna &lt;strong&gt;&lt;code&gt;false&lt;/code&gt;&lt;/strong&gt;?</t>
  </si>
  <si>
    <t>&lt;ul&gt; &lt;li&gt;&lt;strong&gt;&lt;code&gt;"Gustavo" == "Gustavo"&lt;/code&gt; (true):&lt;/strong&gt; Ambas são Strings literais idênticas. Graças ao &lt;strong&gt;String Pool&lt;/strong&gt;, o Java cria um único objeto "Gustavo" na memória e faz com que as duas referências apontem para o mesmo endereço. Como os endereços são iguais, &lt;code&gt;==&lt;/code&gt; retorna &lt;code&gt;true&lt;/code&gt;.&lt;/li&gt;
&lt;li&gt;&lt;strong&gt;&lt;code&gt;"Gustavo" == new String("Gustavo")&lt;/code&gt; (false):&lt;/strong&gt; A palavra-chave &lt;code&gt;new&lt;/code&gt; &lt;strong&gt;força&lt;/strong&gt; a JVM a ignorar o String Pool e criar um &lt;strong&gt;objeto &lt;code&gt;String&lt;/code&gt; completamente novo&lt;/strong&gt; na memória Heap, em um novo endereço. Como as duas referências apontam para endereços de memória diferentes, &lt;code&gt;==&lt;/code&gt; retorna &lt;code&gt;false&lt;/code&gt;.&lt;/li&gt; &lt;/ul&gt;</t>
  </si>
  <si>
    <t>Uma &lt;code&gt;String&lt;/code&gt; criada pela concatenação de &lt;strong&gt;variáveis&lt;/strong&gt; (ex: &lt;code&gt;"Ja" + "va"&lt;/code&gt;) é colocada no String Pool?</t>
  </si>
  <si>
    <t>&lt;strong&gt;Não.&lt;/strong&gt; A otimização do String Pool geralmente ocorre em &lt;strong&gt;tempo de compilação&lt;/strong&gt; para valores literais constantes.
Quando a concatenação envolve &lt;strong&gt;variáveis&lt;/strong&gt; (ex: &lt;code&gt;String s = parte1 + parte2;&lt;/code&gt;), o resultado só é conhecido em &lt;strong&gt;tempo de execução&lt;/strong&gt;. Portanto, o Java cria um &lt;strong&gt;objeto &lt;code&gt;String&lt;/code&gt; completamente novo&lt;/strong&gt; na memória Heap, fora do String Pool.
É por isso que &lt;code&gt;"Java" == (parte1 + parte2)&lt;/code&gt; resultaria em &lt;code&gt;false&lt;/code&gt;, mas &lt;code&gt;"Java".equals(parte1 + parte2)&lt;/code&gt; resultaria em &lt;code&gt;true&lt;/code&gt;.</t>
  </si>
  <si>
    <t>Por que o método &lt;code&gt;.equals()&lt;/code&gt; funciona para comparar o conteúdo de &lt;code&gt;String&lt;/code&gt;s, mesmo que elas estejam em endereços de memória diferentes?</t>
  </si>
  <si>
    <t>Porque a classe &lt;code&gt;String&lt;/code&gt; &lt;strong&gt;sobrescreveu (overrode)&lt;/strong&gt; o método &lt;code&gt;.equals()&lt;/code&gt; que ela herdou da classe &lt;code&gt;Object&lt;/code&gt;.
A implementação padrão de &lt;code&gt;.equals()&lt;/code&gt; na classe &lt;code&gt;Object&lt;/code&gt; se comporta exatamente como o &lt;code&gt;==&lt;/code&gt; (compara endereços). No entanto, os criadores da classe &lt;code&gt;String&lt;/code&gt; forneceram uma nova implementação específica que, em vez de comparar endereços, executa uma lógica para comparar o conteúdo das strings, caractere por caractere.</t>
  </si>
  <si>
    <t>Qual o comportamento padrão do método &lt;strong&gt;&lt;code&gt;.equals()&lt;/code&gt;&lt;/strong&gt; em classes que &lt;strong&gt;você cria&lt;/strong&gt; (ex: &lt;code&gt;Cachorro&lt;/code&gt;, &lt;code&gt;Produto&lt;/code&gt;), e o que deve ser feito?</t>
  </si>
  <si>
    <t>Por padrão, qualquer classe que você cria herda o método &lt;code&gt;.equals()&lt;/code&gt; da classe &lt;code&gt;Object&lt;/code&gt;. Essa implementação padrão se comporta exatamente como o operador &lt;strong&gt;&lt;code&gt;==&lt;/code&gt;&lt;/strong&gt;, ou seja, ela compara apenas os &lt;strong&gt;endereços de memória&lt;/strong&gt;.
Para que o &lt;code&gt;.equals()&lt;/code&gt; tenha um significado útil para sua classe (comparar atributos, como o cpf de uma Pessoa), você precisa sobrescrever (override) o método &lt;code&gt;.equals()&lt;/code&gt; e implementar sua própria lógica de comparação de conteúdo.</t>
  </si>
  <si>
    <t>Do que se trata o erro &lt;strong&gt;&lt;code&gt;NullPointerException&lt;/code&gt;&lt;/strong&gt; (NPE) em Java?</t>
  </si>
  <si>
    <t>É um erro em tempo de execução (&lt;code&gt;RuntimeException&lt;/code&gt;) que ocorre quando o código tenta usar uma &lt;strong&gt;variável de referência&lt;/strong&gt; que está apontando para &lt;strong&gt;&lt;code&gt;null&lt;/code&gt;&lt;/strong&gt; (ou seja, não aponta para nenhum objeto na memória), como se ela estivesse apontando para um objeto real.
&lt;strong&gt;O que é &lt;code&gt;null&lt;/code&gt;?&lt;/strong&gt; É um valor especial que significa "nenhum objeto" ou "ausência de referência".
&lt;strong&gt;Ações que causam NPE em uma referência &lt;code&gt;null&lt;/code&gt;:&lt;/strong&gt;
&lt;ul&gt; &lt;li&gt;Chamar um método de instância (ex: &lt;code&gt;minhaVariavelNull.metodo()&lt;/code&gt;).&lt;/li&gt; &lt;li&gt;Acessar um atributo de instância (ex: &lt;code&gt;minhaVariavelNull.atributo&lt;/code&gt;).&lt;/li&gt; &lt;li&gt;Obter o tamanho de um array &lt;code&gt;null&lt;/code&gt; (ex: &lt;code&gt;meuArrayNull.length&lt;/code&gt;).&lt;/li&gt; &lt;li&gt;Entre outras operações que exigem um objeto real.&lt;/li&gt; &lt;/ul&gt; &lt;strong&gt;Causa Comum:&lt;/strong&gt; Uma variável de referência foi declarada, mas nunca inicializada (não recebeu um &lt;code&gt;new Objeto()&lt;/code&gt; ou valor válido) ou foi explicitamente definida como &lt;code&gt;null&lt;/code&gt;, e depois foi usada.
&lt;strong&gt;Exemplo:&lt;/strong&gt; &lt;pre&gt;&lt;code&gt;String texto = null; // Ou a linha "texto = new String(...)" foi esquecida/comentada System.out.println(texto.length()); // Causa NullPointerException!&lt;/code&gt;&lt;/pre&gt;</t>
  </si>
  <si>
    <t>No Eclipse IDE, para que serve o atalho &lt;strong&gt;&lt;code&gt;Alt + Shift + S&lt;/code&gt;&lt;/strong&gt; e qual sua utilidade específica para &lt;strong&gt;Getters e Setters&lt;/strong&gt;?</t>
  </si>
  <si>
    <t>O atalho &lt;code&gt;Alt + Shift + S&lt;/code&gt; abre o menu &lt;strong&gt;Source&lt;/strong&gt; (Código-fonte), que oferece várias ações rápidas para gerar código.
Sua principal utilidade para Getters e Setters é acessar a opção &lt;strong&gt;"Generate Getters and Setters..."&lt;/strong&gt;. Isso permite que a IDE crie automaticamente os métodos &lt;code&gt;get&lt;/code&gt; e &lt;code&gt;set&lt;/code&gt; para os atributos selecionados da classe, economizando tempo e evitando a digitação manual de código repetitivo e padronizado.</t>
  </si>
  <si>
    <t>Qual a sintaxe padrão para um método &lt;strong&gt;Getter&lt;/strong&gt; em Java?</t>
  </si>
  <si>
    <t>Um Getter é um método &lt;code&gt;public&lt;/code&gt; que retorna o valor de um atributo &lt;code&gt;private&lt;/code&gt;. A sintaxe segue a convenção:
&lt;code&gt;public [TipoDoAtributo] getNomeDoAtributo {&lt;/code&gt;
&lt;code&gt;   return this.[nomeDoAtributo];&lt;/code&gt;
&lt;code&gt;}&lt;/code&gt;
Onde &lt;code&gt;[NomeDoAtributo]&lt;/code&gt; começa com letra maiúscula no nome do método, e &lt;code&gt;[nomeDoAtributo]&lt;/code&gt; é o nome exato do atributo.
&lt;strong&gt;Exemplo (para um atributo &lt;code&gt;private String tipo;&lt;/code&gt;):&lt;/strong&gt;
&lt;pre&gt;&lt;code&gt;public String getTipo() { return this.tipo; }&lt;/code&gt;&lt;/pre&gt;</t>
  </si>
  <si>
    <t>Qual a sintaxe padrão para um método &lt;strong&gt;Setter&lt;/strong&gt; em Java?</t>
  </si>
  <si>
    <t>Um Setter é um método &lt;code&gt;public&lt;/code&gt;, geralmente &lt;code&gt;void&lt;/code&gt;, que recebe um valor e o atribui a um atributo &lt;code&gt;private&lt;/code&gt;, podendo incluir validações. A sintaxe segue a convenção:
&lt;code&gt;public void set[NomeDoAtributo]([TipoDoAtributo] [nomeDoParametro]) {&lt;/code&gt;
&lt;code&gt;   // Opcional: Validações aqui&lt;/code&gt;
&lt;code&gt;   this.[nomeDoAtributo] = [nomeDoParametro];&lt;/code&gt;
&lt;code&gt;}&lt;/code&gt;
Onde &lt;code&gt;[NomeDoAtributo]&lt;/code&gt; começa com letra maiúscula no nome do método, e &lt;code&gt;[nomeDoAtributo]&lt;/code&gt; é o nome exato do atributo.
&lt;strong&gt;Exemplo (para um atributo &lt;code&gt;private String tipo;&lt;/code&gt;):&lt;/strong&gt;
&lt;pre&gt;&lt;code&gt;public void setTipo(String tipo) { // Exemplo de validação if (tipo != null &amp;amp;&amp;amp; !tipo.isBlank()) { this.tipo = tipo; } }&lt;/code&gt;&lt;/pre&gt;</t>
  </si>
  <si>
    <t>Qual a diferença fundamental entre os modificadores de acesso &lt;strong&gt;&lt;code&gt;public&lt;/code&gt;&lt;/strong&gt; e &lt;strong&gt;&lt;code&gt;private&lt;/code&gt;&lt;/strong&gt; em Java?</t>
  </si>
  <si>
    <t>A diferença está no nível de &lt;strong&gt;visibilidade&lt;/strong&gt; e controle de acesso:
&lt;ul&gt; &lt;li&gt;&lt;strong&gt;&lt;code&gt;public&lt;/code&gt;:&lt;/strong&gt; &lt;ul&gt; &lt;li&gt;Oferece visibilidade &lt;strong&gt;total&lt;/strong&gt;. Membros &lt;code&gt;public&lt;/code&gt; podem ser acessados diretamente por qualquer outra classe, em qualquer pacote.&lt;/li&gt; &lt;li&gt;&lt;strong&gt;Desvantagem:&lt;/strong&gt; Para atributos, isso quebra o encapsulamento, pois não há controle sobre como o dado é lido ou modificado, podendo levar a estados inválidos.&lt;/li&gt; &lt;/ul&gt; &lt;/li&gt;
&lt;li&gt;&lt;strong&gt;&lt;code&gt;private&lt;/code&gt;:&lt;/strong&gt; &lt;ul&gt; &lt;li&gt;Oferece visibilidade &lt;strong&gt;mínima&lt;/strong&gt;. Membros &lt;code&gt;private&lt;/code&gt; só podem ser acessados de &lt;strong&gt;dentro da própria classe&lt;/strong&gt; onde foram declarados.&lt;/li&gt; &lt;li&gt;&lt;strong&gt;Vantagem:&lt;/strong&gt; É a base do encapsulamento. Protege os dados internos e força a interação através de métodos públicos (como Getters e Setters), onde regras de negócio e validações podem ser implementadas para garantir a integridade do objeto.&lt;/li&gt; &lt;/ul&gt; &lt;/li&gt; &lt;/ul&gt;</t>
  </si>
  <si>
    <t>Em Java (e POO), o que significa &lt;strong&gt;instanciar&lt;/strong&gt; uma classe?</t>
  </si>
  <si>
    <t>&lt;strong&gt;Instanciar&lt;/strong&gt; uma classe significa &lt;strong&gt;criar um objeto&lt;/strong&gt; (uma instância) baseado no "molde" (blueprint) definido por essa classe.
A classe é o projeto, enquanto a instância (ou objeto) é a representação concreta e "física" daquele projeto na memória do computador, com seus próprios valores para os atributos definidos na classe.
A instanciação é realizada em Java usando a palavra-chave &lt;strong&gt;&lt;code&gt;new&lt;/code&gt;&lt;/strong&gt; seguida pela chamada ao construtor da classe.
&lt;strong&gt;Exemplo:&lt;/strong&gt;
&lt;pre&gt;&lt;code&gt;// Classe (o molde) public class Cachorro { String nome; }
// Instanciação (criação dos objetos/instâncias) Cachorro c1 = new Cachorro(); // Cria a primeira instância Cachorro c2 = new Cachorro(); // Cria a segunda instância &lt;/code&gt;&lt;/pre&gt;
Cada chamada com &lt;code&gt;new&lt;/code&gt; cria uma nova instância independente na memória Heap.</t>
  </si>
  <si>
    <t>Em POO, o que é &lt;strong&gt;Sobrecarga de Métodos&lt;/strong&gt; (Method Overloading)?</t>
  </si>
  <si>
    <t>É um recurso que permite a uma classe ter múltiplos métodos com o &lt;strong&gt;mesmo nome&lt;/strong&gt;, desde que suas listas de &lt;strong&gt;parâmetros&lt;/strong&gt; sejam diferentes.
O objetivo é oferecer flexibilidade, permitindo que uma mesma ação (o método) seja executada de várias maneiras, dependendo dos dados (argumentos) fornecidos na chamada. Isso torna o código mais intuitivo e organizado.
&lt;strong&gt;Exemplo:&lt;/strong&gt;
&lt;pre&gt;&lt;code&gt;public class Cadastro { // Versão 1: Cadastro simples public void registrar(String nome) { ... }
// Versão 2 (Sobrecarga): Cadastro com mais detalhes
public void registrar(String nome, int idade) { ... }
} &lt;/code&gt;&lt;/pre&gt;</t>
  </si>
  <si>
    <t>Como a &lt;strong&gt;Sobrecarga de Métodos&lt;/strong&gt; funciona na prática? Como o Java sabe qual método chamar?</t>
  </si>
  <si>
    <t>O compilador Java decide qual versão do método sobrecarregado executar com base nos &lt;strong&gt;argumentos&lt;/strong&gt; que são passados no momento da chamada.
Ele analisa a quantidade, o tipo e a ordem dos argumentos fornecidos e os compara com as &lt;strong&gt;assinaturas&lt;/strong&gt; de todos os métodos de mesmo nome disponíveis na classe. A versão do método cuja assinatura corresponde perfeitamente aos argumentos é a que será executada. Esse processo é chamado de &lt;strong&gt;resolução de sobrecarga&lt;/strong&gt;.</t>
  </si>
  <si>
    <t>O que são &lt;strong&gt;assinaturas de método&lt;/strong&gt; e qual a sua correlação com a &lt;strong&gt;Sobrecarga de Métodos&lt;/strong&gt;?</t>
  </si>
  <si>
    <t>A &lt;strong&gt;assinatura&lt;/strong&gt; é a "identidade única" de um método dentro de uma classe. Ela é composta por duas partes:
&lt;ul&gt; &lt;li&gt;O &lt;strong&gt;nome do método&lt;/strong&gt;.&lt;/li&gt; &lt;li&gt;A lista de parâmetros (especificamente, a &lt;strong&gt;quantidade, tipo e ordem&lt;/strong&gt; dos parâmetros).&lt;/li&gt; &lt;/ul&gt; A correlação é que a sobrecarga só é possível porque cada versão do método de mesmo nome &lt;strong&gt;precisa ter uma assinatura diferente&lt;/strong&gt;. São as assinaturas distintas que permitem ao compilador diferenciar os métodos e decidir qual deles chamar.</t>
  </si>
  <si>
    <t>Na Sobrecarga de Métodos, o que &lt;strong&gt;NÃO&lt;/strong&gt; é suficiente para diferenciar as assinaturas de dois métodos?</t>
  </si>
  <si>
    <t>Existem duas características que, sozinhas, &lt;strong&gt;não&lt;/strong&gt; alteram a assinatura de um método e, portanto, causam um erro de compilação se usadas para tentar sobrecarregar:
&lt;ol&gt; &lt;li&gt;&lt;strong&gt;Apenas o tipo de retorno:&lt;/strong&gt; Ter dois métodos com a mesma assinatura mas retornos diferentes (ex: um &lt;code&gt;void&lt;/code&gt; e outro &lt;code&gt;int&lt;/code&gt;) é inválido, pois o compilador não saberia qual chamar.&lt;/li&gt;
&lt;li&gt;&lt;strong&gt;Apenas os nomes dos parâmetros:&lt;/strong&gt; Os nomes dos parâmetros são irrelevantes para a assinatura; apenas seus tipos e ordem importam. &lt;code&gt;calcular(int a)&lt;/code&gt; tem a mesma assinatura que &lt;code&gt;calcular(int numero)&lt;/code&gt;.&lt;/li&gt; &lt;/ol&gt;</t>
  </si>
  <si>
    <t>O que são &lt;strong&gt;mudanças de requisitos&lt;/strong&gt; no desenvolvimento de software?</t>
  </si>
  <si>
    <t>O que são &lt;strong&gt;mudanças de requisitos&lt;/strong&gt; no desenvolvimento de software?
Verso: São alterações nas &lt;strong&gt;especificações&lt;/strong&gt; (funcionalidades, regras de negócio, aparência, etc.) de um software que ocorrem &lt;strong&gt;após o início do desenvolvimento&lt;/strong&gt;.
Geralmente, referem-se a ajustes ou evoluções &lt;strong&gt;dentro do escopo geral&lt;/strong&gt; do projeto (ex: mudar a cor de um botão, adicionar um campo a um formulário, alterar uma regra de cálculo), e não a uma mudança radical do objetivo do software.
Elas são uma parte &lt;strong&gt;natural e esperada&lt;/strong&gt; do processo, causadas por aprendizado, feedback, mudanças no mercado, etc. O desafio não é evitá-las, mas sim &lt;strong&gt;gerenciá-las&lt;/strong&gt; de forma eficaz através de metodologias ágeis e bom design (baixo acoplamento) para minimizar o impacto negativo no projeto.</t>
  </si>
  <si>
    <t>Em POO, o que são &lt;strong&gt;Construtores&lt;/strong&gt; (Constructors)?</t>
  </si>
  <si>
    <t>São blocos de código especiais dentro de uma classe, executados &lt;strong&gt;automaticamente&lt;/strong&gt; apenas uma vez, no exato momento em que um novo objeto é criado com a palavra-chave &lt;code&gt;new&lt;/code&gt;.
Seu único propósito é &lt;strong&gt;inicializar o objeto&lt;/strong&gt;, garantindo que ele "nasça" em um estado inicial válido e consistente, pronto para ser utilizado. Geralmente, isso envolve atribuir valores iniciais aos atributos da classe.</t>
  </si>
  <si>
    <t>Qual a sintaxe e quais as regras para criar um &lt;strong&gt;Construtor&lt;/strong&gt; em Java?</t>
  </si>
  <si>
    <t>Um construtor deve seguir duas regras rígidas de sintaxe:
&lt;ol&gt; &lt;li&gt;Deve ter &lt;strong&gt;exatamente o mesmo nome&lt;/strong&gt; da classe.&lt;/li&gt; &lt;li&gt;&lt;strong&gt;Não pode ter um tipo de retorno&lt;/strong&gt;, nem mesmo &lt;code&gt;void&lt;/code&gt;.&lt;/li&gt; &lt;/ol&gt; &lt;strong&gt;Exemplo:&lt;/strong&gt; &lt;pre&gt;&lt;code&gt;public class Carro { private String modelo;
// Isto é um construtor
public Carro(String modelo) {
    this.modelo = modelo;
}
} &lt;/code&gt;&lt;/pre&gt;</t>
  </si>
  <si>
    <t>Qual a utilidade de se usar &lt;strong&gt;Construtores&lt;/strong&gt; customizados na criação de objetos?</t>
  </si>
  <si>
    <t>A principal utilidade é garantir a &lt;strong&gt;criação de objetos válidos e consistentes&lt;/strong&gt;, combinando padronização com personalização.
&lt;ul&gt; &lt;li&gt;&lt;strong&gt;Padronização/Obrigatoriedade:&lt;/strong&gt; Força que todo objeto seja criado com as informações mínimas necessárias, evitando objetos "semi-construídos" ou em estado inválido.&lt;/li&gt;
&lt;li&gt;&lt;strong&gt;Simplificação/Dinamismo:&lt;/strong&gt; Permite criar um objeto totalmente inicializado em uma única linha, passando seu estado inicial (personalização) como argumentos. É mais direto do que criar um objeto vazio e depois chamar vários métodos &lt;code&gt;set&lt;/code&gt;.&lt;/li&gt; &lt;/ul&gt;</t>
  </si>
  <si>
    <t>O que acontece se uma classe é declarada &lt;strong&gt;sem nenhum construtor&lt;/strong&gt;?</t>
  </si>
  <si>
    <t>O compilador Java (&lt;code&gt;javac&lt;/code&gt;) insere automaticamente um construtor padrão (&lt;em&gt;default constructor&lt;/em&gt;) no código compilado.
Este construtor invisível tem as seguintes características:
&lt;ul&gt; &lt;li&gt;É &lt;code&gt;public&lt;/code&gt;.&lt;/li&gt; &lt;li&gt;Não tem parâmetros (é um construtor "sem argumentos").&lt;/li&gt; &lt;li&gt;Tem o corpo vazio.&lt;/li&gt; &lt;/ul&gt; É por causa dele que a instrução &lt;code&gt;new MinhaClasse();&lt;/code&gt; funciona mesmo que você não tenha escrito nenhum construtor.</t>
  </si>
  <si>
    <t>O que acontece com o &lt;strong&gt;construtor padrão&lt;/strong&gt; quando um construtor customizado (com parâmetros) é adicionado à classe?</t>
  </si>
  <si>
    <t>A "mágica" acaba. No momento em que você declara &lt;strong&gt;qualquer&lt;/strong&gt; construtor na sua classe, o compilador Java &lt;strong&gt;NÃO gera mais o construtor padrão&lt;/strong&gt; para você.
&lt;strong&gt;Consequência:&lt;/strong&gt; A classe só poderá ser instanciada usando um dos construtores que você explicitamente criou. Tentar chamar o construtor sem argumentos (&lt;code&gt;new MinhaClasse();&lt;/code&gt;) resultará em um &lt;strong&gt;erro de compilação&lt;/strong&gt;, a menos que você também crie manualmente um construtor sem argumentos.</t>
  </si>
  <si>
    <t>Qual a diferença entre &lt;code&gt;public Funcionario(...) {}&lt;/code&gt; e &lt;code&gt;public &lt;strong&gt;void&lt;/strong&gt; Funcionario(...) {}&lt;/code&gt; em uma classe chamada &lt;code&gt;Funcionario&lt;/code&gt;?</t>
  </si>
  <si>
    <t>&lt;ul&gt; &lt;li&gt;&lt;code&gt;public Funcionario(...) {}&lt;/code&gt;: É um &lt;strong&gt;Construtor&lt;/strong&gt;. Segue as regras: mesmo nome da classe e &lt;strong&gt;nenhum tipo de retorno&lt;/strong&gt;. Será chamado automaticamente com &lt;code&gt;new Funcionario(...)&lt;/code&gt;.&lt;/li&gt;
&lt;li&gt;&lt;code&gt;public &lt;strong&gt;void&lt;/strong&gt; Funcionario(...) {}&lt;/code&gt;: É um &lt;strong&gt;Método comum&lt;/strong&gt;, não um construtor. Mesmo tendo o nome da classe, a presença do tipo de retorno (&lt;code&gt;void&lt;/code&gt; neste caso) o desqualifica como construtor. Para chamá-lo, seria necessário um objeto: &lt;code&gt;objetoFuncionario.Funcionario(...)&lt;/code&gt;.&lt;/li&gt; &lt;/ul&gt; &lt;strong&gt;Regra Fundamental:&lt;/strong&gt; Construtores &lt;strong&gt;nunca&lt;/strong&gt; possuem tipo de retorno, nem mesmo &lt;code&gt;void&lt;/code&gt;.</t>
  </si>
  <si>
    <t>O que é &lt;strong&gt;Sobrecarga de Construtores&lt;/strong&gt; (Constructor Overloading) em Java?</t>
  </si>
  <si>
    <t>É a capacidade de definir múltiplos &lt;strong&gt;construtores&lt;/strong&gt; dentro da mesma classe, desde que suas listas de &lt;strong&gt;parâmetros&lt;/strong&gt; (assinaturas) sejam diferentes (em número, tipo ou ordem).
Assim como na sobrecarga de métodos, isso oferece &lt;strong&gt;flexibilidade&lt;/strong&gt;. Permite criar objetos daquela classe de diferentes maneiras, fornecendo diferentes conjuntos de dados iniciais.
A principal utilidade é definir quais atributos são &lt;strong&gt;obrigatórios&lt;/strong&gt; (exigidos em todos os construtores, talvez exceto um vazio) e quais são &lt;strong&gt;opcionais&lt;/strong&gt; (presentes apenas em algumas versões do construtor), garantindo que o objeto sempre nasça em um estado válido, mas permitindo diferentes níveis de detalhe na inicialização.</t>
  </si>
  <si>
    <t>No conceito de construtores, o que é &lt;strong&gt;Delegação de Construtor&lt;/strong&gt; e qual seu propósito principal?</t>
  </si>
  <si>
    <t>É a técnica onde um construtor &lt;strong&gt;chama outro construtor da mesma classe&lt;/strong&gt; usando a sintaxe &lt;code&gt;this(...)&lt;/code&gt;.
Seu propósito principal é &lt;strong&gt;evitar a repetição de código&lt;/strong&gt; (princípio DRY) entre construtores sobrecarregados. Geralmente, define-se um construtor mais completo, e os outros delegam parte da inicialização para ele, passando valores padrão ou os argumentos recebidos.
&lt;strong&gt;Exemplo Simples de Chamada:&lt;/strong&gt;
&lt;pre&gt;&lt;code&gt;public class Carro { String modelo; int ano;
public Carro(String modelo, int ano) {
    this.modelo = modelo; this.ano = ano; // Lógica principal
}
public Carro(String modelo) {
    this(modelo, 0); // Delega para o construtor acima, definindo ano como 0
}
} &lt;/code&gt;&lt;/pre&gt;</t>
  </si>
  <si>
    <t>Quais são as regras &lt;strong&gt;essenciais&lt;/strong&gt; para usar a &lt;strong&gt;Delegação de Construtor&lt;/strong&gt; (chamada &lt;code&gt;this(...)&lt;/code&gt;) em Java?</t>
  </si>
  <si>
    <t>&lt;ol&gt; &lt;li&gt;A chamada &lt;code&gt;this(...)&lt;/code&gt; deve ser &lt;strong&gt;obrigatoriamente a primeira instrução&lt;/strong&gt; dentro do corpo do construtor que a está fazendo. Nenhum outro código pode vir antes dela.&lt;/li&gt;
&lt;li&gt;O construtor específico a ser chamado é determinado pela &lt;strong&gt;assinatura&lt;/strong&gt; – a quantidade, o tipo e a ordem dos argumentos passados dentro dos parênteses do &lt;code&gt;this(...)&lt;/code&gt; devem corresponder exatamente à assinatura de outro construtor na mesma classe.&lt;/li&gt; &lt;/ol&gt; &lt;strong&gt;Exemplo da Regra 1 (Primeira Linha):&lt;/strong&gt; &lt;pre&gt;&lt;code&gt;public Produto(String nome) { System.out.println("Antes..."); // ERRO DE COMPILAÇÃO! this(nome, "Geral"); } &lt;/code&gt;&lt;/pre&gt;</t>
  </si>
  <si>
    <t>Em uma classe Java, o que são &lt;strong&gt;Blocos de Inicialização de Instância&lt;/strong&gt;?</t>
  </si>
  <si>
    <t>São blocos de código definidos diretamente dentro de uma classe, fora de qualquer método ou construtor, usando apenas chaves &lt;code&gt;{ ... }&lt;/code&gt;.
Eles são executados &lt;strong&gt;automaticamente&lt;/strong&gt; toda vez que um novo objeto (instância) da classe é criado, &lt;strong&gt;antes&lt;/strong&gt; da execução do corpo do construtor.
Sua função é permitir a execução de lógicas de inicialização comuns ou complexas para os atributos de instância. No entanto, seu uso é menos frequente no código moderno, que geralmente prefere construtores (com sobrecarga e &lt;code&gt;this()&lt;/code&gt;) para essa finalidade.</t>
  </si>
  <si>
    <t>Qual é a &lt;strong&gt;ordem de execução&lt;/strong&gt; exata das etapas de inicialização ao criar um novo objeto (instância) em Java?</t>
  </si>
  <si>
    <t>A inicialização de um objeto de instância segue rigorosamente esta ordem:
&lt;ol&gt; &lt;li&gt;Espaço em memória é alocado para o objeto na Heap.&lt;/li&gt; &lt;li&gt;Os atributos de instância são inicializados com seus valores padrão (&lt;code&gt;0&lt;/code&gt;, &lt;code&gt;false&lt;/code&gt;, &lt;code&gt;null&lt;/code&gt;) ou com os valores explícitos definidos em suas declarações.&lt;/li&gt; &lt;li&gt;O(s) &lt;strong&gt;Bloco(s) de Inicialização de Instância&lt;/strong&gt; são executados, na ordem em que aparecem na classe.&lt;/li&gt; &lt;li&gt;O &lt;strong&gt;Construtor&lt;/strong&gt; apropriado é chamado e seu corpo é executado.&lt;/li&gt; &lt;/ol&gt;</t>
  </si>
  <si>
    <t>Qual a diferença fundamental entre &lt;strong&gt;Blocos de Inicialização de Instância&lt;/strong&gt; e &lt;strong&gt;Construtores&lt;/strong&gt;?</t>
  </si>
  <si>
    <t>Ambos executam código durante a criação de um objeto, mas diferem na ordem e flexibilidade:
&lt;ul&gt; &lt;li&gt;&lt;strong&gt;Bloco de Inicialização de Instância (&lt;code&gt;{...}&lt;/code&gt;):&lt;/strong&gt; &lt;ul&gt; &lt;li&gt;Executa &lt;strong&gt;antes&lt;/strong&gt; do corpo do construtor.&lt;/li&gt; &lt;li&gt;&lt;strong&gt;Não&lt;/strong&gt; recebe parâmetros diretamente.&lt;/li&gt; &lt;li&gt;Executa o mesmo código para &lt;strong&gt;toda&lt;/strong&gt; criação de objeto.&lt;/li&gt; &lt;li&gt;Menos comum hoje para lógica complexa (alternativas como &lt;code&gt;this()&lt;/code&gt; são preferidas).&lt;/li&gt; &lt;/ul&gt; &lt;/li&gt;
&lt;li&gt;&lt;strong&gt;Construtor (&lt;code&gt;public NomeDaClasse(...)&lt;/code&gt;):&lt;/strong&gt; &lt;ul&gt; &lt;li&gt;Executa &lt;strong&gt;após&lt;/strong&gt; os blocos de inicialização de instância.&lt;/li&gt; &lt;li&gt;&lt;strong&gt;Pode&lt;/strong&gt; receber parâmetros, permitindo inicialização dinâmica e específica para cada objeto.&lt;/li&gt; &lt;li&gt;Pode ser &lt;strong&gt;sobrecarregado&lt;/strong&gt; e usar &lt;code&gt;this()&lt;/code&gt; para chamar outros construtores, oferecendo grande flexibilidade.&lt;/li&gt; &lt;li&gt;É a ferramenta &lt;strong&gt;principal e preferida&lt;/strong&gt; para inicializar objetos.&lt;/li&gt; &lt;/ul&gt; &lt;/li&gt; &lt;/ul&gt;</t>
  </si>
  <si>
    <t>Quais são as regras de acesso entre membros &lt;strong&gt;&lt;code&gt;static&lt;/code&gt;&lt;/strong&gt; (da classe) e membros de &lt;strong&gt;instância&lt;/strong&gt; (do objeto) em Java?</t>
  </si>
  <si>
    <t>As regras definem o que pode ser acessado a partir de cada contexto:
&lt;ol&gt; &lt;li&gt;&lt;strong&gt;De &lt;code&gt;static&lt;/code&gt; para &lt;code&gt;static&lt;/code&gt;:&lt;/strong&gt; &lt;span style="color:green"&gt;Permitido&lt;/span&gt;. Métodos e blocos estáticos podem acessar outros atributos e métodos estáticos diretamente ou usando &lt;code&gt;NomeDaClasse.&lt;/code&gt;.&lt;/li&gt;
&lt;li&gt;&lt;strong&gt;De &lt;code&gt;static&lt;/code&gt; para instância:&lt;/strong&gt; &lt;span style="color:red"&gt;Proibido&lt;/span&gt;. Métodos e blocos estáticos &lt;strong&gt;NÃO PODEM&lt;/strong&gt; acessar atributos ou métodos de instância diretamente (nem usar &lt;code&gt;this&lt;/code&gt;), pois não estão associados a um objeto específico.&lt;/li&gt;
&lt;li&gt;&lt;strong&gt;De instância para instância:&lt;/strong&gt; &lt;span style="color:green"&gt;Permitido&lt;/span&gt;. Métodos de instância podem acessar outros atributos e métodos de instância do mesmo objeto (usando &lt;code&gt;this.&lt;/code&gt; explícita ou implicitamente).&lt;/li&gt;
&lt;li&gt;&lt;strong&gt;De instância para &lt;code&gt;static&lt;/code&gt;:&lt;/strong&gt; &lt;span style="color:green"&gt;Permitido&lt;/span&gt;. Métodos de instância podem acessar atributos e métodos estáticos. &lt;ul&gt; &lt;li&gt;Forma &lt;strong&gt;recomendada&lt;/strong&gt;: Usando &lt;code&gt;NomeDaClasse.membroEstatico&lt;/code&gt;.&lt;/li&gt; &lt;li&gt;Forma possível (&lt;strong&gt;má prática&lt;/strong&gt;): Usando &lt;code&gt;this.membroEstatico&lt;/code&gt; ou &lt;code&gt;referenciaObjeto.membroEstatico&lt;/code&gt; (gera warnings na IDE).&lt;/li&gt; &lt;/ul&gt; &lt;/li&gt; &lt;/ol&gt;</t>
  </si>
  <si>
    <t>Quais são os principais atalhos no Eclipse IDE para &lt;strong&gt;comentar e descomentar&lt;/strong&gt; blocos de código?</t>
  </si>
  <si>
    <t>Existem atalhos para comentar linhas individuais ou blocos maiores:
&lt;ul&gt; &lt;li&gt;&lt;strong&gt;Comentar/Descomentar Linhas (&lt;code&gt;//&lt;/code&gt;):&lt;/strong&gt; &lt;ul&gt; &lt;li&gt;Selecione as linhas desejadas.&lt;/li&gt; &lt;li&gt;Pressione &lt;strong&gt;&lt;code&gt;Ctrl + /&lt;/code&gt;&lt;/strong&gt; (barra normal).&lt;/li&gt; &lt;li&gt;&lt;em&gt;Alternativa:&lt;/em&gt; &lt;code&gt;Ctrl + 7&lt;/code&gt; também alterna o comentário de linha.&lt;/li&gt; &lt;/ul&gt; &lt;/li&gt;
&lt;li&gt;&lt;strong&gt;Comentar/Descomentar Bloco (&lt;code&gt;/* ... */&lt;/code&gt;):&lt;/strong&gt; &lt;ul&gt; &lt;li&gt;Selecione o trecho de código.&lt;/li&gt; &lt;li&gt;Pressione &lt;strong&gt;&lt;code&gt;Ctrl + Shift + /&lt;/code&gt;&lt;/strong&gt; (barra normal).&lt;/li&gt; &lt;/ul&gt; &lt;/li&gt; &lt;/ul&gt; Usar &lt;code&gt;Ctrl + /&lt;/code&gt; novamente na mesma seleção geralmente descomenta as linhas. O mesmo vale para o atalho de bloco.</t>
  </si>
  <si>
    <t>Frente: Em Java, o que significa o modificador &lt;strong&gt;&lt;code&gt;static&lt;/code&gt;&lt;/strong&gt; quando aplicado a um membro (atributo ou método)?</t>
  </si>
  <si>
    <t>&lt;code&gt;static&lt;/code&gt; indica que o membro pertence à classe em si, e não a uma instância (objeto) específica da classe.
Principais características de membros &lt;code&gt;static&lt;/code&gt;:
&lt;ul&gt; &lt;li&gt;&lt;strong&gt;Pertencimento:&lt;/strong&gt; Associados à classe, não ao objeto.&lt;/li&gt; &lt;li&gt;&lt;strong&gt;Compartilhamento:&lt;/strong&gt; Existe apenas &lt;strong&gt;uma cópia&lt;/strong&gt; do membro estático, compartilhada entre todas as instâncias da classe (e existe mesmo sem instâncias).&lt;/li&gt; &lt;li&gt;&lt;strong&gt;Acesso:&lt;/strong&gt; São acessados preferencialmente usando o nome da classe (&lt;code&gt;NomeDaClasse.membroEstatico&lt;/code&gt;).&lt;/li&gt; &lt;li&gt;&lt;strong&gt;Métodos Estáticos:&lt;/strong&gt; Não possuem acesso à referência &lt;code&gt;this&lt;/code&gt; e não podem acessar membros de instância diretamente.&lt;/li&gt; &lt;/ul&gt; São comumente usados para constantes, métodos utilitários, contadores ou gerenciamento de estado/recursos compartilhados pela classe.</t>
  </si>
  <si>
    <t>Qual a diferença fundamental entre um membro &lt;strong&gt;&lt;code&gt;static&lt;/code&gt;&lt;/strong&gt; e um membro de &lt;strong&gt;instância&lt;/strong&gt; (não-estático)?</t>
  </si>
  <si>
    <t>A diferença reside em a quem o membro pertence e como ele se comporta:
&lt;table&gt; &lt;tr&gt; &lt;th style="text-align:left"&gt;Característica&lt;/th&gt; &lt;th style="text-align:left"&gt;Membro de Instância (Não-&lt;code&gt;static&lt;/code&gt;)&lt;/th&gt; &lt;th style="text-align:left"&gt;Membro &lt;code&gt;static&lt;/code&gt;&lt;/th&gt; &lt;/tr&gt; &lt;tr&gt; &lt;td&gt;&lt;strong&gt;Pertence a&lt;/strong&gt;&lt;/td&gt; &lt;td&gt;Um &lt;strong&gt;objeto específico&lt;/strong&gt; (instância).&lt;/td&gt; &lt;td&gt;À &lt;strong&gt;classe&lt;/strong&gt; como um todo.&lt;/td&gt; &lt;/tr&gt; &lt;tr&gt; &lt;td&gt;&lt;strong&gt;Cópias&lt;/strong&gt;&lt;/td&gt; &lt;td&gt;&lt;strong&gt;Uma por objeto&lt;/strong&gt;. Cada objeto tem a sua.&lt;/td&gt; &lt;td&gt;&lt;strong&gt;Apenas uma&lt;/strong&gt;, compartilhada por todos os objetos.&lt;/td&gt; &lt;/tr&gt; &lt;tr&gt; &lt;td&gt;&lt;strong&gt;Acesso (Métodos)&lt;/strong&gt;&lt;/td&gt; &lt;td&gt;Pode acessar &lt;code&gt;this&lt;/code&gt; e membros de instância e estáticos.&lt;/td&gt; &lt;td&gt;&lt;strong&gt;Não pode&lt;/strong&gt; acessar &lt;code&gt;this&lt;/code&gt; ou membros de instância diretamente. Só acessa outros membros estáticos.&lt;/td&gt; &lt;/tr&gt; &lt;tr&gt; &lt;td&gt;&lt;strong&gt;Chamada (Métodos)&lt;/strong&gt;&lt;/td&gt; &lt;td&gt;Requer um objeto: &lt;code&gt;objeto.metodo()&lt;/code&gt;.&lt;/td&gt; &lt;td&gt;Pode ser chamado pela classe: &lt;code&gt;Classe.metodoEstatico()&lt;/code&gt;.&lt;/td&gt; &lt;/tr&gt; &lt;tr&gt; &lt;td&gt;&lt;strong&gt;Uso Típico&lt;/strong&gt;&lt;/td&gt; &lt;td&gt;Atributos que definem o estado de um objeto (cor, nome); Métodos que operam nesse estado (acelerar, getNome).&lt;/td&gt; &lt;td&gt;Constantes (&lt;code&gt;static final&lt;/code&gt;); Métodos utilitários (&lt;code&gt;Math.max&lt;/code&gt;); Contadores; Gerenciadores de recursos compartilhados.&lt;/td&gt; &lt;/tr&gt; &lt;/table&gt;</t>
  </si>
  <si>
    <t>Qual a sintaxe padrão recomendada para declarar atributos e métodos &lt;strong&gt;&lt;code&gt;static&lt;/code&gt;&lt;/strong&gt; em Java?</t>
  </si>
  <si>
    <t>A palavra-chave &lt;code&gt;static&lt;/code&gt; é colocada &lt;strong&gt;após&lt;/strong&gt; o modificador de acesso (&lt;code&gt;public&lt;/code&gt;, &lt;code&gt;private&lt;/code&gt;, etc.) e &lt;strong&gt;antes&lt;/strong&gt; do tipo do membro.
&lt;strong&gt;Sintaxe para Atributos Estáticos:&lt;/strong&gt;
&lt;code&gt;[modificador_acesso] &lt;strong&gt;static&lt;/strong&gt; [tipo] [nomeAtributo] [= valorInicial];&lt;/code&gt;
&lt;ul&gt;&lt;li&gt;Exemplo: &lt;code&gt;private &lt;strong&gt;static&lt;/strong&gt; String URL_BASE = "https://api.example.com";&lt;/code&gt;&lt;/li&gt;&lt;/ul&gt;
&lt;strong&gt;Sintaxe para Métodos Estáticos:&lt;/strong&gt;
&lt;code&gt;[modificador_acesso] &lt;strong&gt;static&lt;/strong&gt; [tipo_retorno] nomeMetodo { ... }&lt;/code&gt; &lt;ul&gt;&lt;li&gt;Exemplo: &lt;code&gt;public &lt;strong&gt;static&lt;/strong&gt; void exibirMensagemBoasVindas() { System.out.println("Bem-vindo!"); }&lt;/code&gt;&lt;/li&gt;&lt;/ul&gt;</t>
  </si>
  <si>
    <t>Qual é a forma &lt;strong&gt;correta e recomendada&lt;/strong&gt; para acessar um atributo &lt;strong&gt;&lt;code&gt;static&lt;/code&gt;&lt;/strong&gt; em Java?</t>
  </si>
  <si>
    <t>A forma correta e recomendada é acessar o atributo estático diretamente através do &lt;strong&gt;nome da classe&lt;/strong&gt;, utilizando o operador ponto (&lt;code&gt;.&lt;/code&gt;).
&lt;strong&gt;Sintaxe:&lt;/strong&gt;
&lt;code&gt;NomeDaClasse.nomeAtributoEstatico&lt;/code&gt;
&lt;strong&gt;Exemplo:&lt;/strong&gt;
&lt;pre&gt;&lt;code&gt;public class Configuracao { public static int MAX_USUARIOS = 100; }
// Em outra classe: int limite = Configuracao.MAX_USUARIOS; System.out.println("Limite: " + limite); // Acessa via Classe &lt;/code&gt;&lt;/pre&gt;</t>
  </si>
  <si>
    <t>Qual a convenção de nomenclatura em Java para &lt;strong&gt;Classes&lt;/strong&gt;, Interfaces e Enums?</t>
  </si>
  <si>
    <t>Utiliza-se &lt;strong&gt;&lt;code&gt;PascalCase&lt;/code&gt;&lt;/strong&gt; (também conhecido como UpperCamelCase).
A primeira letra de cada palavra na identificação deve ser maiúscula.
&lt;strong&gt;Exemplos:&lt;/strong&gt; &lt;code&gt;NaveEspacial&lt;/code&gt;, &lt;code&gt;CirculoUtil&lt;/code&gt;, &lt;code&gt;ContaBancaria&lt;/code&gt;, &lt;code&gt;ActionListener&lt;/code&gt;.</t>
  </si>
  <si>
    <t>Qual a convenção de nomenclatura em Java para &lt;strong&gt;Métodos&lt;/strong&gt; e &lt;strong&gt;Variáveis/Atributos&lt;/strong&gt;?</t>
  </si>
  <si>
    <t>Utiliza-se &lt;strong&gt;&lt;code&gt;camelCase&lt;/code&gt;&lt;/strong&gt; (também conhecido como lowerCamelCase).
A primeira letra da identificação é minúscula. Se o nome for composto, a primeira letra de cada palavra subsequente é maiúscula.
&lt;strong&gt;Exemplos:&lt;/strong&gt; &lt;code&gt;calcularArea&lt;/code&gt;, &lt;code&gt;navesCriadas&lt;/code&gt;, &lt;code&gt;nome&lt;/code&gt;, &lt;code&gt;getTitulo&lt;/code&gt;, &lt;code&gt;imprimirDetalhes&lt;/code&gt;.</t>
  </si>
  <si>
    <t>Qual a convenção de nomenclatura em Java para &lt;strong&gt;Constantes&lt;/strong&gt; (atributos &lt;code&gt;public static final&lt;/code&gt;)?</t>
  </si>
  <si>
    <t>Utiliza-se &lt;strong&gt;&lt;code&gt;SCREAMING_SNAKE_CASE&lt;/code&gt;&lt;/strong&gt;.
Todas as letras são maiúsculas e as palavras são separadas por underscore (&lt;code&gt;_&lt;/code&gt;).
&lt;strong&gt;Exemplos:&lt;/strong&gt; &lt;code&gt;PI&lt;/code&gt;, &lt;code&gt;MAX_USUARIOS&lt;/code&gt;, &lt;code&gt;URL_BASE&lt;/code&gt;, &lt;code&gt;PORTA_PADRAO&lt;/code&gt;.</t>
  </si>
  <si>
    <t>Qual é a filosofia ou convenção geral por trás do uso dos prefixos &lt;strong&gt;&lt;code&gt;get...&lt;/code&gt;&lt;/strong&gt; e &lt;strong&gt;&lt;code&gt;set...&lt;/code&gt;&lt;/strong&gt; em nomes de métodos Java, mesmo quando não acessam diretamente um atributo &lt;code&gt;private&lt;/code&gt; simples?</t>
  </si>
  <si>
    <t>A convenção get/set (parte das JavaBeans Conventions) é um padrão de nomenclatura amplamente adotado em Java para indicar o propósito principal de um método:
&lt;ul&gt; &lt;li&gt;&lt;strong&gt;&lt;code&gt;get...&lt;/code&gt;:&lt;/strong&gt; Sinaliza um método cujo objetivo é &lt;strong&gt;obter, recuperar ou calcular&lt;/strong&gt; um valor ou estado associado ao objeto (ou classe, se estático). Espera-se que ele retorne um valor e tenha poucos (ou nenhum) efeitos colaterais. &lt;ul&gt;&lt;li&gt;Ex: &lt;code&gt;getNome()&lt;/code&gt;, &lt;code&gt;getArea()&lt;/code&gt;, &lt;code&gt;getContagemNaves()&lt;/code&gt;.&lt;/li&gt;&lt;/ul&gt; &lt;/li&gt;
&lt;li&gt;&lt;strong&gt;&lt;code&gt;set...&lt;/code&gt;:&lt;/strong&gt; Sinaliza um método cujo objetivo é &lt;strong&gt;definir, modificar ou atualizar&lt;/strong&gt; um valor ou estado do objeto (ou classe). Geralmente recebe um parâmetro e costuma ser &lt;code&gt;void&lt;/code&gt;. &lt;ul&gt;&lt;li&gt;Ex: &lt;code&gt;setNome(String nome)&lt;/code&gt;, &lt;code&gt;setIdade(int idade)&lt;/code&gt;.&lt;/li&gt;&lt;/ul&gt; &lt;/li&gt; &lt;/ul&gt; Seguir essa convenção torna o código mais &lt;strong&gt;legível, previsível&lt;/strong&gt; e compatível com muitas ferramentas e frameworks do ecossistema Java que dependem desse padrão para interagir com objetos.</t>
  </si>
  <si>
    <t>Frente: Para que são mais utilizados os &lt;strong&gt;métodos estáticos (&lt;code&gt;static&lt;/code&gt;)&lt;/strong&gt; em Java?</t>
  </si>
  <si>
    <t>Métodos estáticos são ideais para ações que &lt;strong&gt;não dependem do estado específico de um objeto&lt;/strong&gt;. Seus usos mais comuns são:
&lt;ul&gt; &lt;li&gt;&lt;strong&gt;Métodos Utilitários:&lt;/strong&gt; Funções que realizam cálculos ou operações baseadas apenas nos argumentos recebidos, sem precisar de dados de um objeto. Ex: &lt;code&gt;Math.max()&lt;/code&gt;, &lt;code&gt;Integer.parseInt()&lt;/code&gt;.&lt;/li&gt;
&lt;li&gt;&lt;strong&gt;Acesso Controlado a Membros Estáticos:&lt;/strong&gt; Para ler (getters estáticos) ou modificar (com cautela!) atributos &lt;code&gt;private static&lt;/code&gt;. Ex: &lt;code&gt;NaveEspacial.getContagemNaves()&lt;/code&gt;.&lt;/li&gt;
&lt;li&gt;&lt;strong&gt;Métodos Fábrica (Factory Methods):&lt;/strong&gt; Alternativas aos construtores para criar instâncias da própria classe de forma mais controlada ou descritiva. Ex: &lt;code&gt;LocalDate.now()&lt;/code&gt;.&lt;/li&gt;
&lt;li&gt;&lt;strong&gt;Ponto de Entrada da Aplicação:&lt;/strong&gt; O método &lt;code&gt;public static void main(String[] args)&lt;/code&gt;.&lt;/li&gt; &lt;/ul&gt; Essencialmente, são usados quando a lógica pertence ao "conceito" da classe, e não a uma instância particular dela.</t>
  </si>
  <si>
    <t>Qual a principal diferença entre &lt;strong&gt;métodos estáticos (&lt;code&gt;static&lt;/code&gt;)&lt;/strong&gt; e &lt;strong&gt;métodos de instância&lt;/strong&gt; (não-estáticos)?</t>
  </si>
  <si>
    <t>A principal diferença reside no &lt;strong&gt;contexto&lt;/strong&gt; em que operam e no acesso a membros da classe:
&lt;ul&gt; &lt;li&gt;&lt;strong&gt;Métodos de Instância:&lt;/strong&gt; &lt;ul&gt; &lt;li&gt;Pertencem a um &lt;strong&gt;objeto específico&lt;/strong&gt; (instância).&lt;/li&gt; &lt;li&gt;São chamados através de uma referência de objeto (&lt;code&gt;objeto.metodo()&lt;/code&gt;).&lt;/li&gt; &lt;li&gt;Possuem acesso à referência &lt;code&gt;this&lt;/code&gt; (o objeto atual).&lt;/li&gt; &lt;li&gt;Podem acessar tanto membros de instância (atributos e métodos) quanto membros estáticos.&lt;/li&gt; &lt;/ul&gt; &lt;/li&gt;
&lt;li&gt;&lt;strong&gt;Métodos Estáticos (&lt;code&gt;static&lt;/code&gt;):&lt;/strong&gt; &lt;ul&gt; &lt;li&gt;Pertencem à &lt;strong&gt;classe&lt;/strong&gt; como um todo.&lt;/li&gt; &lt;li&gt;São chamados através do nome da classe (&lt;code&gt;Classe.metodoEstatico()&lt;/code&gt;).&lt;/li&gt; &lt;li&gt;&lt;strong&gt;Não&lt;/strong&gt; possuem acesso à referência &lt;code&gt;this&lt;/code&gt;.&lt;/li&gt; &lt;li&gt;&lt;strong&gt;Não podem&lt;/strong&gt; acessar membros de instância diretamente; só podem acessar outros membros estáticos diretamente.&lt;/li&gt; &lt;/ul&gt; &lt;/li&gt; &lt;/ul&gt;</t>
  </si>
  <si>
    <t>O que é um &lt;strong&gt;Bloco de Inicialização Estático&lt;/strong&gt;, qual sua sintaxe, e o que o "dispara"?</t>
  </si>
  <si>
    <t>É um bloco de código marcado com a palavra-chave &lt;code&gt;static&lt;/code&gt;, usado para executar lógicas relacionadas à classe.
&lt;strong&gt;Sintaxe:&lt;/strong&gt;
&lt;pre&gt;&lt;code&gt;public class MinhaClasse { static { // Código de inicialização estática aqui } } &lt;/code&gt;&lt;/pre&gt;
&lt;strong&gt;Gatilho (Trigger):&lt;/strong&gt; Ele é executado &lt;strong&gt;apenas uma vez&lt;/strong&gt;, no exato momento em que a classe é carregada na memória pela JVM, antes de qualquer objeto ser criado ou método estático ser chamado. O próprio ato de carregar a classe dispara o bloco.</t>
  </si>
  <si>
    <t>Qual o propósito principal de um &lt;strong&gt;Bloco de Inicialização Estático&lt;/strong&gt;? Por que usá-lo em vez de inicializar o atributo na declaração?</t>
  </si>
  <si>
    <t>O propósito principal é inicializar atributos &lt;strong&gt;&lt;code&gt;static&lt;/code&gt;&lt;/strong&gt; que exigem uma &lt;strong&gt;lógica de inicialização complexa&lt;/strong&gt;.
Deve ser usado quando a inicialização não pode ser feita em uma única linha. Se o valor for simples e direto (ex: &lt;code&gt;private static final double PI = 3.14;&lt;/code&gt;), o bloco é desnecessário e a inicialização direta na declaração é preferível.
&lt;strong&gt;Casos de Uso:&lt;/strong&gt;
&lt;ul&gt; &lt;li&gt;Inicializar um atributo estático com valores que vêm de um loop.&lt;/li&gt; &lt;li&gt;Inicializar um atributo estático que precisa de um &lt;code&gt;try-catch&lt;/code&gt; (ex: carregar um arquivo de configuração).&lt;/li&gt; &lt;li&gt;Calcular um valor estático complexo usando vários passos.&lt;/li&gt; &lt;/ul&gt;</t>
  </si>
  <si>
    <t>Ao criar um novo objeto (new), qual é a &lt;strong&gt;ordem de execução completa&lt;/strong&gt; de todos os passos de inicialização?</t>
  </si>
  <si>
    <t>A JVM segue uma ordem rigorosa para inicializar tudo, começando pela classe e depois pela instância:
&lt;ol&gt; &lt;li&gt;(Executado &lt;strong&gt;Uma Vez&lt;/strong&gt;) Classe é carregada pela JVM.&lt;/li&gt; &lt;li&gt;(Executado &lt;strong&gt;Uma Vez&lt;/strong&gt;) Atributos &lt;strong&gt;estáticos&lt;/strong&gt; são inicializados (com valores padrão ou explícitos).&lt;/li&gt; &lt;li&gt;(Executado &lt;strong&gt;Uma Vez&lt;/strong&gt;) Blocos de inicialização &lt;strong&gt;estáticos&lt;/strong&gt; são executados.&lt;/li&gt; &lt;li&gt;(A cada &lt;code&gt;new&lt;/code&gt;) Espaço em memória é alocado para o objeto.&lt;/li&gt; &lt;li&gt;(A cada &lt;code&gt;new&lt;/code&gt;) Atributos de &lt;strong&gt;instância&lt;/strong&gt; são inicializados.&lt;/li&gt; &lt;li&gt;(A cada &lt;code&gt;new&lt;/code&gt;) Blocos de inicialização de &lt;strong&gt;instância&lt;/strong&gt; são executados.&lt;/li&gt; &lt;li&gt;(A cada &lt;code&gt;new&lt;/code&gt;) O &lt;strong&gt;Construtor&lt;/strong&gt; é executado.&lt;/li&gt; &lt;/ol&gt;</t>
  </si>
  <si>
    <t>Por que é quase sempre uma má ideia usarmos uma String (ex: private String nomeDoTime;) para representar um conceito complexo, e por que usar um objeto (ex: private Time time;) é a abordagem correta da POO?</t>
  </si>
  <si>
    <t>Porque uma String armazena apenas um dado simples (sequência de caracteres) e não possui regras de negócio próprias, tornando o código difícil de escalar.
Usar um &lt;strong&gt;objeto&lt;/strong&gt; (&lt;code&gt;private Time time;&lt;/code&gt;) é a abordagem correta, pois permite &lt;strong&gt;associar&lt;/strong&gt; toda a &lt;strong&gt;complexidade&lt;/strong&gt; daquele conceito (seus próprios atributos, métodos e regras de negócio) em um único "pacote" &lt;strong&gt;coeso&lt;/strong&gt;. Isso permite construir sistemas escaláveis que simulam o mundo real, que é o coração da POO.</t>
  </si>
  <si>
    <t>Qual é o método de análise de duas vias para determinar corretamente a cardinalidade de uma associação (ex: 1..N vs. N..N)?</t>
  </si>
  <si>
    <t>Deve-se analisar a relação em ambas as direções, sempre começando a pergunta com "UM" de cada lado:
Exemplo 1: Time e Jogador (Relação 1..N)
&lt;ol&gt; &lt;li&gt;Via 1: UM &lt;code&gt;Time&lt;/code&gt; pode ter &lt;strong&gt;MUITOS (N)&lt;/strong&gt; &lt;code&gt;Jogadores&lt;/code&gt;? Sim.&lt;/li&gt; &lt;li&gt;Via 2: UM &lt;code&gt;Jogador&lt;/code&gt; pode ter &lt;strong&gt;MUITOS (N)&lt;/strong&gt; &lt;code&gt;Times&lt;/code&gt;? Não, apenas &lt;strong&gt;UM (1)&lt;/strong&gt;.&lt;/li&gt; &lt;li&gt;&lt;strong&gt;Conclusão:** Como um dos lados é "N" e o outro é "1", a relação é &lt;strong&gt;1..N (Um-para-Muitos)&lt;/strong&gt;.&lt;/li&gt; &lt;/ol&gt;
Exemplo 2: Estudante e Disciplina (Relação N..N) &lt;ol&gt; &lt;li&gt;Via 1: UM &lt;code&gt;Estudante&lt;/code&gt; pode ter &lt;strong&gt;MUITAS (N)&lt;/strong&gt; &lt;code&gt;Disciplinas&lt;/code&gt;? Sim.&lt;/li&gt; &lt;li&gt;Via 2: UMA &lt;code&gt;Disciplina&lt;/code&gt; pode ter &lt;strong&gt;MUITOS (N)&lt;/strong&gt; &lt;code&gt;Estudantes&lt;/code&gt;? Sim.&lt;/li&gt; &lt;li&gt;&lt;strong&gt;Conclusão:** Como ambos os lados resultam em "N", a relação é &lt;strong&gt;N..N (Muitos-para-Muitos)&lt;/strong&gt;.&lt;/li&gt; &lt;/ol&gt;</t>
  </si>
  <si>
    <t>Em POO, qual é a regra de implementação (em termos de atributos) para representar uma cardinalidade "1" versus uma cardinalidade "Muitos (N)"?</t>
  </si>
  <si>
    <t>&lt;ul&gt; &lt;li&gt;Para uma relação &lt;strong&gt;"1"&lt;/strong&gt; (ex: um Jogador tem um Time): Usa-se uma &lt;strong&gt;referência de objeto simples&lt;/strong&gt;.
&lt;code&gt;private Time time;&lt;/code&gt; &lt;/li&gt;
&lt;li&gt;Para uma relação &lt;strong&gt;"Muitos (N)"&lt;/strong&gt; (ex: um Time tem muitos Jogadores): Usa-se uma &lt;strong&gt;coleção&lt;/strong&gt; (como um &lt;strong&gt;array&lt;/strong&gt;, por enquanto).
&lt;code&gt;private Jogador[] jogadores;&lt;/code&gt; &lt;/li&gt; &lt;/ul&gt;</t>
  </si>
  <si>
    <t>Qual a regra de implementação (em termos de atributos) para representar uma cardinalidade &lt;strong&gt;"1"&lt;/strong&gt; versus uma cardinalidade &lt;strong&gt;"Muitos (N)"&lt;/strong&gt;?</t>
  </si>
  <si>
    <t>&lt;ul&gt; &lt;li&gt;Para uma relação &lt;strong&gt;"1"&lt;/strong&gt; (ex: um &lt;code&gt;Jogador&lt;/code&gt; tem um &lt;code&gt;Time&lt;/code&gt;): Usa-se uma &lt;strong&gt;referência de objeto simples&lt;/strong&gt;.
&lt;code&gt;private Time time;&lt;/code&gt; &lt;/li&gt;
&lt;li&gt;Para uma relação &lt;strong&gt;"Muitos (N)"&lt;/strong&gt; (ex: um &lt;code&gt;Time&lt;/code&gt; tem muitos &lt;code&gt;Jogadores&lt;/code&gt;): Usa-se uma &lt;strong&gt;coleção&lt;/strong&gt; (como um &lt;strong&gt;array&lt;/strong&gt;, por enquanto).
&lt;code&gt;private Jogador[] jogadores;&lt;/code&gt; &lt;/li&gt; &lt;/ul&gt;</t>
  </si>
  <si>
    <t>Como você implementaria uma associação &lt;strong&gt;1..1 (Um-para-Um)&lt;/strong&gt; em Java, como no caso de um &lt;code&gt;Usuario&lt;/code&gt; que "tem-um" &lt;code&gt;EnderecoDeEntrega&lt;/code&gt;?</t>
  </si>
  <si>
    <t>A classe principal (ex: &lt;code&gt;Usuario&lt;/code&gt;) teria um &lt;strong&gt;atributo de referência simples&lt;/strong&gt; (não-array) para a outra classe.
&lt;strong&gt;Exemplo (Na classe &lt;code&gt;Usuario&lt;/code&gt;):&lt;/strong&gt;
&lt;pre&gt;&lt;code&gt;public class Usuario { // Relação 1..1: Um objeto simples private EnderecoDeEntrega endereco;
// ... construtores, getters, setters ...
}&lt;/code&gt;&lt;/pre&gt;</t>
  </si>
  <si>
    <t>Em uma associação 1..1 (como &lt;code&gt;Usuario&lt;/code&gt; tem-um &lt;code&gt;Endereco&lt;/code&gt;), qual a vantagem de design em &lt;strong&gt;não&lt;/strong&gt; colocar um atributo &lt;code&gt;Usuario&lt;/code&gt; dentro da classe &lt;code&gt;Endereco&lt;/code&gt; (mantendo-a &lt;strong&gt;unidirecional&lt;/strong&gt;)?</t>
  </si>
  <si>
    <t>Manter a associação unidirecional &lt;strong&gt;diminui o acoplamento&lt;/strong&gt;.
A classe &lt;code&gt;Endereco&lt;/code&gt; não precisa "conhecer" a classe &lt;code&gt;Usuario&lt;/code&gt;. Isso a torna uma classe mais simples, coesa e &lt;strong&gt;reutilizável&lt;/strong&gt; em outros contextos (ex: &lt;code&gt;Fornecedor&lt;/code&gt;, &lt;code&gt;Filial&lt;/code&gt;), onde a classe &lt;code&gt;Endereco&lt;/code&gt; pode ser usada sem carregar uma dependência da classe &lt;code&gt;Usuario&lt;/code&gt;.</t>
  </si>
  <si>
    <t>Como implementar o lado &lt;strong&gt;"Um"&lt;/strong&gt; de uma associação &lt;strong&gt;1..N (Um-para-Muitos)&lt;/strong&gt; (ex: um &lt;code&gt;Autor&lt;/code&gt; que "tem-muitos" &lt;code&gt;Livros&lt;/code&gt;)?</t>
  </si>
  <si>
    <t>A classe do lado "Um" (&lt;code&gt;Autor&lt;/code&gt;) deve ter um atributo que é uma &lt;strong&gt;coleção&lt;/strong&gt; (como um &lt;strong&gt;array&lt;/strong&gt;, por enquanto) para armazenar as referências aos objetos do lado "Muitos" (&lt;code&gt;Livro&lt;/code&gt;).
&lt;strong&gt;Exemplo (Na classe Autor):&lt;/strong&gt;
&lt;pre&gt;&lt;code&gt;public class Autor { private String nome;
// Relação 1..N: Um array para guardar &amp;quot;Muitos&amp;quot; Livros
private Livro[] livros;
// ... construtores, getters, setters ...
}&lt;/code&gt;&lt;/pre&gt;</t>
  </si>
  <si>
    <t>Como implementar o lado &lt;strong&gt;"Muitos"&lt;/strong&gt; de uma associação &lt;strong&gt;N..1 (Muitos-para-Um)&lt;/strong&gt; (ex: um &lt;code&gt;Livro&lt;/code&gt; que "tem-um" &lt;code&gt;Autor&lt;/code&gt;)?</t>
  </si>
  <si>
    <t>A classe do lado "Muitos" (&lt;code&gt;Livro&lt;/code&gt;) deve ter um &lt;strong&gt;atributo de referência simples&lt;/strong&gt; (não-array) para a classe do lado "Um" (&lt;code&gt;Autor&lt;/code&gt;).
&lt;strong&gt;Exemplo (Na classe &lt;code&gt;Livro&lt;/code&gt;):&lt;/strong&gt;
&lt;pre&gt;&lt;code&gt;public class Livro { private String titulo;
// Relação N..1: Um objeto simples para guardar o &amp;quot;Um&amp;quot; Autor
private Autor autor;
// ... construtores, getters, setters ...
}&lt;/code&gt;&lt;/pre&gt;</t>
  </si>
  <si>
    <t>O que é um &lt;strong&gt;&lt;code&gt;NullPointerException&lt;/code&gt;&lt;/strong&gt; (NPE) em Java?</t>
  </si>
  <si>
    <t>É um erro em tempo de execução (&lt;code&gt;RuntimeException&lt;/code&gt;) que ocorre quando o programa tenta usar uma variável de referência que contém o valor &lt;strong&gt;&lt;code&gt;null&lt;/code&gt;&lt;/strong&gt;.
&lt;code&gt;null&lt;/code&gt; é um valor especial que significa que a referência não aponta para nenhum objeto na memória Heap.
O erro acontece ao tentar "desreferenciar" (usar o ponto &lt;code&gt;.&lt;/code&gt;) a referência nula para:
&lt;ul&gt; &lt;li&gt;Chamar um método (ex: &lt;code&gt;variavelNull.metodo()&lt;/code&gt;).&lt;/li&gt; &lt;li&gt;Acessar um atributo (ex: &lt;code&gt;variavelNull.atributo&lt;/code&gt;).&lt;/li&gt; &lt;/ul&gt; Isso falha porque essas ações exigem um objeto real para operar, e não há um.</t>
  </si>
  <si>
    <t>Em Java, o que acontece ao tentar &lt;strong&gt;imprimir&lt;/strong&gt; uma variável de referência que está &lt;code&gt;null&lt;/code&gt;? (ex: &lt;code&gt;System.out.println(variavelNull);&lt;/code&gt;)</t>
  </si>
  <si>
    <t>&lt;strong&gt;Não ocorre erro.&lt;/strong&gt;
O método &lt;code&gt;System.out.println()&lt;/code&gt; é projetado para lidar com referências nulas de forma segura. Ele simplesmente imprime a string "null" no console.</t>
  </si>
  <si>
    <t>Em Java, o que acontece ao tentar &lt;strong&gt;chamar um método&lt;/strong&gt; ou &lt;strong&gt;acessar um atributo&lt;/strong&gt; de uma variável de referência que está &lt;code&gt;null&lt;/code&gt;? (ex: &lt;code&gt;variavelNull.metodo();&lt;/code&gt;)</t>
  </si>
  <si>
    <t>O programa lança (&lt;em&gt;throws&lt;/em&gt;) um &lt;strong&gt;&lt;code&gt;NullPointerException&lt;/code&gt;&lt;/strong&gt; (NPE) e "quebra".
O erro ocorre na tentativa de usar o operador ponto (&lt;code&gt;.&lt;/code&gt;), pois o Java não pode executar uma ação de instância (metodo()) ou ler um atributo de instância em um objeto que não existe.</t>
  </si>
  <si>
    <t>O que significa dizer que uma associação entre duas classes é &lt;strong&gt;Bidirecional&lt;/strong&gt;?</t>
  </si>
  <si>
    <t>Significa que a navegação e o acesso podem ocorrer em ambos os sentidos.A &lt;code&gt;Classe A&lt;/code&gt; tem uma referência para a &lt;code&gt;Classe B&lt;/code&gt;, E a &lt;code&gt;Classe B&lt;/code&gt; tem uma referência para a &lt;code&gt;Classe A&lt;/code&gt;.Isso independe da quantidade (pode ser $1..1$, $1..N$ ou $N..N$). O fator chave é que ambos os lados "conhecem" o outro.</t>
  </si>
  <si>
    <t>Qual é o principal &lt;strong&gt;risco ou desafio&lt;/strong&gt; técnico ao implementar uma associação &lt;strong&gt;Bidirecional&lt;/strong&gt;?</t>
  </si>
  <si>
    <t>O risco de Inconsistência de Dados.
Como a relação é armazenada em dois lugares diferentes (no objeto A e no objeto B), o programador precisa garantir manualmente que ambos sejam atualizados simultaneamente.
Ex: Se definirmos que o &lt;code&gt;Jogador&lt;/code&gt; está no &lt;code&gt;Time X&lt;/code&gt;, precisamos obrigatoriamente adicionar esse &lt;code&gt;Jogador&lt;/code&gt; na lista do &lt;code&gt;Time X&lt;/code&gt;, senão o estado do sistema fica inconsistente.</t>
  </si>
  <si>
    <t>Qual é a boa prática para garantir a &lt;strong&gt;consistência&lt;/strong&gt; em uma associação bidirecional e evitar erros manuais?</t>
  </si>
  <si>
    <t>Criar métodos inteligentes (frequentemente chamados de Métodos de Conveniência) que encapsulam a lógica de atualização dos dois lados.
Ao chamar o método em um lado (ex: &lt;code&gt;time.adicionar(jogador)&lt;/code&gt;), ele automaticamente chama o método do outro lado (ex: &lt;code&gt;jogador.setTime(this)&lt;/code&gt;), garantindo que a conexão seja sempre feita em par.
(Nota: É necessário incluir verificações para evitar loops infinitos de chamada).</t>
  </si>
  <si>
    <t>O que é a memória &lt;strong&gt;Stack&lt;/strong&gt; (Pilha) em Java e qual seu propósito?</t>
  </si>
  <si>
    <t>É a área de memória usada para gerenciar a &lt;strong&gt;execução de métodos&lt;/strong&gt;. Cada vez que um método é chamado, um "bloco" (chamado &lt;strong&gt;Stack Frame&lt;/strong&gt;) é criado e "empilhado" (push) na Stack.
Este bloco contém as variáveis locais e os parâmetros daquele método. Quando o método termina, seu bloco é "desempilhado" (pop) e a memória é liberada.</t>
  </si>
  <si>
    <t>O que é um &lt;strong&gt;&lt;code&gt;StackOverflowError&lt;/code&gt;&lt;/strong&gt; em Java?</t>
  </si>
  <si>
    <t>É um erro grave (&lt;code&gt;Error&lt;/code&gt;) que ocorre quando a memória &lt;strong&gt;Stack&lt;/strong&gt; (Pilha) fica completamente cheia e "transborda".
Isso quase sempre acontece devido a uma &lt;strong&gt;recursão infinita&lt;/strong&gt; (&lt;em&gt;infinite recursion&lt;/em&gt;), onde um método chama a si mesmo (ou a outro, que o chama de volta) repetidamente sem uma condição de parada, empilhando infinitos "Stack Frames" até o limite da memória ser atingido.</t>
  </si>
  <si>
    <t>Como uma associação &lt;strong&gt;bidirecional&lt;/strong&gt; mal implementada pode causar um &lt;strong&gt;&lt;code&gt;StackOverflowError&lt;/code&gt;&lt;/strong&gt;?</t>
  </si>
  <si>
    <t>Isso ocorre se os métodos &lt;code&gt;set&lt;/code&gt; (ou &lt;code&gt;add&lt;/code&gt;) de ambas as classes se chamarem mutuamente em um &lt;strong&gt;loop infinito&lt;/strong&gt;, sem uma verificação de segurança (um &lt;code&gt;if&lt;/code&gt;) para ver se a associação já foi estabelecida.
&lt;strong&gt;Exemplo de Loop Infinito:&lt;/strong&gt;
&lt;ol&gt; &lt;li&gt;&lt;code&gt;time.adicionarJogador(jogador)&lt;/code&gt; é chamado.&lt;/li&gt; &lt;li&gt;Dentro dele, ele chama &lt;code&gt;jogador.setTime(time)&lt;/code&gt;.&lt;/li&gt; &lt;li&gt;Dentro de &lt;code&gt;setTime&lt;/code&gt;, ele chama &lt;code&gt;time.adicionarJogador(jogador)&lt;/code&gt; novamente.&lt;/li&gt; &lt;li&gt;Isso se repete, empilhando na Stack até a memória estourar.&lt;/li&gt; &lt;/ol&gt;</t>
  </si>
  <si>
    <t>Em design de POO, o que é &lt;strong&gt;Cardinalidade&lt;/strong&gt; (Cardinality) de uma associação?</t>
  </si>
  <si>
    <t>Refere-se à &lt;strong&gt;quantidade&lt;/strong&gt; de instâncias que podem participar da relação. Responde à pergunta "Quantos?".
As cardinalidades comuns são:
&lt;ul&gt; &lt;li&gt;&lt;strong&gt;1..1 (Um-para-Um):&lt;/strong&gt; Ex: &lt;code&gt;Humano&lt;/code&gt; e &lt;code&gt;CPF&lt;/code&gt;.&lt;/li&gt; &lt;li&gt;&lt;strong&gt;1..N (Um-para-Muitos):&lt;/strong&gt; Ex: &lt;code&gt;Time&lt;/code&gt; e &lt;code&gt;Jogadores&lt;/code&gt;.&lt;/li&gt; &lt;li&gt;&lt;strong&gt;N..N (Muitos-para-Muitos):&lt;/strong&gt; Ex: &lt;code&gt;Aluno&lt;/code&gt; e &lt;code&gt;Disciplina&lt;/code&gt;.&lt;/li&gt; &lt;/ul&gt;</t>
  </si>
  <si>
    <t>Em design de POO, o que é a &lt;strong&gt;Direcionalidade&lt;/strong&gt; (Directionality) de uma associação?</t>
  </si>
  <si>
    <t>Refere-se a &lt;strong&gt;"quem conhece quem"&lt;/strong&gt; na relação, ou seja, em qual classe a &lt;strong&gt;referência (atributo)&lt;/strong&gt; é armazenada. Responde à pergunta "O fluxo de navegação é em uma ou duas vias?".
&lt;ul&gt; &lt;li&gt;&lt;strong&gt;Unidirecional:&lt;/strong&gt; Apenas uma classe "conhece" (tem um atributo) a outra. (Ex: &lt;code&gt;Pedido&lt;/code&gt; conhece &lt;code&gt;Cliente&lt;/code&gt;, mas &lt;code&gt;Cliente&lt;/code&gt; não tem uma lista de &lt;code&gt;Pedidos&lt;/code&gt;).&lt;/li&gt; &lt;li&gt;&lt;strong&gt;Bidirecional:&lt;/strong&gt; Ambas as classes "conhecem" (têm atributos) uma da outra.&lt;/li&gt; &lt;/ul&gt;</t>
  </si>
  <si>
    <t>Qual a principal diferença entre &lt;strong&gt;Cardinalidade&lt;/strong&gt; e &lt;strong&gt;Direcionalidade&lt;/strong&gt; em associações?</t>
  </si>
  <si>
    <t>São conceitos &lt;strong&gt;independentes&lt;/strong&gt; (ortogonais) que definem uma associação:
&lt;ul&gt; &lt;li&gt;&lt;strong&gt;Cardinalidade&lt;/strong&gt; (&lt;code&gt;1..N&lt;/code&gt;, &lt;code&gt;N..N&lt;/code&gt;) define a &lt;strong&gt;regra de negócio&lt;/strong&gt; (a quantidade) e impacta o &lt;strong&gt;tipo&lt;/strong&gt; do atributo (&lt;code&gt;Objeto&lt;/code&gt; vs. &lt;code&gt;Array/Lista&lt;/code&gt;).&lt;/li&gt; &lt;li&gt;&lt;strong&gt;Direcionalidade&lt;/strong&gt; (Uni/Bi) define a &lt;strong&gt;navegação&lt;/strong&gt; e impacta em &lt;strong&gt;quais classes&lt;/strong&gt; os atributos serão colocados (em uma só ou em ambas).&lt;/li&gt; &lt;/ul&gt;
Ex: Você pode ter uma associação &lt;code&gt;1..N&lt;/code&gt; que é unidirecional (&lt;code&gt;Time&lt;/code&gt; conhece &lt;code&gt;Jogadores&lt;/code&gt;, mas &lt;code&gt;Jogador&lt;/code&gt; não conhece &lt;code&gt;Time&lt;/code&gt;) ou bidirecional (ambos se conhecem).</t>
  </si>
  <si>
    <t>Qual é a correlação entre a &lt;strong&gt;Direcionalidade&lt;/strong&gt; de uma associação (Unidirecional vs. Bidirecional) e o &lt;strong&gt;Acoplamento&lt;/strong&gt;?</t>
  </si>
  <si>
    <t>A direcionalidade impacta diretamente o nível de dependência entre as classes:
&lt;ul&gt; &lt;li&gt;&lt;strong&gt;Unidirecional (Melhor):&lt;/strong&gt; Gera &lt;strong&gt;menor acoplamento&lt;/strong&gt;. Apenas uma classe depende da outra. A classe "destino" permanece independente, facilitando sua reutilização e teste.&lt;/li&gt;
&lt;li&gt;&lt;strong&gt;Bidirecional (Pior):&lt;/strong&gt; Gera &lt;strong&gt;alto acoplamento&lt;/strong&gt; (frequentemente criando uma Dependência Cíclica). Ambas as classes dependem uma da outra. É difícil alterar, reutilizar ou testar uma sem levar a outra junto.&lt;/li&gt; &lt;/ul&gt; &lt;strong&gt;Regra de Design:&lt;/strong&gt; Sempre prefira associações &lt;strong&gt;unidirecionais&lt;/strong&gt;. Só use bidirecionais se a regra de negócio exigir navegação frequente nos dois sentidos.</t>
  </si>
  <si>
    <t>Qual é a forma mais simples e direta de implementar uma associação &lt;strong&gt;N..N (Muitos-para-Muitos)&lt;/strong&gt; em Java (ex: &lt;code&gt;Aluno&lt;/code&gt; e &lt;code&gt;Curso&lt;/code&gt;), considerando apenas POO pura?</t>
  </si>
  <si>
    <t>Ambas as classes devem possuir atributos do tipo &lt;strong&gt;Coleção (Array)&lt;/strong&gt; referenciando a outra classe.
Como a relação é "Muitos" nas duas direções, ambos os lados precisam armazenar múltiplas referências.
&lt;strong&gt;Exemplo:&lt;/strong&gt;
&lt;pre&gt;&lt;code&gt;class Aluno { private Curso[] cursos; // Aluno tem muitos cursos }
class Curso { private Aluno[] alunos; // Curso tem muitos alunos }&lt;/code&gt;&lt;/pre&gt;</t>
  </si>
  <si>
    <t>Por que é uma &lt;strong&gt;falha de encapsulamento&lt;/strong&gt; criar um getter que retorna diretamente um array privado (ex: &lt;code&gt;return this.jogadores;&lt;/code&gt;)?</t>
  </si>
  <si>
    <t>Porque em Java, arrays são objetos mutáveis. Ao retornar &lt;code&gt;this.jogadores&lt;/code&gt;, você está entregando a &lt;strong&gt;referência direta&lt;/strong&gt; (o endereço de memória) do atributo privado para o código externo.
Isso permite que qualquer classe externa modifique o conteúdo do array (ex: &lt;code&gt;jogadores[0] = null;&lt;/code&gt;) sem passar pelas regras de negócio da classe, quebrando a proteção dos dados.
&lt;strong&gt;Solução:&lt;/strong&gt; Retornar uma &lt;strong&gt;cópia&lt;/strong&gt; do array ou uma lista imutável.</t>
  </si>
  <si>
    <t>Em uma modelagem de classes, quando você deve definir uma associação (atributo) como &lt;strong&gt;&lt;code&gt;static&lt;/code&gt;&lt;/strong&gt; e quando deve ser de &lt;strong&gt;instância&lt;/strong&gt; (não-estático)?</t>
  </si>
  <si>
    <t>A decisão depende se o dado é individual ou compartilhado:
&lt;ul&gt; &lt;li&gt;&lt;strong&gt;De Instância:&lt;/strong&gt; Quando cada objeto deve ter seu próprio valor ou referência independente.
Ex: &lt;code&gt;private Time time;&lt;/code&gt; (Cada aluno joga em um time diferente). &lt;/li&gt;
&lt;li&gt;&lt;strong&gt;Estático (&lt;code&gt;static&lt;/code&gt;):&lt;/strong&gt; Quando o valor ou referência é &lt;strong&gt;comum a todos&lt;/strong&gt; os objetos daquela classe. Economiza memória e garante consistência global.
Ex: &lt;code&gt;private static Escola escola;&lt;/code&gt; (Todos os alunos pertencem à mesma escola). &lt;/li&gt; &lt;/ul&gt;</t>
  </si>
  <si>
    <t>Ao traduzir um diagrama de classes para código Java, qual é a regra de &lt;strong&gt;tipo de atributo&lt;/strong&gt; para as cardinalidades &lt;strong&gt;"1"&lt;/strong&gt; e &lt;strong&gt;"Muitos"&lt;/strong&gt;?</t>
  </si>
  <si>
    <t>&lt;ul&gt; &lt;li&gt;&lt;strong&gt;Lado "1" (Um):&lt;/strong&gt; Implementa-se como uma referência direta ao Objeto.
Sintaxe: &lt;code&gt;private Tipo nomeVariavel;&lt;/code&gt; (Ex: &lt;code&gt;private Professor professor;&lt;/code&gt;) &lt;/li&gt;
&lt;li&gt;&lt;strong&gt;Lado "Muitos" (N):&lt;/strong&gt; Implementa-se como uma Coleção (Array).
Sintaxe: &lt;code&gt;private Tipo[] nomeVariavel;&lt;/code&gt; (Ex: &lt;code&gt;private Aluno[] alunos;&lt;/code&gt;) &lt;/li&gt; &lt;/ul&gt; (Lembre-se: O tipo vem antes dos colchetes ou no nome da classe, não no nome da variável).</t>
  </si>
  <si>
    <t>Em uma &lt;strong&gt;Associação Bidirecional&lt;/strong&gt; (ex: &lt;code&gt;Seminario&lt;/code&gt; &lt;-&gt; &lt;code&gt;Aluno&lt;/code&gt;), qual é a responsabilidade crítica do programador ao fazer a conexão entre os objetos?</t>
  </si>
  <si>
    <t>Garantir a &lt;strong&gt;Consistência dos Dados&lt;/strong&gt;.
Como a relação é armazenada em dois lugares (no objeto A e no objeto B), ao atualizar um lado, você deve &lt;strong&gt;obrigatoriamente&lt;/strong&gt; atualizar o outro.
A melhor prática é usar um &lt;strong&gt;Método de Conveniência&lt;/strong&gt; que faça isso automaticamente (ex: ao adicionar o aluno no seminário, o método já seta o seminário dentro do aluno usando &lt;code&gt;this&lt;/code&gt;).</t>
  </si>
  <si>
    <t>Ao trabalhar com &lt;strong&gt;Arrays de Objetos&lt;/strong&gt; como atributos (ex: &lt;code&gt;private Aluno[] alunos;&lt;/code&gt;), qual verificação é obrigatória antes de tentar iterar sobre eles (ex: em um &lt;code&gt;foreach&lt;/code&gt;) para evitar que o programa quebre?</t>
  </si>
  <si>
    <t>É obrigatório verificar se o array &lt;strong&gt;não é nulo&lt;/strong&gt; (&lt;code&gt;if (this.alunos != null)&lt;/code&gt;).
Se o array nunca foi inicializado ou populado, ele será &lt;code&gt;null&lt;/code&gt;. Tentar iniciar um loop &lt;code&gt;for&lt;/code&gt; ou acessar &lt;code&gt;.length&lt;/code&gt; em uma referência nula causará um &lt;strong&gt;&lt;code&gt;NullPointerException&lt;/code&gt;&lt;/strong&gt; imediato.</t>
  </si>
  <si>
    <t>Por que é considerado um design melhor criar um método específico como &lt;code&gt;imprimeAlunos()&lt;/code&gt; em vez de simplesmente fornecer um getter &lt;code&gt;getAlunos()&lt;/code&gt; que retorna o array?</t>
  </si>
  <si>
    <t>Para proteger o &lt;strong&gt;Encapsulamento&lt;/strong&gt;.
Se você retornar o array (&lt;code&gt;return this.alunos&lt;/code&gt;), você entrega a referência direta da memória para quem chamou. Isso permite que o código externo modifique ou apague dados de dentro do seu array sem controle.
Ao criar um método que apenas &lt;strong&gt;imprime&lt;/strong&gt; ou retorna uma &lt;strong&gt;cópia&lt;/strong&gt;, você expõe a informação sem expor a estrutura interna mutável.</t>
  </si>
  <si>
    <t>No contexto de associações &lt;strong&gt;1..N&lt;/strong&gt;, qual é a principal &lt;strong&gt;limitação técnica&lt;/strong&gt; dos Arrays em Java que torna a adição dinâmica de itens (um a um) trabalhosa?</t>
  </si>
  <si>
    <t>Arrays em Java têm &lt;strong&gt;tamanho fixo&lt;/strong&gt; uma vez criados.
Eles não podem "crescer" automaticamente. Para adicionar um novo item em um array cheio, seria necessário criar manualmente um novo array maior e copiar todos os elementos anteriores. Isso torna arrays puros pouco flexíveis para associações dinâmicas (motivo pelo qual usaremos &lt;code&gt;ArrayList&lt;/code&gt; no futuro).</t>
  </si>
  <si>
    <t>O que é a &lt;strong&gt;Lei de Demeter&lt;/strong&gt; (Law of Demeter - LoD)?</t>
  </si>
  <si>
    <t>É um princípio de design de software que visa reduzir o &lt;strong&gt;baixo acoplamento&lt;/strong&gt;, também conhecido como &lt;strong&gt;"Princípio do Menor Conhecimento"&lt;/strong&gt; ou "Não Fale com Estranhos".</t>
  </si>
  <si>
    <t>Qual é a regra prática da &lt;strong&gt;Lei de Demeter&lt;/strong&gt; (LoD)?</t>
  </si>
  <si>
    <t>Um método de um objeto só deve chamar métodos de seus "amigos imediatos". Esses amigos são:
&lt;ul&gt; &lt;li&gt;O próprio objeto (&lt;code&gt;this&lt;/code&gt;).&lt;/li&gt; &lt;li&gt;Seus atributos de instância (&lt;code&gt;this.atributo&lt;/code&gt;).&lt;/li&gt; &lt;li&gt;Os parâmetros que o método recebeu.&lt;/li&gt; &lt;li&gt;Objetos que o próprio método criou (&lt;code&gt;new...&lt;/code&gt;).&lt;/li&gt; &lt;/ul&gt; Ele não deve "falar" com objetos retornados por chamadas a seus amigos (ou seja, "amigos de amigos").</t>
  </si>
  <si>
    <t>Como a &lt;strong&gt;Lei de Demeter&lt;/strong&gt; é comumente violada?</t>
  </si>
  <si>
    <t>Através de um "Acidente de Trem" (&lt;strong&gt;Train Wreck&lt;/strong&gt;) – um encadeamento longo de chamadas de métodos (geralmente getters) para "cavar" dados de um objeto.
&lt;strong&gt;Violação (Alto Acoplamento):&lt;/strong&gt;
&lt;pre&gt;&lt;code&gt;// O código externo agora depende de Seminario, Local e da API do Local. String rua = seminario.getLocal().getRua();&lt;/code&gt;&lt;/pre&gt;
Se &lt;code&gt;Local&lt;/code&gt; mudar, este código externo quebra.</t>
  </si>
  <si>
    <t>Como se corrige uma violação da &lt;strong&gt;Lei de Demeter&lt;/strong&gt;?</t>
  </si>
  <si>
    <t>Através da &lt;strong&gt;Delegação&lt;/strong&gt; e do &lt;strong&gt;Encapsulamento&lt;/strong&gt;.
A classe principal deve "esconder" a complexidade e fornecer um método de conveniência que faz o trabalho internamente.
&lt;strong&gt;Solução (Baixo Acoplamento):&lt;/strong&gt;
&lt;pre&gt;&lt;code&gt;// Na classe Seminario: public String getEnderecoFormatado() { // A complexidade fica escondida (encapsulada) aqui: return this.local.getRua() + ", " + this.local.getBairro(); }
// No código externo (agora desacoplado): String endereco = seminario.getEnderecoFormatado();&lt;/code&gt;&lt;/pre&gt;</t>
  </si>
  <si>
    <t>O que é um valor &lt;strong&gt;"hardcoded"&lt;/strong&gt; em programação?</t>
  </si>
  <si>
    <t>É um valor (como uma &lt;code&gt;String&lt;/code&gt; ou &lt;code&gt;int&lt;/code&gt;) que é escrito &lt;strong&gt;diretamente no código-fonte&lt;/strong&gt;, em vez de ser lido de uma fonte externa (como um usuário, arquivo ou banco de dados).
&lt;strong&gt;Exemplo:&lt;/strong&gt;
&lt;pre&gt;&lt;code&gt;String nome = "Gustavo"; // O nome "Gustavo" está hardcoded&lt;/code&gt;&lt;/pre&gt;
&lt;strong&gt;Desvantagem:&lt;/strong&gt; O código é inflexível. Para mudar o valor, é preciso alterar o código e recompilá-lo. A classe &lt;code&gt;Scanner&lt;/code&gt; é usada para &lt;strong&gt;evitar&lt;/strong&gt; dados hardcoded, permitindo o input do usuário.</t>
  </si>
  <si>
    <t>Para que serve o método &lt;strong&gt;&lt;code&gt;scanner.nextInt()&lt;/code&gt;&lt;/strong&gt; da classe &lt;code&gt;Scanner&lt;/code&gt; e qual o cuidado necessário?</t>
  </si>
  <si>
    <t>Ele "escaneia" o próximo token da entrada e tenta convertê-lo em um tipo &lt;strong&gt;&lt;code&gt;int&lt;/code&gt;&lt;/strong&gt;.
&lt;strong&gt;Cuidado:&lt;/strong&gt; Ele lê apenas os dígitos do número, mas &lt;strong&gt;deixa o caractere de nova linha (&lt;code&gt;\n&lt;/code&gt;)&lt;/strong&gt; (o "Enter") para trás no buffer. Isso pode causar problemas (pular a leitura) se houver uma leitura de linha (&lt;code&gt;nextLine()&lt;/code&gt;) logo em seguida.</t>
  </si>
  <si>
    <t>Para que serve o método &lt;strong&gt;&lt;code&gt;scanner.nextDouble()&lt;/code&gt;&lt;/strong&gt; da classe &lt;code&gt;Scanner&lt;/code&gt;?</t>
  </si>
  <si>
    <t>Ele "escaneia" o próximo token da entrada e tenta convertê-lo em um tipo &lt;strong&gt;&lt;code&gt;double&lt;/code&gt;&lt;/strong&gt; (reconhecendo o separador decimal local, como &lt;code&gt;,&lt;/code&gt; ou &lt;code&gt;.&lt;/code&gt;).
Assim como o &lt;code&gt;nextInt()&lt;/code&gt;, ele lê apenas o número e &lt;strong&gt;deixa o caractere de nova linha (&lt;code&gt;\n&lt;/code&gt;)&lt;/strong&gt; sobrando no buffer.</t>
  </si>
  <si>
    <t>Para que serve o método &lt;strong&gt;&lt;code&gt;scanner.next()&lt;/code&gt;&lt;/strong&gt; da classe &lt;code&gt;Scanner&lt;/code&gt;?</t>
  </si>
  <si>
    <t>Ele lê e retorna o próximo "token" (sequência de caracteres) da entrada como uma &lt;strong&gt;&lt;code&gt;String&lt;/code&gt;&lt;/strong&gt;.
&lt;strong&gt;Comportamento:&lt;/strong&gt; Por padrão, um token é separado por &lt;strong&gt;espaço em branco&lt;/strong&gt;. Se o usuário digitar "Gustavo Henrique", o &lt;code&gt;next()&lt;/code&gt; lerá apenas "Gustavo" e deixará " Henrique" (e o Enter) no buffer.</t>
  </si>
  <si>
    <t>Qual a diferença crucial do método &lt;strong&gt;&lt;code&gt;scanner.nextLine()&lt;/code&gt;&lt;/strong&gt; em relação ao &lt;code&gt;next()&lt;/code&gt;?</t>
  </si>
  <si>
    <t>O &lt;code&gt;nextLine()&lt;/code&gt; lê &lt;strong&gt;todos&lt;/strong&gt; os caracteres da entrada &lt;strong&gt;até encontrar o fim da linha&lt;/strong&gt; (o "Enter") e retorna a &lt;code&gt;String&lt;/code&gt; completa (incluindo espaços).
&lt;strong&gt;Importante:&lt;/strong&gt; Este método &lt;strong&gt;consome (lê e descarta) o caractere de nova linha (&lt;code&gt;\n&lt;/code&gt;)&lt;/strong&gt; do buffer. É por isso que ele é usado para "limpar" o buffer após um &lt;code&gt;nextInt()&lt;/code&gt; ou &lt;code&gt;nextDouble()&lt;/code&gt;.</t>
  </si>
  <si>
    <t>Como ler um &lt;strong&gt;único caractere (&lt;code&gt;char&lt;/code&gt;)&lt;/strong&gt; usando a classe &lt;code&gt;Scanner&lt;/code&gt;, já que não existe o método &lt;code&gt;nextChar()&lt;/code&gt;?</t>
  </si>
  <si>
    <t>A técnica padrão é usar o &lt;code&gt;next()&lt;/code&gt; (para ler o próximo token como uma &lt;code&gt;String&lt;/code&gt;) e, em seguida, encadear o método &lt;strong&gt;&lt;code&gt;charAt(0)&lt;/code&gt;&lt;/strong&gt; da classe String para pegar apenas o primeiro caractere.
&lt;strong&gt;Exemplo:&lt;/strong&gt;
&lt;pre&gt;&lt;code&gt;System.out.println("Digite (S/N):"); // Lê a String e pega o primeiro char char resposta = scanner.next().charAt(0);&lt;/code&gt;&lt;/pre&gt;</t>
  </si>
  <si>
    <t>O que é o &lt;strong&gt;"Buffer"&lt;/strong&gt; de entrada (&lt;code&gt;System.in&lt;/code&gt;) que o &lt;code&gt;Scanner&lt;/code&gt; utiliza?</t>
  </si>
  <si>
    <t>É uma &lt;strong&gt;fila de espera&lt;/strong&gt; (memória temporária) para os dados digitados no teclado.
&lt;ul&gt; &lt;li&gt;Cada tecla (ex: '2', '5') é adicionada à fila.&lt;/li&gt; &lt;li&gt;A tecla &lt;strong&gt;Enter&lt;/strong&gt; também é adicionada à fila, como um caractere invisível de controle: &lt;strong&gt;&lt;code&gt;\n&lt;/code&gt;&lt;/strong&gt; (nova linha).&lt;/li&gt; &lt;/ul&gt; Os métodos do &lt;code&gt;Scanner&lt;/code&gt; vão "comendo" (consumindo) dados dessa fila.</t>
  </si>
  <si>
    <t>Por que os métodos &lt;code&gt;nextInt()&lt;/code&gt;, &lt;code&gt;nextDouble()&lt;/code&gt; e &lt;code&gt;next()&lt;/code&gt; são considerados "sujos" em relação ao buffer do &lt;code&gt;Scanner&lt;/code&gt;?</t>
  </si>
  <si>
    <t>Porque eles são "focados em tokens" (o dado) e &lt;strong&gt;não consomem o caractere de nova linha (&lt;code&gt;\n&lt;/code&gt;)&lt;/strong&gt; que você digitou (com o Enter) logo após o dado.
&lt;strong&gt;Exemplo de Execução:&lt;/strong&gt;
&lt;ol&gt; &lt;li&gt;Você digita &lt;code&gt;25&lt;/code&gt; e &lt;code&gt;Enter&lt;/code&gt;.&lt;/li&gt; &lt;li&gt;O Buffer fica: &lt;code&gt;[ '2', '5', '\n' ]&lt;/code&gt;&lt;/li&gt; &lt;li&gt;O &lt;code&gt;nextInt()&lt;/code&gt; consome &lt;code&gt;'2'&lt;/code&gt; e &lt;code&gt;'5'&lt;/code&gt;.&lt;/li&gt; &lt;li&gt;O Buffer &lt;strong&gt;sobra com:&lt;/strong&gt; &lt;code&gt;[ '\n' ]&lt;/code&gt;.&lt;/li&gt; &lt;/ol&gt; Eles "comem" o dado, mas deixam o "resto" (o &lt;code&gt;\n&lt;/code&gt;) para trás.</t>
  </si>
  <si>
    <t>Por que o método &lt;strong&gt;&lt;code&gt;scanner.nextLine()&lt;/code&gt;&lt;/strong&gt; é considerado "limpo" em relação ao buffer?</t>
  </si>
  <si>
    <t>Porque sua regra de funcionamento é: "Ler todos os caracteres (incluindo espaços) até encontrar um &lt;strong&gt;&lt;code&gt;\n&lt;/code&gt;&lt;/strong&gt; (Enter) e, em seguida, &lt;strong&gt;consumir e descartar&lt;/strong&gt; esse &lt;code&gt;\n&lt;/code&gt;".
O &lt;code&gt;nextLine()&lt;/code&gt; é o único desses métodos que ativamente procura e "joga no lixo" o caractere de nova linha, deixando o buffer limpo após sua execução.</t>
  </si>
  <si>
    <t>Qual é a "pegadinha" (o erro comum) que acontece ao usar um &lt;strong&gt;&lt;code&gt;nextLine()&lt;/code&gt;&lt;/strong&gt; &lt;em&gt;após&lt;/em&gt; um &lt;strong&gt;&lt;code&gt;nextInt()&lt;/code&gt;&lt;/strong&gt;?</t>
  </si>
  <si>
    <t>O &lt;code&gt;nextInt()&lt;/code&gt; (método "sujo") deixa um &lt;strong&gt;&lt;code&gt;\n&lt;/code&gt;&lt;/strong&gt; sobrando no buffer.
O &lt;code&gt;nextLine()&lt;/code&gt;, ao ser chamado, encontra esse &lt;code&gt;\n&lt;/code&gt; "órfão" imediatamente. Ele segue sua regra ("achei um &lt;code&gt;\n&lt;/code&gt;, vou parar e consumi-lo"), retorna uma &lt;strong&gt;&lt;code&gt;String&lt;/code&gt; vazia (&lt;code&gt;""&lt;/code&gt;)&lt;/strong&gt;, e "pula" a entrada do usuário, que nem teve a chance de digitar.</t>
  </si>
  <si>
    <t>Como evitar a "pegadinha" do &lt;code&gt;nextLine()&lt;/code&gt; pulando a entrada após um &lt;code&gt;nextInt()&lt;/code&gt; ou &lt;code&gt;nextDouble()&lt;/code&gt;?</t>
  </si>
  <si>
    <t>Você deve "limpar" o buffer manualmente, consumindo o &lt;strong&gt;&lt;code&gt;\n&lt;/code&gt;&lt;/strong&gt; (Enter) que sobrou.
Isso é feito chamando um &lt;strong&gt;&lt;code&gt;scanner.nextLine()&lt;/code&gt;&lt;/strong&gt; extra e "inútil" logo após a leitura do número (ou qualquer método "sujo").
&lt;strong&gt;Exemplo:&lt;/strong&gt;
&lt;pre&gt;&lt;code&gt;System.out.print("Digite a idade: "); int idade = scanner.nextInt(); scanner.nextLine(); // &lt;-- O "FAXINEIRO": consome o \n deixado pelo nextInt()
System.out.print("Digite o nome: "); String nome = scanner.nextLine(); // &lt;-- Agora funciona!&lt;/code&gt;&lt;/pre&gt;</t>
  </si>
  <si>
    <t>Ao usar &lt;strong&gt;&lt;code&gt;scanner.nextDouble()&lt;/code&gt;&lt;/strong&gt;, por que digitar &lt;code&gt;10.5&lt;/code&gt; (com ponto) pode gerar um erro (&lt;code&gt;InputMismatchException&lt;/code&gt;) dependendo do computador?</t>
  </si>
  <si>
    <t>Porque o &lt;code&gt;Scanner&lt;/code&gt; utiliza, por padrão, a configuração de localidade (Locale) do sistema operacional para identificar o separador decimal.
Se o seu PC estiver em Português (Brasil), o Scanner espera uma vírgula (&lt;code&gt;10,5&lt;/code&gt;). Se você digitar ponto, ele não reconhece como número.
&lt;strong&gt;Solução:&lt;/strong&gt; Digitar com vírgula ou forçar o padrão americano no código: &lt;code&gt;scanner.useLocale(Locale.US);&lt;/code&gt;.</t>
  </si>
  <si>
    <t>Qual exceção (erro) é lançada se você chamar &lt;strong&gt;&lt;code&gt;scanner.nextInt()&lt;/code&gt;&lt;/strong&gt; mas o usuário digitar um texto (ex: "olá") ou um número decimal?</t>
  </si>
  <si>
    <t>É lançada uma &lt;strong&gt;&lt;code&gt;InputMismatchException&lt;/code&gt;&lt;/strong&gt;.
Isso ocorre porque o token encontrado no buffer não corresponde (&lt;em&gt;mismatch&lt;/em&gt;) ao tipo de dado esperado pelo método (que esperava um inteiro). O programa para imediatamente se esse erro não for tratado.</t>
  </si>
  <si>
    <t>O que é exatamente a variável &lt;strong&gt;&lt;code&gt;System.in&lt;/code&gt;&lt;/strong&gt; que passamos para o &lt;code&gt;Scanner&lt;/code&gt;?</t>
  </si>
  <si>
    <t>É um &lt;strong&gt;atributo estático&lt;/strong&gt; (&lt;code&gt;public static final&lt;/code&gt;) da classe &lt;code&gt;System&lt;/code&gt;. Ele representa o &lt;strong&gt;fluxo de entrada padrão&lt;/strong&gt; (&lt;em&gt;standard input stream&lt;/em&gt;) do sistema, que, por padrão, é o &lt;strong&gt;teclado&lt;/strong&gt;.
Ele fornece os dados "brutos" (um fluxo de bytes) que o &lt;code&gt;Scanner&lt;/code&gt; irá "traduzir" em &lt;code&gt;int&lt;/code&gt;, &lt;code&gt;String&lt;/code&gt;, etc.</t>
  </si>
  <si>
    <t>Por que a classe &lt;code&gt;Scanner&lt;/code&gt; nos &lt;strong&gt;obriga&lt;/strong&gt; a passar uma fonte de dados (como &lt;code&gt;System.in&lt;/code&gt;) em seu &lt;strong&gt;construtor&lt;/strong&gt;?</t>
  </si>
  <si>
    <t>Porque o &lt;code&gt;Scanner&lt;/code&gt; é uma ferramenta &lt;strong&gt;genérica&lt;/strong&gt; de tradução de dados, e não uma ferramenta específica para o teclado. Ele precisa que o programador "injete" (forneça) a &lt;strong&gt;dependência&lt;/strong&gt; de qual &lt;strong&gt;fonte de dados&lt;/strong&gt; (&lt;em&gt;input stream&lt;/em&gt;) ele deve ler.
Obrigar a passagem no construtor segue o princípio da &lt;strong&gt;Injeção de Dependência&lt;/strong&gt;, tornando a classe mais flexível.</t>
  </si>
  <si>
    <t>Por que o &lt;code&gt;Scanner&lt;/code&gt; não tem um construtor padrão (&lt;code&gt;new Scanner()&lt;/code&gt;) ou um método estático que "magicâmente" usa o teclado (&lt;code&gt;System.in&lt;/code&gt;)?</t>
  </si>
  <si>
    <t>Porque isso criaria um &lt;strong&gt;alto acoplamento&lt;/strong&gt;, "amarrando" a classe &lt;code&gt;Scanner&lt;/code&gt; permanentemente ao teclado (&lt;code&gt;System.in&lt;/code&gt;).
Isso tornaria a classe inútil para seus outros propósitos principais, que são ler dados de &lt;strong&gt;Arquivos&lt;/strong&gt; (&lt;code&gt;new Scanner(new File(...))&lt;/code&gt;) ou &lt;strong&gt;Strings&lt;/strong&gt; (&lt;code&gt;new Scanner("...")&lt;/code&gt;), que são muito comuns em servidores e testes.</t>
  </si>
  <si>
    <t>Além do teclado (&lt;code&gt;System.in&lt;/code&gt;), quais são outras &lt;strong&gt;fontes de dados&lt;/strong&gt; comuns que podemos passar para um construtor &lt;code&gt;Scanner&lt;/code&gt;?</t>
  </si>
  <si>
    <t>O &lt;code&gt;Scanner&lt;/code&gt; é uma classe versátil que pode ser construída para "escanear" (ler e traduzir) dados de várias fontes, como:
&lt;ul&gt; &lt;li&gt;Uma &lt;strong&gt;&lt;code&gt;String&lt;/code&gt;&lt;/strong&gt;:
&lt;code&gt;Scanner sc = new Scanner("Olá mundo 123");&lt;/code&gt; &lt;/li&gt;
&lt;li&gt;Um &lt;strong&gt;&lt;code&gt;File&lt;/code&gt;&lt;/strong&gt; (Arquivo):
&lt;code&gt;Scanner sc = new Scanner(new File("dados.txt"));&lt;/code&gt; &lt;/li&gt; &lt;/ul&gt;</t>
  </si>
  <si>
    <t>Qual a diferença fundamental de comportamento entre &lt;strong&gt;&lt;code&gt;scanner.next()&lt;/code&gt;&lt;/strong&gt; e &lt;strong&gt;&lt;code&gt;scanner.nextLine()&lt;/code&gt;&lt;/strong&gt;?</t>
  </si>
  <si>
    <t>A diferença está no &lt;strong&gt;delimitador&lt;/strong&gt; (onde param de ler) e em como tratam o &lt;strong&gt;buffer&lt;/strong&gt;:
&lt;ul&gt; &lt;li&gt;&lt;strong&gt;&lt;code&gt;next()&lt;/code&gt; (Foco no "Token" - "Sujo"):&lt;/strong&gt; &lt;ul&gt; &lt;li&gt;Lê apenas até o próximo &lt;strong&gt;espaço em branco&lt;/strong&gt;.&lt;/li&gt; &lt;li&gt;&lt;strong&gt;Não consome&lt;/strong&gt; o caractere &lt;code&gt;\n&lt;/code&gt; (Enter) no final. Ele "deixa sujeira" (o &lt;code&gt;\n&lt;/code&gt;) no buffer.&lt;/li&gt; &lt;li&gt;Ex: "Gustavo Henrique" -&gt; Lê "Gustavo".&lt;/li&gt; &lt;/ul&gt; &lt;/li&gt;
&lt;li&gt;&lt;strong&gt;&lt;code&gt;nextLine()&lt;/code&gt; (Foco na "Linha" - "Limpo"):&lt;/strong&gt; &lt;ul&gt; &lt;li&gt;Lê &lt;strong&gt;tudo&lt;/strong&gt; (incluindo espaços) até encontrar o &lt;strong&gt;&lt;code&gt;\n&lt;/code&gt;&lt;/strong&gt; (Enter).&lt;/li&gt; &lt;li&gt;&lt;strong&gt;Consome e descarta&lt;/strong&gt; o &lt;code&gt;\n&lt;/code&gt; do buffer, deixando-o limpo.&lt;/li&gt; &lt;li&gt;Ex: "Gustavo Henrique" -&gt; Lê "Gustavo Henrique".&lt;/li&gt; &lt;/ul&gt; &lt;/li&gt; &lt;/ul&gt;</t>
  </si>
  <si>
    <t>Qual é a estrutura padrão para ler um único char usando a classe Scanner (já que não existe &lt;code&gt;nextChar&lt;/code&gt;) e como ela se comporta se o usuário digitar uma palavra inteira (ex: "SIM")?</t>
  </si>
  <si>
    <t>A estrutura é: &lt;code&gt;&lt;strong&gt;scanner.next().charAt(0);&lt;/strong&gt;&lt;/code&gt;
&lt;strong&gt;Como funciona:&lt;/strong&gt;
&lt;ol&gt; &lt;li&gt;&lt;code&gt;.next()&lt;/code&gt;: Lê a entrada completa como uma &lt;strong&gt;String&lt;/strong&gt; (ex: lê "SIM").&lt;/li&gt; &lt;li&gt;&lt;code&gt;.charAt(0)&lt;/code&gt;: Extrai apenas o &lt;strong&gt;primeiro caractere&lt;/strong&gt; dessa String (ex: pega 'S').&lt;/li&gt; &lt;/ol&gt; Se o usuário digitar mais de uma letra, o código captura a primeira e ignora o resto, funcionando corretamente para entradas como "Sim", "Yes" ou "S".</t>
  </si>
  <si>
    <t>No design de classes, quando dizemos que o Objeto A &lt;strong&gt;"TEM UM"&lt;/strong&gt; (Has-a) Objeto B (ex: Um Carro tem um Motor), a qual conceito de relacionamento estamos nos referindo?</t>
  </si>
  <si>
    <t>Estamos falando de &lt;strong&gt;Associação&lt;/strong&gt; (Agregação ou Composição).
Isso indica uma &lt;strong&gt;conexão&lt;/strong&gt; ou acoplamento onde uma classe é usada como &lt;strong&gt;atributo&lt;/strong&gt; dentro da outra.</t>
  </si>
  <si>
    <t>No design de classes, quando dizemos que o Objeto A &lt;strong&gt;"É UM"&lt;/strong&gt; (Is-a) Objeto B (ex: Um Gerente é um Funcionário), a qual conceito de relacionamento estamos nos referindo?</t>
  </si>
  <si>
    <t>Estamos falando de &lt;strong&gt;Herança&lt;/strong&gt;.
Isso indica uma relação de &lt;strong&gt;Generalização/Especialização&lt;/strong&gt;, onde a classe filha herda características da classe mãe (implementado com &lt;code&gt;extends&lt;/code&gt;).</t>
  </si>
  <si>
    <t>Qual é a relação entre Herança e Acoplamento? (Ela aumenta ou diminui o acoplamento?)</t>
  </si>
  <si>
    <t>A Herança gera Alto Acoplamento (um dos mais fortes possíveis).
Ao usar &lt;code&gt;extends&lt;/code&gt;, a classe filha torna-se &lt;strong&gt;rigidamente dependente&lt;/strong&gt; da implementação da classe mãe.
&lt;strong&gt;O Risco:&lt;/strong&gt; Qualquer mudança simples na classe mãe pode quebrar o código de todas as classes filhas (efeito cascata), tornando a manutenção mais difícil do que na Associação.</t>
  </si>
  <si>
    <t>Qual é a relação entre &lt;strong&gt;Herança&lt;/strong&gt; e o termo &lt;strong&gt;"Estender"&lt;/strong&gt; (Extends) uma classe?</t>
  </si>
  <si>
    <t>"Estender" é a &lt;strong&gt;ação prática&lt;/strong&gt; da Herança.
Ao herdar de uma classe, a classe filha &lt;strong&gt;mantém&lt;/strong&gt; o que a mãe já tem e &lt;strong&gt;adiciona&lt;/strong&gt; (estende) novas funcionalidades ou especializações. Ela aumenta o escopo da classe original.
Por isso, a palavra-chave em Java é &lt;code&gt;extends&lt;/code&gt;.</t>
  </si>
  <si>
    <t>O que é uma &lt;strong&gt;Subclasse&lt;/strong&gt; (Sub Class) no contexto de Herança?</t>
  </si>
  <si>
    <t>É a classe &lt;strong&gt;filha&lt;/strong&gt; ou classe &lt;strong&gt;especializada&lt;/strong&gt;.
É a classe que herda (através do &lt;code&gt;extends&lt;/code&gt;) as características de outra classe mais genérica, podendo adicionar seus próprios atributos e métodos.</t>
  </si>
  <si>
    <t>O que é uma classe &lt;strong&gt;"Mãe"&lt;/strong&gt; ou &lt;strong&gt;"Super"&lt;/strong&gt; (Super Class)?</t>
  </si>
  <si>
    <t>São sinônimos para a classe &lt;strong&gt;Pai&lt;/strong&gt; ou classe &lt;strong&gt;Base&lt;/strong&gt;.
É a classe mais &lt;strong&gt;genérica&lt;/strong&gt; que "doa" seus atributos e métodos para ser estendida pelas subclasses.</t>
  </si>
  <si>
    <t>Qual a funcionalidade da palavra-chave &lt;code&gt;super&lt;/code&gt; quando usada dentro de uma subclasse?</t>
  </si>
  <si>
    <t>Ela serve para acessar explicitamente os membros (atributos, métodos ou construtores) da &lt;strong&gt;classe Pai&lt;/strong&gt; (Super Class).
É usada para diferenciar o que pertence à instância atual (&lt;code&gt;this&lt;/code&gt;) do que pertence à implementação original da mãe (&lt;code&gt;super&lt;/code&gt;), como chamar o construtor da mãe (&lt;code&gt;super()&lt;/code&gt;).</t>
  </si>
  <si>
    <t>O que é a classe &lt;code&gt;Object&lt;/code&gt; em Java e qual sua importância na Herança?</t>
  </si>
  <si>
    <t>É a classe &lt;strong&gt;raiz de toda a hierarquia&lt;/strong&gt; do Java.
Ela é a "mãe de todas as classes". Ela é importante porque define os métodos fundamentais que &lt;strong&gt;todo&lt;/strong&gt; objeto Java deve ter, como &lt;code&gt;equals()&lt;/code&gt;, &lt;code&gt;toString()&lt;/code&gt; e &lt;code&gt;hashCode()&lt;/code&gt;.</t>
  </si>
  <si>
    <t>Por que dizemos que &lt;strong&gt;toda&lt;/strong&gt; classe herda os métodos de &lt;code&gt;Object&lt;/code&gt;, mesmo quando não escrevemos &lt;code&gt;extends Object&lt;/code&gt; no código?</t>
  </si>
  <si>
    <t>Porque o compilador do Java insere o comando &lt;code&gt;extends Object&lt;/code&gt; &lt;strong&gt;automaticamente&lt;/strong&gt; em qualquer classe que não estenda explicitamente outra classe.
Isso garante que não existam objetos "orfãos" sem as funcionalidades básicas do sistema.</t>
  </si>
  <si>
    <t>Qual a diferença fundamental entre &lt;strong&gt;Associação&lt;/strong&gt; e &lt;strong&gt;Acoplamento&lt;/strong&gt; em Java?</t>
  </si>
  <si>
    <t>&lt;ul&gt; &lt;li&gt;&lt;strong&gt;Associação:&lt;/strong&gt; É o &lt;strong&gt;mecanismo&lt;/strong&gt; (o "como"). Refere-se ao relacionamento estrutural onde uma classe possui uma referência para outra (relação "Tem-um").&lt;/li&gt;
&lt;li&gt;&lt;strong&gt;Acoplamento:&lt;/strong&gt; É a &lt;strong&gt;métrica&lt;/strong&gt; (o "quanto"). Mede o grau de dependência entre as classes (o quanto uma classe "quebra" se a outra mudar).&lt;/li&gt; &lt;/ul&gt; &lt;strong&gt;Resumo:&lt;/strong&gt; A Associação cria a conexão; o Acoplamento mede a força e o risco dessa conexão.</t>
  </si>
  <si>
    <t>Qual a principal utilidade da &lt;strong&gt;Herança&lt;/strong&gt; e por que ela é fundamental para o princípio &lt;strong&gt;DRY&lt;/strong&gt;?</t>
  </si>
  <si>
    <t>A utilidade principal é a &lt;strong&gt;Reutilização de Código&lt;/strong&gt; (Generalização).
Ela aplica o DRY (&lt;em&gt;Don't Repeat Yourself&lt;/em&gt; - Não se repita) ao permitir que atributos e métodos comuns sejam escritos &lt;strong&gt;uma única vez&lt;/strong&gt; na classe mãe (Superclasse).
As subclasses herdam essa estrutura automaticamente, eliminando a necessidade de &lt;strong&gt;duplicar (copiar e colar)&lt;/strong&gt; o mesmo código em várias classes diferentes.</t>
  </si>
  <si>
    <t>Qual é a correlação fundamental entre &lt;strong&gt;Herança&lt;/strong&gt; e &lt;strong&gt;Sobrescrita&lt;/strong&gt; (Override) em subclasses?</t>
  </si>
  <si>
    <t>A Herança fornece o comportamento &lt;strong&gt;padrão&lt;/strong&gt; (genérico) da classe mãe, enquanto a Sobrescrita permite a &lt;strong&gt;especialização&lt;/strong&gt; desse comportamento na classe filha.
Para que haja sobrescrita (&lt;code&gt;@Override&lt;/code&gt;), é &lt;strong&gt;obrigatório&lt;/strong&gt; que haja Herança (ou implementação de interface). A subclasse "aceita" o método herdado, mas decide alterar sua implementação interna para atender à sua necessidade específica.</t>
  </si>
  <si>
    <t>O que é o &lt;strong&gt;Override&lt;/strong&gt; (Sobrescrita) e como ele funciona em Java?</t>
  </si>
  <si>
    <t>É o ato de uma &lt;strong&gt;subclasse&lt;/strong&gt; redefinir (reescrever) um método que foi herdado da &lt;strong&gt;superclasse&lt;/strong&gt;, alterando seu comportamento original.
&lt;strong&gt;Como funciona:&lt;/strong&gt;
&lt;ul&gt; &lt;li&gt;A subclasse deve declarar o método com a &lt;strong&gt;mesma assinatura&lt;/strong&gt; (mesmo nome, mesmo tipo de retorno e mesmos parâmetros) da classe mãe.&lt;/li&gt; &lt;li&gt;Utiliza-se a anotação &lt;code&gt;@Override&lt;/code&gt; acima do método para garantir que a sobrescrita está correta (o compilador avisa se você errar o nome ou parâmetros).&lt;/li&gt; &lt;/ul&gt;</t>
  </si>
  <si>
    <t>É &lt;strong&gt;obrigatório&lt;/strong&gt; utilizar a anotação &lt;code&gt;@Override&lt;/code&gt; para que a sobrescrita de um método aconteça em Java?</t>
  </si>
  <si>
    <t>&lt;strong&gt;Não.&lt;/strong&gt;
Se a assinatura do método (nome + parâmetros) for idêntica à da superclasse, o Java reconhece a sobrescrita automaticamente. No entanto, deixar de usar a anotação é considerado uma &lt;strong&gt;má prática&lt;/strong&gt; de programação.</t>
  </si>
  <si>
    <t>Se não é obrigatório, qual a &lt;strong&gt;utilidade técnica principal&lt;/strong&gt; da anotação &lt;code&gt;@Override&lt;/code&gt; (além da clareza para o desenvolvedor)?</t>
  </si>
  <si>
    <t>Ela serve como uma &lt;strong&gt;Trava de Segurança do Compilador&lt;/strong&gt;.
Ela diz ao compilador: "Verifique se eu não errei". Se você cometer um erro de digitação no nome do método ou errar os parâmetros, o compilador gera um &lt;strong&gt;Erro de Compilação&lt;/strong&gt; avisando que você falhou em sobrescrever.
Sem a anotação, o compilador aceitaria o erro silenciosamente, criando um novo método (sobrecarga) acidentalmente e gerando bugs.</t>
  </si>
  <si>
    <t>O que é o modificador de acesso &lt;strong&gt;&lt;code&gt;protected&lt;/code&gt;&lt;/strong&gt; em Java?</t>
  </si>
  <si>
    <t>É um nível de visibilidade que permite o acesso aos atributos e métodos por:
&lt;ul&gt; &lt;li&gt;Todas as classes do &lt;strong&gt;mesmo pacote&lt;/strong&gt;.&lt;/li&gt; &lt;li&gt;Todas as &lt;strong&gt;subclasses&lt;/strong&gt; (filhas), mesmo que estejam em &lt;strong&gt;pacotes diferentes&lt;/strong&gt;.&lt;/li&gt; &lt;/ul&gt; Ele é mais restritivo que o &lt;code&gt;public&lt;/code&gt;, mas mais permissivo que o &lt;code&gt;default&lt;/code&gt; (package-private).</t>
  </si>
  <si>
    <t>Qual a diferença fundamental entre &lt;strong&gt;&lt;code&gt;private&lt;/code&gt;&lt;/strong&gt; e &lt;strong&gt;&lt;code&gt;protected&lt;/code&gt;&lt;/strong&gt; na ótica da Herança?</t>
  </si>
  <si>
    <t>&lt;ul&gt; &lt;li&gt;&lt;strong&gt;&lt;code&gt;private&lt;/code&gt;:&lt;/strong&gt; A subclasse herda o atributo, mas &lt;strong&gt;não consegue acessá-lo diretamente&lt;/strong&gt;. Ela é obrigada a usar métodos públicos (getters/setters) da classe mãe.&lt;/li&gt;
&lt;li&gt;&lt;strong&gt;&lt;code&gt;protected&lt;/code&gt;:&lt;/strong&gt; A subclasse herda e &lt;strong&gt;consegue acessar diretamente&lt;/strong&gt; o atributo (via &lt;code&gt;this.atributo&lt;/code&gt; ou &lt;code&gt;super.atributo&lt;/code&gt;), sem precisar de intermediários.&lt;/li&gt; &lt;/ul&gt;</t>
  </si>
  <si>
    <t>Qual a principal utilidade de usar &lt;strong&gt;&lt;code&gt;protected&lt;/code&gt;&lt;/strong&gt; quando estamos desenhando uma hierarquia de herança?</t>
  </si>
  <si>
    <t>Facilitar a vida das classes filhas.
Ele permite que as subclasses manipulem os dados herdados &lt;strong&gt;diretamente&lt;/strong&gt;, como se fossem delas, sem expor esses dados para o "mundo externo" (outros pacotes não relacionados).</t>
  </si>
  <si>
    <t>Em Java, uma subclasse herda os construtores da superclasse?</t>
  </si>
  <si>
    <t>&lt;strong&gt;Não.&lt;/strong&gt;
Construtores &lt;strong&gt;não são herdados&lt;/strong&gt;. A subclasse pode (e deve) chamar o construtor da mãe para inicializar os atributos herdados, mas ela deve declarar seus próprios construtores.</t>
  </si>
  <si>
    <t>Qual é a regra obrigatória sobre a &lt;strong&gt;posição&lt;/strong&gt; da chamada &lt;code&gt;super()&lt;/code&gt; dentro do construtor de uma subclasse?</t>
  </si>
  <si>
    <t>A chamada &lt;code&gt;super()&lt;/code&gt; deve ser, obrigatoriamente, a &lt;strong&gt;primeira linha&lt;/strong&gt; de código dentro do construtor da subclasse.
&lt;strong&gt;Por que?&lt;/strong&gt; Porque o Java exige que a "parte Mãe" do objeto seja construída e inicializada na memória &lt;strong&gt;antes&lt;/strong&gt; da "parte Filha".</t>
  </si>
  <si>
    <t>Qual a diferença crucial entre o modificador &lt;strong&gt;&lt;code&gt;protected&lt;/code&gt;&lt;/strong&gt; e o modificador &lt;strong&gt;padrão&lt;/strong&gt; (sem nada escrito, package-private)?</t>
  </si>
  <si>
    <t>A diferença aparece quando estamos em &lt;strong&gt;pacotes diferentes&lt;/strong&gt;:
&lt;ul&gt; &lt;li&gt;&lt;strong&gt;Default:&lt;/strong&gt; Só visível no mesmo pacote. Uma filha em outro pacote &lt;strong&gt;não vê&lt;/strong&gt;.&lt;/li&gt; &lt;li&gt;&lt;strong&gt;Protected:&lt;/strong&gt; Visível no mesmo pacote E visível para &lt;strong&gt;filhas em qualquer pacote&lt;/strong&gt;.&lt;/li&gt; &lt;/ul&gt;</t>
  </si>
  <si>
    <t>Uma classe em Java pode estender (&lt;code&gt;extends&lt;/code&gt;) &lt;strong&gt;mais de uma&lt;/strong&gt; classe ao mesmo tempo (Herança Múltipla de Classes)?</t>
  </si>
  <si>
    <t>&lt;strong&gt;Não.&lt;/strong&gt;
Java &lt;strong&gt;não suporta&lt;/strong&gt; herança múltipla de classes. Uma classe só pode ter um único "Pai" (ex: &lt;code&gt;extends Animal, Maquina&lt;/code&gt; geraria erro de compilação).
(Nota: Isso é resolvido mais tarde com Interfaces).</t>
  </si>
  <si>
    <t>O que acontece com o Construtor Padrão (vazio e implícito) de uma classe no momento em que você define manualmente qualquer outro construtor com argumentos?</t>
  </si>
  <si>
    <t>Ele deixa de existir (é removido pelo compilador).
O Java só fornece o construtor padrão "de presente" se a classe não tiver nenhum outro construtor declarado. Se você quiser manter o construtor vazio acessível, deve declará-lo explicitamente (&lt;code&gt;public Classe(){...}&lt;/code&gt;).</t>
  </si>
  <si>
    <t>O que acontece com o &lt;strong&gt;Construtor Padrão&lt;/strong&gt; (vazio e implícito) de uma classe no momento em que você define manualmente qualquer outro construtor com argumentos?</t>
  </si>
  <si>
    <t>Ele &lt;strong&gt;deixa de existir&lt;/strong&gt; (é removido pelo compilador).
O Java só fornece o construtor padrão "de presente" se a classe não tiver nenhum outro construtor declarado. Se você quiser manter o construtor vazio acessível, deve declará-lo explicitamente (&lt;code&gt;public Classe(){...}&lt;/code&gt;).</t>
  </si>
  <si>
    <t>Por que a adição de um construtor com argumentos na &lt;strong&gt;Classe Mãe&lt;/strong&gt; costuma gerar &lt;strong&gt;erros de compilação&lt;/strong&gt; imediatos nas &lt;strong&gt;Classes Filhas&lt;/strong&gt;?</t>
  </si>
  <si>
    <t>Porque as classes filhas possuem, implicitamente, um construtor que tenta chamar &lt;code&gt;super()&lt;/code&gt; (o construtor vazio da mãe).
Ao criar um construtor com argumentos na mãe, o construtor vazio padrão é removido. As filhas tentam chamar um &lt;code&gt;super()&lt;/code&gt; que não existe mais, tornando-se "órfãs" de inicialização.</t>
  </si>
  <si>
    <t>Se você criar uma classe filha e &lt;strong&gt;não escrever nenhum construtor&lt;/strong&gt; nela, como é o código que o Java gera "por baixo dos panos"?</t>
  </si>
  <si>
    <t>O Java gera um construtor público e vazio que chama o pai:
&lt;pre&gt;&lt;code&gt;public Filha() { super(); // Chama o construtor vazio da Mãe }&lt;/code&gt;&lt;/pre&gt;
É por causa dessa linha oculta &lt;code&gt;super()&lt;/code&gt; que o código quebra se a mãe perder seu construtor vazio.</t>
  </si>
  <si>
    <t>Qual é a técnica para adicionar um novo construtor obrigatório (com argumentos) na Classe Mãe &lt;strong&gt;sem quebrar&lt;/strong&gt; as Classes Filhas existentes que dependem do construtor vazio?</t>
  </si>
  <si>
    <t>Você deve aplicar a &lt;strong&gt;Sobrecarga de Construtores&lt;/strong&gt;.
Além de criar o novo construtor (&lt;code&gt;public Mae(String nome)&lt;/code&gt;), você deve &lt;strong&gt;recriar explicitamente&lt;/strong&gt; o construtor vazio (&lt;code&gt;public Mae(){}&lt;/code&gt;). Assim, o contrato com as filhas antigas (que chamam &lt;code&gt;super()&lt;/code&gt;) é mantido.</t>
  </si>
  <si>
    <t>Na inicialização de objetos com herança, quantas vezes os Blocos de Inicialização Estáticos (&lt;code&gt;static { }&lt;/code&gt;) são executados se eu criar &lt;strong&gt;10 instâncias&lt;/strong&gt; da mesma classe?</t>
  </si>
  <si>
    <t>Apenas &lt;strong&gt;uma única vez&lt;/strong&gt;.
Eles são executados quando a classe é &lt;strong&gt;carregada&lt;/strong&gt; pela JVM, antes de qualquer objeto ser criado. Nas próximas 9 criações, eles são ignorados.</t>
  </si>
  <si>
    <t>Qual é a ordem de execução dos &lt;strong&gt;Blocos Estáticos&lt;/strong&gt; na hierarquia (Pai e Filho) e &lt;strong&gt;por que&lt;/strong&gt; essa ordem existe?</t>
  </si>
  <si>
    <t>&lt;strong&gt;1º: Blocos Estáticos do Pai&lt;/strong&gt; (Superclasse).
&lt;strong&gt;2º: Blocos Estáticos do Filho&lt;/strong&gt; (Subclasse).
&lt;strong&gt;O Motivo:&lt;/strong&gt; A JVM precisa carregar a definição da classe Pai na memória &lt;strong&gt;antes&lt;/strong&gt; de conseguir definir a classe Filha, pois a Filha depende estruturalmente da Pai.</t>
  </si>
  <si>
    <t>Se eu criar 10 instâncias de uma classe que tem herança, quantas vezes a sequência de &lt;strong&gt;Blocos Estáticos&lt;/strong&gt; (Pai → Filho) será executada?</t>
  </si>
  <si>
    <t>Apenas &lt;strong&gt;uma única vez&lt;/strong&gt;.
Isso ocorre no momento do &lt;strong&gt;Carregamento da Classe&lt;/strong&gt; (Class Loading) pela JVM, antes da criação de qualquer objeto. Nas próximas 9 instâncias, essa etapa é pulada.</t>
  </si>
  <si>
    <t>Ao fazer um &lt;code&gt;new Filho()&lt;/code&gt;, a alocação de memória e inicialização dos atributos da &lt;strong&gt;Classe Pai&lt;/strong&gt; acontece antes ou depois da &lt;strong&gt;Classe Filho&lt;/strong&gt;?</t>
  </si>
  <si>
    <t>Acontece &lt;strong&gt;ANTES&lt;/strong&gt;.
Embora o construtor do Filho seja chamado, a primeira linha (&lt;code&gt;super()&lt;/code&gt;) delega a execução para o Pai. O Pai precisa ser totalmente construído e inicializado para que o Filho possa existir em cima de uma base sólida.</t>
  </si>
  <si>
    <t>Dentro de uma mesma classe, quem tem seus comandos executados primeiro: o &lt;strong&gt;Bloco de Inicialização&lt;/strong&gt; (&lt;code&gt;{ }&lt;/code&gt;) ou as instruções escritas dentro do &lt;strong&gt;Construtor&lt;/strong&gt;?</t>
  </si>
  <si>
    <t>O &lt;strong&gt;Bloco de Inicialização&lt;/strong&gt;.
&lt;strong&gt;Fluxo exato:&lt;/strong&gt;
&lt;ol&gt; &lt;li&gt;O Construtor é chamado.&lt;/li&gt; &lt;li&gt;O &lt;code&gt;super()&lt;/code&gt; é executado.&lt;/li&gt; &lt;li&gt;Os &lt;strong&gt;Blocos de Inicialização&lt;/strong&gt; rodam e os atributos recebem valores.&lt;/li&gt; &lt;li&gt;Só então o restante do código (corpo) do &lt;strong&gt;Construtor&lt;/strong&gt; é executado.&lt;/li&gt; &lt;/ol&gt;</t>
  </si>
  <si>
    <t>Qual é a sequência cronológica completa da inicialização na Herança (Pai e Filho) na primeira execução?</t>
  </si>
  <si>
    <t>&lt;ol&gt; &lt;li&gt;&lt;strong&gt;Estático Pai&lt;/strong&gt; (Carregamento)&lt;/li&gt; &lt;li&gt;&lt;strong&gt;Estático Filho&lt;/strong&gt; (Carregamento)&lt;/li&gt; &lt;li&gt;&lt;strong&gt;Aloca Memória&lt;/strong&gt; para o objeto&lt;/li&gt; &lt;li&gt;&lt;strong&gt;Instância Pai:&lt;/strong&gt; Bloco de Inicialização &amp;#8594; Construtor&lt;/li&gt; &lt;li&gt;&lt;strong&gt;Instância Filho:&lt;/strong&gt; Bloco de Inicialização &amp;#8594; Construtor&lt;/li&gt; &lt;/ol&gt;</t>
  </si>
  <si>
    <t>Na fase de Carregamento (Class Loading), quem tem seus &lt;strong&gt;blocos estáticos&lt;/strong&gt; executados primeiro: a Superclasse (Pai) ou a Subclasse (Filho)?</t>
  </si>
  <si>
    <t>A &lt;strong&gt;Superclasse (Pai)&lt;/strong&gt;.
A JVM precisa carregar e processar a classe Pai inteira antes de conseguir carregar a classe Filho, pois o Filho depende da estrutura do Pai.</t>
  </si>
  <si>
    <t>Ao executar &lt;code&gt;new Filho()&lt;/code&gt;, o construtor do Filho é chamado primeiro. Porém, qual construtor &lt;strong&gt;termina&lt;/strong&gt; sua execução (fecha as chaves) primeiro?</t>
  </si>
  <si>
    <t>O construtor do &lt;strong&gt;Pai&lt;/strong&gt;.
&lt;strong&gt;Fluxo:&lt;/strong&gt; O Filho começa → Chama &lt;code&gt;super()&lt;/code&gt; → O Pai roda inteiro e termina → O controle volta para o Filho terminar.</t>
  </si>
  <si>
    <t>Dentro de uma classe específica (seja Pai ou Filho), o que acontece na memória &lt;strong&gt;antes&lt;/strong&gt; do código do corpo do construtor ser executado?</t>
  </si>
  <si>
    <t>&lt;ol&gt; &lt;li&gt;Os atributos de instância são inicializados (alocação de valores).&lt;/li&gt; &lt;li&gt;Os &lt;strong&gt;Blocos de Inicialização&lt;/strong&gt; (&lt;code&gt;{ }&lt;/code&gt;) são executados.&lt;/li&gt; &lt;/ol&gt; Só depois disso o código escrito dentro do construtor roda.</t>
  </si>
  <si>
    <t>Na inicialização de uma instância, a inicialização dos atributos e blocos da &lt;strong&gt;Subclasse (Filho)&lt;/strong&gt; acontece antes ou depois do &lt;strong&gt;Construtor da Superclasse (Pai)&lt;/strong&gt; terminar?</t>
  </si>
  <si>
    <t>Acontece &lt;strong&gt;DEPOIS&lt;/strong&gt;.
A parte do Filho só começa a ser "mobiliada" (atributos e blocos) após o Construtor do Pai ter retornado com sucesso.</t>
  </si>
  <si>
    <t>Se eu tenho uma hierarquia Pai e Filho, qual é a &lt;strong&gt;regra geral de precedência&lt;/strong&gt; na inicialização?</t>
  </si>
  <si>
    <t>&lt;ol&gt; &lt;li&gt;Tudo que é &lt;strong&gt;Static&lt;/strong&gt; roda primeiro (Pai &amp;#8594; Filho).&lt;/li&gt; &lt;li&gt;Depois, tudo que é de &lt;strong&gt;Instância&lt;/strong&gt; do Pai roda (Blocos &amp;#8594; Construtor).&lt;/li&gt; &lt;li&gt;Por último, tudo que é de &lt;strong&gt;Instância&lt;/strong&gt; do Filho roda (Blocos &amp;#8594; Construtor).&lt;/li&gt; &lt;/ol&gt;</t>
  </si>
  <si>
    <t>O que é &lt;strong&gt;Recursividade&lt;/strong&gt; (Recursão) em programação?</t>
  </si>
  <si>
    <t>É uma técnica onde um método &lt;strong&gt;chama a si mesmo&lt;/strong&gt; para resolver um problema.
A ideia é dividir um problema grande em versões menores do mesmo problema, até chegar a uma solução trivial.</t>
  </si>
  <si>
    <t>Em um método recursivo, o que é o &lt;strong&gt;"Caso Base"&lt;/strong&gt; (Ponto de Parada) e o que acontece se ele for esquecido?</t>
  </si>
  <si>
    <t>O Caso Base é a condição que faz a recursão &lt;strong&gt;parar&lt;/strong&gt; de se chamar.
Se ele não existir (ou estiver errado), o método entra em loop infinito, estoura a memória da Pilha de Execução e lança um erro fatal: &lt;code&gt;StackOverflowError&lt;/code&gt;.</t>
  </si>
  <si>
    <t>O que é o &lt;strong&gt;Metaspace&lt;/strong&gt; na memória do Java (introduzido no Java 8)?</t>
  </si>
  <si>
    <t>É a área de memória destinada a armazenar os &lt;strong&gt;Metadados das Classes&lt;/strong&gt;.
É aqui que ficam guardadas as definições da classe ("A Planta"), os métodos, e os &lt;strong&gt;Atributos/Blocos Estáticos&lt;/strong&gt;.
(Nota: Ele substituiu a antiga &lt;em&gt;PermGen&lt;/em&gt;).</t>
  </si>
  <si>
    <t>O &lt;strong&gt;Metaspace&lt;/strong&gt; fica localizado dentro ou fora do &lt;strong&gt;Heap&lt;/strong&gt; (memória dos objetos)?</t>
  </si>
  <si>
    <t>Fica &lt;strong&gt;FORA&lt;/strong&gt; do Heap.
O Metaspace usa a &lt;strong&gt;Memória Nativa&lt;/strong&gt; do sistema operacional.
&lt;strong&gt;Resumo visual:&lt;/strong&gt;
&lt;ul&gt; &lt;li&gt;&lt;strong&gt;Heap:&lt;/strong&gt; Guarda os Objetos (instâncias criadas com &lt;code&gt;new&lt;/code&gt;).&lt;/li&gt; &lt;li&gt;&lt;strong&gt;Metaspace:&lt;/strong&gt; Guarda as Classes (definições e estáticos).&lt;/li&gt; &lt;/ul&gt;</t>
  </si>
  <si>
    <t>O que acontece se eu adicionar o modificador &lt;code&gt;final&lt;/code&gt; na declaração de uma &lt;strong&gt;Classe&lt;/strong&gt; (ex: &lt;code&gt;public final class Pessoa&lt;/code&gt;)?</t>
  </si>
  <si>
    <t>A classe torna-se &lt;strong&gt;estéril&lt;/strong&gt; (não pode ter filhas).
O Java &lt;strong&gt;proíbe&lt;/strong&gt; que qualquer outra classe utilize &lt;code&gt;extends&lt;/code&gt; nela. É uma forma de garantir que a implementação daquela classe nunca será alterada ou especializada.
(Exemplo famoso: a classe &lt;code&gt;String&lt;/code&gt; do Java é &lt;code&gt;final&lt;/code&gt;).</t>
  </si>
  <si>
    <t>O que acontece se eu adicionar o modificador &lt;code&gt;final&lt;/code&gt; em um &lt;strong&gt;Método&lt;/strong&gt; específico dentro de uma classe que permite herança?</t>
  </si>
  <si>
    <t>Aquele método &lt;strong&gt;não pode ser sobrescrito&lt;/strong&gt; (Override).
As subclasses herdam o método e podem usá-lo, mas são obrigadas a usar a implementação original. É proibido usar &lt;code&gt;@Override&lt;/code&gt; nele.</t>
  </si>
  <si>
    <t>Qual é o objetivo de sobrescrever (Override) o método &lt;code&gt;toString()&lt;/code&gt; da classe &lt;code&gt;Object&lt;/code&gt; nas suas classes de domínio?</t>
  </si>
  <si>
    <t>Alterar a representação visual padrão do objeto.
Por padrão, o &lt;code&gt;Object&lt;/code&gt; imprime apenas o endereço de memória (ex: &lt;code&gt;Pessoa@15db9742&lt;/code&gt;). Ao sobrescrever o &lt;code&gt;toString()&lt;/code&gt;, você pode retornar os dados legíveis do objeto (ex: &lt;code&gt;"Nome: Goku, Idade: 42"&lt;/code&gt;).</t>
  </si>
  <si>
    <t>Qual caractere de sinalização é obrigatório no final das instruções (statements) em Java? É necessário usar em &lt;strong&gt;todas&lt;/strong&gt; as linhas de código?</t>
  </si>
  <si>
    <t>É obrigatório o uso do &lt;strong&gt;ponto e vírgula&lt;/strong&gt; (&lt;code&gt;;&lt;/code&gt;).
&lt;strong&gt;Não&lt;/strong&gt; é usado em todas as linhas. Ele marca o fim de uma &lt;strong&gt;instrução de comando&lt;/strong&gt; (ex: &lt;code&gt;int x = 10;&lt;/code&gt; ou &lt;code&gt;metodo();&lt;/code&gt;).
Ele &lt;strong&gt;não&lt;/strong&gt; é usado após o fechamento de blocos de chaves &lt;code&gt;}&lt;/code&gt; de classes, métodos ou laços (if/for/while).</t>
  </si>
  <si>
    <t>O que é uma &lt;strong&gt;Instrução de Comando&lt;/strong&gt; (Statement) em Java?</t>
  </si>
  <si>
    <t>É uma unidade completa de execução que realiza uma &lt;strong&gt;ação&lt;/strong&gt;.
Pense nela como uma "frase completa" na linguagem Java. Ela termina obrigatoriamente com um ponto e vírgula (&lt;code&gt;;&lt;/code&gt;).
Exemplos: declarar uma variável, chamar um método, ou um comando de controle de fluxo.</t>
  </si>
  <si>
    <t>Qual a principal diferença técnica entre uma &lt;strong&gt;Expression&lt;/strong&gt; (Expressão) e um &lt;strong&gt;Statement&lt;/strong&gt; (Instrução)?</t>
  </si>
  <si>
    <t>&lt;ul&gt; &lt;li&gt;&lt;strong&gt;Expression:&lt;/strong&gt; Avalia um valor (ex: &lt;code&gt;1 + 1&lt;/code&gt; resulta em &lt;code&gt;2&lt;/code&gt;). Não faz nada sozinha se não for usada.&lt;/li&gt; &lt;li&gt;&lt;strong&gt;Statement:&lt;/strong&gt; Executa uma ação completa (ex: &lt;code&gt;int x = 1 + 1;&lt;/code&gt;). É o "efeito colateral" no programa.&lt;/li&gt; &lt;/ul&gt; Uma expressão pode fazer parte de um statement, mas um statement é a ação finalizada.</t>
  </si>
  <si>
    <t>Cite os 3 tipos mais comuns de &lt;strong&gt;Statements&lt;/strong&gt; em Java.</t>
  </si>
  <si>
    <t>&lt;ol&gt; &lt;li&gt;&lt;strong&gt;Declaração:&lt;/strong&gt; Cria uma variável (ex: &lt;code&gt;int x;&lt;/code&gt;).&lt;/li&gt; &lt;li&gt;&lt;strong&gt;Atribuição/Expressão:&lt;/strong&gt; Muda um valor ou chama método (ex: &lt;code&gt;x = 10;&lt;/code&gt; ou &lt;code&gt;print();&lt;/code&gt;).&lt;/li&gt; &lt;li&gt;&lt;strong&gt;Controle de Fluxo:&lt;/strong&gt; Direciona a execução (ex: &lt;code&gt;if&lt;/code&gt;, &lt;code&gt;while&lt;/code&gt;, &lt;code&gt;return&lt;/code&gt;, &lt;code&gt;break;&lt;/code&gt;).&lt;/li&gt; &lt;/ol&gt;</t>
  </si>
  <si>
    <t>Qual é o tamanho exato em bits dos tipos primitivos inteiros: &lt;code&gt;byte&lt;/code&gt;, &lt;code&gt;short&lt;/code&gt;, &lt;code&gt;int&lt;/code&gt; e &lt;code&gt;long&lt;/code&gt;?</t>
  </si>
  <si>
    <t>&lt;ul&gt; &lt;li&gt;&lt;code&gt;byte&lt;/code&gt;: &lt;strong&gt;8 bits&lt;/strong&gt;&lt;/li&gt; &lt;li&gt;&lt;code&gt;short&lt;/code&gt;: &lt;strong&gt;16 bits&lt;/strong&gt;&lt;/li&gt; &lt;li&gt;&lt;code&gt;int&lt;/code&gt;: &lt;strong&gt;32 bits&lt;/strong&gt; (Padrão do Java)&lt;/li&gt; &lt;li&gt;&lt;code&gt;long&lt;/code&gt;: &lt;strong&gt;64 bits&lt;/strong&gt;&lt;/li&gt; &lt;/ul&gt;</t>
  </si>
  <si>
    <t>Em Java, todos os tipos numéricos inteiros são &lt;strong&gt;Signed&lt;/strong&gt; (com sinal). O que isso significa para o &lt;strong&gt;bit mais à esquerda&lt;/strong&gt; (o bit mais significativo)?</t>
  </si>
  <si>
    <t>Ele é usado como &lt;strong&gt;Bit de Sinal&lt;/strong&gt;.
&lt;ul&gt; &lt;li&gt;&lt;strong&gt;0&lt;/strong&gt; = Número Positivo.&lt;/li&gt; &lt;li&gt;&lt;strong&gt;1&lt;/strong&gt; = Número Negativo.&lt;/li&gt; &lt;/ul&gt; É por isso que o &lt;code&gt;byte&lt;/code&gt; vai até 127, e não 255. Metade das combinações são reservadas para números negativos.</t>
  </si>
  <si>
    <t>Considerando a representação binária, o que acontece se você somar &lt;code&gt;1&lt;/code&gt; ao valor máximo de um &lt;code&gt;byte&lt;/code&gt; (que é 127)?</t>
  </si>
  <si>
    <t>Ocorre um &lt;strong&gt;Overflow&lt;/strong&gt; (Estouro) e o número vira o &lt;strong&gt;mínimo negativo&lt;/strong&gt; (-128).
&lt;strong&gt;Explicação visual:&lt;/strong&gt;
127 é &lt;code&gt;01111111&lt;/code&gt;
Somando 1 → &lt;code&gt;10000000&lt;/code&gt;
Como o primeiro bit virou 1, o Java interpreta isso como -128.</t>
  </si>
  <si>
    <t>O tipo &lt;code&gt;char&lt;/code&gt; tem 16 bits (assim como o &lt;code&gt;short&lt;/code&gt;). Qual é a principal diferença no comportamento dos bits entre eles?</t>
  </si>
  <si>
    <t>O &lt;code&gt;char&lt;/code&gt; é o único tipo numérico primitivo &lt;strong&gt;Unsigned&lt;/strong&gt; (sem sinal) em Java.
Ele usa todos os 16 bits para armazenar valores positivos (códigos da tabela Unicode), variando de 0 a 65.535, pois não faz sentido ter um caractere "negativo".</t>
  </si>
  <si>
    <t>Em Java, qual é o número inteiro que representa o &lt;strong&gt;primeiro índice&lt;/strong&gt; de um Array ou Lista?</t>
  </si>
  <si>
    <t>É o índice &lt;strong&gt;0&lt;/strong&gt; (Zero).
Dizemos que Java é uma linguagem &lt;strong&gt;Zero-based&lt;/strong&gt;.
Exemplo:
1º elemento = índice &lt;code&gt;0&lt;/code&gt;
2º elemento = índice &lt;code&gt;1&lt;/code&gt;</t>
  </si>
  <si>
    <t>Se você tem um array de tamanho &lt;strong&gt;N&lt;/strong&gt; (ex: &lt;code&gt;length&lt;/code&gt; = 5), qual é a fórmula para descobrir o índice do &lt;strong&gt;último elemento&lt;/strong&gt;?</t>
  </si>
  <si>
    <t>Fórmula: &lt;code&gt;N - 1&lt;/code&gt; (Tamanho menos um).
Se o array tem tamanho 5, os índices vão de 0 a 4.
Se você tentar acessar o índice 5, dará erro, pois ele já está "fora" da caixa.</t>
  </si>
  <si>
    <t>Qual é o nome da &lt;strong&gt;Exceção&lt;/strong&gt; (Erro) lançada pelo Java quando você tenta acessar um índice que não existe (negativo ou maior que o limite)?</t>
  </si>
  <si>
    <t>&lt;code&gt;ArrayIndexOutOfBoundsException&lt;/code&gt;
(Ou &lt;code&gt;StringIndexOutOfBoundsException&lt;/code&gt; para textos).
Isso acontece quando o programa tenta ler uma memória que não pertence àquela estrutura.</t>
  </si>
  <si>
    <t>Em termos de execução e memória, o que é exatamente um &lt;strong&gt;Objeto&lt;/strong&gt; em Java?</t>
  </si>
  <si>
    <t>É uma &lt;strong&gt;instância&lt;/strong&gt; de uma Classe.
É uma entidade concreta criada na memória (Heap) que agrupa:
&lt;ul&gt; &lt;li&gt;&lt;strong&gt;Estado:&lt;/strong&gt; Seus dados (valores dos atributos).&lt;/li&gt; &lt;li&gt;&lt;strong&gt;Comportamento:&lt;/strong&gt; Suas ações (métodos).&lt;/li&gt; &lt;/ul&gt;</t>
  </si>
  <si>
    <t>Qual é a analogia mais comum (e correta) para diferenciar &lt;strong&gt;Classe&lt;/strong&gt; de &lt;strong&gt;Objeto&lt;/strong&gt;?</t>
  </si>
  <si>
    <t>&lt;ul&gt; &lt;li&gt;&lt;strong&gt;Classe:&lt;/strong&gt; É a &lt;strong&gt;Planta/Molde&lt;/strong&gt; (Define a estrutura, mas não ocupa espaço de dados na memória).&lt;/li&gt; &lt;li&gt;&lt;strong&gt;Objeto:&lt;/strong&gt; É a &lt;strong&gt;Casa/Peça&lt;/strong&gt; fabricada (A concretização da planta, que existe e ocupa espaço).&lt;/li&gt; &lt;/ul&gt;</t>
  </si>
  <si>
    <t>Qual é o objetivo principal do paradigma de &lt;strong&gt;Orientação a Objetos&lt;/strong&gt; em relação à complexidade de um sistema?</t>
  </si>
  <si>
    <t>Tentar modelar o software o mais próximo possível do &lt;strong&gt;Mundo Real&lt;/strong&gt;.
Em vez de ter funções soltas e variáveis espalhadas (Procedural), a OO agrupa dados e lógicas relacionadas em unidades chamadas &lt;strong&gt;Objetos&lt;/strong&gt;.</t>
  </si>
  <si>
    <t>Em programação, o que significa o termo &lt;strong&gt;Boilerplate Code&lt;/strong&gt;?</t>
  </si>
  <si>
    <t>Refere-se a trechos de código &lt;strong&gt;repetitivos&lt;/strong&gt; e &lt;strong&gt;padronizados&lt;/strong&gt; que precisam ser incluídos em muitos lugares com pouca ou nenhuma alteração.
É o código "burocrático" necessário para a estrutura funcionar, mas que não adiciona lógica de negócio específica.</t>
  </si>
  <si>
    <t>Quais são os exemplos clássicos de &lt;strong&gt;Boilerplate Code&lt;/strong&gt; em classes de modelo (POJOs) no Java antigo/padrão?</t>
  </si>
  <si>
    <t>&lt;ul&gt; &lt;li&gt;Métodos &lt;strong&gt;Getters e Setters&lt;/strong&gt;.&lt;/li&gt; &lt;li&gt;Construtores cheios de atribuições (&lt;code&gt;this.x = x&lt;/code&gt;).&lt;/li&gt; &lt;li&gt;Sobrescrita padrão de &lt;code&gt;toString()&lt;/code&gt;, &lt;code&gt;equals()&lt;/code&gt; e &lt;code&gt;hashCode()&lt;/code&gt;.&lt;/li&gt; &lt;/ul&gt;</t>
  </si>
  <si>
    <t>Quais são as duas principais formas modernas de &lt;strong&gt;reduzir&lt;/strong&gt; o Boilerplate Code em Java?
(Uma biblioteca externa e uma feature nativa recente).</t>
  </si>
  <si>
    <t>&lt;ol&gt; &lt;li&gt;&lt;strong&gt;Project Lombok:&lt;/strong&gt; Biblioteca que gera esse código automaticamente via anotações (ex: &lt;code&gt;@Data&lt;/code&gt;, &lt;code&gt;@Getter&lt;/code&gt;).&lt;/li&gt; &lt;li&gt;&lt;strong&gt;Java Records:&lt;/strong&gt; (Java 14+) Um tipo especial de classe imutável que já traz construtor, getters e toString prontos nativamente.&lt;/li&gt; &lt;/ol&gt;</t>
  </si>
  <si>
    <t>Qual é a diferença fundamental entre &lt;strong&gt;Concatenação&lt;/strong&gt; e &lt;strong&gt;Interpolação&lt;/strong&gt; (ou Formatação) de Strings?</t>
  </si>
  <si>
    <t>&lt;ul&gt; &lt;li&gt;&lt;strong&gt;Concatenação:&lt;/strong&gt; É a ação de "colar" pedaços de texto e variáveis usando um operador (em Java, o &lt;code&gt;+&lt;/code&gt;).&lt;/li&gt; &lt;li&gt;&lt;strong&gt;Interpolação/Formatação:&lt;/strong&gt; É a ação de inserir valores dentro de um "molde" de texto pré-definido, usando marcadores de posição (placeholders).&lt;/li&gt; &lt;/ul&gt;</t>
  </si>
  <si>
    <t>Como transformaríamos esta concatenação "feia":
&lt;code&gt;"O cliente " + nome + " tem " + idade + " anos."&lt;/code&gt;
Em uma &lt;strong&gt;Formatação&lt;/strong&gt; (estilo interpolação) clássica do Java?</t>
  </si>
  <si>
    <t>Usando o método &lt;strong&gt;&lt;code&gt;String.format()&lt;/code&gt;&lt;/strong&gt; (ou &lt;code&gt;printf&lt;/code&gt;):
&lt;code&gt;String.format("O cliente %s tem %d anos.", nome, idade);&lt;/code&gt;
Onde &lt;code&gt;%s&lt;/code&gt; recebe o texto e &lt;code&gt;%d&lt;/code&gt; recebe o número inteiro.</t>
  </si>
  <si>
    <t>Qual é a principal vantagem de usar a &lt;strong&gt;Formatação/Interpolação&lt;/strong&gt; (&lt;code&gt;String.format&lt;/code&gt;) ao invés de várias &lt;strong&gt;Concatenações&lt;/strong&gt; (&lt;code&gt;+&lt;/code&gt;) em uma frase longa?</t>
  </si>
  <si>
    <t>A &lt;strong&gt;Clareza de Leitura&lt;/strong&gt;.
Na concatenação, você precisa quebrar a frase mentalmente várias vezes para entender o todo. Na formatação, você lê a frase inteira de uma vez e apenas substitui mentalmente os valores, facilitando a manutenção.</t>
  </si>
  <si>
    <t>O &lt;strong&gt;Encapsulamento&lt;/strong&gt; se resume apenas a deixar atributos &lt;code&gt;private&lt;/code&gt; e criar métodos Getters e Setters para todos eles?</t>
  </si>
  <si>
    <t>&lt;strong&gt;NÃO&lt;/strong&gt;.
Se os métodos de acesso (get/set) não tiverem validação ou lógica, você apenas tornou o acesso mais verboso, mas não protegeu nada. O encapsulamento real trata de &lt;strong&gt;ocultar a complexidade&lt;/strong&gt; e proteger o objeto.</t>
  </si>
  <si>
    <t>Qual é o principal objetivo de encapsular o estado (atributos) de um objeto e não deixá-lo &lt;code&gt;public&lt;/code&gt;?</t>
  </si>
  <si>
    <t>Garantir a &lt;strong&gt;Consistência&lt;/strong&gt; dos dados (Invariância).
O objeto deve ter controle total sobre seus dados para impedir valores inválidos.
Exemplo: Um atributo &lt;code&gt;public int idade&lt;/code&gt; aceita -50. Um método &lt;code&gt;setIdade(int idade)&lt;/code&gt; pode (e deve) bloquear números negativos.</t>
  </si>
  <si>
    <t>Em um bom design Orientado a Objetos, ao invés de apenas pedir dados (&lt;code&gt;getSaldo()&lt;/code&gt;), calculá-los fora e salvar de volta (&lt;code&gt;setSaldo()&lt;/code&gt;), o que o objeto deveria fazer?
(Princípio "Tell, Don't Ask").</t>
  </si>
  <si>
    <t>O objeto deveria possuir &lt;strong&gt;Métodos de Negócio&lt;/strong&gt; que realizam a operação internamente.
Em vez de:
&lt;code&gt;conta.setSaldo(conta.getSaldo() - 50);&lt;/code&gt;
O correto (encapsulado) é:
&lt;code&gt;conta.sacar(50);&lt;/code&gt;</t>
  </si>
  <si>
    <t>Na inicialização de objetos com herança em Java, qual é a ordem de prioridade entre &lt;strong&gt;Blocos Estáticos&lt;/strong&gt; (static) e &lt;strong&gt;Construtores&lt;/strong&gt;?</t>
  </si>
  <si>
    <t>&lt;ol&gt; &lt;li&gt;&lt;strong&gt;1º - Estáticos:&lt;/strong&gt; Rodam primeiro (no carregamento da classe).&lt;/li&gt; &lt;li&gt;&lt;strong&gt;2º - Instância:&lt;/strong&gt; Rodam depois (apenas quando dá &lt;code&gt;new&lt;/code&gt;).&lt;/li&gt; &lt;/ol&gt; O estático &lt;strong&gt;SEMPRE&lt;/strong&gt; ganha, pois a classe precisa existir antes do objeto.</t>
  </si>
  <si>
    <t>Ao instanciar uma classe Filha (&lt;code&gt;new Filho()&lt;/code&gt;), qual é a ordem de execução dos construtores e blocos de instância?
(Quem roda primeiro: Pai ou Filho?)</t>
  </si>
  <si>
    <t>A execução ocorre de &lt;strong&gt;CIMA para BAIXO&lt;/strong&gt; (Pai -&gt; Filho).
Ordem exata:
&lt;ol&gt; &lt;li&gt;Atributos/Blocos do &lt;strong&gt;PAI&lt;/strong&gt;.&lt;/li&gt; &lt;li&gt;Construtor do &lt;strong&gt;PAI&lt;/strong&gt;.&lt;/li&gt; &lt;li&gt;Atributos/Blocos do &lt;strong&gt;FILHO&lt;/strong&gt;.&lt;/li&gt; &lt;li&gt;Construtor do &lt;strong&gt;FILHO&lt;/strong&gt;.&lt;/li&gt; &lt;/ol&gt;</t>
  </si>
  <si>
    <t>Na linha do tempo da JVM, é possível que a execução de um &lt;strong&gt;Construtor&lt;/strong&gt; (Pai ou Filho) aconteça entre a execução de &lt;strong&gt;Blocos Estáticos&lt;/strong&gt;?
Ex: Static Pai → Construtor Pai → Static Filho?</t>
  </si>
  <si>
    <t>&lt;strong&gt;JAMAIS&lt;/strong&gt;.
Todas as classes envolvidas na herança devem ser totalmente carregadas (fase &lt;strong&gt;Static&lt;/strong&gt; completa) antes que qualquer alocação de memória (fase &lt;strong&gt;Instância/Construtor&lt;/strong&gt;) comece.</t>
  </si>
  <si>
    <t>Embora um objeto da classe Filha contenha, na memória, os atributos &lt;code&gt;private&lt;/code&gt; da classe Pai, a classe Filha consegue acessá-los ou modificá-los diretamente (ex: &lt;code&gt;this.atributoPrivado = 10&lt;/code&gt;)?</t>
  </si>
  <si>
    <t>&lt;strong&gt;NÃO&lt;/strong&gt;.
Atributos &lt;code&gt;private&lt;/code&gt; não são herdados em termos de visibilidade.
Para acessá-los, a Filha é obrigada a usar métodos públicos/protected do Pai (Getters/Setters) ou passar os valores via &lt;code&gt;super()&lt;/code&gt; no construtor.</t>
  </si>
  <si>
    <t>Se a classe Pai define apenas um construtor com argumentos (ex: &lt;code&gt;Pai(int x)&lt;/code&gt;), por que o compilador gera um &lt;strong&gt;Erro&lt;/strong&gt; se a classe Filha não chamar explicitamente o &lt;code&gt;super(x)&lt;/code&gt;?</t>
  </si>
  <si>
    <t>Porque, por padrão, o Java tenta inserir um &lt;code&gt;super()&lt;/code&gt; (sem argumentos) na primeira linha do filho.
Como o construtor vazio deixa de existir quando criamos um personalizado no Pai, a chamada implícita falha. O Filho é &lt;strong&gt;obrigado&lt;/strong&gt; a chamar o construtor que existe.</t>
  </si>
  <si>
    <t>Se você &lt;strong&gt;NÃO&lt;/strong&gt; sobrescrever o método &lt;code&gt;toString()&lt;/code&gt; na sua classe, o que o Java imprime por padrão ao tentar transformar o objeto em texto?</t>
  </si>
  <si>
    <t>Ele usa a implementação da classe mãe (&lt;code&gt;Object&lt;/code&gt;), que imprime:
O &lt;strong&gt;Nome da Classe&lt;/strong&gt; seguido de &lt;strong&gt;@&lt;/strong&gt; e um código &lt;strong&gt;Hash Hexadecimal&lt;/strong&gt; (endereço de memória).
Ex: &lt;code&gt;Cliente@5a3f12&lt;/code&gt;.</t>
  </si>
  <si>
    <t>Por que o código &lt;code&gt;System.out.println(meuObjeto)&lt;/code&gt; funciona e imprime os dados corretamente mesmo sem a gente digitar &lt;code&gt;.toString()&lt;/code&gt; explicitamente?</t>
  </si>
  <si>
    <t>Porque internamente o método &lt;code&gt;println&lt;/code&gt; chama o &lt;code&gt;String.valueOf(x)&lt;/code&gt;, que por sua vez verifica se o objeto não é nulo e chama o &lt;strong&gt;&lt;code&gt;.toString()&lt;/code&gt;&lt;/strong&gt; dele automaticamente.</t>
  </si>
  <si>
    <t>De qual classe herdamos o método &lt;code&gt;toString()&lt;/code&gt; original?
(Ou seja, onde ele foi definido pela primeira vez?)</t>
  </si>
  <si>
    <t>Na classe &lt;strong&gt;&lt;code&gt;java.lang.Object&lt;/code&gt;&lt;/strong&gt;.
Como &lt;strong&gt;TODAS&lt;/strong&gt; as classes em Java herdam de &lt;code&gt;Object&lt;/code&gt; (direta ou indiretamente), todas possuem esse método disponível.</t>
  </si>
  <si>
    <t>O que acontece se eu declarar uma variável primitiva como &lt;code&gt;final&lt;/code&gt;?
Ex: &lt;code&gt;final int TAXA = 10;&lt;/code&gt;</t>
  </si>
  <si>
    <t>O valor se torna uma &lt;strong&gt;Constante&lt;/strong&gt;.
Ele não pode ser alterado após a inicialização. Qualquer tentativa de atribuir um novo valor gerará um &lt;strong&gt;Erro de Compilação&lt;/strong&gt;.</t>
  </si>
  <si>
    <t>Se eu declaro uma variável de referência como &lt;code&gt;final&lt;/code&gt; (ex: &lt;code&gt;final Carro c = new Carro();&lt;/code&gt;), isso significa que os dados do objeto Carro (como cor, modelo) não podem ser alterados?</t>
  </si>
  <si>
    <t>&lt;strong&gt;NÃO.&lt;/strong&gt;
O &lt;code&gt;final&lt;/code&gt; na referência trava apenas o &lt;strong&gt;Endereço de Memória&lt;/strong&gt; (você não pode apontar 'c' para outro carro).
Porém, os atributos internos do objeto &lt;strong&gt;PODEM&lt;/strong&gt; ser alterados normalmente (ex: &lt;code&gt;c.cor = "Azul"&lt;/code&gt; funciona), a menos que os próprios atributos sejam final.</t>
  </si>
  <si>
    <t>Qual o efeito de usar &lt;code&gt;final&lt;/code&gt; em:
1. Uma Classe?
2. Um Método?</t>
  </si>
  <si>
    <t>1. &lt;strong&gt;Classe:&lt;/strong&gt; Não pode ser herdada (proíbe &lt;code&gt;extends&lt;/code&gt;).
2. &lt;strong&gt;Método:&lt;/strong&gt; Não pode ser sobrescrito pelos filhos (proíbe &lt;code&gt;@Override&lt;/code&gt;).</t>
  </si>
  <si>
    <t>O que acontece quando aplicamos o modificador &lt;code&gt;final&lt;/code&gt; em uma variável de &lt;strong&gt;tipo primitivo&lt;/strong&gt; (ex: &lt;code&gt;final int x = 10;&lt;/code&gt;)?</t>
  </si>
  <si>
    <t>O valor se torna &lt;strong&gt;imutável&lt;/strong&gt; (uma constante).
Uma vez que um valor é atribuído a ela, qualquer tentativa de alterá-lo resultará em um &lt;strong&gt;Erro de Compilação&lt;/strong&gt;.</t>
  </si>
  <si>
    <t>Qual é a convenção de nomenclatura (boas práticas) para constantes (variáveis &lt;code&gt;final&lt;/code&gt;) em Java?</t>
  </si>
  <si>
    <t>Deve-se usar &lt;strong&gt;UPPER_CASE_SNAKE_CASE&lt;/strong&gt; (todas as letras maiúsculas, separadas por &lt;i&gt;underline&lt;/i&gt;).
Ex: &lt;code&gt;final double IMPOSTO_BRASIL = 0.8;&lt;/code&gt;</t>
  </si>
  <si>
    <t>Se eu declaro uma variável de referência como &lt;code&gt;final&lt;/code&gt; (ex: &lt;code&gt;final Carro c = new Carro();&lt;/code&gt;), os dados dentro desse objeto (ex: &lt;code&gt;c.nome&lt;/code&gt;) tornam-se imutáveis?</t>
  </si>
  <si>
    <t>&lt;strong&gt;NÃO.&lt;/strong&gt;
O modificador &lt;code&gt;final&lt;/code&gt; na referência impede apenas que você aponte a variável para um &lt;strong&gt;novo objeto&lt;/strong&gt; (&lt;code&gt;c = new Carro()&lt;/code&gt; gera erro).
Os atributos internos do objeto continuam livres para serem alterados (ex: &lt;code&gt;c.nome = "Novo Nome"&lt;/code&gt; funciona), a menos que os próprios atributos sejam declarados como &lt;code&gt;final&lt;/code&gt;.</t>
  </si>
  <si>
    <t>O código abaixo compila? Se não, por que?
&lt;pre&gt; public final class String { ... }
public class MinhaString extends String { ... } &lt;/pre&gt;</t>
  </si>
  <si>
    <t>&lt;strong&gt;NÃO COMPILA.&lt;/strong&gt;
A classe &lt;code&gt;String&lt;/code&gt; (assim como qualquer classe marcada como &lt;strong&gt;final&lt;/strong&gt;) não pode ser herdada.
O modificador &lt;code&gt;final&lt;/code&gt; na classe "esteriliza" ela, impedindo a criação de subclasses.</t>
  </si>
  <si>
    <t>O código abaixo compila? Se não, por que?
&lt;pre&gt; class Pai { public final void imprimir() { } }
class Filho extends Pai { public void imprimir() { } } &lt;/pre&gt;</t>
  </si>
  <si>
    <t>&lt;strong&gt;NÃO COMPILA.&lt;/strong&gt;
O método &lt;code&gt;imprimir&lt;/code&gt; foi marcado como &lt;strong&gt;final&lt;/strong&gt; na classe Pai.
Isso proíbe que qualquer classe filha faça a sobrescrita (Override) desse comportamento.</t>
  </si>
  <si>
    <t>Qual é a natureza técnica das constantes definidas dentro de um &lt;strong&gt;Enum&lt;/strong&gt; em Java (ex: &lt;code&gt;PESSOA_FISICA&lt;/code&gt;)?</t>
  </si>
  <si>
    <t>Elas são instâncias &lt;strong&gt;public static final&lt;/strong&gt; da própria classe do Enum.
Elas são instanciadas automaticamente quando a classe é carregada pela JVM (singleton).</t>
  </si>
  <si>
    <t>Em Java, todo &lt;strong&gt;Enum&lt;/strong&gt; estende implicitamente qual classe?</t>
  </si>
  <si>
    <t>A classe abstrata &lt;strong&gt;java.lang.Enum&lt;/strong&gt;.
Por conta disso, um Enum &lt;strong&gt;não pode estender&lt;/strong&gt; nenhuma outra classe (pois Java não suporta herança múltipla de classes), mas pode implementar interfaces.</t>
  </si>
  <si>
    <t>Qual é a função do método estático &lt;strong&gt;values()&lt;/strong&gt; em um Enum e quem o define?</t>
  </si>
  <si>
    <t>O método &lt;strong&gt;values()&lt;/strong&gt; retorna um &lt;strong&gt;array&lt;/strong&gt; contendo todas as constantes do enum na ordem em que foram declaradas.
Ele é gerado/injetado automaticamente pelo &lt;strong&gt;compilador&lt;/strong&gt; (não existe explicitamente no código fonte nem na classe &lt;code&gt;java.lang.Enum&lt;/code&gt;).</t>
  </si>
  <si>
    <t>Ao criar um construtor personalizado em um Enum (ex: com parâmetros), qual deve ser obrigatoriamente sua visibilidade (modificador de acesso)?</t>
  </si>
  <si>
    <t>&lt;strong&gt;private&lt;/strong&gt; (ou package-private, se nenhum for especificado, mas o comportamento é estritamente interno).
Não é permitido criar construtores &lt;code&gt;public&lt;/code&gt; ou &lt;code&gt;protected&lt;/code&gt; em Enums, pois o programador não pode instanciar um Enum manualmente (apenas a JVM o faz).</t>
  </si>
  <si>
    <t>Qual é a lógica padrão para obter um objeto Enum a partir de um de seus atributos (ex: buscar o Enum pelo "NomeRelatorio")?</t>
  </si>
  <si>
    <t>1.Criar um método estático de busca (lookup).
2. Usar o &lt;strong&gt;foreach&lt;/strong&gt; para iterar sobre o array retornado por &lt;code&gt;values()&lt;/code&gt;.
3. Comparar o atributo desejado com o atributo da instância atual do loop.
4. Retornar a instância (&lt;code&gt;this&lt;/code&gt;/variável do loop) se houver match ou &lt;code&gt;null&lt;/code&gt;/Exception se não houver.</t>
  </si>
  <si>
    <t>O que acontece se você tentar instanciar um Enum manualmente usando a palavra-chave &lt;strong&gt;new&lt;/strong&gt;?
Ex: &lt;code&gt;new A80TipoCliente(1, "Teste")&lt;/code&gt;</t>
  </si>
  <si>
    <t>Ocorrerá um &lt;strong&gt;erro de compilação&lt;/strong&gt;.
Enums têm um número fixo de instâncias controladas pela JVM; não é permitido criar novas instâncias dinamicamente.</t>
  </si>
  <si>
    <t>Qual é a função do método estático nativo &lt;strong&gt;valueOf(String name)&lt;/strong&gt; em um Enum?</t>
  </si>
  <si>
    <t>Ele converte uma &lt;strong&gt;String&lt;/strong&gt; na instância do &lt;strong&gt;Enum&lt;/strong&gt; correspondente.
Ele busca pelo &lt;strong&gt;nome exato da constante declarada&lt;/strong&gt; (identificador), e não pelos valores dos atributos internos.</t>
  </si>
  <si>
    <t>O que acontece se você passar uma String para o método &lt;strong&gt;valueOf()&lt;/strong&gt; que não corresponde exatamente ao nome de nenhuma constante do Enum?</t>
  </si>
  <si>
    <t>O Java lança uma &lt;strong&gt;IllegalArgumentException&lt;/strong&gt;.
Diferente de métodos de busca manuais que costumam retornar &lt;code&gt;null&lt;/code&gt;, o &lt;code&gt;valueOf&lt;/code&gt; interrompe a execução se não tratado.</t>
  </si>
  <si>
    <t>Qual a diferença principal de busca entre o método nativo &lt;strong&gt;valueOf()&lt;/strong&gt; e um método de busca customizado (ex: &lt;code&gt;buscarPorRelatorio&lt;/code&gt;)?</t>
  </si>
  <si>
    <t>&lt;strong&gt;valueOf():&lt;/strong&gt; Busca pelo &lt;strong&gt;identificador da constante&lt;/strong&gt; no código (ex: "PESSOA_FISICA"). É Case Sensitive e lança exceção se falhar.
&lt;strong&gt;Customizado:&lt;/strong&gt; Busca pelo &lt;strong&gt;valor de um atributo&lt;/strong&gt; interno (ex: "Pessoa Física"). Geralmente retorna &lt;code&gt;null&lt;/code&gt; se falhar.</t>
  </si>
  <si>
    <t>Tanto o método nativo &lt;code&gt;valueOf()&lt;/code&gt; quanto um método de busca customizado (ex: &lt;code&gt;buscaPorNome()&lt;/code&gt;) retornam que tipo de dado?</t>
  </si>
  <si>
    <t>Ambos retornam a &lt;strong&gt;instância do Objeto Enum&lt;/strong&gt; (o tipo da classe do Enum).
Eles não retornam strings ou inteiros diretamente; retornam o objeto completo, permitindo acesso a qualquer atributo depois.</t>
  </si>
  <si>
    <t>Se eu tenho o nome da constante (ex: "PESSOA_FISICA") e quero obter o objeto Enum, qual método devo usar?</t>
  </si>
  <si>
    <t>O método estático nativo &lt;strong&gt;valueOf("PESSOA_FISICA")&lt;/strong&gt;.</t>
  </si>
  <si>
    <t>Se eu tenho um valor de atributo (ex: "Pessoa Física" ou valor 1) e quero recuperar o objeto Enum correspondente, o que devo fazer?</t>
  </si>
  <si>
    <t>Devo implementar um método estático de busca &lt;strong&gt;customizado&lt;/strong&gt; (lookup), que itere sobre os valores (&lt;code&gt;values()&lt;/code&gt;) e compare o atributo.</t>
  </si>
  <si>
    <t>Qual a principal diferença de uso entre acessar um Enum diretamente (&lt;code&gt;Enum.CONSTANTE&lt;/code&gt;) e usar &lt;code&gt;Enum.valueOf("CONSTANTE")&lt;/code&gt;?</t>
  </si>
  <si>
    <t>&lt;strong&gt;Acesso Direto:&lt;/strong&gt; Usado quando o valor é conhecido em &lt;strong&gt;tempo de compilação&lt;/strong&gt; (hardcoded pelo programador).
&lt;strong&gt;valueOf:&lt;/strong&gt; Usado em &lt;strong&gt;tempo de execução&lt;/strong&gt; para converter uma &lt;code&gt;String&lt;/code&gt; dinâmica (vinda de um BD, API ou input) em um Objeto Enum.</t>
  </si>
  <si>
    <t>Por que não podemos simplesmente usar a sintaxe &lt;code&gt;MeuEnum."NOME_DA_STRING"&lt;/code&gt; ou &lt;code&gt;MeuEnum.variavelString&lt;/code&gt; para acessar uma constante?</t>
  </si>
  <si>
    <t>Porque o Java é uma linguagem fortemente tipada e compilada. O compilador precisa saber exatamente qual membro estático está sendo acessado.
Para transformar uma &lt;code&gt;String&lt;/code&gt; dinâmica em um membro do Enum, é obrigatório usar um método de conversão como o &lt;code&gt;valueOf&lt;/code&gt;.</t>
  </si>
  <si>
    <t>Ao comparar duas variáveis de um Enum, é preferível usar &lt;strong&gt;==&lt;/strong&gt; ou &lt;strong&gt;equals()&lt;/strong&gt;? Por quê?</t>
  </si>
  <si>
    <t>É preferível usar &lt;strong&gt;==&lt;/strong&gt;.
1. &lt;strong&gt;Segurança de Null:&lt;/strong&gt; O &lt;code&gt;==&lt;/code&gt; não lança &lt;code&gt;NullPointerException&lt;/code&gt; se a variável for null, enquanto &lt;code&gt;variavel.equals()&lt;/code&gt; lançaria.
2. &lt;strong&gt;Garantia de Singleton:&lt;/strong&gt; Como Enums são singletons, a igualdade de referência (memória) é garantida.
3. &lt;strong&gt;Clareza:&lt;/strong&gt; Fica visualmente claro que é uma comparação de tipos, não de valores de string.</t>
  </si>
  <si>
    <t>O que o método final &lt;strong&gt;ordinal()&lt;/strong&gt; retorna em um Enum?</t>
  </si>
  <si>
    <t>Ele retorna um &lt;strong&gt;int&lt;/strong&gt; representando a posição da constante na declaração do Enum, começando por &lt;strong&gt;0&lt;/strong&gt;.
&lt;em&gt;Nota: Evite usar isso para lógica de negócios, pois mudar a ordem das linhas no código altera esse valor e pode quebrar o sistema.&lt;/em&gt;</t>
  </si>
  <si>
    <t>Em termos de performance, qual o cuidado ao usar o método &lt;strong&gt;values()&lt;/strong&gt; dentro de um loop de alta frequência?</t>
  </si>
  <si>
    <t>O método &lt;strong&gt;values()&lt;/strong&gt; cria e retorna um &lt;strong&gt;novo array&lt;/strong&gt; a cada chamada (para garantir imutabilidade).
Chamá-lo repetidamente dentro de loops críticos gera alocação excessiva de memória. Em casos de alta performance, é melhor armazenar o resultado de &lt;code&gt;values()&lt;/code&gt; em uma variável ou constante estática auxiliar.</t>
  </si>
  <si>
    <t>No comando &lt;code&gt;git push -u origin main&lt;/code&gt;, para que serve a flag &lt;strong&gt;-u&lt;/strong&gt;?</t>
  </si>
  <si>
    <t>Ela define o &lt;strong&gt;upstream&lt;/strong&gt; (rastreamento).
Isso cria um vínculo entre a sua branch local (main) e a remota (origin/main). Nos próximos pushes, você poderá digitar apenas &lt;code&gt;git push&lt;/code&gt; sem precisar especificar "origin main" novamente.</t>
  </si>
  <si>
    <t>Qual a função do comando &lt;code&gt;git branch -M main&lt;/code&gt;?</t>
  </si>
  <si>
    <t>Ele &lt;strong&gt;renomeia forçadamente&lt;/strong&gt; a branch atual para "main".
É usado para padronizar a nomenclatura, já que antigamente o padrão era "master", mas o GitHub e a comunidade migraram para "main".</t>
  </si>
  <si>
    <t>Qual é a diferença fundamental entre &lt;strong&gt;Git&lt;/strong&gt; e &lt;strong&gt;GitHub&lt;/strong&gt;</t>
  </si>
  <si>
    <t>&lt;strong&gt;Git:&lt;/strong&gt; É o software de sistema de controle de versão (ferramenta local instalada na sua máquina).
&lt;strong&gt;GitHub:&lt;/strong&gt; É uma plataforma de hospedagem de código na nuvem (serviço remoto que armazena os repositórios Git).</t>
  </si>
  <si>
    <t>Qual o comando para verificar o &lt;strong&gt;estado atual&lt;/strong&gt; do seu repositório (quais arquivos foram modificados, quais estão na área de preparo, etc)?</t>
  </si>
  <si>
    <t>&lt;code&gt;git status&lt;/code&gt;</t>
  </si>
  <si>
    <t>O que o comando &lt;code&gt;git add .&lt;/code&gt; faz tecnicamente?</t>
  </si>
  <si>
    <t>Ele move &lt;strong&gt;todas&lt;/strong&gt; as alterações atuais do seu diretório de trabalho (Working Directory) para a &lt;strong&gt;Área de Preparo (Staging Area)&lt;/strong&gt;.
É como "colocar os arquivos na caixa" antes de fechar o pacote.</t>
  </si>
  <si>
    <t>Qual o comando para criar um "ponto na história" (snapshot) com os arquivos que estão na Staging Area?</t>
  </si>
  <si>
    <t>&lt;code&gt;git commit -m "sua mensagem aqui"&lt;/code&gt;</t>
  </si>
  <si>
    <t>No comando &lt;code&gt;git push -u origin main&lt;/code&gt;, qual a função específica da flag &lt;code&gt;-u&lt;/code&gt;?</t>
  </si>
  <si>
    <t>Define o &lt;strong&gt;Upstream&lt;/strong&gt; (rastreamento).
Ela cria um vínculo permanente entre sua branch local (main) e a remota. Nos próximos envios, basta digitar &lt;code&gt;git push&lt;/code&gt;.</t>
  </si>
  <si>
    <t>Se você já tem um repositório remoto configurado, mas o endereço mudou. Qual comando atualiza a URL sem precisar remover o 'origin'?</t>
  </si>
  <si>
    <t>&lt;code&gt;git remote set-url origin https://novo-link...&lt;/code&gt;</t>
  </si>
  <si>
    <t>Qual o comando para renomear forçadamente a branch atual para "main" (padrão atual do mercado)?</t>
  </si>
  <si>
    <t>&lt;code&gt;git branch -M main&lt;/code&gt;</t>
  </si>
  <si>
    <t>O que é o &lt;strong&gt;Git Bash&lt;/strong&gt; no contexto do Windows?</t>
  </si>
  <si>
    <t>É uma aplicação que emula um terminal &lt;strong&gt;Unix/Linux&lt;/strong&gt; no Windows.
Ele permite usar comandos de linha de comando padrão do Linux (como ls, cd, cat) junto com os comandos do Git.</t>
  </si>
  <si>
    <t>Como configurar seu nome de usuário e email globalmente no Git (para que seus commits tenham sua autoria)?</t>
  </si>
  <si>
    <t>&lt;code&gt;git config --global user.name "Seu Nome"&lt;/code&gt;
&lt;code&gt;git config --global user.email "seu@email.com"&lt;/code&gt;</t>
  </si>
  <si>
    <t>Qual o comando envia os commits locais para o repositório remoto (GitHub)?</t>
  </si>
  <si>
    <t>&lt;code&gt;git push&lt;/code&gt;</t>
  </si>
  <si>
    <t>&lt;div style="text-align: center;"&gt; Em Java, o que acontece se tentarmos encadear uma chamada de método logo após um método que retornou &lt;code&gt;null&lt;/code&gt;?
Exemplo:
&lt;code&gt;Objeto.buscar(idInexistente).getNome();&lt;/code&gt; &lt;/div&gt;</t>
  </si>
  <si>
    <t>&lt;div style="text-align: center;"&gt; A JVM lançará um &lt;strong&gt;NullPointerException&lt;/strong&gt;.
A exceção ocorre no momento em que o operador &lt;code&gt;.&lt;/code&gt; tenta acessar &lt;code&gt;getNome()&lt;/code&gt; na referência nula retornada pela primeira chamada. O primeiro método executa com sucesso; o erro ocorre na tentativa de desreferenciar o retorno dele. &lt;/div&gt;</t>
  </si>
  <si>
    <t>&lt;div style="text-align: center;"&gt; Qual é a estratégia padrão (antes do Java 8/Optional) para evitar &lt;code&gt;NullPointerException&lt;/code&gt; ao consumir um método que pode retornar &lt;code&gt;null&lt;/code&gt;? &lt;/div&gt;</t>
  </si>
  <si>
    <t>&lt;div style="text-align: center;"&gt; Armazenar o retorno em uma variável temporária e verificar explicitamente se ela é &lt;code&gt;!= null&lt;/code&gt; antes de acessar seus métodos ou atributos.
Exemplo:
&lt;code&gt;Usuario u = buscar(id);&lt;/code&gt;
&lt;code&gt;if (u != null) { ... }&lt;/code&gt; &lt;/div&gt;</t>
  </si>
  <si>
    <t>&lt;div style="text-align: center;"&gt; Analise o código abaixo e identifique o problema de performance:
&lt;code&gt;if (repo.findById(1) != null) {
&amp;nbsp;&amp;nbsp;return repo.findById(1).getNome();
}&lt;/code&gt; &lt;/div&gt;</t>
  </si>
  <si>
    <t>&lt;div style="text-align: center;"&gt; O problema é a &lt;strong&gt;redundância de chamadas (Double Fetch)&lt;/strong&gt;.
O método &lt;code&gt;findById&lt;/code&gt; é executado duas vezes: uma para a verificação e outra para o uso.
Se a operação for custosa (ex: I/O de Banco de Dados), isso duplica a latência.
&lt;strong&gt;Correção:&lt;/strong&gt; Atribuir o resultado a uma variável local antes do &lt;code&gt;if&lt;/code&gt; e reutilizá-la. &lt;/div&gt;</t>
  </si>
  <si>
    <t>Qual o comportamento padrão do método estático &lt;code&gt;Enum.valueOf("NOME")&lt;/code&gt; caso a String fornecida não corresponda exatamente a nenhuma constante do Enum?</t>
  </si>
  <si>
    <t>Ele lança uma &lt;strong&gt;IllegalArgumentException&lt;/strong&gt; imediatamente.
Ele &lt;strong&gt;não&lt;/strong&gt; retorna null. Por isso, ao usar inputs externos, deve-se tratar a exceção ou validar a string antes.</t>
  </si>
  <si>
    <t>No contexto de boas práticas (Clean Code), por que devemos evitar repetir blocos de lógica &lt;code&gt;if/else&lt;/code&gt; idênticos (como verificações de null) dentro do método &lt;code&gt;main&lt;/code&gt;?</t>
  </si>
  <si>
    <t>Isso viola o princípio &lt;strong&gt;DRY (Don't Repeat Yourself)&lt;/strong&gt;.
A solução ideal é extrair a lógica repetitiva para um &lt;strong&gt;método auxiliar privado&lt;/strong&gt;, tornando o código mais legível e fácil de manter.</t>
  </si>
  <si>
    <t>Ao implementar um método de busca customizado em um Enum (ex: &lt;code&gt;buscaPorCodigo(int id)&lt;/code&gt;), qual a estratégia comum para varrer todos os valores do Enum?</t>
  </si>
  <si>
    <t>Utilizar o método estático &lt;code&gt;values()&lt;/code&gt; dentro de um loop (como o &lt;strong&gt;foreach&lt;/strong&gt;).
Exemplo:
&lt;pre&gt;for (MeuEnum e : values()) {
if (e.codigo == codigo) return e;
}&lt;/pre&gt;</t>
  </si>
  <si>
    <t>Qual é o principal objetivo da classe &lt;code&gt;java.util.Optional&lt;/code&gt; introduzida no Java 8? Verso: O objetivo é evitar &lt;code&gt;NullPointerException&lt;/code&gt; e verificações excessivas de nulos (&lt;code&gt;if (obj != null)&lt;/code&gt;). O &lt;code&gt;Optional&lt;/code&gt; atua como um contêiner (uma "caixa") que pode ou não conter um valor não nulo, forçando o desenvolvedor a tratar explicitamente a ausência de valor.</t>
  </si>
  <si>
    <t>Ao refatorar um código onde um método retorna &lt;code&gt;null&lt;/code&gt; quando não encontra um objeto, qual é a alternativa moderna utilizando &lt;code&gt;Optional&lt;/code&gt; para indicar "nenhum valor encontrado"? Verso: Em vez de retornar &lt;code&gt;null&lt;/code&gt;, o método deve retornar &lt;code&gt;Optional.empty()&lt;/code&gt;. Quando o valor é encontrado, retorna-se &lt;code&gt;Optional.of(valor)&lt;/code&gt;.</t>
  </si>
  <si>
    <t>Em um Enum, qual é o papel do método estático &lt;code&gt;values()&lt;/code&gt; e quando ele é geralmente utilizado?</t>
  </si>
  <si>
    <t>O método &lt;code&gt;values()&lt;/code&gt; retorna um &lt;strong&gt;array&lt;/strong&gt; contendo todas as constantes do Enum na ordem em que foram declaradas. Ele é fundamental para iterar sobre todas as opções do Enum, sendo muito utilizado em métodos de busca (lookup) para encontrar uma constante baseada em um atributo (como um código ou descrição).</t>
  </si>
  <si>
    <t>Qual é o conceito de "Code Smell" (Mau Cheiro no Código) exemplificado pela repetição excessiva de blocos &lt;code&gt;if/else&lt;/code&gt;?</t>
  </si>
  <si>
    <t>Refere-se a um indicativo superficial de que pode haver um problema mais profundo no design do código. A repetição viola o princípio &lt;strong&gt;DRY (Don't Repeat Yourself)&lt;/strong&gt;, sugerindo que a lógica duplicada deveria ser extraída para um método ou classe separada.</t>
  </si>
  <si>
    <t>No padrão de projeto (design) de um método de busca (lookup) em um Enum, qual deve ser a única responsabilidade desse método?</t>
  </si>
  <si>
    <t>A responsabilidade deve ser estritamente &lt;strong&gt;localizar e retornar a constante&lt;/strong&gt; correspondente (ou indicar ausência, via &lt;code&gt;null&lt;/code&gt;/&lt;code&gt;Optional&lt;/code&gt;). O método &lt;strong&gt;não&lt;/strong&gt; deve ser responsável por imprimir mensagens no console ou tratar a interface com o usuário (Separação de Responsabilidades).</t>
  </si>
  <si>
    <t>Ao declarar um método &lt;code&gt;abstract&lt;/code&gt; dentro de um Enum, qual é a obrigatoriedade imposta pelo compilador a cada constante?</t>
  </si>
  <si>
    <t>É obrigatório &lt;strong&gt;sobrescrever&lt;/strong&gt; (implementar) o método abstrato em &lt;strong&gt;cada uma&lt;/strong&gt; das constantes do Enum individualmente, definindo o comportamento específico de cada objeto.</t>
  </si>
  <si>
    <t>No Eclipse IDE, qual é a função do atalho &lt;code&gt;Ctrl + 1&lt;/code&gt; e por que ele é considerado essencial?</t>
  </si>
  <si>
    <t>Ele aciona o &lt;strong&gt;Quick Fix&lt;/strong&gt; (Correção Rápida). Ele sugere soluções automáticas para erros de compilação, warnings, ou oferece refatorações rápidas (como atribuir o resultado de um método a uma nova variável local).</t>
  </si>
  <si>
    <t>No Eclipse IDE, qual atalho é utilizado para &lt;strong&gt;Organizar Imports&lt;/strong&gt; (adicionar necessários e remover não utilizados)?</t>
  </si>
  <si>
    <t>&lt;code&gt;Ctrl + Shift + O&lt;/code&gt;</t>
  </si>
  <si>
    <t>É possível declarar uma classe como &lt;code&gt;abstract&lt;/code&gt; e &lt;code&gt;final&lt;/code&gt; simultaneamente em Java? (ex: &lt;code&gt;public abstract final class...&lt;/code&gt;)</t>
  </si>
  <si>
    <t>&lt;strong&gt;Não.&lt;/strong&gt; Isso gera erro de compilação.
São modificadores &lt;strong&gt;mutuamente exclusivos&lt;/strong&gt;:
&lt;ul&gt; &lt;li&gt;&lt;code&gt;abstract&lt;/code&gt;: Exige que a classe seja herdada (estendida) para criar objetos.&lt;/li&gt; &lt;li&gt;&lt;code&gt;final&lt;/code&gt;: Proíbe explicitamente que a classe seja herdada.&lt;/li&gt; &lt;/ul&gt;</t>
  </si>
  <si>
    <t>É possível criar um objeto (instanciar) diretamente de uma classe declarada como &lt;code&gt;abstract&lt;/code&gt;?</t>
  </si>
  <si>
    <t>&lt;strong&gt;Não&lt;/strong&gt;. O compilador bloqueia a criação de instâncias diretas (ex: &lt;code&gt;new Roedor()&lt;/code&gt; se Roedor for abstrato).
Para utilizar a classe, é obrigatório criar uma &lt;strong&gt;subclasse concreta&lt;/strong&gt; que herde da classe abstrata e instanciar essa subclasse (ex: &lt;code&gt;new Rato()&lt;/code&gt;).</t>
  </si>
  <si>
    <t>Qual é a relação entre &lt;strong&gt;Classes Abstratas&lt;/strong&gt; e o princípio &lt;strong&gt;DRY&lt;/strong&gt; (Don't Repeat Yourself)?</t>
  </si>
  <si>
    <t>Classes abstratas promovem o DRY ao centralizar atributos e métodos comuns (o "esqueleto") em uma única superclasse.
As subclasses herdam essa estrutura pronta e reutilizam a lógica concreta, precisando implementar apenas as especificidades (métodos abstratos) ou modificar comportamentos pontuais. Isso evita a duplicação de código base entre classes irmãs.</t>
  </si>
  <si>
    <t>É possível declarar um método &lt;code&gt;abstract&lt;/code&gt; dentro de uma classe concreta (não abstrata)?</t>
  </si>
  <si>
    <t>&lt;strong&gt;Não.&lt;/strong&gt;
Se uma classe possui &lt;strong&gt;pelo menos um&lt;/strong&gt; método abstrato, ela é &lt;strong&gt;obrigatoriamente&lt;/strong&gt; forçada a ser declarada como &lt;code&gt;abstract&lt;/code&gt;.
Isso impede que a classe seja instanciada, evitando o risco de alguém chamar um método que não possui implementação (corpo).</t>
  </si>
  <si>
    <t>Em uma cadeia de herança com várias classes abstratas (Avó Abstrata -&gt; Mãe Abstrata -&gt; Filha Concreta), quem é obrigado a implementar os métodos abstratos?</t>
  </si>
  <si>
    <t>A primeira &lt;strong&gt;classe concreta&lt;/strong&gt; (não abstrata) da hierarquia.
Essa classe deve implementar &lt;strong&gt;todos&lt;/strong&gt; os métodos abstratos acumulados de todas as superclasses anteriores.</t>
  </si>
  <si>
    <t>Uma classe abstrata que herda de outra classe abstrata é &lt;strong&gt;obrigada&lt;/strong&gt; a implementar os métodos abstratos da mãe?</t>
  </si>
  <si>
    <t>&lt;strong&gt;Não.&lt;/strong&gt;
Como a subclasse também é abstrata, ela não precisa lidar com a implementação naquele momento. Ela apenas repassa a "dívida" (o contrato) para frente.</t>
  </si>
  <si>
    <t>Uma classe abstrata intermediária (que herda de outra abstrata) &lt;strong&gt;pode&lt;/strong&gt; implementar um método abstrato herdado da superclasse?</t>
  </si>
  <si>
    <t>&lt;strong&gt;Sim.&lt;/strong&gt;
Apesar de não ser obrigada, ela &lt;strong&gt;pode&lt;/strong&gt; fornecer a implementação.
Se fizer isso, o método deixa de ser abstrato ("dívida paga"), e as futuras subclasses concretas herdarão essa implementação pronta, não sendo mais obrigadas a implementá-lo (embora possam sobrescrevê-lo).</t>
  </si>
  <si>
    <t>No fluxo de trabalho do Git, qual é a função específica do comando &lt;code&gt;git add&lt;/code&gt;?</t>
  </si>
  <si>
    <t>Ele move as alterações do &lt;strong&gt;Working Directory&lt;/strong&gt; (onde você edita) para a &lt;strong&gt;Staging Area&lt;/strong&gt; (área de preparação).
O &lt;code&gt;git add&lt;/code&gt; não salva o histórico ainda; ele apenas "agenda" quais arquivos farão parte do próximo commit.</t>
  </si>
  <si>
    <t>No comando &lt;code&gt;git push origin main&lt;/code&gt;, o que representa especificamente a palavra &lt;code&gt;origin&lt;/code&gt;?</t>
  </si>
  <si>
    <t>&lt;code&gt;origin&lt;/code&gt; é um &lt;strong&gt;alias&lt;/strong&gt; (apelido) padrão que o Git utiliza para armazenar a &lt;strong&gt;URL do repositório remoto&lt;/strong&gt;.
Isso evita que o usuário precise digitar a URL completa (ex: &lt;code&gt;https://github.com/usuario/repo.git&lt;/code&gt;) a cada comando.</t>
  </si>
  <si>
    <t>Se eu digitar apenas &lt;code&gt;git push&lt;/code&gt; (sem argumentos) e funcionar, o que isso significa sobre a configuração do meu repositório local?</t>
  </si>
  <si>
    <t>Significa que a branch local atual já está rastreando uma branch remota (upstream configurado).
Isso geralmente é feito na primeira vez com a flag &lt;code&gt;-u&lt;/code&gt; (ex: &lt;code&gt;git push -u origin main&lt;/code&gt;), criando um vínculo padrão entre o local e o remoto.</t>
  </si>
  <si>
    <t>Ao acessar um atributo herdado (&lt;code&gt;protected&lt;/code&gt;) dentro de uma subclasse, é obrigatório usar a palavra-chave &lt;code&gt;super.atributo&lt;/code&gt;?</t>
  </si>
  <si>
    <t>&lt;strong&gt;Não&lt;/strong&gt;, a menos que haja conflito de nomes (shadowing).
Se a subclasse não declarar uma variável com o mesmo nome, o atributo herdado é visível diretamente (ou via &lt;code&gt;this.atributo&lt;/code&gt;), tornando o uso explícito do &lt;code&gt;super&lt;/code&gt; opcional e redundante.</t>
  </si>
  <si>
    <t>No Java, se eu declaro uma variável do tipo da Superclasse (ex: &lt;code&gt;Animal a = new Cachorro();&lt;/code&gt;), quais métodos eu posso chamar através da variável &lt;code&gt;a&lt;/code&gt;?</t>
  </si>
  <si>
    <t>Apenas os métodos que estão declarados na &lt;strong&gt;Superclasse&lt;/strong&gt; (o tipo da variável de referência).
Mesmo que o objeto instanciado (&lt;code&gt;Cachorro&lt;/code&gt;) tenha métodos específicos (ex: &lt;code&gt;latir()&lt;/code&gt;), eles não estarão acessíveis se não existirem na referência (&lt;code&gt;Animal&lt;/code&gt;), a menos que seja feito um &lt;strong&gt;Casting&lt;/strong&gt;.</t>
  </si>
  <si>
    <t>Qual é a diferença entre o comportamento em &lt;strong&gt;Tempo de Compilação&lt;/strong&gt; vs &lt;strong&gt;Tempo de Execução&lt;/strong&gt; ao chamar um método sobrescrito em uma variável polimórfica?
Ex: &lt;code&gt;Animal a = new Cachorro(); a.emitirSom();&lt;/code&gt;</t>
  </si>
  <si>
    <t>&lt;ul&gt; &lt;li&gt;&lt;strong&gt;Compilação:&lt;/strong&gt; O compilador verifica se o método &lt;code&gt;emitirSom()&lt;/code&gt; existe na classe da variável de referência (&lt;code&gt;Animal&lt;/code&gt;).&lt;/li&gt; &lt;li&gt;&lt;strong&gt;Execução:&lt;/strong&gt; A JVM busca o objeto real na memória (&lt;code&gt;Cachorro&lt;/code&gt;) e executa a implementação sobrescrita dele.&lt;/li&gt; &lt;/ul&gt;</t>
  </si>
  <si>
    <t>Na linha de código &lt;code&gt;Animal a = new Cachorro();&lt;/code&gt;, qual é a responsabilidade da parte esquerda (&lt;code&gt;Animal a&lt;/code&gt;) e da parte direita (&lt;code&gt;new Cachorro()&lt;/code&gt;)?</t>
  </si>
  <si>
    <t>&lt;ul&gt; &lt;li&gt;&lt;strong&gt;Esquerda (Referência):&lt;/strong&gt; Define o &lt;strong&gt;TIPO&lt;/strong&gt; da variável. Determina quais métodos podem ser chamados (visibilidade em tempo de compilação).&lt;/li&gt; &lt;li&gt;&lt;strong&gt;Direita (Objeto):&lt;/strong&gt; Cria a &lt;strong&gt;INSTÂNCIA&lt;/strong&gt; na memória. Define como os métodos vão se comportar (execução em tempo de runtime).&lt;/li&gt; &lt;/ul&gt;</t>
  </si>
  <si>
    <t>Qual é a principal vantagem de declarar uma variável usando uma &lt;strong&gt;referência genérica&lt;/strong&gt; (Superclasse) em vez da específica (Subclasse)?
Ex: &lt;code&gt;Fruta f = new Banana();&lt;/code&gt;</t>
  </si>
  <si>
    <t>Permite o &lt;strong&gt;Polimorfismo&lt;/strong&gt;.
Isso possibilita agrupar objetos de diferentes tipos (mas da mesma família) em uma única estrutura (como Listas ou Arrays) e processá-los de forma uniforme, desacoplando o código da implementação específica.</t>
  </si>
  <si>
    <t>Qual é a sintaxe correta para declarar um método abstrato (sem corpo) em Java?</t>
  </si>
  <si>
    <t>Utiliza-se a palavra-chave &lt;code&gt;abstract&lt;/code&gt; e termina-se a declaração com ponto e vírgula, sem chaves &lt;code&gt;{}&lt;/code&gt;.
Exemplo:
&lt;pre&gt;public abstract void imprimir();&lt;/pre&gt;</t>
  </si>
  <si>
    <t>Uma classe abstrata pode conter métodos concretos (com corpo)?</t>
  </si>
  <si>
    <t>&lt;strong&gt;Sim.&lt;/strong&gt;
Uma classe abstrata pode ter qualquer combinação de métodos abstratos e métodos concretos. O objetivo é misturar comportamentos padrão (concretos) com contratos obrigatórios (abstratos).</t>
  </si>
  <si>
    <t>É possível declarar uma classe como &lt;code&gt;abstract&lt;/code&gt; mesmo que ela &lt;strong&gt;não possua&lt;/strong&gt; nenhum método abstrato?</t>
  </si>
  <si>
    <t>Verso: &lt;strong&gt;Sim.&lt;/strong&gt;
Isso é feito quando se deseja impedir a instancialização da classe apenas por razões de design (para servir puramente como uma superclasse organizacional), mesmo que ela não force nenhuma implementação específica.</t>
  </si>
  <si>
    <t>Se uma classe possui &lt;strong&gt;pelo menos um&lt;/strong&gt; método abstrato, o que o compilador exige em relação à declaração da classe?</t>
  </si>
  <si>
    <t>A classe deve ser obrigatoriamente declarada como &lt;code&gt;abstract&lt;/code&gt;.
Não é permitido ter métodos abstratos dentro de uma classe concreta.</t>
  </si>
  <si>
    <t>Quando uma classe concreta estende uma classe abstrata, qual é a sua obrigação contratual?</t>
  </si>
  <si>
    <t>Verso: Ela deve &lt;strong&gt;implementar (sobrescrever) todos&lt;/strong&gt; os métodos abstratos herdados da superclasse.
Se falhar em implementar qualquer um deles, ocorrerá um erro de compilação (a menos que a própria subclasse também seja declarada como abstrata).</t>
  </si>
  <si>
    <t>É possível declarar um método como &lt;code&gt;abstract&lt;/code&gt; e &lt;code&gt;static&lt;/code&gt; simultaneamente?
Ex: &lt;code&gt;public abstract static void metodo();&lt;/code&gt;</t>
  </si>
  <si>
    <t>&lt;strong&gt;Não.&lt;/strong&gt; Gera erro de compilação.
Métodos &lt;code&gt;static&lt;/code&gt; pertencem à classe e não suportam polimorfismo (sobrescrita), enquanto métodos &lt;code&gt;abstract&lt;/code&gt; existem justamente para serem sobrescritos por subclasses.</t>
  </si>
  <si>
    <t>É possível declarar um método como &lt;code&gt;abstract&lt;/code&gt; e &lt;code&gt;private&lt;/code&gt; simultaneamente?</t>
  </si>
  <si>
    <t>&lt;strong&gt;Não.&lt;/strong&gt; Gera erro de compilação.
Para que um método seja sobrescrito pela subclasse (o objetivo do &lt;code&gt;abstract&lt;/code&gt;), ele precisa ser visível para ela. Métodos &lt;code&gt;private&lt;/code&gt; não são herdados nem visíveis para as subclasses.</t>
  </si>
  <si>
    <t>É possível declarar um método como &lt;code&gt;abstract&lt;/code&gt; e &lt;code&gt;final&lt;/code&gt; simultaneamente?</t>
  </si>
  <si>
    <t>Verso: &lt;strong&gt;Não.&lt;/strong&gt; Gera erro de compilação.
&lt;code&gt;final&lt;/code&gt; impede a sobrescrita do método, enquanto &lt;code&gt;abstract&lt;/code&gt; exige a sobrescrita. São conceitos opostos.</t>
  </si>
  <si>
    <t>Qual é a principal limitação de herança de &lt;strong&gt;Classes&lt;/strong&gt; em Java que as &lt;strong&gt;Interfaces&lt;/strong&gt; ajudam a superar?</t>
  </si>
  <si>
    <t>O Java não suporta &lt;strong&gt;herança múltipla de classes&lt;/strong&gt; (uma classe não pode estender duas classes).
As Interfaces resolvem isso permitindo que uma classe implemente &lt;strong&gt;múltiplas interfaces&lt;/strong&gt;, adquirindo comportamentos de diferentes fontes.</t>
  </si>
  <si>
    <t>Qual é a diferença conceitual fundamental entre uma &lt;strong&gt;Classe Abstrata&lt;/strong&gt; e uma &lt;strong&gt;Interface&lt;/strong&gt;? ("É um" vs "Faz um")</t>
  </si>
  <si>
    <t>&lt;ul&gt; &lt;li&gt;&lt;strong&gt;Classe Abstrata:&lt;/strong&gt; Define identidade ("O que o objeto &lt;strong&gt;É&lt;/strong&gt;"). Ex: Um Cachorro &lt;strong&gt;é um&lt;/strong&gt; Animal.&lt;/li&gt; &lt;li&gt;&lt;strong&gt;Interface:&lt;/strong&gt; Define contrato/capacidade ("O que o objeto &lt;strong&gt;FAZ&lt;/strong&gt;"). Ex: Um Cachorro &lt;strong&gt;é&lt;/strong&gt; Treinável (interface).&lt;/li&gt; &lt;/ul&gt;</t>
  </si>
  <si>
    <t>Por padrão, como são tratados os &lt;strong&gt;atributos&lt;/strong&gt; declarados dentro de uma Interface?</t>
  </si>
  <si>
    <t>Eles são implicitamente &lt;code&gt;public static final&lt;/code&gt;.
Ou seja, são &lt;strong&gt;constantes&lt;/strong&gt; globais. Interfaces não guardam estado de instância (variáveis que mudam).</t>
  </si>
  <si>
    <t>Por que não podemos simplesmente herdar um método específico (ex: &lt;code&gt;respirar()&lt;/code&gt;) de outra classe concreta sem usar Interfaces?</t>
  </si>
  <si>
    <t>Porque em Java, a herança de classes (&lt;code&gt;extends&lt;/code&gt;) é &lt;strong&gt;"tudo ou nada"&lt;/strong&gt;.
Ao herdar de uma classe para aproveitar um único método, você obrigatoriamente herda todos os outros atributos e métodos daquela classe (acoplamento forte), o que muitas vezes quebra a lógica do modelo (ex: um Papagaio herdando de Humano só para poder falar).</t>
  </si>
  <si>
    <t>Se eu criar um método &lt;code&gt;falar()&lt;/code&gt; em duas classes diferentes sem implementar uma Interface comum, o Java considera esses métodos como sendo do mesmo "tipo"?</t>
  </si>
  <si>
    <t>&lt;strong&gt;Não.&lt;/strong&gt;
Para o compilador, são apenas dois métodos com o mesmo nome (coincidência). Sem uma &lt;strong&gt;Interface&lt;/strong&gt; comum, não há contrato estabelecido, e você perde a capacidade de usar &lt;strong&gt;Polimorfismo&lt;/strong&gt; para tratar ambos os objetos da mesma maneira.</t>
  </si>
  <si>
    <t>Uma &lt;strong&gt;Classe Abstrata&lt;/strong&gt; pode implementar uma &lt;strong&gt;Interface&lt;/strong&gt;? Se sim, ela é obrigada a implementar todos os métodos?</t>
  </si>
  <si>
    <t>&lt;strong&gt;Sim&lt;/strong&gt;, pode implementar.
Sobre a obrigatoriedade:
&lt;ul&gt; &lt;li&gt;Se ela implementar o método (criar o corpo), a "dívida" está paga e as subclasses herdam o método pronto.&lt;/li&gt; &lt;li&gt;Se ela &lt;strong&gt;não&lt;/strong&gt; souber implementar, ela deve redeclarar o método da interface como &lt;strong&gt;abstract&lt;/strong&gt;, repassando a obrigação para suas subclasses concretas.&lt;/li&gt; &lt;/ul&gt;</t>
  </si>
  <si>
    <t>Qual é o princípio de design conhecido como &lt;strong&gt;YAGNI&lt;/strong&gt; e como ele se aplica à criação de Interfaces?</t>
  </si>
  <si>
    <t>&lt;strong&gt;You Ain't Gonna Need It&lt;/strong&gt; (Você não vai precisar disso).
Aplica-se evitando criar Interfaces (complexidade extra) para classes que provavelmente nunca terão múltiplas implementações ou necessidade de polimorfismo. Crie a abstração apenas quando o problema real exigir.</t>
  </si>
  <si>
    <t>No contexto de Orientação a Objetos, por que uma Interface é frequentemente chamada de &lt;strong&gt;Contrato&lt;/strong&gt;?</t>
  </si>
  <si>
    <t>Porque ela estabelece um conjunto de regras (assinaturas de métodos) que a classe "assinante" (que a implementa) é &lt;strong&gt;legalmente obrigada&lt;/strong&gt; a cumprir.
O compilador atua como o fiscal desse contrato: se a classe concreta não implementar todos os métodos definidos na Interface, o código não compila.</t>
  </si>
  <si>
    <t>Qual é a definição conceitual de &lt;strong&gt;Interface&lt;/strong&gt; (focando na interação entre sistemas)?</t>
  </si>
  <si>
    <t>É uma fronteira ou ponto de conexão compartilhado entre dois componentes de um sistema.
Ela define &lt;strong&gt;como&lt;/strong&gt; os componentes se comunicam (quais métodos podem ser chamados), escondendo completamente os detalhes internos de &lt;strong&gt;como&lt;/strong&gt; a ação é realizada (implementação).</t>
  </si>
  <si>
    <t>O que acontece (tecnicamente) quando uma classe concreta declara que &lt;code&gt;implements&lt;/code&gt; uma Interface, mas esquece de escrever o corpo de um dos métodos?</t>
  </si>
  <si>
    <t>Ocorre um &lt;strong&gt;Erro de Compilação&lt;/strong&gt;.
O compilador identifica a quebra do contrato: a classe prometeu ter aquele comportamento ao implementar a Interface, mas falhou em fornecê-lo.</t>
  </si>
  <si>
    <t>Uma única classe Java pode &lt;strong&gt;implementar&lt;/strong&gt; mais de uma Interface simultaneamente?</t>
  </si>
  <si>
    <t>&lt;strong&gt;Sim.&lt;/strong&gt;
Diferente da herança de classes (que é limitada a um único pai), uma classe pode implementar &lt;strong&gt;infinitas&lt;/strong&gt; interfaces, separando-as por vírgula.
Exemplo: &lt;pre&gt;public class Heroi implements Voador, SuperForca, Imortal { ... }&lt;/pre&gt;</t>
  </si>
  <si>
    <t>Ao declarar um método em uma Interface sem corpo (ex: &lt;code&gt;void salvar();&lt;/code&gt;), quais são os modificadores &lt;strong&gt;implícitos&lt;/strong&gt; que o Java considera? É necessário digitá-los?</t>
  </si>
  <si>
    <t>Os modificadores são &lt;strong&gt;public&lt;/strong&gt; e &lt;strong&gt;abstract&lt;/strong&gt;.
Exemplo: &lt;code&gt;void salvar();&lt;/code&gt; é lido pelo compilador como &lt;code&gt;public abstract void salvar();&lt;/code&gt;.
&lt;strong&gt;Não&lt;/strong&gt; é necessário digitá-los (é considerado redundante e má prática em código moderno, pois polui a leitura).</t>
  </si>
  <si>
    <t>Qual foi a principal motivação para a introdução de &lt;strong&gt;Default Methods&lt;/strong&gt; em interfaces no Java 8?</t>
  </si>
  <si>
    <t>Permitir a &lt;strong&gt;evolução de interfaces&lt;/strong&gt; sem quebrar a compatibilidade com o código existente (backward compatibility).
Isso permite adicionar novos métodos a uma interface que já possui muitas implementações, fornecendo uma implementação padrão que evita erros de compilação nas classes antigas.</t>
  </si>
  <si>
    <t>Um método declarado como &lt;code&gt;default&lt;/code&gt; em uma interface pode ser sobrescrito (Override) pela classe que a implementa?</t>
  </si>
  <si>
    <t>&lt;strong&gt;Sim.&lt;/strong&gt;
O modificador &lt;code&gt;default&lt;/code&gt; fornece uma implementação base opcional, mas a classe concreta tem total liberdade para sobrescrever esse método e definir um comportamento específico. Ele &lt;strong&gt;não&lt;/strong&gt; é &lt;code&gt;final&lt;/code&gt;.</t>
  </si>
  <si>
    <t>Qual é a diferença de sintaxe entre um método abstrato comum e um método default em uma interface?</t>
  </si>
  <si>
    <t>&lt;ul&gt; &lt;li&gt;&lt;strong&gt;Abstrato:&lt;/strong&gt; Termina com ponto e vírgula &lt;code&gt;;&lt;/code&gt; e não tem corpo.&lt;/li&gt; &lt;li&gt;&lt;strong&gt;Default:&lt;/strong&gt; Usa a palavra-chave &lt;code&gt;default&lt;/code&gt; antes do tipo de retorno e &lt;strong&gt;possui um corpo&lt;/strong&gt; delimitado por chaves &lt;code&gt;{}&lt;/code&gt;.&lt;/li&gt; &lt;/ul&gt;</t>
  </si>
  <si>
    <t>É possível criar uma instância (objeto) diretamente de uma &lt;strong&gt;Interface&lt;/strong&gt; usando o operador &lt;code&gt;new&lt;/code&gt;?
Ex: &lt;code&gt;MinhaInterface x = new MinhaInterface();&lt;/code&gt;</t>
  </si>
  <si>
    <t>&lt;strong&gt;Não.&lt;/strong&gt;
Interfaces são tipos puramente abstratos e &lt;strong&gt;não possuem construtores&lt;/strong&gt;.
Para obter um objeto que corresponda a uma Interface, você deve instanciar uma &lt;strong&gt;classe concreta&lt;/strong&gt; que a implemente (Ex: &lt;code&gt;MinhaInterface x = new ClasseConcreta();&lt;/code&gt;).</t>
  </si>
  <si>
    <t>Ao sobrescrever (Override) um método, é permitido utilizar um modificador de acesso &lt;strong&gt;mais restritivo&lt;/strong&gt; do que o definido no método original?</t>
  </si>
  <si>
    <t>&lt;strong&gt;Não.&lt;/strong&gt;
O compilador gerará um erro. A regra é: você deve manter a mesma visibilidade ou torná-la &lt;strong&gt;menos restritiva&lt;/strong&gt; (mais ampla).
Exemplo: Se o método original é &lt;code&gt;protected&lt;/code&gt;, a sobrescrita pode ser &lt;code&gt;protected&lt;/code&gt; ou &lt;code&gt;public&lt;/code&gt;, mas nunca &lt;code&gt;private&lt;/code&gt; ou &lt;code&gt;default&lt;/code&gt;.</t>
  </si>
  <si>
    <t>Qual é o alcance de visibilidade do modificador de acesso &lt;code&gt;private&lt;/code&gt;?</t>
  </si>
  <si>
    <t>Ele é visível &lt;strong&gt;apenas dentro da própria classe&lt;/strong&gt; onde foi declarado.
Nenhuma outra classe, nem mesmo subclasses ou classes do mesmo pacote, tem acesso direto a membros privados.</t>
  </si>
  <si>
    <t>Qual é o alcance de visibilidade quando &lt;strong&gt;nenhum&lt;/strong&gt; modificador de acesso é especificado (nível &lt;em&gt;default&lt;/em&gt; ou &lt;em&gt;package-private&lt;/em&gt;)?</t>
  </si>
  <si>
    <t>O membro fica visível apenas para classes que estejam dentro do &lt;strong&gt;mesmo pacote&lt;/strong&gt; (além da própria classe).
Importante: Ele &lt;strong&gt;não&lt;/strong&gt; é visível para subclasses se elas estiverem em pacotes diferentes.</t>
  </si>
  <si>
    <t>Qual é o alcance de visibilidade do modificador de acesso &lt;code&gt;protected&lt;/code&gt;?</t>
  </si>
  <si>
    <t>Ele é visível para:
&lt;ul&gt; &lt;li&gt;Todas as classes do &lt;strong&gt;mesmo pacote&lt;/strong&gt;.&lt;/li&gt; &lt;li&gt;&lt;strong&gt;Subclasses&lt;/strong&gt; (classes filhas), mesmo que estejam em &lt;strong&gt;pacotes diferentes&lt;/strong&gt; (acesso via herança).&lt;/li&gt; &lt;/ul&gt;</t>
  </si>
  <si>
    <t>Qual é o alcance de visibilidade do modificador de acesso &lt;code&gt;public&lt;/code&gt;?</t>
  </si>
  <si>
    <t>Ele é visível por &lt;strong&gt;qualquer classe&lt;/strong&gt; em &lt;strong&gt;qualquer pacote&lt;/strong&gt; dentro do projeto.
É o nível de acesso mais amplo possível no Java.</t>
  </si>
  <si>
    <t>É permitido declarar atributos (variáveis) dentro de uma &lt;strong&gt;Interface&lt;/strong&gt; em Java?</t>
  </si>
  <si>
    <t>&lt;strong&gt;Sim&lt;/strong&gt;, mas com restrições de comportamento.
Diferente de classes, interfaces não podem guardar "estado" do objeto. Portanto, qualquer variável declarada lá não pertence à instância, funcionando apenas como uma constante global.</t>
  </si>
  <si>
    <t>Quais são os 3 modificadores &lt;strong&gt;implícitos&lt;/strong&gt; (características intrínsecas) de qualquer atributo declarado em uma Interface?</t>
  </si>
  <si>
    <t>Todo atributo em interface é automaticamente:
&lt;ul&gt; &lt;li&gt;&lt;code&gt;public&lt;/code&gt; (Acessível por todos)&lt;/li&gt; &lt;li&gt;&lt;code&gt;static&lt;/code&gt; (Pertence à Interface, não ao objeto)&lt;/li&gt; &lt;li&gt;&lt;code&gt;final&lt;/code&gt; (É uma constante, obrigatório inicializar e imutável)&lt;/li&gt; &lt;/ul&gt;</t>
  </si>
  <si>
    <t>É possível criar métodos &lt;strong&gt;estáticos&lt;/strong&gt; (com corpo/implementação) dentro de uma Interface em Java? Desde qual versão?</t>
  </si>
  <si>
    <t>&lt;strong&gt;Sim.&lt;/strong&gt;
A partir do &lt;strong&gt;Java 8&lt;/strong&gt;, é permitido declarar métodos &lt;code&gt;static&lt;/code&gt; com corpo dentro de interfaces.
Isso permite adicionar métodos utilitários diretamente na interface, sem precisar criar uma classe auxiliar separada (como era comum antes, ex: &lt;code&gt;Collections&lt;/code&gt; para a interface &lt;code&gt;Collection&lt;/code&gt;).</t>
  </si>
  <si>
    <t>Métodos &lt;strong&gt;estáticos&lt;/strong&gt; de uma Interface são herdados pelas classes que a implementam?
Ex: Se &lt;code&gt;MinhaInterface&lt;/code&gt; tem &lt;code&gt;static void teste()&lt;/code&gt;, a classe &lt;code&gt;MinhaClasse&lt;/code&gt; herda esse método?</t>
  </si>
  <si>
    <t>&lt;strong&gt;Não.&lt;/strong&gt;
Diferente de métodos estáticos de classes (que são herdados/ocultados), os métodos estáticos de interfaces &lt;strong&gt;não são herdados&lt;/strong&gt;.
Eles pertencem exclusivamente ao escopo da Interface. Você não pode chamá-los através da instância da classe (obj.teste()) nem da classe (MinhaClasse.teste()).</t>
  </si>
  <si>
    <t>Qual é a &lt;strong&gt;única&lt;/strong&gt; maneira correta de chamar um método estático declarado em uma Interface?</t>
  </si>
  <si>
    <t>Chamando diretamente pelo &lt;strong&gt;Nome da Interface&lt;/strong&gt;.
Sintaxe: &lt;code&gt;NomeDaInterface.nomeDoMetodo();&lt;/code&gt;
Exemplo: &lt;code&gt;List.of("A", "B");&lt;/code&gt; (Onde &lt;code&gt;of&lt;/code&gt; é um método estático da interface &lt;code&gt;List&lt;/code&gt; introduzido no Java 9).</t>
  </si>
  <si>
    <t>Qual a principal diferença de objetivo entre um método &lt;strong&gt;default&lt;/strong&gt; e um método &lt;strong&gt;static&lt;/strong&gt; em uma Interface?</t>
  </si>
  <si>
    <t>&lt;ul&gt; &lt;li&gt;&lt;strong&gt;Default:&lt;/strong&gt; Focado em &lt;strong&gt;herança/evolução&lt;/strong&gt;. Permite que as instâncias usem ou sobrescrevam o comportamento.&lt;/li&gt; &lt;li&gt;&lt;strong&gt;Static:&lt;/strong&gt; Focado em &lt;strong&gt;utilidade&lt;/strong&gt;. É uma função auxiliar que não depende de instâncias e não pode ser sobrescrita.&lt;/li&gt; &lt;/ul&gt;</t>
  </si>
  <si>
    <t>Se uma Interface possui um método estático (ex: &lt;code&gt;static void teste()&lt;/code&gt;), o que acontece se eu criar um método com a &lt;strong&gt;mesma assinatura&lt;/strong&gt; na classe que a implementa?</t>
  </si>
  <si>
    <t>O código &lt;strong&gt;compila normalmente&lt;/strong&gt;, mas isso &lt;strong&gt;não é uma sobrescrita&lt;/strong&gt; (Override).
O método da classe é considerado totalmente independente. Como o método estático da interface &lt;strong&gt;não é herdado&lt;/strong&gt; e nem visível pelo escopo da instância, o Java trata como dois métodos distintos que apenas coincidem no nome.</t>
  </si>
  <si>
    <t>O que acontece se eu tentar adicionar a anotação &lt;code&gt;@Override&lt;/code&gt; em um método da classe que tem o mesmo nome de um método &lt;strong&gt;estático&lt;/strong&gt; da interface?</t>
  </si>
  <si>
    <t>Ocorre um &lt;strong&gt;Erro de Compilação&lt;/strong&gt;.
A anotação &lt;code&gt;@Override&lt;/code&gt; instrui o compilador a verificar se o método está sobrescrevendo algo herdado. Como métodos estáticos de interface não fazem parte da herança, o compilador informa que o método não substitui nada da superclasse/interface.</t>
  </si>
  <si>
    <t>Qual é a definição fundamental de &lt;strong&gt;Polimorfismo&lt;/strong&gt; em Java (referente à declaração de variáveis)?</t>
  </si>
  <si>
    <t>É a capacidade de uma variável de referência de uma &lt;strong&gt;Superclasse&lt;/strong&gt; (ou Interface) apontar para um objeto de uma &lt;strong&gt;Subclasse&lt;/strong&gt; (ou Implementação).
Ex: &lt;code&gt;Animal a = new Cachorro();&lt;/code&gt;</t>
  </si>
  <si>
    <t>No polimorfismo (&lt;code&gt;SuperClasse ref = new SubClasse();&lt;/code&gt;), quem define &lt;strong&gt;quais métodos&lt;/strong&gt; podem ser chamados e quem define &lt;strong&gt;qual implementação&lt;/strong&gt; será executada?</t>
  </si>
  <si>
    <t>&lt;ul&gt; &lt;li&gt;&lt;strong&gt;Referência (Esquerda):&lt;/strong&gt; Define a visibilidade (quais métodos podem ser chamados). O compilador verifica aqui.&lt;/li&gt; &lt;li&gt;&lt;strong&gt;Objeto (Direita):&lt;/strong&gt; Define o comportamento (qual código vai rodar). A JVM verifica aqui em tempo de execução.&lt;/li&gt; &lt;/ul&gt;</t>
  </si>
  <si>
    <t>Se uma classe Pai declara um atributo como &lt;code&gt;private&lt;/code&gt;, as classes Filhas (subclasses) conseguem acessar esse atributo diretamente (ex: &lt;code&gt;this.atributo&lt;/code&gt;)?</t>
  </si>
  <si>
    <t>&lt;strong&gt;Não.&lt;/strong&gt;
Atributos &lt;code&gt;private&lt;/code&gt; são encapsulados apenas na classe onde foram declarados.
Embora a subclasse &lt;strong&gt;possua&lt;/strong&gt; o atributo em sua estrutura de memória, ela deve acessá-lo através de métodos acessores públicos ou protegidos (ex: &lt;code&gt;getAtributo()&lt;/code&gt;).</t>
  </si>
  <si>
    <t>O que significa a sigla &lt;strong&gt;MVC&lt;/strong&gt; e qual é o seu objetivo principal como padrão de arquitetura?</t>
  </si>
  <si>
    <t>&lt;strong&gt;Model - View - Controller&lt;/strong&gt;.
Seu objetivo é a &lt;strong&gt;Separação de Responsabilidades&lt;/strong&gt; (Separation of Concerns), dividindo a aplicação em três camadas lógicas para facilitar a manutenção, testes e evolução do código.</t>
  </si>
  <si>
    <t>No padrão MVC, qual é a responsabilidade da camada &lt;strong&gt;Model&lt;/strong&gt;?</t>
  </si>
  <si>
    <t>Representar os &lt;strong&gt;Dados&lt;/strong&gt; e a &lt;strong&gt;Lógica de Negócio&lt;/strong&gt;.
É onde ficam as regras da empresa, validações, cálculos e acesso ao banco de dados. O Model não deve conter código de interface gráfica.</t>
  </si>
  <si>
    <t>No padrão MVC, qual é a responsabilidade da camada &lt;strong&gt;View&lt;/strong&gt;?</t>
  </si>
  <si>
    <t>Apresentação e &lt;strong&gt;Interação com o Usuário&lt;/strong&gt;.
É responsável por exibir os dados (interface gráfica, HTML, console) e capturar as ações do usuário. A View não deve processar regras de negócio complexas.</t>
  </si>
  <si>
    <t>No padrão MVC, qual é a responsabilidade da camada &lt;strong&gt;Controller&lt;/strong&gt;?</t>
  </si>
  <si>
    <t>Atuar como &lt;strong&gt;intermediário&lt;/strong&gt; (maestro).
Ele recebe as requisições do usuário (vindas da View), aciona a lógica correta no Model, e decide qual View deve ser exibida como resposta.</t>
  </si>
  <si>
    <t>Em uma arquitetura MVC estrita, a camada de &lt;strong&gt;View&lt;/strong&gt; pode acessar diretamente o &lt;strong&gt;Banco de Dados&lt;/strong&gt;?</t>
  </si>
  <si>
    <t>&lt;strong&gt;Não.&lt;/strong&gt;
A View deve apenas exibir dados que foram fornecidos pelo Controller. O acesso ao banco é responsabilidade exclusiva da camada Model (geralmente via classes DAO/Repository). A View acessar o banco cria alto acoplamento e quebra o padrão.</t>
  </si>
  <si>
    <t>O que são &lt;strong&gt;Regras de Negócio&lt;/strong&gt; no desenvolvimento de software?</t>
  </si>
  <si>
    <t>São as políticas, restrições, validações e cálculos específicos que definem o funcionamento daquele negócio (empresa).
Elas representam o "coração" do sistema e existem independentemente da tecnologia utilizada (ex: cálculo de juros, validação de CPF, regras de desconto).</t>
  </si>
  <si>
    <t>Em uma arquitetura bem estruturada (como MVC ou Clean Architecture), onde deve residir a implementação das &lt;strong&gt;Regras de Negócio&lt;/strong&gt;?</t>
  </si>
  <si>
    <t>Na camada de &lt;strong&gt;Model&lt;/strong&gt; (Domínio) ou Camada de Serviço.
Elas &lt;strong&gt;nunca&lt;/strong&gt; devem estar acopladas à interface visual (View), ao Banco de Dados ou aos Controladores, garantindo que possam ser reutilizadas e testadas isoladamente.</t>
  </si>
  <si>
    <t>Qual a diferença entre uma &lt;strong&gt;Regra de Negócio&lt;/strong&gt; e uma &lt;strong&gt;Regra de Infraestrutura/Sistema&lt;/strong&gt;?</t>
  </si>
  <si>
    <t>&lt;ul&gt; &lt;li&gt;&lt;strong&gt;Regra de Negócio:&lt;/strong&gt; "O saldo não pode ficar negativo." (Decisão do negócio/banco).&lt;/li&gt; &lt;li&gt;&lt;strong&gt;Regra de Infraestrutura:&lt;/strong&gt; "A senha do banco de dados é 1234." ou "O botão deve ser azul." (Decisão técnica/visual).&lt;/li&gt; &lt;/ul&gt;</t>
  </si>
  <si>
    <t>O que acontece se você implementar uma &lt;strong&gt;Regra de Negócio&lt;/strong&gt; (ex: cálculo de imposto) diretamente dentro de um evento de botão na interface gráfica (View) ou no Controller?</t>
  </si>
  <si>
    <t>Você cria &lt;strong&gt;Acoplamento&lt;/strong&gt; e impede o reuso.
Se no futuro o sistema precisar calcular esse imposto via uma API ou uma rotina automática (batch), o código estará "preso" na tela e terá que ser duplicado, gerando inconsistência.</t>
  </si>
  <si>
    <t>Em uma estrutura de camadas, o que deve conter no pacote &lt;strong&gt;domain&lt;/strong&gt; (ou &lt;strong&gt;model&lt;/strong&gt;)?</t>
  </si>
  <si>
    <t>Deve conter as &lt;strong&gt;Entidades&lt;/strong&gt; do sistema.
São classes POJO (Plain Old Java Objects) que representam os objetos do mundo real (ex: Cliente, Pedido), contendo apenas atributos, construtores e métodos de acesso (Getters/Setters).</t>
  </si>
  <si>
    <t>Em uma estrutura de camadas, qual é a responsabilidade exclusiva do pacote &lt;strong&gt;service&lt;/strong&gt;?</t>
  </si>
  <si>
    <t>Hospedar a &lt;strong&gt;Regra de Negócio&lt;/strong&gt;.
As classes deste pacote (ex: &lt;code&gt;ClienteService&lt;/code&gt;) contêm a lógica "pesada" (cálculos, validações, fluxos) e orquestram as operações. Elas recebem dados do Controller/View, processam e devolvem o resultado.</t>
  </si>
  <si>
    <t>Qual a diferença entre um pacote de &lt;strong&gt;View&lt;/strong&gt; e um pacote de &lt;strong&gt;Test&lt;/strong&gt;?</t>
  </si>
  <si>
    <t>&lt;ul&gt; &lt;li&gt;&lt;strong&gt;View:&lt;/strong&gt; Interface para o &lt;strong&gt;Usuário Final&lt;/strong&gt; interagir com o sistema (Telas, Console, API JSON).&lt;/li&gt; &lt;li&gt;&lt;strong&gt;Test:&lt;/strong&gt; Código para o &lt;strong&gt;Desenvolvedor&lt;/strong&gt; verificar a qualidade (Testes Unitários/JUnit). O usuário final nunca vê esse pacote.&lt;/li&gt; &lt;/ul&gt;</t>
  </si>
  <si>
    <t>No polimorfismo (&lt;code&gt;SuperClasse ref = new SubClasse();&lt;/code&gt;), quem define &lt;strong&gt;quais métodos&lt;/strong&gt; estão visíveis para serem chamados no código?</t>
  </si>
  <si>
    <t>A &lt;strong&gt;Variável de Referência&lt;/strong&gt; (o tipo da esquerda).
O compilador olha apenas para o "Crachá" (a classe pai/interface). Se o método não existir na classe pai, você não consegue chamá-lo, mesmo que ele exista na classe filha (objeto).</t>
  </si>
  <si>
    <t>No polimorfismo (&lt;code&gt;SuperClasse ref = new SubClasse();&lt;/code&gt;), quem define &lt;strong&gt;qual implementação&lt;/strong&gt; do método será executada (o comportamento)?</t>
  </si>
  <si>
    <t>O &lt;strong&gt;Objeto em Memória&lt;/strong&gt; (o tipo da direita).
Em tempo de execução (Runtime), a JVM ignora a referência e busca o método sobrescrito dentro do objeto real que foi instanciado.</t>
  </si>
  <si>
    <t>Dado o código:
&lt;pre&gt;Produto p = new Computador();&lt;/pre&gt;
É possível chamar um método específico que existe &lt;strong&gt;apenas&lt;/strong&gt; na classe &lt;code&gt;Computador&lt;/code&gt; usando a variável &lt;code&gt;p&lt;/code&gt;?</t>
  </si>
  <si>
    <t>&lt;strong&gt;Não diretamente.&lt;/strong&gt;
Como a referência &lt;code&gt;p&lt;/code&gt; é do tipo &lt;code&gt;Produto&lt;/code&gt;, o compilador só enxerga os métodos de Produto.
(Nota: Para acessar o método específico, seria necessário fazer um &lt;em&gt;Cast&lt;/em&gt; explícito: &lt;code&gt;((Computador) p).metodoEspecifico();&lt;/code&gt;).</t>
  </si>
  <si>
    <t>Quando temos uma variável de referência genérica (ex: &lt;code&gt;Funcionario f&lt;/code&gt;) apontando para um objeto específico (ex: &lt;code&gt;Desenvolvedor&lt;/code&gt;), como fazemos para acessar os métodos &lt;strong&gt;específicos&lt;/strong&gt; desse objeto?</t>
  </si>
  <si>
    <t>Utilizando o &lt;strong&gt;Cast Explícito&lt;/strong&gt; (Type Casting).
Devemos "forçar" a conversão da referência para o tipo específico.
Exemplo: &lt;code&gt;((Desenvolvedor) f).metodoEspecifico();&lt;/code&gt;</t>
  </si>
  <si>
    <t>Ao fazer um &lt;strong&gt;Cast&lt;/strong&gt; de um objeto (ex: converter referência &lt;code&gt;Funcionario&lt;/code&gt; para &lt;code&gt;Desenvolvedor&lt;/code&gt;), eu estou criando um &lt;strong&gt;novo objeto&lt;/strong&gt; na memória?</t>
  </si>
  <si>
    <t>&lt;strong&gt;Não.&lt;/strong&gt;
O objeto na memória Heap continua sendo &lt;strong&gt;exatamente o mesmo&lt;/strong&gt;. Você apenas criou uma nova variável de referência (um novo "apelido" ou "crachá") que aponta para o mesmo endereço de memória, permitindo acessar métodos que antes estavam ocultos.</t>
  </si>
  <si>
    <t>O que acontece em tempo de execução se você tentar fazer um &lt;strong&gt;Cast&lt;/strong&gt; de um objeto para um tipo que ele &lt;strong&gt;não é&lt;/strong&gt;?
Ex: Tentar converter um objeto &lt;code&gt;Gerente&lt;/code&gt; para a referência &lt;code&gt;Desenvolvedor&lt;/code&gt;.</t>
  </si>
  <si>
    <t>Ocorre uma Exceção: &lt;strong&gt;ClassCastException&lt;/strong&gt;.
Para evitar isso, deve-se sempre testar o tipo do objeto antes usando o operador &lt;code&gt;instanceof&lt;/code&gt;.</t>
  </si>
  <si>
    <t>Como inserir o caractere de &lt;strong&gt;aspas duplas&lt;/strong&gt; (&lt;code&gt;"&lt;/code&gt;) dentro do valor de uma String em Java sem que o compilador interprete como o fim do texto?
Ex: Quero representar a String: &lt;code&gt;Samsung 50"&lt;/code&gt;</t>
  </si>
  <si>
    <t>Utilizando a &lt;strong&gt;barra invertida&lt;/strong&gt; (&lt;code&gt;&lt;/code&gt;) antes das aspas.
Sintaxe: &lt;code&gt;"&lt;/code&gt;
Isso é uma &lt;strong&gt;Sequência de Escape&lt;/strong&gt;. Ela avisa ao compilador: "Considere o próximo caractere como parte do texto, e não como parte da sintaxe do código".
Ex: &lt;code&gt;String nome = "Samsung 50"";&lt;/code&gt;</t>
  </si>
  <si>
    <t>Qual é a diferença técnica entre &lt;strong&gt;Upcasting&lt;/strong&gt; e &lt;strong&gt;Downcasting&lt;/strong&gt; em Java?</t>
  </si>
  <si>
    <t>&lt;ul&gt; &lt;li&gt;&lt;strong&gt;Upcasting:&lt;/strong&gt; Conversão de Subclasse para Superclasse. É &lt;strong&gt;implícita&lt;/strong&gt; e sempre segura (automática).&lt;/li&gt; &lt;li&gt;&lt;strong&gt;Downcasting:&lt;/strong&gt; Conversão de Superclasse para Subclasse. É &lt;strong&gt;explícita&lt;/strong&gt; (exige cast manual (Tipo)) e pode gerar erros em tempo de execução se o objeto não for compatível.&lt;/li&gt; &lt;/ul&gt;</t>
  </si>
  <si>
    <t>O que é e para que serve o operador &lt;code&gt;instanceof&lt;/code&gt;?</t>
  </si>
  <si>
    <t>É um operador binário usado para verificar, em &lt;strong&gt;tempo de execução&lt;/strong&gt;, se um objeto é de um determinado tipo (classe ou interface).
Retorna &lt;code&gt;true&lt;/code&gt; ou &lt;code&gt;false&lt;/code&gt;. É essencial para garantir a segurança antes de realizar um &lt;strong&gt;Downcasting&lt;/strong&gt;.</t>
  </si>
  <si>
    <t>Qual exceção é lançada (em Runtime) se você tentar fazer um &lt;strong&gt;Cast Explícito&lt;/strong&gt; de um objeto para um tipo incompatível (ex: converter um objeto &lt;code&gt;Gerente&lt;/code&gt; para &lt;code&gt;Desenvolvedor&lt;/code&gt;)?</t>
  </si>
  <si>
    <t>&lt;code&gt;ClassCastException&lt;/code&gt;.</t>
  </si>
  <si>
    <t>No Java 14+, como podemos simplificar o uso de &lt;code&gt;instanceof&lt;/code&gt; seguido de um cast (Pattern Matching)?</t>
  </si>
  <si>
    <t>Declarando a variável diretamente na condição do &lt;code&gt;if&lt;/code&gt;.
Exemplo:
&lt;pre&gt; if (obj instanceof String s) { System.out.println(s.toUpperCase()); } &lt;/pre&gt;
Isso elimina a necessidade de fazer &lt;code&gt;String s = (String) obj;&lt;/code&gt; dentro do bloco.</t>
  </si>
  <si>
    <t>Qual é o erro de compilação no código abaixo e como corrigir?
&lt;pre&gt; Object obj = "Gustavo"; // Tentativa de chamar método específico de String int tamanho = (String)obj.length(); &lt;/pre&gt;</t>
  </si>
  <si>
    <t>O erro ocorre devido à &lt;strong&gt;Precedência de Operadores&lt;/strong&gt;.
O operador de ponto (&lt;code&gt;.&lt;/code&gt;) tem prioridade sobre o Cast &lt;code&gt;(String)&lt;/code&gt;. O compilador tenta chamar &lt;code&gt;.length()&lt;/code&gt; na referência &lt;code&gt;obj&lt;/code&gt; (do tipo Object), que não possui esse método.
&lt;strong&gt;Correção:&lt;/strong&gt; Deve-se isolar o Cast com parênteses extras para que ele ocorra antes da chamada do método.
&lt;code&gt;int tamanho = &lt;strong&gt;((String)obj)&lt;/strong&gt;.length();&lt;/code&gt;</t>
  </si>
  <si>
    <t>O que significa o princípio de design &lt;strong&gt;"Programar para uma Interface e não para uma Implementação"&lt;/strong&gt;?</t>
  </si>
  <si>
    <t>Significa que, ao declarar variáveis, parâmetros ou tipos de retorno, você deve utilizar o tipo da &lt;strong&gt;Interface&lt;/strong&gt; (ou superclasse abstrata) em vez da classe concreta.
Exemplo:
Bom: &lt;code&gt;List&lt;String&gt; lista = new ArrayList&lt;&gt;();&lt;/code&gt;
Ruim: &lt;code&gt;ArrayList&lt;String&gt; lista = new ArrayList&lt;&gt;();&lt;/code&gt;</t>
  </si>
  <si>
    <t>Qual é o principal benefício arquitetural de programar orientado a &lt;strong&gt;Interface&lt;/strong&gt;?</t>
  </si>
  <si>
    <t>&lt;strong&gt;Desacoplamento&lt;/strong&gt; e &lt;strong&gt;Flexibilidade&lt;/strong&gt;.
Como o código depende apenas do "contrato" (Interface), você pode trocar a implementação concreta (ex: mudar de Banco SQL para Arquivo de Texto) sem quebrar o restante do sistema que utiliza aquele objeto.</t>
  </si>
  <si>
    <t>Dado o código:
&lt;pre&gt;Repositorio repo = new RepositorioBanco();&lt;/pre&gt;
Se mudarmos a instância para:
&lt;pre&gt;Repositorio repo = new RepositorioArquivo();&lt;/pre&gt;
O que acontece com os métodos chamados através da variável &lt;code&gt;repo&lt;/code&gt; nas linhas seguintes?</t>
  </si>
  <si>
    <t>Eles continuam funcionando normalmente (sem necessidade de refatoração), desde que a variável &lt;code&gt;repo&lt;/code&gt; tenha sido declarada usando a &lt;strong&gt;Interface&lt;/strong&gt; comum a ambas as classes.
O comportamento muda (polimorfismo), mas o código cliente permanece intacto.</t>
  </si>
  <si>
    <t>É possível criar uma instância direta de uma Interface?
Ex: &lt;code&gt;Repositorio r = new Repositorio();&lt;/code&gt; (Onde Repositorio é interface)</t>
  </si>
  <si>
    <t>&lt;strong&gt;Não.&lt;/strong&gt;
Interfaces são 100% abstratas (antes do Java 8) e não possuem construtores. Elas servem apenas como &lt;strong&gt;Tipo de Referência&lt;/strong&gt; para objetos de classes que as implementam.
O correto seria: &lt;code&gt;Repositorio r = new RepositorioBanco();&lt;/code&gt;</t>
  </si>
  <si>
    <t>Qual a principal diferença conceitual entre usar &lt;strong&gt;Herança (Classe Abstrata)&lt;/strong&gt; e &lt;strong&gt;Interface&lt;/strong&gt;?</t>
  </si>
  <si>
    <t>&lt;ul&gt; &lt;li&gt;&lt;strong&gt;Herança (extends):&lt;/strong&gt; Define uma relação de "É UM" (Identidade). O Java só permite herança simples.&lt;/li&gt; &lt;li&gt;&lt;strong&gt;Interface (implements):&lt;/strong&gt; Define uma relação de "FAZ UM" ou "TEM COMPORTAMENTO DE" (Capacidade/Contrato). Permite herança múltipla de tipos.&lt;/li&gt; &lt;/ul&gt;</t>
  </si>
  <si>
    <t>Se eu tenho um método &lt;code&gt;public void salvarDados(Armazenavel a) { ... }&lt;/code&gt;, quais tipos de objetos posso passar como argumento?</t>
  </si>
  <si>
    <t>Qualquer objeto de &lt;strong&gt;qualquer classe&lt;/strong&gt; que implemente a interface &lt;code&gt;Armazenavel&lt;/code&gt;.
Não importa se a classe é &lt;code&gt;BancoDeDados&lt;/code&gt;, &lt;code&gt;ArquivoTexto&lt;/code&gt; ou &lt;code&gt;NuvemAWS&lt;/code&gt;. Se assinou o contrato, entra no método. Isso garante flexibilidade máxima.</t>
  </si>
  <si>
    <t>Na arquitetura de memória do Java, qual a diferença principal entre &lt;strong&gt;Stack&lt;/strong&gt; e &lt;strong&gt;Heap&lt;/strong&gt; em termos do que é armazenado?</t>
  </si>
  <si>
    <t>&lt;ul&gt; &lt;li&gt;&lt;strong&gt;Stack (Pilha):&lt;/strong&gt; Armazena variáveis locais (tipos primitivos) e referências de objetos, além do fluxo de execução de métodos. É rápida e limpa automaticamente quando o método acaba.&lt;/li&gt; &lt;li&gt;&lt;strong&gt;Heap (Monte):&lt;/strong&gt; Armazena os &lt;strong&gt;Objetos&lt;/strong&gt; em si (instanciados com &lt;code&gt;new&lt;/code&gt;). É gerenciada pelo Garbage Collector.&lt;/li&gt; &lt;/ul&gt;</t>
  </si>
  <si>
    <t>Por que dizemos que objetos em Java vivem na &lt;strong&gt;Heap&lt;/strong&gt;, mas são acessados via &lt;strong&gt;Stack&lt;/strong&gt;?</t>
  </si>
  <si>
    <t>Porque a variável que criamos (ex: &lt;code&gt;Produto p&lt;/code&gt;) fica na &lt;strong&gt;Stack&lt;/strong&gt; e guarda apenas o &lt;strong&gt;endereço de memória&lt;/strong&gt; (a referência).
Esse endereço aponta para o objeto real, que foi alocado na &lt;strong&gt;Heap&lt;/strong&gt;.</t>
  </si>
  <si>
    <t>Qual é a função do &lt;strong&gt;Garbage Collector&lt;/strong&gt; (Coletor de Lixo) no Java?</t>
  </si>
  <si>
    <t>É um processo automático da JVM que monitora a memória &lt;strong&gt;Heap&lt;/strong&gt;.
Ele identifica objetos que não possuem mais nenhuma referência apontando para eles (inalcançáveis) e os remove da memória para liberar espaço.</t>
  </si>
  <si>
    <t>Quando passamos um objeto diretamente para o &lt;code&gt;System.out.println(obj);&lt;/code&gt;, qual método desse objeto é chamado implicitamente?</t>
  </si>
  <si>
    <t>O método &lt;strong&gt;&lt;code&gt;toString()&lt;/code&gt;&lt;/strong&gt;.
Se a classe do objeto não sobrescrever esse método, será executada a implementação padrão da classe &lt;code&gt;Object&lt;/code&gt; (que imprime o HashCode de memória).</t>
  </si>
  <si>
    <t>As classes de coleção do Java (como &lt;code&gt;ArrayList&lt;/code&gt;, &lt;code&gt;LinkedList&lt;/code&gt;) imprimem o endereço de memória quando passadas para o &lt;code&gt;System.out.println&lt;/code&gt;?</t>
  </si>
  <si>
    <t>&lt;strong&gt;Não.&lt;/strong&gt;
Elas sobrescrevem o método &lt;code&gt;toString()&lt;/code&gt; (geralmente na superclasse &lt;code&gt;AbstractCollection&lt;/code&gt;) para retornar uma representação textual dos seus elementos entre colchetes.
Ex: &lt;code&gt;[Elemento1, Elemento2]&lt;/code&gt;.</t>
  </si>
  <si>
    <t>Qual é a relação técnica entre &lt;strong&gt;Java Core&lt;/strong&gt; e &lt;strong&gt;Spring Boot&lt;/strong&gt;?</t>
  </si>
  <si>
    <t>O Spring Boot é um framework construído &lt;strong&gt;EM CIMA&lt;/strong&gt; do Java Core.
Ele utiliza recursos avançados da linguagem (Reflection, Interfaces, Annotations, Polimorfismo) para automatizar configurações. Sem entender a base (Core), o framework se torna uma "caixa preta" impossível de debuggar profundamente.</t>
  </si>
  <si>
    <t>Qual conceito fundamental da Orientação a Objetos torna possível a &lt;strong&gt;Injeção de Dependência&lt;/strong&gt; do Spring Boot (uso de &lt;code&gt;@Autowired&lt;/code&gt;)?</t>
  </si>
  <si>
    <t>O conceito de &lt;strong&gt;Programar voltado para Interfaces&lt;/strong&gt; (Polimorfismo).
O Spring injeta uma implementação concreta em uma variável do tipo Interface em tempo de execução, garantindo baixo acoplamento.</t>
  </si>
  <si>
    <t>Qual é a superclasse raiz de todos os erros e exceções na linguagem Java?</t>
  </si>
  <si>
    <t>&lt;code&gt;java.lang.Throwable&lt;/code&gt;</t>
  </si>
  <si>
    <t>Na hierarquia do &lt;code&gt;Throwable&lt;/code&gt;, qual a principal diferença conceitual entre &lt;strong&gt;Error&lt;/strong&gt; e &lt;strong&gt;Exception&lt;/strong&gt;?</t>
  </si>
  <si>
    <t>&lt;ul&gt; &lt;li&gt;&lt;strong&gt;Exception:&lt;/strong&gt; Representa falhas que o programa &lt;strong&gt;pode&lt;/strong&gt; tentar recuperar ou tratar (ex: erro de leitura de arquivo).&lt;/li&gt; &lt;li&gt;&lt;strong&gt;Error:&lt;/strong&gt; Representa falhas graves na JVM ou no ambiente (ex: falta de memória) que o programa &lt;strong&gt;não deve&lt;/strong&gt; tentar tratar.&lt;/li&gt; &lt;/ul&gt;</t>
  </si>
  <si>
    <t>O que é um &lt;code&gt;StackOverflowError&lt;/code&gt; e onde ele ocorre na memória?</t>
  </si>
  <si>
    <t>É um &lt;strong&gt;Erro&lt;/strong&gt; que ocorre quando a pilha de execução (&lt;strong&gt;Stack&lt;/strong&gt;) fica cheia.
Geralmente é causado por &lt;strong&gt;recursividade infinita&lt;/strong&gt; (um método chamando a si mesmo sem critério de parada).</t>
  </si>
  <si>
    <t>Devemos usar blocos &lt;code&gt;try-catch&lt;/code&gt; para capturar e tratar lançamentos do tipo &lt;code&gt;java.lang.Error&lt;/code&gt;?</t>
  </si>
  <si>
    <t>&lt;strong&gt;Não.&lt;/strong&gt;
Erros indicam problemas sérios na JVM (como &lt;code&gt;OutOfMemoryError&lt;/code&gt;). A aplicação dificilmente conseguirá se recuperar, então o correto é permitir que ela seja encerrada.</t>
  </si>
  <si>
    <t>Qual é a superclasse &lt;strong&gt;raiz&lt;/strong&gt; de toda a hierarquia de erros e exceções no Java (a "mãe" de todos)?</t>
  </si>
  <si>
    <t>&lt;code&gt;java.lang.Throwable&lt;/code&gt;
Tanto &lt;code&gt;Error&lt;/code&gt; quanto &lt;code&gt;Exception&lt;/code&gt; herdam diretamente dela.</t>
  </si>
  <si>
    <t>Qual a diferença fundamental entre as subclasses &lt;code&gt;java.lang.Error&lt;/code&gt; e &lt;code&gt;java.lang.Exception&lt;/code&gt;?</t>
  </si>
  <si>
    <t>&lt;ul&gt; &lt;li&gt;&lt;strong&gt;Error:&lt;/strong&gt; Problemas graves na infraestrutura da JVM (ex: falta de memória, estouro de pilha). A aplicação &lt;strong&gt;não deve&lt;/strong&gt; tentar tratar.&lt;/li&gt; &lt;li&gt;&lt;strong&gt;Exception:&lt;/strong&gt; Condições que a aplicação quer capturar e tratar (ex: arquivo não encontrado, erro de conexão, lógica inválida).&lt;/li&gt; &lt;/ul&gt;</t>
  </si>
  <si>
    <t>O que acontece com o fluxo de execução do código quando uma exceção é &lt;strong&gt;lançada&lt;/strong&gt; (throw)?</t>
  </si>
  <si>
    <t>O fluxo normal é &lt;strong&gt;imediatamente interrompido&lt;/strong&gt;.
O controle é passado para o mecanismo de tratamento de exceções da JVM, que procura pelo bloco &lt;code&gt;catch&lt;/code&gt; mais próximo na pilha de chamadas (Stack).</t>
  </si>
  <si>
    <t>Na imagem da hierarquia, as classes em &lt;strong&gt;Vermelho&lt;/strong&gt; (Error e RuntimeException) representam qual tipo de exceção?
&lt;img src="paste-your-image-here.png"&gt;</t>
  </si>
  <si>
    <t>Representam as &lt;strong&gt;Unchecked Exceptions&lt;/strong&gt; (Não verificadas).
São aquelas que o compilador &lt;strong&gt;NÃO obriga&lt;/strong&gt; você a tratar (não precisa de &lt;code&gt;try-catch&lt;/code&gt; nem &lt;code&gt;throws&lt;/code&gt;). Geralmente indicam falhas irrecuperáveis (Error) ou erros de lógica do programador (RuntimeException).</t>
  </si>
  <si>
    <t>O que é &lt;strong&gt;Refatoração&lt;/strong&gt; (Refactoring)?</t>
  </si>
  <si>
    <t>É o processo de alterar a &lt;strong&gt;estrutura interna&lt;/strong&gt; de um software para torná-lo mais fácil de entender e mais barato de manter, &lt;strong&gt;sem alterar seu comportamento observável&lt;/strong&gt; (funcionalidade externa).
Basicamente, é limpar o código mantendo o resultado final idêntico.</t>
  </si>
  <si>
    <t>Qual é a principal diferença de comportamento do &lt;strong&gt;Compilador&lt;/strong&gt; entre &lt;code&gt;Checked Exceptions&lt;/code&gt; e &lt;code&gt;Unchecked Exceptions&lt;/code&gt;?</t>
  </si>
  <si>
    <t>&lt;ul&gt; &lt;li&gt;&lt;strong&gt;Checked:&lt;/strong&gt; O compilador &lt;strong&gt;OBRIGA&lt;/strong&gt; o tratamento (try-catch) ou a declaração (throws). Se não fizer, o código não compila.&lt;/li&gt; &lt;li&gt;&lt;strong&gt;Unchecked:&lt;/strong&gt; O compilador ignora. O tratamento é opcional (embora não recomendado, pois geralmente indica bug de lógica).&lt;/li&gt; &lt;/ul&gt;</t>
  </si>
  <si>
    <t>Na hierarquia Java, quais classes são consideradas &lt;strong&gt;Unchecked Exceptions&lt;/strong&gt;?</t>
  </si>
  <si>
    <t>A classe &lt;code&gt;RuntimeException&lt;/code&gt; e todas as suas subclasses (filhas).
(Lembrando que &lt;code&gt;Error&lt;/code&gt; também é unchecked, mas não é Exception).</t>
  </si>
  <si>
    <t>O que significa a regra &lt;strong&gt;"Handle or Declare"&lt;/strong&gt; para Checked Exceptions?</t>
  </si>
  <si>
    <t>Significa que, ao chamar um método que lança uma exceção checada, você tem apenas duas opções:
&lt;ol&gt; &lt;li&gt;&lt;strong&gt;Handle:&lt;/strong&gt; Envolver a chamada em um bloco &lt;code&gt;try-catch&lt;/code&gt; para resolver o problema ali.&lt;/li&gt; &lt;li&gt;&lt;strong&gt;Declare:&lt;/strong&gt; Adicionar &lt;code&gt;throws NomeDaExcecao&lt;/code&gt; na assinatura do seu método, repassando a "bomba" para quem te chamou.&lt;/li&gt; &lt;/ol&gt;</t>
  </si>
  <si>
    <t>&lt;code&gt;NullPointerException&lt;/code&gt; e &lt;code&gt;IndexOutOfBoundsException&lt;/code&gt; são exemplos de qual tipo de exceção?</t>
  </si>
  <si>
    <t>&lt;strong&gt;Unchecked Exceptions&lt;/strong&gt; (ou RuntimeExceptions).
Elas indicam falhas na lógica do programador e poderiam ser evitadas com verificações prévias (como um &lt;code&gt;if&lt;/code&gt;), por isso o compilador não obriga o tratamento.</t>
  </si>
  <si>
    <t>O que significa o termo &lt;strong&gt;Tempo de Execução&lt;/strong&gt; (Runtime)?</t>
  </si>
  <si>
    <t>É o período em que o programa está &lt;strong&gt;rodando&lt;/strong&gt; (em execução) na JVM, após já ter sido compilado.
Erros que ocorrem nesta fase (como &lt;code&gt;RuntimeException&lt;/code&gt;) derrubam a aplicação se não forem tratados, pois não foram detectados previamente pelo compilador (tempo de compilação).</t>
  </si>
  <si>
    <t>O que é um &lt;strong&gt;Método Concreto&lt;/strong&gt;?</t>
  </si>
  <si>
    <t>É um método que possui &lt;strong&gt;implementação completa&lt;/strong&gt;, ou seja, tem um corpo de código definido entre chaves &lt;code&gt;{ ... }&lt;/code&gt;.
Ao contrário dos métodos abstratos (que definem apenas a "ideia" ou assinatura), o método concreto define o comportamento real e o código que será executado quando ele for chamado.</t>
  </si>
  <si>
    <t>Tecnicamente, um &lt;code&gt;java.lang.Error&lt;/code&gt; é considerado uma &lt;strong&gt;Exception&lt;/strong&gt;?</t>
  </si>
  <si>
    <t>&lt;strong&gt;Não.&lt;/strong&gt;
Embora ambos sejam filhos de &lt;code&gt;Throwable&lt;/code&gt;, eles são "irmãos" na hierarquia.
O termo "Exceção" refere-se estritamente à classe &lt;code&gt;java.lang.Exception&lt;/code&gt; e suas filhas. &lt;code&gt;Error&lt;/code&gt; é uma categoria separada para falhas críticas da JVM.</t>
  </si>
  <si>
    <t>O que significa dizer que uma &lt;code&gt;RuntimeException&lt;/code&gt; é &lt;strong&gt;Unchecked&lt;/strong&gt; (não checada)?</t>
  </si>
  <si>
    <t>Significa que o compilador &lt;strong&gt;não exige&lt;/strong&gt; validação ou tratamento obrigatório (try-catch) para o código compilar.
Geralmente, essas exceções indicam um &lt;strong&gt;erro de desenvolvimento&lt;/strong&gt; (lógica do programador) e não um evento externo imprevisível.</t>
  </si>
  <si>
    <t>Se &lt;code&gt;RuntimeException&lt;/code&gt; é filha de &lt;code&gt;Exception&lt;/code&gt;, ela também é uma &lt;code&gt;Throwable&lt;/code&gt;?</t>
  </si>
  <si>
    <t>&lt;strong&gt;Sim.&lt;/strong&gt;
Toda exceção é um &lt;code&gt;Throwable&lt;/code&gt; (lançável), pois herda dessa superclasse raiz. Porém, nem todo &lt;code&gt;Throwable&lt;/code&gt; é uma exceção (pois pode ser um &lt;code&gt;Error&lt;/code&gt;).</t>
  </si>
  <si>
    <t>Qual é o principal objetivo arquitetural ao lançar manualmente uma &lt;code&gt;RuntimeException&lt;/code&gt; (como &lt;code&gt;IllegalArgumentException&lt;/code&gt;)?</t>
  </si>
  <si>
    <t>Implementar &lt;strong&gt;Programação Defensiva&lt;/strong&gt; e &lt;strong&gt;Fail Fast&lt;/strong&gt;.
O objetivo é interromper a execução imediatamente quando o método é usado de forma incorreta (ex: passar argumentos inválidos), sinalizando um &lt;strong&gt;erro de lógica&lt;/strong&gt; que quem chamou deve corrigir no código.</t>
  </si>
  <si>
    <t>Por que, em muitos frameworks modernos (como Spring), prefere-se lançar &lt;strong&gt;Unchecked Exceptions&lt;/strong&gt; (Runtime) mesmo para erros de negócio?</t>
  </si>
  <si>
    <t>Para manter o &lt;strong&gt;código limpo&lt;/strong&gt; (reduzir boilerplate).
Como a maioria dos erros de negócio (ex: "cliente não encontrado") não são recuperáveis automaticamente pelo código que chamou, não faz sentido obrigar o uso de &lt;code&gt;try-catch&lt;/code&gt; ou &lt;code&gt;throws&lt;/code&gt; em toda a cadeia de chamadas.</t>
  </si>
  <si>
    <t>Ao criar um método &lt;code&gt;setPorcentagem(double valor)&lt;/code&gt;, por que lançaríamos uma &lt;code&gt;IllegalArgumentException&lt;/code&gt; se o valor for menor que 0?</t>
  </si>
  <si>
    <t>Para proteger a integridade do objeto (&lt;strong&gt;Encapsulamento&lt;/strong&gt;).
Isso impede que o objeto entre em um estado inválido e avisa o desenvolvedor client que ele violou o contrato do método ao passar um dado incorreto.</t>
  </si>
  <si>
    <t>É obrigatório tratar (usando &lt;code&gt;try-catch&lt;/code&gt;) uma &lt;strong&gt;Checked Exception&lt;/strong&gt;?</t>
  </si>
  <si>
    <t>&lt;strong&gt;Não necessariamente tratar&lt;/strong&gt;, mas você é &lt;strong&gt;obrigado&lt;/strong&gt; a gerenciar o risco para o código compilar.
Pela regra do &lt;strong&gt;Handle or Declare&lt;/strong&gt;, você deve escolher uma das opções:
&lt;ul&gt; &lt;li&gt;&lt;strong&gt;Handle (Tratar):&lt;/strong&gt; Capturar o erro e resolvê-lo com um bloco &lt;code&gt;try-catch&lt;/code&gt;.&lt;/li&gt; &lt;li&gt;&lt;strong&gt;Declare (Declarar):&lt;/strong&gt; Avisar na assinatura do método (com &lt;code&gt;throws&lt;/code&gt;) que a exceção pode ocorrer, repassando o problema para quem chamou.&lt;/li&gt; &lt;/ul&gt;</t>
  </si>
  <si>
    <t>A linha de código &lt;code&gt;File file = new File("teste.txt");&lt;/code&gt; cria imediatamente um arquivo físico no disco rígido?</t>
  </si>
  <si>
    <t>&lt;strong&gt;Não.&lt;/strong&gt;
Ela cria apenas um &lt;strong&gt;objeto Java em memória&lt;/strong&gt; que representa aquele caminho. O arquivo físico só é criado ao chamar métodos como &lt;code&gt;file.createNewFile()&lt;/code&gt;.</t>
  </si>
  <si>
    <t>O método &lt;code&gt;createNewFile()&lt;/code&gt; da classe &lt;code&gt;File&lt;/code&gt; lança qual tipo de exceção?</t>
  </si>
  <si>
    <t>Uma &lt;strong&gt;Checked Exception&lt;/strong&gt; (&lt;code&gt;java.io.IOException&lt;/code&gt;).
Isso obriga o programador a tratar o erro (try-catch) ou declará-lo (throws), pois falhas de IO (disco cheio, sem permissão) são consideradas previsíveis e fora do controle do dev.</t>
  </si>
  <si>
    <t>Qual a diferença entre passar um caminho iniciando com barra (&lt;code&gt;/pasta&lt;/code&gt;) ou sem barra (&lt;code&gt;pasta&lt;/code&gt;) na classe &lt;code&gt;File&lt;/code&gt;?</t>
  </si>
  <si>
    <t>&lt;ul&gt; &lt;li&gt;&lt;strong&gt;Com barra (/):&lt;/strong&gt; Caminho &lt;strong&gt;Absoluto&lt;/strong&gt;. Começa na raiz do drive (Ex: C:).&lt;/li&gt; &lt;li&gt;&lt;strong&gt;Sem barra:&lt;/strong&gt; Caminho &lt;strong&gt;Relativo&lt;/strong&gt;. Começa na pasta onde o projeto/JVM está rodando.&lt;/li&gt; &lt;/ul&gt;</t>
  </si>
  <si>
    <t>O que acontece em tempo de compilação se você tentar lançar ou chamar um método que lança uma &lt;strong&gt;Checked Exception&lt;/strong&gt; sem tratá-la?</t>
  </si>
  <si>
    <t>Ocorre um &lt;strong&gt;erro de compilação&lt;/strong&gt;.
Diferente das Unchecked, o compilador do Java bloqueia a geração do .class até que você implemente o tratamento (try-catch) ou a declaração (throws) do erro.</t>
  </si>
  <si>
    <t>Qual é a classe "mãe" de todas as &lt;strong&gt;Checked Exceptions&lt;/strong&gt;?</t>
  </si>
  <si>
    <t>A classe &lt;code&gt;java.lang.Exception&lt;/code&gt;.
(Obs: Com a exceção importante da subclasse &lt;code&gt;RuntimeException&lt;/code&gt; e suas filhas, que são Unchecked).</t>
  </si>
  <si>
    <t>Tecnicamente, por que &lt;code&gt;IOException&lt;/code&gt; é uma &lt;strong&gt;Checked Exception&lt;/strong&gt; e não uma RuntimeException?</t>
  </si>
  <si>
    <t>Porque ela lida com recursos externos (sistema de arquivos) onde falhas são &lt;strong&gt;previsíveis, mas inevitáveis&lt;/strong&gt; (disco cheio, falta de permissão).
O Java força o tratamento para garantir que a aplicação não quebre abruptamente por fatores fora do controle do código.</t>
  </si>
  <si>
    <t>Na hierarquia Java, por que a classe &lt;code&gt;java.lang.Exception&lt;/code&gt; é considerada &lt;strong&gt;Checked&lt;/strong&gt; se ela é mãe da &lt;code&gt;RuntimeException&lt;/code&gt;?</t>
  </si>
  <si>
    <t>Porque a regra padrão definida na classe mãe (&lt;code&gt;Exception&lt;/code&gt;) é ser &lt;strong&gt;Checked&lt;/strong&gt;.
A &lt;code&gt;RuntimeException&lt;/code&gt; é uma subclasse específica que "quebra" essa regra padrão. Se a classe mãe fosse Unchecked, todas as exceções do Java seriam Unchecked por herança, eliminando o recurso de tratamento obrigatório.</t>
  </si>
  <si>
    <t>Qual é a regra de exclusão que o compilador usa para decidir se uma exceção é &lt;strong&gt;Checked&lt;/strong&gt;?</t>
  </si>
  <si>
    <t>Toda subclasse de &lt;code&gt;Throwable&lt;/code&gt; é &lt;strong&gt;Checked&lt;/strong&gt;, &lt;strong&gt;EXCETO&lt;/strong&gt; se for subclasse de:
&lt;ul&gt; &lt;li&gt;&lt;code&gt;java.lang.Error&lt;/code&gt;&lt;/li&gt; &lt;li&gt;&lt;code&gt;java.lang.RuntimeException&lt;/code&gt;&lt;/li&gt; &lt;/ul&gt; Todo o resto (incluindo a própria &lt;code&gt;Exception&lt;/code&gt;) obriga o tratamento.</t>
  </si>
  <si>
    <t>Por que deixar um bloco &lt;code&gt;catch&lt;/code&gt; vazio (em branco) é considerado uma prática perigosa ("Swallowing Exception")?</t>
  </si>
  <si>
    <t>Porque isso &lt;strong&gt;silencia o erro&lt;/strong&gt;.
A exceção ocorre, o fluxo é interrompido, mas como o catch não faz nada, o programa continua rodando. Ninguém fica sabendo que houve um problema, tornando o &lt;strong&gt;debug quase impossível&lt;/strong&gt; (você não sabe onde nem por que o sistema falhou).</t>
  </si>
  <si>
    <t>Durante o desenvolvimento, qual é a linha de código &lt;strong&gt;mínima obrigatória&lt;/strong&gt; que deve existir dentro de um bloco &lt;code&gt;catch&lt;/code&gt;?</t>
  </si>
  <si>
    <t>&lt;code&gt;e.printStackTrace();&lt;/code&gt;
Isso imprime a "rastreio da pilha" no console, mostrando exatamente qual erro ocorreu e em qual linha. Em sistemas reais (produção), usaríamos um Logger (ex: Log4j) no lugar do print, mas nunca deixaríamos vazio.</t>
  </si>
  <si>
    <t>Por que é considerado uma má prática implementar &lt;strong&gt;Regras de Negócio&lt;/strong&gt; complexas dentro do bloco &lt;code&gt;catch&lt;/code&gt;?</t>
  </si>
  <si>
    <t>Porque viola a &lt;strong&gt;Separação de Responsabilidades&lt;/strong&gt;.
O bloco &lt;code&gt;catch&lt;/code&gt; deve ser usado estritamente para &lt;strong&gt;tratamento de erros&lt;/strong&gt; (logar, mitigar falha, relançar). Misturar lógica de negócio ali dificulta a leitura, a manutenção e pode gerar exceções aninhadas difíceis de debuggar.</t>
  </si>
  <si>
    <t>O tratamento de exceções deve ser usado para controlar o fluxo lógico normal do programa (ex: usar &lt;code&gt;catch&lt;/code&gt; como se fosse um &lt;code&gt;else&lt;/code&gt;)?</t>
  </si>
  <si>
    <t>&lt;strong&gt;Não.&lt;/strong&gt;
Exceções são caras (lentas) para a JVM criar e devem ser usadas apenas para situações &lt;strong&gt;excepcionais&lt;/strong&gt; (erros). Usar exceções para controle de fluxo (Regra de Negócio) é ineficiente e torna o código confuso.</t>
  </si>
  <si>
    <t>Se você tentar usar &lt;code&gt;file.createNewFile()&lt;/code&gt; em um caminho onde a &lt;strong&gt;pasta (diretório pai)&lt;/strong&gt; não existe, o que acontece?
Ex: &lt;code&gt;new File("pastaInexistente/arquivo.txt").createNewFile()&lt;/code&gt;</t>
  </si>
  <si>
    <t>O Java lança uma &lt;strong&gt;IOException&lt;/strong&gt;.
O método &lt;code&gt;createNewFile()&lt;/code&gt; não cria diretórios automaticamente. A estrutura de pastas já deve existir previamente. Para criar pastas via código, deve-se usar o método &lt;code&gt;file.mkdir()&lt;/code&gt; ou &lt;code&gt;file.mkdirs()&lt;/code&gt; antes.</t>
  </si>
  <si>
    <t>Por que em Strings Java (caminhos de arquivo no Windows) precisamos usar duas barras invertidas, como em &lt;code&gt;"pasta\arquivo.txt"&lt;/code&gt;?</t>
  </si>
  <si>
    <t>Porque a barra invertida &lt;code&gt;&lt;/code&gt; é um &lt;strong&gt;caractere de escape&lt;/strong&gt; reservado (usado para comandos como &lt;code&gt;\n&lt;/code&gt; ou &lt;code&gt;\t&lt;/code&gt;).
Para representar uma barra invertida &lt;strong&gt;literal&lt;/strong&gt; dentro do texto, precisamos "escapá-la" usando outra barra: &lt;code&gt;\&lt;/code&gt;.</t>
  </si>
  <si>
    <t>Qual é a alternativa para evitar o uso de duplas barras invertidas (&lt;code&gt;\&lt;/code&gt;) ao escrever caminhos de arquivo no código Java, mantendo a compatibilidade com Windows?</t>
  </si>
  <si>
    <t>Utilizar a &lt;strong&gt;barra normal&lt;/strong&gt; (&lt;code&gt;/&lt;/code&gt;).
O Java é inteligente o suficiente para traduzir &lt;code&gt;"pasta/arquivo.txt"&lt;/code&gt; para o formato correto do sistema operacional (seja Windows ou Linux/Mac) em tempo de execução.</t>
  </si>
  <si>
    <t>Qual é a diferença fundamental de responsabilidade entre &lt;code&gt;java.lang.Exception&lt;/code&gt; e &lt;code&gt;java.lang.Error&lt;/code&gt;?</t>
  </si>
  <si>
    <t>&lt;ul&gt; &lt;li&gt;&lt;strong&gt;Exception:&lt;/strong&gt; Problemas no nível da &lt;strong&gt;aplicação/código&lt;/strong&gt;. Espera-se que o programa possa tratar e se recuperar.&lt;/li&gt; &lt;li&gt;&lt;strong&gt;Error:&lt;/strong&gt; Problemas graves no nível da &lt;strong&gt;JVM (Máquina Virtual)&lt;/strong&gt;. Geralmente indicam falhas irrecuperáveis de recursos (como falta de memória).&lt;/li&gt; &lt;/ul&gt;</t>
  </si>
  <si>
    <t>Devemos utilizar blocos &lt;code&gt;try-catch&lt;/code&gt; para tratar lançamentos de &lt;code&gt;java.lang.Error&lt;/code&gt; (como &lt;code&gt;StackOverflowError&lt;/code&gt;)?</t>
  </si>
  <si>
    <t>&lt;strong&gt;Não.&lt;/strong&gt;
Erros indicam problemas sérios na JVM onde a recuperação é quase impossível ou perigosa. A solução não é tratar o erro (catch), mas sim corrigir o código que está causando o esgotamento de recursos (bug fix).</t>
  </si>
  <si>
    <t>O que tecnicamente causa um &lt;code&gt;StackOverflowError&lt;/code&gt;?</t>
  </si>
  <si>
    <t>O esgotamento da memória da &lt;strong&gt;Stack (Pilha)&lt;/strong&gt;.
Geralmente causado por &lt;strong&gt;recursividade infinita&lt;/strong&gt; (um método chamando a si mesmo sem condição de parada), preenchendo todo o espaço reservado para a pilha de execução de métodos.</t>
  </si>
  <si>
    <t>Na hierarquia do Java, qual é a superclasse (pai) comum tanto de &lt;code&gt;Exception&lt;/code&gt; quanto de &lt;code&gt;Error&lt;/code&gt;?</t>
  </si>
  <si>
    <t>&lt;code&gt;java.lang.Throwable&lt;/code&gt;.
Apenas objetos que herdam de &lt;code&gt;Throwable&lt;/code&gt; podem ser lançados pela JVM ou pela palavra-chave &lt;code&gt;throw&lt;/code&gt;.</t>
  </si>
  <si>
    <t>O que caracteriza uma &lt;code&gt;RuntimeException&lt;/code&gt; em relação ao compilador do Java (tipo de checagem)?</t>
  </si>
  <si>
    <t>Ela é uma exceção do tipo &lt;strong&gt;Unchecked&lt;/strong&gt;.
O compilador &lt;strong&gt;não obriga&lt;/strong&gt; o programador a tratar (try-catch) ou declarar (throws) esse tipo de exceção. O código compila mesmo com o risco dela acontecer.</t>
  </si>
  <si>
    <t>Qual é a causa raiz mais comum de uma &lt;code&gt;RuntimeException&lt;/code&gt;?</t>
  </si>
  <si>
    <t>Um &lt;strong&gt;erro de lógica do programador&lt;/strong&gt;.
Exemplos incluem acessar referências nulas, dividir por zero ou acessar índices inválidos. São erros que poderiam (e deveriam) ter sido evitados com validações preventivas (como &lt;code&gt;if&lt;/code&gt;) no código.</t>
  </si>
  <si>
    <t>Qual é a abordagem recomendada para lidar com &lt;code&gt;RuntimeExceptions&lt;/code&gt; conhecidas (ex: divisão por zero ou referência nula): usar &lt;code&gt;try-catch&lt;/code&gt; ou validação prévia?</t>
  </si>
  <si>
    <t>Usar &lt;strong&gt;Validação Prévia&lt;/strong&gt; (Programação Defensiva).
Como são erros de lógica previsíveis, é mais eficiente e limpo verificar a condição antes da execução (ex: &lt;code&gt;if (obj != null)&lt;/code&gt;) do que deixar o erro acontecer e capturá-lo com um bloco &lt;code&gt;try-catch&lt;/code&gt;.</t>
  </si>
  <si>
    <t>Esquecer de colocar um ponto e vírgula (&lt;code&gt;;&lt;/code&gt;) ou fechar uma chave (&lt;code&gt;}&lt;/code&gt;) gera qual tipo de Exceção no Java?</t>
  </si>
  <si>
    <t>&lt;strong&gt;Nenhuma Exceção.&lt;/strong&gt;
Isso gera um &lt;strong&gt;Erro de Compilação (Syntax Error)&lt;/strong&gt;. O código viola as regras gramaticais da linguagem e o compilador nem sequer consegue transformá-lo em um programa executável (bytecode). Exceções só ocorrem quando o programa já está rodando ou sendo verificado logicamente.</t>
  </si>
  <si>
    <t>O compilador do Java impede (não compila) um código que vai gerar um &lt;code&gt;StackOverflowError&lt;/code&gt; (recursão infinita)?</t>
  </si>
  <si>
    <t>&lt;strong&gt;Não.&lt;/strong&gt; O código compila normalmente.
O compilador analisa a sintaxe, não a lógica de execução. Ele não consegue prever se a recursão será infinita ou não em tempo de execução. O erro só explodirá quando a aplicação estiver rodando (Runtime).</t>
  </si>
  <si>
    <t>Por que o compilador Java não obriga o tratamento de &lt;code&gt;RuntimeExceptions&lt;/code&gt; (como divisão por zero)?</t>
  </si>
  <si>
    <t>Porque essas exceções dependem de &lt;strong&gt;dados dinâmicos&lt;/strong&gt; (valores de variáveis em tempo de execução) que o compilador não consegue prever estaticamente.
Além disso, elas representam falhas de lógica (bugs) que devem ser corrigidas no código, e não tratadas com &lt;code&gt;try-catch&lt;/code&gt;.</t>
  </si>
  <si>
    <t>Qual é a classe raiz de todos os erros e exceções em Java? E quais são suas duas principais subclasses diretas?</t>
  </si>
  <si>
    <t>A classe raiz é &lt;code&gt;java.lang.Throwable&lt;/code&gt;.
Suas duas subclasses principais são:
1. &lt;strong&gt;Error&lt;/strong&gt; (erros graves da JVM).
2. &lt;strong&gt;Exception&lt;/strong&gt; (erros que a aplicação pode tratar).</t>
  </si>
  <si>
    <t>Qual a diferença técnica e de conceito entre &lt;strong&gt;Checked Exceptions&lt;/strong&gt; e &lt;strong&gt;Unchecked Exceptions&lt;/strong&gt; (RuntimeException)?</t>
  </si>
  <si>
    <t>&lt;strong&gt;Checked Exceptions:&lt;/strong&gt;
- O compilador &lt;strong&gt;obriga&lt;/strong&gt; o tratamento (try-catch ou throws).
- Indicam condições externas fora do controle do dev (ex: IO, SQL).
&lt;strong&gt;Unchecked Exceptions (RuntimeException):&lt;/strong&gt;
- O compilador &lt;strong&gt;não obriga&lt;/strong&gt; o tratamento.
- Indicam falhas na lógica do programador (ex: NullPointer, IndexOutBounds).</t>
  </si>
  <si>
    <t>Em Java, o que define se uma exceção é do tipo &lt;strong&gt;Unchecked&lt;/strong&gt;?</t>
  </si>
  <si>
    <t>Ela deve ser subclasse de &lt;code&gt;java.lang.RuntimeException&lt;/code&gt;. Se herdar diretamente de &lt;code&gt;Exception&lt;/code&gt; (sem passar por RuntimeException), ela será &lt;strong&gt;Checked&lt;/strong&gt;.</t>
  </si>
  <si>
    <t>Qual é a relação de herança entre &lt;strong&gt;Exception&lt;/strong&gt; e &lt;strong&gt;Throwable&lt;/strong&gt;</t>
  </si>
  <si>
    <t>&lt;code&gt;Exception&lt;/code&gt; estende (herda de) &lt;code&gt;Throwable&lt;/code&gt;.
Isso significa que toda Exception "é um" Throwable, permitindo que seja usada com as keywords &lt;code&gt;throw&lt;/code&gt; e &lt;code&gt;catch&lt;/code&gt;.</t>
  </si>
  <si>
    <t>Title</t>
  </si>
  <si>
    <t>Channel name</t>
  </si>
  <si>
    <t>Duration</t>
  </si>
  <si>
    <t>Video url</t>
  </si>
  <si>
    <t>00 - Maratona Java Virado No Jiraya - Bem-vindo</t>
  </si>
  <si>
    <t>DevDojo</t>
  </si>
  <si>
    <t>6 Minutes, 11 Seconds</t>
  </si>
  <si>
    <t>https://www.youtube.com/watch?v=VKjFuX91G5Q</t>
  </si>
  <si>
    <t>7 Minutes, 10 Seconds</t>
  </si>
  <si>
    <t>https://www.youtube.com/watch?v=ooCqalwSpuE</t>
  </si>
  <si>
    <t>10 Minutes, 28 Seconds</t>
  </si>
  <si>
    <t>https://www.youtube.com/watch?v=JasmdiTyduI</t>
  </si>
  <si>
    <t>9 Minutes, 45 Seconds</t>
  </si>
  <si>
    <t>https://www.youtube.com/watch?v=Tsyeybeh968</t>
  </si>
  <si>
    <t>8 Minutes, 8 Seconds</t>
  </si>
  <si>
    <t>https://www.youtube.com/watch?v=xzAESAp_soQ</t>
  </si>
  <si>
    <t>05 - Executando compilação manualmente</t>
  </si>
  <si>
    <t>11 Minutes, 21 Seconds</t>
  </si>
  <si>
    <t>https://www.youtube.com/watch?v=E64JTsEyXCM</t>
  </si>
  <si>
    <t>6 Minutes, 10 Seconds</t>
  </si>
  <si>
    <t>https://www.youtube.com/watch?v=uB5Qbm-RMyU</t>
  </si>
  <si>
    <t>11 Minutes, 0 Seconds</t>
  </si>
  <si>
    <t>https://www.youtube.com/watch?v=ds3t9C2A50U</t>
  </si>
  <si>
    <t>8 Minutes, 6 Seconds</t>
  </si>
  <si>
    <t>https://www.youtube.com/watch?v=TnnS-R--WKc</t>
  </si>
  <si>
    <t>7 Minutes, 56 Seconds</t>
  </si>
  <si>
    <t>https://www.youtube.com/watch?v=2rMT0qRyiYs</t>
  </si>
  <si>
    <t>11 Minutes, 39 Seconds</t>
  </si>
  <si>
    <t>https://www.youtube.com/watch?v=RRHGYyJTTpQ</t>
  </si>
  <si>
    <t>12 Minutes, 48 Seconds</t>
  </si>
  <si>
    <t>https://www.youtube.com/watch?v=veDgI_zZ7uk</t>
  </si>
  <si>
    <t>7 Minutes, 42 Seconds</t>
  </si>
  <si>
    <t>https://www.youtube.com/watch?v=74hd4o7V328</t>
  </si>
  <si>
    <t>https://www.youtube.com/watch?v=13VfcFXwsjw</t>
  </si>
  <si>
    <t>14 - Tipos primitivos pt 05 - Exercício</t>
  </si>
  <si>
    <t>10 Minutes, 21 Seconds</t>
  </si>
  <si>
    <t>https://www.youtube.com/watch?v=Q0REhCVBvAg</t>
  </si>
  <si>
    <t>7 Minutes, 41 Seconds</t>
  </si>
  <si>
    <t>https://www.youtube.com/watch?v=1Fsvlted69g</t>
  </si>
  <si>
    <t>8 Minutes, 49 Seconds</t>
  </si>
  <si>
    <t>https://www.youtube.com/watch?v=U390IaCtOUk</t>
  </si>
  <si>
    <t>8 Minutes, 58 Seconds</t>
  </si>
  <si>
    <t>https://www.youtube.com/watch?v=cT6sw-Pw4l0</t>
  </si>
  <si>
    <t>7 Minutes, 13 Seconds</t>
  </si>
  <si>
    <t>https://www.youtube.com/watch?v=ELcO4DN7lxw</t>
  </si>
  <si>
    <t>10 Minutes, 31 Seconds</t>
  </si>
  <si>
    <t>https://www.youtube.com/watch?v=EFrq1WxsL1k</t>
  </si>
  <si>
    <t>12 Minutes, 1 Seconds</t>
  </si>
  <si>
    <t>https://www.youtube.com/watch?v=gk1_Pn8GZA4</t>
  </si>
  <si>
    <t>14 Minutes, 11 Seconds</t>
  </si>
  <si>
    <t>https://www.youtube.com/watch?v=exxeNsgcg3c</t>
  </si>
  <si>
    <t>10 Minutes, 42 Seconds</t>
  </si>
  <si>
    <t>https://www.youtube.com/watch?v=gU-qCpBC5jk</t>
  </si>
  <si>
    <t>23 - Estruturas Condicionais pt 04 - Tabela Verdade e exercício</t>
  </si>
  <si>
    <t>5 Minutes, 29 Seconds</t>
  </si>
  <si>
    <t>https://www.youtube.com/watch?v=Y3ODYE3npgo</t>
  </si>
  <si>
    <t>10 Minutes, 38 Seconds</t>
  </si>
  <si>
    <t>https://www.youtube.com/watch?v=W-ng6Dqa-E4</t>
  </si>
  <si>
    <t>11 Minutes, 9 Seconds</t>
  </si>
  <si>
    <t>https://www.youtube.com/watch?v=AYMtqJSrQTU</t>
  </si>
  <si>
    <t>5 Minutes, 10 Seconds</t>
  </si>
  <si>
    <t>https://www.youtube.com/watch?v=GDAgMb9amow</t>
  </si>
  <si>
    <t>12 Minutes, 59 Seconds</t>
  </si>
  <si>
    <t>https://www.youtube.com/watch?v=hEl67ZAU_Hg</t>
  </si>
  <si>
    <t>4 Minutes, 42 Seconds</t>
  </si>
  <si>
    <t>https://www.youtube.com/watch?v=nvFAe05Ok3g</t>
  </si>
  <si>
    <t>6 Minutes, 4 Seconds</t>
  </si>
  <si>
    <t>https://www.youtube.com/watch?v=bcv-cgpw7Ak</t>
  </si>
  <si>
    <t>7 Minutes, 9 Seconds</t>
  </si>
  <si>
    <t>https://www.youtube.com/watch?v=RaEO2YsqFII</t>
  </si>
  <si>
    <t>6 Minutes, 16 Seconds</t>
  </si>
  <si>
    <t>https://www.youtube.com/watch?v=f65R-lQ4NpY</t>
  </si>
  <si>
    <t>11 Minutes, 13 Seconds</t>
  </si>
  <si>
    <t>https://www.youtube.com/watch?v=fvw4bmihZHA</t>
  </si>
  <si>
    <t>4 Minutes, 37 Seconds</t>
  </si>
  <si>
    <t>https://www.youtube.com/watch?v=S8Eaq6uxnd8</t>
  </si>
  <si>
    <t>8 Minutes, 27 Seconds</t>
  </si>
  <si>
    <t>https://www.youtube.com/watch?v=Vsn-CXzzpUc</t>
  </si>
  <si>
    <t>9 Minutes, 19 Seconds</t>
  </si>
  <si>
    <t>https://www.youtube.com/watch?v=cl47iLWalUw</t>
  </si>
  <si>
    <t>13 Minutes, 31 Seconds</t>
  </si>
  <si>
    <t>https://www.youtube.com/watch?v=EalQ6X_RtJk</t>
  </si>
  <si>
    <t>5 Minutes, 33 Seconds</t>
  </si>
  <si>
    <t>https://www.youtube.com/watch?v=TGq3754CsN4</t>
  </si>
  <si>
    <t>10 Minutes, 43 Seconds</t>
  </si>
  <si>
    <t>https://www.youtube.com/watch?v=vp8bQZomKLo</t>
  </si>
  <si>
    <t>19 Minutes, 14 Seconds</t>
  </si>
  <si>
    <t>https://www.youtube.com/watch?v=EyuPFLuvD7Q</t>
  </si>
  <si>
    <t>8 Minutes, 50 Seconds</t>
  </si>
  <si>
    <t>https://www.youtube.com/watch?v=uB7KvSz6WiA</t>
  </si>
  <si>
    <t>8 Minutes, 51 Seconds</t>
  </si>
  <si>
    <t>https://www.youtube.com/watch?v=dJLYPP1ExYY</t>
  </si>
  <si>
    <t>8 Minutes, 16 Seconds</t>
  </si>
  <si>
    <t>https://www.youtube.com/watch?v=JbL4SAFORco</t>
  </si>
  <si>
    <t>5 Minutes, 6 Seconds</t>
  </si>
  <si>
    <t>https://www.youtube.com/watch?v=g_SGuMYHgI0</t>
  </si>
  <si>
    <t>9 Minutes, 5 Seconds</t>
  </si>
  <si>
    <t>https://www.youtube.com/watch?v=ZM0AJhKjLYc</t>
  </si>
  <si>
    <t>https://www.youtube.com/watch?v=op6inGTMBiw</t>
  </si>
  <si>
    <t>https://www.youtube.com/watch?v=FCnTsy2EzSw</t>
  </si>
  <si>
    <t>8 Minutes, 30 Seconds</t>
  </si>
  <si>
    <t>https://www.youtube.com/watch?v=d0BO5mBBFK8</t>
  </si>
  <si>
    <t>10 Minutes, 39 Seconds</t>
  </si>
  <si>
    <t>https://www.youtube.com/watch?v=-izqpkaXKx0</t>
  </si>
  <si>
    <t>14 Minutes, 34 Seconds</t>
  </si>
  <si>
    <t>https://www.youtube.com/watch?v=C-tmxo4FcKs</t>
  </si>
  <si>
    <t>7 Minutes, 12 Seconds</t>
  </si>
  <si>
    <t>https://www.youtube.com/watch?v=OMuzOoHAEpg</t>
  </si>
  <si>
    <t>8 Minutes, 21 Seconds</t>
  </si>
  <si>
    <t>https://www.youtube.com/watch?v=0fVZlarZ-Lg</t>
  </si>
  <si>
    <t>https://www.youtube.com/watch?v=T0E4Ewwz1IY</t>
  </si>
  <si>
    <t>17 Minutes, 37 Seconds</t>
  </si>
  <si>
    <t>https://www.youtube.com/watch?v=F2Y867f1J8U</t>
  </si>
  <si>
    <t>17 Minutes, 1 Seconds</t>
  </si>
  <si>
    <t>https://www.youtube.com/watch?v=QDzjgS0r39c</t>
  </si>
  <si>
    <t>5 Minutes, 49 Seconds</t>
  </si>
  <si>
    <t>https://www.youtube.com/watch?v=hJNlMh9ktQ4</t>
  </si>
  <si>
    <t>6 Minutes, 58 Seconds</t>
  </si>
  <si>
    <t>https://www.youtube.com/watch?v=kuvg8JixRp4</t>
  </si>
  <si>
    <t>16 Minutes, 36 Seconds</t>
  </si>
  <si>
    <t>https://www.youtube.com/watch?v=UNPh61FYFrA</t>
  </si>
  <si>
    <t>10 Minutes, 58 Seconds</t>
  </si>
  <si>
    <t>https://www.youtube.com/watch?v=zErSZzgYY_g</t>
  </si>
  <si>
    <t>8 Minutes, 35 Seconds</t>
  </si>
  <si>
    <t>https://www.youtube.com/watch?v=rW11EAkxFnc</t>
  </si>
  <si>
    <t>11 Minutes, 32 Seconds</t>
  </si>
  <si>
    <t>https://www.youtube.com/watch?v=HGB02nLvgKU</t>
  </si>
  <si>
    <t>14 Minutes, 55 Seconds</t>
  </si>
  <si>
    <t>https://www.youtube.com/watch?v=WBBbsEdzzmA</t>
  </si>
  <si>
    <t>9 Minutes, 16 Seconds</t>
  </si>
  <si>
    <t>https://www.youtube.com/watch?v=jowlUssbJmk</t>
  </si>
  <si>
    <t>63 - Orientação Objetos - Bloco de inicialização estático</t>
  </si>
  <si>
    <t>8 Minutes, 39 Seconds</t>
  </si>
  <si>
    <t>https://www.youtube.com/watch?v=4YE1ewRK-rk</t>
  </si>
  <si>
    <t>64 - Orientação Objetos - Associação pt 01 - Arrays com Objetos</t>
  </si>
  <si>
    <t>7 Minutes, 53 Seconds</t>
  </si>
  <si>
    <t>https://www.youtube.com/watch?v=HOjV9M6pRQQ</t>
  </si>
  <si>
    <t>7 Minutes, 51 Seconds</t>
  </si>
  <si>
    <t>https://www.youtube.com/watch?v=LFlZcO9qAh8</t>
  </si>
  <si>
    <t>7 Minutes, 25 Seconds</t>
  </si>
  <si>
    <t>https://www.youtube.com/watch?v=idIGsMoxfO0</t>
  </si>
  <si>
    <t>67 - Orientação Objetos - Associação pt 04 - Associação bidirecional</t>
  </si>
  <si>
    <t>10 Minutes, 46 Seconds</t>
  </si>
  <si>
    <t>https://www.youtube.com/watch?v=-RtaqvKlH7w</t>
  </si>
  <si>
    <t>8 Minutes, 26 Seconds</t>
  </si>
  <si>
    <t>https://www.youtube.com/watch?v=9IX94bsa3io</t>
  </si>
  <si>
    <t>69 - Orientação Objetos - Exercício leitura de dados do teclado</t>
  </si>
  <si>
    <t>4 Minutes, 26 Seconds</t>
  </si>
  <si>
    <t>https://www.youtube.com/watch?v=pO1rQgpJlkg</t>
  </si>
  <si>
    <t>70 - Orientação Objetos - Associação pt 05 - Exercício Associação</t>
  </si>
  <si>
    <t>https://www.youtube.com/watch?v=FYANhUfWTyI</t>
  </si>
  <si>
    <t>14 Minutes, 47 Seconds</t>
  </si>
  <si>
    <t>https://www.youtube.com/watch?v=fOlsHNo1b0k</t>
  </si>
  <si>
    <t>8 Minutes, 2 Seconds</t>
  </si>
  <si>
    <t>https://www.youtube.com/watch?v=mgSz5XSH4dM</t>
  </si>
  <si>
    <t>6 Minutes, 12 Seconds</t>
  </si>
  <si>
    <t>https://www.youtube.com/watch?v=xoErKNbeG0w</t>
  </si>
  <si>
    <t>11 Minutes, 57 Seconds</t>
  </si>
  <si>
    <t>https://www.youtube.com/watch?v=64GcJDKN4mI</t>
  </si>
  <si>
    <t>9 Minutes, 33 Seconds</t>
  </si>
  <si>
    <t>https://www.youtube.com/watch?v=raAHfRdld0Y</t>
  </si>
  <si>
    <t>7 Minutes, 52 Seconds</t>
  </si>
  <si>
    <t>https://www.youtube.com/watch?v=62qcGF6IVfc</t>
  </si>
  <si>
    <t>8 Minutes, 57 Seconds</t>
  </si>
  <si>
    <t>https://www.youtube.com/watch?v=EQhYKOBCozE</t>
  </si>
  <si>
    <t>6 Minutes, 37 Seconds</t>
  </si>
  <si>
    <t>https://www.youtube.com/watch?v=PqAZFtNsgn4</t>
  </si>
  <si>
    <t>5 Minutes, 50 Seconds</t>
  </si>
  <si>
    <t>https://www.youtube.com/watch?v=KWcqFc3X5Is</t>
  </si>
  <si>
    <t>80 - Orientação Objetos - Enumeração pt 01 - Introdução</t>
  </si>
  <si>
    <t>13 Minutes, 29 Seconds</t>
  </si>
  <si>
    <t>https://www.youtube.com/watch?v=3xzrprPwS2Q</t>
  </si>
  <si>
    <t>81 - Orientação Objetos - Enumeração pt 02 - Construtores e atributos</t>
  </si>
  <si>
    <t>11 Minutes, 58 Seconds</t>
  </si>
  <si>
    <t>https://www.youtube.com/watch?v=gsQ1gZYh5Wo</t>
  </si>
  <si>
    <t>82 - Orientação Objetos - Enumeração pt 03 - Sobrescrita de métodos</t>
  </si>
  <si>
    <t>https://www.youtube.com/watch?v=8Vwf5vgMoDY</t>
  </si>
  <si>
    <t>5 Minutes, 43 Seconds</t>
  </si>
  <si>
    <t>https://www.youtube.com/watch?v=rbqIXJwy6-M</t>
  </si>
  <si>
    <t>9 Minutes, 0 Seconds</t>
  </si>
  <si>
    <t>https://www.youtube.com/watch?v=ws1NVBGeegs</t>
  </si>
  <si>
    <t>85 - Orientação Objetos - Classes abstratas pt 02 - Métodos abstratos</t>
  </si>
  <si>
    <t>8 Minutes, 15 Seconds</t>
  </si>
  <si>
    <t>https://www.youtube.com/watch?v=j97OEyzBcKI</t>
  </si>
  <si>
    <t>86 - Orientação Objetos - Classes abstratas pt 03 - Métodos abstratos regras</t>
  </si>
  <si>
    <t>5 Minutes, 18 Seconds</t>
  </si>
  <si>
    <t>https://www.youtube.com/watch?v=xI0xspht6mA</t>
  </si>
  <si>
    <t>7 Minutes, 29 Seconds</t>
  </si>
  <si>
    <t>https://www.youtube.com/watch?v=AhVd_DzV3DU</t>
  </si>
  <si>
    <t>8 Minutes, 31 Seconds</t>
  </si>
  <si>
    <t>https://www.youtube.com/watch?v=QKjFkaagGdk</t>
  </si>
  <si>
    <t>6 Minutes, 22 Seconds</t>
  </si>
  <si>
    <t>https://www.youtube.com/watch?v=SYyEyR78dSQ</t>
  </si>
  <si>
    <t>15 Minutes, 35 Seconds</t>
  </si>
  <si>
    <t>https://www.youtube.com/watch?v=UmReA29kOVw</t>
  </si>
  <si>
    <t>11 Minutes, 34 Seconds</t>
  </si>
  <si>
    <t>https://www.youtube.com/watch?v=TZt_LYjKLiQ</t>
  </si>
  <si>
    <t>7 Minutes, 57 Seconds</t>
  </si>
  <si>
    <t>https://www.youtube.com/watch?v=1kKS1XV8saE</t>
  </si>
  <si>
    <t>93 - Orientação Objetos - Polimorfismo pt 04 - Cast e instanceof</t>
  </si>
  <si>
    <t>9 Minutes, 25 Seconds</t>
  </si>
  <si>
    <t>https://www.youtube.com/watch?v=qpefWJeupV0</t>
  </si>
  <si>
    <t>8 Minutes, 24 Seconds</t>
  </si>
  <si>
    <t>https://www.youtube.com/watch?v=lDsO78xFp9Y</t>
  </si>
  <si>
    <t>9 Minutes, 46 Seconds</t>
  </si>
  <si>
    <t>https://www.youtube.com/watch?v=30D9z8M3eCQ</t>
  </si>
  <si>
    <t>https://www.youtube.com/watch?v=S7gLPZO0Jug</t>
  </si>
  <si>
    <t>18 Minutes, 0 Seconds</t>
  </si>
  <si>
    <t>https://www.youtube.com/watch?v=iNlGgh0s_F8</t>
  </si>
  <si>
    <t>98 - Exceções pt 04 - Lançando exceção unchecked</t>
  </si>
  <si>
    <t>13 Minutes, 32 Seconds</t>
  </si>
  <si>
    <t>https://www.youtube.com/watch?v=M7CU5TOOmTc</t>
  </si>
  <si>
    <t>99 - Exceções pt 05 - Lançando exceção checked</t>
  </si>
  <si>
    <t>12 Minutes, 45 Seconds</t>
  </si>
  <si>
    <t>https://www.youtube.com/watch?v=Gc5SIWgcsYI</t>
  </si>
  <si>
    <t>100 - Exceções pt 06 - Bloco Finally</t>
  </si>
  <si>
    <t>10 Minutes, 29 Seconds</t>
  </si>
  <si>
    <t>https://www.youtube.com/watch?v=QL1Wz5yrlEw</t>
  </si>
  <si>
    <t>101 - Exceções pt 07 - Capturando múltiplas exceções</t>
  </si>
  <si>
    <t>10 Minutes, 1 Seconds</t>
  </si>
  <si>
    <t>https://www.youtube.com/watch?v=ibrTQmTNHQ0</t>
  </si>
  <si>
    <t>102 - Exceções pt 08 - Multi catch em linha</t>
  </si>
  <si>
    <t>7 Minutes, 4 Seconds</t>
  </si>
  <si>
    <t>https://www.youtube.com/watch?v=0_54_91TDuk</t>
  </si>
  <si>
    <t>103 - Exceções pt 09 - Try with resources</t>
  </si>
  <si>
    <t>https://www.youtube.com/watch?v=PERQlV7ax2M</t>
  </si>
  <si>
    <t>104 - Exceções pt 10 - Exceção customizada</t>
  </si>
  <si>
    <t>6 Minutes, 34 Seconds</t>
  </si>
  <si>
    <t>https://www.youtube.com/watch?v=3P8imoW60Uo</t>
  </si>
  <si>
    <t>105 - Exceções pt 11 - Exceção e regras de sobrescrita</t>
  </si>
  <si>
    <t>6 Minutes, 19 Seconds</t>
  </si>
  <si>
    <t>https://www.youtube.com/watch?v=Jf1tZisCx7U</t>
  </si>
  <si>
    <t>106 - Classes Utilitárias - Wrappers pt 01</t>
  </si>
  <si>
    <t>11 Minutes, 6 Seconds</t>
  </si>
  <si>
    <t>https://www.youtube.com/watch?v=F0F0B33Un9M</t>
  </si>
  <si>
    <t>107 - Classes Utilitárias - Wrappers pt 02</t>
  </si>
  <si>
    <t>9 Minutes, 53 Seconds</t>
  </si>
  <si>
    <t>https://www.youtube.com/watch?v=cAqsHzWy2qI</t>
  </si>
  <si>
    <t>108 - Classes Utilitárias - Strings pt 01</t>
  </si>
  <si>
    <t>12 Minutes, 54 Seconds</t>
  </si>
  <si>
    <t>https://www.youtube.com/watch?v=vH7izlkNewI</t>
  </si>
  <si>
    <t>109 - Classes Utilitárias - Strings pt 02</t>
  </si>
  <si>
    <t>10 Minutes, 16 Seconds</t>
  </si>
  <si>
    <t>https://www.youtube.com/watch?v=5hfftQx_S8Q</t>
  </si>
  <si>
    <t>110 - Classes Utilitárias - Strings pt 03 - Desempenho</t>
  </si>
  <si>
    <t>12 Minutes, 51 Seconds</t>
  </si>
  <si>
    <t>https://www.youtube.com/watch?v=yx8OJVgVSU8</t>
  </si>
  <si>
    <t>111 - Classes Utilitárias - Strings pt 04 - StringBuilder</t>
  </si>
  <si>
    <t>9 Minutes, 31 Seconds</t>
  </si>
  <si>
    <t>https://www.youtube.com/watch?v=JAKcK93hHHU</t>
  </si>
  <si>
    <t>112 - Classes Utilitárias - Date</t>
  </si>
  <si>
    <t>https://www.youtube.com/watch?v=IUDT-cW4tcU</t>
  </si>
  <si>
    <t>113 - Classes Utilitárias - Calendar</t>
  </si>
  <si>
    <t>https://www.youtube.com/watch?v=H92wS2QKLO8</t>
  </si>
  <si>
    <t>114 - Classes Utilitárias - DateFormat</t>
  </si>
  <si>
    <t>5 Minutes, 17 Seconds</t>
  </si>
  <si>
    <t>https://www.youtube.com/watch?v=vmhzhQo_s08</t>
  </si>
  <si>
    <t>115 - Classes Utilitárias - Internacionalização Datas com Locale</t>
  </si>
  <si>
    <t>11 Minutes, 54 Seconds</t>
  </si>
  <si>
    <t>https://www.youtube.com/watch?v=zejLPQW96uI</t>
  </si>
  <si>
    <t>116 - Classes Utilitárias - Internacionalização Números com Locale</t>
  </si>
  <si>
    <t>8 Minutes, 41 Seconds</t>
  </si>
  <si>
    <t>https://www.youtube.com/watch?v=xaaGxC-G92w</t>
  </si>
  <si>
    <t>117 - Classes Utilitárias - Internacionalização de moeda com Locale</t>
  </si>
  <si>
    <t>https://www.youtube.com/watch?v=waedzSaWMjo</t>
  </si>
  <si>
    <t>118 - Classes Utilitárias - SimpleDateFormat</t>
  </si>
  <si>
    <t>6 Minutes, 51 Seconds</t>
  </si>
  <si>
    <t>https://www.youtube.com/watch?v=swKXov2xHFM</t>
  </si>
  <si>
    <t>119 - Classes Utilitárias - LocalDate</t>
  </si>
  <si>
    <t>11 Minutes, 52 Seconds</t>
  </si>
  <si>
    <t>https://www.youtube.com/watch?v=S7Uc4TxTbb8</t>
  </si>
  <si>
    <t>120 - Classes Utilitárias - LocalTime</t>
  </si>
  <si>
    <t>5 Minutes, 0 Seconds</t>
  </si>
  <si>
    <t>https://www.youtube.com/watch?v=huyHYTds_xU</t>
  </si>
  <si>
    <t>121 - Classes Utilitárias - LocalDateTime</t>
  </si>
  <si>
    <t>6 Minutes, 47 Seconds</t>
  </si>
  <si>
    <t>https://www.youtube.com/watch?v=UXpoRzHOMP4</t>
  </si>
  <si>
    <t>122 - Classes Utilitárias - Instant</t>
  </si>
  <si>
    <t>https://www.youtube.com/watch?v=mcv5zRtDGag</t>
  </si>
  <si>
    <t>123 - Classes Utilitárias - Duration</t>
  </si>
  <si>
    <t>https://www.youtube.com/watch?v=4vg2lEGYJi4</t>
  </si>
  <si>
    <t>124 - Classes Utilitárias - Period</t>
  </si>
  <si>
    <t>6 Minutes, 18 Seconds</t>
  </si>
  <si>
    <t>https://www.youtube.com/watch?v=g9GtolzNlPo</t>
  </si>
  <si>
    <t>125 - Classes Utilitárias - ChronoUnit</t>
  </si>
  <si>
    <t>5 Minutes, 54 Seconds</t>
  </si>
  <si>
    <t>https://www.youtube.com/watch?v=YuwLrTwLI88</t>
  </si>
  <si>
    <t>126 - Classes Utilitárias - TemporalAdjusters.</t>
  </si>
  <si>
    <t>7 Minutes, 31 Seconds</t>
  </si>
  <si>
    <t>https://www.youtube.com/watch?v=81xG_vGIiwg</t>
  </si>
  <si>
    <t>127 - Classes Utilitárias - TemporalAdjuster</t>
  </si>
  <si>
    <t>9 Minutes, 49 Seconds</t>
  </si>
  <si>
    <t>https://www.youtube.com/watch?v=qL2V3ks3knc</t>
  </si>
  <si>
    <t>128 - Classes Utilitárias - ZonedDateTime, ZoneId, OffsetDateTime</t>
  </si>
  <si>
    <t>13 Minutes, 4 Seconds</t>
  </si>
  <si>
    <t>https://www.youtube.com/watch?v=75nO4WZVjq0</t>
  </si>
  <si>
    <t>129 - Classes Utilitárias - DateTimeFormatter</t>
  </si>
  <si>
    <t>11 Minutes, 8 Seconds</t>
  </si>
  <si>
    <t>https://www.youtube.com/watch?v=TyikH6iBUIY</t>
  </si>
  <si>
    <t>130 - Classes Utilitárias - ResourceBundle</t>
  </si>
  <si>
    <t>13 Minutes, 8 Seconds</t>
  </si>
  <si>
    <t>https://www.youtube.com/watch?v=M28gEhYT--o</t>
  </si>
  <si>
    <t>131 - Classes Utilitárias - Regex pt 01 - Pattern e Matcher</t>
  </si>
  <si>
    <t>10 Minutes, 55 Seconds</t>
  </si>
  <si>
    <t>https://www.youtube.com/watch?v=8hhYE4y0iMM</t>
  </si>
  <si>
    <t>132 - Classes Utilitárias - Regex pt 02 - Pattern e Matcher - Meta caracteres</t>
  </si>
  <si>
    <t>7 Minutes, 17 Seconds</t>
  </si>
  <si>
    <t>https://www.youtube.com/watch?v=LvLGE9ryafg</t>
  </si>
  <si>
    <t>133 - Classes Utilitárias - Regex pt 03 - Pattern e Matcher - Range</t>
  </si>
  <si>
    <t>9 Minutes, 15 Seconds</t>
  </si>
  <si>
    <t>https://www.youtube.com/watch?v=v_ZsEZLHKjk</t>
  </si>
  <si>
    <t>134 - Classes Utilitárias - Regex pt 04 - Pattern e Matcher - Quantificadores pt 01</t>
  </si>
  <si>
    <t>7 Minutes, 33 Seconds</t>
  </si>
  <si>
    <t>https://www.youtube.com/watch?v=9IFY_aHlDl0</t>
  </si>
  <si>
    <t>135 - Classes Utilitárias - Regex pt 05 - Pattern e Matcher - Quantificadores pt 02</t>
  </si>
  <si>
    <t>13 Minutes, 17 Seconds</t>
  </si>
  <si>
    <t>https://www.youtube.com/watch?v=0PQ45dMLcFo</t>
  </si>
  <si>
    <t>136 - Classes Utilitárias - Regex pt 06 - Pattern e Matcher - Anchor</t>
  </si>
  <si>
    <t>4 Minutes, 3 Seconds</t>
  </si>
  <si>
    <t>https://www.youtube.com/watch?v=j6aDHj9S-vs</t>
  </si>
  <si>
    <t>137 - Classes Utilitárias - Scanner - Tokens e Delimitadores</t>
  </si>
  <si>
    <t>https://www.youtube.com/watch?v=Dx5bqoNAW6I</t>
  </si>
  <si>
    <t>138 - Classes Utilitárias - IO pt 01 - File</t>
  </si>
  <si>
    <t>8 Minutes, 52 Seconds</t>
  </si>
  <si>
    <t>https://www.youtube.com/watch?v=iBIKREgyF20</t>
  </si>
  <si>
    <t>139 - Classes Utilitárias - IO pt 02 - FileWriter</t>
  </si>
  <si>
    <t>https://www.youtube.com/watch?v=4wsysT3OxO4</t>
  </si>
  <si>
    <t>140 - Classes Utilitárias - IO pt 03 - FileReader</t>
  </si>
  <si>
    <t>6 Minutes, 57 Seconds</t>
  </si>
  <si>
    <t>https://www.youtube.com/watch?v=9Y8FKrklbMQ</t>
  </si>
  <si>
    <t>141 - Classes Utilitárias - IO pt 04 - BufferedWriter</t>
  </si>
  <si>
    <t>7 Minutes, 16 Seconds</t>
  </si>
  <si>
    <t>https://www.youtube.com/watch?v=j7cWU9PM7wc</t>
  </si>
  <si>
    <t>142 - Classes Utilitárias - IO pt 05 - BufferedReader</t>
  </si>
  <si>
    <t>5 Minutes, 16 Seconds</t>
  </si>
  <si>
    <t>https://www.youtube.com/watch?v=Z-EG0cRvVBQ</t>
  </si>
  <si>
    <t>143 - Classes Utilitárias - IO pt 06 - File para diretórios</t>
  </si>
  <si>
    <t>11 Minutes, 14 Seconds</t>
  </si>
  <si>
    <t>https://www.youtube.com/watch?v=z30kOkeTM5c</t>
  </si>
  <si>
    <t>144 - Classes Utilitárias - NIO pt 01 - Path, Paths, Files pt 01</t>
  </si>
  <si>
    <t>7 Minutes, 55 Seconds</t>
  </si>
  <si>
    <t>https://www.youtube.com/watch?v=PHj0E70bSeg</t>
  </si>
  <si>
    <t>145 - Classes Utilitárias - NIO pt 02 - Path, Paths, Files pt 02</t>
  </si>
  <si>
    <t>https://www.youtube.com/watch?v=0Cw4YlsqIqU</t>
  </si>
  <si>
    <t>146 - Classes Utilitárias - NIO pt 03 - Normalização</t>
  </si>
  <si>
    <t>13 Minutes, 7 Seconds</t>
  </si>
  <si>
    <t>https://www.youtube.com/watch?v=k6yQvu42sq0</t>
  </si>
  <si>
    <t>147 - Classes Utilitárias - NIO pt 04 - Resolvendo Paths</t>
  </si>
  <si>
    <t>https://www.youtube.com/watch?v=hNGyzCwLe1g</t>
  </si>
  <si>
    <t>148 - Classes Utilitárias - NIO pt 05 - Relativize</t>
  </si>
  <si>
    <t>https://www.youtube.com/watch?v=mbx83oInlGI</t>
  </si>
  <si>
    <t>149 - Classes Utilitárias - NIO pt 06 - BasicFileAttributes pt 01</t>
  </si>
  <si>
    <t>8 Minutes, 10 Seconds</t>
  </si>
  <si>
    <t>https://www.youtube.com/watch?v=7ccX4cxlWOg</t>
  </si>
  <si>
    <t>150 - Classes Utilitárias - NIO pt 07 - BasicFileAttributes pt 02</t>
  </si>
  <si>
    <t>https://www.youtube.com/watch?v=3dnfUSbp6-4</t>
  </si>
  <si>
    <t>151 - Classes Utilitárias - NIO pt 08 - DosFileAttribute</t>
  </si>
  <si>
    <t>7 Minutes, 36 Seconds</t>
  </si>
  <si>
    <t>https://www.youtube.com/watch?v=4g7JeY-hTP0</t>
  </si>
  <si>
    <t>152 - Classes Utilitárias - NIO pt 09 - PosixFileAttributes</t>
  </si>
  <si>
    <t>8 Minutes, 44 Seconds</t>
  </si>
  <si>
    <t>https://www.youtube.com/watch?v=t8eoFrsMbNc</t>
  </si>
  <si>
    <t>153 - Classes Utilitárias - NIO pt 10 - DirectoryStream</t>
  </si>
  <si>
    <t>7 Minutes, 21 Seconds</t>
  </si>
  <si>
    <t>https://www.youtube.com/watch?v=UHDnO2r4Whc</t>
  </si>
  <si>
    <t>154 - Classes Utilitárias - NIO pt 11 - SimpleFileVisitor pt 01</t>
  </si>
  <si>
    <t>7 Minutes, 38 Seconds</t>
  </si>
  <si>
    <t>https://www.youtube.com/watch?v=1-fBnhNcbmY</t>
  </si>
  <si>
    <t>155 - Classes Utilitárias - NIO pt 12 - SimpleFileVisitor pt 02</t>
  </si>
  <si>
    <t>https://www.youtube.com/watch?v=UiDMz5J-mlg</t>
  </si>
  <si>
    <t>156 - Classes Utilitárias - NIO pt 13 - PathMatcher pt 01</t>
  </si>
  <si>
    <t>7 Minutes, 37 Seconds</t>
  </si>
  <si>
    <t>https://www.youtube.com/watch?v=m5jwgf8FEl0</t>
  </si>
  <si>
    <t>157 - Classes Utilitárias - NIO pt 14 - PathMatcher pt 02</t>
  </si>
  <si>
    <t>https://www.youtube.com/watch?v=duwXpnrt4D8</t>
  </si>
  <si>
    <t>158 - Classes Utilitárias - NIO pt 15 - ZipOutputStream</t>
  </si>
  <si>
    <t>https://www.youtube.com/watch?v=DuYqgRU--CI</t>
  </si>
  <si>
    <t>159 - Classes Utilitárias - Serialization pt 01</t>
  </si>
  <si>
    <t>13 Minutes, 36 Seconds</t>
  </si>
  <si>
    <t>https://www.youtube.com/watch?v=9Bkbcn7Dgvc</t>
  </si>
  <si>
    <t>160 - Classes Utilitárias - Serialization pt 02</t>
  </si>
  <si>
    <t>15 Minutes, 10 Seconds</t>
  </si>
  <si>
    <t>https://www.youtube.com/watch?v=8NA5-GjqKEc</t>
  </si>
  <si>
    <t>161 - Coleções pt 01 - equals pt 01</t>
  </si>
  <si>
    <t>9 Minutes, 43 Seconds</t>
  </si>
  <si>
    <t>https://www.youtube.com/watch?v=YWtGWgTlPwQ</t>
  </si>
  <si>
    <t>162 - Coleções pt 02 - equals pt 02</t>
  </si>
  <si>
    <t>10 Minutes, 18 Seconds</t>
  </si>
  <si>
    <t>https://www.youtube.com/watch?v=2t9GDdsVmjg</t>
  </si>
  <si>
    <t>163 - Coleções pt 03 - hashCode pt 01</t>
  </si>
  <si>
    <t>6 Minutes, 28 Seconds</t>
  </si>
  <si>
    <t>https://www.youtube.com/watch?v=Q4fgk7i0GG4</t>
  </si>
  <si>
    <t>164 - Coleções pt 04 - hashCode pt 02</t>
  </si>
  <si>
    <t>https://www.youtube.com/watch?v=_FnTxETp3BI</t>
  </si>
  <si>
    <t>165 - Coleções pt 05 - Complexidade Big-O</t>
  </si>
  <si>
    <t>https://www.youtube.com/watch?v=NxuGmdGBDdk</t>
  </si>
  <si>
    <t>166 - Coleções pt 06 - List pt 01</t>
  </si>
  <si>
    <t>10 Minutes, 57 Seconds</t>
  </si>
  <si>
    <t>https://www.youtube.com/watch?v=PFuvDDS9_J8</t>
  </si>
  <si>
    <t>167 - Coleções pt 07 - List pt 02</t>
  </si>
  <si>
    <t>9 Minutes, 26 Seconds</t>
  </si>
  <si>
    <t>https://www.youtube.com/watch?v=_auUwu21Qqw</t>
  </si>
  <si>
    <t>168 - Coleções pt 08 - List pt 03</t>
  </si>
  <si>
    <t>https://www.youtube.com/watch?v=fzv-UxjYcmU</t>
  </si>
  <si>
    <t>169 - Coleções pt 09 - Sorting lists pt 01</t>
  </si>
  <si>
    <t>12 Minutes, 38 Seconds</t>
  </si>
  <si>
    <t>https://www.youtube.com/watch?v=WHFr-FzwJGQ</t>
  </si>
  <si>
    <t>170 - Coleções pt 10 - Sorting lists pt 02 - Comparable</t>
  </si>
  <si>
    <t>13 Minutes, 58 Seconds</t>
  </si>
  <si>
    <t>https://www.youtube.com/watch?v=OJGQ0lvaKGE</t>
  </si>
  <si>
    <t>171 - Coleções pt 11 - Sorting lists pt 03 - Comparator</t>
  </si>
  <si>
    <t>7 Minutes, 28 Seconds</t>
  </si>
  <si>
    <t>https://www.youtube.com/watch?v=ZyI_8ljieUA</t>
  </si>
  <si>
    <t>172 - Coleções pt 12 - Binary Search</t>
  </si>
  <si>
    <t>https://www.youtube.com/watch?v=Ixd1Fib9F9g</t>
  </si>
  <si>
    <t>173 - Coleções pt 13 - Conversão de Lista para Arrays e vice versa</t>
  </si>
  <si>
    <t>9 Minutes, 32 Seconds</t>
  </si>
  <si>
    <t>https://www.youtube.com/watch?v=meW6F-95yIw</t>
  </si>
  <si>
    <t>174 - Coleções pt 14 - Iterator</t>
  </si>
  <si>
    <t>https://www.youtube.com/watch?v=FlwOWSpYUkA</t>
  </si>
  <si>
    <t>175 - Coleções pt 15 - Set, HashSet</t>
  </si>
  <si>
    <t>https://www.youtube.com/watch?v=dJ3fhRq-5tM</t>
  </si>
  <si>
    <t>176 - Coleções pt 16 - NavigableSet, TreeSet pt 01</t>
  </si>
  <si>
    <t>9 Minutes, 41 Seconds</t>
  </si>
  <si>
    <t>https://www.youtube.com/watch?v=JibYosgdk00</t>
  </si>
  <si>
    <t>177 - Coleções pt 17 - NavigableSet, TreeSet pt 02</t>
  </si>
  <si>
    <t>9 Minutes, 50 Seconds</t>
  </si>
  <si>
    <t>https://www.youtube.com/watch?v=8A6W5g9Q3nA</t>
  </si>
  <si>
    <t>178 - Coleções pt 18 - Map, HashMap, LinkedHashMap pt 01</t>
  </si>
  <si>
    <t>10 Minutes, 24 Seconds</t>
  </si>
  <si>
    <t>https://www.youtube.com/watch?v=kkHyYrfB35s</t>
  </si>
  <si>
    <t>179 - Coleções pt 19 - Map, HashMap, LinkedHashMap pt 02</t>
  </si>
  <si>
    <t>https://www.youtube.com/watch?v=4jLo3TpiS4k</t>
  </si>
  <si>
    <t>180 - Coleções pt 20 - Map, HashMap, LinkedHashMap pt 03</t>
  </si>
  <si>
    <t>7 Minutes, 5 Seconds</t>
  </si>
  <si>
    <t>https://www.youtube.com/watch?v=IvjlvMrwZiI</t>
  </si>
  <si>
    <t>181 - Coleções pt 21 - NavigableMap, TreeMap</t>
  </si>
  <si>
    <t>8 Minutes, 7 Seconds</t>
  </si>
  <si>
    <t>https://www.youtube.com/watch?v=2EKe7UJLuCQ</t>
  </si>
  <si>
    <t>182 - Coleções pt 22 - Queue, PriorityQueue</t>
  </si>
  <si>
    <t>12 Minutes, 37 Seconds</t>
  </si>
  <si>
    <t>https://www.youtube.com/watch?v=Q6CiTfKsAQc</t>
  </si>
  <si>
    <t>183 - Generics pt 01 - Introdução</t>
  </si>
  <si>
    <t>8 Minutes, 34 Seconds</t>
  </si>
  <si>
    <t>https://www.youtube.com/watch?v=YOHMTPIxRDk</t>
  </si>
  <si>
    <t>184 - Generics pt 02 - Wildcard pt 01</t>
  </si>
  <si>
    <t>11 Minutes, 12 Seconds</t>
  </si>
  <si>
    <t>https://www.youtube.com/watch?v=NfguvWHYbQM</t>
  </si>
  <si>
    <t>185 - Generics pt 03 - Wildcard pt 02</t>
  </si>
  <si>
    <t>7 Minutes, 15 Seconds</t>
  </si>
  <si>
    <t>https://www.youtube.com/watch?v=rchsi7CvUBM</t>
  </si>
  <si>
    <t>186 - Generics pt 04 - Classes Genéricas pt 01</t>
  </si>
  <si>
    <t>12 Minutes, 46 Seconds</t>
  </si>
  <si>
    <t>https://www.youtube.com/watch?v=ZWhEZ-7PXg8</t>
  </si>
  <si>
    <t>187 - Generics pt 05 - Classes Genéricas pt 02</t>
  </si>
  <si>
    <t>https://www.youtube.com/watch?v=BjipceG4EH0</t>
  </si>
  <si>
    <t>188 - Generics pt 06 - Métodos Genéricos</t>
  </si>
  <si>
    <t>8 Minutes, 11 Seconds</t>
  </si>
  <si>
    <t>https://www.youtube.com/watch?v=_feJhRzYxYk</t>
  </si>
  <si>
    <t>189 - Classes Internas pt 01 - Introdução</t>
  </si>
  <si>
    <t>9 Minutes, 36 Seconds</t>
  </si>
  <si>
    <t>https://www.youtube.com/watch?v=pAZ_4lxDYNU</t>
  </si>
  <si>
    <t>190 - Classes Internas pt 02 - Classes Locais</t>
  </si>
  <si>
    <t>9 Minutes, 12 Seconds</t>
  </si>
  <si>
    <t>https://www.youtube.com/watch?v=koKwh7YVtx0</t>
  </si>
  <si>
    <t>191 - Classes Internas pt 03 - Classes Anônimas</t>
  </si>
  <si>
    <t>12 Minutes, 41 Seconds</t>
  </si>
  <si>
    <t>https://www.youtube.com/watch?v=44uSWELqd3U</t>
  </si>
  <si>
    <t>192 - Classes Internas pt 04 - Classes aninhadas estáticas</t>
  </si>
  <si>
    <t>6 Minutes, 17 Seconds</t>
  </si>
  <si>
    <t>https://www.youtube.com/watch?v=jm09LQDoZ5Y</t>
  </si>
  <si>
    <t>193 - Parametrizando comportamentos pt 01</t>
  </si>
  <si>
    <t>12 Minutes, 15 Seconds</t>
  </si>
  <si>
    <t>https://www.youtube.com/watch?v=ZmsJPFhmmf0</t>
  </si>
  <si>
    <t>194 - Parametrizando comportamentos pt 02</t>
  </si>
  <si>
    <t>https://www.youtube.com/watch?v=pSSgo8RAf-A</t>
  </si>
  <si>
    <t>195 - Lambdas pt 01 - Predicate</t>
  </si>
  <si>
    <t>9 Minutes, 4 Seconds</t>
  </si>
  <si>
    <t>https://www.youtube.com/watch?v=sF6z6PTqTVo</t>
  </si>
  <si>
    <t>196 - Lambdas pt 02 - Consumer</t>
  </si>
  <si>
    <t>5 Minutes, 19 Seconds</t>
  </si>
  <si>
    <t>https://www.youtube.com/watch?v=T5mFXrYBsao</t>
  </si>
  <si>
    <t>197 - Lambdas pt 03 - Function</t>
  </si>
  <si>
    <t>6 Minutes, 13 Seconds</t>
  </si>
  <si>
    <t>https://www.youtube.com/watch?v=2P6LbYqmz7c</t>
  </si>
  <si>
    <t>198 - Method Reference pt 01 - Referência a métodos estáticos</t>
  </si>
  <si>
    <t>12 Minutes, 34 Seconds</t>
  </si>
  <si>
    <t>https://www.youtube.com/watch?v=f7jGNzFMQb4</t>
  </si>
  <si>
    <t>199 - Method Reference pt 02 - Referência a métodos não estáticos</t>
  </si>
  <si>
    <t>10 Minutes, 33 Seconds</t>
  </si>
  <si>
    <t>https://www.youtube.com/watch?v=E2Ev36YbjDo</t>
  </si>
  <si>
    <t>200 - Method Reference pt 03 - Referência a construtor</t>
  </si>
  <si>
    <t>7 Minutes, 48 Seconds</t>
  </si>
  <si>
    <t>https://www.youtube.com/watch?v=2dUHGheKl9s</t>
  </si>
  <si>
    <t>201 - Optional pt 01</t>
  </si>
  <si>
    <t>11 Minutes, 46 Seconds</t>
  </si>
  <si>
    <t>https://www.youtube.com/watch?v=-xxb8LoOiRs</t>
  </si>
  <si>
    <t>202 - Optional pt 02</t>
  </si>
  <si>
    <t>15 Minutes, 36 Seconds</t>
  </si>
  <si>
    <t>https://www.youtube.com/watch?v=sOeNRIwhyzg</t>
  </si>
  <si>
    <t>203 - Streams pt 01 - Introduction pt 01</t>
  </si>
  <si>
    <t>11 Minutes, 16 Seconds</t>
  </si>
  <si>
    <t>https://www.youtube.com/watch?v=ID9zo1hSbXw</t>
  </si>
  <si>
    <t>204 - Streams pt 02 - Introduction pt 02</t>
  </si>
  <si>
    <t>https://www.youtube.com/watch?v=pPjQbbl4iiY</t>
  </si>
  <si>
    <t>205 - Streams pt 03 - Introduction pt 03</t>
  </si>
  <si>
    <t>https://www.youtube.com/watch?v=ctozCHV5EZY</t>
  </si>
  <si>
    <t>206 - Streams pt 04 - FlatMap pt 01</t>
  </si>
  <si>
    <t>7 Minutes, 23 Seconds</t>
  </si>
  <si>
    <t>https://www.youtube.com/watch?v=3IyvpB7Ocxw</t>
  </si>
  <si>
    <t>207 - Streams pt 05 - FlatMap pt 02</t>
  </si>
  <si>
    <t>6 Minutes, 46 Seconds</t>
  </si>
  <si>
    <t>https://www.youtube.com/watch?v=wCEEhV4Hkio</t>
  </si>
  <si>
    <t>208 - Streams pt 06 - Finding and Matching</t>
  </si>
  <si>
    <t>9 Minutes, 34 Seconds</t>
  </si>
  <si>
    <t>https://www.youtube.com/watch?v=8KiVd58GBJU</t>
  </si>
  <si>
    <t>209 - Streams pt 07 - Reduce pt 01</t>
  </si>
  <si>
    <t>7 Minutes, 47 Seconds</t>
  </si>
  <si>
    <t>https://www.youtube.com/watch?v=wTsGajhPCBY</t>
  </si>
  <si>
    <t>210 - Streams pt 08 - Reduce pt 02</t>
  </si>
  <si>
    <t>6 Minutes, 33 Seconds</t>
  </si>
  <si>
    <t>https://www.youtube.com/watch?v=-eudNNKAGgM</t>
  </si>
  <si>
    <t>211 - Streams pt 09 - Gerando streams pt 01</t>
  </si>
  <si>
    <t>https://www.youtube.com/watch?v=3Ud0CDMdwiY</t>
  </si>
  <si>
    <t>212 - Streams pt 10 - Gerando streams pt 02</t>
  </si>
  <si>
    <t>https://www.youtube.com/watch?v=AQO2JlZcwaA</t>
  </si>
  <si>
    <t>213 - Streams pt 11 - Collectors pt 01 Summarizing</t>
  </si>
  <si>
    <t>10 Minutes, 26 Seconds</t>
  </si>
  <si>
    <t>https://www.youtube.com/watch?v=5wDiTtBayU4</t>
  </si>
  <si>
    <t>214 - Streams pt 12 - Collectors pt 02 - Grouping by pt 01</t>
  </si>
  <si>
    <t>7 Minutes, 18 Seconds</t>
  </si>
  <si>
    <t>https://www.youtube.com/watch?v=EH74dqRDCM0</t>
  </si>
  <si>
    <t>215 - Streams pt 13 - Collectors pt 03 - Grouping by pt 02</t>
  </si>
  <si>
    <t>9 Minutes, 42 Seconds</t>
  </si>
  <si>
    <t>https://www.youtube.com/watch?v=rO6o654D5hQ</t>
  </si>
  <si>
    <t>216 - Streams pt 14 - Collectors pt 04 - Grouping by pt 03</t>
  </si>
  <si>
    <t>https://www.youtube.com/watch?v=1FvYGWxmltw</t>
  </si>
  <si>
    <t>217 - Streams pt 15 - Collectors pt 05 - Grouping by pt 04</t>
  </si>
  <si>
    <t>9 Minutes, 47 Seconds</t>
  </si>
  <si>
    <t>https://www.youtube.com/watch?v=_lhipah8Anw</t>
  </si>
  <si>
    <t>218 - Streams pt 16 - Parallel Streams pt 01</t>
  </si>
  <si>
    <t>13 Minutes, 20 Seconds</t>
  </si>
  <si>
    <t>https://www.youtube.com/watch?v=n_8HNFLrMsc</t>
  </si>
  <si>
    <t>219 - Streams pt 17 - Parallel Streams pt 02</t>
  </si>
  <si>
    <t>https://www.youtube.com/watch?v=ZnkpA5rUq6I</t>
  </si>
  <si>
    <t>220 - Threads pt 01 - Introduction</t>
  </si>
  <si>
    <t>12 Minutes, 44 Seconds</t>
  </si>
  <si>
    <t>https://www.youtube.com/watch?v=dFPwCqr43Ag</t>
  </si>
  <si>
    <t>221 - Threads pt 02 - Estados das threads</t>
  </si>
  <si>
    <t>5 Minutes, 37 Seconds</t>
  </si>
  <si>
    <t>https://www.youtube.com/watch?v=xyU1c0iJGr8</t>
  </si>
  <si>
    <t>222 - Threads pt 03 - Prioridade e Sleep</t>
  </si>
  <si>
    <t>6 Minutes, 53 Seconds</t>
  </si>
  <si>
    <t>https://www.youtube.com/watch?v=1TSH83Clt18</t>
  </si>
  <si>
    <t>223 - Threads pt 04 - Yield e Join</t>
  </si>
  <si>
    <t>11 Minutes, 18 Seconds</t>
  </si>
  <si>
    <t>https://www.youtube.com/watch?v=BLM9Q9zdARU</t>
  </si>
  <si>
    <t>224 - Threads pt 05 - Sincronismo de thread pt 01</t>
  </si>
  <si>
    <t>14 Minutes, 32 Seconds</t>
  </si>
  <si>
    <t>https://www.youtube.com/watch?v=WKx6tEM8LEU</t>
  </si>
  <si>
    <t>225 - Threads pt 06 - Sincronismo de thread pt 02</t>
  </si>
  <si>
    <t>https://www.youtube.com/watch?v=LVIZJWoHnjs</t>
  </si>
  <si>
    <t>226 - Threads pt 07 - Sincronismo de thread pt 03 - Classes thread safe</t>
  </si>
  <si>
    <t>7 Minutes, 44 Seconds</t>
  </si>
  <si>
    <t>https://www.youtube.com/watch?v=WN2bb0RsMyM</t>
  </si>
  <si>
    <t>227 - Threads pt 08 - Sincronismo de thread pt 04 - Deadlock</t>
  </si>
  <si>
    <t>https://www.youtube.com/watch?v=Pm0EfS0Lu4M</t>
  </si>
  <si>
    <t>228 - Threads pt 09 - Sincronismo de thread pt 05 - Wait, notify e notifyAll</t>
  </si>
  <si>
    <t>21 Minutes, 23 Seconds</t>
  </si>
  <si>
    <t>https://www.youtube.com/watch?v=A4zRkIydFjE</t>
  </si>
  <si>
    <t>229 - Concorrência pt 01 - AtomicInteger</t>
  </si>
  <si>
    <t>8 Minutes, 23 Seconds</t>
  </si>
  <si>
    <t>https://www.youtube.com/watch?v=eafDSpZMBbE</t>
  </si>
  <si>
    <t>230 - Concorrência pt 02 - Lock and ReentrantLock</t>
  </si>
  <si>
    <t>13 Minutes, 52 Seconds</t>
  </si>
  <si>
    <t>https://www.youtube.com/watch?v=4yw1WJUIrwg</t>
  </si>
  <si>
    <t>231 - Concorrência pt 03 - Conditions</t>
  </si>
  <si>
    <t>13 Minutes, 21 Seconds</t>
  </si>
  <si>
    <t>https://www.youtube.com/watch?v=8Gxw4WzYx-w</t>
  </si>
  <si>
    <t>232 - Concorrência pt 04 - ReentrantReadWriteLock</t>
  </si>
  <si>
    <t>https://www.youtube.com/watch?v=hsnTg0Y5Iuw</t>
  </si>
  <si>
    <t>233 - Concorrência pt 05 - CopyOnWriteArrayList</t>
  </si>
  <si>
    <t>https://www.youtube.com/watch?v=6rCcB4EVkm4</t>
  </si>
  <si>
    <t>234 - Concorrência pt 06 - ArrayBlockingQueue</t>
  </si>
  <si>
    <t>6 Minutes, 55 Seconds</t>
  </si>
  <si>
    <t>https://www.youtube.com/watch?v=MkZjut9L6W8</t>
  </si>
  <si>
    <t>235 - Concorrência pt 07 - LinkedTransferQueue</t>
  </si>
  <si>
    <t>https://www.youtube.com/watch?v=gZwUdhZBARo</t>
  </si>
  <si>
    <t>236 - Concorrência pt 08 - Executors pt 01 - Thread Pools</t>
  </si>
  <si>
    <t>https://www.youtube.com/watch?v=y7PUfmtWIXs</t>
  </si>
  <si>
    <t>237 - Concorrência pt 09 - Executors pt 02 - ScheduledExecutorService</t>
  </si>
  <si>
    <t>14 Minutes, 22 Seconds</t>
  </si>
  <si>
    <t>https://www.youtube.com/watch?v=oxwUqSAbMLY</t>
  </si>
  <si>
    <t>238 - Concorrência pt 10 - Executors pt 03 - Interface Callable</t>
  </si>
  <si>
    <t>https://www.youtube.com/watch?v=ct9KQy16pVE</t>
  </si>
  <si>
    <t>239 - Concorrência pt 11 - Executors pt 04 - Future</t>
  </si>
  <si>
    <t>11 Minutes, 7 Seconds</t>
  </si>
  <si>
    <t>https://www.youtube.com/watch?v=NzXEuBgTHKE</t>
  </si>
  <si>
    <t>240 - Concorrência pt 12 - CompletableFuture pt 01 - get and join</t>
  </si>
  <si>
    <t>17 Minutes, 25 Seconds</t>
  </si>
  <si>
    <t>https://www.youtube.com/watch?v=ZKDgjM_x4bo</t>
  </si>
  <si>
    <t>241 - Concorrência pt 13 - CompletableFuture pt 02 - Streams</t>
  </si>
  <si>
    <t>6 Minutes, 45 Seconds</t>
  </si>
  <si>
    <t>https://www.youtube.com/watch?v=iPQNgSnj41o</t>
  </si>
  <si>
    <t>242 - Concorrência pt 14 - CompletableFuture pt 03 - ThreadFactory</t>
  </si>
  <si>
    <t>https://www.youtube.com/watch?v=o7x9PmwKxv0</t>
  </si>
  <si>
    <t>243 - Concorrência pt 15 - CompletableFuture pt 04 - Encadeando chamadas pt 01</t>
  </si>
  <si>
    <t>18 Minutes, 36 Seconds</t>
  </si>
  <si>
    <t>https://www.youtube.com/watch?v=Id9RyqFuRiM</t>
  </si>
  <si>
    <t>244 - Concorrência pt 16 - CompletableFuture pt 05 - Encadeando chamadas pt 02</t>
  </si>
  <si>
    <t>13 Minutes, 5 Seconds</t>
  </si>
  <si>
    <t>https://www.youtube.com/watch?v=W2j3KzVgiAs</t>
  </si>
  <si>
    <t>245 - Concorrência pt 17 - CompletableFuture pt 06 - allOf, anyOf</t>
  </si>
  <si>
    <t>https://www.youtube.com/watch?v=BdOD7-unrRM</t>
  </si>
  <si>
    <t>246 - Padrões de Projeto pt 01 - Builder</t>
  </si>
  <si>
    <t>13 Minutes, 46 Seconds</t>
  </si>
  <si>
    <t>https://www.youtube.com/watch?v=UL-FdBvthHU</t>
  </si>
  <si>
    <t>247 - Padrões de Projeto pt 02 - Factory</t>
  </si>
  <si>
    <t>https://www.youtube.com/watch?v=k3BbX3Ysd5o</t>
  </si>
  <si>
    <t>248 - Padrões de Projeto pt 03 - Singleton pt 01 - Eager Initialization</t>
  </si>
  <si>
    <t>10 Minutes, 44 Seconds</t>
  </si>
  <si>
    <t>https://www.youtube.com/watch?v=p4e2YMW3H6k</t>
  </si>
  <si>
    <t>249 - Padrões de Projeto pt 04 - Singleton pt 02 - Lazy Initialization</t>
  </si>
  <si>
    <t>https://www.youtube.com/watch?v=9OvzSW1hAY0</t>
  </si>
  <si>
    <t>250 - Padrões de Projeto pt 05 - Singleton pt 03 - Singleton with enumeration</t>
  </si>
  <si>
    <t>4 Minutes, 46 Seconds</t>
  </si>
  <si>
    <t>https://www.youtube.com/watch?v=eutGuy74Ccg</t>
  </si>
  <si>
    <t>251 - Padrões de Projeto pt 06 - Data Transfer Object</t>
  </si>
  <si>
    <t>7 Minutes, 24 Seconds</t>
  </si>
  <si>
    <t>https://www.youtube.com/watch?v=DVtkSOD86Ag</t>
  </si>
  <si>
    <t>252 - JDBC pt 01 - Instalando Docker</t>
  </si>
  <si>
    <t>8 Minutes, 59 Seconds</t>
  </si>
  <si>
    <t>https://www.youtube.com/watch?v=Q4UgGZfTgCs</t>
  </si>
  <si>
    <t>253 - JDBC pt 02 - Criando container MySQL</t>
  </si>
  <si>
    <t>13 Minutes, 42 Seconds</t>
  </si>
  <si>
    <t>https://www.youtube.com/watch?v=VUbrBmiKkeQ</t>
  </si>
  <si>
    <t>254 - JDBC pt 03 - Instalando Workbench, criando schema e tabelas</t>
  </si>
  <si>
    <t>12 Minutes, 35 Seconds</t>
  </si>
  <si>
    <t>https://www.youtube.com/watch?v=NO8zP0Xyl8Q</t>
  </si>
  <si>
    <t>255 - JDBC pt 04 - Instalando e adicionando maven ao projeto</t>
  </si>
  <si>
    <t>14 Minutes, 16 Seconds</t>
  </si>
  <si>
    <t>https://www.youtube.com/watch?v=1MPs67lkmuA</t>
  </si>
  <si>
    <t>256 - JDBC pt 05 - Adicionando dependência e conectando com banco</t>
  </si>
  <si>
    <t>9 Minutes, 59 Seconds</t>
  </si>
  <si>
    <t>https://www.youtube.com/watch?v=JatWzzOSGwg</t>
  </si>
  <si>
    <t>257 - JDBC pt 06 - Inserindo dados com Statement</t>
  </si>
  <si>
    <t>13 Minutes, 39 Seconds</t>
  </si>
  <si>
    <t>https://www.youtube.com/watch?v=-1Ctzcf3bFQ</t>
  </si>
  <si>
    <t>258 - JDBC pt 07 - Lombok e Log4J2</t>
  </si>
  <si>
    <t>19 Minutes, 2 Seconds</t>
  </si>
  <si>
    <t>https://www.youtube.com/watch?v=Dpe6f7JpVIk</t>
  </si>
  <si>
    <t>259 - JDBC pt 08 - Deletando dados com Statement</t>
  </si>
  <si>
    <t>https://www.youtube.com/watch?v=jO0dAZ2CnJY</t>
  </si>
  <si>
    <t>260 - JDBC pt 09 - Atualizando dados com Statement</t>
  </si>
  <si>
    <t>https://www.youtube.com/watch?v=e_qj9ee4cv0</t>
  </si>
  <si>
    <t>261 - JDBC pt 10 - Buscando dados com ResultSet pt 01 - findAll</t>
  </si>
  <si>
    <t>https://www.youtube.com/watch?v=SA88IvP6Wr8</t>
  </si>
  <si>
    <t>262 - JDBC pt 11 - Buscando dados com ResultSet pt 02 - findByName</t>
  </si>
  <si>
    <t>7 Minutes, 1 Seconds</t>
  </si>
  <si>
    <t>https://www.youtube.com/watch?v=kAsRdPNp1-E</t>
  </si>
  <si>
    <t>263 - JDBC pt 12 - ResultSetMetaData</t>
  </si>
  <si>
    <t>https://www.youtube.com/watch?v=l0bMybn4trY</t>
  </si>
  <si>
    <t>264 - JDBC pt 13 - DatabaseMetaData</t>
  </si>
  <si>
    <t>8 Minutes, 28 Seconds</t>
  </si>
  <si>
    <t>https://www.youtube.com/watch?v=uaaseJJIhes</t>
  </si>
  <si>
    <t>265 - JDBC pt 14 - ResultSet TYPE SCROLL INSENSITIVE</t>
  </si>
  <si>
    <t>12 Minutes, 9 Seconds</t>
  </si>
  <si>
    <t>https://www.youtube.com/watch?v=0M4RboYfjP4</t>
  </si>
  <si>
    <t>266 - JDBC pt 15 - Atualizando registros com ResultSet</t>
  </si>
  <si>
    <t>6 Minutes, 56 Seconds</t>
  </si>
  <si>
    <t>https://www.youtube.com/watch?v=TIunWd7vVX8</t>
  </si>
  <si>
    <t>267 - JDBC pt 16 - Inserindo e deletando registros com ResultSet</t>
  </si>
  <si>
    <t>https://www.youtube.com/watch?v=xeAYUaI3fbU</t>
  </si>
  <si>
    <t>268 - JDBC pt 17 - PreparedStatement pt 01</t>
  </si>
  <si>
    <t>14 Minutes, 57 Seconds</t>
  </si>
  <si>
    <t>https://www.youtube.com/watch?v=uQ2cESUncjM</t>
  </si>
  <si>
    <t>269 - JDBC pt 18 - PreparedStatement pt 02</t>
  </si>
  <si>
    <t>https://www.youtube.com/watch?v=8gbs3yGJtE8</t>
  </si>
  <si>
    <t>270 - JDBC pt 19 - CallableStatement</t>
  </si>
  <si>
    <t>9 Minutes, 20 Seconds</t>
  </si>
  <si>
    <t>https://www.youtube.com/watch?v=PRXFwv9p4qI</t>
  </si>
  <si>
    <t>271 - JDBC pt 20 - Connected RowSet - JdbcRowSet pt 01</t>
  </si>
  <si>
    <t>9 Minutes, 55 Seconds</t>
  </si>
  <si>
    <t>https://www.youtube.com/watch?v=wWLEz5wlpiE</t>
  </si>
  <si>
    <t>272 - JDBC pt 21 - Connected RowSet - JdbcRowSet pt 02</t>
  </si>
  <si>
    <t>11 Minutes, 29 Seconds</t>
  </si>
  <si>
    <t>https://www.youtube.com/watch?v=tvQcULQvYag</t>
  </si>
  <si>
    <t>273 - JDBC pt 22 - Disconnected RowSet - CachedRowSet</t>
  </si>
  <si>
    <t>https://www.youtube.com/watch?v=Fau61I3F5CY</t>
  </si>
  <si>
    <t>274 - JDBC pt 23 - Transação</t>
  </si>
  <si>
    <t>13 Minutes, 55 Seconds</t>
  </si>
  <si>
    <t>https://www.youtube.com/watch?v=ivueCjdK6C0</t>
  </si>
  <si>
    <t>275 - JDBC pt 24 - CRUD pt 01 - findByName and findAll</t>
  </si>
  <si>
    <t>18 Minutes, 32 Seconds</t>
  </si>
  <si>
    <t>https://www.youtube.com/watch?v=pBgOitdJbgY</t>
  </si>
  <si>
    <t>276 - JDBC pt 25 - CRUD pt 02 - delete</t>
  </si>
  <si>
    <t>11 Minutes, 2 Seconds</t>
  </si>
  <si>
    <t>https://www.youtube.com/watch?v=b-eWIeQ9PnQ</t>
  </si>
  <si>
    <t>277 - JDBC pt 26 - CRUD pt 03 - save</t>
  </si>
  <si>
    <t>10 Minutes, 49 Seconds</t>
  </si>
  <si>
    <t>https://www.youtube.com/watch?v=AlefsI8CiqY</t>
  </si>
  <si>
    <t>278 - JDBC pt 27 - CRUD pt 04 - update</t>
  </si>
  <si>
    <t>https://www.youtube.com/watch?v=0_-P83Uv_pA</t>
  </si>
  <si>
    <t>279 - JDBC pt 28 - CRUD pt 05 - Anime Crud</t>
  </si>
  <si>
    <t>25 Minutes, 25 Seconds</t>
  </si>
  <si>
    <t>https://www.youtube.com/watch?v=sehuZWtXo-M</t>
  </si>
  <si>
    <t>280 - Testes unitários com jUnit pt 01</t>
  </si>
  <si>
    <t>15 Minutes, 13 Seconds</t>
  </si>
  <si>
    <t>https://www.youtube.com/watch?v=jdBsFPF_w9Q</t>
  </si>
  <si>
    <t>281 - Testes unitários com jUnit pt 02</t>
  </si>
  <si>
    <t>18 Minutes, 19 Seconds</t>
  </si>
  <si>
    <t>https://www.youtube.com/watch?v=N5iaGF90XGg</t>
  </si>
  <si>
    <t>282 - Atualizando JDK</t>
  </si>
  <si>
    <t>6 Minutes, 9 Seconds</t>
  </si>
  <si>
    <t>https://www.youtube.com/watch?v=K0NNErTM1QU</t>
  </si>
  <si>
    <t>283 - Record Class</t>
  </si>
  <si>
    <t>13 Minutes, 11 Seconds</t>
  </si>
  <si>
    <t>https://www.youtube.com/watch?v=mAioJY5_hFk</t>
  </si>
  <si>
    <t>284 - Pattern Matching for instanceof</t>
  </si>
  <si>
    <t>https://www.youtube.com/watch?v=KYN9UfPpJ38</t>
  </si>
  <si>
    <t>285 - É só correr pro abraço</t>
  </si>
  <si>
    <t>3 Minutes, 4 Seconds</t>
  </si>
  <si>
    <t>https://www.youtube.com/watch?v=ti-Yb11y_m8</t>
  </si>
  <si>
    <t>git status
git add .
git commit -m "xx/xx/xx"
git push</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</si>
</sst>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HH:mm:ss"/>
    <numFmt numFmtId="166" formatCode="hh:mm:ss"/>
    <numFmt numFmtId="167" formatCode="dd/MM/yyyy"/>
  </numFmts>
  <fonts count="29">
    <font>
      <sz val="10.0"/>
      <color rgb="FF000000"/>
      <name val="Arial"/>
      <scheme val="minor"/>
    </font>
    <font>
      <sz val="11.0"/>
      <color rgb="FF000000"/>
      <name val="Arial"/>
    </font>
    <font>
      <sz val="11.0"/>
      <color rgb="FF000000"/>
      <name val="&quot;Aptos Narrow&quot;"/>
    </font>
    <font>
      <b/>
      <sz val="11.0"/>
      <color rgb="FF000000"/>
      <name val="&quot;Aptos Narrow&quot;"/>
    </font>
    <font>
      <color rgb="FF000000"/>
      <name val="Arial"/>
      <scheme val="minor"/>
    </font>
    <font>
      <u/>
      <sz val="11.0"/>
      <color rgb="FF0000FF"/>
      <name val="Arial"/>
    </font>
    <font>
      <color theme="1"/>
      <name val="Arial"/>
      <scheme val="minor"/>
    </font>
    <font>
      <sz val="9.0"/>
      <color theme="1"/>
      <name val="Google Sans Mono"/>
    </font>
    <font>
      <color rgb="FF434343"/>
      <name val="Roboto"/>
    </font>
    <font>
      <u/>
      <sz val="9.0"/>
      <color theme="1"/>
      <name val="Google Sans Mono"/>
    </font>
    <font>
      <sz val="9.0"/>
      <color theme="1"/>
      <name val="Arial"/>
      <scheme val="minor"/>
    </font>
    <font>
      <b/>
      <sz val="9.0"/>
      <color rgb="FF000000"/>
      <name val="&quot;Aptos Narrow&quot;"/>
    </font>
    <font>
      <b/>
      <sz val="11.0"/>
      <color rgb="FF000000"/>
      <name val="Arial"/>
    </font>
    <font>
      <b/>
      <sz val="9.0"/>
      <color rgb="FF000000"/>
      <name val="Arial"/>
    </font>
    <font>
      <sz val="9.0"/>
      <color rgb="FF000000"/>
      <name val="Arial"/>
    </font>
    <font>
      <u/>
      <sz val="9.0"/>
      <color rgb="FF000000"/>
      <name val="Arial"/>
    </font>
    <font>
      <sz val="11.0"/>
      <color theme="1"/>
      <name val="Arial"/>
    </font>
    <font>
      <sz val="9.0"/>
      <color theme="1"/>
      <name val="Arial"/>
    </font>
    <font>
      <color theme="1"/>
      <name val="Arial"/>
    </font>
    <font>
      <u/>
      <sz val="9.0"/>
      <color rgb="FF0000FF"/>
      <name val="Arial"/>
    </font>
    <font>
      <u/>
      <sz val="9.0"/>
      <color rgb="FF434343"/>
      <name val="Arial"/>
    </font>
    <font>
      <sz val="9.0"/>
      <color rgb="FF434343"/>
      <name val="Arial"/>
    </font>
    <font>
      <sz val="11.0"/>
      <color rgb="FF434343"/>
      <name val="Arial"/>
    </font>
    <font>
      <u/>
      <sz val="9.0"/>
      <color rgb="FF434343"/>
      <name val="Arial"/>
    </font>
    <font>
      <u/>
      <sz val="9.0"/>
      <color rgb="FF0000FF"/>
      <name val="Arial"/>
    </font>
    <font>
      <sz val="11.0"/>
      <color rgb="FF1B1C1D"/>
      <name val="'Google Sans Text'"/>
    </font>
    <font>
      <b/>
      <sz val="11.0"/>
      <color rgb="FF1B1C1D"/>
      <name val="'Google Sans Text'"/>
    </font>
    <font>
      <sz val="12.0"/>
      <color rgb="FF000000"/>
      <name val="Calibri"/>
    </font>
    <font>
      <u/>
      <sz val="12.0"/>
      <color rgb="FF000000"/>
      <name val="Calibri"/>
    </font>
  </fonts>
  <fills count="5">
    <fill>
      <patternFill patternType="none"/>
    </fill>
    <fill>
      <patternFill patternType="lightGray"/>
    </fill>
    <fill>
      <patternFill patternType="solid">
        <fgColor rgb="FFFFFFFF"/>
        <bgColor rgb="FFFFFFFF"/>
      </patternFill>
    </fill>
    <fill>
      <patternFill patternType="solid">
        <fgColor rgb="FFF8F9FA"/>
        <bgColor rgb="FFF8F9FA"/>
      </patternFill>
    </fill>
    <fill>
      <patternFill patternType="solid">
        <fgColor rgb="FFFFFF00"/>
        <bgColor rgb="FFFFFF00"/>
      </patternFill>
    </fill>
  </fills>
  <borders count="8">
    <border/>
    <border>
      <left style="thin">
        <color rgb="FFF8F9FA"/>
      </left>
      <right style="thin">
        <color rgb="FFF8F9FA"/>
      </right>
      <top style="thin">
        <color rgb="FFF8F9FA"/>
      </top>
      <bottom style="thin">
        <color rgb="FFF8F9FA"/>
      </bottom>
    </border>
    <border>
      <left style="thin">
        <color rgb="FF284E3F"/>
      </left>
      <right style="thin">
        <color rgb="FFF8F9FA"/>
      </right>
      <top style="thin">
        <color rgb="FFF8F9FA"/>
      </top>
      <bottom style="thin">
        <color rgb="FFF8F9FA"/>
      </bottom>
    </border>
    <border>
      <left style="thin">
        <color rgb="FFFFFFFF"/>
      </left>
      <right style="thin">
        <color rgb="FFFFFFFF"/>
      </right>
      <top style="thin">
        <color rgb="FFFFFFFF"/>
      </top>
      <bottom style="thin">
        <color rgb="FFFFFFFF"/>
      </bottom>
    </border>
    <border>
      <left style="thin">
        <color rgb="FF284E3F"/>
      </left>
      <right style="thin">
        <color rgb="FFFFFFFF"/>
      </right>
      <top style="thin">
        <color rgb="FFFFFFFF"/>
      </top>
      <bottom style="thin">
        <color rgb="FFFFFFFF"/>
      </bottom>
    </border>
    <border>
      <left style="thin">
        <color rgb="FFF8F9FA"/>
      </left>
      <right style="thin">
        <color rgb="FF38416A"/>
      </right>
      <top style="thin">
        <color rgb="FFF8F9FA"/>
      </top>
      <bottom style="thin">
        <color rgb="FFF8F9FA"/>
      </bottom>
    </border>
    <border>
      <left style="thin">
        <color rgb="FFFFFFFF"/>
      </left>
      <right style="thin">
        <color rgb="FF38416A"/>
      </right>
      <top style="thin">
        <color rgb="FFFFFFFF"/>
      </top>
      <bottom style="thin">
        <color rgb="FFFFFFFF"/>
      </bottom>
    </border>
    <border>
      <left style="thin">
        <color rgb="FF38416A"/>
      </left>
      <right style="thin">
        <color rgb="FFF8F9FA"/>
      </right>
      <top style="thin">
        <color rgb="FFF8F9FA"/>
      </top>
      <bottom style="thin">
        <color rgb="FFF8F9FA"/>
      </bottom>
    </border>
  </borders>
  <cellStyleXfs count="1">
    <xf borderId="0" fillId="0" fontId="0" numFmtId="0" applyAlignment="1" applyFont="1"/>
  </cellStyleXfs>
  <cellXfs count="147">
    <xf borderId="0" fillId="0" fontId="0" numFmtId="0" xfId="0" applyAlignment="1" applyFont="1">
      <alignment readingOrder="0" shrinkToFit="0" vertical="bottom"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horizontal="center" readingOrder="0" shrinkToFit="0" vertical="center" wrapText="1"/>
    </xf>
    <xf borderId="0" fillId="0" fontId="3" numFmtId="46" xfId="0" applyAlignment="1" applyFont="1" applyNumberFormat="1">
      <alignment horizontal="center" readingOrder="0" shrinkToFit="0" vertical="center" wrapText="0"/>
    </xf>
    <xf borderId="0" fillId="0" fontId="2" numFmtId="0" xfId="0" applyAlignment="1" applyFont="1">
      <alignment readingOrder="0" shrinkToFit="0" vertical="center" wrapText="1"/>
    </xf>
    <xf borderId="0" fillId="0" fontId="4" numFmtId="0" xfId="0" applyAlignment="1" applyFont="1">
      <alignment vertical="center"/>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0" fillId="0" fontId="1" numFmtId="49" xfId="0" applyAlignment="1" applyFont="1" applyNumberFormat="1">
      <alignment horizontal="center" readingOrder="0" shrinkToFit="0" vertical="center" wrapText="0"/>
    </xf>
    <xf borderId="0" fillId="0" fontId="2" numFmtId="0" xfId="0" applyAlignment="1" applyFont="1">
      <alignment horizontal="left" readingOrder="0" shrinkToFit="0" vertical="center" wrapText="1"/>
    </xf>
    <xf borderId="0" fillId="0" fontId="2" numFmtId="164" xfId="0" applyAlignment="1" applyFont="1" applyNumberFormat="1">
      <alignment horizontal="righ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1"/>
    </xf>
    <xf borderId="0" fillId="0" fontId="2" numFmtId="165" xfId="0" applyAlignment="1" applyFont="1" applyNumberFormat="1">
      <alignment horizontal="center" readingOrder="0" shrinkToFit="0" vertical="center" wrapText="0"/>
    </xf>
    <xf borderId="0" fillId="0" fontId="2" numFmtId="166" xfId="0" applyAlignment="1" applyFont="1" applyNumberFormat="1">
      <alignment horizontal="right" readingOrder="0" shrinkToFit="0" vertical="center" wrapText="0"/>
    </xf>
    <xf borderId="0" fillId="0" fontId="2" numFmtId="0" xfId="0" applyAlignment="1" applyFont="1">
      <alignment horizontal="right" readingOrder="0" shrinkToFit="0" vertical="center" wrapText="1"/>
    </xf>
    <xf borderId="0" fillId="0" fontId="2" numFmtId="164" xfId="0" applyAlignment="1" applyFont="1" applyNumberFormat="1">
      <alignment horizontal="right" readingOrder="0" shrinkToFit="0" vertical="center" wrapText="0"/>
    </xf>
    <xf borderId="0" fillId="0" fontId="4" numFmtId="165" xfId="0" applyAlignment="1" applyFont="1" applyNumberFormat="1">
      <alignment vertical="center"/>
    </xf>
    <xf borderId="0" fillId="0" fontId="1" numFmtId="0" xfId="0" applyAlignment="1" applyFont="1">
      <alignment readingOrder="0" shrinkToFit="0" vertical="center" wrapText="0"/>
    </xf>
    <xf borderId="0" fillId="0" fontId="1" numFmtId="167" xfId="0" applyAlignment="1" applyFont="1" applyNumberFormat="1">
      <alignment readingOrder="0" shrinkToFit="0" vertical="center" wrapText="0"/>
    </xf>
    <xf borderId="0" fillId="0" fontId="1" numFmtId="0" xfId="0" applyAlignment="1" applyFont="1">
      <alignment readingOrder="0" shrinkToFit="0" vertical="center" wrapText="1"/>
    </xf>
    <xf borderId="0" fillId="0" fontId="1" numFmtId="165" xfId="0" applyAlignment="1" applyFont="1" applyNumberFormat="1">
      <alignment horizontal="center" readingOrder="0" shrinkToFit="0" vertical="center" wrapText="0"/>
    </xf>
    <xf borderId="0" fillId="0" fontId="1" numFmtId="165" xfId="0" applyAlignment="1" applyFont="1" applyNumberFormat="1">
      <alignment horizontal="right" readingOrder="0" shrinkToFit="0" vertical="center" wrapText="0"/>
    </xf>
    <xf borderId="0" fillId="0" fontId="1" numFmtId="0" xfId="0" applyAlignment="1" applyFont="1">
      <alignment horizontal="righ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167" xfId="0" applyAlignment="1" applyFont="1" applyNumberFormat="1">
      <alignment readingOrder="0" shrinkToFit="0" vertical="center" wrapText="0"/>
    </xf>
    <xf borderId="0" fillId="0" fontId="4" numFmtId="0" xfId="0" applyAlignment="1" applyFont="1">
      <alignment shrinkToFit="0" vertical="center" wrapText="1"/>
    </xf>
    <xf borderId="0" fillId="0" fontId="1" numFmtId="0" xfId="0" applyAlignment="1" applyFont="1">
      <alignment horizontal="right" readingOrder="0" shrinkToFit="0" vertical="center" wrapText="1"/>
    </xf>
    <xf borderId="0" fillId="2" fontId="1" numFmtId="0" xfId="0" applyAlignment="1" applyFill="1" applyFont="1">
      <alignment shrinkToFit="0" vertical="center" wrapText="0"/>
    </xf>
    <xf borderId="0" fillId="0" fontId="1" numFmtId="0" xfId="0" applyAlignment="1" applyFont="1">
      <alignment readingOrder="0" shrinkToFit="0" vertical="center" wrapText="0"/>
    </xf>
    <xf borderId="1" fillId="3" fontId="1" numFmtId="0" xfId="0" applyAlignment="1" applyBorder="1" applyFill="1" applyFont="1">
      <alignment shrinkToFit="0" vertical="center" wrapText="0"/>
    </xf>
    <xf borderId="1" fillId="3" fontId="1" numFmtId="0" xfId="0" applyAlignment="1" applyBorder="1" applyFont="1">
      <alignment readingOrder="0" shrinkToFit="0" vertical="center" wrapText="0"/>
    </xf>
    <xf borderId="0" fillId="3" fontId="1" numFmtId="0" xfId="0" applyAlignment="1" applyFont="1">
      <alignment readingOrder="0" shrinkToFit="0" vertical="center" wrapText="0"/>
    </xf>
    <xf borderId="0" fillId="0" fontId="1" numFmtId="165" xfId="0" applyAlignment="1" applyFont="1" applyNumberFormat="1">
      <alignment horizontal="center" readingOrder="0" shrinkToFit="0" vertical="center" wrapText="0"/>
    </xf>
    <xf borderId="0" fillId="0" fontId="1" numFmtId="165" xfId="0" applyAlignment="1" applyFont="1" applyNumberFormat="1">
      <alignment horizontal="right" readingOrder="0" shrinkToFit="0" vertical="center" wrapText="0"/>
    </xf>
    <xf borderId="2" fillId="3" fontId="1" numFmtId="167" xfId="0" applyAlignment="1" applyBorder="1" applyFont="1" applyNumberFormat="1">
      <alignment horizontal="right" readingOrder="0" shrinkToFit="0" vertical="center" wrapText="0"/>
    </xf>
    <xf borderId="1" fillId="3" fontId="1" numFmtId="0" xfId="0" applyAlignment="1" applyBorder="1" applyFont="1">
      <alignment shrinkToFit="0" vertical="center" wrapText="0"/>
    </xf>
    <xf borderId="1" fillId="3" fontId="1" numFmtId="0" xfId="0" applyAlignment="1" applyBorder="1" applyFont="1">
      <alignment readingOrder="0" shrinkToFit="0" vertical="center" wrapText="1"/>
    </xf>
    <xf borderId="1" fillId="3" fontId="1" numFmtId="165" xfId="0" applyAlignment="1" applyBorder="1" applyFont="1" applyNumberFormat="1">
      <alignment horizontal="center" readingOrder="0" shrinkToFit="0" vertical="center" wrapText="0"/>
    </xf>
    <xf borderId="1" fillId="3" fontId="1" numFmtId="165" xfId="0" applyAlignment="1" applyBorder="1" applyFont="1" applyNumberFormat="1">
      <alignment horizontal="right" readingOrder="0" shrinkToFit="0" vertical="center" wrapText="0"/>
    </xf>
    <xf borderId="3" fillId="2" fontId="1" numFmtId="0" xfId="0" applyAlignment="1" applyBorder="1" applyFont="1">
      <alignment shrinkToFit="0" vertical="center" wrapText="0"/>
    </xf>
    <xf borderId="3" fillId="2" fontId="1" numFmtId="0" xfId="0" applyAlignment="1" applyBorder="1" applyFont="1">
      <alignment shrinkToFit="0" vertical="center" wrapText="1"/>
    </xf>
    <xf borderId="3" fillId="2" fontId="1" numFmtId="165" xfId="0" applyAlignment="1" applyBorder="1" applyFont="1" applyNumberFormat="1">
      <alignment horizontal="center" shrinkToFit="0" vertical="center" wrapText="0"/>
    </xf>
    <xf borderId="3" fillId="2" fontId="1" numFmtId="165" xfId="0" applyAlignment="1" applyBorder="1" applyFont="1" applyNumberFormat="1">
      <alignment horizontal="right" shrinkToFit="0" vertical="center" wrapText="0"/>
    </xf>
    <xf borderId="1" fillId="3" fontId="1" numFmtId="0" xfId="0" applyAlignment="1" applyBorder="1" applyFont="1">
      <alignment shrinkToFit="0" vertical="center" wrapText="1"/>
    </xf>
    <xf borderId="1" fillId="3" fontId="1" numFmtId="165" xfId="0" applyAlignment="1" applyBorder="1" applyFont="1" applyNumberFormat="1">
      <alignment horizontal="center" shrinkToFit="0" vertical="center" wrapText="0"/>
    </xf>
    <xf borderId="1" fillId="3" fontId="1" numFmtId="165" xfId="0" applyAlignment="1" applyBorder="1" applyFont="1" applyNumberFormat="1">
      <alignment horizontal="right" shrinkToFit="0" vertical="center" wrapText="0"/>
    </xf>
    <xf borderId="0" fillId="3" fontId="1" numFmtId="167" xfId="0" applyAlignment="1" applyFont="1" applyNumberFormat="1">
      <alignment horizontal="right" readingOrder="0" shrinkToFit="0" vertical="center" wrapText="0"/>
    </xf>
    <xf borderId="0" fillId="2" fontId="1" numFmtId="0" xfId="0" applyAlignment="1" applyFont="1">
      <alignment readingOrder="0" shrinkToFit="0" vertical="center" wrapText="1"/>
    </xf>
    <xf borderId="0" fillId="2" fontId="1" numFmtId="165" xfId="0" applyAlignment="1" applyFont="1" applyNumberFormat="1">
      <alignment horizontal="center" readingOrder="0" shrinkToFit="0" vertical="center" wrapText="0"/>
    </xf>
    <xf borderId="0" fillId="2" fontId="1" numFmtId="165" xfId="0" applyAlignment="1" applyFont="1" applyNumberFormat="1">
      <alignment horizontal="right" readingOrder="0" shrinkToFit="0" vertical="center" wrapText="0"/>
    </xf>
    <xf borderId="3" fillId="2" fontId="1" numFmtId="165" xfId="0" applyAlignment="1" applyBorder="1" applyFont="1" applyNumberFormat="1">
      <alignment horizontal="center" readingOrder="0" shrinkToFit="0" vertical="center" wrapText="0"/>
    </xf>
    <xf borderId="3" fillId="2" fontId="1" numFmtId="165" xfId="0" applyAlignment="1" applyBorder="1" applyFont="1" applyNumberFormat="1">
      <alignment horizontal="right" readingOrder="0" shrinkToFit="0" vertical="center" wrapText="0"/>
    </xf>
    <xf borderId="0" fillId="3" fontId="1" numFmtId="0" xfId="0" applyAlignment="1" applyFont="1">
      <alignment readingOrder="0" shrinkToFit="0" vertical="center" wrapText="1"/>
    </xf>
    <xf borderId="0" fillId="3" fontId="1" numFmtId="165" xfId="0" applyAlignment="1" applyFont="1" applyNumberFormat="1">
      <alignment horizontal="center" readingOrder="0" shrinkToFit="0" vertical="center" wrapText="0"/>
    </xf>
    <xf borderId="1" fillId="3" fontId="5" numFmtId="0" xfId="0" applyAlignment="1" applyBorder="1" applyFont="1">
      <alignment readingOrder="0" shrinkToFit="0" vertical="center" wrapText="1"/>
    </xf>
    <xf borderId="1" fillId="3" fontId="1" numFmtId="0" xfId="0" applyAlignment="1" applyBorder="1" applyFont="1">
      <alignment readingOrder="0" shrinkToFit="0" vertical="center" wrapText="0"/>
    </xf>
    <xf borderId="0" fillId="3" fontId="1" numFmtId="0" xfId="0" applyAlignment="1" applyFont="1">
      <alignment horizontal="center" readingOrder="0" shrinkToFit="0" vertical="center" wrapText="0"/>
    </xf>
    <xf borderId="0" fillId="3" fontId="1" numFmtId="165" xfId="0" applyAlignment="1" applyFont="1" applyNumberFormat="1">
      <alignment horizontal="right" readingOrder="0" shrinkToFit="0" vertical="center" wrapText="0"/>
    </xf>
    <xf borderId="0" fillId="3" fontId="1" numFmtId="0" xfId="0" applyAlignment="1" applyFont="1">
      <alignment readingOrder="0" shrinkToFit="0" vertical="center" wrapText="0"/>
    </xf>
    <xf borderId="0" fillId="0" fontId="6" numFmtId="0" xfId="0" applyAlignment="1" applyFont="1">
      <alignment horizontal="left" readingOrder="0" shrinkToFit="0" vertical="center" wrapText="1"/>
    </xf>
    <xf borderId="0" fillId="0" fontId="6" numFmtId="49" xfId="0" applyAlignment="1" applyFont="1" applyNumberFormat="1">
      <alignment horizontal="left" readingOrder="0" shrinkToFit="0" vertical="center" wrapText="1"/>
    </xf>
    <xf borderId="0" fillId="0" fontId="6" numFmtId="0" xfId="0" applyAlignment="1" applyFont="1">
      <alignment horizontal="left" readingOrder="0" shrinkToFit="0" vertical="center" wrapText="1"/>
    </xf>
    <xf borderId="0" fillId="0" fontId="6" numFmtId="0" xfId="0" applyAlignment="1" applyFont="1">
      <alignment horizontal="left" readingOrder="0" shrinkToFit="0" vertical="center" wrapText="0"/>
    </xf>
    <xf borderId="0" fillId="0" fontId="6" numFmtId="0" xfId="0" applyAlignment="1" applyFont="1">
      <alignment readingOrder="0" shrinkToFit="0" vertical="center" wrapText="0"/>
    </xf>
    <xf borderId="0" fillId="0" fontId="6" numFmtId="0" xfId="0" applyAlignment="1" applyFont="1">
      <alignment shrinkToFit="0" vertical="center" wrapText="0"/>
    </xf>
    <xf borderId="0" fillId="0" fontId="6" numFmtId="164" xfId="0" applyAlignment="1" applyFont="1" applyNumberFormat="1">
      <alignment readingOrder="0" shrinkToFit="0" vertical="center" wrapText="0"/>
    </xf>
    <xf borderId="0" fillId="0" fontId="6" numFmtId="0" xfId="0" applyAlignment="1" applyFont="1">
      <alignment shrinkToFit="0" vertical="center" wrapText="0"/>
    </xf>
    <xf borderId="0" fillId="0" fontId="6" numFmtId="0" xfId="0" applyAlignment="1" applyFont="1">
      <alignment readingOrder="0" shrinkToFit="0" vertical="center" wrapText="0"/>
    </xf>
    <xf borderId="0" fillId="0" fontId="7" numFmtId="0" xfId="0" applyAlignment="1" applyFont="1">
      <alignment readingOrder="0" shrinkToFit="0" vertical="center" wrapText="0"/>
    </xf>
    <xf borderId="0" fillId="4" fontId="6" numFmtId="0" xfId="0" applyAlignment="1" applyFill="1" applyFont="1">
      <alignment readingOrder="0" shrinkToFit="0" vertical="center" wrapText="0"/>
    </xf>
    <xf borderId="4" fillId="2" fontId="8" numFmtId="0" xfId="0" applyAlignment="1" applyBorder="1" applyFont="1">
      <alignment shrinkToFit="0" vertical="center" wrapText="0"/>
    </xf>
    <xf borderId="3" fillId="2" fontId="8" numFmtId="0" xfId="0" applyAlignment="1" applyBorder="1" applyFont="1">
      <alignment shrinkToFit="0" vertical="center" wrapText="0"/>
    </xf>
    <xf borderId="0" fillId="0" fontId="9" numFmtId="0" xfId="0" applyAlignment="1" applyFont="1">
      <alignment readingOrder="0" shrinkToFit="0" vertical="center" wrapText="0"/>
    </xf>
    <xf borderId="0" fillId="0" fontId="6" numFmtId="0" xfId="0" applyAlignment="1" applyFont="1">
      <alignment shrinkToFit="0" wrapText="1"/>
    </xf>
    <xf borderId="0" fillId="0" fontId="10" numFmtId="0" xfId="0" applyFont="1"/>
    <xf borderId="0" fillId="0" fontId="10" numFmtId="0" xfId="0" applyAlignment="1" applyFont="1">
      <alignment shrinkToFit="0" wrapText="1"/>
    </xf>
    <xf borderId="0" fillId="0" fontId="3" numFmtId="46" xfId="0" applyAlignment="1" applyFont="1" applyNumberFormat="1">
      <alignment horizontal="center" readingOrder="0" shrinkToFit="0" vertical="center" wrapText="1"/>
    </xf>
    <xf borderId="0" fillId="0" fontId="11" numFmtId="46" xfId="0" applyAlignment="1" applyFont="1" applyNumberFormat="1">
      <alignment horizontal="center" readingOrder="0" shrinkToFit="0" vertical="center" wrapText="1"/>
    </xf>
    <xf borderId="0" fillId="0" fontId="12" numFmtId="49" xfId="0" applyAlignment="1" applyFont="1" applyNumberFormat="1">
      <alignment horizontal="center" readingOrder="0" shrinkToFit="0" vertical="center" wrapText="1"/>
    </xf>
    <xf borderId="0" fillId="0" fontId="13" numFmtId="49" xfId="0" applyAlignment="1" applyFont="1" applyNumberFormat="1">
      <alignment horizontal="center" readingOrder="0" shrinkToFit="0" vertical="center" wrapText="1"/>
    </xf>
    <xf borderId="0" fillId="0" fontId="1" numFmtId="167" xfId="0" applyAlignment="1" applyFont="1" applyNumberFormat="1">
      <alignment horizontal="right" readingOrder="0" shrinkToFit="0" vertical="center" wrapText="0"/>
    </xf>
    <xf borderId="0" fillId="0" fontId="1" numFmtId="0" xfId="0" applyAlignment="1" applyFont="1">
      <alignment horizontal="center" readingOrder="0" shrinkToFit="0" vertical="center" wrapText="1"/>
    </xf>
    <xf borderId="0" fillId="0" fontId="14" numFmtId="0" xfId="0" applyAlignment="1" applyFont="1">
      <alignment readingOrder="0" shrinkToFit="0" vertical="center" wrapText="1"/>
    </xf>
    <xf borderId="0" fillId="0" fontId="14"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4" numFmtId="0" xfId="0" applyAlignment="1" applyFont="1">
      <alignment horizontal="center" readingOrder="0" shrinkToFit="0" vertical="center" wrapText="1"/>
    </xf>
    <xf borderId="0" fillId="0" fontId="1" numFmtId="167" xfId="0" applyAlignment="1" applyFont="1" applyNumberFormat="1">
      <alignment horizontal="right" readingOrder="0" shrinkToFit="0" vertical="center" wrapText="0"/>
    </xf>
    <xf borderId="0" fillId="0" fontId="14" numFmtId="0" xfId="0" applyAlignment="1" applyFont="1">
      <alignment readingOrder="0" shrinkToFit="0" vertical="center" wrapText="1"/>
    </xf>
    <xf borderId="0" fillId="0" fontId="15" numFmtId="0" xfId="0" applyAlignment="1" applyFont="1">
      <alignment horizontal="center" readingOrder="0" shrinkToFit="0" vertical="center" wrapText="1"/>
    </xf>
    <xf borderId="3" fillId="2" fontId="16" numFmtId="0" xfId="0" applyAlignment="1" applyBorder="1" applyFont="1">
      <alignment shrinkToFit="0" vertical="center" wrapText="1"/>
    </xf>
    <xf borderId="3" fillId="2" fontId="16" numFmtId="0" xfId="0" applyAlignment="1" applyBorder="1" applyFont="1">
      <alignment horizontal="center" shrinkToFit="0" vertical="center" wrapText="1"/>
    </xf>
    <xf borderId="3" fillId="2" fontId="17" numFmtId="0" xfId="0" applyAlignment="1" applyBorder="1" applyFont="1">
      <alignment shrinkToFit="0" vertical="center" wrapText="0"/>
    </xf>
    <xf borderId="3" fillId="2" fontId="18" numFmtId="0" xfId="0" applyAlignment="1" applyBorder="1" applyFont="1">
      <alignment shrinkToFit="0" vertical="center" wrapText="0"/>
    </xf>
    <xf borderId="0" fillId="2" fontId="18" numFmtId="0" xfId="0" applyAlignment="1" applyFont="1">
      <alignment shrinkToFit="0" vertical="center" wrapText="0"/>
    </xf>
    <xf borderId="0" fillId="0" fontId="1" numFmtId="0" xfId="0" applyAlignment="1" applyFont="1">
      <alignment shrinkToFit="0" vertical="center" wrapText="1"/>
    </xf>
    <xf borderId="0" fillId="0" fontId="1" numFmtId="0" xfId="0" applyAlignment="1" applyFont="1">
      <alignment horizontal="center" shrinkToFit="0" vertical="center" wrapText="1"/>
    </xf>
    <xf borderId="0" fillId="0" fontId="14" numFmtId="0" xfId="0" applyAlignment="1" applyFont="1">
      <alignment shrinkToFit="0" vertical="center" wrapText="1"/>
    </xf>
    <xf borderId="0" fillId="0" fontId="1" numFmtId="167" xfId="0" applyAlignment="1" applyFont="1" applyNumberFormat="1">
      <alignment readingOrder="0" shrinkToFit="0" vertical="center" wrapText="1"/>
    </xf>
    <xf borderId="0" fillId="2" fontId="16" numFmtId="165" xfId="0" applyAlignment="1" applyFont="1" applyNumberFormat="1">
      <alignment horizontal="right" readingOrder="0"/>
    </xf>
    <xf borderId="0" fillId="0" fontId="6" numFmtId="166" xfId="0" applyAlignment="1" applyFont="1" applyNumberFormat="1">
      <alignment readingOrder="0"/>
    </xf>
    <xf borderId="0" fillId="0" fontId="1" numFmtId="0" xfId="0" applyAlignment="1" applyFont="1">
      <alignment shrinkToFit="0" vertical="center" wrapText="1"/>
    </xf>
    <xf borderId="0" fillId="0" fontId="19" numFmtId="0" xfId="0" applyAlignment="1" applyFont="1">
      <alignment horizontal="center" readingOrder="0" shrinkToFit="0" vertical="center" wrapText="1"/>
    </xf>
    <xf borderId="0" fillId="0" fontId="20" numFmtId="0" xfId="0" applyAlignment="1" applyFont="1">
      <alignment horizontal="center" readingOrder="0" shrinkToFit="0" vertical="center" wrapText="1"/>
    </xf>
    <xf borderId="1" fillId="3" fontId="16" numFmtId="0" xfId="0" applyAlignment="1" applyBorder="1" applyFont="1">
      <alignment shrinkToFit="0" vertical="center" wrapText="1"/>
    </xf>
    <xf borderId="1" fillId="3" fontId="16" numFmtId="0" xfId="0" applyAlignment="1" applyBorder="1" applyFont="1">
      <alignment horizontal="center" shrinkToFit="0" vertical="center" wrapText="1"/>
    </xf>
    <xf borderId="1" fillId="3" fontId="17" numFmtId="0" xfId="0" applyAlignment="1" applyBorder="1" applyFont="1">
      <alignment shrinkToFit="0" vertical="center" wrapText="1"/>
    </xf>
    <xf borderId="0" fillId="0" fontId="17" numFmtId="0" xfId="0" applyAlignment="1" applyFont="1">
      <alignment horizontal="center" readingOrder="0" shrinkToFit="0" vertical="center" wrapText="1"/>
    </xf>
    <xf borderId="1" fillId="3" fontId="18" numFmtId="0" xfId="0" applyAlignment="1" applyBorder="1" applyFont="1">
      <alignment shrinkToFit="0" vertical="center" wrapText="0"/>
    </xf>
    <xf borderId="1" fillId="3" fontId="17" numFmtId="0" xfId="0" applyAlignment="1" applyBorder="1" applyFont="1">
      <alignment horizontal="center" shrinkToFit="0" vertical="center" wrapText="1"/>
    </xf>
    <xf borderId="0" fillId="3" fontId="18" numFmtId="0" xfId="0" applyAlignment="1" applyFont="1">
      <alignment shrinkToFit="0" vertical="center" wrapText="0"/>
    </xf>
    <xf borderId="0" fillId="3" fontId="17" numFmtId="0" xfId="0" applyAlignment="1" applyFont="1">
      <alignment horizontal="center" readingOrder="0" shrinkToFit="0" vertical="center" wrapText="1"/>
    </xf>
    <xf borderId="1" fillId="2" fontId="18" numFmtId="0" xfId="0" applyAlignment="1" applyBorder="1" applyFont="1">
      <alignment shrinkToFit="0" vertical="center" wrapText="0"/>
    </xf>
    <xf borderId="1" fillId="2" fontId="21" numFmtId="0" xfId="0" applyAlignment="1" applyBorder="1" applyFont="1">
      <alignment horizontal="center" shrinkToFit="0" vertical="center" wrapText="1"/>
    </xf>
    <xf borderId="0" fillId="2" fontId="21" numFmtId="0" xfId="0" applyAlignment="1" applyFont="1">
      <alignment horizontal="center" readingOrder="0" shrinkToFit="0" vertical="center" wrapText="1"/>
    </xf>
    <xf borderId="5" fillId="3" fontId="16" numFmtId="165" xfId="0" applyAlignment="1" applyBorder="1" applyFont="1" applyNumberFormat="1">
      <alignment horizontal="right" shrinkToFit="0" vertical="center" wrapText="0"/>
    </xf>
    <xf borderId="0" fillId="3" fontId="16" numFmtId="165" xfId="0" applyAlignment="1" applyFont="1" applyNumberFormat="1">
      <alignment horizontal="right" readingOrder="0" shrinkToFit="0" vertical="center" wrapText="0"/>
    </xf>
    <xf borderId="0" fillId="0" fontId="14" numFmtId="0" xfId="0" applyAlignment="1" applyFont="1">
      <alignment horizontal="center" readingOrder="0" shrinkToFit="0" vertical="center" wrapText="1"/>
    </xf>
    <xf borderId="0" fillId="2" fontId="16" numFmtId="0" xfId="0" applyAlignment="1" applyFont="1">
      <alignment shrinkToFit="0" vertical="center" wrapText="1"/>
    </xf>
    <xf borderId="0" fillId="2" fontId="16" numFmtId="0" xfId="0" applyAlignment="1" applyFont="1">
      <alignment horizontal="center" shrinkToFit="0" vertical="center" wrapText="1"/>
    </xf>
    <xf borderId="0" fillId="2" fontId="17" numFmtId="0" xfId="0" applyAlignment="1" applyFont="1">
      <alignment horizontal="center" shrinkToFit="0" vertical="center" wrapText="1"/>
    </xf>
    <xf borderId="0" fillId="2" fontId="16" numFmtId="165" xfId="0" applyAlignment="1" applyFont="1" applyNumberFormat="1">
      <alignment horizontal="right" shrinkToFit="0" vertical="center" wrapText="0"/>
    </xf>
    <xf borderId="0" fillId="0" fontId="14" numFmtId="0" xfId="0" applyAlignment="1" applyFont="1">
      <alignment horizontal="center" shrinkToFit="0" vertical="center" wrapText="1"/>
    </xf>
    <xf borderId="0" fillId="0" fontId="1" numFmtId="165" xfId="0" applyAlignment="1" applyFont="1" applyNumberFormat="1">
      <alignment horizontal="right" shrinkToFit="0" vertical="center" wrapText="0"/>
    </xf>
    <xf borderId="3" fillId="2" fontId="17" numFmtId="0" xfId="0" applyAlignment="1" applyBorder="1" applyFont="1">
      <alignment horizontal="center" shrinkToFit="0" vertical="center" wrapText="1"/>
    </xf>
    <xf borderId="6" fillId="2" fontId="16" numFmtId="165" xfId="0" applyAlignment="1" applyBorder="1" applyFont="1" applyNumberFormat="1">
      <alignment horizontal="right" shrinkToFit="0" vertical="center" wrapText="0"/>
    </xf>
    <xf borderId="0" fillId="2" fontId="17" numFmtId="0" xfId="0" applyAlignment="1" applyFont="1">
      <alignment horizontal="center" readingOrder="0" shrinkToFit="0" vertical="center" wrapText="1"/>
    </xf>
    <xf borderId="0" fillId="2" fontId="16" numFmtId="165" xfId="0" applyAlignment="1" applyFont="1" applyNumberFormat="1">
      <alignment horizontal="right" readingOrder="0" shrinkToFit="0" vertical="center" wrapText="0"/>
    </xf>
    <xf borderId="1" fillId="3" fontId="22" numFmtId="0" xfId="0" applyAlignment="1" applyBorder="1" applyFont="1">
      <alignment shrinkToFit="0" vertical="center" wrapText="1"/>
    </xf>
    <xf borderId="1" fillId="3" fontId="22" numFmtId="0" xfId="0" applyAlignment="1" applyBorder="1" applyFont="1">
      <alignment horizontal="center" shrinkToFit="0" vertical="center" wrapText="1"/>
    </xf>
    <xf borderId="1" fillId="3" fontId="21" numFmtId="0" xfId="0" applyAlignment="1" applyBorder="1" applyFont="1">
      <alignment horizontal="center" shrinkToFit="0" vertical="center" wrapText="1"/>
    </xf>
    <xf borderId="5" fillId="3" fontId="22" numFmtId="165" xfId="0" applyAlignment="1" applyBorder="1" applyFont="1" applyNumberFormat="1">
      <alignment horizontal="right" shrinkToFit="0" vertical="center" wrapText="0"/>
    </xf>
    <xf borderId="0" fillId="3" fontId="22" numFmtId="165" xfId="0" applyAlignment="1" applyFont="1" applyNumberFormat="1">
      <alignment horizontal="right" readingOrder="0" shrinkToFit="0" vertical="center" wrapText="0"/>
    </xf>
    <xf borderId="1" fillId="3" fontId="23" numFmtId="0" xfId="0" applyAlignment="1" applyBorder="1" applyFont="1">
      <alignment horizontal="center" shrinkToFit="0" vertical="center" wrapText="1"/>
    </xf>
    <xf borderId="0" fillId="3" fontId="24" numFmtId="0" xfId="0" applyAlignment="1" applyFont="1">
      <alignment horizontal="center" readingOrder="0" shrinkToFit="0" vertical="center" wrapText="1"/>
    </xf>
    <xf borderId="1" fillId="3" fontId="16" numFmtId="0" xfId="0" applyAlignment="1" applyBorder="1" applyFont="1">
      <alignment horizontal="center" readingOrder="0" shrinkToFit="0" vertical="center" wrapText="1"/>
    </xf>
    <xf borderId="7" fillId="3" fontId="16" numFmtId="167" xfId="0" applyAlignment="1" applyBorder="1" applyFont="1" applyNumberFormat="1">
      <alignment horizontal="right" readingOrder="0" shrinkToFit="0" vertical="center" wrapText="1"/>
    </xf>
    <xf borderId="0" fillId="3" fontId="16" numFmtId="167" xfId="0" applyAlignment="1" applyFont="1" applyNumberFormat="1">
      <alignment horizontal="right" readingOrder="0" shrinkToFit="0" vertical="center" wrapText="1"/>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5" numFmtId="0" xfId="0" applyAlignment="1" applyFont="1">
      <alignment horizontal="left" readingOrder="0" shrinkToFit="0" vertical="center" wrapText="1"/>
    </xf>
    <xf borderId="0" fillId="0" fontId="26" numFmtId="0" xfId="0" applyAlignment="1" applyFont="1">
      <alignment horizontal="left" readingOrder="0" shrinkToFit="0" vertical="center" wrapText="1"/>
    </xf>
    <xf borderId="0" fillId="0" fontId="27" numFmtId="0" xfId="0" applyAlignment="1" applyFont="1">
      <alignment readingOrder="0" shrinkToFit="0" vertical="bottom" wrapText="0"/>
    </xf>
    <xf borderId="0" fillId="0" fontId="28" numFmtId="0" xfId="0" applyAlignment="1" applyFont="1">
      <alignment readingOrder="0" shrinkToFit="0" vertical="bottom" wrapText="0"/>
    </xf>
    <xf borderId="0" fillId="0" fontId="6" numFmtId="0" xfId="0" applyAlignment="1" applyFont="1">
      <alignment readingOrder="0"/>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
      <font/>
      <fill>
        <patternFill patternType="solid">
          <fgColor rgb="FFF6F8F9"/>
          <bgColor rgb="FFF6F8F9"/>
        </patternFill>
      </fill>
      <border/>
    </dxf>
    <dxf>
      <font/>
      <fill>
        <patternFill patternType="solid">
          <fgColor rgb="FFB7E1CD"/>
          <bgColor rgb="FFB7E1CD"/>
        </patternFill>
      </fill>
      <border/>
    </dxf>
    <dxf>
      <font/>
      <fill>
        <patternFill patternType="solid">
          <fgColor rgb="FF4A568D"/>
          <bgColor rgb="FF4A568D"/>
        </patternFill>
      </fill>
      <border/>
    </dxf>
  </dxfs>
  <tableStyles count="4">
    <tableStyle count="4" pivot="0" name="Ingles-style">
      <tableStyleElement dxfId="1" type="headerRow"/>
      <tableStyleElement dxfId="2" type="firstRowStripe"/>
      <tableStyleElement dxfId="3" type="secondRowStripe"/>
      <tableStyleElement dxfId="4" size="0" type="wholeTable"/>
    </tableStyle>
    <tableStyle count="4" pivot="0" name="Mineiração ING-style">
      <tableStyleElement dxfId="1" type="headerRow"/>
      <tableStyleElement dxfId="2" type="firstRowStripe"/>
      <tableStyleElement dxfId="5" type="secondRowStripe"/>
      <tableStyleElement dxfId="4" size="0" type="wholeTable"/>
    </tableStyle>
    <tableStyle count="4" pivot="0" name="DEV-style">
      <tableStyleElement dxfId="7" type="headerRow"/>
      <tableStyleElement dxfId="2" type="firstRowStripe"/>
      <tableStyleElement dxfId="3" type="secondRowStripe"/>
      <tableStyleElement dxfId="4" size="0" type="wholeTable"/>
    </tableStyle>
    <tableStyle count="4" pivot="0" name="Mineiração DEV-style">
      <tableStyleElement dxfId="1" type="headerRow"/>
      <tableStyleElement dxfId="2" type="firstRowStripe"/>
      <tableStyleElement dxfId="5"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G1964" displayName="CIMV" name="CIMV" id="1">
  <autoFilter ref="$A$2:$G$1964">
    <filterColumn colId="4">
      <filters>
        <filter val="SIM"/>
      </filters>
    </filterColumn>
  </autoFilter>
  <tableColumns count="7">
    <tableColumn name="DATA" id="1"/>
    <tableColumn name="ETAPA" id="2"/>
    <tableColumn name="MODULO" id="3"/>
    <tableColumn name="Aula" id="4"/>
    <tableColumn name="MAR" id="5"/>
    <tableColumn name="Tempo" id="6"/>
    <tableColumn name="obs" id="7"/>
  </tableColumns>
  <tableStyleInfo name="Ingles-style" showColumnStripes="0" showFirstColumn="1" showLastColumn="1" showRowStripes="1"/>
</table>
</file>

<file path=xl/tables/table2.xml><?xml version="1.0" encoding="utf-8"?>
<table xmlns="http://schemas.openxmlformats.org/spreadsheetml/2006/main" ref="A1:G11612" displayName="Tabela_1" name="Tabela_1" id="2">
  <autoFilter ref="$A$1:$G$11612"/>
  <tableColumns count="7">
    <tableColumn name="Palavra" id="1"/>
    <tableColumn name="Coluna 6" id="2"/>
    <tableColumn name="Significado" id="3"/>
    <tableColumn name="DATA" id="4"/>
    <tableColumn name="Número" id="5"/>
    <tableColumn name="Tradução" id="6"/>
    <tableColumn name="OK" id="7"/>
  </tableColumns>
  <tableStyleInfo name="Mineiração ING-style" showColumnStripes="0" showFirstColumn="1" showLastColumn="1" showRowStripes="1"/>
</table>
</file>

<file path=xl/tables/table3.xml><?xml version="1.0" encoding="utf-8"?>
<table xmlns="http://schemas.openxmlformats.org/spreadsheetml/2006/main" ref="A3:G684" displayName="TI" name="TI" id="3">
  <autoFilter ref="$A$3:$G$684"/>
  <tableColumns count="7">
    <tableColumn name="DATA" id="1"/>
    <tableColumn name="Tipo" id="2"/>
    <tableColumn name="Onde" id="3"/>
    <tableColumn name="Curso" id="4"/>
    <tableColumn name="Etapa" id="5"/>
    <tableColumn name="Aula" id="6"/>
    <tableColumn name="Tempo" id="7"/>
  </tableColumns>
  <tableStyleInfo name="DEV-style" showColumnStripes="0" showFirstColumn="1" showLastColumn="1" showRowStripes="1"/>
</table>
</file>

<file path=xl/tables/table4.xml><?xml version="1.0" encoding="utf-8"?>
<table xmlns="http://schemas.openxmlformats.org/spreadsheetml/2006/main" ref="A1:D996" displayName="Tabela_2" name="Tabela_2" id="4">
  <tableColumns count="4">
    <tableColumn name="Data" id="1"/>
    <tableColumn name="Tema" id="2"/>
    <tableColumn name="Palavra ou conceito" id="3"/>
    <tableColumn name="Definição" id="4"/>
  </tableColumns>
  <tableStyleInfo name="Mineiração DEV-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ZwwLcjoMlhg" TargetMode="External"/><Relationship Id="rId2" Type="http://schemas.openxmlformats.org/officeDocument/2006/relationships/hyperlink" Target="https://www.youtube.com/watch?v=9qHRPkiXrBk" TargetMode="External"/><Relationship Id="rId3" Type="http://schemas.openxmlformats.org/officeDocument/2006/relationships/hyperlink" Target="https://www.youtube.com/watch?v=pLAOeMCpqdM" TargetMode="External"/><Relationship Id="rId4" Type="http://schemas.openxmlformats.org/officeDocument/2006/relationships/hyperlink" Target="https://www.youtube.com/watch?v=rnRulHSoKeI" TargetMode="External"/><Relationship Id="rId5" Type="http://schemas.openxmlformats.org/officeDocument/2006/relationships/drawing" Target="../drawings/drawing1.x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youtube.com/watch?v=CLnckMIB3-o&amp;list=PL62G310vn6nH-uBTKREcUWDkOi2Q9n4OZ&amp;index=23" TargetMode="External"/><Relationship Id="rId42" Type="http://schemas.openxmlformats.org/officeDocument/2006/relationships/hyperlink" Target="https://www.youtube.com/watch?v=w8qY60j12c0&amp;list=PL62G310vn6nH-uBTKREcUWDkOi2Q9n4OZ&amp;index=25" TargetMode="External"/><Relationship Id="rId41" Type="http://schemas.openxmlformats.org/officeDocument/2006/relationships/hyperlink" Target="https://www.youtube.com/watch?v=4TLWgs0RbS8&amp;list=PL62G310vn6nH-uBTKREcUWDkOi2Q9n4OZ&amp;index=24" TargetMode="External"/><Relationship Id="rId44" Type="http://schemas.openxmlformats.org/officeDocument/2006/relationships/hyperlink" Target="https://www.youtube.com/watch?v=FGDrvfFn05E&amp;list=PL62G310vn6nEt1kjQGm4mBAsMfmUqFvfS&amp;index=1" TargetMode="External"/><Relationship Id="rId43" Type="http://schemas.openxmlformats.org/officeDocument/2006/relationships/hyperlink" Target="https://www.youtube.com/watch?v=g1PM63q9nN8&amp;list=PL62G310vn6nH-uBTKREcUWDkOi2Q9n4OZ&amp;index=26" TargetMode="External"/><Relationship Id="rId46" Type="http://schemas.openxmlformats.org/officeDocument/2006/relationships/hyperlink" Target="https://www.youtube.com/watch?v=jNOv_ma2HjE&amp;list=PL62G310vn6nH-uBTKREcUWDkOi2Q9n4OZ&amp;index=28&amp;pp=iAQB" TargetMode="External"/><Relationship Id="rId45" Type="http://schemas.openxmlformats.org/officeDocument/2006/relationships/hyperlink" Target="https://www.youtube.com/watch?v=w-YtIBgTVo4&amp;list=PL62G310vn6nH-uBTKREcUWDkOi2Q9n4OZ&amp;index=27&amp;pp=iAQB" TargetMode="External"/><Relationship Id="rId107" Type="http://schemas.openxmlformats.org/officeDocument/2006/relationships/hyperlink" Target="https://www.youtube.com/watch?v=nBedipaZweg&amp;t" TargetMode="External"/><Relationship Id="rId106" Type="http://schemas.openxmlformats.org/officeDocument/2006/relationships/hyperlink" Target="https://www.youtube.com/watch?v=9AK_1gqEfkQ" TargetMode="External"/><Relationship Id="rId105" Type="http://schemas.openxmlformats.org/officeDocument/2006/relationships/hyperlink" Target="https://www.youtube.com/watch?v=cgUfurMJosE" TargetMode="External"/><Relationship Id="rId104" Type="http://schemas.openxmlformats.org/officeDocument/2006/relationships/hyperlink" Target="https://www.youtube.com/watch?v=7kJwVQGJCbw" TargetMode="External"/><Relationship Id="rId109" Type="http://schemas.openxmlformats.org/officeDocument/2006/relationships/hyperlink" Target="https://www.youtube.com/watch?v=S8Eaq6uxnd8&amp;list=PL62G310vn6nFIsOCC0H-C2infYgwm8SWW&amp;index=34" TargetMode="External"/><Relationship Id="rId108" Type="http://schemas.openxmlformats.org/officeDocument/2006/relationships/hyperlink" Target="https://www.youtube.com/watch?v=fvw4bmihZHA&amp;list=PL62G310vn6nFIsOCC0H-C2infYgwm8SWW&amp;index=33" TargetMode="External"/><Relationship Id="rId48" Type="http://schemas.openxmlformats.org/officeDocument/2006/relationships/hyperlink" Target="https://www.youtube.com/watch?v=yXdJiZ1bTc0&amp;list=PL62G310vn6nH-uBTKREcUWDkOi2Q9n4OZ&amp;index=30" TargetMode="External"/><Relationship Id="rId47" Type="http://schemas.openxmlformats.org/officeDocument/2006/relationships/hyperlink" Target="https://www.youtube.com/watch?v=_jzuPeSgAp8&amp;list=PL62G310vn6nH-uBTKREcUWDkOi2Q9n4OZ&amp;index=29" TargetMode="External"/><Relationship Id="rId49" Type="http://schemas.openxmlformats.org/officeDocument/2006/relationships/hyperlink" Target="https://www.youtube.com/watch?v=qSxjXGoz4Ds&amp;list=PL62G310vn6nH-uBTKREcUWDkOi2Q9n4OZ&amp;index=31" TargetMode="External"/><Relationship Id="rId103" Type="http://schemas.openxmlformats.org/officeDocument/2006/relationships/hyperlink" Target="https://www.youtube.com/watch?v=fvw4bmihZHA&amp;list=PL62G310vn6nFIsOCC0H-C2infYgwm8SWW&amp;index=33" TargetMode="External"/><Relationship Id="rId102" Type="http://schemas.openxmlformats.org/officeDocument/2006/relationships/hyperlink" Target="https://youtu.be/f65R-lQ4NpY?si=Ote85FHjU3DdvOUS" TargetMode="External"/><Relationship Id="rId101" Type="http://schemas.openxmlformats.org/officeDocument/2006/relationships/hyperlink" Target="https://www.youtube.com/watch?v=RaEO2YsqFII&amp;list=PL62G310vn6nFIsOCC0H-C2infYgwm8SWW&amp;index=31" TargetMode="External"/><Relationship Id="rId100" Type="http://schemas.openxmlformats.org/officeDocument/2006/relationships/hyperlink" Target="https://www.youtube.com/watch?v=RaEO2YsqFII&amp;list=PL62G310vn6nFIsOCC0H-C2infYgwm8SWW&amp;index=31" TargetMode="External"/><Relationship Id="rId31" Type="http://schemas.openxmlformats.org/officeDocument/2006/relationships/hyperlink" Target="https://www.youtube.com/watch?v=rOuMEywjY9U&amp;list=PL62G310vn6nH-uBTKREcUWDkOi2Q9n4OZ&amp;index=19" TargetMode="External"/><Relationship Id="rId30" Type="http://schemas.openxmlformats.org/officeDocument/2006/relationships/hyperlink" Target="https://www.youtube.com/watch?v=3MEFV0gmCZ0&amp;list=PL62G310vn6nH-uBTKREcUWDkOi2Q9n4OZ&amp;index=18" TargetMode="External"/><Relationship Id="rId33" Type="http://schemas.openxmlformats.org/officeDocument/2006/relationships/hyperlink" Target="https://www.youtube.com/watch?v=n1qczpkm2hk&amp;list=PL62G310vn6nH-uBTKREcUWDkOi2Q9n4OZ&amp;index=20" TargetMode="External"/><Relationship Id="rId32" Type="http://schemas.openxmlformats.org/officeDocument/2006/relationships/hyperlink" Target="https://www.youtube.com/watch?v=vFrvAst_-bk" TargetMode="External"/><Relationship Id="rId35" Type="http://schemas.openxmlformats.org/officeDocument/2006/relationships/hyperlink" Target="https://www.youtube.com/watch?v=WjwEh15M5Rw" TargetMode="External"/><Relationship Id="rId34" Type="http://schemas.openxmlformats.org/officeDocument/2006/relationships/hyperlink" Target="https://www.youtube.com/watch?v=gji6djCbSj8" TargetMode="External"/><Relationship Id="rId37" Type="http://schemas.openxmlformats.org/officeDocument/2006/relationships/hyperlink" Target="https://www.youtube.com/watch?v=HlmiVz0SqNQ&amp;list=TLPQMDIwOTIwMjWxB6yzfoo2cw&amp;index=2" TargetMode="External"/><Relationship Id="rId36" Type="http://schemas.openxmlformats.org/officeDocument/2006/relationships/hyperlink" Target="https://www.youtube.com/watch?v=5ByWvpW2zw0" TargetMode="External"/><Relationship Id="rId39" Type="http://schemas.openxmlformats.org/officeDocument/2006/relationships/hyperlink" Target="https://www.youtube.com/watch?v=EizTq5UX-JY&amp;list=PL62G310vn6nH-uBTKREcUWDkOi2Q9n4OZ&amp;index=22" TargetMode="External"/><Relationship Id="rId38" Type="http://schemas.openxmlformats.org/officeDocument/2006/relationships/hyperlink" Target="https://www.youtube.com/watch?v=EJ_b-moyWSc&amp;list=PL62G310vn6nH-uBTKREcUWDkOi2Q9n4OZ&amp;index=21" TargetMode="External"/><Relationship Id="rId20" Type="http://schemas.openxmlformats.org/officeDocument/2006/relationships/hyperlink" Target="https://www.youtube.com/watch?v=kTbwKyyrzWw" TargetMode="External"/><Relationship Id="rId22" Type="http://schemas.openxmlformats.org/officeDocument/2006/relationships/hyperlink" Target="https://www.youtube.com/watch?v=V4Mz8oEhn7k" TargetMode="External"/><Relationship Id="rId21" Type="http://schemas.openxmlformats.org/officeDocument/2006/relationships/hyperlink" Target="https://www.youtube.com/watch?v=SSZjjBath3s&amp;list=PL62G310vn6nH-uBTKREcUWDkOi2Q9n4OZ&amp;index=11" TargetMode="External"/><Relationship Id="rId24" Type="http://schemas.openxmlformats.org/officeDocument/2006/relationships/hyperlink" Target="https://www.youtube.com/watch?v=sSz50my1bFI&amp;list=PL62G310vn6nH-uBTKREcUWDkOi2Q9n4OZ&amp;index=13" TargetMode="External"/><Relationship Id="rId23" Type="http://schemas.openxmlformats.org/officeDocument/2006/relationships/hyperlink" Target="https://www.youtube.com/watch?v=lOHEiLLdV1Y&amp;list=PL62G310vn6nH-uBTKREcUWDkOi2Q9n4OZ&amp;index=12" TargetMode="External"/><Relationship Id="rId129" Type="http://schemas.openxmlformats.org/officeDocument/2006/relationships/hyperlink" Target="https://www.youtube.com/watch?v=gHOsCcBfbPk" TargetMode="External"/><Relationship Id="rId128" Type="http://schemas.openxmlformats.org/officeDocument/2006/relationships/hyperlink" Target="https://www.youtube.com/watch?v=edXQiFAdH2c" TargetMode="External"/><Relationship Id="rId127" Type="http://schemas.openxmlformats.org/officeDocument/2006/relationships/hyperlink" Target="https://www.youtube.com/watch?v=MI9cdxETA4c" TargetMode="External"/><Relationship Id="rId126" Type="http://schemas.openxmlformats.org/officeDocument/2006/relationships/hyperlink" Target="https://www.youtube.com/watch?v=gHOsCcBfbPk" TargetMode="External"/><Relationship Id="rId26" Type="http://schemas.openxmlformats.org/officeDocument/2006/relationships/hyperlink" Target="https://www.youtube.com/watch?v=CsOE7Zrpl9g&amp;list=PL62G310vn6nH-uBTKREcUWDkOi2Q9n4OZ&amp;index=15" TargetMode="External"/><Relationship Id="rId121" Type="http://schemas.openxmlformats.org/officeDocument/2006/relationships/hyperlink" Target="https://www.w3schools.com/java/default.asp" TargetMode="External"/><Relationship Id="rId25" Type="http://schemas.openxmlformats.org/officeDocument/2006/relationships/hyperlink" Target="https://www.youtube.com/watch?v=y4_A8nFK0gY&amp;list=PL62G310vn6nH-uBTKREcUWDkOi2Q9n4OZ&amp;index=14" TargetMode="External"/><Relationship Id="rId120" Type="http://schemas.openxmlformats.org/officeDocument/2006/relationships/hyperlink" Target="https://www.youtube.com/watch?v=yf8FQem1JMg" TargetMode="External"/><Relationship Id="rId28" Type="http://schemas.openxmlformats.org/officeDocument/2006/relationships/hyperlink" Target="https://www.youtube.com/watch?v=4gRVB8dlv7I&amp;list=PL62G310vn6nH-uBTKREcUWDkOi2Q9n4OZ&amp;index=16" TargetMode="External"/><Relationship Id="rId27" Type="http://schemas.openxmlformats.org/officeDocument/2006/relationships/hyperlink" Target="https://www.youtube.com/watch?v=4gRVB8dlv7I&amp;list=PL62G310vn6nH-uBTKREcUWDkOi2Q9n4OZ&amp;index=16" TargetMode="External"/><Relationship Id="rId125" Type="http://schemas.openxmlformats.org/officeDocument/2006/relationships/hyperlink" Target="https://www.youtube.com/watch?v=VKmPGmFY7H4" TargetMode="External"/><Relationship Id="rId29" Type="http://schemas.openxmlformats.org/officeDocument/2006/relationships/hyperlink" Target="https://www.youtube.com/watch?v=AVvXoU240NY&amp;list=PL62G310vn6nH-uBTKREcUWDkOi2Q9n4OZ&amp;index=17" TargetMode="External"/><Relationship Id="rId124" Type="http://schemas.openxmlformats.org/officeDocument/2006/relationships/hyperlink" Target="https://www.youtube.com/watch?v=sx4hAHhO9CY" TargetMode="External"/><Relationship Id="rId123" Type="http://schemas.openxmlformats.org/officeDocument/2006/relationships/hyperlink" Target="https://www.youtube.com/watch?v=OMuzOoHAEpg&amp;list=PL62G310vn6nFIsOCC0H-C2infYgwm8SWW&amp;index=51" TargetMode="External"/><Relationship Id="rId122" Type="http://schemas.openxmlformats.org/officeDocument/2006/relationships/hyperlink" Target="https://www.youtube.com/watch?v=gMTIP61sEIY&amp;t" TargetMode="External"/><Relationship Id="rId95" Type="http://schemas.openxmlformats.org/officeDocument/2006/relationships/hyperlink" Target="https://www.youtube.com/watch?v=rfIwGQOW77c&amp;list=PL62G310vn6nEt1kjQGm4mBAsMfmUqFvfS&amp;index=13" TargetMode="External"/><Relationship Id="rId94" Type="http://schemas.openxmlformats.org/officeDocument/2006/relationships/hyperlink" Target="https://www.youtube.com/watch?v=a1_eO5lKtUA&amp;list=PL62G310vn6nEt1kjQGm4mBAsMfmUqFvfS&amp;index=12" TargetMode="External"/><Relationship Id="rId97" Type="http://schemas.openxmlformats.org/officeDocument/2006/relationships/hyperlink" Target="https://www.youtube.com/watch?v=NSQ77zr8qGI&amp;list=PL62G310vn6nEt1kjQGm4mBAsMfmUqFvfS&amp;index=15" TargetMode="External"/><Relationship Id="rId96" Type="http://schemas.openxmlformats.org/officeDocument/2006/relationships/hyperlink" Target="https://www.youtube.com/watch?v=7cCfpuXw_9c&amp;list=PL62G310vn6nEt1kjQGm4mBAsMfmUqFvfS&amp;index=14" TargetMode="External"/><Relationship Id="rId11" Type="http://schemas.openxmlformats.org/officeDocument/2006/relationships/hyperlink" Target="https://www.youtube.com/watch?v=sN89XChfiSk&amp;list=PL62G310vn6nH-uBTKREcUWDkOi2Q9n4OZ&amp;index=3" TargetMode="External"/><Relationship Id="rId99" Type="http://schemas.openxmlformats.org/officeDocument/2006/relationships/hyperlink" Target="https://www.youtube.com/watch?v=bcv-cgpw7Ak&amp;list=PL62G310vn6nFIsOCC0H-C2infYgwm8SWW&amp;index=30" TargetMode="External"/><Relationship Id="rId10" Type="http://schemas.openxmlformats.org/officeDocument/2006/relationships/hyperlink" Target="https://www.youtube.com/watch?v=7b2m9e0n_zg&amp;list=PL62G310vn6nH-uBTKREcUWDkOi2Q9n4OZ&amp;index=2" TargetMode="External"/><Relationship Id="rId98" Type="http://schemas.openxmlformats.org/officeDocument/2006/relationships/hyperlink" Target="https://www.youtube.com/watch?v=nvFAe05Ok3g&amp;list=PL62G310vn6nFIsOCC0H-C2infYgwm8SWW&amp;index=29" TargetMode="External"/><Relationship Id="rId13" Type="http://schemas.openxmlformats.org/officeDocument/2006/relationships/hyperlink" Target="https://www.youtube.com/watch?v=_iv9P_cSm_g&amp;list=PL62G310vn6nH-uBTKREcUWDkOi2Q9n4OZ&amp;index=5" TargetMode="External"/><Relationship Id="rId12" Type="http://schemas.openxmlformats.org/officeDocument/2006/relationships/hyperlink" Target="https://www.youtube.com/watch?v=O0wG9iHnblY&amp;list=PL62G310vn6nH-uBTKREcUWDkOi2Q9n4OZ&amp;index=4" TargetMode="External"/><Relationship Id="rId91" Type="http://schemas.openxmlformats.org/officeDocument/2006/relationships/hyperlink" Target="https://www.youtube.com/watch?v=nt7aSfZ1Im8&amp;list=PL62G310vn6nEt1kjQGm4mBAsMfmUqFvfS&amp;index=11" TargetMode="External"/><Relationship Id="rId90" Type="http://schemas.openxmlformats.org/officeDocument/2006/relationships/hyperlink" Target="https://www.youtube.com/watch?v=DkrMdSAvkL0&amp;list=PL62G310vn6nEt1kjQGm4mBAsMfmUqFvfS&amp;index=10" TargetMode="External"/><Relationship Id="rId93" Type="http://schemas.openxmlformats.org/officeDocument/2006/relationships/hyperlink" Target="https://www.youtube.com/watch?v=hEl67ZAU_Hg&amp;list=PL62G310vn6nFIsOCC0H-C2infYgwm8SWW&amp;index=28" TargetMode="External"/><Relationship Id="rId92" Type="http://schemas.openxmlformats.org/officeDocument/2006/relationships/hyperlink" Target="https://www.youtube.com/watch?v=GDAgMb9amow&amp;list=PL62G310vn6nFIsOCC0H-C2infYgwm8SWW&amp;index=27" TargetMode="External"/><Relationship Id="rId118" Type="http://schemas.openxmlformats.org/officeDocument/2006/relationships/hyperlink" Target="https://www.youtube.com/watch?v=JKecvKiNX2I" TargetMode="External"/><Relationship Id="rId117" Type="http://schemas.openxmlformats.org/officeDocument/2006/relationships/hyperlink" Target="https://www.youtube.com/watch?v=SiBw7os-_zI" TargetMode="External"/><Relationship Id="rId116" Type="http://schemas.openxmlformats.org/officeDocument/2006/relationships/hyperlink" Target="https://www.youtube.com/watch?v=6pydSgftLgk&amp;t" TargetMode="External"/><Relationship Id="rId115" Type="http://schemas.openxmlformats.org/officeDocument/2006/relationships/hyperlink" Target="https://www.youtube.com/watch?v=IUqKuGNasdM" TargetMode="External"/><Relationship Id="rId119" Type="http://schemas.openxmlformats.org/officeDocument/2006/relationships/hyperlink" Target="https://www.youtube.com/watch?v=nhnAx79gxCM" TargetMode="External"/><Relationship Id="rId15" Type="http://schemas.openxmlformats.org/officeDocument/2006/relationships/hyperlink" Target="https://www.youtube.com/watch?v=39uYqDrmNjU&amp;list=PL62G310vn6nH-uBTKREcUWDkOi2Q9n4OZ&amp;index=7" TargetMode="External"/><Relationship Id="rId110" Type="http://schemas.openxmlformats.org/officeDocument/2006/relationships/hyperlink" Target="https://www.youtube.com/watch?v=Vsn-CXzzpUc&amp;list=PL62G310vn6nFIsOCC0H-C2infYgwm8SWW&amp;index=35" TargetMode="External"/><Relationship Id="rId14" Type="http://schemas.openxmlformats.org/officeDocument/2006/relationships/hyperlink" Target="https://www.youtube.com/watch?v=CtYrAzTwClk&amp;list=PL62G310vn6nH-uBTKREcUWDkOi2Q9n4OZ&amp;index=6" TargetMode="External"/><Relationship Id="rId17" Type="http://schemas.openxmlformats.org/officeDocument/2006/relationships/hyperlink" Target="https://www.youtube.com/watch?v=72ZvNXVYFqw&amp;list=PL62G310vn6nH-uBTKREcUWDkOi2Q9n4OZ&amp;index=8" TargetMode="External"/><Relationship Id="rId16" Type="http://schemas.openxmlformats.org/officeDocument/2006/relationships/hyperlink" Target="https://www.youtube.com/watch?v=2vaEBC5DAQs&amp;t=3095s" TargetMode="External"/><Relationship Id="rId19" Type="http://schemas.openxmlformats.org/officeDocument/2006/relationships/hyperlink" Target="https://www.youtube.com/watch?v=G0PQ-fox768&amp;list=PL62G310vn6nH-uBTKREcUWDkOi2Q9n4OZ&amp;index=10" TargetMode="External"/><Relationship Id="rId114" Type="http://schemas.openxmlformats.org/officeDocument/2006/relationships/hyperlink" Target="https://www.youtube.com/watch?v=TGq3754CsN4&amp;list=PL62G310vn6nFIsOCC0H-C2infYgwm8SWW&amp;index=38" TargetMode="External"/><Relationship Id="rId18" Type="http://schemas.openxmlformats.org/officeDocument/2006/relationships/hyperlink" Target="https://www.youtube.com/watch?v=nMy5k1Ji0zU&amp;list=PL62G310vn6nH-uBTKREcUWDkOi2Q9n4OZ&amp;index=9" TargetMode="External"/><Relationship Id="rId113" Type="http://schemas.openxmlformats.org/officeDocument/2006/relationships/hyperlink" Target="https://www.youtube.com/watch?v=EalQ6X_RtJk&amp;list=PL62G310vn6nFIsOCC0H-C2infYgwm8SWW&amp;index=37" TargetMode="External"/><Relationship Id="rId112" Type="http://schemas.openxmlformats.org/officeDocument/2006/relationships/hyperlink" Target="https://www.youtube.com/watch?v=dKlxT4p4qzw" TargetMode="External"/><Relationship Id="rId111" Type="http://schemas.openxmlformats.org/officeDocument/2006/relationships/hyperlink" Target="https://www.youtube.com/watch?v=Jq5Zps8OWcs" TargetMode="External"/><Relationship Id="rId84" Type="http://schemas.openxmlformats.org/officeDocument/2006/relationships/hyperlink" Target="https://www.youtube.com/watch?v=SiBw7os-_zI" TargetMode="External"/><Relationship Id="rId83" Type="http://schemas.openxmlformats.org/officeDocument/2006/relationships/hyperlink" Target="https://www.youtube.com/watch?v=fSzObIpzpTk" TargetMode="External"/><Relationship Id="rId86" Type="http://schemas.openxmlformats.org/officeDocument/2006/relationships/hyperlink" Target="https://www.youtube.com/watch?v=W-ng6Dqa-E4&amp;list=PL62G310vn6nFIsOCC0H-C2infYgwm8SWW&amp;index=25" TargetMode="External"/><Relationship Id="rId85" Type="http://schemas.openxmlformats.org/officeDocument/2006/relationships/hyperlink" Target="https://www.youtube.com/watch?v=Y3ODYE3npgo&amp;list=PL62G310vn6nFIsOCC0H-C2infYgwm8SWW&amp;index=24" TargetMode="External"/><Relationship Id="rId88" Type="http://schemas.openxmlformats.org/officeDocument/2006/relationships/hyperlink" Target="https://www.youtube.com/watch?v=AYMtqJSrQTU&amp;list=PL62G310vn6nFIsOCC0H-C2infYgwm8SWW&amp;index=26" TargetMode="External"/><Relationship Id="rId150" Type="http://schemas.openxmlformats.org/officeDocument/2006/relationships/table" Target="../tables/table3.xml"/><Relationship Id="rId87" Type="http://schemas.openxmlformats.org/officeDocument/2006/relationships/hyperlink" Target="https://www.youtube.com/watch?v=dXZRgW-X2ls&amp;list=PLprgbdnzrDkEz9dnAy3_zotbkw4PIaTMM&amp;index=4" TargetMode="External"/><Relationship Id="rId89" Type="http://schemas.openxmlformats.org/officeDocument/2006/relationships/hyperlink" Target="https://www.youtube.com/watch?v=C6MQdR3K9z8&amp;list=PL62G310vn6nEt1kjQGm4mBAsMfmUqFvfS&amp;index=9" TargetMode="External"/><Relationship Id="rId80" Type="http://schemas.openxmlformats.org/officeDocument/2006/relationships/hyperlink" Target="https://www.youtube.com/watch?v=EFrq1WxsL1k&amp;list=PL62G310vn6nFIsOCC0H-C2infYgwm8SWW&amp;index=20" TargetMode="External"/><Relationship Id="rId82" Type="http://schemas.openxmlformats.org/officeDocument/2006/relationships/hyperlink" Target="https://www.youtube.com/watch?v=gU-qCpBC5jk&amp;list=PL62G310vn6nFIsOCC0H-C2infYgwm8SWW&amp;index=23" TargetMode="External"/><Relationship Id="rId81" Type="http://schemas.openxmlformats.org/officeDocument/2006/relationships/hyperlink" Target="https://www.youtube.com/watch?v=exxeNsgcg3c&amp;list=PL62G310vn6nFIsOCC0H-C2infYgwm8SWW&amp;index=22" TargetMode="External"/><Relationship Id="rId1" Type="http://schemas.openxmlformats.org/officeDocument/2006/relationships/hyperlink" Target="https://www.youtube.com/watch?v=xR1mtoiP1_U&amp;t=390s" TargetMode="External"/><Relationship Id="rId2" Type="http://schemas.openxmlformats.org/officeDocument/2006/relationships/hyperlink" Target="https://www.youtube.com/watch?v=MIbpghu8BIY" TargetMode="External"/><Relationship Id="rId3" Type="http://schemas.openxmlformats.org/officeDocument/2006/relationships/hyperlink" Target="https://www.youtube.com/watch?v=25qZTaHFteI" TargetMode="External"/><Relationship Id="rId4" Type="http://schemas.openxmlformats.org/officeDocument/2006/relationships/hyperlink" Target="https://www.youtube.com/watch?v=7o6ewOnQdws" TargetMode="External"/><Relationship Id="rId148" Type="http://schemas.openxmlformats.org/officeDocument/2006/relationships/drawing" Target="../drawings/drawing3.xml"/><Relationship Id="rId9" Type="http://schemas.openxmlformats.org/officeDocument/2006/relationships/hyperlink" Target="https://www.youtube.com/watch?v=ycyL5CqZoUo&amp;list=PL62G310vn6nH-uBTKREcUWDkOi2Q9n4OZ&amp;index=1" TargetMode="External"/><Relationship Id="rId143" Type="http://schemas.openxmlformats.org/officeDocument/2006/relationships/hyperlink" Target="https://www.youtube.com/watch?v=1wYRGFXpVlg" TargetMode="External"/><Relationship Id="rId142" Type="http://schemas.openxmlformats.org/officeDocument/2006/relationships/hyperlink" Target="https://www.youtube.com/watch?v=b9y8WNE_djQ&amp;list=PLGPluF_nhP9oNl6vAwapJNqkWA8_CxRuy&amp;index=14" TargetMode="External"/><Relationship Id="rId141" Type="http://schemas.openxmlformats.org/officeDocument/2006/relationships/hyperlink" Target="https://www.youtube.com/watch?v=cmlZpi4XVSo&amp;list=PLGPluF_nhP9oNl6vAwapJNqkWA8_CxRuy&amp;index=14" TargetMode="External"/><Relationship Id="rId140" Type="http://schemas.openxmlformats.org/officeDocument/2006/relationships/hyperlink" Target="https://www.youtube.com/watch?v=MemZOGOrjag" TargetMode="External"/><Relationship Id="rId5" Type="http://schemas.openxmlformats.org/officeDocument/2006/relationships/hyperlink" Target="https://www.youtube.com/watch?v=0AGiye4lC-Q" TargetMode="External"/><Relationship Id="rId147" Type="http://schemas.openxmlformats.org/officeDocument/2006/relationships/hyperlink" Target="https://www.youtube.com/watch?v=OIYWA1GwCEs" TargetMode="External"/><Relationship Id="rId6" Type="http://schemas.openxmlformats.org/officeDocument/2006/relationships/hyperlink" Target="https://www.youtube.com/watch?v=eXteIWEGcJc" TargetMode="External"/><Relationship Id="rId146" Type="http://schemas.openxmlformats.org/officeDocument/2006/relationships/hyperlink" Target="https://www.youtube.com/watch?v=TBh3Fp4MXFM&amp;list=TLPQMTMxMjIwMjWwntQdb6sRsg" TargetMode="External"/><Relationship Id="rId7" Type="http://schemas.openxmlformats.org/officeDocument/2006/relationships/hyperlink" Target="https://www.youtube.com/playlist?list=PLZPZq0r_RZOOj_NOZYq_R2PECIMglLemc" TargetMode="External"/><Relationship Id="rId145" Type="http://schemas.openxmlformats.org/officeDocument/2006/relationships/hyperlink" Target="https://www.youtube.com/watch?v=_PZldwo0vVo" TargetMode="External"/><Relationship Id="rId8" Type="http://schemas.openxmlformats.org/officeDocument/2006/relationships/hyperlink" Target="https://www.youtube.com/playlist?list=PLZPZq0r_RZOOj_NOZYq_R2PECIMglLemc" TargetMode="External"/><Relationship Id="rId144" Type="http://schemas.openxmlformats.org/officeDocument/2006/relationships/hyperlink" Target="https://www.youtube.com/watch?v=y0nxLH2Ta2Y" TargetMode="External"/><Relationship Id="rId73" Type="http://schemas.openxmlformats.org/officeDocument/2006/relationships/hyperlink" Target="https://www.youtube.com/watch?v=74hd4o7V328&amp;list=PL62G310vn6nFIsOCC0H-C2infYgwm8SWW&amp;index=13" TargetMode="External"/><Relationship Id="rId72" Type="http://schemas.openxmlformats.org/officeDocument/2006/relationships/hyperlink" Target="https://www.youtube.com/watch?v=RRHGYyJTTpQ&amp;list=PL62G310vn6nFIsOCC0H-C2infYgwm8SWW&amp;index=11" TargetMode="External"/><Relationship Id="rId75" Type="http://schemas.openxmlformats.org/officeDocument/2006/relationships/hyperlink" Target="https://youtu.be/U390IaCtOUk?si=knyKmiVtp4Il9yLL" TargetMode="External"/><Relationship Id="rId74" Type="http://schemas.openxmlformats.org/officeDocument/2006/relationships/hyperlink" Target="https://youtu.be/13VfcFXwsjw?si=AYSzZTtGlwvn_JqM" TargetMode="External"/><Relationship Id="rId77" Type="http://schemas.openxmlformats.org/officeDocument/2006/relationships/hyperlink" Target="https://www.youtube.com/watch?v=U390IaCtOUk&amp;list=PL62G310vn6nFIsOCC0H-C2infYgwm8SWW&amp;index=17" TargetMode="External"/><Relationship Id="rId76" Type="http://schemas.openxmlformats.org/officeDocument/2006/relationships/hyperlink" Target="https://youtu.be/1Fsvlted69g?si=XWL3zxpXTTaOf2Pe" TargetMode="External"/><Relationship Id="rId79" Type="http://schemas.openxmlformats.org/officeDocument/2006/relationships/hyperlink" Target="https://www.youtube.com/watch?v=ELcO4DN7lxw&amp;list=PL62G310vn6nFIsOCC0H-C2infYgwm8SWW&amp;index=19" TargetMode="External"/><Relationship Id="rId78" Type="http://schemas.openxmlformats.org/officeDocument/2006/relationships/hyperlink" Target="https://www.youtube.com/watch?v=cT6sw-Pw4l0&amp;list=PL62G310vn6nFIsOCC0H-C2infYgwm8SWW&amp;index=18" TargetMode="External"/><Relationship Id="rId71" Type="http://schemas.openxmlformats.org/officeDocument/2006/relationships/hyperlink" Target="https://www.youtube.com/watch?v=RRHGYyJTTpQ&amp;list=PL62G310vn6nFIsOCC0H-C2infYgwm8SWW&amp;index=11" TargetMode="External"/><Relationship Id="rId70" Type="http://schemas.openxmlformats.org/officeDocument/2006/relationships/hyperlink" Target="https://www.youtube.com/watch?v=2rMT0qRyiYs&amp;list=PL62G310vn6nFIsOCC0H-C2infYgwm8SWW&amp;index=10" TargetMode="External"/><Relationship Id="rId139" Type="http://schemas.openxmlformats.org/officeDocument/2006/relationships/hyperlink" Target="https://www.youtube.com/watch?v=eTX4ZH0opA4&amp;t=1s" TargetMode="External"/><Relationship Id="rId138" Type="http://schemas.openxmlformats.org/officeDocument/2006/relationships/hyperlink" Target="https://www.youtube.com/watch?v=YwiifMcnk3g&amp;t=276s" TargetMode="External"/><Relationship Id="rId137" Type="http://schemas.openxmlformats.org/officeDocument/2006/relationships/hyperlink" Target="https://www.youtube.com/watch?v=1G-WpOA2k04" TargetMode="External"/><Relationship Id="rId132" Type="http://schemas.openxmlformats.org/officeDocument/2006/relationships/hyperlink" Target="https://www.youtube.com/watch?v=iy0l9tXhvCk" TargetMode="External"/><Relationship Id="rId131" Type="http://schemas.openxmlformats.org/officeDocument/2006/relationships/hyperlink" Target="https://www.youtube.com/watch?v=JPbAUnGUYMY" TargetMode="External"/><Relationship Id="rId130" Type="http://schemas.openxmlformats.org/officeDocument/2006/relationships/hyperlink" Target="https://www.youtube.com/watch?v=gHOsCcBfbPk" TargetMode="External"/><Relationship Id="rId136" Type="http://schemas.openxmlformats.org/officeDocument/2006/relationships/hyperlink" Target="https://www.youtube.com/watch?v=GTP5lVEKXaU" TargetMode="External"/><Relationship Id="rId135" Type="http://schemas.openxmlformats.org/officeDocument/2006/relationships/hyperlink" Target="https://www.youtube.com/watch?v=gc216ndOrb4" TargetMode="External"/><Relationship Id="rId134" Type="http://schemas.openxmlformats.org/officeDocument/2006/relationships/hyperlink" Target="https://www.youtube.com/watch?v=1G-WpOA2k04" TargetMode="External"/><Relationship Id="rId133" Type="http://schemas.openxmlformats.org/officeDocument/2006/relationships/hyperlink" Target="https://www.youtube.com/watch?v=1G-WpOA2k04" TargetMode="External"/><Relationship Id="rId62" Type="http://schemas.openxmlformats.org/officeDocument/2006/relationships/hyperlink" Target="https://www.youtube.com/watch?v=ooCqalwSpuE&amp;list=PL62G310vn6nFIsOCC0H-C2infYgwm8SWW&amp;index=2" TargetMode="External"/><Relationship Id="rId61" Type="http://schemas.openxmlformats.org/officeDocument/2006/relationships/hyperlink" Target="https://www.youtube.com/watch?v=VKjFuX91G5Q&amp;list=PL62G310vn6nFIsOCC0H-C2infYgwm8SWW&amp;index=1" TargetMode="External"/><Relationship Id="rId64" Type="http://schemas.openxmlformats.org/officeDocument/2006/relationships/hyperlink" Target="https://youtu.be/Tsyeybeh968?si=M-hueO_ZyyJj4RAU" TargetMode="External"/><Relationship Id="rId63" Type="http://schemas.openxmlformats.org/officeDocument/2006/relationships/hyperlink" Target="https://www.youtube.com/watch?v=JasmdiTyduI&amp;list=PL62G310vn6nFIsOCC0H-C2infYgwm8SWW&amp;index=3" TargetMode="External"/><Relationship Id="rId66" Type="http://schemas.openxmlformats.org/officeDocument/2006/relationships/hyperlink" Target="https://www.youtube.com/watch?v=E64JTsEyXCM&amp;list=PL62G310vn6nFIsOCC0H-C2infYgwm8SWW&amp;index=6" TargetMode="External"/><Relationship Id="rId65" Type="http://schemas.openxmlformats.org/officeDocument/2006/relationships/hyperlink" Target="https://youtu.be/xzAESAp_soQ?si=gHICx0V6cjzmYB1U" TargetMode="External"/><Relationship Id="rId68" Type="http://schemas.openxmlformats.org/officeDocument/2006/relationships/hyperlink" Target="https://www.youtube.com/watch?v=ds3t9C2A50U&amp;list=PL62G310vn6nFIsOCC0H-C2infYgwm8SWW&amp;index=8" TargetMode="External"/><Relationship Id="rId67" Type="http://schemas.openxmlformats.org/officeDocument/2006/relationships/hyperlink" Target="https://www.youtube.com/watch?v=uB5Qbm-RMyU&amp;list=PL62G310vn6nFIsOCC0H-C2infYgwm8SWW&amp;index=7" TargetMode="External"/><Relationship Id="rId60" Type="http://schemas.openxmlformats.org/officeDocument/2006/relationships/hyperlink" Target="https://youtu.be/965_y5ZaqYE?si=e-YMVOZEeSRiwzSp" TargetMode="External"/><Relationship Id="rId69" Type="http://schemas.openxmlformats.org/officeDocument/2006/relationships/hyperlink" Target="https://www.youtube.com/watch?v=TnnS-R--WKc&amp;list=PL62G310vn6nFIsOCC0H-C2infYgwm8SWW&amp;index=9" TargetMode="External"/><Relationship Id="rId51" Type="http://schemas.openxmlformats.org/officeDocument/2006/relationships/hyperlink" Target="https://www.youtube.com/watch?v=Ml7XiqgAs3w&amp;list=PL62G310vn6nH-uBTKREcUWDkOi2Q9n4OZ&amp;index=33&amp;pp=iAQB" TargetMode="External"/><Relationship Id="rId50" Type="http://schemas.openxmlformats.org/officeDocument/2006/relationships/hyperlink" Target="https://www.youtube.com/watch?v=2sTrHszc9QM&amp;list=PL62G310vn6nH-uBTKREcUWDkOi2Q9n4OZ&amp;index=32" TargetMode="External"/><Relationship Id="rId53" Type="http://schemas.openxmlformats.org/officeDocument/2006/relationships/hyperlink" Target="https://www.youtube.com/watch?v=hklT3RtOhDc&amp;list=PL62G310vn6nH-uBTKREcUWDkOi2Q9n4OZ&amp;index=35" TargetMode="External"/><Relationship Id="rId52" Type="http://schemas.openxmlformats.org/officeDocument/2006/relationships/hyperlink" Target="https://www.youtube.com/watch?v=NlNz8Zxn3Co&amp;list=PL62G310vn6nH-uBTKREcUWDkOi2Q9n4OZ&amp;index=34" TargetMode="External"/><Relationship Id="rId55" Type="http://schemas.openxmlformats.org/officeDocument/2006/relationships/hyperlink" Target="https://www.youtube.com/watch?v=nq22gfnCzU8&amp;list=PL62G310vn6nEt1kjQGm4mBAsMfmUqFvfS&amp;index=3" TargetMode="External"/><Relationship Id="rId54" Type="http://schemas.openxmlformats.org/officeDocument/2006/relationships/hyperlink" Target="https://www.youtube.com/watch?v=cWZXGDZccoY&amp;list=PL62G310vn6nEt1kjQGm4mBAsMfmUqFvfS&amp;index=2" TargetMode="External"/><Relationship Id="rId57" Type="http://schemas.openxmlformats.org/officeDocument/2006/relationships/hyperlink" Target="https://www.youtube.com/watch?v=aDY0o1wtHSM&amp;list=PL62G310vn6nH-uBTKREcUWDkOi2Q9n4OZ&amp;index=37" TargetMode="External"/><Relationship Id="rId56" Type="http://schemas.openxmlformats.org/officeDocument/2006/relationships/hyperlink" Target="https://www.youtube.com/watch?v=aJkJfkiG570&amp;list=PL62G310vn6nH-uBTKREcUWDkOi2Q9n4OZ&amp;index=36" TargetMode="External"/><Relationship Id="rId59" Type="http://schemas.openxmlformats.org/officeDocument/2006/relationships/hyperlink" Target="https://youtu.be/l8eTvNONB8M?si=yRnEAH0Ymgf0MlLC" TargetMode="External"/><Relationship Id="rId58" Type="http://schemas.openxmlformats.org/officeDocument/2006/relationships/hyperlink" Target="https://www.youtube.com/watch?v=D7M5n2u92mI&amp;list=PL62G310vn6nH-uBTKREcUWDkOi2Q9n4OZ&amp;index=38"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youtube.com/watch?v=EyuPFLuvD7Q" TargetMode="External"/><Relationship Id="rId190" Type="http://schemas.openxmlformats.org/officeDocument/2006/relationships/hyperlink" Target="https://www.youtube.com/watch?v=pAZ_4lxDYNU" TargetMode="External"/><Relationship Id="rId42" Type="http://schemas.openxmlformats.org/officeDocument/2006/relationships/hyperlink" Target="https://www.youtube.com/watch?v=dJLYPP1ExYY" TargetMode="External"/><Relationship Id="rId41" Type="http://schemas.openxmlformats.org/officeDocument/2006/relationships/hyperlink" Target="https://www.youtube.com/watch?v=uB7KvSz6WiA" TargetMode="External"/><Relationship Id="rId44" Type="http://schemas.openxmlformats.org/officeDocument/2006/relationships/hyperlink" Target="https://www.youtube.com/watch?v=g_SGuMYHgI0" TargetMode="External"/><Relationship Id="rId194" Type="http://schemas.openxmlformats.org/officeDocument/2006/relationships/hyperlink" Target="https://www.youtube.com/watch?v=ZmsJPFhmmf0" TargetMode="External"/><Relationship Id="rId43" Type="http://schemas.openxmlformats.org/officeDocument/2006/relationships/hyperlink" Target="https://www.youtube.com/watch?v=JbL4SAFORco" TargetMode="External"/><Relationship Id="rId193" Type="http://schemas.openxmlformats.org/officeDocument/2006/relationships/hyperlink" Target="https://www.youtube.com/watch?v=jm09LQDoZ5Y" TargetMode="External"/><Relationship Id="rId46" Type="http://schemas.openxmlformats.org/officeDocument/2006/relationships/hyperlink" Target="https://www.youtube.com/watch?v=op6inGTMBiw" TargetMode="External"/><Relationship Id="rId192" Type="http://schemas.openxmlformats.org/officeDocument/2006/relationships/hyperlink" Target="https://www.youtube.com/watch?v=44uSWELqd3U" TargetMode="External"/><Relationship Id="rId45" Type="http://schemas.openxmlformats.org/officeDocument/2006/relationships/hyperlink" Target="https://www.youtube.com/watch?v=ZM0AJhKjLYc" TargetMode="External"/><Relationship Id="rId191" Type="http://schemas.openxmlformats.org/officeDocument/2006/relationships/hyperlink" Target="https://www.youtube.com/watch?v=koKwh7YVtx0" TargetMode="External"/><Relationship Id="rId48" Type="http://schemas.openxmlformats.org/officeDocument/2006/relationships/hyperlink" Target="https://www.youtube.com/watch?v=d0BO5mBBFK8" TargetMode="External"/><Relationship Id="rId187" Type="http://schemas.openxmlformats.org/officeDocument/2006/relationships/hyperlink" Target="https://www.youtube.com/watch?v=ZWhEZ-7PXg8" TargetMode="External"/><Relationship Id="rId47" Type="http://schemas.openxmlformats.org/officeDocument/2006/relationships/hyperlink" Target="https://www.youtube.com/watch?v=FCnTsy2EzSw" TargetMode="External"/><Relationship Id="rId186" Type="http://schemas.openxmlformats.org/officeDocument/2006/relationships/hyperlink" Target="https://www.youtube.com/watch?v=rchsi7CvUBM" TargetMode="External"/><Relationship Id="rId185" Type="http://schemas.openxmlformats.org/officeDocument/2006/relationships/hyperlink" Target="https://www.youtube.com/watch?v=NfguvWHYbQM" TargetMode="External"/><Relationship Id="rId49" Type="http://schemas.openxmlformats.org/officeDocument/2006/relationships/hyperlink" Target="https://www.youtube.com/watch?v=-izqpkaXKx0" TargetMode="External"/><Relationship Id="rId184" Type="http://schemas.openxmlformats.org/officeDocument/2006/relationships/hyperlink" Target="https://www.youtube.com/watch?v=YOHMTPIxRDk" TargetMode="External"/><Relationship Id="rId189" Type="http://schemas.openxmlformats.org/officeDocument/2006/relationships/hyperlink" Target="https://www.youtube.com/watch?v=_feJhRzYxYk" TargetMode="External"/><Relationship Id="rId188" Type="http://schemas.openxmlformats.org/officeDocument/2006/relationships/hyperlink" Target="https://www.youtube.com/watch?v=BjipceG4EH0" TargetMode="External"/><Relationship Id="rId31" Type="http://schemas.openxmlformats.org/officeDocument/2006/relationships/hyperlink" Target="https://www.youtube.com/watch?v=RaEO2YsqFII" TargetMode="External"/><Relationship Id="rId30" Type="http://schemas.openxmlformats.org/officeDocument/2006/relationships/hyperlink" Target="https://www.youtube.com/watch?v=bcv-cgpw7Ak" TargetMode="External"/><Relationship Id="rId33" Type="http://schemas.openxmlformats.org/officeDocument/2006/relationships/hyperlink" Target="https://www.youtube.com/watch?v=fvw4bmihZHA" TargetMode="External"/><Relationship Id="rId183" Type="http://schemas.openxmlformats.org/officeDocument/2006/relationships/hyperlink" Target="https://www.youtube.com/watch?v=Q6CiTfKsAQc" TargetMode="External"/><Relationship Id="rId32" Type="http://schemas.openxmlformats.org/officeDocument/2006/relationships/hyperlink" Target="https://www.youtube.com/watch?v=f65R-lQ4NpY" TargetMode="External"/><Relationship Id="rId182" Type="http://schemas.openxmlformats.org/officeDocument/2006/relationships/hyperlink" Target="https://www.youtube.com/watch?v=2EKe7UJLuCQ" TargetMode="External"/><Relationship Id="rId35" Type="http://schemas.openxmlformats.org/officeDocument/2006/relationships/hyperlink" Target="https://www.youtube.com/watch?v=Vsn-CXzzpUc" TargetMode="External"/><Relationship Id="rId181" Type="http://schemas.openxmlformats.org/officeDocument/2006/relationships/hyperlink" Target="https://www.youtube.com/watch?v=IvjlvMrwZiI" TargetMode="External"/><Relationship Id="rId34" Type="http://schemas.openxmlformats.org/officeDocument/2006/relationships/hyperlink" Target="https://www.youtube.com/watch?v=S8Eaq6uxnd8" TargetMode="External"/><Relationship Id="rId180" Type="http://schemas.openxmlformats.org/officeDocument/2006/relationships/hyperlink" Target="https://www.youtube.com/watch?v=4jLo3TpiS4k" TargetMode="External"/><Relationship Id="rId37" Type="http://schemas.openxmlformats.org/officeDocument/2006/relationships/hyperlink" Target="https://www.youtube.com/watch?v=EalQ6X_RtJk" TargetMode="External"/><Relationship Id="rId176" Type="http://schemas.openxmlformats.org/officeDocument/2006/relationships/hyperlink" Target="https://www.youtube.com/watch?v=dJ3fhRq-5tM" TargetMode="External"/><Relationship Id="rId36" Type="http://schemas.openxmlformats.org/officeDocument/2006/relationships/hyperlink" Target="https://www.youtube.com/watch?v=cl47iLWalUw" TargetMode="External"/><Relationship Id="rId175" Type="http://schemas.openxmlformats.org/officeDocument/2006/relationships/hyperlink" Target="https://www.youtube.com/watch?v=FlwOWSpYUkA" TargetMode="External"/><Relationship Id="rId39" Type="http://schemas.openxmlformats.org/officeDocument/2006/relationships/hyperlink" Target="https://www.youtube.com/watch?v=vp8bQZomKLo" TargetMode="External"/><Relationship Id="rId174" Type="http://schemas.openxmlformats.org/officeDocument/2006/relationships/hyperlink" Target="https://www.youtube.com/watch?v=meW6F-95yIw" TargetMode="External"/><Relationship Id="rId38" Type="http://schemas.openxmlformats.org/officeDocument/2006/relationships/hyperlink" Target="https://www.youtube.com/watch?v=TGq3754CsN4" TargetMode="External"/><Relationship Id="rId173" Type="http://schemas.openxmlformats.org/officeDocument/2006/relationships/hyperlink" Target="https://www.youtube.com/watch?v=Ixd1Fib9F9g" TargetMode="External"/><Relationship Id="rId179" Type="http://schemas.openxmlformats.org/officeDocument/2006/relationships/hyperlink" Target="https://www.youtube.com/watch?v=kkHyYrfB35s" TargetMode="External"/><Relationship Id="rId178" Type="http://schemas.openxmlformats.org/officeDocument/2006/relationships/hyperlink" Target="https://www.youtube.com/watch?v=8A6W5g9Q3nA" TargetMode="External"/><Relationship Id="rId177" Type="http://schemas.openxmlformats.org/officeDocument/2006/relationships/hyperlink" Target="https://www.youtube.com/watch?v=JibYosgdk00" TargetMode="External"/><Relationship Id="rId20" Type="http://schemas.openxmlformats.org/officeDocument/2006/relationships/hyperlink" Target="https://www.youtube.com/watch?v=EFrq1WxsL1k" TargetMode="External"/><Relationship Id="rId22" Type="http://schemas.openxmlformats.org/officeDocument/2006/relationships/hyperlink" Target="https://www.youtube.com/watch?v=exxeNsgcg3c" TargetMode="External"/><Relationship Id="rId21" Type="http://schemas.openxmlformats.org/officeDocument/2006/relationships/hyperlink" Target="https://www.youtube.com/watch?v=gk1_Pn8GZA4" TargetMode="External"/><Relationship Id="rId24" Type="http://schemas.openxmlformats.org/officeDocument/2006/relationships/hyperlink" Target="https://www.youtube.com/watch?v=Y3ODYE3npgo" TargetMode="External"/><Relationship Id="rId23" Type="http://schemas.openxmlformats.org/officeDocument/2006/relationships/hyperlink" Target="https://www.youtube.com/watch?v=gU-qCpBC5jk" TargetMode="External"/><Relationship Id="rId26" Type="http://schemas.openxmlformats.org/officeDocument/2006/relationships/hyperlink" Target="https://www.youtube.com/watch?v=AYMtqJSrQTU" TargetMode="External"/><Relationship Id="rId25" Type="http://schemas.openxmlformats.org/officeDocument/2006/relationships/hyperlink" Target="https://www.youtube.com/watch?v=W-ng6Dqa-E4" TargetMode="External"/><Relationship Id="rId28" Type="http://schemas.openxmlformats.org/officeDocument/2006/relationships/hyperlink" Target="https://www.youtube.com/watch?v=hEl67ZAU_Hg" TargetMode="External"/><Relationship Id="rId27" Type="http://schemas.openxmlformats.org/officeDocument/2006/relationships/hyperlink" Target="https://www.youtube.com/watch?v=GDAgMb9amow" TargetMode="External"/><Relationship Id="rId29" Type="http://schemas.openxmlformats.org/officeDocument/2006/relationships/hyperlink" Target="https://www.youtube.com/watch?v=nvFAe05Ok3g" TargetMode="External"/><Relationship Id="rId11" Type="http://schemas.openxmlformats.org/officeDocument/2006/relationships/hyperlink" Target="https://www.youtube.com/watch?v=RRHGYyJTTpQ" TargetMode="External"/><Relationship Id="rId10" Type="http://schemas.openxmlformats.org/officeDocument/2006/relationships/hyperlink" Target="https://www.youtube.com/watch?v=2rMT0qRyiYs" TargetMode="External"/><Relationship Id="rId13" Type="http://schemas.openxmlformats.org/officeDocument/2006/relationships/hyperlink" Target="https://www.youtube.com/watch?v=74hd4o7V328" TargetMode="External"/><Relationship Id="rId12" Type="http://schemas.openxmlformats.org/officeDocument/2006/relationships/hyperlink" Target="https://www.youtube.com/watch?v=veDgI_zZ7uk" TargetMode="External"/><Relationship Id="rId15" Type="http://schemas.openxmlformats.org/officeDocument/2006/relationships/hyperlink" Target="https://www.youtube.com/watch?v=Q0REhCVBvAg" TargetMode="External"/><Relationship Id="rId198" Type="http://schemas.openxmlformats.org/officeDocument/2006/relationships/hyperlink" Target="https://www.youtube.com/watch?v=2P6LbYqmz7c" TargetMode="External"/><Relationship Id="rId14" Type="http://schemas.openxmlformats.org/officeDocument/2006/relationships/hyperlink" Target="https://www.youtube.com/watch?v=13VfcFXwsjw" TargetMode="External"/><Relationship Id="rId197" Type="http://schemas.openxmlformats.org/officeDocument/2006/relationships/hyperlink" Target="https://www.youtube.com/watch?v=T5mFXrYBsao" TargetMode="External"/><Relationship Id="rId17" Type="http://schemas.openxmlformats.org/officeDocument/2006/relationships/hyperlink" Target="https://www.youtube.com/watch?v=U390IaCtOUk" TargetMode="External"/><Relationship Id="rId196" Type="http://schemas.openxmlformats.org/officeDocument/2006/relationships/hyperlink" Target="https://www.youtube.com/watch?v=sF6z6PTqTVo" TargetMode="External"/><Relationship Id="rId16" Type="http://schemas.openxmlformats.org/officeDocument/2006/relationships/hyperlink" Target="https://www.youtube.com/watch?v=1Fsvlted69g" TargetMode="External"/><Relationship Id="rId195" Type="http://schemas.openxmlformats.org/officeDocument/2006/relationships/hyperlink" Target="https://www.youtube.com/watch?v=pSSgo8RAf-A" TargetMode="External"/><Relationship Id="rId19" Type="http://schemas.openxmlformats.org/officeDocument/2006/relationships/hyperlink" Target="https://www.youtube.com/watch?v=ELcO4DN7lxw" TargetMode="External"/><Relationship Id="rId18" Type="http://schemas.openxmlformats.org/officeDocument/2006/relationships/hyperlink" Target="https://www.youtube.com/watch?v=cT6sw-Pw4l0" TargetMode="External"/><Relationship Id="rId199" Type="http://schemas.openxmlformats.org/officeDocument/2006/relationships/hyperlink" Target="https://www.youtube.com/watch?v=f7jGNzFMQb4" TargetMode="External"/><Relationship Id="rId84" Type="http://schemas.openxmlformats.org/officeDocument/2006/relationships/hyperlink" Target="https://www.youtube.com/watch?v=rbqIXJwy6-M" TargetMode="External"/><Relationship Id="rId83" Type="http://schemas.openxmlformats.org/officeDocument/2006/relationships/hyperlink" Target="https://www.youtube.com/watch?v=8Vwf5vgMoDY" TargetMode="External"/><Relationship Id="rId86" Type="http://schemas.openxmlformats.org/officeDocument/2006/relationships/hyperlink" Target="https://www.youtube.com/watch?v=j97OEyzBcKI" TargetMode="External"/><Relationship Id="rId85" Type="http://schemas.openxmlformats.org/officeDocument/2006/relationships/hyperlink" Target="https://www.youtube.com/watch?v=ws1NVBGeegs" TargetMode="External"/><Relationship Id="rId88" Type="http://schemas.openxmlformats.org/officeDocument/2006/relationships/hyperlink" Target="https://www.youtube.com/watch?v=AhVd_DzV3DU" TargetMode="External"/><Relationship Id="rId150" Type="http://schemas.openxmlformats.org/officeDocument/2006/relationships/hyperlink" Target="https://www.youtube.com/watch?v=7ccX4cxlWOg" TargetMode="External"/><Relationship Id="rId271" Type="http://schemas.openxmlformats.org/officeDocument/2006/relationships/hyperlink" Target="https://www.youtube.com/watch?v=PRXFwv9p4qI" TargetMode="External"/><Relationship Id="rId87" Type="http://schemas.openxmlformats.org/officeDocument/2006/relationships/hyperlink" Target="https://www.youtube.com/watch?v=xI0xspht6mA" TargetMode="External"/><Relationship Id="rId270" Type="http://schemas.openxmlformats.org/officeDocument/2006/relationships/hyperlink" Target="https://www.youtube.com/watch?v=8gbs3yGJtE8" TargetMode="External"/><Relationship Id="rId89" Type="http://schemas.openxmlformats.org/officeDocument/2006/relationships/hyperlink" Target="https://www.youtube.com/watch?v=QKjFkaagGdk" TargetMode="External"/><Relationship Id="rId80" Type="http://schemas.openxmlformats.org/officeDocument/2006/relationships/hyperlink" Target="https://www.youtube.com/watch?v=KWcqFc3X5Is" TargetMode="External"/><Relationship Id="rId82" Type="http://schemas.openxmlformats.org/officeDocument/2006/relationships/hyperlink" Target="https://www.youtube.com/watch?v=gsQ1gZYh5Wo" TargetMode="External"/><Relationship Id="rId81" Type="http://schemas.openxmlformats.org/officeDocument/2006/relationships/hyperlink" Target="https://www.youtube.com/watch?v=3xzrprPwS2Q" TargetMode="External"/><Relationship Id="rId1" Type="http://schemas.openxmlformats.org/officeDocument/2006/relationships/hyperlink" Target="https://www.youtube.com/watch?v=VKjFuX91G5Q" TargetMode="External"/><Relationship Id="rId2" Type="http://schemas.openxmlformats.org/officeDocument/2006/relationships/hyperlink" Target="https://www.youtube.com/watch?v=ooCqalwSpuE" TargetMode="External"/><Relationship Id="rId3" Type="http://schemas.openxmlformats.org/officeDocument/2006/relationships/hyperlink" Target="https://www.youtube.com/watch?v=JasmdiTyduI" TargetMode="External"/><Relationship Id="rId149" Type="http://schemas.openxmlformats.org/officeDocument/2006/relationships/hyperlink" Target="https://www.youtube.com/watch?v=mbx83oInlGI" TargetMode="External"/><Relationship Id="rId4" Type="http://schemas.openxmlformats.org/officeDocument/2006/relationships/hyperlink" Target="https://www.youtube.com/watch?v=Tsyeybeh968" TargetMode="External"/><Relationship Id="rId148" Type="http://schemas.openxmlformats.org/officeDocument/2006/relationships/hyperlink" Target="https://www.youtube.com/watch?v=hNGyzCwLe1g" TargetMode="External"/><Relationship Id="rId269" Type="http://schemas.openxmlformats.org/officeDocument/2006/relationships/hyperlink" Target="https://www.youtube.com/watch?v=uQ2cESUncjM" TargetMode="External"/><Relationship Id="rId9" Type="http://schemas.openxmlformats.org/officeDocument/2006/relationships/hyperlink" Target="https://www.youtube.com/watch?v=TnnS-R--WKc" TargetMode="External"/><Relationship Id="rId143" Type="http://schemas.openxmlformats.org/officeDocument/2006/relationships/hyperlink" Target="https://www.youtube.com/watch?v=Z-EG0cRvVBQ" TargetMode="External"/><Relationship Id="rId264" Type="http://schemas.openxmlformats.org/officeDocument/2006/relationships/hyperlink" Target="https://www.youtube.com/watch?v=l0bMybn4trY" TargetMode="External"/><Relationship Id="rId142" Type="http://schemas.openxmlformats.org/officeDocument/2006/relationships/hyperlink" Target="https://www.youtube.com/watch?v=j7cWU9PM7wc" TargetMode="External"/><Relationship Id="rId263" Type="http://schemas.openxmlformats.org/officeDocument/2006/relationships/hyperlink" Target="https://www.youtube.com/watch?v=kAsRdPNp1-E" TargetMode="External"/><Relationship Id="rId141" Type="http://schemas.openxmlformats.org/officeDocument/2006/relationships/hyperlink" Target="https://www.youtube.com/watch?v=9Y8FKrklbMQ" TargetMode="External"/><Relationship Id="rId262" Type="http://schemas.openxmlformats.org/officeDocument/2006/relationships/hyperlink" Target="https://www.youtube.com/watch?v=SA88IvP6Wr8" TargetMode="External"/><Relationship Id="rId140" Type="http://schemas.openxmlformats.org/officeDocument/2006/relationships/hyperlink" Target="https://www.youtube.com/watch?v=4wsysT3OxO4" TargetMode="External"/><Relationship Id="rId261" Type="http://schemas.openxmlformats.org/officeDocument/2006/relationships/hyperlink" Target="https://www.youtube.com/watch?v=e_qj9ee4cv0" TargetMode="External"/><Relationship Id="rId5" Type="http://schemas.openxmlformats.org/officeDocument/2006/relationships/hyperlink" Target="https://www.youtube.com/watch?v=xzAESAp_soQ" TargetMode="External"/><Relationship Id="rId147" Type="http://schemas.openxmlformats.org/officeDocument/2006/relationships/hyperlink" Target="https://www.youtube.com/watch?v=k6yQvu42sq0" TargetMode="External"/><Relationship Id="rId268" Type="http://schemas.openxmlformats.org/officeDocument/2006/relationships/hyperlink" Target="https://www.youtube.com/watch?v=xeAYUaI3fbU" TargetMode="External"/><Relationship Id="rId6" Type="http://schemas.openxmlformats.org/officeDocument/2006/relationships/hyperlink" Target="https://www.youtube.com/watch?v=E64JTsEyXCM" TargetMode="External"/><Relationship Id="rId146" Type="http://schemas.openxmlformats.org/officeDocument/2006/relationships/hyperlink" Target="https://www.youtube.com/watch?v=0Cw4YlsqIqU" TargetMode="External"/><Relationship Id="rId267" Type="http://schemas.openxmlformats.org/officeDocument/2006/relationships/hyperlink" Target="https://www.youtube.com/watch?v=TIunWd7vVX8" TargetMode="External"/><Relationship Id="rId7" Type="http://schemas.openxmlformats.org/officeDocument/2006/relationships/hyperlink" Target="https://www.youtube.com/watch?v=uB5Qbm-RMyU" TargetMode="External"/><Relationship Id="rId145" Type="http://schemas.openxmlformats.org/officeDocument/2006/relationships/hyperlink" Target="https://www.youtube.com/watch?v=PHj0E70bSeg" TargetMode="External"/><Relationship Id="rId266" Type="http://schemas.openxmlformats.org/officeDocument/2006/relationships/hyperlink" Target="https://www.youtube.com/watch?v=0M4RboYfjP4" TargetMode="External"/><Relationship Id="rId8" Type="http://schemas.openxmlformats.org/officeDocument/2006/relationships/hyperlink" Target="https://www.youtube.com/watch?v=ds3t9C2A50U" TargetMode="External"/><Relationship Id="rId144" Type="http://schemas.openxmlformats.org/officeDocument/2006/relationships/hyperlink" Target="https://www.youtube.com/watch?v=z30kOkeTM5c" TargetMode="External"/><Relationship Id="rId265" Type="http://schemas.openxmlformats.org/officeDocument/2006/relationships/hyperlink" Target="https://www.youtube.com/watch?v=uaaseJJIhes" TargetMode="External"/><Relationship Id="rId73" Type="http://schemas.openxmlformats.org/officeDocument/2006/relationships/hyperlink" Target="https://www.youtube.com/watch?v=mgSz5XSH4dM" TargetMode="External"/><Relationship Id="rId72" Type="http://schemas.openxmlformats.org/officeDocument/2006/relationships/hyperlink" Target="https://www.youtube.com/watch?v=fOlsHNo1b0k" TargetMode="External"/><Relationship Id="rId75" Type="http://schemas.openxmlformats.org/officeDocument/2006/relationships/hyperlink" Target="https://www.youtube.com/watch?v=64GcJDKN4mI" TargetMode="External"/><Relationship Id="rId74" Type="http://schemas.openxmlformats.org/officeDocument/2006/relationships/hyperlink" Target="https://www.youtube.com/watch?v=xoErKNbeG0w" TargetMode="External"/><Relationship Id="rId77" Type="http://schemas.openxmlformats.org/officeDocument/2006/relationships/hyperlink" Target="https://www.youtube.com/watch?v=62qcGF6IVfc" TargetMode="External"/><Relationship Id="rId260" Type="http://schemas.openxmlformats.org/officeDocument/2006/relationships/hyperlink" Target="https://www.youtube.com/watch?v=jO0dAZ2CnJY" TargetMode="External"/><Relationship Id="rId76" Type="http://schemas.openxmlformats.org/officeDocument/2006/relationships/hyperlink" Target="https://www.youtube.com/watch?v=raAHfRdld0Y" TargetMode="External"/><Relationship Id="rId79" Type="http://schemas.openxmlformats.org/officeDocument/2006/relationships/hyperlink" Target="https://www.youtube.com/watch?v=PqAZFtNsgn4" TargetMode="External"/><Relationship Id="rId78" Type="http://schemas.openxmlformats.org/officeDocument/2006/relationships/hyperlink" Target="https://www.youtube.com/watch?v=EQhYKOBCozE" TargetMode="External"/><Relationship Id="rId71" Type="http://schemas.openxmlformats.org/officeDocument/2006/relationships/hyperlink" Target="https://www.youtube.com/watch?v=FYANhUfWTyI" TargetMode="External"/><Relationship Id="rId70" Type="http://schemas.openxmlformats.org/officeDocument/2006/relationships/hyperlink" Target="https://www.youtube.com/watch?v=pO1rQgpJlkg" TargetMode="External"/><Relationship Id="rId139" Type="http://schemas.openxmlformats.org/officeDocument/2006/relationships/hyperlink" Target="https://www.youtube.com/watch?v=iBIKREgyF20" TargetMode="External"/><Relationship Id="rId138" Type="http://schemas.openxmlformats.org/officeDocument/2006/relationships/hyperlink" Target="https://www.youtube.com/watch?v=Dx5bqoNAW6I" TargetMode="External"/><Relationship Id="rId259" Type="http://schemas.openxmlformats.org/officeDocument/2006/relationships/hyperlink" Target="https://www.youtube.com/watch?v=Dpe6f7JpVIk" TargetMode="External"/><Relationship Id="rId137" Type="http://schemas.openxmlformats.org/officeDocument/2006/relationships/hyperlink" Target="https://www.youtube.com/watch?v=j6aDHj9S-vs" TargetMode="External"/><Relationship Id="rId258" Type="http://schemas.openxmlformats.org/officeDocument/2006/relationships/hyperlink" Target="https://www.youtube.com/watch?v=-1Ctzcf3bFQ" TargetMode="External"/><Relationship Id="rId132" Type="http://schemas.openxmlformats.org/officeDocument/2006/relationships/hyperlink" Target="https://www.youtube.com/watch?v=8hhYE4y0iMM" TargetMode="External"/><Relationship Id="rId253" Type="http://schemas.openxmlformats.org/officeDocument/2006/relationships/hyperlink" Target="https://www.youtube.com/watch?v=Q4UgGZfTgCs" TargetMode="External"/><Relationship Id="rId131" Type="http://schemas.openxmlformats.org/officeDocument/2006/relationships/hyperlink" Target="https://www.youtube.com/watch?v=M28gEhYT--o" TargetMode="External"/><Relationship Id="rId252" Type="http://schemas.openxmlformats.org/officeDocument/2006/relationships/hyperlink" Target="https://www.youtube.com/watch?v=DVtkSOD86Ag" TargetMode="External"/><Relationship Id="rId130" Type="http://schemas.openxmlformats.org/officeDocument/2006/relationships/hyperlink" Target="https://www.youtube.com/watch?v=TyikH6iBUIY" TargetMode="External"/><Relationship Id="rId251" Type="http://schemas.openxmlformats.org/officeDocument/2006/relationships/hyperlink" Target="https://www.youtube.com/watch?v=eutGuy74Ccg" TargetMode="External"/><Relationship Id="rId250" Type="http://schemas.openxmlformats.org/officeDocument/2006/relationships/hyperlink" Target="https://www.youtube.com/watch?v=9OvzSW1hAY0" TargetMode="External"/><Relationship Id="rId136" Type="http://schemas.openxmlformats.org/officeDocument/2006/relationships/hyperlink" Target="https://www.youtube.com/watch?v=0PQ45dMLcFo" TargetMode="External"/><Relationship Id="rId257" Type="http://schemas.openxmlformats.org/officeDocument/2006/relationships/hyperlink" Target="https://www.youtube.com/watch?v=JatWzzOSGwg" TargetMode="External"/><Relationship Id="rId135" Type="http://schemas.openxmlformats.org/officeDocument/2006/relationships/hyperlink" Target="https://www.youtube.com/watch?v=9IFY_aHlDl0" TargetMode="External"/><Relationship Id="rId256" Type="http://schemas.openxmlformats.org/officeDocument/2006/relationships/hyperlink" Target="https://www.youtube.com/watch?v=1MPs67lkmuA" TargetMode="External"/><Relationship Id="rId134" Type="http://schemas.openxmlformats.org/officeDocument/2006/relationships/hyperlink" Target="https://www.youtube.com/watch?v=v_ZsEZLHKjk" TargetMode="External"/><Relationship Id="rId255" Type="http://schemas.openxmlformats.org/officeDocument/2006/relationships/hyperlink" Target="https://www.youtube.com/watch?v=NO8zP0Xyl8Q" TargetMode="External"/><Relationship Id="rId133" Type="http://schemas.openxmlformats.org/officeDocument/2006/relationships/hyperlink" Target="https://www.youtube.com/watch?v=LvLGE9ryafg" TargetMode="External"/><Relationship Id="rId254" Type="http://schemas.openxmlformats.org/officeDocument/2006/relationships/hyperlink" Target="https://www.youtube.com/watch?v=VUbrBmiKkeQ" TargetMode="External"/><Relationship Id="rId62" Type="http://schemas.openxmlformats.org/officeDocument/2006/relationships/hyperlink" Target="https://www.youtube.com/watch?v=WBBbsEdzzmA" TargetMode="External"/><Relationship Id="rId61" Type="http://schemas.openxmlformats.org/officeDocument/2006/relationships/hyperlink" Target="https://www.youtube.com/watch?v=HGB02nLvgKU" TargetMode="External"/><Relationship Id="rId64" Type="http://schemas.openxmlformats.org/officeDocument/2006/relationships/hyperlink" Target="https://www.youtube.com/watch?v=4YE1ewRK-rk" TargetMode="External"/><Relationship Id="rId63" Type="http://schemas.openxmlformats.org/officeDocument/2006/relationships/hyperlink" Target="https://www.youtube.com/watch?v=jowlUssbJmk" TargetMode="External"/><Relationship Id="rId66" Type="http://schemas.openxmlformats.org/officeDocument/2006/relationships/hyperlink" Target="https://www.youtube.com/watch?v=LFlZcO9qAh8" TargetMode="External"/><Relationship Id="rId172" Type="http://schemas.openxmlformats.org/officeDocument/2006/relationships/hyperlink" Target="https://www.youtube.com/watch?v=ZyI_8ljieUA" TargetMode="External"/><Relationship Id="rId65" Type="http://schemas.openxmlformats.org/officeDocument/2006/relationships/hyperlink" Target="https://www.youtube.com/watch?v=HOjV9M6pRQQ" TargetMode="External"/><Relationship Id="rId171" Type="http://schemas.openxmlformats.org/officeDocument/2006/relationships/hyperlink" Target="https://www.youtube.com/watch?v=OJGQ0lvaKGE" TargetMode="External"/><Relationship Id="rId68" Type="http://schemas.openxmlformats.org/officeDocument/2006/relationships/hyperlink" Target="https://www.youtube.com/watch?v=-RtaqvKlH7w" TargetMode="External"/><Relationship Id="rId170" Type="http://schemas.openxmlformats.org/officeDocument/2006/relationships/hyperlink" Target="https://www.youtube.com/watch?v=WHFr-FzwJGQ" TargetMode="External"/><Relationship Id="rId67" Type="http://schemas.openxmlformats.org/officeDocument/2006/relationships/hyperlink" Target="https://www.youtube.com/watch?v=idIGsMoxfO0" TargetMode="External"/><Relationship Id="rId60" Type="http://schemas.openxmlformats.org/officeDocument/2006/relationships/hyperlink" Target="https://www.youtube.com/watch?v=rW11EAkxFnc" TargetMode="External"/><Relationship Id="rId165" Type="http://schemas.openxmlformats.org/officeDocument/2006/relationships/hyperlink" Target="https://www.youtube.com/watch?v=_FnTxETp3BI" TargetMode="External"/><Relationship Id="rId286" Type="http://schemas.openxmlformats.org/officeDocument/2006/relationships/hyperlink" Target="https://www.youtube.com/watch?v=ti-Yb11y_m8" TargetMode="External"/><Relationship Id="rId69" Type="http://schemas.openxmlformats.org/officeDocument/2006/relationships/hyperlink" Target="https://www.youtube.com/watch?v=9IX94bsa3io" TargetMode="External"/><Relationship Id="rId164" Type="http://schemas.openxmlformats.org/officeDocument/2006/relationships/hyperlink" Target="https://www.youtube.com/watch?v=Q4fgk7i0GG4" TargetMode="External"/><Relationship Id="rId285" Type="http://schemas.openxmlformats.org/officeDocument/2006/relationships/hyperlink" Target="https://www.youtube.com/watch?v=KYN9UfPpJ38" TargetMode="External"/><Relationship Id="rId163" Type="http://schemas.openxmlformats.org/officeDocument/2006/relationships/hyperlink" Target="https://www.youtube.com/watch?v=2t9GDdsVmjg" TargetMode="External"/><Relationship Id="rId284" Type="http://schemas.openxmlformats.org/officeDocument/2006/relationships/hyperlink" Target="https://www.youtube.com/watch?v=mAioJY5_hFk" TargetMode="External"/><Relationship Id="rId162" Type="http://schemas.openxmlformats.org/officeDocument/2006/relationships/hyperlink" Target="https://www.youtube.com/watch?v=YWtGWgTlPwQ" TargetMode="External"/><Relationship Id="rId283" Type="http://schemas.openxmlformats.org/officeDocument/2006/relationships/hyperlink" Target="https://www.youtube.com/watch?v=K0NNErTM1QU" TargetMode="External"/><Relationship Id="rId169" Type="http://schemas.openxmlformats.org/officeDocument/2006/relationships/hyperlink" Target="https://www.youtube.com/watch?v=fzv-UxjYcmU" TargetMode="External"/><Relationship Id="rId168" Type="http://schemas.openxmlformats.org/officeDocument/2006/relationships/hyperlink" Target="https://www.youtube.com/watch?v=_auUwu21Qqw" TargetMode="External"/><Relationship Id="rId167" Type="http://schemas.openxmlformats.org/officeDocument/2006/relationships/hyperlink" Target="https://www.youtube.com/watch?v=PFuvDDS9_J8" TargetMode="External"/><Relationship Id="rId166" Type="http://schemas.openxmlformats.org/officeDocument/2006/relationships/hyperlink" Target="https://www.youtube.com/watch?v=NxuGmdGBDdk" TargetMode="External"/><Relationship Id="rId287" Type="http://schemas.openxmlformats.org/officeDocument/2006/relationships/drawing" Target="../drawings/drawing5.xml"/><Relationship Id="rId51" Type="http://schemas.openxmlformats.org/officeDocument/2006/relationships/hyperlink" Target="https://www.youtube.com/watch?v=OMuzOoHAEpg" TargetMode="External"/><Relationship Id="rId50" Type="http://schemas.openxmlformats.org/officeDocument/2006/relationships/hyperlink" Target="https://www.youtube.com/watch?v=C-tmxo4FcKs" TargetMode="External"/><Relationship Id="rId53" Type="http://schemas.openxmlformats.org/officeDocument/2006/relationships/hyperlink" Target="https://www.youtube.com/watch?v=T0E4Ewwz1IY" TargetMode="External"/><Relationship Id="rId52" Type="http://schemas.openxmlformats.org/officeDocument/2006/relationships/hyperlink" Target="https://www.youtube.com/watch?v=0fVZlarZ-Lg" TargetMode="External"/><Relationship Id="rId55" Type="http://schemas.openxmlformats.org/officeDocument/2006/relationships/hyperlink" Target="https://www.youtube.com/watch?v=QDzjgS0r39c" TargetMode="External"/><Relationship Id="rId161" Type="http://schemas.openxmlformats.org/officeDocument/2006/relationships/hyperlink" Target="https://www.youtube.com/watch?v=8NA5-GjqKEc" TargetMode="External"/><Relationship Id="rId282" Type="http://schemas.openxmlformats.org/officeDocument/2006/relationships/hyperlink" Target="https://www.youtube.com/watch?v=N5iaGF90XGg" TargetMode="External"/><Relationship Id="rId54" Type="http://schemas.openxmlformats.org/officeDocument/2006/relationships/hyperlink" Target="https://www.youtube.com/watch?v=F2Y867f1J8U" TargetMode="External"/><Relationship Id="rId160" Type="http://schemas.openxmlformats.org/officeDocument/2006/relationships/hyperlink" Target="https://www.youtube.com/watch?v=9Bkbcn7Dgvc" TargetMode="External"/><Relationship Id="rId281" Type="http://schemas.openxmlformats.org/officeDocument/2006/relationships/hyperlink" Target="https://www.youtube.com/watch?v=jdBsFPF_w9Q" TargetMode="External"/><Relationship Id="rId57" Type="http://schemas.openxmlformats.org/officeDocument/2006/relationships/hyperlink" Target="https://www.youtube.com/watch?v=kuvg8JixRp4" TargetMode="External"/><Relationship Id="rId280" Type="http://schemas.openxmlformats.org/officeDocument/2006/relationships/hyperlink" Target="https://www.youtube.com/watch?v=sehuZWtXo-M" TargetMode="External"/><Relationship Id="rId56" Type="http://schemas.openxmlformats.org/officeDocument/2006/relationships/hyperlink" Target="https://www.youtube.com/watch?v=hJNlMh9ktQ4" TargetMode="External"/><Relationship Id="rId159" Type="http://schemas.openxmlformats.org/officeDocument/2006/relationships/hyperlink" Target="https://www.youtube.com/watch?v=DuYqgRU--CI" TargetMode="External"/><Relationship Id="rId59" Type="http://schemas.openxmlformats.org/officeDocument/2006/relationships/hyperlink" Target="https://www.youtube.com/watch?v=zErSZzgYY_g" TargetMode="External"/><Relationship Id="rId154" Type="http://schemas.openxmlformats.org/officeDocument/2006/relationships/hyperlink" Target="https://www.youtube.com/watch?v=UHDnO2r4Whc" TargetMode="External"/><Relationship Id="rId275" Type="http://schemas.openxmlformats.org/officeDocument/2006/relationships/hyperlink" Target="https://www.youtube.com/watch?v=ivueCjdK6C0" TargetMode="External"/><Relationship Id="rId58" Type="http://schemas.openxmlformats.org/officeDocument/2006/relationships/hyperlink" Target="https://www.youtube.com/watch?v=UNPh61FYFrA" TargetMode="External"/><Relationship Id="rId153" Type="http://schemas.openxmlformats.org/officeDocument/2006/relationships/hyperlink" Target="https://www.youtube.com/watch?v=t8eoFrsMbNc" TargetMode="External"/><Relationship Id="rId274" Type="http://schemas.openxmlformats.org/officeDocument/2006/relationships/hyperlink" Target="https://www.youtube.com/watch?v=Fau61I3F5CY" TargetMode="External"/><Relationship Id="rId152" Type="http://schemas.openxmlformats.org/officeDocument/2006/relationships/hyperlink" Target="https://www.youtube.com/watch?v=4g7JeY-hTP0" TargetMode="External"/><Relationship Id="rId273" Type="http://schemas.openxmlformats.org/officeDocument/2006/relationships/hyperlink" Target="https://www.youtube.com/watch?v=tvQcULQvYag" TargetMode="External"/><Relationship Id="rId151" Type="http://schemas.openxmlformats.org/officeDocument/2006/relationships/hyperlink" Target="https://www.youtube.com/watch?v=3dnfUSbp6-4" TargetMode="External"/><Relationship Id="rId272" Type="http://schemas.openxmlformats.org/officeDocument/2006/relationships/hyperlink" Target="https://www.youtube.com/watch?v=wWLEz5wlpiE" TargetMode="External"/><Relationship Id="rId158" Type="http://schemas.openxmlformats.org/officeDocument/2006/relationships/hyperlink" Target="https://www.youtube.com/watch?v=duwXpnrt4D8" TargetMode="External"/><Relationship Id="rId279" Type="http://schemas.openxmlformats.org/officeDocument/2006/relationships/hyperlink" Target="https://www.youtube.com/watch?v=0_-P83Uv_pA" TargetMode="External"/><Relationship Id="rId157" Type="http://schemas.openxmlformats.org/officeDocument/2006/relationships/hyperlink" Target="https://www.youtube.com/watch?v=m5jwgf8FEl0" TargetMode="External"/><Relationship Id="rId278" Type="http://schemas.openxmlformats.org/officeDocument/2006/relationships/hyperlink" Target="https://www.youtube.com/watch?v=AlefsI8CiqY" TargetMode="External"/><Relationship Id="rId156" Type="http://schemas.openxmlformats.org/officeDocument/2006/relationships/hyperlink" Target="https://www.youtube.com/watch?v=UiDMz5J-mlg" TargetMode="External"/><Relationship Id="rId277" Type="http://schemas.openxmlformats.org/officeDocument/2006/relationships/hyperlink" Target="https://www.youtube.com/watch?v=b-eWIeQ9PnQ" TargetMode="External"/><Relationship Id="rId155" Type="http://schemas.openxmlformats.org/officeDocument/2006/relationships/hyperlink" Target="https://www.youtube.com/watch?v=1-fBnhNcbmY" TargetMode="External"/><Relationship Id="rId276" Type="http://schemas.openxmlformats.org/officeDocument/2006/relationships/hyperlink" Target="https://www.youtube.com/watch?v=pBgOitdJbgY" TargetMode="External"/><Relationship Id="rId107" Type="http://schemas.openxmlformats.org/officeDocument/2006/relationships/hyperlink" Target="https://www.youtube.com/watch?v=F0F0B33Un9M" TargetMode="External"/><Relationship Id="rId228" Type="http://schemas.openxmlformats.org/officeDocument/2006/relationships/hyperlink" Target="https://www.youtube.com/watch?v=Pm0EfS0Lu4M" TargetMode="External"/><Relationship Id="rId106" Type="http://schemas.openxmlformats.org/officeDocument/2006/relationships/hyperlink" Target="https://www.youtube.com/watch?v=Jf1tZisCx7U" TargetMode="External"/><Relationship Id="rId227" Type="http://schemas.openxmlformats.org/officeDocument/2006/relationships/hyperlink" Target="https://www.youtube.com/watch?v=WN2bb0RsMyM" TargetMode="External"/><Relationship Id="rId105" Type="http://schemas.openxmlformats.org/officeDocument/2006/relationships/hyperlink" Target="https://www.youtube.com/watch?v=3P8imoW60Uo" TargetMode="External"/><Relationship Id="rId226" Type="http://schemas.openxmlformats.org/officeDocument/2006/relationships/hyperlink" Target="https://www.youtube.com/watch?v=LVIZJWoHnjs" TargetMode="External"/><Relationship Id="rId104" Type="http://schemas.openxmlformats.org/officeDocument/2006/relationships/hyperlink" Target="https://www.youtube.com/watch?v=PERQlV7ax2M" TargetMode="External"/><Relationship Id="rId225" Type="http://schemas.openxmlformats.org/officeDocument/2006/relationships/hyperlink" Target="https://www.youtube.com/watch?v=WKx6tEM8LEU" TargetMode="External"/><Relationship Id="rId109" Type="http://schemas.openxmlformats.org/officeDocument/2006/relationships/hyperlink" Target="https://www.youtube.com/watch?v=vH7izlkNewI" TargetMode="External"/><Relationship Id="rId108" Type="http://schemas.openxmlformats.org/officeDocument/2006/relationships/hyperlink" Target="https://www.youtube.com/watch?v=cAqsHzWy2qI" TargetMode="External"/><Relationship Id="rId229" Type="http://schemas.openxmlformats.org/officeDocument/2006/relationships/hyperlink" Target="https://www.youtube.com/watch?v=A4zRkIydFjE" TargetMode="External"/><Relationship Id="rId220" Type="http://schemas.openxmlformats.org/officeDocument/2006/relationships/hyperlink" Target="https://www.youtube.com/watch?v=ZnkpA5rUq6I" TargetMode="External"/><Relationship Id="rId103" Type="http://schemas.openxmlformats.org/officeDocument/2006/relationships/hyperlink" Target="https://www.youtube.com/watch?v=0_54_91TDuk" TargetMode="External"/><Relationship Id="rId224" Type="http://schemas.openxmlformats.org/officeDocument/2006/relationships/hyperlink" Target="https://www.youtube.com/watch?v=BLM9Q9zdARU" TargetMode="External"/><Relationship Id="rId102" Type="http://schemas.openxmlformats.org/officeDocument/2006/relationships/hyperlink" Target="https://www.youtube.com/watch?v=ibrTQmTNHQ0" TargetMode="External"/><Relationship Id="rId223" Type="http://schemas.openxmlformats.org/officeDocument/2006/relationships/hyperlink" Target="https://www.youtube.com/watch?v=1TSH83Clt18" TargetMode="External"/><Relationship Id="rId101" Type="http://schemas.openxmlformats.org/officeDocument/2006/relationships/hyperlink" Target="https://www.youtube.com/watch?v=QL1Wz5yrlEw" TargetMode="External"/><Relationship Id="rId222" Type="http://schemas.openxmlformats.org/officeDocument/2006/relationships/hyperlink" Target="https://www.youtube.com/watch?v=xyU1c0iJGr8" TargetMode="External"/><Relationship Id="rId100" Type="http://schemas.openxmlformats.org/officeDocument/2006/relationships/hyperlink" Target="https://www.youtube.com/watch?v=Gc5SIWgcsYI" TargetMode="External"/><Relationship Id="rId221" Type="http://schemas.openxmlformats.org/officeDocument/2006/relationships/hyperlink" Target="https://www.youtube.com/watch?v=dFPwCqr43Ag" TargetMode="External"/><Relationship Id="rId217" Type="http://schemas.openxmlformats.org/officeDocument/2006/relationships/hyperlink" Target="https://www.youtube.com/watch?v=1FvYGWxmltw" TargetMode="External"/><Relationship Id="rId216" Type="http://schemas.openxmlformats.org/officeDocument/2006/relationships/hyperlink" Target="https://www.youtube.com/watch?v=rO6o654D5hQ" TargetMode="External"/><Relationship Id="rId215" Type="http://schemas.openxmlformats.org/officeDocument/2006/relationships/hyperlink" Target="https://www.youtube.com/watch?v=EH74dqRDCM0" TargetMode="External"/><Relationship Id="rId214" Type="http://schemas.openxmlformats.org/officeDocument/2006/relationships/hyperlink" Target="https://www.youtube.com/watch?v=5wDiTtBayU4" TargetMode="External"/><Relationship Id="rId219" Type="http://schemas.openxmlformats.org/officeDocument/2006/relationships/hyperlink" Target="https://www.youtube.com/watch?v=n_8HNFLrMsc" TargetMode="External"/><Relationship Id="rId218" Type="http://schemas.openxmlformats.org/officeDocument/2006/relationships/hyperlink" Target="https://www.youtube.com/watch?v=_lhipah8Anw" TargetMode="External"/><Relationship Id="rId213" Type="http://schemas.openxmlformats.org/officeDocument/2006/relationships/hyperlink" Target="https://www.youtube.com/watch?v=AQO2JlZcwaA" TargetMode="External"/><Relationship Id="rId212" Type="http://schemas.openxmlformats.org/officeDocument/2006/relationships/hyperlink" Target="https://www.youtube.com/watch?v=3Ud0CDMdwiY" TargetMode="External"/><Relationship Id="rId211" Type="http://schemas.openxmlformats.org/officeDocument/2006/relationships/hyperlink" Target="https://www.youtube.com/watch?v=-eudNNKAGgM" TargetMode="External"/><Relationship Id="rId210" Type="http://schemas.openxmlformats.org/officeDocument/2006/relationships/hyperlink" Target="https://www.youtube.com/watch?v=wTsGajhPCBY" TargetMode="External"/><Relationship Id="rId129" Type="http://schemas.openxmlformats.org/officeDocument/2006/relationships/hyperlink" Target="https://www.youtube.com/watch?v=75nO4WZVjq0" TargetMode="External"/><Relationship Id="rId128" Type="http://schemas.openxmlformats.org/officeDocument/2006/relationships/hyperlink" Target="https://www.youtube.com/watch?v=qL2V3ks3knc" TargetMode="External"/><Relationship Id="rId249" Type="http://schemas.openxmlformats.org/officeDocument/2006/relationships/hyperlink" Target="https://www.youtube.com/watch?v=p4e2YMW3H6k" TargetMode="External"/><Relationship Id="rId127" Type="http://schemas.openxmlformats.org/officeDocument/2006/relationships/hyperlink" Target="https://www.youtube.com/watch?v=81xG_vGIiwg" TargetMode="External"/><Relationship Id="rId248" Type="http://schemas.openxmlformats.org/officeDocument/2006/relationships/hyperlink" Target="https://www.youtube.com/watch?v=k3BbX3Ysd5o" TargetMode="External"/><Relationship Id="rId126" Type="http://schemas.openxmlformats.org/officeDocument/2006/relationships/hyperlink" Target="https://www.youtube.com/watch?v=YuwLrTwLI88" TargetMode="External"/><Relationship Id="rId247" Type="http://schemas.openxmlformats.org/officeDocument/2006/relationships/hyperlink" Target="https://www.youtube.com/watch?v=UL-FdBvthHU" TargetMode="External"/><Relationship Id="rId121" Type="http://schemas.openxmlformats.org/officeDocument/2006/relationships/hyperlink" Target="https://www.youtube.com/watch?v=huyHYTds_xU" TargetMode="External"/><Relationship Id="rId242" Type="http://schemas.openxmlformats.org/officeDocument/2006/relationships/hyperlink" Target="https://www.youtube.com/watch?v=iPQNgSnj41o" TargetMode="External"/><Relationship Id="rId120" Type="http://schemas.openxmlformats.org/officeDocument/2006/relationships/hyperlink" Target="https://www.youtube.com/watch?v=S7Uc4TxTbb8" TargetMode="External"/><Relationship Id="rId241" Type="http://schemas.openxmlformats.org/officeDocument/2006/relationships/hyperlink" Target="https://www.youtube.com/watch?v=ZKDgjM_x4bo" TargetMode="External"/><Relationship Id="rId240" Type="http://schemas.openxmlformats.org/officeDocument/2006/relationships/hyperlink" Target="https://www.youtube.com/watch?v=NzXEuBgTHKE" TargetMode="External"/><Relationship Id="rId125" Type="http://schemas.openxmlformats.org/officeDocument/2006/relationships/hyperlink" Target="https://www.youtube.com/watch?v=g9GtolzNlPo" TargetMode="External"/><Relationship Id="rId246" Type="http://schemas.openxmlformats.org/officeDocument/2006/relationships/hyperlink" Target="https://www.youtube.com/watch?v=BdOD7-unrRM" TargetMode="External"/><Relationship Id="rId124" Type="http://schemas.openxmlformats.org/officeDocument/2006/relationships/hyperlink" Target="https://www.youtube.com/watch?v=4vg2lEGYJi4" TargetMode="External"/><Relationship Id="rId245" Type="http://schemas.openxmlformats.org/officeDocument/2006/relationships/hyperlink" Target="https://www.youtube.com/watch?v=W2j3KzVgiAs" TargetMode="External"/><Relationship Id="rId123" Type="http://schemas.openxmlformats.org/officeDocument/2006/relationships/hyperlink" Target="https://www.youtube.com/watch?v=mcv5zRtDGag" TargetMode="External"/><Relationship Id="rId244" Type="http://schemas.openxmlformats.org/officeDocument/2006/relationships/hyperlink" Target="https://www.youtube.com/watch?v=Id9RyqFuRiM" TargetMode="External"/><Relationship Id="rId122" Type="http://schemas.openxmlformats.org/officeDocument/2006/relationships/hyperlink" Target="https://www.youtube.com/watch?v=UXpoRzHOMP4" TargetMode="External"/><Relationship Id="rId243" Type="http://schemas.openxmlformats.org/officeDocument/2006/relationships/hyperlink" Target="https://www.youtube.com/watch?v=o7x9PmwKxv0" TargetMode="External"/><Relationship Id="rId95" Type="http://schemas.openxmlformats.org/officeDocument/2006/relationships/hyperlink" Target="https://www.youtube.com/watch?v=lDsO78xFp9Y" TargetMode="External"/><Relationship Id="rId94" Type="http://schemas.openxmlformats.org/officeDocument/2006/relationships/hyperlink" Target="https://www.youtube.com/watch?v=qpefWJeupV0" TargetMode="External"/><Relationship Id="rId97" Type="http://schemas.openxmlformats.org/officeDocument/2006/relationships/hyperlink" Target="https://www.youtube.com/watch?v=S7gLPZO0Jug" TargetMode="External"/><Relationship Id="rId96" Type="http://schemas.openxmlformats.org/officeDocument/2006/relationships/hyperlink" Target="https://www.youtube.com/watch?v=30D9z8M3eCQ" TargetMode="External"/><Relationship Id="rId99" Type="http://schemas.openxmlformats.org/officeDocument/2006/relationships/hyperlink" Target="https://www.youtube.com/watch?v=M7CU5TOOmTc" TargetMode="External"/><Relationship Id="rId98" Type="http://schemas.openxmlformats.org/officeDocument/2006/relationships/hyperlink" Target="https://www.youtube.com/watch?v=iNlGgh0s_F8" TargetMode="External"/><Relationship Id="rId91" Type="http://schemas.openxmlformats.org/officeDocument/2006/relationships/hyperlink" Target="https://www.youtube.com/watch?v=UmReA29kOVw" TargetMode="External"/><Relationship Id="rId90" Type="http://schemas.openxmlformats.org/officeDocument/2006/relationships/hyperlink" Target="https://www.youtube.com/watch?v=SYyEyR78dSQ" TargetMode="External"/><Relationship Id="rId93" Type="http://schemas.openxmlformats.org/officeDocument/2006/relationships/hyperlink" Target="https://www.youtube.com/watch?v=1kKS1XV8saE" TargetMode="External"/><Relationship Id="rId92" Type="http://schemas.openxmlformats.org/officeDocument/2006/relationships/hyperlink" Target="https://www.youtube.com/watch?v=TZt_LYjKLiQ" TargetMode="External"/><Relationship Id="rId118" Type="http://schemas.openxmlformats.org/officeDocument/2006/relationships/hyperlink" Target="https://www.youtube.com/watch?v=waedzSaWMjo" TargetMode="External"/><Relationship Id="rId239" Type="http://schemas.openxmlformats.org/officeDocument/2006/relationships/hyperlink" Target="https://www.youtube.com/watch?v=ct9KQy16pVE" TargetMode="External"/><Relationship Id="rId117" Type="http://schemas.openxmlformats.org/officeDocument/2006/relationships/hyperlink" Target="https://www.youtube.com/watch?v=xaaGxC-G92w" TargetMode="External"/><Relationship Id="rId238" Type="http://schemas.openxmlformats.org/officeDocument/2006/relationships/hyperlink" Target="https://www.youtube.com/watch?v=oxwUqSAbMLY" TargetMode="External"/><Relationship Id="rId116" Type="http://schemas.openxmlformats.org/officeDocument/2006/relationships/hyperlink" Target="https://www.youtube.com/watch?v=zejLPQW96uI" TargetMode="External"/><Relationship Id="rId237" Type="http://schemas.openxmlformats.org/officeDocument/2006/relationships/hyperlink" Target="https://www.youtube.com/watch?v=y7PUfmtWIXs" TargetMode="External"/><Relationship Id="rId115" Type="http://schemas.openxmlformats.org/officeDocument/2006/relationships/hyperlink" Target="https://www.youtube.com/watch?v=vmhzhQo_s08" TargetMode="External"/><Relationship Id="rId236" Type="http://schemas.openxmlformats.org/officeDocument/2006/relationships/hyperlink" Target="https://www.youtube.com/watch?v=gZwUdhZBARo" TargetMode="External"/><Relationship Id="rId119" Type="http://schemas.openxmlformats.org/officeDocument/2006/relationships/hyperlink" Target="https://www.youtube.com/watch?v=swKXov2xHFM" TargetMode="External"/><Relationship Id="rId110" Type="http://schemas.openxmlformats.org/officeDocument/2006/relationships/hyperlink" Target="https://www.youtube.com/watch?v=5hfftQx_S8Q" TargetMode="External"/><Relationship Id="rId231" Type="http://schemas.openxmlformats.org/officeDocument/2006/relationships/hyperlink" Target="https://www.youtube.com/watch?v=4yw1WJUIrwg" TargetMode="External"/><Relationship Id="rId230" Type="http://schemas.openxmlformats.org/officeDocument/2006/relationships/hyperlink" Target="https://www.youtube.com/watch?v=eafDSpZMBbE" TargetMode="External"/><Relationship Id="rId114" Type="http://schemas.openxmlformats.org/officeDocument/2006/relationships/hyperlink" Target="https://www.youtube.com/watch?v=H92wS2QKLO8" TargetMode="External"/><Relationship Id="rId235" Type="http://schemas.openxmlformats.org/officeDocument/2006/relationships/hyperlink" Target="https://www.youtube.com/watch?v=MkZjut9L6W8" TargetMode="External"/><Relationship Id="rId113" Type="http://schemas.openxmlformats.org/officeDocument/2006/relationships/hyperlink" Target="https://www.youtube.com/watch?v=IUDT-cW4tcU" TargetMode="External"/><Relationship Id="rId234" Type="http://schemas.openxmlformats.org/officeDocument/2006/relationships/hyperlink" Target="https://www.youtube.com/watch?v=6rCcB4EVkm4" TargetMode="External"/><Relationship Id="rId112" Type="http://schemas.openxmlformats.org/officeDocument/2006/relationships/hyperlink" Target="https://www.youtube.com/watch?v=JAKcK93hHHU" TargetMode="External"/><Relationship Id="rId233" Type="http://schemas.openxmlformats.org/officeDocument/2006/relationships/hyperlink" Target="https://www.youtube.com/watch?v=hsnTg0Y5Iuw" TargetMode="External"/><Relationship Id="rId111" Type="http://schemas.openxmlformats.org/officeDocument/2006/relationships/hyperlink" Target="https://www.youtube.com/watch?v=yx8OJVgVSU8" TargetMode="External"/><Relationship Id="rId232" Type="http://schemas.openxmlformats.org/officeDocument/2006/relationships/hyperlink" Target="https://www.youtube.com/watch?v=8Gxw4WzYx-w" TargetMode="External"/><Relationship Id="rId206" Type="http://schemas.openxmlformats.org/officeDocument/2006/relationships/hyperlink" Target="https://www.youtube.com/watch?v=ctozCHV5EZY" TargetMode="External"/><Relationship Id="rId205" Type="http://schemas.openxmlformats.org/officeDocument/2006/relationships/hyperlink" Target="https://www.youtube.com/watch?v=pPjQbbl4iiY" TargetMode="External"/><Relationship Id="rId204" Type="http://schemas.openxmlformats.org/officeDocument/2006/relationships/hyperlink" Target="https://www.youtube.com/watch?v=ID9zo1hSbXw" TargetMode="External"/><Relationship Id="rId203" Type="http://schemas.openxmlformats.org/officeDocument/2006/relationships/hyperlink" Target="https://www.youtube.com/watch?v=sOeNRIwhyzg" TargetMode="External"/><Relationship Id="rId209" Type="http://schemas.openxmlformats.org/officeDocument/2006/relationships/hyperlink" Target="https://www.youtube.com/watch?v=8KiVd58GBJU" TargetMode="External"/><Relationship Id="rId208" Type="http://schemas.openxmlformats.org/officeDocument/2006/relationships/hyperlink" Target="https://www.youtube.com/watch?v=wCEEhV4Hkio" TargetMode="External"/><Relationship Id="rId207" Type="http://schemas.openxmlformats.org/officeDocument/2006/relationships/hyperlink" Target="https://www.youtube.com/watch?v=3IyvpB7Ocxw" TargetMode="External"/><Relationship Id="rId202" Type="http://schemas.openxmlformats.org/officeDocument/2006/relationships/hyperlink" Target="https://www.youtube.com/watch?v=-xxb8LoOiRs" TargetMode="External"/><Relationship Id="rId201" Type="http://schemas.openxmlformats.org/officeDocument/2006/relationships/hyperlink" Target="https://www.youtube.com/watch?v=2dUHGheKl9s" TargetMode="External"/><Relationship Id="rId200" Type="http://schemas.openxmlformats.org/officeDocument/2006/relationships/hyperlink" Target="https://www.youtube.com/watch?v=E2Ev36YbjDo"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1.5"/>
    <col customWidth="1" min="2" max="2" width="17.75"/>
    <col customWidth="1" min="3" max="3" width="17.25"/>
    <col customWidth="1" min="4" max="4" width="40.13"/>
    <col customWidth="1" min="5" max="5" width="8.88"/>
    <col customWidth="1" min="6" max="6" width="10.38"/>
    <col customWidth="1" min="7" max="7" width="22.0"/>
  </cols>
  <sheetData>
    <row r="1">
      <c r="A1" s="1"/>
      <c r="B1" s="2"/>
      <c r="C1" s="2"/>
      <c r="D1" s="3" t="str">
        <f>CONCATENATE(COUNTA(CIMV[Aula])," Atividades")</f>
        <v>1168 Atividades</v>
      </c>
      <c r="E1" s="4">
        <f>SUMIF(CIMV[MAR],"SIM",CIMV[Tempo])</f>
        <v>9.989583333</v>
      </c>
      <c r="F1" s="4">
        <f>SUM(CIMV[Tempo])</f>
        <v>20.55510417</v>
      </c>
      <c r="G1" s="5"/>
      <c r="H1" s="6"/>
      <c r="I1" s="6"/>
      <c r="J1" s="6"/>
      <c r="K1" s="6"/>
      <c r="L1" s="6"/>
      <c r="M1" s="6"/>
      <c r="N1" s="6"/>
      <c r="O1" s="6"/>
      <c r="P1" s="6"/>
      <c r="Q1" s="6"/>
      <c r="R1" s="6"/>
      <c r="S1" s="6"/>
    </row>
    <row r="2" ht="22.5" customHeight="1">
      <c r="A2" s="7" t="s">
        <v>0</v>
      </c>
      <c r="B2" s="7" t="s">
        <v>1</v>
      </c>
      <c r="C2" s="7" t="s">
        <v>2</v>
      </c>
      <c r="D2" s="8" t="s">
        <v>3</v>
      </c>
      <c r="E2" s="9" t="s">
        <v>4</v>
      </c>
      <c r="F2" s="7" t="s">
        <v>5</v>
      </c>
      <c r="G2" s="10" t="s">
        <v>6</v>
      </c>
      <c r="H2" s="6"/>
      <c r="I2" s="6"/>
      <c r="J2" s="6"/>
      <c r="K2" s="6"/>
      <c r="L2" s="6"/>
      <c r="M2" s="6"/>
      <c r="N2" s="6"/>
      <c r="O2" s="6"/>
      <c r="P2" s="6"/>
      <c r="Q2" s="6"/>
      <c r="R2" s="6"/>
      <c r="S2" s="6"/>
    </row>
    <row r="3" ht="22.5" hidden="1" customHeight="1">
      <c r="A3" s="11">
        <v>45690.0</v>
      </c>
      <c r="B3" s="12" t="s">
        <v>7</v>
      </c>
      <c r="C3" s="12" t="s">
        <v>8</v>
      </c>
      <c r="D3" s="13" t="s">
        <v>9</v>
      </c>
      <c r="E3" s="14"/>
      <c r="F3" s="15">
        <v>0.008414351851851852</v>
      </c>
      <c r="G3" s="16"/>
      <c r="H3" s="6"/>
      <c r="I3" s="17">
        <v>45690.0</v>
      </c>
      <c r="J3" s="18">
        <f>SUMIF(CIMV[[DATA]:[Tempo]],I3,CIMV[Tempo])</f>
        <v>0.07538194444</v>
      </c>
      <c r="K3" s="6"/>
      <c r="L3" s="6"/>
      <c r="M3" s="6"/>
      <c r="N3" s="6"/>
      <c r="O3" s="6"/>
      <c r="P3" s="6"/>
      <c r="Q3" s="6"/>
      <c r="R3" s="6"/>
      <c r="S3" s="6"/>
    </row>
    <row r="4" ht="22.5" hidden="1" customHeight="1">
      <c r="A4" s="11">
        <v>45690.0</v>
      </c>
      <c r="B4" s="12" t="s">
        <v>7</v>
      </c>
      <c r="C4" s="12" t="s">
        <v>8</v>
      </c>
      <c r="D4" s="13" t="s">
        <v>10</v>
      </c>
      <c r="E4" s="14"/>
      <c r="F4" s="15">
        <v>0.00443287037037037</v>
      </c>
      <c r="G4" s="16"/>
      <c r="H4" s="6"/>
      <c r="I4" s="17">
        <v>45691.0</v>
      </c>
      <c r="J4" s="18">
        <f>SUMIF(CIMV[[DATA]:[Tempo]],I4,CIMV[Tempo])</f>
        <v>0.02912037037</v>
      </c>
      <c r="K4" s="6"/>
      <c r="L4" s="6"/>
      <c r="M4" s="6"/>
      <c r="N4" s="6"/>
      <c r="O4" s="6"/>
      <c r="P4" s="6"/>
      <c r="Q4" s="6"/>
      <c r="R4" s="6"/>
      <c r="S4" s="6"/>
    </row>
    <row r="5" ht="22.5" hidden="1" customHeight="1">
      <c r="A5" s="11">
        <v>45690.0</v>
      </c>
      <c r="B5" s="12" t="s">
        <v>7</v>
      </c>
      <c r="C5" s="12" t="s">
        <v>8</v>
      </c>
      <c r="D5" s="13" t="s">
        <v>11</v>
      </c>
      <c r="E5" s="14"/>
      <c r="F5" s="15">
        <v>0.0028472222222222223</v>
      </c>
      <c r="G5" s="16"/>
      <c r="H5" s="6"/>
      <c r="I5" s="17">
        <v>45692.0</v>
      </c>
      <c r="J5" s="18">
        <f>SUMIF(CIMV[[DATA]:[Tempo]],I5,CIMV[Tempo])</f>
        <v>0.07818287037</v>
      </c>
      <c r="K5" s="6"/>
      <c r="L5" s="6"/>
      <c r="M5" s="6"/>
      <c r="N5" s="6"/>
      <c r="O5" s="6"/>
      <c r="P5" s="6"/>
      <c r="Q5" s="6"/>
      <c r="R5" s="6"/>
      <c r="S5" s="6"/>
    </row>
    <row r="6" ht="22.5" hidden="1" customHeight="1">
      <c r="A6" s="11">
        <v>45690.0</v>
      </c>
      <c r="B6" s="12" t="s">
        <v>7</v>
      </c>
      <c r="C6" s="12" t="s">
        <v>8</v>
      </c>
      <c r="D6" s="13" t="s">
        <v>12</v>
      </c>
      <c r="E6" s="14"/>
      <c r="F6" s="15">
        <v>0.0017708333333333332</v>
      </c>
      <c r="G6" s="16"/>
      <c r="H6" s="6"/>
      <c r="I6" s="17">
        <v>45693.0</v>
      </c>
      <c r="J6" s="18">
        <f>SUMIF(CIMV[[DATA]:[Tempo]],I6,CIMV[Tempo])</f>
        <v>0.02909722222</v>
      </c>
      <c r="K6" s="6"/>
      <c r="L6" s="6"/>
      <c r="M6" s="6"/>
      <c r="N6" s="6"/>
      <c r="O6" s="6"/>
      <c r="P6" s="6"/>
      <c r="Q6" s="6"/>
      <c r="R6" s="6"/>
      <c r="S6" s="6"/>
    </row>
    <row r="7" ht="22.5" hidden="1" customHeight="1">
      <c r="A7" s="11">
        <v>45690.0</v>
      </c>
      <c r="B7" s="12" t="s">
        <v>7</v>
      </c>
      <c r="C7" s="19" t="s">
        <v>8</v>
      </c>
      <c r="D7" s="13" t="s">
        <v>13</v>
      </c>
      <c r="E7" s="14"/>
      <c r="F7" s="15">
        <v>0.002534722222222222</v>
      </c>
      <c r="G7" s="16"/>
      <c r="H7" s="6"/>
      <c r="I7" s="17">
        <v>45694.0</v>
      </c>
      <c r="J7" s="18">
        <f>SUMIF(CIMV[[DATA]:[Tempo]],I7,CIMV[Tempo])</f>
        <v>0.04299768519</v>
      </c>
      <c r="K7" s="6"/>
      <c r="L7" s="6"/>
      <c r="M7" s="6"/>
      <c r="N7" s="6"/>
      <c r="O7" s="6"/>
      <c r="P7" s="6"/>
      <c r="Q7" s="6"/>
      <c r="R7" s="6"/>
      <c r="S7" s="6"/>
    </row>
    <row r="8" ht="22.5" hidden="1" customHeight="1">
      <c r="A8" s="11">
        <v>45690.0</v>
      </c>
      <c r="B8" s="12" t="s">
        <v>7</v>
      </c>
      <c r="C8" s="12" t="s">
        <v>14</v>
      </c>
      <c r="D8" s="13" t="s">
        <v>15</v>
      </c>
      <c r="E8" s="14"/>
      <c r="F8" s="15">
        <v>0.014618055555555556</v>
      </c>
      <c r="G8" s="16"/>
      <c r="H8" s="6"/>
      <c r="I8" s="17">
        <v>45695.0</v>
      </c>
      <c r="J8" s="18">
        <f>SUMIF(CIMV[[DATA]:[Tempo]],I8,CIMV[Tempo])</f>
        <v>0.04108796296</v>
      </c>
      <c r="K8" s="6"/>
      <c r="L8" s="6"/>
      <c r="M8" s="6"/>
      <c r="N8" s="6"/>
      <c r="O8" s="6"/>
      <c r="P8" s="6"/>
      <c r="Q8" s="6"/>
      <c r="R8" s="6"/>
      <c r="S8" s="6"/>
    </row>
    <row r="9" ht="22.5" hidden="1" customHeight="1">
      <c r="A9" s="11">
        <v>45690.0</v>
      </c>
      <c r="B9" s="12" t="s">
        <v>7</v>
      </c>
      <c r="C9" s="12" t="s">
        <v>14</v>
      </c>
      <c r="D9" s="13" t="s">
        <v>16</v>
      </c>
      <c r="E9" s="14"/>
      <c r="F9" s="15">
        <v>0.017256944444444443</v>
      </c>
      <c r="G9" s="16"/>
      <c r="H9" s="6"/>
      <c r="I9" s="17">
        <v>45696.0</v>
      </c>
      <c r="J9" s="18">
        <f>SUMIF(CIMV[[DATA]:[Tempo]],I9,CIMV[Tempo])</f>
        <v>0.04917824074</v>
      </c>
      <c r="K9" s="6"/>
      <c r="L9" s="6"/>
      <c r="M9" s="6"/>
      <c r="N9" s="6"/>
      <c r="O9" s="6"/>
      <c r="P9" s="6"/>
      <c r="Q9" s="6"/>
      <c r="R9" s="6"/>
      <c r="S9" s="6"/>
    </row>
    <row r="10" ht="22.5" hidden="1" customHeight="1">
      <c r="A10" s="11">
        <v>45690.0</v>
      </c>
      <c r="B10" s="12" t="s">
        <v>7</v>
      </c>
      <c r="C10" s="12" t="s">
        <v>14</v>
      </c>
      <c r="D10" s="13" t="s">
        <v>17</v>
      </c>
      <c r="E10" s="14"/>
      <c r="F10" s="15">
        <v>0.023506944444444445</v>
      </c>
      <c r="G10" s="16"/>
      <c r="H10" s="6"/>
      <c r="I10" s="17">
        <v>45697.0</v>
      </c>
      <c r="J10" s="18">
        <f>SUMIF(CIMV[[DATA]:[Tempo]],I10,CIMV[Tempo])</f>
        <v>0.0434837963</v>
      </c>
      <c r="K10" s="6"/>
      <c r="L10" s="6"/>
      <c r="M10" s="6"/>
      <c r="N10" s="6"/>
      <c r="O10" s="6"/>
      <c r="P10" s="6"/>
      <c r="Q10" s="6"/>
      <c r="R10" s="6"/>
      <c r="S10" s="6"/>
    </row>
    <row r="11" ht="22.5" hidden="1" customHeight="1">
      <c r="A11" s="20">
        <v>45691.0</v>
      </c>
      <c r="B11" s="12" t="s">
        <v>7</v>
      </c>
      <c r="C11" s="12" t="s">
        <v>14</v>
      </c>
      <c r="D11" s="21" t="s">
        <v>18</v>
      </c>
      <c r="E11" s="22"/>
      <c r="F11" s="23">
        <v>0.020810185185185185</v>
      </c>
      <c r="G11" s="24"/>
      <c r="H11" s="6"/>
      <c r="I11" s="17">
        <v>45698.0</v>
      </c>
      <c r="J11" s="18">
        <f>SUMIF(CIMV[[DATA]:[Tempo]],I11,CIMV[Tempo])</f>
        <v>0.04989583333</v>
      </c>
      <c r="K11" s="6"/>
      <c r="L11" s="6"/>
      <c r="M11" s="6"/>
      <c r="N11" s="6"/>
      <c r="O11" s="6"/>
      <c r="P11" s="6"/>
      <c r="Q11" s="6"/>
      <c r="R11" s="6"/>
      <c r="S11" s="6"/>
    </row>
    <row r="12" ht="22.5" hidden="1" customHeight="1">
      <c r="A12" s="20">
        <v>45691.0</v>
      </c>
      <c r="B12" s="12" t="s">
        <v>7</v>
      </c>
      <c r="C12" s="12" t="s">
        <v>14</v>
      </c>
      <c r="D12" s="21" t="s">
        <v>19</v>
      </c>
      <c r="E12" s="22"/>
      <c r="F12" s="23">
        <v>0.008310185185185184</v>
      </c>
      <c r="G12" s="24"/>
      <c r="H12" s="6"/>
      <c r="I12" s="17">
        <v>45699.0</v>
      </c>
      <c r="J12" s="18">
        <f>SUMIF(CIMV[[DATA]:[Tempo]],I12,CIMV[Tempo])</f>
        <v>0.04466435185</v>
      </c>
      <c r="K12" s="6"/>
      <c r="L12" s="6"/>
      <c r="M12" s="6"/>
      <c r="N12" s="6"/>
      <c r="O12" s="6"/>
      <c r="P12" s="6"/>
      <c r="Q12" s="6"/>
      <c r="R12" s="6"/>
      <c r="S12" s="6"/>
    </row>
    <row r="13" ht="22.5" hidden="1" customHeight="1">
      <c r="A13" s="20">
        <v>45692.0</v>
      </c>
      <c r="B13" s="12" t="s">
        <v>7</v>
      </c>
      <c r="C13" s="19" t="s">
        <v>14</v>
      </c>
      <c r="D13" s="21" t="s">
        <v>20</v>
      </c>
      <c r="E13" s="22"/>
      <c r="F13" s="23">
        <v>0.01615740740740741</v>
      </c>
      <c r="G13" s="24"/>
      <c r="H13" s="6"/>
      <c r="I13" s="17">
        <v>45700.0</v>
      </c>
      <c r="J13" s="18">
        <f>SUMIF(CIMV[[DATA]:[Tempo]],I13,CIMV[Tempo])</f>
        <v>0.05107638889</v>
      </c>
      <c r="K13" s="6"/>
      <c r="L13" s="6"/>
      <c r="M13" s="6"/>
      <c r="N13" s="6"/>
      <c r="O13" s="6"/>
      <c r="P13" s="6"/>
      <c r="Q13" s="6"/>
      <c r="R13" s="6"/>
      <c r="S13" s="6"/>
    </row>
    <row r="14" ht="22.5" hidden="1" customHeight="1">
      <c r="A14" s="20">
        <v>45692.0</v>
      </c>
      <c r="B14" s="12" t="s">
        <v>7</v>
      </c>
      <c r="C14" s="12" t="s">
        <v>14</v>
      </c>
      <c r="D14" s="21" t="s">
        <v>21</v>
      </c>
      <c r="E14" s="22"/>
      <c r="F14" s="23">
        <v>0.02684027777777778</v>
      </c>
      <c r="G14" s="24"/>
      <c r="H14" s="6"/>
      <c r="I14" s="17">
        <v>45701.0</v>
      </c>
      <c r="J14" s="18">
        <f>SUMIF(CIMV[[DATA]:[Tempo]],I14,CIMV[Tempo])</f>
        <v>0.04166666667</v>
      </c>
      <c r="K14" s="6"/>
      <c r="L14" s="6"/>
      <c r="M14" s="6"/>
      <c r="N14" s="6"/>
      <c r="O14" s="6"/>
      <c r="P14" s="6"/>
      <c r="Q14" s="6"/>
      <c r="R14" s="6"/>
      <c r="S14" s="6"/>
    </row>
    <row r="15" ht="22.5" hidden="1" customHeight="1">
      <c r="A15" s="20">
        <v>45692.0</v>
      </c>
      <c r="B15" s="12" t="s">
        <v>7</v>
      </c>
      <c r="C15" s="19" t="s">
        <v>14</v>
      </c>
      <c r="D15" s="21" t="s">
        <v>22</v>
      </c>
      <c r="E15" s="22"/>
      <c r="F15" s="23">
        <v>0.022766203703703705</v>
      </c>
      <c r="G15" s="24"/>
      <c r="H15" s="6"/>
      <c r="I15" s="17">
        <v>45702.0</v>
      </c>
      <c r="J15" s="18">
        <f>SUMIF(CIMV[[DATA]:[Tempo]],I15,CIMV[Tempo])</f>
        <v>0.06037037037</v>
      </c>
      <c r="K15" s="6"/>
      <c r="L15" s="6"/>
      <c r="M15" s="6"/>
      <c r="N15" s="6"/>
      <c r="O15" s="6"/>
      <c r="P15" s="6"/>
      <c r="Q15" s="6"/>
      <c r="R15" s="6"/>
      <c r="S15" s="6"/>
    </row>
    <row r="16" ht="22.5" hidden="1" customHeight="1">
      <c r="A16" s="20">
        <v>45692.0</v>
      </c>
      <c r="B16" s="12" t="s">
        <v>7</v>
      </c>
      <c r="C16" s="25" t="s">
        <v>14</v>
      </c>
      <c r="D16" s="26" t="s">
        <v>23</v>
      </c>
      <c r="E16" s="22"/>
      <c r="F16" s="23">
        <v>0.0033680555555555556</v>
      </c>
      <c r="G16" s="24"/>
      <c r="H16" s="6"/>
      <c r="I16" s="17">
        <v>45703.0</v>
      </c>
      <c r="J16" s="18">
        <f>SUMIF(CIMV[[DATA]:[Tempo]],I16,CIMV[Tempo])</f>
        <v>0.03386574074</v>
      </c>
      <c r="K16" s="6"/>
      <c r="L16" s="6"/>
      <c r="M16" s="6"/>
      <c r="N16" s="6"/>
      <c r="O16" s="6"/>
      <c r="P16" s="6"/>
      <c r="Q16" s="6"/>
      <c r="R16" s="6"/>
      <c r="S16" s="6"/>
    </row>
    <row r="17" ht="22.5" hidden="1" customHeight="1">
      <c r="A17" s="20">
        <v>45692.0</v>
      </c>
      <c r="B17" s="12" t="s">
        <v>7</v>
      </c>
      <c r="C17" s="25" t="s">
        <v>24</v>
      </c>
      <c r="D17" s="26" t="s">
        <v>25</v>
      </c>
      <c r="E17" s="22"/>
      <c r="F17" s="23">
        <v>0.009050925925925926</v>
      </c>
      <c r="G17" s="24"/>
      <c r="H17" s="6"/>
      <c r="I17" s="17">
        <v>45704.0</v>
      </c>
      <c r="J17" s="18">
        <f>SUMIF(CIMV[[DATA]:[Tempo]],I17,CIMV[Tempo])</f>
        <v>0.04806712963</v>
      </c>
      <c r="K17" s="6"/>
      <c r="L17" s="6"/>
      <c r="M17" s="6"/>
      <c r="N17" s="6"/>
      <c r="O17" s="6"/>
      <c r="P17" s="6"/>
      <c r="Q17" s="6"/>
      <c r="R17" s="6"/>
      <c r="S17" s="6"/>
    </row>
    <row r="18" ht="22.5" hidden="1" customHeight="1">
      <c r="A18" s="27">
        <v>45693.0</v>
      </c>
      <c r="B18" s="12" t="s">
        <v>7</v>
      </c>
      <c r="C18" s="25" t="s">
        <v>24</v>
      </c>
      <c r="D18" s="26" t="s">
        <v>26</v>
      </c>
      <c r="E18" s="22"/>
      <c r="F18" s="23">
        <v>0.022152777777777778</v>
      </c>
      <c r="G18" s="24"/>
      <c r="H18" s="6"/>
      <c r="I18" s="17">
        <v>45705.0</v>
      </c>
      <c r="J18" s="18">
        <f>SUMIF(CIMV[[DATA]:[Tempo]],I18,CIMV[Tempo])</f>
        <v>0.04752314815</v>
      </c>
      <c r="K18" s="6"/>
      <c r="L18" s="6"/>
      <c r="M18" s="6"/>
      <c r="N18" s="6"/>
      <c r="O18" s="6"/>
      <c r="P18" s="6"/>
      <c r="Q18" s="6"/>
      <c r="R18" s="6"/>
      <c r="S18" s="6"/>
    </row>
    <row r="19" ht="14.25" hidden="1" customHeight="1">
      <c r="A19" s="27">
        <v>45693.0</v>
      </c>
      <c r="B19" s="12" t="s">
        <v>7</v>
      </c>
      <c r="C19" s="25" t="s">
        <v>24</v>
      </c>
      <c r="D19" s="26" t="s">
        <v>27</v>
      </c>
      <c r="E19" s="22"/>
      <c r="F19" s="23">
        <v>0.006944444444444444</v>
      </c>
      <c r="G19" s="24"/>
      <c r="H19" s="6"/>
      <c r="I19" s="17">
        <v>45706.0</v>
      </c>
      <c r="J19" s="18">
        <f>SUMIF(CIMV[[DATA]:[Tempo]],I19,CIMV[Tempo])</f>
        <v>0.04508101852</v>
      </c>
      <c r="K19" s="6"/>
      <c r="L19" s="6"/>
      <c r="M19" s="6"/>
      <c r="N19" s="6"/>
      <c r="O19" s="6"/>
      <c r="P19" s="6"/>
      <c r="Q19" s="6"/>
      <c r="R19" s="6"/>
      <c r="S19" s="6"/>
    </row>
    <row r="20" ht="22.5" hidden="1" customHeight="1">
      <c r="A20" s="27">
        <v>45694.0</v>
      </c>
      <c r="B20" s="12" t="s">
        <v>7</v>
      </c>
      <c r="C20" s="25" t="s">
        <v>24</v>
      </c>
      <c r="D20" s="26" t="s">
        <v>28</v>
      </c>
      <c r="E20" s="22"/>
      <c r="F20" s="23">
        <v>0.012847222222222222</v>
      </c>
      <c r="G20" s="24"/>
      <c r="H20" s="6"/>
      <c r="I20" s="17">
        <v>45707.0</v>
      </c>
      <c r="J20" s="18">
        <f>SUMIF(CIMV[[DATA]:[Tempo]],I20,CIMV[Tempo])</f>
        <v>0.03988425926</v>
      </c>
      <c r="K20" s="6"/>
      <c r="L20" s="6"/>
      <c r="M20" s="6"/>
      <c r="N20" s="6"/>
      <c r="O20" s="6"/>
      <c r="P20" s="6"/>
      <c r="Q20" s="6"/>
      <c r="R20" s="6"/>
      <c r="S20" s="6"/>
    </row>
    <row r="21" ht="22.5" hidden="1" customHeight="1">
      <c r="A21" s="27">
        <v>45694.0</v>
      </c>
      <c r="B21" s="12" t="s">
        <v>7</v>
      </c>
      <c r="C21" s="25" t="s">
        <v>24</v>
      </c>
      <c r="D21" s="26" t="s">
        <v>29</v>
      </c>
      <c r="E21" s="22"/>
      <c r="F21" s="23">
        <v>0.016261574074074074</v>
      </c>
      <c r="G21" s="24"/>
      <c r="H21" s="6"/>
      <c r="I21" s="17">
        <v>45708.0</v>
      </c>
      <c r="J21" s="18">
        <f>SUMIF(CIMV[[DATA]:[Tempo]],I21,CIMV[Tempo])</f>
        <v>0.03570601852</v>
      </c>
      <c r="K21" s="6"/>
      <c r="L21" s="6"/>
      <c r="M21" s="6"/>
      <c r="N21" s="6"/>
      <c r="O21" s="6"/>
      <c r="P21" s="6"/>
      <c r="Q21" s="6"/>
      <c r="R21" s="6"/>
      <c r="S21" s="6"/>
    </row>
    <row r="22" ht="22.5" hidden="1" customHeight="1">
      <c r="A22" s="27">
        <v>45694.0</v>
      </c>
      <c r="B22" s="12" t="s">
        <v>7</v>
      </c>
      <c r="C22" s="25" t="s">
        <v>24</v>
      </c>
      <c r="D22" s="26" t="s">
        <v>27</v>
      </c>
      <c r="E22" s="22"/>
      <c r="F22" s="23">
        <v>0.013888888888888888</v>
      </c>
      <c r="G22" s="24"/>
      <c r="H22" s="6"/>
      <c r="I22" s="17">
        <v>45709.0</v>
      </c>
      <c r="J22" s="18">
        <f>SUMIF(CIMV[[DATA]:[Tempo]],I22,CIMV[Tempo])</f>
        <v>0.03800925926</v>
      </c>
      <c r="K22" s="6"/>
      <c r="L22" s="6"/>
      <c r="M22" s="6"/>
      <c r="N22" s="6"/>
      <c r="O22" s="6"/>
      <c r="P22" s="6"/>
      <c r="Q22" s="6"/>
      <c r="R22" s="6"/>
      <c r="S22" s="6"/>
    </row>
    <row r="23" ht="22.5" hidden="1" customHeight="1">
      <c r="A23" s="27">
        <v>45695.0</v>
      </c>
      <c r="B23" s="12" t="s">
        <v>7</v>
      </c>
      <c r="C23" s="25" t="s">
        <v>24</v>
      </c>
      <c r="D23" s="26" t="s">
        <v>30</v>
      </c>
      <c r="E23" s="22"/>
      <c r="F23" s="23">
        <v>0.012303240740740741</v>
      </c>
      <c r="G23" s="24"/>
      <c r="H23" s="6"/>
      <c r="I23" s="17">
        <v>45710.0</v>
      </c>
      <c r="J23" s="18">
        <f>SUMIF(CIMV[[DATA]:[Tempo]],I23,CIMV[Tempo])</f>
        <v>0.03959490741</v>
      </c>
      <c r="K23" s="6"/>
      <c r="L23" s="6"/>
      <c r="M23" s="6"/>
      <c r="N23" s="6"/>
      <c r="O23" s="6"/>
      <c r="P23" s="6"/>
      <c r="Q23" s="6"/>
      <c r="R23" s="6"/>
      <c r="S23" s="6"/>
    </row>
    <row r="24" ht="22.5" hidden="1" customHeight="1">
      <c r="A24" s="27">
        <v>45695.0</v>
      </c>
      <c r="B24" s="12" t="s">
        <v>7</v>
      </c>
      <c r="C24" s="25" t="s">
        <v>24</v>
      </c>
      <c r="D24" s="26" t="s">
        <v>31</v>
      </c>
      <c r="E24" s="22"/>
      <c r="F24" s="23">
        <v>0.014895833333333334</v>
      </c>
      <c r="G24" s="24"/>
      <c r="H24" s="6"/>
      <c r="I24" s="17">
        <v>45711.0</v>
      </c>
      <c r="J24" s="18">
        <f>SUMIF(CIMV[[DATA]:[Tempo]],I24,CIMV[Tempo])</f>
        <v>0.03909722222</v>
      </c>
      <c r="K24" s="6"/>
      <c r="L24" s="6"/>
      <c r="M24" s="6"/>
      <c r="N24" s="6"/>
      <c r="O24" s="6"/>
      <c r="P24" s="6"/>
      <c r="Q24" s="6"/>
      <c r="R24" s="6"/>
      <c r="S24" s="6"/>
    </row>
    <row r="25" ht="22.5" hidden="1" customHeight="1">
      <c r="A25" s="27">
        <v>45695.0</v>
      </c>
      <c r="B25" s="12" t="s">
        <v>7</v>
      </c>
      <c r="C25" s="25" t="s">
        <v>24</v>
      </c>
      <c r="D25" s="26" t="s">
        <v>27</v>
      </c>
      <c r="E25" s="22"/>
      <c r="F25" s="23">
        <v>0.013888888888888888</v>
      </c>
      <c r="G25" s="24"/>
      <c r="H25" s="6"/>
      <c r="I25" s="17">
        <v>45712.0</v>
      </c>
      <c r="J25" s="18">
        <f>SUMIF(CIMV[[DATA]:[Tempo]],I25,CIMV[Tempo])</f>
        <v>0.05097222222</v>
      </c>
      <c r="K25" s="6"/>
      <c r="L25" s="6"/>
      <c r="M25" s="6"/>
      <c r="N25" s="6"/>
      <c r="O25" s="6"/>
      <c r="P25" s="6"/>
      <c r="Q25" s="6"/>
      <c r="R25" s="6"/>
      <c r="S25" s="6"/>
    </row>
    <row r="26" ht="22.5" hidden="1" customHeight="1">
      <c r="A26" s="27">
        <v>45696.0</v>
      </c>
      <c r="B26" s="12" t="s">
        <v>7</v>
      </c>
      <c r="C26" s="25" t="s">
        <v>24</v>
      </c>
      <c r="D26" s="26" t="s">
        <v>32</v>
      </c>
      <c r="E26" s="22"/>
      <c r="F26" s="23">
        <v>0.02042824074074074</v>
      </c>
      <c r="G26" s="24"/>
      <c r="H26" s="6"/>
      <c r="I26" s="17">
        <v>45713.0</v>
      </c>
      <c r="J26" s="18">
        <f>SUMIF(CIMV[[DATA]:[Tempo]],I26,CIMV[Tempo])</f>
        <v>0.03831018519</v>
      </c>
      <c r="K26" s="6"/>
      <c r="L26" s="6"/>
      <c r="M26" s="6"/>
      <c r="N26" s="6"/>
      <c r="O26" s="6"/>
      <c r="P26" s="6"/>
      <c r="Q26" s="6"/>
      <c r="R26" s="6"/>
      <c r="S26" s="6"/>
    </row>
    <row r="27" ht="22.5" hidden="1" customHeight="1">
      <c r="A27" s="27">
        <v>45696.0</v>
      </c>
      <c r="B27" s="12" t="s">
        <v>7</v>
      </c>
      <c r="C27" s="25" t="s">
        <v>24</v>
      </c>
      <c r="D27" s="26" t="s">
        <v>33</v>
      </c>
      <c r="E27" s="22"/>
      <c r="F27" s="23">
        <v>0.011238425925925926</v>
      </c>
      <c r="G27" s="24"/>
      <c r="H27" s="6"/>
      <c r="I27" s="17">
        <v>45714.0</v>
      </c>
      <c r="J27" s="18">
        <f>SUMIF(CIMV[[DATA]:[Tempo]],I27,CIMV[Tempo])</f>
        <v>0.0466087963</v>
      </c>
      <c r="K27" s="6"/>
      <c r="L27" s="6"/>
      <c r="M27" s="6"/>
      <c r="N27" s="6"/>
      <c r="O27" s="6"/>
      <c r="P27" s="6"/>
      <c r="Q27" s="6"/>
      <c r="R27" s="6"/>
      <c r="S27" s="6"/>
    </row>
    <row r="28" ht="22.5" hidden="1" customHeight="1">
      <c r="A28" s="27">
        <v>45696.0</v>
      </c>
      <c r="B28" s="12" t="s">
        <v>7</v>
      </c>
      <c r="C28" s="25" t="s">
        <v>24</v>
      </c>
      <c r="D28" s="26" t="s">
        <v>27</v>
      </c>
      <c r="E28" s="22"/>
      <c r="F28" s="23">
        <v>0.013888888888888888</v>
      </c>
      <c r="G28" s="28"/>
      <c r="H28" s="6"/>
      <c r="I28" s="17">
        <v>45715.0</v>
      </c>
      <c r="J28" s="18">
        <f>SUMIF(CIMV[[DATA]:[Tempo]],I28,CIMV[Tempo])</f>
        <v>0.03590277778</v>
      </c>
      <c r="K28" s="6"/>
      <c r="L28" s="6"/>
      <c r="M28" s="6"/>
      <c r="N28" s="6"/>
      <c r="O28" s="6"/>
      <c r="P28" s="6"/>
      <c r="Q28" s="6"/>
      <c r="R28" s="6"/>
      <c r="S28" s="6"/>
    </row>
    <row r="29" ht="22.5" hidden="1" customHeight="1">
      <c r="A29" s="27">
        <v>45696.0</v>
      </c>
      <c r="B29" s="12" t="s">
        <v>7</v>
      </c>
      <c r="C29" s="25" t="s">
        <v>24</v>
      </c>
      <c r="D29" s="26" t="s">
        <v>34</v>
      </c>
      <c r="E29" s="22"/>
      <c r="F29" s="23">
        <v>0.0036226851851851854</v>
      </c>
      <c r="G29" s="29" t="s">
        <v>35</v>
      </c>
      <c r="H29" s="6"/>
      <c r="I29" s="17">
        <v>45716.0</v>
      </c>
      <c r="J29" s="18">
        <f>SUMIF(CIMV[[DATA]:[Tempo]],I29,CIMV[Tempo])</f>
        <v>0.06241898148</v>
      </c>
      <c r="K29" s="6"/>
      <c r="L29" s="6"/>
      <c r="M29" s="6"/>
      <c r="N29" s="6"/>
      <c r="O29" s="6"/>
      <c r="P29" s="6"/>
      <c r="Q29" s="6"/>
      <c r="R29" s="6"/>
      <c r="S29" s="6"/>
    </row>
    <row r="30" ht="22.5" hidden="1" customHeight="1">
      <c r="A30" s="27">
        <v>45696.0</v>
      </c>
      <c r="B30" s="12" t="s">
        <v>7</v>
      </c>
      <c r="C30" s="25" t="s">
        <v>24</v>
      </c>
      <c r="D30" s="26" t="s">
        <v>36</v>
      </c>
      <c r="E30" s="22"/>
      <c r="F30" s="23">
        <v>0.0</v>
      </c>
      <c r="G30" s="24"/>
      <c r="H30" s="6"/>
      <c r="I30" s="17">
        <v>45717.0</v>
      </c>
      <c r="J30" s="18">
        <f>SUMIF(CIMV[[DATA]:[Tempo]],I30,CIMV[Tempo])</f>
        <v>0.03111111111</v>
      </c>
      <c r="K30" s="6"/>
      <c r="L30" s="6"/>
      <c r="M30" s="6"/>
      <c r="N30" s="6"/>
      <c r="O30" s="6"/>
      <c r="P30" s="6"/>
      <c r="Q30" s="6"/>
      <c r="R30" s="6"/>
      <c r="S30" s="6"/>
    </row>
    <row r="31" ht="22.5" hidden="1" customHeight="1">
      <c r="A31" s="27">
        <v>45697.0</v>
      </c>
      <c r="B31" s="12" t="s">
        <v>7</v>
      </c>
      <c r="C31" s="25" t="s">
        <v>37</v>
      </c>
      <c r="D31" s="26" t="s">
        <v>38</v>
      </c>
      <c r="E31" s="22"/>
      <c r="F31" s="23">
        <v>0.010462962962962962</v>
      </c>
      <c r="G31" s="24"/>
      <c r="H31" s="6"/>
      <c r="I31" s="17">
        <v>45718.0</v>
      </c>
      <c r="J31" s="18">
        <f>SUMIF(CIMV[[DATA]:[Tempo]],I31,CIMV[Tempo])</f>
        <v>0.05143518519</v>
      </c>
      <c r="K31" s="6"/>
      <c r="L31" s="6"/>
      <c r="M31" s="6"/>
      <c r="N31" s="6"/>
      <c r="O31" s="6"/>
      <c r="P31" s="6"/>
      <c r="Q31" s="6"/>
      <c r="R31" s="6"/>
      <c r="S31" s="6"/>
    </row>
    <row r="32" ht="22.5" hidden="1" customHeight="1">
      <c r="A32" s="27">
        <v>45697.0</v>
      </c>
      <c r="B32" s="12" t="s">
        <v>7</v>
      </c>
      <c r="C32" s="25" t="s">
        <v>24</v>
      </c>
      <c r="D32" s="26" t="s">
        <v>39</v>
      </c>
      <c r="E32" s="22"/>
      <c r="F32" s="23">
        <v>0.003472222222222222</v>
      </c>
      <c r="G32" s="24"/>
      <c r="H32" s="6"/>
      <c r="I32" s="17">
        <v>45719.0</v>
      </c>
      <c r="J32" s="18">
        <f>SUMIF(CIMV[[DATA]:[Tempo]],I32,CIMV[Tempo])</f>
        <v>0.04548611111</v>
      </c>
      <c r="K32" s="6"/>
      <c r="L32" s="6"/>
      <c r="M32" s="6"/>
      <c r="N32" s="6"/>
      <c r="O32" s="6"/>
      <c r="P32" s="6"/>
      <c r="Q32" s="6"/>
      <c r="R32" s="6"/>
      <c r="S32" s="6"/>
    </row>
    <row r="33" ht="22.5" hidden="1" customHeight="1">
      <c r="A33" s="27">
        <v>45697.0</v>
      </c>
      <c r="B33" s="12" t="s">
        <v>7</v>
      </c>
      <c r="C33" s="25" t="s">
        <v>37</v>
      </c>
      <c r="D33" s="26" t="s">
        <v>40</v>
      </c>
      <c r="E33" s="22"/>
      <c r="F33" s="23">
        <v>0.01565972222222222</v>
      </c>
      <c r="G33" s="24"/>
      <c r="H33" s="6"/>
      <c r="I33" s="17">
        <v>45720.0</v>
      </c>
      <c r="J33" s="18">
        <f>SUMIF(CIMV[[DATA]:[Tempo]],I33,CIMV[Tempo])</f>
        <v>0.05311342593</v>
      </c>
      <c r="K33" s="6"/>
      <c r="L33" s="6"/>
      <c r="M33" s="6"/>
      <c r="N33" s="6"/>
      <c r="O33" s="6"/>
      <c r="P33" s="6"/>
      <c r="Q33" s="6"/>
      <c r="R33" s="6"/>
      <c r="S33" s="6"/>
    </row>
    <row r="34" ht="22.5" hidden="1" customHeight="1">
      <c r="A34" s="27">
        <v>45697.0</v>
      </c>
      <c r="B34" s="12" t="s">
        <v>7</v>
      </c>
      <c r="C34" s="25" t="s">
        <v>37</v>
      </c>
      <c r="D34" s="26" t="s">
        <v>27</v>
      </c>
      <c r="E34" s="22"/>
      <c r="F34" s="23">
        <v>0.013888888888888888</v>
      </c>
      <c r="G34" s="24"/>
      <c r="H34" s="6"/>
      <c r="I34" s="17">
        <v>45721.0</v>
      </c>
      <c r="J34" s="18">
        <f>SUMIF(CIMV[[DATA]:[Tempo]],I34,CIMV[Tempo])</f>
        <v>0.05024305556</v>
      </c>
      <c r="K34" s="6"/>
      <c r="L34" s="6"/>
      <c r="M34" s="6"/>
      <c r="N34" s="6"/>
      <c r="O34" s="6"/>
      <c r="P34" s="6"/>
      <c r="Q34" s="6"/>
      <c r="R34" s="6"/>
      <c r="S34" s="6"/>
    </row>
    <row r="35" ht="22.5" hidden="1" customHeight="1">
      <c r="A35" s="27">
        <v>45698.0</v>
      </c>
      <c r="B35" s="12" t="s">
        <v>7</v>
      </c>
      <c r="C35" s="25" t="s">
        <v>37</v>
      </c>
      <c r="D35" s="26" t="s">
        <v>41</v>
      </c>
      <c r="E35" s="22"/>
      <c r="F35" s="23">
        <v>0.004861111111111111</v>
      </c>
      <c r="G35" s="24"/>
      <c r="H35" s="6"/>
      <c r="I35" s="17">
        <v>45722.0</v>
      </c>
      <c r="J35" s="18">
        <f>SUMIF(CIMV[[DATA]:[Tempo]],I35,CIMV[Tempo])</f>
        <v>0.05445601852</v>
      </c>
      <c r="K35" s="6"/>
      <c r="L35" s="6"/>
      <c r="M35" s="6"/>
      <c r="N35" s="6"/>
      <c r="O35" s="6"/>
      <c r="P35" s="6"/>
      <c r="Q35" s="6"/>
      <c r="R35" s="6"/>
      <c r="S35" s="6"/>
    </row>
    <row r="36" ht="22.5" hidden="1" customHeight="1">
      <c r="A36" s="27">
        <v>45698.0</v>
      </c>
      <c r="B36" s="12" t="s">
        <v>7</v>
      </c>
      <c r="C36" s="25" t="s">
        <v>37</v>
      </c>
      <c r="D36" s="26" t="s">
        <v>42</v>
      </c>
      <c r="E36" s="22"/>
      <c r="F36" s="23">
        <v>0.01818287037037037</v>
      </c>
      <c r="G36" s="24"/>
      <c r="H36" s="6"/>
      <c r="I36" s="17">
        <v>45723.0</v>
      </c>
      <c r="J36" s="18">
        <f>SUMIF(CIMV[[DATA]:[Tempo]],I36,CIMV[Tempo])</f>
        <v>0.06371527778</v>
      </c>
      <c r="K36" s="6"/>
      <c r="L36" s="6"/>
      <c r="M36" s="6"/>
      <c r="N36" s="6"/>
      <c r="O36" s="6"/>
      <c r="P36" s="6"/>
      <c r="Q36" s="6"/>
      <c r="R36" s="6"/>
      <c r="S36" s="6"/>
    </row>
    <row r="37" ht="22.5" hidden="1" customHeight="1">
      <c r="A37" s="27">
        <v>45698.0</v>
      </c>
      <c r="B37" s="12" t="s">
        <v>7</v>
      </c>
      <c r="C37" s="25" t="s">
        <v>37</v>
      </c>
      <c r="D37" s="26" t="s">
        <v>43</v>
      </c>
      <c r="E37" s="22"/>
      <c r="F37" s="23">
        <v>0.012962962962962963</v>
      </c>
      <c r="G37" s="24"/>
      <c r="H37" s="6"/>
      <c r="I37" s="17">
        <v>45724.0</v>
      </c>
      <c r="J37" s="18">
        <f>SUMIF(CIMV[[DATA]:[Tempo]],I37,CIMV[Tempo])</f>
        <v>0.06627314815</v>
      </c>
      <c r="K37" s="6"/>
      <c r="L37" s="6"/>
      <c r="M37" s="6"/>
      <c r="N37" s="6"/>
      <c r="O37" s="6"/>
      <c r="P37" s="6"/>
      <c r="Q37" s="6"/>
      <c r="R37" s="6"/>
      <c r="S37" s="6"/>
    </row>
    <row r="38" ht="22.5" hidden="1" customHeight="1">
      <c r="A38" s="27">
        <v>45698.0</v>
      </c>
      <c r="B38" s="12" t="s">
        <v>7</v>
      </c>
      <c r="C38" s="25" t="s">
        <v>37</v>
      </c>
      <c r="D38" s="26" t="s">
        <v>27</v>
      </c>
      <c r="E38" s="22"/>
      <c r="F38" s="23">
        <v>0.013888888888888888</v>
      </c>
      <c r="G38" s="24"/>
      <c r="H38" s="6"/>
      <c r="I38" s="17">
        <v>45725.0</v>
      </c>
      <c r="J38" s="18">
        <f>SUMIF(CIMV[[DATA]:[Tempo]],I38,CIMV[Tempo])</f>
        <v>0.0884375</v>
      </c>
      <c r="K38" s="6"/>
      <c r="L38" s="6"/>
      <c r="M38" s="6"/>
      <c r="N38" s="6"/>
      <c r="O38" s="6"/>
      <c r="P38" s="6"/>
      <c r="Q38" s="6"/>
      <c r="R38" s="6"/>
      <c r="S38" s="6"/>
    </row>
    <row r="39" ht="22.5" hidden="1" customHeight="1">
      <c r="A39" s="27">
        <v>45699.0</v>
      </c>
      <c r="B39" s="12" t="s">
        <v>7</v>
      </c>
      <c r="C39" s="25" t="s">
        <v>37</v>
      </c>
      <c r="D39" s="26" t="s">
        <v>41</v>
      </c>
      <c r="E39" s="22"/>
      <c r="F39" s="23">
        <v>0.004861111111111111</v>
      </c>
      <c r="G39" s="24"/>
      <c r="H39" s="6"/>
      <c r="I39" s="17">
        <v>45726.0</v>
      </c>
      <c r="J39" s="18">
        <f>SUMIF(CIMV[[DATA]:[Tempo]],I39,CIMV[Tempo])</f>
        <v>0.0558912037</v>
      </c>
      <c r="K39" s="6"/>
      <c r="L39" s="6"/>
      <c r="M39" s="6"/>
      <c r="N39" s="6"/>
      <c r="O39" s="6"/>
      <c r="P39" s="6"/>
      <c r="Q39" s="6"/>
      <c r="R39" s="6"/>
      <c r="S39" s="6"/>
    </row>
    <row r="40" ht="22.5" hidden="1" customHeight="1">
      <c r="A40" s="27">
        <v>45699.0</v>
      </c>
      <c r="B40" s="12" t="s">
        <v>7</v>
      </c>
      <c r="C40" s="25" t="s">
        <v>37</v>
      </c>
      <c r="D40" s="26" t="s">
        <v>44</v>
      </c>
      <c r="E40" s="22"/>
      <c r="F40" s="23">
        <v>0.009965277777777778</v>
      </c>
      <c r="G40" s="24"/>
      <c r="H40" s="6"/>
      <c r="I40" s="17">
        <v>45727.0</v>
      </c>
      <c r="J40" s="18">
        <f>SUMIF(CIMV[[DATA]:[Tempo]],I40,CIMV[Tempo])</f>
        <v>0.0525</v>
      </c>
      <c r="K40" s="6"/>
      <c r="L40" s="6"/>
      <c r="M40" s="6"/>
      <c r="N40" s="6"/>
      <c r="O40" s="6"/>
      <c r="P40" s="6"/>
      <c r="Q40" s="6"/>
      <c r="R40" s="6"/>
      <c r="S40" s="6"/>
    </row>
    <row r="41" ht="22.5" hidden="1" customHeight="1">
      <c r="A41" s="27">
        <v>45699.0</v>
      </c>
      <c r="B41" s="12" t="s">
        <v>7</v>
      </c>
      <c r="C41" s="25" t="s">
        <v>37</v>
      </c>
      <c r="D41" s="26" t="s">
        <v>45</v>
      </c>
      <c r="E41" s="22"/>
      <c r="F41" s="23">
        <v>0.015949074074074074</v>
      </c>
      <c r="G41" s="24"/>
      <c r="H41" s="6"/>
      <c r="I41" s="17">
        <v>45728.0</v>
      </c>
      <c r="J41" s="18">
        <f>SUMIF(CIMV[[DATA]:[Tempo]],I41,CIMV[Tempo])</f>
        <v>0.05354166667</v>
      </c>
      <c r="K41" s="6"/>
      <c r="L41" s="6"/>
      <c r="M41" s="6"/>
      <c r="N41" s="6"/>
      <c r="O41" s="6"/>
      <c r="P41" s="6"/>
      <c r="Q41" s="6"/>
      <c r="R41" s="6"/>
      <c r="S41" s="6"/>
    </row>
    <row r="42" ht="22.5" hidden="1" customHeight="1">
      <c r="A42" s="27">
        <v>45699.0</v>
      </c>
      <c r="B42" s="12" t="s">
        <v>7</v>
      </c>
      <c r="C42" s="25" t="s">
        <v>37</v>
      </c>
      <c r="D42" s="26" t="s">
        <v>27</v>
      </c>
      <c r="E42" s="22"/>
      <c r="F42" s="23">
        <v>0.013888888888888888</v>
      </c>
      <c r="G42" s="24"/>
      <c r="H42" s="6"/>
      <c r="I42" s="17">
        <v>45729.0</v>
      </c>
      <c r="J42" s="18">
        <f>SUMIF(CIMV[[DATA]:[Tempo]],I42,CIMV[Tempo])</f>
        <v>0.04545138889</v>
      </c>
      <c r="K42" s="6"/>
      <c r="L42" s="6"/>
      <c r="M42" s="6"/>
      <c r="N42" s="6"/>
      <c r="O42" s="6"/>
      <c r="P42" s="6"/>
      <c r="Q42" s="6"/>
      <c r="R42" s="6"/>
      <c r="S42" s="6"/>
    </row>
    <row r="43" ht="22.5" hidden="1" customHeight="1">
      <c r="A43" s="27">
        <v>45700.0</v>
      </c>
      <c r="B43" s="12" t="s">
        <v>7</v>
      </c>
      <c r="C43" s="25" t="s">
        <v>37</v>
      </c>
      <c r="D43" s="26" t="s">
        <v>41</v>
      </c>
      <c r="E43" s="22"/>
      <c r="F43" s="23">
        <v>0.00625</v>
      </c>
      <c r="G43" s="24"/>
      <c r="H43" s="6"/>
      <c r="I43" s="17">
        <v>45730.0</v>
      </c>
      <c r="J43" s="18">
        <f>SUMIF(CIMV[[DATA]:[Tempo]],I43,CIMV[Tempo])</f>
        <v>0.05075231481</v>
      </c>
      <c r="K43" s="6"/>
      <c r="L43" s="6"/>
      <c r="M43" s="6"/>
      <c r="N43" s="6"/>
      <c r="O43" s="6"/>
      <c r="P43" s="6"/>
      <c r="Q43" s="6"/>
      <c r="R43" s="6"/>
      <c r="S43" s="6"/>
    </row>
    <row r="44" ht="22.5" hidden="1" customHeight="1">
      <c r="A44" s="27">
        <v>45700.0</v>
      </c>
      <c r="B44" s="12" t="s">
        <v>7</v>
      </c>
      <c r="C44" s="25" t="s">
        <v>37</v>
      </c>
      <c r="D44" s="26" t="s">
        <v>46</v>
      </c>
      <c r="E44" s="22"/>
      <c r="F44" s="23">
        <v>0.013333333333333334</v>
      </c>
      <c r="G44" s="24"/>
      <c r="H44" s="6"/>
      <c r="I44" s="17">
        <v>45731.0</v>
      </c>
      <c r="J44" s="18">
        <f>SUMIF(CIMV[[DATA]:[Tempo]],I44,CIMV[Tempo])</f>
        <v>0.07596064815</v>
      </c>
      <c r="K44" s="6"/>
      <c r="L44" s="6"/>
      <c r="M44" s="6"/>
      <c r="N44" s="6"/>
      <c r="O44" s="6"/>
      <c r="P44" s="6"/>
      <c r="Q44" s="6"/>
      <c r="R44" s="6"/>
      <c r="S44" s="6"/>
    </row>
    <row r="45" ht="22.5" hidden="1" customHeight="1">
      <c r="A45" s="27">
        <v>45700.0</v>
      </c>
      <c r="B45" s="12" t="s">
        <v>7</v>
      </c>
      <c r="C45" s="25" t="s">
        <v>37</v>
      </c>
      <c r="D45" s="26" t="s">
        <v>47</v>
      </c>
      <c r="E45" s="22"/>
      <c r="F45" s="23">
        <v>0.012777777777777779</v>
      </c>
      <c r="G45" s="24"/>
      <c r="H45" s="6"/>
      <c r="I45" s="17">
        <v>45732.0</v>
      </c>
      <c r="J45" s="18">
        <f>SUMIF(CIMV[[DATA]:[Tempo]],I45,CIMV[Tempo])</f>
        <v>0.08037037037</v>
      </c>
      <c r="K45" s="6"/>
      <c r="L45" s="6"/>
      <c r="M45" s="6"/>
      <c r="N45" s="6"/>
      <c r="O45" s="6"/>
      <c r="P45" s="6"/>
      <c r="Q45" s="6"/>
      <c r="R45" s="6"/>
      <c r="S45" s="6"/>
    </row>
    <row r="46" ht="22.5" hidden="1" customHeight="1">
      <c r="A46" s="27">
        <v>45700.0</v>
      </c>
      <c r="B46" s="12" t="s">
        <v>7</v>
      </c>
      <c r="C46" s="25" t="s">
        <v>37</v>
      </c>
      <c r="D46" s="26" t="s">
        <v>27</v>
      </c>
      <c r="E46" s="22"/>
      <c r="F46" s="23">
        <v>0.013888888888888888</v>
      </c>
      <c r="G46" s="24"/>
      <c r="H46" s="6"/>
      <c r="I46" s="17">
        <v>45733.0</v>
      </c>
      <c r="J46" s="18">
        <f>SUMIF(CIMV[[DATA]:[Tempo]],I46,CIMV[Tempo])</f>
        <v>0.05769675926</v>
      </c>
      <c r="K46" s="6"/>
      <c r="L46" s="6"/>
      <c r="M46" s="6"/>
      <c r="N46" s="6"/>
      <c r="O46" s="6"/>
      <c r="P46" s="6"/>
      <c r="Q46" s="6"/>
      <c r="R46" s="6"/>
      <c r="S46" s="6"/>
    </row>
    <row r="47" ht="22.5" hidden="1" customHeight="1">
      <c r="A47" s="27">
        <v>45700.0</v>
      </c>
      <c r="B47" s="12" t="s">
        <v>7</v>
      </c>
      <c r="C47" s="25" t="s">
        <v>37</v>
      </c>
      <c r="D47" s="26" t="s">
        <v>48</v>
      </c>
      <c r="E47" s="22"/>
      <c r="F47" s="23">
        <v>0.004826388888888889</v>
      </c>
      <c r="G47" s="29" t="s">
        <v>49</v>
      </c>
      <c r="H47" s="6"/>
      <c r="I47" s="17">
        <v>45734.0</v>
      </c>
      <c r="J47" s="18">
        <f>SUMIF(CIMV[[DATA]:[Tempo]],I47,CIMV[Tempo])</f>
        <v>0.05886574074</v>
      </c>
      <c r="K47" s="6"/>
      <c r="L47" s="6"/>
      <c r="M47" s="6"/>
      <c r="N47" s="6"/>
      <c r="O47" s="6"/>
      <c r="P47" s="6"/>
      <c r="Q47" s="6"/>
      <c r="R47" s="6"/>
      <c r="S47" s="6"/>
    </row>
    <row r="48" ht="22.5" hidden="1" customHeight="1">
      <c r="A48" s="27">
        <v>45700.0</v>
      </c>
      <c r="B48" s="12" t="s">
        <v>7</v>
      </c>
      <c r="C48" s="25" t="s">
        <v>37</v>
      </c>
      <c r="D48" s="26" t="s">
        <v>50</v>
      </c>
      <c r="E48" s="22"/>
      <c r="F48" s="23">
        <v>0.0</v>
      </c>
      <c r="G48" s="29"/>
      <c r="H48" s="6"/>
      <c r="I48" s="17">
        <v>45735.0</v>
      </c>
      <c r="J48" s="18">
        <f>SUMIF(CIMV[[DATA]:[Tempo]],I48,CIMV[Tempo])</f>
        <v>0.05040509259</v>
      </c>
      <c r="K48" s="6"/>
      <c r="L48" s="6"/>
      <c r="M48" s="6"/>
      <c r="N48" s="6"/>
      <c r="O48" s="6"/>
      <c r="P48" s="6"/>
      <c r="Q48" s="6"/>
      <c r="R48" s="6"/>
      <c r="S48" s="6"/>
    </row>
    <row r="49" ht="22.5" hidden="1" customHeight="1">
      <c r="A49" s="27">
        <v>45701.0</v>
      </c>
      <c r="B49" s="12" t="s">
        <v>7</v>
      </c>
      <c r="C49" s="25" t="s">
        <v>51</v>
      </c>
      <c r="D49" s="26" t="s">
        <v>52</v>
      </c>
      <c r="E49" s="22"/>
      <c r="F49" s="23">
        <v>0.005277777777777778</v>
      </c>
      <c r="G49" s="29"/>
      <c r="H49" s="6"/>
      <c r="I49" s="17">
        <v>45736.0</v>
      </c>
      <c r="J49" s="18">
        <f>SUMIF(CIMV[[DATA]:[Tempo]],I49,CIMV[Tempo])</f>
        <v>0.06515046296</v>
      </c>
      <c r="K49" s="6"/>
      <c r="L49" s="6"/>
      <c r="M49" s="6"/>
      <c r="N49" s="6"/>
      <c r="O49" s="6"/>
      <c r="P49" s="6"/>
      <c r="Q49" s="6"/>
      <c r="R49" s="6"/>
      <c r="S49" s="6"/>
    </row>
    <row r="50" ht="22.5" hidden="1" customHeight="1">
      <c r="A50" s="27">
        <v>45701.0</v>
      </c>
      <c r="B50" s="12" t="s">
        <v>7</v>
      </c>
      <c r="C50" s="25" t="s">
        <v>51</v>
      </c>
      <c r="D50" s="26" t="s">
        <v>53</v>
      </c>
      <c r="E50" s="22"/>
      <c r="F50" s="23">
        <v>0.015555555555555555</v>
      </c>
      <c r="G50" s="29"/>
      <c r="H50" s="6"/>
      <c r="I50" s="17">
        <v>45737.0</v>
      </c>
      <c r="J50" s="18">
        <f>SUMIF(CIMV[[DATA]:[Tempo]],I50,CIMV[Tempo])</f>
        <v>0.0577662037</v>
      </c>
      <c r="K50" s="6"/>
      <c r="L50" s="6"/>
      <c r="M50" s="6"/>
      <c r="N50" s="6"/>
      <c r="O50" s="6"/>
      <c r="P50" s="6"/>
      <c r="Q50" s="6"/>
      <c r="R50" s="6"/>
      <c r="S50" s="6"/>
    </row>
    <row r="51" ht="22.5" hidden="1" customHeight="1">
      <c r="A51" s="27">
        <v>45701.0</v>
      </c>
      <c r="B51" s="12" t="s">
        <v>7</v>
      </c>
      <c r="C51" s="25" t="s">
        <v>51</v>
      </c>
      <c r="D51" s="26" t="s">
        <v>27</v>
      </c>
      <c r="E51" s="22"/>
      <c r="F51" s="23">
        <v>0.006944444444444444</v>
      </c>
      <c r="G51" s="29"/>
      <c r="H51" s="6"/>
      <c r="I51" s="17">
        <v>45738.0</v>
      </c>
      <c r="J51" s="18">
        <f>SUMIF(CIMV[[DATA]:[Tempo]],I51,CIMV[Tempo])</f>
        <v>0.06082175926</v>
      </c>
      <c r="K51" s="6"/>
      <c r="L51" s="6"/>
      <c r="M51" s="6"/>
      <c r="N51" s="6"/>
      <c r="O51" s="6"/>
      <c r="P51" s="6"/>
      <c r="Q51" s="6"/>
      <c r="R51" s="6"/>
      <c r="S51" s="6"/>
    </row>
    <row r="52" ht="22.5" hidden="1" customHeight="1">
      <c r="A52" s="27">
        <v>45701.0</v>
      </c>
      <c r="B52" s="12" t="s">
        <v>7</v>
      </c>
      <c r="C52" s="25" t="s">
        <v>51</v>
      </c>
      <c r="D52" s="26" t="s">
        <v>41</v>
      </c>
      <c r="E52" s="22"/>
      <c r="F52" s="23">
        <v>0.013888888888888888</v>
      </c>
      <c r="G52" s="24"/>
      <c r="H52" s="6"/>
      <c r="I52" s="17">
        <v>45739.0</v>
      </c>
      <c r="J52" s="18">
        <f>SUMIF(CIMV[[DATA]:[Tempo]],I52,CIMV[Tempo])</f>
        <v>0.06803240741</v>
      </c>
      <c r="K52" s="6"/>
      <c r="L52" s="6"/>
      <c r="M52" s="6"/>
      <c r="N52" s="6"/>
      <c r="O52" s="6"/>
      <c r="P52" s="6"/>
      <c r="Q52" s="6"/>
      <c r="R52" s="6"/>
      <c r="S52" s="6"/>
    </row>
    <row r="53" ht="22.5" hidden="1" customHeight="1">
      <c r="A53" s="27">
        <v>45702.0</v>
      </c>
      <c r="B53" s="12" t="s">
        <v>7</v>
      </c>
      <c r="C53" s="25" t="s">
        <v>51</v>
      </c>
      <c r="D53" s="26" t="s">
        <v>54</v>
      </c>
      <c r="E53" s="22"/>
      <c r="F53" s="23">
        <v>0.0153125</v>
      </c>
      <c r="G53" s="24"/>
      <c r="H53" s="6"/>
      <c r="I53" s="17">
        <v>45740.0</v>
      </c>
      <c r="J53" s="18">
        <f>SUMIF(CIMV[[DATA]:[Tempo]],I53,CIMV[Tempo])</f>
        <v>0.08291666667</v>
      </c>
      <c r="K53" s="6"/>
      <c r="L53" s="6"/>
      <c r="M53" s="6"/>
      <c r="N53" s="6"/>
      <c r="O53" s="6"/>
      <c r="P53" s="6"/>
      <c r="Q53" s="6"/>
      <c r="R53" s="6"/>
      <c r="S53" s="6"/>
    </row>
    <row r="54" ht="22.5" hidden="1" customHeight="1">
      <c r="A54" s="27">
        <v>45702.0</v>
      </c>
      <c r="B54" s="12" t="s">
        <v>7</v>
      </c>
      <c r="C54" s="25" t="s">
        <v>51</v>
      </c>
      <c r="D54" s="26" t="s">
        <v>55</v>
      </c>
      <c r="E54" s="22"/>
      <c r="F54" s="23">
        <v>0.017280092592592593</v>
      </c>
      <c r="G54" s="24"/>
      <c r="H54" s="6"/>
      <c r="I54" s="17">
        <v>45741.0</v>
      </c>
      <c r="J54" s="18">
        <f>SUMIF(CIMV[[DATA]:[Tempo]],I54,CIMV[Tempo])</f>
        <v>0.04549768519</v>
      </c>
      <c r="K54" s="6"/>
      <c r="L54" s="6"/>
      <c r="M54" s="6"/>
      <c r="N54" s="6"/>
      <c r="O54" s="6"/>
      <c r="P54" s="6"/>
      <c r="Q54" s="6"/>
      <c r="R54" s="6"/>
      <c r="S54" s="6"/>
    </row>
    <row r="55" ht="22.5" hidden="1" customHeight="1">
      <c r="A55" s="27">
        <v>45702.0</v>
      </c>
      <c r="B55" s="12" t="s">
        <v>7</v>
      </c>
      <c r="C55" s="25" t="s">
        <v>51</v>
      </c>
      <c r="D55" s="26" t="s">
        <v>27</v>
      </c>
      <c r="E55" s="22"/>
      <c r="F55" s="23">
        <v>0.013888888888888888</v>
      </c>
      <c r="G55" s="24"/>
      <c r="H55" s="6"/>
      <c r="I55" s="17">
        <v>45742.0</v>
      </c>
      <c r="J55" s="18">
        <f>SUMIF(CIMV[[DATA]:[Tempo]],I55,CIMV[Tempo])</f>
        <v>0.08743055556</v>
      </c>
      <c r="K55" s="6"/>
      <c r="L55" s="6"/>
      <c r="M55" s="6"/>
      <c r="N55" s="6"/>
      <c r="O55" s="6"/>
      <c r="P55" s="6"/>
      <c r="Q55" s="6"/>
      <c r="R55" s="6"/>
      <c r="S55" s="6"/>
    </row>
    <row r="56" ht="22.5" hidden="1" customHeight="1">
      <c r="A56" s="27">
        <v>45702.0</v>
      </c>
      <c r="B56" s="12" t="s">
        <v>7</v>
      </c>
      <c r="C56" s="25" t="s">
        <v>51</v>
      </c>
      <c r="D56" s="26" t="s">
        <v>41</v>
      </c>
      <c r="E56" s="22"/>
      <c r="F56" s="23">
        <v>0.013888888888888888</v>
      </c>
      <c r="G56" s="24"/>
      <c r="H56" s="6"/>
      <c r="I56" s="17">
        <v>45743.0</v>
      </c>
      <c r="J56" s="18">
        <f>SUMIF(CIMV[[DATA]:[Tempo]],I56,CIMV[Tempo])</f>
        <v>0.08130787037</v>
      </c>
      <c r="K56" s="6"/>
      <c r="L56" s="6"/>
      <c r="M56" s="6"/>
      <c r="N56" s="6"/>
      <c r="O56" s="6"/>
      <c r="P56" s="6"/>
      <c r="Q56" s="6"/>
      <c r="R56" s="6"/>
      <c r="S56" s="6"/>
    </row>
    <row r="57" ht="22.5" hidden="1" customHeight="1">
      <c r="A57" s="27">
        <v>45703.0</v>
      </c>
      <c r="B57" s="12" t="s">
        <v>7</v>
      </c>
      <c r="C57" s="25" t="s">
        <v>51</v>
      </c>
      <c r="D57" s="26" t="s">
        <v>41</v>
      </c>
      <c r="E57" s="22"/>
      <c r="F57" s="23">
        <v>0.014583333333333334</v>
      </c>
      <c r="G57" s="24"/>
      <c r="H57" s="6"/>
      <c r="I57" s="17">
        <v>45744.0</v>
      </c>
      <c r="J57" s="18">
        <f>SUMIF(CIMV[[DATA]:[Tempo]],I57,CIMV[Tempo])</f>
        <v>0.09834490741</v>
      </c>
      <c r="K57" s="6"/>
      <c r="L57" s="6"/>
      <c r="M57" s="6"/>
      <c r="N57" s="6"/>
      <c r="O57" s="6"/>
      <c r="P57" s="6"/>
      <c r="Q57" s="6"/>
      <c r="R57" s="6"/>
      <c r="S57" s="6"/>
    </row>
    <row r="58" ht="22.5" hidden="1" customHeight="1">
      <c r="A58" s="27">
        <v>45703.0</v>
      </c>
      <c r="B58" s="12" t="s">
        <v>7</v>
      </c>
      <c r="C58" s="25" t="s">
        <v>51</v>
      </c>
      <c r="D58" s="26" t="s">
        <v>56</v>
      </c>
      <c r="E58" s="22"/>
      <c r="F58" s="23">
        <v>0.012337962962962964</v>
      </c>
      <c r="G58" s="24"/>
      <c r="H58" s="6"/>
      <c r="I58" s="17">
        <v>45745.0</v>
      </c>
      <c r="J58" s="18">
        <f>SUMIF(CIMV[[DATA]:[Tempo]],I58,CIMV[Tempo])</f>
        <v>0.0865162037</v>
      </c>
      <c r="K58" s="6"/>
      <c r="L58" s="6"/>
      <c r="M58" s="6"/>
      <c r="N58" s="6"/>
      <c r="O58" s="6"/>
      <c r="P58" s="6"/>
      <c r="Q58" s="6"/>
      <c r="R58" s="6"/>
      <c r="S58" s="6"/>
    </row>
    <row r="59" ht="22.5" hidden="1" customHeight="1">
      <c r="A59" s="27">
        <v>45703.0</v>
      </c>
      <c r="B59" s="12" t="s">
        <v>7</v>
      </c>
      <c r="C59" s="25" t="s">
        <v>51</v>
      </c>
      <c r="D59" s="26" t="s">
        <v>27</v>
      </c>
      <c r="E59" s="22"/>
      <c r="F59" s="23">
        <v>0.006944444444444444</v>
      </c>
      <c r="G59" s="24"/>
      <c r="H59" s="6"/>
      <c r="I59" s="17">
        <v>45746.0</v>
      </c>
      <c r="J59" s="18">
        <f>SUMIF(CIMV[[DATA]:[Tempo]],I59,CIMV[Tempo])</f>
        <v>0.08512731481</v>
      </c>
      <c r="K59" s="6"/>
      <c r="L59" s="6"/>
      <c r="M59" s="6"/>
      <c r="N59" s="6"/>
      <c r="O59" s="6"/>
      <c r="P59" s="6"/>
      <c r="Q59" s="6"/>
      <c r="R59" s="6"/>
      <c r="S59" s="6"/>
    </row>
    <row r="60" ht="22.5" hidden="1" customHeight="1">
      <c r="A60" s="27">
        <v>45704.0</v>
      </c>
      <c r="B60" s="12" t="s">
        <v>7</v>
      </c>
      <c r="C60" s="25" t="s">
        <v>51</v>
      </c>
      <c r="D60" s="26" t="s">
        <v>41</v>
      </c>
      <c r="E60" s="22"/>
      <c r="F60" s="23">
        <v>0.008333333333333333</v>
      </c>
      <c r="G60" s="24"/>
      <c r="H60" s="6"/>
      <c r="I60" s="17">
        <v>45747.0</v>
      </c>
      <c r="J60" s="18">
        <f>SUMIF(CIMV[[DATA]:[Tempo]],I60,CIMV[Tempo])</f>
        <v>0.08328703704</v>
      </c>
      <c r="K60" s="6"/>
      <c r="L60" s="6"/>
      <c r="M60" s="6"/>
      <c r="N60" s="6"/>
      <c r="O60" s="6"/>
      <c r="P60" s="6"/>
      <c r="Q60" s="6"/>
      <c r="R60" s="6"/>
      <c r="S60" s="6"/>
    </row>
    <row r="61" ht="22.5" hidden="1" customHeight="1">
      <c r="A61" s="27">
        <v>45704.0</v>
      </c>
      <c r="B61" s="12" t="s">
        <v>7</v>
      </c>
      <c r="C61" s="30" t="s">
        <v>51</v>
      </c>
      <c r="D61" s="26" t="s">
        <v>57</v>
      </c>
      <c r="E61" s="22"/>
      <c r="F61" s="23">
        <v>0.00837962962962963</v>
      </c>
      <c r="G61" s="24"/>
      <c r="H61" s="6"/>
      <c r="I61" s="17">
        <v>45748.0</v>
      </c>
      <c r="J61" s="18">
        <f>SUMIF(CIMV[[DATA]:[Tempo]],I61,CIMV[Tempo])</f>
        <v>0.0824537037</v>
      </c>
      <c r="K61" s="6"/>
      <c r="L61" s="6"/>
      <c r="M61" s="6"/>
      <c r="N61" s="6"/>
      <c r="O61" s="6"/>
      <c r="P61" s="6"/>
      <c r="Q61" s="6"/>
      <c r="R61" s="6"/>
      <c r="S61" s="6"/>
    </row>
    <row r="62" ht="22.5" hidden="1" customHeight="1">
      <c r="A62" s="27">
        <v>45704.0</v>
      </c>
      <c r="B62" s="12" t="s">
        <v>7</v>
      </c>
      <c r="C62" s="30" t="s">
        <v>51</v>
      </c>
      <c r="D62" s="26" t="s">
        <v>58</v>
      </c>
      <c r="E62" s="22"/>
      <c r="F62" s="23">
        <v>0.015775462962962963</v>
      </c>
      <c r="G62" s="24"/>
      <c r="H62" s="6"/>
      <c r="I62" s="17">
        <v>45749.0</v>
      </c>
      <c r="J62" s="18">
        <f>SUMIF(CIMV[[DATA]:[Tempo]],I62,CIMV[Tempo])</f>
        <v>0.07768518519</v>
      </c>
      <c r="K62" s="6"/>
      <c r="L62" s="6"/>
      <c r="M62" s="6"/>
      <c r="N62" s="6"/>
      <c r="O62" s="6"/>
      <c r="P62" s="6"/>
      <c r="Q62" s="6"/>
      <c r="R62" s="6"/>
      <c r="S62" s="6"/>
    </row>
    <row r="63" ht="22.5" hidden="1" customHeight="1">
      <c r="A63" s="27">
        <v>45704.0</v>
      </c>
      <c r="B63" s="12" t="s">
        <v>7</v>
      </c>
      <c r="C63" s="25" t="s">
        <v>51</v>
      </c>
      <c r="D63" s="26" t="s">
        <v>27</v>
      </c>
      <c r="E63" s="22"/>
      <c r="F63" s="23">
        <v>0.013888888888888888</v>
      </c>
      <c r="G63" s="24"/>
      <c r="H63" s="6"/>
      <c r="I63" s="17">
        <v>45750.0</v>
      </c>
      <c r="J63" s="18">
        <f>SUMIF(CIMV[[DATA]:[Tempo]],I63,CIMV[Tempo])</f>
        <v>0.06837962963</v>
      </c>
      <c r="K63" s="6"/>
      <c r="L63" s="6"/>
      <c r="M63" s="6"/>
      <c r="N63" s="6"/>
      <c r="O63" s="6"/>
      <c r="P63" s="6"/>
      <c r="Q63" s="6"/>
      <c r="R63" s="6"/>
      <c r="S63" s="6"/>
    </row>
    <row r="64" ht="22.5" hidden="1" customHeight="1">
      <c r="A64" s="27">
        <v>45704.0</v>
      </c>
      <c r="B64" s="12" t="s">
        <v>7</v>
      </c>
      <c r="C64" s="25" t="s">
        <v>51</v>
      </c>
      <c r="D64" s="26" t="s">
        <v>59</v>
      </c>
      <c r="E64" s="22"/>
      <c r="F64" s="23">
        <v>0.0016898148148148148</v>
      </c>
      <c r="G64" s="24"/>
      <c r="H64" s="6"/>
      <c r="I64" s="17">
        <v>45751.0</v>
      </c>
      <c r="J64" s="18">
        <f>SUMIF(CIMV[[DATA]:[Tempo]],I64,CIMV[Tempo])</f>
        <v>0.08534722222</v>
      </c>
      <c r="K64" s="6"/>
      <c r="L64" s="6"/>
      <c r="M64" s="6"/>
      <c r="N64" s="6"/>
      <c r="O64" s="6"/>
      <c r="P64" s="6"/>
      <c r="Q64" s="6"/>
      <c r="R64" s="6"/>
      <c r="S64" s="6"/>
    </row>
    <row r="65" ht="22.5" hidden="1" customHeight="1">
      <c r="A65" s="27">
        <v>45704.0</v>
      </c>
      <c r="B65" s="12" t="s">
        <v>7</v>
      </c>
      <c r="C65" s="25" t="s">
        <v>51</v>
      </c>
      <c r="D65" s="26" t="s">
        <v>60</v>
      </c>
      <c r="E65" s="22"/>
      <c r="F65" s="23">
        <v>0.0</v>
      </c>
      <c r="G65" s="29" t="s">
        <v>61</v>
      </c>
      <c r="H65" s="6"/>
      <c r="I65" s="17">
        <v>45752.0</v>
      </c>
      <c r="J65" s="18">
        <f>SUMIF(CIMV[[DATA]:[Tempo]],I65,CIMV[Tempo])</f>
        <v>0.08912037037</v>
      </c>
      <c r="K65" s="6"/>
      <c r="L65" s="6"/>
      <c r="M65" s="6"/>
      <c r="N65" s="6"/>
      <c r="O65" s="6"/>
      <c r="P65" s="6"/>
      <c r="Q65" s="6"/>
      <c r="R65" s="6"/>
      <c r="S65" s="6"/>
    </row>
    <row r="66" ht="22.5" hidden="1" customHeight="1">
      <c r="A66" s="27">
        <v>45705.0</v>
      </c>
      <c r="B66" s="12" t="s">
        <v>7</v>
      </c>
      <c r="C66" s="25" t="s">
        <v>62</v>
      </c>
      <c r="D66" s="26" t="s">
        <v>63</v>
      </c>
      <c r="E66" s="22"/>
      <c r="F66" s="23">
        <v>0.003981481481481482</v>
      </c>
      <c r="G66" s="24"/>
      <c r="H66" s="6"/>
      <c r="I66" s="17">
        <v>45753.0</v>
      </c>
      <c r="J66" s="18">
        <f>SUMIF(CIMV[[DATA]:[Tempo]],I66,CIMV[Tempo])</f>
        <v>0.07486111111</v>
      </c>
      <c r="K66" s="6"/>
      <c r="L66" s="6"/>
      <c r="M66" s="6"/>
      <c r="N66" s="6"/>
      <c r="O66" s="6"/>
      <c r="P66" s="6"/>
      <c r="Q66" s="6"/>
      <c r="R66" s="6"/>
      <c r="S66" s="6"/>
    </row>
    <row r="67" ht="22.5" hidden="1" customHeight="1">
      <c r="A67" s="27">
        <v>45705.0</v>
      </c>
      <c r="B67" s="12" t="s">
        <v>7</v>
      </c>
      <c r="C67" s="25" t="s">
        <v>62</v>
      </c>
      <c r="D67" s="26" t="s">
        <v>64</v>
      </c>
      <c r="E67" s="22"/>
      <c r="F67" s="23">
        <v>0.021319444444444443</v>
      </c>
      <c r="G67" s="24"/>
      <c r="H67" s="6"/>
      <c r="I67" s="17">
        <v>45754.0</v>
      </c>
      <c r="J67" s="18">
        <f>SUMIF(CIMV[[DATA]:[Tempo]],I67,CIMV[Tempo])</f>
        <v>0.07094907407</v>
      </c>
      <c r="K67" s="6"/>
      <c r="L67" s="6"/>
      <c r="M67" s="6"/>
      <c r="N67" s="6"/>
      <c r="O67" s="6"/>
      <c r="P67" s="6"/>
      <c r="Q67" s="6"/>
      <c r="R67" s="6"/>
      <c r="S67" s="6"/>
    </row>
    <row r="68" ht="22.5" hidden="1" customHeight="1">
      <c r="A68" s="27">
        <v>45705.0</v>
      </c>
      <c r="B68" s="12" t="s">
        <v>7</v>
      </c>
      <c r="C68" s="25" t="s">
        <v>62</v>
      </c>
      <c r="D68" s="26" t="s">
        <v>41</v>
      </c>
      <c r="E68" s="22"/>
      <c r="F68" s="23">
        <v>0.008333333333333333</v>
      </c>
      <c r="G68" s="24"/>
      <c r="H68" s="6"/>
      <c r="I68" s="17">
        <v>45755.0</v>
      </c>
      <c r="J68" s="18">
        <f>SUMIF(CIMV[[DATA]:[Tempo]],I68,CIMV[Tempo])</f>
        <v>0.06857638889</v>
      </c>
      <c r="K68" s="6"/>
      <c r="L68" s="6"/>
      <c r="M68" s="6"/>
      <c r="N68" s="6"/>
      <c r="O68" s="6"/>
      <c r="P68" s="6"/>
      <c r="Q68" s="6"/>
      <c r="R68" s="6"/>
      <c r="S68" s="6"/>
    </row>
    <row r="69" ht="22.5" hidden="1" customHeight="1">
      <c r="A69" s="27">
        <v>45705.0</v>
      </c>
      <c r="B69" s="12" t="s">
        <v>7</v>
      </c>
      <c r="C69" s="25" t="s">
        <v>62</v>
      </c>
      <c r="D69" s="26" t="s">
        <v>27</v>
      </c>
      <c r="E69" s="22"/>
      <c r="F69" s="23">
        <v>0.013888888888888888</v>
      </c>
      <c r="G69" s="24"/>
      <c r="H69" s="6"/>
      <c r="I69" s="17">
        <v>45756.0</v>
      </c>
      <c r="J69" s="18">
        <f>SUMIF(CIMV[[DATA]:[Tempo]],I69,CIMV[Tempo])</f>
        <v>0.06884259259</v>
      </c>
      <c r="K69" s="6"/>
      <c r="L69" s="6"/>
      <c r="M69" s="6"/>
      <c r="N69" s="6"/>
      <c r="O69" s="6"/>
      <c r="P69" s="6"/>
      <c r="Q69" s="6"/>
      <c r="R69" s="6"/>
      <c r="S69" s="6"/>
    </row>
    <row r="70" ht="22.5" hidden="1" customHeight="1">
      <c r="A70" s="27">
        <v>45706.0</v>
      </c>
      <c r="B70" s="12" t="s">
        <v>7</v>
      </c>
      <c r="C70" s="25" t="s">
        <v>62</v>
      </c>
      <c r="D70" s="26" t="s">
        <v>65</v>
      </c>
      <c r="E70" s="22"/>
      <c r="F70" s="23">
        <v>0.02181712962962963</v>
      </c>
      <c r="G70" s="24"/>
      <c r="H70" s="6"/>
      <c r="I70" s="17">
        <v>45757.0</v>
      </c>
      <c r="J70" s="18">
        <f>SUMIF(CIMV[[DATA]:[Tempo]],I70,CIMV[Tempo])</f>
        <v>0.06800925926</v>
      </c>
      <c r="K70" s="6"/>
      <c r="L70" s="6"/>
      <c r="M70" s="6"/>
      <c r="N70" s="6"/>
      <c r="O70" s="6"/>
      <c r="P70" s="6"/>
      <c r="Q70" s="6"/>
      <c r="R70" s="6"/>
      <c r="S70" s="6"/>
    </row>
    <row r="71" ht="22.5" hidden="1" customHeight="1">
      <c r="A71" s="27">
        <v>45706.0</v>
      </c>
      <c r="B71" s="12" t="s">
        <v>7</v>
      </c>
      <c r="C71" s="25" t="s">
        <v>62</v>
      </c>
      <c r="D71" s="26" t="s">
        <v>41</v>
      </c>
      <c r="E71" s="22"/>
      <c r="F71" s="23">
        <v>0.009375</v>
      </c>
      <c r="G71" s="24"/>
      <c r="H71" s="6"/>
      <c r="I71" s="17">
        <v>45758.0</v>
      </c>
      <c r="J71" s="18">
        <f>SUMIF(CIMV[[DATA]:[Tempo]],I71,CIMV[Tempo])</f>
        <v>0.06648148148</v>
      </c>
      <c r="K71" s="6"/>
      <c r="L71" s="6"/>
      <c r="M71" s="6"/>
      <c r="N71" s="6"/>
      <c r="O71" s="6"/>
      <c r="P71" s="6"/>
      <c r="Q71" s="6"/>
      <c r="R71" s="6"/>
      <c r="S71" s="6"/>
    </row>
    <row r="72" ht="22.5" hidden="1" customHeight="1">
      <c r="A72" s="27">
        <v>45706.0</v>
      </c>
      <c r="B72" s="12" t="s">
        <v>7</v>
      </c>
      <c r="C72" s="25" t="s">
        <v>62</v>
      </c>
      <c r="D72" s="26" t="s">
        <v>27</v>
      </c>
      <c r="E72" s="22"/>
      <c r="F72" s="23">
        <v>0.013888888888888888</v>
      </c>
      <c r="G72" s="24"/>
      <c r="H72" s="6"/>
      <c r="I72" s="17">
        <v>45759.0</v>
      </c>
      <c r="J72" s="18">
        <f>SUMIF(CIMV[[DATA]:[Tempo]],I72,CIMV[Tempo])</f>
        <v>0.07646990741</v>
      </c>
      <c r="K72" s="6"/>
      <c r="L72" s="6"/>
      <c r="M72" s="6"/>
      <c r="N72" s="6"/>
      <c r="O72" s="6"/>
      <c r="P72" s="6"/>
      <c r="Q72" s="6"/>
      <c r="R72" s="6"/>
      <c r="S72" s="6"/>
    </row>
    <row r="73" ht="22.5" hidden="1" customHeight="1">
      <c r="A73" s="27">
        <v>45707.0</v>
      </c>
      <c r="B73" s="12" t="s">
        <v>7</v>
      </c>
      <c r="C73" s="25" t="s">
        <v>62</v>
      </c>
      <c r="D73" s="26" t="s">
        <v>66</v>
      </c>
      <c r="E73" s="22"/>
      <c r="F73" s="23">
        <v>0.019050925925925926</v>
      </c>
      <c r="G73" s="24"/>
      <c r="H73" s="6"/>
      <c r="I73" s="17">
        <v>45760.0</v>
      </c>
      <c r="J73" s="18">
        <f>SUMIF(CIMV[[DATA]:[Tempo]],I73,CIMV[Tempo])</f>
        <v>0.06402777778</v>
      </c>
      <c r="K73" s="6"/>
      <c r="L73" s="6"/>
      <c r="M73" s="6"/>
      <c r="N73" s="6"/>
      <c r="O73" s="6"/>
      <c r="P73" s="6"/>
      <c r="Q73" s="6"/>
      <c r="R73" s="6"/>
      <c r="S73" s="6"/>
    </row>
    <row r="74" ht="22.5" hidden="1" customHeight="1">
      <c r="A74" s="27">
        <v>45707.0</v>
      </c>
      <c r="B74" s="12" t="s">
        <v>7</v>
      </c>
      <c r="C74" s="25" t="s">
        <v>62</v>
      </c>
      <c r="D74" s="26" t="s">
        <v>27</v>
      </c>
      <c r="E74" s="22"/>
      <c r="F74" s="23">
        <v>0.010416666666666666</v>
      </c>
      <c r="G74" s="24"/>
      <c r="H74" s="6"/>
      <c r="I74" s="17">
        <v>45762.0</v>
      </c>
      <c r="J74" s="18">
        <f>SUMIF(CIMV[[DATA]:[Tempo]],I74,CIMV[Tempo])</f>
        <v>0.06471064815</v>
      </c>
      <c r="K74" s="6"/>
      <c r="L74" s="6"/>
      <c r="M74" s="6"/>
      <c r="N74" s="6"/>
      <c r="O74" s="6"/>
      <c r="P74" s="6"/>
      <c r="Q74" s="6"/>
      <c r="R74" s="6"/>
      <c r="S74" s="6"/>
    </row>
    <row r="75" ht="22.5" hidden="1" customHeight="1">
      <c r="A75" s="27">
        <v>45707.0</v>
      </c>
      <c r="B75" s="12" t="s">
        <v>7</v>
      </c>
      <c r="C75" s="25" t="s">
        <v>62</v>
      </c>
      <c r="D75" s="26" t="s">
        <v>41</v>
      </c>
      <c r="E75" s="22"/>
      <c r="F75" s="23">
        <v>0.010416666666666666</v>
      </c>
      <c r="G75" s="24"/>
      <c r="H75" s="6"/>
      <c r="I75" s="17">
        <v>45763.0</v>
      </c>
      <c r="J75" s="18">
        <f>SUMIF(CIMV[[DATA]:[Tempo]],I75,CIMV[Tempo])</f>
        <v>0.06392361111</v>
      </c>
      <c r="K75" s="6"/>
      <c r="L75" s="6"/>
      <c r="M75" s="6"/>
      <c r="N75" s="6"/>
      <c r="O75" s="6"/>
      <c r="P75" s="6"/>
      <c r="Q75" s="6"/>
      <c r="R75" s="6"/>
      <c r="S75" s="6"/>
    </row>
    <row r="76" ht="22.5" hidden="1" customHeight="1">
      <c r="A76" s="27">
        <v>45708.0</v>
      </c>
      <c r="B76" s="12" t="s">
        <v>7</v>
      </c>
      <c r="C76" s="25" t="s">
        <v>62</v>
      </c>
      <c r="D76" s="26" t="s">
        <v>67</v>
      </c>
      <c r="E76" s="22"/>
      <c r="F76" s="23">
        <v>0.014525462962962962</v>
      </c>
      <c r="G76" s="24"/>
      <c r="H76" s="6"/>
      <c r="I76" s="17">
        <v>45764.0</v>
      </c>
      <c r="J76" s="18">
        <f>SUMIF(CIMV[[DATA]:[Tempo]],I76,CIMV[Tempo])</f>
        <v>0.06931712963</v>
      </c>
      <c r="K76" s="6"/>
      <c r="L76" s="6"/>
      <c r="M76" s="6"/>
      <c r="N76" s="6"/>
      <c r="O76" s="6"/>
      <c r="P76" s="6"/>
      <c r="Q76" s="6"/>
      <c r="R76" s="6"/>
      <c r="S76" s="6"/>
    </row>
    <row r="77" ht="22.5" hidden="1" customHeight="1">
      <c r="A77" s="27">
        <v>45708.0</v>
      </c>
      <c r="B77" s="12" t="s">
        <v>7</v>
      </c>
      <c r="C77" s="25" t="s">
        <v>62</v>
      </c>
      <c r="D77" s="26" t="s">
        <v>27</v>
      </c>
      <c r="E77" s="22"/>
      <c r="F77" s="23">
        <v>0.010416666666666666</v>
      </c>
      <c r="G77" s="24"/>
      <c r="H77" s="6"/>
      <c r="I77" s="17">
        <v>45765.0</v>
      </c>
      <c r="J77" s="18">
        <f>SUMIF(CIMV[[DATA]:[Tempo]],I77,CIMV[Tempo])</f>
        <v>0.05371527778</v>
      </c>
      <c r="K77" s="6"/>
      <c r="L77" s="6"/>
      <c r="M77" s="6"/>
      <c r="N77" s="6"/>
      <c r="O77" s="6"/>
      <c r="P77" s="6"/>
      <c r="Q77" s="6"/>
      <c r="R77" s="6"/>
      <c r="S77" s="6"/>
    </row>
    <row r="78" ht="22.5" hidden="1" customHeight="1">
      <c r="A78" s="27">
        <v>45708.0</v>
      </c>
      <c r="B78" s="12" t="s">
        <v>7</v>
      </c>
      <c r="C78" s="25" t="s">
        <v>62</v>
      </c>
      <c r="D78" s="26" t="s">
        <v>41</v>
      </c>
      <c r="E78" s="22"/>
      <c r="F78" s="23">
        <v>0.010763888888888889</v>
      </c>
      <c r="G78" s="24"/>
      <c r="H78" s="6"/>
      <c r="I78" s="17">
        <v>45766.0</v>
      </c>
      <c r="J78" s="18">
        <f>SUMIF(CIMV[[DATA]:[Tempo]],I78,CIMV[Tempo])</f>
        <v>0.07193287037</v>
      </c>
      <c r="K78" s="6"/>
      <c r="L78" s="6"/>
      <c r="M78" s="6"/>
      <c r="N78" s="6"/>
      <c r="O78" s="6"/>
      <c r="P78" s="6"/>
      <c r="Q78" s="6"/>
      <c r="R78" s="6"/>
      <c r="S78" s="6"/>
    </row>
    <row r="79" ht="22.5" hidden="1" customHeight="1">
      <c r="A79" s="27">
        <v>45709.0</v>
      </c>
      <c r="B79" s="12" t="s">
        <v>7</v>
      </c>
      <c r="C79" s="25" t="s">
        <v>62</v>
      </c>
      <c r="D79" s="26" t="s">
        <v>68</v>
      </c>
      <c r="E79" s="22"/>
      <c r="F79" s="23">
        <v>0.016481481481481482</v>
      </c>
      <c r="G79" s="24"/>
      <c r="H79" s="6"/>
      <c r="I79" s="17">
        <v>45767.0</v>
      </c>
      <c r="J79" s="18">
        <f>SUMIF(CIMV[[DATA]:[Tempo]],I79,CIMV[Tempo])</f>
        <v>0.07564814815</v>
      </c>
      <c r="K79" s="6"/>
      <c r="L79" s="6"/>
      <c r="M79" s="6"/>
      <c r="N79" s="6"/>
      <c r="O79" s="6"/>
      <c r="P79" s="6"/>
      <c r="Q79" s="6"/>
      <c r="R79" s="6"/>
      <c r="S79" s="6"/>
    </row>
    <row r="80" ht="22.5" hidden="1" customHeight="1">
      <c r="A80" s="27">
        <v>45709.0</v>
      </c>
      <c r="B80" s="12" t="s">
        <v>7</v>
      </c>
      <c r="C80" s="25" t="s">
        <v>62</v>
      </c>
      <c r="D80" s="26" t="s">
        <v>27</v>
      </c>
      <c r="E80" s="22"/>
      <c r="F80" s="23">
        <v>0.010416666666666666</v>
      </c>
      <c r="G80" s="24"/>
      <c r="H80" s="6"/>
      <c r="I80" s="17">
        <v>45768.0</v>
      </c>
      <c r="J80" s="18">
        <f>SUMIF(CIMV[[DATA]:[Tempo]],I80,CIMV[Tempo])</f>
        <v>0.06516203704</v>
      </c>
      <c r="K80" s="6"/>
      <c r="L80" s="6"/>
      <c r="M80" s="6"/>
      <c r="N80" s="6"/>
      <c r="O80" s="6"/>
      <c r="P80" s="6"/>
      <c r="Q80" s="6"/>
      <c r="R80" s="6"/>
      <c r="S80" s="6"/>
    </row>
    <row r="81" ht="22.5" hidden="1" customHeight="1">
      <c r="A81" s="27">
        <v>45709.0</v>
      </c>
      <c r="B81" s="12" t="s">
        <v>7</v>
      </c>
      <c r="C81" s="25" t="s">
        <v>62</v>
      </c>
      <c r="D81" s="26" t="s">
        <v>41</v>
      </c>
      <c r="E81" s="22"/>
      <c r="F81" s="23">
        <v>0.011111111111111112</v>
      </c>
      <c r="G81" s="24"/>
      <c r="H81" s="6"/>
      <c r="I81" s="17">
        <v>45769.0</v>
      </c>
      <c r="J81" s="18">
        <f>SUMIF(CIMV[[DATA]:[Tempo]],I81,CIMV[Tempo])</f>
        <v>0.06393518519</v>
      </c>
      <c r="K81" s="6"/>
      <c r="L81" s="6"/>
      <c r="M81" s="6"/>
      <c r="N81" s="6"/>
      <c r="O81" s="6"/>
      <c r="P81" s="6"/>
      <c r="Q81" s="6"/>
      <c r="R81" s="6"/>
      <c r="S81" s="6"/>
    </row>
    <row r="82" ht="22.5" hidden="1" customHeight="1">
      <c r="A82" s="27">
        <v>45710.0</v>
      </c>
      <c r="B82" s="12" t="s">
        <v>7</v>
      </c>
      <c r="C82" s="25" t="s">
        <v>62</v>
      </c>
      <c r="D82" s="26" t="s">
        <v>69</v>
      </c>
      <c r="E82" s="22"/>
      <c r="F82" s="23">
        <v>0.01806712962962963</v>
      </c>
      <c r="G82" s="24"/>
      <c r="H82" s="6"/>
      <c r="I82" s="17">
        <v>45770.0</v>
      </c>
      <c r="J82" s="18">
        <f>SUMIF(CIMV[[DATA]:[Tempo]],I82,CIMV[Tempo])</f>
        <v>0.06393518519</v>
      </c>
      <c r="K82" s="6"/>
      <c r="L82" s="6"/>
      <c r="M82" s="6"/>
      <c r="N82" s="6"/>
      <c r="O82" s="6"/>
      <c r="P82" s="6"/>
      <c r="Q82" s="6"/>
      <c r="R82" s="6"/>
      <c r="S82" s="6"/>
    </row>
    <row r="83" ht="22.5" hidden="1" customHeight="1">
      <c r="A83" s="27">
        <v>45710.0</v>
      </c>
      <c r="B83" s="12" t="s">
        <v>7</v>
      </c>
      <c r="C83" s="25" t="s">
        <v>62</v>
      </c>
      <c r="D83" s="26" t="s">
        <v>27</v>
      </c>
      <c r="E83" s="22"/>
      <c r="F83" s="23">
        <v>0.010416666666666666</v>
      </c>
      <c r="G83" s="24"/>
      <c r="H83" s="6"/>
      <c r="I83" s="17">
        <v>45771.0</v>
      </c>
      <c r="J83" s="18">
        <f>SUMIF(CIMV[[DATA]:[Tempo]],I83,CIMV[Tempo])</f>
        <v>0.0621412037</v>
      </c>
      <c r="K83" s="6"/>
      <c r="L83" s="6"/>
      <c r="M83" s="6"/>
      <c r="N83" s="6"/>
      <c r="O83" s="6"/>
      <c r="P83" s="6"/>
      <c r="Q83" s="6"/>
      <c r="R83" s="6"/>
      <c r="S83" s="6"/>
    </row>
    <row r="84" ht="22.5" hidden="1" customHeight="1">
      <c r="A84" s="27">
        <v>45710.0</v>
      </c>
      <c r="B84" s="12" t="s">
        <v>7</v>
      </c>
      <c r="C84" s="25" t="s">
        <v>62</v>
      </c>
      <c r="D84" s="26" t="s">
        <v>41</v>
      </c>
      <c r="E84" s="22"/>
      <c r="F84" s="23">
        <v>0.011111111111111112</v>
      </c>
      <c r="G84" s="24"/>
      <c r="H84" s="6"/>
      <c r="I84" s="17">
        <v>45772.0</v>
      </c>
      <c r="J84" s="18">
        <f>SUMIF(CIMV[[DATA]:[Tempo]],I84,CIMV[Tempo])</f>
        <v>0.0656712963</v>
      </c>
      <c r="K84" s="6"/>
      <c r="L84" s="6"/>
      <c r="M84" s="6"/>
      <c r="N84" s="6"/>
      <c r="O84" s="6"/>
      <c r="P84" s="6"/>
      <c r="Q84" s="6"/>
      <c r="R84" s="6"/>
      <c r="S84" s="6"/>
    </row>
    <row r="85" ht="22.5" hidden="1" customHeight="1">
      <c r="A85" s="27">
        <v>45711.0</v>
      </c>
      <c r="B85" s="12" t="s">
        <v>7</v>
      </c>
      <c r="C85" s="25" t="s">
        <v>62</v>
      </c>
      <c r="D85" s="26" t="s">
        <v>70</v>
      </c>
      <c r="E85" s="22"/>
      <c r="F85" s="23">
        <v>0.01363425925925926</v>
      </c>
      <c r="G85" s="24"/>
      <c r="H85" s="6"/>
      <c r="I85" s="17">
        <v>45773.0</v>
      </c>
      <c r="J85" s="18">
        <f>SUMIF(CIMV[[DATA]:[Tempo]],I85,CIMV[Tempo])</f>
        <v>0.0656712963</v>
      </c>
      <c r="K85" s="6"/>
      <c r="L85" s="6"/>
      <c r="M85" s="6"/>
      <c r="N85" s="6"/>
      <c r="O85" s="6"/>
      <c r="P85" s="6"/>
      <c r="Q85" s="6"/>
      <c r="R85" s="6"/>
      <c r="S85" s="6"/>
    </row>
    <row r="86" ht="22.5" hidden="1" customHeight="1">
      <c r="A86" s="27">
        <v>45711.0</v>
      </c>
      <c r="B86" s="12" t="s">
        <v>7</v>
      </c>
      <c r="C86" s="25" t="s">
        <v>62</v>
      </c>
      <c r="D86" s="26" t="s">
        <v>27</v>
      </c>
      <c r="E86" s="22"/>
      <c r="F86" s="23">
        <v>0.010416666666666666</v>
      </c>
      <c r="G86" s="24"/>
      <c r="H86" s="6"/>
      <c r="I86" s="17">
        <v>45774.0</v>
      </c>
      <c r="J86" s="18">
        <f>SUMIF(CIMV[[DATA]:[Tempo]],I86,CIMV[Tempo])</f>
        <v>0.07371527778</v>
      </c>
      <c r="K86" s="6"/>
      <c r="L86" s="6"/>
      <c r="M86" s="6"/>
      <c r="N86" s="6"/>
      <c r="O86" s="6"/>
      <c r="P86" s="6"/>
      <c r="Q86" s="6"/>
      <c r="R86" s="6"/>
      <c r="S86" s="6"/>
    </row>
    <row r="87" ht="22.5" hidden="1" customHeight="1">
      <c r="A87" s="27">
        <v>45711.0</v>
      </c>
      <c r="B87" s="12" t="s">
        <v>7</v>
      </c>
      <c r="C87" s="25" t="s">
        <v>62</v>
      </c>
      <c r="D87" s="26" t="s">
        <v>41</v>
      </c>
      <c r="E87" s="22"/>
      <c r="F87" s="23">
        <v>0.010416666666666666</v>
      </c>
      <c r="G87" s="24"/>
      <c r="H87" s="6"/>
      <c r="I87" s="17">
        <v>45775.0</v>
      </c>
      <c r="J87" s="18">
        <f>SUMIF(CIMV[[DATA]:[Tempo]],I87,CIMV[Tempo])</f>
        <v>0.03840277778</v>
      </c>
      <c r="K87" s="6"/>
      <c r="L87" s="6"/>
      <c r="M87" s="6"/>
      <c r="N87" s="6"/>
      <c r="O87" s="6"/>
      <c r="P87" s="6"/>
      <c r="Q87" s="6"/>
      <c r="R87" s="6"/>
      <c r="S87" s="6"/>
    </row>
    <row r="88" ht="22.5" hidden="1" customHeight="1">
      <c r="A88" s="27">
        <v>45711.0</v>
      </c>
      <c r="B88" s="12" t="s">
        <v>7</v>
      </c>
      <c r="C88" s="25" t="s">
        <v>62</v>
      </c>
      <c r="D88" s="26" t="s">
        <v>71</v>
      </c>
      <c r="E88" s="22"/>
      <c r="F88" s="23">
        <v>0.0</v>
      </c>
      <c r="G88" s="29"/>
      <c r="H88" s="6"/>
      <c r="I88" s="17">
        <v>45776.0</v>
      </c>
      <c r="J88" s="18">
        <f>SUMIF(CIMV[[DATA]:[Tempo]],I88,CIMV[Tempo])</f>
        <v>0.0415625</v>
      </c>
      <c r="K88" s="6"/>
      <c r="L88" s="6"/>
      <c r="M88" s="6"/>
      <c r="N88" s="6"/>
      <c r="O88" s="6"/>
      <c r="P88" s="6"/>
      <c r="Q88" s="6"/>
      <c r="R88" s="6"/>
      <c r="S88" s="6"/>
    </row>
    <row r="89" ht="22.5" hidden="1" customHeight="1">
      <c r="A89" s="27">
        <v>45711.0</v>
      </c>
      <c r="B89" s="12" t="s">
        <v>7</v>
      </c>
      <c r="C89" s="25" t="s">
        <v>62</v>
      </c>
      <c r="D89" s="26" t="s">
        <v>72</v>
      </c>
      <c r="E89" s="22"/>
      <c r="F89" s="23">
        <v>0.004629629629629629</v>
      </c>
      <c r="G89" s="29" t="s">
        <v>73</v>
      </c>
      <c r="H89" s="6"/>
      <c r="I89" s="17">
        <v>45777.0</v>
      </c>
      <c r="J89" s="18">
        <f>SUMIF(CIMV[[DATA]:[Tempo]],I89,CIMV[Tempo])</f>
        <v>0.0621412037</v>
      </c>
      <c r="K89" s="6"/>
      <c r="L89" s="6"/>
      <c r="M89" s="6"/>
      <c r="N89" s="6"/>
      <c r="O89" s="6"/>
      <c r="P89" s="6"/>
      <c r="Q89" s="6"/>
      <c r="R89" s="6"/>
      <c r="S89" s="6"/>
    </row>
    <row r="90" ht="22.5" hidden="1" customHeight="1">
      <c r="A90" s="27">
        <v>45712.0</v>
      </c>
      <c r="B90" s="12" t="s">
        <v>7</v>
      </c>
      <c r="C90" s="31" t="s">
        <v>74</v>
      </c>
      <c r="D90" s="26" t="s">
        <v>75</v>
      </c>
      <c r="E90" s="22"/>
      <c r="F90" s="23">
        <v>0.007106481481481482</v>
      </c>
      <c r="G90" s="29"/>
      <c r="H90" s="6"/>
      <c r="I90" s="17">
        <v>45778.0</v>
      </c>
      <c r="J90" s="18">
        <f>SUMIF(CIMV[[DATA]:[Tempo]],I90,CIMV[Tempo])</f>
        <v>0.05671296296</v>
      </c>
      <c r="K90" s="6"/>
      <c r="L90" s="6"/>
      <c r="M90" s="6"/>
      <c r="N90" s="6"/>
      <c r="O90" s="6"/>
      <c r="P90" s="6"/>
      <c r="Q90" s="6"/>
      <c r="R90" s="6"/>
      <c r="S90" s="6"/>
    </row>
    <row r="91" ht="22.5" hidden="1" customHeight="1">
      <c r="A91" s="27">
        <v>45712.0</v>
      </c>
      <c r="B91" s="12" t="s">
        <v>7</v>
      </c>
      <c r="C91" s="31" t="s">
        <v>74</v>
      </c>
      <c r="D91" s="26" t="s">
        <v>76</v>
      </c>
      <c r="E91" s="22"/>
      <c r="F91" s="23">
        <v>0.019560185185185184</v>
      </c>
      <c r="G91" s="29"/>
      <c r="H91" s="6"/>
      <c r="I91" s="17">
        <v>45779.0</v>
      </c>
      <c r="J91" s="18">
        <f>SUMIF(CIMV[[DATA]:[Tempo]],I91,CIMV[Tempo])</f>
        <v>0.065625</v>
      </c>
      <c r="K91" s="6"/>
      <c r="L91" s="6"/>
      <c r="M91" s="6"/>
      <c r="N91" s="6"/>
      <c r="O91" s="6"/>
      <c r="P91" s="6"/>
      <c r="Q91" s="6"/>
      <c r="R91" s="6"/>
      <c r="S91" s="6"/>
    </row>
    <row r="92" ht="22.5" hidden="1" customHeight="1">
      <c r="A92" s="27">
        <v>45712.0</v>
      </c>
      <c r="B92" s="12" t="s">
        <v>7</v>
      </c>
      <c r="C92" s="31" t="s">
        <v>74</v>
      </c>
      <c r="D92" s="26" t="s">
        <v>41</v>
      </c>
      <c r="E92" s="22"/>
      <c r="F92" s="23">
        <v>0.013888888888888888</v>
      </c>
      <c r="G92" s="29"/>
      <c r="H92" s="6"/>
      <c r="I92" s="17">
        <v>45780.0</v>
      </c>
      <c r="J92" s="18">
        <f>SUMIF(CIMV[[DATA]:[Tempo]],I92,CIMV[Tempo])</f>
        <v>0.05847222222</v>
      </c>
      <c r="K92" s="6"/>
      <c r="L92" s="6"/>
      <c r="M92" s="6"/>
      <c r="N92" s="6"/>
      <c r="O92" s="6"/>
      <c r="P92" s="6"/>
      <c r="Q92" s="6"/>
      <c r="R92" s="6"/>
      <c r="S92" s="6"/>
    </row>
    <row r="93" ht="22.5" hidden="1" customHeight="1">
      <c r="A93" s="27">
        <v>45712.0</v>
      </c>
      <c r="B93" s="12" t="s">
        <v>7</v>
      </c>
      <c r="C93" s="31" t="s">
        <v>74</v>
      </c>
      <c r="D93" s="26" t="s">
        <v>27</v>
      </c>
      <c r="E93" s="22"/>
      <c r="F93" s="23">
        <v>0.010416666666666666</v>
      </c>
      <c r="G93" s="29"/>
      <c r="H93" s="6"/>
      <c r="I93" s="17">
        <v>45781.0</v>
      </c>
      <c r="J93" s="18">
        <f>SUMIF(CIMV[[DATA]:[Tempo]],I93,CIMV[Tempo])</f>
        <v>0.04305555556</v>
      </c>
      <c r="K93" s="6"/>
      <c r="L93" s="6"/>
      <c r="M93" s="6"/>
      <c r="N93" s="6"/>
      <c r="O93" s="6"/>
      <c r="P93" s="6"/>
      <c r="Q93" s="6"/>
      <c r="R93" s="6"/>
      <c r="S93" s="6"/>
    </row>
    <row r="94" ht="22.5" hidden="1" customHeight="1">
      <c r="A94" s="27">
        <v>45713.0</v>
      </c>
      <c r="B94" s="12" t="s">
        <v>7</v>
      </c>
      <c r="C94" s="31" t="s">
        <v>74</v>
      </c>
      <c r="D94" s="26" t="s">
        <v>77</v>
      </c>
      <c r="E94" s="22"/>
      <c r="F94" s="23">
        <v>0.014004629629629629</v>
      </c>
      <c r="G94" s="29"/>
      <c r="H94" s="6"/>
      <c r="I94" s="17">
        <v>45782.0</v>
      </c>
      <c r="J94" s="18">
        <f>SUMIF(CIMV[[DATA]:[Tempo]],I94,CIMV[Tempo])</f>
        <v>0.0605787037</v>
      </c>
      <c r="K94" s="6"/>
      <c r="L94" s="6"/>
      <c r="M94" s="6"/>
      <c r="N94" s="6"/>
      <c r="O94" s="6"/>
      <c r="P94" s="6"/>
      <c r="Q94" s="6"/>
      <c r="R94" s="6"/>
      <c r="S94" s="6"/>
    </row>
    <row r="95" ht="22.5" hidden="1" customHeight="1">
      <c r="A95" s="27">
        <v>45713.0</v>
      </c>
      <c r="B95" s="12" t="s">
        <v>7</v>
      </c>
      <c r="C95" s="31" t="s">
        <v>74</v>
      </c>
      <c r="D95" s="26" t="s">
        <v>41</v>
      </c>
      <c r="E95" s="22"/>
      <c r="F95" s="23">
        <v>0.013888888888888888</v>
      </c>
      <c r="G95" s="29"/>
      <c r="H95" s="6"/>
      <c r="I95" s="17">
        <v>45783.0</v>
      </c>
      <c r="J95" s="18">
        <f>SUMIF(CIMV[[DATA]:[Tempo]],I95,CIMV[Tempo])</f>
        <v>0.06306712963</v>
      </c>
      <c r="K95" s="6"/>
      <c r="L95" s="6"/>
      <c r="M95" s="6"/>
      <c r="N95" s="6"/>
      <c r="O95" s="6"/>
      <c r="P95" s="6"/>
      <c r="Q95" s="6"/>
      <c r="R95" s="6"/>
      <c r="S95" s="6"/>
    </row>
    <row r="96" ht="22.5" hidden="1" customHeight="1">
      <c r="A96" s="27">
        <v>45713.0</v>
      </c>
      <c r="B96" s="12" t="s">
        <v>7</v>
      </c>
      <c r="C96" s="31" t="s">
        <v>74</v>
      </c>
      <c r="D96" s="26" t="s">
        <v>27</v>
      </c>
      <c r="E96" s="22"/>
      <c r="F96" s="23">
        <v>0.010416666666666666</v>
      </c>
      <c r="G96" s="29"/>
      <c r="H96" s="6"/>
      <c r="I96" s="17">
        <v>45784.0</v>
      </c>
      <c r="J96" s="18">
        <f>SUMIF(CIMV[[DATA]:[Tempo]],I96,CIMV[Tempo])</f>
        <v>0.05991898148</v>
      </c>
      <c r="K96" s="6"/>
      <c r="L96" s="6"/>
      <c r="M96" s="6"/>
      <c r="N96" s="6"/>
      <c r="O96" s="6"/>
      <c r="P96" s="6"/>
      <c r="Q96" s="6"/>
      <c r="R96" s="6"/>
      <c r="S96" s="6"/>
    </row>
    <row r="97" ht="22.5" hidden="1" customHeight="1">
      <c r="A97" s="27">
        <v>45714.0</v>
      </c>
      <c r="B97" s="12" t="s">
        <v>7</v>
      </c>
      <c r="C97" s="31" t="s">
        <v>74</v>
      </c>
      <c r="D97" s="26" t="s">
        <v>78</v>
      </c>
      <c r="E97" s="22"/>
      <c r="F97" s="23">
        <v>0.018831018518518518</v>
      </c>
      <c r="G97" s="29"/>
      <c r="H97" s="6"/>
      <c r="I97" s="17">
        <v>45785.0</v>
      </c>
      <c r="J97" s="18">
        <f>SUMIF(CIMV[[DATA]:[Tempo]],I97,CIMV[Tempo])</f>
        <v>0.05931712963</v>
      </c>
      <c r="K97" s="6"/>
      <c r="L97" s="6"/>
      <c r="M97" s="6"/>
      <c r="N97" s="6"/>
      <c r="O97" s="6"/>
      <c r="P97" s="6"/>
      <c r="Q97" s="6"/>
      <c r="R97" s="6"/>
      <c r="S97" s="6"/>
    </row>
    <row r="98" ht="22.5" hidden="1" customHeight="1">
      <c r="A98" s="27">
        <v>45714.0</v>
      </c>
      <c r="B98" s="12" t="s">
        <v>7</v>
      </c>
      <c r="C98" s="31" t="s">
        <v>74</v>
      </c>
      <c r="D98" s="26" t="s">
        <v>27</v>
      </c>
      <c r="E98" s="22"/>
      <c r="F98" s="23">
        <v>0.013888888888888888</v>
      </c>
      <c r="G98" s="29"/>
      <c r="H98" s="6"/>
      <c r="I98" s="17">
        <v>45786.0</v>
      </c>
      <c r="J98" s="18">
        <f>SUMIF(CIMV[[DATA]:[Tempo]],I98,CIMV[Tempo])</f>
        <v>0.06173611111</v>
      </c>
      <c r="K98" s="6"/>
      <c r="L98" s="6"/>
      <c r="M98" s="6"/>
      <c r="N98" s="6"/>
      <c r="O98" s="6"/>
      <c r="P98" s="6"/>
      <c r="Q98" s="6"/>
      <c r="R98" s="6"/>
      <c r="S98" s="6"/>
    </row>
    <row r="99" ht="22.5" hidden="1" customHeight="1">
      <c r="A99" s="27">
        <v>45714.0</v>
      </c>
      <c r="B99" s="12" t="s">
        <v>7</v>
      </c>
      <c r="C99" s="31" t="s">
        <v>74</v>
      </c>
      <c r="D99" s="26" t="s">
        <v>41</v>
      </c>
      <c r="E99" s="22"/>
      <c r="F99" s="23">
        <v>0.013888888888888888</v>
      </c>
      <c r="G99" s="29"/>
      <c r="H99" s="6"/>
      <c r="I99" s="17">
        <v>45787.0</v>
      </c>
      <c r="J99" s="18">
        <f>SUMIF(CIMV[[DATA]:[Tempo]],I99,CIMV[Tempo])</f>
        <v>0.04135416667</v>
      </c>
      <c r="K99" s="6"/>
      <c r="L99" s="6"/>
      <c r="M99" s="6"/>
      <c r="N99" s="6"/>
      <c r="O99" s="6"/>
      <c r="P99" s="6"/>
      <c r="Q99" s="6"/>
      <c r="R99" s="6"/>
      <c r="S99" s="6"/>
    </row>
    <row r="100" ht="22.5" hidden="1" customHeight="1">
      <c r="A100" s="27">
        <v>45715.0</v>
      </c>
      <c r="B100" s="12" t="s">
        <v>7</v>
      </c>
      <c r="C100" s="31" t="s">
        <v>74</v>
      </c>
      <c r="D100" s="26" t="s">
        <v>79</v>
      </c>
      <c r="E100" s="22"/>
      <c r="F100" s="23">
        <v>0.011597222222222222</v>
      </c>
      <c r="G100" s="29"/>
      <c r="H100" s="6"/>
      <c r="I100" s="17">
        <v>45788.0</v>
      </c>
      <c r="J100" s="18">
        <f>SUMIF(CIMV[[DATA]:[Tempo]],I100,CIMV[Tempo])</f>
        <v>0.04096064815</v>
      </c>
      <c r="K100" s="6"/>
      <c r="L100" s="6"/>
      <c r="M100" s="6"/>
      <c r="N100" s="6"/>
      <c r="O100" s="6"/>
      <c r="P100" s="6"/>
      <c r="Q100" s="6"/>
      <c r="R100" s="6"/>
      <c r="S100" s="6"/>
    </row>
    <row r="101" ht="22.5" hidden="1" customHeight="1">
      <c r="A101" s="27">
        <v>45715.0</v>
      </c>
      <c r="B101" s="12" t="s">
        <v>7</v>
      </c>
      <c r="C101" s="31" t="s">
        <v>74</v>
      </c>
      <c r="D101" s="26" t="s">
        <v>27</v>
      </c>
      <c r="E101" s="22"/>
      <c r="F101" s="23">
        <v>0.010416666666666666</v>
      </c>
      <c r="G101" s="29"/>
      <c r="H101" s="6"/>
      <c r="I101" s="17">
        <v>45789.0</v>
      </c>
      <c r="J101" s="18">
        <f>SUMIF(CIMV[[DATA]:[Tempo]],I101,CIMV[Tempo])</f>
        <v>0.07114583333</v>
      </c>
      <c r="K101" s="6"/>
      <c r="L101" s="6"/>
      <c r="M101" s="6"/>
      <c r="N101" s="6"/>
      <c r="O101" s="6"/>
      <c r="P101" s="6"/>
      <c r="Q101" s="6"/>
      <c r="R101" s="6"/>
      <c r="S101" s="6"/>
    </row>
    <row r="102" ht="22.5" hidden="1" customHeight="1">
      <c r="A102" s="27">
        <v>45715.0</v>
      </c>
      <c r="B102" s="12" t="s">
        <v>7</v>
      </c>
      <c r="C102" s="31" t="s">
        <v>74</v>
      </c>
      <c r="D102" s="26" t="s">
        <v>41</v>
      </c>
      <c r="E102" s="22"/>
      <c r="F102" s="23">
        <v>0.013888888888888888</v>
      </c>
      <c r="G102" s="29"/>
      <c r="H102" s="6"/>
      <c r="I102" s="17">
        <v>45790.0</v>
      </c>
      <c r="J102" s="18">
        <f>SUMIF(CIMV[[DATA]:[Tempo]],I102,CIMV[Tempo])</f>
        <v>0.06313657407</v>
      </c>
      <c r="K102" s="6"/>
      <c r="L102" s="6"/>
      <c r="M102" s="6"/>
      <c r="N102" s="6"/>
      <c r="O102" s="6"/>
      <c r="P102" s="6"/>
      <c r="Q102" s="6"/>
      <c r="R102" s="6"/>
      <c r="S102" s="6"/>
    </row>
    <row r="103" ht="22.5" hidden="1" customHeight="1">
      <c r="A103" s="27">
        <v>45716.0</v>
      </c>
      <c r="B103" s="12" t="s">
        <v>7</v>
      </c>
      <c r="C103" s="31" t="s">
        <v>74</v>
      </c>
      <c r="D103" s="26" t="s">
        <v>80</v>
      </c>
      <c r="E103" s="22"/>
      <c r="F103" s="23">
        <v>0.01545138888888889</v>
      </c>
      <c r="G103" s="29"/>
      <c r="H103" s="6"/>
      <c r="I103" s="17">
        <v>45791.0</v>
      </c>
      <c r="J103" s="18">
        <f>SUMIF(CIMV[[DATA]:[Tempo]],I103,CIMV[Tempo])</f>
        <v>0.0596412037</v>
      </c>
      <c r="K103" s="6"/>
      <c r="L103" s="6"/>
      <c r="M103" s="6"/>
      <c r="N103" s="6"/>
      <c r="O103" s="6"/>
      <c r="P103" s="6"/>
      <c r="Q103" s="6"/>
      <c r="R103" s="6"/>
      <c r="S103" s="6"/>
    </row>
    <row r="104" ht="22.5" hidden="1" customHeight="1">
      <c r="A104" s="27">
        <v>45716.0</v>
      </c>
      <c r="B104" s="12" t="s">
        <v>7</v>
      </c>
      <c r="C104" s="31" t="s">
        <v>74</v>
      </c>
      <c r="D104" s="26" t="s">
        <v>81</v>
      </c>
      <c r="E104" s="22"/>
      <c r="F104" s="23">
        <v>0.019189814814814816</v>
      </c>
      <c r="G104" s="29"/>
      <c r="H104" s="6"/>
      <c r="I104" s="17">
        <v>45792.0</v>
      </c>
      <c r="J104" s="18">
        <f>SUMIF(CIMV[[DATA]:[Tempo]],I104,CIMV[Tempo])</f>
        <v>0.04311342593</v>
      </c>
      <c r="K104" s="6"/>
      <c r="L104" s="6"/>
      <c r="M104" s="6"/>
      <c r="N104" s="6"/>
      <c r="O104" s="6"/>
      <c r="P104" s="6"/>
      <c r="Q104" s="6"/>
      <c r="R104" s="6"/>
      <c r="S104" s="6"/>
    </row>
    <row r="105" ht="22.5" hidden="1" customHeight="1">
      <c r="A105" s="27">
        <v>45716.0</v>
      </c>
      <c r="B105" s="12" t="s">
        <v>7</v>
      </c>
      <c r="C105" s="31" t="s">
        <v>74</v>
      </c>
      <c r="D105" s="26" t="s">
        <v>27</v>
      </c>
      <c r="E105" s="22"/>
      <c r="F105" s="23">
        <v>0.013888888888888888</v>
      </c>
      <c r="G105" s="29"/>
      <c r="H105" s="6"/>
      <c r="I105" s="17">
        <v>45793.0</v>
      </c>
      <c r="J105" s="18">
        <f>SUMIF(CIMV[[DATA]:[Tempo]],I105,CIMV[Tempo])</f>
        <v>0.05681712963</v>
      </c>
      <c r="K105" s="6"/>
      <c r="L105" s="6"/>
      <c r="M105" s="6"/>
      <c r="N105" s="6"/>
      <c r="O105" s="6"/>
      <c r="P105" s="6"/>
      <c r="Q105" s="6"/>
      <c r="R105" s="6"/>
      <c r="S105" s="6"/>
    </row>
    <row r="106" ht="22.5" hidden="1" customHeight="1">
      <c r="A106" s="27">
        <v>45716.0</v>
      </c>
      <c r="B106" s="12" t="s">
        <v>7</v>
      </c>
      <c r="C106" s="31" t="s">
        <v>74</v>
      </c>
      <c r="D106" s="26" t="s">
        <v>41</v>
      </c>
      <c r="E106" s="22"/>
      <c r="F106" s="23">
        <v>0.013888888888888888</v>
      </c>
      <c r="G106" s="29"/>
      <c r="H106" s="6"/>
      <c r="I106" s="17">
        <v>45794.0</v>
      </c>
      <c r="J106" s="18">
        <f>SUMIF(CIMV[[DATA]:[Tempo]],I106,CIMV[Tempo])</f>
        <v>0.06741898148</v>
      </c>
      <c r="K106" s="6"/>
      <c r="L106" s="6"/>
      <c r="M106" s="6"/>
      <c r="N106" s="6"/>
      <c r="O106" s="6"/>
      <c r="P106" s="6"/>
      <c r="Q106" s="6"/>
      <c r="R106" s="6"/>
      <c r="S106" s="6"/>
    </row>
    <row r="107" ht="22.5" hidden="1" customHeight="1">
      <c r="A107" s="27">
        <v>45717.0</v>
      </c>
      <c r="B107" s="12" t="s">
        <v>7</v>
      </c>
      <c r="C107" s="31" t="s">
        <v>74</v>
      </c>
      <c r="D107" s="26" t="s">
        <v>82</v>
      </c>
      <c r="E107" s="22"/>
      <c r="F107" s="23">
        <v>0.008888888888888889</v>
      </c>
      <c r="G107" s="29"/>
      <c r="H107" s="6"/>
      <c r="I107" s="17">
        <v>45795.0</v>
      </c>
      <c r="J107" s="18">
        <f>SUMIF(CIMV[[DATA]:[Tempo]],I107,CIMV[Tempo])</f>
        <v>0.06449074074</v>
      </c>
      <c r="K107" s="6"/>
      <c r="L107" s="6"/>
      <c r="M107" s="6"/>
      <c r="N107" s="6"/>
      <c r="O107" s="6"/>
      <c r="P107" s="6"/>
      <c r="Q107" s="6"/>
      <c r="R107" s="6"/>
      <c r="S107" s="6"/>
    </row>
    <row r="108" ht="22.5" hidden="1" customHeight="1">
      <c r="A108" s="27">
        <v>45717.0</v>
      </c>
      <c r="B108" s="12" t="s">
        <v>7</v>
      </c>
      <c r="C108" s="31" t="s">
        <v>74</v>
      </c>
      <c r="D108" s="26" t="s">
        <v>27</v>
      </c>
      <c r="E108" s="22"/>
      <c r="F108" s="23">
        <v>0.006944444444444444</v>
      </c>
      <c r="G108" s="29"/>
      <c r="H108" s="6"/>
      <c r="I108" s="17">
        <v>45796.0</v>
      </c>
      <c r="J108" s="18">
        <f>SUMIF(CIMV[[DATA]:[Tempo]],I108,CIMV[Tempo])</f>
        <v>0.06252314815</v>
      </c>
      <c r="K108" s="6"/>
      <c r="L108" s="6"/>
      <c r="M108" s="6"/>
      <c r="N108" s="6"/>
      <c r="O108" s="6"/>
      <c r="P108" s="6"/>
      <c r="Q108" s="6"/>
      <c r="R108" s="6"/>
      <c r="S108" s="6"/>
    </row>
    <row r="109" ht="22.5" hidden="1" customHeight="1">
      <c r="A109" s="27">
        <v>45717.0</v>
      </c>
      <c r="B109" s="12" t="s">
        <v>7</v>
      </c>
      <c r="C109" s="31" t="s">
        <v>74</v>
      </c>
      <c r="D109" s="26" t="s">
        <v>41</v>
      </c>
      <c r="E109" s="22"/>
      <c r="F109" s="23">
        <v>0.015277777777777777</v>
      </c>
      <c r="G109" s="29"/>
      <c r="H109" s="6"/>
      <c r="I109" s="17">
        <v>45797.0</v>
      </c>
      <c r="J109" s="18">
        <f>SUMIF(CIMV[[DATA]:[Tempo]],I109,CIMV[Tempo])</f>
        <v>0.05210648148</v>
      </c>
      <c r="K109" s="6"/>
      <c r="L109" s="6"/>
      <c r="M109" s="6"/>
      <c r="N109" s="6"/>
      <c r="O109" s="6"/>
      <c r="P109" s="6"/>
      <c r="Q109" s="6"/>
      <c r="R109" s="6"/>
      <c r="S109" s="6"/>
    </row>
    <row r="110" ht="22.5" hidden="1" customHeight="1">
      <c r="A110" s="27">
        <v>45718.0</v>
      </c>
      <c r="B110" s="12" t="s">
        <v>7</v>
      </c>
      <c r="C110" s="31" t="s">
        <v>74</v>
      </c>
      <c r="D110" s="26" t="s">
        <v>83</v>
      </c>
      <c r="E110" s="22"/>
      <c r="F110" s="23">
        <v>0.02056712962962963</v>
      </c>
      <c r="G110" s="29"/>
      <c r="H110" s="6"/>
      <c r="I110" s="17">
        <v>45798.0</v>
      </c>
      <c r="J110" s="18">
        <f>SUMIF(CIMV[[DATA]:[Tempo]],I110,CIMV[Tempo])</f>
        <v>0.05210648148</v>
      </c>
      <c r="K110" s="6"/>
      <c r="L110" s="6"/>
      <c r="M110" s="6"/>
      <c r="N110" s="6"/>
      <c r="O110" s="6"/>
      <c r="P110" s="6"/>
      <c r="Q110" s="6"/>
      <c r="R110" s="6"/>
      <c r="S110" s="6"/>
    </row>
    <row r="111" ht="22.5" hidden="1" customHeight="1">
      <c r="A111" s="27">
        <v>45718.0</v>
      </c>
      <c r="B111" s="12" t="s">
        <v>7</v>
      </c>
      <c r="C111" s="31" t="s">
        <v>74</v>
      </c>
      <c r="D111" s="26" t="s">
        <v>27</v>
      </c>
      <c r="E111" s="22"/>
      <c r="F111" s="23">
        <v>0.013888888888888888</v>
      </c>
      <c r="G111" s="29"/>
      <c r="H111" s="6"/>
      <c r="I111" s="17">
        <v>45799.0</v>
      </c>
      <c r="J111" s="18">
        <f>SUMIF(CIMV[[DATA]:[Tempo]],I111,CIMV[Tempo])</f>
        <v>0.07344907407</v>
      </c>
      <c r="K111" s="6"/>
      <c r="L111" s="6"/>
      <c r="M111" s="6"/>
      <c r="N111" s="6"/>
      <c r="O111" s="6"/>
      <c r="P111" s="6"/>
      <c r="Q111" s="6"/>
      <c r="R111" s="6"/>
      <c r="S111" s="6"/>
    </row>
    <row r="112" ht="22.5" hidden="1" customHeight="1">
      <c r="A112" s="27">
        <v>45718.0</v>
      </c>
      <c r="B112" s="12" t="s">
        <v>7</v>
      </c>
      <c r="C112" s="31" t="s">
        <v>74</v>
      </c>
      <c r="D112" s="26" t="s">
        <v>41</v>
      </c>
      <c r="E112" s="22"/>
      <c r="F112" s="23">
        <v>0.015277777777777777</v>
      </c>
      <c r="G112" s="29"/>
      <c r="H112" s="6"/>
      <c r="I112" s="17">
        <v>45800.0</v>
      </c>
      <c r="J112" s="18">
        <f>SUMIF(CIMV[[DATA]:[Tempo]],I112,CIMV[Tempo])</f>
        <v>0.05384259259</v>
      </c>
      <c r="K112" s="6"/>
      <c r="L112" s="6"/>
      <c r="M112" s="6"/>
      <c r="N112" s="6"/>
      <c r="O112" s="6"/>
      <c r="P112" s="6"/>
      <c r="Q112" s="6"/>
      <c r="R112" s="6"/>
      <c r="S112" s="6"/>
    </row>
    <row r="113" ht="22.5" hidden="1" customHeight="1">
      <c r="A113" s="27">
        <v>45718.0</v>
      </c>
      <c r="B113" s="12" t="s">
        <v>7</v>
      </c>
      <c r="C113" s="31" t="s">
        <v>74</v>
      </c>
      <c r="D113" s="26" t="s">
        <v>84</v>
      </c>
      <c r="E113" s="22"/>
      <c r="F113" s="23">
        <v>0.0</v>
      </c>
      <c r="G113" s="29"/>
      <c r="H113" s="6"/>
      <c r="I113" s="17">
        <v>45801.0</v>
      </c>
      <c r="J113" s="18">
        <f>SUMIF(CIMV[[DATA]:[Tempo]],I113,CIMV[Tempo])</f>
        <v>0.09438657407</v>
      </c>
      <c r="K113" s="6"/>
      <c r="L113" s="6"/>
      <c r="M113" s="6"/>
      <c r="N113" s="6"/>
      <c r="O113" s="6"/>
      <c r="P113" s="6"/>
      <c r="Q113" s="6"/>
      <c r="R113" s="6"/>
      <c r="S113" s="6"/>
    </row>
    <row r="114" ht="22.5" hidden="1" customHeight="1">
      <c r="A114" s="27">
        <v>45718.0</v>
      </c>
      <c r="B114" s="12" t="s">
        <v>7</v>
      </c>
      <c r="C114" s="31" t="s">
        <v>74</v>
      </c>
      <c r="D114" s="26" t="s">
        <v>85</v>
      </c>
      <c r="E114" s="22"/>
      <c r="F114" s="23">
        <v>0.0017013888888888888</v>
      </c>
      <c r="G114" s="29" t="s">
        <v>86</v>
      </c>
      <c r="H114" s="6"/>
      <c r="I114" s="17">
        <v>45802.0</v>
      </c>
      <c r="J114" s="18">
        <f>SUMIF(CIMV[[DATA]:[Tempo]],I114,CIMV[Tempo])</f>
        <v>0.05208333333</v>
      </c>
      <c r="K114" s="6"/>
      <c r="L114" s="6"/>
      <c r="M114" s="6"/>
      <c r="N114" s="6"/>
      <c r="O114" s="6"/>
      <c r="P114" s="6"/>
      <c r="Q114" s="6"/>
      <c r="R114" s="6"/>
      <c r="S114" s="6"/>
    </row>
    <row r="115" ht="22.5" hidden="1" customHeight="1">
      <c r="A115" s="27">
        <v>45719.0</v>
      </c>
      <c r="B115" s="12" t="s">
        <v>7</v>
      </c>
      <c r="C115" s="31" t="s">
        <v>87</v>
      </c>
      <c r="D115" s="26" t="s">
        <v>88</v>
      </c>
      <c r="E115" s="22"/>
      <c r="F115" s="23">
        <v>0.019791666666666666</v>
      </c>
      <c r="G115" s="29"/>
      <c r="H115" s="6"/>
      <c r="I115" s="17">
        <v>45803.0</v>
      </c>
      <c r="J115" s="18">
        <f>SUMIF(CIMV[[DATA]:[Tempo]],I115,CIMV[Tempo])</f>
        <v>0.05208333333</v>
      </c>
      <c r="K115" s="6"/>
      <c r="L115" s="6"/>
      <c r="M115" s="6"/>
      <c r="N115" s="6"/>
      <c r="O115" s="6"/>
      <c r="P115" s="6"/>
      <c r="Q115" s="6"/>
      <c r="R115" s="6"/>
      <c r="S115" s="6"/>
    </row>
    <row r="116" ht="22.5" hidden="1" customHeight="1">
      <c r="A116" s="27">
        <v>45719.0</v>
      </c>
      <c r="B116" s="12" t="s">
        <v>7</v>
      </c>
      <c r="C116" s="31" t="s">
        <v>87</v>
      </c>
      <c r="D116" s="26" t="s">
        <v>41</v>
      </c>
      <c r="E116" s="22"/>
      <c r="F116" s="23">
        <v>0.015277777777777777</v>
      </c>
      <c r="G116" s="29"/>
      <c r="H116" s="6"/>
      <c r="I116" s="17">
        <v>45804.0</v>
      </c>
      <c r="J116" s="18">
        <f>SUMIF(CIMV[[DATA]:[Tempo]],I116,CIMV[Tempo])</f>
        <v>0.05208333333</v>
      </c>
      <c r="K116" s="6"/>
      <c r="L116" s="6"/>
      <c r="M116" s="6"/>
      <c r="N116" s="6"/>
      <c r="O116" s="6"/>
      <c r="P116" s="6"/>
      <c r="Q116" s="6"/>
      <c r="R116" s="6"/>
      <c r="S116" s="6"/>
    </row>
    <row r="117" ht="22.5" hidden="1" customHeight="1">
      <c r="A117" s="27">
        <v>45719.0</v>
      </c>
      <c r="B117" s="12" t="s">
        <v>7</v>
      </c>
      <c r="C117" s="31" t="s">
        <v>87</v>
      </c>
      <c r="D117" s="26" t="s">
        <v>27</v>
      </c>
      <c r="E117" s="22"/>
      <c r="F117" s="23">
        <v>0.010416666666666666</v>
      </c>
      <c r="G117" s="29"/>
      <c r="H117" s="6"/>
      <c r="I117" s="17">
        <v>45805.0</v>
      </c>
      <c r="J117" s="18">
        <f>SUMIF(CIMV[[DATA]:[Tempo]],I117,CIMV[Tempo])</f>
        <v>0.05208333333</v>
      </c>
      <c r="K117" s="6"/>
      <c r="L117" s="6"/>
      <c r="M117" s="6"/>
      <c r="N117" s="6"/>
      <c r="O117" s="6"/>
      <c r="P117" s="6"/>
      <c r="Q117" s="6"/>
      <c r="R117" s="6"/>
      <c r="S117" s="6"/>
    </row>
    <row r="118" ht="22.5" hidden="1" customHeight="1">
      <c r="A118" s="27">
        <v>45720.0</v>
      </c>
      <c r="B118" s="12" t="s">
        <v>7</v>
      </c>
      <c r="C118" s="31" t="s">
        <v>87</v>
      </c>
      <c r="D118" s="26" t="s">
        <v>89</v>
      </c>
      <c r="E118" s="22"/>
      <c r="F118" s="23">
        <v>0.013530092592592592</v>
      </c>
      <c r="G118" s="29"/>
      <c r="H118" s="6"/>
      <c r="I118" s="17">
        <v>45806.0</v>
      </c>
      <c r="J118" s="18">
        <f>SUMIF(CIMV[[DATA]:[Tempo]],I118,CIMV[Tempo])</f>
        <v>0.05208333333</v>
      </c>
      <c r="K118" s="6"/>
      <c r="L118" s="6"/>
      <c r="M118" s="6"/>
      <c r="N118" s="6"/>
      <c r="O118" s="6"/>
      <c r="P118" s="6"/>
      <c r="Q118" s="6"/>
      <c r="R118" s="6"/>
      <c r="S118" s="6"/>
    </row>
    <row r="119" ht="22.5" hidden="1" customHeight="1">
      <c r="A119" s="27">
        <v>45720.0</v>
      </c>
      <c r="B119" s="12" t="s">
        <v>7</v>
      </c>
      <c r="C119" s="31" t="s">
        <v>87</v>
      </c>
      <c r="D119" s="26" t="s">
        <v>41</v>
      </c>
      <c r="E119" s="22"/>
      <c r="F119" s="23">
        <v>0.015277777777777777</v>
      </c>
      <c r="G119" s="29"/>
      <c r="H119" s="6"/>
      <c r="I119" s="17">
        <v>45807.0</v>
      </c>
      <c r="J119" s="18">
        <f>SUMIF(CIMV[[DATA]:[Tempo]],I119,CIMV[Tempo])</f>
        <v>0.05208333333</v>
      </c>
      <c r="K119" s="6"/>
      <c r="L119" s="6"/>
      <c r="M119" s="6"/>
      <c r="N119" s="6"/>
      <c r="O119" s="6"/>
      <c r="P119" s="6"/>
      <c r="Q119" s="6"/>
      <c r="R119" s="6"/>
      <c r="S119" s="6"/>
    </row>
    <row r="120" ht="22.5" hidden="1" customHeight="1">
      <c r="A120" s="27">
        <v>45720.0</v>
      </c>
      <c r="B120" s="12" t="s">
        <v>7</v>
      </c>
      <c r="C120" s="31" t="s">
        <v>87</v>
      </c>
      <c r="D120" s="26" t="s">
        <v>27</v>
      </c>
      <c r="E120" s="22"/>
      <c r="F120" s="23">
        <v>0.024305555555555556</v>
      </c>
      <c r="G120" s="29"/>
      <c r="H120" s="6"/>
      <c r="I120" s="17">
        <v>45808.0</v>
      </c>
      <c r="J120" s="18">
        <f>SUMIF(CIMV[[DATA]:[Tempo]],I120,CIMV[Tempo])</f>
        <v>0.05208333333</v>
      </c>
      <c r="K120" s="6"/>
      <c r="L120" s="6"/>
      <c r="M120" s="6"/>
      <c r="N120" s="6"/>
      <c r="O120" s="6"/>
      <c r="P120" s="6"/>
      <c r="Q120" s="6"/>
      <c r="R120" s="6"/>
      <c r="S120" s="6"/>
    </row>
    <row r="121" ht="22.5" hidden="1" customHeight="1">
      <c r="A121" s="27">
        <v>45721.0</v>
      </c>
      <c r="B121" s="12" t="s">
        <v>7</v>
      </c>
      <c r="C121" s="31" t="s">
        <v>87</v>
      </c>
      <c r="D121" s="26" t="s">
        <v>90</v>
      </c>
      <c r="E121" s="22"/>
      <c r="F121" s="23">
        <v>0.014131944444444445</v>
      </c>
      <c r="G121" s="29"/>
      <c r="H121" s="6"/>
      <c r="I121" s="17">
        <v>45809.0</v>
      </c>
      <c r="J121" s="18">
        <f>SUMIF(CIMV[[DATA]:[Tempo]],I121,CIMV[Tempo])</f>
        <v>0.05208333333</v>
      </c>
      <c r="K121" s="6"/>
      <c r="L121" s="6"/>
      <c r="M121" s="6"/>
      <c r="N121" s="6"/>
      <c r="O121" s="6"/>
      <c r="P121" s="6"/>
      <c r="Q121" s="6"/>
      <c r="R121" s="6"/>
      <c r="S121" s="6"/>
    </row>
    <row r="122" ht="22.5" hidden="1" customHeight="1">
      <c r="A122" s="27">
        <v>45721.0</v>
      </c>
      <c r="B122" s="12" t="s">
        <v>7</v>
      </c>
      <c r="C122" s="31" t="s">
        <v>87</v>
      </c>
      <c r="D122" s="26" t="s">
        <v>41</v>
      </c>
      <c r="E122" s="22"/>
      <c r="F122" s="23">
        <v>0.015277777777777777</v>
      </c>
      <c r="G122" s="29"/>
      <c r="H122" s="6"/>
      <c r="I122" s="17">
        <v>45810.0</v>
      </c>
      <c r="J122" s="18">
        <f>SUMIF(CIMV[[DATA]:[Tempo]],I122,CIMV[Tempo])</f>
        <v>0.07774305556</v>
      </c>
      <c r="K122" s="6"/>
      <c r="L122" s="6"/>
      <c r="M122" s="6"/>
      <c r="N122" s="6"/>
      <c r="O122" s="6"/>
      <c r="P122" s="6"/>
      <c r="Q122" s="6"/>
      <c r="R122" s="6"/>
      <c r="S122" s="6"/>
    </row>
    <row r="123" ht="22.5" hidden="1" customHeight="1">
      <c r="A123" s="27">
        <v>45721.0</v>
      </c>
      <c r="B123" s="12" t="s">
        <v>7</v>
      </c>
      <c r="C123" s="31" t="s">
        <v>87</v>
      </c>
      <c r="D123" s="26" t="s">
        <v>27</v>
      </c>
      <c r="E123" s="22"/>
      <c r="F123" s="23">
        <v>0.020833333333333332</v>
      </c>
      <c r="G123" s="29"/>
      <c r="H123" s="6"/>
      <c r="I123" s="17">
        <v>45811.0</v>
      </c>
      <c r="J123" s="18">
        <f>SUMIF(CIMV[[DATA]:[Tempo]],I123,CIMV[Tempo])</f>
        <v>0.05555555556</v>
      </c>
      <c r="K123" s="6"/>
      <c r="L123" s="6"/>
      <c r="M123" s="6"/>
      <c r="N123" s="6"/>
      <c r="O123" s="6"/>
      <c r="P123" s="6"/>
      <c r="Q123" s="6"/>
      <c r="R123" s="6"/>
      <c r="S123" s="6"/>
    </row>
    <row r="124" ht="22.5" hidden="1" customHeight="1">
      <c r="A124" s="27">
        <v>45722.0</v>
      </c>
      <c r="B124" s="12" t="s">
        <v>7</v>
      </c>
      <c r="C124" s="31" t="s">
        <v>87</v>
      </c>
      <c r="D124" s="26" t="s">
        <v>91</v>
      </c>
      <c r="E124" s="22"/>
      <c r="F124" s="23">
        <v>0.014178240740740741</v>
      </c>
      <c r="G124" s="29"/>
      <c r="H124" s="6"/>
      <c r="I124" s="17">
        <v>45812.0</v>
      </c>
      <c r="J124" s="18">
        <f>SUMIF(CIMV[[DATA]:[Tempo]],I124,CIMV[Tempo])</f>
        <v>0.05555555556</v>
      </c>
      <c r="K124" s="6"/>
      <c r="L124" s="6"/>
      <c r="M124" s="6"/>
      <c r="N124" s="6"/>
      <c r="O124" s="6"/>
      <c r="P124" s="6"/>
      <c r="Q124" s="6"/>
      <c r="R124" s="6"/>
      <c r="S124" s="6"/>
    </row>
    <row r="125" ht="22.5" hidden="1" customHeight="1">
      <c r="A125" s="27">
        <v>45722.0</v>
      </c>
      <c r="B125" s="12" t="s">
        <v>7</v>
      </c>
      <c r="C125" s="31" t="s">
        <v>87</v>
      </c>
      <c r="D125" s="26" t="s">
        <v>92</v>
      </c>
      <c r="E125" s="22"/>
      <c r="F125" s="23">
        <v>0.006944444444444444</v>
      </c>
      <c r="G125" s="29"/>
      <c r="H125" s="6"/>
      <c r="I125" s="17">
        <v>45813.0</v>
      </c>
      <c r="J125" s="18">
        <f>SUMIF(CIMV[[DATA]:[Tempo]],I125,CIMV[Tempo])</f>
        <v>0.05555555556</v>
      </c>
      <c r="K125" s="6"/>
      <c r="L125" s="6"/>
      <c r="M125" s="6"/>
      <c r="N125" s="6"/>
      <c r="O125" s="6"/>
      <c r="P125" s="6"/>
      <c r="Q125" s="6"/>
      <c r="R125" s="6"/>
      <c r="S125" s="6"/>
    </row>
    <row r="126" ht="22.5" hidden="1" customHeight="1">
      <c r="A126" s="27">
        <v>45722.0</v>
      </c>
      <c r="B126" s="12" t="s">
        <v>7</v>
      </c>
      <c r="C126" s="31" t="s">
        <v>87</v>
      </c>
      <c r="D126" s="26" t="s">
        <v>93</v>
      </c>
      <c r="E126" s="22"/>
      <c r="F126" s="23">
        <v>0.01597222222222222</v>
      </c>
      <c r="G126" s="29"/>
      <c r="H126" s="6"/>
      <c r="I126" s="17">
        <v>45814.0</v>
      </c>
      <c r="J126" s="18">
        <f>SUMIF(CIMV[[DATA]:[Tempo]],I126,CIMV[Tempo])</f>
        <v>0.05555555556</v>
      </c>
      <c r="K126" s="6"/>
      <c r="L126" s="6"/>
      <c r="M126" s="6"/>
      <c r="N126" s="6"/>
      <c r="O126" s="6"/>
      <c r="P126" s="6"/>
      <c r="Q126" s="6"/>
      <c r="R126" s="6"/>
      <c r="S126" s="6"/>
    </row>
    <row r="127" ht="22.5" hidden="1" customHeight="1">
      <c r="A127" s="27">
        <v>45722.0</v>
      </c>
      <c r="B127" s="12" t="s">
        <v>7</v>
      </c>
      <c r="C127" s="31" t="s">
        <v>87</v>
      </c>
      <c r="D127" s="26" t="s">
        <v>41</v>
      </c>
      <c r="E127" s="22"/>
      <c r="F127" s="23">
        <v>0.017361111111111112</v>
      </c>
      <c r="G127" s="29"/>
      <c r="H127" s="6"/>
      <c r="I127" s="17">
        <v>45815.0</v>
      </c>
      <c r="J127" s="18">
        <f>SUMIF(CIMV[[DATA]:[Tempo]],I127,CIMV[Tempo])</f>
        <v>0.05555555556</v>
      </c>
      <c r="K127" s="6"/>
      <c r="L127" s="6"/>
      <c r="M127" s="6"/>
      <c r="N127" s="6"/>
      <c r="O127" s="6"/>
      <c r="P127" s="6"/>
      <c r="Q127" s="6"/>
      <c r="R127" s="6"/>
      <c r="S127" s="6"/>
    </row>
    <row r="128" ht="22.5" hidden="1" customHeight="1">
      <c r="A128" s="27">
        <v>45723.0</v>
      </c>
      <c r="B128" s="12" t="s">
        <v>7</v>
      </c>
      <c r="C128" s="31" t="s">
        <v>87</v>
      </c>
      <c r="D128" s="26" t="s">
        <v>94</v>
      </c>
      <c r="E128" s="22"/>
      <c r="F128" s="23">
        <v>0.01857638888888889</v>
      </c>
      <c r="G128" s="29"/>
      <c r="H128" s="6"/>
      <c r="I128" s="17">
        <v>45816.0</v>
      </c>
      <c r="J128" s="18">
        <f>SUMIF(CIMV[[DATA]:[Tempo]],I128,CIMV[Tempo])</f>
        <v>0.05555555556</v>
      </c>
      <c r="K128" s="6"/>
      <c r="L128" s="6"/>
      <c r="M128" s="6"/>
      <c r="N128" s="6"/>
      <c r="O128" s="6"/>
      <c r="P128" s="6"/>
      <c r="Q128" s="6"/>
      <c r="R128" s="6"/>
      <c r="S128" s="6"/>
    </row>
    <row r="129" ht="22.5" hidden="1" customHeight="1">
      <c r="A129" s="27">
        <v>45723.0</v>
      </c>
      <c r="B129" s="12" t="s">
        <v>7</v>
      </c>
      <c r="C129" s="31" t="s">
        <v>87</v>
      </c>
      <c r="D129" s="26" t="s">
        <v>93</v>
      </c>
      <c r="E129" s="22"/>
      <c r="F129" s="23">
        <v>0.017361111111111112</v>
      </c>
      <c r="G129" s="29"/>
      <c r="H129" s="6"/>
      <c r="I129" s="17">
        <v>45817.0</v>
      </c>
      <c r="J129" s="18">
        <f>SUMIF(CIMV[[DATA]:[Tempo]],I129,CIMV[Tempo])</f>
        <v>0.05555555556</v>
      </c>
      <c r="K129" s="6"/>
      <c r="L129" s="6"/>
      <c r="M129" s="6"/>
      <c r="N129" s="6"/>
      <c r="O129" s="6"/>
      <c r="P129" s="6"/>
      <c r="Q129" s="6"/>
      <c r="R129" s="6"/>
      <c r="S129" s="6"/>
    </row>
    <row r="130" ht="22.5" hidden="1" customHeight="1">
      <c r="A130" s="27">
        <v>45723.0</v>
      </c>
      <c r="B130" s="12" t="s">
        <v>7</v>
      </c>
      <c r="C130" s="31" t="s">
        <v>87</v>
      </c>
      <c r="D130" s="26" t="s">
        <v>92</v>
      </c>
      <c r="E130" s="22"/>
      <c r="F130" s="23">
        <v>0.010416666666666666</v>
      </c>
      <c r="G130" s="29"/>
      <c r="H130" s="6"/>
      <c r="I130" s="17">
        <v>45818.0</v>
      </c>
      <c r="J130" s="18">
        <f>SUMIF(CIMV[[DATA]:[Tempo]],I130,CIMV[Tempo])</f>
        <v>0.05555555556</v>
      </c>
      <c r="K130" s="6"/>
      <c r="L130" s="6"/>
      <c r="M130" s="6"/>
      <c r="N130" s="6"/>
      <c r="O130" s="6"/>
      <c r="P130" s="6"/>
      <c r="Q130" s="6"/>
      <c r="R130" s="6"/>
      <c r="S130" s="6"/>
    </row>
    <row r="131" ht="22.5" hidden="1" customHeight="1">
      <c r="A131" s="27">
        <v>45723.0</v>
      </c>
      <c r="B131" s="12" t="s">
        <v>7</v>
      </c>
      <c r="C131" s="31" t="s">
        <v>87</v>
      </c>
      <c r="D131" s="26" t="s">
        <v>41</v>
      </c>
      <c r="E131" s="22"/>
      <c r="F131" s="23">
        <v>0.017361111111111112</v>
      </c>
      <c r="G131" s="29"/>
      <c r="H131" s="6"/>
      <c r="I131" s="17">
        <v>45819.0</v>
      </c>
      <c r="J131" s="18">
        <f>SUMIF(CIMV[[DATA]:[Tempo]],I131,CIMV[Tempo])</f>
        <v>0.05555555556</v>
      </c>
      <c r="K131" s="6"/>
      <c r="L131" s="6"/>
      <c r="M131" s="6"/>
      <c r="N131" s="6"/>
      <c r="O131" s="6"/>
      <c r="P131" s="6"/>
      <c r="Q131" s="6"/>
      <c r="R131" s="6"/>
      <c r="S131" s="6"/>
    </row>
    <row r="132" ht="22.5" hidden="1" customHeight="1">
      <c r="A132" s="27">
        <v>45724.0</v>
      </c>
      <c r="B132" s="12" t="s">
        <v>7</v>
      </c>
      <c r="C132" s="31" t="s">
        <v>87</v>
      </c>
      <c r="D132" s="26" t="s">
        <v>95</v>
      </c>
      <c r="E132" s="22"/>
      <c r="F132" s="23">
        <v>0.013495370370370371</v>
      </c>
      <c r="G132" s="29"/>
      <c r="H132" s="6"/>
      <c r="I132" s="17">
        <v>45820.0</v>
      </c>
      <c r="J132" s="18">
        <f>SUMIF(CIMV[[DATA]:[Tempo]],I132,CIMV[Tempo])</f>
        <v>0.05555555556</v>
      </c>
      <c r="K132" s="6"/>
      <c r="L132" s="6"/>
      <c r="M132" s="6"/>
      <c r="N132" s="6"/>
      <c r="O132" s="6"/>
      <c r="P132" s="6"/>
      <c r="Q132" s="6"/>
      <c r="R132" s="6"/>
      <c r="S132" s="6"/>
    </row>
    <row r="133" ht="22.5" hidden="1" customHeight="1">
      <c r="A133" s="27">
        <v>45724.0</v>
      </c>
      <c r="B133" s="12" t="s">
        <v>7</v>
      </c>
      <c r="C133" s="31" t="s">
        <v>87</v>
      </c>
      <c r="D133" s="26" t="s">
        <v>93</v>
      </c>
      <c r="E133" s="22"/>
      <c r="F133" s="23">
        <v>0.020833333333333332</v>
      </c>
      <c r="G133" s="29"/>
      <c r="H133" s="6"/>
      <c r="I133" s="17">
        <v>45821.0</v>
      </c>
      <c r="J133" s="18">
        <f>SUMIF(CIMV[[DATA]:[Tempo]],I133,CIMV[Tempo])</f>
        <v>0.05555555556</v>
      </c>
      <c r="K133" s="6"/>
      <c r="L133" s="6"/>
      <c r="M133" s="6"/>
      <c r="N133" s="6"/>
      <c r="O133" s="6"/>
      <c r="P133" s="6"/>
      <c r="Q133" s="6"/>
      <c r="R133" s="6"/>
      <c r="S133" s="6"/>
    </row>
    <row r="134" ht="22.5" hidden="1" customHeight="1">
      <c r="A134" s="27">
        <v>45724.0</v>
      </c>
      <c r="B134" s="12" t="s">
        <v>7</v>
      </c>
      <c r="C134" s="31" t="s">
        <v>87</v>
      </c>
      <c r="D134" s="26" t="s">
        <v>92</v>
      </c>
      <c r="E134" s="22"/>
      <c r="F134" s="23">
        <v>0.013888888888888888</v>
      </c>
      <c r="G134" s="29"/>
      <c r="H134" s="6"/>
      <c r="I134" s="17">
        <v>45822.0</v>
      </c>
      <c r="J134" s="18">
        <f>SUMIF(CIMV[[DATA]:[Tempo]],I134,CIMV[Tempo])</f>
        <v>0.05555555556</v>
      </c>
      <c r="K134" s="6"/>
      <c r="L134" s="6"/>
      <c r="M134" s="6"/>
      <c r="N134" s="6"/>
      <c r="O134" s="6"/>
      <c r="P134" s="6"/>
      <c r="Q134" s="6"/>
      <c r="R134" s="6"/>
      <c r="S134" s="6"/>
    </row>
    <row r="135" ht="22.5" hidden="1" customHeight="1">
      <c r="A135" s="27">
        <v>45724.0</v>
      </c>
      <c r="B135" s="12" t="s">
        <v>7</v>
      </c>
      <c r="C135" s="31" t="s">
        <v>87</v>
      </c>
      <c r="D135" s="26" t="s">
        <v>41</v>
      </c>
      <c r="E135" s="22"/>
      <c r="F135" s="23">
        <v>0.018055555555555554</v>
      </c>
      <c r="G135" s="29"/>
      <c r="H135" s="6"/>
      <c r="I135" s="17">
        <v>45823.0</v>
      </c>
      <c r="J135" s="18">
        <f>SUMIF(CIMV[[DATA]:[Tempo]],I135,CIMV[Tempo])</f>
        <v>0.05555555556</v>
      </c>
      <c r="K135" s="6"/>
      <c r="L135" s="6"/>
      <c r="M135" s="6"/>
      <c r="N135" s="6"/>
      <c r="O135" s="6"/>
      <c r="P135" s="6"/>
      <c r="Q135" s="6"/>
      <c r="R135" s="6"/>
      <c r="S135" s="6"/>
    </row>
    <row r="136" ht="22.5" hidden="1" customHeight="1">
      <c r="A136" s="27">
        <v>45725.0</v>
      </c>
      <c r="B136" s="12" t="s">
        <v>7</v>
      </c>
      <c r="C136" s="31" t="s">
        <v>87</v>
      </c>
      <c r="D136" s="26" t="s">
        <v>96</v>
      </c>
      <c r="E136" s="22"/>
      <c r="F136" s="23">
        <v>0.01752314814814815</v>
      </c>
      <c r="G136" s="29"/>
      <c r="H136" s="6"/>
      <c r="I136" s="17">
        <v>45824.0</v>
      </c>
      <c r="J136" s="18">
        <f>SUMIF(CIMV[[DATA]:[Tempo]],I136,CIMV[Tempo])</f>
        <v>0.05555555556</v>
      </c>
      <c r="K136" s="6"/>
      <c r="L136" s="6"/>
      <c r="M136" s="6"/>
      <c r="N136" s="6"/>
      <c r="O136" s="6"/>
      <c r="P136" s="6"/>
      <c r="Q136" s="6"/>
      <c r="R136" s="6"/>
      <c r="S136" s="6"/>
    </row>
    <row r="137" ht="22.5" hidden="1" customHeight="1">
      <c r="A137" s="27">
        <v>45725.0</v>
      </c>
      <c r="B137" s="12" t="s">
        <v>7</v>
      </c>
      <c r="C137" s="31" t="s">
        <v>87</v>
      </c>
      <c r="D137" s="26" t="s">
        <v>93</v>
      </c>
      <c r="E137" s="22"/>
      <c r="F137" s="23">
        <v>0.034722222222222224</v>
      </c>
      <c r="G137" s="29"/>
      <c r="H137" s="6"/>
      <c r="I137" s="17">
        <v>45825.0</v>
      </c>
      <c r="J137" s="18">
        <f>SUMIF(CIMV[[DATA]:[Tempo]],I137,CIMV[Tempo])</f>
        <v>0.05555555556</v>
      </c>
      <c r="K137" s="6"/>
      <c r="L137" s="6"/>
      <c r="M137" s="6"/>
      <c r="N137" s="6"/>
      <c r="O137" s="6"/>
      <c r="P137" s="6"/>
      <c r="Q137" s="6"/>
      <c r="R137" s="6"/>
      <c r="S137" s="6"/>
    </row>
    <row r="138" ht="22.5" hidden="1" customHeight="1">
      <c r="A138" s="27">
        <v>45725.0</v>
      </c>
      <c r="B138" s="12" t="s">
        <v>7</v>
      </c>
      <c r="C138" s="31" t="s">
        <v>87</v>
      </c>
      <c r="D138" s="26" t="s">
        <v>92</v>
      </c>
      <c r="E138" s="22"/>
      <c r="F138" s="23">
        <v>0.013888888888888888</v>
      </c>
      <c r="G138" s="29"/>
      <c r="H138" s="6"/>
      <c r="I138" s="17">
        <v>45826.0</v>
      </c>
      <c r="J138" s="18">
        <f>SUMIF(CIMV[[DATA]:[Tempo]],I138,CIMV[Tempo])</f>
        <v>0.05555555556</v>
      </c>
      <c r="K138" s="6"/>
      <c r="L138" s="6"/>
      <c r="M138" s="6"/>
      <c r="N138" s="6"/>
      <c r="O138" s="6"/>
      <c r="P138" s="6"/>
      <c r="Q138" s="6"/>
      <c r="R138" s="6"/>
      <c r="S138" s="6"/>
    </row>
    <row r="139" ht="22.5" hidden="1" customHeight="1">
      <c r="A139" s="27">
        <v>45725.0</v>
      </c>
      <c r="B139" s="12" t="s">
        <v>7</v>
      </c>
      <c r="C139" s="31" t="s">
        <v>87</v>
      </c>
      <c r="D139" s="26" t="s">
        <v>41</v>
      </c>
      <c r="E139" s="22"/>
      <c r="F139" s="23">
        <v>0.018055555555555554</v>
      </c>
      <c r="G139" s="29"/>
      <c r="H139" s="6"/>
      <c r="I139" s="17">
        <v>45827.0</v>
      </c>
      <c r="J139" s="18">
        <f>SUMIF(CIMV[[DATA]:[Tempo]],I139,CIMV[Tempo])</f>
        <v>0.05555555556</v>
      </c>
      <c r="K139" s="6"/>
      <c r="L139" s="6"/>
      <c r="M139" s="6"/>
      <c r="N139" s="6"/>
      <c r="O139" s="6"/>
      <c r="P139" s="6"/>
      <c r="Q139" s="6"/>
      <c r="R139" s="6"/>
      <c r="S139" s="6"/>
    </row>
    <row r="140" ht="22.5" hidden="1" customHeight="1">
      <c r="A140" s="27">
        <v>45725.0</v>
      </c>
      <c r="B140" s="12" t="s">
        <v>7</v>
      </c>
      <c r="C140" s="31" t="s">
        <v>87</v>
      </c>
      <c r="D140" s="26" t="s">
        <v>97</v>
      </c>
      <c r="E140" s="22"/>
      <c r="F140" s="23">
        <v>0.0</v>
      </c>
      <c r="G140" s="29"/>
      <c r="H140" s="6"/>
      <c r="I140" s="17">
        <v>45828.0</v>
      </c>
      <c r="J140" s="18">
        <f>SUMIF(CIMV[[DATA]:[Tempo]],I140,CIMV[Tempo])</f>
        <v>0.05555555556</v>
      </c>
      <c r="K140" s="6"/>
      <c r="L140" s="6"/>
      <c r="M140" s="6"/>
      <c r="N140" s="6"/>
      <c r="O140" s="6"/>
      <c r="P140" s="6"/>
      <c r="Q140" s="6"/>
      <c r="R140" s="6"/>
      <c r="S140" s="6"/>
    </row>
    <row r="141" ht="22.5" hidden="1" customHeight="1">
      <c r="A141" s="27">
        <v>45725.0</v>
      </c>
      <c r="B141" s="12" t="s">
        <v>7</v>
      </c>
      <c r="C141" s="31" t="s">
        <v>87</v>
      </c>
      <c r="D141" s="26" t="s">
        <v>98</v>
      </c>
      <c r="E141" s="22"/>
      <c r="F141" s="23">
        <v>0.0</v>
      </c>
      <c r="G141" s="29" t="s">
        <v>99</v>
      </c>
      <c r="H141" s="6"/>
      <c r="I141" s="17">
        <v>45829.0</v>
      </c>
      <c r="J141" s="18">
        <f>SUMIF(CIMV[[DATA]:[Tempo]],I141,CIMV[Tempo])</f>
        <v>0.05555555556</v>
      </c>
      <c r="K141" s="6"/>
      <c r="L141" s="6"/>
      <c r="M141" s="6"/>
      <c r="N141" s="6"/>
      <c r="O141" s="6"/>
      <c r="P141" s="6"/>
      <c r="Q141" s="6"/>
      <c r="R141" s="6"/>
      <c r="S141" s="6"/>
    </row>
    <row r="142" ht="22.5" hidden="1" customHeight="1">
      <c r="A142" s="27">
        <v>45725.0</v>
      </c>
      <c r="B142" s="12" t="s">
        <v>7</v>
      </c>
      <c r="C142" s="31" t="s">
        <v>100</v>
      </c>
      <c r="D142" s="26" t="s">
        <v>101</v>
      </c>
      <c r="E142" s="22"/>
      <c r="F142" s="23">
        <v>0.004247685185185185</v>
      </c>
      <c r="G142" s="29"/>
      <c r="H142" s="6"/>
      <c r="I142" s="17">
        <v>45830.0</v>
      </c>
      <c r="J142" s="18">
        <f>SUMIF(CIMV[[DATA]:[Tempo]],I142,CIMV[Tempo])</f>
        <v>0.05555555556</v>
      </c>
      <c r="K142" s="6"/>
      <c r="L142" s="6"/>
      <c r="M142" s="6"/>
      <c r="N142" s="6"/>
      <c r="O142" s="6"/>
      <c r="P142" s="6"/>
      <c r="Q142" s="6"/>
      <c r="R142" s="6"/>
      <c r="S142" s="6"/>
    </row>
    <row r="143" ht="22.5" hidden="1" customHeight="1">
      <c r="A143" s="27">
        <v>45726.0</v>
      </c>
      <c r="B143" s="12" t="s">
        <v>7</v>
      </c>
      <c r="C143" s="31" t="s">
        <v>100</v>
      </c>
      <c r="D143" s="26" t="s">
        <v>102</v>
      </c>
      <c r="E143" s="22"/>
      <c r="F143" s="23">
        <v>0.014918981481481481</v>
      </c>
      <c r="G143" s="29"/>
      <c r="H143" s="6"/>
      <c r="I143" s="17">
        <v>45831.0</v>
      </c>
      <c r="J143" s="18">
        <f>SUMIF(CIMV[[DATA]:[Tempo]],I143,CIMV[Tempo])</f>
        <v>0.05555555556</v>
      </c>
      <c r="K143" s="6"/>
      <c r="L143" s="6"/>
      <c r="M143" s="6"/>
      <c r="N143" s="6"/>
      <c r="O143" s="6"/>
      <c r="P143" s="6"/>
      <c r="Q143" s="6"/>
      <c r="R143" s="6"/>
      <c r="S143" s="6"/>
    </row>
    <row r="144" ht="22.5" hidden="1" customHeight="1">
      <c r="A144" s="27">
        <v>45726.0</v>
      </c>
      <c r="B144" s="12" t="s">
        <v>7</v>
      </c>
      <c r="C144" s="31" t="s">
        <v>100</v>
      </c>
      <c r="D144" s="26" t="s">
        <v>93</v>
      </c>
      <c r="E144" s="22"/>
      <c r="F144" s="23">
        <v>0.015277777777777777</v>
      </c>
      <c r="G144" s="29"/>
      <c r="H144" s="6"/>
      <c r="I144" s="17">
        <v>45832.0</v>
      </c>
      <c r="J144" s="18">
        <f>SUMIF(CIMV[[DATA]:[Tempo]],I144,CIMV[Tempo])</f>
        <v>0.05555555556</v>
      </c>
      <c r="K144" s="6"/>
      <c r="L144" s="6"/>
      <c r="M144" s="6"/>
      <c r="N144" s="6"/>
      <c r="O144" s="6"/>
      <c r="P144" s="6"/>
      <c r="Q144" s="6"/>
      <c r="R144" s="6"/>
      <c r="S144" s="6"/>
    </row>
    <row r="145" ht="22.5" hidden="1" customHeight="1">
      <c r="A145" s="27">
        <v>45726.0</v>
      </c>
      <c r="B145" s="12" t="s">
        <v>7</v>
      </c>
      <c r="C145" s="31" t="s">
        <v>100</v>
      </c>
      <c r="D145" s="26" t="s">
        <v>92</v>
      </c>
      <c r="E145" s="22"/>
      <c r="F145" s="23">
        <v>0.006944444444444444</v>
      </c>
      <c r="G145" s="29"/>
      <c r="H145" s="6"/>
      <c r="I145" s="17">
        <v>45833.0</v>
      </c>
      <c r="J145" s="18">
        <f>SUMIF(CIMV[[DATA]:[Tempo]],I145,CIMV[Tempo])</f>
        <v>0.05555555556</v>
      </c>
      <c r="K145" s="6"/>
      <c r="L145" s="6"/>
      <c r="M145" s="6"/>
      <c r="N145" s="6"/>
      <c r="O145" s="6"/>
      <c r="P145" s="6"/>
      <c r="Q145" s="6"/>
      <c r="R145" s="6"/>
      <c r="S145" s="6"/>
    </row>
    <row r="146" ht="22.5" hidden="1" customHeight="1">
      <c r="A146" s="27">
        <v>45726.0</v>
      </c>
      <c r="B146" s="12" t="s">
        <v>7</v>
      </c>
      <c r="C146" s="31" t="s">
        <v>100</v>
      </c>
      <c r="D146" s="26" t="s">
        <v>41</v>
      </c>
      <c r="E146" s="22"/>
      <c r="F146" s="23">
        <v>0.01875</v>
      </c>
      <c r="G146" s="29"/>
      <c r="H146" s="6"/>
      <c r="I146" s="17">
        <v>45834.0</v>
      </c>
      <c r="J146" s="18">
        <f>SUMIF(CIMV[[DATA]:[Tempo]],I146,CIMV[Tempo])</f>
        <v>0.05555555556</v>
      </c>
      <c r="K146" s="6"/>
      <c r="L146" s="6"/>
      <c r="M146" s="6"/>
      <c r="N146" s="6"/>
      <c r="O146" s="6"/>
      <c r="P146" s="6"/>
      <c r="Q146" s="6"/>
      <c r="R146" s="6"/>
      <c r="S146" s="6"/>
    </row>
    <row r="147" ht="22.5" hidden="1" customHeight="1">
      <c r="A147" s="27">
        <v>45727.0</v>
      </c>
      <c r="B147" s="12" t="s">
        <v>7</v>
      </c>
      <c r="C147" s="31" t="s">
        <v>100</v>
      </c>
      <c r="D147" s="26" t="s">
        <v>103</v>
      </c>
      <c r="E147" s="22"/>
      <c r="F147" s="23">
        <v>0.012916666666666667</v>
      </c>
      <c r="G147" s="29"/>
      <c r="H147" s="6"/>
      <c r="I147" s="17">
        <v>45835.0</v>
      </c>
      <c r="J147" s="18">
        <f>SUMIF(CIMV[[DATA]:[Tempo]],I147,CIMV[Tempo])</f>
        <v>0.05555555556</v>
      </c>
      <c r="K147" s="6"/>
      <c r="L147" s="6"/>
      <c r="M147" s="6"/>
      <c r="N147" s="6"/>
      <c r="O147" s="6"/>
      <c r="P147" s="6"/>
      <c r="Q147" s="6"/>
      <c r="R147" s="6"/>
      <c r="S147" s="6"/>
    </row>
    <row r="148" ht="22.5" hidden="1" customHeight="1">
      <c r="A148" s="27">
        <v>45727.0</v>
      </c>
      <c r="B148" s="12" t="s">
        <v>7</v>
      </c>
      <c r="C148" s="31" t="s">
        <v>100</v>
      </c>
      <c r="D148" s="26" t="s">
        <v>92</v>
      </c>
      <c r="E148" s="22"/>
      <c r="F148" s="23">
        <v>0.006944444444444444</v>
      </c>
      <c r="G148" s="29"/>
      <c r="H148" s="6"/>
      <c r="I148" s="17">
        <v>45836.0</v>
      </c>
      <c r="J148" s="18">
        <f>SUMIF(CIMV[[DATA]:[Tempo]],I148,CIMV[Tempo])</f>
        <v>0.05555555556</v>
      </c>
      <c r="K148" s="6"/>
      <c r="L148" s="6"/>
      <c r="M148" s="6"/>
      <c r="N148" s="6"/>
      <c r="O148" s="6"/>
      <c r="P148" s="6"/>
      <c r="Q148" s="6"/>
      <c r="R148" s="6"/>
      <c r="S148" s="6"/>
    </row>
    <row r="149" ht="22.5" hidden="1" customHeight="1">
      <c r="A149" s="27">
        <v>45727.0</v>
      </c>
      <c r="B149" s="12" t="s">
        <v>7</v>
      </c>
      <c r="C149" s="31" t="s">
        <v>100</v>
      </c>
      <c r="D149" s="26" t="s">
        <v>41</v>
      </c>
      <c r="E149" s="22"/>
      <c r="F149" s="23">
        <v>0.01875</v>
      </c>
      <c r="G149" s="29"/>
      <c r="H149" s="6"/>
      <c r="I149" s="17">
        <v>45837.0</v>
      </c>
      <c r="J149" s="18">
        <f>SUMIF(CIMV[[DATA]:[Tempo]],I149,CIMV[Tempo])</f>
        <v>0.05555555556</v>
      </c>
      <c r="K149" s="6"/>
      <c r="L149" s="6"/>
      <c r="M149" s="6"/>
      <c r="N149" s="6"/>
      <c r="O149" s="6"/>
      <c r="P149" s="6"/>
      <c r="Q149" s="6"/>
      <c r="R149" s="6"/>
      <c r="S149" s="6"/>
    </row>
    <row r="150" ht="22.5" hidden="1" customHeight="1">
      <c r="A150" s="27">
        <v>45727.0</v>
      </c>
      <c r="B150" s="12" t="s">
        <v>7</v>
      </c>
      <c r="C150" s="31" t="s">
        <v>100</v>
      </c>
      <c r="D150" s="26" t="s">
        <v>93</v>
      </c>
      <c r="E150" s="22"/>
      <c r="F150" s="23">
        <v>0.013888888888888888</v>
      </c>
      <c r="G150" s="29"/>
      <c r="H150" s="6"/>
      <c r="I150" s="17">
        <v>45838.0</v>
      </c>
      <c r="J150" s="18">
        <f>SUMIF(CIMV[[DATA]:[Tempo]],I150,CIMV[Tempo])</f>
        <v>0.05555555556</v>
      </c>
      <c r="K150" s="6"/>
      <c r="L150" s="6"/>
      <c r="M150" s="6"/>
      <c r="N150" s="6"/>
      <c r="O150" s="6"/>
      <c r="P150" s="6"/>
      <c r="Q150" s="6"/>
      <c r="R150" s="6"/>
      <c r="S150" s="6"/>
    </row>
    <row r="151" ht="22.5" hidden="1" customHeight="1">
      <c r="A151" s="27">
        <v>45728.0</v>
      </c>
      <c r="B151" s="12" t="s">
        <v>7</v>
      </c>
      <c r="C151" s="31" t="s">
        <v>100</v>
      </c>
      <c r="D151" s="26" t="s">
        <v>104</v>
      </c>
      <c r="E151" s="22"/>
      <c r="F151" s="23">
        <v>0.013958333333333333</v>
      </c>
      <c r="G151" s="29"/>
      <c r="H151" s="6"/>
      <c r="I151" s="17">
        <v>45839.0</v>
      </c>
      <c r="J151" s="18">
        <f>SUMIF(CIMV[[DATA]:[Tempo]],I151,CIMV[Tempo])</f>
        <v>0.05555555556</v>
      </c>
      <c r="K151" s="6"/>
      <c r="L151" s="6"/>
      <c r="M151" s="6"/>
      <c r="N151" s="6"/>
      <c r="O151" s="6"/>
      <c r="P151" s="6"/>
      <c r="Q151" s="6"/>
      <c r="R151" s="6"/>
      <c r="S151" s="6"/>
    </row>
    <row r="152" ht="22.5" hidden="1" customHeight="1">
      <c r="A152" s="27">
        <v>45728.0</v>
      </c>
      <c r="B152" s="12" t="s">
        <v>7</v>
      </c>
      <c r="C152" s="31" t="s">
        <v>100</v>
      </c>
      <c r="D152" s="26" t="s">
        <v>92</v>
      </c>
      <c r="E152" s="22"/>
      <c r="F152" s="23">
        <v>0.006944444444444444</v>
      </c>
      <c r="G152" s="29"/>
      <c r="H152" s="6"/>
      <c r="I152" s="17">
        <v>45840.0</v>
      </c>
      <c r="J152" s="18">
        <f>SUMIF(CIMV[[DATA]:[Tempo]],I152,CIMV[Tempo])</f>
        <v>0.05555555556</v>
      </c>
      <c r="K152" s="6"/>
      <c r="L152" s="6"/>
      <c r="M152" s="6"/>
      <c r="N152" s="6"/>
      <c r="O152" s="6"/>
      <c r="P152" s="6"/>
      <c r="Q152" s="6"/>
      <c r="R152" s="6"/>
      <c r="S152" s="6"/>
    </row>
    <row r="153" ht="22.5" hidden="1" customHeight="1">
      <c r="A153" s="27">
        <v>45728.0</v>
      </c>
      <c r="B153" s="12" t="s">
        <v>7</v>
      </c>
      <c r="C153" s="31" t="s">
        <v>100</v>
      </c>
      <c r="D153" s="26" t="s">
        <v>41</v>
      </c>
      <c r="E153" s="22"/>
      <c r="F153" s="23">
        <v>0.01875</v>
      </c>
      <c r="G153" s="29"/>
      <c r="H153" s="6"/>
      <c r="I153" s="17">
        <v>45841.0</v>
      </c>
      <c r="J153" s="18">
        <f>SUMIF(CIMV[[DATA]:[Tempo]],I153,CIMV[Tempo])</f>
        <v>0.05555555556</v>
      </c>
      <c r="K153" s="6"/>
      <c r="L153" s="6"/>
      <c r="M153" s="6"/>
      <c r="N153" s="6"/>
      <c r="O153" s="6"/>
      <c r="P153" s="6"/>
      <c r="Q153" s="6"/>
      <c r="R153" s="6"/>
      <c r="S153" s="6"/>
    </row>
    <row r="154" ht="22.5" hidden="1" customHeight="1">
      <c r="A154" s="27">
        <v>45728.0</v>
      </c>
      <c r="B154" s="12" t="s">
        <v>7</v>
      </c>
      <c r="C154" s="32" t="s">
        <v>100</v>
      </c>
      <c r="D154" s="26" t="s">
        <v>93</v>
      </c>
      <c r="E154" s="22"/>
      <c r="F154" s="23">
        <v>0.013888888888888888</v>
      </c>
      <c r="G154" s="29"/>
      <c r="H154" s="6"/>
      <c r="I154" s="17">
        <v>45842.0</v>
      </c>
      <c r="J154" s="18">
        <f>SUMIF(CIMV[[DATA]:[Tempo]],I154,CIMV[Tempo])</f>
        <v>0.05555555556</v>
      </c>
      <c r="K154" s="6"/>
      <c r="L154" s="6"/>
      <c r="M154" s="6"/>
      <c r="N154" s="6"/>
      <c r="O154" s="6"/>
      <c r="P154" s="6"/>
      <c r="Q154" s="6"/>
      <c r="R154" s="6"/>
      <c r="S154" s="6"/>
    </row>
    <row r="155" ht="22.5" hidden="1" customHeight="1">
      <c r="A155" s="27">
        <v>45729.0</v>
      </c>
      <c r="B155" s="12" t="s">
        <v>7</v>
      </c>
      <c r="C155" s="32" t="s">
        <v>100</v>
      </c>
      <c r="D155" s="26" t="s">
        <v>105</v>
      </c>
      <c r="E155" s="22"/>
      <c r="F155" s="23">
        <v>0.010034722222222223</v>
      </c>
      <c r="G155" s="29"/>
      <c r="H155" s="6"/>
      <c r="I155" s="17">
        <v>45843.0</v>
      </c>
      <c r="J155" s="18">
        <f>SUMIF(CIMV[[DATA]:[Tempo]],I155,CIMV[Tempo])</f>
        <v>0.05555555556</v>
      </c>
      <c r="K155" s="6"/>
      <c r="L155" s="6"/>
      <c r="M155" s="6"/>
      <c r="N155" s="6"/>
      <c r="O155" s="6"/>
      <c r="P155" s="6"/>
      <c r="Q155" s="6"/>
      <c r="R155" s="6"/>
      <c r="S155" s="6"/>
    </row>
    <row r="156" ht="22.5" hidden="1" customHeight="1">
      <c r="A156" s="27">
        <v>45729.0</v>
      </c>
      <c r="B156" s="12" t="s">
        <v>7</v>
      </c>
      <c r="C156" s="32" t="s">
        <v>100</v>
      </c>
      <c r="D156" s="26" t="s">
        <v>92</v>
      </c>
      <c r="E156" s="22"/>
      <c r="F156" s="23">
        <v>0.004861111111111111</v>
      </c>
      <c r="G156" s="29"/>
      <c r="H156" s="6"/>
      <c r="I156" s="17">
        <v>45844.0</v>
      </c>
      <c r="J156" s="18">
        <f>SUMIF(CIMV[[DATA]:[Tempo]],I156,CIMV[Tempo])</f>
        <v>0.05555555556</v>
      </c>
      <c r="K156" s="6"/>
      <c r="L156" s="6"/>
      <c r="M156" s="6"/>
      <c r="N156" s="6"/>
      <c r="O156" s="6"/>
      <c r="P156" s="6"/>
      <c r="Q156" s="6"/>
      <c r="R156" s="6"/>
      <c r="S156" s="6"/>
    </row>
    <row r="157" ht="22.5" hidden="1" customHeight="1">
      <c r="A157" s="27">
        <v>45729.0</v>
      </c>
      <c r="B157" s="12" t="s">
        <v>7</v>
      </c>
      <c r="C157" s="32" t="s">
        <v>100</v>
      </c>
      <c r="D157" s="26" t="s">
        <v>41</v>
      </c>
      <c r="E157" s="22"/>
      <c r="F157" s="23">
        <v>0.019444444444444445</v>
      </c>
      <c r="G157" s="29"/>
      <c r="H157" s="6"/>
      <c r="I157" s="17">
        <v>45845.0</v>
      </c>
      <c r="J157" s="18">
        <f>SUMIF(CIMV[[DATA]:[Tempo]],I157,CIMV[Tempo])</f>
        <v>0.05555555556</v>
      </c>
      <c r="K157" s="6"/>
      <c r="L157" s="6"/>
      <c r="M157" s="6"/>
      <c r="N157" s="6"/>
      <c r="O157" s="6"/>
      <c r="P157" s="6"/>
      <c r="Q157" s="6"/>
      <c r="R157" s="6"/>
      <c r="S157" s="6"/>
    </row>
    <row r="158" ht="22.5" hidden="1" customHeight="1">
      <c r="A158" s="27">
        <v>45729.0</v>
      </c>
      <c r="B158" s="12" t="s">
        <v>7</v>
      </c>
      <c r="C158" s="32" t="s">
        <v>100</v>
      </c>
      <c r="D158" s="26" t="s">
        <v>93</v>
      </c>
      <c r="E158" s="22"/>
      <c r="F158" s="23">
        <v>0.011111111111111112</v>
      </c>
      <c r="G158" s="29"/>
      <c r="H158" s="6"/>
      <c r="I158" s="17">
        <v>45846.0</v>
      </c>
      <c r="J158" s="18">
        <f>SUMIF(CIMV[[DATA]:[Tempo]],I158,CIMV[Tempo])</f>
        <v>0.05555555556</v>
      </c>
      <c r="K158" s="6"/>
      <c r="L158" s="6"/>
      <c r="M158" s="6"/>
      <c r="N158" s="6"/>
      <c r="O158" s="6"/>
      <c r="P158" s="6"/>
      <c r="Q158" s="6"/>
      <c r="R158" s="6"/>
      <c r="S158" s="6"/>
    </row>
    <row r="159" ht="22.5" hidden="1" customHeight="1">
      <c r="A159" s="27">
        <v>45730.0</v>
      </c>
      <c r="B159" s="12" t="s">
        <v>7</v>
      </c>
      <c r="C159" s="32" t="s">
        <v>100</v>
      </c>
      <c r="D159" s="26" t="s">
        <v>106</v>
      </c>
      <c r="E159" s="22"/>
      <c r="F159" s="23">
        <v>0.01255787037037037</v>
      </c>
      <c r="G159" s="29"/>
      <c r="H159" s="6"/>
      <c r="I159" s="17">
        <v>45847.0</v>
      </c>
      <c r="J159" s="18">
        <f>SUMIF(CIMV[[DATA]:[Tempo]],I159,CIMV[Tempo])</f>
        <v>0.05555555556</v>
      </c>
      <c r="K159" s="6"/>
      <c r="L159" s="6"/>
      <c r="M159" s="6"/>
      <c r="N159" s="6"/>
      <c r="O159" s="6"/>
      <c r="P159" s="6"/>
      <c r="Q159" s="6"/>
      <c r="R159" s="6"/>
      <c r="S159" s="6"/>
    </row>
    <row r="160" ht="22.5" hidden="1" customHeight="1">
      <c r="A160" s="27">
        <v>45730.0</v>
      </c>
      <c r="B160" s="12" t="s">
        <v>7</v>
      </c>
      <c r="C160" s="32" t="s">
        <v>100</v>
      </c>
      <c r="D160" s="26" t="s">
        <v>92</v>
      </c>
      <c r="E160" s="22"/>
      <c r="F160" s="23">
        <v>0.006944444444444444</v>
      </c>
      <c r="G160" s="29"/>
      <c r="H160" s="6"/>
      <c r="I160" s="17">
        <v>45848.0</v>
      </c>
      <c r="J160" s="18">
        <f>SUMIF(CIMV[[DATA]:[Tempo]],I160,CIMV[Tempo])</f>
        <v>0.05555555556</v>
      </c>
      <c r="K160" s="6"/>
      <c r="L160" s="6"/>
      <c r="M160" s="6"/>
      <c r="N160" s="6"/>
      <c r="O160" s="6"/>
      <c r="P160" s="6"/>
      <c r="Q160" s="6"/>
      <c r="R160" s="6"/>
      <c r="S160" s="6"/>
    </row>
    <row r="161" ht="22.5" hidden="1" customHeight="1">
      <c r="A161" s="27">
        <v>45730.0</v>
      </c>
      <c r="B161" s="12" t="s">
        <v>7</v>
      </c>
      <c r="C161" s="32" t="s">
        <v>100</v>
      </c>
      <c r="D161" s="26" t="s">
        <v>41</v>
      </c>
      <c r="E161" s="22"/>
      <c r="F161" s="23">
        <v>0.019444444444444445</v>
      </c>
      <c r="G161" s="29"/>
      <c r="H161" s="6"/>
      <c r="I161" s="17">
        <v>45849.0</v>
      </c>
      <c r="J161" s="18">
        <f>SUMIF(CIMV[[DATA]:[Tempo]],I161,CIMV[Tempo])</f>
        <v>0.05555555556</v>
      </c>
      <c r="K161" s="6"/>
      <c r="L161" s="6"/>
      <c r="M161" s="6"/>
      <c r="N161" s="6"/>
      <c r="O161" s="6"/>
      <c r="P161" s="6"/>
      <c r="Q161" s="6"/>
      <c r="R161" s="6"/>
      <c r="S161" s="6"/>
    </row>
    <row r="162" ht="22.5" hidden="1" customHeight="1">
      <c r="A162" s="27">
        <v>45730.0</v>
      </c>
      <c r="B162" s="12" t="s">
        <v>7</v>
      </c>
      <c r="C162" s="32" t="s">
        <v>100</v>
      </c>
      <c r="D162" s="26" t="s">
        <v>93</v>
      </c>
      <c r="E162" s="22"/>
      <c r="F162" s="23">
        <v>0.011805555555555555</v>
      </c>
      <c r="G162" s="29"/>
      <c r="H162" s="6"/>
      <c r="I162" s="17">
        <v>45850.0</v>
      </c>
      <c r="J162" s="18">
        <f>SUMIF(CIMV[[DATA]:[Tempo]],I162,CIMV[Tempo])</f>
        <v>0.05555555556</v>
      </c>
      <c r="K162" s="6"/>
      <c r="L162" s="6"/>
      <c r="M162" s="6"/>
      <c r="N162" s="6"/>
      <c r="O162" s="6"/>
      <c r="P162" s="6"/>
      <c r="Q162" s="6"/>
      <c r="R162" s="6"/>
      <c r="S162" s="6"/>
    </row>
    <row r="163" ht="22.5" hidden="1" customHeight="1">
      <c r="A163" s="27">
        <v>45731.0</v>
      </c>
      <c r="B163" s="12" t="s">
        <v>7</v>
      </c>
      <c r="C163" s="32" t="s">
        <v>100</v>
      </c>
      <c r="D163" s="26" t="s">
        <v>107</v>
      </c>
      <c r="E163" s="22"/>
      <c r="F163" s="23">
        <v>0.008344907407407407</v>
      </c>
      <c r="G163" s="29"/>
      <c r="H163" s="6"/>
      <c r="I163" s="17">
        <v>45851.0</v>
      </c>
      <c r="J163" s="18">
        <f>SUMIF(CIMV[[DATA]:[Tempo]],I163,CIMV[Tempo])</f>
        <v>0.05555555556</v>
      </c>
      <c r="K163" s="6"/>
      <c r="L163" s="6"/>
      <c r="M163" s="6"/>
      <c r="N163" s="6"/>
      <c r="O163" s="6"/>
      <c r="P163" s="6"/>
      <c r="Q163" s="6"/>
      <c r="R163" s="6"/>
      <c r="S163" s="6"/>
    </row>
    <row r="164" ht="22.5" hidden="1" customHeight="1">
      <c r="A164" s="27">
        <v>45731.0</v>
      </c>
      <c r="B164" s="12" t="s">
        <v>7</v>
      </c>
      <c r="C164" s="32" t="s">
        <v>100</v>
      </c>
      <c r="D164" s="26" t="s">
        <v>92</v>
      </c>
      <c r="E164" s="22"/>
      <c r="F164" s="23">
        <v>0.006944444444444444</v>
      </c>
      <c r="G164" s="29"/>
      <c r="H164" s="6"/>
      <c r="I164" s="17">
        <v>45852.0</v>
      </c>
      <c r="J164" s="18">
        <f>SUMIF(CIMV[[DATA]:[Tempo]],I164,CIMV[Tempo])</f>
        <v>0.05555555556</v>
      </c>
      <c r="K164" s="6"/>
      <c r="L164" s="6"/>
      <c r="M164" s="6"/>
      <c r="N164" s="6"/>
      <c r="O164" s="6"/>
      <c r="P164" s="6"/>
      <c r="Q164" s="6"/>
      <c r="R164" s="6"/>
      <c r="S164" s="6"/>
    </row>
    <row r="165" ht="22.5" hidden="1" customHeight="1">
      <c r="A165" s="27">
        <v>45731.0</v>
      </c>
      <c r="B165" s="12" t="s">
        <v>7</v>
      </c>
      <c r="C165" s="32" t="s">
        <v>100</v>
      </c>
      <c r="D165" s="26" t="s">
        <v>108</v>
      </c>
      <c r="E165" s="22"/>
      <c r="F165" s="23">
        <v>0.015532407407407408</v>
      </c>
      <c r="G165" s="29"/>
      <c r="H165" s="6"/>
      <c r="I165" s="17">
        <v>45853.0</v>
      </c>
      <c r="J165" s="18">
        <f>SUMIF(CIMV[[DATA]:[Tempo]],I165,CIMV[Tempo])</f>
        <v>0.05555555556</v>
      </c>
      <c r="K165" s="6"/>
      <c r="L165" s="6"/>
      <c r="M165" s="6"/>
      <c r="N165" s="6"/>
      <c r="O165" s="6"/>
      <c r="P165" s="6"/>
      <c r="Q165" s="6"/>
      <c r="R165" s="6"/>
      <c r="S165" s="6"/>
    </row>
    <row r="166" ht="22.5" hidden="1" customHeight="1">
      <c r="A166" s="27">
        <v>45731.0</v>
      </c>
      <c r="B166" s="12" t="s">
        <v>7</v>
      </c>
      <c r="C166" s="32" t="s">
        <v>100</v>
      </c>
      <c r="D166" s="26" t="s">
        <v>92</v>
      </c>
      <c r="E166" s="22"/>
      <c r="F166" s="23">
        <v>0.010416666666666666</v>
      </c>
      <c r="G166" s="29"/>
      <c r="H166" s="6"/>
      <c r="I166" s="17">
        <v>45854.0</v>
      </c>
      <c r="J166" s="18">
        <f>SUMIF(CIMV[[DATA]:[Tempo]],I166,CIMV[Tempo])</f>
        <v>0.05555555556</v>
      </c>
      <c r="K166" s="6"/>
      <c r="L166" s="6"/>
      <c r="M166" s="6"/>
      <c r="N166" s="6"/>
      <c r="O166" s="6"/>
      <c r="P166" s="6"/>
      <c r="Q166" s="6"/>
      <c r="R166" s="6"/>
      <c r="S166" s="6"/>
    </row>
    <row r="167" ht="22.5" hidden="1" customHeight="1">
      <c r="A167" s="27">
        <v>45731.0</v>
      </c>
      <c r="B167" s="12" t="s">
        <v>7</v>
      </c>
      <c r="C167" s="32" t="s">
        <v>100</v>
      </c>
      <c r="D167" s="26" t="s">
        <v>41</v>
      </c>
      <c r="E167" s="22"/>
      <c r="F167" s="23">
        <v>0.019444444444444445</v>
      </c>
      <c r="G167" s="29"/>
      <c r="H167" s="6"/>
      <c r="I167" s="17">
        <v>45855.0</v>
      </c>
      <c r="J167" s="18">
        <f>SUMIF(CIMV[[DATA]:[Tempo]],I167,CIMV[Tempo])</f>
        <v>0.05555555556</v>
      </c>
      <c r="K167" s="6"/>
      <c r="L167" s="6"/>
      <c r="M167" s="6"/>
      <c r="N167" s="6"/>
      <c r="O167" s="6"/>
      <c r="P167" s="6"/>
      <c r="Q167" s="6"/>
      <c r="R167" s="6"/>
      <c r="S167" s="6"/>
    </row>
    <row r="168" ht="22.5" hidden="1" customHeight="1">
      <c r="A168" s="27">
        <v>45731.0</v>
      </c>
      <c r="B168" s="12" t="s">
        <v>7</v>
      </c>
      <c r="C168" s="32" t="s">
        <v>100</v>
      </c>
      <c r="D168" s="26" t="s">
        <v>93</v>
      </c>
      <c r="E168" s="22"/>
      <c r="F168" s="23">
        <v>0.014583333333333334</v>
      </c>
      <c r="G168" s="29"/>
      <c r="H168" s="6"/>
      <c r="I168" s="17">
        <v>45856.0</v>
      </c>
      <c r="J168" s="18">
        <f>SUMIF(CIMV[[DATA]:[Tempo]],I168,CIMV[Tempo])</f>
        <v>0.05555555556</v>
      </c>
      <c r="K168" s="6"/>
      <c r="L168" s="6"/>
      <c r="M168" s="6"/>
      <c r="N168" s="6"/>
      <c r="O168" s="6"/>
      <c r="P168" s="6"/>
      <c r="Q168" s="6"/>
      <c r="R168" s="6"/>
      <c r="S168" s="6"/>
    </row>
    <row r="169" ht="22.5" hidden="1" customHeight="1">
      <c r="A169" s="27">
        <v>45731.0</v>
      </c>
      <c r="B169" s="12" t="s">
        <v>7</v>
      </c>
      <c r="C169" s="32" t="s">
        <v>100</v>
      </c>
      <c r="D169" s="26" t="s">
        <v>109</v>
      </c>
      <c r="E169" s="22"/>
      <c r="F169" s="23">
        <v>6.944444444444445E-4</v>
      </c>
      <c r="G169" s="29"/>
      <c r="H169" s="6"/>
      <c r="I169" s="17">
        <v>45857.0</v>
      </c>
      <c r="J169" s="18">
        <f>SUMIF(CIMV[[DATA]:[Tempo]],I169,CIMV[Tempo])</f>
        <v>0.05555555556</v>
      </c>
      <c r="K169" s="6"/>
      <c r="L169" s="6"/>
      <c r="M169" s="6"/>
      <c r="N169" s="6"/>
      <c r="O169" s="6"/>
      <c r="P169" s="6"/>
      <c r="Q169" s="6"/>
      <c r="R169" s="6"/>
      <c r="S169" s="6"/>
    </row>
    <row r="170" ht="22.5" hidden="1" customHeight="1">
      <c r="A170" s="27">
        <v>45731.0</v>
      </c>
      <c r="B170" s="12" t="s">
        <v>7</v>
      </c>
      <c r="C170" s="32" t="s">
        <v>100</v>
      </c>
      <c r="D170" s="26" t="s">
        <v>110</v>
      </c>
      <c r="E170" s="22"/>
      <c r="F170" s="23">
        <v>0.0</v>
      </c>
      <c r="G170" s="29" t="s">
        <v>111</v>
      </c>
      <c r="H170" s="6"/>
      <c r="I170" s="17">
        <v>45858.0</v>
      </c>
      <c r="J170" s="18">
        <f>SUMIF(CIMV[[DATA]:[Tempo]],I170,CIMV[Tempo])</f>
        <v>0.05555555556</v>
      </c>
      <c r="K170" s="6"/>
      <c r="L170" s="6"/>
      <c r="M170" s="6"/>
      <c r="N170" s="6"/>
      <c r="O170" s="6"/>
      <c r="P170" s="6"/>
      <c r="Q170" s="6"/>
      <c r="R170" s="6"/>
      <c r="S170" s="6"/>
    </row>
    <row r="171" ht="22.5" hidden="1" customHeight="1">
      <c r="A171" s="27">
        <v>45732.0</v>
      </c>
      <c r="B171" s="12" t="s">
        <v>7</v>
      </c>
      <c r="C171" s="33" t="s">
        <v>112</v>
      </c>
      <c r="D171" s="26" t="s">
        <v>113</v>
      </c>
      <c r="E171" s="22"/>
      <c r="F171" s="23">
        <v>0.0020949074074074073</v>
      </c>
      <c r="G171" s="29"/>
      <c r="H171" s="6"/>
      <c r="I171" s="17">
        <v>45859.0</v>
      </c>
      <c r="J171" s="18">
        <f>SUMIF(CIMV[[DATA]:[Tempo]],I171,CIMV[Tempo])</f>
        <v>0.05555555556</v>
      </c>
      <c r="K171" s="6"/>
      <c r="L171" s="6"/>
      <c r="M171" s="6"/>
      <c r="N171" s="6"/>
      <c r="O171" s="6"/>
      <c r="P171" s="6"/>
      <c r="Q171" s="6"/>
      <c r="R171" s="6"/>
      <c r="S171" s="6"/>
    </row>
    <row r="172" ht="22.5" hidden="1" customHeight="1">
      <c r="A172" s="27">
        <v>45732.0</v>
      </c>
      <c r="B172" s="12" t="s">
        <v>7</v>
      </c>
      <c r="C172" s="33" t="s">
        <v>112</v>
      </c>
      <c r="D172" s="26" t="s">
        <v>114</v>
      </c>
      <c r="E172" s="22"/>
      <c r="F172" s="23">
        <v>0.025497685185185186</v>
      </c>
      <c r="G172" s="29"/>
      <c r="H172" s="6"/>
      <c r="I172" s="17">
        <v>45860.0</v>
      </c>
      <c r="J172" s="18">
        <f>SUMIF(CIMV[[DATA]:[Tempo]],I172,CIMV[Tempo])</f>
        <v>0.05555555556</v>
      </c>
      <c r="K172" s="6"/>
      <c r="L172" s="6"/>
      <c r="M172" s="6"/>
      <c r="N172" s="6"/>
      <c r="O172" s="6"/>
      <c r="P172" s="6"/>
      <c r="Q172" s="6"/>
      <c r="R172" s="6"/>
      <c r="S172" s="6"/>
    </row>
    <row r="173" ht="22.5" hidden="1" customHeight="1">
      <c r="A173" s="27">
        <v>45732.0</v>
      </c>
      <c r="B173" s="12" t="s">
        <v>7</v>
      </c>
      <c r="C173" s="33" t="s">
        <v>112</v>
      </c>
      <c r="D173" s="26" t="s">
        <v>92</v>
      </c>
      <c r="E173" s="22"/>
      <c r="F173" s="23">
        <v>0.013888888888888888</v>
      </c>
      <c r="G173" s="29"/>
      <c r="H173" s="6"/>
      <c r="I173" s="17">
        <v>45861.0</v>
      </c>
      <c r="J173" s="18">
        <f>SUMIF(CIMV[[DATA]:[Tempo]],I173,CIMV[Tempo])</f>
        <v>0.05555555556</v>
      </c>
      <c r="K173" s="6"/>
      <c r="L173" s="6"/>
      <c r="M173" s="6"/>
      <c r="N173" s="6"/>
      <c r="O173" s="6"/>
      <c r="P173" s="6"/>
      <c r="Q173" s="6"/>
      <c r="R173" s="6"/>
      <c r="S173" s="6"/>
    </row>
    <row r="174" ht="22.5" hidden="1" customHeight="1">
      <c r="A174" s="27">
        <v>45732.0</v>
      </c>
      <c r="B174" s="12" t="s">
        <v>7</v>
      </c>
      <c r="C174" s="33" t="s">
        <v>112</v>
      </c>
      <c r="D174" s="26" t="s">
        <v>41</v>
      </c>
      <c r="E174" s="22"/>
      <c r="F174" s="23">
        <v>0.019444444444444445</v>
      </c>
      <c r="G174" s="29"/>
      <c r="H174" s="6"/>
      <c r="I174" s="17">
        <v>45862.0</v>
      </c>
      <c r="J174" s="18">
        <f>SUMIF(CIMV[[DATA]:[Tempo]],I174,CIMV[Tempo])</f>
        <v>0.05555555556</v>
      </c>
      <c r="K174" s="6"/>
      <c r="L174" s="6"/>
      <c r="M174" s="6"/>
      <c r="N174" s="6"/>
      <c r="O174" s="6"/>
      <c r="P174" s="6"/>
      <c r="Q174" s="6"/>
      <c r="R174" s="6"/>
      <c r="S174" s="6"/>
    </row>
    <row r="175" ht="22.5" hidden="1" customHeight="1">
      <c r="A175" s="27">
        <v>45732.0</v>
      </c>
      <c r="B175" s="12" t="s">
        <v>7</v>
      </c>
      <c r="C175" s="33" t="s">
        <v>112</v>
      </c>
      <c r="D175" s="26" t="s">
        <v>93</v>
      </c>
      <c r="E175" s="22"/>
      <c r="F175" s="23">
        <v>0.019444444444444445</v>
      </c>
      <c r="G175" s="29"/>
      <c r="H175" s="6"/>
      <c r="I175" s="17">
        <v>45863.0</v>
      </c>
      <c r="J175" s="18">
        <f>SUMIF(CIMV[[DATA]:[Tempo]],I175,CIMV[Tempo])</f>
        <v>0.05555555556</v>
      </c>
      <c r="K175" s="6"/>
      <c r="L175" s="6"/>
      <c r="M175" s="6"/>
      <c r="N175" s="6"/>
      <c r="O175" s="6"/>
      <c r="P175" s="6"/>
      <c r="Q175" s="6"/>
      <c r="R175" s="6"/>
      <c r="S175" s="6"/>
    </row>
    <row r="176" ht="22.5" hidden="1" customHeight="1">
      <c r="A176" s="27">
        <v>45733.0</v>
      </c>
      <c r="B176" s="12" t="s">
        <v>7</v>
      </c>
      <c r="C176" s="33" t="s">
        <v>112</v>
      </c>
      <c r="D176" s="26" t="s">
        <v>115</v>
      </c>
      <c r="E176" s="22"/>
      <c r="F176" s="23">
        <v>0.015335648148148149</v>
      </c>
      <c r="G176" s="29"/>
      <c r="H176" s="6"/>
      <c r="I176" s="17">
        <v>45864.0</v>
      </c>
      <c r="J176" s="18">
        <f>SUMIF(CIMV[[DATA]:[Tempo]],I176,CIMV[Tempo])</f>
        <v>0.05555555556</v>
      </c>
      <c r="K176" s="6"/>
      <c r="L176" s="6"/>
      <c r="M176" s="6"/>
      <c r="N176" s="6"/>
      <c r="O176" s="6"/>
      <c r="P176" s="6"/>
      <c r="Q176" s="6"/>
      <c r="R176" s="6"/>
      <c r="S176" s="6"/>
    </row>
    <row r="177" ht="22.5" hidden="1" customHeight="1">
      <c r="A177" s="27">
        <v>45733.0</v>
      </c>
      <c r="B177" s="12" t="s">
        <v>7</v>
      </c>
      <c r="C177" s="33" t="s">
        <v>112</v>
      </c>
      <c r="D177" s="26" t="s">
        <v>92</v>
      </c>
      <c r="E177" s="22"/>
      <c r="F177" s="23">
        <v>0.010416666666666666</v>
      </c>
      <c r="G177" s="29"/>
      <c r="H177" s="6"/>
      <c r="I177" s="17">
        <v>45865.0</v>
      </c>
      <c r="J177" s="18">
        <f>SUMIF(CIMV[[DATA]:[Tempo]],I177,CIMV[Tempo])</f>
        <v>0.05555555556</v>
      </c>
      <c r="K177" s="6"/>
      <c r="L177" s="6"/>
      <c r="M177" s="6"/>
      <c r="N177" s="6"/>
      <c r="O177" s="6"/>
      <c r="P177" s="6"/>
      <c r="Q177" s="6"/>
      <c r="R177" s="6"/>
      <c r="S177" s="6"/>
    </row>
    <row r="178" ht="22.5" hidden="1" customHeight="1">
      <c r="A178" s="27">
        <v>45733.0</v>
      </c>
      <c r="B178" s="12" t="s">
        <v>7</v>
      </c>
      <c r="C178" s="33" t="s">
        <v>112</v>
      </c>
      <c r="D178" s="26" t="s">
        <v>41</v>
      </c>
      <c r="E178" s="22"/>
      <c r="F178" s="23">
        <v>0.019444444444444445</v>
      </c>
      <c r="G178" s="29"/>
      <c r="H178" s="6"/>
      <c r="I178" s="17">
        <v>45866.0</v>
      </c>
      <c r="J178" s="18">
        <f>SUMIF(CIMV[[DATA]:[Tempo]],I178,CIMV[Tempo])</f>
        <v>0.05555555556</v>
      </c>
      <c r="K178" s="6"/>
      <c r="L178" s="6"/>
      <c r="M178" s="6"/>
      <c r="N178" s="6"/>
      <c r="O178" s="6"/>
      <c r="P178" s="6"/>
      <c r="Q178" s="6"/>
      <c r="R178" s="6"/>
      <c r="S178" s="6"/>
    </row>
    <row r="179" ht="22.5" hidden="1" customHeight="1">
      <c r="A179" s="27">
        <v>45733.0</v>
      </c>
      <c r="B179" s="12" t="s">
        <v>7</v>
      </c>
      <c r="C179" s="33" t="s">
        <v>112</v>
      </c>
      <c r="D179" s="26" t="s">
        <v>93</v>
      </c>
      <c r="E179" s="22"/>
      <c r="F179" s="23">
        <v>0.0125</v>
      </c>
      <c r="G179" s="29"/>
      <c r="H179" s="6"/>
      <c r="I179" s="17">
        <v>45867.0</v>
      </c>
      <c r="J179" s="18">
        <f>SUMIF(CIMV[[DATA]:[Tempo]],I179,CIMV[Tempo])</f>
        <v>0.05555555556</v>
      </c>
      <c r="K179" s="6"/>
      <c r="L179" s="6"/>
      <c r="M179" s="6"/>
      <c r="N179" s="6"/>
      <c r="O179" s="6"/>
      <c r="P179" s="6"/>
      <c r="Q179" s="6"/>
      <c r="R179" s="6"/>
      <c r="S179" s="6"/>
    </row>
    <row r="180" ht="22.5" hidden="1" customHeight="1">
      <c r="A180" s="27">
        <v>45734.0</v>
      </c>
      <c r="B180" s="12" t="s">
        <v>7</v>
      </c>
      <c r="C180" s="33" t="s">
        <v>112</v>
      </c>
      <c r="D180" s="26" t="s">
        <v>116</v>
      </c>
      <c r="E180" s="22"/>
      <c r="F180" s="23">
        <v>0.013726851851851851</v>
      </c>
      <c r="G180" s="29"/>
      <c r="H180" s="6"/>
      <c r="I180" s="17">
        <v>45868.0</v>
      </c>
      <c r="J180" s="18">
        <f>SUMIF(CIMV[[DATA]:[Tempo]],I180,CIMV[Tempo])</f>
        <v>0.05555555556</v>
      </c>
      <c r="K180" s="6"/>
      <c r="L180" s="6"/>
      <c r="M180" s="6"/>
      <c r="N180" s="6"/>
      <c r="O180" s="6"/>
      <c r="P180" s="6"/>
      <c r="Q180" s="6"/>
      <c r="R180" s="6"/>
      <c r="S180" s="6"/>
    </row>
    <row r="181" ht="22.5" hidden="1" customHeight="1">
      <c r="A181" s="27">
        <v>45734.0</v>
      </c>
      <c r="B181" s="12" t="s">
        <v>7</v>
      </c>
      <c r="C181" s="33" t="s">
        <v>112</v>
      </c>
      <c r="D181" s="26" t="s">
        <v>92</v>
      </c>
      <c r="E181" s="22"/>
      <c r="F181" s="23">
        <v>0.010416666666666666</v>
      </c>
      <c r="G181" s="29"/>
      <c r="H181" s="6"/>
      <c r="I181" s="17">
        <v>45869.0</v>
      </c>
      <c r="J181" s="18">
        <f>SUMIF(CIMV[[DATA]:[Tempo]],I181,CIMV[Tempo])</f>
        <v>0.05555555556</v>
      </c>
      <c r="K181" s="6"/>
      <c r="L181" s="6"/>
      <c r="M181" s="6"/>
      <c r="N181" s="6"/>
      <c r="O181" s="6"/>
      <c r="P181" s="6"/>
      <c r="Q181" s="6"/>
      <c r="R181" s="6"/>
      <c r="S181" s="6"/>
    </row>
    <row r="182" ht="22.5" hidden="1" customHeight="1">
      <c r="A182" s="27">
        <v>45734.0</v>
      </c>
      <c r="B182" s="12" t="s">
        <v>7</v>
      </c>
      <c r="C182" s="33" t="s">
        <v>112</v>
      </c>
      <c r="D182" s="26" t="s">
        <v>41</v>
      </c>
      <c r="E182" s="22"/>
      <c r="F182" s="23">
        <v>0.019444444444444445</v>
      </c>
      <c r="G182" s="29"/>
      <c r="H182" s="6"/>
      <c r="I182" s="17">
        <v>45870.0</v>
      </c>
      <c r="J182" s="18">
        <f>SUMIF(CIMV[[DATA]:[Tempo]],I182,CIMV[Tempo])</f>
        <v>0.05555555556</v>
      </c>
      <c r="K182" s="6"/>
      <c r="L182" s="6"/>
      <c r="M182" s="6"/>
      <c r="N182" s="6"/>
      <c r="O182" s="6"/>
      <c r="P182" s="6"/>
      <c r="Q182" s="6"/>
      <c r="R182" s="6"/>
      <c r="S182" s="6"/>
    </row>
    <row r="183" ht="22.5" hidden="1" customHeight="1">
      <c r="A183" s="27">
        <v>45734.0</v>
      </c>
      <c r="B183" s="12" t="s">
        <v>7</v>
      </c>
      <c r="C183" s="33" t="s">
        <v>112</v>
      </c>
      <c r="D183" s="26" t="s">
        <v>93</v>
      </c>
      <c r="E183" s="22"/>
      <c r="F183" s="23">
        <v>0.015277777777777777</v>
      </c>
      <c r="G183" s="29"/>
      <c r="H183" s="6"/>
      <c r="I183" s="17">
        <v>45871.0</v>
      </c>
      <c r="J183" s="18">
        <f>SUMIF(CIMV[[DATA]:[Tempo]],I183,CIMV[Tempo])</f>
        <v>0.05555555556</v>
      </c>
      <c r="K183" s="6"/>
      <c r="L183" s="6"/>
      <c r="M183" s="6"/>
      <c r="N183" s="6"/>
      <c r="O183" s="6"/>
      <c r="P183" s="6"/>
      <c r="Q183" s="6"/>
      <c r="R183" s="6"/>
      <c r="S183" s="6"/>
    </row>
    <row r="184" ht="22.5" hidden="1" customHeight="1">
      <c r="A184" s="27">
        <v>45735.0</v>
      </c>
      <c r="B184" s="12" t="s">
        <v>7</v>
      </c>
      <c r="C184" s="33" t="s">
        <v>112</v>
      </c>
      <c r="D184" s="26" t="s">
        <v>117</v>
      </c>
      <c r="E184" s="22"/>
      <c r="F184" s="23">
        <v>0.01707175925925926</v>
      </c>
      <c r="G184" s="29"/>
      <c r="H184" s="6"/>
      <c r="I184" s="17">
        <v>45872.0</v>
      </c>
      <c r="J184" s="18">
        <f>SUMIF(CIMV[[DATA]:[Tempo]],I184,CIMV[Tempo])</f>
        <v>0.05555555556</v>
      </c>
      <c r="K184" s="6"/>
      <c r="L184" s="6"/>
      <c r="M184" s="6"/>
      <c r="N184" s="6"/>
      <c r="O184" s="6"/>
      <c r="P184" s="6"/>
      <c r="Q184" s="6"/>
      <c r="R184" s="6"/>
      <c r="S184" s="6"/>
    </row>
    <row r="185" ht="22.5" hidden="1" customHeight="1">
      <c r="A185" s="27">
        <v>45735.0</v>
      </c>
      <c r="B185" s="12" t="s">
        <v>7</v>
      </c>
      <c r="C185" s="33" t="s">
        <v>112</v>
      </c>
      <c r="D185" s="26" t="s">
        <v>92</v>
      </c>
      <c r="E185" s="22"/>
      <c r="F185" s="23">
        <v>0.006944444444444444</v>
      </c>
      <c r="G185" s="29"/>
      <c r="H185" s="6"/>
      <c r="I185" s="17">
        <v>45873.0</v>
      </c>
      <c r="J185" s="18">
        <f>SUMIF(CIMV[[DATA]:[Tempo]],I185,CIMV[Tempo])</f>
        <v>0.05555555556</v>
      </c>
      <c r="K185" s="6"/>
      <c r="L185" s="6"/>
      <c r="M185" s="6"/>
      <c r="N185" s="6"/>
      <c r="O185" s="6"/>
      <c r="P185" s="6"/>
      <c r="Q185" s="6"/>
      <c r="R185" s="6"/>
      <c r="S185" s="6"/>
    </row>
    <row r="186" ht="22.5" hidden="1" customHeight="1">
      <c r="A186" s="27">
        <v>45735.0</v>
      </c>
      <c r="B186" s="12" t="s">
        <v>7</v>
      </c>
      <c r="C186" s="33" t="s">
        <v>112</v>
      </c>
      <c r="D186" s="26" t="s">
        <v>41</v>
      </c>
      <c r="E186" s="22"/>
      <c r="F186" s="23">
        <v>0.019444444444444445</v>
      </c>
      <c r="G186" s="29"/>
      <c r="H186" s="6"/>
      <c r="I186" s="17">
        <v>45874.0</v>
      </c>
      <c r="J186" s="18">
        <f>SUMIF(CIMV[[DATA]:[Tempo]],I186,CIMV[Tempo])</f>
        <v>0.05555555556</v>
      </c>
      <c r="K186" s="6"/>
      <c r="L186" s="6"/>
      <c r="M186" s="6"/>
      <c r="N186" s="6"/>
      <c r="O186" s="6"/>
      <c r="P186" s="6"/>
      <c r="Q186" s="6"/>
      <c r="R186" s="6"/>
      <c r="S186" s="6"/>
    </row>
    <row r="187" ht="22.5" hidden="1" customHeight="1">
      <c r="A187" s="27">
        <v>45735.0</v>
      </c>
      <c r="B187" s="12" t="s">
        <v>7</v>
      </c>
      <c r="C187" s="33" t="s">
        <v>112</v>
      </c>
      <c r="D187" s="26" t="s">
        <v>93</v>
      </c>
      <c r="E187" s="22"/>
      <c r="F187" s="23">
        <v>0.006944444444444444</v>
      </c>
      <c r="G187" s="29"/>
      <c r="H187" s="6"/>
      <c r="I187" s="17">
        <v>45875.0</v>
      </c>
      <c r="J187" s="18">
        <f>SUMIF(CIMV[[DATA]:[Tempo]],I187,CIMV[Tempo])</f>
        <v>0.05555555556</v>
      </c>
      <c r="K187" s="6"/>
      <c r="L187" s="6"/>
      <c r="M187" s="6"/>
      <c r="N187" s="6"/>
      <c r="O187" s="6"/>
      <c r="P187" s="6"/>
      <c r="Q187" s="6"/>
      <c r="R187" s="6"/>
      <c r="S187" s="6"/>
    </row>
    <row r="188" ht="22.5" hidden="1" customHeight="1">
      <c r="A188" s="27">
        <v>45736.0</v>
      </c>
      <c r="B188" s="12" t="s">
        <v>7</v>
      </c>
      <c r="C188" s="33" t="s">
        <v>112</v>
      </c>
      <c r="D188" s="26" t="s">
        <v>118</v>
      </c>
      <c r="E188" s="22"/>
      <c r="F188" s="23">
        <v>0.01653935185185185</v>
      </c>
      <c r="G188" s="29"/>
      <c r="H188" s="6"/>
      <c r="I188" s="17">
        <v>45876.0</v>
      </c>
      <c r="J188" s="18">
        <f>SUMIF(CIMV[[DATA]:[Tempo]],I188,CIMV[Tempo])</f>
        <v>0.05555555556</v>
      </c>
      <c r="K188" s="6"/>
      <c r="L188" s="6"/>
      <c r="M188" s="6"/>
      <c r="N188" s="6"/>
      <c r="O188" s="6"/>
      <c r="P188" s="6"/>
      <c r="Q188" s="6"/>
      <c r="R188" s="6"/>
      <c r="S188" s="6"/>
    </row>
    <row r="189" ht="22.5" hidden="1" customHeight="1">
      <c r="A189" s="27">
        <v>45736.0</v>
      </c>
      <c r="B189" s="12" t="s">
        <v>7</v>
      </c>
      <c r="C189" s="33" t="s">
        <v>112</v>
      </c>
      <c r="D189" s="26" t="s">
        <v>92</v>
      </c>
      <c r="E189" s="22"/>
      <c r="F189" s="23">
        <v>0.010416666666666666</v>
      </c>
      <c r="G189" s="29"/>
      <c r="H189" s="6"/>
      <c r="I189" s="17">
        <v>45877.0</v>
      </c>
      <c r="J189" s="18">
        <f>SUMIF(CIMV[[DATA]:[Tempo]],I189,CIMV[Tempo])</f>
        <v>0.05555555556</v>
      </c>
      <c r="K189" s="6"/>
      <c r="L189" s="6"/>
      <c r="M189" s="6"/>
      <c r="N189" s="6"/>
      <c r="O189" s="6"/>
      <c r="P189" s="6"/>
      <c r="Q189" s="6"/>
      <c r="R189" s="6"/>
      <c r="S189" s="6"/>
    </row>
    <row r="190" ht="22.5" hidden="1" customHeight="1">
      <c r="A190" s="27">
        <v>45736.0</v>
      </c>
      <c r="B190" s="12" t="s">
        <v>7</v>
      </c>
      <c r="C190" s="33" t="s">
        <v>112</v>
      </c>
      <c r="D190" s="26" t="s">
        <v>41</v>
      </c>
      <c r="E190" s="22"/>
      <c r="F190" s="23">
        <v>0.02013888888888889</v>
      </c>
      <c r="G190" s="29"/>
      <c r="H190" s="6"/>
      <c r="I190" s="17">
        <v>45878.0</v>
      </c>
      <c r="J190" s="18">
        <f>SUMIF(CIMV[[DATA]:[Tempo]],I190,CIMV[Tempo])</f>
        <v>0.05555555556</v>
      </c>
      <c r="K190" s="6"/>
      <c r="L190" s="6"/>
      <c r="M190" s="6"/>
      <c r="N190" s="6"/>
      <c r="O190" s="6"/>
      <c r="P190" s="6"/>
      <c r="Q190" s="6"/>
      <c r="R190" s="6"/>
      <c r="S190" s="6"/>
    </row>
    <row r="191" ht="22.5" hidden="1" customHeight="1">
      <c r="A191" s="27">
        <v>45736.0</v>
      </c>
      <c r="B191" s="12" t="s">
        <v>7</v>
      </c>
      <c r="C191" s="33" t="s">
        <v>112</v>
      </c>
      <c r="D191" s="26" t="s">
        <v>93</v>
      </c>
      <c r="E191" s="22"/>
      <c r="F191" s="23">
        <v>0.018055555555555554</v>
      </c>
      <c r="G191" s="29"/>
      <c r="H191" s="6"/>
      <c r="I191" s="17">
        <v>45879.0</v>
      </c>
      <c r="J191" s="18">
        <f>SUMIF(CIMV[[DATA]:[Tempo]],I191,CIMV[Tempo])</f>
        <v>0.05555555556</v>
      </c>
      <c r="K191" s="6"/>
      <c r="L191" s="6"/>
      <c r="M191" s="6"/>
      <c r="N191" s="6"/>
      <c r="O191" s="6"/>
      <c r="P191" s="6"/>
      <c r="Q191" s="6"/>
      <c r="R191" s="6"/>
      <c r="S191" s="6"/>
    </row>
    <row r="192" ht="22.5" hidden="1" customHeight="1">
      <c r="A192" s="27">
        <v>45737.0</v>
      </c>
      <c r="B192" s="12" t="s">
        <v>7</v>
      </c>
      <c r="C192" s="33" t="s">
        <v>112</v>
      </c>
      <c r="D192" s="26" t="s">
        <v>119</v>
      </c>
      <c r="E192" s="22"/>
      <c r="F192" s="23">
        <v>0.013321759259259259</v>
      </c>
      <c r="G192" s="29"/>
      <c r="H192" s="6"/>
      <c r="I192" s="17">
        <v>45880.0</v>
      </c>
      <c r="J192" s="18">
        <f>SUMIF(CIMV[[DATA]:[Tempo]],I192,CIMV[Tempo])</f>
        <v>0.05555555556</v>
      </c>
      <c r="K192" s="6"/>
      <c r="L192" s="6"/>
      <c r="M192" s="6"/>
      <c r="N192" s="6"/>
      <c r="O192" s="6"/>
      <c r="P192" s="6"/>
      <c r="Q192" s="6"/>
      <c r="R192" s="6"/>
      <c r="S192" s="6"/>
    </row>
    <row r="193" ht="22.5" hidden="1" customHeight="1">
      <c r="A193" s="27">
        <v>45737.0</v>
      </c>
      <c r="B193" s="12" t="s">
        <v>7</v>
      </c>
      <c r="C193" s="33" t="s">
        <v>112</v>
      </c>
      <c r="D193" s="26" t="s">
        <v>92</v>
      </c>
      <c r="E193" s="22"/>
      <c r="F193" s="23">
        <v>0.010416666666666666</v>
      </c>
      <c r="G193" s="29"/>
      <c r="H193" s="6"/>
      <c r="I193" s="17">
        <v>45881.0</v>
      </c>
      <c r="J193" s="18">
        <f>SUMIF(CIMV[[DATA]:[Tempo]],I193,CIMV[Tempo])</f>
        <v>0.05555555556</v>
      </c>
      <c r="K193" s="6"/>
      <c r="L193" s="6"/>
      <c r="M193" s="6"/>
      <c r="N193" s="6"/>
      <c r="O193" s="6"/>
      <c r="P193" s="6"/>
      <c r="Q193" s="6"/>
      <c r="R193" s="6"/>
      <c r="S193" s="6"/>
    </row>
    <row r="194" ht="22.5" hidden="1" customHeight="1">
      <c r="A194" s="27">
        <v>45737.0</v>
      </c>
      <c r="B194" s="12" t="s">
        <v>7</v>
      </c>
      <c r="C194" s="33" t="s">
        <v>112</v>
      </c>
      <c r="D194" s="26" t="s">
        <v>41</v>
      </c>
      <c r="E194" s="22"/>
      <c r="F194" s="23">
        <v>0.02013888888888889</v>
      </c>
      <c r="G194" s="29"/>
      <c r="H194" s="6"/>
      <c r="I194" s="17">
        <v>45882.0</v>
      </c>
      <c r="J194" s="18">
        <f>SUMIF(CIMV[[DATA]:[Tempo]],I194,CIMV[Tempo])</f>
        <v>0.05555555556</v>
      </c>
      <c r="K194" s="6"/>
      <c r="L194" s="6"/>
      <c r="M194" s="6"/>
      <c r="N194" s="6"/>
      <c r="O194" s="6"/>
      <c r="P194" s="6"/>
      <c r="Q194" s="6"/>
      <c r="R194" s="6"/>
      <c r="S194" s="6"/>
    </row>
    <row r="195" ht="22.5" hidden="1" customHeight="1">
      <c r="A195" s="27">
        <v>45737.0</v>
      </c>
      <c r="B195" s="12" t="s">
        <v>7</v>
      </c>
      <c r="C195" s="33" t="s">
        <v>112</v>
      </c>
      <c r="D195" s="26" t="s">
        <v>93</v>
      </c>
      <c r="E195" s="22"/>
      <c r="F195" s="23">
        <v>0.013888888888888888</v>
      </c>
      <c r="G195" s="29"/>
      <c r="H195" s="6"/>
      <c r="I195" s="6"/>
      <c r="J195" s="18">
        <f>MEDIAN(J3:J194)</f>
        <v>0.05555555556</v>
      </c>
      <c r="K195" s="6"/>
      <c r="L195" s="6"/>
      <c r="M195" s="6"/>
      <c r="N195" s="6"/>
      <c r="O195" s="6"/>
      <c r="P195" s="6"/>
      <c r="Q195" s="6"/>
      <c r="R195" s="6"/>
      <c r="S195" s="6"/>
    </row>
    <row r="196" ht="22.5" hidden="1" customHeight="1">
      <c r="A196" s="27">
        <v>45738.0</v>
      </c>
      <c r="B196" s="12" t="s">
        <v>7</v>
      </c>
      <c r="C196" s="33" t="s">
        <v>112</v>
      </c>
      <c r="D196" s="26" t="s">
        <v>120</v>
      </c>
      <c r="E196" s="22"/>
      <c r="F196" s="23">
        <v>0.01568287037037037</v>
      </c>
      <c r="G196" s="29"/>
      <c r="H196" s="6"/>
      <c r="I196" s="6"/>
      <c r="J196" s="6"/>
      <c r="K196" s="6"/>
      <c r="L196" s="6"/>
      <c r="M196" s="6"/>
      <c r="N196" s="6"/>
      <c r="O196" s="6"/>
      <c r="P196" s="6"/>
      <c r="Q196" s="6"/>
      <c r="R196" s="6"/>
      <c r="S196" s="6"/>
    </row>
    <row r="197" ht="22.5" hidden="1" customHeight="1">
      <c r="A197" s="27">
        <v>45738.0</v>
      </c>
      <c r="B197" s="12" t="s">
        <v>7</v>
      </c>
      <c r="C197" s="33" t="s">
        <v>112</v>
      </c>
      <c r="D197" s="26" t="s">
        <v>92</v>
      </c>
      <c r="E197" s="22"/>
      <c r="F197" s="23">
        <v>0.010416666666666666</v>
      </c>
      <c r="G197" s="29"/>
      <c r="H197" s="6"/>
      <c r="I197" s="6"/>
      <c r="J197" s="6"/>
      <c r="K197" s="6"/>
      <c r="L197" s="6"/>
      <c r="M197" s="6"/>
      <c r="N197" s="6"/>
      <c r="O197" s="6"/>
      <c r="P197" s="6"/>
      <c r="Q197" s="6"/>
      <c r="R197" s="6"/>
      <c r="S197" s="6"/>
    </row>
    <row r="198" ht="22.5" hidden="1" customHeight="1">
      <c r="A198" s="27">
        <v>45738.0</v>
      </c>
      <c r="B198" s="12" t="s">
        <v>7</v>
      </c>
      <c r="C198" s="33" t="s">
        <v>112</v>
      </c>
      <c r="D198" s="26" t="s">
        <v>41</v>
      </c>
      <c r="E198" s="22"/>
      <c r="F198" s="23">
        <v>0.020833333333333332</v>
      </c>
      <c r="G198" s="29"/>
      <c r="H198" s="6"/>
      <c r="I198" s="6"/>
      <c r="J198" s="6"/>
      <c r="K198" s="6"/>
      <c r="L198" s="6"/>
      <c r="M198" s="6"/>
      <c r="N198" s="6"/>
      <c r="O198" s="6"/>
      <c r="P198" s="6"/>
      <c r="Q198" s="6"/>
      <c r="R198" s="6"/>
      <c r="S198" s="6"/>
    </row>
    <row r="199" ht="22.5" hidden="1" customHeight="1">
      <c r="A199" s="27">
        <v>45738.0</v>
      </c>
      <c r="B199" s="12" t="s">
        <v>7</v>
      </c>
      <c r="C199" s="33" t="s">
        <v>112</v>
      </c>
      <c r="D199" s="26" t="s">
        <v>93</v>
      </c>
      <c r="E199" s="22"/>
      <c r="F199" s="23">
        <v>0.013888888888888888</v>
      </c>
      <c r="G199" s="29"/>
      <c r="H199" s="6"/>
      <c r="I199" s="6"/>
      <c r="J199" s="6"/>
      <c r="K199" s="6"/>
      <c r="L199" s="6"/>
      <c r="M199" s="6"/>
      <c r="N199" s="6"/>
      <c r="O199" s="6"/>
      <c r="P199" s="6"/>
      <c r="Q199" s="6"/>
      <c r="R199" s="6"/>
      <c r="S199" s="6"/>
    </row>
    <row r="200" ht="22.5" hidden="1" customHeight="1">
      <c r="A200" s="27">
        <v>45739.0</v>
      </c>
      <c r="B200" s="12" t="s">
        <v>7</v>
      </c>
      <c r="C200" s="33" t="s">
        <v>112</v>
      </c>
      <c r="D200" s="26" t="s">
        <v>121</v>
      </c>
      <c r="E200" s="22"/>
      <c r="F200" s="23">
        <v>0.011342592592592593</v>
      </c>
      <c r="G200" s="29"/>
      <c r="H200" s="6"/>
      <c r="I200" s="6"/>
      <c r="J200" s="6"/>
      <c r="K200" s="6"/>
      <c r="L200" s="6"/>
      <c r="M200" s="6"/>
      <c r="N200" s="6"/>
      <c r="O200" s="6"/>
      <c r="P200" s="6"/>
      <c r="Q200" s="6"/>
      <c r="R200" s="6"/>
      <c r="S200" s="6"/>
    </row>
    <row r="201" ht="22.5" hidden="1" customHeight="1">
      <c r="A201" s="27">
        <v>45739.0</v>
      </c>
      <c r="B201" s="12" t="s">
        <v>7</v>
      </c>
      <c r="C201" s="33" t="s">
        <v>112</v>
      </c>
      <c r="D201" s="26" t="s">
        <v>92</v>
      </c>
      <c r="E201" s="22"/>
      <c r="F201" s="23">
        <v>0.010416666666666666</v>
      </c>
      <c r="G201" s="29"/>
      <c r="H201" s="6"/>
      <c r="I201" s="6"/>
      <c r="J201" s="6"/>
      <c r="K201" s="6"/>
      <c r="L201" s="6"/>
      <c r="M201" s="6"/>
      <c r="N201" s="6"/>
      <c r="O201" s="6"/>
      <c r="P201" s="6"/>
      <c r="Q201" s="6"/>
      <c r="R201" s="6"/>
      <c r="S201" s="6"/>
    </row>
    <row r="202" ht="22.5" hidden="1" customHeight="1">
      <c r="A202" s="27">
        <v>45739.0</v>
      </c>
      <c r="B202" s="12" t="s">
        <v>7</v>
      </c>
      <c r="C202" s="33" t="s">
        <v>112</v>
      </c>
      <c r="D202" s="26" t="s">
        <v>41</v>
      </c>
      <c r="E202" s="22"/>
      <c r="F202" s="23">
        <v>0.019444444444444445</v>
      </c>
      <c r="G202" s="29"/>
      <c r="H202" s="6"/>
      <c r="I202" s="6"/>
      <c r="J202" s="6"/>
      <c r="K202" s="6"/>
      <c r="L202" s="6"/>
      <c r="M202" s="6"/>
      <c r="N202" s="6"/>
      <c r="O202" s="6"/>
      <c r="P202" s="6"/>
      <c r="Q202" s="6"/>
      <c r="R202" s="6"/>
      <c r="S202" s="6"/>
    </row>
    <row r="203" ht="22.5" hidden="1" customHeight="1">
      <c r="A203" s="27">
        <v>45739.0</v>
      </c>
      <c r="B203" s="12" t="s">
        <v>7</v>
      </c>
      <c r="C203" s="33" t="s">
        <v>112</v>
      </c>
      <c r="D203" s="26" t="s">
        <v>93</v>
      </c>
      <c r="E203" s="22"/>
      <c r="F203" s="23">
        <v>0.017361111111111112</v>
      </c>
      <c r="G203" s="29"/>
      <c r="H203" s="6"/>
      <c r="I203" s="6"/>
      <c r="J203" s="6"/>
      <c r="K203" s="6"/>
      <c r="L203" s="6"/>
      <c r="M203" s="6"/>
      <c r="N203" s="6"/>
      <c r="O203" s="6"/>
      <c r="P203" s="6"/>
      <c r="Q203" s="6"/>
      <c r="R203" s="6"/>
      <c r="S203" s="6"/>
    </row>
    <row r="204" ht="22.5" hidden="1" customHeight="1">
      <c r="A204" s="27">
        <v>45739.0</v>
      </c>
      <c r="B204" s="12" t="s">
        <v>7</v>
      </c>
      <c r="C204" s="33" t="s">
        <v>112</v>
      </c>
      <c r="D204" s="26" t="s">
        <v>122</v>
      </c>
      <c r="E204" s="22"/>
      <c r="F204" s="23">
        <v>0.009467592592592593</v>
      </c>
      <c r="G204" s="29"/>
      <c r="H204" s="6"/>
      <c r="I204" s="6"/>
      <c r="J204" s="6"/>
      <c r="K204" s="6"/>
      <c r="L204" s="6"/>
      <c r="M204" s="6"/>
      <c r="N204" s="6"/>
      <c r="O204" s="6"/>
      <c r="P204" s="6"/>
      <c r="Q204" s="6"/>
      <c r="R204" s="6"/>
      <c r="S204" s="6"/>
    </row>
    <row r="205" ht="22.5" hidden="1" customHeight="1">
      <c r="A205" s="27">
        <v>45739.0</v>
      </c>
      <c r="B205" s="12" t="s">
        <v>7</v>
      </c>
      <c r="C205" s="33" t="s">
        <v>112</v>
      </c>
      <c r="D205" s="26" t="s">
        <v>123</v>
      </c>
      <c r="E205" s="22"/>
      <c r="F205" s="23">
        <v>0.0</v>
      </c>
      <c r="G205" s="29" t="s">
        <v>124</v>
      </c>
      <c r="H205" s="6"/>
      <c r="I205" s="6"/>
      <c r="J205" s="6"/>
      <c r="K205" s="6"/>
      <c r="L205" s="6"/>
      <c r="M205" s="6"/>
      <c r="N205" s="6"/>
      <c r="O205" s="6"/>
      <c r="P205" s="6"/>
      <c r="Q205" s="6"/>
      <c r="R205" s="6"/>
      <c r="S205" s="6"/>
    </row>
    <row r="206" ht="22.5" hidden="1" customHeight="1">
      <c r="A206" s="27">
        <v>45740.0</v>
      </c>
      <c r="B206" s="19" t="s">
        <v>125</v>
      </c>
      <c r="C206" s="34" t="s">
        <v>126</v>
      </c>
      <c r="D206" s="26" t="s">
        <v>127</v>
      </c>
      <c r="E206" s="22"/>
      <c r="F206" s="23">
        <v>0.0030324074074074073</v>
      </c>
      <c r="G206" s="29"/>
      <c r="H206" s="6"/>
      <c r="I206" s="6"/>
      <c r="J206" s="6"/>
      <c r="K206" s="6"/>
      <c r="L206" s="6"/>
      <c r="M206" s="6"/>
      <c r="N206" s="6"/>
      <c r="O206" s="6"/>
      <c r="P206" s="6"/>
      <c r="Q206" s="6"/>
      <c r="R206" s="6"/>
      <c r="S206" s="6"/>
    </row>
    <row r="207" ht="22.5" hidden="1" customHeight="1">
      <c r="A207" s="27">
        <v>45740.0</v>
      </c>
      <c r="B207" s="19" t="s">
        <v>125</v>
      </c>
      <c r="C207" s="34" t="s">
        <v>126</v>
      </c>
      <c r="D207" s="26" t="s">
        <v>128</v>
      </c>
      <c r="E207" s="35"/>
      <c r="F207" s="36">
        <v>0.045856481481481484</v>
      </c>
      <c r="G207" s="29"/>
      <c r="H207" s="6"/>
      <c r="I207" s="6"/>
      <c r="J207" s="6"/>
      <c r="K207" s="6"/>
      <c r="L207" s="6"/>
      <c r="M207" s="6"/>
      <c r="N207" s="6"/>
      <c r="O207" s="6"/>
      <c r="P207" s="6"/>
      <c r="Q207" s="6"/>
      <c r="R207" s="6"/>
      <c r="S207" s="6"/>
    </row>
    <row r="208" ht="22.5" hidden="1" customHeight="1">
      <c r="A208" s="27">
        <v>45740.0</v>
      </c>
      <c r="B208" s="19" t="s">
        <v>125</v>
      </c>
      <c r="C208" s="34" t="s">
        <v>126</v>
      </c>
      <c r="D208" s="26" t="s">
        <v>93</v>
      </c>
      <c r="E208" s="22"/>
      <c r="F208" s="23">
        <v>0.014583333333333334</v>
      </c>
      <c r="G208" s="29"/>
      <c r="H208" s="6"/>
      <c r="I208" s="6"/>
      <c r="J208" s="6"/>
      <c r="K208" s="6"/>
      <c r="L208" s="6"/>
      <c r="M208" s="6"/>
      <c r="N208" s="6"/>
      <c r="O208" s="6"/>
      <c r="P208" s="6"/>
      <c r="Q208" s="6"/>
      <c r="R208" s="6"/>
      <c r="S208" s="6"/>
    </row>
    <row r="209" ht="22.5" hidden="1" customHeight="1">
      <c r="A209" s="27">
        <v>45740.0</v>
      </c>
      <c r="B209" s="19" t="s">
        <v>125</v>
      </c>
      <c r="C209" s="34" t="s">
        <v>126</v>
      </c>
      <c r="D209" s="26" t="s">
        <v>41</v>
      </c>
      <c r="E209" s="22"/>
      <c r="F209" s="23">
        <v>0.019444444444444445</v>
      </c>
      <c r="G209" s="29"/>
      <c r="H209" s="6"/>
      <c r="I209" s="6"/>
      <c r="J209" s="6"/>
      <c r="K209" s="6"/>
      <c r="L209" s="6"/>
      <c r="M209" s="6"/>
      <c r="N209" s="6"/>
      <c r="O209" s="6"/>
      <c r="P209" s="6"/>
      <c r="Q209" s="6"/>
      <c r="R209" s="6"/>
      <c r="S209" s="6"/>
    </row>
    <row r="210" ht="22.5" hidden="1" customHeight="1">
      <c r="A210" s="27">
        <v>45741.0</v>
      </c>
      <c r="B210" s="19" t="s">
        <v>125</v>
      </c>
      <c r="C210" s="34" t="s">
        <v>126</v>
      </c>
      <c r="D210" s="26" t="s">
        <v>129</v>
      </c>
      <c r="E210" s="22"/>
      <c r="F210" s="23">
        <v>0.01633101851851852</v>
      </c>
      <c r="G210" s="29"/>
      <c r="H210" s="6"/>
      <c r="I210" s="6"/>
      <c r="J210" s="6"/>
      <c r="K210" s="6"/>
      <c r="L210" s="6"/>
      <c r="M210" s="6"/>
      <c r="N210" s="6"/>
      <c r="O210" s="6"/>
      <c r="P210" s="6"/>
      <c r="Q210" s="6"/>
      <c r="R210" s="6"/>
      <c r="S210" s="6"/>
    </row>
    <row r="211" ht="22.5" hidden="1" customHeight="1">
      <c r="A211" s="27">
        <v>45741.0</v>
      </c>
      <c r="B211" s="19" t="s">
        <v>125</v>
      </c>
      <c r="C211" s="34" t="s">
        <v>126</v>
      </c>
      <c r="D211" s="26" t="s">
        <v>93</v>
      </c>
      <c r="E211" s="22"/>
      <c r="F211" s="23">
        <v>0.009722222222222222</v>
      </c>
      <c r="G211" s="29"/>
      <c r="H211" s="6"/>
      <c r="I211" s="6"/>
      <c r="J211" s="6"/>
      <c r="K211" s="6"/>
      <c r="L211" s="6"/>
      <c r="M211" s="6"/>
      <c r="N211" s="6"/>
      <c r="O211" s="6"/>
      <c r="P211" s="6"/>
      <c r="Q211" s="6"/>
      <c r="R211" s="6"/>
      <c r="S211" s="6"/>
    </row>
    <row r="212" ht="22.5" hidden="1" customHeight="1">
      <c r="A212" s="27">
        <v>45741.0</v>
      </c>
      <c r="B212" s="19" t="s">
        <v>125</v>
      </c>
      <c r="C212" s="34" t="s">
        <v>126</v>
      </c>
      <c r="D212" s="26" t="s">
        <v>41</v>
      </c>
      <c r="E212" s="22"/>
      <c r="F212" s="23">
        <v>0.019444444444444445</v>
      </c>
      <c r="G212" s="29"/>
      <c r="H212" s="6"/>
      <c r="I212" s="6"/>
      <c r="J212" s="6"/>
      <c r="K212" s="6"/>
      <c r="L212" s="6"/>
      <c r="M212" s="6"/>
      <c r="N212" s="6"/>
      <c r="O212" s="6"/>
      <c r="P212" s="6"/>
      <c r="Q212" s="6"/>
      <c r="R212" s="6"/>
      <c r="S212" s="6"/>
    </row>
    <row r="213" ht="22.5" hidden="1" customHeight="1">
      <c r="A213" s="27">
        <v>45742.0</v>
      </c>
      <c r="B213" s="19" t="s">
        <v>125</v>
      </c>
      <c r="C213" s="34" t="s">
        <v>126</v>
      </c>
      <c r="D213" s="26" t="s">
        <v>130</v>
      </c>
      <c r="E213" s="22"/>
      <c r="F213" s="23">
        <v>0.029791666666666668</v>
      </c>
      <c r="G213" s="29"/>
      <c r="H213" s="6"/>
      <c r="I213" s="6"/>
      <c r="J213" s="6"/>
      <c r="K213" s="6"/>
      <c r="L213" s="6"/>
      <c r="M213" s="6"/>
      <c r="N213" s="6"/>
      <c r="O213" s="6"/>
      <c r="P213" s="6"/>
      <c r="Q213" s="6"/>
      <c r="R213" s="6"/>
      <c r="S213" s="6"/>
    </row>
    <row r="214" ht="22.5" hidden="1" customHeight="1">
      <c r="A214" s="27">
        <v>45742.0</v>
      </c>
      <c r="B214" s="19" t="s">
        <v>125</v>
      </c>
      <c r="C214" s="34" t="s">
        <v>126</v>
      </c>
      <c r="D214" s="26" t="s">
        <v>92</v>
      </c>
      <c r="E214" s="22"/>
      <c r="F214" s="23">
        <v>0.013888888888888888</v>
      </c>
      <c r="G214" s="29"/>
      <c r="H214" s="6"/>
      <c r="I214" s="6"/>
      <c r="J214" s="6"/>
      <c r="K214" s="6"/>
      <c r="L214" s="6"/>
      <c r="M214" s="6"/>
      <c r="N214" s="6"/>
      <c r="O214" s="6"/>
      <c r="P214" s="6"/>
      <c r="Q214" s="6"/>
      <c r="R214" s="6"/>
      <c r="S214" s="6"/>
    </row>
    <row r="215" ht="22.5" hidden="1" customHeight="1">
      <c r="A215" s="27">
        <v>45742.0</v>
      </c>
      <c r="B215" s="19" t="s">
        <v>125</v>
      </c>
      <c r="C215" s="34" t="s">
        <v>126</v>
      </c>
      <c r="D215" s="26" t="s">
        <v>131</v>
      </c>
      <c r="E215" s="22"/>
      <c r="F215" s="23">
        <v>0.010416666666666666</v>
      </c>
      <c r="G215" s="29"/>
      <c r="H215" s="6"/>
      <c r="I215" s="6"/>
      <c r="J215" s="6"/>
      <c r="K215" s="6"/>
      <c r="L215" s="6"/>
      <c r="M215" s="6"/>
      <c r="N215" s="6"/>
      <c r="O215" s="6"/>
      <c r="P215" s="6"/>
      <c r="Q215" s="6"/>
      <c r="R215" s="6"/>
      <c r="S215" s="6"/>
    </row>
    <row r="216" ht="22.5" hidden="1" customHeight="1">
      <c r="A216" s="27">
        <v>45742.0</v>
      </c>
      <c r="B216" s="19" t="s">
        <v>125</v>
      </c>
      <c r="C216" s="34" t="s">
        <v>126</v>
      </c>
      <c r="D216" s="26" t="s">
        <v>93</v>
      </c>
      <c r="E216" s="22"/>
      <c r="F216" s="23">
        <v>0.013888888888888888</v>
      </c>
      <c r="G216" s="29"/>
      <c r="H216" s="6"/>
      <c r="I216" s="6"/>
      <c r="J216" s="6"/>
      <c r="K216" s="6"/>
      <c r="L216" s="6"/>
      <c r="M216" s="6"/>
      <c r="N216" s="6"/>
      <c r="O216" s="6"/>
      <c r="P216" s="6"/>
      <c r="Q216" s="6"/>
      <c r="R216" s="6"/>
      <c r="S216" s="6"/>
    </row>
    <row r="217" ht="22.5" hidden="1" customHeight="1">
      <c r="A217" s="27">
        <v>45742.0</v>
      </c>
      <c r="B217" s="19" t="s">
        <v>125</v>
      </c>
      <c r="C217" s="34" t="s">
        <v>126</v>
      </c>
      <c r="D217" s="26" t="s">
        <v>41</v>
      </c>
      <c r="E217" s="22"/>
      <c r="F217" s="23">
        <v>0.019444444444444445</v>
      </c>
      <c r="G217" s="29"/>
      <c r="H217" s="6"/>
      <c r="I217" s="6"/>
      <c r="J217" s="6"/>
      <c r="K217" s="6"/>
      <c r="L217" s="6"/>
      <c r="M217" s="6"/>
      <c r="N217" s="6"/>
      <c r="O217" s="6"/>
      <c r="P217" s="6"/>
      <c r="Q217" s="6"/>
      <c r="R217" s="6"/>
      <c r="S217" s="6"/>
    </row>
    <row r="218" ht="22.5" hidden="1" customHeight="1">
      <c r="A218" s="27">
        <v>45743.0</v>
      </c>
      <c r="B218" s="19" t="s">
        <v>125</v>
      </c>
      <c r="C218" s="34" t="s">
        <v>126</v>
      </c>
      <c r="D218" s="26" t="s">
        <v>132</v>
      </c>
      <c r="E218" s="22"/>
      <c r="F218" s="23">
        <v>0.02158564814814815</v>
      </c>
      <c r="G218" s="29"/>
      <c r="H218" s="6"/>
      <c r="I218" s="6"/>
      <c r="J218" s="6"/>
      <c r="K218" s="6"/>
      <c r="L218" s="6"/>
      <c r="M218" s="6"/>
      <c r="N218" s="6"/>
      <c r="O218" s="6"/>
      <c r="P218" s="6"/>
      <c r="Q218" s="6"/>
      <c r="R218" s="6"/>
      <c r="S218" s="6"/>
    </row>
    <row r="219" ht="22.5" hidden="1" customHeight="1">
      <c r="A219" s="27">
        <v>45743.0</v>
      </c>
      <c r="B219" s="19" t="s">
        <v>125</v>
      </c>
      <c r="C219" s="34" t="s">
        <v>126</v>
      </c>
      <c r="D219" s="26" t="s">
        <v>92</v>
      </c>
      <c r="E219" s="22"/>
      <c r="F219" s="23">
        <v>0.013888888888888888</v>
      </c>
      <c r="G219" s="29"/>
      <c r="H219" s="6"/>
      <c r="I219" s="6"/>
      <c r="J219" s="6"/>
      <c r="K219" s="6"/>
      <c r="L219" s="6"/>
      <c r="M219" s="6"/>
      <c r="N219" s="6"/>
      <c r="O219" s="6"/>
      <c r="P219" s="6"/>
      <c r="Q219" s="6"/>
      <c r="R219" s="6"/>
      <c r="S219" s="6"/>
    </row>
    <row r="220" ht="22.5" hidden="1" customHeight="1">
      <c r="A220" s="27">
        <v>45743.0</v>
      </c>
      <c r="B220" s="19" t="s">
        <v>125</v>
      </c>
      <c r="C220" s="34" t="s">
        <v>126</v>
      </c>
      <c r="D220" s="26" t="s">
        <v>93</v>
      </c>
      <c r="E220" s="22"/>
      <c r="F220" s="23">
        <v>0.015277777777777777</v>
      </c>
      <c r="G220" s="29"/>
      <c r="H220" s="6"/>
      <c r="I220" s="6"/>
      <c r="J220" s="6"/>
      <c r="K220" s="6"/>
      <c r="L220" s="6"/>
      <c r="M220" s="6"/>
      <c r="N220" s="6"/>
      <c r="O220" s="6"/>
      <c r="P220" s="6"/>
      <c r="Q220" s="6"/>
      <c r="R220" s="6"/>
      <c r="S220" s="6"/>
    </row>
    <row r="221" ht="22.5" hidden="1" customHeight="1">
      <c r="A221" s="27">
        <v>45743.0</v>
      </c>
      <c r="B221" s="19" t="s">
        <v>125</v>
      </c>
      <c r="C221" s="34" t="s">
        <v>126</v>
      </c>
      <c r="D221" s="26" t="s">
        <v>131</v>
      </c>
      <c r="E221" s="22"/>
      <c r="F221" s="23">
        <v>0.010416666666666666</v>
      </c>
      <c r="G221" s="29"/>
      <c r="H221" s="6"/>
      <c r="I221" s="6"/>
      <c r="J221" s="6"/>
      <c r="K221" s="6"/>
      <c r="L221" s="6"/>
      <c r="M221" s="6"/>
      <c r="N221" s="6"/>
      <c r="O221" s="6"/>
      <c r="P221" s="6"/>
      <c r="Q221" s="6"/>
      <c r="R221" s="6"/>
      <c r="S221" s="6"/>
    </row>
    <row r="222" ht="22.5" hidden="1" customHeight="1">
      <c r="A222" s="27">
        <v>45743.0</v>
      </c>
      <c r="B222" s="19" t="s">
        <v>125</v>
      </c>
      <c r="C222" s="34" t="s">
        <v>126</v>
      </c>
      <c r="D222" s="26" t="s">
        <v>41</v>
      </c>
      <c r="E222" s="22"/>
      <c r="F222" s="23">
        <v>0.02013888888888889</v>
      </c>
      <c r="G222" s="29"/>
      <c r="H222" s="6"/>
      <c r="I222" s="6"/>
      <c r="J222" s="6"/>
      <c r="K222" s="6"/>
      <c r="L222" s="6"/>
      <c r="M222" s="6"/>
      <c r="N222" s="6"/>
      <c r="O222" s="6"/>
      <c r="P222" s="6"/>
      <c r="Q222" s="6"/>
      <c r="R222" s="6"/>
      <c r="S222" s="6"/>
    </row>
    <row r="223" ht="22.5" hidden="1" customHeight="1">
      <c r="A223" s="27">
        <v>45744.0</v>
      </c>
      <c r="B223" s="19" t="s">
        <v>125</v>
      </c>
      <c r="C223" s="34" t="s">
        <v>126</v>
      </c>
      <c r="D223" s="26" t="s">
        <v>133</v>
      </c>
      <c r="E223" s="22"/>
      <c r="F223" s="23">
        <v>0.02820601851851852</v>
      </c>
      <c r="G223" s="29"/>
      <c r="H223" s="6"/>
      <c r="I223" s="6"/>
      <c r="J223" s="6"/>
      <c r="K223" s="6"/>
      <c r="L223" s="6"/>
      <c r="M223" s="6"/>
      <c r="N223" s="6"/>
      <c r="O223" s="6"/>
      <c r="P223" s="6"/>
      <c r="Q223" s="6"/>
      <c r="R223" s="6"/>
      <c r="S223" s="6"/>
    </row>
    <row r="224" ht="22.5" hidden="1" customHeight="1">
      <c r="A224" s="27">
        <v>45744.0</v>
      </c>
      <c r="B224" s="19" t="s">
        <v>125</v>
      </c>
      <c r="C224" s="34" t="s">
        <v>126</v>
      </c>
      <c r="D224" s="26" t="s">
        <v>92</v>
      </c>
      <c r="E224" s="22"/>
      <c r="F224" s="23">
        <v>0.017361111111111112</v>
      </c>
      <c r="G224" s="29"/>
      <c r="H224" s="6"/>
      <c r="I224" s="6"/>
      <c r="J224" s="6"/>
      <c r="K224" s="6"/>
      <c r="L224" s="6"/>
      <c r="M224" s="6"/>
      <c r="N224" s="6"/>
      <c r="O224" s="6"/>
      <c r="P224" s="6"/>
      <c r="Q224" s="6"/>
      <c r="R224" s="6"/>
      <c r="S224" s="6"/>
    </row>
    <row r="225" ht="22.5" hidden="1" customHeight="1">
      <c r="A225" s="27">
        <v>45744.0</v>
      </c>
      <c r="B225" s="19" t="s">
        <v>125</v>
      </c>
      <c r="C225" s="34" t="s">
        <v>126</v>
      </c>
      <c r="D225" s="26" t="s">
        <v>93</v>
      </c>
      <c r="E225" s="22"/>
      <c r="F225" s="23">
        <v>0.018055555555555554</v>
      </c>
      <c r="G225" s="29"/>
      <c r="H225" s="6"/>
      <c r="I225" s="6"/>
      <c r="J225" s="6"/>
      <c r="K225" s="6"/>
      <c r="L225" s="6"/>
      <c r="M225" s="6"/>
      <c r="N225" s="6"/>
      <c r="O225" s="6"/>
      <c r="P225" s="6"/>
      <c r="Q225" s="6"/>
      <c r="R225" s="6"/>
      <c r="S225" s="6"/>
    </row>
    <row r="226" ht="22.5" hidden="1" customHeight="1">
      <c r="A226" s="27">
        <v>45744.0</v>
      </c>
      <c r="B226" s="19" t="s">
        <v>125</v>
      </c>
      <c r="C226" s="34" t="s">
        <v>126</v>
      </c>
      <c r="D226" s="26" t="s">
        <v>131</v>
      </c>
      <c r="E226" s="22"/>
      <c r="F226" s="23">
        <v>0.013888888888888888</v>
      </c>
      <c r="G226" s="29"/>
      <c r="H226" s="6"/>
      <c r="I226" s="6"/>
      <c r="J226" s="6"/>
      <c r="K226" s="6"/>
      <c r="L226" s="6"/>
      <c r="M226" s="6"/>
      <c r="N226" s="6"/>
      <c r="O226" s="6"/>
      <c r="P226" s="6"/>
      <c r="Q226" s="6"/>
      <c r="R226" s="6"/>
      <c r="S226" s="6"/>
    </row>
    <row r="227" ht="22.5" hidden="1" customHeight="1">
      <c r="A227" s="27">
        <v>45744.0</v>
      </c>
      <c r="B227" s="19" t="s">
        <v>125</v>
      </c>
      <c r="C227" s="34" t="s">
        <v>126</v>
      </c>
      <c r="D227" s="26" t="s">
        <v>41</v>
      </c>
      <c r="E227" s="22"/>
      <c r="F227" s="23">
        <v>0.020833333333333332</v>
      </c>
      <c r="G227" s="29"/>
      <c r="H227" s="6"/>
      <c r="I227" s="6"/>
      <c r="J227" s="6"/>
      <c r="K227" s="6"/>
      <c r="L227" s="6"/>
      <c r="M227" s="6"/>
      <c r="N227" s="6"/>
      <c r="O227" s="6"/>
      <c r="P227" s="6"/>
      <c r="Q227" s="6"/>
      <c r="R227" s="6"/>
      <c r="S227" s="6"/>
    </row>
    <row r="228" ht="22.5" hidden="1" customHeight="1">
      <c r="A228" s="27">
        <v>45745.0</v>
      </c>
      <c r="B228" s="19" t="s">
        <v>125</v>
      </c>
      <c r="C228" s="34" t="s">
        <v>126</v>
      </c>
      <c r="D228" s="26" t="s">
        <v>134</v>
      </c>
      <c r="E228" s="22"/>
      <c r="F228" s="23">
        <v>0.020543981481481483</v>
      </c>
      <c r="G228" s="29"/>
      <c r="H228" s="6"/>
      <c r="I228" s="6"/>
      <c r="J228" s="6"/>
      <c r="K228" s="6"/>
      <c r="L228" s="6"/>
      <c r="M228" s="6"/>
      <c r="N228" s="6"/>
      <c r="O228" s="6"/>
      <c r="P228" s="6"/>
      <c r="Q228" s="6"/>
      <c r="R228" s="6"/>
      <c r="S228" s="6"/>
    </row>
    <row r="229" ht="22.5" hidden="1" customHeight="1">
      <c r="A229" s="27">
        <v>45745.0</v>
      </c>
      <c r="B229" s="19" t="s">
        <v>125</v>
      </c>
      <c r="C229" s="34" t="s">
        <v>126</v>
      </c>
      <c r="D229" s="26" t="s">
        <v>92</v>
      </c>
      <c r="E229" s="22"/>
      <c r="F229" s="23">
        <v>0.017361111111111112</v>
      </c>
      <c r="G229" s="29"/>
      <c r="H229" s="6"/>
      <c r="I229" s="6"/>
      <c r="J229" s="6"/>
      <c r="K229" s="6"/>
      <c r="L229" s="6"/>
      <c r="M229" s="6"/>
      <c r="N229" s="6"/>
      <c r="O229" s="6"/>
      <c r="P229" s="6"/>
      <c r="Q229" s="6"/>
      <c r="R229" s="6"/>
      <c r="S229" s="6"/>
    </row>
    <row r="230" ht="22.5" hidden="1" customHeight="1">
      <c r="A230" s="27">
        <v>45745.0</v>
      </c>
      <c r="B230" s="19" t="s">
        <v>125</v>
      </c>
      <c r="C230" s="34" t="s">
        <v>126</v>
      </c>
      <c r="D230" s="26" t="s">
        <v>93</v>
      </c>
      <c r="E230" s="22"/>
      <c r="F230" s="23">
        <v>0.013888888888888888</v>
      </c>
      <c r="G230" s="29"/>
      <c r="H230" s="6"/>
      <c r="I230" s="6"/>
      <c r="J230" s="6"/>
      <c r="K230" s="6"/>
      <c r="L230" s="6"/>
      <c r="M230" s="6"/>
      <c r="N230" s="6"/>
      <c r="O230" s="6"/>
      <c r="P230" s="6"/>
      <c r="Q230" s="6"/>
      <c r="R230" s="6"/>
      <c r="S230" s="6"/>
    </row>
    <row r="231" ht="22.5" hidden="1" customHeight="1">
      <c r="A231" s="27">
        <v>45745.0</v>
      </c>
      <c r="B231" s="19" t="s">
        <v>125</v>
      </c>
      <c r="C231" s="34" t="s">
        <v>126</v>
      </c>
      <c r="D231" s="26" t="s">
        <v>131</v>
      </c>
      <c r="E231" s="22"/>
      <c r="F231" s="23">
        <v>0.013888888888888888</v>
      </c>
      <c r="G231" s="29"/>
      <c r="H231" s="6"/>
      <c r="I231" s="6"/>
      <c r="J231" s="6"/>
      <c r="K231" s="6"/>
      <c r="L231" s="6"/>
      <c r="M231" s="6"/>
      <c r="N231" s="6"/>
      <c r="O231" s="6"/>
      <c r="P231" s="6"/>
      <c r="Q231" s="6"/>
      <c r="R231" s="6"/>
      <c r="S231" s="6"/>
    </row>
    <row r="232" ht="22.5" hidden="1" customHeight="1">
      <c r="A232" s="27">
        <v>45745.0</v>
      </c>
      <c r="B232" s="19" t="s">
        <v>125</v>
      </c>
      <c r="C232" s="34" t="s">
        <v>126</v>
      </c>
      <c r="D232" s="26" t="s">
        <v>41</v>
      </c>
      <c r="E232" s="22"/>
      <c r="F232" s="23">
        <v>0.020833333333333332</v>
      </c>
      <c r="G232" s="29"/>
      <c r="H232" s="6"/>
      <c r="I232" s="6"/>
      <c r="J232" s="6"/>
      <c r="K232" s="6"/>
      <c r="L232" s="6"/>
      <c r="M232" s="6"/>
      <c r="N232" s="6"/>
      <c r="O232" s="6"/>
      <c r="P232" s="6"/>
      <c r="Q232" s="6"/>
      <c r="R232" s="6"/>
      <c r="S232" s="6"/>
    </row>
    <row r="233" ht="22.5" hidden="1" customHeight="1">
      <c r="A233" s="27">
        <v>45746.0</v>
      </c>
      <c r="B233" s="19" t="s">
        <v>125</v>
      </c>
      <c r="C233" s="34" t="s">
        <v>126</v>
      </c>
      <c r="D233" s="26" t="s">
        <v>135</v>
      </c>
      <c r="E233" s="22"/>
      <c r="F233" s="23">
        <v>0.021238425925925924</v>
      </c>
      <c r="G233" s="29"/>
      <c r="H233" s="6"/>
      <c r="I233" s="6"/>
      <c r="J233" s="6"/>
      <c r="K233" s="6"/>
      <c r="L233" s="6"/>
      <c r="M233" s="6"/>
      <c r="N233" s="6"/>
      <c r="O233" s="6"/>
      <c r="P233" s="6"/>
      <c r="Q233" s="6"/>
      <c r="R233" s="6"/>
      <c r="S233" s="6"/>
    </row>
    <row r="234" ht="22.5" hidden="1" customHeight="1">
      <c r="A234" s="27">
        <v>45746.0</v>
      </c>
      <c r="B234" s="19" t="s">
        <v>125</v>
      </c>
      <c r="C234" s="34" t="s">
        <v>126</v>
      </c>
      <c r="D234" s="26" t="s">
        <v>92</v>
      </c>
      <c r="E234" s="22"/>
      <c r="F234" s="23">
        <v>0.017361111111111112</v>
      </c>
      <c r="G234" s="29"/>
      <c r="H234" s="6"/>
      <c r="I234" s="6"/>
      <c r="J234" s="6"/>
      <c r="K234" s="6"/>
      <c r="L234" s="6"/>
      <c r="M234" s="6"/>
      <c r="N234" s="6"/>
      <c r="O234" s="6"/>
      <c r="P234" s="6"/>
      <c r="Q234" s="6"/>
      <c r="R234" s="6"/>
      <c r="S234" s="6"/>
    </row>
    <row r="235" ht="22.5" hidden="1" customHeight="1">
      <c r="A235" s="27">
        <v>45746.0</v>
      </c>
      <c r="B235" s="19" t="s">
        <v>125</v>
      </c>
      <c r="C235" s="34" t="s">
        <v>126</v>
      </c>
      <c r="D235" s="26" t="s">
        <v>93</v>
      </c>
      <c r="E235" s="22"/>
      <c r="F235" s="23">
        <v>0.010416666666666666</v>
      </c>
      <c r="G235" s="29"/>
      <c r="H235" s="6"/>
      <c r="I235" s="6"/>
      <c r="J235" s="6"/>
      <c r="K235" s="6"/>
      <c r="L235" s="6"/>
      <c r="M235" s="6"/>
      <c r="N235" s="6"/>
      <c r="O235" s="6"/>
      <c r="P235" s="6"/>
      <c r="Q235" s="6"/>
      <c r="R235" s="6"/>
      <c r="S235" s="6"/>
    </row>
    <row r="236" ht="22.5" hidden="1" customHeight="1">
      <c r="A236" s="27">
        <v>45746.0</v>
      </c>
      <c r="B236" s="19" t="s">
        <v>125</v>
      </c>
      <c r="C236" s="34" t="s">
        <v>126</v>
      </c>
      <c r="D236" s="26" t="s">
        <v>131</v>
      </c>
      <c r="E236" s="22"/>
      <c r="F236" s="23">
        <v>0.013888888888888888</v>
      </c>
      <c r="G236" s="29"/>
      <c r="H236" s="6"/>
      <c r="I236" s="6"/>
      <c r="J236" s="6"/>
      <c r="K236" s="6"/>
      <c r="L236" s="6"/>
      <c r="M236" s="6"/>
      <c r="N236" s="6"/>
      <c r="O236" s="6"/>
      <c r="P236" s="6"/>
      <c r="Q236" s="6"/>
      <c r="R236" s="6"/>
      <c r="S236" s="6"/>
    </row>
    <row r="237" ht="22.5" hidden="1" customHeight="1">
      <c r="A237" s="27">
        <v>45746.0</v>
      </c>
      <c r="B237" s="19" t="s">
        <v>125</v>
      </c>
      <c r="C237" s="34" t="s">
        <v>126</v>
      </c>
      <c r="D237" s="26" t="s">
        <v>41</v>
      </c>
      <c r="E237" s="22"/>
      <c r="F237" s="23">
        <v>0.022222222222222223</v>
      </c>
      <c r="G237" s="29"/>
      <c r="H237" s="6"/>
      <c r="I237" s="6"/>
      <c r="J237" s="6"/>
      <c r="K237" s="6"/>
      <c r="L237" s="6"/>
      <c r="M237" s="6"/>
      <c r="N237" s="6"/>
      <c r="O237" s="6"/>
      <c r="P237" s="6"/>
      <c r="Q237" s="6"/>
      <c r="R237" s="6"/>
      <c r="S237" s="6"/>
    </row>
    <row r="238" ht="22.5" hidden="1" customHeight="1">
      <c r="A238" s="27">
        <v>45747.0</v>
      </c>
      <c r="B238" s="19" t="s">
        <v>125</v>
      </c>
      <c r="C238" s="34" t="s">
        <v>126</v>
      </c>
      <c r="D238" s="26" t="s">
        <v>136</v>
      </c>
      <c r="E238" s="22"/>
      <c r="F238" s="23">
        <v>0.01662037037037037</v>
      </c>
      <c r="G238" s="29"/>
      <c r="H238" s="6"/>
      <c r="I238" s="6"/>
      <c r="J238" s="6"/>
      <c r="K238" s="6"/>
      <c r="L238" s="6"/>
      <c r="M238" s="6"/>
      <c r="N238" s="6"/>
      <c r="O238" s="6"/>
      <c r="P238" s="6"/>
      <c r="Q238" s="6"/>
      <c r="R238" s="6"/>
      <c r="S238" s="6"/>
    </row>
    <row r="239" ht="22.5" hidden="1" customHeight="1">
      <c r="A239" s="27">
        <v>45747.0</v>
      </c>
      <c r="B239" s="19" t="s">
        <v>125</v>
      </c>
      <c r="C239" s="34" t="s">
        <v>126</v>
      </c>
      <c r="D239" s="26" t="s">
        <v>92</v>
      </c>
      <c r="E239" s="22"/>
      <c r="F239" s="23">
        <v>0.017361111111111112</v>
      </c>
      <c r="G239" s="29"/>
      <c r="H239" s="6"/>
      <c r="I239" s="6"/>
      <c r="J239" s="6"/>
      <c r="K239" s="6"/>
      <c r="L239" s="6"/>
      <c r="M239" s="6"/>
      <c r="N239" s="6"/>
      <c r="O239" s="6"/>
      <c r="P239" s="6"/>
      <c r="Q239" s="6"/>
      <c r="R239" s="6"/>
      <c r="S239" s="6"/>
    </row>
    <row r="240" ht="22.5" hidden="1" customHeight="1">
      <c r="A240" s="27">
        <v>45747.0</v>
      </c>
      <c r="B240" s="19" t="s">
        <v>125</v>
      </c>
      <c r="C240" s="34" t="s">
        <v>126</v>
      </c>
      <c r="D240" s="26" t="s">
        <v>93</v>
      </c>
      <c r="E240" s="22"/>
      <c r="F240" s="23">
        <v>0.0125</v>
      </c>
      <c r="G240" s="29"/>
      <c r="H240" s="6"/>
      <c r="I240" s="6"/>
      <c r="J240" s="6"/>
      <c r="K240" s="6"/>
      <c r="L240" s="6"/>
      <c r="M240" s="6"/>
      <c r="N240" s="6"/>
      <c r="O240" s="6"/>
      <c r="P240" s="6"/>
      <c r="Q240" s="6"/>
      <c r="R240" s="6"/>
      <c r="S240" s="6"/>
    </row>
    <row r="241" ht="22.5" hidden="1" customHeight="1">
      <c r="A241" s="27">
        <v>45747.0</v>
      </c>
      <c r="B241" s="19" t="s">
        <v>125</v>
      </c>
      <c r="C241" s="34" t="s">
        <v>126</v>
      </c>
      <c r="D241" s="26" t="s">
        <v>131</v>
      </c>
      <c r="E241" s="22"/>
      <c r="F241" s="23">
        <v>0.013888888888888888</v>
      </c>
      <c r="G241" s="29"/>
      <c r="H241" s="6"/>
      <c r="I241" s="6"/>
      <c r="J241" s="6"/>
      <c r="K241" s="6"/>
      <c r="L241" s="6"/>
      <c r="M241" s="6"/>
      <c r="N241" s="6"/>
      <c r="O241" s="6"/>
      <c r="P241" s="6"/>
      <c r="Q241" s="6"/>
      <c r="R241" s="6"/>
      <c r="S241" s="6"/>
    </row>
    <row r="242" ht="22.5" hidden="1" customHeight="1">
      <c r="A242" s="27">
        <v>45747.0</v>
      </c>
      <c r="B242" s="19" t="s">
        <v>125</v>
      </c>
      <c r="C242" s="34" t="s">
        <v>126</v>
      </c>
      <c r="D242" s="26" t="s">
        <v>41</v>
      </c>
      <c r="E242" s="22"/>
      <c r="F242" s="23">
        <v>0.022916666666666665</v>
      </c>
      <c r="G242" s="29"/>
      <c r="H242" s="6"/>
      <c r="I242" s="6"/>
      <c r="J242" s="6"/>
      <c r="K242" s="6"/>
      <c r="L242" s="6"/>
      <c r="M242" s="6"/>
      <c r="N242" s="6"/>
      <c r="O242" s="6"/>
      <c r="P242" s="6"/>
      <c r="Q242" s="6"/>
      <c r="R242" s="6"/>
      <c r="S242" s="6"/>
    </row>
    <row r="243" ht="22.5" hidden="1" customHeight="1">
      <c r="A243" s="27">
        <v>45748.0</v>
      </c>
      <c r="B243" s="19" t="s">
        <v>125</v>
      </c>
      <c r="C243" s="34" t="s">
        <v>126</v>
      </c>
      <c r="D243" s="26" t="s">
        <v>137</v>
      </c>
      <c r="E243" s="22"/>
      <c r="F243" s="23">
        <v>0.024120370370370372</v>
      </c>
      <c r="G243" s="29"/>
      <c r="H243" s="6"/>
      <c r="I243" s="6"/>
      <c r="J243" s="6"/>
      <c r="K243" s="6"/>
      <c r="L243" s="6"/>
      <c r="M243" s="6"/>
      <c r="N243" s="6"/>
      <c r="O243" s="6"/>
      <c r="P243" s="6"/>
      <c r="Q243" s="6"/>
      <c r="R243" s="6"/>
      <c r="S243" s="6"/>
    </row>
    <row r="244" ht="22.5" hidden="1" customHeight="1">
      <c r="A244" s="27">
        <v>45748.0</v>
      </c>
      <c r="B244" s="19" t="s">
        <v>125</v>
      </c>
      <c r="C244" s="34" t="s">
        <v>126</v>
      </c>
      <c r="D244" s="26" t="s">
        <v>92</v>
      </c>
      <c r="E244" s="22"/>
      <c r="F244" s="23">
        <v>0.010416666666666666</v>
      </c>
      <c r="G244" s="29"/>
      <c r="H244" s="6"/>
      <c r="I244" s="6"/>
      <c r="J244" s="6"/>
      <c r="K244" s="6"/>
      <c r="L244" s="6"/>
      <c r="M244" s="6"/>
      <c r="N244" s="6"/>
      <c r="O244" s="6"/>
      <c r="P244" s="6"/>
      <c r="Q244" s="6"/>
      <c r="R244" s="6"/>
      <c r="S244" s="6"/>
    </row>
    <row r="245" ht="22.5" hidden="1" customHeight="1">
      <c r="A245" s="27">
        <v>45748.0</v>
      </c>
      <c r="B245" s="19" t="s">
        <v>125</v>
      </c>
      <c r="C245" s="34" t="s">
        <v>126</v>
      </c>
      <c r="D245" s="26" t="s">
        <v>93</v>
      </c>
      <c r="E245" s="22"/>
      <c r="F245" s="23">
        <v>0.013888888888888888</v>
      </c>
      <c r="G245" s="29"/>
      <c r="H245" s="6"/>
      <c r="I245" s="6"/>
      <c r="J245" s="6"/>
      <c r="K245" s="6"/>
      <c r="L245" s="6"/>
      <c r="M245" s="6"/>
      <c r="N245" s="6"/>
      <c r="O245" s="6"/>
      <c r="P245" s="6"/>
      <c r="Q245" s="6"/>
      <c r="R245" s="6"/>
      <c r="S245" s="6"/>
    </row>
    <row r="246" ht="22.5" hidden="1" customHeight="1">
      <c r="A246" s="27">
        <v>45748.0</v>
      </c>
      <c r="B246" s="19" t="s">
        <v>125</v>
      </c>
      <c r="C246" s="34" t="s">
        <v>126</v>
      </c>
      <c r="D246" s="26" t="s">
        <v>131</v>
      </c>
      <c r="E246" s="22"/>
      <c r="F246" s="23">
        <v>0.013888888888888888</v>
      </c>
      <c r="G246" s="29"/>
      <c r="H246" s="6"/>
      <c r="I246" s="6"/>
      <c r="J246" s="6"/>
      <c r="K246" s="6"/>
      <c r="L246" s="6"/>
      <c r="M246" s="6"/>
      <c r="N246" s="6"/>
      <c r="O246" s="6"/>
      <c r="P246" s="6"/>
      <c r="Q246" s="6"/>
      <c r="R246" s="6"/>
      <c r="S246" s="6"/>
    </row>
    <row r="247" ht="22.5" hidden="1" customHeight="1">
      <c r="A247" s="27">
        <v>45748.0</v>
      </c>
      <c r="B247" s="19" t="s">
        <v>125</v>
      </c>
      <c r="C247" s="34" t="s">
        <v>126</v>
      </c>
      <c r="D247" s="26" t="s">
        <v>41</v>
      </c>
      <c r="E247" s="22"/>
      <c r="F247" s="23">
        <v>0.02013888888888889</v>
      </c>
      <c r="G247" s="29"/>
      <c r="H247" s="6"/>
      <c r="I247" s="6"/>
      <c r="J247" s="6"/>
      <c r="K247" s="6"/>
      <c r="L247" s="6"/>
      <c r="M247" s="6"/>
      <c r="N247" s="6"/>
      <c r="O247" s="6"/>
      <c r="P247" s="6"/>
      <c r="Q247" s="6"/>
      <c r="R247" s="6"/>
      <c r="S247" s="6"/>
    </row>
    <row r="248" ht="22.5" hidden="1" customHeight="1">
      <c r="A248" s="27">
        <v>45749.0</v>
      </c>
      <c r="B248" s="19" t="s">
        <v>125</v>
      </c>
      <c r="C248" s="34" t="s">
        <v>126</v>
      </c>
      <c r="D248" s="26" t="s">
        <v>138</v>
      </c>
      <c r="E248" s="22"/>
      <c r="F248" s="23">
        <v>0.019351851851851853</v>
      </c>
      <c r="G248" s="29"/>
      <c r="H248" s="6"/>
      <c r="I248" s="6"/>
      <c r="J248" s="6"/>
      <c r="K248" s="6"/>
      <c r="L248" s="6"/>
      <c r="M248" s="6"/>
      <c r="N248" s="6"/>
      <c r="O248" s="6"/>
      <c r="P248" s="6"/>
      <c r="Q248" s="6"/>
      <c r="R248" s="6"/>
      <c r="S248" s="6"/>
    </row>
    <row r="249" ht="22.5" hidden="1" customHeight="1">
      <c r="A249" s="27">
        <v>45749.0</v>
      </c>
      <c r="B249" s="19" t="s">
        <v>125</v>
      </c>
      <c r="C249" s="34" t="s">
        <v>126</v>
      </c>
      <c r="D249" s="26" t="s">
        <v>92</v>
      </c>
      <c r="E249" s="22"/>
      <c r="F249" s="23">
        <v>0.010416666666666666</v>
      </c>
      <c r="G249" s="29"/>
      <c r="H249" s="6"/>
      <c r="I249" s="6"/>
      <c r="J249" s="6"/>
      <c r="K249" s="6"/>
      <c r="L249" s="6"/>
      <c r="M249" s="6"/>
      <c r="N249" s="6"/>
      <c r="O249" s="6"/>
      <c r="P249" s="6"/>
      <c r="Q249" s="6"/>
      <c r="R249" s="6"/>
      <c r="S249" s="6"/>
    </row>
    <row r="250" ht="22.5" hidden="1" customHeight="1">
      <c r="A250" s="27">
        <v>45749.0</v>
      </c>
      <c r="B250" s="19" t="s">
        <v>125</v>
      </c>
      <c r="C250" s="34" t="s">
        <v>126</v>
      </c>
      <c r="D250" s="26" t="s">
        <v>93</v>
      </c>
      <c r="E250" s="22"/>
      <c r="F250" s="23">
        <v>0.013888888888888888</v>
      </c>
      <c r="G250" s="29"/>
      <c r="H250" s="6"/>
      <c r="I250" s="6"/>
      <c r="J250" s="6"/>
      <c r="K250" s="6"/>
      <c r="L250" s="6"/>
      <c r="M250" s="6"/>
      <c r="N250" s="6"/>
      <c r="O250" s="6"/>
      <c r="P250" s="6"/>
      <c r="Q250" s="6"/>
      <c r="R250" s="6"/>
      <c r="S250" s="6"/>
    </row>
    <row r="251" ht="22.5" hidden="1" customHeight="1">
      <c r="A251" s="27">
        <v>45749.0</v>
      </c>
      <c r="B251" s="19" t="s">
        <v>125</v>
      </c>
      <c r="C251" s="34" t="s">
        <v>126</v>
      </c>
      <c r="D251" s="26" t="s">
        <v>131</v>
      </c>
      <c r="E251" s="22"/>
      <c r="F251" s="23">
        <v>0.013888888888888888</v>
      </c>
      <c r="G251" s="29"/>
      <c r="H251" s="6"/>
      <c r="I251" s="6"/>
      <c r="J251" s="6"/>
      <c r="K251" s="6"/>
      <c r="L251" s="6"/>
      <c r="M251" s="6"/>
      <c r="N251" s="6"/>
      <c r="O251" s="6"/>
      <c r="P251" s="6"/>
      <c r="Q251" s="6"/>
      <c r="R251" s="6"/>
      <c r="S251" s="6"/>
    </row>
    <row r="252" ht="22.5" hidden="1" customHeight="1">
      <c r="A252" s="27">
        <v>45749.0</v>
      </c>
      <c r="B252" s="19" t="s">
        <v>125</v>
      </c>
      <c r="C252" s="34" t="s">
        <v>126</v>
      </c>
      <c r="D252" s="26" t="s">
        <v>41</v>
      </c>
      <c r="E252" s="22"/>
      <c r="F252" s="23">
        <v>0.02013888888888889</v>
      </c>
      <c r="G252" s="29"/>
      <c r="H252" s="6"/>
      <c r="I252" s="6"/>
      <c r="J252" s="6"/>
      <c r="K252" s="6"/>
      <c r="L252" s="6"/>
      <c r="M252" s="6"/>
      <c r="N252" s="6"/>
      <c r="O252" s="6"/>
      <c r="P252" s="6"/>
      <c r="Q252" s="6"/>
      <c r="R252" s="6"/>
      <c r="S252" s="6"/>
    </row>
    <row r="253" ht="22.5" hidden="1" customHeight="1">
      <c r="A253" s="27">
        <v>45750.0</v>
      </c>
      <c r="B253" s="19" t="s">
        <v>125</v>
      </c>
      <c r="C253" s="34" t="s">
        <v>126</v>
      </c>
      <c r="D253" s="26" t="s">
        <v>139</v>
      </c>
      <c r="E253" s="22"/>
      <c r="F253" s="23">
        <v>0.014907407407407407</v>
      </c>
      <c r="G253" s="29"/>
      <c r="H253" s="6"/>
      <c r="I253" s="6"/>
      <c r="J253" s="6"/>
      <c r="K253" s="6"/>
      <c r="L253" s="6"/>
      <c r="M253" s="6"/>
      <c r="N253" s="6"/>
      <c r="O253" s="6"/>
      <c r="P253" s="6"/>
      <c r="Q253" s="6"/>
      <c r="R253" s="6"/>
      <c r="S253" s="6"/>
    </row>
    <row r="254" ht="22.5" hidden="1" customHeight="1">
      <c r="A254" s="27">
        <v>45750.0</v>
      </c>
      <c r="B254" s="19" t="s">
        <v>125</v>
      </c>
      <c r="C254" s="34" t="s">
        <v>126</v>
      </c>
      <c r="D254" s="26" t="s">
        <v>92</v>
      </c>
      <c r="E254" s="22"/>
      <c r="F254" s="23">
        <v>0.010416666666666666</v>
      </c>
      <c r="G254" s="29"/>
      <c r="H254" s="6"/>
      <c r="I254" s="6"/>
      <c r="J254" s="6"/>
      <c r="K254" s="6"/>
      <c r="L254" s="6"/>
      <c r="M254" s="6"/>
      <c r="N254" s="6"/>
      <c r="O254" s="6"/>
      <c r="P254" s="6"/>
      <c r="Q254" s="6"/>
      <c r="R254" s="6"/>
      <c r="S254" s="6"/>
    </row>
    <row r="255" ht="22.5" hidden="1" customHeight="1">
      <c r="A255" s="27">
        <v>45750.0</v>
      </c>
      <c r="B255" s="19" t="s">
        <v>125</v>
      </c>
      <c r="C255" s="34" t="s">
        <v>126</v>
      </c>
      <c r="D255" s="26" t="s">
        <v>93</v>
      </c>
      <c r="E255" s="22"/>
      <c r="F255" s="23">
        <v>0.008333333333333333</v>
      </c>
      <c r="G255" s="29"/>
      <c r="H255" s="6"/>
      <c r="I255" s="6"/>
      <c r="J255" s="6"/>
      <c r="K255" s="6"/>
      <c r="L255" s="6"/>
      <c r="M255" s="6"/>
      <c r="N255" s="6"/>
      <c r="O255" s="6"/>
      <c r="P255" s="6"/>
      <c r="Q255" s="6"/>
      <c r="R255" s="6"/>
      <c r="S255" s="6"/>
    </row>
    <row r="256" ht="22.5" hidden="1" customHeight="1">
      <c r="A256" s="27">
        <v>45750.0</v>
      </c>
      <c r="B256" s="19" t="s">
        <v>125</v>
      </c>
      <c r="C256" s="34" t="s">
        <v>126</v>
      </c>
      <c r="D256" s="26" t="s">
        <v>131</v>
      </c>
      <c r="E256" s="22"/>
      <c r="F256" s="23">
        <v>0.013888888888888888</v>
      </c>
      <c r="G256" s="29"/>
      <c r="H256" s="6"/>
      <c r="I256" s="6"/>
      <c r="J256" s="6"/>
      <c r="K256" s="6"/>
      <c r="L256" s="6"/>
      <c r="M256" s="6"/>
      <c r="N256" s="6"/>
      <c r="O256" s="6"/>
      <c r="P256" s="6"/>
      <c r="Q256" s="6"/>
      <c r="R256" s="6"/>
      <c r="S256" s="6"/>
    </row>
    <row r="257" ht="22.5" hidden="1" customHeight="1">
      <c r="A257" s="27">
        <v>45750.0</v>
      </c>
      <c r="B257" s="19" t="s">
        <v>125</v>
      </c>
      <c r="C257" s="34" t="s">
        <v>126</v>
      </c>
      <c r="D257" s="26" t="s">
        <v>41</v>
      </c>
      <c r="E257" s="22"/>
      <c r="F257" s="23">
        <v>0.020833333333333332</v>
      </c>
      <c r="G257" s="29"/>
      <c r="H257" s="6"/>
      <c r="I257" s="6"/>
      <c r="J257" s="6"/>
      <c r="K257" s="6"/>
      <c r="L257" s="6"/>
      <c r="M257" s="6"/>
      <c r="N257" s="6"/>
      <c r="O257" s="6"/>
      <c r="P257" s="6"/>
      <c r="Q257" s="6"/>
      <c r="R257" s="6"/>
      <c r="S257" s="6"/>
    </row>
    <row r="258" ht="22.5" hidden="1" customHeight="1">
      <c r="A258" s="27">
        <v>45751.0</v>
      </c>
      <c r="B258" s="19" t="s">
        <v>125</v>
      </c>
      <c r="C258" s="34" t="s">
        <v>126</v>
      </c>
      <c r="D258" s="26" t="s">
        <v>140</v>
      </c>
      <c r="E258" s="22"/>
      <c r="F258" s="23">
        <v>0.020011574074074074</v>
      </c>
      <c r="G258" s="29"/>
      <c r="H258" s="6"/>
      <c r="I258" s="6"/>
      <c r="J258" s="6"/>
      <c r="K258" s="6"/>
      <c r="L258" s="6"/>
      <c r="M258" s="6"/>
      <c r="N258" s="6"/>
      <c r="O258" s="6"/>
      <c r="P258" s="6"/>
      <c r="Q258" s="6"/>
      <c r="R258" s="6"/>
      <c r="S258" s="6"/>
    </row>
    <row r="259" ht="22.5" hidden="1" customHeight="1">
      <c r="A259" s="27">
        <v>45751.0</v>
      </c>
      <c r="B259" s="19" t="s">
        <v>125</v>
      </c>
      <c r="C259" s="34" t="s">
        <v>126</v>
      </c>
      <c r="D259" s="26" t="s">
        <v>92</v>
      </c>
      <c r="E259" s="22"/>
      <c r="F259" s="23">
        <v>0.013888888888888888</v>
      </c>
      <c r="G259" s="29"/>
      <c r="H259" s="6"/>
      <c r="I259" s="6"/>
      <c r="J259" s="6"/>
      <c r="K259" s="6"/>
      <c r="L259" s="6"/>
      <c r="M259" s="6"/>
      <c r="N259" s="6"/>
      <c r="O259" s="6"/>
      <c r="P259" s="6"/>
      <c r="Q259" s="6"/>
      <c r="R259" s="6"/>
      <c r="S259" s="6"/>
    </row>
    <row r="260" ht="22.5" hidden="1" customHeight="1">
      <c r="A260" s="27">
        <v>45751.0</v>
      </c>
      <c r="B260" s="19" t="s">
        <v>125</v>
      </c>
      <c r="C260" s="34" t="s">
        <v>126</v>
      </c>
      <c r="D260" s="26" t="s">
        <v>93</v>
      </c>
      <c r="E260" s="22"/>
      <c r="F260" s="23">
        <v>0.013888888888888888</v>
      </c>
      <c r="G260" s="29"/>
      <c r="H260" s="6"/>
      <c r="I260" s="6"/>
      <c r="J260" s="6"/>
      <c r="K260" s="6"/>
      <c r="L260" s="6"/>
      <c r="M260" s="6"/>
      <c r="N260" s="6"/>
      <c r="O260" s="6"/>
      <c r="P260" s="6"/>
      <c r="Q260" s="6"/>
      <c r="R260" s="6"/>
      <c r="S260" s="6"/>
    </row>
    <row r="261" ht="22.5" hidden="1" customHeight="1">
      <c r="A261" s="27">
        <v>45751.0</v>
      </c>
      <c r="B261" s="19" t="s">
        <v>125</v>
      </c>
      <c r="C261" s="34" t="s">
        <v>126</v>
      </c>
      <c r="D261" s="26" t="s">
        <v>131</v>
      </c>
      <c r="E261" s="22"/>
      <c r="F261" s="23">
        <v>0.013888888888888888</v>
      </c>
      <c r="G261" s="29"/>
      <c r="H261" s="6"/>
      <c r="I261" s="6"/>
      <c r="J261" s="6"/>
      <c r="K261" s="6"/>
      <c r="L261" s="6"/>
      <c r="M261" s="6"/>
      <c r="N261" s="6"/>
      <c r="O261" s="6"/>
      <c r="P261" s="6"/>
      <c r="Q261" s="6"/>
      <c r="R261" s="6"/>
      <c r="S261" s="6"/>
    </row>
    <row r="262" ht="22.5" hidden="1" customHeight="1">
      <c r="A262" s="27">
        <v>45751.0</v>
      </c>
      <c r="B262" s="19" t="s">
        <v>125</v>
      </c>
      <c r="C262" s="34" t="s">
        <v>126</v>
      </c>
      <c r="D262" s="26" t="s">
        <v>41</v>
      </c>
      <c r="E262" s="22"/>
      <c r="F262" s="23">
        <v>0.020833333333333332</v>
      </c>
      <c r="G262" s="29"/>
      <c r="H262" s="6"/>
      <c r="I262" s="6"/>
      <c r="J262" s="6"/>
      <c r="K262" s="6"/>
      <c r="L262" s="6"/>
      <c r="M262" s="6"/>
      <c r="N262" s="6"/>
      <c r="O262" s="6"/>
      <c r="P262" s="6"/>
      <c r="Q262" s="6"/>
      <c r="R262" s="6"/>
      <c r="S262" s="6"/>
    </row>
    <row r="263" ht="22.5" hidden="1" customHeight="1">
      <c r="A263" s="27">
        <v>45751.0</v>
      </c>
      <c r="B263" s="19" t="s">
        <v>125</v>
      </c>
      <c r="C263" s="34" t="s">
        <v>126</v>
      </c>
      <c r="D263" s="26" t="s">
        <v>141</v>
      </c>
      <c r="E263" s="22"/>
      <c r="F263" s="23">
        <v>0.0028356481481481483</v>
      </c>
      <c r="G263" s="29" t="s">
        <v>142</v>
      </c>
      <c r="H263" s="6"/>
      <c r="I263" s="6"/>
      <c r="J263" s="6"/>
      <c r="K263" s="6"/>
      <c r="L263" s="6"/>
      <c r="M263" s="6"/>
      <c r="N263" s="6"/>
      <c r="O263" s="6"/>
      <c r="P263" s="6"/>
      <c r="Q263" s="6"/>
      <c r="R263" s="6"/>
      <c r="S263" s="6"/>
    </row>
    <row r="264" ht="22.5" hidden="1" customHeight="1">
      <c r="A264" s="27">
        <v>45752.0</v>
      </c>
      <c r="B264" s="19" t="s">
        <v>125</v>
      </c>
      <c r="C264" s="34" t="s">
        <v>143</v>
      </c>
      <c r="D264" s="26" t="s">
        <v>144</v>
      </c>
      <c r="E264" s="22"/>
      <c r="F264" s="23">
        <v>0.0032060185185185186</v>
      </c>
      <c r="G264" s="29"/>
      <c r="H264" s="6"/>
      <c r="I264" s="6"/>
      <c r="J264" s="6"/>
      <c r="K264" s="6"/>
      <c r="L264" s="6"/>
      <c r="M264" s="6"/>
      <c r="N264" s="6"/>
      <c r="O264" s="6"/>
      <c r="P264" s="6"/>
      <c r="Q264" s="6"/>
      <c r="R264" s="6"/>
      <c r="S264" s="6"/>
    </row>
    <row r="265" ht="22.5" hidden="1" customHeight="1">
      <c r="A265" s="27">
        <v>45752.0</v>
      </c>
      <c r="B265" s="19" t="s">
        <v>125</v>
      </c>
      <c r="C265" s="34" t="s">
        <v>143</v>
      </c>
      <c r="D265" s="26" t="s">
        <v>145</v>
      </c>
      <c r="E265" s="22"/>
      <c r="F265" s="23">
        <v>0.023414351851851853</v>
      </c>
      <c r="G265" s="29"/>
      <c r="H265" s="6"/>
      <c r="I265" s="6"/>
      <c r="J265" s="6"/>
      <c r="K265" s="6"/>
      <c r="L265" s="6"/>
      <c r="M265" s="6"/>
      <c r="N265" s="6"/>
      <c r="O265" s="6"/>
      <c r="P265" s="6"/>
      <c r="Q265" s="6"/>
      <c r="R265" s="6"/>
      <c r="S265" s="6"/>
    </row>
    <row r="266" ht="22.5" hidden="1" customHeight="1">
      <c r="A266" s="27">
        <v>45752.0</v>
      </c>
      <c r="B266" s="19" t="s">
        <v>125</v>
      </c>
      <c r="C266" s="34" t="s">
        <v>143</v>
      </c>
      <c r="D266" s="26" t="s">
        <v>92</v>
      </c>
      <c r="E266" s="22"/>
      <c r="F266" s="23">
        <v>0.013888888888888888</v>
      </c>
      <c r="G266" s="29"/>
      <c r="H266" s="6"/>
      <c r="I266" s="6"/>
      <c r="J266" s="6"/>
      <c r="K266" s="6"/>
      <c r="L266" s="6"/>
      <c r="M266" s="6"/>
      <c r="N266" s="6"/>
      <c r="O266" s="6"/>
      <c r="P266" s="6"/>
      <c r="Q266" s="6"/>
      <c r="R266" s="6"/>
      <c r="S266" s="6"/>
    </row>
    <row r="267" ht="22.5" hidden="1" customHeight="1">
      <c r="A267" s="27">
        <v>45752.0</v>
      </c>
      <c r="B267" s="19" t="s">
        <v>125</v>
      </c>
      <c r="C267" s="34" t="s">
        <v>143</v>
      </c>
      <c r="D267" s="26" t="s">
        <v>93</v>
      </c>
      <c r="E267" s="22"/>
      <c r="F267" s="23">
        <v>0.013888888888888888</v>
      </c>
      <c r="G267" s="29"/>
      <c r="H267" s="6"/>
      <c r="I267" s="6"/>
      <c r="J267" s="6"/>
      <c r="K267" s="6"/>
      <c r="L267" s="6"/>
      <c r="M267" s="6"/>
      <c r="N267" s="6"/>
      <c r="O267" s="6"/>
      <c r="P267" s="6"/>
      <c r="Q267" s="6"/>
      <c r="R267" s="6"/>
      <c r="S267" s="6"/>
    </row>
    <row r="268" ht="22.5" hidden="1" customHeight="1">
      <c r="A268" s="27">
        <v>45752.0</v>
      </c>
      <c r="B268" s="19" t="s">
        <v>125</v>
      </c>
      <c r="C268" s="34" t="s">
        <v>143</v>
      </c>
      <c r="D268" s="26" t="s">
        <v>131</v>
      </c>
      <c r="E268" s="22"/>
      <c r="F268" s="23">
        <v>0.013888888888888888</v>
      </c>
      <c r="G268" s="29"/>
      <c r="H268" s="6"/>
      <c r="I268" s="6"/>
      <c r="J268" s="6"/>
      <c r="K268" s="6"/>
      <c r="L268" s="6"/>
      <c r="M268" s="6"/>
      <c r="N268" s="6"/>
      <c r="O268" s="6"/>
      <c r="P268" s="6"/>
      <c r="Q268" s="6"/>
      <c r="R268" s="6"/>
      <c r="S268" s="6"/>
    </row>
    <row r="269" ht="22.5" hidden="1" customHeight="1">
      <c r="A269" s="27">
        <v>45752.0</v>
      </c>
      <c r="B269" s="19" t="s">
        <v>125</v>
      </c>
      <c r="C269" s="34" t="s">
        <v>143</v>
      </c>
      <c r="D269" s="26" t="s">
        <v>41</v>
      </c>
      <c r="E269" s="22"/>
      <c r="F269" s="23">
        <v>0.020833333333333332</v>
      </c>
      <c r="G269" s="29"/>
      <c r="H269" s="6"/>
      <c r="I269" s="6"/>
      <c r="J269" s="6"/>
      <c r="K269" s="6"/>
      <c r="L269" s="6"/>
      <c r="M269" s="6"/>
      <c r="N269" s="6"/>
      <c r="O269" s="6"/>
      <c r="P269" s="6"/>
      <c r="Q269" s="6"/>
      <c r="R269" s="6"/>
      <c r="S269" s="6"/>
    </row>
    <row r="270" ht="22.5" hidden="1" customHeight="1">
      <c r="A270" s="27">
        <v>45753.0</v>
      </c>
      <c r="B270" s="19" t="s">
        <v>125</v>
      </c>
      <c r="C270" s="34" t="s">
        <v>143</v>
      </c>
      <c r="D270" s="26" t="s">
        <v>146</v>
      </c>
      <c r="E270" s="22"/>
      <c r="F270" s="23">
        <v>0.01513888888888889</v>
      </c>
      <c r="G270" s="29"/>
      <c r="H270" s="6"/>
      <c r="I270" s="6"/>
      <c r="J270" s="6"/>
      <c r="K270" s="6"/>
      <c r="L270" s="6"/>
      <c r="M270" s="6"/>
      <c r="N270" s="6"/>
      <c r="O270" s="6"/>
      <c r="P270" s="6"/>
      <c r="Q270" s="6"/>
      <c r="R270" s="6"/>
      <c r="S270" s="6"/>
    </row>
    <row r="271" ht="22.5" hidden="1" customHeight="1">
      <c r="A271" s="27">
        <v>45753.0</v>
      </c>
      <c r="B271" s="19" t="s">
        <v>125</v>
      </c>
      <c r="C271" s="34" t="s">
        <v>143</v>
      </c>
      <c r="D271" s="26" t="s">
        <v>92</v>
      </c>
      <c r="E271" s="22"/>
      <c r="F271" s="23">
        <v>0.013888888888888888</v>
      </c>
      <c r="G271" s="29"/>
      <c r="H271" s="6"/>
      <c r="I271" s="6"/>
      <c r="J271" s="6"/>
      <c r="K271" s="6"/>
      <c r="L271" s="6"/>
      <c r="M271" s="6"/>
      <c r="N271" s="6"/>
      <c r="O271" s="6"/>
      <c r="P271" s="6"/>
      <c r="Q271" s="6"/>
      <c r="R271" s="6"/>
      <c r="S271" s="6"/>
    </row>
    <row r="272" ht="22.5" hidden="1" customHeight="1">
      <c r="A272" s="27">
        <v>45753.0</v>
      </c>
      <c r="B272" s="19" t="s">
        <v>125</v>
      </c>
      <c r="C272" s="34" t="s">
        <v>143</v>
      </c>
      <c r="D272" s="26" t="s">
        <v>93</v>
      </c>
      <c r="E272" s="22"/>
      <c r="F272" s="23">
        <v>0.011111111111111112</v>
      </c>
      <c r="G272" s="29"/>
      <c r="H272" s="6"/>
      <c r="I272" s="6"/>
      <c r="J272" s="6"/>
      <c r="K272" s="6"/>
      <c r="L272" s="6"/>
      <c r="M272" s="6"/>
      <c r="N272" s="6"/>
      <c r="O272" s="6"/>
      <c r="P272" s="6"/>
      <c r="Q272" s="6"/>
      <c r="R272" s="6"/>
      <c r="S272" s="6"/>
    </row>
    <row r="273" ht="22.5" hidden="1" customHeight="1">
      <c r="A273" s="27">
        <v>45753.0</v>
      </c>
      <c r="B273" s="19" t="s">
        <v>125</v>
      </c>
      <c r="C273" s="34" t="s">
        <v>143</v>
      </c>
      <c r="D273" s="26" t="s">
        <v>131</v>
      </c>
      <c r="E273" s="22"/>
      <c r="F273" s="23">
        <v>0.013888888888888888</v>
      </c>
      <c r="G273" s="29"/>
      <c r="H273" s="6"/>
      <c r="I273" s="6"/>
      <c r="J273" s="6"/>
      <c r="K273" s="6"/>
      <c r="L273" s="6"/>
      <c r="M273" s="6"/>
      <c r="N273" s="6"/>
      <c r="O273" s="6"/>
      <c r="P273" s="6"/>
      <c r="Q273" s="6"/>
      <c r="R273" s="6"/>
      <c r="S273" s="6"/>
    </row>
    <row r="274" ht="22.5" hidden="1" customHeight="1">
      <c r="A274" s="27">
        <v>45753.0</v>
      </c>
      <c r="B274" s="19" t="s">
        <v>125</v>
      </c>
      <c r="C274" s="34" t="s">
        <v>143</v>
      </c>
      <c r="D274" s="26" t="s">
        <v>41</v>
      </c>
      <c r="E274" s="22"/>
      <c r="F274" s="23">
        <v>0.020833333333333332</v>
      </c>
      <c r="G274" s="29"/>
      <c r="H274" s="6"/>
      <c r="I274" s="6"/>
      <c r="J274" s="6"/>
      <c r="K274" s="6"/>
      <c r="L274" s="6"/>
      <c r="M274" s="6"/>
      <c r="N274" s="6"/>
      <c r="O274" s="6"/>
      <c r="P274" s="6"/>
      <c r="Q274" s="6"/>
      <c r="R274" s="6"/>
      <c r="S274" s="6"/>
    </row>
    <row r="275" ht="22.5" hidden="1" customHeight="1">
      <c r="A275" s="27">
        <v>45754.0</v>
      </c>
      <c r="B275" s="19" t="s">
        <v>125</v>
      </c>
      <c r="C275" s="34" t="s">
        <v>143</v>
      </c>
      <c r="D275" s="26" t="s">
        <v>147</v>
      </c>
      <c r="E275" s="22"/>
      <c r="F275" s="23">
        <v>0.018171296296296297</v>
      </c>
      <c r="G275" s="29"/>
      <c r="H275" s="6"/>
      <c r="I275" s="6"/>
      <c r="J275" s="6"/>
      <c r="K275" s="6"/>
      <c r="L275" s="6"/>
      <c r="M275" s="6"/>
      <c r="N275" s="6"/>
      <c r="O275" s="6"/>
      <c r="P275" s="6"/>
      <c r="Q275" s="6"/>
      <c r="R275" s="6"/>
      <c r="S275" s="6"/>
    </row>
    <row r="276" ht="22.5" hidden="1" customHeight="1">
      <c r="A276" s="27">
        <v>45754.0</v>
      </c>
      <c r="B276" s="19" t="s">
        <v>125</v>
      </c>
      <c r="C276" s="34" t="s">
        <v>143</v>
      </c>
      <c r="D276" s="26" t="s">
        <v>92</v>
      </c>
      <c r="E276" s="22"/>
      <c r="F276" s="23">
        <v>0.013888888888888888</v>
      </c>
      <c r="G276" s="29"/>
      <c r="H276" s="6"/>
      <c r="I276" s="6"/>
      <c r="J276" s="6"/>
      <c r="K276" s="6"/>
      <c r="L276" s="6"/>
      <c r="M276" s="6"/>
      <c r="N276" s="6"/>
      <c r="O276" s="6"/>
      <c r="P276" s="6"/>
      <c r="Q276" s="6"/>
      <c r="R276" s="6"/>
      <c r="S276" s="6"/>
    </row>
    <row r="277" ht="22.5" hidden="1" customHeight="1">
      <c r="A277" s="27">
        <v>45754.0</v>
      </c>
      <c r="B277" s="19" t="s">
        <v>125</v>
      </c>
      <c r="C277" s="34" t="s">
        <v>143</v>
      </c>
      <c r="D277" s="26" t="s">
        <v>93</v>
      </c>
      <c r="E277" s="22"/>
      <c r="F277" s="23">
        <v>0.011111111111111112</v>
      </c>
      <c r="G277" s="29"/>
      <c r="H277" s="6"/>
      <c r="I277" s="6"/>
      <c r="J277" s="6"/>
      <c r="K277" s="6"/>
      <c r="L277" s="6"/>
      <c r="M277" s="6"/>
      <c r="N277" s="6"/>
      <c r="O277" s="6"/>
      <c r="P277" s="6"/>
      <c r="Q277" s="6"/>
      <c r="R277" s="6"/>
      <c r="S277" s="6"/>
    </row>
    <row r="278" ht="22.5" hidden="1" customHeight="1">
      <c r="A278" s="27">
        <v>45754.0</v>
      </c>
      <c r="B278" s="19" t="s">
        <v>125</v>
      </c>
      <c r="C278" s="34" t="s">
        <v>143</v>
      </c>
      <c r="D278" s="26" t="s">
        <v>131</v>
      </c>
      <c r="E278" s="22"/>
      <c r="F278" s="23">
        <v>0.006944444444444444</v>
      </c>
      <c r="G278" s="29"/>
      <c r="H278" s="6"/>
      <c r="I278" s="6"/>
      <c r="J278" s="6"/>
      <c r="K278" s="6"/>
      <c r="L278" s="6"/>
      <c r="M278" s="6"/>
      <c r="N278" s="6"/>
      <c r="O278" s="6"/>
      <c r="P278" s="6"/>
      <c r="Q278" s="6"/>
      <c r="R278" s="6"/>
      <c r="S278" s="6"/>
    </row>
    <row r="279" ht="22.5" hidden="1" customHeight="1">
      <c r="A279" s="27">
        <v>45754.0</v>
      </c>
      <c r="B279" s="19" t="s">
        <v>125</v>
      </c>
      <c r="C279" s="34" t="s">
        <v>143</v>
      </c>
      <c r="D279" s="26" t="s">
        <v>41</v>
      </c>
      <c r="E279" s="22"/>
      <c r="F279" s="23">
        <v>0.020833333333333332</v>
      </c>
      <c r="G279" s="29"/>
      <c r="H279" s="6"/>
      <c r="I279" s="6"/>
      <c r="J279" s="6"/>
      <c r="K279" s="6"/>
      <c r="L279" s="6"/>
      <c r="M279" s="6"/>
      <c r="N279" s="6"/>
      <c r="O279" s="6"/>
      <c r="P279" s="6"/>
      <c r="Q279" s="6"/>
      <c r="R279" s="6"/>
      <c r="S279" s="6"/>
    </row>
    <row r="280" ht="22.5" hidden="1" customHeight="1">
      <c r="A280" s="27">
        <v>45755.0</v>
      </c>
      <c r="B280" s="19" t="s">
        <v>125</v>
      </c>
      <c r="C280" s="34" t="s">
        <v>143</v>
      </c>
      <c r="D280" s="26" t="s">
        <v>148</v>
      </c>
      <c r="E280" s="22"/>
      <c r="F280" s="23">
        <v>0.015104166666666667</v>
      </c>
      <c r="G280" s="29"/>
      <c r="H280" s="6"/>
      <c r="I280" s="6"/>
      <c r="J280" s="6"/>
      <c r="K280" s="6"/>
      <c r="L280" s="6"/>
      <c r="M280" s="6"/>
      <c r="N280" s="6"/>
      <c r="O280" s="6"/>
      <c r="P280" s="6"/>
      <c r="Q280" s="6"/>
      <c r="R280" s="6"/>
      <c r="S280" s="6"/>
    </row>
    <row r="281" ht="22.5" hidden="1" customHeight="1">
      <c r="A281" s="27">
        <v>45755.0</v>
      </c>
      <c r="B281" s="19" t="s">
        <v>125</v>
      </c>
      <c r="C281" s="34" t="s">
        <v>143</v>
      </c>
      <c r="D281" s="26" t="s">
        <v>92</v>
      </c>
      <c r="E281" s="22"/>
      <c r="F281" s="23">
        <v>0.013888888888888888</v>
      </c>
      <c r="G281" s="29"/>
      <c r="H281" s="6"/>
      <c r="I281" s="6"/>
      <c r="J281" s="6"/>
      <c r="K281" s="6"/>
      <c r="L281" s="6"/>
      <c r="M281" s="6"/>
      <c r="N281" s="6"/>
      <c r="O281" s="6"/>
      <c r="P281" s="6"/>
      <c r="Q281" s="6"/>
      <c r="R281" s="6"/>
      <c r="S281" s="6"/>
    </row>
    <row r="282" ht="22.5" hidden="1" customHeight="1">
      <c r="A282" s="27">
        <v>45755.0</v>
      </c>
      <c r="B282" s="19" t="s">
        <v>125</v>
      </c>
      <c r="C282" s="34" t="s">
        <v>143</v>
      </c>
      <c r="D282" s="26" t="s">
        <v>93</v>
      </c>
      <c r="E282" s="22"/>
      <c r="F282" s="23">
        <v>0.011111111111111112</v>
      </c>
      <c r="G282" s="29"/>
      <c r="H282" s="6"/>
      <c r="I282" s="6"/>
      <c r="J282" s="6"/>
      <c r="K282" s="6"/>
      <c r="L282" s="6"/>
      <c r="M282" s="6"/>
      <c r="N282" s="6"/>
      <c r="O282" s="6"/>
      <c r="P282" s="6"/>
      <c r="Q282" s="6"/>
      <c r="R282" s="6"/>
      <c r="S282" s="6"/>
    </row>
    <row r="283" ht="22.5" hidden="1" customHeight="1">
      <c r="A283" s="27">
        <v>45755.0</v>
      </c>
      <c r="B283" s="19" t="s">
        <v>125</v>
      </c>
      <c r="C283" s="34" t="s">
        <v>143</v>
      </c>
      <c r="D283" s="26" t="s">
        <v>131</v>
      </c>
      <c r="E283" s="22"/>
      <c r="F283" s="23">
        <v>0.006944444444444444</v>
      </c>
      <c r="G283" s="29"/>
      <c r="H283" s="6"/>
      <c r="I283" s="6"/>
      <c r="J283" s="6"/>
      <c r="K283" s="6"/>
      <c r="L283" s="6"/>
      <c r="M283" s="6"/>
      <c r="N283" s="6"/>
      <c r="O283" s="6"/>
      <c r="P283" s="6"/>
      <c r="Q283" s="6"/>
      <c r="R283" s="6"/>
      <c r="S283" s="6"/>
    </row>
    <row r="284" ht="22.5" hidden="1" customHeight="1">
      <c r="A284" s="27">
        <v>45755.0</v>
      </c>
      <c r="B284" s="19" t="s">
        <v>125</v>
      </c>
      <c r="C284" s="34" t="s">
        <v>143</v>
      </c>
      <c r="D284" s="26" t="s">
        <v>41</v>
      </c>
      <c r="E284" s="22"/>
      <c r="F284" s="23">
        <v>0.021527777777777778</v>
      </c>
      <c r="G284" s="29"/>
      <c r="H284" s="6"/>
      <c r="I284" s="6"/>
      <c r="J284" s="6"/>
      <c r="K284" s="6"/>
      <c r="L284" s="6"/>
      <c r="M284" s="6"/>
      <c r="N284" s="6"/>
      <c r="O284" s="6"/>
      <c r="P284" s="6"/>
      <c r="Q284" s="6"/>
      <c r="R284" s="6"/>
      <c r="S284" s="6"/>
    </row>
    <row r="285" ht="22.5" hidden="1" customHeight="1">
      <c r="A285" s="27">
        <v>45756.0</v>
      </c>
      <c r="B285" s="19" t="s">
        <v>125</v>
      </c>
      <c r="C285" s="34" t="s">
        <v>143</v>
      </c>
      <c r="D285" s="26" t="s">
        <v>149</v>
      </c>
      <c r="E285" s="22"/>
      <c r="F285" s="23">
        <v>0.015370370370370371</v>
      </c>
      <c r="G285" s="29"/>
      <c r="H285" s="6"/>
      <c r="I285" s="6"/>
      <c r="J285" s="6"/>
      <c r="K285" s="6"/>
      <c r="L285" s="6"/>
      <c r="M285" s="6"/>
      <c r="N285" s="6"/>
      <c r="O285" s="6"/>
      <c r="P285" s="6"/>
      <c r="Q285" s="6"/>
      <c r="R285" s="6"/>
      <c r="S285" s="6"/>
    </row>
    <row r="286" ht="22.5" hidden="1" customHeight="1">
      <c r="A286" s="27">
        <v>45756.0</v>
      </c>
      <c r="B286" s="19" t="s">
        <v>125</v>
      </c>
      <c r="C286" s="34" t="s">
        <v>143</v>
      </c>
      <c r="D286" s="26" t="s">
        <v>92</v>
      </c>
      <c r="E286" s="22"/>
      <c r="F286" s="23">
        <v>0.013888888888888888</v>
      </c>
      <c r="G286" s="29"/>
      <c r="H286" s="6"/>
      <c r="I286" s="6"/>
      <c r="J286" s="6"/>
      <c r="K286" s="6"/>
      <c r="L286" s="6"/>
      <c r="M286" s="6"/>
      <c r="N286" s="6"/>
      <c r="O286" s="6"/>
      <c r="P286" s="6"/>
      <c r="Q286" s="6"/>
      <c r="R286" s="6"/>
      <c r="S286" s="6"/>
    </row>
    <row r="287" ht="22.5" hidden="1" customHeight="1">
      <c r="A287" s="27">
        <v>45756.0</v>
      </c>
      <c r="B287" s="19" t="s">
        <v>125</v>
      </c>
      <c r="C287" s="34" t="s">
        <v>143</v>
      </c>
      <c r="D287" s="26" t="s">
        <v>93</v>
      </c>
      <c r="E287" s="22"/>
      <c r="F287" s="23">
        <v>0.011111111111111112</v>
      </c>
      <c r="G287" s="29"/>
      <c r="H287" s="6"/>
      <c r="I287" s="6"/>
      <c r="J287" s="6"/>
      <c r="K287" s="6"/>
      <c r="L287" s="6"/>
      <c r="M287" s="6"/>
      <c r="N287" s="6"/>
      <c r="O287" s="6"/>
      <c r="P287" s="6"/>
      <c r="Q287" s="6"/>
      <c r="R287" s="6"/>
      <c r="S287" s="6"/>
    </row>
    <row r="288" ht="22.5" hidden="1" customHeight="1">
      <c r="A288" s="27">
        <v>45756.0</v>
      </c>
      <c r="B288" s="19" t="s">
        <v>125</v>
      </c>
      <c r="C288" s="34" t="s">
        <v>143</v>
      </c>
      <c r="D288" s="26" t="s">
        <v>131</v>
      </c>
      <c r="E288" s="22"/>
      <c r="F288" s="23">
        <v>0.006944444444444444</v>
      </c>
      <c r="G288" s="29"/>
      <c r="H288" s="6"/>
      <c r="I288" s="6"/>
      <c r="J288" s="6"/>
      <c r="K288" s="6"/>
      <c r="L288" s="6"/>
      <c r="M288" s="6"/>
      <c r="N288" s="6"/>
      <c r="O288" s="6"/>
      <c r="P288" s="6"/>
      <c r="Q288" s="6"/>
      <c r="R288" s="6"/>
      <c r="S288" s="6"/>
    </row>
    <row r="289" ht="22.5" hidden="1" customHeight="1">
      <c r="A289" s="27">
        <v>45756.0</v>
      </c>
      <c r="B289" s="19" t="s">
        <v>125</v>
      </c>
      <c r="C289" s="34" t="s">
        <v>143</v>
      </c>
      <c r="D289" s="26" t="s">
        <v>41</v>
      </c>
      <c r="E289" s="22"/>
      <c r="F289" s="23">
        <v>0.021527777777777778</v>
      </c>
      <c r="G289" s="29"/>
      <c r="H289" s="6"/>
      <c r="I289" s="6"/>
      <c r="J289" s="6"/>
      <c r="K289" s="6"/>
      <c r="L289" s="6"/>
      <c r="M289" s="6"/>
      <c r="N289" s="6"/>
      <c r="O289" s="6"/>
      <c r="P289" s="6"/>
      <c r="Q289" s="6"/>
      <c r="R289" s="6"/>
      <c r="S289" s="6"/>
    </row>
    <row r="290" ht="22.5" hidden="1" customHeight="1">
      <c r="A290" s="27">
        <v>45757.0</v>
      </c>
      <c r="B290" s="19" t="s">
        <v>125</v>
      </c>
      <c r="C290" s="34" t="s">
        <v>143</v>
      </c>
      <c r="D290" s="26" t="s">
        <v>150</v>
      </c>
      <c r="E290" s="22"/>
      <c r="F290" s="23">
        <v>0.014537037037037038</v>
      </c>
      <c r="G290" s="29"/>
      <c r="H290" s="6"/>
      <c r="I290" s="6"/>
      <c r="J290" s="6"/>
      <c r="K290" s="6"/>
      <c r="L290" s="6"/>
      <c r="M290" s="6"/>
      <c r="N290" s="6"/>
      <c r="O290" s="6"/>
      <c r="P290" s="6"/>
      <c r="Q290" s="6"/>
      <c r="R290" s="6"/>
      <c r="S290" s="6"/>
    </row>
    <row r="291" ht="22.5" hidden="1" customHeight="1">
      <c r="A291" s="27">
        <v>45757.0</v>
      </c>
      <c r="B291" s="19" t="s">
        <v>125</v>
      </c>
      <c r="C291" s="34" t="s">
        <v>143</v>
      </c>
      <c r="D291" s="26" t="s">
        <v>92</v>
      </c>
      <c r="E291" s="22"/>
      <c r="F291" s="23">
        <v>0.013888888888888888</v>
      </c>
      <c r="G291" s="29"/>
      <c r="H291" s="6"/>
      <c r="I291" s="6"/>
      <c r="J291" s="6"/>
      <c r="K291" s="6"/>
      <c r="L291" s="6"/>
      <c r="M291" s="6"/>
      <c r="N291" s="6"/>
      <c r="O291" s="6"/>
      <c r="P291" s="6"/>
      <c r="Q291" s="6"/>
      <c r="R291" s="6"/>
      <c r="S291" s="6"/>
    </row>
    <row r="292" ht="22.5" hidden="1" customHeight="1">
      <c r="A292" s="27">
        <v>45757.0</v>
      </c>
      <c r="B292" s="19" t="s">
        <v>125</v>
      </c>
      <c r="C292" s="34" t="s">
        <v>143</v>
      </c>
      <c r="D292" s="26" t="s">
        <v>93</v>
      </c>
      <c r="E292" s="22"/>
      <c r="F292" s="23">
        <v>0.011111111111111112</v>
      </c>
      <c r="G292" s="29"/>
      <c r="H292" s="6"/>
      <c r="I292" s="6"/>
      <c r="J292" s="6"/>
      <c r="K292" s="6"/>
      <c r="L292" s="6"/>
      <c r="M292" s="6"/>
      <c r="N292" s="6"/>
      <c r="O292" s="6"/>
      <c r="P292" s="6"/>
      <c r="Q292" s="6"/>
      <c r="R292" s="6"/>
      <c r="S292" s="6"/>
    </row>
    <row r="293" ht="22.5" hidden="1" customHeight="1">
      <c r="A293" s="27">
        <v>45757.0</v>
      </c>
      <c r="B293" s="19" t="s">
        <v>125</v>
      </c>
      <c r="C293" s="34" t="s">
        <v>143</v>
      </c>
      <c r="D293" s="26" t="s">
        <v>131</v>
      </c>
      <c r="E293" s="22"/>
      <c r="F293" s="23">
        <v>0.006944444444444444</v>
      </c>
      <c r="G293" s="29"/>
      <c r="H293" s="6"/>
      <c r="I293" s="6"/>
      <c r="J293" s="6"/>
      <c r="K293" s="6"/>
      <c r="L293" s="6"/>
      <c r="M293" s="6"/>
      <c r="N293" s="6"/>
      <c r="O293" s="6"/>
      <c r="P293" s="6"/>
      <c r="Q293" s="6"/>
      <c r="R293" s="6"/>
      <c r="S293" s="6"/>
    </row>
    <row r="294" ht="22.5" hidden="1" customHeight="1">
      <c r="A294" s="27">
        <v>45757.0</v>
      </c>
      <c r="B294" s="19" t="s">
        <v>125</v>
      </c>
      <c r="C294" s="34" t="s">
        <v>143</v>
      </c>
      <c r="D294" s="26" t="s">
        <v>41</v>
      </c>
      <c r="E294" s="22"/>
      <c r="F294" s="23">
        <v>0.021527777777777778</v>
      </c>
      <c r="G294" s="29"/>
      <c r="H294" s="6"/>
      <c r="I294" s="6"/>
      <c r="J294" s="6"/>
      <c r="K294" s="6"/>
      <c r="L294" s="6"/>
      <c r="M294" s="6"/>
      <c r="N294" s="6"/>
      <c r="O294" s="6"/>
      <c r="P294" s="6"/>
      <c r="Q294" s="6"/>
      <c r="R294" s="6"/>
      <c r="S294" s="6"/>
    </row>
    <row r="295" ht="22.5" hidden="1" customHeight="1">
      <c r="A295" s="27">
        <v>45758.0</v>
      </c>
      <c r="B295" s="19" t="s">
        <v>125</v>
      </c>
      <c r="C295" s="34" t="s">
        <v>143</v>
      </c>
      <c r="D295" s="26" t="s">
        <v>151</v>
      </c>
      <c r="E295" s="22"/>
      <c r="F295" s="23">
        <v>0.02273148148148148</v>
      </c>
      <c r="G295" s="29"/>
      <c r="H295" s="6"/>
      <c r="I295" s="6"/>
      <c r="J295" s="6"/>
      <c r="K295" s="6"/>
      <c r="L295" s="6"/>
      <c r="M295" s="6"/>
      <c r="N295" s="6"/>
      <c r="O295" s="6"/>
      <c r="P295" s="6"/>
      <c r="Q295" s="6"/>
      <c r="R295" s="6"/>
      <c r="S295" s="6"/>
    </row>
    <row r="296" ht="22.5" hidden="1" customHeight="1">
      <c r="A296" s="27">
        <v>45758.0</v>
      </c>
      <c r="B296" s="19" t="s">
        <v>125</v>
      </c>
      <c r="C296" s="34" t="s">
        <v>143</v>
      </c>
      <c r="D296" s="26" t="s">
        <v>92</v>
      </c>
      <c r="E296" s="22"/>
      <c r="F296" s="23">
        <v>0.006944444444444444</v>
      </c>
      <c r="G296" s="29"/>
      <c r="H296" s="6"/>
      <c r="I296" s="6"/>
      <c r="J296" s="6"/>
      <c r="K296" s="6"/>
      <c r="L296" s="6"/>
      <c r="M296" s="6"/>
      <c r="N296" s="6"/>
      <c r="O296" s="6"/>
      <c r="P296" s="6"/>
      <c r="Q296" s="6"/>
      <c r="R296" s="6"/>
      <c r="S296" s="6"/>
    </row>
    <row r="297" ht="22.5" hidden="1" customHeight="1">
      <c r="A297" s="27">
        <v>45758.0</v>
      </c>
      <c r="B297" s="19" t="s">
        <v>125</v>
      </c>
      <c r="C297" s="34" t="s">
        <v>143</v>
      </c>
      <c r="D297" s="26" t="s">
        <v>93</v>
      </c>
      <c r="E297" s="22"/>
      <c r="F297" s="23">
        <v>0.008333333333333333</v>
      </c>
      <c r="G297" s="29"/>
      <c r="H297" s="6"/>
      <c r="I297" s="6"/>
      <c r="J297" s="6"/>
      <c r="K297" s="6"/>
      <c r="L297" s="6"/>
      <c r="M297" s="6"/>
      <c r="N297" s="6"/>
      <c r="O297" s="6"/>
      <c r="P297" s="6"/>
      <c r="Q297" s="6"/>
      <c r="R297" s="6"/>
      <c r="S297" s="6"/>
    </row>
    <row r="298" ht="22.5" hidden="1" customHeight="1">
      <c r="A298" s="27">
        <v>45758.0</v>
      </c>
      <c r="B298" s="19" t="s">
        <v>125</v>
      </c>
      <c r="C298" s="34" t="s">
        <v>143</v>
      </c>
      <c r="D298" s="26" t="s">
        <v>131</v>
      </c>
      <c r="E298" s="22"/>
      <c r="F298" s="23">
        <v>0.006944444444444444</v>
      </c>
      <c r="G298" s="29"/>
      <c r="H298" s="6"/>
      <c r="I298" s="6"/>
      <c r="J298" s="6"/>
      <c r="K298" s="6"/>
      <c r="L298" s="6"/>
      <c r="M298" s="6"/>
      <c r="N298" s="6"/>
      <c r="O298" s="6"/>
      <c r="P298" s="6"/>
      <c r="Q298" s="6"/>
      <c r="R298" s="6"/>
      <c r="S298" s="6"/>
    </row>
    <row r="299" ht="22.5" hidden="1" customHeight="1">
      <c r="A299" s="27">
        <v>45758.0</v>
      </c>
      <c r="B299" s="19" t="s">
        <v>125</v>
      </c>
      <c r="C299" s="34" t="s">
        <v>143</v>
      </c>
      <c r="D299" s="26" t="s">
        <v>41</v>
      </c>
      <c r="E299" s="22"/>
      <c r="F299" s="23">
        <v>0.021527777777777778</v>
      </c>
      <c r="G299" s="29"/>
      <c r="H299" s="6"/>
      <c r="I299" s="6"/>
      <c r="J299" s="6"/>
      <c r="K299" s="6"/>
      <c r="L299" s="6"/>
      <c r="M299" s="6"/>
      <c r="N299" s="6"/>
      <c r="O299" s="6"/>
      <c r="P299" s="6"/>
      <c r="Q299" s="6"/>
      <c r="R299" s="6"/>
      <c r="S299" s="6"/>
    </row>
    <row r="300" ht="22.5" hidden="1" customHeight="1">
      <c r="A300" s="27">
        <v>45759.0</v>
      </c>
      <c r="B300" s="19" t="s">
        <v>125</v>
      </c>
      <c r="C300" s="34" t="s">
        <v>143</v>
      </c>
      <c r="D300" s="26" t="s">
        <v>152</v>
      </c>
      <c r="E300" s="22"/>
      <c r="F300" s="23">
        <v>0.02091435185185185</v>
      </c>
      <c r="G300" s="29"/>
      <c r="H300" s="6"/>
      <c r="I300" s="6"/>
      <c r="J300" s="6"/>
      <c r="K300" s="6"/>
      <c r="L300" s="6"/>
      <c r="M300" s="6"/>
      <c r="N300" s="6"/>
      <c r="O300" s="6"/>
      <c r="P300" s="6"/>
      <c r="Q300" s="6"/>
      <c r="R300" s="6"/>
      <c r="S300" s="6"/>
    </row>
    <row r="301" ht="22.5" hidden="1" customHeight="1">
      <c r="A301" s="27">
        <v>45759.0</v>
      </c>
      <c r="B301" s="19" t="s">
        <v>125</v>
      </c>
      <c r="C301" s="34" t="s">
        <v>143</v>
      </c>
      <c r="D301" s="26" t="s">
        <v>92</v>
      </c>
      <c r="E301" s="22"/>
      <c r="F301" s="23">
        <v>0.020833333333333332</v>
      </c>
      <c r="G301" s="29"/>
      <c r="H301" s="6"/>
      <c r="I301" s="6"/>
      <c r="J301" s="6"/>
      <c r="K301" s="6"/>
      <c r="L301" s="6"/>
      <c r="M301" s="6"/>
      <c r="N301" s="6"/>
      <c r="O301" s="6"/>
      <c r="P301" s="6"/>
      <c r="Q301" s="6"/>
      <c r="R301" s="6"/>
      <c r="S301" s="6"/>
    </row>
    <row r="302" ht="22.5" hidden="1" customHeight="1">
      <c r="A302" s="27">
        <v>45759.0</v>
      </c>
      <c r="B302" s="19" t="s">
        <v>125</v>
      </c>
      <c r="C302" s="34" t="s">
        <v>143</v>
      </c>
      <c r="D302" s="26" t="s">
        <v>93</v>
      </c>
      <c r="E302" s="22"/>
      <c r="F302" s="23">
        <v>0.006944444444444444</v>
      </c>
      <c r="G302" s="29"/>
      <c r="H302" s="6"/>
      <c r="I302" s="6"/>
      <c r="J302" s="6"/>
      <c r="K302" s="6"/>
      <c r="L302" s="6"/>
      <c r="M302" s="6"/>
      <c r="N302" s="6"/>
      <c r="O302" s="6"/>
      <c r="P302" s="6"/>
      <c r="Q302" s="6"/>
      <c r="R302" s="6"/>
      <c r="S302" s="6"/>
    </row>
    <row r="303" ht="22.5" hidden="1" customHeight="1">
      <c r="A303" s="27">
        <v>45759.0</v>
      </c>
      <c r="B303" s="19" t="s">
        <v>125</v>
      </c>
      <c r="C303" s="34" t="s">
        <v>143</v>
      </c>
      <c r="D303" s="26" t="s">
        <v>131</v>
      </c>
      <c r="E303" s="22"/>
      <c r="F303" s="23">
        <v>0.006944444444444444</v>
      </c>
      <c r="G303" s="29"/>
      <c r="H303" s="6"/>
      <c r="I303" s="6"/>
      <c r="J303" s="6"/>
      <c r="K303" s="6"/>
      <c r="L303" s="6"/>
      <c r="M303" s="6"/>
      <c r="N303" s="6"/>
      <c r="O303" s="6"/>
      <c r="P303" s="6"/>
      <c r="Q303" s="6"/>
      <c r="R303" s="6"/>
      <c r="S303" s="6"/>
    </row>
    <row r="304" ht="22.5" hidden="1" customHeight="1">
      <c r="A304" s="27">
        <v>45759.0</v>
      </c>
      <c r="B304" s="19" t="s">
        <v>125</v>
      </c>
      <c r="C304" s="34" t="s">
        <v>143</v>
      </c>
      <c r="D304" s="26" t="s">
        <v>41</v>
      </c>
      <c r="E304" s="22"/>
      <c r="F304" s="23">
        <v>0.020833333333333332</v>
      </c>
      <c r="G304" s="29"/>
      <c r="H304" s="6"/>
      <c r="I304" s="6"/>
      <c r="J304" s="6"/>
      <c r="K304" s="6"/>
      <c r="L304" s="6"/>
      <c r="M304" s="6"/>
      <c r="N304" s="6"/>
      <c r="O304" s="6"/>
      <c r="P304" s="6"/>
      <c r="Q304" s="6"/>
      <c r="R304" s="6"/>
      <c r="S304" s="6"/>
    </row>
    <row r="305" ht="22.5" hidden="1" customHeight="1">
      <c r="A305" s="27">
        <v>45760.0</v>
      </c>
      <c r="B305" s="19" t="s">
        <v>125</v>
      </c>
      <c r="C305" s="34" t="s">
        <v>143</v>
      </c>
      <c r="D305" s="26" t="s">
        <v>153</v>
      </c>
      <c r="E305" s="22"/>
      <c r="F305" s="23">
        <v>0.016805555555555556</v>
      </c>
      <c r="G305" s="29"/>
      <c r="H305" s="6"/>
      <c r="I305" s="6"/>
      <c r="J305" s="6"/>
      <c r="K305" s="6"/>
      <c r="L305" s="6"/>
      <c r="M305" s="6"/>
      <c r="N305" s="6"/>
      <c r="O305" s="6"/>
      <c r="P305" s="6"/>
      <c r="Q305" s="6"/>
      <c r="R305" s="6"/>
      <c r="S305" s="6"/>
    </row>
    <row r="306" ht="22.5" hidden="1" customHeight="1">
      <c r="A306" s="27">
        <v>45760.0</v>
      </c>
      <c r="B306" s="19" t="s">
        <v>125</v>
      </c>
      <c r="C306" s="34" t="s">
        <v>143</v>
      </c>
      <c r="D306" s="26" t="s">
        <v>92</v>
      </c>
      <c r="E306" s="22"/>
      <c r="F306" s="23">
        <v>0.010416666666666666</v>
      </c>
      <c r="G306" s="29"/>
      <c r="H306" s="6"/>
      <c r="I306" s="6"/>
      <c r="J306" s="6"/>
      <c r="K306" s="6"/>
      <c r="L306" s="6"/>
      <c r="M306" s="6"/>
      <c r="N306" s="6"/>
      <c r="O306" s="6"/>
      <c r="P306" s="6"/>
      <c r="Q306" s="6"/>
      <c r="R306" s="6"/>
      <c r="S306" s="6"/>
    </row>
    <row r="307" ht="22.5" hidden="1" customHeight="1">
      <c r="A307" s="27">
        <v>45760.0</v>
      </c>
      <c r="B307" s="19" t="s">
        <v>125</v>
      </c>
      <c r="C307" s="34" t="s">
        <v>143</v>
      </c>
      <c r="D307" s="26" t="s">
        <v>93</v>
      </c>
      <c r="E307" s="22"/>
      <c r="F307" s="23">
        <v>0.009027777777777777</v>
      </c>
      <c r="G307" s="29"/>
      <c r="H307" s="6"/>
      <c r="I307" s="6"/>
      <c r="J307" s="6"/>
      <c r="K307" s="6"/>
      <c r="L307" s="6"/>
      <c r="M307" s="6"/>
      <c r="N307" s="6"/>
      <c r="O307" s="6"/>
      <c r="P307" s="6"/>
      <c r="Q307" s="6"/>
      <c r="R307" s="6"/>
      <c r="S307" s="6"/>
    </row>
    <row r="308" ht="22.5" hidden="1" customHeight="1">
      <c r="A308" s="27">
        <v>45760.0</v>
      </c>
      <c r="B308" s="19" t="s">
        <v>125</v>
      </c>
      <c r="C308" s="34" t="s">
        <v>143</v>
      </c>
      <c r="D308" s="26" t="s">
        <v>131</v>
      </c>
      <c r="E308" s="22"/>
      <c r="F308" s="23">
        <v>0.006944444444444444</v>
      </c>
      <c r="G308" s="29"/>
      <c r="H308" s="6"/>
      <c r="I308" s="6"/>
      <c r="J308" s="6"/>
      <c r="K308" s="6"/>
      <c r="L308" s="6"/>
      <c r="M308" s="6"/>
      <c r="N308" s="6"/>
      <c r="O308" s="6"/>
      <c r="P308" s="6"/>
      <c r="Q308" s="6"/>
      <c r="R308" s="6"/>
      <c r="S308" s="6"/>
    </row>
    <row r="309" ht="22.5" hidden="1" customHeight="1">
      <c r="A309" s="27">
        <v>45760.0</v>
      </c>
      <c r="B309" s="19" t="s">
        <v>125</v>
      </c>
      <c r="C309" s="34" t="s">
        <v>143</v>
      </c>
      <c r="D309" s="26" t="s">
        <v>41</v>
      </c>
      <c r="E309" s="22"/>
      <c r="F309" s="23">
        <v>0.020833333333333332</v>
      </c>
      <c r="G309" s="29"/>
      <c r="H309" s="6"/>
      <c r="I309" s="6"/>
      <c r="J309" s="6"/>
      <c r="K309" s="6"/>
      <c r="L309" s="6"/>
      <c r="M309" s="6"/>
      <c r="N309" s="6"/>
      <c r="O309" s="6"/>
      <c r="P309" s="6"/>
      <c r="Q309" s="6"/>
      <c r="R309" s="6"/>
      <c r="S309" s="6"/>
    </row>
    <row r="310" ht="22.5" hidden="1" customHeight="1">
      <c r="A310" s="27">
        <v>45761.0</v>
      </c>
      <c r="B310" s="19" t="s">
        <v>125</v>
      </c>
      <c r="C310" s="34" t="s">
        <v>143</v>
      </c>
      <c r="D310" s="26" t="s">
        <v>154</v>
      </c>
      <c r="E310" s="22"/>
      <c r="F310" s="23">
        <v>0.014097222222222223</v>
      </c>
      <c r="G310" s="29"/>
      <c r="H310" s="6"/>
      <c r="I310" s="6"/>
      <c r="J310" s="6"/>
      <c r="K310" s="6"/>
      <c r="L310" s="6"/>
      <c r="M310" s="6"/>
      <c r="N310" s="6"/>
      <c r="O310" s="6"/>
      <c r="P310" s="6"/>
      <c r="Q310" s="6"/>
      <c r="R310" s="6"/>
      <c r="S310" s="6"/>
    </row>
    <row r="311" ht="22.5" hidden="1" customHeight="1">
      <c r="A311" s="27">
        <v>45761.0</v>
      </c>
      <c r="B311" s="19" t="s">
        <v>125</v>
      </c>
      <c r="C311" s="34" t="s">
        <v>143</v>
      </c>
      <c r="D311" s="26" t="s">
        <v>92</v>
      </c>
      <c r="E311" s="22"/>
      <c r="F311" s="23">
        <v>0.010416666666666666</v>
      </c>
      <c r="G311" s="29"/>
      <c r="H311" s="6"/>
      <c r="I311" s="6"/>
      <c r="J311" s="6"/>
      <c r="K311" s="6"/>
      <c r="L311" s="6"/>
      <c r="M311" s="6"/>
      <c r="N311" s="6"/>
      <c r="O311" s="6"/>
      <c r="P311" s="6"/>
      <c r="Q311" s="6"/>
      <c r="R311" s="6"/>
      <c r="S311" s="6"/>
    </row>
    <row r="312" ht="22.5" hidden="1" customHeight="1">
      <c r="A312" s="27">
        <v>45761.0</v>
      </c>
      <c r="B312" s="19" t="s">
        <v>125</v>
      </c>
      <c r="C312" s="34" t="s">
        <v>143</v>
      </c>
      <c r="D312" s="26" t="s">
        <v>93</v>
      </c>
      <c r="E312" s="22"/>
      <c r="F312" s="23">
        <v>0.009027777777777777</v>
      </c>
      <c r="G312" s="29"/>
      <c r="H312" s="6"/>
      <c r="I312" s="6"/>
      <c r="J312" s="6"/>
      <c r="K312" s="6"/>
      <c r="L312" s="6"/>
      <c r="M312" s="6"/>
      <c r="N312" s="6"/>
      <c r="O312" s="6"/>
      <c r="P312" s="6"/>
      <c r="Q312" s="6"/>
      <c r="R312" s="6"/>
      <c r="S312" s="6"/>
    </row>
    <row r="313" ht="22.5" hidden="1" customHeight="1">
      <c r="A313" s="27">
        <v>45761.0</v>
      </c>
      <c r="B313" s="19" t="s">
        <v>125</v>
      </c>
      <c r="C313" s="34" t="s">
        <v>143</v>
      </c>
      <c r="D313" s="26" t="s">
        <v>131</v>
      </c>
      <c r="E313" s="22"/>
      <c r="F313" s="23">
        <v>0.006944444444444444</v>
      </c>
      <c r="G313" s="29"/>
      <c r="H313" s="6"/>
      <c r="I313" s="6"/>
      <c r="J313" s="6"/>
      <c r="K313" s="6"/>
      <c r="L313" s="6"/>
      <c r="M313" s="6"/>
      <c r="N313" s="6"/>
      <c r="O313" s="6"/>
      <c r="P313" s="6"/>
      <c r="Q313" s="6"/>
      <c r="R313" s="6"/>
      <c r="S313" s="6"/>
    </row>
    <row r="314" ht="22.5" hidden="1" customHeight="1">
      <c r="A314" s="27">
        <v>45761.0</v>
      </c>
      <c r="B314" s="19" t="s">
        <v>125</v>
      </c>
      <c r="C314" s="34" t="s">
        <v>143</v>
      </c>
      <c r="D314" s="26" t="s">
        <v>41</v>
      </c>
      <c r="E314" s="22"/>
      <c r="F314" s="23">
        <v>0.02013888888888889</v>
      </c>
      <c r="G314" s="29"/>
      <c r="H314" s="6"/>
      <c r="I314" s="6"/>
      <c r="J314" s="6"/>
      <c r="K314" s="6"/>
      <c r="L314" s="6"/>
      <c r="M314" s="6"/>
      <c r="N314" s="6"/>
      <c r="O314" s="6"/>
      <c r="P314" s="6"/>
      <c r="Q314" s="6"/>
      <c r="R314" s="6"/>
      <c r="S314" s="6"/>
    </row>
    <row r="315" ht="22.5" hidden="1" customHeight="1">
      <c r="A315" s="27">
        <v>45762.0</v>
      </c>
      <c r="B315" s="19" t="s">
        <v>125</v>
      </c>
      <c r="C315" s="34" t="s">
        <v>143</v>
      </c>
      <c r="D315" s="26" t="s">
        <v>155</v>
      </c>
      <c r="E315" s="22"/>
      <c r="F315" s="23">
        <v>0.014016203703703704</v>
      </c>
      <c r="G315" s="29"/>
      <c r="H315" s="6"/>
      <c r="I315" s="6"/>
      <c r="J315" s="6"/>
      <c r="K315" s="6"/>
      <c r="L315" s="6"/>
      <c r="M315" s="6"/>
      <c r="N315" s="6"/>
      <c r="O315" s="6"/>
      <c r="P315" s="6"/>
      <c r="Q315" s="6"/>
      <c r="R315" s="6"/>
      <c r="S315" s="6"/>
    </row>
    <row r="316" ht="22.5" hidden="1" customHeight="1">
      <c r="A316" s="27">
        <v>45762.0</v>
      </c>
      <c r="B316" s="19" t="s">
        <v>125</v>
      </c>
      <c r="C316" s="34" t="s">
        <v>143</v>
      </c>
      <c r="D316" s="26" t="s">
        <v>92</v>
      </c>
      <c r="E316" s="22"/>
      <c r="F316" s="23">
        <v>0.013888888888888888</v>
      </c>
      <c r="G316" s="29"/>
      <c r="H316" s="6"/>
      <c r="I316" s="6"/>
      <c r="J316" s="6"/>
      <c r="K316" s="6"/>
      <c r="L316" s="6"/>
      <c r="M316" s="6"/>
      <c r="N316" s="6"/>
      <c r="O316" s="6"/>
      <c r="P316" s="6"/>
      <c r="Q316" s="6"/>
      <c r="R316" s="6"/>
      <c r="S316" s="6"/>
    </row>
    <row r="317" ht="22.5" hidden="1" customHeight="1">
      <c r="A317" s="27">
        <v>45762.0</v>
      </c>
      <c r="B317" s="19" t="s">
        <v>125</v>
      </c>
      <c r="C317" s="34" t="s">
        <v>143</v>
      </c>
      <c r="D317" s="26" t="s">
        <v>93</v>
      </c>
      <c r="E317" s="22"/>
      <c r="F317" s="23">
        <v>0.009027777777777777</v>
      </c>
      <c r="G317" s="29"/>
      <c r="H317" s="6"/>
      <c r="I317" s="6"/>
      <c r="J317" s="6"/>
      <c r="K317" s="6"/>
      <c r="L317" s="6"/>
      <c r="M317" s="6"/>
      <c r="N317" s="6"/>
      <c r="O317" s="6"/>
      <c r="P317" s="6"/>
      <c r="Q317" s="6"/>
      <c r="R317" s="6"/>
      <c r="S317" s="6"/>
    </row>
    <row r="318" ht="22.5" hidden="1" customHeight="1">
      <c r="A318" s="27">
        <v>45762.0</v>
      </c>
      <c r="B318" s="19" t="s">
        <v>125</v>
      </c>
      <c r="C318" s="34" t="s">
        <v>143</v>
      </c>
      <c r="D318" s="26" t="s">
        <v>131</v>
      </c>
      <c r="E318" s="22"/>
      <c r="F318" s="23">
        <v>0.006944444444444444</v>
      </c>
      <c r="G318" s="29"/>
      <c r="H318" s="6"/>
      <c r="I318" s="6"/>
      <c r="J318" s="6"/>
      <c r="K318" s="6"/>
      <c r="L318" s="6"/>
      <c r="M318" s="6"/>
      <c r="N318" s="6"/>
      <c r="O318" s="6"/>
      <c r="P318" s="6"/>
      <c r="Q318" s="6"/>
      <c r="R318" s="6"/>
      <c r="S318" s="6"/>
    </row>
    <row r="319" ht="22.5" hidden="1" customHeight="1">
      <c r="A319" s="27">
        <v>45762.0</v>
      </c>
      <c r="B319" s="19" t="s">
        <v>125</v>
      </c>
      <c r="C319" s="34" t="s">
        <v>143</v>
      </c>
      <c r="D319" s="26" t="s">
        <v>41</v>
      </c>
      <c r="E319" s="22"/>
      <c r="F319" s="23">
        <v>0.020833333333333332</v>
      </c>
      <c r="G319" s="29"/>
      <c r="H319" s="6"/>
      <c r="I319" s="6"/>
      <c r="J319" s="6"/>
      <c r="K319" s="6"/>
      <c r="L319" s="6"/>
      <c r="M319" s="6"/>
      <c r="N319" s="6"/>
      <c r="O319" s="6"/>
      <c r="P319" s="6"/>
      <c r="Q319" s="6"/>
      <c r="R319" s="6"/>
      <c r="S319" s="6"/>
    </row>
    <row r="320" ht="22.5" hidden="1" customHeight="1">
      <c r="A320" s="27">
        <v>45763.0</v>
      </c>
      <c r="B320" s="19" t="s">
        <v>125</v>
      </c>
      <c r="C320" s="34" t="s">
        <v>143</v>
      </c>
      <c r="D320" s="26" t="s">
        <v>156</v>
      </c>
      <c r="E320" s="22"/>
      <c r="F320" s="23">
        <v>0.01670138888888889</v>
      </c>
      <c r="G320" s="29"/>
      <c r="H320" s="6"/>
      <c r="I320" s="6"/>
      <c r="J320" s="6"/>
      <c r="K320" s="6"/>
      <c r="L320" s="6"/>
      <c r="M320" s="6"/>
      <c r="N320" s="6"/>
      <c r="O320" s="6"/>
      <c r="P320" s="6"/>
      <c r="Q320" s="6"/>
      <c r="R320" s="6"/>
      <c r="S320" s="6"/>
    </row>
    <row r="321" ht="22.5" hidden="1" customHeight="1">
      <c r="A321" s="27">
        <v>45763.0</v>
      </c>
      <c r="B321" s="19" t="s">
        <v>125</v>
      </c>
      <c r="C321" s="34" t="s">
        <v>143</v>
      </c>
      <c r="D321" s="26" t="s">
        <v>92</v>
      </c>
      <c r="E321" s="22"/>
      <c r="F321" s="23">
        <v>0.010416666666666666</v>
      </c>
      <c r="G321" s="29"/>
      <c r="H321" s="6"/>
      <c r="I321" s="6"/>
      <c r="J321" s="6"/>
      <c r="K321" s="6"/>
      <c r="L321" s="6"/>
      <c r="M321" s="6"/>
      <c r="N321" s="6"/>
      <c r="O321" s="6"/>
      <c r="P321" s="6"/>
      <c r="Q321" s="6"/>
      <c r="R321" s="6"/>
      <c r="S321" s="6"/>
    </row>
    <row r="322" ht="22.5" hidden="1" customHeight="1">
      <c r="A322" s="27">
        <v>45763.0</v>
      </c>
      <c r="B322" s="19" t="s">
        <v>125</v>
      </c>
      <c r="C322" s="34" t="s">
        <v>143</v>
      </c>
      <c r="D322" s="26" t="s">
        <v>93</v>
      </c>
      <c r="E322" s="22"/>
      <c r="F322" s="23">
        <v>0.009027777777777777</v>
      </c>
      <c r="G322" s="29"/>
      <c r="H322" s="6"/>
      <c r="I322" s="6"/>
      <c r="J322" s="6"/>
      <c r="K322" s="6"/>
      <c r="L322" s="6"/>
      <c r="M322" s="6"/>
      <c r="N322" s="6"/>
      <c r="O322" s="6"/>
      <c r="P322" s="6"/>
      <c r="Q322" s="6"/>
      <c r="R322" s="6"/>
      <c r="S322" s="6"/>
    </row>
    <row r="323" ht="22.5" hidden="1" customHeight="1">
      <c r="A323" s="27">
        <v>45763.0</v>
      </c>
      <c r="B323" s="19" t="s">
        <v>125</v>
      </c>
      <c r="C323" s="34" t="s">
        <v>143</v>
      </c>
      <c r="D323" s="26" t="s">
        <v>131</v>
      </c>
      <c r="E323" s="22"/>
      <c r="F323" s="23">
        <v>0.006944444444444444</v>
      </c>
      <c r="G323" s="29"/>
      <c r="H323" s="6"/>
      <c r="I323" s="6"/>
      <c r="J323" s="6"/>
      <c r="K323" s="6"/>
      <c r="L323" s="6"/>
      <c r="M323" s="6"/>
      <c r="N323" s="6"/>
      <c r="O323" s="6"/>
      <c r="P323" s="6"/>
      <c r="Q323" s="6"/>
      <c r="R323" s="6"/>
      <c r="S323" s="6"/>
    </row>
    <row r="324" ht="22.5" hidden="1" customHeight="1">
      <c r="A324" s="27">
        <v>45763.0</v>
      </c>
      <c r="B324" s="19" t="s">
        <v>125</v>
      </c>
      <c r="C324" s="34" t="s">
        <v>143</v>
      </c>
      <c r="D324" s="26" t="s">
        <v>41</v>
      </c>
      <c r="E324" s="22"/>
      <c r="F324" s="23">
        <v>0.020833333333333332</v>
      </c>
      <c r="G324" s="29"/>
      <c r="H324" s="6"/>
      <c r="I324" s="6"/>
      <c r="J324" s="6"/>
      <c r="K324" s="6"/>
      <c r="L324" s="6"/>
      <c r="M324" s="6"/>
      <c r="N324" s="6"/>
      <c r="O324" s="6"/>
      <c r="P324" s="6"/>
      <c r="Q324" s="6"/>
      <c r="R324" s="6"/>
      <c r="S324" s="6"/>
    </row>
    <row r="325" ht="22.5" hidden="1" customHeight="1">
      <c r="A325" s="27">
        <v>45764.0</v>
      </c>
      <c r="B325" s="19" t="s">
        <v>125</v>
      </c>
      <c r="C325" s="34" t="s">
        <v>143</v>
      </c>
      <c r="D325" s="26" t="s">
        <v>157</v>
      </c>
      <c r="E325" s="22"/>
      <c r="F325" s="23">
        <v>0.022094907407407407</v>
      </c>
      <c r="G325" s="29"/>
      <c r="H325" s="6"/>
      <c r="I325" s="6"/>
      <c r="J325" s="6"/>
      <c r="K325" s="6"/>
      <c r="L325" s="6"/>
      <c r="M325" s="6"/>
      <c r="N325" s="6"/>
      <c r="O325" s="6"/>
      <c r="P325" s="6"/>
      <c r="Q325" s="6"/>
      <c r="R325" s="6"/>
      <c r="S325" s="6"/>
    </row>
    <row r="326" ht="22.5" hidden="1" customHeight="1">
      <c r="A326" s="27">
        <v>45764.0</v>
      </c>
      <c r="B326" s="19" t="s">
        <v>125</v>
      </c>
      <c r="C326" s="34" t="s">
        <v>143</v>
      </c>
      <c r="D326" s="26" t="s">
        <v>92</v>
      </c>
      <c r="E326" s="22"/>
      <c r="F326" s="23">
        <v>0.010416666666666666</v>
      </c>
      <c r="G326" s="29"/>
      <c r="H326" s="6"/>
      <c r="I326" s="6"/>
      <c r="J326" s="6"/>
      <c r="K326" s="6"/>
      <c r="L326" s="6"/>
      <c r="M326" s="6"/>
      <c r="N326" s="6"/>
      <c r="O326" s="6"/>
      <c r="P326" s="6"/>
      <c r="Q326" s="6"/>
      <c r="R326" s="6"/>
      <c r="S326" s="6"/>
    </row>
    <row r="327" ht="22.5" hidden="1" customHeight="1">
      <c r="A327" s="27">
        <v>45764.0</v>
      </c>
      <c r="B327" s="19" t="s">
        <v>125</v>
      </c>
      <c r="C327" s="34" t="s">
        <v>143</v>
      </c>
      <c r="D327" s="26" t="s">
        <v>93</v>
      </c>
      <c r="E327" s="22"/>
      <c r="F327" s="23">
        <v>0.009027777777777777</v>
      </c>
      <c r="G327" s="29"/>
      <c r="H327" s="6"/>
      <c r="I327" s="6"/>
      <c r="J327" s="6"/>
      <c r="K327" s="6"/>
      <c r="L327" s="6"/>
      <c r="M327" s="6"/>
      <c r="N327" s="6"/>
      <c r="O327" s="6"/>
      <c r="P327" s="6"/>
      <c r="Q327" s="6"/>
      <c r="R327" s="6"/>
      <c r="S327" s="6"/>
    </row>
    <row r="328" ht="22.5" hidden="1" customHeight="1">
      <c r="A328" s="27">
        <v>45764.0</v>
      </c>
      <c r="B328" s="19" t="s">
        <v>125</v>
      </c>
      <c r="C328" s="34" t="s">
        <v>143</v>
      </c>
      <c r="D328" s="26" t="s">
        <v>131</v>
      </c>
      <c r="E328" s="22"/>
      <c r="F328" s="23">
        <v>0.006944444444444444</v>
      </c>
      <c r="G328" s="29"/>
      <c r="H328" s="6"/>
      <c r="I328" s="6"/>
      <c r="J328" s="6"/>
      <c r="K328" s="6"/>
      <c r="L328" s="6"/>
      <c r="M328" s="6"/>
      <c r="N328" s="6"/>
      <c r="O328" s="6"/>
      <c r="P328" s="6"/>
      <c r="Q328" s="6"/>
      <c r="R328" s="6"/>
      <c r="S328" s="6"/>
    </row>
    <row r="329" ht="22.5" hidden="1" customHeight="1">
      <c r="A329" s="27">
        <v>45764.0</v>
      </c>
      <c r="B329" s="19" t="s">
        <v>125</v>
      </c>
      <c r="C329" s="34" t="s">
        <v>143</v>
      </c>
      <c r="D329" s="26" t="s">
        <v>41</v>
      </c>
      <c r="E329" s="22"/>
      <c r="F329" s="23">
        <v>0.020833333333333332</v>
      </c>
      <c r="G329" s="29"/>
      <c r="H329" s="6"/>
      <c r="I329" s="6"/>
      <c r="J329" s="6"/>
      <c r="K329" s="6"/>
      <c r="L329" s="6"/>
      <c r="M329" s="6"/>
      <c r="N329" s="6"/>
      <c r="O329" s="6"/>
      <c r="P329" s="6"/>
      <c r="Q329" s="6"/>
      <c r="R329" s="6"/>
      <c r="S329" s="6"/>
    </row>
    <row r="330" ht="22.5" hidden="1" customHeight="1">
      <c r="A330" s="27">
        <v>45765.0</v>
      </c>
      <c r="B330" s="19" t="s">
        <v>125</v>
      </c>
      <c r="C330" s="34" t="s">
        <v>143</v>
      </c>
      <c r="D330" s="26" t="s">
        <v>158</v>
      </c>
      <c r="E330" s="22"/>
      <c r="F330" s="23">
        <v>0.0027430555555555554</v>
      </c>
      <c r="G330" s="29" t="s">
        <v>159</v>
      </c>
      <c r="H330" s="6"/>
      <c r="I330" s="6"/>
      <c r="J330" s="6"/>
      <c r="K330" s="6"/>
      <c r="L330" s="6"/>
      <c r="M330" s="6"/>
      <c r="N330" s="6"/>
      <c r="O330" s="6"/>
      <c r="P330" s="6"/>
      <c r="Q330" s="6"/>
      <c r="R330" s="6"/>
      <c r="S330" s="6"/>
    </row>
    <row r="331" ht="22.5" hidden="1" customHeight="1">
      <c r="A331" s="27">
        <v>45765.0</v>
      </c>
      <c r="B331" s="19" t="s">
        <v>125</v>
      </c>
      <c r="C331" s="34" t="s">
        <v>143</v>
      </c>
      <c r="D331" s="26" t="s">
        <v>160</v>
      </c>
      <c r="E331" s="22"/>
      <c r="F331" s="23">
        <v>0.0</v>
      </c>
      <c r="G331" s="29"/>
      <c r="H331" s="6"/>
      <c r="I331" s="6"/>
      <c r="J331" s="6"/>
      <c r="K331" s="6"/>
      <c r="L331" s="6"/>
      <c r="M331" s="6"/>
      <c r="N331" s="6"/>
      <c r="O331" s="6"/>
      <c r="P331" s="6"/>
      <c r="Q331" s="6"/>
      <c r="R331" s="6"/>
      <c r="S331" s="6"/>
    </row>
    <row r="332" ht="22.5" hidden="1" customHeight="1">
      <c r="A332" s="27">
        <v>45765.0</v>
      </c>
      <c r="B332" s="19" t="s">
        <v>125</v>
      </c>
      <c r="C332" s="34" t="s">
        <v>161</v>
      </c>
      <c r="D332" s="26" t="s">
        <v>162</v>
      </c>
      <c r="E332" s="22"/>
      <c r="F332" s="23">
        <v>0.00375</v>
      </c>
      <c r="G332" s="29"/>
      <c r="H332" s="6"/>
      <c r="I332" s="6"/>
      <c r="J332" s="6"/>
      <c r="K332" s="6"/>
      <c r="L332" s="6"/>
      <c r="M332" s="6"/>
      <c r="N332" s="6"/>
      <c r="O332" s="6"/>
      <c r="P332" s="6"/>
      <c r="Q332" s="6"/>
      <c r="R332" s="6"/>
      <c r="S332" s="6"/>
    </row>
    <row r="333" ht="22.5" hidden="1" customHeight="1">
      <c r="A333" s="27">
        <v>45765.0</v>
      </c>
      <c r="B333" s="19" t="s">
        <v>125</v>
      </c>
      <c r="C333" s="34" t="s">
        <v>161</v>
      </c>
      <c r="D333" s="26" t="s">
        <v>92</v>
      </c>
      <c r="E333" s="22"/>
      <c r="F333" s="23">
        <v>0.010416666666666666</v>
      </c>
      <c r="G333" s="29"/>
      <c r="H333" s="6"/>
      <c r="I333" s="6"/>
      <c r="J333" s="6"/>
      <c r="K333" s="6"/>
      <c r="L333" s="6"/>
      <c r="M333" s="6"/>
      <c r="N333" s="6"/>
      <c r="O333" s="6"/>
      <c r="P333" s="6"/>
      <c r="Q333" s="6"/>
      <c r="R333" s="6"/>
      <c r="S333" s="6"/>
    </row>
    <row r="334" ht="22.5" hidden="1" customHeight="1">
      <c r="A334" s="27">
        <v>45765.0</v>
      </c>
      <c r="B334" s="19" t="s">
        <v>125</v>
      </c>
      <c r="C334" s="34" t="s">
        <v>161</v>
      </c>
      <c r="D334" s="26" t="s">
        <v>93</v>
      </c>
      <c r="E334" s="22"/>
      <c r="F334" s="23">
        <v>0.009027777777777777</v>
      </c>
      <c r="G334" s="29"/>
      <c r="H334" s="6"/>
      <c r="I334" s="6"/>
      <c r="J334" s="6"/>
      <c r="K334" s="6"/>
      <c r="L334" s="6"/>
      <c r="M334" s="6"/>
      <c r="N334" s="6"/>
      <c r="O334" s="6"/>
      <c r="P334" s="6"/>
      <c r="Q334" s="6"/>
      <c r="R334" s="6"/>
      <c r="S334" s="6"/>
    </row>
    <row r="335" ht="22.5" hidden="1" customHeight="1">
      <c r="A335" s="27">
        <v>45765.0</v>
      </c>
      <c r="B335" s="19" t="s">
        <v>125</v>
      </c>
      <c r="C335" s="34" t="s">
        <v>161</v>
      </c>
      <c r="D335" s="26" t="s">
        <v>131</v>
      </c>
      <c r="E335" s="22"/>
      <c r="F335" s="23">
        <v>0.006944444444444444</v>
      </c>
      <c r="G335" s="29"/>
      <c r="H335" s="6"/>
      <c r="I335" s="6"/>
      <c r="J335" s="6"/>
      <c r="K335" s="6"/>
      <c r="L335" s="6"/>
      <c r="M335" s="6"/>
      <c r="N335" s="6"/>
      <c r="O335" s="6"/>
      <c r="P335" s="6"/>
      <c r="Q335" s="6"/>
      <c r="R335" s="6"/>
      <c r="S335" s="6"/>
    </row>
    <row r="336" ht="22.5" hidden="1" customHeight="1">
      <c r="A336" s="27">
        <v>45765.0</v>
      </c>
      <c r="B336" s="19" t="s">
        <v>125</v>
      </c>
      <c r="C336" s="34" t="s">
        <v>161</v>
      </c>
      <c r="D336" s="26" t="s">
        <v>41</v>
      </c>
      <c r="E336" s="22"/>
      <c r="F336" s="23">
        <v>0.020833333333333332</v>
      </c>
      <c r="G336" s="29"/>
      <c r="H336" s="6"/>
      <c r="I336" s="6"/>
      <c r="J336" s="6"/>
      <c r="K336" s="6"/>
      <c r="L336" s="6"/>
      <c r="M336" s="6"/>
      <c r="N336" s="6"/>
      <c r="O336" s="6"/>
      <c r="P336" s="6"/>
      <c r="Q336" s="6"/>
      <c r="R336" s="6"/>
      <c r="S336" s="6"/>
    </row>
    <row r="337" ht="22.5" hidden="1" customHeight="1">
      <c r="A337" s="27">
        <v>45766.0</v>
      </c>
      <c r="B337" s="19" t="s">
        <v>125</v>
      </c>
      <c r="C337" s="34" t="s">
        <v>161</v>
      </c>
      <c r="D337" s="26" t="s">
        <v>163</v>
      </c>
      <c r="E337" s="22"/>
      <c r="F337" s="23">
        <v>0.024710648148148148</v>
      </c>
      <c r="G337" s="29"/>
      <c r="H337" s="6"/>
      <c r="I337" s="6"/>
      <c r="J337" s="6"/>
      <c r="K337" s="6"/>
      <c r="L337" s="6"/>
      <c r="M337" s="6"/>
      <c r="N337" s="6"/>
      <c r="O337" s="6"/>
      <c r="P337" s="6"/>
      <c r="Q337" s="6"/>
      <c r="R337" s="6"/>
      <c r="S337" s="6"/>
    </row>
    <row r="338" ht="22.5" hidden="1" customHeight="1">
      <c r="A338" s="27">
        <v>45766.0</v>
      </c>
      <c r="B338" s="19" t="s">
        <v>125</v>
      </c>
      <c r="C338" s="34" t="s">
        <v>161</v>
      </c>
      <c r="D338" s="26" t="s">
        <v>92</v>
      </c>
      <c r="E338" s="22"/>
      <c r="F338" s="23">
        <v>0.010416666666666666</v>
      </c>
      <c r="G338" s="29"/>
      <c r="H338" s="6"/>
      <c r="I338" s="6"/>
      <c r="J338" s="6"/>
      <c r="K338" s="6"/>
      <c r="L338" s="6"/>
      <c r="M338" s="6"/>
      <c r="N338" s="6"/>
      <c r="O338" s="6"/>
      <c r="P338" s="6"/>
      <c r="Q338" s="6"/>
      <c r="R338" s="6"/>
      <c r="S338" s="6"/>
    </row>
    <row r="339" ht="22.5" hidden="1" customHeight="1">
      <c r="A339" s="27">
        <v>45766.0</v>
      </c>
      <c r="B339" s="19" t="s">
        <v>125</v>
      </c>
      <c r="C339" s="34" t="s">
        <v>161</v>
      </c>
      <c r="D339" s="26" t="s">
        <v>93</v>
      </c>
      <c r="E339" s="22"/>
      <c r="F339" s="23">
        <v>0.009027777777777777</v>
      </c>
      <c r="G339" s="29"/>
      <c r="H339" s="6"/>
      <c r="I339" s="6"/>
      <c r="J339" s="6"/>
      <c r="K339" s="6"/>
      <c r="L339" s="6"/>
      <c r="M339" s="6"/>
      <c r="N339" s="6"/>
      <c r="O339" s="6"/>
      <c r="P339" s="6"/>
      <c r="Q339" s="6"/>
      <c r="R339" s="6"/>
      <c r="S339" s="6"/>
    </row>
    <row r="340" ht="22.5" hidden="1" customHeight="1">
      <c r="A340" s="27">
        <v>45766.0</v>
      </c>
      <c r="B340" s="19" t="s">
        <v>125</v>
      </c>
      <c r="C340" s="34" t="s">
        <v>161</v>
      </c>
      <c r="D340" s="26" t="s">
        <v>131</v>
      </c>
      <c r="E340" s="22"/>
      <c r="F340" s="23">
        <v>0.006944444444444444</v>
      </c>
      <c r="G340" s="29"/>
      <c r="H340" s="6"/>
      <c r="I340" s="6"/>
      <c r="J340" s="6"/>
      <c r="K340" s="6"/>
      <c r="L340" s="6"/>
      <c r="M340" s="6"/>
      <c r="N340" s="6"/>
      <c r="O340" s="6"/>
      <c r="P340" s="6"/>
      <c r="Q340" s="6"/>
      <c r="R340" s="6"/>
      <c r="S340" s="6"/>
    </row>
    <row r="341" ht="22.5" hidden="1" customHeight="1">
      <c r="A341" s="27">
        <v>45766.0</v>
      </c>
      <c r="B341" s="19" t="s">
        <v>125</v>
      </c>
      <c r="C341" s="34" t="s">
        <v>161</v>
      </c>
      <c r="D341" s="26" t="s">
        <v>41</v>
      </c>
      <c r="E341" s="22"/>
      <c r="F341" s="23">
        <v>0.020833333333333332</v>
      </c>
      <c r="G341" s="29"/>
      <c r="H341" s="6"/>
      <c r="I341" s="6"/>
      <c r="J341" s="6"/>
      <c r="K341" s="6"/>
      <c r="L341" s="6"/>
      <c r="M341" s="6"/>
      <c r="N341" s="6"/>
      <c r="O341" s="6"/>
      <c r="P341" s="6"/>
      <c r="Q341" s="6"/>
      <c r="R341" s="6"/>
      <c r="S341" s="6"/>
    </row>
    <row r="342" ht="22.5" hidden="1" customHeight="1">
      <c r="A342" s="37">
        <v>45767.0</v>
      </c>
      <c r="B342" s="38" t="s">
        <v>125</v>
      </c>
      <c r="C342" s="34" t="s">
        <v>161</v>
      </c>
      <c r="D342" s="39" t="s">
        <v>164</v>
      </c>
      <c r="E342" s="40"/>
      <c r="F342" s="41">
        <v>0.028425925925925927</v>
      </c>
      <c r="G342" s="29"/>
      <c r="H342" s="6"/>
      <c r="I342" s="6"/>
      <c r="J342" s="6"/>
      <c r="K342" s="6"/>
      <c r="L342" s="6"/>
      <c r="M342" s="6"/>
      <c r="N342" s="6"/>
      <c r="O342" s="6"/>
      <c r="P342" s="6"/>
      <c r="Q342" s="6"/>
      <c r="R342" s="6"/>
      <c r="S342" s="6"/>
    </row>
    <row r="343" ht="22.5" hidden="1" customHeight="1">
      <c r="A343" s="37">
        <v>45767.0</v>
      </c>
      <c r="B343" s="42" t="s">
        <v>125</v>
      </c>
      <c r="C343" s="34" t="s">
        <v>161</v>
      </c>
      <c r="D343" s="43" t="s">
        <v>92</v>
      </c>
      <c r="E343" s="44"/>
      <c r="F343" s="45">
        <v>0.010416666666666666</v>
      </c>
      <c r="G343" s="29"/>
      <c r="H343" s="6"/>
      <c r="I343" s="6"/>
      <c r="J343" s="6"/>
      <c r="K343" s="6"/>
      <c r="L343" s="6"/>
      <c r="M343" s="6"/>
      <c r="N343" s="6"/>
      <c r="O343" s="6"/>
      <c r="P343" s="6"/>
      <c r="Q343" s="6"/>
      <c r="R343" s="6"/>
      <c r="S343" s="6"/>
    </row>
    <row r="344" ht="22.5" hidden="1" customHeight="1">
      <c r="A344" s="37">
        <v>45767.0</v>
      </c>
      <c r="B344" s="38" t="s">
        <v>125</v>
      </c>
      <c r="C344" s="34" t="s">
        <v>161</v>
      </c>
      <c r="D344" s="46" t="s">
        <v>93</v>
      </c>
      <c r="E344" s="47"/>
      <c r="F344" s="48">
        <v>0.009027777777777777</v>
      </c>
      <c r="G344" s="29"/>
      <c r="H344" s="6"/>
      <c r="I344" s="6"/>
      <c r="J344" s="6"/>
      <c r="K344" s="6"/>
      <c r="L344" s="6"/>
      <c r="M344" s="6"/>
      <c r="N344" s="6"/>
      <c r="O344" s="6"/>
      <c r="P344" s="6"/>
      <c r="Q344" s="6"/>
      <c r="R344" s="6"/>
      <c r="S344" s="6"/>
    </row>
    <row r="345" ht="22.5" hidden="1" customHeight="1">
      <c r="A345" s="37">
        <v>45767.0</v>
      </c>
      <c r="B345" s="42" t="s">
        <v>125</v>
      </c>
      <c r="C345" s="34" t="s">
        <v>161</v>
      </c>
      <c r="D345" s="43" t="s">
        <v>131</v>
      </c>
      <c r="E345" s="44"/>
      <c r="F345" s="45">
        <v>0.006944444444444444</v>
      </c>
      <c r="G345" s="29"/>
      <c r="H345" s="6"/>
      <c r="I345" s="6"/>
      <c r="J345" s="6"/>
      <c r="K345" s="6"/>
      <c r="L345" s="6"/>
      <c r="M345" s="6"/>
      <c r="N345" s="6"/>
      <c r="O345" s="6"/>
      <c r="P345" s="6"/>
      <c r="Q345" s="6"/>
      <c r="R345" s="6"/>
      <c r="S345" s="6"/>
    </row>
    <row r="346" ht="22.5" hidden="1" customHeight="1">
      <c r="A346" s="37">
        <v>45767.0</v>
      </c>
      <c r="B346" s="38" t="s">
        <v>125</v>
      </c>
      <c r="C346" s="34" t="s">
        <v>161</v>
      </c>
      <c r="D346" s="46" t="s">
        <v>41</v>
      </c>
      <c r="E346" s="47"/>
      <c r="F346" s="48">
        <v>0.020833333333333332</v>
      </c>
      <c r="G346" s="29"/>
      <c r="H346" s="6"/>
      <c r="I346" s="6"/>
      <c r="J346" s="6"/>
      <c r="K346" s="6"/>
      <c r="L346" s="6"/>
      <c r="M346" s="6"/>
      <c r="N346" s="6"/>
      <c r="O346" s="6"/>
      <c r="P346" s="6"/>
      <c r="Q346" s="6"/>
      <c r="R346" s="6"/>
      <c r="S346" s="6"/>
    </row>
    <row r="347" ht="22.5" hidden="1" customHeight="1">
      <c r="A347" s="37">
        <v>45768.0</v>
      </c>
      <c r="B347" s="38" t="s">
        <v>125</v>
      </c>
      <c r="C347" s="34" t="s">
        <v>161</v>
      </c>
      <c r="D347" s="39" t="s">
        <v>165</v>
      </c>
      <c r="E347" s="40"/>
      <c r="F347" s="41">
        <v>0.017939814814814815</v>
      </c>
      <c r="G347" s="29"/>
      <c r="H347" s="6"/>
      <c r="I347" s="6"/>
      <c r="J347" s="6"/>
      <c r="K347" s="6"/>
      <c r="L347" s="6"/>
      <c r="M347" s="6"/>
      <c r="N347" s="6"/>
      <c r="O347" s="6"/>
      <c r="P347" s="6"/>
      <c r="Q347" s="6"/>
      <c r="R347" s="6"/>
      <c r="S347" s="6"/>
    </row>
    <row r="348" ht="22.5" hidden="1" customHeight="1">
      <c r="A348" s="37">
        <v>45768.0</v>
      </c>
      <c r="B348" s="42" t="s">
        <v>125</v>
      </c>
      <c r="C348" s="34" t="s">
        <v>161</v>
      </c>
      <c r="D348" s="43" t="s">
        <v>92</v>
      </c>
      <c r="E348" s="44"/>
      <c r="F348" s="45">
        <v>0.010416666666666666</v>
      </c>
      <c r="G348" s="29"/>
      <c r="H348" s="6"/>
      <c r="I348" s="6"/>
      <c r="J348" s="6"/>
      <c r="K348" s="6"/>
      <c r="L348" s="6"/>
      <c r="M348" s="6"/>
      <c r="N348" s="6"/>
      <c r="O348" s="6"/>
      <c r="P348" s="6"/>
      <c r="Q348" s="6"/>
      <c r="R348" s="6"/>
      <c r="S348" s="6"/>
    </row>
    <row r="349" ht="22.5" hidden="1" customHeight="1">
      <c r="A349" s="37">
        <v>45768.0</v>
      </c>
      <c r="B349" s="38" t="s">
        <v>125</v>
      </c>
      <c r="C349" s="34" t="s">
        <v>161</v>
      </c>
      <c r="D349" s="46" t="s">
        <v>93</v>
      </c>
      <c r="E349" s="47"/>
      <c r="F349" s="48">
        <v>0.009027777777777777</v>
      </c>
      <c r="G349" s="29"/>
      <c r="H349" s="6"/>
      <c r="I349" s="6"/>
      <c r="J349" s="6"/>
      <c r="K349" s="6"/>
      <c r="L349" s="6"/>
      <c r="M349" s="6"/>
      <c r="N349" s="6"/>
      <c r="O349" s="6"/>
      <c r="P349" s="6"/>
      <c r="Q349" s="6"/>
      <c r="R349" s="6"/>
      <c r="S349" s="6"/>
    </row>
    <row r="350" ht="22.5" hidden="1" customHeight="1">
      <c r="A350" s="37">
        <v>45768.0</v>
      </c>
      <c r="B350" s="42" t="s">
        <v>125</v>
      </c>
      <c r="C350" s="34" t="s">
        <v>161</v>
      </c>
      <c r="D350" s="43" t="s">
        <v>131</v>
      </c>
      <c r="E350" s="44"/>
      <c r="F350" s="45">
        <v>0.006944444444444444</v>
      </c>
      <c r="G350" s="29"/>
      <c r="H350" s="6"/>
      <c r="I350" s="6"/>
      <c r="J350" s="6"/>
      <c r="K350" s="6"/>
      <c r="L350" s="6"/>
      <c r="M350" s="6"/>
      <c r="N350" s="6"/>
      <c r="O350" s="6"/>
      <c r="P350" s="6"/>
      <c r="Q350" s="6"/>
      <c r="R350" s="6"/>
      <c r="S350" s="6"/>
    </row>
    <row r="351" ht="22.5" hidden="1" customHeight="1">
      <c r="A351" s="37">
        <v>45768.0</v>
      </c>
      <c r="B351" s="38" t="s">
        <v>125</v>
      </c>
      <c r="C351" s="34" t="s">
        <v>161</v>
      </c>
      <c r="D351" s="46" t="s">
        <v>41</v>
      </c>
      <c r="E351" s="47"/>
      <c r="F351" s="48">
        <v>0.020833333333333332</v>
      </c>
      <c r="G351" s="29"/>
      <c r="H351" s="6"/>
      <c r="I351" s="6"/>
      <c r="J351" s="6"/>
      <c r="K351" s="6"/>
      <c r="L351" s="6"/>
      <c r="M351" s="6"/>
      <c r="N351" s="6"/>
      <c r="O351" s="6"/>
      <c r="P351" s="6"/>
      <c r="Q351" s="6"/>
      <c r="R351" s="6"/>
      <c r="S351" s="6"/>
    </row>
    <row r="352" ht="22.5" hidden="1" customHeight="1">
      <c r="A352" s="37">
        <v>45769.0</v>
      </c>
      <c r="B352" s="38" t="s">
        <v>125</v>
      </c>
      <c r="C352" s="34" t="s">
        <v>161</v>
      </c>
      <c r="D352" s="39" t="s">
        <v>166</v>
      </c>
      <c r="E352" s="40"/>
      <c r="F352" s="41">
        <v>0.016712962962962964</v>
      </c>
      <c r="G352" s="29"/>
      <c r="H352" s="6"/>
      <c r="I352" s="6"/>
      <c r="J352" s="6"/>
      <c r="K352" s="6"/>
      <c r="L352" s="6"/>
      <c r="M352" s="6"/>
      <c r="N352" s="6"/>
      <c r="O352" s="6"/>
      <c r="P352" s="6"/>
      <c r="Q352" s="6"/>
      <c r="R352" s="6"/>
      <c r="S352" s="6"/>
    </row>
    <row r="353" ht="22.5" hidden="1" customHeight="1">
      <c r="A353" s="37">
        <v>45769.0</v>
      </c>
      <c r="B353" s="42" t="s">
        <v>125</v>
      </c>
      <c r="C353" s="34" t="s">
        <v>161</v>
      </c>
      <c r="D353" s="43" t="s">
        <v>92</v>
      </c>
      <c r="E353" s="44"/>
      <c r="F353" s="45">
        <v>0.010416666666666666</v>
      </c>
      <c r="G353" s="29"/>
      <c r="H353" s="6"/>
      <c r="I353" s="6"/>
      <c r="J353" s="6"/>
      <c r="K353" s="6"/>
      <c r="L353" s="6"/>
      <c r="M353" s="6"/>
      <c r="N353" s="6"/>
      <c r="O353" s="6"/>
      <c r="P353" s="6"/>
      <c r="Q353" s="6"/>
      <c r="R353" s="6"/>
      <c r="S353" s="6"/>
    </row>
    <row r="354" ht="22.5" hidden="1" customHeight="1">
      <c r="A354" s="37">
        <v>45769.0</v>
      </c>
      <c r="B354" s="38" t="s">
        <v>125</v>
      </c>
      <c r="C354" s="34" t="s">
        <v>161</v>
      </c>
      <c r="D354" s="46" t="s">
        <v>93</v>
      </c>
      <c r="E354" s="47"/>
      <c r="F354" s="48">
        <v>0.009027777777777777</v>
      </c>
      <c r="G354" s="29"/>
      <c r="H354" s="6"/>
      <c r="I354" s="6"/>
      <c r="J354" s="6"/>
      <c r="K354" s="6"/>
      <c r="L354" s="6"/>
      <c r="M354" s="6"/>
      <c r="N354" s="6"/>
      <c r="O354" s="6"/>
      <c r="P354" s="6"/>
      <c r="Q354" s="6"/>
      <c r="R354" s="6"/>
      <c r="S354" s="6"/>
    </row>
    <row r="355" ht="22.5" hidden="1" customHeight="1">
      <c r="A355" s="37">
        <v>45769.0</v>
      </c>
      <c r="B355" s="42" t="s">
        <v>125</v>
      </c>
      <c r="C355" s="34" t="s">
        <v>161</v>
      </c>
      <c r="D355" s="43" t="s">
        <v>131</v>
      </c>
      <c r="E355" s="44"/>
      <c r="F355" s="45">
        <v>0.006944444444444444</v>
      </c>
      <c r="G355" s="29"/>
      <c r="H355" s="6"/>
      <c r="I355" s="6"/>
      <c r="J355" s="6"/>
      <c r="K355" s="6"/>
      <c r="L355" s="6"/>
      <c r="M355" s="6"/>
      <c r="N355" s="6"/>
      <c r="O355" s="6"/>
      <c r="P355" s="6"/>
      <c r="Q355" s="6"/>
      <c r="R355" s="6"/>
      <c r="S355" s="6"/>
    </row>
    <row r="356" ht="22.5" hidden="1" customHeight="1">
      <c r="A356" s="37">
        <v>45769.0</v>
      </c>
      <c r="B356" s="38" t="s">
        <v>125</v>
      </c>
      <c r="C356" s="34" t="s">
        <v>161</v>
      </c>
      <c r="D356" s="46" t="s">
        <v>41</v>
      </c>
      <c r="E356" s="47"/>
      <c r="F356" s="48">
        <v>0.020833333333333332</v>
      </c>
      <c r="G356" s="29"/>
      <c r="H356" s="6"/>
      <c r="I356" s="6"/>
      <c r="J356" s="6"/>
      <c r="K356" s="6"/>
      <c r="L356" s="6"/>
      <c r="M356" s="6"/>
      <c r="N356" s="6"/>
      <c r="O356" s="6"/>
      <c r="P356" s="6"/>
      <c r="Q356" s="6"/>
      <c r="R356" s="6"/>
      <c r="S356" s="6"/>
    </row>
    <row r="357" ht="22.5" hidden="1" customHeight="1">
      <c r="A357" s="37">
        <v>45770.0</v>
      </c>
      <c r="B357" s="38" t="s">
        <v>125</v>
      </c>
      <c r="C357" s="34" t="s">
        <v>161</v>
      </c>
      <c r="D357" s="39" t="s">
        <v>167</v>
      </c>
      <c r="E357" s="40"/>
      <c r="F357" s="41">
        <v>0.016712962962962964</v>
      </c>
      <c r="G357" s="29"/>
      <c r="H357" s="6"/>
      <c r="I357" s="6"/>
      <c r="J357" s="6"/>
      <c r="K357" s="6"/>
      <c r="L357" s="6"/>
      <c r="M357" s="6"/>
      <c r="N357" s="6"/>
      <c r="O357" s="6"/>
      <c r="P357" s="6"/>
      <c r="Q357" s="6"/>
      <c r="R357" s="6"/>
      <c r="S357" s="6"/>
    </row>
    <row r="358" ht="22.5" hidden="1" customHeight="1">
      <c r="A358" s="37">
        <v>45770.0</v>
      </c>
      <c r="B358" s="42" t="s">
        <v>125</v>
      </c>
      <c r="C358" s="34" t="s">
        <v>161</v>
      </c>
      <c r="D358" s="43" t="s">
        <v>92</v>
      </c>
      <c r="E358" s="44"/>
      <c r="F358" s="45">
        <v>0.010416666666666666</v>
      </c>
      <c r="G358" s="29"/>
      <c r="H358" s="6"/>
      <c r="I358" s="6"/>
      <c r="J358" s="6"/>
      <c r="K358" s="6"/>
      <c r="L358" s="6"/>
      <c r="M358" s="6"/>
      <c r="N358" s="6"/>
      <c r="O358" s="6"/>
      <c r="P358" s="6"/>
      <c r="Q358" s="6"/>
      <c r="R358" s="6"/>
      <c r="S358" s="6"/>
    </row>
    <row r="359" ht="22.5" hidden="1" customHeight="1">
      <c r="A359" s="37">
        <v>45770.0</v>
      </c>
      <c r="B359" s="38" t="s">
        <v>125</v>
      </c>
      <c r="C359" s="34" t="s">
        <v>161</v>
      </c>
      <c r="D359" s="46" t="s">
        <v>93</v>
      </c>
      <c r="E359" s="47"/>
      <c r="F359" s="48">
        <v>0.009027777777777777</v>
      </c>
      <c r="G359" s="29"/>
      <c r="H359" s="6"/>
      <c r="I359" s="6"/>
      <c r="J359" s="6"/>
      <c r="K359" s="6"/>
      <c r="L359" s="6"/>
      <c r="M359" s="6"/>
      <c r="N359" s="6"/>
      <c r="O359" s="6"/>
      <c r="P359" s="6"/>
      <c r="Q359" s="6"/>
      <c r="R359" s="6"/>
      <c r="S359" s="6"/>
    </row>
    <row r="360" ht="22.5" hidden="1" customHeight="1">
      <c r="A360" s="37">
        <v>45770.0</v>
      </c>
      <c r="B360" s="42" t="s">
        <v>125</v>
      </c>
      <c r="C360" s="34" t="s">
        <v>161</v>
      </c>
      <c r="D360" s="43" t="s">
        <v>131</v>
      </c>
      <c r="E360" s="44"/>
      <c r="F360" s="45">
        <v>0.006944444444444444</v>
      </c>
      <c r="G360" s="29"/>
      <c r="H360" s="6"/>
      <c r="I360" s="6"/>
      <c r="J360" s="6"/>
      <c r="K360" s="6"/>
      <c r="L360" s="6"/>
      <c r="M360" s="6"/>
      <c r="N360" s="6"/>
      <c r="O360" s="6"/>
      <c r="P360" s="6"/>
      <c r="Q360" s="6"/>
      <c r="R360" s="6"/>
      <c r="S360" s="6"/>
    </row>
    <row r="361" ht="22.5" hidden="1" customHeight="1">
      <c r="A361" s="37">
        <v>45770.0</v>
      </c>
      <c r="B361" s="38" t="s">
        <v>125</v>
      </c>
      <c r="C361" s="34" t="s">
        <v>161</v>
      </c>
      <c r="D361" s="46" t="s">
        <v>41</v>
      </c>
      <c r="E361" s="47"/>
      <c r="F361" s="48">
        <v>0.020833333333333332</v>
      </c>
      <c r="G361" s="29"/>
      <c r="H361" s="6"/>
      <c r="I361" s="6"/>
      <c r="J361" s="6"/>
      <c r="K361" s="6"/>
      <c r="L361" s="6"/>
      <c r="M361" s="6"/>
      <c r="N361" s="6"/>
      <c r="O361" s="6"/>
      <c r="P361" s="6"/>
      <c r="Q361" s="6"/>
      <c r="R361" s="6"/>
      <c r="S361" s="6"/>
    </row>
    <row r="362" ht="22.5" hidden="1" customHeight="1">
      <c r="A362" s="37">
        <v>45771.0</v>
      </c>
      <c r="B362" s="38" t="s">
        <v>125</v>
      </c>
      <c r="C362" s="34" t="s">
        <v>161</v>
      </c>
      <c r="D362" s="39" t="s">
        <v>168</v>
      </c>
      <c r="E362" s="40"/>
      <c r="F362" s="41">
        <v>0.014918981481481481</v>
      </c>
      <c r="G362" s="29"/>
      <c r="H362" s="6"/>
      <c r="I362" s="6"/>
      <c r="J362" s="6"/>
      <c r="K362" s="6"/>
      <c r="L362" s="6"/>
      <c r="M362" s="6"/>
      <c r="N362" s="6"/>
      <c r="O362" s="6"/>
      <c r="P362" s="6"/>
      <c r="Q362" s="6"/>
      <c r="R362" s="6"/>
      <c r="S362" s="6"/>
    </row>
    <row r="363" ht="22.5" hidden="1" customHeight="1">
      <c r="A363" s="37">
        <v>45771.0</v>
      </c>
      <c r="B363" s="42" t="s">
        <v>125</v>
      </c>
      <c r="C363" s="34" t="s">
        <v>161</v>
      </c>
      <c r="D363" s="43" t="s">
        <v>92</v>
      </c>
      <c r="E363" s="44"/>
      <c r="F363" s="45">
        <v>0.010416666666666666</v>
      </c>
      <c r="G363" s="29"/>
      <c r="H363" s="6"/>
      <c r="I363" s="6"/>
      <c r="J363" s="6"/>
      <c r="K363" s="6"/>
      <c r="L363" s="6"/>
      <c r="M363" s="6"/>
      <c r="N363" s="6"/>
      <c r="O363" s="6"/>
      <c r="P363" s="6"/>
      <c r="Q363" s="6"/>
      <c r="R363" s="6"/>
      <c r="S363" s="6"/>
    </row>
    <row r="364" ht="22.5" hidden="1" customHeight="1">
      <c r="A364" s="37">
        <v>45771.0</v>
      </c>
      <c r="B364" s="38" t="s">
        <v>125</v>
      </c>
      <c r="C364" s="34" t="s">
        <v>161</v>
      </c>
      <c r="D364" s="46" t="s">
        <v>93</v>
      </c>
      <c r="E364" s="47"/>
      <c r="F364" s="48">
        <v>0.009027777777777777</v>
      </c>
      <c r="G364" s="29"/>
      <c r="H364" s="6"/>
      <c r="I364" s="6"/>
      <c r="J364" s="6"/>
      <c r="K364" s="6"/>
      <c r="L364" s="6"/>
      <c r="M364" s="6"/>
      <c r="N364" s="6"/>
      <c r="O364" s="6"/>
      <c r="P364" s="6"/>
      <c r="Q364" s="6"/>
      <c r="R364" s="6"/>
      <c r="S364" s="6"/>
    </row>
    <row r="365" ht="22.5" hidden="1" customHeight="1">
      <c r="A365" s="37">
        <v>45771.0</v>
      </c>
      <c r="B365" s="42" t="s">
        <v>125</v>
      </c>
      <c r="C365" s="34" t="s">
        <v>161</v>
      </c>
      <c r="D365" s="43" t="s">
        <v>131</v>
      </c>
      <c r="E365" s="44"/>
      <c r="F365" s="45">
        <v>0.006944444444444444</v>
      </c>
      <c r="G365" s="29"/>
      <c r="H365" s="6"/>
      <c r="I365" s="6"/>
      <c r="J365" s="6"/>
      <c r="K365" s="6"/>
      <c r="L365" s="6"/>
      <c r="M365" s="6"/>
      <c r="N365" s="6"/>
      <c r="O365" s="6"/>
      <c r="P365" s="6"/>
      <c r="Q365" s="6"/>
      <c r="R365" s="6"/>
      <c r="S365" s="6"/>
    </row>
    <row r="366" ht="22.5" hidden="1" customHeight="1">
      <c r="A366" s="37">
        <v>45771.0</v>
      </c>
      <c r="B366" s="38" t="s">
        <v>125</v>
      </c>
      <c r="C366" s="34" t="s">
        <v>161</v>
      </c>
      <c r="D366" s="46" t="s">
        <v>41</v>
      </c>
      <c r="E366" s="47"/>
      <c r="F366" s="48">
        <v>0.020833333333333332</v>
      </c>
      <c r="G366" s="29"/>
      <c r="H366" s="6"/>
      <c r="I366" s="6"/>
      <c r="J366" s="6"/>
      <c r="K366" s="6"/>
      <c r="L366" s="6"/>
      <c r="M366" s="6"/>
      <c r="N366" s="6"/>
      <c r="O366" s="6"/>
      <c r="P366" s="6"/>
      <c r="Q366" s="6"/>
      <c r="R366" s="6"/>
      <c r="S366" s="6"/>
    </row>
    <row r="367" ht="22.5" hidden="1" customHeight="1">
      <c r="A367" s="37">
        <v>45772.0</v>
      </c>
      <c r="B367" s="38" t="s">
        <v>125</v>
      </c>
      <c r="C367" s="34" t="s">
        <v>161</v>
      </c>
      <c r="D367" s="39" t="s">
        <v>169</v>
      </c>
      <c r="E367" s="40"/>
      <c r="F367" s="41">
        <v>0.018449074074074073</v>
      </c>
      <c r="G367" s="29"/>
      <c r="H367" s="6"/>
      <c r="I367" s="6"/>
      <c r="J367" s="6"/>
      <c r="K367" s="6"/>
      <c r="L367" s="6"/>
      <c r="M367" s="6"/>
      <c r="N367" s="6"/>
      <c r="O367" s="6"/>
      <c r="P367" s="6"/>
      <c r="Q367" s="6"/>
      <c r="R367" s="6"/>
      <c r="S367" s="6"/>
    </row>
    <row r="368" ht="22.5" hidden="1" customHeight="1">
      <c r="A368" s="37">
        <v>45772.0</v>
      </c>
      <c r="B368" s="42" t="s">
        <v>125</v>
      </c>
      <c r="C368" s="34" t="s">
        <v>161</v>
      </c>
      <c r="D368" s="43" t="s">
        <v>92</v>
      </c>
      <c r="E368" s="44"/>
      <c r="F368" s="45">
        <v>0.010416666666666666</v>
      </c>
      <c r="G368" s="29"/>
      <c r="H368" s="6"/>
      <c r="I368" s="6"/>
      <c r="J368" s="6"/>
      <c r="K368" s="6"/>
      <c r="L368" s="6"/>
      <c r="M368" s="6"/>
      <c r="N368" s="6"/>
      <c r="O368" s="6"/>
      <c r="P368" s="6"/>
      <c r="Q368" s="6"/>
      <c r="R368" s="6"/>
      <c r="S368" s="6"/>
    </row>
    <row r="369" ht="22.5" hidden="1" customHeight="1">
      <c r="A369" s="37">
        <v>45772.0</v>
      </c>
      <c r="B369" s="38" t="s">
        <v>125</v>
      </c>
      <c r="C369" s="34" t="s">
        <v>161</v>
      </c>
      <c r="D369" s="46" t="s">
        <v>93</v>
      </c>
      <c r="E369" s="47"/>
      <c r="F369" s="48">
        <v>0.009027777777777777</v>
      </c>
      <c r="G369" s="29"/>
      <c r="H369" s="6"/>
      <c r="I369" s="6"/>
      <c r="J369" s="6"/>
      <c r="K369" s="6"/>
      <c r="L369" s="6"/>
      <c r="M369" s="6"/>
      <c r="N369" s="6"/>
      <c r="O369" s="6"/>
      <c r="P369" s="6"/>
      <c r="Q369" s="6"/>
      <c r="R369" s="6"/>
      <c r="S369" s="6"/>
    </row>
    <row r="370" ht="22.5" hidden="1" customHeight="1">
      <c r="A370" s="37">
        <v>45772.0</v>
      </c>
      <c r="B370" s="42" t="s">
        <v>125</v>
      </c>
      <c r="C370" s="34" t="s">
        <v>161</v>
      </c>
      <c r="D370" s="43" t="s">
        <v>131</v>
      </c>
      <c r="E370" s="44"/>
      <c r="F370" s="45">
        <v>0.006944444444444444</v>
      </c>
      <c r="G370" s="29"/>
      <c r="H370" s="6"/>
      <c r="I370" s="6"/>
      <c r="J370" s="6"/>
      <c r="K370" s="6"/>
      <c r="L370" s="6"/>
      <c r="M370" s="6"/>
      <c r="N370" s="6"/>
      <c r="O370" s="6"/>
      <c r="P370" s="6"/>
      <c r="Q370" s="6"/>
      <c r="R370" s="6"/>
      <c r="S370" s="6"/>
    </row>
    <row r="371" ht="22.5" hidden="1" customHeight="1">
      <c r="A371" s="37">
        <v>45772.0</v>
      </c>
      <c r="B371" s="38" t="s">
        <v>125</v>
      </c>
      <c r="C371" s="34" t="s">
        <v>161</v>
      </c>
      <c r="D371" s="46" t="s">
        <v>41</v>
      </c>
      <c r="E371" s="47"/>
      <c r="F371" s="48">
        <v>0.020833333333333332</v>
      </c>
      <c r="G371" s="29"/>
      <c r="H371" s="6"/>
      <c r="I371" s="6"/>
      <c r="J371" s="6"/>
      <c r="K371" s="6"/>
      <c r="L371" s="6"/>
      <c r="M371" s="6"/>
      <c r="N371" s="6"/>
      <c r="O371" s="6"/>
      <c r="P371" s="6"/>
      <c r="Q371" s="6"/>
      <c r="R371" s="6"/>
      <c r="S371" s="6"/>
    </row>
    <row r="372" ht="22.5" hidden="1" customHeight="1">
      <c r="A372" s="49">
        <v>45773.0</v>
      </c>
      <c r="B372" s="38" t="s">
        <v>125</v>
      </c>
      <c r="C372" s="34" t="s">
        <v>161</v>
      </c>
      <c r="D372" s="39" t="s">
        <v>170</v>
      </c>
      <c r="E372" s="40"/>
      <c r="F372" s="41">
        <v>0.018449074074074073</v>
      </c>
      <c r="G372" s="29"/>
      <c r="H372" s="6"/>
      <c r="I372" s="6"/>
      <c r="J372" s="6"/>
      <c r="K372" s="6"/>
      <c r="L372" s="6"/>
      <c r="M372" s="6"/>
      <c r="N372" s="6"/>
      <c r="O372" s="6"/>
      <c r="P372" s="6"/>
      <c r="Q372" s="6"/>
      <c r="R372" s="6"/>
      <c r="S372" s="6"/>
    </row>
    <row r="373" ht="22.5" hidden="1" customHeight="1">
      <c r="A373" s="49">
        <v>45773.0</v>
      </c>
      <c r="B373" s="42" t="s">
        <v>125</v>
      </c>
      <c r="C373" s="34" t="s">
        <v>161</v>
      </c>
      <c r="D373" s="43" t="s">
        <v>92</v>
      </c>
      <c r="E373" s="44"/>
      <c r="F373" s="45">
        <v>0.010416666666666666</v>
      </c>
      <c r="G373" s="29"/>
      <c r="H373" s="6"/>
      <c r="I373" s="6"/>
      <c r="J373" s="6"/>
      <c r="K373" s="6"/>
      <c r="L373" s="6"/>
      <c r="M373" s="6"/>
      <c r="N373" s="6"/>
      <c r="O373" s="6"/>
      <c r="P373" s="6"/>
      <c r="Q373" s="6"/>
      <c r="R373" s="6"/>
      <c r="S373" s="6"/>
    </row>
    <row r="374" ht="22.5" hidden="1" customHeight="1">
      <c r="A374" s="49">
        <v>45773.0</v>
      </c>
      <c r="B374" s="38" t="s">
        <v>125</v>
      </c>
      <c r="C374" s="34" t="s">
        <v>161</v>
      </c>
      <c r="D374" s="46" t="s">
        <v>93</v>
      </c>
      <c r="E374" s="47"/>
      <c r="F374" s="48">
        <v>0.009027777777777777</v>
      </c>
      <c r="G374" s="29"/>
      <c r="H374" s="6"/>
      <c r="I374" s="6"/>
      <c r="J374" s="6"/>
      <c r="K374" s="6"/>
      <c r="L374" s="6"/>
      <c r="M374" s="6"/>
      <c r="N374" s="6"/>
      <c r="O374" s="6"/>
      <c r="P374" s="6"/>
      <c r="Q374" s="6"/>
      <c r="R374" s="6"/>
      <c r="S374" s="6"/>
    </row>
    <row r="375" ht="22.5" hidden="1" customHeight="1">
      <c r="A375" s="49">
        <v>45773.0</v>
      </c>
      <c r="B375" s="42" t="s">
        <v>125</v>
      </c>
      <c r="C375" s="34" t="s">
        <v>161</v>
      </c>
      <c r="D375" s="43" t="s">
        <v>131</v>
      </c>
      <c r="E375" s="44"/>
      <c r="F375" s="45">
        <v>0.006944444444444444</v>
      </c>
      <c r="G375" s="29"/>
      <c r="H375" s="6"/>
      <c r="I375" s="6"/>
      <c r="J375" s="6"/>
      <c r="K375" s="6"/>
      <c r="L375" s="6"/>
      <c r="M375" s="6"/>
      <c r="N375" s="6"/>
      <c r="O375" s="6"/>
      <c r="P375" s="6"/>
      <c r="Q375" s="6"/>
      <c r="R375" s="6"/>
      <c r="S375" s="6"/>
    </row>
    <row r="376" ht="22.5" hidden="1" customHeight="1">
      <c r="A376" s="49">
        <v>45773.0</v>
      </c>
      <c r="B376" s="38" t="s">
        <v>125</v>
      </c>
      <c r="C376" s="34" t="s">
        <v>161</v>
      </c>
      <c r="D376" s="46" t="s">
        <v>41</v>
      </c>
      <c r="E376" s="47"/>
      <c r="F376" s="48">
        <v>0.020833333333333332</v>
      </c>
      <c r="G376" s="29"/>
      <c r="H376" s="6"/>
      <c r="I376" s="6"/>
      <c r="J376" s="6"/>
      <c r="K376" s="6"/>
      <c r="L376" s="6"/>
      <c r="M376" s="6"/>
      <c r="N376" s="6"/>
      <c r="O376" s="6"/>
      <c r="P376" s="6"/>
      <c r="Q376" s="6"/>
      <c r="R376" s="6"/>
      <c r="S376" s="6"/>
    </row>
    <row r="377" ht="22.5" hidden="1" customHeight="1">
      <c r="A377" s="49">
        <v>45774.0</v>
      </c>
      <c r="B377" s="38" t="s">
        <v>125</v>
      </c>
      <c r="C377" s="34" t="s">
        <v>161</v>
      </c>
      <c r="D377" s="39" t="s">
        <v>171</v>
      </c>
      <c r="E377" s="40"/>
      <c r="F377" s="41">
        <v>0.026493055555555554</v>
      </c>
      <c r="G377" s="29"/>
      <c r="H377" s="6"/>
      <c r="I377" s="6"/>
      <c r="J377" s="6"/>
      <c r="K377" s="6"/>
      <c r="L377" s="6"/>
      <c r="M377" s="6"/>
      <c r="N377" s="6"/>
      <c r="O377" s="6"/>
      <c r="P377" s="6"/>
      <c r="Q377" s="6"/>
      <c r="R377" s="6"/>
      <c r="S377" s="6"/>
    </row>
    <row r="378" ht="22.5" hidden="1" customHeight="1">
      <c r="A378" s="49">
        <v>45774.0</v>
      </c>
      <c r="B378" s="42" t="s">
        <v>125</v>
      </c>
      <c r="C378" s="34" t="s">
        <v>161</v>
      </c>
      <c r="D378" s="43" t="s">
        <v>92</v>
      </c>
      <c r="E378" s="44"/>
      <c r="F378" s="45">
        <v>0.010416666666666666</v>
      </c>
      <c r="G378" s="29"/>
      <c r="H378" s="6"/>
      <c r="I378" s="6"/>
      <c r="J378" s="6"/>
      <c r="K378" s="6"/>
      <c r="L378" s="6"/>
      <c r="M378" s="6"/>
      <c r="N378" s="6"/>
      <c r="O378" s="6"/>
      <c r="P378" s="6"/>
      <c r="Q378" s="6"/>
      <c r="R378" s="6"/>
      <c r="S378" s="6"/>
    </row>
    <row r="379" ht="22.5" hidden="1" customHeight="1">
      <c r="A379" s="49">
        <v>45774.0</v>
      </c>
      <c r="B379" s="38" t="s">
        <v>125</v>
      </c>
      <c r="C379" s="34" t="s">
        <v>161</v>
      </c>
      <c r="D379" s="46" t="s">
        <v>93</v>
      </c>
      <c r="E379" s="47"/>
      <c r="F379" s="48">
        <v>0.009027777777777777</v>
      </c>
      <c r="G379" s="29"/>
      <c r="H379" s="6"/>
      <c r="I379" s="6"/>
      <c r="J379" s="6"/>
      <c r="K379" s="6"/>
      <c r="L379" s="6"/>
      <c r="M379" s="6"/>
      <c r="N379" s="6"/>
      <c r="O379" s="6"/>
      <c r="P379" s="6"/>
      <c r="Q379" s="6"/>
      <c r="R379" s="6"/>
      <c r="S379" s="6"/>
    </row>
    <row r="380" ht="22.5" hidden="1" customHeight="1">
      <c r="A380" s="49">
        <v>45774.0</v>
      </c>
      <c r="B380" s="42" t="s">
        <v>125</v>
      </c>
      <c r="C380" s="34" t="s">
        <v>161</v>
      </c>
      <c r="D380" s="43" t="s">
        <v>131</v>
      </c>
      <c r="E380" s="44"/>
      <c r="F380" s="45">
        <v>0.006944444444444444</v>
      </c>
      <c r="G380" s="29"/>
      <c r="H380" s="6"/>
      <c r="I380" s="6"/>
      <c r="J380" s="6"/>
      <c r="K380" s="6"/>
      <c r="L380" s="6"/>
      <c r="M380" s="6"/>
      <c r="N380" s="6"/>
      <c r="O380" s="6"/>
      <c r="P380" s="6"/>
      <c r="Q380" s="6"/>
      <c r="R380" s="6"/>
      <c r="S380" s="6"/>
    </row>
    <row r="381" ht="22.5" hidden="1" customHeight="1">
      <c r="A381" s="49">
        <v>45774.0</v>
      </c>
      <c r="B381" s="38" t="s">
        <v>125</v>
      </c>
      <c r="C381" s="34" t="s">
        <v>161</v>
      </c>
      <c r="D381" s="46" t="s">
        <v>41</v>
      </c>
      <c r="E381" s="47"/>
      <c r="F381" s="48">
        <v>0.020833333333333332</v>
      </c>
      <c r="G381" s="29"/>
      <c r="H381" s="6"/>
      <c r="I381" s="6"/>
      <c r="J381" s="6"/>
      <c r="K381" s="6"/>
      <c r="L381" s="6"/>
      <c r="M381" s="6"/>
      <c r="N381" s="6"/>
      <c r="O381" s="6"/>
      <c r="P381" s="6"/>
      <c r="Q381" s="6"/>
      <c r="R381" s="6"/>
      <c r="S381" s="6"/>
    </row>
    <row r="382" ht="22.5" hidden="1" customHeight="1">
      <c r="A382" s="49">
        <v>45775.0</v>
      </c>
      <c r="B382" s="38" t="s">
        <v>125</v>
      </c>
      <c r="C382" s="34" t="s">
        <v>161</v>
      </c>
      <c r="D382" s="39" t="s">
        <v>172</v>
      </c>
      <c r="E382" s="40"/>
      <c r="F382" s="41">
        <v>0.0015972222222222223</v>
      </c>
      <c r="G382" s="29" t="s">
        <v>173</v>
      </c>
      <c r="H382" s="6"/>
      <c r="I382" s="6"/>
      <c r="J382" s="6"/>
      <c r="K382" s="6"/>
      <c r="L382" s="6"/>
      <c r="M382" s="6"/>
      <c r="N382" s="6"/>
      <c r="O382" s="6"/>
      <c r="P382" s="6"/>
      <c r="Q382" s="6"/>
      <c r="R382" s="6"/>
      <c r="S382" s="6"/>
    </row>
    <row r="383" ht="22.5" hidden="1" customHeight="1">
      <c r="A383" s="49">
        <v>45775.0</v>
      </c>
      <c r="B383" s="38" t="s">
        <v>125</v>
      </c>
      <c r="C383" s="34" t="s">
        <v>161</v>
      </c>
      <c r="D383" s="50" t="s">
        <v>174</v>
      </c>
      <c r="E383" s="51"/>
      <c r="F383" s="52">
        <v>0.0</v>
      </c>
      <c r="G383" s="29"/>
      <c r="H383" s="6"/>
      <c r="I383" s="6"/>
      <c r="J383" s="6"/>
      <c r="K383" s="6"/>
      <c r="L383" s="6"/>
      <c r="M383" s="6"/>
      <c r="N383" s="6"/>
      <c r="O383" s="6"/>
      <c r="P383" s="6"/>
      <c r="Q383" s="6"/>
      <c r="R383" s="6"/>
      <c r="S383" s="6"/>
    </row>
    <row r="384" ht="22.5" hidden="1" customHeight="1">
      <c r="A384" s="49">
        <v>45775.0</v>
      </c>
      <c r="B384" s="38" t="s">
        <v>125</v>
      </c>
      <c r="C384" s="33" t="s">
        <v>175</v>
      </c>
      <c r="D384" s="46" t="s">
        <v>93</v>
      </c>
      <c r="E384" s="47"/>
      <c r="F384" s="48">
        <v>0.009027777777777777</v>
      </c>
      <c r="G384" s="29"/>
      <c r="H384" s="6"/>
      <c r="I384" s="6"/>
      <c r="J384" s="6"/>
      <c r="K384" s="6"/>
      <c r="L384" s="6"/>
      <c r="M384" s="6"/>
      <c r="N384" s="6"/>
      <c r="O384" s="6"/>
      <c r="P384" s="6"/>
      <c r="Q384" s="6"/>
      <c r="R384" s="6"/>
      <c r="S384" s="6"/>
    </row>
    <row r="385" ht="22.5" hidden="1" customHeight="1">
      <c r="A385" s="49">
        <v>45775.0</v>
      </c>
      <c r="B385" s="42" t="s">
        <v>125</v>
      </c>
      <c r="C385" s="33" t="s">
        <v>175</v>
      </c>
      <c r="D385" s="43" t="s">
        <v>131</v>
      </c>
      <c r="E385" s="44"/>
      <c r="F385" s="45">
        <v>0.006944444444444444</v>
      </c>
      <c r="G385" s="29"/>
      <c r="H385" s="6"/>
      <c r="I385" s="6"/>
      <c r="J385" s="6"/>
      <c r="K385" s="6"/>
      <c r="L385" s="6"/>
      <c r="M385" s="6"/>
      <c r="N385" s="6"/>
      <c r="O385" s="6"/>
      <c r="P385" s="6"/>
      <c r="Q385" s="6"/>
      <c r="R385" s="6"/>
      <c r="S385" s="6"/>
    </row>
    <row r="386" ht="22.5" hidden="1" customHeight="1">
      <c r="A386" s="49">
        <v>45775.0</v>
      </c>
      <c r="B386" s="38" t="s">
        <v>125</v>
      </c>
      <c r="C386" s="33" t="s">
        <v>175</v>
      </c>
      <c r="D386" s="46" t="s">
        <v>41</v>
      </c>
      <c r="E386" s="47"/>
      <c r="F386" s="48">
        <v>0.020833333333333332</v>
      </c>
      <c r="G386" s="29"/>
      <c r="H386" s="6"/>
      <c r="I386" s="6"/>
      <c r="J386" s="6"/>
      <c r="K386" s="6"/>
      <c r="L386" s="6"/>
      <c r="M386" s="6"/>
      <c r="N386" s="6"/>
      <c r="O386" s="6"/>
      <c r="P386" s="6"/>
      <c r="Q386" s="6"/>
      <c r="R386" s="6"/>
      <c r="S386" s="6"/>
    </row>
    <row r="387" ht="22.5" hidden="1" customHeight="1">
      <c r="A387" s="49">
        <v>45776.0</v>
      </c>
      <c r="B387" s="38" t="s">
        <v>125</v>
      </c>
      <c r="C387" s="33" t="s">
        <v>175</v>
      </c>
      <c r="D387" s="39" t="s">
        <v>176</v>
      </c>
      <c r="E387" s="40"/>
      <c r="F387" s="41">
        <v>0.004756944444444445</v>
      </c>
      <c r="G387" s="29"/>
      <c r="H387" s="6"/>
      <c r="I387" s="6"/>
      <c r="J387" s="6"/>
      <c r="K387" s="6"/>
      <c r="L387" s="6"/>
      <c r="M387" s="6"/>
      <c r="N387" s="6"/>
      <c r="O387" s="6"/>
      <c r="P387" s="6"/>
      <c r="Q387" s="6"/>
      <c r="R387" s="6"/>
      <c r="S387" s="6"/>
    </row>
    <row r="388" ht="22.5" hidden="1" customHeight="1">
      <c r="A388" s="49">
        <v>45776.0</v>
      </c>
      <c r="B388" s="38" t="s">
        <v>125</v>
      </c>
      <c r="C388" s="33" t="s">
        <v>175</v>
      </c>
      <c r="D388" s="46" t="s">
        <v>93</v>
      </c>
      <c r="E388" s="47"/>
      <c r="F388" s="48">
        <v>0.009027777777777777</v>
      </c>
      <c r="G388" s="29"/>
      <c r="H388" s="6"/>
      <c r="I388" s="6"/>
      <c r="J388" s="6"/>
      <c r="K388" s="6"/>
      <c r="L388" s="6"/>
      <c r="M388" s="6"/>
      <c r="N388" s="6"/>
      <c r="O388" s="6"/>
      <c r="P388" s="6"/>
      <c r="Q388" s="6"/>
      <c r="R388" s="6"/>
      <c r="S388" s="6"/>
    </row>
    <row r="389" ht="22.5" hidden="1" customHeight="1">
      <c r="A389" s="49">
        <v>45776.0</v>
      </c>
      <c r="B389" s="42" t="s">
        <v>125</v>
      </c>
      <c r="C389" s="33" t="s">
        <v>175</v>
      </c>
      <c r="D389" s="43" t="s">
        <v>131</v>
      </c>
      <c r="E389" s="44"/>
      <c r="F389" s="45">
        <v>0.006944444444444444</v>
      </c>
      <c r="G389" s="29"/>
      <c r="H389" s="6"/>
      <c r="I389" s="6"/>
      <c r="J389" s="6"/>
      <c r="K389" s="6"/>
      <c r="L389" s="6"/>
      <c r="M389" s="6"/>
      <c r="N389" s="6"/>
      <c r="O389" s="6"/>
      <c r="P389" s="6"/>
      <c r="Q389" s="6"/>
      <c r="R389" s="6"/>
      <c r="S389" s="6"/>
    </row>
    <row r="390" ht="22.5" hidden="1" customHeight="1">
      <c r="A390" s="49">
        <v>45776.0</v>
      </c>
      <c r="B390" s="38" t="s">
        <v>125</v>
      </c>
      <c r="C390" s="33" t="s">
        <v>175</v>
      </c>
      <c r="D390" s="46" t="s">
        <v>41</v>
      </c>
      <c r="E390" s="47"/>
      <c r="F390" s="48">
        <v>0.020833333333333332</v>
      </c>
      <c r="G390" s="29"/>
      <c r="H390" s="6"/>
      <c r="I390" s="6"/>
      <c r="J390" s="6"/>
      <c r="K390" s="6"/>
      <c r="L390" s="6"/>
      <c r="M390" s="6"/>
      <c r="N390" s="6"/>
      <c r="O390" s="6"/>
      <c r="P390" s="6"/>
      <c r="Q390" s="6"/>
      <c r="R390" s="6"/>
      <c r="S390" s="6"/>
    </row>
    <row r="391" ht="22.5" hidden="1" customHeight="1">
      <c r="A391" s="49">
        <v>45777.0</v>
      </c>
      <c r="B391" s="38" t="s">
        <v>125</v>
      </c>
      <c r="C391" s="33" t="s">
        <v>175</v>
      </c>
      <c r="D391" s="39" t="s">
        <v>177</v>
      </c>
      <c r="E391" s="40"/>
      <c r="F391" s="41">
        <v>0.020474537037037038</v>
      </c>
      <c r="G391" s="29"/>
      <c r="H391" s="6"/>
      <c r="I391" s="6"/>
      <c r="J391" s="6"/>
      <c r="K391" s="6"/>
      <c r="L391" s="6"/>
      <c r="M391" s="6"/>
      <c r="N391" s="6"/>
      <c r="O391" s="6"/>
      <c r="P391" s="6"/>
      <c r="Q391" s="6"/>
      <c r="R391" s="6"/>
      <c r="S391" s="6"/>
    </row>
    <row r="392" ht="22.5" hidden="1" customHeight="1">
      <c r="A392" s="49">
        <v>45777.0</v>
      </c>
      <c r="B392" s="42" t="s">
        <v>125</v>
      </c>
      <c r="C392" s="33" t="s">
        <v>175</v>
      </c>
      <c r="D392" s="43" t="s">
        <v>92</v>
      </c>
      <c r="E392" s="44"/>
      <c r="F392" s="45">
        <v>0.010416666666666666</v>
      </c>
      <c r="G392" s="29"/>
      <c r="H392" s="6"/>
      <c r="I392" s="6"/>
      <c r="J392" s="6"/>
      <c r="K392" s="6"/>
      <c r="L392" s="6"/>
      <c r="M392" s="6"/>
      <c r="N392" s="6"/>
      <c r="O392" s="6"/>
      <c r="P392" s="6"/>
      <c r="Q392" s="6"/>
      <c r="R392" s="6"/>
      <c r="S392" s="6"/>
    </row>
    <row r="393" ht="22.5" hidden="1" customHeight="1">
      <c r="A393" s="49">
        <v>45777.0</v>
      </c>
      <c r="B393" s="38" t="s">
        <v>125</v>
      </c>
      <c r="C393" s="33" t="s">
        <v>175</v>
      </c>
      <c r="D393" s="46" t="s">
        <v>93</v>
      </c>
      <c r="E393" s="40"/>
      <c r="F393" s="41">
        <v>0.006944444444444444</v>
      </c>
      <c r="G393" s="29"/>
      <c r="H393" s="6"/>
      <c r="I393" s="6"/>
      <c r="J393" s="6"/>
      <c r="K393" s="6"/>
      <c r="L393" s="6"/>
      <c r="M393" s="6"/>
      <c r="N393" s="6"/>
      <c r="O393" s="6"/>
      <c r="P393" s="6"/>
      <c r="Q393" s="6"/>
      <c r="R393" s="6"/>
      <c r="S393" s="6"/>
    </row>
    <row r="394" ht="22.5" hidden="1" customHeight="1">
      <c r="A394" s="49">
        <v>45777.0</v>
      </c>
      <c r="B394" s="42" t="s">
        <v>125</v>
      </c>
      <c r="C394" s="33" t="s">
        <v>175</v>
      </c>
      <c r="D394" s="43" t="s">
        <v>131</v>
      </c>
      <c r="E394" s="53"/>
      <c r="F394" s="54">
        <v>0.003472222222222222</v>
      </c>
      <c r="G394" s="29"/>
      <c r="H394" s="6"/>
      <c r="I394" s="6"/>
      <c r="J394" s="6"/>
      <c r="K394" s="6"/>
      <c r="L394" s="6"/>
      <c r="M394" s="6"/>
      <c r="N394" s="6"/>
      <c r="O394" s="6"/>
      <c r="P394" s="6"/>
      <c r="Q394" s="6"/>
      <c r="R394" s="6"/>
      <c r="S394" s="6"/>
    </row>
    <row r="395" ht="22.5" hidden="1" customHeight="1">
      <c r="A395" s="49">
        <v>45777.0</v>
      </c>
      <c r="B395" s="38" t="s">
        <v>125</v>
      </c>
      <c r="C395" s="33" t="s">
        <v>175</v>
      </c>
      <c r="D395" s="46" t="s">
        <v>41</v>
      </c>
      <c r="E395" s="47"/>
      <c r="F395" s="48">
        <v>0.020833333333333332</v>
      </c>
      <c r="G395" s="29"/>
      <c r="H395" s="6"/>
      <c r="I395" s="6"/>
      <c r="J395" s="6"/>
      <c r="K395" s="6"/>
      <c r="L395" s="6"/>
      <c r="M395" s="6"/>
      <c r="N395" s="6"/>
      <c r="O395" s="6"/>
      <c r="P395" s="6"/>
      <c r="Q395" s="6"/>
      <c r="R395" s="6"/>
      <c r="S395" s="6"/>
    </row>
    <row r="396" ht="22.5" hidden="1" customHeight="1">
      <c r="A396" s="49">
        <v>45778.0</v>
      </c>
      <c r="B396" s="38" t="s">
        <v>125</v>
      </c>
      <c r="C396" s="33" t="s">
        <v>175</v>
      </c>
      <c r="D396" s="39" t="s">
        <v>178</v>
      </c>
      <c r="E396" s="40"/>
      <c r="F396" s="41">
        <v>0.01712962962962963</v>
      </c>
      <c r="G396" s="29"/>
      <c r="H396" s="6"/>
      <c r="I396" s="6"/>
      <c r="J396" s="6"/>
      <c r="K396" s="6"/>
      <c r="L396" s="6"/>
      <c r="M396" s="6"/>
      <c r="N396" s="6"/>
      <c r="O396" s="6"/>
      <c r="P396" s="6"/>
      <c r="Q396" s="6"/>
      <c r="R396" s="6"/>
      <c r="S396" s="6"/>
    </row>
    <row r="397" ht="22.5" hidden="1" customHeight="1">
      <c r="A397" s="49">
        <v>45778.0</v>
      </c>
      <c r="B397" s="42" t="s">
        <v>125</v>
      </c>
      <c r="C397" s="33" t="s">
        <v>175</v>
      </c>
      <c r="D397" s="43" t="s">
        <v>92</v>
      </c>
      <c r="E397" s="44"/>
      <c r="F397" s="45">
        <v>0.010416666666666666</v>
      </c>
      <c r="G397" s="29"/>
      <c r="H397" s="6"/>
      <c r="I397" s="6"/>
      <c r="J397" s="6"/>
      <c r="K397" s="6"/>
      <c r="L397" s="6"/>
      <c r="M397" s="6"/>
      <c r="N397" s="6"/>
      <c r="O397" s="6"/>
      <c r="P397" s="6"/>
      <c r="Q397" s="6"/>
      <c r="R397" s="6"/>
      <c r="S397" s="6"/>
    </row>
    <row r="398" ht="22.5" hidden="1" customHeight="1">
      <c r="A398" s="49">
        <v>45778.0</v>
      </c>
      <c r="B398" s="38" t="s">
        <v>125</v>
      </c>
      <c r="C398" s="33" t="s">
        <v>175</v>
      </c>
      <c r="D398" s="46" t="s">
        <v>93</v>
      </c>
      <c r="E398" s="40"/>
      <c r="F398" s="41">
        <v>0.006944444444444444</v>
      </c>
      <c r="G398" s="29"/>
      <c r="H398" s="6"/>
      <c r="I398" s="6"/>
      <c r="J398" s="6"/>
      <c r="K398" s="6"/>
      <c r="L398" s="6"/>
      <c r="M398" s="6"/>
      <c r="N398" s="6"/>
      <c r="O398" s="6"/>
      <c r="P398" s="6"/>
      <c r="Q398" s="6"/>
      <c r="R398" s="6"/>
      <c r="S398" s="6"/>
    </row>
    <row r="399" ht="22.5" hidden="1" customHeight="1">
      <c r="A399" s="49">
        <v>45778.0</v>
      </c>
      <c r="B399" s="42" t="s">
        <v>125</v>
      </c>
      <c r="C399" s="33" t="s">
        <v>175</v>
      </c>
      <c r="D399" s="43" t="s">
        <v>131</v>
      </c>
      <c r="E399" s="53"/>
      <c r="F399" s="54">
        <v>0.003472222222222222</v>
      </c>
      <c r="G399" s="29"/>
      <c r="H399" s="6"/>
      <c r="I399" s="6"/>
      <c r="J399" s="6"/>
      <c r="K399" s="6"/>
      <c r="L399" s="6"/>
      <c r="M399" s="6"/>
      <c r="N399" s="6"/>
      <c r="O399" s="6"/>
      <c r="P399" s="6"/>
      <c r="Q399" s="6"/>
      <c r="R399" s="6"/>
      <c r="S399" s="6"/>
    </row>
    <row r="400" ht="22.5" hidden="1" customHeight="1">
      <c r="A400" s="49">
        <v>45778.0</v>
      </c>
      <c r="B400" s="38" t="s">
        <v>125</v>
      </c>
      <c r="C400" s="33" t="s">
        <v>175</v>
      </c>
      <c r="D400" s="46" t="s">
        <v>41</v>
      </c>
      <c r="E400" s="40"/>
      <c r="F400" s="41">
        <v>0.01875</v>
      </c>
      <c r="G400" s="29"/>
      <c r="H400" s="6"/>
      <c r="I400" s="6"/>
      <c r="J400" s="6"/>
      <c r="K400" s="6"/>
      <c r="L400" s="6"/>
      <c r="M400" s="6"/>
      <c r="N400" s="6"/>
      <c r="O400" s="6"/>
      <c r="P400" s="6"/>
      <c r="Q400" s="6"/>
      <c r="R400" s="6"/>
      <c r="S400" s="6"/>
    </row>
    <row r="401" ht="22.5" hidden="1" customHeight="1">
      <c r="A401" s="49">
        <v>45779.0</v>
      </c>
      <c r="B401" s="38" t="s">
        <v>125</v>
      </c>
      <c r="C401" s="33" t="s">
        <v>175</v>
      </c>
      <c r="D401" s="39" t="s">
        <v>179</v>
      </c>
      <c r="E401" s="40"/>
      <c r="F401" s="41">
        <v>0.026041666666666668</v>
      </c>
      <c r="G401" s="29"/>
      <c r="H401" s="6"/>
      <c r="I401" s="6"/>
      <c r="J401" s="6"/>
      <c r="K401" s="6"/>
      <c r="L401" s="6"/>
      <c r="M401" s="6"/>
      <c r="N401" s="6"/>
      <c r="O401" s="6"/>
      <c r="P401" s="6"/>
      <c r="Q401" s="6"/>
      <c r="R401" s="6"/>
      <c r="S401" s="6"/>
    </row>
    <row r="402" ht="22.5" hidden="1" customHeight="1">
      <c r="A402" s="49">
        <v>45779.0</v>
      </c>
      <c r="B402" s="42" t="s">
        <v>125</v>
      </c>
      <c r="C402" s="33" t="s">
        <v>175</v>
      </c>
      <c r="D402" s="43" t="s">
        <v>92</v>
      </c>
      <c r="E402" s="44"/>
      <c r="F402" s="45">
        <v>0.010416666666666666</v>
      </c>
      <c r="G402" s="29"/>
      <c r="H402" s="6"/>
      <c r="I402" s="6"/>
      <c r="J402" s="6"/>
      <c r="K402" s="6"/>
      <c r="L402" s="6"/>
      <c r="M402" s="6"/>
      <c r="N402" s="6"/>
      <c r="O402" s="6"/>
      <c r="P402" s="6"/>
      <c r="Q402" s="6"/>
      <c r="R402" s="6"/>
      <c r="S402" s="6"/>
    </row>
    <row r="403" ht="22.5" hidden="1" customHeight="1">
      <c r="A403" s="49">
        <v>45779.0</v>
      </c>
      <c r="B403" s="38" t="s">
        <v>125</v>
      </c>
      <c r="C403" s="33" t="s">
        <v>175</v>
      </c>
      <c r="D403" s="46" t="s">
        <v>93</v>
      </c>
      <c r="E403" s="40"/>
      <c r="F403" s="41">
        <v>0.006944444444444444</v>
      </c>
      <c r="G403" s="29"/>
      <c r="H403" s="6"/>
      <c r="I403" s="6"/>
      <c r="J403" s="6"/>
      <c r="K403" s="6"/>
      <c r="L403" s="6"/>
      <c r="M403" s="6"/>
      <c r="N403" s="6"/>
      <c r="O403" s="6"/>
      <c r="P403" s="6"/>
      <c r="Q403" s="6"/>
      <c r="R403" s="6"/>
      <c r="S403" s="6"/>
    </row>
    <row r="404" ht="22.5" hidden="1" customHeight="1">
      <c r="A404" s="49">
        <v>45779.0</v>
      </c>
      <c r="B404" s="42" t="s">
        <v>125</v>
      </c>
      <c r="C404" s="33" t="s">
        <v>175</v>
      </c>
      <c r="D404" s="43" t="s">
        <v>131</v>
      </c>
      <c r="E404" s="53"/>
      <c r="F404" s="54">
        <v>0.003472222222222222</v>
      </c>
      <c r="G404" s="29"/>
      <c r="H404" s="6"/>
      <c r="I404" s="6"/>
      <c r="J404" s="6"/>
      <c r="K404" s="6"/>
      <c r="L404" s="6"/>
      <c r="M404" s="6"/>
      <c r="N404" s="6"/>
      <c r="O404" s="6"/>
      <c r="P404" s="6"/>
      <c r="Q404" s="6"/>
      <c r="R404" s="6"/>
      <c r="S404" s="6"/>
    </row>
    <row r="405" ht="22.5" hidden="1" customHeight="1">
      <c r="A405" s="49">
        <v>45779.0</v>
      </c>
      <c r="B405" s="38" t="s">
        <v>125</v>
      </c>
      <c r="C405" s="33" t="s">
        <v>175</v>
      </c>
      <c r="D405" s="46" t="s">
        <v>41</v>
      </c>
      <c r="E405" s="40"/>
      <c r="F405" s="41">
        <v>0.01875</v>
      </c>
      <c r="G405" s="29"/>
      <c r="H405" s="6"/>
      <c r="I405" s="6"/>
      <c r="J405" s="6"/>
      <c r="K405" s="6"/>
      <c r="L405" s="6"/>
      <c r="M405" s="6"/>
      <c r="N405" s="6"/>
      <c r="O405" s="6"/>
      <c r="P405" s="6"/>
      <c r="Q405" s="6"/>
      <c r="R405" s="6"/>
      <c r="S405" s="6"/>
    </row>
    <row r="406" ht="22.5" hidden="1" customHeight="1">
      <c r="A406" s="49">
        <v>45780.0</v>
      </c>
      <c r="B406" s="38" t="s">
        <v>125</v>
      </c>
      <c r="C406" s="33" t="s">
        <v>175</v>
      </c>
      <c r="D406" s="39" t="s">
        <v>180</v>
      </c>
      <c r="E406" s="40"/>
      <c r="F406" s="41">
        <v>0.01888888888888889</v>
      </c>
      <c r="G406" s="29"/>
      <c r="H406" s="6"/>
      <c r="I406" s="6"/>
      <c r="J406" s="6"/>
      <c r="K406" s="6"/>
      <c r="L406" s="6"/>
      <c r="M406" s="6"/>
      <c r="N406" s="6"/>
      <c r="O406" s="6"/>
      <c r="P406" s="6"/>
      <c r="Q406" s="6"/>
      <c r="R406" s="6"/>
      <c r="S406" s="6"/>
    </row>
    <row r="407" ht="22.5" hidden="1" customHeight="1">
      <c r="A407" s="49">
        <v>45780.0</v>
      </c>
      <c r="B407" s="42" t="s">
        <v>125</v>
      </c>
      <c r="C407" s="33" t="s">
        <v>175</v>
      </c>
      <c r="D407" s="43" t="s">
        <v>92</v>
      </c>
      <c r="E407" s="44"/>
      <c r="F407" s="45">
        <v>0.010416666666666666</v>
      </c>
      <c r="G407" s="29"/>
      <c r="H407" s="6"/>
      <c r="I407" s="6"/>
      <c r="J407" s="6"/>
      <c r="K407" s="6"/>
      <c r="L407" s="6"/>
      <c r="M407" s="6"/>
      <c r="N407" s="6"/>
      <c r="O407" s="6"/>
      <c r="P407" s="6"/>
      <c r="Q407" s="6"/>
      <c r="R407" s="6"/>
      <c r="S407" s="6"/>
    </row>
    <row r="408" ht="22.5" hidden="1" customHeight="1">
      <c r="A408" s="49">
        <v>45780.0</v>
      </c>
      <c r="B408" s="38" t="s">
        <v>125</v>
      </c>
      <c r="C408" s="33" t="s">
        <v>175</v>
      </c>
      <c r="D408" s="46" t="s">
        <v>93</v>
      </c>
      <c r="E408" s="40"/>
      <c r="F408" s="41">
        <v>0.006944444444444444</v>
      </c>
      <c r="G408" s="29"/>
      <c r="H408" s="6"/>
      <c r="I408" s="6"/>
      <c r="J408" s="6"/>
      <c r="K408" s="6"/>
      <c r="L408" s="6"/>
      <c r="M408" s="6"/>
      <c r="N408" s="6"/>
      <c r="O408" s="6"/>
      <c r="P408" s="6"/>
      <c r="Q408" s="6"/>
      <c r="R408" s="6"/>
      <c r="S408" s="6"/>
    </row>
    <row r="409" ht="22.5" hidden="1" customHeight="1">
      <c r="A409" s="49">
        <v>45780.0</v>
      </c>
      <c r="B409" s="42" t="s">
        <v>125</v>
      </c>
      <c r="C409" s="33" t="s">
        <v>175</v>
      </c>
      <c r="D409" s="43" t="s">
        <v>131</v>
      </c>
      <c r="E409" s="53"/>
      <c r="F409" s="54">
        <v>0.003472222222222222</v>
      </c>
      <c r="G409" s="29"/>
      <c r="H409" s="6"/>
      <c r="I409" s="6"/>
      <c r="J409" s="6"/>
      <c r="K409" s="6"/>
      <c r="L409" s="6"/>
      <c r="M409" s="6"/>
      <c r="N409" s="6"/>
      <c r="O409" s="6"/>
      <c r="P409" s="6"/>
      <c r="Q409" s="6"/>
      <c r="R409" s="6"/>
      <c r="S409" s="6"/>
    </row>
    <row r="410" ht="22.5" hidden="1" customHeight="1">
      <c r="A410" s="49">
        <v>45780.0</v>
      </c>
      <c r="B410" s="38" t="s">
        <v>125</v>
      </c>
      <c r="C410" s="33" t="s">
        <v>175</v>
      </c>
      <c r="D410" s="46" t="s">
        <v>41</v>
      </c>
      <c r="E410" s="40"/>
      <c r="F410" s="41">
        <v>0.01875</v>
      </c>
      <c r="G410" s="29"/>
      <c r="H410" s="6"/>
      <c r="I410" s="6"/>
      <c r="J410" s="6"/>
      <c r="K410" s="6"/>
      <c r="L410" s="6"/>
      <c r="M410" s="6"/>
      <c r="N410" s="6"/>
      <c r="O410" s="6"/>
      <c r="P410" s="6"/>
      <c r="Q410" s="6"/>
      <c r="R410" s="6"/>
      <c r="S410" s="6"/>
    </row>
    <row r="411" ht="22.5" hidden="1" customHeight="1">
      <c r="A411" s="49">
        <v>45781.0</v>
      </c>
      <c r="B411" s="38" t="s">
        <v>125</v>
      </c>
      <c r="C411" s="33" t="s">
        <v>175</v>
      </c>
      <c r="D411" s="39" t="s">
        <v>181</v>
      </c>
      <c r="E411" s="40"/>
      <c r="F411" s="41">
        <v>0.013888888888888888</v>
      </c>
      <c r="G411" s="29"/>
      <c r="H411" s="6"/>
      <c r="I411" s="6"/>
      <c r="J411" s="6"/>
      <c r="K411" s="6"/>
      <c r="L411" s="6"/>
      <c r="M411" s="6"/>
      <c r="N411" s="6"/>
      <c r="O411" s="6"/>
      <c r="P411" s="6"/>
      <c r="Q411" s="6"/>
      <c r="R411" s="6"/>
      <c r="S411" s="6"/>
    </row>
    <row r="412" ht="22.5" hidden="1" customHeight="1">
      <c r="A412" s="49">
        <v>45781.0</v>
      </c>
      <c r="B412" s="38" t="s">
        <v>125</v>
      </c>
      <c r="C412" s="33" t="s">
        <v>175</v>
      </c>
      <c r="D412" s="46" t="s">
        <v>93</v>
      </c>
      <c r="E412" s="40"/>
      <c r="F412" s="41">
        <v>0.006944444444444444</v>
      </c>
      <c r="G412" s="29"/>
      <c r="H412" s="6"/>
      <c r="I412" s="6"/>
      <c r="J412" s="6"/>
      <c r="K412" s="6"/>
      <c r="L412" s="6"/>
      <c r="M412" s="6"/>
      <c r="N412" s="6"/>
      <c r="O412" s="6"/>
      <c r="P412" s="6"/>
      <c r="Q412" s="6"/>
      <c r="R412" s="6"/>
      <c r="S412" s="6"/>
    </row>
    <row r="413" ht="22.5" hidden="1" customHeight="1">
      <c r="A413" s="49">
        <v>45781.0</v>
      </c>
      <c r="B413" s="42" t="s">
        <v>125</v>
      </c>
      <c r="C413" s="33" t="s">
        <v>175</v>
      </c>
      <c r="D413" s="43" t="s">
        <v>131</v>
      </c>
      <c r="E413" s="53"/>
      <c r="F413" s="54">
        <v>0.003472222222222222</v>
      </c>
      <c r="G413" s="29"/>
      <c r="H413" s="6"/>
      <c r="I413" s="6"/>
      <c r="J413" s="6"/>
      <c r="K413" s="6"/>
      <c r="L413" s="6"/>
      <c r="M413" s="6"/>
      <c r="N413" s="6"/>
      <c r="O413" s="6"/>
      <c r="P413" s="6"/>
      <c r="Q413" s="6"/>
      <c r="R413" s="6"/>
      <c r="S413" s="6"/>
    </row>
    <row r="414" ht="22.5" hidden="1" customHeight="1">
      <c r="A414" s="49">
        <v>45781.0</v>
      </c>
      <c r="B414" s="38" t="s">
        <v>125</v>
      </c>
      <c r="C414" s="33" t="s">
        <v>175</v>
      </c>
      <c r="D414" s="46" t="s">
        <v>41</v>
      </c>
      <c r="E414" s="40"/>
      <c r="F414" s="41">
        <v>0.01875</v>
      </c>
      <c r="G414" s="29"/>
      <c r="H414" s="6"/>
      <c r="I414" s="6"/>
      <c r="J414" s="6"/>
      <c r="K414" s="6"/>
      <c r="L414" s="6"/>
      <c r="M414" s="6"/>
      <c r="N414" s="6"/>
      <c r="O414" s="6"/>
      <c r="P414" s="6"/>
      <c r="Q414" s="6"/>
      <c r="R414" s="6"/>
      <c r="S414" s="6"/>
    </row>
    <row r="415" ht="22.5" hidden="1" customHeight="1">
      <c r="A415" s="49">
        <v>45782.0</v>
      </c>
      <c r="B415" s="38" t="s">
        <v>125</v>
      </c>
      <c r="C415" s="33" t="s">
        <v>175</v>
      </c>
      <c r="D415" s="39" t="s">
        <v>182</v>
      </c>
      <c r="E415" s="40"/>
      <c r="F415" s="41">
        <v>0.020300925925925927</v>
      </c>
      <c r="G415" s="29"/>
      <c r="H415" s="6"/>
      <c r="I415" s="6"/>
      <c r="J415" s="6"/>
      <c r="K415" s="6"/>
      <c r="L415" s="6"/>
      <c r="M415" s="6"/>
      <c r="N415" s="6"/>
      <c r="O415" s="6"/>
      <c r="P415" s="6"/>
      <c r="Q415" s="6"/>
      <c r="R415" s="6"/>
      <c r="S415" s="6"/>
    </row>
    <row r="416" ht="22.5" hidden="1" customHeight="1">
      <c r="A416" s="49">
        <v>45782.0</v>
      </c>
      <c r="B416" s="42" t="s">
        <v>125</v>
      </c>
      <c r="C416" s="33" t="s">
        <v>175</v>
      </c>
      <c r="D416" s="43" t="s">
        <v>92</v>
      </c>
      <c r="E416" s="44"/>
      <c r="F416" s="45">
        <v>0.010416666666666666</v>
      </c>
      <c r="G416" s="29"/>
      <c r="H416" s="6"/>
      <c r="I416" s="6"/>
      <c r="J416" s="6"/>
      <c r="K416" s="6"/>
      <c r="L416" s="6"/>
      <c r="M416" s="6"/>
      <c r="N416" s="6"/>
      <c r="O416" s="6"/>
      <c r="P416" s="6"/>
      <c r="Q416" s="6"/>
      <c r="R416" s="6"/>
      <c r="S416" s="6"/>
    </row>
    <row r="417" ht="22.5" hidden="1" customHeight="1">
      <c r="A417" s="49">
        <v>45782.0</v>
      </c>
      <c r="B417" s="38" t="s">
        <v>125</v>
      </c>
      <c r="C417" s="33" t="s">
        <v>175</v>
      </c>
      <c r="D417" s="46" t="s">
        <v>93</v>
      </c>
      <c r="E417" s="40"/>
      <c r="F417" s="41">
        <v>0.006944444444444444</v>
      </c>
      <c r="G417" s="29"/>
      <c r="H417" s="6"/>
      <c r="I417" s="6"/>
      <c r="J417" s="6"/>
      <c r="K417" s="6"/>
      <c r="L417" s="6"/>
      <c r="M417" s="6"/>
      <c r="N417" s="6"/>
      <c r="O417" s="6"/>
      <c r="P417" s="6"/>
      <c r="Q417" s="6"/>
      <c r="R417" s="6"/>
      <c r="S417" s="6"/>
    </row>
    <row r="418" ht="22.5" hidden="1" customHeight="1">
      <c r="A418" s="49">
        <v>45782.0</v>
      </c>
      <c r="B418" s="42" t="s">
        <v>125</v>
      </c>
      <c r="C418" s="33" t="s">
        <v>175</v>
      </c>
      <c r="D418" s="43" t="s">
        <v>131</v>
      </c>
      <c r="E418" s="53"/>
      <c r="F418" s="54">
        <v>0.003472222222222222</v>
      </c>
      <c r="G418" s="29"/>
      <c r="H418" s="6"/>
      <c r="I418" s="6"/>
      <c r="J418" s="6"/>
      <c r="K418" s="6"/>
      <c r="L418" s="6"/>
      <c r="M418" s="6"/>
      <c r="N418" s="6"/>
      <c r="O418" s="6"/>
      <c r="P418" s="6"/>
      <c r="Q418" s="6"/>
      <c r="R418" s="6"/>
      <c r="S418" s="6"/>
    </row>
    <row r="419" ht="22.5" hidden="1" customHeight="1">
      <c r="A419" s="49">
        <v>45782.0</v>
      </c>
      <c r="B419" s="38" t="s">
        <v>125</v>
      </c>
      <c r="C419" s="33" t="s">
        <v>175</v>
      </c>
      <c r="D419" s="46" t="s">
        <v>41</v>
      </c>
      <c r="E419" s="40"/>
      <c r="F419" s="41">
        <v>0.019444444444444445</v>
      </c>
      <c r="G419" s="29"/>
      <c r="H419" s="6"/>
      <c r="I419" s="6"/>
      <c r="J419" s="6"/>
      <c r="K419" s="6"/>
      <c r="L419" s="6"/>
      <c r="M419" s="6"/>
      <c r="N419" s="6"/>
      <c r="O419" s="6"/>
      <c r="P419" s="6"/>
      <c r="Q419" s="6"/>
      <c r="R419" s="6"/>
      <c r="S419" s="6"/>
    </row>
    <row r="420" ht="22.5" hidden="1" customHeight="1">
      <c r="A420" s="49">
        <v>45783.0</v>
      </c>
      <c r="B420" s="38" t="s">
        <v>125</v>
      </c>
      <c r="C420" s="33" t="s">
        <v>175</v>
      </c>
      <c r="D420" s="39" t="s">
        <v>183</v>
      </c>
      <c r="E420" s="40"/>
      <c r="F420" s="41">
        <v>0.018622685185185187</v>
      </c>
      <c r="G420" s="29"/>
      <c r="H420" s="6"/>
      <c r="I420" s="6"/>
      <c r="J420" s="6"/>
      <c r="K420" s="6"/>
      <c r="L420" s="6"/>
      <c r="M420" s="6"/>
      <c r="N420" s="6"/>
      <c r="O420" s="6"/>
      <c r="P420" s="6"/>
      <c r="Q420" s="6"/>
      <c r="R420" s="6"/>
      <c r="S420" s="6"/>
    </row>
    <row r="421" ht="22.5" hidden="1" customHeight="1">
      <c r="A421" s="49">
        <v>45783.0</v>
      </c>
      <c r="B421" s="42" t="s">
        <v>125</v>
      </c>
      <c r="C421" s="33" t="s">
        <v>175</v>
      </c>
      <c r="D421" s="43" t="s">
        <v>92</v>
      </c>
      <c r="E421" s="44"/>
      <c r="F421" s="45">
        <v>0.010416666666666666</v>
      </c>
      <c r="G421" s="29"/>
      <c r="H421" s="6"/>
      <c r="I421" s="6"/>
      <c r="J421" s="6"/>
      <c r="K421" s="6"/>
      <c r="L421" s="6"/>
      <c r="M421" s="6"/>
      <c r="N421" s="6"/>
      <c r="O421" s="6"/>
      <c r="P421" s="6"/>
      <c r="Q421" s="6"/>
      <c r="R421" s="6"/>
      <c r="S421" s="6"/>
    </row>
    <row r="422" ht="22.5" hidden="1" customHeight="1">
      <c r="A422" s="49">
        <v>45783.0</v>
      </c>
      <c r="B422" s="38" t="s">
        <v>125</v>
      </c>
      <c r="C422" s="33" t="s">
        <v>175</v>
      </c>
      <c r="D422" s="46" t="s">
        <v>93</v>
      </c>
      <c r="E422" s="40"/>
      <c r="F422" s="41">
        <v>0.011111111111111112</v>
      </c>
      <c r="G422" s="29"/>
      <c r="H422" s="6"/>
      <c r="I422" s="6"/>
      <c r="J422" s="6"/>
      <c r="K422" s="6"/>
      <c r="L422" s="6"/>
      <c r="M422" s="6"/>
      <c r="N422" s="6"/>
      <c r="O422" s="6"/>
      <c r="P422" s="6"/>
      <c r="Q422" s="6"/>
      <c r="R422" s="6"/>
      <c r="S422" s="6"/>
    </row>
    <row r="423" ht="22.5" hidden="1" customHeight="1">
      <c r="A423" s="49">
        <v>45783.0</v>
      </c>
      <c r="B423" s="42" t="s">
        <v>125</v>
      </c>
      <c r="C423" s="33" t="s">
        <v>175</v>
      </c>
      <c r="D423" s="43" t="s">
        <v>131</v>
      </c>
      <c r="E423" s="53"/>
      <c r="F423" s="54">
        <v>0.003472222222222222</v>
      </c>
      <c r="G423" s="29"/>
      <c r="H423" s="6"/>
      <c r="I423" s="6"/>
      <c r="J423" s="6"/>
      <c r="K423" s="6"/>
      <c r="L423" s="6"/>
      <c r="M423" s="6"/>
      <c r="N423" s="6"/>
      <c r="O423" s="6"/>
      <c r="P423" s="6"/>
      <c r="Q423" s="6"/>
      <c r="R423" s="6"/>
      <c r="S423" s="6"/>
    </row>
    <row r="424" ht="22.5" hidden="1" customHeight="1">
      <c r="A424" s="49">
        <v>45783.0</v>
      </c>
      <c r="B424" s="38" t="s">
        <v>125</v>
      </c>
      <c r="C424" s="33" t="s">
        <v>175</v>
      </c>
      <c r="D424" s="46" t="s">
        <v>41</v>
      </c>
      <c r="E424" s="40"/>
      <c r="F424" s="41">
        <v>0.019444444444444445</v>
      </c>
      <c r="G424" s="29"/>
      <c r="H424" s="6"/>
      <c r="I424" s="6"/>
      <c r="J424" s="6"/>
      <c r="K424" s="6"/>
      <c r="L424" s="6"/>
      <c r="M424" s="6"/>
      <c r="N424" s="6"/>
      <c r="O424" s="6"/>
      <c r="P424" s="6"/>
      <c r="Q424" s="6"/>
      <c r="R424" s="6"/>
      <c r="S424" s="6"/>
    </row>
    <row r="425" ht="22.5" hidden="1" customHeight="1">
      <c r="A425" s="49">
        <v>45784.0</v>
      </c>
      <c r="B425" s="38" t="s">
        <v>125</v>
      </c>
      <c r="C425" s="33" t="s">
        <v>175</v>
      </c>
      <c r="D425" s="39" t="s">
        <v>184</v>
      </c>
      <c r="E425" s="40"/>
      <c r="F425" s="41">
        <v>0.015474537037037037</v>
      </c>
      <c r="G425" s="29"/>
      <c r="H425" s="6"/>
      <c r="I425" s="6"/>
      <c r="J425" s="6"/>
      <c r="K425" s="6"/>
      <c r="L425" s="6"/>
      <c r="M425" s="6"/>
      <c r="N425" s="6"/>
      <c r="O425" s="6"/>
      <c r="P425" s="6"/>
      <c r="Q425" s="6"/>
      <c r="R425" s="6"/>
      <c r="S425" s="6"/>
    </row>
    <row r="426" ht="22.5" hidden="1" customHeight="1">
      <c r="A426" s="49">
        <v>45784.0</v>
      </c>
      <c r="B426" s="42" t="s">
        <v>125</v>
      </c>
      <c r="C426" s="33" t="s">
        <v>175</v>
      </c>
      <c r="D426" s="43" t="s">
        <v>92</v>
      </c>
      <c r="E426" s="44"/>
      <c r="F426" s="45">
        <v>0.010416666666666666</v>
      </c>
      <c r="G426" s="29"/>
      <c r="H426" s="6"/>
      <c r="I426" s="6"/>
      <c r="J426" s="6"/>
      <c r="K426" s="6"/>
      <c r="L426" s="6"/>
      <c r="M426" s="6"/>
      <c r="N426" s="6"/>
      <c r="O426" s="6"/>
      <c r="P426" s="6"/>
      <c r="Q426" s="6"/>
      <c r="R426" s="6"/>
      <c r="S426" s="6"/>
    </row>
    <row r="427" ht="22.5" hidden="1" customHeight="1">
      <c r="A427" s="49">
        <v>45784.0</v>
      </c>
      <c r="B427" s="38" t="s">
        <v>125</v>
      </c>
      <c r="C427" s="33" t="s">
        <v>175</v>
      </c>
      <c r="D427" s="46" t="s">
        <v>93</v>
      </c>
      <c r="E427" s="40"/>
      <c r="F427" s="41">
        <v>0.011111111111111112</v>
      </c>
      <c r="G427" s="29"/>
      <c r="H427" s="6"/>
      <c r="I427" s="6"/>
      <c r="J427" s="6"/>
      <c r="K427" s="6"/>
      <c r="L427" s="6"/>
      <c r="M427" s="6"/>
      <c r="N427" s="6"/>
      <c r="O427" s="6"/>
      <c r="P427" s="6"/>
      <c r="Q427" s="6"/>
      <c r="R427" s="6"/>
      <c r="S427" s="6"/>
    </row>
    <row r="428" ht="22.5" hidden="1" customHeight="1">
      <c r="A428" s="49">
        <v>45784.0</v>
      </c>
      <c r="B428" s="42" t="s">
        <v>125</v>
      </c>
      <c r="C428" s="33" t="s">
        <v>175</v>
      </c>
      <c r="D428" s="43" t="s">
        <v>131</v>
      </c>
      <c r="E428" s="53"/>
      <c r="F428" s="54">
        <v>0.003472222222222222</v>
      </c>
      <c r="G428" s="29"/>
      <c r="H428" s="6"/>
      <c r="I428" s="6"/>
      <c r="J428" s="6"/>
      <c r="K428" s="6"/>
      <c r="L428" s="6"/>
      <c r="M428" s="6"/>
      <c r="N428" s="6"/>
      <c r="O428" s="6"/>
      <c r="P428" s="6"/>
      <c r="Q428" s="6"/>
      <c r="R428" s="6"/>
      <c r="S428" s="6"/>
    </row>
    <row r="429" ht="22.5" hidden="1" customHeight="1">
      <c r="A429" s="49">
        <v>45784.0</v>
      </c>
      <c r="B429" s="38" t="s">
        <v>125</v>
      </c>
      <c r="C429" s="33" t="s">
        <v>175</v>
      </c>
      <c r="D429" s="46" t="s">
        <v>41</v>
      </c>
      <c r="E429" s="40"/>
      <c r="F429" s="41">
        <v>0.019444444444444445</v>
      </c>
      <c r="G429" s="29"/>
      <c r="H429" s="6"/>
      <c r="I429" s="6"/>
      <c r="J429" s="6"/>
      <c r="K429" s="6"/>
      <c r="L429" s="6"/>
      <c r="M429" s="6"/>
      <c r="N429" s="6"/>
      <c r="O429" s="6"/>
      <c r="P429" s="6"/>
      <c r="Q429" s="6"/>
      <c r="R429" s="6"/>
      <c r="S429" s="6"/>
    </row>
    <row r="430" ht="22.5" hidden="1" customHeight="1">
      <c r="A430" s="49">
        <v>45785.0</v>
      </c>
      <c r="B430" s="38" t="s">
        <v>125</v>
      </c>
      <c r="C430" s="33" t="s">
        <v>175</v>
      </c>
      <c r="D430" s="39" t="s">
        <v>185</v>
      </c>
      <c r="E430" s="40"/>
      <c r="F430" s="41">
        <v>0.014872685185185185</v>
      </c>
      <c r="G430" s="29"/>
      <c r="H430" s="6"/>
      <c r="I430" s="6"/>
      <c r="J430" s="6"/>
      <c r="K430" s="6"/>
      <c r="L430" s="6"/>
      <c r="M430" s="6"/>
      <c r="N430" s="6"/>
      <c r="O430" s="6"/>
      <c r="P430" s="6"/>
      <c r="Q430" s="6"/>
      <c r="R430" s="6"/>
      <c r="S430" s="6"/>
    </row>
    <row r="431" ht="22.5" hidden="1" customHeight="1">
      <c r="A431" s="49">
        <v>45785.0</v>
      </c>
      <c r="B431" s="42" t="s">
        <v>125</v>
      </c>
      <c r="C431" s="33" t="s">
        <v>175</v>
      </c>
      <c r="D431" s="43" t="s">
        <v>92</v>
      </c>
      <c r="E431" s="44"/>
      <c r="F431" s="45">
        <v>0.010416666666666666</v>
      </c>
      <c r="G431" s="29"/>
      <c r="H431" s="6"/>
      <c r="I431" s="6"/>
      <c r="J431" s="6"/>
      <c r="K431" s="6"/>
      <c r="L431" s="6"/>
      <c r="M431" s="6"/>
      <c r="N431" s="6"/>
      <c r="O431" s="6"/>
      <c r="P431" s="6"/>
      <c r="Q431" s="6"/>
      <c r="R431" s="6"/>
      <c r="S431" s="6"/>
    </row>
    <row r="432" ht="22.5" hidden="1" customHeight="1">
      <c r="A432" s="49">
        <v>45785.0</v>
      </c>
      <c r="B432" s="38" t="s">
        <v>125</v>
      </c>
      <c r="C432" s="33" t="s">
        <v>175</v>
      </c>
      <c r="D432" s="46" t="s">
        <v>93</v>
      </c>
      <c r="E432" s="40"/>
      <c r="F432" s="41">
        <v>0.011111111111111112</v>
      </c>
      <c r="G432" s="29"/>
      <c r="H432" s="6"/>
      <c r="I432" s="6"/>
      <c r="J432" s="6"/>
      <c r="K432" s="6"/>
      <c r="L432" s="6"/>
      <c r="M432" s="6"/>
      <c r="N432" s="6"/>
      <c r="O432" s="6"/>
      <c r="P432" s="6"/>
      <c r="Q432" s="6"/>
      <c r="R432" s="6"/>
      <c r="S432" s="6"/>
    </row>
    <row r="433" ht="22.5" hidden="1" customHeight="1">
      <c r="A433" s="49">
        <v>45785.0</v>
      </c>
      <c r="B433" s="42" t="s">
        <v>125</v>
      </c>
      <c r="C433" s="33" t="s">
        <v>175</v>
      </c>
      <c r="D433" s="43" t="s">
        <v>131</v>
      </c>
      <c r="E433" s="53"/>
      <c r="F433" s="54">
        <v>0.003472222222222222</v>
      </c>
      <c r="G433" s="29"/>
      <c r="H433" s="6"/>
      <c r="I433" s="6"/>
      <c r="J433" s="6"/>
      <c r="K433" s="6"/>
      <c r="L433" s="6"/>
      <c r="M433" s="6"/>
      <c r="N433" s="6"/>
      <c r="O433" s="6"/>
      <c r="P433" s="6"/>
      <c r="Q433" s="6"/>
      <c r="R433" s="6"/>
      <c r="S433" s="6"/>
    </row>
    <row r="434" ht="22.5" hidden="1" customHeight="1">
      <c r="A434" s="49">
        <v>45785.0</v>
      </c>
      <c r="B434" s="38" t="s">
        <v>125</v>
      </c>
      <c r="C434" s="33" t="s">
        <v>175</v>
      </c>
      <c r="D434" s="46" t="s">
        <v>41</v>
      </c>
      <c r="E434" s="40"/>
      <c r="F434" s="41">
        <v>0.019444444444444445</v>
      </c>
      <c r="G434" s="29"/>
      <c r="H434" s="6"/>
      <c r="I434" s="6"/>
      <c r="J434" s="6"/>
      <c r="K434" s="6"/>
      <c r="L434" s="6"/>
      <c r="M434" s="6"/>
      <c r="N434" s="6"/>
      <c r="O434" s="6"/>
      <c r="P434" s="6"/>
      <c r="Q434" s="6"/>
      <c r="R434" s="6"/>
      <c r="S434" s="6"/>
    </row>
    <row r="435" ht="22.5" hidden="1" customHeight="1">
      <c r="A435" s="49">
        <v>45786.0</v>
      </c>
      <c r="B435" s="38" t="s">
        <v>125</v>
      </c>
      <c r="C435" s="33" t="s">
        <v>175</v>
      </c>
      <c r="D435" s="39" t="s">
        <v>186</v>
      </c>
      <c r="E435" s="40"/>
      <c r="F435" s="41">
        <v>0.015902777777777776</v>
      </c>
      <c r="G435" s="29"/>
      <c r="H435" s="6"/>
      <c r="I435" s="6"/>
      <c r="J435" s="6"/>
      <c r="K435" s="6"/>
      <c r="L435" s="6"/>
      <c r="M435" s="6"/>
      <c r="N435" s="6"/>
      <c r="O435" s="6"/>
      <c r="P435" s="6"/>
      <c r="Q435" s="6"/>
      <c r="R435" s="6"/>
      <c r="S435" s="6"/>
    </row>
    <row r="436" ht="22.5" hidden="1" customHeight="1">
      <c r="A436" s="49">
        <v>45786.0</v>
      </c>
      <c r="B436" s="42" t="s">
        <v>125</v>
      </c>
      <c r="C436" s="33" t="s">
        <v>175</v>
      </c>
      <c r="D436" s="43" t="s">
        <v>92</v>
      </c>
      <c r="E436" s="44"/>
      <c r="F436" s="45">
        <v>0.010416666666666666</v>
      </c>
      <c r="G436" s="29"/>
      <c r="H436" s="6"/>
      <c r="I436" s="6"/>
      <c r="J436" s="6"/>
      <c r="K436" s="6"/>
      <c r="L436" s="6"/>
      <c r="M436" s="6"/>
      <c r="N436" s="6"/>
      <c r="O436" s="6"/>
      <c r="P436" s="6"/>
      <c r="Q436" s="6"/>
      <c r="R436" s="6"/>
      <c r="S436" s="6"/>
    </row>
    <row r="437" ht="22.5" hidden="1" customHeight="1">
      <c r="A437" s="49">
        <v>45786.0</v>
      </c>
      <c r="B437" s="38" t="s">
        <v>125</v>
      </c>
      <c r="C437" s="33" t="s">
        <v>175</v>
      </c>
      <c r="D437" s="46" t="s">
        <v>93</v>
      </c>
      <c r="E437" s="40"/>
      <c r="F437" s="41">
        <v>0.011111111111111112</v>
      </c>
      <c r="G437" s="29"/>
      <c r="H437" s="6"/>
      <c r="I437" s="6"/>
      <c r="J437" s="6"/>
      <c r="K437" s="6"/>
      <c r="L437" s="6"/>
      <c r="M437" s="6"/>
      <c r="N437" s="6"/>
      <c r="O437" s="6"/>
      <c r="P437" s="6"/>
      <c r="Q437" s="6"/>
      <c r="R437" s="6"/>
      <c r="S437" s="6"/>
    </row>
    <row r="438" ht="22.5" hidden="1" customHeight="1">
      <c r="A438" s="49">
        <v>45786.0</v>
      </c>
      <c r="B438" s="42" t="s">
        <v>125</v>
      </c>
      <c r="C438" s="33" t="s">
        <v>175</v>
      </c>
      <c r="D438" s="43" t="s">
        <v>131</v>
      </c>
      <c r="E438" s="53"/>
      <c r="F438" s="54">
        <v>0.003472222222222222</v>
      </c>
      <c r="G438" s="29"/>
      <c r="H438" s="6"/>
      <c r="I438" s="6"/>
      <c r="J438" s="6"/>
      <c r="K438" s="6"/>
      <c r="L438" s="6"/>
      <c r="M438" s="6"/>
      <c r="N438" s="6"/>
      <c r="O438" s="6"/>
      <c r="P438" s="6"/>
      <c r="Q438" s="6"/>
      <c r="R438" s="6"/>
      <c r="S438" s="6"/>
    </row>
    <row r="439" ht="22.5" hidden="1" customHeight="1">
      <c r="A439" s="49">
        <v>45786.0</v>
      </c>
      <c r="B439" s="38" t="s">
        <v>125</v>
      </c>
      <c r="C439" s="33" t="s">
        <v>175</v>
      </c>
      <c r="D439" s="46" t="s">
        <v>41</v>
      </c>
      <c r="E439" s="40"/>
      <c r="F439" s="41">
        <v>0.020833333333333332</v>
      </c>
      <c r="G439" s="29"/>
      <c r="H439" s="6"/>
      <c r="I439" s="6"/>
      <c r="J439" s="6"/>
      <c r="K439" s="6"/>
      <c r="L439" s="6"/>
      <c r="M439" s="6"/>
      <c r="N439" s="6"/>
      <c r="O439" s="6"/>
      <c r="P439" s="6"/>
      <c r="Q439" s="6"/>
      <c r="R439" s="6"/>
      <c r="S439" s="6"/>
    </row>
    <row r="440" ht="22.5" hidden="1" customHeight="1">
      <c r="A440" s="49">
        <v>45787.0</v>
      </c>
      <c r="B440" s="38" t="s">
        <v>125</v>
      </c>
      <c r="C440" s="33" t="s">
        <v>175</v>
      </c>
      <c r="D440" s="39" t="s">
        <v>187</v>
      </c>
      <c r="E440" s="40"/>
      <c r="F440" s="41">
        <v>0.003159722222222222</v>
      </c>
      <c r="G440" s="29"/>
      <c r="H440" s="6"/>
      <c r="I440" s="6"/>
      <c r="J440" s="6"/>
      <c r="K440" s="6"/>
      <c r="L440" s="6"/>
      <c r="M440" s="6"/>
      <c r="N440" s="6"/>
      <c r="O440" s="6"/>
      <c r="P440" s="6"/>
      <c r="Q440" s="6"/>
      <c r="R440" s="6"/>
      <c r="S440" s="6"/>
    </row>
    <row r="441" ht="22.5" hidden="1" customHeight="1">
      <c r="A441" s="49">
        <v>45787.0</v>
      </c>
      <c r="B441" s="38" t="s">
        <v>125</v>
      </c>
      <c r="C441" s="33" t="s">
        <v>175</v>
      </c>
      <c r="D441" s="46" t="s">
        <v>93</v>
      </c>
      <c r="E441" s="40"/>
      <c r="F441" s="41">
        <v>0.010416666666666666</v>
      </c>
      <c r="G441" s="29"/>
      <c r="H441" s="6"/>
      <c r="I441" s="6"/>
      <c r="J441" s="6"/>
      <c r="K441" s="6"/>
      <c r="L441" s="6"/>
      <c r="M441" s="6"/>
      <c r="N441" s="6"/>
      <c r="O441" s="6"/>
      <c r="P441" s="6"/>
      <c r="Q441" s="6"/>
      <c r="R441" s="6"/>
      <c r="S441" s="6"/>
    </row>
    <row r="442" ht="22.5" hidden="1" customHeight="1">
      <c r="A442" s="49">
        <v>45787.0</v>
      </c>
      <c r="B442" s="42" t="s">
        <v>125</v>
      </c>
      <c r="C442" s="33" t="s">
        <v>175</v>
      </c>
      <c r="D442" s="43" t="s">
        <v>131</v>
      </c>
      <c r="E442" s="53"/>
      <c r="F442" s="54">
        <v>0.006944444444444444</v>
      </c>
      <c r="G442" s="29"/>
      <c r="H442" s="6"/>
      <c r="I442" s="6"/>
      <c r="J442" s="6"/>
      <c r="K442" s="6"/>
      <c r="L442" s="6"/>
      <c r="M442" s="6"/>
      <c r="N442" s="6"/>
      <c r="O442" s="6"/>
      <c r="P442" s="6"/>
      <c r="Q442" s="6"/>
      <c r="R442" s="6"/>
      <c r="S442" s="6"/>
    </row>
    <row r="443" ht="22.5" hidden="1" customHeight="1">
      <c r="A443" s="49">
        <v>45787.0</v>
      </c>
      <c r="B443" s="38" t="s">
        <v>125</v>
      </c>
      <c r="C443" s="33" t="s">
        <v>175</v>
      </c>
      <c r="D443" s="46" t="s">
        <v>41</v>
      </c>
      <c r="E443" s="40"/>
      <c r="F443" s="41">
        <v>0.020833333333333332</v>
      </c>
      <c r="G443" s="29"/>
      <c r="H443" s="6"/>
      <c r="I443" s="6"/>
      <c r="J443" s="6"/>
      <c r="K443" s="6"/>
      <c r="L443" s="6"/>
      <c r="M443" s="6"/>
      <c r="N443" s="6"/>
      <c r="O443" s="6"/>
      <c r="P443" s="6"/>
      <c r="Q443" s="6"/>
      <c r="R443" s="6"/>
      <c r="S443" s="6"/>
    </row>
    <row r="444" ht="22.5" hidden="1" customHeight="1">
      <c r="A444" s="49">
        <v>45787.0</v>
      </c>
      <c r="B444" s="38" t="s">
        <v>125</v>
      </c>
      <c r="C444" s="33" t="s">
        <v>175</v>
      </c>
      <c r="D444" s="55" t="s">
        <v>188</v>
      </c>
      <c r="E444" s="56"/>
      <c r="F444" s="41">
        <v>0.0</v>
      </c>
      <c r="G444" s="29" t="s">
        <v>189</v>
      </c>
      <c r="H444" s="6"/>
      <c r="I444" s="6"/>
      <c r="J444" s="6"/>
      <c r="K444" s="6"/>
      <c r="L444" s="6"/>
      <c r="M444" s="6"/>
      <c r="N444" s="6"/>
      <c r="O444" s="6"/>
      <c r="P444" s="6"/>
      <c r="Q444" s="6"/>
      <c r="R444" s="6"/>
      <c r="S444" s="6"/>
    </row>
    <row r="445" ht="22.5" hidden="1" customHeight="1">
      <c r="A445" s="49">
        <v>45788.0</v>
      </c>
      <c r="B445" s="38" t="s">
        <v>125</v>
      </c>
      <c r="C445" s="34" t="s">
        <v>190</v>
      </c>
      <c r="D445" s="39" t="s">
        <v>191</v>
      </c>
      <c r="E445" s="40"/>
      <c r="F445" s="41">
        <v>0.002766203703703704</v>
      </c>
      <c r="G445" s="29"/>
      <c r="H445" s="6"/>
      <c r="I445" s="6"/>
      <c r="J445" s="6"/>
      <c r="K445" s="6"/>
      <c r="L445" s="6"/>
      <c r="M445" s="6"/>
      <c r="N445" s="6"/>
      <c r="O445" s="6"/>
      <c r="P445" s="6"/>
      <c r="Q445" s="6"/>
      <c r="R445" s="6"/>
      <c r="S445" s="6"/>
    </row>
    <row r="446" ht="22.5" hidden="1" customHeight="1">
      <c r="A446" s="49">
        <v>45788.0</v>
      </c>
      <c r="B446" s="38" t="s">
        <v>125</v>
      </c>
      <c r="C446" s="34" t="s">
        <v>190</v>
      </c>
      <c r="D446" s="46" t="s">
        <v>93</v>
      </c>
      <c r="E446" s="40"/>
      <c r="F446" s="41">
        <v>0.010416666666666666</v>
      </c>
      <c r="G446" s="29"/>
      <c r="H446" s="6"/>
      <c r="I446" s="6"/>
      <c r="J446" s="6"/>
      <c r="K446" s="6"/>
      <c r="L446" s="6"/>
      <c r="M446" s="6"/>
      <c r="N446" s="6"/>
      <c r="O446" s="6"/>
      <c r="P446" s="6"/>
      <c r="Q446" s="6"/>
      <c r="R446" s="6"/>
      <c r="S446" s="6"/>
    </row>
    <row r="447" ht="22.5" hidden="1" customHeight="1">
      <c r="A447" s="49">
        <v>45788.0</v>
      </c>
      <c r="B447" s="38" t="s">
        <v>125</v>
      </c>
      <c r="C447" s="34" t="s">
        <v>190</v>
      </c>
      <c r="D447" s="43" t="s">
        <v>131</v>
      </c>
      <c r="E447" s="53"/>
      <c r="F447" s="54">
        <v>0.006944444444444444</v>
      </c>
      <c r="G447" s="29"/>
      <c r="H447" s="6"/>
      <c r="I447" s="6"/>
      <c r="J447" s="6"/>
      <c r="K447" s="6"/>
      <c r="L447" s="6"/>
      <c r="M447" s="6"/>
      <c r="N447" s="6"/>
      <c r="O447" s="6"/>
      <c r="P447" s="6"/>
      <c r="Q447" s="6"/>
      <c r="R447" s="6"/>
      <c r="S447" s="6"/>
    </row>
    <row r="448" ht="22.5" hidden="1" customHeight="1">
      <c r="A448" s="49">
        <v>45788.0</v>
      </c>
      <c r="B448" s="38" t="s">
        <v>125</v>
      </c>
      <c r="C448" s="34" t="s">
        <v>190</v>
      </c>
      <c r="D448" s="46" t="s">
        <v>41</v>
      </c>
      <c r="E448" s="40"/>
      <c r="F448" s="41">
        <v>0.020833333333333332</v>
      </c>
      <c r="G448" s="29"/>
      <c r="H448" s="6"/>
      <c r="I448" s="6"/>
      <c r="J448" s="6"/>
      <c r="K448" s="6"/>
      <c r="L448" s="6"/>
      <c r="M448" s="6"/>
      <c r="N448" s="6"/>
      <c r="O448" s="6"/>
      <c r="P448" s="6"/>
      <c r="Q448" s="6"/>
      <c r="R448" s="6"/>
      <c r="S448" s="6"/>
    </row>
    <row r="449" ht="22.5" hidden="1" customHeight="1">
      <c r="A449" s="49">
        <v>45789.0</v>
      </c>
      <c r="B449" s="38" t="s">
        <v>125</v>
      </c>
      <c r="C449" s="34" t="s">
        <v>190</v>
      </c>
      <c r="D449" s="39" t="s">
        <v>192</v>
      </c>
      <c r="E449" s="40"/>
      <c r="F449" s="41">
        <v>0.0253125</v>
      </c>
      <c r="G449" s="29"/>
      <c r="H449" s="6"/>
      <c r="I449" s="6"/>
      <c r="J449" s="6"/>
      <c r="K449" s="6"/>
      <c r="L449" s="6"/>
      <c r="M449" s="6"/>
      <c r="N449" s="6"/>
      <c r="O449" s="6"/>
      <c r="P449" s="6"/>
      <c r="Q449" s="6"/>
      <c r="R449" s="6"/>
      <c r="S449" s="6"/>
    </row>
    <row r="450" ht="22.5" hidden="1" customHeight="1">
      <c r="A450" s="49">
        <v>45789.0</v>
      </c>
      <c r="B450" s="38" t="s">
        <v>125</v>
      </c>
      <c r="C450" s="34" t="s">
        <v>190</v>
      </c>
      <c r="D450" s="43" t="s">
        <v>92</v>
      </c>
      <c r="E450" s="44"/>
      <c r="F450" s="45">
        <v>0.010416666666666666</v>
      </c>
      <c r="G450" s="29"/>
      <c r="H450" s="6"/>
      <c r="I450" s="6"/>
      <c r="J450" s="6"/>
      <c r="K450" s="6"/>
      <c r="L450" s="6"/>
      <c r="M450" s="6"/>
      <c r="N450" s="6"/>
      <c r="O450" s="6"/>
      <c r="P450" s="6"/>
      <c r="Q450" s="6"/>
      <c r="R450" s="6"/>
      <c r="S450" s="6"/>
    </row>
    <row r="451" ht="22.5" hidden="1" customHeight="1">
      <c r="A451" s="49">
        <v>45789.0</v>
      </c>
      <c r="B451" s="38" t="s">
        <v>125</v>
      </c>
      <c r="C451" s="34" t="s">
        <v>190</v>
      </c>
      <c r="D451" s="46" t="s">
        <v>93</v>
      </c>
      <c r="E451" s="40"/>
      <c r="F451" s="41">
        <v>0.010416666666666666</v>
      </c>
      <c r="G451" s="29"/>
      <c r="H451" s="6"/>
      <c r="I451" s="6"/>
      <c r="J451" s="6"/>
      <c r="K451" s="6"/>
      <c r="L451" s="6"/>
      <c r="M451" s="6"/>
      <c r="N451" s="6"/>
      <c r="O451" s="6"/>
      <c r="P451" s="6"/>
      <c r="Q451" s="6"/>
      <c r="R451" s="6"/>
      <c r="S451" s="6"/>
    </row>
    <row r="452" ht="22.5" hidden="1" customHeight="1">
      <c r="A452" s="49">
        <v>45789.0</v>
      </c>
      <c r="B452" s="38" t="s">
        <v>125</v>
      </c>
      <c r="C452" s="34" t="s">
        <v>190</v>
      </c>
      <c r="D452" s="43" t="s">
        <v>131</v>
      </c>
      <c r="E452" s="53"/>
      <c r="F452" s="54">
        <v>0.003472222222222222</v>
      </c>
      <c r="G452" s="29"/>
      <c r="H452" s="6"/>
      <c r="I452" s="6"/>
      <c r="J452" s="6"/>
      <c r="K452" s="6"/>
      <c r="L452" s="6"/>
      <c r="M452" s="6"/>
      <c r="N452" s="6"/>
      <c r="O452" s="6"/>
      <c r="P452" s="6"/>
      <c r="Q452" s="6"/>
      <c r="R452" s="6"/>
      <c r="S452" s="6"/>
    </row>
    <row r="453" ht="22.5" hidden="1" customHeight="1">
      <c r="A453" s="49">
        <v>45789.0</v>
      </c>
      <c r="B453" s="38" t="s">
        <v>125</v>
      </c>
      <c r="C453" s="34" t="s">
        <v>190</v>
      </c>
      <c r="D453" s="46" t="s">
        <v>41</v>
      </c>
      <c r="E453" s="40"/>
      <c r="F453" s="41">
        <v>0.021527777777777778</v>
      </c>
      <c r="G453" s="29"/>
      <c r="H453" s="6"/>
      <c r="I453" s="6"/>
      <c r="J453" s="6"/>
      <c r="K453" s="6"/>
      <c r="L453" s="6"/>
      <c r="M453" s="6"/>
      <c r="N453" s="6"/>
      <c r="O453" s="6"/>
      <c r="P453" s="6"/>
      <c r="Q453" s="6"/>
      <c r="R453" s="6"/>
      <c r="S453" s="6"/>
    </row>
    <row r="454" ht="22.5" hidden="1" customHeight="1">
      <c r="A454" s="49">
        <v>45790.0</v>
      </c>
      <c r="B454" s="38" t="s">
        <v>125</v>
      </c>
      <c r="C454" s="34" t="s">
        <v>190</v>
      </c>
      <c r="D454" s="39" t="s">
        <v>193</v>
      </c>
      <c r="E454" s="40"/>
      <c r="F454" s="41">
        <v>0.01730324074074074</v>
      </c>
      <c r="G454" s="29"/>
      <c r="H454" s="6"/>
      <c r="I454" s="6"/>
      <c r="J454" s="6"/>
      <c r="K454" s="6"/>
      <c r="L454" s="6"/>
      <c r="M454" s="6"/>
      <c r="N454" s="6"/>
      <c r="O454" s="6"/>
      <c r="P454" s="6"/>
      <c r="Q454" s="6"/>
      <c r="R454" s="6"/>
      <c r="S454" s="6"/>
    </row>
    <row r="455" ht="22.5" hidden="1" customHeight="1">
      <c r="A455" s="49">
        <v>45790.0</v>
      </c>
      <c r="B455" s="38" t="s">
        <v>125</v>
      </c>
      <c r="C455" s="34" t="s">
        <v>190</v>
      </c>
      <c r="D455" s="43" t="s">
        <v>92</v>
      </c>
      <c r="E455" s="44"/>
      <c r="F455" s="45">
        <v>0.010416666666666666</v>
      </c>
      <c r="G455" s="29"/>
      <c r="H455" s="6"/>
      <c r="I455" s="6"/>
      <c r="J455" s="6"/>
      <c r="K455" s="6"/>
      <c r="L455" s="6"/>
      <c r="M455" s="6"/>
      <c r="N455" s="6"/>
      <c r="O455" s="6"/>
      <c r="P455" s="6"/>
      <c r="Q455" s="6"/>
      <c r="R455" s="6"/>
      <c r="S455" s="6"/>
    </row>
    <row r="456" ht="22.5" hidden="1" customHeight="1">
      <c r="A456" s="49">
        <v>45790.0</v>
      </c>
      <c r="B456" s="38" t="s">
        <v>125</v>
      </c>
      <c r="C456" s="34" t="s">
        <v>190</v>
      </c>
      <c r="D456" s="46" t="s">
        <v>93</v>
      </c>
      <c r="E456" s="40"/>
      <c r="F456" s="41">
        <v>0.010416666666666666</v>
      </c>
      <c r="G456" s="29"/>
      <c r="H456" s="6"/>
      <c r="I456" s="6"/>
      <c r="J456" s="6"/>
      <c r="K456" s="6"/>
      <c r="L456" s="6"/>
      <c r="M456" s="6"/>
      <c r="N456" s="6"/>
      <c r="O456" s="6"/>
      <c r="P456" s="6"/>
      <c r="Q456" s="6"/>
      <c r="R456" s="6"/>
      <c r="S456" s="6"/>
    </row>
    <row r="457" ht="22.5" hidden="1" customHeight="1">
      <c r="A457" s="49">
        <v>45790.0</v>
      </c>
      <c r="B457" s="38" t="s">
        <v>125</v>
      </c>
      <c r="C457" s="34" t="s">
        <v>190</v>
      </c>
      <c r="D457" s="43" t="s">
        <v>131</v>
      </c>
      <c r="E457" s="53"/>
      <c r="F457" s="54">
        <v>0.003472222222222222</v>
      </c>
      <c r="G457" s="29"/>
      <c r="H457" s="6"/>
      <c r="I457" s="6"/>
      <c r="J457" s="6"/>
      <c r="K457" s="6"/>
      <c r="L457" s="6"/>
      <c r="M457" s="6"/>
      <c r="N457" s="6"/>
      <c r="O457" s="6"/>
      <c r="P457" s="6"/>
      <c r="Q457" s="6"/>
      <c r="R457" s="6"/>
      <c r="S457" s="6"/>
    </row>
    <row r="458" ht="22.5" hidden="1" customHeight="1">
      <c r="A458" s="49">
        <v>45790.0</v>
      </c>
      <c r="B458" s="38" t="s">
        <v>125</v>
      </c>
      <c r="C458" s="34" t="s">
        <v>190</v>
      </c>
      <c r="D458" s="46" t="s">
        <v>41</v>
      </c>
      <c r="E458" s="40"/>
      <c r="F458" s="41">
        <v>0.021527777777777778</v>
      </c>
      <c r="G458" s="29"/>
      <c r="H458" s="6"/>
      <c r="I458" s="6"/>
      <c r="J458" s="6"/>
      <c r="K458" s="6"/>
      <c r="L458" s="6"/>
      <c r="M458" s="6"/>
      <c r="N458" s="6"/>
      <c r="O458" s="6"/>
      <c r="P458" s="6"/>
      <c r="Q458" s="6"/>
      <c r="R458" s="6"/>
      <c r="S458" s="6"/>
    </row>
    <row r="459" ht="22.5" hidden="1" customHeight="1">
      <c r="A459" s="49">
        <v>45791.0</v>
      </c>
      <c r="B459" s="38" t="s">
        <v>125</v>
      </c>
      <c r="C459" s="34" t="s">
        <v>190</v>
      </c>
      <c r="D459" s="39" t="s">
        <v>194</v>
      </c>
      <c r="E459" s="40"/>
      <c r="F459" s="41">
        <v>0.01380787037037037</v>
      </c>
      <c r="G459" s="29"/>
      <c r="H459" s="6"/>
      <c r="I459" s="6"/>
      <c r="J459" s="6"/>
      <c r="K459" s="6"/>
      <c r="L459" s="6"/>
      <c r="M459" s="6"/>
      <c r="N459" s="6"/>
      <c r="O459" s="6"/>
      <c r="P459" s="6"/>
      <c r="Q459" s="6"/>
      <c r="R459" s="6"/>
      <c r="S459" s="6"/>
    </row>
    <row r="460" ht="22.5" hidden="1" customHeight="1">
      <c r="A460" s="49">
        <v>45791.0</v>
      </c>
      <c r="B460" s="38" t="s">
        <v>125</v>
      </c>
      <c r="C460" s="34" t="s">
        <v>190</v>
      </c>
      <c r="D460" s="43" t="s">
        <v>92</v>
      </c>
      <c r="E460" s="44"/>
      <c r="F460" s="45">
        <v>0.010416666666666666</v>
      </c>
      <c r="G460" s="29"/>
      <c r="H460" s="6"/>
      <c r="I460" s="6"/>
      <c r="J460" s="6"/>
      <c r="K460" s="6"/>
      <c r="L460" s="6"/>
      <c r="M460" s="6"/>
      <c r="N460" s="6"/>
      <c r="O460" s="6"/>
      <c r="P460" s="6"/>
      <c r="Q460" s="6"/>
      <c r="R460" s="6"/>
      <c r="S460" s="6"/>
    </row>
    <row r="461" ht="22.5" hidden="1" customHeight="1">
      <c r="A461" s="49">
        <v>45791.0</v>
      </c>
      <c r="B461" s="38" t="s">
        <v>125</v>
      </c>
      <c r="C461" s="34" t="s">
        <v>190</v>
      </c>
      <c r="D461" s="46" t="s">
        <v>93</v>
      </c>
      <c r="E461" s="40"/>
      <c r="F461" s="41">
        <v>0.010416666666666666</v>
      </c>
      <c r="G461" s="29"/>
      <c r="H461" s="6"/>
      <c r="I461" s="6"/>
      <c r="J461" s="6"/>
      <c r="K461" s="6"/>
      <c r="L461" s="6"/>
      <c r="M461" s="6"/>
      <c r="N461" s="6"/>
      <c r="O461" s="6"/>
      <c r="P461" s="6"/>
      <c r="Q461" s="6"/>
      <c r="R461" s="6"/>
      <c r="S461" s="6"/>
    </row>
    <row r="462" ht="22.5" hidden="1" customHeight="1">
      <c r="A462" s="49">
        <v>45791.0</v>
      </c>
      <c r="B462" s="38" t="s">
        <v>125</v>
      </c>
      <c r="C462" s="34" t="s">
        <v>190</v>
      </c>
      <c r="D462" s="43" t="s">
        <v>131</v>
      </c>
      <c r="E462" s="53"/>
      <c r="F462" s="54">
        <v>0.003472222222222222</v>
      </c>
      <c r="G462" s="29"/>
      <c r="H462" s="6"/>
      <c r="I462" s="6"/>
      <c r="J462" s="6"/>
      <c r="K462" s="6"/>
      <c r="L462" s="6"/>
      <c r="M462" s="6"/>
      <c r="N462" s="6"/>
      <c r="O462" s="6"/>
      <c r="P462" s="6"/>
      <c r="Q462" s="6"/>
      <c r="R462" s="6"/>
      <c r="S462" s="6"/>
    </row>
    <row r="463" ht="22.5" hidden="1" customHeight="1">
      <c r="A463" s="49">
        <v>45791.0</v>
      </c>
      <c r="B463" s="38" t="s">
        <v>125</v>
      </c>
      <c r="C463" s="34" t="s">
        <v>190</v>
      </c>
      <c r="D463" s="46" t="s">
        <v>41</v>
      </c>
      <c r="E463" s="40"/>
      <c r="F463" s="41">
        <v>0.021527777777777778</v>
      </c>
      <c r="G463" s="29"/>
      <c r="H463" s="6"/>
      <c r="I463" s="6"/>
      <c r="J463" s="6"/>
      <c r="K463" s="6"/>
      <c r="L463" s="6"/>
      <c r="M463" s="6"/>
      <c r="N463" s="6"/>
      <c r="O463" s="6"/>
      <c r="P463" s="6"/>
      <c r="Q463" s="6"/>
      <c r="R463" s="6"/>
      <c r="S463" s="6"/>
    </row>
    <row r="464" ht="22.5" hidden="1" customHeight="1">
      <c r="A464" s="49">
        <v>45792.0</v>
      </c>
      <c r="B464" s="38" t="s">
        <v>125</v>
      </c>
      <c r="C464" s="34" t="s">
        <v>190</v>
      </c>
      <c r="D464" s="57" t="s">
        <v>195</v>
      </c>
      <c r="E464" s="40"/>
      <c r="F464" s="41">
        <v>0.007696759259259259</v>
      </c>
      <c r="G464" s="29"/>
      <c r="H464" s="6"/>
      <c r="I464" s="6"/>
      <c r="J464" s="6"/>
      <c r="K464" s="6"/>
      <c r="L464" s="6"/>
      <c r="M464" s="6"/>
      <c r="N464" s="6"/>
      <c r="O464" s="6"/>
      <c r="P464" s="6"/>
      <c r="Q464" s="6"/>
      <c r="R464" s="6"/>
      <c r="S464" s="6"/>
    </row>
    <row r="465" ht="22.5" hidden="1" customHeight="1">
      <c r="A465" s="49">
        <v>45792.0</v>
      </c>
      <c r="B465" s="38" t="s">
        <v>125</v>
      </c>
      <c r="C465" s="34" t="s">
        <v>190</v>
      </c>
      <c r="D465" s="46" t="s">
        <v>93</v>
      </c>
      <c r="E465" s="40"/>
      <c r="F465" s="41">
        <v>0.010416666666666666</v>
      </c>
      <c r="G465" s="29"/>
      <c r="H465" s="6"/>
      <c r="I465" s="6"/>
      <c r="J465" s="6"/>
      <c r="K465" s="6"/>
      <c r="L465" s="6"/>
      <c r="M465" s="6"/>
      <c r="N465" s="6"/>
      <c r="O465" s="6"/>
      <c r="P465" s="6"/>
      <c r="Q465" s="6"/>
      <c r="R465" s="6"/>
      <c r="S465" s="6"/>
    </row>
    <row r="466" ht="22.5" hidden="1" customHeight="1">
      <c r="A466" s="49">
        <v>45792.0</v>
      </c>
      <c r="B466" s="38" t="s">
        <v>125</v>
      </c>
      <c r="C466" s="34" t="s">
        <v>190</v>
      </c>
      <c r="D466" s="43" t="s">
        <v>131</v>
      </c>
      <c r="E466" s="53"/>
      <c r="F466" s="54">
        <v>0.003472222222222222</v>
      </c>
      <c r="G466" s="29"/>
      <c r="H466" s="6"/>
      <c r="I466" s="6"/>
      <c r="J466" s="6"/>
      <c r="K466" s="6"/>
      <c r="L466" s="6"/>
      <c r="M466" s="6"/>
      <c r="N466" s="6"/>
      <c r="O466" s="6"/>
      <c r="P466" s="6"/>
      <c r="Q466" s="6"/>
      <c r="R466" s="6"/>
      <c r="S466" s="6"/>
    </row>
    <row r="467" ht="22.5" hidden="1" customHeight="1">
      <c r="A467" s="49">
        <v>45792.0</v>
      </c>
      <c r="B467" s="38" t="s">
        <v>125</v>
      </c>
      <c r="C467" s="34" t="s">
        <v>190</v>
      </c>
      <c r="D467" s="46" t="s">
        <v>41</v>
      </c>
      <c r="E467" s="40"/>
      <c r="F467" s="41">
        <v>0.021527777777777778</v>
      </c>
      <c r="G467" s="29"/>
      <c r="H467" s="6"/>
      <c r="I467" s="6"/>
      <c r="J467" s="6"/>
      <c r="K467" s="6"/>
      <c r="L467" s="6"/>
      <c r="M467" s="6"/>
      <c r="N467" s="6"/>
      <c r="O467" s="6"/>
      <c r="P467" s="6"/>
      <c r="Q467" s="6"/>
      <c r="R467" s="6"/>
      <c r="S467" s="6"/>
    </row>
    <row r="468" ht="22.5" hidden="1" customHeight="1">
      <c r="A468" s="49">
        <v>45793.0</v>
      </c>
      <c r="B468" s="38" t="s">
        <v>125</v>
      </c>
      <c r="C468" s="34" t="s">
        <v>190</v>
      </c>
      <c r="D468" s="39" t="s">
        <v>196</v>
      </c>
      <c r="E468" s="40"/>
      <c r="F468" s="41">
        <v>0.010983796296296297</v>
      </c>
      <c r="G468" s="29"/>
      <c r="H468" s="6"/>
      <c r="I468" s="6"/>
      <c r="J468" s="6"/>
      <c r="K468" s="6"/>
      <c r="L468" s="6"/>
      <c r="M468" s="6"/>
      <c r="N468" s="6"/>
      <c r="O468" s="6"/>
      <c r="P468" s="6"/>
      <c r="Q468" s="6"/>
      <c r="R468" s="6"/>
      <c r="S468" s="6"/>
    </row>
    <row r="469" ht="22.5" hidden="1" customHeight="1">
      <c r="A469" s="49">
        <v>45793.0</v>
      </c>
      <c r="B469" s="38" t="s">
        <v>125</v>
      </c>
      <c r="C469" s="34" t="s">
        <v>190</v>
      </c>
      <c r="D469" s="43" t="s">
        <v>92</v>
      </c>
      <c r="E469" s="44"/>
      <c r="F469" s="45">
        <v>0.010416666666666666</v>
      </c>
      <c r="G469" s="29"/>
      <c r="H469" s="6"/>
      <c r="I469" s="6"/>
      <c r="J469" s="6"/>
      <c r="K469" s="6"/>
      <c r="L469" s="6"/>
      <c r="M469" s="6"/>
      <c r="N469" s="6"/>
      <c r="O469" s="6"/>
      <c r="P469" s="6"/>
      <c r="Q469" s="6"/>
      <c r="R469" s="6"/>
      <c r="S469" s="6"/>
    </row>
    <row r="470" ht="22.5" hidden="1" customHeight="1">
      <c r="A470" s="49">
        <v>45793.0</v>
      </c>
      <c r="B470" s="38" t="s">
        <v>125</v>
      </c>
      <c r="C470" s="34" t="s">
        <v>190</v>
      </c>
      <c r="D470" s="46" t="s">
        <v>93</v>
      </c>
      <c r="E470" s="40"/>
      <c r="F470" s="41">
        <v>0.010416666666666666</v>
      </c>
      <c r="G470" s="29"/>
      <c r="H470" s="6"/>
      <c r="I470" s="6"/>
      <c r="J470" s="6"/>
      <c r="K470" s="6"/>
      <c r="L470" s="6"/>
      <c r="M470" s="6"/>
      <c r="N470" s="6"/>
      <c r="O470" s="6"/>
      <c r="P470" s="6"/>
      <c r="Q470" s="6"/>
      <c r="R470" s="6"/>
      <c r="S470" s="6"/>
    </row>
    <row r="471" ht="22.5" hidden="1" customHeight="1">
      <c r="A471" s="49">
        <v>45793.0</v>
      </c>
      <c r="B471" s="38" t="s">
        <v>125</v>
      </c>
      <c r="C471" s="34" t="s">
        <v>190</v>
      </c>
      <c r="D471" s="43" t="s">
        <v>131</v>
      </c>
      <c r="E471" s="53"/>
      <c r="F471" s="54">
        <v>0.003472222222222222</v>
      </c>
      <c r="G471" s="29"/>
      <c r="H471" s="6"/>
      <c r="I471" s="6"/>
      <c r="J471" s="6"/>
      <c r="K471" s="6"/>
      <c r="L471" s="6"/>
      <c r="M471" s="6"/>
      <c r="N471" s="6"/>
      <c r="O471" s="6"/>
      <c r="P471" s="6"/>
      <c r="Q471" s="6"/>
      <c r="R471" s="6"/>
      <c r="S471" s="6"/>
    </row>
    <row r="472" ht="22.5" hidden="1" customHeight="1">
      <c r="A472" s="49">
        <v>45793.0</v>
      </c>
      <c r="B472" s="38" t="s">
        <v>125</v>
      </c>
      <c r="C472" s="34" t="s">
        <v>190</v>
      </c>
      <c r="D472" s="46" t="s">
        <v>41</v>
      </c>
      <c r="E472" s="40"/>
      <c r="F472" s="41">
        <v>0.021527777777777778</v>
      </c>
      <c r="G472" s="29"/>
      <c r="H472" s="6"/>
      <c r="I472" s="6"/>
      <c r="J472" s="6"/>
      <c r="K472" s="6"/>
      <c r="L472" s="6"/>
      <c r="M472" s="6"/>
      <c r="N472" s="6"/>
      <c r="O472" s="6"/>
      <c r="P472" s="6"/>
      <c r="Q472" s="6"/>
      <c r="R472" s="6"/>
      <c r="S472" s="6"/>
    </row>
    <row r="473" ht="22.5" hidden="1" customHeight="1">
      <c r="A473" s="49">
        <v>45794.0</v>
      </c>
      <c r="B473" s="38" t="s">
        <v>125</v>
      </c>
      <c r="C473" s="34" t="s">
        <v>190</v>
      </c>
      <c r="D473" s="39" t="s">
        <v>197</v>
      </c>
      <c r="E473" s="40"/>
      <c r="F473" s="41">
        <v>0.02158564814814815</v>
      </c>
      <c r="G473" s="29"/>
      <c r="H473" s="6"/>
      <c r="I473" s="6"/>
      <c r="J473" s="6"/>
      <c r="K473" s="6"/>
      <c r="L473" s="6"/>
      <c r="M473" s="6"/>
      <c r="N473" s="6"/>
      <c r="O473" s="6"/>
      <c r="P473" s="6"/>
      <c r="Q473" s="6"/>
      <c r="R473" s="6"/>
      <c r="S473" s="6"/>
    </row>
    <row r="474" ht="22.5" hidden="1" customHeight="1">
      <c r="A474" s="49">
        <v>45794.0</v>
      </c>
      <c r="B474" s="38" t="s">
        <v>125</v>
      </c>
      <c r="C474" s="34" t="s">
        <v>190</v>
      </c>
      <c r="D474" s="43" t="s">
        <v>92</v>
      </c>
      <c r="E474" s="44"/>
      <c r="F474" s="45">
        <v>0.010416666666666666</v>
      </c>
      <c r="G474" s="29"/>
      <c r="H474" s="6"/>
      <c r="I474" s="6"/>
      <c r="J474" s="6"/>
      <c r="K474" s="6"/>
      <c r="L474" s="6"/>
      <c r="M474" s="6"/>
      <c r="N474" s="6"/>
      <c r="O474" s="6"/>
      <c r="P474" s="6"/>
      <c r="Q474" s="6"/>
      <c r="R474" s="6"/>
      <c r="S474" s="6"/>
    </row>
    <row r="475" ht="22.5" hidden="1" customHeight="1">
      <c r="A475" s="49">
        <v>45794.0</v>
      </c>
      <c r="B475" s="38" t="s">
        <v>125</v>
      </c>
      <c r="C475" s="34" t="s">
        <v>190</v>
      </c>
      <c r="D475" s="46" t="s">
        <v>93</v>
      </c>
      <c r="E475" s="40"/>
      <c r="F475" s="41">
        <v>0.010416666666666666</v>
      </c>
      <c r="G475" s="29"/>
      <c r="H475" s="6"/>
      <c r="I475" s="6"/>
      <c r="J475" s="6"/>
      <c r="K475" s="6"/>
      <c r="L475" s="6"/>
      <c r="M475" s="6"/>
      <c r="N475" s="6"/>
      <c r="O475" s="6"/>
      <c r="P475" s="6"/>
      <c r="Q475" s="6"/>
      <c r="R475" s="6"/>
      <c r="S475" s="6"/>
    </row>
    <row r="476" ht="22.5" hidden="1" customHeight="1">
      <c r="A476" s="49">
        <v>45794.0</v>
      </c>
      <c r="B476" s="38" t="s">
        <v>125</v>
      </c>
      <c r="C476" s="34" t="s">
        <v>190</v>
      </c>
      <c r="D476" s="43" t="s">
        <v>131</v>
      </c>
      <c r="E476" s="53"/>
      <c r="F476" s="54">
        <v>0.003472222222222222</v>
      </c>
      <c r="G476" s="29"/>
      <c r="H476" s="6"/>
      <c r="I476" s="6"/>
      <c r="J476" s="6"/>
      <c r="K476" s="6"/>
      <c r="L476" s="6"/>
      <c r="M476" s="6"/>
      <c r="N476" s="6"/>
      <c r="O476" s="6"/>
      <c r="P476" s="6"/>
      <c r="Q476" s="6"/>
      <c r="R476" s="6"/>
      <c r="S476" s="6"/>
    </row>
    <row r="477" ht="22.5" hidden="1" customHeight="1">
      <c r="A477" s="49">
        <v>45794.0</v>
      </c>
      <c r="B477" s="38" t="s">
        <v>125</v>
      </c>
      <c r="C477" s="34" t="s">
        <v>190</v>
      </c>
      <c r="D477" s="46" t="s">
        <v>41</v>
      </c>
      <c r="E477" s="40"/>
      <c r="F477" s="41">
        <v>0.021527777777777778</v>
      </c>
      <c r="G477" s="29"/>
      <c r="H477" s="6"/>
      <c r="I477" s="6"/>
      <c r="J477" s="6"/>
      <c r="K477" s="6"/>
      <c r="L477" s="6"/>
      <c r="M477" s="6"/>
      <c r="N477" s="6"/>
      <c r="O477" s="6"/>
      <c r="P477" s="6"/>
      <c r="Q477" s="6"/>
      <c r="R477" s="6"/>
      <c r="S477" s="6"/>
    </row>
    <row r="478" ht="22.5" hidden="1" customHeight="1">
      <c r="A478" s="49">
        <v>45795.0</v>
      </c>
      <c r="B478" s="38" t="s">
        <v>125</v>
      </c>
      <c r="C478" s="34" t="s">
        <v>190</v>
      </c>
      <c r="D478" s="39" t="s">
        <v>198</v>
      </c>
      <c r="E478" s="40"/>
      <c r="F478" s="41">
        <v>0.019351851851851853</v>
      </c>
      <c r="G478" s="29"/>
      <c r="H478" s="6"/>
      <c r="I478" s="6"/>
      <c r="J478" s="6"/>
      <c r="K478" s="6"/>
      <c r="L478" s="6"/>
      <c r="M478" s="6"/>
      <c r="N478" s="6"/>
      <c r="O478" s="6"/>
      <c r="P478" s="6"/>
      <c r="Q478" s="6"/>
      <c r="R478" s="6"/>
      <c r="S478" s="6"/>
    </row>
    <row r="479" ht="22.5" hidden="1" customHeight="1">
      <c r="A479" s="49">
        <v>45795.0</v>
      </c>
      <c r="B479" s="38" t="s">
        <v>125</v>
      </c>
      <c r="C479" s="34" t="s">
        <v>190</v>
      </c>
      <c r="D479" s="43" t="s">
        <v>92</v>
      </c>
      <c r="E479" s="44"/>
      <c r="F479" s="45">
        <v>0.010416666666666666</v>
      </c>
      <c r="G479" s="29"/>
      <c r="H479" s="6"/>
      <c r="I479" s="6"/>
      <c r="J479" s="6"/>
      <c r="K479" s="6"/>
      <c r="L479" s="6"/>
      <c r="M479" s="6"/>
      <c r="N479" s="6"/>
      <c r="O479" s="6"/>
      <c r="P479" s="6"/>
      <c r="Q479" s="6"/>
      <c r="R479" s="6"/>
      <c r="S479" s="6"/>
    </row>
    <row r="480" ht="22.5" hidden="1" customHeight="1">
      <c r="A480" s="49">
        <v>45795.0</v>
      </c>
      <c r="B480" s="38" t="s">
        <v>125</v>
      </c>
      <c r="C480" s="34" t="s">
        <v>190</v>
      </c>
      <c r="D480" s="46" t="s">
        <v>93</v>
      </c>
      <c r="E480" s="40"/>
      <c r="F480" s="41">
        <v>0.013888888888888888</v>
      </c>
      <c r="G480" s="29"/>
      <c r="H480" s="6"/>
      <c r="I480" s="6"/>
      <c r="J480" s="6"/>
      <c r="K480" s="6"/>
      <c r="L480" s="6"/>
      <c r="M480" s="6"/>
      <c r="N480" s="6"/>
      <c r="O480" s="6"/>
      <c r="P480" s="6"/>
      <c r="Q480" s="6"/>
      <c r="R480" s="6"/>
      <c r="S480" s="6"/>
    </row>
    <row r="481" ht="22.5" hidden="1" customHeight="1">
      <c r="A481" s="49">
        <v>45795.0</v>
      </c>
      <c r="B481" s="38" t="s">
        <v>125</v>
      </c>
      <c r="C481" s="34" t="s">
        <v>190</v>
      </c>
      <c r="D481" s="43" t="s">
        <v>131</v>
      </c>
      <c r="E481" s="53"/>
      <c r="F481" s="54">
        <v>0.003472222222222222</v>
      </c>
      <c r="G481" s="29"/>
      <c r="H481" s="6"/>
      <c r="I481" s="6"/>
      <c r="J481" s="6"/>
      <c r="K481" s="6"/>
      <c r="L481" s="6"/>
      <c r="M481" s="6"/>
      <c r="N481" s="6"/>
      <c r="O481" s="6"/>
      <c r="P481" s="6"/>
      <c r="Q481" s="6"/>
      <c r="R481" s="6"/>
      <c r="S481" s="6"/>
    </row>
    <row r="482" ht="22.5" hidden="1" customHeight="1">
      <c r="A482" s="49">
        <v>45795.0</v>
      </c>
      <c r="B482" s="38" t="s">
        <v>125</v>
      </c>
      <c r="C482" s="34" t="s">
        <v>190</v>
      </c>
      <c r="D482" s="46" t="s">
        <v>41</v>
      </c>
      <c r="E482" s="40"/>
      <c r="F482" s="41">
        <v>0.017361111111111112</v>
      </c>
      <c r="G482" s="29"/>
      <c r="H482" s="6"/>
      <c r="I482" s="6"/>
      <c r="J482" s="6"/>
      <c r="K482" s="6"/>
      <c r="L482" s="6"/>
      <c r="M482" s="6"/>
      <c r="N482" s="6"/>
      <c r="O482" s="6"/>
      <c r="P482" s="6"/>
      <c r="Q482" s="6"/>
      <c r="R482" s="6"/>
      <c r="S482" s="6"/>
    </row>
    <row r="483" ht="22.5" hidden="1" customHeight="1">
      <c r="A483" s="49">
        <v>45796.0</v>
      </c>
      <c r="B483" s="38" t="s">
        <v>125</v>
      </c>
      <c r="C483" s="34" t="s">
        <v>190</v>
      </c>
      <c r="D483" s="39" t="s">
        <v>199</v>
      </c>
      <c r="E483" s="40"/>
      <c r="F483" s="41">
        <v>0.01738425925925926</v>
      </c>
      <c r="G483" s="29"/>
      <c r="H483" s="6"/>
      <c r="I483" s="6"/>
      <c r="J483" s="6"/>
      <c r="K483" s="6"/>
      <c r="L483" s="6"/>
      <c r="M483" s="6"/>
      <c r="N483" s="6"/>
      <c r="O483" s="6"/>
      <c r="P483" s="6"/>
      <c r="Q483" s="6"/>
      <c r="R483" s="6"/>
      <c r="S483" s="6"/>
    </row>
    <row r="484" ht="22.5" hidden="1" customHeight="1">
      <c r="A484" s="49">
        <v>45796.0</v>
      </c>
      <c r="B484" s="38" t="s">
        <v>125</v>
      </c>
      <c r="C484" s="34" t="s">
        <v>190</v>
      </c>
      <c r="D484" s="43" t="s">
        <v>92</v>
      </c>
      <c r="E484" s="44"/>
      <c r="F484" s="45">
        <v>0.010416666666666666</v>
      </c>
      <c r="G484" s="29"/>
      <c r="H484" s="6"/>
      <c r="I484" s="6"/>
      <c r="J484" s="6"/>
      <c r="K484" s="6"/>
      <c r="L484" s="6"/>
      <c r="M484" s="6"/>
      <c r="N484" s="6"/>
      <c r="O484" s="6"/>
      <c r="P484" s="6"/>
      <c r="Q484" s="6"/>
      <c r="R484" s="6"/>
      <c r="S484" s="6"/>
    </row>
    <row r="485" ht="22.5" hidden="1" customHeight="1">
      <c r="A485" s="49">
        <v>45796.0</v>
      </c>
      <c r="B485" s="38" t="s">
        <v>125</v>
      </c>
      <c r="C485" s="34" t="s">
        <v>190</v>
      </c>
      <c r="D485" s="46" t="s">
        <v>93</v>
      </c>
      <c r="E485" s="40"/>
      <c r="F485" s="41">
        <v>0.013888888888888888</v>
      </c>
      <c r="G485" s="29"/>
      <c r="H485" s="6"/>
      <c r="I485" s="6"/>
      <c r="J485" s="6"/>
      <c r="K485" s="6"/>
      <c r="L485" s="6"/>
      <c r="M485" s="6"/>
      <c r="N485" s="6"/>
      <c r="O485" s="6"/>
      <c r="P485" s="6"/>
      <c r="Q485" s="6"/>
      <c r="R485" s="6"/>
      <c r="S485" s="6"/>
    </row>
    <row r="486" ht="22.5" hidden="1" customHeight="1">
      <c r="A486" s="49">
        <v>45796.0</v>
      </c>
      <c r="B486" s="38" t="s">
        <v>125</v>
      </c>
      <c r="C486" s="34" t="s">
        <v>190</v>
      </c>
      <c r="D486" s="43" t="s">
        <v>131</v>
      </c>
      <c r="E486" s="53"/>
      <c r="F486" s="54">
        <v>0.003472222222222222</v>
      </c>
      <c r="G486" s="29"/>
      <c r="H486" s="6"/>
      <c r="I486" s="6"/>
      <c r="J486" s="6"/>
      <c r="K486" s="6"/>
      <c r="L486" s="6"/>
      <c r="M486" s="6"/>
      <c r="N486" s="6"/>
      <c r="O486" s="6"/>
      <c r="P486" s="6"/>
      <c r="Q486" s="6"/>
      <c r="R486" s="6"/>
      <c r="S486" s="6"/>
    </row>
    <row r="487" ht="22.5" hidden="1" customHeight="1">
      <c r="A487" s="49">
        <v>45796.0</v>
      </c>
      <c r="B487" s="38" t="s">
        <v>125</v>
      </c>
      <c r="C487" s="34" t="s">
        <v>190</v>
      </c>
      <c r="D487" s="46" t="s">
        <v>41</v>
      </c>
      <c r="E487" s="40"/>
      <c r="F487" s="41">
        <v>0.017361111111111112</v>
      </c>
      <c r="G487" s="29"/>
      <c r="H487" s="6"/>
      <c r="I487" s="6"/>
      <c r="J487" s="6"/>
      <c r="K487" s="6"/>
      <c r="L487" s="6"/>
      <c r="M487" s="6"/>
      <c r="N487" s="6"/>
      <c r="O487" s="6"/>
      <c r="P487" s="6"/>
      <c r="Q487" s="6"/>
      <c r="R487" s="6"/>
      <c r="S487" s="6"/>
    </row>
    <row r="488" ht="22.5" hidden="1" customHeight="1">
      <c r="A488" s="49">
        <v>45797.0</v>
      </c>
      <c r="B488" s="38" t="s">
        <v>125</v>
      </c>
      <c r="C488" s="34" t="s">
        <v>190</v>
      </c>
      <c r="D488" s="39" t="s">
        <v>200</v>
      </c>
      <c r="E488" s="40"/>
      <c r="F488" s="41">
        <v>0.01738425925925926</v>
      </c>
      <c r="G488" s="29" t="s">
        <v>201</v>
      </c>
      <c r="H488" s="6"/>
      <c r="I488" s="6"/>
      <c r="J488" s="6"/>
      <c r="K488" s="6"/>
      <c r="L488" s="6"/>
      <c r="M488" s="6"/>
      <c r="N488" s="6"/>
      <c r="O488" s="6"/>
      <c r="P488" s="6"/>
      <c r="Q488" s="6"/>
      <c r="R488" s="6"/>
      <c r="S488" s="6"/>
    </row>
    <row r="489" ht="22.5" hidden="1" customHeight="1">
      <c r="A489" s="49">
        <v>45797.0</v>
      </c>
      <c r="B489" s="38" t="s">
        <v>125</v>
      </c>
      <c r="C489" s="34" t="s">
        <v>190</v>
      </c>
      <c r="D489" s="46" t="s">
        <v>93</v>
      </c>
      <c r="E489" s="40"/>
      <c r="F489" s="41">
        <v>0.013888888888888888</v>
      </c>
      <c r="G489" s="29"/>
      <c r="H489" s="6"/>
      <c r="I489" s="6"/>
      <c r="J489" s="6"/>
      <c r="K489" s="6"/>
      <c r="L489" s="6"/>
      <c r="M489" s="6"/>
      <c r="N489" s="6"/>
      <c r="O489" s="6"/>
      <c r="P489" s="6"/>
      <c r="Q489" s="6"/>
      <c r="R489" s="6"/>
      <c r="S489" s="6"/>
    </row>
    <row r="490" ht="22.5" hidden="1" customHeight="1">
      <c r="A490" s="49">
        <v>45797.0</v>
      </c>
      <c r="B490" s="38" t="s">
        <v>125</v>
      </c>
      <c r="C490" s="34" t="s">
        <v>190</v>
      </c>
      <c r="D490" s="43" t="s">
        <v>131</v>
      </c>
      <c r="E490" s="53"/>
      <c r="F490" s="54">
        <v>0.003472222222222222</v>
      </c>
      <c r="G490" s="29"/>
      <c r="H490" s="6"/>
      <c r="I490" s="6"/>
      <c r="J490" s="6"/>
      <c r="K490" s="6"/>
      <c r="L490" s="6"/>
      <c r="M490" s="6"/>
      <c r="N490" s="6"/>
      <c r="O490" s="6"/>
      <c r="P490" s="6"/>
      <c r="Q490" s="6"/>
      <c r="R490" s="6"/>
      <c r="S490" s="6"/>
    </row>
    <row r="491" ht="22.5" hidden="1" customHeight="1">
      <c r="A491" s="49">
        <v>45797.0</v>
      </c>
      <c r="B491" s="38" t="s">
        <v>125</v>
      </c>
      <c r="C491" s="34" t="s">
        <v>190</v>
      </c>
      <c r="D491" s="46" t="s">
        <v>41</v>
      </c>
      <c r="E491" s="40"/>
      <c r="F491" s="41">
        <v>0.017361111111111112</v>
      </c>
      <c r="G491" s="29"/>
      <c r="H491" s="6"/>
      <c r="I491" s="6"/>
      <c r="J491" s="6"/>
      <c r="K491" s="6"/>
      <c r="L491" s="6"/>
      <c r="M491" s="6"/>
      <c r="N491" s="6"/>
      <c r="O491" s="6"/>
      <c r="P491" s="6"/>
      <c r="Q491" s="6"/>
      <c r="R491" s="6"/>
      <c r="S491" s="6"/>
    </row>
    <row r="492" ht="22.5" hidden="1" customHeight="1">
      <c r="A492" s="49">
        <v>45797.0</v>
      </c>
      <c r="B492" s="38" t="s">
        <v>125</v>
      </c>
      <c r="C492" s="34" t="s">
        <v>190</v>
      </c>
      <c r="D492" s="55" t="s">
        <v>202</v>
      </c>
      <c r="E492" s="56"/>
      <c r="F492" s="41">
        <v>0.0</v>
      </c>
      <c r="G492" s="29"/>
      <c r="H492" s="6"/>
      <c r="I492" s="6"/>
      <c r="J492" s="6"/>
      <c r="K492" s="6"/>
      <c r="L492" s="6"/>
      <c r="M492" s="6"/>
      <c r="N492" s="6"/>
      <c r="O492" s="6"/>
      <c r="P492" s="6"/>
      <c r="Q492" s="6"/>
      <c r="R492" s="6"/>
      <c r="S492" s="6"/>
    </row>
    <row r="493" ht="22.5" hidden="1" customHeight="1">
      <c r="A493" s="49">
        <v>45798.0</v>
      </c>
      <c r="B493" s="38" t="s">
        <v>125</v>
      </c>
      <c r="C493" s="34" t="s">
        <v>190</v>
      </c>
      <c r="D493" s="57" t="s">
        <v>203</v>
      </c>
      <c r="E493" s="40"/>
      <c r="F493" s="41">
        <v>0.01738425925925926</v>
      </c>
      <c r="G493" s="29"/>
      <c r="H493" s="6"/>
      <c r="I493" s="6"/>
      <c r="J493" s="6"/>
      <c r="K493" s="6"/>
      <c r="L493" s="6"/>
      <c r="M493" s="6"/>
      <c r="N493" s="6"/>
      <c r="O493" s="6"/>
      <c r="P493" s="6"/>
      <c r="Q493" s="6"/>
      <c r="R493" s="6"/>
      <c r="S493" s="6"/>
    </row>
    <row r="494" ht="22.5" hidden="1" customHeight="1">
      <c r="A494" s="49">
        <v>45798.0</v>
      </c>
      <c r="B494" s="38" t="s">
        <v>125</v>
      </c>
      <c r="C494" s="34" t="s">
        <v>190</v>
      </c>
      <c r="D494" s="46" t="s">
        <v>93</v>
      </c>
      <c r="E494" s="40"/>
      <c r="F494" s="41">
        <v>0.013888888888888888</v>
      </c>
      <c r="G494" s="29"/>
      <c r="H494" s="6"/>
      <c r="I494" s="6"/>
      <c r="J494" s="6"/>
      <c r="K494" s="6"/>
      <c r="L494" s="6"/>
      <c r="M494" s="6"/>
      <c r="N494" s="6"/>
      <c r="O494" s="6"/>
      <c r="P494" s="6"/>
      <c r="Q494" s="6"/>
      <c r="R494" s="6"/>
      <c r="S494" s="6"/>
    </row>
    <row r="495" ht="22.5" hidden="1" customHeight="1">
      <c r="A495" s="49">
        <v>45798.0</v>
      </c>
      <c r="B495" s="38" t="s">
        <v>125</v>
      </c>
      <c r="C495" s="34" t="s">
        <v>190</v>
      </c>
      <c r="D495" s="43" t="s">
        <v>131</v>
      </c>
      <c r="E495" s="53"/>
      <c r="F495" s="54">
        <v>0.003472222222222222</v>
      </c>
      <c r="G495" s="29"/>
      <c r="H495" s="6"/>
      <c r="I495" s="6"/>
      <c r="J495" s="6"/>
      <c r="K495" s="6"/>
      <c r="L495" s="6"/>
      <c r="M495" s="6"/>
      <c r="N495" s="6"/>
      <c r="O495" s="6"/>
      <c r="P495" s="6"/>
      <c r="Q495" s="6"/>
      <c r="R495" s="6"/>
      <c r="S495" s="6"/>
    </row>
    <row r="496" ht="22.5" hidden="1" customHeight="1">
      <c r="A496" s="49">
        <v>45798.0</v>
      </c>
      <c r="B496" s="38" t="s">
        <v>125</v>
      </c>
      <c r="C496" s="34" t="s">
        <v>190</v>
      </c>
      <c r="D496" s="46" t="s">
        <v>41</v>
      </c>
      <c r="E496" s="40"/>
      <c r="F496" s="41">
        <v>0.017361111111111112</v>
      </c>
      <c r="G496" s="29"/>
      <c r="H496" s="6"/>
      <c r="I496" s="6"/>
      <c r="J496" s="6"/>
      <c r="K496" s="6"/>
      <c r="L496" s="6"/>
      <c r="M496" s="6"/>
      <c r="N496" s="6"/>
      <c r="O496" s="6"/>
      <c r="P496" s="6"/>
      <c r="Q496" s="6"/>
      <c r="R496" s="6"/>
      <c r="S496" s="6"/>
    </row>
    <row r="497" ht="22.5" hidden="1" customHeight="1">
      <c r="A497" s="49">
        <v>45799.0</v>
      </c>
      <c r="B497" s="38" t="s">
        <v>125</v>
      </c>
      <c r="C497" s="34" t="s">
        <v>190</v>
      </c>
      <c r="D497" s="57" t="s">
        <v>204</v>
      </c>
      <c r="E497" s="40"/>
      <c r="F497" s="41">
        <v>0.018032407407407407</v>
      </c>
      <c r="G497" s="29"/>
      <c r="H497" s="6"/>
      <c r="I497" s="6"/>
      <c r="J497" s="6"/>
      <c r="K497" s="6"/>
      <c r="L497" s="6"/>
      <c r="M497" s="6"/>
      <c r="N497" s="6"/>
      <c r="O497" s="6"/>
      <c r="P497" s="6"/>
      <c r="Q497" s="6"/>
      <c r="R497" s="6"/>
      <c r="S497" s="6"/>
    </row>
    <row r="498" ht="22.5" hidden="1" customHeight="1">
      <c r="A498" s="49">
        <v>45799.0</v>
      </c>
      <c r="B498" s="38" t="s">
        <v>125</v>
      </c>
      <c r="C498" s="34" t="s">
        <v>190</v>
      </c>
      <c r="D498" s="57" t="s">
        <v>205</v>
      </c>
      <c r="E498" s="40"/>
      <c r="F498" s="41">
        <v>0.020694444444444446</v>
      </c>
      <c r="G498" s="29"/>
      <c r="H498" s="6"/>
      <c r="I498" s="6"/>
      <c r="J498" s="6"/>
      <c r="K498" s="6"/>
      <c r="L498" s="6"/>
      <c r="M498" s="6"/>
      <c r="N498" s="6"/>
      <c r="O498" s="6"/>
      <c r="P498" s="6"/>
      <c r="Q498" s="6"/>
      <c r="R498" s="6"/>
      <c r="S498" s="6"/>
    </row>
    <row r="499" ht="22.5" hidden="1" customHeight="1">
      <c r="A499" s="49">
        <v>45799.0</v>
      </c>
      <c r="B499" s="38" t="s">
        <v>125</v>
      </c>
      <c r="C499" s="34" t="s">
        <v>190</v>
      </c>
      <c r="D499" s="46" t="s">
        <v>93</v>
      </c>
      <c r="E499" s="40"/>
      <c r="F499" s="41">
        <v>0.013888888888888888</v>
      </c>
      <c r="G499" s="29"/>
      <c r="H499" s="6"/>
      <c r="I499" s="6"/>
      <c r="J499" s="6"/>
      <c r="K499" s="6"/>
      <c r="L499" s="6"/>
      <c r="M499" s="6"/>
      <c r="N499" s="6"/>
      <c r="O499" s="6"/>
      <c r="P499" s="6"/>
      <c r="Q499" s="6"/>
      <c r="R499" s="6"/>
      <c r="S499" s="6"/>
    </row>
    <row r="500" ht="22.5" hidden="1" customHeight="1">
      <c r="A500" s="49">
        <v>45799.0</v>
      </c>
      <c r="B500" s="38" t="s">
        <v>125</v>
      </c>
      <c r="C500" s="34" t="s">
        <v>190</v>
      </c>
      <c r="D500" s="43" t="s">
        <v>131</v>
      </c>
      <c r="E500" s="53"/>
      <c r="F500" s="54">
        <v>0.003472222222222222</v>
      </c>
      <c r="G500" s="29"/>
      <c r="H500" s="6"/>
      <c r="I500" s="6"/>
      <c r="J500" s="6"/>
      <c r="K500" s="6"/>
      <c r="L500" s="6"/>
      <c r="M500" s="6"/>
      <c r="N500" s="6"/>
      <c r="O500" s="6"/>
      <c r="P500" s="6"/>
      <c r="Q500" s="6"/>
      <c r="R500" s="6"/>
      <c r="S500" s="6"/>
    </row>
    <row r="501" ht="22.5" hidden="1" customHeight="1">
      <c r="A501" s="49">
        <v>45799.0</v>
      </c>
      <c r="B501" s="38" t="s">
        <v>125</v>
      </c>
      <c r="C501" s="34" t="s">
        <v>190</v>
      </c>
      <c r="D501" s="46" t="s">
        <v>41</v>
      </c>
      <c r="E501" s="40"/>
      <c r="F501" s="41">
        <v>0.017361111111111112</v>
      </c>
      <c r="G501" s="29"/>
      <c r="H501" s="6"/>
      <c r="I501" s="6"/>
      <c r="J501" s="6"/>
      <c r="K501" s="6"/>
      <c r="L501" s="6"/>
      <c r="M501" s="6"/>
      <c r="N501" s="6"/>
      <c r="O501" s="6"/>
      <c r="P501" s="6"/>
      <c r="Q501" s="6"/>
      <c r="R501" s="6"/>
      <c r="S501" s="6"/>
    </row>
    <row r="502" ht="22.5" hidden="1" customHeight="1">
      <c r="A502" s="49">
        <v>45800.0</v>
      </c>
      <c r="B502" s="58" t="s">
        <v>206</v>
      </c>
      <c r="C502" s="34" t="s">
        <v>207</v>
      </c>
      <c r="D502" s="39" t="s">
        <v>208</v>
      </c>
      <c r="E502" s="40"/>
      <c r="F502" s="41">
        <v>0.03648148148148148</v>
      </c>
      <c r="G502" s="29"/>
      <c r="H502" s="6"/>
      <c r="I502" s="6"/>
      <c r="J502" s="6"/>
      <c r="K502" s="6"/>
      <c r="L502" s="6"/>
      <c r="M502" s="6"/>
      <c r="N502" s="6"/>
      <c r="O502" s="6"/>
      <c r="P502" s="6"/>
      <c r="Q502" s="6"/>
      <c r="R502" s="6"/>
      <c r="S502" s="6"/>
    </row>
    <row r="503" ht="22.5" hidden="1" customHeight="1">
      <c r="A503" s="49">
        <v>45800.0</v>
      </c>
      <c r="B503" s="58" t="s">
        <v>206</v>
      </c>
      <c r="C503" s="34" t="s">
        <v>207</v>
      </c>
      <c r="D503" s="46" t="s">
        <v>93</v>
      </c>
      <c r="E503" s="40"/>
      <c r="F503" s="41">
        <v>0.013888888888888888</v>
      </c>
      <c r="G503" s="29"/>
      <c r="H503" s="6"/>
      <c r="I503" s="6"/>
      <c r="J503" s="6"/>
      <c r="K503" s="6"/>
      <c r="L503" s="6"/>
      <c r="M503" s="6"/>
      <c r="N503" s="6"/>
      <c r="O503" s="6"/>
      <c r="P503" s="6"/>
      <c r="Q503" s="6"/>
      <c r="R503" s="6"/>
      <c r="S503" s="6"/>
    </row>
    <row r="504" ht="22.5" hidden="1" customHeight="1">
      <c r="A504" s="49">
        <v>45800.0</v>
      </c>
      <c r="B504" s="58" t="s">
        <v>206</v>
      </c>
      <c r="C504" s="34" t="s">
        <v>207</v>
      </c>
      <c r="D504" s="43" t="s">
        <v>131</v>
      </c>
      <c r="E504" s="53"/>
      <c r="F504" s="54">
        <v>0.003472222222222222</v>
      </c>
      <c r="G504" s="29"/>
      <c r="H504" s="6"/>
      <c r="I504" s="6"/>
      <c r="J504" s="6"/>
      <c r="K504" s="6"/>
      <c r="L504" s="6"/>
      <c r="M504" s="6"/>
      <c r="N504" s="6"/>
      <c r="O504" s="6"/>
      <c r="P504" s="6"/>
      <c r="Q504" s="6"/>
      <c r="R504" s="6"/>
      <c r="S504" s="6"/>
    </row>
    <row r="505" ht="22.5" hidden="1" customHeight="1">
      <c r="A505" s="49">
        <v>45801.0</v>
      </c>
      <c r="B505" s="58" t="s">
        <v>206</v>
      </c>
      <c r="C505" s="34" t="s">
        <v>207</v>
      </c>
      <c r="D505" s="55" t="s">
        <v>209</v>
      </c>
      <c r="E505" s="51"/>
      <c r="F505" s="54">
        <v>0.006655092592592593</v>
      </c>
      <c r="G505" s="29"/>
      <c r="H505" s="6"/>
      <c r="I505" s="6"/>
      <c r="J505" s="6"/>
      <c r="K505" s="6"/>
      <c r="L505" s="6"/>
      <c r="M505" s="6"/>
      <c r="N505" s="6"/>
      <c r="O505" s="6"/>
      <c r="P505" s="6"/>
      <c r="Q505" s="6"/>
      <c r="R505" s="6"/>
      <c r="S505" s="6"/>
    </row>
    <row r="506" ht="22.5" hidden="1" customHeight="1">
      <c r="A506" s="49">
        <v>45801.0</v>
      </c>
      <c r="B506" s="58" t="s">
        <v>206</v>
      </c>
      <c r="C506" s="34" t="s">
        <v>207</v>
      </c>
      <c r="D506" s="55" t="s">
        <v>210</v>
      </c>
      <c r="E506" s="51"/>
      <c r="F506" s="54">
        <v>0.018472222222222223</v>
      </c>
      <c r="G506" s="29"/>
      <c r="H506" s="6"/>
      <c r="I506" s="6"/>
      <c r="J506" s="6"/>
      <c r="K506" s="6"/>
      <c r="L506" s="6"/>
      <c r="M506" s="6"/>
      <c r="N506" s="6"/>
      <c r="O506" s="6"/>
      <c r="P506" s="6"/>
      <c r="Q506" s="6"/>
      <c r="R506" s="6"/>
      <c r="S506" s="6"/>
    </row>
    <row r="507" ht="22.5" hidden="1" customHeight="1">
      <c r="A507" s="49">
        <v>45801.0</v>
      </c>
      <c r="B507" s="58" t="s">
        <v>206</v>
      </c>
      <c r="C507" s="34" t="s">
        <v>207</v>
      </c>
      <c r="D507" s="55" t="s">
        <v>211</v>
      </c>
      <c r="E507" s="51"/>
      <c r="F507" s="54">
        <v>0.014097222222222223</v>
      </c>
      <c r="G507" s="29"/>
      <c r="H507" s="6"/>
      <c r="I507" s="6"/>
      <c r="J507" s="6"/>
      <c r="K507" s="6"/>
      <c r="L507" s="6"/>
      <c r="M507" s="6"/>
      <c r="N507" s="6"/>
      <c r="O507" s="6"/>
      <c r="P507" s="6"/>
      <c r="Q507" s="6"/>
      <c r="R507" s="6"/>
      <c r="S507" s="6"/>
    </row>
    <row r="508" ht="22.5" hidden="1" customHeight="1">
      <c r="A508" s="49">
        <v>45801.0</v>
      </c>
      <c r="B508" s="58" t="s">
        <v>206</v>
      </c>
      <c r="C508" s="34" t="s">
        <v>207</v>
      </c>
      <c r="D508" s="55" t="s">
        <v>212</v>
      </c>
      <c r="E508" s="51"/>
      <c r="F508" s="54">
        <v>0.029953703703703705</v>
      </c>
      <c r="G508" s="29"/>
      <c r="H508" s="6"/>
      <c r="I508" s="6"/>
      <c r="J508" s="6"/>
      <c r="K508" s="6"/>
      <c r="L508" s="6"/>
      <c r="M508" s="6"/>
      <c r="N508" s="6"/>
      <c r="O508" s="6"/>
      <c r="P508" s="6"/>
      <c r="Q508" s="6"/>
      <c r="R508" s="6"/>
      <c r="S508" s="6"/>
    </row>
    <row r="509" ht="22.5" hidden="1" customHeight="1">
      <c r="A509" s="49">
        <v>45801.0</v>
      </c>
      <c r="B509" s="58" t="s">
        <v>206</v>
      </c>
      <c r="C509" s="34" t="s">
        <v>207</v>
      </c>
      <c r="D509" s="55" t="s">
        <v>213</v>
      </c>
      <c r="E509" s="51"/>
      <c r="F509" s="54">
        <v>0.010625</v>
      </c>
      <c r="G509" s="29"/>
      <c r="H509" s="6"/>
      <c r="I509" s="6"/>
      <c r="J509" s="6"/>
      <c r="K509" s="6"/>
      <c r="L509" s="6"/>
      <c r="M509" s="6"/>
      <c r="N509" s="6"/>
      <c r="O509" s="6"/>
      <c r="P509" s="6"/>
      <c r="Q509" s="6"/>
      <c r="R509" s="6"/>
      <c r="S509" s="6"/>
    </row>
    <row r="510" ht="22.5" hidden="1" customHeight="1">
      <c r="A510" s="49">
        <v>45801.0</v>
      </c>
      <c r="B510" s="58" t="s">
        <v>206</v>
      </c>
      <c r="C510" s="34" t="s">
        <v>207</v>
      </c>
      <c r="D510" s="46" t="s">
        <v>93</v>
      </c>
      <c r="E510" s="40"/>
      <c r="F510" s="41">
        <v>0.014583333333333334</v>
      </c>
      <c r="G510" s="29"/>
      <c r="H510" s="6"/>
      <c r="I510" s="6"/>
      <c r="J510" s="6"/>
      <c r="K510" s="6"/>
      <c r="L510" s="6"/>
      <c r="M510" s="6"/>
      <c r="N510" s="6"/>
      <c r="O510" s="6"/>
      <c r="P510" s="6"/>
      <c r="Q510" s="6"/>
      <c r="R510" s="6"/>
      <c r="S510" s="6"/>
    </row>
    <row r="511" ht="22.5" customHeight="1">
      <c r="A511" s="49">
        <v>45802.0</v>
      </c>
      <c r="B511" s="58" t="s">
        <v>206</v>
      </c>
      <c r="C511" s="34" t="s">
        <v>207</v>
      </c>
      <c r="D511" s="55" t="s">
        <v>214</v>
      </c>
      <c r="E511" s="59" t="s">
        <v>215</v>
      </c>
      <c r="F511" s="60">
        <v>0.041666666666666664</v>
      </c>
      <c r="G511" s="29"/>
      <c r="H511" s="6"/>
      <c r="I511" s="6"/>
      <c r="J511" s="6"/>
      <c r="K511" s="6"/>
      <c r="L511" s="6"/>
      <c r="M511" s="6"/>
      <c r="N511" s="6"/>
      <c r="O511" s="6"/>
      <c r="P511" s="6"/>
      <c r="Q511" s="6"/>
      <c r="R511" s="6"/>
      <c r="S511" s="6"/>
    </row>
    <row r="512" ht="22.5" hidden="1" customHeight="1">
      <c r="A512" s="49">
        <v>45802.0</v>
      </c>
      <c r="B512" s="58" t="s">
        <v>206</v>
      </c>
      <c r="C512" s="34" t="s">
        <v>207</v>
      </c>
      <c r="D512" s="55" t="s">
        <v>93</v>
      </c>
      <c r="E512" s="56"/>
      <c r="F512" s="60">
        <v>0.010416666666666666</v>
      </c>
      <c r="G512" s="29"/>
      <c r="H512" s="6"/>
      <c r="I512" s="6"/>
      <c r="J512" s="6"/>
      <c r="K512" s="6"/>
      <c r="L512" s="6"/>
      <c r="M512" s="6"/>
      <c r="N512" s="6"/>
      <c r="O512" s="6"/>
      <c r="P512" s="6"/>
      <c r="Q512" s="6"/>
      <c r="R512" s="6"/>
      <c r="S512" s="6"/>
    </row>
    <row r="513" ht="22.5" customHeight="1">
      <c r="A513" s="49">
        <v>45803.0</v>
      </c>
      <c r="B513" s="58" t="s">
        <v>206</v>
      </c>
      <c r="C513" s="34" t="s">
        <v>207</v>
      </c>
      <c r="D513" s="55" t="s">
        <v>214</v>
      </c>
      <c r="E513" s="59" t="s">
        <v>215</v>
      </c>
      <c r="F513" s="60">
        <v>0.041666666666666664</v>
      </c>
      <c r="G513" s="29"/>
      <c r="H513" s="6"/>
      <c r="I513" s="6"/>
      <c r="J513" s="6"/>
      <c r="K513" s="6"/>
      <c r="L513" s="6"/>
      <c r="M513" s="6"/>
      <c r="N513" s="6"/>
      <c r="O513" s="6"/>
      <c r="P513" s="6"/>
      <c r="Q513" s="6"/>
      <c r="R513" s="6"/>
      <c r="S513" s="6"/>
    </row>
    <row r="514" ht="22.5" hidden="1" customHeight="1">
      <c r="A514" s="49">
        <v>45803.0</v>
      </c>
      <c r="B514" s="58" t="s">
        <v>206</v>
      </c>
      <c r="C514" s="34" t="s">
        <v>207</v>
      </c>
      <c r="D514" s="55" t="s">
        <v>93</v>
      </c>
      <c r="E514" s="56"/>
      <c r="F514" s="60">
        <v>0.010416666666666666</v>
      </c>
      <c r="G514" s="29"/>
      <c r="H514" s="6"/>
      <c r="I514" s="6"/>
      <c r="J514" s="6"/>
      <c r="K514" s="6"/>
      <c r="L514" s="6"/>
      <c r="M514" s="6"/>
      <c r="N514" s="6"/>
      <c r="O514" s="6"/>
      <c r="P514" s="6"/>
      <c r="Q514" s="6"/>
      <c r="R514" s="6"/>
      <c r="S514" s="6"/>
    </row>
    <row r="515" ht="22.5" customHeight="1">
      <c r="A515" s="49">
        <v>45804.0</v>
      </c>
      <c r="B515" s="58" t="s">
        <v>206</v>
      </c>
      <c r="C515" s="34" t="s">
        <v>207</v>
      </c>
      <c r="D515" s="55" t="s">
        <v>214</v>
      </c>
      <c r="E515" s="59" t="s">
        <v>215</v>
      </c>
      <c r="F515" s="60">
        <v>0.041666666666666664</v>
      </c>
      <c r="G515" s="29"/>
      <c r="H515" s="6"/>
      <c r="I515" s="6"/>
      <c r="J515" s="6"/>
      <c r="K515" s="6"/>
      <c r="L515" s="6"/>
      <c r="M515" s="6"/>
      <c r="N515" s="6"/>
      <c r="O515" s="6"/>
      <c r="P515" s="6"/>
      <c r="Q515" s="6"/>
      <c r="R515" s="6"/>
      <c r="S515" s="6"/>
    </row>
    <row r="516" ht="22.5" hidden="1" customHeight="1">
      <c r="A516" s="49">
        <v>45804.0</v>
      </c>
      <c r="B516" s="58" t="s">
        <v>206</v>
      </c>
      <c r="C516" s="34" t="s">
        <v>207</v>
      </c>
      <c r="D516" s="55" t="s">
        <v>93</v>
      </c>
      <c r="E516" s="56"/>
      <c r="F516" s="60">
        <v>0.010416666666666666</v>
      </c>
      <c r="G516" s="29"/>
      <c r="H516" s="6"/>
      <c r="I516" s="6"/>
      <c r="J516" s="6"/>
      <c r="K516" s="6"/>
      <c r="L516" s="6"/>
      <c r="M516" s="6"/>
      <c r="N516" s="6"/>
      <c r="O516" s="6"/>
      <c r="P516" s="6"/>
      <c r="Q516" s="6"/>
      <c r="R516" s="6"/>
      <c r="S516" s="6"/>
    </row>
    <row r="517" ht="22.5" customHeight="1">
      <c r="A517" s="49">
        <v>45805.0</v>
      </c>
      <c r="B517" s="58" t="s">
        <v>206</v>
      </c>
      <c r="C517" s="34" t="s">
        <v>207</v>
      </c>
      <c r="D517" s="55" t="s">
        <v>214</v>
      </c>
      <c r="E517" s="59" t="s">
        <v>215</v>
      </c>
      <c r="F517" s="60">
        <v>0.041666666666666664</v>
      </c>
      <c r="G517" s="29"/>
      <c r="H517" s="6"/>
      <c r="I517" s="6"/>
      <c r="J517" s="6"/>
      <c r="K517" s="6"/>
      <c r="L517" s="6"/>
      <c r="M517" s="6"/>
      <c r="N517" s="6"/>
      <c r="O517" s="6"/>
      <c r="P517" s="6"/>
      <c r="Q517" s="6"/>
      <c r="R517" s="6"/>
      <c r="S517" s="6"/>
    </row>
    <row r="518" ht="22.5" hidden="1" customHeight="1">
      <c r="A518" s="49">
        <v>45805.0</v>
      </c>
      <c r="B518" s="58" t="s">
        <v>206</v>
      </c>
      <c r="C518" s="34" t="s">
        <v>207</v>
      </c>
      <c r="D518" s="55" t="s">
        <v>93</v>
      </c>
      <c r="E518" s="56"/>
      <c r="F518" s="60">
        <v>0.010416666666666666</v>
      </c>
      <c r="G518" s="29"/>
      <c r="H518" s="6"/>
      <c r="I518" s="6"/>
      <c r="J518" s="6"/>
      <c r="K518" s="6"/>
      <c r="L518" s="6"/>
      <c r="M518" s="6"/>
      <c r="N518" s="6"/>
      <c r="O518" s="6"/>
      <c r="P518" s="6"/>
      <c r="Q518" s="6"/>
      <c r="R518" s="6"/>
      <c r="S518" s="6"/>
    </row>
    <row r="519" ht="22.5" customHeight="1">
      <c r="A519" s="49">
        <v>45806.0</v>
      </c>
      <c r="B519" s="58" t="s">
        <v>206</v>
      </c>
      <c r="C519" s="34" t="s">
        <v>207</v>
      </c>
      <c r="D519" s="55" t="s">
        <v>214</v>
      </c>
      <c r="E519" s="59" t="s">
        <v>215</v>
      </c>
      <c r="F519" s="60">
        <v>0.041666666666666664</v>
      </c>
      <c r="G519" s="29"/>
      <c r="H519" s="6"/>
      <c r="I519" s="6"/>
      <c r="J519" s="6"/>
      <c r="K519" s="6"/>
      <c r="L519" s="6"/>
      <c r="M519" s="6"/>
      <c r="N519" s="6"/>
      <c r="O519" s="6"/>
      <c r="P519" s="6"/>
      <c r="Q519" s="6"/>
      <c r="R519" s="6"/>
      <c r="S519" s="6"/>
    </row>
    <row r="520" ht="22.5" hidden="1" customHeight="1">
      <c r="A520" s="49">
        <v>45806.0</v>
      </c>
      <c r="B520" s="58" t="s">
        <v>206</v>
      </c>
      <c r="C520" s="34" t="s">
        <v>207</v>
      </c>
      <c r="D520" s="55" t="s">
        <v>93</v>
      </c>
      <c r="E520" s="56"/>
      <c r="F520" s="60">
        <v>0.010416666666666666</v>
      </c>
      <c r="G520" s="29"/>
      <c r="H520" s="6"/>
      <c r="I520" s="6"/>
      <c r="J520" s="6"/>
      <c r="K520" s="6"/>
      <c r="L520" s="6"/>
      <c r="M520" s="6"/>
      <c r="N520" s="6"/>
      <c r="O520" s="6"/>
      <c r="P520" s="6"/>
      <c r="Q520" s="6"/>
      <c r="R520" s="6"/>
      <c r="S520" s="6"/>
    </row>
    <row r="521" ht="22.5" customHeight="1">
      <c r="A521" s="49">
        <v>45807.0</v>
      </c>
      <c r="B521" s="58" t="s">
        <v>206</v>
      </c>
      <c r="C521" s="34" t="s">
        <v>207</v>
      </c>
      <c r="D521" s="55" t="s">
        <v>214</v>
      </c>
      <c r="E521" s="59" t="s">
        <v>215</v>
      </c>
      <c r="F521" s="60">
        <v>0.041666666666666664</v>
      </c>
      <c r="G521" s="29"/>
      <c r="H521" s="6"/>
      <c r="I521" s="6"/>
      <c r="J521" s="6"/>
      <c r="K521" s="6"/>
      <c r="L521" s="6"/>
      <c r="M521" s="6"/>
      <c r="N521" s="6"/>
      <c r="O521" s="6"/>
      <c r="P521" s="6"/>
      <c r="Q521" s="6"/>
      <c r="R521" s="6"/>
      <c r="S521" s="6"/>
    </row>
    <row r="522" ht="22.5" hidden="1" customHeight="1">
      <c r="A522" s="49">
        <v>45807.0</v>
      </c>
      <c r="B522" s="58" t="s">
        <v>206</v>
      </c>
      <c r="C522" s="34" t="s">
        <v>207</v>
      </c>
      <c r="D522" s="55" t="s">
        <v>93</v>
      </c>
      <c r="E522" s="56"/>
      <c r="F522" s="60">
        <v>0.010416666666666666</v>
      </c>
      <c r="G522" s="29"/>
      <c r="H522" s="6"/>
      <c r="I522" s="6"/>
      <c r="J522" s="6"/>
      <c r="K522" s="6"/>
      <c r="L522" s="6"/>
      <c r="M522" s="6"/>
      <c r="N522" s="6"/>
      <c r="O522" s="6"/>
      <c r="P522" s="6"/>
      <c r="Q522" s="6"/>
      <c r="R522" s="6"/>
      <c r="S522" s="6"/>
    </row>
    <row r="523" ht="22.5" customHeight="1">
      <c r="A523" s="49">
        <v>45808.0</v>
      </c>
      <c r="B523" s="58" t="s">
        <v>206</v>
      </c>
      <c r="C523" s="34" t="s">
        <v>207</v>
      </c>
      <c r="D523" s="55" t="s">
        <v>214</v>
      </c>
      <c r="E523" s="59" t="s">
        <v>215</v>
      </c>
      <c r="F523" s="60">
        <v>0.041666666666666664</v>
      </c>
      <c r="G523" s="29"/>
      <c r="H523" s="6"/>
      <c r="I523" s="6"/>
      <c r="J523" s="6"/>
      <c r="K523" s="6"/>
      <c r="L523" s="6"/>
      <c r="M523" s="6"/>
      <c r="N523" s="6"/>
      <c r="O523" s="6"/>
      <c r="P523" s="6"/>
      <c r="Q523" s="6"/>
      <c r="R523" s="6"/>
      <c r="S523" s="6"/>
    </row>
    <row r="524" ht="22.5" hidden="1" customHeight="1">
      <c r="A524" s="49">
        <v>45808.0</v>
      </c>
      <c r="B524" s="58" t="s">
        <v>206</v>
      </c>
      <c r="C524" s="34" t="s">
        <v>207</v>
      </c>
      <c r="D524" s="55" t="s">
        <v>93</v>
      </c>
      <c r="E524" s="56"/>
      <c r="F524" s="60">
        <v>0.010416666666666666</v>
      </c>
      <c r="G524" s="29"/>
      <c r="H524" s="6"/>
      <c r="I524" s="6"/>
      <c r="J524" s="6"/>
      <c r="K524" s="6"/>
      <c r="L524" s="6"/>
      <c r="M524" s="6"/>
      <c r="N524" s="6"/>
      <c r="O524" s="6"/>
      <c r="P524" s="6"/>
      <c r="Q524" s="6"/>
      <c r="R524" s="6"/>
      <c r="S524" s="6"/>
    </row>
    <row r="525" ht="22.5" customHeight="1">
      <c r="A525" s="49">
        <v>45809.0</v>
      </c>
      <c r="B525" s="58" t="s">
        <v>206</v>
      </c>
      <c r="C525" s="34" t="s">
        <v>207</v>
      </c>
      <c r="D525" s="55" t="s">
        <v>214</v>
      </c>
      <c r="E525" s="59" t="s">
        <v>215</v>
      </c>
      <c r="F525" s="60">
        <v>0.041666666666666664</v>
      </c>
      <c r="G525" s="29"/>
      <c r="H525" s="6"/>
      <c r="I525" s="6"/>
      <c r="J525" s="6"/>
      <c r="K525" s="6"/>
      <c r="L525" s="6"/>
      <c r="M525" s="6"/>
      <c r="N525" s="6"/>
      <c r="O525" s="6"/>
      <c r="P525" s="6"/>
      <c r="Q525" s="6"/>
      <c r="R525" s="6"/>
      <c r="S525" s="6"/>
    </row>
    <row r="526" ht="22.5" hidden="1" customHeight="1">
      <c r="A526" s="49">
        <v>45809.0</v>
      </c>
      <c r="B526" s="58" t="s">
        <v>206</v>
      </c>
      <c r="C526" s="34" t="s">
        <v>207</v>
      </c>
      <c r="D526" s="55" t="s">
        <v>93</v>
      </c>
      <c r="E526" s="56"/>
      <c r="F526" s="60">
        <v>0.010416666666666666</v>
      </c>
      <c r="G526" s="29"/>
      <c r="H526" s="6"/>
      <c r="I526" s="6"/>
      <c r="J526" s="6"/>
      <c r="K526" s="6"/>
      <c r="L526" s="6"/>
      <c r="M526" s="6"/>
      <c r="N526" s="6"/>
      <c r="O526" s="6"/>
      <c r="P526" s="6"/>
      <c r="Q526" s="6"/>
      <c r="R526" s="6"/>
      <c r="S526" s="6"/>
    </row>
    <row r="527" ht="22.5" hidden="1" customHeight="1">
      <c r="A527" s="49">
        <v>45810.0</v>
      </c>
      <c r="B527" s="58" t="s">
        <v>206</v>
      </c>
      <c r="C527" s="34" t="s">
        <v>216</v>
      </c>
      <c r="D527" s="55" t="s">
        <v>217</v>
      </c>
      <c r="E527" s="56"/>
      <c r="F527" s="60">
        <v>0.014166666666666666</v>
      </c>
      <c r="G527" s="29"/>
      <c r="H527" s="6"/>
      <c r="I527" s="6"/>
      <c r="J527" s="6"/>
      <c r="K527" s="6"/>
      <c r="L527" s="6"/>
      <c r="M527" s="6"/>
      <c r="N527" s="6"/>
      <c r="O527" s="6"/>
      <c r="P527" s="6"/>
      <c r="Q527" s="6"/>
      <c r="R527" s="6"/>
      <c r="S527" s="6"/>
    </row>
    <row r="528" ht="22.5" hidden="1" customHeight="1">
      <c r="A528" s="49">
        <v>45810.0</v>
      </c>
      <c r="B528" s="58" t="s">
        <v>206</v>
      </c>
      <c r="C528" s="34" t="s">
        <v>216</v>
      </c>
      <c r="D528" s="55" t="s">
        <v>218</v>
      </c>
      <c r="E528" s="56"/>
      <c r="F528" s="60">
        <v>0.008020833333333333</v>
      </c>
      <c r="G528" s="29"/>
      <c r="H528" s="6"/>
      <c r="I528" s="6"/>
      <c r="J528" s="6"/>
      <c r="K528" s="6"/>
      <c r="L528" s="6"/>
      <c r="M528" s="6"/>
      <c r="N528" s="6"/>
      <c r="O528" s="6"/>
      <c r="P528" s="6"/>
      <c r="Q528" s="6"/>
      <c r="R528" s="6"/>
      <c r="S528" s="6"/>
    </row>
    <row r="529" ht="22.5" customHeight="1">
      <c r="A529" s="49">
        <v>45810.0</v>
      </c>
      <c r="B529" s="58" t="s">
        <v>206</v>
      </c>
      <c r="C529" s="34" t="s">
        <v>216</v>
      </c>
      <c r="D529" s="55" t="s">
        <v>214</v>
      </c>
      <c r="E529" s="59" t="s">
        <v>215</v>
      </c>
      <c r="F529" s="60">
        <v>0.041666666666666664</v>
      </c>
      <c r="G529" s="29"/>
      <c r="H529" s="6"/>
      <c r="I529" s="6"/>
      <c r="J529" s="6"/>
      <c r="K529" s="6"/>
      <c r="L529" s="6"/>
      <c r="M529" s="6"/>
      <c r="N529" s="6"/>
      <c r="O529" s="6"/>
      <c r="P529" s="6"/>
      <c r="Q529" s="6"/>
      <c r="R529" s="6"/>
      <c r="S529" s="6"/>
    </row>
    <row r="530" ht="22.5" hidden="1" customHeight="1">
      <c r="A530" s="49">
        <v>45810.0</v>
      </c>
      <c r="B530" s="58" t="s">
        <v>206</v>
      </c>
      <c r="C530" s="34" t="s">
        <v>216</v>
      </c>
      <c r="D530" s="55" t="s">
        <v>93</v>
      </c>
      <c r="E530" s="56"/>
      <c r="F530" s="60">
        <v>0.010416666666666666</v>
      </c>
      <c r="G530" s="29"/>
      <c r="H530" s="6"/>
      <c r="I530" s="6"/>
      <c r="J530" s="6"/>
      <c r="K530" s="6"/>
      <c r="L530" s="6"/>
      <c r="M530" s="6"/>
      <c r="N530" s="6"/>
      <c r="O530" s="6"/>
      <c r="P530" s="6"/>
      <c r="Q530" s="6"/>
      <c r="R530" s="6"/>
      <c r="S530" s="6"/>
    </row>
    <row r="531" ht="22.5" hidden="1" customHeight="1">
      <c r="A531" s="49">
        <v>45810.0</v>
      </c>
      <c r="B531" s="58" t="s">
        <v>206</v>
      </c>
      <c r="C531" s="34" t="s">
        <v>216</v>
      </c>
      <c r="D531" s="55" t="s">
        <v>131</v>
      </c>
      <c r="E531" s="56"/>
      <c r="F531" s="60">
        <v>0.003472222222222222</v>
      </c>
      <c r="G531" s="29"/>
      <c r="H531" s="6"/>
      <c r="I531" s="6"/>
      <c r="J531" s="6"/>
      <c r="K531" s="6"/>
      <c r="L531" s="6"/>
      <c r="M531" s="6"/>
      <c r="N531" s="6"/>
      <c r="O531" s="6"/>
      <c r="P531" s="6"/>
      <c r="Q531" s="6"/>
      <c r="R531" s="6"/>
      <c r="S531" s="6"/>
    </row>
    <row r="532" ht="22.5" hidden="1" customHeight="1">
      <c r="A532" s="49">
        <v>45811.0</v>
      </c>
      <c r="B532" s="58" t="s">
        <v>206</v>
      </c>
      <c r="C532" s="34" t="s">
        <v>216</v>
      </c>
      <c r="D532" s="55" t="s">
        <v>93</v>
      </c>
      <c r="E532" s="56"/>
      <c r="F532" s="60">
        <v>0.010416666666666666</v>
      </c>
      <c r="G532" s="29"/>
      <c r="H532" s="6"/>
      <c r="I532" s="6"/>
      <c r="J532" s="6"/>
      <c r="K532" s="6"/>
      <c r="L532" s="6"/>
      <c r="M532" s="6"/>
      <c r="N532" s="6"/>
      <c r="O532" s="6"/>
      <c r="P532" s="6"/>
      <c r="Q532" s="6"/>
      <c r="R532" s="6"/>
      <c r="S532" s="6"/>
    </row>
    <row r="533" ht="22.5" hidden="1" customHeight="1">
      <c r="A533" s="49">
        <v>45811.0</v>
      </c>
      <c r="B533" s="58" t="s">
        <v>206</v>
      </c>
      <c r="C533" s="34" t="s">
        <v>216</v>
      </c>
      <c r="D533" s="55" t="s">
        <v>131</v>
      </c>
      <c r="E533" s="56"/>
      <c r="F533" s="60">
        <v>0.003472222222222222</v>
      </c>
      <c r="G533" s="29"/>
      <c r="H533" s="6"/>
      <c r="I533" s="6"/>
      <c r="J533" s="6"/>
      <c r="K533" s="6"/>
      <c r="L533" s="6"/>
      <c r="M533" s="6"/>
      <c r="N533" s="6"/>
      <c r="O533" s="6"/>
      <c r="P533" s="6"/>
      <c r="Q533" s="6"/>
      <c r="R533" s="6"/>
      <c r="S533" s="6"/>
    </row>
    <row r="534" ht="22.5" customHeight="1">
      <c r="A534" s="49">
        <v>45811.0</v>
      </c>
      <c r="B534" s="58" t="s">
        <v>206</v>
      </c>
      <c r="C534" s="34" t="s">
        <v>216</v>
      </c>
      <c r="D534" s="55" t="s">
        <v>214</v>
      </c>
      <c r="E534" s="59" t="s">
        <v>215</v>
      </c>
      <c r="F534" s="60">
        <v>0.041666666666666664</v>
      </c>
      <c r="G534" s="29"/>
      <c r="H534" s="6"/>
      <c r="I534" s="6"/>
      <c r="J534" s="6"/>
      <c r="K534" s="6"/>
      <c r="L534" s="6"/>
      <c r="M534" s="6"/>
      <c r="N534" s="6"/>
      <c r="O534" s="6"/>
      <c r="P534" s="6"/>
      <c r="Q534" s="6"/>
      <c r="R534" s="6"/>
      <c r="S534" s="6"/>
    </row>
    <row r="535" ht="22.5" hidden="1" customHeight="1">
      <c r="A535" s="49">
        <v>45812.0</v>
      </c>
      <c r="B535" s="58" t="s">
        <v>206</v>
      </c>
      <c r="C535" s="34" t="s">
        <v>216</v>
      </c>
      <c r="D535" s="55" t="s">
        <v>93</v>
      </c>
      <c r="E535" s="56"/>
      <c r="F535" s="60">
        <v>0.010416666666666666</v>
      </c>
      <c r="G535" s="29"/>
      <c r="H535" s="6"/>
      <c r="I535" s="6"/>
      <c r="J535" s="6"/>
      <c r="K535" s="6"/>
      <c r="L535" s="6"/>
      <c r="M535" s="6"/>
      <c r="N535" s="6"/>
      <c r="O535" s="6"/>
      <c r="P535" s="6"/>
      <c r="Q535" s="6"/>
      <c r="R535" s="6"/>
      <c r="S535" s="6"/>
    </row>
    <row r="536" ht="22.5" hidden="1" customHeight="1">
      <c r="A536" s="49">
        <v>45812.0</v>
      </c>
      <c r="B536" s="58" t="s">
        <v>206</v>
      </c>
      <c r="C536" s="34" t="s">
        <v>216</v>
      </c>
      <c r="D536" s="55" t="s">
        <v>131</v>
      </c>
      <c r="E536" s="56"/>
      <c r="F536" s="60">
        <v>0.003472222222222222</v>
      </c>
      <c r="G536" s="29"/>
      <c r="H536" s="6"/>
      <c r="I536" s="6"/>
      <c r="J536" s="6"/>
      <c r="K536" s="6"/>
      <c r="L536" s="6"/>
      <c r="M536" s="6"/>
      <c r="N536" s="6"/>
      <c r="O536" s="6"/>
      <c r="P536" s="6"/>
      <c r="Q536" s="6"/>
      <c r="R536" s="6"/>
      <c r="S536" s="6"/>
    </row>
    <row r="537" ht="22.5" customHeight="1">
      <c r="A537" s="49">
        <v>45812.0</v>
      </c>
      <c r="B537" s="58" t="s">
        <v>206</v>
      </c>
      <c r="C537" s="34" t="s">
        <v>216</v>
      </c>
      <c r="D537" s="55" t="s">
        <v>214</v>
      </c>
      <c r="E537" s="59" t="s">
        <v>215</v>
      </c>
      <c r="F537" s="60">
        <v>0.041666666666666664</v>
      </c>
      <c r="G537" s="29"/>
      <c r="H537" s="6"/>
      <c r="I537" s="6"/>
      <c r="J537" s="6"/>
      <c r="K537" s="6"/>
      <c r="L537" s="6"/>
      <c r="M537" s="6"/>
      <c r="N537" s="6"/>
      <c r="O537" s="6"/>
      <c r="P537" s="6"/>
      <c r="Q537" s="6"/>
      <c r="R537" s="6"/>
      <c r="S537" s="6"/>
    </row>
    <row r="538" ht="22.5" hidden="1" customHeight="1">
      <c r="A538" s="49">
        <v>45813.0</v>
      </c>
      <c r="B538" s="58" t="s">
        <v>206</v>
      </c>
      <c r="C538" s="34" t="s">
        <v>216</v>
      </c>
      <c r="D538" s="55" t="s">
        <v>93</v>
      </c>
      <c r="E538" s="56"/>
      <c r="F538" s="60">
        <v>0.010416666666666666</v>
      </c>
      <c r="G538" s="29"/>
      <c r="H538" s="6"/>
      <c r="I538" s="6"/>
      <c r="J538" s="6"/>
      <c r="K538" s="6"/>
      <c r="L538" s="6"/>
      <c r="M538" s="6"/>
      <c r="N538" s="6"/>
      <c r="O538" s="6"/>
      <c r="P538" s="6"/>
      <c r="Q538" s="6"/>
      <c r="R538" s="6"/>
      <c r="S538" s="6"/>
    </row>
    <row r="539" ht="22.5" hidden="1" customHeight="1">
      <c r="A539" s="49">
        <v>45813.0</v>
      </c>
      <c r="B539" s="58" t="s">
        <v>206</v>
      </c>
      <c r="C539" s="34" t="s">
        <v>216</v>
      </c>
      <c r="D539" s="55" t="s">
        <v>131</v>
      </c>
      <c r="E539" s="56"/>
      <c r="F539" s="60">
        <v>0.003472222222222222</v>
      </c>
      <c r="G539" s="29"/>
      <c r="H539" s="6"/>
      <c r="I539" s="6"/>
      <c r="J539" s="6"/>
      <c r="K539" s="6"/>
      <c r="L539" s="6"/>
      <c r="M539" s="6"/>
      <c r="N539" s="6"/>
      <c r="O539" s="6"/>
      <c r="P539" s="6"/>
      <c r="Q539" s="6"/>
      <c r="R539" s="6"/>
      <c r="S539" s="6"/>
    </row>
    <row r="540" ht="22.5" customHeight="1">
      <c r="A540" s="49">
        <v>45813.0</v>
      </c>
      <c r="B540" s="58" t="s">
        <v>206</v>
      </c>
      <c r="C540" s="34" t="s">
        <v>216</v>
      </c>
      <c r="D540" s="55" t="s">
        <v>214</v>
      </c>
      <c r="E540" s="59" t="s">
        <v>215</v>
      </c>
      <c r="F540" s="60">
        <v>0.041666666666666664</v>
      </c>
      <c r="G540" s="29"/>
      <c r="H540" s="6"/>
      <c r="I540" s="6"/>
      <c r="J540" s="6"/>
      <c r="K540" s="6"/>
      <c r="L540" s="6"/>
      <c r="M540" s="6"/>
      <c r="N540" s="6"/>
      <c r="O540" s="6"/>
      <c r="P540" s="6"/>
      <c r="Q540" s="6"/>
      <c r="R540" s="6"/>
      <c r="S540" s="6"/>
    </row>
    <row r="541" ht="22.5" hidden="1" customHeight="1">
      <c r="A541" s="49">
        <v>45814.0</v>
      </c>
      <c r="B541" s="58" t="s">
        <v>206</v>
      </c>
      <c r="C541" s="34" t="s">
        <v>216</v>
      </c>
      <c r="D541" s="55" t="s">
        <v>93</v>
      </c>
      <c r="E541" s="56"/>
      <c r="F541" s="60">
        <v>0.010416666666666666</v>
      </c>
      <c r="G541" s="29"/>
      <c r="H541" s="6"/>
      <c r="I541" s="6"/>
      <c r="J541" s="6"/>
      <c r="K541" s="6"/>
      <c r="L541" s="6"/>
      <c r="M541" s="6"/>
      <c r="N541" s="6"/>
      <c r="O541" s="6"/>
      <c r="P541" s="6"/>
      <c r="Q541" s="6"/>
      <c r="R541" s="6"/>
      <c r="S541" s="6"/>
    </row>
    <row r="542" ht="22.5" hidden="1" customHeight="1">
      <c r="A542" s="49">
        <v>45814.0</v>
      </c>
      <c r="B542" s="58" t="s">
        <v>206</v>
      </c>
      <c r="C542" s="34" t="s">
        <v>216</v>
      </c>
      <c r="D542" s="55" t="s">
        <v>131</v>
      </c>
      <c r="E542" s="56"/>
      <c r="F542" s="60">
        <v>0.003472222222222222</v>
      </c>
      <c r="G542" s="29"/>
      <c r="H542" s="6"/>
      <c r="I542" s="6"/>
      <c r="J542" s="6"/>
      <c r="K542" s="6"/>
      <c r="L542" s="6"/>
      <c r="M542" s="6"/>
      <c r="N542" s="6"/>
      <c r="O542" s="6"/>
      <c r="P542" s="6"/>
      <c r="Q542" s="6"/>
      <c r="R542" s="6"/>
      <c r="S542" s="6"/>
    </row>
    <row r="543" ht="22.5" customHeight="1">
      <c r="A543" s="49">
        <v>45814.0</v>
      </c>
      <c r="B543" s="58" t="s">
        <v>206</v>
      </c>
      <c r="C543" s="34" t="s">
        <v>216</v>
      </c>
      <c r="D543" s="55" t="s">
        <v>214</v>
      </c>
      <c r="E543" s="59" t="s">
        <v>215</v>
      </c>
      <c r="F543" s="60">
        <v>0.041666666666666664</v>
      </c>
      <c r="G543" s="29"/>
      <c r="H543" s="6"/>
      <c r="I543" s="6"/>
      <c r="J543" s="6"/>
      <c r="K543" s="6"/>
      <c r="L543" s="6"/>
      <c r="M543" s="6"/>
      <c r="N543" s="6"/>
      <c r="O543" s="6"/>
      <c r="P543" s="6"/>
      <c r="Q543" s="6"/>
      <c r="R543" s="6"/>
      <c r="S543" s="6"/>
    </row>
    <row r="544" ht="22.5" hidden="1" customHeight="1">
      <c r="A544" s="49">
        <v>45815.0</v>
      </c>
      <c r="B544" s="58" t="s">
        <v>206</v>
      </c>
      <c r="C544" s="34" t="s">
        <v>216</v>
      </c>
      <c r="D544" s="55" t="s">
        <v>93</v>
      </c>
      <c r="E544" s="56"/>
      <c r="F544" s="60">
        <v>0.010416666666666666</v>
      </c>
      <c r="G544" s="29"/>
      <c r="H544" s="6"/>
      <c r="I544" s="6"/>
      <c r="J544" s="6"/>
      <c r="K544" s="6"/>
      <c r="L544" s="6"/>
      <c r="M544" s="6"/>
      <c r="N544" s="6"/>
      <c r="O544" s="6"/>
      <c r="P544" s="6"/>
      <c r="Q544" s="6"/>
      <c r="R544" s="6"/>
      <c r="S544" s="6"/>
    </row>
    <row r="545" ht="22.5" hidden="1" customHeight="1">
      <c r="A545" s="49">
        <v>45815.0</v>
      </c>
      <c r="B545" s="58" t="s">
        <v>206</v>
      </c>
      <c r="C545" s="34" t="s">
        <v>216</v>
      </c>
      <c r="D545" s="55" t="s">
        <v>131</v>
      </c>
      <c r="E545" s="56"/>
      <c r="F545" s="60">
        <v>0.003472222222222222</v>
      </c>
      <c r="G545" s="29"/>
      <c r="H545" s="6"/>
      <c r="I545" s="6"/>
      <c r="J545" s="6"/>
      <c r="K545" s="6"/>
      <c r="L545" s="6"/>
      <c r="M545" s="6"/>
      <c r="N545" s="6"/>
      <c r="O545" s="6"/>
      <c r="P545" s="6"/>
      <c r="Q545" s="6"/>
      <c r="R545" s="6"/>
      <c r="S545" s="6"/>
    </row>
    <row r="546" ht="22.5" customHeight="1">
      <c r="A546" s="49">
        <v>45815.0</v>
      </c>
      <c r="B546" s="58" t="s">
        <v>206</v>
      </c>
      <c r="C546" s="34" t="s">
        <v>216</v>
      </c>
      <c r="D546" s="55" t="s">
        <v>214</v>
      </c>
      <c r="E546" s="59" t="s">
        <v>215</v>
      </c>
      <c r="F546" s="60">
        <v>0.041666666666666664</v>
      </c>
      <c r="G546" s="29"/>
      <c r="H546" s="6"/>
      <c r="I546" s="6"/>
      <c r="J546" s="6"/>
      <c r="K546" s="6"/>
      <c r="L546" s="6"/>
      <c r="M546" s="6"/>
      <c r="N546" s="6"/>
      <c r="O546" s="6"/>
      <c r="P546" s="6"/>
      <c r="Q546" s="6"/>
      <c r="R546" s="6"/>
      <c r="S546" s="6"/>
    </row>
    <row r="547" ht="22.5" hidden="1" customHeight="1">
      <c r="A547" s="49">
        <v>45816.0</v>
      </c>
      <c r="B547" s="58" t="s">
        <v>206</v>
      </c>
      <c r="C547" s="34" t="s">
        <v>216</v>
      </c>
      <c r="D547" s="55" t="s">
        <v>93</v>
      </c>
      <c r="E547" s="56"/>
      <c r="F547" s="60">
        <v>0.010416666666666666</v>
      </c>
      <c r="G547" s="29"/>
      <c r="H547" s="6"/>
      <c r="I547" s="6"/>
      <c r="J547" s="6"/>
      <c r="K547" s="6"/>
      <c r="L547" s="6"/>
      <c r="M547" s="6"/>
      <c r="N547" s="6"/>
      <c r="O547" s="6"/>
      <c r="P547" s="6"/>
      <c r="Q547" s="6"/>
      <c r="R547" s="6"/>
      <c r="S547" s="6"/>
    </row>
    <row r="548" ht="22.5" hidden="1" customHeight="1">
      <c r="A548" s="49">
        <v>45816.0</v>
      </c>
      <c r="B548" s="58" t="s">
        <v>206</v>
      </c>
      <c r="C548" s="34" t="s">
        <v>216</v>
      </c>
      <c r="D548" s="55" t="s">
        <v>131</v>
      </c>
      <c r="E548" s="56"/>
      <c r="F548" s="60">
        <v>0.003472222222222222</v>
      </c>
      <c r="G548" s="29"/>
      <c r="H548" s="6"/>
      <c r="I548" s="6"/>
      <c r="J548" s="6"/>
      <c r="K548" s="6"/>
      <c r="L548" s="6"/>
      <c r="M548" s="6"/>
      <c r="N548" s="6"/>
      <c r="O548" s="6"/>
      <c r="P548" s="6"/>
      <c r="Q548" s="6"/>
      <c r="R548" s="6"/>
      <c r="S548" s="6"/>
    </row>
    <row r="549" ht="22.5" customHeight="1">
      <c r="A549" s="49">
        <v>45816.0</v>
      </c>
      <c r="B549" s="58" t="s">
        <v>206</v>
      </c>
      <c r="C549" s="34" t="s">
        <v>216</v>
      </c>
      <c r="D549" s="55" t="s">
        <v>214</v>
      </c>
      <c r="E549" s="59" t="s">
        <v>215</v>
      </c>
      <c r="F549" s="60">
        <v>0.041666666666666664</v>
      </c>
      <c r="G549" s="29"/>
      <c r="H549" s="6"/>
      <c r="I549" s="6"/>
      <c r="J549" s="6"/>
      <c r="K549" s="6"/>
      <c r="L549" s="6"/>
      <c r="M549" s="6"/>
      <c r="N549" s="6"/>
      <c r="O549" s="6"/>
      <c r="P549" s="6"/>
      <c r="Q549" s="6"/>
      <c r="R549" s="6"/>
      <c r="S549" s="6"/>
    </row>
    <row r="550" ht="22.5" hidden="1" customHeight="1">
      <c r="A550" s="49">
        <v>45817.0</v>
      </c>
      <c r="B550" s="58" t="s">
        <v>206</v>
      </c>
      <c r="C550" s="34" t="s">
        <v>216</v>
      </c>
      <c r="D550" s="55" t="s">
        <v>93</v>
      </c>
      <c r="E550" s="56"/>
      <c r="F550" s="60">
        <v>0.010416666666666666</v>
      </c>
      <c r="G550" s="29"/>
      <c r="H550" s="6"/>
      <c r="I550" s="6"/>
      <c r="J550" s="6"/>
      <c r="K550" s="6"/>
      <c r="L550" s="6"/>
      <c r="M550" s="6"/>
      <c r="N550" s="6"/>
      <c r="O550" s="6"/>
      <c r="P550" s="6"/>
      <c r="Q550" s="6"/>
      <c r="R550" s="6"/>
      <c r="S550" s="6"/>
    </row>
    <row r="551" ht="22.5" hidden="1" customHeight="1">
      <c r="A551" s="49">
        <v>45817.0</v>
      </c>
      <c r="B551" s="58" t="s">
        <v>206</v>
      </c>
      <c r="C551" s="34" t="s">
        <v>216</v>
      </c>
      <c r="D551" s="55" t="s">
        <v>131</v>
      </c>
      <c r="E551" s="56"/>
      <c r="F551" s="60">
        <v>0.003472222222222222</v>
      </c>
      <c r="G551" s="29"/>
      <c r="H551" s="6"/>
      <c r="I551" s="6"/>
      <c r="J551" s="6"/>
      <c r="K551" s="6"/>
      <c r="L551" s="6"/>
      <c r="M551" s="6"/>
      <c r="N551" s="6"/>
      <c r="O551" s="6"/>
      <c r="P551" s="6"/>
      <c r="Q551" s="6"/>
      <c r="R551" s="6"/>
      <c r="S551" s="6"/>
    </row>
    <row r="552" ht="22.5" customHeight="1">
      <c r="A552" s="49">
        <v>45817.0</v>
      </c>
      <c r="B552" s="58" t="s">
        <v>206</v>
      </c>
      <c r="C552" s="34" t="s">
        <v>216</v>
      </c>
      <c r="D552" s="55" t="s">
        <v>214</v>
      </c>
      <c r="E552" s="59" t="s">
        <v>215</v>
      </c>
      <c r="F552" s="60">
        <v>0.041666666666666664</v>
      </c>
      <c r="G552" s="29"/>
      <c r="H552" s="6"/>
      <c r="I552" s="6"/>
      <c r="J552" s="6"/>
      <c r="K552" s="6"/>
      <c r="L552" s="6"/>
      <c r="M552" s="6"/>
      <c r="N552" s="6"/>
      <c r="O552" s="6"/>
      <c r="P552" s="6"/>
      <c r="Q552" s="6"/>
      <c r="R552" s="6"/>
      <c r="S552" s="6"/>
    </row>
    <row r="553" ht="22.5" hidden="1" customHeight="1">
      <c r="A553" s="49">
        <v>45818.0</v>
      </c>
      <c r="B553" s="58" t="s">
        <v>206</v>
      </c>
      <c r="C553" s="34" t="s">
        <v>216</v>
      </c>
      <c r="D553" s="55" t="s">
        <v>93</v>
      </c>
      <c r="E553" s="56"/>
      <c r="F553" s="60">
        <v>0.010416666666666666</v>
      </c>
      <c r="G553" s="29"/>
      <c r="H553" s="6"/>
      <c r="I553" s="6"/>
      <c r="J553" s="6"/>
      <c r="K553" s="6"/>
      <c r="L553" s="6"/>
      <c r="M553" s="6"/>
      <c r="N553" s="6"/>
      <c r="O553" s="6"/>
      <c r="P553" s="6"/>
      <c r="Q553" s="6"/>
      <c r="R553" s="6"/>
      <c r="S553" s="6"/>
    </row>
    <row r="554" ht="22.5" hidden="1" customHeight="1">
      <c r="A554" s="49">
        <v>45818.0</v>
      </c>
      <c r="B554" s="58" t="s">
        <v>206</v>
      </c>
      <c r="C554" s="34" t="s">
        <v>216</v>
      </c>
      <c r="D554" s="55" t="s">
        <v>131</v>
      </c>
      <c r="E554" s="56"/>
      <c r="F554" s="60">
        <v>0.003472222222222222</v>
      </c>
      <c r="G554" s="29"/>
      <c r="H554" s="6"/>
      <c r="I554" s="6"/>
      <c r="J554" s="6"/>
      <c r="K554" s="6"/>
      <c r="L554" s="6"/>
      <c r="M554" s="6"/>
      <c r="N554" s="6"/>
      <c r="O554" s="6"/>
      <c r="P554" s="6"/>
      <c r="Q554" s="6"/>
      <c r="R554" s="6"/>
      <c r="S554" s="6"/>
    </row>
    <row r="555" ht="22.5" customHeight="1">
      <c r="A555" s="49">
        <v>45818.0</v>
      </c>
      <c r="B555" s="58" t="s">
        <v>206</v>
      </c>
      <c r="C555" s="34" t="s">
        <v>216</v>
      </c>
      <c r="D555" s="55" t="s">
        <v>214</v>
      </c>
      <c r="E555" s="59" t="s">
        <v>215</v>
      </c>
      <c r="F555" s="60">
        <v>0.041666666666666664</v>
      </c>
      <c r="G555" s="29"/>
      <c r="H555" s="6"/>
      <c r="I555" s="6"/>
      <c r="J555" s="6"/>
      <c r="K555" s="6"/>
      <c r="L555" s="6"/>
      <c r="M555" s="6"/>
      <c r="N555" s="6"/>
      <c r="O555" s="6"/>
      <c r="P555" s="6"/>
      <c r="Q555" s="6"/>
      <c r="R555" s="6"/>
      <c r="S555" s="6"/>
    </row>
    <row r="556" ht="22.5" hidden="1" customHeight="1">
      <c r="A556" s="49">
        <v>45819.0</v>
      </c>
      <c r="B556" s="58" t="s">
        <v>206</v>
      </c>
      <c r="C556" s="34" t="s">
        <v>216</v>
      </c>
      <c r="D556" s="55" t="s">
        <v>93</v>
      </c>
      <c r="E556" s="56"/>
      <c r="F556" s="60">
        <v>0.010416666666666666</v>
      </c>
      <c r="G556" s="29"/>
      <c r="H556" s="6"/>
      <c r="I556" s="6"/>
      <c r="J556" s="6"/>
      <c r="K556" s="6"/>
      <c r="L556" s="6"/>
      <c r="M556" s="6"/>
      <c r="N556" s="6"/>
      <c r="O556" s="6"/>
      <c r="P556" s="6"/>
      <c r="Q556" s="6"/>
      <c r="R556" s="6"/>
      <c r="S556" s="6"/>
    </row>
    <row r="557" ht="22.5" hidden="1" customHeight="1">
      <c r="A557" s="49">
        <v>45819.0</v>
      </c>
      <c r="B557" s="58" t="s">
        <v>206</v>
      </c>
      <c r="C557" s="34" t="s">
        <v>216</v>
      </c>
      <c r="D557" s="55" t="s">
        <v>131</v>
      </c>
      <c r="E557" s="56"/>
      <c r="F557" s="60">
        <v>0.003472222222222222</v>
      </c>
      <c r="G557" s="29"/>
      <c r="H557" s="6"/>
      <c r="I557" s="6"/>
      <c r="J557" s="6"/>
      <c r="K557" s="6"/>
      <c r="L557" s="6"/>
      <c r="M557" s="6"/>
      <c r="N557" s="6"/>
      <c r="O557" s="6"/>
      <c r="P557" s="6"/>
      <c r="Q557" s="6"/>
      <c r="R557" s="6"/>
      <c r="S557" s="6"/>
    </row>
    <row r="558" ht="22.5" customHeight="1">
      <c r="A558" s="49">
        <v>45819.0</v>
      </c>
      <c r="B558" s="58" t="s">
        <v>206</v>
      </c>
      <c r="C558" s="34" t="s">
        <v>216</v>
      </c>
      <c r="D558" s="55" t="s">
        <v>214</v>
      </c>
      <c r="E558" s="59" t="s">
        <v>215</v>
      </c>
      <c r="F558" s="60">
        <v>0.041666666666666664</v>
      </c>
      <c r="G558" s="29"/>
      <c r="H558" s="6"/>
      <c r="I558" s="6"/>
      <c r="J558" s="6"/>
      <c r="K558" s="6"/>
      <c r="L558" s="6"/>
      <c r="M558" s="6"/>
      <c r="N558" s="6"/>
      <c r="O558" s="6"/>
      <c r="P558" s="6"/>
      <c r="Q558" s="6"/>
      <c r="R558" s="6"/>
      <c r="S558" s="6"/>
    </row>
    <row r="559" ht="22.5" hidden="1" customHeight="1">
      <c r="A559" s="49">
        <v>45820.0</v>
      </c>
      <c r="B559" s="58" t="s">
        <v>206</v>
      </c>
      <c r="C559" s="34" t="s">
        <v>216</v>
      </c>
      <c r="D559" s="55" t="s">
        <v>93</v>
      </c>
      <c r="E559" s="56"/>
      <c r="F559" s="60">
        <v>0.010416666666666666</v>
      </c>
      <c r="G559" s="29"/>
      <c r="H559" s="6"/>
      <c r="I559" s="6"/>
      <c r="J559" s="6"/>
      <c r="K559" s="6"/>
      <c r="L559" s="6"/>
      <c r="M559" s="6"/>
      <c r="N559" s="6"/>
      <c r="O559" s="6"/>
      <c r="P559" s="6"/>
      <c r="Q559" s="6"/>
      <c r="R559" s="6"/>
      <c r="S559" s="6"/>
    </row>
    <row r="560" ht="22.5" hidden="1" customHeight="1">
      <c r="A560" s="49">
        <v>45820.0</v>
      </c>
      <c r="B560" s="58" t="s">
        <v>206</v>
      </c>
      <c r="C560" s="34" t="s">
        <v>216</v>
      </c>
      <c r="D560" s="55" t="s">
        <v>131</v>
      </c>
      <c r="E560" s="56"/>
      <c r="F560" s="60">
        <v>0.003472222222222222</v>
      </c>
      <c r="G560" s="29"/>
      <c r="H560" s="6"/>
      <c r="I560" s="6"/>
      <c r="J560" s="6"/>
      <c r="K560" s="6"/>
      <c r="L560" s="6"/>
      <c r="M560" s="6"/>
      <c r="N560" s="6"/>
      <c r="O560" s="6"/>
      <c r="P560" s="6"/>
      <c r="Q560" s="6"/>
      <c r="R560" s="6"/>
      <c r="S560" s="6"/>
    </row>
    <row r="561" ht="22.5" customHeight="1">
      <c r="A561" s="49">
        <v>45820.0</v>
      </c>
      <c r="B561" s="58" t="s">
        <v>206</v>
      </c>
      <c r="C561" s="34" t="s">
        <v>216</v>
      </c>
      <c r="D561" s="55" t="s">
        <v>214</v>
      </c>
      <c r="E561" s="59" t="s">
        <v>215</v>
      </c>
      <c r="F561" s="60">
        <v>0.041666666666666664</v>
      </c>
      <c r="G561" s="29"/>
      <c r="H561" s="6"/>
      <c r="I561" s="6"/>
      <c r="J561" s="6"/>
      <c r="K561" s="6"/>
      <c r="L561" s="6"/>
      <c r="M561" s="6"/>
      <c r="N561" s="6"/>
      <c r="O561" s="6"/>
      <c r="P561" s="6"/>
      <c r="Q561" s="6"/>
      <c r="R561" s="6"/>
      <c r="S561" s="6"/>
    </row>
    <row r="562" ht="22.5" hidden="1" customHeight="1">
      <c r="A562" s="49">
        <v>45821.0</v>
      </c>
      <c r="B562" s="58" t="s">
        <v>206</v>
      </c>
      <c r="C562" s="34" t="s">
        <v>216</v>
      </c>
      <c r="D562" s="55" t="s">
        <v>93</v>
      </c>
      <c r="E562" s="56"/>
      <c r="F562" s="60">
        <v>0.010416666666666666</v>
      </c>
      <c r="G562" s="29"/>
      <c r="H562" s="6"/>
      <c r="I562" s="6"/>
      <c r="J562" s="6"/>
      <c r="K562" s="6"/>
      <c r="L562" s="6"/>
      <c r="M562" s="6"/>
      <c r="N562" s="6"/>
      <c r="O562" s="6"/>
      <c r="P562" s="6"/>
      <c r="Q562" s="6"/>
      <c r="R562" s="6"/>
      <c r="S562" s="6"/>
    </row>
    <row r="563" ht="22.5" hidden="1" customHeight="1">
      <c r="A563" s="49">
        <v>45821.0</v>
      </c>
      <c r="B563" s="58" t="s">
        <v>206</v>
      </c>
      <c r="C563" s="34" t="s">
        <v>216</v>
      </c>
      <c r="D563" s="55" t="s">
        <v>131</v>
      </c>
      <c r="E563" s="56"/>
      <c r="F563" s="60">
        <v>0.003472222222222222</v>
      </c>
      <c r="G563" s="29"/>
      <c r="H563" s="6"/>
      <c r="I563" s="6"/>
      <c r="J563" s="6"/>
      <c r="K563" s="6"/>
      <c r="L563" s="6"/>
      <c r="M563" s="6"/>
      <c r="N563" s="6"/>
      <c r="O563" s="6"/>
      <c r="P563" s="6"/>
      <c r="Q563" s="6"/>
      <c r="R563" s="6"/>
      <c r="S563" s="6"/>
    </row>
    <row r="564" ht="22.5" customHeight="1">
      <c r="A564" s="49">
        <v>45821.0</v>
      </c>
      <c r="B564" s="58" t="s">
        <v>206</v>
      </c>
      <c r="C564" s="34" t="s">
        <v>216</v>
      </c>
      <c r="D564" s="55" t="s">
        <v>214</v>
      </c>
      <c r="E564" s="59" t="s">
        <v>215</v>
      </c>
      <c r="F564" s="60">
        <v>0.041666666666666664</v>
      </c>
      <c r="G564" s="29"/>
      <c r="H564" s="6"/>
      <c r="I564" s="6"/>
      <c r="J564" s="6"/>
      <c r="K564" s="6"/>
      <c r="L564" s="6"/>
      <c r="M564" s="6"/>
      <c r="N564" s="6"/>
      <c r="O564" s="6"/>
      <c r="P564" s="6"/>
      <c r="Q564" s="6"/>
      <c r="R564" s="6"/>
      <c r="S564" s="6"/>
    </row>
    <row r="565" ht="22.5" hidden="1" customHeight="1">
      <c r="A565" s="49">
        <v>45822.0</v>
      </c>
      <c r="B565" s="58" t="s">
        <v>206</v>
      </c>
      <c r="C565" s="34" t="s">
        <v>216</v>
      </c>
      <c r="D565" s="55" t="s">
        <v>93</v>
      </c>
      <c r="E565" s="56"/>
      <c r="F565" s="60">
        <v>0.010416666666666666</v>
      </c>
      <c r="G565" s="29"/>
      <c r="H565" s="6"/>
      <c r="I565" s="6"/>
      <c r="J565" s="6"/>
      <c r="K565" s="6"/>
      <c r="L565" s="6"/>
      <c r="M565" s="6"/>
      <c r="N565" s="6"/>
      <c r="O565" s="6"/>
      <c r="P565" s="6"/>
      <c r="Q565" s="6"/>
      <c r="R565" s="6"/>
      <c r="S565" s="6"/>
    </row>
    <row r="566" ht="22.5" hidden="1" customHeight="1">
      <c r="A566" s="49">
        <v>45822.0</v>
      </c>
      <c r="B566" s="58" t="s">
        <v>206</v>
      </c>
      <c r="C566" s="34" t="s">
        <v>216</v>
      </c>
      <c r="D566" s="55" t="s">
        <v>131</v>
      </c>
      <c r="E566" s="56"/>
      <c r="F566" s="60">
        <v>0.003472222222222222</v>
      </c>
      <c r="G566" s="29"/>
      <c r="H566" s="6"/>
      <c r="I566" s="6"/>
      <c r="J566" s="6"/>
      <c r="K566" s="6"/>
      <c r="L566" s="6"/>
      <c r="M566" s="6"/>
      <c r="N566" s="6"/>
      <c r="O566" s="6"/>
      <c r="P566" s="6"/>
      <c r="Q566" s="6"/>
      <c r="R566" s="6"/>
      <c r="S566" s="6"/>
    </row>
    <row r="567" ht="22.5" customHeight="1">
      <c r="A567" s="49">
        <v>45822.0</v>
      </c>
      <c r="B567" s="58" t="s">
        <v>206</v>
      </c>
      <c r="C567" s="34" t="s">
        <v>216</v>
      </c>
      <c r="D567" s="55" t="s">
        <v>214</v>
      </c>
      <c r="E567" s="59" t="s">
        <v>215</v>
      </c>
      <c r="F567" s="60">
        <v>0.041666666666666664</v>
      </c>
      <c r="G567" s="29"/>
      <c r="H567" s="6"/>
      <c r="I567" s="6"/>
      <c r="J567" s="6"/>
      <c r="K567" s="6"/>
      <c r="L567" s="6"/>
      <c r="M567" s="6"/>
      <c r="N567" s="6"/>
      <c r="O567" s="6"/>
      <c r="P567" s="6"/>
      <c r="Q567" s="6"/>
      <c r="R567" s="6"/>
      <c r="S567" s="6"/>
    </row>
    <row r="568" ht="22.5" hidden="1" customHeight="1">
      <c r="A568" s="49">
        <v>45823.0</v>
      </c>
      <c r="B568" s="58" t="s">
        <v>206</v>
      </c>
      <c r="C568" s="34" t="s">
        <v>216</v>
      </c>
      <c r="D568" s="55" t="s">
        <v>93</v>
      </c>
      <c r="E568" s="56"/>
      <c r="F568" s="60">
        <v>0.010416666666666666</v>
      </c>
      <c r="G568" s="29"/>
      <c r="H568" s="6"/>
      <c r="I568" s="6"/>
      <c r="J568" s="6"/>
      <c r="K568" s="6"/>
      <c r="L568" s="6"/>
      <c r="M568" s="6"/>
      <c r="N568" s="6"/>
      <c r="O568" s="6"/>
      <c r="P568" s="6"/>
      <c r="Q568" s="6"/>
      <c r="R568" s="6"/>
      <c r="S568" s="6"/>
    </row>
    <row r="569" ht="22.5" hidden="1" customHeight="1">
      <c r="A569" s="49">
        <v>45823.0</v>
      </c>
      <c r="B569" s="58" t="s">
        <v>206</v>
      </c>
      <c r="C569" s="34" t="s">
        <v>216</v>
      </c>
      <c r="D569" s="55" t="s">
        <v>131</v>
      </c>
      <c r="E569" s="56"/>
      <c r="F569" s="60">
        <v>0.003472222222222222</v>
      </c>
      <c r="G569" s="29"/>
      <c r="H569" s="6"/>
      <c r="I569" s="6"/>
      <c r="J569" s="6"/>
      <c r="K569" s="6"/>
      <c r="L569" s="6"/>
      <c r="M569" s="6"/>
      <c r="N569" s="6"/>
      <c r="O569" s="6"/>
      <c r="P569" s="6"/>
      <c r="Q569" s="6"/>
      <c r="R569" s="6"/>
      <c r="S569" s="6"/>
    </row>
    <row r="570" ht="22.5" customHeight="1">
      <c r="A570" s="49">
        <v>45823.0</v>
      </c>
      <c r="B570" s="58" t="s">
        <v>206</v>
      </c>
      <c r="C570" s="34" t="s">
        <v>216</v>
      </c>
      <c r="D570" s="55" t="s">
        <v>214</v>
      </c>
      <c r="E570" s="56" t="s">
        <v>215</v>
      </c>
      <c r="F570" s="60">
        <v>0.041666666666666664</v>
      </c>
      <c r="G570" s="29"/>
      <c r="H570" s="6"/>
      <c r="I570" s="6"/>
      <c r="J570" s="6"/>
      <c r="K570" s="6"/>
      <c r="L570" s="6"/>
      <c r="M570" s="6"/>
      <c r="N570" s="6"/>
      <c r="O570" s="6"/>
      <c r="P570" s="6"/>
      <c r="Q570" s="6"/>
      <c r="R570" s="6"/>
      <c r="S570" s="6"/>
    </row>
    <row r="571" ht="22.5" hidden="1" customHeight="1">
      <c r="A571" s="49">
        <v>45824.0</v>
      </c>
      <c r="B571" s="58" t="s">
        <v>206</v>
      </c>
      <c r="C571" s="34" t="s">
        <v>216</v>
      </c>
      <c r="D571" s="55" t="s">
        <v>93</v>
      </c>
      <c r="E571" s="56"/>
      <c r="F571" s="60">
        <v>0.010416666666666666</v>
      </c>
      <c r="G571" s="29"/>
      <c r="H571" s="6"/>
      <c r="I571" s="6"/>
      <c r="J571" s="6"/>
      <c r="K571" s="6"/>
      <c r="L571" s="6"/>
      <c r="M571" s="6"/>
      <c r="N571" s="6"/>
      <c r="O571" s="6"/>
      <c r="P571" s="6"/>
      <c r="Q571" s="6"/>
      <c r="R571" s="6"/>
      <c r="S571" s="6"/>
    </row>
    <row r="572" ht="22.5" hidden="1" customHeight="1">
      <c r="A572" s="49">
        <v>45824.0</v>
      </c>
      <c r="B572" s="58" t="s">
        <v>206</v>
      </c>
      <c r="C572" s="34" t="s">
        <v>216</v>
      </c>
      <c r="D572" s="55" t="s">
        <v>131</v>
      </c>
      <c r="E572" s="56"/>
      <c r="F572" s="60">
        <v>0.003472222222222222</v>
      </c>
      <c r="G572" s="29"/>
      <c r="H572" s="6"/>
      <c r="I572" s="6"/>
      <c r="J572" s="6"/>
      <c r="K572" s="6"/>
      <c r="L572" s="6"/>
      <c r="M572" s="6"/>
      <c r="N572" s="6"/>
      <c r="O572" s="6"/>
      <c r="P572" s="6"/>
      <c r="Q572" s="6"/>
      <c r="R572" s="6"/>
      <c r="S572" s="6"/>
    </row>
    <row r="573" ht="22.5" customHeight="1">
      <c r="A573" s="49">
        <v>45824.0</v>
      </c>
      <c r="B573" s="58" t="s">
        <v>206</v>
      </c>
      <c r="C573" s="34" t="s">
        <v>216</v>
      </c>
      <c r="D573" s="55" t="s">
        <v>214</v>
      </c>
      <c r="E573" s="59" t="s">
        <v>215</v>
      </c>
      <c r="F573" s="60">
        <v>0.041666666666666664</v>
      </c>
      <c r="G573" s="29"/>
      <c r="H573" s="6"/>
      <c r="I573" s="6"/>
      <c r="J573" s="6"/>
      <c r="K573" s="6"/>
      <c r="L573" s="6"/>
      <c r="M573" s="6"/>
      <c r="N573" s="6"/>
      <c r="O573" s="6"/>
      <c r="P573" s="6"/>
      <c r="Q573" s="6"/>
      <c r="R573" s="6"/>
      <c r="S573" s="6"/>
    </row>
    <row r="574" ht="22.5" hidden="1" customHeight="1">
      <c r="A574" s="49">
        <v>45825.0</v>
      </c>
      <c r="B574" s="58" t="s">
        <v>206</v>
      </c>
      <c r="C574" s="34" t="s">
        <v>216</v>
      </c>
      <c r="D574" s="55" t="s">
        <v>93</v>
      </c>
      <c r="E574" s="56"/>
      <c r="F574" s="60">
        <v>0.010416666666666666</v>
      </c>
      <c r="G574" s="29"/>
      <c r="H574" s="6"/>
      <c r="I574" s="6"/>
      <c r="J574" s="6"/>
      <c r="K574" s="6"/>
      <c r="L574" s="6"/>
      <c r="M574" s="6"/>
      <c r="N574" s="6"/>
      <c r="O574" s="6"/>
      <c r="P574" s="6"/>
      <c r="Q574" s="6"/>
      <c r="R574" s="6"/>
      <c r="S574" s="6"/>
    </row>
    <row r="575" ht="22.5" hidden="1" customHeight="1">
      <c r="A575" s="49">
        <v>45825.0</v>
      </c>
      <c r="B575" s="58" t="s">
        <v>206</v>
      </c>
      <c r="C575" s="34" t="s">
        <v>216</v>
      </c>
      <c r="D575" s="55" t="s">
        <v>131</v>
      </c>
      <c r="E575" s="56"/>
      <c r="F575" s="60">
        <v>0.003472222222222222</v>
      </c>
      <c r="G575" s="29"/>
      <c r="H575" s="6"/>
      <c r="I575" s="6"/>
      <c r="J575" s="6"/>
      <c r="K575" s="6"/>
      <c r="L575" s="6"/>
      <c r="M575" s="6"/>
      <c r="N575" s="6"/>
      <c r="O575" s="6"/>
      <c r="P575" s="6"/>
      <c r="Q575" s="6"/>
      <c r="R575" s="6"/>
      <c r="S575" s="6"/>
    </row>
    <row r="576" ht="22.5" customHeight="1">
      <c r="A576" s="49">
        <v>45825.0</v>
      </c>
      <c r="B576" s="58" t="s">
        <v>206</v>
      </c>
      <c r="C576" s="34" t="s">
        <v>216</v>
      </c>
      <c r="D576" s="55" t="s">
        <v>214</v>
      </c>
      <c r="E576" s="59" t="s">
        <v>215</v>
      </c>
      <c r="F576" s="60">
        <v>0.041666666666666664</v>
      </c>
      <c r="G576" s="29"/>
      <c r="H576" s="6"/>
      <c r="I576" s="6"/>
      <c r="J576" s="6"/>
      <c r="K576" s="6"/>
      <c r="L576" s="6"/>
      <c r="M576" s="6"/>
      <c r="N576" s="6"/>
      <c r="O576" s="6"/>
      <c r="P576" s="6"/>
      <c r="Q576" s="6"/>
      <c r="R576" s="6"/>
      <c r="S576" s="6"/>
    </row>
    <row r="577" ht="22.5" hidden="1" customHeight="1">
      <c r="A577" s="49">
        <v>45826.0</v>
      </c>
      <c r="B577" s="58" t="s">
        <v>206</v>
      </c>
      <c r="C577" s="34" t="s">
        <v>216</v>
      </c>
      <c r="D577" s="55" t="s">
        <v>93</v>
      </c>
      <c r="E577" s="56"/>
      <c r="F577" s="60">
        <v>0.010416666666666666</v>
      </c>
      <c r="G577" s="29"/>
      <c r="H577" s="6"/>
      <c r="I577" s="6"/>
      <c r="J577" s="6"/>
      <c r="K577" s="6"/>
      <c r="L577" s="6"/>
      <c r="M577" s="6"/>
      <c r="N577" s="6"/>
      <c r="O577" s="6"/>
      <c r="P577" s="6"/>
      <c r="Q577" s="6"/>
      <c r="R577" s="6"/>
      <c r="S577" s="6"/>
    </row>
    <row r="578" ht="22.5" hidden="1" customHeight="1">
      <c r="A578" s="49">
        <v>45826.0</v>
      </c>
      <c r="B578" s="58" t="s">
        <v>206</v>
      </c>
      <c r="C578" s="34" t="s">
        <v>216</v>
      </c>
      <c r="D578" s="55" t="s">
        <v>131</v>
      </c>
      <c r="E578" s="56"/>
      <c r="F578" s="60">
        <v>0.003472222222222222</v>
      </c>
      <c r="G578" s="29"/>
      <c r="H578" s="6"/>
      <c r="I578" s="6"/>
      <c r="J578" s="6"/>
      <c r="K578" s="6"/>
      <c r="L578" s="6"/>
      <c r="M578" s="6"/>
      <c r="N578" s="6"/>
      <c r="O578" s="6"/>
      <c r="P578" s="6"/>
      <c r="Q578" s="6"/>
      <c r="R578" s="6"/>
      <c r="S578" s="6"/>
    </row>
    <row r="579" ht="22.5" customHeight="1">
      <c r="A579" s="49">
        <v>45826.0</v>
      </c>
      <c r="B579" s="58" t="s">
        <v>206</v>
      </c>
      <c r="C579" s="34" t="s">
        <v>216</v>
      </c>
      <c r="D579" s="55" t="s">
        <v>214</v>
      </c>
      <c r="E579" s="59" t="s">
        <v>215</v>
      </c>
      <c r="F579" s="60">
        <v>0.041666666666666664</v>
      </c>
      <c r="G579" s="29"/>
      <c r="H579" s="6"/>
      <c r="I579" s="6"/>
      <c r="J579" s="6"/>
      <c r="K579" s="6"/>
      <c r="L579" s="6"/>
      <c r="M579" s="6"/>
      <c r="N579" s="6"/>
      <c r="O579" s="6"/>
      <c r="P579" s="6"/>
      <c r="Q579" s="6"/>
      <c r="R579" s="6"/>
      <c r="S579" s="6"/>
    </row>
    <row r="580" ht="22.5" hidden="1" customHeight="1">
      <c r="A580" s="49">
        <v>45827.0</v>
      </c>
      <c r="B580" s="58" t="s">
        <v>206</v>
      </c>
      <c r="C580" s="34" t="s">
        <v>216</v>
      </c>
      <c r="D580" s="55" t="s">
        <v>93</v>
      </c>
      <c r="E580" s="56"/>
      <c r="F580" s="60">
        <v>0.010416666666666666</v>
      </c>
      <c r="G580" s="29"/>
      <c r="H580" s="6"/>
      <c r="I580" s="6"/>
      <c r="J580" s="6"/>
      <c r="K580" s="6"/>
      <c r="L580" s="6"/>
      <c r="M580" s="6"/>
      <c r="N580" s="6"/>
      <c r="O580" s="6"/>
      <c r="P580" s="6"/>
      <c r="Q580" s="6"/>
      <c r="R580" s="6"/>
      <c r="S580" s="6"/>
    </row>
    <row r="581" ht="22.5" hidden="1" customHeight="1">
      <c r="A581" s="49">
        <v>45827.0</v>
      </c>
      <c r="B581" s="58" t="s">
        <v>206</v>
      </c>
      <c r="C581" s="34" t="s">
        <v>216</v>
      </c>
      <c r="D581" s="55" t="s">
        <v>131</v>
      </c>
      <c r="E581" s="56"/>
      <c r="F581" s="60">
        <v>0.003472222222222222</v>
      </c>
      <c r="G581" s="29"/>
      <c r="H581" s="6"/>
      <c r="I581" s="6"/>
      <c r="J581" s="6"/>
      <c r="K581" s="6"/>
      <c r="L581" s="6"/>
      <c r="M581" s="6"/>
      <c r="N581" s="6"/>
      <c r="O581" s="6"/>
      <c r="P581" s="6"/>
      <c r="Q581" s="6"/>
      <c r="R581" s="6"/>
      <c r="S581" s="6"/>
    </row>
    <row r="582" ht="22.5" customHeight="1">
      <c r="A582" s="49">
        <v>45827.0</v>
      </c>
      <c r="B582" s="58" t="s">
        <v>206</v>
      </c>
      <c r="C582" s="34" t="s">
        <v>216</v>
      </c>
      <c r="D582" s="55" t="s">
        <v>214</v>
      </c>
      <c r="E582" s="59" t="s">
        <v>215</v>
      </c>
      <c r="F582" s="60">
        <v>0.041666666666666664</v>
      </c>
      <c r="G582" s="29"/>
      <c r="H582" s="6"/>
      <c r="I582" s="6"/>
      <c r="J582" s="6"/>
      <c r="K582" s="6"/>
      <c r="L582" s="6"/>
      <c r="M582" s="6"/>
      <c r="N582" s="6"/>
      <c r="O582" s="6"/>
      <c r="P582" s="6"/>
      <c r="Q582" s="6"/>
      <c r="R582" s="6"/>
      <c r="S582" s="6"/>
    </row>
    <row r="583" ht="22.5" hidden="1" customHeight="1">
      <c r="A583" s="49">
        <v>45828.0</v>
      </c>
      <c r="B583" s="58" t="s">
        <v>206</v>
      </c>
      <c r="C583" s="34" t="s">
        <v>216</v>
      </c>
      <c r="D583" s="55" t="s">
        <v>93</v>
      </c>
      <c r="E583" s="56"/>
      <c r="F583" s="60">
        <v>0.010416666666666666</v>
      </c>
      <c r="G583" s="29"/>
      <c r="H583" s="6"/>
      <c r="I583" s="6"/>
      <c r="J583" s="6"/>
      <c r="K583" s="6"/>
      <c r="L583" s="6"/>
      <c r="M583" s="6"/>
      <c r="N583" s="6"/>
      <c r="O583" s="6"/>
      <c r="P583" s="6"/>
      <c r="Q583" s="6"/>
      <c r="R583" s="6"/>
      <c r="S583" s="6"/>
    </row>
    <row r="584" ht="22.5" hidden="1" customHeight="1">
      <c r="A584" s="49">
        <v>45828.0</v>
      </c>
      <c r="B584" s="58" t="s">
        <v>206</v>
      </c>
      <c r="C584" s="34" t="s">
        <v>216</v>
      </c>
      <c r="D584" s="55" t="s">
        <v>131</v>
      </c>
      <c r="E584" s="56"/>
      <c r="F584" s="60">
        <v>0.003472222222222222</v>
      </c>
      <c r="G584" s="29"/>
      <c r="H584" s="6"/>
      <c r="I584" s="6"/>
      <c r="J584" s="6"/>
      <c r="K584" s="6"/>
      <c r="L584" s="6"/>
      <c r="M584" s="6"/>
      <c r="N584" s="6"/>
      <c r="O584" s="6"/>
      <c r="P584" s="6"/>
      <c r="Q584" s="6"/>
      <c r="R584" s="6"/>
      <c r="S584" s="6"/>
    </row>
    <row r="585" ht="22.5" customHeight="1">
      <c r="A585" s="49">
        <v>45828.0</v>
      </c>
      <c r="B585" s="58" t="s">
        <v>206</v>
      </c>
      <c r="C585" s="34" t="s">
        <v>216</v>
      </c>
      <c r="D585" s="55" t="s">
        <v>214</v>
      </c>
      <c r="E585" s="59" t="s">
        <v>215</v>
      </c>
      <c r="F585" s="60">
        <v>0.041666666666666664</v>
      </c>
      <c r="G585" s="29"/>
      <c r="H585" s="6"/>
      <c r="I585" s="6"/>
      <c r="J585" s="6"/>
      <c r="K585" s="6"/>
      <c r="L585" s="6"/>
      <c r="M585" s="6"/>
      <c r="N585" s="6"/>
      <c r="O585" s="6"/>
      <c r="P585" s="6"/>
      <c r="Q585" s="6"/>
      <c r="R585" s="6"/>
      <c r="S585" s="6"/>
    </row>
    <row r="586" ht="22.5" hidden="1" customHeight="1">
      <c r="A586" s="49">
        <v>45829.0</v>
      </c>
      <c r="B586" s="58" t="s">
        <v>206</v>
      </c>
      <c r="C586" s="34" t="s">
        <v>216</v>
      </c>
      <c r="D586" s="55" t="s">
        <v>93</v>
      </c>
      <c r="E586" s="56"/>
      <c r="F586" s="60">
        <v>0.010416666666666666</v>
      </c>
      <c r="G586" s="29"/>
      <c r="H586" s="6"/>
      <c r="I586" s="6"/>
      <c r="J586" s="6"/>
      <c r="K586" s="6"/>
      <c r="L586" s="6"/>
      <c r="M586" s="6"/>
      <c r="N586" s="6"/>
      <c r="O586" s="6"/>
      <c r="P586" s="6"/>
      <c r="Q586" s="6"/>
      <c r="R586" s="6"/>
      <c r="S586" s="6"/>
    </row>
    <row r="587" ht="22.5" hidden="1" customHeight="1">
      <c r="A587" s="49">
        <v>45829.0</v>
      </c>
      <c r="B587" s="58" t="s">
        <v>206</v>
      </c>
      <c r="C587" s="34" t="s">
        <v>216</v>
      </c>
      <c r="D587" s="55" t="s">
        <v>131</v>
      </c>
      <c r="E587" s="56"/>
      <c r="F587" s="60">
        <v>0.003472222222222222</v>
      </c>
      <c r="G587" s="29"/>
      <c r="H587" s="6"/>
      <c r="I587" s="6"/>
      <c r="J587" s="6"/>
      <c r="K587" s="6"/>
      <c r="L587" s="6"/>
      <c r="M587" s="6"/>
      <c r="N587" s="6"/>
      <c r="O587" s="6"/>
      <c r="P587" s="6"/>
      <c r="Q587" s="6"/>
      <c r="R587" s="6"/>
      <c r="S587" s="6"/>
    </row>
    <row r="588" ht="22.5" customHeight="1">
      <c r="A588" s="49">
        <v>45829.0</v>
      </c>
      <c r="B588" s="58" t="s">
        <v>206</v>
      </c>
      <c r="C588" s="34" t="s">
        <v>216</v>
      </c>
      <c r="D588" s="55" t="s">
        <v>214</v>
      </c>
      <c r="E588" s="59" t="s">
        <v>215</v>
      </c>
      <c r="F588" s="60">
        <v>0.041666666666666664</v>
      </c>
      <c r="G588" s="29"/>
      <c r="H588" s="6"/>
      <c r="I588" s="6"/>
      <c r="J588" s="6"/>
      <c r="K588" s="6"/>
      <c r="L588" s="6"/>
      <c r="M588" s="6"/>
      <c r="N588" s="6"/>
      <c r="O588" s="6"/>
      <c r="P588" s="6"/>
      <c r="Q588" s="6"/>
      <c r="R588" s="6"/>
      <c r="S588" s="6"/>
    </row>
    <row r="589" ht="22.5" hidden="1" customHeight="1">
      <c r="A589" s="49">
        <v>45830.0</v>
      </c>
      <c r="B589" s="58" t="s">
        <v>206</v>
      </c>
      <c r="C589" s="34" t="s">
        <v>216</v>
      </c>
      <c r="D589" s="55" t="s">
        <v>93</v>
      </c>
      <c r="E589" s="56"/>
      <c r="F589" s="60">
        <v>0.010416666666666666</v>
      </c>
      <c r="G589" s="29"/>
      <c r="H589" s="6"/>
      <c r="I589" s="6"/>
      <c r="J589" s="6"/>
      <c r="K589" s="6"/>
      <c r="L589" s="6"/>
      <c r="M589" s="6"/>
      <c r="N589" s="6"/>
      <c r="O589" s="6"/>
      <c r="P589" s="6"/>
      <c r="Q589" s="6"/>
      <c r="R589" s="6"/>
      <c r="S589" s="6"/>
    </row>
    <row r="590" ht="22.5" hidden="1" customHeight="1">
      <c r="A590" s="49">
        <v>45830.0</v>
      </c>
      <c r="B590" s="58" t="s">
        <v>206</v>
      </c>
      <c r="C590" s="34" t="s">
        <v>216</v>
      </c>
      <c r="D590" s="55" t="s">
        <v>131</v>
      </c>
      <c r="E590" s="56"/>
      <c r="F590" s="60">
        <v>0.003472222222222222</v>
      </c>
      <c r="G590" s="29"/>
      <c r="H590" s="6"/>
      <c r="I590" s="6"/>
      <c r="J590" s="6"/>
      <c r="K590" s="6"/>
      <c r="L590" s="6"/>
      <c r="M590" s="6"/>
      <c r="N590" s="6"/>
      <c r="O590" s="6"/>
      <c r="P590" s="6"/>
      <c r="Q590" s="6"/>
      <c r="R590" s="6"/>
      <c r="S590" s="6"/>
    </row>
    <row r="591" ht="22.5" customHeight="1">
      <c r="A591" s="49">
        <v>45830.0</v>
      </c>
      <c r="B591" s="58" t="s">
        <v>206</v>
      </c>
      <c r="C591" s="34" t="s">
        <v>216</v>
      </c>
      <c r="D591" s="55" t="s">
        <v>214</v>
      </c>
      <c r="E591" s="59" t="s">
        <v>215</v>
      </c>
      <c r="F591" s="60">
        <v>0.041666666666666664</v>
      </c>
      <c r="G591" s="29"/>
      <c r="H591" s="6"/>
      <c r="I591" s="6"/>
      <c r="J591" s="6"/>
      <c r="K591" s="6"/>
      <c r="L591" s="6"/>
      <c r="M591" s="6"/>
      <c r="N591" s="6"/>
      <c r="O591" s="6"/>
      <c r="P591" s="6"/>
      <c r="Q591" s="6"/>
      <c r="R591" s="6"/>
      <c r="S591" s="6"/>
    </row>
    <row r="592" ht="22.5" hidden="1" customHeight="1">
      <c r="A592" s="49">
        <v>45831.0</v>
      </c>
      <c r="B592" s="58" t="s">
        <v>206</v>
      </c>
      <c r="C592" s="34" t="s">
        <v>216</v>
      </c>
      <c r="D592" s="55" t="s">
        <v>93</v>
      </c>
      <c r="E592" s="56"/>
      <c r="F592" s="60">
        <v>0.010416666666666666</v>
      </c>
      <c r="G592" s="29"/>
      <c r="H592" s="6"/>
      <c r="I592" s="6"/>
      <c r="J592" s="6"/>
      <c r="K592" s="6"/>
      <c r="L592" s="6"/>
      <c r="M592" s="6"/>
      <c r="N592" s="6"/>
      <c r="O592" s="6"/>
      <c r="P592" s="6"/>
      <c r="Q592" s="6"/>
      <c r="R592" s="6"/>
      <c r="S592" s="6"/>
    </row>
    <row r="593" ht="22.5" hidden="1" customHeight="1">
      <c r="A593" s="49">
        <v>45831.0</v>
      </c>
      <c r="B593" s="58" t="s">
        <v>206</v>
      </c>
      <c r="C593" s="34" t="s">
        <v>216</v>
      </c>
      <c r="D593" s="55" t="s">
        <v>131</v>
      </c>
      <c r="E593" s="56"/>
      <c r="F593" s="60">
        <v>0.003472222222222222</v>
      </c>
      <c r="G593" s="29"/>
      <c r="H593" s="6"/>
      <c r="I593" s="6"/>
      <c r="J593" s="6"/>
      <c r="K593" s="6"/>
      <c r="L593" s="6"/>
      <c r="M593" s="6"/>
      <c r="N593" s="6"/>
      <c r="O593" s="6"/>
      <c r="P593" s="6"/>
      <c r="Q593" s="6"/>
      <c r="R593" s="6"/>
      <c r="S593" s="6"/>
    </row>
    <row r="594" ht="22.5" customHeight="1">
      <c r="A594" s="49">
        <v>45831.0</v>
      </c>
      <c r="B594" s="58" t="s">
        <v>206</v>
      </c>
      <c r="C594" s="34" t="s">
        <v>216</v>
      </c>
      <c r="D594" s="55" t="s">
        <v>214</v>
      </c>
      <c r="E594" s="59" t="s">
        <v>215</v>
      </c>
      <c r="F594" s="60">
        <v>0.041666666666666664</v>
      </c>
      <c r="G594" s="29"/>
      <c r="H594" s="6"/>
      <c r="I594" s="6"/>
      <c r="J594" s="6"/>
      <c r="K594" s="6"/>
      <c r="L594" s="6"/>
      <c r="M594" s="6"/>
      <c r="N594" s="6"/>
      <c r="O594" s="6"/>
      <c r="P594" s="6"/>
      <c r="Q594" s="6"/>
      <c r="R594" s="6"/>
      <c r="S594" s="6"/>
    </row>
    <row r="595" ht="22.5" hidden="1" customHeight="1">
      <c r="A595" s="49">
        <v>45832.0</v>
      </c>
      <c r="B595" s="58" t="s">
        <v>206</v>
      </c>
      <c r="C595" s="34" t="s">
        <v>216</v>
      </c>
      <c r="D595" s="55" t="s">
        <v>93</v>
      </c>
      <c r="E595" s="56"/>
      <c r="F595" s="60">
        <v>0.010416666666666666</v>
      </c>
      <c r="G595" s="29"/>
      <c r="H595" s="6"/>
      <c r="I595" s="6"/>
      <c r="J595" s="6"/>
      <c r="K595" s="6"/>
      <c r="L595" s="6"/>
      <c r="M595" s="6"/>
      <c r="N595" s="6"/>
      <c r="O595" s="6"/>
      <c r="P595" s="6"/>
      <c r="Q595" s="6"/>
      <c r="R595" s="6"/>
      <c r="S595" s="6"/>
    </row>
    <row r="596" ht="22.5" hidden="1" customHeight="1">
      <c r="A596" s="49">
        <v>45832.0</v>
      </c>
      <c r="B596" s="58" t="s">
        <v>206</v>
      </c>
      <c r="C596" s="34" t="s">
        <v>216</v>
      </c>
      <c r="D596" s="55" t="s">
        <v>131</v>
      </c>
      <c r="E596" s="56"/>
      <c r="F596" s="60">
        <v>0.003472222222222222</v>
      </c>
      <c r="G596" s="29"/>
      <c r="H596" s="6"/>
      <c r="I596" s="6"/>
      <c r="J596" s="6"/>
      <c r="K596" s="6"/>
      <c r="L596" s="6"/>
      <c r="M596" s="6"/>
      <c r="N596" s="6"/>
      <c r="O596" s="6"/>
      <c r="P596" s="6"/>
      <c r="Q596" s="6"/>
      <c r="R596" s="6"/>
      <c r="S596" s="6"/>
    </row>
    <row r="597" ht="22.5" customHeight="1">
      <c r="A597" s="49">
        <v>45832.0</v>
      </c>
      <c r="B597" s="58" t="s">
        <v>206</v>
      </c>
      <c r="C597" s="34" t="s">
        <v>216</v>
      </c>
      <c r="D597" s="55" t="s">
        <v>214</v>
      </c>
      <c r="E597" s="59" t="s">
        <v>215</v>
      </c>
      <c r="F597" s="60">
        <v>0.041666666666666664</v>
      </c>
      <c r="G597" s="29"/>
      <c r="H597" s="6"/>
      <c r="I597" s="6"/>
      <c r="J597" s="6"/>
      <c r="K597" s="6"/>
      <c r="L597" s="6"/>
      <c r="M597" s="6"/>
      <c r="N597" s="6"/>
      <c r="O597" s="6"/>
      <c r="P597" s="6"/>
      <c r="Q597" s="6"/>
      <c r="R597" s="6"/>
      <c r="S597" s="6"/>
    </row>
    <row r="598" ht="22.5" hidden="1" customHeight="1">
      <c r="A598" s="49">
        <v>45833.0</v>
      </c>
      <c r="B598" s="58" t="s">
        <v>206</v>
      </c>
      <c r="C598" s="34" t="s">
        <v>216</v>
      </c>
      <c r="D598" s="55" t="s">
        <v>93</v>
      </c>
      <c r="E598" s="56"/>
      <c r="F598" s="60">
        <v>0.010416666666666666</v>
      </c>
      <c r="G598" s="29"/>
      <c r="H598" s="6"/>
      <c r="I598" s="6"/>
      <c r="J598" s="6"/>
      <c r="K598" s="6"/>
      <c r="L598" s="6"/>
      <c r="M598" s="6"/>
      <c r="N598" s="6"/>
      <c r="O598" s="6"/>
      <c r="P598" s="6"/>
      <c r="Q598" s="6"/>
      <c r="R598" s="6"/>
      <c r="S598" s="6"/>
    </row>
    <row r="599" ht="22.5" hidden="1" customHeight="1">
      <c r="A599" s="49">
        <v>45833.0</v>
      </c>
      <c r="B599" s="58" t="s">
        <v>206</v>
      </c>
      <c r="C599" s="34" t="s">
        <v>216</v>
      </c>
      <c r="D599" s="55" t="s">
        <v>131</v>
      </c>
      <c r="E599" s="56"/>
      <c r="F599" s="60">
        <v>0.003472222222222222</v>
      </c>
      <c r="G599" s="29"/>
      <c r="H599" s="6"/>
      <c r="I599" s="6"/>
      <c r="J599" s="6"/>
      <c r="K599" s="6"/>
      <c r="L599" s="6"/>
      <c r="M599" s="6"/>
      <c r="N599" s="6"/>
      <c r="O599" s="6"/>
      <c r="P599" s="6"/>
      <c r="Q599" s="6"/>
      <c r="R599" s="6"/>
      <c r="S599" s="6"/>
    </row>
    <row r="600" ht="22.5" customHeight="1">
      <c r="A600" s="49">
        <v>45833.0</v>
      </c>
      <c r="B600" s="58" t="s">
        <v>206</v>
      </c>
      <c r="C600" s="34" t="s">
        <v>216</v>
      </c>
      <c r="D600" s="55" t="s">
        <v>214</v>
      </c>
      <c r="E600" s="59" t="s">
        <v>215</v>
      </c>
      <c r="F600" s="60">
        <v>0.041666666666666664</v>
      </c>
      <c r="G600" s="29"/>
      <c r="H600" s="6"/>
      <c r="I600" s="6"/>
      <c r="J600" s="6"/>
      <c r="K600" s="6"/>
      <c r="L600" s="6"/>
      <c r="M600" s="6"/>
      <c r="N600" s="6"/>
      <c r="O600" s="6"/>
      <c r="P600" s="6"/>
      <c r="Q600" s="6"/>
      <c r="R600" s="6"/>
      <c r="S600" s="6"/>
    </row>
    <row r="601" ht="22.5" hidden="1" customHeight="1">
      <c r="A601" s="49">
        <v>45834.0</v>
      </c>
      <c r="B601" s="58" t="s">
        <v>206</v>
      </c>
      <c r="C601" s="34" t="s">
        <v>216</v>
      </c>
      <c r="D601" s="55" t="s">
        <v>93</v>
      </c>
      <c r="E601" s="56"/>
      <c r="F601" s="60">
        <v>0.010416666666666666</v>
      </c>
      <c r="G601" s="29"/>
      <c r="H601" s="6"/>
      <c r="I601" s="6"/>
      <c r="J601" s="6"/>
      <c r="K601" s="6"/>
      <c r="L601" s="6"/>
      <c r="M601" s="6"/>
      <c r="N601" s="6"/>
      <c r="O601" s="6"/>
      <c r="P601" s="6"/>
      <c r="Q601" s="6"/>
      <c r="R601" s="6"/>
      <c r="S601" s="6"/>
    </row>
    <row r="602" ht="22.5" hidden="1" customHeight="1">
      <c r="A602" s="49">
        <v>45834.0</v>
      </c>
      <c r="B602" s="58" t="s">
        <v>206</v>
      </c>
      <c r="C602" s="34" t="s">
        <v>216</v>
      </c>
      <c r="D602" s="55" t="s">
        <v>131</v>
      </c>
      <c r="E602" s="56"/>
      <c r="F602" s="60">
        <v>0.003472222222222222</v>
      </c>
      <c r="G602" s="29"/>
      <c r="H602" s="6"/>
      <c r="I602" s="6"/>
      <c r="J602" s="6"/>
      <c r="K602" s="6"/>
      <c r="L602" s="6"/>
      <c r="M602" s="6"/>
      <c r="N602" s="6"/>
      <c r="O602" s="6"/>
      <c r="P602" s="6"/>
      <c r="Q602" s="6"/>
      <c r="R602" s="6"/>
      <c r="S602" s="6"/>
    </row>
    <row r="603" ht="22.5" customHeight="1">
      <c r="A603" s="49">
        <v>45834.0</v>
      </c>
      <c r="B603" s="58" t="s">
        <v>206</v>
      </c>
      <c r="C603" s="34" t="s">
        <v>216</v>
      </c>
      <c r="D603" s="55" t="s">
        <v>214</v>
      </c>
      <c r="E603" s="56" t="s">
        <v>215</v>
      </c>
      <c r="F603" s="60">
        <v>0.041666666666666664</v>
      </c>
      <c r="G603" s="29"/>
      <c r="H603" s="6"/>
      <c r="I603" s="6"/>
      <c r="J603" s="6"/>
      <c r="K603" s="6"/>
      <c r="L603" s="6"/>
      <c r="M603" s="6"/>
      <c r="N603" s="6"/>
      <c r="O603" s="6"/>
      <c r="P603" s="6"/>
      <c r="Q603" s="6"/>
      <c r="R603" s="6"/>
      <c r="S603" s="6"/>
    </row>
    <row r="604" ht="22.5" hidden="1" customHeight="1">
      <c r="A604" s="49">
        <v>45835.0</v>
      </c>
      <c r="B604" s="58" t="s">
        <v>206</v>
      </c>
      <c r="C604" s="34" t="s">
        <v>216</v>
      </c>
      <c r="D604" s="55" t="s">
        <v>93</v>
      </c>
      <c r="E604" s="56"/>
      <c r="F604" s="60">
        <v>0.010416666666666666</v>
      </c>
      <c r="G604" s="29"/>
      <c r="H604" s="6"/>
      <c r="I604" s="6"/>
      <c r="J604" s="6"/>
      <c r="K604" s="6"/>
      <c r="L604" s="6"/>
      <c r="M604" s="6"/>
      <c r="N604" s="6"/>
      <c r="O604" s="6"/>
      <c r="P604" s="6"/>
      <c r="Q604" s="6"/>
      <c r="R604" s="6"/>
      <c r="S604" s="6"/>
    </row>
    <row r="605" ht="22.5" hidden="1" customHeight="1">
      <c r="A605" s="49">
        <v>45835.0</v>
      </c>
      <c r="B605" s="58" t="s">
        <v>206</v>
      </c>
      <c r="C605" s="34" t="s">
        <v>216</v>
      </c>
      <c r="D605" s="55" t="s">
        <v>131</v>
      </c>
      <c r="E605" s="56"/>
      <c r="F605" s="60">
        <v>0.003472222222222222</v>
      </c>
      <c r="G605" s="29"/>
      <c r="H605" s="6"/>
      <c r="I605" s="6"/>
      <c r="J605" s="6"/>
      <c r="K605" s="6"/>
      <c r="L605" s="6"/>
      <c r="M605" s="6"/>
      <c r="N605" s="6"/>
      <c r="O605" s="6"/>
      <c r="P605" s="6"/>
      <c r="Q605" s="6"/>
      <c r="R605" s="6"/>
      <c r="S605" s="6"/>
    </row>
    <row r="606" ht="22.5" customHeight="1">
      <c r="A606" s="49">
        <v>45835.0</v>
      </c>
      <c r="B606" s="58" t="s">
        <v>206</v>
      </c>
      <c r="C606" s="34" t="s">
        <v>216</v>
      </c>
      <c r="D606" s="55" t="s">
        <v>214</v>
      </c>
      <c r="E606" s="59" t="s">
        <v>215</v>
      </c>
      <c r="F606" s="60">
        <v>0.041666666666666664</v>
      </c>
      <c r="G606" s="29"/>
      <c r="H606" s="6"/>
      <c r="I606" s="6"/>
      <c r="J606" s="6"/>
      <c r="K606" s="6"/>
      <c r="L606" s="6"/>
      <c r="M606" s="6"/>
      <c r="N606" s="6"/>
      <c r="O606" s="6"/>
      <c r="P606" s="6"/>
      <c r="Q606" s="6"/>
      <c r="R606" s="6"/>
      <c r="S606" s="6"/>
    </row>
    <row r="607" ht="22.5" hidden="1" customHeight="1">
      <c r="A607" s="49">
        <v>45836.0</v>
      </c>
      <c r="B607" s="58" t="s">
        <v>206</v>
      </c>
      <c r="C607" s="34" t="s">
        <v>216</v>
      </c>
      <c r="D607" s="55" t="s">
        <v>93</v>
      </c>
      <c r="E607" s="56"/>
      <c r="F607" s="60">
        <v>0.010416666666666666</v>
      </c>
      <c r="G607" s="29"/>
      <c r="H607" s="6"/>
      <c r="I607" s="6"/>
      <c r="J607" s="6"/>
      <c r="K607" s="6"/>
      <c r="L607" s="6"/>
      <c r="M607" s="6"/>
      <c r="N607" s="6"/>
      <c r="O607" s="6"/>
      <c r="P607" s="6"/>
      <c r="Q607" s="6"/>
      <c r="R607" s="6"/>
      <c r="S607" s="6"/>
    </row>
    <row r="608" ht="22.5" hidden="1" customHeight="1">
      <c r="A608" s="49">
        <v>45836.0</v>
      </c>
      <c r="B608" s="58" t="s">
        <v>206</v>
      </c>
      <c r="C608" s="34" t="s">
        <v>216</v>
      </c>
      <c r="D608" s="55" t="s">
        <v>131</v>
      </c>
      <c r="E608" s="56"/>
      <c r="F608" s="60">
        <v>0.003472222222222222</v>
      </c>
      <c r="G608" s="29"/>
      <c r="H608" s="6"/>
      <c r="I608" s="6"/>
      <c r="J608" s="6"/>
      <c r="K608" s="6"/>
      <c r="L608" s="6"/>
      <c r="M608" s="6"/>
      <c r="N608" s="6"/>
      <c r="O608" s="6"/>
      <c r="P608" s="6"/>
      <c r="Q608" s="6"/>
      <c r="R608" s="6"/>
      <c r="S608" s="6"/>
    </row>
    <row r="609" ht="22.5" customHeight="1">
      <c r="A609" s="49">
        <v>45836.0</v>
      </c>
      <c r="B609" s="58" t="s">
        <v>206</v>
      </c>
      <c r="C609" s="34" t="s">
        <v>216</v>
      </c>
      <c r="D609" s="55" t="s">
        <v>214</v>
      </c>
      <c r="E609" s="59" t="s">
        <v>215</v>
      </c>
      <c r="F609" s="60">
        <v>0.041666666666666664</v>
      </c>
      <c r="G609" s="29"/>
      <c r="H609" s="6"/>
      <c r="I609" s="6"/>
      <c r="J609" s="6"/>
      <c r="K609" s="6"/>
      <c r="L609" s="6"/>
      <c r="M609" s="6"/>
      <c r="N609" s="6"/>
      <c r="O609" s="6"/>
      <c r="P609" s="6"/>
      <c r="Q609" s="6"/>
      <c r="R609" s="6"/>
      <c r="S609" s="6"/>
    </row>
    <row r="610" ht="22.5" hidden="1" customHeight="1">
      <c r="A610" s="49">
        <v>45837.0</v>
      </c>
      <c r="B610" s="58" t="s">
        <v>206</v>
      </c>
      <c r="C610" s="34" t="s">
        <v>216</v>
      </c>
      <c r="D610" s="55" t="s">
        <v>93</v>
      </c>
      <c r="E610" s="56"/>
      <c r="F610" s="60">
        <v>0.010416666666666666</v>
      </c>
      <c r="G610" s="29"/>
      <c r="H610" s="6"/>
      <c r="I610" s="6"/>
      <c r="J610" s="6"/>
      <c r="K610" s="6"/>
      <c r="L610" s="6"/>
      <c r="M610" s="6"/>
      <c r="N610" s="6"/>
      <c r="O610" s="6"/>
      <c r="P610" s="6"/>
      <c r="Q610" s="6"/>
      <c r="R610" s="6"/>
      <c r="S610" s="6"/>
    </row>
    <row r="611" ht="22.5" hidden="1" customHeight="1">
      <c r="A611" s="49">
        <v>45837.0</v>
      </c>
      <c r="B611" s="58" t="s">
        <v>206</v>
      </c>
      <c r="C611" s="34" t="s">
        <v>216</v>
      </c>
      <c r="D611" s="55" t="s">
        <v>131</v>
      </c>
      <c r="E611" s="56"/>
      <c r="F611" s="60">
        <v>0.003472222222222222</v>
      </c>
      <c r="G611" s="29"/>
      <c r="H611" s="6"/>
      <c r="I611" s="6"/>
      <c r="J611" s="6"/>
      <c r="K611" s="6"/>
      <c r="L611" s="6"/>
      <c r="M611" s="6"/>
      <c r="N611" s="6"/>
      <c r="O611" s="6"/>
      <c r="P611" s="6"/>
      <c r="Q611" s="6"/>
      <c r="R611" s="6"/>
      <c r="S611" s="6"/>
    </row>
    <row r="612" ht="22.5" customHeight="1">
      <c r="A612" s="49">
        <v>45837.0</v>
      </c>
      <c r="B612" s="58" t="s">
        <v>206</v>
      </c>
      <c r="C612" s="34" t="s">
        <v>216</v>
      </c>
      <c r="D612" s="55" t="s">
        <v>214</v>
      </c>
      <c r="E612" s="59" t="s">
        <v>215</v>
      </c>
      <c r="F612" s="60">
        <v>0.041666666666666664</v>
      </c>
      <c r="G612" s="29"/>
      <c r="H612" s="6"/>
      <c r="I612" s="6"/>
      <c r="J612" s="6"/>
      <c r="K612" s="6"/>
      <c r="L612" s="6"/>
      <c r="M612" s="6"/>
      <c r="N612" s="6"/>
      <c r="O612" s="6"/>
      <c r="P612" s="6"/>
      <c r="Q612" s="6"/>
      <c r="R612" s="6"/>
      <c r="S612" s="6"/>
    </row>
    <row r="613" ht="22.5" hidden="1" customHeight="1">
      <c r="A613" s="49">
        <v>45838.0</v>
      </c>
      <c r="B613" s="58" t="s">
        <v>206</v>
      </c>
      <c r="C613" s="34" t="s">
        <v>216</v>
      </c>
      <c r="D613" s="55" t="s">
        <v>93</v>
      </c>
      <c r="E613" s="56"/>
      <c r="F613" s="60">
        <v>0.010416666666666666</v>
      </c>
      <c r="G613" s="29"/>
      <c r="H613" s="6"/>
      <c r="I613" s="6"/>
      <c r="J613" s="6"/>
      <c r="K613" s="6"/>
      <c r="L613" s="6"/>
      <c r="M613" s="6"/>
      <c r="N613" s="6"/>
      <c r="O613" s="6"/>
      <c r="P613" s="6"/>
      <c r="Q613" s="6"/>
      <c r="R613" s="6"/>
      <c r="S613" s="6"/>
    </row>
    <row r="614" ht="22.5" hidden="1" customHeight="1">
      <c r="A614" s="49">
        <v>45838.0</v>
      </c>
      <c r="B614" s="58" t="s">
        <v>206</v>
      </c>
      <c r="C614" s="34" t="s">
        <v>216</v>
      </c>
      <c r="D614" s="55" t="s">
        <v>131</v>
      </c>
      <c r="E614" s="56"/>
      <c r="F614" s="60">
        <v>0.003472222222222222</v>
      </c>
      <c r="G614" s="29"/>
      <c r="H614" s="6"/>
      <c r="I614" s="6"/>
      <c r="J614" s="6"/>
      <c r="K614" s="6"/>
      <c r="L614" s="6"/>
      <c r="M614" s="6"/>
      <c r="N614" s="6"/>
      <c r="O614" s="6"/>
      <c r="P614" s="6"/>
      <c r="Q614" s="6"/>
      <c r="R614" s="6"/>
      <c r="S614" s="6"/>
    </row>
    <row r="615" ht="22.5" customHeight="1">
      <c r="A615" s="49">
        <v>45838.0</v>
      </c>
      <c r="B615" s="58" t="s">
        <v>206</v>
      </c>
      <c r="C615" s="34" t="s">
        <v>216</v>
      </c>
      <c r="D615" s="55" t="s">
        <v>214</v>
      </c>
      <c r="E615" s="59" t="s">
        <v>215</v>
      </c>
      <c r="F615" s="60">
        <v>0.041666666666666664</v>
      </c>
      <c r="G615" s="29"/>
      <c r="H615" s="6"/>
      <c r="I615" s="6"/>
      <c r="J615" s="6"/>
      <c r="K615" s="6"/>
      <c r="L615" s="6"/>
      <c r="M615" s="6"/>
      <c r="N615" s="6"/>
      <c r="O615" s="6"/>
      <c r="P615" s="6"/>
      <c r="Q615" s="6"/>
      <c r="R615" s="6"/>
      <c r="S615" s="6"/>
    </row>
    <row r="616" ht="22.5" hidden="1" customHeight="1">
      <c r="A616" s="49">
        <v>45839.0</v>
      </c>
      <c r="B616" s="58" t="s">
        <v>206</v>
      </c>
      <c r="C616" s="34" t="s">
        <v>216</v>
      </c>
      <c r="D616" s="55" t="s">
        <v>93</v>
      </c>
      <c r="E616" s="56"/>
      <c r="F616" s="60">
        <v>0.010416666666666666</v>
      </c>
      <c r="G616" s="29"/>
      <c r="H616" s="6"/>
      <c r="I616" s="6"/>
      <c r="J616" s="6"/>
      <c r="K616" s="6"/>
      <c r="L616" s="6"/>
      <c r="M616" s="6"/>
      <c r="N616" s="6"/>
      <c r="O616" s="6"/>
      <c r="P616" s="6"/>
      <c r="Q616" s="6"/>
      <c r="R616" s="6"/>
      <c r="S616" s="6"/>
    </row>
    <row r="617" ht="22.5" hidden="1" customHeight="1">
      <c r="A617" s="49">
        <v>45839.0</v>
      </c>
      <c r="B617" s="58" t="s">
        <v>206</v>
      </c>
      <c r="C617" s="34" t="s">
        <v>216</v>
      </c>
      <c r="D617" s="55" t="s">
        <v>131</v>
      </c>
      <c r="E617" s="56"/>
      <c r="F617" s="60">
        <v>0.003472222222222222</v>
      </c>
      <c r="G617" s="29"/>
      <c r="H617" s="6"/>
      <c r="I617" s="6"/>
      <c r="J617" s="6"/>
      <c r="K617" s="6"/>
      <c r="L617" s="6"/>
      <c r="M617" s="6"/>
      <c r="N617" s="6"/>
      <c r="O617" s="6"/>
      <c r="P617" s="6"/>
      <c r="Q617" s="6"/>
      <c r="R617" s="6"/>
      <c r="S617" s="6"/>
    </row>
    <row r="618" ht="22.5" customHeight="1">
      <c r="A618" s="49">
        <v>45839.0</v>
      </c>
      <c r="B618" s="58" t="s">
        <v>206</v>
      </c>
      <c r="C618" s="34" t="s">
        <v>216</v>
      </c>
      <c r="D618" s="55" t="s">
        <v>214</v>
      </c>
      <c r="E618" s="59" t="s">
        <v>215</v>
      </c>
      <c r="F618" s="60">
        <v>0.041666666666666664</v>
      </c>
      <c r="G618" s="29"/>
      <c r="H618" s="6"/>
      <c r="I618" s="6"/>
      <c r="J618" s="6"/>
      <c r="K618" s="6"/>
      <c r="L618" s="6"/>
      <c r="M618" s="6"/>
      <c r="N618" s="6"/>
      <c r="O618" s="6"/>
      <c r="P618" s="6"/>
      <c r="Q618" s="6"/>
      <c r="R618" s="6"/>
      <c r="S618" s="6"/>
    </row>
    <row r="619" ht="22.5" hidden="1" customHeight="1">
      <c r="A619" s="49">
        <v>45840.0</v>
      </c>
      <c r="B619" s="58" t="s">
        <v>206</v>
      </c>
      <c r="C619" s="34" t="s">
        <v>216</v>
      </c>
      <c r="D619" s="55" t="s">
        <v>93</v>
      </c>
      <c r="E619" s="56"/>
      <c r="F619" s="60">
        <v>0.010416666666666666</v>
      </c>
      <c r="G619" s="29"/>
      <c r="H619" s="6"/>
      <c r="I619" s="6"/>
      <c r="J619" s="6"/>
      <c r="K619" s="6"/>
      <c r="L619" s="6"/>
      <c r="M619" s="6"/>
      <c r="N619" s="6"/>
      <c r="O619" s="6"/>
      <c r="P619" s="6"/>
      <c r="Q619" s="6"/>
      <c r="R619" s="6"/>
      <c r="S619" s="6"/>
    </row>
    <row r="620" ht="22.5" hidden="1" customHeight="1">
      <c r="A620" s="49">
        <v>45840.0</v>
      </c>
      <c r="B620" s="58" t="s">
        <v>206</v>
      </c>
      <c r="C620" s="34" t="s">
        <v>216</v>
      </c>
      <c r="D620" s="55" t="s">
        <v>131</v>
      </c>
      <c r="E620" s="56"/>
      <c r="F620" s="60">
        <v>0.003472222222222222</v>
      </c>
      <c r="G620" s="29"/>
      <c r="H620" s="6"/>
      <c r="I620" s="6"/>
      <c r="J620" s="6"/>
      <c r="K620" s="6"/>
      <c r="L620" s="6"/>
      <c r="M620" s="6"/>
      <c r="N620" s="6"/>
      <c r="O620" s="6"/>
      <c r="P620" s="6"/>
      <c r="Q620" s="6"/>
      <c r="R620" s="6"/>
      <c r="S620" s="6"/>
    </row>
    <row r="621" ht="22.5" customHeight="1">
      <c r="A621" s="49">
        <v>45840.0</v>
      </c>
      <c r="B621" s="58" t="s">
        <v>206</v>
      </c>
      <c r="C621" s="34" t="s">
        <v>216</v>
      </c>
      <c r="D621" s="55" t="s">
        <v>214</v>
      </c>
      <c r="E621" s="59" t="s">
        <v>215</v>
      </c>
      <c r="F621" s="60">
        <v>0.041666666666666664</v>
      </c>
      <c r="G621" s="29"/>
      <c r="H621" s="6"/>
      <c r="I621" s="6"/>
      <c r="J621" s="6"/>
      <c r="K621" s="6"/>
      <c r="L621" s="6"/>
      <c r="M621" s="6"/>
      <c r="N621" s="6"/>
      <c r="O621" s="6"/>
      <c r="P621" s="6"/>
      <c r="Q621" s="6"/>
      <c r="R621" s="6"/>
      <c r="S621" s="6"/>
    </row>
    <row r="622" ht="22.5" hidden="1" customHeight="1">
      <c r="A622" s="49">
        <v>45841.0</v>
      </c>
      <c r="B622" s="58" t="s">
        <v>206</v>
      </c>
      <c r="C622" s="34" t="s">
        <v>216</v>
      </c>
      <c r="D622" s="55" t="s">
        <v>93</v>
      </c>
      <c r="E622" s="59"/>
      <c r="F622" s="60">
        <v>0.010416666666666666</v>
      </c>
      <c r="G622" s="29"/>
      <c r="H622" s="6"/>
      <c r="I622" s="6"/>
      <c r="J622" s="6"/>
      <c r="K622" s="6"/>
      <c r="L622" s="6"/>
      <c r="M622" s="6"/>
      <c r="N622" s="6"/>
      <c r="O622" s="6"/>
      <c r="P622" s="6"/>
      <c r="Q622" s="6"/>
      <c r="R622" s="6"/>
      <c r="S622" s="6"/>
    </row>
    <row r="623" ht="22.5" hidden="1" customHeight="1">
      <c r="A623" s="49">
        <v>45841.0</v>
      </c>
      <c r="B623" s="58" t="s">
        <v>206</v>
      </c>
      <c r="C623" s="34" t="s">
        <v>216</v>
      </c>
      <c r="D623" s="55" t="s">
        <v>131</v>
      </c>
      <c r="E623" s="59"/>
      <c r="F623" s="60">
        <v>0.003472222222222222</v>
      </c>
      <c r="G623" s="29"/>
      <c r="H623" s="6"/>
      <c r="I623" s="6"/>
      <c r="J623" s="6"/>
      <c r="K623" s="6"/>
      <c r="L623" s="6"/>
      <c r="M623" s="6"/>
      <c r="N623" s="6"/>
      <c r="O623" s="6"/>
      <c r="P623" s="6"/>
      <c r="Q623" s="6"/>
      <c r="R623" s="6"/>
      <c r="S623" s="6"/>
    </row>
    <row r="624" ht="22.5" customHeight="1">
      <c r="A624" s="49">
        <v>45841.0</v>
      </c>
      <c r="B624" s="58" t="s">
        <v>206</v>
      </c>
      <c r="C624" s="34" t="s">
        <v>216</v>
      </c>
      <c r="D624" s="55" t="s">
        <v>214</v>
      </c>
      <c r="E624" s="59" t="s">
        <v>215</v>
      </c>
      <c r="F624" s="60">
        <v>0.041666666666666664</v>
      </c>
      <c r="G624" s="29"/>
      <c r="H624" s="6"/>
      <c r="I624" s="6"/>
      <c r="J624" s="6"/>
      <c r="K624" s="6"/>
      <c r="L624" s="6"/>
      <c r="M624" s="6"/>
      <c r="N624" s="6"/>
      <c r="O624" s="6"/>
      <c r="P624" s="6"/>
      <c r="Q624" s="6"/>
      <c r="R624" s="6"/>
      <c r="S624" s="6"/>
    </row>
    <row r="625" ht="22.5" hidden="1" customHeight="1">
      <c r="A625" s="49">
        <v>45842.0</v>
      </c>
      <c r="B625" s="58" t="s">
        <v>206</v>
      </c>
      <c r="C625" s="34" t="s">
        <v>216</v>
      </c>
      <c r="D625" s="55" t="s">
        <v>93</v>
      </c>
      <c r="E625" s="59"/>
      <c r="F625" s="60">
        <v>0.010416666666666666</v>
      </c>
      <c r="G625" s="29"/>
      <c r="H625" s="6"/>
      <c r="I625" s="6"/>
      <c r="J625" s="6"/>
      <c r="K625" s="6"/>
      <c r="L625" s="6"/>
      <c r="M625" s="6"/>
      <c r="N625" s="6"/>
      <c r="O625" s="6"/>
      <c r="P625" s="6"/>
      <c r="Q625" s="6"/>
      <c r="R625" s="6"/>
      <c r="S625" s="6"/>
    </row>
    <row r="626" ht="22.5" hidden="1" customHeight="1">
      <c r="A626" s="49">
        <v>45842.0</v>
      </c>
      <c r="B626" s="58" t="s">
        <v>206</v>
      </c>
      <c r="C626" s="34" t="s">
        <v>216</v>
      </c>
      <c r="D626" s="55" t="s">
        <v>131</v>
      </c>
      <c r="E626" s="59"/>
      <c r="F626" s="60">
        <v>0.003472222222222222</v>
      </c>
      <c r="G626" s="29"/>
      <c r="H626" s="6"/>
      <c r="I626" s="6"/>
      <c r="J626" s="6"/>
      <c r="K626" s="6"/>
      <c r="L626" s="6"/>
      <c r="M626" s="6"/>
      <c r="N626" s="6"/>
      <c r="O626" s="6"/>
      <c r="P626" s="6"/>
      <c r="Q626" s="6"/>
      <c r="R626" s="6"/>
      <c r="S626" s="6"/>
    </row>
    <row r="627" ht="22.5" customHeight="1">
      <c r="A627" s="49">
        <v>45842.0</v>
      </c>
      <c r="B627" s="58" t="s">
        <v>206</v>
      </c>
      <c r="C627" s="34" t="s">
        <v>216</v>
      </c>
      <c r="D627" s="55" t="s">
        <v>214</v>
      </c>
      <c r="E627" s="59" t="s">
        <v>215</v>
      </c>
      <c r="F627" s="60">
        <v>0.041666666666666664</v>
      </c>
      <c r="G627" s="29"/>
      <c r="H627" s="6"/>
      <c r="I627" s="6"/>
      <c r="J627" s="6"/>
      <c r="K627" s="6"/>
      <c r="L627" s="6"/>
      <c r="M627" s="6"/>
      <c r="N627" s="6"/>
      <c r="O627" s="6"/>
      <c r="P627" s="6"/>
      <c r="Q627" s="6"/>
      <c r="R627" s="6"/>
      <c r="S627" s="6"/>
    </row>
    <row r="628" ht="22.5" hidden="1" customHeight="1">
      <c r="A628" s="49">
        <v>45843.0</v>
      </c>
      <c r="B628" s="58" t="s">
        <v>206</v>
      </c>
      <c r="C628" s="34" t="s">
        <v>216</v>
      </c>
      <c r="D628" s="55" t="s">
        <v>93</v>
      </c>
      <c r="E628" s="59"/>
      <c r="F628" s="60">
        <v>0.010416666666666666</v>
      </c>
      <c r="G628" s="29"/>
      <c r="H628" s="6"/>
      <c r="I628" s="6"/>
      <c r="J628" s="6"/>
      <c r="K628" s="6"/>
      <c r="L628" s="6"/>
      <c r="M628" s="6"/>
      <c r="N628" s="6"/>
      <c r="O628" s="6"/>
      <c r="P628" s="6"/>
      <c r="Q628" s="6"/>
      <c r="R628" s="6"/>
      <c r="S628" s="6"/>
    </row>
    <row r="629" ht="22.5" hidden="1" customHeight="1">
      <c r="A629" s="49">
        <v>45843.0</v>
      </c>
      <c r="B629" s="58" t="s">
        <v>206</v>
      </c>
      <c r="C629" s="34" t="s">
        <v>216</v>
      </c>
      <c r="D629" s="55" t="s">
        <v>131</v>
      </c>
      <c r="E629" s="59"/>
      <c r="F629" s="60">
        <v>0.003472222222222222</v>
      </c>
      <c r="G629" s="29"/>
      <c r="H629" s="6"/>
      <c r="I629" s="6"/>
      <c r="J629" s="6"/>
      <c r="K629" s="6"/>
      <c r="L629" s="6"/>
      <c r="M629" s="6"/>
      <c r="N629" s="6"/>
      <c r="O629" s="6"/>
      <c r="P629" s="6"/>
      <c r="Q629" s="6"/>
      <c r="R629" s="6"/>
      <c r="S629" s="6"/>
    </row>
    <row r="630" ht="22.5" customHeight="1">
      <c r="A630" s="49">
        <v>45843.0</v>
      </c>
      <c r="B630" s="58" t="s">
        <v>206</v>
      </c>
      <c r="C630" s="34" t="s">
        <v>216</v>
      </c>
      <c r="D630" s="55" t="s">
        <v>214</v>
      </c>
      <c r="E630" s="59" t="s">
        <v>215</v>
      </c>
      <c r="F630" s="60">
        <v>0.041666666666666664</v>
      </c>
      <c r="G630" s="29"/>
      <c r="H630" s="6"/>
      <c r="I630" s="6"/>
      <c r="J630" s="6"/>
      <c r="K630" s="6"/>
      <c r="L630" s="6"/>
      <c r="M630" s="6"/>
      <c r="N630" s="6"/>
      <c r="O630" s="6"/>
      <c r="P630" s="6"/>
      <c r="Q630" s="6"/>
      <c r="R630" s="6"/>
      <c r="S630" s="6"/>
    </row>
    <row r="631" ht="22.5" hidden="1" customHeight="1">
      <c r="A631" s="49">
        <v>45844.0</v>
      </c>
      <c r="B631" s="58" t="s">
        <v>206</v>
      </c>
      <c r="C631" s="34" t="s">
        <v>216</v>
      </c>
      <c r="D631" s="55" t="s">
        <v>93</v>
      </c>
      <c r="E631" s="59"/>
      <c r="F631" s="60">
        <v>0.010416666666666666</v>
      </c>
      <c r="G631" s="29"/>
      <c r="H631" s="6"/>
      <c r="I631" s="6"/>
      <c r="J631" s="6"/>
      <c r="K631" s="6"/>
      <c r="L631" s="6"/>
      <c r="M631" s="6"/>
      <c r="N631" s="6"/>
      <c r="O631" s="6"/>
      <c r="P631" s="6"/>
      <c r="Q631" s="6"/>
      <c r="R631" s="6"/>
      <c r="S631" s="6"/>
    </row>
    <row r="632" ht="22.5" hidden="1" customHeight="1">
      <c r="A632" s="49">
        <v>45844.0</v>
      </c>
      <c r="B632" s="58" t="s">
        <v>206</v>
      </c>
      <c r="C632" s="34" t="s">
        <v>216</v>
      </c>
      <c r="D632" s="55" t="s">
        <v>131</v>
      </c>
      <c r="E632" s="59"/>
      <c r="F632" s="60">
        <v>0.003472222222222222</v>
      </c>
      <c r="G632" s="29"/>
      <c r="H632" s="6"/>
      <c r="I632" s="6"/>
      <c r="J632" s="6"/>
      <c r="K632" s="6"/>
      <c r="L632" s="6"/>
      <c r="M632" s="6"/>
      <c r="N632" s="6"/>
      <c r="O632" s="6"/>
      <c r="P632" s="6"/>
      <c r="Q632" s="6"/>
      <c r="R632" s="6"/>
      <c r="S632" s="6"/>
    </row>
    <row r="633" ht="22.5" customHeight="1">
      <c r="A633" s="49">
        <v>45844.0</v>
      </c>
      <c r="B633" s="58" t="s">
        <v>206</v>
      </c>
      <c r="C633" s="34" t="s">
        <v>216</v>
      </c>
      <c r="D633" s="55" t="s">
        <v>214</v>
      </c>
      <c r="E633" s="59" t="s">
        <v>215</v>
      </c>
      <c r="F633" s="60">
        <v>0.041666666666666664</v>
      </c>
      <c r="G633" s="29"/>
      <c r="H633" s="6"/>
      <c r="I633" s="6"/>
      <c r="J633" s="6"/>
      <c r="K633" s="6"/>
      <c r="L633" s="6"/>
      <c r="M633" s="6"/>
      <c r="N633" s="6"/>
      <c r="O633" s="6"/>
      <c r="P633" s="6"/>
      <c r="Q633" s="6"/>
      <c r="R633" s="6"/>
      <c r="S633" s="6"/>
    </row>
    <row r="634" ht="22.5" hidden="1" customHeight="1">
      <c r="A634" s="49">
        <v>45845.0</v>
      </c>
      <c r="B634" s="58" t="s">
        <v>206</v>
      </c>
      <c r="C634" s="34" t="s">
        <v>216</v>
      </c>
      <c r="D634" s="55" t="s">
        <v>93</v>
      </c>
      <c r="E634" s="59"/>
      <c r="F634" s="60">
        <v>0.010416666666666666</v>
      </c>
      <c r="G634" s="29"/>
      <c r="H634" s="6"/>
      <c r="I634" s="6"/>
      <c r="J634" s="6"/>
      <c r="K634" s="6"/>
      <c r="L634" s="6"/>
      <c r="M634" s="6"/>
      <c r="N634" s="6"/>
      <c r="O634" s="6"/>
      <c r="P634" s="6"/>
      <c r="Q634" s="6"/>
      <c r="R634" s="6"/>
      <c r="S634" s="6"/>
    </row>
    <row r="635" ht="22.5" hidden="1" customHeight="1">
      <c r="A635" s="49">
        <v>45845.0</v>
      </c>
      <c r="B635" s="58" t="s">
        <v>206</v>
      </c>
      <c r="C635" s="34" t="s">
        <v>216</v>
      </c>
      <c r="D635" s="55" t="s">
        <v>131</v>
      </c>
      <c r="E635" s="59"/>
      <c r="F635" s="60">
        <v>0.003472222222222222</v>
      </c>
      <c r="G635" s="29"/>
      <c r="H635" s="6"/>
      <c r="I635" s="6"/>
      <c r="J635" s="6"/>
      <c r="K635" s="6"/>
      <c r="L635" s="6"/>
      <c r="M635" s="6"/>
      <c r="N635" s="6"/>
      <c r="O635" s="6"/>
      <c r="P635" s="6"/>
      <c r="Q635" s="6"/>
      <c r="R635" s="6"/>
      <c r="S635" s="6"/>
    </row>
    <row r="636" ht="22.5" customHeight="1">
      <c r="A636" s="49">
        <v>45845.0</v>
      </c>
      <c r="B636" s="58" t="s">
        <v>206</v>
      </c>
      <c r="C636" s="34" t="s">
        <v>216</v>
      </c>
      <c r="D636" s="55" t="s">
        <v>214</v>
      </c>
      <c r="E636" s="59" t="s">
        <v>215</v>
      </c>
      <c r="F636" s="60">
        <v>0.041666666666666664</v>
      </c>
      <c r="G636" s="29"/>
      <c r="H636" s="6"/>
      <c r="I636" s="6"/>
      <c r="J636" s="6"/>
      <c r="K636" s="6"/>
      <c r="L636" s="6"/>
      <c r="M636" s="6"/>
      <c r="N636" s="6"/>
      <c r="O636" s="6"/>
      <c r="P636" s="6"/>
      <c r="Q636" s="6"/>
      <c r="R636" s="6"/>
      <c r="S636" s="6"/>
    </row>
    <row r="637" ht="22.5" hidden="1" customHeight="1">
      <c r="A637" s="49">
        <v>45846.0</v>
      </c>
      <c r="B637" s="58" t="s">
        <v>206</v>
      </c>
      <c r="C637" s="34" t="s">
        <v>216</v>
      </c>
      <c r="D637" s="55" t="s">
        <v>93</v>
      </c>
      <c r="E637" s="59"/>
      <c r="F637" s="60">
        <v>0.010416666666666666</v>
      </c>
      <c r="G637" s="29"/>
      <c r="H637" s="6"/>
      <c r="I637" s="6"/>
      <c r="J637" s="6"/>
      <c r="K637" s="6"/>
      <c r="L637" s="6"/>
      <c r="M637" s="6"/>
      <c r="N637" s="6"/>
      <c r="O637" s="6"/>
      <c r="P637" s="6"/>
      <c r="Q637" s="6"/>
      <c r="R637" s="6"/>
      <c r="S637" s="6"/>
    </row>
    <row r="638" ht="22.5" hidden="1" customHeight="1">
      <c r="A638" s="49">
        <v>45846.0</v>
      </c>
      <c r="B638" s="58" t="s">
        <v>206</v>
      </c>
      <c r="C638" s="34" t="s">
        <v>216</v>
      </c>
      <c r="D638" s="55" t="s">
        <v>131</v>
      </c>
      <c r="E638" s="59"/>
      <c r="F638" s="60">
        <v>0.003472222222222222</v>
      </c>
      <c r="G638" s="29"/>
      <c r="H638" s="6"/>
      <c r="I638" s="6"/>
      <c r="J638" s="6"/>
      <c r="K638" s="6"/>
      <c r="L638" s="6"/>
      <c r="M638" s="6"/>
      <c r="N638" s="6"/>
      <c r="O638" s="6"/>
      <c r="P638" s="6"/>
      <c r="Q638" s="6"/>
      <c r="R638" s="6"/>
      <c r="S638" s="6"/>
    </row>
    <row r="639" ht="22.5" customHeight="1">
      <c r="A639" s="49">
        <v>45846.0</v>
      </c>
      <c r="B639" s="58" t="s">
        <v>206</v>
      </c>
      <c r="C639" s="34" t="s">
        <v>216</v>
      </c>
      <c r="D639" s="55" t="s">
        <v>214</v>
      </c>
      <c r="E639" s="59" t="s">
        <v>215</v>
      </c>
      <c r="F639" s="60">
        <v>0.041666666666666664</v>
      </c>
      <c r="G639" s="29"/>
      <c r="H639" s="6"/>
      <c r="I639" s="6"/>
      <c r="J639" s="6"/>
      <c r="K639" s="6"/>
      <c r="L639" s="6"/>
      <c r="M639" s="6"/>
      <c r="N639" s="6"/>
      <c r="O639" s="6"/>
      <c r="P639" s="6"/>
      <c r="Q639" s="6"/>
      <c r="R639" s="6"/>
      <c r="S639" s="6"/>
    </row>
    <row r="640" ht="22.5" hidden="1" customHeight="1">
      <c r="A640" s="49">
        <v>45847.0</v>
      </c>
      <c r="B640" s="58" t="s">
        <v>206</v>
      </c>
      <c r="C640" s="34" t="s">
        <v>216</v>
      </c>
      <c r="D640" s="55" t="s">
        <v>93</v>
      </c>
      <c r="E640" s="59"/>
      <c r="F640" s="60">
        <v>0.010416666666666666</v>
      </c>
      <c r="G640" s="29"/>
      <c r="H640" s="6"/>
      <c r="I640" s="6"/>
      <c r="J640" s="6"/>
      <c r="K640" s="6"/>
      <c r="L640" s="6"/>
      <c r="M640" s="6"/>
      <c r="N640" s="6"/>
      <c r="O640" s="6"/>
      <c r="P640" s="6"/>
      <c r="Q640" s="6"/>
      <c r="R640" s="6"/>
      <c r="S640" s="6"/>
    </row>
    <row r="641" ht="22.5" hidden="1" customHeight="1">
      <c r="A641" s="49">
        <v>45847.0</v>
      </c>
      <c r="B641" s="58" t="s">
        <v>206</v>
      </c>
      <c r="C641" s="34" t="s">
        <v>216</v>
      </c>
      <c r="D641" s="55" t="s">
        <v>131</v>
      </c>
      <c r="E641" s="59"/>
      <c r="F641" s="60">
        <v>0.003472222222222222</v>
      </c>
      <c r="G641" s="29"/>
      <c r="H641" s="6"/>
      <c r="I641" s="6"/>
      <c r="J641" s="6"/>
      <c r="K641" s="6"/>
      <c r="L641" s="6"/>
      <c r="M641" s="6"/>
      <c r="N641" s="6"/>
      <c r="O641" s="6"/>
      <c r="P641" s="6"/>
      <c r="Q641" s="6"/>
      <c r="R641" s="6"/>
      <c r="S641" s="6"/>
    </row>
    <row r="642" ht="22.5" customHeight="1">
      <c r="A642" s="49">
        <v>45847.0</v>
      </c>
      <c r="B642" s="58" t="s">
        <v>206</v>
      </c>
      <c r="C642" s="34" t="s">
        <v>216</v>
      </c>
      <c r="D642" s="55" t="s">
        <v>214</v>
      </c>
      <c r="E642" s="59" t="s">
        <v>215</v>
      </c>
      <c r="F642" s="60">
        <v>0.041666666666666664</v>
      </c>
      <c r="G642" s="29"/>
      <c r="H642" s="6"/>
      <c r="I642" s="6"/>
      <c r="J642" s="6"/>
      <c r="K642" s="6"/>
      <c r="L642" s="6"/>
      <c r="M642" s="6"/>
      <c r="N642" s="6"/>
      <c r="O642" s="6"/>
      <c r="P642" s="6"/>
      <c r="Q642" s="6"/>
      <c r="R642" s="6"/>
      <c r="S642" s="6"/>
    </row>
    <row r="643" ht="22.5" hidden="1" customHeight="1">
      <c r="A643" s="49">
        <v>45848.0</v>
      </c>
      <c r="B643" s="58" t="s">
        <v>206</v>
      </c>
      <c r="C643" s="34" t="s">
        <v>216</v>
      </c>
      <c r="D643" s="55" t="s">
        <v>93</v>
      </c>
      <c r="E643" s="59"/>
      <c r="F643" s="60">
        <v>0.010416666666666666</v>
      </c>
      <c r="G643" s="29"/>
      <c r="H643" s="6"/>
      <c r="I643" s="6"/>
      <c r="J643" s="6"/>
      <c r="K643" s="6"/>
      <c r="L643" s="6"/>
      <c r="M643" s="6"/>
      <c r="N643" s="6"/>
      <c r="O643" s="6"/>
      <c r="P643" s="6"/>
      <c r="Q643" s="6"/>
      <c r="R643" s="6"/>
      <c r="S643" s="6"/>
    </row>
    <row r="644" ht="22.5" hidden="1" customHeight="1">
      <c r="A644" s="49">
        <v>45848.0</v>
      </c>
      <c r="B644" s="58" t="s">
        <v>206</v>
      </c>
      <c r="C644" s="34" t="s">
        <v>216</v>
      </c>
      <c r="D644" s="55" t="s">
        <v>131</v>
      </c>
      <c r="E644" s="59"/>
      <c r="F644" s="60">
        <v>0.003472222222222222</v>
      </c>
      <c r="G644" s="29"/>
      <c r="H644" s="6"/>
      <c r="I644" s="6"/>
      <c r="J644" s="6"/>
      <c r="K644" s="6"/>
      <c r="L644" s="6"/>
      <c r="M644" s="6"/>
      <c r="N644" s="6"/>
      <c r="O644" s="6"/>
      <c r="P644" s="6"/>
      <c r="Q644" s="6"/>
      <c r="R644" s="6"/>
      <c r="S644" s="6"/>
    </row>
    <row r="645" ht="22.5" customHeight="1">
      <c r="A645" s="49">
        <v>45848.0</v>
      </c>
      <c r="B645" s="58" t="s">
        <v>206</v>
      </c>
      <c r="C645" s="34" t="s">
        <v>216</v>
      </c>
      <c r="D645" s="55" t="s">
        <v>214</v>
      </c>
      <c r="E645" s="59" t="s">
        <v>215</v>
      </c>
      <c r="F645" s="60">
        <v>0.041666666666666664</v>
      </c>
      <c r="G645" s="29"/>
      <c r="H645" s="6"/>
      <c r="I645" s="6"/>
      <c r="J645" s="6"/>
      <c r="K645" s="6"/>
      <c r="L645" s="6"/>
      <c r="M645" s="6"/>
      <c r="N645" s="6"/>
      <c r="O645" s="6"/>
      <c r="P645" s="6"/>
      <c r="Q645" s="6"/>
      <c r="R645" s="6"/>
      <c r="S645" s="6"/>
    </row>
    <row r="646" ht="22.5" hidden="1" customHeight="1">
      <c r="A646" s="49">
        <v>45849.0</v>
      </c>
      <c r="B646" s="58" t="s">
        <v>206</v>
      </c>
      <c r="C646" s="34" t="s">
        <v>216</v>
      </c>
      <c r="D646" s="55" t="s">
        <v>93</v>
      </c>
      <c r="E646" s="59"/>
      <c r="F646" s="60">
        <v>0.010416666666666666</v>
      </c>
      <c r="G646" s="29"/>
      <c r="H646" s="6"/>
      <c r="I646" s="6"/>
      <c r="J646" s="6"/>
      <c r="K646" s="6"/>
      <c r="L646" s="6"/>
      <c r="M646" s="6"/>
      <c r="N646" s="6"/>
      <c r="O646" s="6"/>
      <c r="P646" s="6"/>
      <c r="Q646" s="6"/>
      <c r="R646" s="6"/>
      <c r="S646" s="6"/>
    </row>
    <row r="647" ht="22.5" hidden="1" customHeight="1">
      <c r="A647" s="49">
        <v>45849.0</v>
      </c>
      <c r="B647" s="58" t="s">
        <v>206</v>
      </c>
      <c r="C647" s="34" t="s">
        <v>216</v>
      </c>
      <c r="D647" s="55" t="s">
        <v>131</v>
      </c>
      <c r="E647" s="59"/>
      <c r="F647" s="60">
        <v>0.003472222222222222</v>
      </c>
      <c r="G647" s="29"/>
      <c r="H647" s="6"/>
      <c r="I647" s="6"/>
      <c r="J647" s="6"/>
      <c r="K647" s="6"/>
      <c r="L647" s="6"/>
      <c r="M647" s="6"/>
      <c r="N647" s="6"/>
      <c r="O647" s="6"/>
      <c r="P647" s="6"/>
      <c r="Q647" s="6"/>
      <c r="R647" s="6"/>
      <c r="S647" s="6"/>
    </row>
    <row r="648" ht="22.5" customHeight="1">
      <c r="A648" s="49">
        <v>45849.0</v>
      </c>
      <c r="B648" s="58" t="s">
        <v>206</v>
      </c>
      <c r="C648" s="34" t="s">
        <v>216</v>
      </c>
      <c r="D648" s="55" t="s">
        <v>214</v>
      </c>
      <c r="E648" s="59" t="s">
        <v>215</v>
      </c>
      <c r="F648" s="60">
        <v>0.041666666666666664</v>
      </c>
      <c r="G648" s="29"/>
      <c r="H648" s="6"/>
      <c r="I648" s="6"/>
      <c r="J648" s="6"/>
      <c r="K648" s="6"/>
      <c r="L648" s="6"/>
      <c r="M648" s="6"/>
      <c r="N648" s="6"/>
      <c r="O648" s="6"/>
      <c r="P648" s="6"/>
      <c r="Q648" s="6"/>
      <c r="R648" s="6"/>
      <c r="S648" s="6"/>
    </row>
    <row r="649" ht="22.5" hidden="1" customHeight="1">
      <c r="A649" s="49">
        <v>45850.0</v>
      </c>
      <c r="B649" s="58" t="s">
        <v>206</v>
      </c>
      <c r="C649" s="34" t="s">
        <v>216</v>
      </c>
      <c r="D649" s="55" t="s">
        <v>93</v>
      </c>
      <c r="E649" s="59"/>
      <c r="F649" s="60">
        <v>0.010416666666666666</v>
      </c>
      <c r="G649" s="29"/>
      <c r="H649" s="6"/>
      <c r="I649" s="6"/>
      <c r="J649" s="6"/>
      <c r="K649" s="6"/>
      <c r="L649" s="6"/>
      <c r="M649" s="6"/>
      <c r="N649" s="6"/>
      <c r="O649" s="6"/>
      <c r="P649" s="6"/>
      <c r="Q649" s="6"/>
      <c r="R649" s="6"/>
      <c r="S649" s="6"/>
    </row>
    <row r="650" ht="22.5" hidden="1" customHeight="1">
      <c r="A650" s="49">
        <v>45850.0</v>
      </c>
      <c r="B650" s="58" t="s">
        <v>206</v>
      </c>
      <c r="C650" s="34" t="s">
        <v>216</v>
      </c>
      <c r="D650" s="55" t="s">
        <v>131</v>
      </c>
      <c r="E650" s="59"/>
      <c r="F650" s="60">
        <v>0.003472222222222222</v>
      </c>
      <c r="G650" s="29"/>
      <c r="H650" s="6"/>
      <c r="I650" s="6"/>
      <c r="J650" s="6"/>
      <c r="K650" s="6"/>
      <c r="L650" s="6"/>
      <c r="M650" s="6"/>
      <c r="N650" s="6"/>
      <c r="O650" s="6"/>
      <c r="P650" s="6"/>
      <c r="Q650" s="6"/>
      <c r="R650" s="6"/>
      <c r="S650" s="6"/>
    </row>
    <row r="651" ht="22.5" customHeight="1">
      <c r="A651" s="49">
        <v>45850.0</v>
      </c>
      <c r="B651" s="58" t="s">
        <v>206</v>
      </c>
      <c r="C651" s="34" t="s">
        <v>216</v>
      </c>
      <c r="D651" s="55" t="s">
        <v>214</v>
      </c>
      <c r="E651" s="59" t="s">
        <v>215</v>
      </c>
      <c r="F651" s="60">
        <v>0.041666666666666664</v>
      </c>
      <c r="G651" s="29"/>
      <c r="H651" s="6"/>
      <c r="I651" s="6"/>
      <c r="J651" s="6"/>
      <c r="K651" s="6"/>
      <c r="L651" s="6"/>
      <c r="M651" s="6"/>
      <c r="N651" s="6"/>
      <c r="O651" s="6"/>
      <c r="P651" s="6"/>
      <c r="Q651" s="6"/>
      <c r="R651" s="6"/>
      <c r="S651" s="6"/>
    </row>
    <row r="652" ht="22.5" hidden="1" customHeight="1">
      <c r="A652" s="49">
        <v>45851.0</v>
      </c>
      <c r="B652" s="58" t="s">
        <v>206</v>
      </c>
      <c r="C652" s="34" t="s">
        <v>216</v>
      </c>
      <c r="D652" s="55" t="s">
        <v>93</v>
      </c>
      <c r="E652" s="59"/>
      <c r="F652" s="60">
        <v>0.010416666666666666</v>
      </c>
      <c r="G652" s="29"/>
      <c r="H652" s="6"/>
      <c r="I652" s="6"/>
      <c r="J652" s="6"/>
      <c r="K652" s="6"/>
      <c r="L652" s="6"/>
      <c r="M652" s="6"/>
      <c r="N652" s="6"/>
      <c r="O652" s="6"/>
      <c r="P652" s="6"/>
      <c r="Q652" s="6"/>
      <c r="R652" s="6"/>
      <c r="S652" s="6"/>
    </row>
    <row r="653" ht="22.5" hidden="1" customHeight="1">
      <c r="A653" s="49">
        <v>45851.0</v>
      </c>
      <c r="B653" s="58" t="s">
        <v>206</v>
      </c>
      <c r="C653" s="34" t="s">
        <v>216</v>
      </c>
      <c r="D653" s="55" t="s">
        <v>131</v>
      </c>
      <c r="E653" s="59"/>
      <c r="F653" s="60">
        <v>0.003472222222222222</v>
      </c>
      <c r="G653" s="29"/>
      <c r="H653" s="6"/>
      <c r="I653" s="6"/>
      <c r="J653" s="6"/>
      <c r="K653" s="6"/>
      <c r="L653" s="6"/>
      <c r="M653" s="6"/>
      <c r="N653" s="6"/>
      <c r="O653" s="6"/>
      <c r="P653" s="6"/>
      <c r="Q653" s="6"/>
      <c r="R653" s="6"/>
      <c r="S653" s="6"/>
    </row>
    <row r="654" ht="22.5" customHeight="1">
      <c r="A654" s="49">
        <v>45851.0</v>
      </c>
      <c r="B654" s="58" t="s">
        <v>206</v>
      </c>
      <c r="C654" s="34" t="s">
        <v>216</v>
      </c>
      <c r="D654" s="55" t="s">
        <v>214</v>
      </c>
      <c r="E654" s="59" t="s">
        <v>215</v>
      </c>
      <c r="F654" s="60">
        <v>0.041666666666666664</v>
      </c>
      <c r="G654" s="29"/>
      <c r="H654" s="6"/>
      <c r="I654" s="6"/>
      <c r="J654" s="6"/>
      <c r="K654" s="6"/>
      <c r="L654" s="6"/>
      <c r="M654" s="6"/>
      <c r="N654" s="6"/>
      <c r="O654" s="6"/>
      <c r="P654" s="6"/>
      <c r="Q654" s="6"/>
      <c r="R654" s="6"/>
      <c r="S654" s="6"/>
    </row>
    <row r="655" ht="22.5" hidden="1" customHeight="1">
      <c r="A655" s="49">
        <v>45852.0</v>
      </c>
      <c r="B655" s="58" t="s">
        <v>206</v>
      </c>
      <c r="C655" s="34" t="s">
        <v>216</v>
      </c>
      <c r="D655" s="55" t="s">
        <v>93</v>
      </c>
      <c r="E655" s="59"/>
      <c r="F655" s="60">
        <v>0.010416666666666666</v>
      </c>
      <c r="G655" s="29"/>
      <c r="H655" s="6"/>
      <c r="I655" s="6"/>
      <c r="J655" s="6"/>
      <c r="K655" s="6"/>
      <c r="L655" s="6"/>
      <c r="M655" s="6"/>
      <c r="N655" s="6"/>
      <c r="O655" s="6"/>
      <c r="P655" s="6"/>
      <c r="Q655" s="6"/>
      <c r="R655" s="6"/>
      <c r="S655" s="6"/>
    </row>
    <row r="656" ht="22.5" hidden="1" customHeight="1">
      <c r="A656" s="49">
        <v>45852.0</v>
      </c>
      <c r="B656" s="58" t="s">
        <v>206</v>
      </c>
      <c r="C656" s="34" t="s">
        <v>216</v>
      </c>
      <c r="D656" s="55" t="s">
        <v>131</v>
      </c>
      <c r="E656" s="59"/>
      <c r="F656" s="60">
        <v>0.003472222222222222</v>
      </c>
      <c r="G656" s="29"/>
      <c r="H656" s="6"/>
      <c r="I656" s="6"/>
      <c r="J656" s="6"/>
      <c r="K656" s="6"/>
      <c r="L656" s="6"/>
      <c r="M656" s="6"/>
      <c r="N656" s="6"/>
      <c r="O656" s="6"/>
      <c r="P656" s="6"/>
      <c r="Q656" s="6"/>
      <c r="R656" s="6"/>
      <c r="S656" s="6"/>
    </row>
    <row r="657" ht="22.5" customHeight="1">
      <c r="A657" s="49">
        <v>45852.0</v>
      </c>
      <c r="B657" s="58" t="s">
        <v>206</v>
      </c>
      <c r="C657" s="34" t="s">
        <v>216</v>
      </c>
      <c r="D657" s="55" t="s">
        <v>214</v>
      </c>
      <c r="E657" s="59" t="s">
        <v>215</v>
      </c>
      <c r="F657" s="60">
        <v>0.041666666666666664</v>
      </c>
      <c r="G657" s="29"/>
      <c r="H657" s="6"/>
      <c r="I657" s="6"/>
      <c r="J657" s="6"/>
      <c r="K657" s="6"/>
      <c r="L657" s="6"/>
      <c r="M657" s="6"/>
      <c r="N657" s="6"/>
      <c r="O657" s="6"/>
      <c r="P657" s="6"/>
      <c r="Q657" s="6"/>
      <c r="R657" s="6"/>
      <c r="S657" s="6"/>
    </row>
    <row r="658" ht="22.5" hidden="1" customHeight="1">
      <c r="A658" s="49">
        <v>45853.0</v>
      </c>
      <c r="B658" s="58" t="s">
        <v>206</v>
      </c>
      <c r="C658" s="34" t="s">
        <v>216</v>
      </c>
      <c r="D658" s="55" t="s">
        <v>93</v>
      </c>
      <c r="E658" s="59"/>
      <c r="F658" s="60">
        <v>0.010416666666666666</v>
      </c>
      <c r="G658" s="29"/>
      <c r="H658" s="6"/>
      <c r="I658" s="6"/>
      <c r="J658" s="6"/>
      <c r="K658" s="6"/>
      <c r="L658" s="6"/>
      <c r="M658" s="6"/>
      <c r="N658" s="6"/>
      <c r="O658" s="6"/>
      <c r="P658" s="6"/>
      <c r="Q658" s="6"/>
      <c r="R658" s="6"/>
      <c r="S658" s="6"/>
    </row>
    <row r="659" ht="22.5" hidden="1" customHeight="1">
      <c r="A659" s="49">
        <v>45853.0</v>
      </c>
      <c r="B659" s="58" t="s">
        <v>206</v>
      </c>
      <c r="C659" s="34" t="s">
        <v>216</v>
      </c>
      <c r="D659" s="55" t="s">
        <v>131</v>
      </c>
      <c r="E659" s="59"/>
      <c r="F659" s="60">
        <v>0.003472222222222222</v>
      </c>
      <c r="G659" s="29"/>
      <c r="H659" s="6"/>
      <c r="I659" s="6"/>
      <c r="J659" s="6"/>
      <c r="K659" s="6"/>
      <c r="L659" s="6"/>
      <c r="M659" s="6"/>
      <c r="N659" s="6"/>
      <c r="O659" s="6"/>
      <c r="P659" s="6"/>
      <c r="Q659" s="6"/>
      <c r="R659" s="6"/>
      <c r="S659" s="6"/>
    </row>
    <row r="660" ht="22.5" customHeight="1">
      <c r="A660" s="49">
        <v>45853.0</v>
      </c>
      <c r="B660" s="58" t="s">
        <v>206</v>
      </c>
      <c r="C660" s="34" t="s">
        <v>216</v>
      </c>
      <c r="D660" s="55" t="s">
        <v>214</v>
      </c>
      <c r="E660" s="59" t="s">
        <v>215</v>
      </c>
      <c r="F660" s="60">
        <v>0.041666666666666664</v>
      </c>
      <c r="G660" s="29"/>
      <c r="H660" s="6"/>
      <c r="I660" s="6"/>
      <c r="J660" s="6"/>
      <c r="K660" s="6"/>
      <c r="L660" s="6"/>
      <c r="M660" s="6"/>
      <c r="N660" s="6"/>
      <c r="O660" s="6"/>
      <c r="P660" s="6"/>
      <c r="Q660" s="6"/>
      <c r="R660" s="6"/>
      <c r="S660" s="6"/>
    </row>
    <row r="661" ht="22.5" hidden="1" customHeight="1">
      <c r="A661" s="49">
        <v>45854.0</v>
      </c>
      <c r="B661" s="58" t="s">
        <v>206</v>
      </c>
      <c r="C661" s="34" t="s">
        <v>216</v>
      </c>
      <c r="D661" s="55" t="s">
        <v>93</v>
      </c>
      <c r="E661" s="59"/>
      <c r="F661" s="60">
        <v>0.010416666666666666</v>
      </c>
      <c r="G661" s="29"/>
      <c r="H661" s="6"/>
      <c r="I661" s="6"/>
      <c r="J661" s="6"/>
      <c r="K661" s="6"/>
      <c r="L661" s="6"/>
      <c r="M661" s="6"/>
      <c r="N661" s="6"/>
      <c r="O661" s="6"/>
      <c r="P661" s="6"/>
      <c r="Q661" s="6"/>
      <c r="R661" s="6"/>
      <c r="S661" s="6"/>
    </row>
    <row r="662" ht="22.5" hidden="1" customHeight="1">
      <c r="A662" s="49">
        <v>45854.0</v>
      </c>
      <c r="B662" s="58" t="s">
        <v>206</v>
      </c>
      <c r="C662" s="34" t="s">
        <v>216</v>
      </c>
      <c r="D662" s="55" t="s">
        <v>131</v>
      </c>
      <c r="E662" s="59"/>
      <c r="F662" s="60">
        <v>0.003472222222222222</v>
      </c>
      <c r="G662" s="29"/>
      <c r="H662" s="6"/>
      <c r="I662" s="6"/>
      <c r="J662" s="6"/>
      <c r="K662" s="6"/>
      <c r="L662" s="6"/>
      <c r="M662" s="6"/>
      <c r="N662" s="6"/>
      <c r="O662" s="6"/>
      <c r="P662" s="6"/>
      <c r="Q662" s="6"/>
      <c r="R662" s="6"/>
      <c r="S662" s="6"/>
    </row>
    <row r="663" ht="22.5" customHeight="1">
      <c r="A663" s="49">
        <v>45854.0</v>
      </c>
      <c r="B663" s="58" t="s">
        <v>206</v>
      </c>
      <c r="C663" s="34" t="s">
        <v>216</v>
      </c>
      <c r="D663" s="55" t="s">
        <v>214</v>
      </c>
      <c r="E663" s="59" t="s">
        <v>215</v>
      </c>
      <c r="F663" s="60">
        <v>0.041666666666666664</v>
      </c>
      <c r="G663" s="29"/>
      <c r="H663" s="6"/>
      <c r="I663" s="6"/>
      <c r="J663" s="6"/>
      <c r="K663" s="6"/>
      <c r="L663" s="6"/>
      <c r="M663" s="6"/>
      <c r="N663" s="6"/>
      <c r="O663" s="6"/>
      <c r="P663" s="6"/>
      <c r="Q663" s="6"/>
      <c r="R663" s="6"/>
      <c r="S663" s="6"/>
    </row>
    <row r="664" ht="22.5" hidden="1" customHeight="1">
      <c r="A664" s="49">
        <v>45855.0</v>
      </c>
      <c r="B664" s="58" t="s">
        <v>206</v>
      </c>
      <c r="C664" s="34" t="s">
        <v>216</v>
      </c>
      <c r="D664" s="55" t="s">
        <v>93</v>
      </c>
      <c r="E664" s="59"/>
      <c r="F664" s="60">
        <v>0.010416666666666666</v>
      </c>
      <c r="G664" s="29"/>
      <c r="H664" s="6"/>
      <c r="I664" s="6"/>
      <c r="J664" s="6"/>
      <c r="K664" s="6"/>
      <c r="L664" s="6"/>
      <c r="M664" s="6"/>
      <c r="N664" s="6"/>
      <c r="O664" s="6"/>
      <c r="P664" s="6"/>
      <c r="Q664" s="6"/>
      <c r="R664" s="6"/>
      <c r="S664" s="6"/>
    </row>
    <row r="665" ht="22.5" hidden="1" customHeight="1">
      <c r="A665" s="49">
        <v>45855.0</v>
      </c>
      <c r="B665" s="58" t="s">
        <v>206</v>
      </c>
      <c r="C665" s="34" t="s">
        <v>216</v>
      </c>
      <c r="D665" s="55" t="s">
        <v>131</v>
      </c>
      <c r="E665" s="59"/>
      <c r="F665" s="60">
        <v>0.003472222222222222</v>
      </c>
      <c r="G665" s="29"/>
      <c r="H665" s="6"/>
      <c r="I665" s="6"/>
      <c r="J665" s="6"/>
      <c r="K665" s="6"/>
      <c r="L665" s="6"/>
      <c r="M665" s="6"/>
      <c r="N665" s="6"/>
      <c r="O665" s="6"/>
      <c r="P665" s="6"/>
      <c r="Q665" s="6"/>
      <c r="R665" s="6"/>
      <c r="S665" s="6"/>
    </row>
    <row r="666" ht="22.5" customHeight="1">
      <c r="A666" s="49">
        <v>45855.0</v>
      </c>
      <c r="B666" s="58" t="s">
        <v>206</v>
      </c>
      <c r="C666" s="34" t="s">
        <v>216</v>
      </c>
      <c r="D666" s="55" t="s">
        <v>214</v>
      </c>
      <c r="E666" s="59" t="s">
        <v>215</v>
      </c>
      <c r="F666" s="60">
        <v>0.041666666666666664</v>
      </c>
      <c r="G666" s="29"/>
      <c r="H666" s="6"/>
      <c r="I666" s="6"/>
      <c r="J666" s="6"/>
      <c r="K666" s="6"/>
      <c r="L666" s="6"/>
      <c r="M666" s="6"/>
      <c r="N666" s="6"/>
      <c r="O666" s="6"/>
      <c r="P666" s="6"/>
      <c r="Q666" s="6"/>
      <c r="R666" s="6"/>
      <c r="S666" s="6"/>
    </row>
    <row r="667" ht="22.5" hidden="1" customHeight="1">
      <c r="A667" s="49">
        <v>45856.0</v>
      </c>
      <c r="B667" s="58" t="s">
        <v>206</v>
      </c>
      <c r="C667" s="34" t="s">
        <v>216</v>
      </c>
      <c r="D667" s="55" t="s">
        <v>93</v>
      </c>
      <c r="E667" s="59"/>
      <c r="F667" s="60">
        <v>0.010416666666666666</v>
      </c>
      <c r="G667" s="29"/>
      <c r="H667" s="6"/>
      <c r="I667" s="6"/>
      <c r="J667" s="6"/>
      <c r="K667" s="6"/>
      <c r="L667" s="6"/>
      <c r="M667" s="6"/>
      <c r="N667" s="6"/>
      <c r="O667" s="6"/>
      <c r="P667" s="6"/>
      <c r="Q667" s="6"/>
      <c r="R667" s="6"/>
      <c r="S667" s="6"/>
    </row>
    <row r="668" ht="22.5" hidden="1" customHeight="1">
      <c r="A668" s="49">
        <v>45856.0</v>
      </c>
      <c r="B668" s="58" t="s">
        <v>206</v>
      </c>
      <c r="C668" s="34" t="s">
        <v>216</v>
      </c>
      <c r="D668" s="55" t="s">
        <v>131</v>
      </c>
      <c r="E668" s="59"/>
      <c r="F668" s="60">
        <v>0.003472222222222222</v>
      </c>
      <c r="G668" s="29"/>
      <c r="H668" s="6"/>
      <c r="I668" s="6"/>
      <c r="J668" s="6"/>
      <c r="K668" s="6"/>
      <c r="L668" s="6"/>
      <c r="M668" s="6"/>
      <c r="N668" s="6"/>
      <c r="O668" s="6"/>
      <c r="P668" s="6"/>
      <c r="Q668" s="6"/>
      <c r="R668" s="6"/>
      <c r="S668" s="6"/>
    </row>
    <row r="669" ht="22.5" customHeight="1">
      <c r="A669" s="49">
        <v>45856.0</v>
      </c>
      <c r="B669" s="58" t="s">
        <v>206</v>
      </c>
      <c r="C669" s="34" t="s">
        <v>216</v>
      </c>
      <c r="D669" s="55" t="s">
        <v>214</v>
      </c>
      <c r="E669" s="59" t="s">
        <v>215</v>
      </c>
      <c r="F669" s="60">
        <v>0.041666666666666664</v>
      </c>
      <c r="G669" s="29"/>
      <c r="H669" s="6"/>
      <c r="I669" s="6"/>
      <c r="J669" s="6"/>
      <c r="K669" s="6"/>
      <c r="L669" s="6"/>
      <c r="M669" s="6"/>
      <c r="N669" s="6"/>
      <c r="O669" s="6"/>
      <c r="P669" s="6"/>
      <c r="Q669" s="6"/>
      <c r="R669" s="6"/>
      <c r="S669" s="6"/>
    </row>
    <row r="670" ht="22.5" hidden="1" customHeight="1">
      <c r="A670" s="49">
        <v>45857.0</v>
      </c>
      <c r="B670" s="58" t="s">
        <v>206</v>
      </c>
      <c r="C670" s="34" t="s">
        <v>216</v>
      </c>
      <c r="D670" s="55" t="s">
        <v>93</v>
      </c>
      <c r="E670" s="59"/>
      <c r="F670" s="60">
        <v>0.010416666666666666</v>
      </c>
      <c r="G670" s="29"/>
      <c r="H670" s="6"/>
      <c r="I670" s="6"/>
      <c r="J670" s="6"/>
      <c r="K670" s="6"/>
      <c r="L670" s="6"/>
      <c r="M670" s="6"/>
      <c r="N670" s="6"/>
      <c r="O670" s="6"/>
      <c r="P670" s="6"/>
      <c r="Q670" s="6"/>
      <c r="R670" s="6"/>
      <c r="S670" s="6"/>
    </row>
    <row r="671" ht="22.5" hidden="1" customHeight="1">
      <c r="A671" s="49">
        <v>45857.0</v>
      </c>
      <c r="B671" s="58" t="s">
        <v>206</v>
      </c>
      <c r="C671" s="34" t="s">
        <v>216</v>
      </c>
      <c r="D671" s="55" t="s">
        <v>131</v>
      </c>
      <c r="E671" s="59"/>
      <c r="F671" s="60">
        <v>0.003472222222222222</v>
      </c>
      <c r="G671" s="29"/>
      <c r="H671" s="6"/>
      <c r="I671" s="6"/>
      <c r="J671" s="6"/>
      <c r="K671" s="6"/>
      <c r="L671" s="6"/>
      <c r="M671" s="6"/>
      <c r="N671" s="6"/>
      <c r="O671" s="6"/>
      <c r="P671" s="6"/>
      <c r="Q671" s="6"/>
      <c r="R671" s="6"/>
      <c r="S671" s="6"/>
    </row>
    <row r="672" ht="22.5" customHeight="1">
      <c r="A672" s="49">
        <v>45857.0</v>
      </c>
      <c r="B672" s="58" t="s">
        <v>206</v>
      </c>
      <c r="C672" s="34" t="s">
        <v>216</v>
      </c>
      <c r="D672" s="55" t="s">
        <v>214</v>
      </c>
      <c r="E672" s="59" t="s">
        <v>215</v>
      </c>
      <c r="F672" s="60">
        <v>0.041666666666666664</v>
      </c>
      <c r="G672" s="29"/>
      <c r="H672" s="6"/>
      <c r="I672" s="6"/>
      <c r="J672" s="6"/>
      <c r="K672" s="6"/>
      <c r="L672" s="6"/>
      <c r="M672" s="6"/>
      <c r="N672" s="6"/>
      <c r="O672" s="6"/>
      <c r="P672" s="6"/>
      <c r="Q672" s="6"/>
      <c r="R672" s="6"/>
      <c r="S672" s="6"/>
    </row>
    <row r="673" ht="22.5" hidden="1" customHeight="1">
      <c r="A673" s="49">
        <v>45858.0</v>
      </c>
      <c r="B673" s="58" t="s">
        <v>206</v>
      </c>
      <c r="C673" s="34" t="s">
        <v>216</v>
      </c>
      <c r="D673" s="55" t="s">
        <v>93</v>
      </c>
      <c r="E673" s="59"/>
      <c r="F673" s="60">
        <v>0.010416666666666666</v>
      </c>
      <c r="G673" s="29"/>
      <c r="H673" s="6"/>
      <c r="I673" s="6"/>
      <c r="J673" s="6"/>
      <c r="K673" s="6"/>
      <c r="L673" s="6"/>
      <c r="M673" s="6"/>
      <c r="N673" s="6"/>
      <c r="O673" s="6"/>
      <c r="P673" s="6"/>
      <c r="Q673" s="6"/>
      <c r="R673" s="6"/>
      <c r="S673" s="6"/>
    </row>
    <row r="674" ht="22.5" hidden="1" customHeight="1">
      <c r="A674" s="49">
        <v>45858.0</v>
      </c>
      <c r="B674" s="58" t="s">
        <v>206</v>
      </c>
      <c r="C674" s="34" t="s">
        <v>216</v>
      </c>
      <c r="D674" s="55" t="s">
        <v>131</v>
      </c>
      <c r="E674" s="59"/>
      <c r="F674" s="60">
        <v>0.003472222222222222</v>
      </c>
      <c r="G674" s="29"/>
      <c r="H674" s="6"/>
      <c r="I674" s="6"/>
      <c r="J674" s="6"/>
      <c r="K674" s="6"/>
      <c r="L674" s="6"/>
      <c r="M674" s="6"/>
      <c r="N674" s="6"/>
      <c r="O674" s="6"/>
      <c r="P674" s="6"/>
      <c r="Q674" s="6"/>
      <c r="R674" s="6"/>
      <c r="S674" s="6"/>
    </row>
    <row r="675" ht="22.5" customHeight="1">
      <c r="A675" s="49">
        <v>45858.0</v>
      </c>
      <c r="B675" s="58" t="s">
        <v>206</v>
      </c>
      <c r="C675" s="34" t="s">
        <v>216</v>
      </c>
      <c r="D675" s="55" t="s">
        <v>219</v>
      </c>
      <c r="E675" s="59" t="s">
        <v>215</v>
      </c>
      <c r="F675" s="60">
        <v>0.041666666666666664</v>
      </c>
      <c r="G675" s="29"/>
      <c r="H675" s="6"/>
      <c r="I675" s="6"/>
      <c r="J675" s="6"/>
      <c r="K675" s="6"/>
      <c r="L675" s="6"/>
      <c r="M675" s="6"/>
      <c r="N675" s="6"/>
      <c r="O675" s="6"/>
      <c r="P675" s="6"/>
      <c r="Q675" s="6"/>
      <c r="R675" s="6"/>
      <c r="S675" s="6"/>
    </row>
    <row r="676" ht="22.5" hidden="1" customHeight="1">
      <c r="A676" s="49">
        <v>45859.0</v>
      </c>
      <c r="B676" s="58" t="s">
        <v>206</v>
      </c>
      <c r="C676" s="34" t="s">
        <v>216</v>
      </c>
      <c r="D676" s="55" t="s">
        <v>93</v>
      </c>
      <c r="E676" s="59"/>
      <c r="F676" s="60">
        <v>0.010416666666666666</v>
      </c>
      <c r="G676" s="29"/>
      <c r="H676" s="6"/>
      <c r="I676" s="6"/>
      <c r="J676" s="6"/>
      <c r="K676" s="6"/>
      <c r="L676" s="6"/>
      <c r="M676" s="6"/>
      <c r="N676" s="6"/>
      <c r="O676" s="6"/>
      <c r="P676" s="6"/>
      <c r="Q676" s="6"/>
      <c r="R676" s="6"/>
      <c r="S676" s="6"/>
    </row>
    <row r="677" ht="22.5" hidden="1" customHeight="1">
      <c r="A677" s="49">
        <v>45859.0</v>
      </c>
      <c r="B677" s="58" t="s">
        <v>206</v>
      </c>
      <c r="C677" s="34" t="s">
        <v>216</v>
      </c>
      <c r="D677" s="55" t="s">
        <v>131</v>
      </c>
      <c r="E677" s="59"/>
      <c r="F677" s="60">
        <v>0.003472222222222222</v>
      </c>
      <c r="G677" s="29"/>
      <c r="H677" s="6"/>
      <c r="I677" s="6"/>
      <c r="J677" s="6"/>
      <c r="K677" s="6"/>
      <c r="L677" s="6"/>
      <c r="M677" s="6"/>
      <c r="N677" s="6"/>
      <c r="O677" s="6"/>
      <c r="P677" s="6"/>
      <c r="Q677" s="6"/>
      <c r="R677" s="6"/>
      <c r="S677" s="6"/>
    </row>
    <row r="678" ht="22.5" customHeight="1">
      <c r="A678" s="49">
        <v>45859.0</v>
      </c>
      <c r="B678" s="58" t="s">
        <v>206</v>
      </c>
      <c r="C678" s="34" t="s">
        <v>216</v>
      </c>
      <c r="D678" s="55" t="s">
        <v>219</v>
      </c>
      <c r="E678" s="59" t="s">
        <v>215</v>
      </c>
      <c r="F678" s="60">
        <v>0.041666666666666664</v>
      </c>
      <c r="G678" s="29"/>
      <c r="H678" s="6"/>
      <c r="I678" s="6"/>
      <c r="J678" s="6"/>
      <c r="K678" s="6"/>
      <c r="L678" s="6"/>
      <c r="M678" s="6"/>
      <c r="N678" s="6"/>
      <c r="O678" s="6"/>
      <c r="P678" s="6"/>
      <c r="Q678" s="6"/>
      <c r="R678" s="6"/>
      <c r="S678" s="6"/>
    </row>
    <row r="679" ht="22.5" hidden="1" customHeight="1">
      <c r="A679" s="49">
        <v>45860.0</v>
      </c>
      <c r="B679" s="58" t="s">
        <v>206</v>
      </c>
      <c r="C679" s="34" t="s">
        <v>216</v>
      </c>
      <c r="D679" s="55" t="s">
        <v>93</v>
      </c>
      <c r="E679" s="59"/>
      <c r="F679" s="60">
        <v>0.010416666666666666</v>
      </c>
      <c r="G679" s="29"/>
      <c r="H679" s="6"/>
      <c r="I679" s="6"/>
      <c r="J679" s="6"/>
      <c r="K679" s="6"/>
      <c r="L679" s="6"/>
      <c r="M679" s="6"/>
      <c r="N679" s="6"/>
      <c r="O679" s="6"/>
      <c r="P679" s="6"/>
      <c r="Q679" s="6"/>
      <c r="R679" s="6"/>
      <c r="S679" s="6"/>
    </row>
    <row r="680" ht="22.5" hidden="1" customHeight="1">
      <c r="A680" s="49">
        <v>45860.0</v>
      </c>
      <c r="B680" s="58" t="s">
        <v>206</v>
      </c>
      <c r="C680" s="34" t="s">
        <v>216</v>
      </c>
      <c r="D680" s="55" t="s">
        <v>131</v>
      </c>
      <c r="E680" s="59"/>
      <c r="F680" s="60">
        <v>0.003472222222222222</v>
      </c>
      <c r="G680" s="29"/>
      <c r="H680" s="6"/>
      <c r="I680" s="6"/>
      <c r="J680" s="6"/>
      <c r="K680" s="6"/>
      <c r="L680" s="6"/>
      <c r="M680" s="6"/>
      <c r="N680" s="6"/>
      <c r="O680" s="6"/>
      <c r="P680" s="6"/>
      <c r="Q680" s="6"/>
      <c r="R680" s="6"/>
      <c r="S680" s="6"/>
    </row>
    <row r="681" ht="22.5" customHeight="1">
      <c r="A681" s="49">
        <v>45860.0</v>
      </c>
      <c r="B681" s="58" t="s">
        <v>206</v>
      </c>
      <c r="C681" s="34" t="s">
        <v>216</v>
      </c>
      <c r="D681" s="55" t="s">
        <v>219</v>
      </c>
      <c r="E681" s="59" t="s">
        <v>215</v>
      </c>
      <c r="F681" s="60">
        <v>0.041666666666666664</v>
      </c>
      <c r="G681" s="29"/>
      <c r="H681" s="6"/>
      <c r="I681" s="6"/>
      <c r="J681" s="6"/>
      <c r="K681" s="6"/>
      <c r="L681" s="6"/>
      <c r="M681" s="6"/>
      <c r="N681" s="6"/>
      <c r="O681" s="6"/>
      <c r="P681" s="6"/>
      <c r="Q681" s="6"/>
      <c r="R681" s="6"/>
      <c r="S681" s="6"/>
    </row>
    <row r="682" ht="22.5" hidden="1" customHeight="1">
      <c r="A682" s="49">
        <v>45861.0</v>
      </c>
      <c r="B682" s="58" t="s">
        <v>206</v>
      </c>
      <c r="C682" s="34" t="s">
        <v>216</v>
      </c>
      <c r="D682" s="55" t="s">
        <v>93</v>
      </c>
      <c r="E682" s="59"/>
      <c r="F682" s="60">
        <v>0.010416666666666666</v>
      </c>
      <c r="G682" s="29"/>
      <c r="H682" s="6"/>
      <c r="I682" s="6"/>
      <c r="J682" s="6"/>
      <c r="K682" s="6"/>
      <c r="L682" s="6"/>
      <c r="M682" s="6"/>
      <c r="N682" s="6"/>
      <c r="O682" s="6"/>
      <c r="P682" s="6"/>
      <c r="Q682" s="6"/>
      <c r="R682" s="6"/>
      <c r="S682" s="6"/>
    </row>
    <row r="683" ht="22.5" hidden="1" customHeight="1">
      <c r="A683" s="49">
        <v>45861.0</v>
      </c>
      <c r="B683" s="58" t="s">
        <v>206</v>
      </c>
      <c r="C683" s="34" t="s">
        <v>216</v>
      </c>
      <c r="D683" s="55" t="s">
        <v>131</v>
      </c>
      <c r="E683" s="59"/>
      <c r="F683" s="60">
        <v>0.003472222222222222</v>
      </c>
      <c r="G683" s="29"/>
      <c r="H683" s="6"/>
      <c r="I683" s="6"/>
      <c r="J683" s="6"/>
      <c r="K683" s="6"/>
      <c r="L683" s="6"/>
      <c r="M683" s="6"/>
      <c r="N683" s="6"/>
      <c r="O683" s="6"/>
      <c r="P683" s="6"/>
      <c r="Q683" s="6"/>
      <c r="R683" s="6"/>
      <c r="S683" s="6"/>
    </row>
    <row r="684" ht="22.5" customHeight="1">
      <c r="A684" s="49">
        <v>45861.0</v>
      </c>
      <c r="B684" s="58" t="s">
        <v>206</v>
      </c>
      <c r="C684" s="34" t="s">
        <v>216</v>
      </c>
      <c r="D684" s="55" t="s">
        <v>219</v>
      </c>
      <c r="E684" s="59" t="s">
        <v>215</v>
      </c>
      <c r="F684" s="60">
        <v>0.041666666666666664</v>
      </c>
      <c r="G684" s="29"/>
      <c r="H684" s="6"/>
      <c r="I684" s="6"/>
      <c r="J684" s="6"/>
      <c r="K684" s="6"/>
      <c r="L684" s="6"/>
      <c r="M684" s="6"/>
      <c r="N684" s="6"/>
      <c r="O684" s="6"/>
      <c r="P684" s="6"/>
      <c r="Q684" s="6"/>
      <c r="R684" s="6"/>
      <c r="S684" s="6"/>
    </row>
    <row r="685" ht="22.5" hidden="1" customHeight="1">
      <c r="A685" s="49">
        <v>45862.0</v>
      </c>
      <c r="B685" s="58" t="s">
        <v>206</v>
      </c>
      <c r="C685" s="34" t="s">
        <v>216</v>
      </c>
      <c r="D685" s="55" t="s">
        <v>93</v>
      </c>
      <c r="E685" s="59"/>
      <c r="F685" s="60">
        <v>0.010416666666666666</v>
      </c>
      <c r="G685" s="29"/>
      <c r="H685" s="6"/>
      <c r="I685" s="6"/>
      <c r="J685" s="6"/>
      <c r="K685" s="6"/>
      <c r="L685" s="6"/>
      <c r="M685" s="6"/>
      <c r="N685" s="6"/>
      <c r="O685" s="6"/>
      <c r="P685" s="6"/>
      <c r="Q685" s="6"/>
      <c r="R685" s="6"/>
      <c r="S685" s="6"/>
    </row>
    <row r="686" ht="22.5" hidden="1" customHeight="1">
      <c r="A686" s="49">
        <v>45862.0</v>
      </c>
      <c r="B686" s="58" t="s">
        <v>206</v>
      </c>
      <c r="C686" s="34" t="s">
        <v>216</v>
      </c>
      <c r="D686" s="55" t="s">
        <v>131</v>
      </c>
      <c r="E686" s="59"/>
      <c r="F686" s="60">
        <v>0.003472222222222222</v>
      </c>
      <c r="G686" s="29"/>
      <c r="H686" s="6"/>
      <c r="I686" s="6"/>
      <c r="J686" s="6"/>
      <c r="K686" s="6"/>
      <c r="L686" s="6"/>
      <c r="M686" s="6"/>
      <c r="N686" s="6"/>
      <c r="O686" s="6"/>
      <c r="P686" s="6"/>
      <c r="Q686" s="6"/>
      <c r="R686" s="6"/>
      <c r="S686" s="6"/>
    </row>
    <row r="687" ht="22.5" customHeight="1">
      <c r="A687" s="49">
        <v>45862.0</v>
      </c>
      <c r="B687" s="58" t="s">
        <v>206</v>
      </c>
      <c r="C687" s="34" t="s">
        <v>216</v>
      </c>
      <c r="D687" s="55" t="s">
        <v>219</v>
      </c>
      <c r="E687" s="59" t="s">
        <v>215</v>
      </c>
      <c r="F687" s="60">
        <v>0.041666666666666664</v>
      </c>
      <c r="G687" s="29"/>
      <c r="H687" s="6"/>
      <c r="I687" s="6"/>
      <c r="J687" s="6"/>
      <c r="K687" s="6"/>
      <c r="L687" s="6"/>
      <c r="M687" s="6"/>
      <c r="N687" s="6"/>
      <c r="O687" s="6"/>
      <c r="P687" s="6"/>
      <c r="Q687" s="6"/>
      <c r="R687" s="6"/>
      <c r="S687" s="6"/>
    </row>
    <row r="688" ht="22.5" hidden="1" customHeight="1">
      <c r="A688" s="49">
        <v>45863.0</v>
      </c>
      <c r="B688" s="58" t="s">
        <v>206</v>
      </c>
      <c r="C688" s="34" t="s">
        <v>216</v>
      </c>
      <c r="D688" s="55" t="s">
        <v>93</v>
      </c>
      <c r="E688" s="59"/>
      <c r="F688" s="60">
        <v>0.010416666666666666</v>
      </c>
      <c r="G688" s="29"/>
      <c r="H688" s="6"/>
      <c r="I688" s="6"/>
      <c r="J688" s="6"/>
      <c r="K688" s="6"/>
      <c r="L688" s="6"/>
      <c r="M688" s="6"/>
      <c r="N688" s="6"/>
      <c r="O688" s="6"/>
      <c r="P688" s="6"/>
      <c r="Q688" s="6"/>
      <c r="R688" s="6"/>
      <c r="S688" s="6"/>
    </row>
    <row r="689" ht="22.5" hidden="1" customHeight="1">
      <c r="A689" s="49">
        <v>45863.0</v>
      </c>
      <c r="B689" s="58" t="s">
        <v>206</v>
      </c>
      <c r="C689" s="34" t="s">
        <v>216</v>
      </c>
      <c r="D689" s="55" t="s">
        <v>131</v>
      </c>
      <c r="E689" s="59"/>
      <c r="F689" s="60">
        <v>0.003472222222222222</v>
      </c>
      <c r="G689" s="29"/>
      <c r="H689" s="6"/>
      <c r="I689" s="6"/>
      <c r="J689" s="6"/>
      <c r="K689" s="6"/>
      <c r="L689" s="6"/>
      <c r="M689" s="6"/>
      <c r="N689" s="6"/>
      <c r="O689" s="6"/>
      <c r="P689" s="6"/>
      <c r="Q689" s="6"/>
      <c r="R689" s="6"/>
      <c r="S689" s="6"/>
    </row>
    <row r="690" ht="22.5" customHeight="1">
      <c r="A690" s="49">
        <v>45863.0</v>
      </c>
      <c r="B690" s="58" t="s">
        <v>206</v>
      </c>
      <c r="C690" s="34" t="s">
        <v>216</v>
      </c>
      <c r="D690" s="55" t="s">
        <v>219</v>
      </c>
      <c r="E690" s="59" t="s">
        <v>215</v>
      </c>
      <c r="F690" s="60">
        <v>0.041666666666666664</v>
      </c>
      <c r="G690" s="29"/>
      <c r="H690" s="6"/>
      <c r="I690" s="6"/>
      <c r="J690" s="6"/>
      <c r="K690" s="6"/>
      <c r="L690" s="6"/>
      <c r="M690" s="6"/>
      <c r="N690" s="6"/>
      <c r="O690" s="6"/>
      <c r="P690" s="6"/>
      <c r="Q690" s="6"/>
      <c r="R690" s="6"/>
      <c r="S690" s="6"/>
    </row>
    <row r="691" ht="22.5" hidden="1" customHeight="1">
      <c r="A691" s="49">
        <v>45864.0</v>
      </c>
      <c r="B691" s="58" t="s">
        <v>206</v>
      </c>
      <c r="C691" s="34" t="s">
        <v>216</v>
      </c>
      <c r="D691" s="55" t="s">
        <v>93</v>
      </c>
      <c r="E691" s="59"/>
      <c r="F691" s="60">
        <v>0.010416666666666666</v>
      </c>
      <c r="G691" s="29"/>
      <c r="H691" s="6"/>
      <c r="I691" s="6"/>
      <c r="J691" s="6"/>
      <c r="K691" s="6"/>
      <c r="L691" s="6"/>
      <c r="M691" s="6"/>
      <c r="N691" s="6"/>
      <c r="O691" s="6"/>
      <c r="P691" s="6"/>
      <c r="Q691" s="6"/>
      <c r="R691" s="6"/>
      <c r="S691" s="6"/>
    </row>
    <row r="692" ht="22.5" hidden="1" customHeight="1">
      <c r="A692" s="49">
        <v>45864.0</v>
      </c>
      <c r="B692" s="58" t="s">
        <v>206</v>
      </c>
      <c r="C692" s="34" t="s">
        <v>216</v>
      </c>
      <c r="D692" s="55" t="s">
        <v>131</v>
      </c>
      <c r="E692" s="59"/>
      <c r="F692" s="60">
        <v>0.003472222222222222</v>
      </c>
      <c r="G692" s="29"/>
      <c r="H692" s="6"/>
      <c r="I692" s="6"/>
      <c r="J692" s="6"/>
      <c r="K692" s="6"/>
      <c r="L692" s="6"/>
      <c r="M692" s="6"/>
      <c r="N692" s="6"/>
      <c r="O692" s="6"/>
      <c r="P692" s="6"/>
      <c r="Q692" s="6"/>
      <c r="R692" s="6"/>
      <c r="S692" s="6"/>
    </row>
    <row r="693" ht="22.5" customHeight="1">
      <c r="A693" s="49">
        <v>45864.0</v>
      </c>
      <c r="B693" s="58" t="s">
        <v>206</v>
      </c>
      <c r="C693" s="34" t="s">
        <v>216</v>
      </c>
      <c r="D693" s="55" t="s">
        <v>219</v>
      </c>
      <c r="E693" s="59" t="s">
        <v>215</v>
      </c>
      <c r="F693" s="60">
        <v>0.041666666666666664</v>
      </c>
      <c r="G693" s="29"/>
      <c r="H693" s="6"/>
      <c r="I693" s="6"/>
      <c r="J693" s="6"/>
      <c r="K693" s="6"/>
      <c r="L693" s="6"/>
      <c r="M693" s="6"/>
      <c r="N693" s="6"/>
      <c r="O693" s="6"/>
      <c r="P693" s="6"/>
      <c r="Q693" s="6"/>
      <c r="R693" s="6"/>
      <c r="S693" s="6"/>
    </row>
    <row r="694" ht="22.5" hidden="1" customHeight="1">
      <c r="A694" s="49">
        <v>45865.0</v>
      </c>
      <c r="B694" s="58" t="s">
        <v>206</v>
      </c>
      <c r="C694" s="34" t="s">
        <v>216</v>
      </c>
      <c r="D694" s="55" t="s">
        <v>93</v>
      </c>
      <c r="E694" s="59"/>
      <c r="F694" s="60">
        <v>0.010416666666666666</v>
      </c>
      <c r="G694" s="29"/>
      <c r="H694" s="6"/>
      <c r="I694" s="6"/>
      <c r="J694" s="6"/>
      <c r="K694" s="6"/>
      <c r="L694" s="6"/>
      <c r="M694" s="6"/>
      <c r="N694" s="6"/>
      <c r="O694" s="6"/>
      <c r="P694" s="6"/>
      <c r="Q694" s="6"/>
      <c r="R694" s="6"/>
      <c r="S694" s="6"/>
    </row>
    <row r="695" ht="22.5" hidden="1" customHeight="1">
      <c r="A695" s="49">
        <v>45865.0</v>
      </c>
      <c r="B695" s="58" t="s">
        <v>206</v>
      </c>
      <c r="C695" s="34" t="s">
        <v>216</v>
      </c>
      <c r="D695" s="55" t="s">
        <v>131</v>
      </c>
      <c r="E695" s="59"/>
      <c r="F695" s="60">
        <v>0.003472222222222222</v>
      </c>
      <c r="G695" s="29"/>
      <c r="H695" s="6"/>
      <c r="I695" s="6"/>
      <c r="J695" s="6"/>
      <c r="K695" s="6"/>
      <c r="L695" s="6"/>
      <c r="M695" s="6"/>
      <c r="N695" s="6"/>
      <c r="O695" s="6"/>
      <c r="P695" s="6"/>
      <c r="Q695" s="6"/>
      <c r="R695" s="6"/>
      <c r="S695" s="6"/>
    </row>
    <row r="696" ht="22.5" customHeight="1">
      <c r="A696" s="49">
        <v>45865.0</v>
      </c>
      <c r="B696" s="58" t="s">
        <v>206</v>
      </c>
      <c r="C696" s="34" t="s">
        <v>216</v>
      </c>
      <c r="D696" s="55" t="s">
        <v>219</v>
      </c>
      <c r="E696" s="59" t="s">
        <v>215</v>
      </c>
      <c r="F696" s="60">
        <v>0.041666666666666664</v>
      </c>
      <c r="G696" s="29"/>
      <c r="H696" s="6"/>
      <c r="I696" s="6"/>
      <c r="J696" s="6"/>
      <c r="K696" s="6"/>
      <c r="L696" s="6"/>
      <c r="M696" s="6"/>
      <c r="N696" s="6"/>
      <c r="O696" s="6"/>
      <c r="P696" s="6"/>
      <c r="Q696" s="6"/>
      <c r="R696" s="6"/>
      <c r="S696" s="6"/>
    </row>
    <row r="697" ht="22.5" hidden="1" customHeight="1">
      <c r="A697" s="49">
        <v>45866.0</v>
      </c>
      <c r="B697" s="58" t="s">
        <v>206</v>
      </c>
      <c r="C697" s="34" t="s">
        <v>216</v>
      </c>
      <c r="D697" s="55" t="s">
        <v>93</v>
      </c>
      <c r="E697" s="59"/>
      <c r="F697" s="60">
        <v>0.010416666666666666</v>
      </c>
      <c r="G697" s="29"/>
      <c r="H697" s="6"/>
      <c r="I697" s="6"/>
      <c r="J697" s="6"/>
      <c r="K697" s="6"/>
      <c r="L697" s="6"/>
      <c r="M697" s="6"/>
      <c r="N697" s="6"/>
      <c r="O697" s="6"/>
      <c r="P697" s="6"/>
      <c r="Q697" s="6"/>
      <c r="R697" s="6"/>
      <c r="S697" s="6"/>
    </row>
    <row r="698" ht="22.5" hidden="1" customHeight="1">
      <c r="A698" s="49">
        <v>45866.0</v>
      </c>
      <c r="B698" s="58" t="s">
        <v>206</v>
      </c>
      <c r="C698" s="34" t="s">
        <v>216</v>
      </c>
      <c r="D698" s="55" t="s">
        <v>131</v>
      </c>
      <c r="E698" s="59"/>
      <c r="F698" s="60">
        <v>0.003472222222222222</v>
      </c>
      <c r="G698" s="29"/>
      <c r="H698" s="6"/>
      <c r="I698" s="6"/>
      <c r="J698" s="6"/>
      <c r="K698" s="6"/>
      <c r="L698" s="6"/>
      <c r="M698" s="6"/>
      <c r="N698" s="6"/>
      <c r="O698" s="6"/>
      <c r="P698" s="6"/>
      <c r="Q698" s="6"/>
      <c r="R698" s="6"/>
      <c r="S698" s="6"/>
    </row>
    <row r="699" ht="22.5" customHeight="1">
      <c r="A699" s="49">
        <v>45866.0</v>
      </c>
      <c r="B699" s="58" t="s">
        <v>206</v>
      </c>
      <c r="C699" s="34" t="s">
        <v>216</v>
      </c>
      <c r="D699" s="55" t="s">
        <v>219</v>
      </c>
      <c r="E699" s="59" t="s">
        <v>215</v>
      </c>
      <c r="F699" s="60">
        <v>0.041666666666666664</v>
      </c>
      <c r="G699" s="29"/>
      <c r="H699" s="6"/>
      <c r="I699" s="6"/>
      <c r="J699" s="6"/>
      <c r="K699" s="6"/>
      <c r="L699" s="6"/>
      <c r="M699" s="6"/>
      <c r="N699" s="6"/>
      <c r="O699" s="6"/>
      <c r="P699" s="6"/>
      <c r="Q699" s="6"/>
      <c r="R699" s="6"/>
      <c r="S699" s="6"/>
    </row>
    <row r="700" ht="22.5" hidden="1" customHeight="1">
      <c r="A700" s="49">
        <v>45867.0</v>
      </c>
      <c r="B700" s="58" t="s">
        <v>206</v>
      </c>
      <c r="C700" s="34" t="s">
        <v>216</v>
      </c>
      <c r="D700" s="55" t="s">
        <v>93</v>
      </c>
      <c r="E700" s="59"/>
      <c r="F700" s="60">
        <v>0.010416666666666666</v>
      </c>
      <c r="G700" s="29"/>
      <c r="H700" s="6"/>
      <c r="I700" s="6"/>
      <c r="J700" s="6"/>
      <c r="K700" s="6"/>
      <c r="L700" s="6"/>
      <c r="M700" s="6"/>
      <c r="N700" s="6"/>
      <c r="O700" s="6"/>
      <c r="P700" s="6"/>
      <c r="Q700" s="6"/>
      <c r="R700" s="6"/>
      <c r="S700" s="6"/>
    </row>
    <row r="701" ht="22.5" hidden="1" customHeight="1">
      <c r="A701" s="49">
        <v>45867.0</v>
      </c>
      <c r="B701" s="58" t="s">
        <v>206</v>
      </c>
      <c r="C701" s="34" t="s">
        <v>216</v>
      </c>
      <c r="D701" s="55" t="s">
        <v>131</v>
      </c>
      <c r="E701" s="59"/>
      <c r="F701" s="60">
        <v>0.003472222222222222</v>
      </c>
      <c r="G701" s="29"/>
      <c r="H701" s="6"/>
      <c r="I701" s="6"/>
      <c r="J701" s="6"/>
      <c r="K701" s="6"/>
      <c r="L701" s="6"/>
      <c r="M701" s="6"/>
      <c r="N701" s="6"/>
      <c r="O701" s="6"/>
      <c r="P701" s="6"/>
      <c r="Q701" s="6"/>
      <c r="R701" s="6"/>
      <c r="S701" s="6"/>
    </row>
    <row r="702" ht="22.5" customHeight="1">
      <c r="A702" s="49">
        <v>45867.0</v>
      </c>
      <c r="B702" s="58" t="s">
        <v>206</v>
      </c>
      <c r="C702" s="34" t="s">
        <v>216</v>
      </c>
      <c r="D702" s="55" t="s">
        <v>219</v>
      </c>
      <c r="E702" s="59" t="s">
        <v>215</v>
      </c>
      <c r="F702" s="60">
        <v>0.041666666666666664</v>
      </c>
      <c r="G702" s="29"/>
      <c r="H702" s="6"/>
      <c r="I702" s="6"/>
      <c r="J702" s="6"/>
      <c r="K702" s="6"/>
      <c r="L702" s="6"/>
      <c r="M702" s="6"/>
      <c r="N702" s="6"/>
      <c r="O702" s="6"/>
      <c r="P702" s="6"/>
      <c r="Q702" s="6"/>
      <c r="R702" s="6"/>
      <c r="S702" s="6"/>
    </row>
    <row r="703" ht="22.5" hidden="1" customHeight="1">
      <c r="A703" s="49">
        <v>45868.0</v>
      </c>
      <c r="B703" s="58" t="s">
        <v>206</v>
      </c>
      <c r="C703" s="34" t="s">
        <v>216</v>
      </c>
      <c r="D703" s="55" t="s">
        <v>93</v>
      </c>
      <c r="E703" s="59"/>
      <c r="F703" s="60">
        <v>0.010416666666666666</v>
      </c>
      <c r="G703" s="29"/>
      <c r="H703" s="6"/>
      <c r="I703" s="6"/>
      <c r="J703" s="6"/>
      <c r="K703" s="6"/>
      <c r="L703" s="6"/>
      <c r="M703" s="6"/>
      <c r="N703" s="6"/>
      <c r="O703" s="6"/>
      <c r="P703" s="6"/>
      <c r="Q703" s="6"/>
      <c r="R703" s="6"/>
      <c r="S703" s="6"/>
    </row>
    <row r="704" ht="22.5" hidden="1" customHeight="1">
      <c r="A704" s="49">
        <v>45868.0</v>
      </c>
      <c r="B704" s="58" t="s">
        <v>206</v>
      </c>
      <c r="C704" s="34" t="s">
        <v>216</v>
      </c>
      <c r="D704" s="55" t="s">
        <v>131</v>
      </c>
      <c r="E704" s="59"/>
      <c r="F704" s="60">
        <v>0.003472222222222222</v>
      </c>
      <c r="G704" s="29"/>
      <c r="H704" s="6"/>
      <c r="I704" s="6"/>
      <c r="J704" s="6"/>
      <c r="K704" s="6"/>
      <c r="L704" s="6"/>
      <c r="M704" s="6"/>
      <c r="N704" s="6"/>
      <c r="O704" s="6"/>
      <c r="P704" s="6"/>
      <c r="Q704" s="6"/>
      <c r="R704" s="6"/>
      <c r="S704" s="6"/>
    </row>
    <row r="705" ht="22.5" customHeight="1">
      <c r="A705" s="49">
        <v>45868.0</v>
      </c>
      <c r="B705" s="58" t="s">
        <v>206</v>
      </c>
      <c r="C705" s="34" t="s">
        <v>216</v>
      </c>
      <c r="D705" s="55" t="s">
        <v>219</v>
      </c>
      <c r="E705" s="59" t="s">
        <v>215</v>
      </c>
      <c r="F705" s="60">
        <v>0.041666666666666664</v>
      </c>
      <c r="G705" s="29"/>
      <c r="H705" s="6"/>
      <c r="I705" s="6"/>
      <c r="J705" s="6"/>
      <c r="K705" s="6"/>
      <c r="L705" s="6"/>
      <c r="M705" s="6"/>
      <c r="N705" s="6"/>
      <c r="O705" s="6"/>
      <c r="P705" s="6"/>
      <c r="Q705" s="6"/>
      <c r="R705" s="6"/>
      <c r="S705" s="6"/>
    </row>
    <row r="706" ht="22.5" hidden="1" customHeight="1">
      <c r="A706" s="49">
        <v>45869.0</v>
      </c>
      <c r="B706" s="58" t="s">
        <v>206</v>
      </c>
      <c r="C706" s="34" t="s">
        <v>216</v>
      </c>
      <c r="D706" s="55" t="s">
        <v>93</v>
      </c>
      <c r="E706" s="59"/>
      <c r="F706" s="60">
        <v>0.010416666666666666</v>
      </c>
      <c r="G706" s="29"/>
      <c r="H706" s="6"/>
      <c r="I706" s="6"/>
      <c r="J706" s="6"/>
      <c r="K706" s="6"/>
      <c r="L706" s="6"/>
      <c r="M706" s="6"/>
      <c r="N706" s="6"/>
      <c r="O706" s="6"/>
      <c r="P706" s="6"/>
      <c r="Q706" s="6"/>
      <c r="R706" s="6"/>
      <c r="S706" s="6"/>
    </row>
    <row r="707" ht="22.5" hidden="1" customHeight="1">
      <c r="A707" s="49">
        <v>45869.0</v>
      </c>
      <c r="B707" s="58" t="s">
        <v>206</v>
      </c>
      <c r="C707" s="34" t="s">
        <v>216</v>
      </c>
      <c r="D707" s="55" t="s">
        <v>131</v>
      </c>
      <c r="E707" s="59"/>
      <c r="F707" s="60">
        <v>0.003472222222222222</v>
      </c>
      <c r="G707" s="29"/>
      <c r="H707" s="6"/>
      <c r="I707" s="6"/>
      <c r="J707" s="6"/>
      <c r="K707" s="6"/>
      <c r="L707" s="6"/>
      <c r="M707" s="6"/>
      <c r="N707" s="6"/>
      <c r="O707" s="6"/>
      <c r="P707" s="6"/>
      <c r="Q707" s="6"/>
      <c r="R707" s="6"/>
      <c r="S707" s="6"/>
    </row>
    <row r="708" ht="22.5" customHeight="1">
      <c r="A708" s="49">
        <v>45869.0</v>
      </c>
      <c r="B708" s="58" t="s">
        <v>206</v>
      </c>
      <c r="C708" s="34" t="s">
        <v>216</v>
      </c>
      <c r="D708" s="55" t="s">
        <v>219</v>
      </c>
      <c r="E708" s="59" t="s">
        <v>215</v>
      </c>
      <c r="F708" s="60">
        <v>0.041666666666666664</v>
      </c>
      <c r="G708" s="29"/>
      <c r="H708" s="6"/>
      <c r="I708" s="6"/>
      <c r="J708" s="6"/>
      <c r="K708" s="6"/>
      <c r="L708" s="6"/>
      <c r="M708" s="6"/>
      <c r="N708" s="6"/>
      <c r="O708" s="6"/>
      <c r="P708" s="6"/>
      <c r="Q708" s="6"/>
      <c r="R708" s="6"/>
      <c r="S708" s="6"/>
    </row>
    <row r="709" ht="22.5" hidden="1" customHeight="1">
      <c r="A709" s="49">
        <v>45870.0</v>
      </c>
      <c r="B709" s="58" t="s">
        <v>206</v>
      </c>
      <c r="C709" s="34" t="s">
        <v>216</v>
      </c>
      <c r="D709" s="55" t="s">
        <v>93</v>
      </c>
      <c r="E709" s="59"/>
      <c r="F709" s="60">
        <v>0.010416666666666666</v>
      </c>
      <c r="G709" s="29"/>
      <c r="H709" s="6"/>
      <c r="I709" s="6"/>
      <c r="J709" s="6"/>
      <c r="K709" s="6"/>
      <c r="L709" s="6"/>
      <c r="M709" s="6"/>
      <c r="N709" s="6"/>
      <c r="O709" s="6"/>
      <c r="P709" s="6"/>
      <c r="Q709" s="6"/>
      <c r="R709" s="6"/>
      <c r="S709" s="6"/>
    </row>
    <row r="710" ht="22.5" hidden="1" customHeight="1">
      <c r="A710" s="49">
        <v>45870.0</v>
      </c>
      <c r="B710" s="58" t="s">
        <v>206</v>
      </c>
      <c r="C710" s="34" t="s">
        <v>216</v>
      </c>
      <c r="D710" s="55" t="s">
        <v>131</v>
      </c>
      <c r="E710" s="59"/>
      <c r="F710" s="60">
        <v>0.003472222222222222</v>
      </c>
      <c r="G710" s="29"/>
      <c r="H710" s="6"/>
      <c r="I710" s="6"/>
      <c r="J710" s="6"/>
      <c r="K710" s="6"/>
      <c r="L710" s="6"/>
      <c r="M710" s="6"/>
      <c r="N710" s="6"/>
      <c r="O710" s="6"/>
      <c r="P710" s="6"/>
      <c r="Q710" s="6"/>
      <c r="R710" s="6"/>
      <c r="S710" s="6"/>
    </row>
    <row r="711" ht="22.5" customHeight="1">
      <c r="A711" s="49">
        <v>45870.0</v>
      </c>
      <c r="B711" s="58" t="s">
        <v>206</v>
      </c>
      <c r="C711" s="34" t="s">
        <v>216</v>
      </c>
      <c r="D711" s="55" t="s">
        <v>219</v>
      </c>
      <c r="E711" s="59" t="s">
        <v>215</v>
      </c>
      <c r="F711" s="60">
        <v>0.041666666666666664</v>
      </c>
      <c r="G711" s="29"/>
      <c r="H711" s="6"/>
      <c r="I711" s="6"/>
      <c r="J711" s="6"/>
      <c r="K711" s="6"/>
      <c r="L711" s="6"/>
      <c r="M711" s="6"/>
      <c r="N711" s="6"/>
      <c r="O711" s="6"/>
      <c r="P711" s="6"/>
      <c r="Q711" s="6"/>
      <c r="R711" s="6"/>
      <c r="S711" s="6"/>
    </row>
    <row r="712" ht="22.5" hidden="1" customHeight="1">
      <c r="A712" s="49">
        <v>45871.0</v>
      </c>
      <c r="B712" s="58" t="s">
        <v>206</v>
      </c>
      <c r="C712" s="34" t="s">
        <v>216</v>
      </c>
      <c r="D712" s="55" t="s">
        <v>93</v>
      </c>
      <c r="E712" s="59"/>
      <c r="F712" s="60">
        <v>0.010416666666666666</v>
      </c>
      <c r="G712" s="29"/>
      <c r="H712" s="6"/>
      <c r="I712" s="6"/>
      <c r="J712" s="6"/>
      <c r="K712" s="6"/>
      <c r="L712" s="6"/>
      <c r="M712" s="6"/>
      <c r="N712" s="6"/>
      <c r="O712" s="6"/>
      <c r="P712" s="6"/>
      <c r="Q712" s="6"/>
      <c r="R712" s="6"/>
      <c r="S712" s="6"/>
    </row>
    <row r="713" ht="22.5" hidden="1" customHeight="1">
      <c r="A713" s="49">
        <v>45871.0</v>
      </c>
      <c r="B713" s="58" t="s">
        <v>206</v>
      </c>
      <c r="C713" s="34" t="s">
        <v>216</v>
      </c>
      <c r="D713" s="55" t="s">
        <v>131</v>
      </c>
      <c r="E713" s="59"/>
      <c r="F713" s="60">
        <v>0.003472222222222222</v>
      </c>
      <c r="G713" s="29"/>
      <c r="H713" s="6"/>
      <c r="I713" s="6"/>
      <c r="J713" s="6"/>
      <c r="K713" s="6"/>
      <c r="L713" s="6"/>
      <c r="M713" s="6"/>
      <c r="N713" s="6"/>
      <c r="O713" s="6"/>
      <c r="P713" s="6"/>
      <c r="Q713" s="6"/>
      <c r="R713" s="6"/>
      <c r="S713" s="6"/>
    </row>
    <row r="714" ht="22.5" customHeight="1">
      <c r="A714" s="49">
        <v>45871.0</v>
      </c>
      <c r="B714" s="58" t="s">
        <v>206</v>
      </c>
      <c r="C714" s="34" t="s">
        <v>216</v>
      </c>
      <c r="D714" s="55" t="s">
        <v>219</v>
      </c>
      <c r="E714" s="59" t="s">
        <v>215</v>
      </c>
      <c r="F714" s="60">
        <v>0.041666666666666664</v>
      </c>
      <c r="G714" s="29"/>
      <c r="H714" s="6"/>
      <c r="I714" s="6"/>
      <c r="J714" s="6"/>
      <c r="K714" s="6"/>
      <c r="L714" s="6"/>
      <c r="M714" s="6"/>
      <c r="N714" s="6"/>
      <c r="O714" s="6"/>
      <c r="P714" s="6"/>
      <c r="Q714" s="6"/>
      <c r="R714" s="6"/>
      <c r="S714" s="6"/>
    </row>
    <row r="715" ht="22.5" hidden="1" customHeight="1">
      <c r="A715" s="49">
        <v>45872.0</v>
      </c>
      <c r="B715" s="58" t="s">
        <v>206</v>
      </c>
      <c r="C715" s="34" t="s">
        <v>216</v>
      </c>
      <c r="D715" s="55" t="s">
        <v>93</v>
      </c>
      <c r="E715" s="59"/>
      <c r="F715" s="60">
        <v>0.010416666666666666</v>
      </c>
      <c r="G715" s="29"/>
      <c r="H715" s="6"/>
      <c r="I715" s="6"/>
      <c r="J715" s="6"/>
      <c r="K715" s="6"/>
      <c r="L715" s="6"/>
      <c r="M715" s="6"/>
      <c r="N715" s="6"/>
      <c r="O715" s="6"/>
      <c r="P715" s="6"/>
      <c r="Q715" s="6"/>
      <c r="R715" s="6"/>
      <c r="S715" s="6"/>
    </row>
    <row r="716" ht="22.5" hidden="1" customHeight="1">
      <c r="A716" s="49">
        <v>45872.0</v>
      </c>
      <c r="B716" s="58" t="s">
        <v>206</v>
      </c>
      <c r="C716" s="34" t="s">
        <v>216</v>
      </c>
      <c r="D716" s="55" t="s">
        <v>131</v>
      </c>
      <c r="E716" s="59"/>
      <c r="F716" s="60">
        <v>0.003472222222222222</v>
      </c>
      <c r="G716" s="29"/>
      <c r="H716" s="6"/>
      <c r="I716" s="6"/>
      <c r="J716" s="6"/>
      <c r="K716" s="6"/>
      <c r="L716" s="6"/>
      <c r="M716" s="6"/>
      <c r="N716" s="6"/>
      <c r="O716" s="6"/>
      <c r="P716" s="6"/>
      <c r="Q716" s="6"/>
      <c r="R716" s="6"/>
      <c r="S716" s="6"/>
    </row>
    <row r="717" ht="22.5" customHeight="1">
      <c r="A717" s="49">
        <v>45872.0</v>
      </c>
      <c r="B717" s="58" t="s">
        <v>206</v>
      </c>
      <c r="C717" s="34" t="s">
        <v>216</v>
      </c>
      <c r="D717" s="55" t="s">
        <v>219</v>
      </c>
      <c r="E717" s="59" t="s">
        <v>215</v>
      </c>
      <c r="F717" s="60">
        <v>0.041666666666666664</v>
      </c>
      <c r="G717" s="29"/>
      <c r="H717" s="6"/>
      <c r="I717" s="6"/>
      <c r="J717" s="6"/>
      <c r="K717" s="6"/>
      <c r="L717" s="6"/>
      <c r="M717" s="6"/>
      <c r="N717" s="6"/>
      <c r="O717" s="6"/>
      <c r="P717" s="6"/>
      <c r="Q717" s="6"/>
      <c r="R717" s="6"/>
      <c r="S717" s="6"/>
    </row>
    <row r="718" ht="22.5" hidden="1" customHeight="1">
      <c r="A718" s="49">
        <v>45873.0</v>
      </c>
      <c r="B718" s="58" t="s">
        <v>206</v>
      </c>
      <c r="C718" s="34" t="s">
        <v>216</v>
      </c>
      <c r="D718" s="55" t="s">
        <v>93</v>
      </c>
      <c r="E718" s="59"/>
      <c r="F718" s="60">
        <v>0.010416666666666666</v>
      </c>
      <c r="G718" s="29"/>
      <c r="H718" s="6"/>
      <c r="I718" s="6"/>
      <c r="J718" s="6"/>
      <c r="K718" s="6"/>
      <c r="L718" s="6"/>
      <c r="M718" s="6"/>
      <c r="N718" s="6"/>
      <c r="O718" s="6"/>
      <c r="P718" s="6"/>
      <c r="Q718" s="6"/>
      <c r="R718" s="6"/>
      <c r="S718" s="6"/>
    </row>
    <row r="719" ht="22.5" hidden="1" customHeight="1">
      <c r="A719" s="49">
        <v>45873.0</v>
      </c>
      <c r="B719" s="58" t="s">
        <v>206</v>
      </c>
      <c r="C719" s="34" t="s">
        <v>216</v>
      </c>
      <c r="D719" s="55" t="s">
        <v>131</v>
      </c>
      <c r="E719" s="59"/>
      <c r="F719" s="60">
        <v>0.003472222222222222</v>
      </c>
      <c r="G719" s="29"/>
      <c r="H719" s="6"/>
      <c r="I719" s="6"/>
      <c r="J719" s="6"/>
      <c r="K719" s="6"/>
      <c r="L719" s="6"/>
      <c r="M719" s="6"/>
      <c r="N719" s="6"/>
      <c r="O719" s="6"/>
      <c r="P719" s="6"/>
      <c r="Q719" s="6"/>
      <c r="R719" s="6"/>
      <c r="S719" s="6"/>
    </row>
    <row r="720" ht="22.5" customHeight="1">
      <c r="A720" s="49">
        <v>45873.0</v>
      </c>
      <c r="B720" s="58" t="s">
        <v>206</v>
      </c>
      <c r="C720" s="34" t="s">
        <v>216</v>
      </c>
      <c r="D720" s="55" t="s">
        <v>219</v>
      </c>
      <c r="E720" s="59" t="s">
        <v>215</v>
      </c>
      <c r="F720" s="60">
        <v>0.041666666666666664</v>
      </c>
      <c r="G720" s="29"/>
      <c r="H720" s="6"/>
      <c r="I720" s="6"/>
      <c r="J720" s="6"/>
      <c r="K720" s="6"/>
      <c r="L720" s="6"/>
      <c r="M720" s="6"/>
      <c r="N720" s="6"/>
      <c r="O720" s="6"/>
      <c r="P720" s="6"/>
      <c r="Q720" s="6"/>
      <c r="R720" s="6"/>
      <c r="S720" s="6"/>
    </row>
    <row r="721" ht="22.5" hidden="1" customHeight="1">
      <c r="A721" s="49">
        <v>45874.0</v>
      </c>
      <c r="B721" s="58" t="s">
        <v>206</v>
      </c>
      <c r="C721" s="34" t="s">
        <v>216</v>
      </c>
      <c r="D721" s="55" t="s">
        <v>93</v>
      </c>
      <c r="E721" s="59"/>
      <c r="F721" s="60">
        <v>0.010416666666666666</v>
      </c>
      <c r="G721" s="29"/>
      <c r="H721" s="6"/>
      <c r="I721" s="6"/>
      <c r="J721" s="6"/>
      <c r="K721" s="6"/>
      <c r="L721" s="6"/>
      <c r="M721" s="6"/>
      <c r="N721" s="6"/>
      <c r="O721" s="6"/>
      <c r="P721" s="6"/>
      <c r="Q721" s="6"/>
      <c r="R721" s="6"/>
      <c r="S721" s="6"/>
    </row>
    <row r="722" ht="22.5" hidden="1" customHeight="1">
      <c r="A722" s="49">
        <v>45874.0</v>
      </c>
      <c r="B722" s="58" t="s">
        <v>206</v>
      </c>
      <c r="C722" s="34" t="s">
        <v>216</v>
      </c>
      <c r="D722" s="55" t="s">
        <v>131</v>
      </c>
      <c r="E722" s="59"/>
      <c r="F722" s="60">
        <v>0.003472222222222222</v>
      </c>
      <c r="G722" s="29"/>
      <c r="H722" s="6"/>
      <c r="I722" s="6"/>
      <c r="J722" s="6"/>
      <c r="K722" s="6"/>
      <c r="L722" s="6"/>
      <c r="M722" s="6"/>
      <c r="N722" s="6"/>
      <c r="O722" s="6"/>
      <c r="P722" s="6"/>
      <c r="Q722" s="6"/>
      <c r="R722" s="6"/>
      <c r="S722" s="6"/>
    </row>
    <row r="723" ht="22.5" customHeight="1">
      <c r="A723" s="49">
        <v>45874.0</v>
      </c>
      <c r="B723" s="58" t="s">
        <v>206</v>
      </c>
      <c r="C723" s="34" t="s">
        <v>216</v>
      </c>
      <c r="D723" s="55" t="s">
        <v>219</v>
      </c>
      <c r="E723" s="59" t="s">
        <v>215</v>
      </c>
      <c r="F723" s="60">
        <v>0.041666666666666664</v>
      </c>
      <c r="G723" s="29"/>
      <c r="H723" s="6"/>
      <c r="I723" s="6"/>
      <c r="J723" s="6"/>
      <c r="K723" s="6"/>
      <c r="L723" s="6"/>
      <c r="M723" s="6"/>
      <c r="N723" s="6"/>
      <c r="O723" s="6"/>
      <c r="P723" s="6"/>
      <c r="Q723" s="6"/>
      <c r="R723" s="6"/>
      <c r="S723" s="6"/>
    </row>
    <row r="724" ht="22.5" hidden="1" customHeight="1">
      <c r="A724" s="49">
        <v>45875.0</v>
      </c>
      <c r="B724" s="58" t="s">
        <v>206</v>
      </c>
      <c r="C724" s="34" t="s">
        <v>216</v>
      </c>
      <c r="D724" s="55" t="s">
        <v>93</v>
      </c>
      <c r="E724" s="59"/>
      <c r="F724" s="60">
        <v>0.010416666666666666</v>
      </c>
      <c r="G724" s="29"/>
      <c r="H724" s="6"/>
      <c r="I724" s="6"/>
      <c r="J724" s="6"/>
      <c r="K724" s="6"/>
      <c r="L724" s="6"/>
      <c r="M724" s="6"/>
      <c r="N724" s="6"/>
      <c r="O724" s="6"/>
      <c r="P724" s="6"/>
      <c r="Q724" s="6"/>
      <c r="R724" s="6"/>
      <c r="S724" s="6"/>
    </row>
    <row r="725" ht="22.5" hidden="1" customHeight="1">
      <c r="A725" s="49">
        <v>45875.0</v>
      </c>
      <c r="B725" s="58" t="s">
        <v>206</v>
      </c>
      <c r="C725" s="34" t="s">
        <v>216</v>
      </c>
      <c r="D725" s="55" t="s">
        <v>131</v>
      </c>
      <c r="E725" s="59"/>
      <c r="F725" s="60">
        <v>0.003472222222222222</v>
      </c>
      <c r="G725" s="29"/>
      <c r="H725" s="6"/>
      <c r="I725" s="6"/>
      <c r="J725" s="6"/>
      <c r="K725" s="6"/>
      <c r="L725" s="6"/>
      <c r="M725" s="6"/>
      <c r="N725" s="6"/>
      <c r="O725" s="6"/>
      <c r="P725" s="6"/>
      <c r="Q725" s="6"/>
      <c r="R725" s="6"/>
      <c r="S725" s="6"/>
    </row>
    <row r="726" ht="22.5" customHeight="1">
      <c r="A726" s="49">
        <v>45875.0</v>
      </c>
      <c r="B726" s="58" t="s">
        <v>206</v>
      </c>
      <c r="C726" s="34" t="s">
        <v>216</v>
      </c>
      <c r="D726" s="55" t="s">
        <v>219</v>
      </c>
      <c r="E726" s="59" t="s">
        <v>215</v>
      </c>
      <c r="F726" s="60">
        <v>0.041666666666666664</v>
      </c>
      <c r="G726" s="29"/>
      <c r="H726" s="6"/>
      <c r="I726" s="6"/>
      <c r="J726" s="6"/>
      <c r="K726" s="6"/>
      <c r="L726" s="6"/>
      <c r="M726" s="6"/>
      <c r="N726" s="6"/>
      <c r="O726" s="6"/>
      <c r="P726" s="6"/>
      <c r="Q726" s="6"/>
      <c r="R726" s="6"/>
      <c r="S726" s="6"/>
    </row>
    <row r="727" ht="22.5" hidden="1" customHeight="1">
      <c r="A727" s="49">
        <v>45876.0</v>
      </c>
      <c r="B727" s="58" t="s">
        <v>206</v>
      </c>
      <c r="C727" s="34" t="s">
        <v>216</v>
      </c>
      <c r="D727" s="55" t="s">
        <v>93</v>
      </c>
      <c r="E727" s="59"/>
      <c r="F727" s="60">
        <v>0.010416666666666666</v>
      </c>
      <c r="G727" s="29"/>
      <c r="H727" s="6"/>
      <c r="I727" s="6"/>
      <c r="J727" s="6"/>
      <c r="K727" s="6"/>
      <c r="L727" s="6"/>
      <c r="M727" s="6"/>
      <c r="N727" s="6"/>
      <c r="O727" s="6"/>
      <c r="P727" s="6"/>
      <c r="Q727" s="6"/>
      <c r="R727" s="6"/>
      <c r="S727" s="6"/>
    </row>
    <row r="728" ht="22.5" hidden="1" customHeight="1">
      <c r="A728" s="49">
        <v>45876.0</v>
      </c>
      <c r="B728" s="58" t="s">
        <v>206</v>
      </c>
      <c r="C728" s="34" t="s">
        <v>216</v>
      </c>
      <c r="D728" s="55" t="s">
        <v>131</v>
      </c>
      <c r="E728" s="59"/>
      <c r="F728" s="60">
        <v>0.003472222222222222</v>
      </c>
      <c r="G728" s="29"/>
      <c r="H728" s="6"/>
      <c r="I728" s="6"/>
      <c r="J728" s="6"/>
      <c r="K728" s="6"/>
      <c r="L728" s="6"/>
      <c r="M728" s="6"/>
      <c r="N728" s="6"/>
      <c r="O728" s="6"/>
      <c r="P728" s="6"/>
      <c r="Q728" s="6"/>
      <c r="R728" s="6"/>
      <c r="S728" s="6"/>
    </row>
    <row r="729" ht="22.5" customHeight="1">
      <c r="A729" s="49">
        <v>45876.0</v>
      </c>
      <c r="B729" s="58" t="s">
        <v>206</v>
      </c>
      <c r="C729" s="34" t="s">
        <v>216</v>
      </c>
      <c r="D729" s="55" t="s">
        <v>219</v>
      </c>
      <c r="E729" s="59" t="s">
        <v>215</v>
      </c>
      <c r="F729" s="60">
        <v>0.041666666666666664</v>
      </c>
      <c r="G729" s="29"/>
      <c r="H729" s="6"/>
      <c r="I729" s="6"/>
      <c r="J729" s="6"/>
      <c r="K729" s="6"/>
      <c r="L729" s="6"/>
      <c r="M729" s="6"/>
      <c r="N729" s="6"/>
      <c r="O729" s="6"/>
      <c r="P729" s="6"/>
      <c r="Q729" s="6"/>
      <c r="R729" s="6"/>
      <c r="S729" s="6"/>
    </row>
    <row r="730" ht="22.5" hidden="1" customHeight="1">
      <c r="A730" s="49">
        <v>45877.0</v>
      </c>
      <c r="B730" s="58" t="s">
        <v>206</v>
      </c>
      <c r="C730" s="34" t="s">
        <v>216</v>
      </c>
      <c r="D730" s="55" t="s">
        <v>93</v>
      </c>
      <c r="E730" s="59"/>
      <c r="F730" s="60">
        <v>0.010416666666666666</v>
      </c>
      <c r="G730" s="29"/>
      <c r="H730" s="6"/>
      <c r="I730" s="6"/>
      <c r="J730" s="6"/>
      <c r="K730" s="6"/>
      <c r="L730" s="6"/>
      <c r="M730" s="6"/>
      <c r="N730" s="6"/>
      <c r="O730" s="6"/>
      <c r="P730" s="6"/>
      <c r="Q730" s="6"/>
      <c r="R730" s="6"/>
      <c r="S730" s="6"/>
    </row>
    <row r="731" ht="22.5" hidden="1" customHeight="1">
      <c r="A731" s="49">
        <v>45877.0</v>
      </c>
      <c r="B731" s="58" t="s">
        <v>206</v>
      </c>
      <c r="C731" s="34" t="s">
        <v>216</v>
      </c>
      <c r="D731" s="55" t="s">
        <v>131</v>
      </c>
      <c r="E731" s="59"/>
      <c r="F731" s="60">
        <v>0.003472222222222222</v>
      </c>
      <c r="G731" s="29"/>
      <c r="H731" s="6"/>
      <c r="I731" s="6"/>
      <c r="J731" s="6"/>
      <c r="K731" s="6"/>
      <c r="L731" s="6"/>
      <c r="M731" s="6"/>
      <c r="N731" s="6"/>
      <c r="O731" s="6"/>
      <c r="P731" s="6"/>
      <c r="Q731" s="6"/>
      <c r="R731" s="6"/>
      <c r="S731" s="6"/>
    </row>
    <row r="732" ht="22.5" customHeight="1">
      <c r="A732" s="49">
        <v>45877.0</v>
      </c>
      <c r="B732" s="58" t="s">
        <v>206</v>
      </c>
      <c r="C732" s="34" t="s">
        <v>216</v>
      </c>
      <c r="D732" s="55" t="s">
        <v>219</v>
      </c>
      <c r="E732" s="59" t="s">
        <v>215</v>
      </c>
      <c r="F732" s="60">
        <v>0.041666666666666664</v>
      </c>
      <c r="G732" s="29"/>
      <c r="H732" s="6"/>
      <c r="I732" s="6"/>
      <c r="J732" s="6"/>
      <c r="K732" s="6"/>
      <c r="L732" s="6"/>
      <c r="M732" s="6"/>
      <c r="N732" s="6"/>
      <c r="O732" s="6"/>
      <c r="P732" s="6"/>
      <c r="Q732" s="6"/>
      <c r="R732" s="6"/>
      <c r="S732" s="6"/>
    </row>
    <row r="733" ht="22.5" hidden="1" customHeight="1">
      <c r="A733" s="49">
        <v>45878.0</v>
      </c>
      <c r="B733" s="58" t="s">
        <v>206</v>
      </c>
      <c r="C733" s="34" t="s">
        <v>216</v>
      </c>
      <c r="D733" s="55" t="s">
        <v>93</v>
      </c>
      <c r="E733" s="59"/>
      <c r="F733" s="60">
        <v>0.010416666666666666</v>
      </c>
      <c r="G733" s="29"/>
      <c r="H733" s="6"/>
      <c r="I733" s="6"/>
      <c r="J733" s="6"/>
      <c r="K733" s="6"/>
      <c r="L733" s="6"/>
      <c r="M733" s="6"/>
      <c r="N733" s="6"/>
      <c r="O733" s="6"/>
      <c r="P733" s="6"/>
      <c r="Q733" s="6"/>
      <c r="R733" s="6"/>
      <c r="S733" s="6"/>
    </row>
    <row r="734" ht="22.5" hidden="1" customHeight="1">
      <c r="A734" s="49">
        <v>45878.0</v>
      </c>
      <c r="B734" s="58" t="s">
        <v>206</v>
      </c>
      <c r="C734" s="34" t="s">
        <v>216</v>
      </c>
      <c r="D734" s="55" t="s">
        <v>131</v>
      </c>
      <c r="E734" s="59"/>
      <c r="F734" s="60">
        <v>0.003472222222222222</v>
      </c>
      <c r="G734" s="29"/>
      <c r="H734" s="6"/>
      <c r="I734" s="6"/>
      <c r="J734" s="6"/>
      <c r="K734" s="6"/>
      <c r="L734" s="6"/>
      <c r="M734" s="6"/>
      <c r="N734" s="6"/>
      <c r="O734" s="6"/>
      <c r="P734" s="6"/>
      <c r="Q734" s="6"/>
      <c r="R734" s="6"/>
      <c r="S734" s="6"/>
    </row>
    <row r="735" ht="22.5" customHeight="1">
      <c r="A735" s="49">
        <v>45878.0</v>
      </c>
      <c r="B735" s="58" t="s">
        <v>206</v>
      </c>
      <c r="C735" s="34" t="s">
        <v>216</v>
      </c>
      <c r="D735" s="55" t="s">
        <v>219</v>
      </c>
      <c r="E735" s="59" t="s">
        <v>215</v>
      </c>
      <c r="F735" s="60">
        <v>0.041666666666666664</v>
      </c>
      <c r="G735" s="29"/>
      <c r="H735" s="6"/>
      <c r="I735" s="6"/>
      <c r="J735" s="6"/>
      <c r="K735" s="6"/>
      <c r="L735" s="6"/>
      <c r="M735" s="6"/>
      <c r="N735" s="6"/>
      <c r="O735" s="6"/>
      <c r="P735" s="6"/>
      <c r="Q735" s="6"/>
      <c r="R735" s="6"/>
      <c r="S735" s="6"/>
    </row>
    <row r="736" ht="22.5" hidden="1" customHeight="1">
      <c r="A736" s="49">
        <v>45879.0</v>
      </c>
      <c r="B736" s="58" t="s">
        <v>206</v>
      </c>
      <c r="C736" s="34" t="s">
        <v>216</v>
      </c>
      <c r="D736" s="55" t="s">
        <v>93</v>
      </c>
      <c r="E736" s="59"/>
      <c r="F736" s="60">
        <v>0.010416666666666666</v>
      </c>
      <c r="G736" s="29"/>
      <c r="H736" s="6"/>
      <c r="I736" s="6"/>
      <c r="J736" s="6"/>
      <c r="K736" s="6"/>
      <c r="L736" s="6"/>
      <c r="M736" s="6"/>
      <c r="N736" s="6"/>
      <c r="O736" s="6"/>
      <c r="P736" s="6"/>
      <c r="Q736" s="6"/>
      <c r="R736" s="6"/>
      <c r="S736" s="6"/>
    </row>
    <row r="737" ht="22.5" hidden="1" customHeight="1">
      <c r="A737" s="49">
        <v>45879.0</v>
      </c>
      <c r="B737" s="58" t="s">
        <v>206</v>
      </c>
      <c r="C737" s="34" t="s">
        <v>216</v>
      </c>
      <c r="D737" s="55" t="s">
        <v>131</v>
      </c>
      <c r="E737" s="59"/>
      <c r="F737" s="60">
        <v>0.003472222222222222</v>
      </c>
      <c r="G737" s="29"/>
      <c r="H737" s="6"/>
      <c r="I737" s="6"/>
      <c r="J737" s="6"/>
      <c r="K737" s="6"/>
      <c r="L737" s="6"/>
      <c r="M737" s="6"/>
      <c r="N737" s="6"/>
      <c r="O737" s="6"/>
      <c r="P737" s="6"/>
      <c r="Q737" s="6"/>
      <c r="R737" s="6"/>
      <c r="S737" s="6"/>
    </row>
    <row r="738" ht="22.5" customHeight="1">
      <c r="A738" s="49">
        <v>45879.0</v>
      </c>
      <c r="B738" s="58" t="s">
        <v>206</v>
      </c>
      <c r="C738" s="34" t="s">
        <v>216</v>
      </c>
      <c r="D738" s="55" t="s">
        <v>219</v>
      </c>
      <c r="E738" s="59" t="s">
        <v>215</v>
      </c>
      <c r="F738" s="60">
        <v>0.041666666666666664</v>
      </c>
      <c r="G738" s="29"/>
      <c r="H738" s="6"/>
      <c r="I738" s="6"/>
      <c r="J738" s="6"/>
      <c r="K738" s="6"/>
      <c r="L738" s="6"/>
      <c r="M738" s="6"/>
      <c r="N738" s="6"/>
      <c r="O738" s="6"/>
      <c r="P738" s="6"/>
      <c r="Q738" s="6"/>
      <c r="R738" s="6"/>
      <c r="S738" s="6"/>
    </row>
    <row r="739" ht="22.5" hidden="1" customHeight="1">
      <c r="A739" s="49">
        <v>45880.0</v>
      </c>
      <c r="B739" s="58" t="s">
        <v>206</v>
      </c>
      <c r="C739" s="34" t="s">
        <v>216</v>
      </c>
      <c r="D739" s="55" t="s">
        <v>93</v>
      </c>
      <c r="E739" s="59"/>
      <c r="F739" s="60">
        <v>0.010416666666666666</v>
      </c>
      <c r="G739" s="29"/>
      <c r="H739" s="6"/>
      <c r="I739" s="6"/>
      <c r="J739" s="6"/>
      <c r="K739" s="6"/>
      <c r="L739" s="6"/>
      <c r="M739" s="6"/>
      <c r="N739" s="6"/>
      <c r="O739" s="6"/>
      <c r="P739" s="6"/>
      <c r="Q739" s="6"/>
      <c r="R739" s="6"/>
      <c r="S739" s="6"/>
    </row>
    <row r="740" ht="22.5" hidden="1" customHeight="1">
      <c r="A740" s="49">
        <v>45880.0</v>
      </c>
      <c r="B740" s="58" t="s">
        <v>206</v>
      </c>
      <c r="C740" s="34" t="s">
        <v>216</v>
      </c>
      <c r="D740" s="55" t="s">
        <v>131</v>
      </c>
      <c r="E740" s="59"/>
      <c r="F740" s="60">
        <v>0.003472222222222222</v>
      </c>
      <c r="G740" s="29"/>
      <c r="H740" s="6"/>
      <c r="I740" s="6"/>
      <c r="J740" s="6"/>
      <c r="K740" s="6"/>
      <c r="L740" s="6"/>
      <c r="M740" s="6"/>
      <c r="N740" s="6"/>
      <c r="O740" s="6"/>
      <c r="P740" s="6"/>
      <c r="Q740" s="6"/>
      <c r="R740" s="6"/>
      <c r="S740" s="6"/>
    </row>
    <row r="741" ht="22.5" customHeight="1">
      <c r="A741" s="49">
        <v>45880.0</v>
      </c>
      <c r="B741" s="58" t="s">
        <v>206</v>
      </c>
      <c r="C741" s="34" t="s">
        <v>216</v>
      </c>
      <c r="D741" s="55" t="s">
        <v>219</v>
      </c>
      <c r="E741" s="59" t="s">
        <v>215</v>
      </c>
      <c r="F741" s="60">
        <v>0.041666666666666664</v>
      </c>
      <c r="G741" s="29"/>
      <c r="H741" s="6"/>
      <c r="I741" s="6"/>
      <c r="J741" s="6"/>
      <c r="K741" s="6"/>
      <c r="L741" s="6"/>
      <c r="M741" s="6"/>
      <c r="N741" s="6"/>
      <c r="O741" s="6"/>
      <c r="P741" s="6"/>
      <c r="Q741" s="6"/>
      <c r="R741" s="6"/>
      <c r="S741" s="6"/>
    </row>
    <row r="742" ht="22.5" hidden="1" customHeight="1">
      <c r="A742" s="49">
        <v>45881.0</v>
      </c>
      <c r="B742" s="58" t="s">
        <v>206</v>
      </c>
      <c r="C742" s="34" t="s">
        <v>216</v>
      </c>
      <c r="D742" s="55" t="s">
        <v>93</v>
      </c>
      <c r="E742" s="59"/>
      <c r="F742" s="60">
        <v>0.010416666666666666</v>
      </c>
      <c r="G742" s="29"/>
      <c r="H742" s="6"/>
      <c r="I742" s="6"/>
      <c r="J742" s="6"/>
      <c r="K742" s="6"/>
      <c r="L742" s="6"/>
      <c r="M742" s="6"/>
      <c r="N742" s="6"/>
      <c r="O742" s="6"/>
      <c r="P742" s="6"/>
      <c r="Q742" s="6"/>
      <c r="R742" s="6"/>
      <c r="S742" s="6"/>
    </row>
    <row r="743" ht="22.5" hidden="1" customHeight="1">
      <c r="A743" s="49">
        <v>45881.0</v>
      </c>
      <c r="B743" s="58" t="s">
        <v>206</v>
      </c>
      <c r="C743" s="34" t="s">
        <v>216</v>
      </c>
      <c r="D743" s="55" t="s">
        <v>131</v>
      </c>
      <c r="E743" s="59"/>
      <c r="F743" s="60">
        <v>0.003472222222222222</v>
      </c>
      <c r="G743" s="29"/>
      <c r="H743" s="6"/>
      <c r="I743" s="6"/>
      <c r="J743" s="6"/>
      <c r="K743" s="6"/>
      <c r="L743" s="6"/>
      <c r="M743" s="6"/>
      <c r="N743" s="6"/>
      <c r="O743" s="6"/>
      <c r="P743" s="6"/>
      <c r="Q743" s="6"/>
      <c r="R743" s="6"/>
      <c r="S743" s="6"/>
    </row>
    <row r="744" ht="22.5" customHeight="1">
      <c r="A744" s="49">
        <v>45881.0</v>
      </c>
      <c r="B744" s="58" t="s">
        <v>206</v>
      </c>
      <c r="C744" s="34" t="s">
        <v>216</v>
      </c>
      <c r="D744" s="55" t="s">
        <v>219</v>
      </c>
      <c r="E744" s="59" t="s">
        <v>215</v>
      </c>
      <c r="F744" s="60">
        <v>0.041666666666666664</v>
      </c>
      <c r="G744" s="29"/>
      <c r="H744" s="6"/>
      <c r="I744" s="6"/>
      <c r="J744" s="6"/>
      <c r="K744" s="6"/>
      <c r="L744" s="6"/>
      <c r="M744" s="6"/>
      <c r="N744" s="6"/>
      <c r="O744" s="6"/>
      <c r="P744" s="6"/>
      <c r="Q744" s="6"/>
      <c r="R744" s="6"/>
      <c r="S744" s="6"/>
    </row>
    <row r="745" ht="22.5" hidden="1" customHeight="1">
      <c r="A745" s="49">
        <v>45882.0</v>
      </c>
      <c r="B745" s="58" t="s">
        <v>206</v>
      </c>
      <c r="C745" s="34" t="s">
        <v>216</v>
      </c>
      <c r="D745" s="55" t="s">
        <v>93</v>
      </c>
      <c r="E745" s="59"/>
      <c r="F745" s="60">
        <v>0.010416666666666666</v>
      </c>
      <c r="G745" s="29"/>
      <c r="H745" s="6"/>
      <c r="I745" s="6"/>
      <c r="J745" s="6"/>
      <c r="K745" s="6"/>
      <c r="L745" s="6"/>
      <c r="M745" s="6"/>
      <c r="N745" s="6"/>
      <c r="O745" s="6"/>
      <c r="P745" s="6"/>
      <c r="Q745" s="6"/>
      <c r="R745" s="6"/>
      <c r="S745" s="6"/>
    </row>
    <row r="746" ht="22.5" hidden="1" customHeight="1">
      <c r="A746" s="49">
        <v>45882.0</v>
      </c>
      <c r="B746" s="58" t="s">
        <v>206</v>
      </c>
      <c r="C746" s="34" t="s">
        <v>216</v>
      </c>
      <c r="D746" s="55" t="s">
        <v>131</v>
      </c>
      <c r="E746" s="59"/>
      <c r="F746" s="60">
        <v>0.003472222222222222</v>
      </c>
      <c r="G746" s="29"/>
      <c r="H746" s="6"/>
      <c r="I746" s="6"/>
      <c r="J746" s="6"/>
      <c r="K746" s="6"/>
      <c r="L746" s="6"/>
      <c r="M746" s="6"/>
      <c r="N746" s="6"/>
      <c r="O746" s="6"/>
      <c r="P746" s="6"/>
      <c r="Q746" s="6"/>
      <c r="R746" s="6"/>
      <c r="S746" s="6"/>
    </row>
    <row r="747" ht="22.5" customHeight="1">
      <c r="A747" s="49">
        <v>45882.0</v>
      </c>
      <c r="B747" s="58" t="s">
        <v>206</v>
      </c>
      <c r="C747" s="34" t="s">
        <v>216</v>
      </c>
      <c r="D747" s="55" t="s">
        <v>219</v>
      </c>
      <c r="E747" s="59" t="s">
        <v>215</v>
      </c>
      <c r="F747" s="60">
        <v>0.041666666666666664</v>
      </c>
      <c r="G747" s="29"/>
      <c r="H747" s="6"/>
      <c r="I747" s="6"/>
      <c r="J747" s="6"/>
      <c r="K747" s="6"/>
      <c r="L747" s="6"/>
      <c r="M747" s="6"/>
      <c r="N747" s="6"/>
      <c r="O747" s="6"/>
      <c r="P747" s="6"/>
      <c r="Q747" s="6"/>
      <c r="R747" s="6"/>
      <c r="S747" s="6"/>
    </row>
    <row r="748" ht="22.5" hidden="1" customHeight="1">
      <c r="A748" s="49">
        <v>45883.0</v>
      </c>
      <c r="B748" s="58" t="s">
        <v>206</v>
      </c>
      <c r="C748" s="34" t="s">
        <v>216</v>
      </c>
      <c r="D748" s="55" t="s">
        <v>93</v>
      </c>
      <c r="E748" s="59"/>
      <c r="F748" s="60">
        <v>0.010416666666666666</v>
      </c>
      <c r="G748" s="29"/>
      <c r="H748" s="6"/>
      <c r="I748" s="6"/>
      <c r="J748" s="6"/>
      <c r="K748" s="6"/>
      <c r="L748" s="6"/>
      <c r="M748" s="6"/>
      <c r="N748" s="6"/>
      <c r="O748" s="6"/>
      <c r="P748" s="6"/>
      <c r="Q748" s="6"/>
      <c r="R748" s="6"/>
      <c r="S748" s="6"/>
    </row>
    <row r="749" ht="22.5" hidden="1" customHeight="1">
      <c r="A749" s="49">
        <v>45883.0</v>
      </c>
      <c r="B749" s="58" t="s">
        <v>206</v>
      </c>
      <c r="C749" s="34" t="s">
        <v>216</v>
      </c>
      <c r="D749" s="55" t="s">
        <v>131</v>
      </c>
      <c r="E749" s="59"/>
      <c r="F749" s="60">
        <v>0.003472222222222222</v>
      </c>
      <c r="G749" s="29"/>
      <c r="H749" s="6"/>
      <c r="I749" s="6"/>
      <c r="J749" s="6"/>
      <c r="K749" s="6"/>
      <c r="L749" s="6"/>
      <c r="M749" s="6"/>
      <c r="N749" s="6"/>
      <c r="O749" s="6"/>
      <c r="P749" s="6"/>
      <c r="Q749" s="6"/>
      <c r="R749" s="6"/>
      <c r="S749" s="6"/>
    </row>
    <row r="750" ht="22.5" customHeight="1">
      <c r="A750" s="49">
        <v>45883.0</v>
      </c>
      <c r="B750" s="58" t="s">
        <v>206</v>
      </c>
      <c r="C750" s="34" t="s">
        <v>216</v>
      </c>
      <c r="D750" s="55" t="s">
        <v>219</v>
      </c>
      <c r="E750" s="59" t="s">
        <v>215</v>
      </c>
      <c r="F750" s="60">
        <v>0.041666666666666664</v>
      </c>
      <c r="G750" s="29"/>
      <c r="H750" s="6"/>
      <c r="I750" s="6"/>
      <c r="J750" s="6"/>
      <c r="K750" s="6"/>
      <c r="L750" s="6"/>
      <c r="M750" s="6"/>
      <c r="N750" s="6"/>
      <c r="O750" s="6"/>
      <c r="P750" s="6"/>
      <c r="Q750" s="6"/>
      <c r="R750" s="6"/>
      <c r="S750" s="6"/>
    </row>
    <row r="751" ht="22.5" hidden="1" customHeight="1">
      <c r="A751" s="49">
        <v>45884.0</v>
      </c>
      <c r="B751" s="58" t="s">
        <v>206</v>
      </c>
      <c r="C751" s="34" t="s">
        <v>216</v>
      </c>
      <c r="D751" s="55" t="s">
        <v>93</v>
      </c>
      <c r="E751" s="59"/>
      <c r="F751" s="60">
        <v>0.010416666666666666</v>
      </c>
      <c r="G751" s="29"/>
      <c r="H751" s="6"/>
      <c r="I751" s="6"/>
      <c r="J751" s="6"/>
      <c r="K751" s="6"/>
      <c r="L751" s="6"/>
      <c r="M751" s="6"/>
      <c r="N751" s="6"/>
      <c r="O751" s="6"/>
      <c r="P751" s="6"/>
      <c r="Q751" s="6"/>
      <c r="R751" s="6"/>
      <c r="S751" s="6"/>
    </row>
    <row r="752" ht="22.5" hidden="1" customHeight="1">
      <c r="A752" s="49">
        <v>45884.0</v>
      </c>
      <c r="B752" s="58" t="s">
        <v>206</v>
      </c>
      <c r="C752" s="34" t="s">
        <v>216</v>
      </c>
      <c r="D752" s="55" t="s">
        <v>131</v>
      </c>
      <c r="E752" s="59"/>
      <c r="F752" s="60">
        <v>0.003472222222222222</v>
      </c>
      <c r="G752" s="29"/>
      <c r="H752" s="6"/>
      <c r="I752" s="6"/>
      <c r="J752" s="6"/>
      <c r="K752" s="6"/>
      <c r="L752" s="6"/>
      <c r="M752" s="6"/>
      <c r="N752" s="6"/>
      <c r="O752" s="6"/>
      <c r="P752" s="6"/>
      <c r="Q752" s="6"/>
      <c r="R752" s="6"/>
      <c r="S752" s="6"/>
    </row>
    <row r="753" ht="22.5" customHeight="1">
      <c r="A753" s="49">
        <v>45884.0</v>
      </c>
      <c r="B753" s="58" t="s">
        <v>206</v>
      </c>
      <c r="C753" s="34" t="s">
        <v>216</v>
      </c>
      <c r="D753" s="55" t="s">
        <v>219</v>
      </c>
      <c r="E753" s="59" t="s">
        <v>215</v>
      </c>
      <c r="F753" s="60">
        <v>0.041666666666666664</v>
      </c>
      <c r="G753" s="29"/>
      <c r="H753" s="6"/>
      <c r="I753" s="6"/>
      <c r="J753" s="6"/>
      <c r="K753" s="6"/>
      <c r="L753" s="6"/>
      <c r="M753" s="6"/>
      <c r="N753" s="6"/>
      <c r="O753" s="6"/>
      <c r="P753" s="6"/>
      <c r="Q753" s="6"/>
      <c r="R753" s="6"/>
      <c r="S753" s="6"/>
    </row>
    <row r="754" ht="22.5" hidden="1" customHeight="1">
      <c r="A754" s="49">
        <v>45885.0</v>
      </c>
      <c r="B754" s="58" t="s">
        <v>206</v>
      </c>
      <c r="C754" s="34" t="s">
        <v>216</v>
      </c>
      <c r="D754" s="55" t="s">
        <v>93</v>
      </c>
      <c r="E754" s="59"/>
      <c r="F754" s="60">
        <v>0.010416666666666666</v>
      </c>
      <c r="G754" s="29"/>
      <c r="H754" s="6"/>
      <c r="I754" s="6"/>
      <c r="J754" s="6"/>
      <c r="K754" s="6"/>
      <c r="L754" s="6"/>
      <c r="M754" s="6"/>
      <c r="N754" s="6"/>
      <c r="O754" s="6"/>
      <c r="P754" s="6"/>
      <c r="Q754" s="6"/>
      <c r="R754" s="6"/>
      <c r="S754" s="6"/>
    </row>
    <row r="755" ht="22.5" hidden="1" customHeight="1">
      <c r="A755" s="49">
        <v>45885.0</v>
      </c>
      <c r="B755" s="58" t="s">
        <v>206</v>
      </c>
      <c r="C755" s="34" t="s">
        <v>216</v>
      </c>
      <c r="D755" s="55" t="s">
        <v>131</v>
      </c>
      <c r="E755" s="59"/>
      <c r="F755" s="60">
        <v>0.003472222222222222</v>
      </c>
      <c r="G755" s="29"/>
      <c r="H755" s="6"/>
      <c r="I755" s="6"/>
      <c r="J755" s="6"/>
      <c r="K755" s="6"/>
      <c r="L755" s="6"/>
      <c r="M755" s="6"/>
      <c r="N755" s="6"/>
      <c r="O755" s="6"/>
      <c r="P755" s="6"/>
      <c r="Q755" s="6"/>
      <c r="R755" s="6"/>
      <c r="S755" s="6"/>
    </row>
    <row r="756" ht="22.5" customHeight="1">
      <c r="A756" s="49">
        <v>45885.0</v>
      </c>
      <c r="B756" s="58" t="s">
        <v>206</v>
      </c>
      <c r="C756" s="34" t="s">
        <v>216</v>
      </c>
      <c r="D756" s="55" t="s">
        <v>219</v>
      </c>
      <c r="E756" s="59" t="s">
        <v>215</v>
      </c>
      <c r="F756" s="60">
        <v>0.041666666666666664</v>
      </c>
      <c r="G756" s="29"/>
      <c r="H756" s="6"/>
      <c r="I756" s="6"/>
      <c r="J756" s="6"/>
      <c r="K756" s="6"/>
      <c r="L756" s="6"/>
      <c r="M756" s="6"/>
      <c r="N756" s="6"/>
      <c r="O756" s="6"/>
      <c r="P756" s="6"/>
      <c r="Q756" s="6"/>
      <c r="R756" s="6"/>
      <c r="S756" s="6"/>
    </row>
    <row r="757" ht="22.5" hidden="1" customHeight="1">
      <c r="A757" s="49">
        <v>45886.0</v>
      </c>
      <c r="B757" s="58" t="s">
        <v>206</v>
      </c>
      <c r="C757" s="34" t="s">
        <v>216</v>
      </c>
      <c r="D757" s="55" t="s">
        <v>93</v>
      </c>
      <c r="E757" s="59"/>
      <c r="F757" s="60">
        <v>0.010416666666666666</v>
      </c>
      <c r="G757" s="29"/>
      <c r="H757" s="6"/>
      <c r="I757" s="6"/>
      <c r="J757" s="6"/>
      <c r="K757" s="6"/>
      <c r="L757" s="6"/>
      <c r="M757" s="6"/>
      <c r="N757" s="6"/>
      <c r="O757" s="6"/>
      <c r="P757" s="6"/>
      <c r="Q757" s="6"/>
      <c r="R757" s="6"/>
      <c r="S757" s="6"/>
    </row>
    <row r="758" ht="22.5" hidden="1" customHeight="1">
      <c r="A758" s="49">
        <v>45886.0</v>
      </c>
      <c r="B758" s="58" t="s">
        <v>206</v>
      </c>
      <c r="C758" s="34" t="s">
        <v>216</v>
      </c>
      <c r="D758" s="55" t="s">
        <v>131</v>
      </c>
      <c r="E758" s="59"/>
      <c r="F758" s="60">
        <v>0.003472222222222222</v>
      </c>
      <c r="G758" s="29"/>
      <c r="H758" s="6"/>
      <c r="I758" s="6"/>
      <c r="J758" s="6"/>
      <c r="K758" s="6"/>
      <c r="L758" s="6"/>
      <c r="M758" s="6"/>
      <c r="N758" s="6"/>
      <c r="O758" s="6"/>
      <c r="P758" s="6"/>
      <c r="Q758" s="6"/>
      <c r="R758" s="6"/>
      <c r="S758" s="6"/>
    </row>
    <row r="759" ht="22.5" customHeight="1">
      <c r="A759" s="49">
        <v>45886.0</v>
      </c>
      <c r="B759" s="58" t="s">
        <v>206</v>
      </c>
      <c r="C759" s="34" t="s">
        <v>216</v>
      </c>
      <c r="D759" s="55" t="s">
        <v>219</v>
      </c>
      <c r="E759" s="59" t="s">
        <v>215</v>
      </c>
      <c r="F759" s="60">
        <v>0.041666666666666664</v>
      </c>
      <c r="G759" s="29"/>
      <c r="H759" s="6"/>
      <c r="I759" s="6"/>
      <c r="J759" s="6"/>
      <c r="K759" s="6"/>
      <c r="L759" s="6"/>
      <c r="M759" s="6"/>
      <c r="N759" s="6"/>
      <c r="O759" s="6"/>
      <c r="P759" s="6"/>
      <c r="Q759" s="6"/>
      <c r="R759" s="6"/>
      <c r="S759" s="6"/>
    </row>
    <row r="760" ht="22.5" hidden="1" customHeight="1">
      <c r="A760" s="49">
        <v>45887.0</v>
      </c>
      <c r="B760" s="58" t="s">
        <v>206</v>
      </c>
      <c r="C760" s="34" t="s">
        <v>216</v>
      </c>
      <c r="D760" s="55" t="s">
        <v>93</v>
      </c>
      <c r="E760" s="59"/>
      <c r="F760" s="60">
        <v>0.010416666666666666</v>
      </c>
      <c r="G760" s="29"/>
      <c r="H760" s="6"/>
      <c r="I760" s="6"/>
      <c r="J760" s="6"/>
      <c r="K760" s="6"/>
      <c r="L760" s="6"/>
      <c r="M760" s="6"/>
      <c r="N760" s="6"/>
      <c r="O760" s="6"/>
      <c r="P760" s="6"/>
      <c r="Q760" s="6"/>
      <c r="R760" s="6"/>
      <c r="S760" s="6"/>
    </row>
    <row r="761" ht="22.5" hidden="1" customHeight="1">
      <c r="A761" s="49">
        <v>45887.0</v>
      </c>
      <c r="B761" s="58" t="s">
        <v>206</v>
      </c>
      <c r="C761" s="34" t="s">
        <v>216</v>
      </c>
      <c r="D761" s="55" t="s">
        <v>131</v>
      </c>
      <c r="E761" s="59"/>
      <c r="F761" s="60">
        <v>0.003472222222222222</v>
      </c>
      <c r="G761" s="29"/>
      <c r="H761" s="6"/>
      <c r="I761" s="6"/>
      <c r="J761" s="6"/>
      <c r="K761" s="6"/>
      <c r="L761" s="6"/>
      <c r="M761" s="6"/>
      <c r="N761" s="6"/>
      <c r="O761" s="6"/>
      <c r="P761" s="6"/>
      <c r="Q761" s="6"/>
      <c r="R761" s="6"/>
      <c r="S761" s="6"/>
    </row>
    <row r="762" ht="22.5" customHeight="1">
      <c r="A762" s="49">
        <v>45887.0</v>
      </c>
      <c r="B762" s="58" t="s">
        <v>206</v>
      </c>
      <c r="C762" s="34" t="s">
        <v>216</v>
      </c>
      <c r="D762" s="55" t="s">
        <v>219</v>
      </c>
      <c r="E762" s="59" t="s">
        <v>215</v>
      </c>
      <c r="F762" s="60">
        <v>0.041666666666666664</v>
      </c>
      <c r="G762" s="29"/>
      <c r="H762" s="6"/>
      <c r="I762" s="6"/>
      <c r="J762" s="6"/>
      <c r="K762" s="6"/>
      <c r="L762" s="6"/>
      <c r="M762" s="6"/>
      <c r="N762" s="6"/>
      <c r="O762" s="6"/>
      <c r="P762" s="6"/>
      <c r="Q762" s="6"/>
      <c r="R762" s="6"/>
      <c r="S762" s="6"/>
    </row>
    <row r="763" ht="22.5" hidden="1" customHeight="1">
      <c r="A763" s="49">
        <v>45888.0</v>
      </c>
      <c r="B763" s="58" t="s">
        <v>206</v>
      </c>
      <c r="C763" s="34" t="s">
        <v>216</v>
      </c>
      <c r="D763" s="55" t="s">
        <v>93</v>
      </c>
      <c r="E763" s="59"/>
      <c r="F763" s="60">
        <v>0.010416666666666666</v>
      </c>
      <c r="G763" s="29"/>
      <c r="H763" s="6"/>
      <c r="I763" s="6"/>
      <c r="J763" s="6"/>
      <c r="K763" s="6"/>
      <c r="L763" s="6"/>
      <c r="M763" s="6"/>
      <c r="N763" s="6"/>
      <c r="O763" s="6"/>
      <c r="P763" s="6"/>
      <c r="Q763" s="6"/>
      <c r="R763" s="6"/>
      <c r="S763" s="6"/>
    </row>
    <row r="764" ht="22.5" hidden="1" customHeight="1">
      <c r="A764" s="49">
        <v>45888.0</v>
      </c>
      <c r="B764" s="58" t="s">
        <v>206</v>
      </c>
      <c r="C764" s="34" t="s">
        <v>216</v>
      </c>
      <c r="D764" s="55" t="s">
        <v>131</v>
      </c>
      <c r="E764" s="59"/>
      <c r="F764" s="60">
        <v>0.003472222222222222</v>
      </c>
      <c r="G764" s="29"/>
      <c r="H764" s="6"/>
      <c r="I764" s="6"/>
      <c r="J764" s="6"/>
      <c r="K764" s="6"/>
      <c r="L764" s="6"/>
      <c r="M764" s="6"/>
      <c r="N764" s="6"/>
      <c r="O764" s="6"/>
      <c r="P764" s="6"/>
      <c r="Q764" s="6"/>
      <c r="R764" s="6"/>
      <c r="S764" s="6"/>
    </row>
    <row r="765" ht="22.5" customHeight="1">
      <c r="A765" s="49">
        <v>45888.0</v>
      </c>
      <c r="B765" s="58" t="s">
        <v>206</v>
      </c>
      <c r="C765" s="34" t="s">
        <v>216</v>
      </c>
      <c r="D765" s="55" t="s">
        <v>219</v>
      </c>
      <c r="E765" s="59" t="s">
        <v>215</v>
      </c>
      <c r="F765" s="60">
        <v>0.041666666666666664</v>
      </c>
      <c r="G765" s="29"/>
      <c r="H765" s="6"/>
      <c r="I765" s="6"/>
      <c r="J765" s="6"/>
      <c r="K765" s="6"/>
      <c r="L765" s="6"/>
      <c r="M765" s="6"/>
      <c r="N765" s="6"/>
      <c r="O765" s="6"/>
      <c r="P765" s="6"/>
      <c r="Q765" s="6"/>
      <c r="R765" s="6"/>
      <c r="S765" s="6"/>
    </row>
    <row r="766" ht="22.5" hidden="1" customHeight="1">
      <c r="A766" s="49">
        <v>45889.0</v>
      </c>
      <c r="B766" s="58" t="s">
        <v>206</v>
      </c>
      <c r="C766" s="34" t="s">
        <v>216</v>
      </c>
      <c r="D766" s="55" t="s">
        <v>93</v>
      </c>
      <c r="E766" s="59"/>
      <c r="F766" s="60">
        <v>0.010416666666666666</v>
      </c>
      <c r="G766" s="29"/>
      <c r="H766" s="6"/>
      <c r="I766" s="6"/>
      <c r="J766" s="6"/>
      <c r="K766" s="6"/>
      <c r="L766" s="6"/>
      <c r="M766" s="6"/>
      <c r="N766" s="6"/>
      <c r="O766" s="6"/>
      <c r="P766" s="6"/>
      <c r="Q766" s="6"/>
      <c r="R766" s="6"/>
      <c r="S766" s="6"/>
    </row>
    <row r="767" ht="22.5" hidden="1" customHeight="1">
      <c r="A767" s="49">
        <v>45889.0</v>
      </c>
      <c r="B767" s="58" t="s">
        <v>206</v>
      </c>
      <c r="C767" s="34" t="s">
        <v>216</v>
      </c>
      <c r="D767" s="55" t="s">
        <v>131</v>
      </c>
      <c r="E767" s="59"/>
      <c r="F767" s="60">
        <v>0.003472222222222222</v>
      </c>
      <c r="G767" s="29"/>
      <c r="H767" s="6"/>
      <c r="I767" s="6"/>
      <c r="J767" s="6"/>
      <c r="K767" s="6"/>
      <c r="L767" s="6"/>
      <c r="M767" s="6"/>
      <c r="N767" s="6"/>
      <c r="O767" s="6"/>
      <c r="P767" s="6"/>
      <c r="Q767" s="6"/>
      <c r="R767" s="6"/>
      <c r="S767" s="6"/>
    </row>
    <row r="768" ht="22.5" customHeight="1">
      <c r="A768" s="49">
        <v>45889.0</v>
      </c>
      <c r="B768" s="58" t="s">
        <v>206</v>
      </c>
      <c r="C768" s="34" t="s">
        <v>216</v>
      </c>
      <c r="D768" s="55" t="s">
        <v>219</v>
      </c>
      <c r="E768" s="59" t="s">
        <v>215</v>
      </c>
      <c r="F768" s="60">
        <v>0.041666666666666664</v>
      </c>
      <c r="G768" s="29"/>
      <c r="H768" s="6"/>
      <c r="I768" s="6"/>
      <c r="J768" s="6"/>
      <c r="K768" s="6"/>
      <c r="L768" s="6"/>
      <c r="M768" s="6"/>
      <c r="N768" s="6"/>
      <c r="O768" s="6"/>
      <c r="P768" s="6"/>
      <c r="Q768" s="6"/>
      <c r="R768" s="6"/>
      <c r="S768" s="6"/>
    </row>
    <row r="769" ht="22.5" hidden="1" customHeight="1">
      <c r="A769" s="49">
        <v>45890.0</v>
      </c>
      <c r="B769" s="58" t="s">
        <v>206</v>
      </c>
      <c r="C769" s="34" t="s">
        <v>216</v>
      </c>
      <c r="D769" s="55" t="s">
        <v>93</v>
      </c>
      <c r="E769" s="59"/>
      <c r="F769" s="60">
        <v>0.010416666666666666</v>
      </c>
      <c r="G769" s="29"/>
      <c r="H769" s="6"/>
      <c r="I769" s="6"/>
      <c r="J769" s="6"/>
      <c r="K769" s="6"/>
      <c r="L769" s="6"/>
      <c r="M769" s="6"/>
      <c r="N769" s="6"/>
      <c r="O769" s="6"/>
      <c r="P769" s="6"/>
      <c r="Q769" s="6"/>
      <c r="R769" s="6"/>
      <c r="S769" s="6"/>
    </row>
    <row r="770" ht="22.5" hidden="1" customHeight="1">
      <c r="A770" s="49">
        <v>45890.0</v>
      </c>
      <c r="B770" s="58" t="s">
        <v>206</v>
      </c>
      <c r="C770" s="34" t="s">
        <v>216</v>
      </c>
      <c r="D770" s="55" t="s">
        <v>131</v>
      </c>
      <c r="E770" s="59"/>
      <c r="F770" s="60">
        <v>0.003472222222222222</v>
      </c>
      <c r="G770" s="29"/>
      <c r="H770" s="6"/>
      <c r="I770" s="6"/>
      <c r="J770" s="6"/>
      <c r="K770" s="6"/>
      <c r="L770" s="6"/>
      <c r="M770" s="6"/>
      <c r="N770" s="6"/>
      <c r="O770" s="6"/>
      <c r="P770" s="6"/>
      <c r="Q770" s="6"/>
      <c r="R770" s="6"/>
      <c r="S770" s="6"/>
    </row>
    <row r="771" ht="22.5" customHeight="1">
      <c r="A771" s="49">
        <v>45890.0</v>
      </c>
      <c r="B771" s="58" t="s">
        <v>206</v>
      </c>
      <c r="C771" s="34" t="s">
        <v>216</v>
      </c>
      <c r="D771" s="55" t="s">
        <v>219</v>
      </c>
      <c r="E771" s="59" t="s">
        <v>215</v>
      </c>
      <c r="F771" s="60">
        <v>0.041666666666666664</v>
      </c>
      <c r="G771" s="29"/>
      <c r="H771" s="6"/>
      <c r="I771" s="6"/>
      <c r="J771" s="6"/>
      <c r="K771" s="6"/>
      <c r="L771" s="6"/>
      <c r="M771" s="6"/>
      <c r="N771" s="6"/>
      <c r="O771" s="6"/>
      <c r="P771" s="6"/>
      <c r="Q771" s="6"/>
      <c r="R771" s="6"/>
      <c r="S771" s="6"/>
    </row>
    <row r="772" ht="22.5" hidden="1" customHeight="1">
      <c r="A772" s="49">
        <v>45891.0</v>
      </c>
      <c r="B772" s="58" t="s">
        <v>206</v>
      </c>
      <c r="C772" s="34" t="s">
        <v>216</v>
      </c>
      <c r="D772" s="55" t="s">
        <v>93</v>
      </c>
      <c r="E772" s="59"/>
      <c r="F772" s="60">
        <v>0.010416666666666666</v>
      </c>
      <c r="G772" s="29"/>
      <c r="H772" s="6"/>
      <c r="I772" s="6"/>
      <c r="J772" s="6"/>
      <c r="K772" s="6"/>
      <c r="L772" s="6"/>
      <c r="M772" s="6"/>
      <c r="N772" s="6"/>
      <c r="O772" s="6"/>
      <c r="P772" s="6"/>
      <c r="Q772" s="6"/>
      <c r="R772" s="6"/>
      <c r="S772" s="6"/>
    </row>
    <row r="773" ht="22.5" hidden="1" customHeight="1">
      <c r="A773" s="49">
        <v>45891.0</v>
      </c>
      <c r="B773" s="58" t="s">
        <v>206</v>
      </c>
      <c r="C773" s="34" t="s">
        <v>216</v>
      </c>
      <c r="D773" s="55" t="s">
        <v>131</v>
      </c>
      <c r="E773" s="59"/>
      <c r="F773" s="60">
        <v>0.003472222222222222</v>
      </c>
      <c r="G773" s="29"/>
      <c r="H773" s="6"/>
      <c r="I773" s="6"/>
      <c r="J773" s="6"/>
      <c r="K773" s="6"/>
      <c r="L773" s="6"/>
      <c r="M773" s="6"/>
      <c r="N773" s="6"/>
      <c r="O773" s="6"/>
      <c r="P773" s="6"/>
      <c r="Q773" s="6"/>
      <c r="R773" s="6"/>
      <c r="S773" s="6"/>
    </row>
    <row r="774" ht="22.5" customHeight="1">
      <c r="A774" s="49">
        <v>45891.0</v>
      </c>
      <c r="B774" s="58" t="s">
        <v>206</v>
      </c>
      <c r="C774" s="34" t="s">
        <v>216</v>
      </c>
      <c r="D774" s="55" t="s">
        <v>219</v>
      </c>
      <c r="E774" s="59" t="s">
        <v>215</v>
      </c>
      <c r="F774" s="60">
        <v>0.041666666666666664</v>
      </c>
      <c r="G774" s="29"/>
      <c r="H774" s="6"/>
      <c r="I774" s="6"/>
      <c r="J774" s="6"/>
      <c r="K774" s="6"/>
      <c r="L774" s="6"/>
      <c r="M774" s="6"/>
      <c r="N774" s="6"/>
      <c r="O774" s="6"/>
      <c r="P774" s="6"/>
      <c r="Q774" s="6"/>
      <c r="R774" s="6"/>
      <c r="S774" s="6"/>
    </row>
    <row r="775" ht="22.5" hidden="1" customHeight="1">
      <c r="A775" s="49">
        <v>45892.0</v>
      </c>
      <c r="B775" s="58" t="s">
        <v>206</v>
      </c>
      <c r="C775" s="34" t="s">
        <v>216</v>
      </c>
      <c r="D775" s="55" t="s">
        <v>93</v>
      </c>
      <c r="E775" s="59"/>
      <c r="F775" s="60">
        <v>0.010416666666666666</v>
      </c>
      <c r="G775" s="29"/>
      <c r="H775" s="6"/>
      <c r="I775" s="6"/>
      <c r="J775" s="6"/>
      <c r="K775" s="6"/>
      <c r="L775" s="6"/>
      <c r="M775" s="6"/>
      <c r="N775" s="6"/>
      <c r="O775" s="6"/>
      <c r="P775" s="6"/>
      <c r="Q775" s="6"/>
      <c r="R775" s="6"/>
      <c r="S775" s="6"/>
    </row>
    <row r="776" ht="22.5" hidden="1" customHeight="1">
      <c r="A776" s="49">
        <v>45892.0</v>
      </c>
      <c r="B776" s="58" t="s">
        <v>206</v>
      </c>
      <c r="C776" s="34" t="s">
        <v>216</v>
      </c>
      <c r="D776" s="55" t="s">
        <v>131</v>
      </c>
      <c r="E776" s="59"/>
      <c r="F776" s="60">
        <v>0.003472222222222222</v>
      </c>
      <c r="G776" s="29"/>
      <c r="H776" s="6"/>
      <c r="I776" s="6"/>
      <c r="J776" s="6"/>
      <c r="K776" s="6"/>
      <c r="L776" s="6"/>
      <c r="M776" s="6"/>
      <c r="N776" s="6"/>
      <c r="O776" s="6"/>
      <c r="P776" s="6"/>
      <c r="Q776" s="6"/>
      <c r="R776" s="6"/>
      <c r="S776" s="6"/>
    </row>
    <row r="777" ht="22.5" customHeight="1">
      <c r="A777" s="49">
        <v>45892.0</v>
      </c>
      <c r="B777" s="58" t="s">
        <v>206</v>
      </c>
      <c r="C777" s="34" t="s">
        <v>216</v>
      </c>
      <c r="D777" s="55" t="s">
        <v>219</v>
      </c>
      <c r="E777" s="59" t="s">
        <v>215</v>
      </c>
      <c r="F777" s="60">
        <v>0.041666666666666664</v>
      </c>
      <c r="G777" s="29"/>
      <c r="H777" s="6"/>
      <c r="I777" s="6"/>
      <c r="J777" s="6"/>
      <c r="K777" s="6"/>
      <c r="L777" s="6"/>
      <c r="M777" s="6"/>
      <c r="N777" s="6"/>
      <c r="O777" s="6"/>
      <c r="P777" s="6"/>
      <c r="Q777" s="6"/>
      <c r="R777" s="6"/>
      <c r="S777" s="6"/>
    </row>
    <row r="778" ht="22.5" hidden="1" customHeight="1">
      <c r="A778" s="49">
        <v>45893.0</v>
      </c>
      <c r="B778" s="58" t="s">
        <v>206</v>
      </c>
      <c r="C778" s="34" t="s">
        <v>216</v>
      </c>
      <c r="D778" s="55" t="s">
        <v>93</v>
      </c>
      <c r="E778" s="59"/>
      <c r="F778" s="60">
        <v>0.010416666666666666</v>
      </c>
      <c r="G778" s="29"/>
      <c r="H778" s="6"/>
      <c r="I778" s="6"/>
      <c r="J778" s="6"/>
      <c r="K778" s="6"/>
      <c r="L778" s="6"/>
      <c r="M778" s="6"/>
      <c r="N778" s="6"/>
      <c r="O778" s="6"/>
      <c r="P778" s="6"/>
      <c r="Q778" s="6"/>
      <c r="R778" s="6"/>
      <c r="S778" s="6"/>
    </row>
    <row r="779" ht="22.5" hidden="1" customHeight="1">
      <c r="A779" s="49">
        <v>45893.0</v>
      </c>
      <c r="B779" s="58" t="s">
        <v>206</v>
      </c>
      <c r="C779" s="34" t="s">
        <v>216</v>
      </c>
      <c r="D779" s="55" t="s">
        <v>131</v>
      </c>
      <c r="E779" s="59"/>
      <c r="F779" s="60">
        <v>0.003472222222222222</v>
      </c>
      <c r="G779" s="29"/>
      <c r="H779" s="6"/>
      <c r="I779" s="6"/>
      <c r="J779" s="6"/>
      <c r="K779" s="6"/>
      <c r="L779" s="6"/>
      <c r="M779" s="6"/>
      <c r="N779" s="6"/>
      <c r="O779" s="6"/>
      <c r="P779" s="6"/>
      <c r="Q779" s="6"/>
      <c r="R779" s="6"/>
      <c r="S779" s="6"/>
    </row>
    <row r="780" ht="22.5" customHeight="1">
      <c r="A780" s="49">
        <v>45893.0</v>
      </c>
      <c r="B780" s="58" t="s">
        <v>206</v>
      </c>
      <c r="C780" s="34" t="s">
        <v>216</v>
      </c>
      <c r="D780" s="55" t="s">
        <v>219</v>
      </c>
      <c r="E780" s="59" t="s">
        <v>215</v>
      </c>
      <c r="F780" s="60">
        <v>0.041666666666666664</v>
      </c>
      <c r="G780" s="29"/>
      <c r="H780" s="6"/>
      <c r="I780" s="6"/>
      <c r="J780" s="6"/>
      <c r="K780" s="6"/>
      <c r="L780" s="6"/>
      <c r="M780" s="6"/>
      <c r="N780" s="6"/>
      <c r="O780" s="6"/>
      <c r="P780" s="6"/>
      <c r="Q780" s="6"/>
      <c r="R780" s="6"/>
      <c r="S780" s="6"/>
    </row>
    <row r="781" ht="22.5" hidden="1" customHeight="1">
      <c r="A781" s="49">
        <v>45894.0</v>
      </c>
      <c r="B781" s="58" t="s">
        <v>206</v>
      </c>
      <c r="C781" s="34" t="s">
        <v>216</v>
      </c>
      <c r="D781" s="55" t="s">
        <v>93</v>
      </c>
      <c r="E781" s="59"/>
      <c r="F781" s="60">
        <v>0.010416666666666666</v>
      </c>
      <c r="G781" s="29"/>
      <c r="H781" s="6"/>
      <c r="I781" s="6"/>
      <c r="J781" s="6"/>
      <c r="K781" s="6"/>
      <c r="L781" s="6"/>
      <c r="M781" s="6"/>
      <c r="N781" s="6"/>
      <c r="O781" s="6"/>
      <c r="P781" s="6"/>
      <c r="Q781" s="6"/>
      <c r="R781" s="6"/>
      <c r="S781" s="6"/>
    </row>
    <row r="782" ht="22.5" hidden="1" customHeight="1">
      <c r="A782" s="49">
        <v>45894.0</v>
      </c>
      <c r="B782" s="58" t="s">
        <v>206</v>
      </c>
      <c r="C782" s="34" t="s">
        <v>216</v>
      </c>
      <c r="D782" s="55" t="s">
        <v>131</v>
      </c>
      <c r="E782" s="59"/>
      <c r="F782" s="60">
        <v>0.003472222222222222</v>
      </c>
      <c r="G782" s="29"/>
      <c r="H782" s="6"/>
      <c r="I782" s="6"/>
      <c r="J782" s="6"/>
      <c r="K782" s="6"/>
      <c r="L782" s="6"/>
      <c r="M782" s="6"/>
      <c r="N782" s="6"/>
      <c r="O782" s="6"/>
      <c r="P782" s="6"/>
      <c r="Q782" s="6"/>
      <c r="R782" s="6"/>
      <c r="S782" s="6"/>
    </row>
    <row r="783" ht="22.5" customHeight="1">
      <c r="A783" s="49">
        <v>45894.0</v>
      </c>
      <c r="B783" s="58" t="s">
        <v>206</v>
      </c>
      <c r="C783" s="34" t="s">
        <v>216</v>
      </c>
      <c r="D783" s="55" t="s">
        <v>219</v>
      </c>
      <c r="E783" s="59" t="s">
        <v>215</v>
      </c>
      <c r="F783" s="60">
        <v>0.041666666666666664</v>
      </c>
      <c r="G783" s="29"/>
      <c r="H783" s="6"/>
      <c r="I783" s="6"/>
      <c r="J783" s="6"/>
      <c r="K783" s="6"/>
      <c r="L783" s="6"/>
      <c r="M783" s="6"/>
      <c r="N783" s="6"/>
      <c r="O783" s="6"/>
      <c r="P783" s="6"/>
      <c r="Q783" s="6"/>
      <c r="R783" s="6"/>
      <c r="S783" s="6"/>
    </row>
    <row r="784" ht="22.5" hidden="1" customHeight="1">
      <c r="A784" s="49">
        <v>45895.0</v>
      </c>
      <c r="B784" s="58" t="s">
        <v>206</v>
      </c>
      <c r="C784" s="34" t="s">
        <v>216</v>
      </c>
      <c r="D784" s="55" t="s">
        <v>93</v>
      </c>
      <c r="E784" s="59"/>
      <c r="F784" s="60">
        <v>0.010416666666666666</v>
      </c>
      <c r="G784" s="29"/>
      <c r="H784" s="6"/>
      <c r="I784" s="6"/>
      <c r="J784" s="6"/>
      <c r="K784" s="6"/>
      <c r="L784" s="6"/>
      <c r="M784" s="6"/>
      <c r="N784" s="6"/>
      <c r="O784" s="6"/>
      <c r="P784" s="6"/>
      <c r="Q784" s="6"/>
      <c r="R784" s="6"/>
      <c r="S784" s="6"/>
    </row>
    <row r="785" ht="22.5" hidden="1" customHeight="1">
      <c r="A785" s="49">
        <v>45895.0</v>
      </c>
      <c r="B785" s="58" t="s">
        <v>206</v>
      </c>
      <c r="C785" s="34" t="s">
        <v>216</v>
      </c>
      <c r="D785" s="55" t="s">
        <v>131</v>
      </c>
      <c r="E785" s="59"/>
      <c r="F785" s="60">
        <v>0.003472222222222222</v>
      </c>
      <c r="G785" s="29"/>
      <c r="H785" s="6"/>
      <c r="I785" s="6"/>
      <c r="J785" s="6"/>
      <c r="K785" s="6"/>
      <c r="L785" s="6"/>
      <c r="M785" s="6"/>
      <c r="N785" s="6"/>
      <c r="O785" s="6"/>
      <c r="P785" s="6"/>
      <c r="Q785" s="6"/>
      <c r="R785" s="6"/>
      <c r="S785" s="6"/>
    </row>
    <row r="786" ht="22.5" customHeight="1">
      <c r="A786" s="49">
        <v>45895.0</v>
      </c>
      <c r="B786" s="58" t="s">
        <v>206</v>
      </c>
      <c r="C786" s="34" t="s">
        <v>216</v>
      </c>
      <c r="D786" s="55" t="s">
        <v>219</v>
      </c>
      <c r="E786" s="59" t="s">
        <v>215</v>
      </c>
      <c r="F786" s="60">
        <v>0.041666666666666664</v>
      </c>
      <c r="G786" s="29"/>
      <c r="H786" s="6"/>
      <c r="I786" s="6"/>
      <c r="J786" s="6"/>
      <c r="K786" s="6"/>
      <c r="L786" s="6"/>
      <c r="M786" s="6"/>
      <c r="N786" s="6"/>
      <c r="O786" s="6"/>
      <c r="P786" s="6"/>
      <c r="Q786" s="6"/>
      <c r="R786" s="6"/>
      <c r="S786" s="6"/>
    </row>
    <row r="787" ht="22.5" hidden="1" customHeight="1">
      <c r="A787" s="49">
        <v>45896.0</v>
      </c>
      <c r="B787" s="58" t="s">
        <v>206</v>
      </c>
      <c r="C787" s="34" t="s">
        <v>216</v>
      </c>
      <c r="D787" s="55" t="s">
        <v>93</v>
      </c>
      <c r="E787" s="59"/>
      <c r="F787" s="60">
        <v>0.010416666666666666</v>
      </c>
      <c r="G787" s="29"/>
      <c r="H787" s="6"/>
      <c r="I787" s="6"/>
      <c r="J787" s="6"/>
      <c r="K787" s="6"/>
      <c r="L787" s="6"/>
      <c r="M787" s="6"/>
      <c r="N787" s="6"/>
      <c r="O787" s="6"/>
      <c r="P787" s="6"/>
      <c r="Q787" s="6"/>
      <c r="R787" s="6"/>
      <c r="S787" s="6"/>
    </row>
    <row r="788" ht="22.5" hidden="1" customHeight="1">
      <c r="A788" s="49">
        <v>45896.0</v>
      </c>
      <c r="B788" s="58" t="s">
        <v>206</v>
      </c>
      <c r="C788" s="34" t="s">
        <v>216</v>
      </c>
      <c r="D788" s="55" t="s">
        <v>131</v>
      </c>
      <c r="E788" s="59"/>
      <c r="F788" s="60">
        <v>0.003472222222222222</v>
      </c>
      <c r="G788" s="29"/>
      <c r="H788" s="6"/>
      <c r="I788" s="6"/>
      <c r="J788" s="6"/>
      <c r="K788" s="6"/>
      <c r="L788" s="6"/>
      <c r="M788" s="6"/>
      <c r="N788" s="6"/>
      <c r="O788" s="6"/>
      <c r="P788" s="6"/>
      <c r="Q788" s="6"/>
      <c r="R788" s="6"/>
      <c r="S788" s="6"/>
    </row>
    <row r="789" ht="22.5" customHeight="1">
      <c r="A789" s="49">
        <v>45896.0</v>
      </c>
      <c r="B789" s="58" t="s">
        <v>206</v>
      </c>
      <c r="C789" s="34" t="s">
        <v>216</v>
      </c>
      <c r="D789" s="55" t="s">
        <v>219</v>
      </c>
      <c r="E789" s="59" t="s">
        <v>215</v>
      </c>
      <c r="F789" s="60">
        <v>0.041666666666666664</v>
      </c>
      <c r="G789" s="29"/>
      <c r="H789" s="6"/>
      <c r="I789" s="6"/>
      <c r="J789" s="6"/>
      <c r="K789" s="6"/>
      <c r="L789" s="6"/>
      <c r="M789" s="6"/>
      <c r="N789" s="6"/>
      <c r="O789" s="6"/>
      <c r="P789" s="6"/>
      <c r="Q789" s="6"/>
      <c r="R789" s="6"/>
      <c r="S789" s="6"/>
    </row>
    <row r="790" ht="22.5" hidden="1" customHeight="1">
      <c r="A790" s="49">
        <v>45897.0</v>
      </c>
      <c r="B790" s="58" t="s">
        <v>206</v>
      </c>
      <c r="C790" s="34" t="s">
        <v>216</v>
      </c>
      <c r="D790" s="55" t="s">
        <v>93</v>
      </c>
      <c r="E790" s="59"/>
      <c r="F790" s="60">
        <v>0.010416666666666666</v>
      </c>
      <c r="G790" s="29"/>
      <c r="H790" s="6"/>
      <c r="I790" s="6"/>
      <c r="J790" s="6"/>
      <c r="K790" s="6"/>
      <c r="L790" s="6"/>
      <c r="M790" s="6"/>
      <c r="N790" s="6"/>
      <c r="O790" s="6"/>
      <c r="P790" s="6"/>
      <c r="Q790" s="6"/>
      <c r="R790" s="6"/>
      <c r="S790" s="6"/>
    </row>
    <row r="791" ht="22.5" hidden="1" customHeight="1">
      <c r="A791" s="49">
        <v>45897.0</v>
      </c>
      <c r="B791" s="58" t="s">
        <v>206</v>
      </c>
      <c r="C791" s="34" t="s">
        <v>216</v>
      </c>
      <c r="D791" s="55" t="s">
        <v>131</v>
      </c>
      <c r="E791" s="59"/>
      <c r="F791" s="60">
        <v>0.003472222222222222</v>
      </c>
      <c r="G791" s="29"/>
      <c r="H791" s="6"/>
      <c r="I791" s="6"/>
      <c r="J791" s="6"/>
      <c r="K791" s="6"/>
      <c r="L791" s="6"/>
      <c r="M791" s="6"/>
      <c r="N791" s="6"/>
      <c r="O791" s="6"/>
      <c r="P791" s="6"/>
      <c r="Q791" s="6"/>
      <c r="R791" s="6"/>
      <c r="S791" s="6"/>
    </row>
    <row r="792" ht="22.5" customHeight="1">
      <c r="A792" s="49">
        <v>45897.0</v>
      </c>
      <c r="B792" s="58" t="s">
        <v>206</v>
      </c>
      <c r="C792" s="34" t="s">
        <v>216</v>
      </c>
      <c r="D792" s="55" t="s">
        <v>219</v>
      </c>
      <c r="E792" s="59" t="s">
        <v>215</v>
      </c>
      <c r="F792" s="60">
        <v>0.041666666666666664</v>
      </c>
      <c r="G792" s="29"/>
      <c r="H792" s="6"/>
      <c r="I792" s="6"/>
      <c r="J792" s="6"/>
      <c r="K792" s="6"/>
      <c r="L792" s="6"/>
      <c r="M792" s="6"/>
      <c r="N792" s="6"/>
      <c r="O792" s="6"/>
      <c r="P792" s="6"/>
      <c r="Q792" s="6"/>
      <c r="R792" s="6"/>
      <c r="S792" s="6"/>
    </row>
    <row r="793" ht="22.5" hidden="1" customHeight="1">
      <c r="A793" s="49">
        <v>45898.0</v>
      </c>
      <c r="B793" s="58" t="s">
        <v>206</v>
      </c>
      <c r="C793" s="34" t="s">
        <v>216</v>
      </c>
      <c r="D793" s="55" t="s">
        <v>93</v>
      </c>
      <c r="E793" s="59"/>
      <c r="F793" s="60">
        <v>0.010416666666666666</v>
      </c>
      <c r="G793" s="29"/>
      <c r="H793" s="6"/>
      <c r="I793" s="6"/>
      <c r="J793" s="6"/>
      <c r="K793" s="6"/>
      <c r="L793" s="6"/>
      <c r="M793" s="6"/>
      <c r="N793" s="6"/>
      <c r="O793" s="6"/>
      <c r="P793" s="6"/>
      <c r="Q793" s="6"/>
      <c r="R793" s="6"/>
      <c r="S793" s="6"/>
    </row>
    <row r="794" ht="22.5" hidden="1" customHeight="1">
      <c r="A794" s="49">
        <v>45898.0</v>
      </c>
      <c r="B794" s="58" t="s">
        <v>206</v>
      </c>
      <c r="C794" s="34" t="s">
        <v>216</v>
      </c>
      <c r="D794" s="55" t="s">
        <v>131</v>
      </c>
      <c r="E794" s="59"/>
      <c r="F794" s="60">
        <v>0.003472222222222222</v>
      </c>
      <c r="G794" s="29"/>
      <c r="H794" s="6"/>
      <c r="I794" s="6"/>
      <c r="J794" s="6"/>
      <c r="K794" s="6"/>
      <c r="L794" s="6"/>
      <c r="M794" s="6"/>
      <c r="N794" s="6"/>
      <c r="O794" s="6"/>
      <c r="P794" s="6"/>
      <c r="Q794" s="6"/>
      <c r="R794" s="6"/>
      <c r="S794" s="6"/>
    </row>
    <row r="795" ht="22.5" customHeight="1">
      <c r="A795" s="49">
        <v>45898.0</v>
      </c>
      <c r="B795" s="58" t="s">
        <v>206</v>
      </c>
      <c r="C795" s="34" t="s">
        <v>216</v>
      </c>
      <c r="D795" s="55" t="s">
        <v>219</v>
      </c>
      <c r="E795" s="59" t="s">
        <v>215</v>
      </c>
      <c r="F795" s="60">
        <v>0.041666666666666664</v>
      </c>
      <c r="G795" s="29"/>
      <c r="H795" s="6"/>
      <c r="I795" s="6"/>
      <c r="J795" s="6"/>
      <c r="K795" s="6"/>
      <c r="L795" s="6"/>
      <c r="M795" s="6"/>
      <c r="N795" s="6"/>
      <c r="O795" s="6"/>
      <c r="P795" s="6"/>
      <c r="Q795" s="6"/>
      <c r="R795" s="6"/>
      <c r="S795" s="6"/>
    </row>
    <row r="796" ht="22.5" hidden="1" customHeight="1">
      <c r="A796" s="49">
        <v>45899.0</v>
      </c>
      <c r="B796" s="58" t="s">
        <v>206</v>
      </c>
      <c r="C796" s="34" t="s">
        <v>216</v>
      </c>
      <c r="D796" s="55" t="s">
        <v>93</v>
      </c>
      <c r="E796" s="59"/>
      <c r="F796" s="60">
        <v>0.010416666666666666</v>
      </c>
      <c r="G796" s="29"/>
      <c r="H796" s="6"/>
      <c r="I796" s="6"/>
      <c r="J796" s="6"/>
      <c r="K796" s="6"/>
      <c r="L796" s="6"/>
      <c r="M796" s="6"/>
      <c r="N796" s="6"/>
      <c r="O796" s="6"/>
      <c r="P796" s="6"/>
      <c r="Q796" s="6"/>
      <c r="R796" s="6"/>
      <c r="S796" s="6"/>
    </row>
    <row r="797" ht="22.5" hidden="1" customHeight="1">
      <c r="A797" s="49">
        <v>45899.0</v>
      </c>
      <c r="B797" s="58" t="s">
        <v>206</v>
      </c>
      <c r="C797" s="34" t="s">
        <v>216</v>
      </c>
      <c r="D797" s="55" t="s">
        <v>131</v>
      </c>
      <c r="E797" s="59"/>
      <c r="F797" s="60">
        <v>0.003472222222222222</v>
      </c>
      <c r="G797" s="29"/>
      <c r="H797" s="6"/>
      <c r="I797" s="6"/>
      <c r="J797" s="6"/>
      <c r="K797" s="6"/>
      <c r="L797" s="6"/>
      <c r="M797" s="6"/>
      <c r="N797" s="6"/>
      <c r="O797" s="6"/>
      <c r="P797" s="6"/>
      <c r="Q797" s="6"/>
      <c r="R797" s="6"/>
      <c r="S797" s="6"/>
    </row>
    <row r="798" ht="22.5" customHeight="1">
      <c r="A798" s="49">
        <v>45899.0</v>
      </c>
      <c r="B798" s="58" t="s">
        <v>206</v>
      </c>
      <c r="C798" s="34" t="s">
        <v>216</v>
      </c>
      <c r="D798" s="55" t="s">
        <v>219</v>
      </c>
      <c r="E798" s="59" t="s">
        <v>215</v>
      </c>
      <c r="F798" s="60">
        <v>0.041666666666666664</v>
      </c>
      <c r="G798" s="29"/>
      <c r="H798" s="6"/>
      <c r="I798" s="6"/>
      <c r="J798" s="6"/>
      <c r="K798" s="6"/>
      <c r="L798" s="6"/>
      <c r="M798" s="6"/>
      <c r="N798" s="6"/>
      <c r="O798" s="6"/>
      <c r="P798" s="6"/>
      <c r="Q798" s="6"/>
      <c r="R798" s="6"/>
      <c r="S798" s="6"/>
    </row>
    <row r="799" ht="22.5" hidden="1" customHeight="1">
      <c r="A799" s="49">
        <v>45900.0</v>
      </c>
      <c r="B799" s="58" t="s">
        <v>206</v>
      </c>
      <c r="C799" s="34" t="s">
        <v>216</v>
      </c>
      <c r="D799" s="55" t="s">
        <v>93</v>
      </c>
      <c r="E799" s="59"/>
      <c r="F799" s="60">
        <v>0.010416666666666666</v>
      </c>
      <c r="G799" s="29"/>
      <c r="H799" s="6"/>
      <c r="I799" s="6"/>
      <c r="J799" s="6"/>
      <c r="K799" s="6"/>
      <c r="L799" s="6"/>
      <c r="M799" s="6"/>
      <c r="N799" s="6"/>
      <c r="O799" s="6"/>
      <c r="P799" s="6"/>
      <c r="Q799" s="6"/>
      <c r="R799" s="6"/>
      <c r="S799" s="6"/>
    </row>
    <row r="800" ht="22.5" hidden="1" customHeight="1">
      <c r="A800" s="49">
        <v>45900.0</v>
      </c>
      <c r="B800" s="58" t="s">
        <v>206</v>
      </c>
      <c r="C800" s="34" t="s">
        <v>216</v>
      </c>
      <c r="D800" s="55" t="s">
        <v>131</v>
      </c>
      <c r="E800" s="59"/>
      <c r="F800" s="60">
        <v>0.003472222222222222</v>
      </c>
      <c r="G800" s="29"/>
      <c r="H800" s="6"/>
      <c r="I800" s="6"/>
      <c r="J800" s="6"/>
      <c r="K800" s="6"/>
      <c r="L800" s="6"/>
      <c r="M800" s="6"/>
      <c r="N800" s="6"/>
      <c r="O800" s="6"/>
      <c r="P800" s="6"/>
      <c r="Q800" s="6"/>
      <c r="R800" s="6"/>
      <c r="S800" s="6"/>
    </row>
    <row r="801" ht="22.5" customHeight="1">
      <c r="A801" s="49">
        <v>45900.0</v>
      </c>
      <c r="B801" s="58" t="s">
        <v>206</v>
      </c>
      <c r="C801" s="34" t="s">
        <v>216</v>
      </c>
      <c r="D801" s="55" t="s">
        <v>219</v>
      </c>
      <c r="E801" s="59" t="s">
        <v>215</v>
      </c>
      <c r="F801" s="60">
        <v>0.041666666666666664</v>
      </c>
      <c r="G801" s="29"/>
      <c r="H801" s="6"/>
      <c r="I801" s="6"/>
      <c r="J801" s="6"/>
      <c r="K801" s="6"/>
      <c r="L801" s="6"/>
      <c r="M801" s="6"/>
      <c r="N801" s="6"/>
      <c r="O801" s="6"/>
      <c r="P801" s="6"/>
      <c r="Q801" s="6"/>
      <c r="R801" s="6"/>
      <c r="S801" s="6"/>
    </row>
    <row r="802" ht="22.5" hidden="1" customHeight="1">
      <c r="A802" s="49">
        <v>45901.0</v>
      </c>
      <c r="B802" s="58" t="s">
        <v>206</v>
      </c>
      <c r="C802" s="34" t="s">
        <v>216</v>
      </c>
      <c r="D802" s="55" t="s">
        <v>93</v>
      </c>
      <c r="E802" s="59"/>
      <c r="F802" s="60">
        <v>0.010416666666666666</v>
      </c>
      <c r="G802" s="29"/>
      <c r="H802" s="6"/>
      <c r="I802" s="6"/>
      <c r="J802" s="6"/>
      <c r="K802" s="6"/>
      <c r="L802" s="6"/>
      <c r="M802" s="6"/>
      <c r="N802" s="6"/>
      <c r="O802" s="6"/>
      <c r="P802" s="6"/>
      <c r="Q802" s="6"/>
      <c r="R802" s="6"/>
      <c r="S802" s="6"/>
    </row>
    <row r="803" ht="22.5" hidden="1" customHeight="1">
      <c r="A803" s="49">
        <v>45901.0</v>
      </c>
      <c r="B803" s="58" t="s">
        <v>206</v>
      </c>
      <c r="C803" s="34" t="s">
        <v>216</v>
      </c>
      <c r="D803" s="55" t="s">
        <v>131</v>
      </c>
      <c r="E803" s="59"/>
      <c r="F803" s="60">
        <v>0.003472222222222222</v>
      </c>
      <c r="G803" s="29"/>
      <c r="H803" s="6"/>
      <c r="I803" s="6"/>
      <c r="J803" s="6"/>
      <c r="K803" s="6"/>
      <c r="L803" s="6"/>
      <c r="M803" s="6"/>
      <c r="N803" s="6"/>
      <c r="O803" s="6"/>
      <c r="P803" s="6"/>
      <c r="Q803" s="6"/>
      <c r="R803" s="6"/>
      <c r="S803" s="6"/>
    </row>
    <row r="804" ht="22.5" customHeight="1">
      <c r="A804" s="49">
        <v>45901.0</v>
      </c>
      <c r="B804" s="58" t="s">
        <v>206</v>
      </c>
      <c r="C804" s="34" t="s">
        <v>216</v>
      </c>
      <c r="D804" s="55" t="s">
        <v>219</v>
      </c>
      <c r="E804" s="59" t="s">
        <v>215</v>
      </c>
      <c r="F804" s="60">
        <v>0.041666666666666664</v>
      </c>
      <c r="G804" s="29"/>
      <c r="H804" s="6"/>
      <c r="I804" s="6"/>
      <c r="J804" s="6"/>
      <c r="K804" s="6"/>
      <c r="L804" s="6"/>
      <c r="M804" s="6"/>
      <c r="N804" s="6"/>
      <c r="O804" s="6"/>
      <c r="P804" s="6"/>
      <c r="Q804" s="6"/>
      <c r="R804" s="6"/>
      <c r="S804" s="6"/>
    </row>
    <row r="805" ht="22.5" hidden="1" customHeight="1">
      <c r="A805" s="49">
        <v>45902.0</v>
      </c>
      <c r="B805" s="58" t="s">
        <v>206</v>
      </c>
      <c r="C805" s="34" t="s">
        <v>216</v>
      </c>
      <c r="D805" s="55" t="s">
        <v>93</v>
      </c>
      <c r="E805" s="59"/>
      <c r="F805" s="60">
        <v>0.010416666666666666</v>
      </c>
      <c r="G805" s="29"/>
      <c r="H805" s="6"/>
      <c r="I805" s="6"/>
      <c r="J805" s="6"/>
      <c r="K805" s="6"/>
      <c r="L805" s="6"/>
      <c r="M805" s="6"/>
      <c r="N805" s="6"/>
      <c r="O805" s="6"/>
      <c r="P805" s="6"/>
      <c r="Q805" s="6"/>
      <c r="R805" s="6"/>
      <c r="S805" s="6"/>
    </row>
    <row r="806" ht="22.5" hidden="1" customHeight="1">
      <c r="A806" s="49">
        <v>45902.0</v>
      </c>
      <c r="B806" s="58" t="s">
        <v>206</v>
      </c>
      <c r="C806" s="34" t="s">
        <v>216</v>
      </c>
      <c r="D806" s="55" t="s">
        <v>131</v>
      </c>
      <c r="E806" s="59"/>
      <c r="F806" s="60">
        <v>0.003472222222222222</v>
      </c>
      <c r="G806" s="29"/>
      <c r="H806" s="6"/>
      <c r="I806" s="6"/>
      <c r="J806" s="6"/>
      <c r="K806" s="6"/>
      <c r="L806" s="6"/>
      <c r="M806" s="6"/>
      <c r="N806" s="6"/>
      <c r="O806" s="6"/>
      <c r="P806" s="6"/>
      <c r="Q806" s="6"/>
      <c r="R806" s="6"/>
      <c r="S806" s="6"/>
    </row>
    <row r="807" ht="22.5" customHeight="1">
      <c r="A807" s="49">
        <v>45902.0</v>
      </c>
      <c r="B807" s="58" t="s">
        <v>206</v>
      </c>
      <c r="C807" s="34" t="s">
        <v>216</v>
      </c>
      <c r="D807" s="55" t="s">
        <v>219</v>
      </c>
      <c r="E807" s="59" t="s">
        <v>215</v>
      </c>
      <c r="F807" s="60">
        <v>0.041666666666666664</v>
      </c>
      <c r="G807" s="29"/>
      <c r="H807" s="6"/>
      <c r="I807" s="6"/>
      <c r="J807" s="6"/>
      <c r="K807" s="6"/>
      <c r="L807" s="6"/>
      <c r="M807" s="6"/>
      <c r="N807" s="6"/>
      <c r="O807" s="6"/>
      <c r="P807" s="6"/>
      <c r="Q807" s="6"/>
      <c r="R807" s="6"/>
      <c r="S807" s="6"/>
    </row>
    <row r="808" ht="22.5" hidden="1" customHeight="1">
      <c r="A808" s="49">
        <v>45903.0</v>
      </c>
      <c r="B808" s="58" t="s">
        <v>206</v>
      </c>
      <c r="C808" s="34" t="s">
        <v>216</v>
      </c>
      <c r="D808" s="55" t="s">
        <v>93</v>
      </c>
      <c r="E808" s="59"/>
      <c r="F808" s="60">
        <v>0.010416666666666666</v>
      </c>
      <c r="G808" s="29"/>
      <c r="H808" s="6"/>
      <c r="I808" s="6"/>
      <c r="J808" s="6"/>
      <c r="K808" s="6"/>
      <c r="L808" s="6"/>
      <c r="M808" s="6"/>
      <c r="N808" s="6"/>
      <c r="O808" s="6"/>
      <c r="P808" s="6"/>
      <c r="Q808" s="6"/>
      <c r="R808" s="6"/>
      <c r="S808" s="6"/>
    </row>
    <row r="809" ht="22.5" hidden="1" customHeight="1">
      <c r="A809" s="49">
        <v>45903.0</v>
      </c>
      <c r="B809" s="58" t="s">
        <v>206</v>
      </c>
      <c r="C809" s="34" t="s">
        <v>216</v>
      </c>
      <c r="D809" s="55" t="s">
        <v>131</v>
      </c>
      <c r="E809" s="59"/>
      <c r="F809" s="60">
        <v>0.003472222222222222</v>
      </c>
      <c r="G809" s="29"/>
      <c r="H809" s="6"/>
      <c r="I809" s="6"/>
      <c r="J809" s="6"/>
      <c r="K809" s="6"/>
      <c r="L809" s="6"/>
      <c r="M809" s="6"/>
      <c r="N809" s="6"/>
      <c r="O809" s="6"/>
      <c r="P809" s="6"/>
      <c r="Q809" s="6"/>
      <c r="R809" s="6"/>
      <c r="S809" s="6"/>
    </row>
    <row r="810" ht="22.5" customHeight="1">
      <c r="A810" s="49">
        <v>45903.0</v>
      </c>
      <c r="B810" s="58" t="s">
        <v>206</v>
      </c>
      <c r="C810" s="34" t="s">
        <v>216</v>
      </c>
      <c r="D810" s="55" t="s">
        <v>219</v>
      </c>
      <c r="E810" s="59" t="s">
        <v>215</v>
      </c>
      <c r="F810" s="60">
        <v>0.041666666666666664</v>
      </c>
      <c r="G810" s="29"/>
      <c r="H810" s="6"/>
      <c r="I810" s="6"/>
      <c r="J810" s="6"/>
      <c r="K810" s="6"/>
      <c r="L810" s="6"/>
      <c r="M810" s="6"/>
      <c r="N810" s="6"/>
      <c r="O810" s="6"/>
      <c r="P810" s="6"/>
      <c r="Q810" s="6"/>
      <c r="R810" s="6"/>
      <c r="S810" s="6"/>
    </row>
    <row r="811" ht="22.5" hidden="1" customHeight="1">
      <c r="A811" s="49">
        <v>45904.0</v>
      </c>
      <c r="B811" s="58" t="s">
        <v>206</v>
      </c>
      <c r="C811" s="34" t="s">
        <v>216</v>
      </c>
      <c r="D811" s="55" t="s">
        <v>93</v>
      </c>
      <c r="E811" s="59"/>
      <c r="F811" s="60">
        <v>0.010416666666666666</v>
      </c>
      <c r="G811" s="29"/>
      <c r="H811" s="6"/>
      <c r="I811" s="6"/>
      <c r="J811" s="6"/>
      <c r="K811" s="6"/>
      <c r="L811" s="6"/>
      <c r="M811" s="6"/>
      <c r="N811" s="6"/>
      <c r="O811" s="6"/>
      <c r="P811" s="6"/>
      <c r="Q811" s="6"/>
      <c r="R811" s="6"/>
      <c r="S811" s="6"/>
    </row>
    <row r="812" ht="22.5" hidden="1" customHeight="1">
      <c r="A812" s="49">
        <v>45904.0</v>
      </c>
      <c r="B812" s="58" t="s">
        <v>206</v>
      </c>
      <c r="C812" s="34" t="s">
        <v>216</v>
      </c>
      <c r="D812" s="55" t="s">
        <v>131</v>
      </c>
      <c r="E812" s="59"/>
      <c r="F812" s="60">
        <v>0.003472222222222222</v>
      </c>
      <c r="G812" s="29"/>
      <c r="H812" s="6"/>
      <c r="I812" s="6"/>
      <c r="J812" s="6"/>
      <c r="K812" s="6"/>
      <c r="L812" s="6"/>
      <c r="M812" s="6"/>
      <c r="N812" s="6"/>
      <c r="O812" s="6"/>
      <c r="P812" s="6"/>
      <c r="Q812" s="6"/>
      <c r="R812" s="6"/>
      <c r="S812" s="6"/>
    </row>
    <row r="813" ht="22.5" customHeight="1">
      <c r="A813" s="49">
        <v>45904.0</v>
      </c>
      <c r="B813" s="58" t="s">
        <v>206</v>
      </c>
      <c r="C813" s="34" t="s">
        <v>216</v>
      </c>
      <c r="D813" s="55" t="s">
        <v>219</v>
      </c>
      <c r="E813" s="59" t="s">
        <v>215</v>
      </c>
      <c r="F813" s="60">
        <v>0.041666666666666664</v>
      </c>
      <c r="G813" s="29"/>
      <c r="H813" s="6"/>
      <c r="I813" s="6"/>
      <c r="J813" s="6"/>
      <c r="K813" s="6"/>
      <c r="L813" s="6"/>
      <c r="M813" s="6"/>
      <c r="N813" s="6"/>
      <c r="O813" s="6"/>
      <c r="P813" s="6"/>
      <c r="Q813" s="6"/>
      <c r="R813" s="6"/>
      <c r="S813" s="6"/>
    </row>
    <row r="814" ht="22.5" hidden="1" customHeight="1">
      <c r="A814" s="49">
        <v>45905.0</v>
      </c>
      <c r="B814" s="58" t="s">
        <v>206</v>
      </c>
      <c r="C814" s="34" t="s">
        <v>216</v>
      </c>
      <c r="D814" s="55" t="s">
        <v>93</v>
      </c>
      <c r="E814" s="59"/>
      <c r="F814" s="60">
        <v>0.010416666666666666</v>
      </c>
      <c r="G814" s="29"/>
      <c r="H814" s="6"/>
      <c r="I814" s="6"/>
      <c r="J814" s="6"/>
      <c r="K814" s="6"/>
      <c r="L814" s="6"/>
      <c r="M814" s="6"/>
      <c r="N814" s="6"/>
      <c r="O814" s="6"/>
      <c r="P814" s="6"/>
      <c r="Q814" s="6"/>
      <c r="R814" s="6"/>
      <c r="S814" s="6"/>
    </row>
    <row r="815" ht="22.5" hidden="1" customHeight="1">
      <c r="A815" s="49">
        <v>45905.0</v>
      </c>
      <c r="B815" s="58" t="s">
        <v>206</v>
      </c>
      <c r="C815" s="34" t="s">
        <v>216</v>
      </c>
      <c r="D815" s="55" t="s">
        <v>131</v>
      </c>
      <c r="E815" s="59"/>
      <c r="F815" s="60">
        <v>0.003472222222222222</v>
      </c>
      <c r="G815" s="29"/>
      <c r="H815" s="6"/>
      <c r="I815" s="6"/>
      <c r="J815" s="6"/>
      <c r="K815" s="6"/>
      <c r="L815" s="6"/>
      <c r="M815" s="6"/>
      <c r="N815" s="6"/>
      <c r="O815" s="6"/>
      <c r="P815" s="6"/>
      <c r="Q815" s="6"/>
      <c r="R815" s="6"/>
      <c r="S815" s="6"/>
    </row>
    <row r="816" ht="22.5" customHeight="1">
      <c r="A816" s="49">
        <v>45905.0</v>
      </c>
      <c r="B816" s="58" t="s">
        <v>206</v>
      </c>
      <c r="C816" s="34" t="s">
        <v>216</v>
      </c>
      <c r="D816" s="55" t="s">
        <v>219</v>
      </c>
      <c r="E816" s="59" t="s">
        <v>215</v>
      </c>
      <c r="F816" s="60">
        <v>0.041666666666666664</v>
      </c>
      <c r="G816" s="29"/>
      <c r="H816" s="6"/>
      <c r="I816" s="6"/>
      <c r="J816" s="6"/>
      <c r="K816" s="6"/>
      <c r="L816" s="6"/>
      <c r="M816" s="6"/>
      <c r="N816" s="6"/>
      <c r="O816" s="6"/>
      <c r="P816" s="6"/>
      <c r="Q816" s="6"/>
      <c r="R816" s="6"/>
      <c r="S816" s="6"/>
    </row>
    <row r="817" ht="22.5" hidden="1" customHeight="1">
      <c r="A817" s="49">
        <v>45906.0</v>
      </c>
      <c r="B817" s="58" t="s">
        <v>206</v>
      </c>
      <c r="C817" s="34" t="s">
        <v>216</v>
      </c>
      <c r="D817" s="55" t="s">
        <v>93</v>
      </c>
      <c r="E817" s="59"/>
      <c r="F817" s="60">
        <v>0.010416666666666666</v>
      </c>
      <c r="G817" s="29"/>
      <c r="H817" s="6"/>
      <c r="I817" s="6"/>
      <c r="J817" s="6"/>
      <c r="K817" s="6"/>
      <c r="L817" s="6"/>
      <c r="M817" s="6"/>
      <c r="N817" s="6"/>
      <c r="O817" s="6"/>
      <c r="P817" s="6"/>
      <c r="Q817" s="6"/>
      <c r="R817" s="6"/>
      <c r="S817" s="6"/>
    </row>
    <row r="818" ht="22.5" hidden="1" customHeight="1">
      <c r="A818" s="49">
        <v>45906.0</v>
      </c>
      <c r="B818" s="58" t="s">
        <v>206</v>
      </c>
      <c r="C818" s="34" t="s">
        <v>216</v>
      </c>
      <c r="D818" s="55" t="s">
        <v>131</v>
      </c>
      <c r="E818" s="59"/>
      <c r="F818" s="60">
        <v>0.003472222222222222</v>
      </c>
      <c r="G818" s="29"/>
      <c r="H818" s="6"/>
      <c r="I818" s="6"/>
      <c r="J818" s="6"/>
      <c r="K818" s="6"/>
      <c r="L818" s="6"/>
      <c r="M818" s="6"/>
      <c r="N818" s="6"/>
      <c r="O818" s="6"/>
      <c r="P818" s="6"/>
      <c r="Q818" s="6"/>
      <c r="R818" s="6"/>
      <c r="S818" s="6"/>
    </row>
    <row r="819" ht="22.5" customHeight="1">
      <c r="A819" s="49">
        <v>45906.0</v>
      </c>
      <c r="B819" s="58" t="s">
        <v>206</v>
      </c>
      <c r="C819" s="34" t="s">
        <v>216</v>
      </c>
      <c r="D819" s="55" t="s">
        <v>219</v>
      </c>
      <c r="E819" s="59" t="s">
        <v>215</v>
      </c>
      <c r="F819" s="60">
        <v>0.041666666666666664</v>
      </c>
      <c r="G819" s="29"/>
      <c r="H819" s="6"/>
      <c r="I819" s="6"/>
      <c r="J819" s="6"/>
      <c r="K819" s="6"/>
      <c r="L819" s="6"/>
      <c r="M819" s="6"/>
      <c r="N819" s="6"/>
      <c r="O819" s="6"/>
      <c r="P819" s="6"/>
      <c r="Q819" s="6"/>
      <c r="R819" s="6"/>
      <c r="S819" s="6"/>
    </row>
    <row r="820" ht="22.5" hidden="1" customHeight="1">
      <c r="A820" s="49">
        <v>45907.0</v>
      </c>
      <c r="B820" s="58" t="s">
        <v>206</v>
      </c>
      <c r="C820" s="34" t="s">
        <v>216</v>
      </c>
      <c r="D820" s="55" t="s">
        <v>93</v>
      </c>
      <c r="E820" s="59"/>
      <c r="F820" s="60">
        <v>0.010416666666666666</v>
      </c>
      <c r="G820" s="29"/>
      <c r="H820" s="6"/>
      <c r="I820" s="6"/>
      <c r="J820" s="6"/>
      <c r="K820" s="6"/>
      <c r="L820" s="6"/>
      <c r="M820" s="6"/>
      <c r="N820" s="6"/>
      <c r="O820" s="6"/>
      <c r="P820" s="6"/>
      <c r="Q820" s="6"/>
      <c r="R820" s="6"/>
      <c r="S820" s="6"/>
    </row>
    <row r="821" ht="22.5" hidden="1" customHeight="1">
      <c r="A821" s="49">
        <v>45907.0</v>
      </c>
      <c r="B821" s="58" t="s">
        <v>206</v>
      </c>
      <c r="C821" s="34" t="s">
        <v>216</v>
      </c>
      <c r="D821" s="55" t="s">
        <v>131</v>
      </c>
      <c r="E821" s="59"/>
      <c r="F821" s="60">
        <v>0.003472222222222222</v>
      </c>
      <c r="G821" s="29"/>
      <c r="H821" s="6"/>
      <c r="I821" s="6"/>
      <c r="J821" s="6"/>
      <c r="K821" s="6"/>
      <c r="L821" s="6"/>
      <c r="M821" s="6"/>
      <c r="N821" s="6"/>
      <c r="O821" s="6"/>
      <c r="P821" s="6"/>
      <c r="Q821" s="6"/>
      <c r="R821" s="6"/>
      <c r="S821" s="6"/>
    </row>
    <row r="822" ht="22.5" customHeight="1">
      <c r="A822" s="49">
        <v>45907.0</v>
      </c>
      <c r="B822" s="58" t="s">
        <v>206</v>
      </c>
      <c r="C822" s="34" t="s">
        <v>216</v>
      </c>
      <c r="D822" s="55" t="s">
        <v>219</v>
      </c>
      <c r="E822" s="59" t="s">
        <v>215</v>
      </c>
      <c r="F822" s="60">
        <v>0.041666666666666664</v>
      </c>
      <c r="G822" s="29"/>
      <c r="H822" s="6"/>
      <c r="I822" s="6"/>
      <c r="J822" s="6"/>
      <c r="K822" s="6"/>
      <c r="L822" s="6"/>
      <c r="M822" s="6"/>
      <c r="N822" s="6"/>
      <c r="O822" s="6"/>
      <c r="P822" s="6"/>
      <c r="Q822" s="6"/>
      <c r="R822" s="6"/>
      <c r="S822" s="6"/>
    </row>
    <row r="823" ht="22.5" hidden="1" customHeight="1">
      <c r="A823" s="49">
        <v>45908.0</v>
      </c>
      <c r="B823" s="58" t="s">
        <v>206</v>
      </c>
      <c r="C823" s="34" t="s">
        <v>216</v>
      </c>
      <c r="D823" s="55" t="s">
        <v>93</v>
      </c>
      <c r="E823" s="59"/>
      <c r="F823" s="60">
        <v>0.010416666666666666</v>
      </c>
      <c r="G823" s="29"/>
      <c r="H823" s="6"/>
      <c r="I823" s="6"/>
      <c r="J823" s="6"/>
      <c r="K823" s="6"/>
      <c r="L823" s="6"/>
      <c r="M823" s="6"/>
      <c r="N823" s="6"/>
      <c r="O823" s="6"/>
      <c r="P823" s="6"/>
      <c r="Q823" s="6"/>
      <c r="R823" s="6"/>
      <c r="S823" s="6"/>
    </row>
    <row r="824" ht="22.5" hidden="1" customHeight="1">
      <c r="A824" s="49">
        <v>45908.0</v>
      </c>
      <c r="B824" s="58" t="s">
        <v>206</v>
      </c>
      <c r="C824" s="34" t="s">
        <v>216</v>
      </c>
      <c r="D824" s="55" t="s">
        <v>131</v>
      </c>
      <c r="E824" s="59"/>
      <c r="F824" s="60">
        <v>0.003472222222222222</v>
      </c>
      <c r="G824" s="29"/>
      <c r="H824" s="6"/>
      <c r="I824" s="6"/>
      <c r="J824" s="6"/>
      <c r="K824" s="6"/>
      <c r="L824" s="6"/>
      <c r="M824" s="6"/>
      <c r="N824" s="6"/>
      <c r="O824" s="6"/>
      <c r="P824" s="6"/>
      <c r="Q824" s="6"/>
      <c r="R824" s="6"/>
      <c r="S824" s="6"/>
    </row>
    <row r="825" ht="22.5" customHeight="1">
      <c r="A825" s="49">
        <v>45908.0</v>
      </c>
      <c r="B825" s="58" t="s">
        <v>206</v>
      </c>
      <c r="C825" s="34" t="s">
        <v>216</v>
      </c>
      <c r="D825" s="55" t="s">
        <v>219</v>
      </c>
      <c r="E825" s="59" t="s">
        <v>215</v>
      </c>
      <c r="F825" s="60">
        <v>0.041666666666666664</v>
      </c>
      <c r="G825" s="29"/>
      <c r="H825" s="6"/>
      <c r="I825" s="6"/>
      <c r="J825" s="6"/>
      <c r="K825" s="6"/>
      <c r="L825" s="6"/>
      <c r="M825" s="6"/>
      <c r="N825" s="6"/>
      <c r="O825" s="6"/>
      <c r="P825" s="6"/>
      <c r="Q825" s="6"/>
      <c r="R825" s="6"/>
      <c r="S825" s="6"/>
    </row>
    <row r="826" ht="22.5" hidden="1" customHeight="1">
      <c r="A826" s="49">
        <v>45909.0</v>
      </c>
      <c r="B826" s="58" t="s">
        <v>206</v>
      </c>
      <c r="C826" s="34" t="s">
        <v>216</v>
      </c>
      <c r="D826" s="55" t="s">
        <v>93</v>
      </c>
      <c r="E826" s="59"/>
      <c r="F826" s="60">
        <v>0.010416666666666666</v>
      </c>
      <c r="G826" s="29"/>
      <c r="H826" s="6"/>
      <c r="I826" s="6"/>
      <c r="J826" s="6"/>
      <c r="K826" s="6"/>
      <c r="L826" s="6"/>
      <c r="M826" s="6"/>
      <c r="N826" s="6"/>
      <c r="O826" s="6"/>
      <c r="P826" s="6"/>
      <c r="Q826" s="6"/>
      <c r="R826" s="6"/>
      <c r="S826" s="6"/>
    </row>
    <row r="827" ht="22.5" hidden="1" customHeight="1">
      <c r="A827" s="49">
        <v>45909.0</v>
      </c>
      <c r="B827" s="58" t="s">
        <v>206</v>
      </c>
      <c r="C827" s="34" t="s">
        <v>216</v>
      </c>
      <c r="D827" s="55" t="s">
        <v>131</v>
      </c>
      <c r="E827" s="59"/>
      <c r="F827" s="60">
        <v>0.003472222222222222</v>
      </c>
      <c r="G827" s="29"/>
      <c r="H827" s="6"/>
      <c r="I827" s="6"/>
      <c r="J827" s="6"/>
      <c r="K827" s="6"/>
      <c r="L827" s="6"/>
      <c r="M827" s="6"/>
      <c r="N827" s="6"/>
      <c r="O827" s="6"/>
      <c r="P827" s="6"/>
      <c r="Q827" s="6"/>
      <c r="R827" s="6"/>
      <c r="S827" s="6"/>
    </row>
    <row r="828" ht="22.5" customHeight="1">
      <c r="A828" s="49">
        <v>45909.0</v>
      </c>
      <c r="B828" s="58" t="s">
        <v>206</v>
      </c>
      <c r="C828" s="34" t="s">
        <v>216</v>
      </c>
      <c r="D828" s="55" t="s">
        <v>219</v>
      </c>
      <c r="E828" s="59" t="s">
        <v>215</v>
      </c>
      <c r="F828" s="60">
        <v>0.041666666666666664</v>
      </c>
      <c r="G828" s="29"/>
      <c r="H828" s="6"/>
      <c r="I828" s="6"/>
      <c r="J828" s="6"/>
      <c r="K828" s="6"/>
      <c r="L828" s="6"/>
      <c r="M828" s="6"/>
      <c r="N828" s="6"/>
      <c r="O828" s="6"/>
      <c r="P828" s="6"/>
      <c r="Q828" s="6"/>
      <c r="R828" s="6"/>
      <c r="S828" s="6"/>
    </row>
    <row r="829" ht="22.5" hidden="1" customHeight="1">
      <c r="A829" s="49">
        <v>45910.0</v>
      </c>
      <c r="B829" s="58" t="s">
        <v>206</v>
      </c>
      <c r="C829" s="34" t="s">
        <v>216</v>
      </c>
      <c r="D829" s="55" t="s">
        <v>93</v>
      </c>
      <c r="E829" s="59"/>
      <c r="F829" s="60">
        <v>0.010416666666666666</v>
      </c>
      <c r="G829" s="29"/>
      <c r="H829" s="6"/>
      <c r="I829" s="6"/>
      <c r="J829" s="6"/>
      <c r="K829" s="6"/>
      <c r="L829" s="6"/>
      <c r="M829" s="6"/>
      <c r="N829" s="6"/>
      <c r="O829" s="6"/>
      <c r="P829" s="6"/>
      <c r="Q829" s="6"/>
      <c r="R829" s="6"/>
      <c r="S829" s="6"/>
    </row>
    <row r="830" ht="22.5" hidden="1" customHeight="1">
      <c r="A830" s="49">
        <v>45910.0</v>
      </c>
      <c r="B830" s="58" t="s">
        <v>206</v>
      </c>
      <c r="C830" s="34" t="s">
        <v>216</v>
      </c>
      <c r="D830" s="55" t="s">
        <v>131</v>
      </c>
      <c r="E830" s="59"/>
      <c r="F830" s="60">
        <v>0.003472222222222222</v>
      </c>
      <c r="G830" s="29"/>
      <c r="H830" s="6"/>
      <c r="I830" s="6"/>
      <c r="J830" s="6"/>
      <c r="K830" s="6"/>
      <c r="L830" s="6"/>
      <c r="M830" s="6"/>
      <c r="N830" s="6"/>
      <c r="O830" s="6"/>
      <c r="P830" s="6"/>
      <c r="Q830" s="6"/>
      <c r="R830" s="6"/>
      <c r="S830" s="6"/>
    </row>
    <row r="831" ht="22.5" customHeight="1">
      <c r="A831" s="49">
        <v>45910.0</v>
      </c>
      <c r="B831" s="58" t="s">
        <v>206</v>
      </c>
      <c r="C831" s="34" t="s">
        <v>216</v>
      </c>
      <c r="D831" s="55" t="s">
        <v>219</v>
      </c>
      <c r="E831" s="59" t="s">
        <v>215</v>
      </c>
      <c r="F831" s="60">
        <v>0.041666666666666664</v>
      </c>
      <c r="G831" s="29"/>
      <c r="H831" s="6"/>
      <c r="I831" s="6"/>
      <c r="J831" s="6"/>
      <c r="K831" s="6"/>
      <c r="L831" s="6"/>
      <c r="M831" s="6"/>
      <c r="N831" s="6"/>
      <c r="O831" s="6"/>
      <c r="P831" s="6"/>
      <c r="Q831" s="6"/>
      <c r="R831" s="6"/>
      <c r="S831" s="6"/>
    </row>
    <row r="832" ht="22.5" hidden="1" customHeight="1">
      <c r="A832" s="49">
        <v>45911.0</v>
      </c>
      <c r="B832" s="58" t="s">
        <v>206</v>
      </c>
      <c r="C832" s="34" t="s">
        <v>216</v>
      </c>
      <c r="D832" s="55" t="s">
        <v>93</v>
      </c>
      <c r="E832" s="59"/>
      <c r="F832" s="60">
        <v>0.010416666666666666</v>
      </c>
      <c r="G832" s="29"/>
      <c r="H832" s="6"/>
      <c r="I832" s="6"/>
      <c r="J832" s="6"/>
      <c r="K832" s="6"/>
      <c r="L832" s="6"/>
      <c r="M832" s="6"/>
      <c r="N832" s="6"/>
      <c r="O832" s="6"/>
      <c r="P832" s="6"/>
      <c r="Q832" s="6"/>
      <c r="R832" s="6"/>
      <c r="S832" s="6"/>
    </row>
    <row r="833" ht="22.5" hidden="1" customHeight="1">
      <c r="A833" s="49">
        <v>45911.0</v>
      </c>
      <c r="B833" s="58" t="s">
        <v>206</v>
      </c>
      <c r="C833" s="34" t="s">
        <v>216</v>
      </c>
      <c r="D833" s="55" t="s">
        <v>131</v>
      </c>
      <c r="E833" s="59"/>
      <c r="F833" s="60">
        <v>0.003472222222222222</v>
      </c>
      <c r="G833" s="29"/>
      <c r="H833" s="6"/>
      <c r="I833" s="6"/>
      <c r="J833" s="6"/>
      <c r="K833" s="6"/>
      <c r="L833" s="6"/>
      <c r="M833" s="6"/>
      <c r="N833" s="6"/>
      <c r="O833" s="6"/>
      <c r="P833" s="6"/>
      <c r="Q833" s="6"/>
      <c r="R833" s="6"/>
      <c r="S833" s="6"/>
    </row>
    <row r="834" ht="22.5" customHeight="1">
      <c r="A834" s="49">
        <v>45911.0</v>
      </c>
      <c r="B834" s="58" t="s">
        <v>206</v>
      </c>
      <c r="C834" s="34" t="s">
        <v>216</v>
      </c>
      <c r="D834" s="55" t="s">
        <v>219</v>
      </c>
      <c r="E834" s="59" t="s">
        <v>215</v>
      </c>
      <c r="F834" s="60">
        <v>0.041666666666666664</v>
      </c>
      <c r="G834" s="29"/>
      <c r="H834" s="6"/>
      <c r="I834" s="6"/>
      <c r="J834" s="6"/>
      <c r="K834" s="6"/>
      <c r="L834" s="6"/>
      <c r="M834" s="6"/>
      <c r="N834" s="6"/>
      <c r="O834" s="6"/>
      <c r="P834" s="6"/>
      <c r="Q834" s="6"/>
      <c r="R834" s="6"/>
      <c r="S834" s="6"/>
    </row>
    <row r="835" ht="22.5" hidden="1" customHeight="1">
      <c r="A835" s="49">
        <v>45912.0</v>
      </c>
      <c r="B835" s="58" t="s">
        <v>206</v>
      </c>
      <c r="C835" s="34" t="s">
        <v>216</v>
      </c>
      <c r="D835" s="55" t="s">
        <v>93</v>
      </c>
      <c r="E835" s="59"/>
      <c r="F835" s="60">
        <v>0.010416666666666666</v>
      </c>
      <c r="G835" s="29"/>
      <c r="H835" s="6"/>
      <c r="I835" s="6"/>
      <c r="J835" s="6"/>
      <c r="K835" s="6"/>
      <c r="L835" s="6"/>
      <c r="M835" s="6"/>
      <c r="N835" s="6"/>
      <c r="O835" s="6"/>
      <c r="P835" s="6"/>
      <c r="Q835" s="6"/>
      <c r="R835" s="6"/>
      <c r="S835" s="6"/>
    </row>
    <row r="836" ht="22.5" hidden="1" customHeight="1">
      <c r="A836" s="49">
        <v>45912.0</v>
      </c>
      <c r="B836" s="58" t="s">
        <v>206</v>
      </c>
      <c r="C836" s="34" t="s">
        <v>216</v>
      </c>
      <c r="D836" s="55" t="s">
        <v>131</v>
      </c>
      <c r="E836" s="59"/>
      <c r="F836" s="60">
        <v>0.003472222222222222</v>
      </c>
      <c r="G836" s="29"/>
      <c r="H836" s="6"/>
      <c r="I836" s="6"/>
      <c r="J836" s="6"/>
      <c r="K836" s="6"/>
      <c r="L836" s="6"/>
      <c r="M836" s="6"/>
      <c r="N836" s="6"/>
      <c r="O836" s="6"/>
      <c r="P836" s="6"/>
      <c r="Q836" s="6"/>
      <c r="R836" s="6"/>
      <c r="S836" s="6"/>
    </row>
    <row r="837" ht="22.5" customHeight="1">
      <c r="A837" s="49">
        <v>45912.0</v>
      </c>
      <c r="B837" s="58" t="s">
        <v>206</v>
      </c>
      <c r="C837" s="34" t="s">
        <v>216</v>
      </c>
      <c r="D837" s="55" t="s">
        <v>219</v>
      </c>
      <c r="E837" s="59" t="s">
        <v>215</v>
      </c>
      <c r="F837" s="60">
        <v>0.041666666666666664</v>
      </c>
      <c r="G837" s="29"/>
      <c r="H837" s="6"/>
      <c r="I837" s="6"/>
      <c r="J837" s="6"/>
      <c r="K837" s="6"/>
      <c r="L837" s="6"/>
      <c r="M837" s="6"/>
      <c r="N837" s="6"/>
      <c r="O837" s="6"/>
      <c r="P837" s="6"/>
      <c r="Q837" s="6"/>
      <c r="R837" s="6"/>
      <c r="S837" s="6"/>
    </row>
    <row r="838" ht="22.5" hidden="1" customHeight="1">
      <c r="A838" s="49">
        <v>45913.0</v>
      </c>
      <c r="B838" s="58" t="s">
        <v>206</v>
      </c>
      <c r="C838" s="34" t="s">
        <v>216</v>
      </c>
      <c r="D838" s="55" t="s">
        <v>93</v>
      </c>
      <c r="E838" s="59"/>
      <c r="F838" s="60">
        <v>0.010416666666666666</v>
      </c>
      <c r="G838" s="29"/>
      <c r="H838" s="6"/>
      <c r="I838" s="6"/>
      <c r="J838" s="6"/>
      <c r="K838" s="6"/>
      <c r="L838" s="6"/>
      <c r="M838" s="6"/>
      <c r="N838" s="6"/>
      <c r="O838" s="6"/>
      <c r="P838" s="6"/>
      <c r="Q838" s="6"/>
      <c r="R838" s="6"/>
      <c r="S838" s="6"/>
    </row>
    <row r="839" ht="22.5" hidden="1" customHeight="1">
      <c r="A839" s="49">
        <v>45913.0</v>
      </c>
      <c r="B839" s="58" t="s">
        <v>206</v>
      </c>
      <c r="C839" s="34" t="s">
        <v>216</v>
      </c>
      <c r="D839" s="55" t="s">
        <v>131</v>
      </c>
      <c r="E839" s="59"/>
      <c r="F839" s="60">
        <v>0.003472222222222222</v>
      </c>
      <c r="G839" s="29"/>
      <c r="H839" s="6"/>
      <c r="I839" s="6"/>
      <c r="J839" s="6"/>
      <c r="K839" s="6"/>
      <c r="L839" s="6"/>
      <c r="M839" s="6"/>
      <c r="N839" s="6"/>
      <c r="O839" s="6"/>
      <c r="P839" s="6"/>
      <c r="Q839" s="6"/>
      <c r="R839" s="6"/>
      <c r="S839" s="6"/>
    </row>
    <row r="840" ht="22.5" customHeight="1">
      <c r="A840" s="49">
        <v>45913.0</v>
      </c>
      <c r="B840" s="58" t="s">
        <v>206</v>
      </c>
      <c r="C840" s="34" t="s">
        <v>216</v>
      </c>
      <c r="D840" s="55" t="s">
        <v>219</v>
      </c>
      <c r="E840" s="59" t="s">
        <v>215</v>
      </c>
      <c r="F840" s="60">
        <v>0.041666666666666664</v>
      </c>
      <c r="G840" s="29"/>
      <c r="H840" s="6"/>
      <c r="I840" s="6"/>
      <c r="J840" s="6"/>
      <c r="K840" s="6"/>
      <c r="L840" s="6"/>
      <c r="M840" s="6"/>
      <c r="N840" s="6"/>
      <c r="O840" s="6"/>
      <c r="P840" s="6"/>
      <c r="Q840" s="6"/>
      <c r="R840" s="6"/>
      <c r="S840" s="6"/>
    </row>
    <row r="841" ht="22.5" hidden="1" customHeight="1">
      <c r="A841" s="49">
        <v>45914.0</v>
      </c>
      <c r="B841" s="58" t="s">
        <v>206</v>
      </c>
      <c r="C841" s="34" t="s">
        <v>216</v>
      </c>
      <c r="D841" s="55" t="s">
        <v>93</v>
      </c>
      <c r="E841" s="59"/>
      <c r="F841" s="60">
        <v>0.010416666666666666</v>
      </c>
      <c r="G841" s="29"/>
      <c r="H841" s="6"/>
      <c r="I841" s="6"/>
      <c r="J841" s="6"/>
      <c r="K841" s="6"/>
      <c r="L841" s="6"/>
      <c r="M841" s="6"/>
      <c r="N841" s="6"/>
      <c r="O841" s="6"/>
      <c r="P841" s="6"/>
      <c r="Q841" s="6"/>
      <c r="R841" s="6"/>
      <c r="S841" s="6"/>
    </row>
    <row r="842" ht="22.5" hidden="1" customHeight="1">
      <c r="A842" s="49">
        <v>45914.0</v>
      </c>
      <c r="B842" s="58" t="s">
        <v>206</v>
      </c>
      <c r="C842" s="34" t="s">
        <v>216</v>
      </c>
      <c r="D842" s="55" t="s">
        <v>131</v>
      </c>
      <c r="E842" s="59"/>
      <c r="F842" s="60">
        <v>0.003472222222222222</v>
      </c>
      <c r="G842" s="29"/>
      <c r="H842" s="6"/>
      <c r="I842" s="6"/>
      <c r="J842" s="6"/>
      <c r="K842" s="6"/>
      <c r="L842" s="6"/>
      <c r="M842" s="6"/>
      <c r="N842" s="6"/>
      <c r="O842" s="6"/>
      <c r="P842" s="6"/>
      <c r="Q842" s="6"/>
      <c r="R842" s="6"/>
      <c r="S842" s="6"/>
    </row>
    <row r="843" ht="22.5" customHeight="1">
      <c r="A843" s="49">
        <v>45914.0</v>
      </c>
      <c r="B843" s="58" t="s">
        <v>206</v>
      </c>
      <c r="C843" s="34" t="s">
        <v>216</v>
      </c>
      <c r="D843" s="55" t="s">
        <v>219</v>
      </c>
      <c r="E843" s="59" t="s">
        <v>215</v>
      </c>
      <c r="F843" s="60">
        <v>0.041666666666666664</v>
      </c>
      <c r="G843" s="29"/>
      <c r="H843" s="6"/>
      <c r="I843" s="6"/>
      <c r="J843" s="6"/>
      <c r="K843" s="6"/>
      <c r="L843" s="6"/>
      <c r="M843" s="6"/>
      <c r="N843" s="6"/>
      <c r="O843" s="6"/>
      <c r="P843" s="6"/>
      <c r="Q843" s="6"/>
      <c r="R843" s="6"/>
      <c r="S843" s="6"/>
    </row>
    <row r="844" ht="22.5" hidden="1" customHeight="1">
      <c r="A844" s="49">
        <v>45915.0</v>
      </c>
      <c r="B844" s="58" t="s">
        <v>206</v>
      </c>
      <c r="C844" s="34" t="s">
        <v>216</v>
      </c>
      <c r="D844" s="55" t="s">
        <v>93</v>
      </c>
      <c r="E844" s="59"/>
      <c r="F844" s="60">
        <v>0.010416666666666666</v>
      </c>
      <c r="G844" s="29"/>
      <c r="H844" s="6"/>
      <c r="I844" s="6"/>
      <c r="J844" s="6"/>
      <c r="K844" s="6"/>
      <c r="L844" s="6"/>
      <c r="M844" s="6"/>
      <c r="N844" s="6"/>
      <c r="O844" s="6"/>
      <c r="P844" s="6"/>
      <c r="Q844" s="6"/>
      <c r="R844" s="6"/>
      <c r="S844" s="6"/>
    </row>
    <row r="845" ht="22.5" hidden="1" customHeight="1">
      <c r="A845" s="49">
        <v>45915.0</v>
      </c>
      <c r="B845" s="58" t="s">
        <v>206</v>
      </c>
      <c r="C845" s="34" t="s">
        <v>216</v>
      </c>
      <c r="D845" s="55" t="s">
        <v>131</v>
      </c>
      <c r="E845" s="59"/>
      <c r="F845" s="60">
        <v>0.003472222222222222</v>
      </c>
      <c r="G845" s="29"/>
      <c r="H845" s="6"/>
      <c r="I845" s="6"/>
      <c r="J845" s="6"/>
      <c r="K845" s="6"/>
      <c r="L845" s="6"/>
      <c r="M845" s="6"/>
      <c r="N845" s="6"/>
      <c r="O845" s="6"/>
      <c r="P845" s="6"/>
      <c r="Q845" s="6"/>
      <c r="R845" s="6"/>
      <c r="S845" s="6"/>
    </row>
    <row r="846" ht="22.5" customHeight="1">
      <c r="A846" s="49">
        <v>45915.0</v>
      </c>
      <c r="B846" s="58" t="s">
        <v>206</v>
      </c>
      <c r="C846" s="34" t="s">
        <v>216</v>
      </c>
      <c r="D846" s="55" t="s">
        <v>219</v>
      </c>
      <c r="E846" s="59" t="s">
        <v>215</v>
      </c>
      <c r="F846" s="60">
        <v>0.041666666666666664</v>
      </c>
      <c r="G846" s="29"/>
      <c r="H846" s="6"/>
      <c r="I846" s="6"/>
      <c r="J846" s="6"/>
      <c r="K846" s="6"/>
      <c r="L846" s="6"/>
      <c r="M846" s="6"/>
      <c r="N846" s="6"/>
      <c r="O846" s="6"/>
      <c r="P846" s="6"/>
      <c r="Q846" s="6"/>
      <c r="R846" s="6"/>
      <c r="S846" s="6"/>
    </row>
    <row r="847" ht="22.5" hidden="1" customHeight="1">
      <c r="A847" s="49">
        <v>45916.0</v>
      </c>
      <c r="B847" s="58" t="s">
        <v>206</v>
      </c>
      <c r="C847" s="34" t="s">
        <v>216</v>
      </c>
      <c r="D847" s="55" t="s">
        <v>93</v>
      </c>
      <c r="E847" s="59"/>
      <c r="F847" s="60">
        <v>0.010416666666666666</v>
      </c>
      <c r="G847" s="29"/>
      <c r="H847" s="6"/>
      <c r="I847" s="6"/>
      <c r="J847" s="6"/>
      <c r="K847" s="6"/>
      <c r="L847" s="6"/>
      <c r="M847" s="6"/>
      <c r="N847" s="6"/>
      <c r="O847" s="6"/>
      <c r="P847" s="6"/>
      <c r="Q847" s="6"/>
      <c r="R847" s="6"/>
      <c r="S847" s="6"/>
    </row>
    <row r="848" ht="22.5" hidden="1" customHeight="1">
      <c r="A848" s="49">
        <v>45916.0</v>
      </c>
      <c r="B848" s="58" t="s">
        <v>206</v>
      </c>
      <c r="C848" s="34" t="s">
        <v>216</v>
      </c>
      <c r="D848" s="55" t="s">
        <v>131</v>
      </c>
      <c r="E848" s="59"/>
      <c r="F848" s="60">
        <v>0.003472222222222222</v>
      </c>
      <c r="G848" s="29"/>
      <c r="H848" s="6"/>
      <c r="I848" s="6"/>
      <c r="J848" s="6"/>
      <c r="K848" s="6"/>
      <c r="L848" s="6"/>
      <c r="M848" s="6"/>
      <c r="N848" s="6"/>
      <c r="O848" s="6"/>
      <c r="P848" s="6"/>
      <c r="Q848" s="6"/>
      <c r="R848" s="6"/>
      <c r="S848" s="6"/>
    </row>
    <row r="849" ht="22.5" customHeight="1">
      <c r="A849" s="49">
        <v>45916.0</v>
      </c>
      <c r="B849" s="58" t="s">
        <v>206</v>
      </c>
      <c r="C849" s="34" t="s">
        <v>216</v>
      </c>
      <c r="D849" s="55" t="s">
        <v>219</v>
      </c>
      <c r="E849" s="59" t="s">
        <v>215</v>
      </c>
      <c r="F849" s="60">
        <v>0.041666666666666664</v>
      </c>
      <c r="G849" s="29"/>
      <c r="H849" s="6"/>
      <c r="I849" s="6"/>
      <c r="J849" s="6"/>
      <c r="K849" s="6"/>
      <c r="L849" s="6"/>
      <c r="M849" s="6"/>
      <c r="N849" s="6"/>
      <c r="O849" s="6"/>
      <c r="P849" s="6"/>
      <c r="Q849" s="6"/>
      <c r="R849" s="6"/>
      <c r="S849" s="6"/>
    </row>
    <row r="850" ht="22.5" hidden="1" customHeight="1">
      <c r="A850" s="49">
        <v>45917.0</v>
      </c>
      <c r="B850" s="58" t="s">
        <v>206</v>
      </c>
      <c r="C850" s="34" t="s">
        <v>216</v>
      </c>
      <c r="D850" s="55" t="s">
        <v>93</v>
      </c>
      <c r="E850" s="59"/>
      <c r="F850" s="60">
        <v>0.010416666666666666</v>
      </c>
      <c r="G850" s="29"/>
      <c r="H850" s="6"/>
      <c r="I850" s="6"/>
      <c r="J850" s="6"/>
      <c r="K850" s="6"/>
      <c r="L850" s="6"/>
      <c r="M850" s="6"/>
      <c r="N850" s="6"/>
      <c r="O850" s="6"/>
      <c r="P850" s="6"/>
      <c r="Q850" s="6"/>
      <c r="R850" s="6"/>
      <c r="S850" s="6"/>
    </row>
    <row r="851" ht="22.5" hidden="1" customHeight="1">
      <c r="A851" s="49">
        <v>45917.0</v>
      </c>
      <c r="B851" s="58" t="s">
        <v>206</v>
      </c>
      <c r="C851" s="34" t="s">
        <v>216</v>
      </c>
      <c r="D851" s="55" t="s">
        <v>131</v>
      </c>
      <c r="E851" s="59"/>
      <c r="F851" s="60">
        <v>0.003472222222222222</v>
      </c>
      <c r="G851" s="29"/>
      <c r="H851" s="6"/>
      <c r="I851" s="6"/>
      <c r="J851" s="6"/>
      <c r="K851" s="6"/>
      <c r="L851" s="6"/>
      <c r="M851" s="6"/>
      <c r="N851" s="6"/>
      <c r="O851" s="6"/>
      <c r="P851" s="6"/>
      <c r="Q851" s="6"/>
      <c r="R851" s="6"/>
      <c r="S851" s="6"/>
    </row>
    <row r="852" ht="22.5" customHeight="1">
      <c r="A852" s="49">
        <v>45917.0</v>
      </c>
      <c r="B852" s="58" t="s">
        <v>206</v>
      </c>
      <c r="C852" s="34" t="s">
        <v>216</v>
      </c>
      <c r="D852" s="55" t="s">
        <v>219</v>
      </c>
      <c r="E852" s="59" t="s">
        <v>215</v>
      </c>
      <c r="F852" s="60">
        <v>0.041666666666666664</v>
      </c>
      <c r="G852" s="29"/>
      <c r="H852" s="6"/>
      <c r="I852" s="6"/>
      <c r="J852" s="6"/>
      <c r="K852" s="6"/>
      <c r="L852" s="6"/>
      <c r="M852" s="6"/>
      <c r="N852" s="6"/>
      <c r="O852" s="6"/>
      <c r="P852" s="6"/>
      <c r="Q852" s="6"/>
      <c r="R852" s="6"/>
      <c r="S852" s="6"/>
    </row>
    <row r="853" ht="22.5" hidden="1" customHeight="1">
      <c r="A853" s="49">
        <v>45918.0</v>
      </c>
      <c r="B853" s="58" t="s">
        <v>206</v>
      </c>
      <c r="C853" s="34" t="s">
        <v>216</v>
      </c>
      <c r="D853" s="55" t="s">
        <v>93</v>
      </c>
      <c r="E853" s="59"/>
      <c r="F853" s="60">
        <v>0.010416666666666666</v>
      </c>
      <c r="G853" s="29"/>
      <c r="H853" s="6"/>
      <c r="I853" s="6"/>
      <c r="J853" s="6"/>
      <c r="K853" s="6"/>
      <c r="L853" s="6"/>
      <c r="M853" s="6"/>
      <c r="N853" s="6"/>
      <c r="O853" s="6"/>
      <c r="P853" s="6"/>
      <c r="Q853" s="6"/>
      <c r="R853" s="6"/>
      <c r="S853" s="6"/>
    </row>
    <row r="854" ht="22.5" hidden="1" customHeight="1">
      <c r="A854" s="49">
        <v>45918.0</v>
      </c>
      <c r="B854" s="58" t="s">
        <v>206</v>
      </c>
      <c r="C854" s="34" t="s">
        <v>216</v>
      </c>
      <c r="D854" s="55" t="s">
        <v>131</v>
      </c>
      <c r="E854" s="59"/>
      <c r="F854" s="60">
        <v>0.003472222222222222</v>
      </c>
      <c r="G854" s="29"/>
      <c r="H854" s="6"/>
      <c r="I854" s="6"/>
      <c r="J854" s="6"/>
      <c r="K854" s="6"/>
      <c r="L854" s="6"/>
      <c r="M854" s="6"/>
      <c r="N854" s="6"/>
      <c r="O854" s="6"/>
      <c r="P854" s="6"/>
      <c r="Q854" s="6"/>
      <c r="R854" s="6"/>
      <c r="S854" s="6"/>
    </row>
    <row r="855" ht="22.5" customHeight="1">
      <c r="A855" s="49">
        <v>45918.0</v>
      </c>
      <c r="B855" s="58" t="s">
        <v>206</v>
      </c>
      <c r="C855" s="34" t="s">
        <v>216</v>
      </c>
      <c r="D855" s="55" t="s">
        <v>219</v>
      </c>
      <c r="E855" s="59" t="s">
        <v>215</v>
      </c>
      <c r="F855" s="60">
        <v>0.041666666666666664</v>
      </c>
      <c r="G855" s="29"/>
      <c r="H855" s="6"/>
      <c r="I855" s="6"/>
      <c r="J855" s="6"/>
      <c r="K855" s="6"/>
      <c r="L855" s="6"/>
      <c r="M855" s="6"/>
      <c r="N855" s="6"/>
      <c r="O855" s="6"/>
      <c r="P855" s="6"/>
      <c r="Q855" s="6"/>
      <c r="R855" s="6"/>
      <c r="S855" s="6"/>
    </row>
    <row r="856" ht="22.5" hidden="1" customHeight="1">
      <c r="A856" s="49">
        <v>45919.0</v>
      </c>
      <c r="B856" s="58" t="s">
        <v>206</v>
      </c>
      <c r="C856" s="34" t="s">
        <v>216</v>
      </c>
      <c r="D856" s="55" t="s">
        <v>93</v>
      </c>
      <c r="E856" s="59"/>
      <c r="F856" s="60">
        <v>0.010416666666666666</v>
      </c>
      <c r="G856" s="29"/>
      <c r="H856" s="6"/>
      <c r="I856" s="6"/>
      <c r="J856" s="6"/>
      <c r="K856" s="6"/>
      <c r="L856" s="6"/>
      <c r="M856" s="6"/>
      <c r="N856" s="6"/>
      <c r="O856" s="6"/>
      <c r="P856" s="6"/>
      <c r="Q856" s="6"/>
      <c r="R856" s="6"/>
      <c r="S856" s="6"/>
    </row>
    <row r="857" ht="22.5" hidden="1" customHeight="1">
      <c r="A857" s="49">
        <v>45919.0</v>
      </c>
      <c r="B857" s="58" t="s">
        <v>206</v>
      </c>
      <c r="C857" s="34" t="s">
        <v>216</v>
      </c>
      <c r="D857" s="55" t="s">
        <v>131</v>
      </c>
      <c r="E857" s="59"/>
      <c r="F857" s="60">
        <v>0.003472222222222222</v>
      </c>
      <c r="G857" s="29"/>
      <c r="H857" s="6"/>
      <c r="I857" s="6"/>
      <c r="J857" s="6"/>
      <c r="K857" s="6"/>
      <c r="L857" s="6"/>
      <c r="M857" s="6"/>
      <c r="N857" s="6"/>
      <c r="O857" s="6"/>
      <c r="P857" s="6"/>
      <c r="Q857" s="6"/>
      <c r="R857" s="6"/>
      <c r="S857" s="6"/>
    </row>
    <row r="858" ht="22.5" customHeight="1">
      <c r="A858" s="49">
        <v>45919.0</v>
      </c>
      <c r="B858" s="58" t="s">
        <v>206</v>
      </c>
      <c r="C858" s="34" t="s">
        <v>216</v>
      </c>
      <c r="D858" s="55" t="s">
        <v>219</v>
      </c>
      <c r="E858" s="59" t="s">
        <v>215</v>
      </c>
      <c r="F858" s="60">
        <v>0.041666666666666664</v>
      </c>
      <c r="G858" s="29"/>
      <c r="H858" s="6"/>
      <c r="I858" s="6"/>
      <c r="J858" s="6"/>
      <c r="K858" s="6"/>
      <c r="L858" s="6"/>
      <c r="M858" s="6"/>
      <c r="N858" s="6"/>
      <c r="O858" s="6"/>
      <c r="P858" s="6"/>
      <c r="Q858" s="6"/>
      <c r="R858" s="6"/>
      <c r="S858" s="6"/>
    </row>
    <row r="859" ht="22.5" hidden="1" customHeight="1">
      <c r="A859" s="49">
        <v>45920.0</v>
      </c>
      <c r="B859" s="58" t="s">
        <v>206</v>
      </c>
      <c r="C859" s="34" t="s">
        <v>216</v>
      </c>
      <c r="D859" s="55" t="s">
        <v>93</v>
      </c>
      <c r="E859" s="59"/>
      <c r="F859" s="60">
        <v>0.010416666666666666</v>
      </c>
      <c r="G859" s="29"/>
      <c r="H859" s="6"/>
      <c r="I859" s="6"/>
      <c r="J859" s="6"/>
      <c r="K859" s="6"/>
      <c r="L859" s="6"/>
      <c r="M859" s="6"/>
      <c r="N859" s="6"/>
      <c r="O859" s="6"/>
      <c r="P859" s="6"/>
      <c r="Q859" s="6"/>
      <c r="R859" s="6"/>
      <c r="S859" s="6"/>
    </row>
    <row r="860" ht="22.5" hidden="1" customHeight="1">
      <c r="A860" s="49">
        <v>45920.0</v>
      </c>
      <c r="B860" s="58" t="s">
        <v>206</v>
      </c>
      <c r="C860" s="34" t="s">
        <v>216</v>
      </c>
      <c r="D860" s="55" t="s">
        <v>131</v>
      </c>
      <c r="E860" s="59"/>
      <c r="F860" s="60">
        <v>0.003472222222222222</v>
      </c>
      <c r="G860" s="29"/>
      <c r="H860" s="6"/>
      <c r="I860" s="6"/>
      <c r="J860" s="6"/>
      <c r="K860" s="6"/>
      <c r="L860" s="6"/>
      <c r="M860" s="6"/>
      <c r="N860" s="6"/>
      <c r="O860" s="6"/>
      <c r="P860" s="6"/>
      <c r="Q860" s="6"/>
      <c r="R860" s="6"/>
      <c r="S860" s="6"/>
    </row>
    <row r="861" ht="22.5" customHeight="1">
      <c r="A861" s="49">
        <v>45920.0</v>
      </c>
      <c r="B861" s="58" t="s">
        <v>206</v>
      </c>
      <c r="C861" s="34" t="s">
        <v>216</v>
      </c>
      <c r="D861" s="55" t="s">
        <v>219</v>
      </c>
      <c r="E861" s="59" t="s">
        <v>215</v>
      </c>
      <c r="F861" s="60">
        <v>0.041666666666666664</v>
      </c>
      <c r="G861" s="29"/>
      <c r="H861" s="6"/>
      <c r="I861" s="6"/>
      <c r="J861" s="6"/>
      <c r="K861" s="6"/>
      <c r="L861" s="6"/>
      <c r="M861" s="6"/>
      <c r="N861" s="6"/>
      <c r="O861" s="6"/>
      <c r="P861" s="6"/>
      <c r="Q861" s="6"/>
      <c r="R861" s="6"/>
      <c r="S861" s="6"/>
    </row>
    <row r="862" ht="22.5" hidden="1" customHeight="1">
      <c r="A862" s="49">
        <v>45921.0</v>
      </c>
      <c r="B862" s="58" t="s">
        <v>206</v>
      </c>
      <c r="C862" s="34" t="s">
        <v>216</v>
      </c>
      <c r="D862" s="55" t="s">
        <v>93</v>
      </c>
      <c r="E862" s="59"/>
      <c r="F862" s="60">
        <v>0.010416666666666666</v>
      </c>
      <c r="G862" s="29"/>
      <c r="H862" s="6"/>
      <c r="I862" s="6"/>
      <c r="J862" s="6"/>
      <c r="K862" s="6"/>
      <c r="L862" s="6"/>
      <c r="M862" s="6"/>
      <c r="N862" s="6"/>
      <c r="O862" s="6"/>
      <c r="P862" s="6"/>
      <c r="Q862" s="6"/>
      <c r="R862" s="6"/>
      <c r="S862" s="6"/>
    </row>
    <row r="863" ht="22.5" hidden="1" customHeight="1">
      <c r="A863" s="49">
        <v>45921.0</v>
      </c>
      <c r="B863" s="58" t="s">
        <v>206</v>
      </c>
      <c r="C863" s="34" t="s">
        <v>216</v>
      </c>
      <c r="D863" s="55" t="s">
        <v>131</v>
      </c>
      <c r="E863" s="59"/>
      <c r="F863" s="60">
        <v>0.003472222222222222</v>
      </c>
      <c r="G863" s="29"/>
      <c r="H863" s="6"/>
      <c r="I863" s="6"/>
      <c r="J863" s="6"/>
      <c r="K863" s="6"/>
      <c r="L863" s="6"/>
      <c r="M863" s="6"/>
      <c r="N863" s="6"/>
      <c r="O863" s="6"/>
      <c r="P863" s="6"/>
      <c r="Q863" s="6"/>
      <c r="R863" s="6"/>
      <c r="S863" s="6"/>
    </row>
    <row r="864" ht="22.5" customHeight="1">
      <c r="A864" s="49">
        <v>45921.0</v>
      </c>
      <c r="B864" s="58" t="s">
        <v>206</v>
      </c>
      <c r="C864" s="34" t="s">
        <v>216</v>
      </c>
      <c r="D864" s="55" t="s">
        <v>219</v>
      </c>
      <c r="E864" s="59" t="s">
        <v>215</v>
      </c>
      <c r="F864" s="60">
        <v>0.041666666666666664</v>
      </c>
      <c r="G864" s="29"/>
      <c r="H864" s="6"/>
      <c r="I864" s="6"/>
      <c r="J864" s="6"/>
      <c r="K864" s="6"/>
      <c r="L864" s="6"/>
      <c r="M864" s="6"/>
      <c r="N864" s="6"/>
      <c r="O864" s="6"/>
      <c r="P864" s="6"/>
      <c r="Q864" s="6"/>
      <c r="R864" s="6"/>
      <c r="S864" s="6"/>
    </row>
    <row r="865" ht="22.5" hidden="1" customHeight="1">
      <c r="A865" s="49">
        <v>45922.0</v>
      </c>
      <c r="B865" s="58" t="s">
        <v>206</v>
      </c>
      <c r="C865" s="34" t="s">
        <v>216</v>
      </c>
      <c r="D865" s="55" t="s">
        <v>93</v>
      </c>
      <c r="E865" s="59"/>
      <c r="F865" s="60">
        <v>0.010416666666666666</v>
      </c>
      <c r="G865" s="29"/>
      <c r="H865" s="6"/>
      <c r="I865" s="6"/>
      <c r="J865" s="6"/>
      <c r="K865" s="6"/>
      <c r="L865" s="6"/>
      <c r="M865" s="6"/>
      <c r="N865" s="6"/>
      <c r="O865" s="6"/>
      <c r="P865" s="6"/>
      <c r="Q865" s="6"/>
      <c r="R865" s="6"/>
      <c r="S865" s="6"/>
    </row>
    <row r="866" ht="22.5" hidden="1" customHeight="1">
      <c r="A866" s="49">
        <v>45922.0</v>
      </c>
      <c r="B866" s="58" t="s">
        <v>206</v>
      </c>
      <c r="C866" s="34" t="s">
        <v>216</v>
      </c>
      <c r="D866" s="55" t="s">
        <v>131</v>
      </c>
      <c r="E866" s="59"/>
      <c r="F866" s="60">
        <v>0.003472222222222222</v>
      </c>
      <c r="G866" s="29"/>
      <c r="H866" s="6"/>
      <c r="I866" s="6"/>
      <c r="J866" s="6"/>
      <c r="K866" s="6"/>
      <c r="L866" s="6"/>
      <c r="M866" s="6"/>
      <c r="N866" s="6"/>
      <c r="O866" s="6"/>
      <c r="P866" s="6"/>
      <c r="Q866" s="6"/>
      <c r="R866" s="6"/>
      <c r="S866" s="6"/>
    </row>
    <row r="867" ht="22.5" customHeight="1">
      <c r="A867" s="49">
        <v>45922.0</v>
      </c>
      <c r="B867" s="58" t="s">
        <v>206</v>
      </c>
      <c r="C867" s="34" t="s">
        <v>216</v>
      </c>
      <c r="D867" s="55" t="s">
        <v>219</v>
      </c>
      <c r="E867" s="59" t="s">
        <v>215</v>
      </c>
      <c r="F867" s="60">
        <v>0.041666666666666664</v>
      </c>
      <c r="G867" s="29"/>
      <c r="H867" s="6"/>
      <c r="I867" s="6"/>
      <c r="J867" s="6"/>
      <c r="K867" s="6"/>
      <c r="L867" s="6"/>
      <c r="M867" s="6"/>
      <c r="N867" s="6"/>
      <c r="O867" s="6"/>
      <c r="P867" s="6"/>
      <c r="Q867" s="6"/>
      <c r="R867" s="6"/>
      <c r="S867" s="6"/>
    </row>
    <row r="868" ht="22.5" hidden="1" customHeight="1">
      <c r="A868" s="49">
        <v>45923.0</v>
      </c>
      <c r="B868" s="58" t="s">
        <v>206</v>
      </c>
      <c r="C868" s="34" t="s">
        <v>216</v>
      </c>
      <c r="D868" s="55" t="s">
        <v>93</v>
      </c>
      <c r="E868" s="59"/>
      <c r="F868" s="60">
        <v>0.010416666666666666</v>
      </c>
      <c r="G868" s="29"/>
      <c r="H868" s="6"/>
      <c r="I868" s="6"/>
      <c r="J868" s="6"/>
      <c r="K868" s="6"/>
      <c r="L868" s="6"/>
      <c r="M868" s="6"/>
      <c r="N868" s="6"/>
      <c r="O868" s="6"/>
      <c r="P868" s="6"/>
      <c r="Q868" s="6"/>
      <c r="R868" s="6"/>
      <c r="S868" s="6"/>
    </row>
    <row r="869" ht="22.5" hidden="1" customHeight="1">
      <c r="A869" s="49">
        <v>45923.0</v>
      </c>
      <c r="B869" s="58" t="s">
        <v>206</v>
      </c>
      <c r="C869" s="34" t="s">
        <v>216</v>
      </c>
      <c r="D869" s="55" t="s">
        <v>131</v>
      </c>
      <c r="E869" s="59"/>
      <c r="F869" s="60">
        <v>0.003472222222222222</v>
      </c>
      <c r="G869" s="29"/>
      <c r="H869" s="6"/>
      <c r="I869" s="6"/>
      <c r="J869" s="6"/>
      <c r="K869" s="6"/>
      <c r="L869" s="6"/>
      <c r="M869" s="6"/>
      <c r="N869" s="6"/>
      <c r="O869" s="6"/>
      <c r="P869" s="6"/>
      <c r="Q869" s="6"/>
      <c r="R869" s="6"/>
      <c r="S869" s="6"/>
    </row>
    <row r="870" ht="22.5" customHeight="1">
      <c r="A870" s="49">
        <v>45923.0</v>
      </c>
      <c r="B870" s="58" t="s">
        <v>206</v>
      </c>
      <c r="C870" s="34" t="s">
        <v>216</v>
      </c>
      <c r="D870" s="55" t="s">
        <v>219</v>
      </c>
      <c r="E870" s="59" t="s">
        <v>215</v>
      </c>
      <c r="F870" s="60">
        <v>0.041666666666666664</v>
      </c>
      <c r="G870" s="29"/>
      <c r="H870" s="6"/>
      <c r="I870" s="6"/>
      <c r="J870" s="6"/>
      <c r="K870" s="6"/>
      <c r="L870" s="6"/>
      <c r="M870" s="6"/>
      <c r="N870" s="6"/>
      <c r="O870" s="6"/>
      <c r="P870" s="6"/>
      <c r="Q870" s="6"/>
      <c r="R870" s="6"/>
      <c r="S870" s="6"/>
    </row>
    <row r="871" ht="22.5" hidden="1" customHeight="1">
      <c r="A871" s="49">
        <v>45924.0</v>
      </c>
      <c r="B871" s="58" t="s">
        <v>206</v>
      </c>
      <c r="C871" s="34" t="s">
        <v>216</v>
      </c>
      <c r="D871" s="55" t="s">
        <v>93</v>
      </c>
      <c r="E871" s="59"/>
      <c r="F871" s="60">
        <v>0.010416666666666666</v>
      </c>
      <c r="G871" s="29"/>
      <c r="H871" s="6"/>
      <c r="I871" s="6"/>
      <c r="J871" s="6"/>
      <c r="K871" s="6"/>
      <c r="L871" s="6"/>
      <c r="M871" s="6"/>
      <c r="N871" s="6"/>
      <c r="O871" s="6"/>
      <c r="P871" s="6"/>
      <c r="Q871" s="6"/>
      <c r="R871" s="6"/>
      <c r="S871" s="6"/>
    </row>
    <row r="872" ht="22.5" hidden="1" customHeight="1">
      <c r="A872" s="49">
        <v>45924.0</v>
      </c>
      <c r="B872" s="58" t="s">
        <v>206</v>
      </c>
      <c r="C872" s="34" t="s">
        <v>216</v>
      </c>
      <c r="D872" s="55" t="s">
        <v>131</v>
      </c>
      <c r="E872" s="59"/>
      <c r="F872" s="60">
        <v>0.003472222222222222</v>
      </c>
      <c r="G872" s="29"/>
      <c r="H872" s="6"/>
      <c r="I872" s="6"/>
      <c r="J872" s="6"/>
      <c r="K872" s="6"/>
      <c r="L872" s="6"/>
      <c r="M872" s="6"/>
      <c r="N872" s="6"/>
      <c r="O872" s="6"/>
      <c r="P872" s="6"/>
      <c r="Q872" s="6"/>
      <c r="R872" s="6"/>
      <c r="S872" s="6"/>
    </row>
    <row r="873" ht="22.5" customHeight="1">
      <c r="A873" s="49">
        <v>45924.0</v>
      </c>
      <c r="B873" s="58" t="s">
        <v>206</v>
      </c>
      <c r="C873" s="34" t="s">
        <v>216</v>
      </c>
      <c r="D873" s="55" t="s">
        <v>219</v>
      </c>
      <c r="E873" s="59" t="s">
        <v>215</v>
      </c>
      <c r="F873" s="60">
        <v>0.041666666666666664</v>
      </c>
      <c r="G873" s="29"/>
      <c r="H873" s="6"/>
      <c r="I873" s="6"/>
      <c r="J873" s="6"/>
      <c r="K873" s="6"/>
      <c r="L873" s="6"/>
      <c r="M873" s="6"/>
      <c r="N873" s="6"/>
      <c r="O873" s="6"/>
      <c r="P873" s="6"/>
      <c r="Q873" s="6"/>
      <c r="R873" s="6"/>
      <c r="S873" s="6"/>
    </row>
    <row r="874" ht="22.5" hidden="1" customHeight="1">
      <c r="A874" s="49">
        <v>45925.0</v>
      </c>
      <c r="B874" s="58" t="s">
        <v>206</v>
      </c>
      <c r="C874" s="34" t="s">
        <v>216</v>
      </c>
      <c r="D874" s="55" t="s">
        <v>93</v>
      </c>
      <c r="E874" s="59"/>
      <c r="F874" s="60">
        <v>0.010416666666666666</v>
      </c>
      <c r="G874" s="29"/>
      <c r="H874" s="6"/>
      <c r="I874" s="6"/>
      <c r="J874" s="6"/>
      <c r="K874" s="6"/>
      <c r="L874" s="6"/>
      <c r="M874" s="6"/>
      <c r="N874" s="6"/>
      <c r="O874" s="6"/>
      <c r="P874" s="6"/>
      <c r="Q874" s="6"/>
      <c r="R874" s="6"/>
      <c r="S874" s="6"/>
    </row>
    <row r="875" ht="22.5" hidden="1" customHeight="1">
      <c r="A875" s="49">
        <v>45925.0</v>
      </c>
      <c r="B875" s="58" t="s">
        <v>206</v>
      </c>
      <c r="C875" s="34" t="s">
        <v>216</v>
      </c>
      <c r="D875" s="55" t="s">
        <v>131</v>
      </c>
      <c r="E875" s="59"/>
      <c r="F875" s="60">
        <v>0.003472222222222222</v>
      </c>
      <c r="G875" s="29"/>
      <c r="H875" s="6"/>
      <c r="I875" s="6"/>
      <c r="J875" s="6"/>
      <c r="K875" s="6"/>
      <c r="L875" s="6"/>
      <c r="M875" s="6"/>
      <c r="N875" s="6"/>
      <c r="O875" s="6"/>
      <c r="P875" s="6"/>
      <c r="Q875" s="6"/>
      <c r="R875" s="6"/>
      <c r="S875" s="6"/>
    </row>
    <row r="876" ht="22.5" customHeight="1">
      <c r="A876" s="49">
        <v>45925.0</v>
      </c>
      <c r="B876" s="58" t="s">
        <v>206</v>
      </c>
      <c r="C876" s="34" t="s">
        <v>216</v>
      </c>
      <c r="D876" s="55" t="s">
        <v>219</v>
      </c>
      <c r="E876" s="59" t="s">
        <v>215</v>
      </c>
      <c r="F876" s="60">
        <v>0.041666666666666664</v>
      </c>
      <c r="G876" s="29"/>
      <c r="H876" s="6"/>
      <c r="I876" s="6"/>
      <c r="J876" s="6"/>
      <c r="K876" s="6"/>
      <c r="L876" s="6"/>
      <c r="M876" s="6"/>
      <c r="N876" s="6"/>
      <c r="O876" s="6"/>
      <c r="P876" s="6"/>
      <c r="Q876" s="6"/>
      <c r="R876" s="6"/>
      <c r="S876" s="6"/>
    </row>
    <row r="877" ht="22.5" hidden="1" customHeight="1">
      <c r="A877" s="49">
        <v>45926.0</v>
      </c>
      <c r="B877" s="58" t="s">
        <v>206</v>
      </c>
      <c r="C877" s="34" t="s">
        <v>216</v>
      </c>
      <c r="D877" s="55" t="s">
        <v>93</v>
      </c>
      <c r="E877" s="59"/>
      <c r="F877" s="60">
        <v>0.010416666666666666</v>
      </c>
      <c r="G877" s="29"/>
      <c r="H877" s="6"/>
      <c r="I877" s="6"/>
      <c r="J877" s="6"/>
      <c r="K877" s="6"/>
      <c r="L877" s="6"/>
      <c r="M877" s="6"/>
      <c r="N877" s="6"/>
      <c r="O877" s="6"/>
      <c r="P877" s="6"/>
      <c r="Q877" s="6"/>
      <c r="R877" s="6"/>
      <c r="S877" s="6"/>
    </row>
    <row r="878" ht="22.5" hidden="1" customHeight="1">
      <c r="A878" s="49">
        <v>45926.0</v>
      </c>
      <c r="B878" s="58" t="s">
        <v>206</v>
      </c>
      <c r="C878" s="34" t="s">
        <v>216</v>
      </c>
      <c r="D878" s="55" t="s">
        <v>131</v>
      </c>
      <c r="E878" s="59"/>
      <c r="F878" s="60">
        <v>0.003472222222222222</v>
      </c>
      <c r="G878" s="29"/>
      <c r="H878" s="6"/>
      <c r="I878" s="6"/>
      <c r="J878" s="6"/>
      <c r="K878" s="6"/>
      <c r="L878" s="6"/>
      <c r="M878" s="6"/>
      <c r="N878" s="6"/>
      <c r="O878" s="6"/>
      <c r="P878" s="6"/>
      <c r="Q878" s="6"/>
      <c r="R878" s="6"/>
      <c r="S878" s="6"/>
    </row>
    <row r="879" ht="22.5" customHeight="1">
      <c r="A879" s="49">
        <v>45926.0</v>
      </c>
      <c r="B879" s="58" t="s">
        <v>206</v>
      </c>
      <c r="C879" s="34" t="s">
        <v>216</v>
      </c>
      <c r="D879" s="55" t="s">
        <v>219</v>
      </c>
      <c r="E879" s="59" t="s">
        <v>215</v>
      </c>
      <c r="F879" s="60">
        <v>0.041666666666666664</v>
      </c>
      <c r="G879" s="29"/>
      <c r="H879" s="6"/>
      <c r="I879" s="6"/>
      <c r="J879" s="6"/>
      <c r="K879" s="6"/>
      <c r="L879" s="6"/>
      <c r="M879" s="6"/>
      <c r="N879" s="6"/>
      <c r="O879" s="6"/>
      <c r="P879" s="6"/>
      <c r="Q879" s="6"/>
      <c r="R879" s="6"/>
      <c r="S879" s="6"/>
    </row>
    <row r="880" ht="22.5" hidden="1" customHeight="1">
      <c r="A880" s="49">
        <v>45927.0</v>
      </c>
      <c r="B880" s="58" t="s">
        <v>206</v>
      </c>
      <c r="C880" s="34" t="s">
        <v>216</v>
      </c>
      <c r="D880" s="55" t="s">
        <v>93</v>
      </c>
      <c r="E880" s="59"/>
      <c r="F880" s="60">
        <v>0.010416666666666666</v>
      </c>
      <c r="G880" s="29"/>
      <c r="H880" s="6"/>
      <c r="I880" s="6"/>
      <c r="J880" s="6"/>
      <c r="K880" s="6"/>
      <c r="L880" s="6"/>
      <c r="M880" s="6"/>
      <c r="N880" s="6"/>
      <c r="O880" s="6"/>
      <c r="P880" s="6"/>
      <c r="Q880" s="6"/>
      <c r="R880" s="6"/>
      <c r="S880" s="6"/>
    </row>
    <row r="881" ht="22.5" hidden="1" customHeight="1">
      <c r="A881" s="49">
        <v>45927.0</v>
      </c>
      <c r="B881" s="58" t="s">
        <v>206</v>
      </c>
      <c r="C881" s="34" t="s">
        <v>216</v>
      </c>
      <c r="D881" s="55" t="s">
        <v>131</v>
      </c>
      <c r="E881" s="59"/>
      <c r="F881" s="60">
        <v>0.003472222222222222</v>
      </c>
      <c r="G881" s="29"/>
      <c r="H881" s="6"/>
      <c r="I881" s="6"/>
      <c r="J881" s="6"/>
      <c r="K881" s="6"/>
      <c r="L881" s="6"/>
      <c r="M881" s="6"/>
      <c r="N881" s="6"/>
      <c r="O881" s="6"/>
      <c r="P881" s="6"/>
      <c r="Q881" s="6"/>
      <c r="R881" s="6"/>
      <c r="S881" s="6"/>
    </row>
    <row r="882" ht="22.5" customHeight="1">
      <c r="A882" s="49">
        <v>45927.0</v>
      </c>
      <c r="B882" s="58" t="s">
        <v>206</v>
      </c>
      <c r="C882" s="34" t="s">
        <v>216</v>
      </c>
      <c r="D882" s="55" t="s">
        <v>219</v>
      </c>
      <c r="E882" s="59" t="s">
        <v>215</v>
      </c>
      <c r="F882" s="60">
        <v>0.041666666666666664</v>
      </c>
      <c r="G882" s="29"/>
      <c r="H882" s="6"/>
      <c r="I882" s="6"/>
      <c r="J882" s="6"/>
      <c r="K882" s="6"/>
      <c r="L882" s="6"/>
      <c r="M882" s="6"/>
      <c r="N882" s="6"/>
      <c r="O882" s="6"/>
      <c r="P882" s="6"/>
      <c r="Q882" s="6"/>
      <c r="R882" s="6"/>
      <c r="S882" s="6"/>
    </row>
    <row r="883" ht="22.5" hidden="1" customHeight="1">
      <c r="A883" s="49">
        <v>45928.0</v>
      </c>
      <c r="B883" s="58" t="s">
        <v>206</v>
      </c>
      <c r="C883" s="34" t="s">
        <v>216</v>
      </c>
      <c r="D883" s="55" t="s">
        <v>93</v>
      </c>
      <c r="E883" s="59"/>
      <c r="F883" s="60">
        <v>0.010416666666666666</v>
      </c>
      <c r="G883" s="29"/>
      <c r="H883" s="6"/>
      <c r="I883" s="6"/>
      <c r="J883" s="6"/>
      <c r="K883" s="6"/>
      <c r="L883" s="6"/>
      <c r="M883" s="6"/>
      <c r="N883" s="6"/>
      <c r="O883" s="6"/>
      <c r="P883" s="6"/>
      <c r="Q883" s="6"/>
      <c r="R883" s="6"/>
      <c r="S883" s="6"/>
    </row>
    <row r="884" ht="22.5" hidden="1" customHeight="1">
      <c r="A884" s="49">
        <v>45928.0</v>
      </c>
      <c r="B884" s="58" t="s">
        <v>206</v>
      </c>
      <c r="C884" s="34" t="s">
        <v>216</v>
      </c>
      <c r="D884" s="55" t="s">
        <v>131</v>
      </c>
      <c r="E884" s="59"/>
      <c r="F884" s="60">
        <v>0.003472222222222222</v>
      </c>
      <c r="G884" s="29"/>
      <c r="H884" s="6"/>
      <c r="I884" s="6"/>
      <c r="J884" s="6"/>
      <c r="K884" s="6"/>
      <c r="L884" s="6"/>
      <c r="M884" s="6"/>
      <c r="N884" s="6"/>
      <c r="O884" s="6"/>
      <c r="P884" s="6"/>
      <c r="Q884" s="6"/>
      <c r="R884" s="6"/>
      <c r="S884" s="6"/>
    </row>
    <row r="885" ht="22.5" customHeight="1">
      <c r="A885" s="49">
        <v>45928.0</v>
      </c>
      <c r="B885" s="58" t="s">
        <v>206</v>
      </c>
      <c r="C885" s="34" t="s">
        <v>216</v>
      </c>
      <c r="D885" s="55" t="s">
        <v>219</v>
      </c>
      <c r="E885" s="59" t="s">
        <v>215</v>
      </c>
      <c r="F885" s="60">
        <v>0.041666666666666664</v>
      </c>
      <c r="G885" s="29"/>
      <c r="H885" s="6"/>
      <c r="I885" s="6"/>
      <c r="J885" s="6"/>
      <c r="K885" s="6"/>
      <c r="L885" s="6"/>
      <c r="M885" s="6"/>
      <c r="N885" s="6"/>
      <c r="O885" s="6"/>
      <c r="P885" s="6"/>
      <c r="Q885" s="6"/>
      <c r="R885" s="6"/>
      <c r="S885" s="6"/>
    </row>
    <row r="886" ht="22.5" hidden="1" customHeight="1">
      <c r="A886" s="49">
        <v>45929.0</v>
      </c>
      <c r="B886" s="58" t="s">
        <v>206</v>
      </c>
      <c r="C886" s="34" t="s">
        <v>216</v>
      </c>
      <c r="D886" s="55" t="s">
        <v>93</v>
      </c>
      <c r="E886" s="59"/>
      <c r="F886" s="60">
        <v>0.010416666666666666</v>
      </c>
      <c r="G886" s="29"/>
      <c r="H886" s="6"/>
      <c r="I886" s="6"/>
      <c r="J886" s="6"/>
      <c r="K886" s="6"/>
      <c r="L886" s="6"/>
      <c r="M886" s="6"/>
      <c r="N886" s="6"/>
      <c r="O886" s="6"/>
      <c r="P886" s="6"/>
      <c r="Q886" s="6"/>
      <c r="R886" s="6"/>
      <c r="S886" s="6"/>
    </row>
    <row r="887" ht="22.5" hidden="1" customHeight="1">
      <c r="A887" s="49">
        <v>45929.0</v>
      </c>
      <c r="B887" s="58" t="s">
        <v>206</v>
      </c>
      <c r="C887" s="34" t="s">
        <v>216</v>
      </c>
      <c r="D887" s="55" t="s">
        <v>131</v>
      </c>
      <c r="E887" s="59"/>
      <c r="F887" s="60">
        <v>0.003472222222222222</v>
      </c>
      <c r="G887" s="29"/>
      <c r="H887" s="6"/>
      <c r="I887" s="6"/>
      <c r="J887" s="6"/>
      <c r="K887" s="6"/>
      <c r="L887" s="6"/>
      <c r="M887" s="6"/>
      <c r="N887" s="6"/>
      <c r="O887" s="6"/>
      <c r="P887" s="6"/>
      <c r="Q887" s="6"/>
      <c r="R887" s="6"/>
      <c r="S887" s="6"/>
    </row>
    <row r="888" ht="22.5" customHeight="1">
      <c r="A888" s="49">
        <v>45929.0</v>
      </c>
      <c r="B888" s="58" t="s">
        <v>206</v>
      </c>
      <c r="C888" s="34" t="s">
        <v>216</v>
      </c>
      <c r="D888" s="55" t="s">
        <v>219</v>
      </c>
      <c r="E888" s="59" t="s">
        <v>215</v>
      </c>
      <c r="F888" s="60">
        <v>0.041666666666666664</v>
      </c>
      <c r="G888" s="29"/>
      <c r="H888" s="6"/>
      <c r="I888" s="6"/>
      <c r="J888" s="6"/>
      <c r="K888" s="6"/>
      <c r="L888" s="6"/>
      <c r="M888" s="6"/>
      <c r="N888" s="6"/>
      <c r="O888" s="6"/>
      <c r="P888" s="6"/>
      <c r="Q888" s="6"/>
      <c r="R888" s="6"/>
      <c r="S888" s="6"/>
    </row>
    <row r="889" ht="22.5" hidden="1" customHeight="1">
      <c r="A889" s="49">
        <v>45930.0</v>
      </c>
      <c r="B889" s="58" t="s">
        <v>206</v>
      </c>
      <c r="C889" s="34" t="s">
        <v>216</v>
      </c>
      <c r="D889" s="55" t="s">
        <v>93</v>
      </c>
      <c r="E889" s="59"/>
      <c r="F889" s="60">
        <v>0.010416666666666666</v>
      </c>
      <c r="G889" s="29"/>
      <c r="H889" s="6"/>
      <c r="I889" s="6"/>
      <c r="J889" s="6"/>
      <c r="K889" s="6"/>
      <c r="L889" s="6"/>
      <c r="M889" s="6"/>
      <c r="N889" s="6"/>
      <c r="O889" s="6"/>
      <c r="P889" s="6"/>
      <c r="Q889" s="6"/>
      <c r="R889" s="6"/>
      <c r="S889" s="6"/>
    </row>
    <row r="890" ht="22.5" hidden="1" customHeight="1">
      <c r="A890" s="49">
        <v>45930.0</v>
      </c>
      <c r="B890" s="58" t="s">
        <v>206</v>
      </c>
      <c r="C890" s="34" t="s">
        <v>216</v>
      </c>
      <c r="D890" s="55" t="s">
        <v>131</v>
      </c>
      <c r="E890" s="59"/>
      <c r="F890" s="60">
        <v>0.003472222222222222</v>
      </c>
      <c r="G890" s="29"/>
      <c r="H890" s="6"/>
      <c r="I890" s="6"/>
      <c r="J890" s="6"/>
      <c r="K890" s="6"/>
      <c r="L890" s="6"/>
      <c r="M890" s="6"/>
      <c r="N890" s="6"/>
      <c r="O890" s="6"/>
      <c r="P890" s="6"/>
      <c r="Q890" s="6"/>
      <c r="R890" s="6"/>
      <c r="S890" s="6"/>
    </row>
    <row r="891" ht="22.5" customHeight="1">
      <c r="A891" s="49">
        <v>45930.0</v>
      </c>
      <c r="B891" s="58" t="s">
        <v>206</v>
      </c>
      <c r="C891" s="34" t="s">
        <v>216</v>
      </c>
      <c r="D891" s="55" t="s">
        <v>219</v>
      </c>
      <c r="E891" s="59" t="s">
        <v>215</v>
      </c>
      <c r="F891" s="60">
        <v>0.041666666666666664</v>
      </c>
      <c r="G891" s="29"/>
      <c r="H891" s="6"/>
      <c r="I891" s="6"/>
      <c r="J891" s="6"/>
      <c r="K891" s="6"/>
      <c r="L891" s="6"/>
      <c r="M891" s="6"/>
      <c r="N891" s="6"/>
      <c r="O891" s="6"/>
      <c r="P891" s="6"/>
      <c r="Q891" s="6"/>
      <c r="R891" s="6"/>
      <c r="S891" s="6"/>
    </row>
    <row r="892" ht="22.5" hidden="1" customHeight="1">
      <c r="A892" s="49">
        <v>45931.0</v>
      </c>
      <c r="B892" s="58" t="s">
        <v>206</v>
      </c>
      <c r="C892" s="34" t="s">
        <v>216</v>
      </c>
      <c r="D892" s="55" t="s">
        <v>93</v>
      </c>
      <c r="E892" s="59"/>
      <c r="F892" s="60">
        <v>0.010416666666666666</v>
      </c>
      <c r="G892" s="29"/>
      <c r="H892" s="6"/>
      <c r="I892" s="6"/>
      <c r="J892" s="6"/>
      <c r="K892" s="6"/>
      <c r="L892" s="6"/>
      <c r="M892" s="6"/>
      <c r="N892" s="6"/>
      <c r="O892" s="6"/>
      <c r="P892" s="6"/>
      <c r="Q892" s="6"/>
      <c r="R892" s="6"/>
      <c r="S892" s="6"/>
    </row>
    <row r="893" ht="22.5" hidden="1" customHeight="1">
      <c r="A893" s="49">
        <v>45931.0</v>
      </c>
      <c r="B893" s="58" t="s">
        <v>206</v>
      </c>
      <c r="C893" s="34" t="s">
        <v>216</v>
      </c>
      <c r="D893" s="55" t="s">
        <v>131</v>
      </c>
      <c r="E893" s="59"/>
      <c r="F893" s="60">
        <v>0.003472222222222222</v>
      </c>
      <c r="G893" s="29"/>
      <c r="H893" s="6"/>
      <c r="I893" s="6"/>
      <c r="J893" s="6"/>
      <c r="K893" s="6"/>
      <c r="L893" s="6"/>
      <c r="M893" s="6"/>
      <c r="N893" s="6"/>
      <c r="O893" s="6"/>
      <c r="P893" s="6"/>
      <c r="Q893" s="6"/>
      <c r="R893" s="6"/>
      <c r="S893" s="6"/>
    </row>
    <row r="894" ht="22.5" customHeight="1">
      <c r="A894" s="49">
        <v>45931.0</v>
      </c>
      <c r="B894" s="58" t="s">
        <v>206</v>
      </c>
      <c r="C894" s="34" t="s">
        <v>216</v>
      </c>
      <c r="D894" s="55" t="s">
        <v>219</v>
      </c>
      <c r="E894" s="59" t="s">
        <v>215</v>
      </c>
      <c r="F894" s="60">
        <v>0.041666666666666664</v>
      </c>
      <c r="G894" s="29"/>
      <c r="H894" s="6"/>
      <c r="I894" s="6"/>
      <c r="J894" s="6"/>
      <c r="K894" s="6"/>
      <c r="L894" s="6"/>
      <c r="M894" s="6"/>
      <c r="N894" s="6"/>
      <c r="O894" s="6"/>
      <c r="P894" s="6"/>
      <c r="Q894" s="6"/>
      <c r="R894" s="6"/>
      <c r="S894" s="6"/>
    </row>
    <row r="895" ht="22.5" hidden="1" customHeight="1">
      <c r="A895" s="49">
        <v>45932.0</v>
      </c>
      <c r="B895" s="58" t="s">
        <v>206</v>
      </c>
      <c r="C895" s="34" t="s">
        <v>216</v>
      </c>
      <c r="D895" s="55" t="s">
        <v>93</v>
      </c>
      <c r="E895" s="59"/>
      <c r="F895" s="60">
        <v>0.010416666666666666</v>
      </c>
      <c r="G895" s="29"/>
      <c r="H895" s="6"/>
      <c r="I895" s="6"/>
      <c r="J895" s="6"/>
      <c r="K895" s="6"/>
      <c r="L895" s="6"/>
      <c r="M895" s="6"/>
      <c r="N895" s="6"/>
      <c r="O895" s="6"/>
      <c r="P895" s="6"/>
      <c r="Q895" s="6"/>
      <c r="R895" s="6"/>
      <c r="S895" s="6"/>
    </row>
    <row r="896" ht="22.5" hidden="1" customHeight="1">
      <c r="A896" s="49">
        <v>45932.0</v>
      </c>
      <c r="B896" s="58" t="s">
        <v>206</v>
      </c>
      <c r="C896" s="34" t="s">
        <v>216</v>
      </c>
      <c r="D896" s="55" t="s">
        <v>131</v>
      </c>
      <c r="E896" s="59"/>
      <c r="F896" s="60">
        <v>0.003472222222222222</v>
      </c>
      <c r="G896" s="29"/>
      <c r="H896" s="6"/>
      <c r="I896" s="6"/>
      <c r="J896" s="6"/>
      <c r="K896" s="6"/>
      <c r="L896" s="6"/>
      <c r="M896" s="6"/>
      <c r="N896" s="6"/>
      <c r="O896" s="6"/>
      <c r="P896" s="6"/>
      <c r="Q896" s="6"/>
      <c r="R896" s="6"/>
      <c r="S896" s="6"/>
    </row>
    <row r="897" ht="22.5" customHeight="1">
      <c r="A897" s="49">
        <v>45932.0</v>
      </c>
      <c r="B897" s="58" t="s">
        <v>206</v>
      </c>
      <c r="C897" s="34" t="s">
        <v>216</v>
      </c>
      <c r="D897" s="55" t="s">
        <v>219</v>
      </c>
      <c r="E897" s="59" t="s">
        <v>215</v>
      </c>
      <c r="F897" s="60">
        <v>0.041666666666666664</v>
      </c>
      <c r="G897" s="29"/>
      <c r="H897" s="6"/>
      <c r="I897" s="6"/>
      <c r="J897" s="6"/>
      <c r="K897" s="6"/>
      <c r="L897" s="6"/>
      <c r="M897" s="6"/>
      <c r="N897" s="6"/>
      <c r="O897" s="6"/>
      <c r="P897" s="6"/>
      <c r="Q897" s="6"/>
      <c r="R897" s="6"/>
      <c r="S897" s="6"/>
    </row>
    <row r="898" ht="22.5" hidden="1" customHeight="1">
      <c r="A898" s="49">
        <v>45933.0</v>
      </c>
      <c r="B898" s="58" t="s">
        <v>206</v>
      </c>
      <c r="C898" s="34" t="s">
        <v>216</v>
      </c>
      <c r="D898" s="55" t="s">
        <v>93</v>
      </c>
      <c r="E898" s="59"/>
      <c r="F898" s="60">
        <v>0.010416666666666666</v>
      </c>
      <c r="G898" s="29"/>
      <c r="H898" s="6"/>
      <c r="I898" s="6"/>
      <c r="J898" s="6"/>
      <c r="K898" s="6"/>
      <c r="L898" s="6"/>
      <c r="M898" s="6"/>
      <c r="N898" s="6"/>
      <c r="O898" s="6"/>
      <c r="P898" s="6"/>
      <c r="Q898" s="6"/>
      <c r="R898" s="6"/>
      <c r="S898" s="6"/>
    </row>
    <row r="899" ht="22.5" hidden="1" customHeight="1">
      <c r="A899" s="49">
        <v>45933.0</v>
      </c>
      <c r="B899" s="58" t="s">
        <v>206</v>
      </c>
      <c r="C899" s="34" t="s">
        <v>216</v>
      </c>
      <c r="D899" s="55" t="s">
        <v>131</v>
      </c>
      <c r="E899" s="59"/>
      <c r="F899" s="60">
        <v>0.003472222222222222</v>
      </c>
      <c r="G899" s="29"/>
      <c r="H899" s="6"/>
      <c r="I899" s="6"/>
      <c r="J899" s="6"/>
      <c r="K899" s="6"/>
      <c r="L899" s="6"/>
      <c r="M899" s="6"/>
      <c r="N899" s="6"/>
      <c r="O899" s="6"/>
      <c r="P899" s="6"/>
      <c r="Q899" s="6"/>
      <c r="R899" s="6"/>
      <c r="S899" s="6"/>
    </row>
    <row r="900" ht="22.5" customHeight="1">
      <c r="A900" s="49">
        <v>45933.0</v>
      </c>
      <c r="B900" s="58" t="s">
        <v>206</v>
      </c>
      <c r="C900" s="34" t="s">
        <v>216</v>
      </c>
      <c r="D900" s="55" t="s">
        <v>219</v>
      </c>
      <c r="E900" s="59" t="s">
        <v>215</v>
      </c>
      <c r="F900" s="60">
        <v>0.041666666666666664</v>
      </c>
      <c r="G900" s="29"/>
      <c r="H900" s="6"/>
      <c r="I900" s="6"/>
      <c r="J900" s="6"/>
      <c r="K900" s="6"/>
      <c r="L900" s="6"/>
      <c r="M900" s="6"/>
      <c r="N900" s="6"/>
      <c r="O900" s="6"/>
      <c r="P900" s="6"/>
      <c r="Q900" s="6"/>
      <c r="R900" s="6"/>
      <c r="S900" s="6"/>
    </row>
    <row r="901" ht="22.5" hidden="1" customHeight="1">
      <c r="A901" s="49">
        <v>45934.0</v>
      </c>
      <c r="B901" s="58" t="s">
        <v>206</v>
      </c>
      <c r="C901" s="34" t="s">
        <v>216</v>
      </c>
      <c r="D901" s="55" t="s">
        <v>93</v>
      </c>
      <c r="E901" s="59"/>
      <c r="F901" s="60">
        <v>0.010416666666666666</v>
      </c>
      <c r="G901" s="29"/>
      <c r="H901" s="6"/>
      <c r="I901" s="6"/>
      <c r="J901" s="6"/>
      <c r="K901" s="6"/>
      <c r="L901" s="6"/>
      <c r="M901" s="6"/>
      <c r="N901" s="6"/>
      <c r="O901" s="6"/>
      <c r="P901" s="6"/>
      <c r="Q901" s="6"/>
      <c r="R901" s="6"/>
      <c r="S901" s="6"/>
    </row>
    <row r="902" ht="22.5" hidden="1" customHeight="1">
      <c r="A902" s="49">
        <v>45934.0</v>
      </c>
      <c r="B902" s="58" t="s">
        <v>206</v>
      </c>
      <c r="C902" s="34" t="s">
        <v>216</v>
      </c>
      <c r="D902" s="55" t="s">
        <v>131</v>
      </c>
      <c r="E902" s="59"/>
      <c r="F902" s="60">
        <v>0.003472222222222222</v>
      </c>
      <c r="G902" s="29"/>
      <c r="H902" s="6"/>
      <c r="I902" s="6"/>
      <c r="J902" s="6"/>
      <c r="K902" s="6"/>
      <c r="L902" s="6"/>
      <c r="M902" s="6"/>
      <c r="N902" s="6"/>
      <c r="O902" s="6"/>
      <c r="P902" s="6"/>
      <c r="Q902" s="6"/>
      <c r="R902" s="6"/>
      <c r="S902" s="6"/>
    </row>
    <row r="903" ht="22.5" customHeight="1">
      <c r="A903" s="49">
        <v>45934.0</v>
      </c>
      <c r="B903" s="58" t="s">
        <v>206</v>
      </c>
      <c r="C903" s="34" t="s">
        <v>216</v>
      </c>
      <c r="D903" s="55" t="s">
        <v>219</v>
      </c>
      <c r="E903" s="59" t="s">
        <v>215</v>
      </c>
      <c r="F903" s="60">
        <v>0.041666666666666664</v>
      </c>
      <c r="G903" s="29"/>
      <c r="H903" s="6"/>
      <c r="I903" s="6"/>
      <c r="J903" s="6"/>
      <c r="K903" s="6"/>
      <c r="L903" s="6"/>
      <c r="M903" s="6"/>
      <c r="N903" s="6"/>
      <c r="O903" s="6"/>
      <c r="P903" s="6"/>
      <c r="Q903" s="6"/>
      <c r="R903" s="6"/>
      <c r="S903" s="6"/>
    </row>
    <row r="904" ht="22.5" hidden="1" customHeight="1">
      <c r="A904" s="49">
        <v>45935.0</v>
      </c>
      <c r="B904" s="58" t="s">
        <v>206</v>
      </c>
      <c r="C904" s="34" t="s">
        <v>216</v>
      </c>
      <c r="D904" s="55" t="s">
        <v>93</v>
      </c>
      <c r="E904" s="59"/>
      <c r="F904" s="60">
        <v>0.010416666666666666</v>
      </c>
      <c r="G904" s="29"/>
      <c r="H904" s="6"/>
      <c r="I904" s="6"/>
      <c r="J904" s="6"/>
      <c r="K904" s="6"/>
      <c r="L904" s="6"/>
      <c r="M904" s="6"/>
      <c r="N904" s="6"/>
      <c r="O904" s="6"/>
      <c r="P904" s="6"/>
      <c r="Q904" s="6"/>
      <c r="R904" s="6"/>
      <c r="S904" s="6"/>
    </row>
    <row r="905" ht="22.5" hidden="1" customHeight="1">
      <c r="A905" s="49">
        <v>45935.0</v>
      </c>
      <c r="B905" s="58" t="s">
        <v>206</v>
      </c>
      <c r="C905" s="34" t="s">
        <v>216</v>
      </c>
      <c r="D905" s="55" t="s">
        <v>131</v>
      </c>
      <c r="E905" s="59"/>
      <c r="F905" s="60">
        <v>0.003472222222222222</v>
      </c>
      <c r="G905" s="29"/>
      <c r="H905" s="6"/>
      <c r="I905" s="6"/>
      <c r="J905" s="6"/>
      <c r="K905" s="6"/>
      <c r="L905" s="6"/>
      <c r="M905" s="6"/>
      <c r="N905" s="6"/>
      <c r="O905" s="6"/>
      <c r="P905" s="6"/>
      <c r="Q905" s="6"/>
      <c r="R905" s="6"/>
      <c r="S905" s="6"/>
    </row>
    <row r="906" ht="22.5" customHeight="1">
      <c r="A906" s="49">
        <v>45935.0</v>
      </c>
      <c r="B906" s="58" t="s">
        <v>206</v>
      </c>
      <c r="C906" s="34" t="s">
        <v>216</v>
      </c>
      <c r="D906" s="55" t="s">
        <v>219</v>
      </c>
      <c r="E906" s="59" t="s">
        <v>215</v>
      </c>
      <c r="F906" s="60">
        <v>0.041666666666666664</v>
      </c>
      <c r="G906" s="29"/>
      <c r="H906" s="6"/>
      <c r="I906" s="6"/>
      <c r="J906" s="6"/>
      <c r="K906" s="6"/>
      <c r="L906" s="6"/>
      <c r="M906" s="6"/>
      <c r="N906" s="6"/>
      <c r="O906" s="6"/>
      <c r="P906" s="6"/>
      <c r="Q906" s="6"/>
      <c r="R906" s="6"/>
      <c r="S906" s="6"/>
    </row>
    <row r="907" ht="22.5" hidden="1" customHeight="1">
      <c r="A907" s="49">
        <v>45936.0</v>
      </c>
      <c r="B907" s="58" t="s">
        <v>206</v>
      </c>
      <c r="C907" s="34" t="s">
        <v>216</v>
      </c>
      <c r="D907" s="55" t="s">
        <v>93</v>
      </c>
      <c r="E907" s="59"/>
      <c r="F907" s="60">
        <v>0.010416666666666666</v>
      </c>
      <c r="G907" s="29"/>
      <c r="H907" s="6"/>
      <c r="I907" s="6"/>
      <c r="J907" s="6"/>
      <c r="K907" s="6"/>
      <c r="L907" s="6"/>
      <c r="M907" s="6"/>
      <c r="N907" s="6"/>
      <c r="O907" s="6"/>
      <c r="P907" s="6"/>
      <c r="Q907" s="6"/>
      <c r="R907" s="6"/>
      <c r="S907" s="6"/>
    </row>
    <row r="908" ht="22.5" hidden="1" customHeight="1">
      <c r="A908" s="49">
        <v>45936.0</v>
      </c>
      <c r="B908" s="58" t="s">
        <v>206</v>
      </c>
      <c r="C908" s="34" t="s">
        <v>216</v>
      </c>
      <c r="D908" s="55" t="s">
        <v>131</v>
      </c>
      <c r="E908" s="59"/>
      <c r="F908" s="60">
        <v>0.003472222222222222</v>
      </c>
      <c r="G908" s="29"/>
      <c r="H908" s="6"/>
      <c r="I908" s="6"/>
      <c r="J908" s="6"/>
      <c r="K908" s="6"/>
      <c r="L908" s="6"/>
      <c r="M908" s="6"/>
      <c r="N908" s="6"/>
      <c r="O908" s="6"/>
      <c r="P908" s="6"/>
      <c r="Q908" s="6"/>
      <c r="R908" s="6"/>
      <c r="S908" s="6"/>
    </row>
    <row r="909" ht="22.5" customHeight="1">
      <c r="A909" s="49">
        <v>45936.0</v>
      </c>
      <c r="B909" s="58" t="s">
        <v>206</v>
      </c>
      <c r="C909" s="34" t="s">
        <v>216</v>
      </c>
      <c r="D909" s="55" t="s">
        <v>219</v>
      </c>
      <c r="E909" s="59" t="s">
        <v>215</v>
      </c>
      <c r="F909" s="60">
        <v>0.041666666666666664</v>
      </c>
      <c r="G909" s="29"/>
      <c r="H909" s="6"/>
      <c r="I909" s="6"/>
      <c r="J909" s="6"/>
      <c r="K909" s="6"/>
      <c r="L909" s="6"/>
      <c r="M909" s="6"/>
      <c r="N909" s="6"/>
      <c r="O909" s="6"/>
      <c r="P909" s="6"/>
      <c r="Q909" s="6"/>
      <c r="R909" s="6"/>
      <c r="S909" s="6"/>
    </row>
    <row r="910" ht="22.5" hidden="1" customHeight="1">
      <c r="A910" s="49">
        <v>45937.0</v>
      </c>
      <c r="B910" s="58" t="s">
        <v>206</v>
      </c>
      <c r="C910" s="34" t="s">
        <v>216</v>
      </c>
      <c r="D910" s="55" t="s">
        <v>93</v>
      </c>
      <c r="E910" s="59"/>
      <c r="F910" s="60">
        <v>0.010416666666666666</v>
      </c>
      <c r="G910" s="29"/>
      <c r="H910" s="6"/>
      <c r="I910" s="6"/>
      <c r="J910" s="6"/>
      <c r="K910" s="6"/>
      <c r="L910" s="6"/>
      <c r="M910" s="6"/>
      <c r="N910" s="6"/>
      <c r="O910" s="6"/>
      <c r="P910" s="6"/>
      <c r="Q910" s="6"/>
      <c r="R910" s="6"/>
      <c r="S910" s="6"/>
    </row>
    <row r="911" ht="22.5" hidden="1" customHeight="1">
      <c r="A911" s="49">
        <v>45937.0</v>
      </c>
      <c r="B911" s="58" t="s">
        <v>206</v>
      </c>
      <c r="C911" s="34" t="s">
        <v>216</v>
      </c>
      <c r="D911" s="55" t="s">
        <v>131</v>
      </c>
      <c r="E911" s="59"/>
      <c r="F911" s="60">
        <v>0.003472222222222222</v>
      </c>
      <c r="G911" s="29"/>
      <c r="H911" s="6"/>
      <c r="I911" s="6"/>
      <c r="J911" s="6"/>
      <c r="K911" s="6"/>
      <c r="L911" s="6"/>
      <c r="M911" s="6"/>
      <c r="N911" s="6"/>
      <c r="O911" s="6"/>
      <c r="P911" s="6"/>
      <c r="Q911" s="6"/>
      <c r="R911" s="6"/>
      <c r="S911" s="6"/>
    </row>
    <row r="912" ht="22.5" customHeight="1">
      <c r="A912" s="49">
        <v>45937.0</v>
      </c>
      <c r="B912" s="58" t="s">
        <v>206</v>
      </c>
      <c r="C912" s="34" t="s">
        <v>216</v>
      </c>
      <c r="D912" s="55" t="s">
        <v>219</v>
      </c>
      <c r="E912" s="59" t="s">
        <v>215</v>
      </c>
      <c r="F912" s="60">
        <v>0.041666666666666664</v>
      </c>
      <c r="G912" s="29"/>
      <c r="H912" s="6"/>
      <c r="I912" s="6"/>
      <c r="J912" s="6"/>
      <c r="K912" s="6"/>
      <c r="L912" s="6"/>
      <c r="M912" s="6"/>
      <c r="N912" s="6"/>
      <c r="O912" s="6"/>
      <c r="P912" s="6"/>
      <c r="Q912" s="6"/>
      <c r="R912" s="6"/>
      <c r="S912" s="6"/>
    </row>
    <row r="913" ht="22.5" hidden="1" customHeight="1">
      <c r="A913" s="49">
        <v>45938.0</v>
      </c>
      <c r="B913" s="58" t="s">
        <v>206</v>
      </c>
      <c r="C913" s="34" t="s">
        <v>216</v>
      </c>
      <c r="D913" s="55" t="s">
        <v>93</v>
      </c>
      <c r="E913" s="59"/>
      <c r="F913" s="60">
        <v>0.010416666666666666</v>
      </c>
      <c r="G913" s="29"/>
      <c r="H913" s="6"/>
      <c r="I913" s="6"/>
      <c r="J913" s="6"/>
      <c r="K913" s="6"/>
      <c r="L913" s="6"/>
      <c r="M913" s="6"/>
      <c r="N913" s="6"/>
      <c r="O913" s="6"/>
      <c r="P913" s="6"/>
      <c r="Q913" s="6"/>
      <c r="R913" s="6"/>
      <c r="S913" s="6"/>
    </row>
    <row r="914" ht="22.5" hidden="1" customHeight="1">
      <c r="A914" s="49">
        <v>45938.0</v>
      </c>
      <c r="B914" s="58" t="s">
        <v>206</v>
      </c>
      <c r="C914" s="34" t="s">
        <v>216</v>
      </c>
      <c r="D914" s="55" t="s">
        <v>131</v>
      </c>
      <c r="E914" s="59"/>
      <c r="F914" s="60">
        <v>0.003472222222222222</v>
      </c>
      <c r="G914" s="29"/>
      <c r="H914" s="6"/>
      <c r="I914" s="6"/>
      <c r="J914" s="6"/>
      <c r="K914" s="6"/>
      <c r="L914" s="6"/>
      <c r="M914" s="6"/>
      <c r="N914" s="6"/>
      <c r="O914" s="6"/>
      <c r="P914" s="6"/>
      <c r="Q914" s="6"/>
      <c r="R914" s="6"/>
      <c r="S914" s="6"/>
    </row>
    <row r="915" ht="22.5" customHeight="1">
      <c r="A915" s="49">
        <v>45938.0</v>
      </c>
      <c r="B915" s="58" t="s">
        <v>206</v>
      </c>
      <c r="C915" s="34" t="s">
        <v>216</v>
      </c>
      <c r="D915" s="55" t="s">
        <v>219</v>
      </c>
      <c r="E915" s="59" t="s">
        <v>215</v>
      </c>
      <c r="F915" s="60">
        <v>0.041666666666666664</v>
      </c>
      <c r="G915" s="29"/>
      <c r="H915" s="6"/>
      <c r="I915" s="6"/>
      <c r="J915" s="6"/>
      <c r="K915" s="6"/>
      <c r="L915" s="6"/>
      <c r="M915" s="6"/>
      <c r="N915" s="6"/>
      <c r="O915" s="6"/>
      <c r="P915" s="6"/>
      <c r="Q915" s="6"/>
      <c r="R915" s="6"/>
      <c r="S915" s="6"/>
    </row>
    <row r="916" ht="22.5" hidden="1" customHeight="1">
      <c r="A916" s="49">
        <v>45939.0</v>
      </c>
      <c r="B916" s="58" t="s">
        <v>206</v>
      </c>
      <c r="C916" s="34" t="s">
        <v>216</v>
      </c>
      <c r="D916" s="55" t="s">
        <v>93</v>
      </c>
      <c r="E916" s="59"/>
      <c r="F916" s="60">
        <v>0.010416666666666666</v>
      </c>
      <c r="G916" s="29"/>
      <c r="H916" s="6"/>
      <c r="I916" s="6"/>
      <c r="J916" s="6"/>
      <c r="K916" s="6"/>
      <c r="L916" s="6"/>
      <c r="M916" s="6"/>
      <c r="N916" s="6"/>
      <c r="O916" s="6"/>
      <c r="P916" s="6"/>
      <c r="Q916" s="6"/>
      <c r="R916" s="6"/>
      <c r="S916" s="6"/>
    </row>
    <row r="917" ht="22.5" hidden="1" customHeight="1">
      <c r="A917" s="49">
        <v>45939.0</v>
      </c>
      <c r="B917" s="58" t="s">
        <v>206</v>
      </c>
      <c r="C917" s="34" t="s">
        <v>216</v>
      </c>
      <c r="D917" s="55" t="s">
        <v>131</v>
      </c>
      <c r="E917" s="59"/>
      <c r="F917" s="60">
        <v>0.003472222222222222</v>
      </c>
      <c r="G917" s="29"/>
      <c r="H917" s="6"/>
      <c r="I917" s="6"/>
      <c r="J917" s="6"/>
      <c r="K917" s="6"/>
      <c r="L917" s="6"/>
      <c r="M917" s="6"/>
      <c r="N917" s="6"/>
      <c r="O917" s="6"/>
      <c r="P917" s="6"/>
      <c r="Q917" s="6"/>
      <c r="R917" s="6"/>
      <c r="S917" s="6"/>
    </row>
    <row r="918" ht="22.5" customHeight="1">
      <c r="A918" s="49">
        <v>45939.0</v>
      </c>
      <c r="B918" s="58" t="s">
        <v>206</v>
      </c>
      <c r="C918" s="34" t="s">
        <v>216</v>
      </c>
      <c r="D918" s="55" t="s">
        <v>219</v>
      </c>
      <c r="E918" s="59" t="s">
        <v>215</v>
      </c>
      <c r="F918" s="60">
        <v>0.041666666666666664</v>
      </c>
      <c r="G918" s="29"/>
      <c r="H918" s="6"/>
      <c r="I918" s="6"/>
      <c r="J918" s="6"/>
      <c r="K918" s="6"/>
      <c r="L918" s="6"/>
      <c r="M918" s="6"/>
      <c r="N918" s="6"/>
      <c r="O918" s="6"/>
      <c r="P918" s="6"/>
      <c r="Q918" s="6"/>
      <c r="R918" s="6"/>
      <c r="S918" s="6"/>
    </row>
    <row r="919" ht="22.5" hidden="1" customHeight="1">
      <c r="A919" s="49">
        <v>45940.0</v>
      </c>
      <c r="B919" s="58" t="s">
        <v>206</v>
      </c>
      <c r="C919" s="34" t="s">
        <v>216</v>
      </c>
      <c r="D919" s="55" t="s">
        <v>93</v>
      </c>
      <c r="E919" s="59"/>
      <c r="F919" s="60">
        <v>0.010416666666666666</v>
      </c>
      <c r="G919" s="29"/>
      <c r="H919" s="6"/>
      <c r="I919" s="6"/>
      <c r="J919" s="6"/>
      <c r="K919" s="6"/>
      <c r="L919" s="6"/>
      <c r="M919" s="6"/>
      <c r="N919" s="6"/>
      <c r="O919" s="6"/>
      <c r="P919" s="6"/>
      <c r="Q919" s="6"/>
      <c r="R919" s="6"/>
      <c r="S919" s="6"/>
    </row>
    <row r="920" ht="22.5" hidden="1" customHeight="1">
      <c r="A920" s="49">
        <v>45940.0</v>
      </c>
      <c r="B920" s="58" t="s">
        <v>206</v>
      </c>
      <c r="C920" s="34" t="s">
        <v>216</v>
      </c>
      <c r="D920" s="55" t="s">
        <v>131</v>
      </c>
      <c r="E920" s="59"/>
      <c r="F920" s="60">
        <v>0.003472222222222222</v>
      </c>
      <c r="G920" s="29"/>
      <c r="H920" s="6"/>
      <c r="I920" s="6"/>
      <c r="J920" s="6"/>
      <c r="K920" s="6"/>
      <c r="L920" s="6"/>
      <c r="M920" s="6"/>
      <c r="N920" s="6"/>
      <c r="O920" s="6"/>
      <c r="P920" s="6"/>
      <c r="Q920" s="6"/>
      <c r="R920" s="6"/>
      <c r="S920" s="6"/>
    </row>
    <row r="921" ht="22.5" customHeight="1">
      <c r="A921" s="49">
        <v>45940.0</v>
      </c>
      <c r="B921" s="58" t="s">
        <v>206</v>
      </c>
      <c r="C921" s="34" t="s">
        <v>216</v>
      </c>
      <c r="D921" s="55" t="s">
        <v>219</v>
      </c>
      <c r="E921" s="59" t="s">
        <v>215</v>
      </c>
      <c r="F921" s="60">
        <v>0.041666666666666664</v>
      </c>
      <c r="G921" s="29"/>
      <c r="H921" s="6"/>
      <c r="I921" s="6"/>
      <c r="J921" s="6"/>
      <c r="K921" s="6"/>
      <c r="L921" s="6"/>
      <c r="M921" s="6"/>
      <c r="N921" s="6"/>
      <c r="O921" s="6"/>
      <c r="P921" s="6"/>
      <c r="Q921" s="6"/>
      <c r="R921" s="6"/>
      <c r="S921" s="6"/>
    </row>
    <row r="922" ht="22.5" hidden="1" customHeight="1">
      <c r="A922" s="49">
        <v>45941.0</v>
      </c>
      <c r="B922" s="58" t="s">
        <v>206</v>
      </c>
      <c r="C922" s="34" t="s">
        <v>216</v>
      </c>
      <c r="D922" s="55" t="s">
        <v>93</v>
      </c>
      <c r="E922" s="59"/>
      <c r="F922" s="60">
        <v>0.010416666666666666</v>
      </c>
      <c r="G922" s="29"/>
      <c r="H922" s="6"/>
      <c r="I922" s="6"/>
      <c r="J922" s="6"/>
      <c r="K922" s="6"/>
      <c r="L922" s="6"/>
      <c r="M922" s="6"/>
      <c r="N922" s="6"/>
      <c r="O922" s="6"/>
      <c r="P922" s="6"/>
      <c r="Q922" s="6"/>
      <c r="R922" s="6"/>
      <c r="S922" s="6"/>
    </row>
    <row r="923" ht="22.5" hidden="1" customHeight="1">
      <c r="A923" s="49">
        <v>45941.0</v>
      </c>
      <c r="B923" s="58" t="s">
        <v>206</v>
      </c>
      <c r="C923" s="34" t="s">
        <v>216</v>
      </c>
      <c r="D923" s="55" t="s">
        <v>131</v>
      </c>
      <c r="E923" s="59"/>
      <c r="F923" s="60">
        <v>0.003472222222222222</v>
      </c>
      <c r="G923" s="29"/>
      <c r="H923" s="6"/>
      <c r="I923" s="6"/>
      <c r="J923" s="6"/>
      <c r="K923" s="6"/>
      <c r="L923" s="6"/>
      <c r="M923" s="6"/>
      <c r="N923" s="6"/>
      <c r="O923" s="6"/>
      <c r="P923" s="6"/>
      <c r="Q923" s="6"/>
      <c r="R923" s="6"/>
      <c r="S923" s="6"/>
    </row>
    <row r="924" ht="22.5" customHeight="1">
      <c r="A924" s="49">
        <v>45941.0</v>
      </c>
      <c r="B924" s="58" t="s">
        <v>206</v>
      </c>
      <c r="C924" s="34" t="s">
        <v>216</v>
      </c>
      <c r="D924" s="55" t="s">
        <v>219</v>
      </c>
      <c r="E924" s="59" t="s">
        <v>215</v>
      </c>
      <c r="F924" s="60">
        <v>0.041666666666666664</v>
      </c>
      <c r="G924" s="29"/>
      <c r="H924" s="6"/>
      <c r="I924" s="6"/>
      <c r="J924" s="6"/>
      <c r="K924" s="6"/>
      <c r="L924" s="6"/>
      <c r="M924" s="6"/>
      <c r="N924" s="6"/>
      <c r="O924" s="6"/>
      <c r="P924" s="6"/>
      <c r="Q924" s="6"/>
      <c r="R924" s="6"/>
      <c r="S924" s="6"/>
    </row>
    <row r="925" ht="22.5" hidden="1" customHeight="1">
      <c r="A925" s="49">
        <v>45942.0</v>
      </c>
      <c r="B925" s="58" t="s">
        <v>206</v>
      </c>
      <c r="C925" s="34" t="s">
        <v>216</v>
      </c>
      <c r="D925" s="55" t="s">
        <v>93</v>
      </c>
      <c r="E925" s="59"/>
      <c r="F925" s="60">
        <v>0.010416666666666666</v>
      </c>
      <c r="G925" s="29"/>
      <c r="H925" s="6"/>
      <c r="I925" s="6"/>
      <c r="J925" s="6"/>
      <c r="K925" s="6"/>
      <c r="L925" s="6"/>
      <c r="M925" s="6"/>
      <c r="N925" s="6"/>
      <c r="O925" s="6"/>
      <c r="P925" s="6"/>
      <c r="Q925" s="6"/>
      <c r="R925" s="6"/>
      <c r="S925" s="6"/>
    </row>
    <row r="926" ht="22.5" hidden="1" customHeight="1">
      <c r="A926" s="49">
        <v>45942.0</v>
      </c>
      <c r="B926" s="58" t="s">
        <v>206</v>
      </c>
      <c r="C926" s="34" t="s">
        <v>216</v>
      </c>
      <c r="D926" s="55" t="s">
        <v>131</v>
      </c>
      <c r="E926" s="59"/>
      <c r="F926" s="60">
        <v>0.003472222222222222</v>
      </c>
      <c r="G926" s="29"/>
      <c r="H926" s="6"/>
      <c r="I926" s="6"/>
      <c r="J926" s="6"/>
      <c r="K926" s="6"/>
      <c r="L926" s="6"/>
      <c r="M926" s="6"/>
      <c r="N926" s="6"/>
      <c r="O926" s="6"/>
      <c r="P926" s="6"/>
      <c r="Q926" s="6"/>
      <c r="R926" s="6"/>
      <c r="S926" s="6"/>
    </row>
    <row r="927" ht="22.5" customHeight="1">
      <c r="A927" s="49">
        <v>45942.0</v>
      </c>
      <c r="B927" s="58" t="s">
        <v>206</v>
      </c>
      <c r="C927" s="34" t="s">
        <v>216</v>
      </c>
      <c r="D927" s="55" t="s">
        <v>219</v>
      </c>
      <c r="E927" s="59" t="s">
        <v>215</v>
      </c>
      <c r="F927" s="60">
        <v>0.041666666666666664</v>
      </c>
      <c r="G927" s="29"/>
      <c r="H927" s="6"/>
      <c r="I927" s="6"/>
      <c r="J927" s="6"/>
      <c r="K927" s="6"/>
      <c r="L927" s="6"/>
      <c r="M927" s="6"/>
      <c r="N927" s="6"/>
      <c r="O927" s="6"/>
      <c r="P927" s="6"/>
      <c r="Q927" s="6"/>
      <c r="R927" s="6"/>
      <c r="S927" s="6"/>
    </row>
    <row r="928" ht="22.5" hidden="1" customHeight="1">
      <c r="A928" s="49">
        <v>45942.0</v>
      </c>
      <c r="B928" s="58" t="s">
        <v>206</v>
      </c>
      <c r="C928" s="34" t="s">
        <v>216</v>
      </c>
      <c r="D928" s="55" t="s">
        <v>218</v>
      </c>
      <c r="E928" s="59"/>
      <c r="F928" s="60">
        <v>0.00800925925925926</v>
      </c>
      <c r="G928" s="29"/>
      <c r="H928" s="6"/>
      <c r="I928" s="6"/>
      <c r="J928" s="6"/>
      <c r="K928" s="6"/>
      <c r="L928" s="6"/>
      <c r="M928" s="6"/>
      <c r="N928" s="6"/>
      <c r="O928" s="6"/>
      <c r="P928" s="6"/>
      <c r="Q928" s="6"/>
      <c r="R928" s="6"/>
      <c r="S928" s="6"/>
    </row>
    <row r="929" ht="22.5" hidden="1" customHeight="1">
      <c r="A929" s="49">
        <v>45943.0</v>
      </c>
      <c r="B929" s="58" t="s">
        <v>206</v>
      </c>
      <c r="C929" s="34" t="s">
        <v>216</v>
      </c>
      <c r="D929" s="55" t="s">
        <v>93</v>
      </c>
      <c r="E929" s="59"/>
      <c r="F929" s="60">
        <v>0.010416666666666666</v>
      </c>
      <c r="G929" s="29"/>
      <c r="H929" s="6"/>
      <c r="I929" s="6"/>
      <c r="J929" s="6"/>
      <c r="K929" s="6"/>
      <c r="L929" s="6"/>
      <c r="M929" s="6"/>
      <c r="N929" s="6"/>
      <c r="O929" s="6"/>
      <c r="P929" s="6"/>
      <c r="Q929" s="6"/>
      <c r="R929" s="6"/>
      <c r="S929" s="6"/>
    </row>
    <row r="930" ht="22.5" hidden="1" customHeight="1">
      <c r="A930" s="49">
        <v>45943.0</v>
      </c>
      <c r="B930" s="58" t="s">
        <v>206</v>
      </c>
      <c r="C930" s="34" t="s">
        <v>216</v>
      </c>
      <c r="D930" s="55" t="s">
        <v>131</v>
      </c>
      <c r="E930" s="59"/>
      <c r="F930" s="60">
        <v>0.003472222222222222</v>
      </c>
      <c r="G930" s="29"/>
      <c r="H930" s="6"/>
      <c r="I930" s="6"/>
      <c r="J930" s="6"/>
      <c r="K930" s="6"/>
      <c r="L930" s="6"/>
      <c r="M930" s="6"/>
      <c r="N930" s="6"/>
      <c r="O930" s="6"/>
      <c r="P930" s="6"/>
      <c r="Q930" s="6"/>
      <c r="R930" s="6"/>
      <c r="S930" s="6"/>
    </row>
    <row r="931" ht="22.5" customHeight="1">
      <c r="A931" s="49">
        <v>45943.0</v>
      </c>
      <c r="B931" s="58" t="s">
        <v>206</v>
      </c>
      <c r="C931" s="34" t="s">
        <v>216</v>
      </c>
      <c r="D931" s="55" t="s">
        <v>219</v>
      </c>
      <c r="E931" s="59" t="s">
        <v>215</v>
      </c>
      <c r="F931" s="60">
        <v>0.041666666666666664</v>
      </c>
      <c r="G931" s="29"/>
      <c r="H931" s="6"/>
      <c r="I931" s="6"/>
      <c r="J931" s="6"/>
      <c r="K931" s="6"/>
      <c r="L931" s="6"/>
      <c r="M931" s="6"/>
      <c r="N931" s="6"/>
      <c r="O931" s="6"/>
      <c r="P931" s="6"/>
      <c r="Q931" s="6"/>
      <c r="R931" s="6"/>
      <c r="S931" s="6"/>
    </row>
    <row r="932" ht="22.5" hidden="1" customHeight="1">
      <c r="A932" s="49">
        <v>45944.0</v>
      </c>
      <c r="B932" s="58" t="s">
        <v>206</v>
      </c>
      <c r="C932" s="34" t="s">
        <v>216</v>
      </c>
      <c r="D932" s="55" t="s">
        <v>93</v>
      </c>
      <c r="E932" s="59"/>
      <c r="F932" s="60">
        <v>0.010416666666666666</v>
      </c>
      <c r="G932" s="29"/>
      <c r="H932" s="6"/>
      <c r="I932" s="6"/>
      <c r="J932" s="6"/>
      <c r="K932" s="6"/>
      <c r="L932" s="6"/>
      <c r="M932" s="6"/>
      <c r="N932" s="6"/>
      <c r="O932" s="6"/>
      <c r="P932" s="6"/>
      <c r="Q932" s="6"/>
      <c r="R932" s="6"/>
      <c r="S932" s="6"/>
    </row>
    <row r="933" ht="22.5" hidden="1" customHeight="1">
      <c r="A933" s="49">
        <v>45944.0</v>
      </c>
      <c r="B933" s="58" t="s">
        <v>206</v>
      </c>
      <c r="C933" s="34" t="s">
        <v>216</v>
      </c>
      <c r="D933" s="55" t="s">
        <v>131</v>
      </c>
      <c r="E933" s="59"/>
      <c r="F933" s="60">
        <v>0.003472222222222222</v>
      </c>
      <c r="G933" s="29"/>
      <c r="H933" s="6"/>
      <c r="I933" s="6"/>
      <c r="J933" s="6"/>
      <c r="K933" s="6"/>
      <c r="L933" s="6"/>
      <c r="M933" s="6"/>
      <c r="N933" s="6"/>
      <c r="O933" s="6"/>
      <c r="P933" s="6"/>
      <c r="Q933" s="6"/>
      <c r="R933" s="6"/>
      <c r="S933" s="6"/>
    </row>
    <row r="934" ht="22.5" customHeight="1">
      <c r="A934" s="49">
        <v>45944.0</v>
      </c>
      <c r="B934" s="58" t="s">
        <v>206</v>
      </c>
      <c r="C934" s="34" t="s">
        <v>216</v>
      </c>
      <c r="D934" s="55" t="s">
        <v>219</v>
      </c>
      <c r="E934" s="59" t="s">
        <v>215</v>
      </c>
      <c r="F934" s="60">
        <v>0.041666666666666664</v>
      </c>
      <c r="G934" s="29"/>
      <c r="H934" s="6"/>
      <c r="I934" s="6"/>
      <c r="J934" s="6"/>
      <c r="K934" s="6"/>
      <c r="L934" s="6"/>
      <c r="M934" s="6"/>
      <c r="N934" s="6"/>
      <c r="O934" s="6"/>
      <c r="P934" s="6"/>
      <c r="Q934" s="6"/>
      <c r="R934" s="6"/>
      <c r="S934" s="6"/>
    </row>
    <row r="935" ht="22.5" hidden="1" customHeight="1">
      <c r="A935" s="49">
        <v>45945.0</v>
      </c>
      <c r="B935" s="58" t="s">
        <v>206</v>
      </c>
      <c r="C935" s="34" t="s">
        <v>216</v>
      </c>
      <c r="D935" s="55" t="s">
        <v>93</v>
      </c>
      <c r="E935" s="59"/>
      <c r="F935" s="60">
        <v>0.010416666666666666</v>
      </c>
      <c r="G935" s="29"/>
      <c r="H935" s="6"/>
      <c r="I935" s="6"/>
      <c r="J935" s="6"/>
      <c r="K935" s="6"/>
      <c r="L935" s="6"/>
      <c r="M935" s="6"/>
      <c r="N935" s="6"/>
      <c r="O935" s="6"/>
      <c r="P935" s="6"/>
      <c r="Q935" s="6"/>
      <c r="R935" s="6"/>
      <c r="S935" s="6"/>
    </row>
    <row r="936" ht="22.5" hidden="1" customHeight="1">
      <c r="A936" s="49">
        <v>45945.0</v>
      </c>
      <c r="B936" s="58" t="s">
        <v>206</v>
      </c>
      <c r="C936" s="34" t="s">
        <v>216</v>
      </c>
      <c r="D936" s="55" t="s">
        <v>131</v>
      </c>
      <c r="E936" s="59"/>
      <c r="F936" s="60">
        <v>0.003472222222222222</v>
      </c>
      <c r="G936" s="29"/>
      <c r="H936" s="6"/>
      <c r="I936" s="6"/>
      <c r="J936" s="6"/>
      <c r="K936" s="6"/>
      <c r="L936" s="6"/>
      <c r="M936" s="6"/>
      <c r="N936" s="6"/>
      <c r="O936" s="6"/>
      <c r="P936" s="6"/>
      <c r="Q936" s="6"/>
      <c r="R936" s="6"/>
      <c r="S936" s="6"/>
    </row>
    <row r="937" ht="22.5" customHeight="1">
      <c r="A937" s="49">
        <v>45945.0</v>
      </c>
      <c r="B937" s="58" t="s">
        <v>206</v>
      </c>
      <c r="C937" s="34" t="s">
        <v>216</v>
      </c>
      <c r="D937" s="55" t="s">
        <v>219</v>
      </c>
      <c r="E937" s="59" t="s">
        <v>215</v>
      </c>
      <c r="F937" s="60">
        <v>0.041666666666666664</v>
      </c>
      <c r="G937" s="29"/>
      <c r="H937" s="6"/>
      <c r="I937" s="6"/>
      <c r="J937" s="6"/>
      <c r="K937" s="6"/>
      <c r="L937" s="6"/>
      <c r="M937" s="6"/>
      <c r="N937" s="6"/>
      <c r="O937" s="6"/>
      <c r="P937" s="6"/>
      <c r="Q937" s="6"/>
      <c r="R937" s="6"/>
      <c r="S937" s="6"/>
    </row>
    <row r="938" ht="22.5" hidden="1" customHeight="1">
      <c r="A938" s="49">
        <v>45945.0</v>
      </c>
      <c r="B938" s="58" t="s">
        <v>206</v>
      </c>
      <c r="C938" s="34" t="s">
        <v>216</v>
      </c>
      <c r="D938" s="55" t="s">
        <v>220</v>
      </c>
      <c r="E938" s="59"/>
      <c r="F938" s="60">
        <v>0.018900462962962963</v>
      </c>
      <c r="G938" s="29"/>
      <c r="H938" s="6"/>
      <c r="I938" s="6"/>
      <c r="J938" s="6"/>
      <c r="K938" s="6"/>
      <c r="L938" s="6"/>
      <c r="M938" s="6"/>
      <c r="N938" s="6"/>
      <c r="O938" s="6"/>
      <c r="P938" s="6"/>
      <c r="Q938" s="6"/>
      <c r="R938" s="6"/>
      <c r="S938" s="6"/>
    </row>
    <row r="939" ht="22.5" hidden="1" customHeight="1">
      <c r="A939" s="49">
        <v>45945.0</v>
      </c>
      <c r="B939" s="58" t="s">
        <v>206</v>
      </c>
      <c r="C939" s="34" t="s">
        <v>216</v>
      </c>
      <c r="D939" s="55" t="s">
        <v>218</v>
      </c>
      <c r="E939" s="59"/>
      <c r="F939" s="60">
        <v>0.008020833333333333</v>
      </c>
      <c r="G939" s="29"/>
      <c r="H939" s="6"/>
      <c r="I939" s="6"/>
      <c r="J939" s="6"/>
      <c r="K939" s="6"/>
      <c r="L939" s="6"/>
      <c r="M939" s="6"/>
      <c r="N939" s="6"/>
      <c r="O939" s="6"/>
      <c r="P939" s="6"/>
      <c r="Q939" s="6"/>
      <c r="R939" s="6"/>
      <c r="S939" s="6"/>
    </row>
    <row r="940" ht="22.5" hidden="1" customHeight="1">
      <c r="A940" s="49">
        <v>45946.0</v>
      </c>
      <c r="B940" s="58" t="s">
        <v>206</v>
      </c>
      <c r="C940" s="34" t="s">
        <v>216</v>
      </c>
      <c r="D940" s="55" t="s">
        <v>93</v>
      </c>
      <c r="E940" s="59"/>
      <c r="F940" s="60">
        <v>0.010416666666666666</v>
      </c>
      <c r="G940" s="29"/>
      <c r="H940" s="6"/>
      <c r="I940" s="6"/>
      <c r="J940" s="6"/>
      <c r="K940" s="6"/>
      <c r="L940" s="6"/>
      <c r="M940" s="6"/>
      <c r="N940" s="6"/>
      <c r="O940" s="6"/>
      <c r="P940" s="6"/>
      <c r="Q940" s="6"/>
      <c r="R940" s="6"/>
      <c r="S940" s="6"/>
    </row>
    <row r="941" ht="22.5" hidden="1" customHeight="1">
      <c r="A941" s="49">
        <v>45946.0</v>
      </c>
      <c r="B941" s="58" t="s">
        <v>206</v>
      </c>
      <c r="C941" s="34" t="s">
        <v>216</v>
      </c>
      <c r="D941" s="55" t="s">
        <v>131</v>
      </c>
      <c r="E941" s="59"/>
      <c r="F941" s="60">
        <v>0.003472222222222222</v>
      </c>
      <c r="G941" s="29"/>
      <c r="H941" s="6"/>
      <c r="I941" s="6"/>
      <c r="J941" s="6"/>
      <c r="K941" s="6"/>
      <c r="L941" s="6"/>
      <c r="M941" s="6"/>
      <c r="N941" s="6"/>
      <c r="O941" s="6"/>
      <c r="P941" s="6"/>
      <c r="Q941" s="6"/>
      <c r="R941" s="6"/>
      <c r="S941" s="6"/>
    </row>
    <row r="942" ht="22.5" customHeight="1">
      <c r="A942" s="49">
        <v>45946.0</v>
      </c>
      <c r="B942" s="58" t="s">
        <v>206</v>
      </c>
      <c r="C942" s="34" t="s">
        <v>216</v>
      </c>
      <c r="D942" s="55" t="s">
        <v>219</v>
      </c>
      <c r="E942" s="59" t="s">
        <v>215</v>
      </c>
      <c r="F942" s="60">
        <v>0.041666666666666664</v>
      </c>
      <c r="G942" s="29"/>
      <c r="H942" s="6"/>
      <c r="I942" s="6"/>
      <c r="J942" s="6"/>
      <c r="K942" s="6"/>
      <c r="L942" s="6"/>
      <c r="M942" s="6"/>
      <c r="N942" s="6"/>
      <c r="O942" s="6"/>
      <c r="P942" s="6"/>
      <c r="Q942" s="6"/>
      <c r="R942" s="6"/>
      <c r="S942" s="6"/>
    </row>
    <row r="943" ht="22.5" hidden="1" customHeight="1">
      <c r="A943" s="49">
        <v>45947.0</v>
      </c>
      <c r="B943" s="58" t="s">
        <v>206</v>
      </c>
      <c r="C943" s="34" t="s">
        <v>216</v>
      </c>
      <c r="D943" s="55" t="s">
        <v>93</v>
      </c>
      <c r="E943" s="59"/>
      <c r="F943" s="60">
        <v>0.010416666666666666</v>
      </c>
      <c r="G943" s="29"/>
      <c r="H943" s="6"/>
      <c r="I943" s="6"/>
      <c r="J943" s="6"/>
      <c r="K943" s="6"/>
      <c r="L943" s="6"/>
      <c r="M943" s="6"/>
      <c r="N943" s="6"/>
      <c r="O943" s="6"/>
      <c r="P943" s="6"/>
      <c r="Q943" s="6"/>
      <c r="R943" s="6"/>
      <c r="S943" s="6"/>
    </row>
    <row r="944" ht="22.5" hidden="1" customHeight="1">
      <c r="A944" s="49">
        <v>45947.0</v>
      </c>
      <c r="B944" s="58" t="s">
        <v>206</v>
      </c>
      <c r="C944" s="34" t="s">
        <v>216</v>
      </c>
      <c r="D944" s="55" t="s">
        <v>131</v>
      </c>
      <c r="E944" s="59"/>
      <c r="F944" s="60">
        <v>0.003472222222222222</v>
      </c>
      <c r="G944" s="29"/>
      <c r="H944" s="6"/>
      <c r="I944" s="6"/>
      <c r="J944" s="6"/>
      <c r="K944" s="6"/>
      <c r="L944" s="6"/>
      <c r="M944" s="6"/>
      <c r="N944" s="6"/>
      <c r="O944" s="6"/>
      <c r="P944" s="6"/>
      <c r="Q944" s="6"/>
      <c r="R944" s="6"/>
      <c r="S944" s="6"/>
    </row>
    <row r="945" ht="22.5" customHeight="1">
      <c r="A945" s="49">
        <v>45947.0</v>
      </c>
      <c r="B945" s="58" t="s">
        <v>206</v>
      </c>
      <c r="C945" s="34" t="s">
        <v>216</v>
      </c>
      <c r="D945" s="55" t="s">
        <v>219</v>
      </c>
      <c r="E945" s="59" t="s">
        <v>215</v>
      </c>
      <c r="F945" s="60">
        <v>0.041666666666666664</v>
      </c>
      <c r="G945" s="29"/>
      <c r="H945" s="6"/>
      <c r="I945" s="6"/>
      <c r="J945" s="6"/>
      <c r="K945" s="6"/>
      <c r="L945" s="6"/>
      <c r="M945" s="6"/>
      <c r="N945" s="6"/>
      <c r="O945" s="6"/>
      <c r="P945" s="6"/>
      <c r="Q945" s="6"/>
      <c r="R945" s="6"/>
      <c r="S945" s="6"/>
    </row>
    <row r="946" ht="22.5" hidden="1" customHeight="1">
      <c r="A946" s="49">
        <v>45948.0</v>
      </c>
      <c r="B946" s="58" t="s">
        <v>206</v>
      </c>
      <c r="C946" s="34" t="s">
        <v>216</v>
      </c>
      <c r="D946" s="55" t="s">
        <v>93</v>
      </c>
      <c r="E946" s="59"/>
      <c r="F946" s="60">
        <v>0.010416666666666666</v>
      </c>
      <c r="G946" s="29"/>
      <c r="H946" s="6"/>
      <c r="I946" s="6"/>
      <c r="J946" s="6"/>
      <c r="K946" s="6"/>
      <c r="L946" s="6"/>
      <c r="M946" s="6"/>
      <c r="N946" s="6"/>
      <c r="O946" s="6"/>
      <c r="P946" s="6"/>
      <c r="Q946" s="6"/>
      <c r="R946" s="6"/>
      <c r="S946" s="6"/>
    </row>
    <row r="947" ht="22.5" hidden="1" customHeight="1">
      <c r="A947" s="49">
        <v>45948.0</v>
      </c>
      <c r="B947" s="58" t="s">
        <v>206</v>
      </c>
      <c r="C947" s="34" t="s">
        <v>216</v>
      </c>
      <c r="D947" s="55" t="s">
        <v>131</v>
      </c>
      <c r="E947" s="59"/>
      <c r="F947" s="60">
        <v>0.003472222222222222</v>
      </c>
      <c r="G947" s="29"/>
      <c r="H947" s="6"/>
      <c r="I947" s="6"/>
      <c r="J947" s="6"/>
      <c r="K947" s="6"/>
      <c r="L947" s="6"/>
      <c r="M947" s="6"/>
      <c r="N947" s="6"/>
      <c r="O947" s="6"/>
      <c r="P947" s="6"/>
      <c r="Q947" s="6"/>
      <c r="R947" s="6"/>
      <c r="S947" s="6"/>
    </row>
    <row r="948" ht="22.5" customHeight="1">
      <c r="A948" s="49">
        <v>45948.0</v>
      </c>
      <c r="B948" s="58" t="s">
        <v>206</v>
      </c>
      <c r="C948" s="34" t="s">
        <v>216</v>
      </c>
      <c r="D948" s="55" t="s">
        <v>219</v>
      </c>
      <c r="E948" s="59" t="s">
        <v>215</v>
      </c>
      <c r="F948" s="60">
        <v>0.041666666666666664</v>
      </c>
      <c r="G948" s="29"/>
      <c r="H948" s="6"/>
      <c r="I948" s="6"/>
      <c r="J948" s="6"/>
      <c r="K948" s="6"/>
      <c r="L948" s="6"/>
      <c r="M948" s="6"/>
      <c r="N948" s="6"/>
      <c r="O948" s="6"/>
      <c r="P948" s="6"/>
      <c r="Q948" s="6"/>
      <c r="R948" s="6"/>
      <c r="S948" s="6"/>
    </row>
    <row r="949" ht="22.5" hidden="1" customHeight="1">
      <c r="A949" s="49">
        <v>45949.0</v>
      </c>
      <c r="B949" s="58" t="s">
        <v>206</v>
      </c>
      <c r="C949" s="34" t="s">
        <v>216</v>
      </c>
      <c r="D949" s="55" t="s">
        <v>93</v>
      </c>
      <c r="E949" s="59"/>
      <c r="F949" s="60">
        <v>0.010416666666666666</v>
      </c>
      <c r="G949" s="29"/>
      <c r="H949" s="6"/>
      <c r="I949" s="6"/>
      <c r="J949" s="6"/>
      <c r="K949" s="6"/>
      <c r="L949" s="6"/>
      <c r="M949" s="6"/>
      <c r="N949" s="6"/>
      <c r="O949" s="6"/>
      <c r="P949" s="6"/>
      <c r="Q949" s="6"/>
      <c r="R949" s="6"/>
      <c r="S949" s="6"/>
    </row>
    <row r="950" ht="22.5" hidden="1" customHeight="1">
      <c r="A950" s="49">
        <v>45949.0</v>
      </c>
      <c r="B950" s="58" t="s">
        <v>206</v>
      </c>
      <c r="C950" s="34" t="s">
        <v>216</v>
      </c>
      <c r="D950" s="55" t="s">
        <v>131</v>
      </c>
      <c r="E950" s="59"/>
      <c r="F950" s="60">
        <v>0.003472222222222222</v>
      </c>
      <c r="G950" s="29"/>
      <c r="H950" s="6"/>
      <c r="I950" s="6"/>
      <c r="J950" s="6"/>
      <c r="K950" s="6"/>
      <c r="L950" s="6"/>
      <c r="M950" s="6"/>
      <c r="N950" s="6"/>
      <c r="O950" s="6"/>
      <c r="P950" s="6"/>
      <c r="Q950" s="6"/>
      <c r="R950" s="6"/>
      <c r="S950" s="6"/>
    </row>
    <row r="951" ht="22.5" customHeight="1">
      <c r="A951" s="49">
        <v>45949.0</v>
      </c>
      <c r="B951" s="58" t="s">
        <v>206</v>
      </c>
      <c r="C951" s="34" t="s">
        <v>216</v>
      </c>
      <c r="D951" s="55" t="s">
        <v>219</v>
      </c>
      <c r="E951" s="59" t="s">
        <v>215</v>
      </c>
      <c r="F951" s="60">
        <v>0.041666666666666664</v>
      </c>
      <c r="G951" s="29"/>
      <c r="H951" s="6"/>
      <c r="I951" s="6"/>
      <c r="J951" s="6"/>
      <c r="K951" s="6"/>
      <c r="L951" s="6"/>
      <c r="M951" s="6"/>
      <c r="N951" s="6"/>
      <c r="O951" s="6"/>
      <c r="P951" s="6"/>
      <c r="Q951" s="6"/>
      <c r="R951" s="6"/>
      <c r="S951" s="6"/>
    </row>
    <row r="952" ht="22.5" customHeight="1">
      <c r="A952" s="49">
        <v>45949.0</v>
      </c>
      <c r="B952" s="58" t="s">
        <v>221</v>
      </c>
      <c r="C952" s="34" t="s">
        <v>216</v>
      </c>
      <c r="D952" s="55" t="s">
        <v>222</v>
      </c>
      <c r="E952" s="59" t="s">
        <v>215</v>
      </c>
      <c r="F952" s="60">
        <v>0.010416666666666666</v>
      </c>
      <c r="G952" s="29"/>
      <c r="H952" s="6"/>
      <c r="I952" s="6"/>
      <c r="J952" s="6"/>
      <c r="K952" s="6"/>
      <c r="L952" s="6"/>
      <c r="M952" s="6"/>
      <c r="N952" s="6"/>
      <c r="O952" s="6"/>
      <c r="P952" s="6"/>
      <c r="Q952" s="6"/>
      <c r="R952" s="6"/>
      <c r="S952" s="6"/>
    </row>
    <row r="953" ht="22.5" hidden="1" customHeight="1">
      <c r="A953" s="49">
        <v>45950.0</v>
      </c>
      <c r="B953" s="58" t="s">
        <v>206</v>
      </c>
      <c r="C953" s="34" t="s">
        <v>216</v>
      </c>
      <c r="D953" s="55" t="s">
        <v>93</v>
      </c>
      <c r="E953" s="59"/>
      <c r="F953" s="60">
        <v>0.010416666666666666</v>
      </c>
      <c r="G953" s="29"/>
      <c r="H953" s="6"/>
      <c r="I953" s="6"/>
      <c r="J953" s="6"/>
      <c r="K953" s="6"/>
      <c r="L953" s="6"/>
      <c r="M953" s="6"/>
      <c r="N953" s="6"/>
      <c r="O953" s="6"/>
      <c r="P953" s="6"/>
      <c r="Q953" s="6"/>
      <c r="R953" s="6"/>
      <c r="S953" s="6"/>
    </row>
    <row r="954" ht="22.5" hidden="1" customHeight="1">
      <c r="A954" s="49">
        <v>45950.0</v>
      </c>
      <c r="B954" s="58" t="s">
        <v>206</v>
      </c>
      <c r="C954" s="34" t="s">
        <v>216</v>
      </c>
      <c r="D954" s="55" t="s">
        <v>131</v>
      </c>
      <c r="E954" s="59"/>
      <c r="F954" s="60">
        <v>0.003472222222222222</v>
      </c>
      <c r="G954" s="29"/>
      <c r="H954" s="6"/>
      <c r="I954" s="6"/>
      <c r="J954" s="6"/>
      <c r="K954" s="6"/>
      <c r="L954" s="6"/>
      <c r="M954" s="6"/>
      <c r="N954" s="6"/>
      <c r="O954" s="6"/>
      <c r="P954" s="6"/>
      <c r="Q954" s="6"/>
      <c r="R954" s="6"/>
      <c r="S954" s="6"/>
    </row>
    <row r="955" ht="22.5" customHeight="1">
      <c r="A955" s="49">
        <v>45950.0</v>
      </c>
      <c r="B955" s="58" t="s">
        <v>206</v>
      </c>
      <c r="C955" s="34" t="s">
        <v>216</v>
      </c>
      <c r="D955" s="55" t="s">
        <v>219</v>
      </c>
      <c r="E955" s="59" t="s">
        <v>215</v>
      </c>
      <c r="F955" s="60">
        <v>0.041666666666666664</v>
      </c>
      <c r="G955" s="29"/>
      <c r="H955" s="6"/>
      <c r="I955" s="6"/>
      <c r="J955" s="6"/>
      <c r="K955" s="6"/>
      <c r="L955" s="6"/>
      <c r="M955" s="6"/>
      <c r="N955" s="6"/>
      <c r="O955" s="6"/>
      <c r="P955" s="6"/>
      <c r="Q955" s="6"/>
      <c r="R955" s="6"/>
      <c r="S955" s="6"/>
    </row>
    <row r="956" ht="22.5" customHeight="1">
      <c r="A956" s="49">
        <v>45950.0</v>
      </c>
      <c r="B956" s="58" t="s">
        <v>221</v>
      </c>
      <c r="C956" s="34" t="s">
        <v>216</v>
      </c>
      <c r="D956" s="55" t="s">
        <v>222</v>
      </c>
      <c r="E956" s="59" t="s">
        <v>215</v>
      </c>
      <c r="F956" s="60">
        <v>0.010416666666666666</v>
      </c>
      <c r="G956" s="29"/>
      <c r="H956" s="6"/>
      <c r="I956" s="6"/>
      <c r="J956" s="6"/>
      <c r="K956" s="6"/>
      <c r="L956" s="6"/>
      <c r="M956" s="6"/>
      <c r="N956" s="6"/>
      <c r="O956" s="6"/>
      <c r="P956" s="6"/>
      <c r="Q956" s="6"/>
      <c r="R956" s="6"/>
      <c r="S956" s="6"/>
    </row>
    <row r="957" ht="22.5" hidden="1" customHeight="1">
      <c r="A957" s="49">
        <v>45951.0</v>
      </c>
      <c r="B957" s="58" t="s">
        <v>206</v>
      </c>
      <c r="C957" s="34" t="s">
        <v>216</v>
      </c>
      <c r="D957" s="55" t="s">
        <v>93</v>
      </c>
      <c r="E957" s="59"/>
      <c r="F957" s="60">
        <v>0.010416666666666666</v>
      </c>
      <c r="G957" s="29"/>
      <c r="H957" s="6"/>
      <c r="I957" s="6"/>
      <c r="J957" s="6"/>
      <c r="K957" s="6"/>
      <c r="L957" s="6"/>
      <c r="M957" s="6"/>
      <c r="N957" s="6"/>
      <c r="O957" s="6"/>
      <c r="P957" s="6"/>
      <c r="Q957" s="6"/>
      <c r="R957" s="6"/>
      <c r="S957" s="6"/>
    </row>
    <row r="958" ht="22.5" hidden="1" customHeight="1">
      <c r="A958" s="49">
        <v>45951.0</v>
      </c>
      <c r="B958" s="58" t="s">
        <v>206</v>
      </c>
      <c r="C958" s="34" t="s">
        <v>216</v>
      </c>
      <c r="D958" s="55" t="s">
        <v>131</v>
      </c>
      <c r="E958" s="59"/>
      <c r="F958" s="60">
        <v>0.003472222222222222</v>
      </c>
      <c r="G958" s="29"/>
      <c r="H958" s="6"/>
      <c r="I958" s="6"/>
      <c r="J958" s="6"/>
      <c r="K958" s="6"/>
      <c r="L958" s="6"/>
      <c r="M958" s="6"/>
      <c r="N958" s="6"/>
      <c r="O958" s="6"/>
      <c r="P958" s="6"/>
      <c r="Q958" s="6"/>
      <c r="R958" s="6"/>
      <c r="S958" s="6"/>
    </row>
    <row r="959" ht="22.5" customHeight="1">
      <c r="A959" s="49">
        <v>45951.0</v>
      </c>
      <c r="B959" s="58" t="s">
        <v>206</v>
      </c>
      <c r="C959" s="34" t="s">
        <v>216</v>
      </c>
      <c r="D959" s="55" t="s">
        <v>219</v>
      </c>
      <c r="E959" s="59" t="s">
        <v>215</v>
      </c>
      <c r="F959" s="60">
        <v>0.041666666666666664</v>
      </c>
      <c r="G959" s="29"/>
      <c r="H959" s="6"/>
      <c r="I959" s="6"/>
      <c r="J959" s="6"/>
      <c r="K959" s="6"/>
      <c r="L959" s="6"/>
      <c r="M959" s="6"/>
      <c r="N959" s="6"/>
      <c r="O959" s="6"/>
      <c r="P959" s="6"/>
      <c r="Q959" s="6"/>
      <c r="R959" s="6"/>
      <c r="S959" s="6"/>
    </row>
    <row r="960" ht="22.5" customHeight="1">
      <c r="A960" s="49">
        <v>45951.0</v>
      </c>
      <c r="B960" s="58" t="s">
        <v>221</v>
      </c>
      <c r="C960" s="34" t="s">
        <v>216</v>
      </c>
      <c r="D960" s="55" t="s">
        <v>222</v>
      </c>
      <c r="E960" s="59" t="s">
        <v>215</v>
      </c>
      <c r="F960" s="60">
        <v>0.010416666666666666</v>
      </c>
      <c r="G960" s="29"/>
      <c r="H960" s="6"/>
      <c r="I960" s="6"/>
      <c r="J960" s="6"/>
      <c r="K960" s="6"/>
      <c r="L960" s="6"/>
      <c r="M960" s="6"/>
      <c r="N960" s="6"/>
      <c r="O960" s="6"/>
      <c r="P960" s="6"/>
      <c r="Q960" s="6"/>
      <c r="R960" s="6"/>
      <c r="S960" s="6"/>
    </row>
    <row r="961" ht="22.5" hidden="1" customHeight="1">
      <c r="A961" s="49">
        <v>45952.0</v>
      </c>
      <c r="B961" s="58" t="s">
        <v>206</v>
      </c>
      <c r="C961" s="34" t="s">
        <v>216</v>
      </c>
      <c r="D961" s="55" t="s">
        <v>93</v>
      </c>
      <c r="E961" s="59"/>
      <c r="F961" s="60">
        <v>0.010416666666666666</v>
      </c>
      <c r="G961" s="29"/>
      <c r="H961" s="6"/>
      <c r="I961" s="6"/>
      <c r="J961" s="6"/>
      <c r="K961" s="6"/>
      <c r="L961" s="6"/>
      <c r="M961" s="6"/>
      <c r="N961" s="6"/>
      <c r="O961" s="6"/>
      <c r="P961" s="6"/>
      <c r="Q961" s="6"/>
      <c r="R961" s="6"/>
      <c r="S961" s="6"/>
    </row>
    <row r="962" ht="22.5" hidden="1" customHeight="1">
      <c r="A962" s="49">
        <v>45952.0</v>
      </c>
      <c r="B962" s="58" t="s">
        <v>206</v>
      </c>
      <c r="C962" s="34" t="s">
        <v>216</v>
      </c>
      <c r="D962" s="55" t="s">
        <v>131</v>
      </c>
      <c r="E962" s="59"/>
      <c r="F962" s="60">
        <v>0.003472222222222222</v>
      </c>
      <c r="G962" s="29"/>
      <c r="H962" s="6"/>
      <c r="I962" s="6"/>
      <c r="J962" s="6"/>
      <c r="K962" s="6"/>
      <c r="L962" s="6"/>
      <c r="M962" s="6"/>
      <c r="N962" s="6"/>
      <c r="O962" s="6"/>
      <c r="P962" s="6"/>
      <c r="Q962" s="6"/>
      <c r="R962" s="6"/>
      <c r="S962" s="6"/>
    </row>
    <row r="963" ht="22.5" customHeight="1">
      <c r="A963" s="49">
        <v>45952.0</v>
      </c>
      <c r="B963" s="58" t="s">
        <v>206</v>
      </c>
      <c r="C963" s="34" t="s">
        <v>216</v>
      </c>
      <c r="D963" s="55" t="s">
        <v>219</v>
      </c>
      <c r="E963" s="59" t="s">
        <v>215</v>
      </c>
      <c r="F963" s="60">
        <v>0.041666666666666664</v>
      </c>
      <c r="G963" s="29"/>
      <c r="H963" s="6"/>
      <c r="I963" s="6"/>
      <c r="J963" s="6"/>
      <c r="K963" s="6"/>
      <c r="L963" s="6"/>
      <c r="M963" s="6"/>
      <c r="N963" s="6"/>
      <c r="O963" s="6"/>
      <c r="P963" s="6"/>
      <c r="Q963" s="6"/>
      <c r="R963" s="6"/>
      <c r="S963" s="6"/>
    </row>
    <row r="964" ht="22.5" customHeight="1">
      <c r="A964" s="49">
        <v>45952.0</v>
      </c>
      <c r="B964" s="58" t="s">
        <v>221</v>
      </c>
      <c r="C964" s="34" t="s">
        <v>216</v>
      </c>
      <c r="D964" s="55" t="s">
        <v>222</v>
      </c>
      <c r="E964" s="59" t="s">
        <v>215</v>
      </c>
      <c r="F964" s="60">
        <v>0.010416666666666666</v>
      </c>
      <c r="G964" s="29"/>
      <c r="H964" s="6"/>
      <c r="I964" s="6"/>
      <c r="J964" s="6"/>
      <c r="K964" s="6"/>
      <c r="L964" s="6"/>
      <c r="M964" s="6"/>
      <c r="N964" s="6"/>
      <c r="O964" s="6"/>
      <c r="P964" s="6"/>
      <c r="Q964" s="6"/>
      <c r="R964" s="6"/>
      <c r="S964" s="6"/>
    </row>
    <row r="965" ht="22.5" hidden="1" customHeight="1">
      <c r="A965" s="49">
        <v>45953.0</v>
      </c>
      <c r="B965" s="58" t="s">
        <v>206</v>
      </c>
      <c r="C965" s="34" t="s">
        <v>216</v>
      </c>
      <c r="D965" s="55" t="s">
        <v>93</v>
      </c>
      <c r="E965" s="59"/>
      <c r="F965" s="60">
        <v>0.010416666666666666</v>
      </c>
      <c r="G965" s="29"/>
      <c r="H965" s="6"/>
      <c r="I965" s="6"/>
      <c r="J965" s="6"/>
      <c r="K965" s="6"/>
      <c r="L965" s="6"/>
      <c r="M965" s="6"/>
      <c r="N965" s="6"/>
      <c r="O965" s="6"/>
      <c r="P965" s="6"/>
      <c r="Q965" s="6"/>
      <c r="R965" s="6"/>
      <c r="S965" s="6"/>
    </row>
    <row r="966" ht="22.5" hidden="1" customHeight="1">
      <c r="A966" s="49">
        <v>45953.0</v>
      </c>
      <c r="B966" s="58" t="s">
        <v>206</v>
      </c>
      <c r="C966" s="34" t="s">
        <v>216</v>
      </c>
      <c r="D966" s="55" t="s">
        <v>131</v>
      </c>
      <c r="E966" s="59"/>
      <c r="F966" s="60">
        <v>0.003472222222222222</v>
      </c>
      <c r="G966" s="29"/>
      <c r="H966" s="6"/>
      <c r="I966" s="6"/>
      <c r="J966" s="6"/>
      <c r="K966" s="6"/>
      <c r="L966" s="6"/>
      <c r="M966" s="6"/>
      <c r="N966" s="6"/>
      <c r="O966" s="6"/>
      <c r="P966" s="6"/>
      <c r="Q966" s="6"/>
      <c r="R966" s="6"/>
      <c r="S966" s="6"/>
    </row>
    <row r="967" ht="22.5" customHeight="1">
      <c r="A967" s="49">
        <v>45953.0</v>
      </c>
      <c r="B967" s="58" t="s">
        <v>206</v>
      </c>
      <c r="C967" s="34" t="s">
        <v>216</v>
      </c>
      <c r="D967" s="55" t="s">
        <v>219</v>
      </c>
      <c r="E967" s="59" t="s">
        <v>215</v>
      </c>
      <c r="F967" s="60">
        <v>0.041666666666666664</v>
      </c>
      <c r="G967" s="29"/>
      <c r="H967" s="6"/>
      <c r="I967" s="6"/>
      <c r="J967" s="6"/>
      <c r="K967" s="6"/>
      <c r="L967" s="6"/>
      <c r="M967" s="6"/>
      <c r="N967" s="6"/>
      <c r="O967" s="6"/>
      <c r="P967" s="6"/>
      <c r="Q967" s="6"/>
      <c r="R967" s="6"/>
      <c r="S967" s="6"/>
    </row>
    <row r="968" ht="22.5" customHeight="1">
      <c r="A968" s="49">
        <v>45953.0</v>
      </c>
      <c r="B968" s="58" t="s">
        <v>221</v>
      </c>
      <c r="C968" s="34" t="s">
        <v>216</v>
      </c>
      <c r="D968" s="55" t="s">
        <v>222</v>
      </c>
      <c r="E968" s="59" t="s">
        <v>215</v>
      </c>
      <c r="F968" s="60">
        <v>0.010416666666666666</v>
      </c>
      <c r="G968" s="29"/>
      <c r="H968" s="6"/>
      <c r="I968" s="6"/>
      <c r="J968" s="6"/>
      <c r="K968" s="6"/>
      <c r="L968" s="6"/>
      <c r="M968" s="6"/>
      <c r="N968" s="6"/>
      <c r="O968" s="6"/>
      <c r="P968" s="6"/>
      <c r="Q968" s="6"/>
      <c r="R968" s="6"/>
      <c r="S968" s="6"/>
    </row>
    <row r="969" ht="22.5" hidden="1" customHeight="1">
      <c r="A969" s="49">
        <v>45954.0</v>
      </c>
      <c r="B969" s="58" t="s">
        <v>206</v>
      </c>
      <c r="C969" s="34" t="s">
        <v>216</v>
      </c>
      <c r="D969" s="55" t="s">
        <v>93</v>
      </c>
      <c r="E969" s="59"/>
      <c r="F969" s="60">
        <v>0.010416666666666666</v>
      </c>
      <c r="G969" s="29"/>
      <c r="H969" s="6"/>
      <c r="I969" s="6"/>
      <c r="J969" s="6"/>
      <c r="K969" s="6"/>
      <c r="L969" s="6"/>
      <c r="M969" s="6"/>
      <c r="N969" s="6"/>
      <c r="O969" s="6"/>
      <c r="P969" s="6"/>
      <c r="Q969" s="6"/>
      <c r="R969" s="6"/>
      <c r="S969" s="6"/>
    </row>
    <row r="970" ht="22.5" hidden="1" customHeight="1">
      <c r="A970" s="49">
        <v>45954.0</v>
      </c>
      <c r="B970" s="58" t="s">
        <v>206</v>
      </c>
      <c r="C970" s="34" t="s">
        <v>216</v>
      </c>
      <c r="D970" s="55" t="s">
        <v>131</v>
      </c>
      <c r="E970" s="59"/>
      <c r="F970" s="60">
        <v>0.003472222222222222</v>
      </c>
      <c r="G970" s="29"/>
      <c r="H970" s="6"/>
      <c r="I970" s="6"/>
      <c r="J970" s="6"/>
      <c r="K970" s="6"/>
      <c r="L970" s="6"/>
      <c r="M970" s="6"/>
      <c r="N970" s="6"/>
      <c r="O970" s="6"/>
      <c r="P970" s="6"/>
      <c r="Q970" s="6"/>
      <c r="R970" s="6"/>
      <c r="S970" s="6"/>
    </row>
    <row r="971" ht="22.5" customHeight="1">
      <c r="A971" s="49">
        <v>45954.0</v>
      </c>
      <c r="B971" s="58" t="s">
        <v>206</v>
      </c>
      <c r="C971" s="34" t="s">
        <v>216</v>
      </c>
      <c r="D971" s="55" t="s">
        <v>219</v>
      </c>
      <c r="E971" s="59" t="s">
        <v>215</v>
      </c>
      <c r="F971" s="60">
        <v>0.041666666666666664</v>
      </c>
      <c r="G971" s="29"/>
      <c r="H971" s="6"/>
      <c r="I971" s="6"/>
      <c r="J971" s="6"/>
      <c r="K971" s="6"/>
      <c r="L971" s="6"/>
      <c r="M971" s="6"/>
      <c r="N971" s="6"/>
      <c r="O971" s="6"/>
      <c r="P971" s="6"/>
      <c r="Q971" s="6"/>
      <c r="R971" s="6"/>
      <c r="S971" s="6"/>
    </row>
    <row r="972" ht="22.5" customHeight="1">
      <c r="A972" s="49">
        <v>45954.0</v>
      </c>
      <c r="B972" s="58" t="s">
        <v>221</v>
      </c>
      <c r="C972" s="34" t="s">
        <v>216</v>
      </c>
      <c r="D972" s="55" t="s">
        <v>222</v>
      </c>
      <c r="E972" s="59" t="s">
        <v>215</v>
      </c>
      <c r="F972" s="60">
        <v>0.010416666666666666</v>
      </c>
      <c r="G972" s="29"/>
      <c r="H972" s="6"/>
      <c r="I972" s="6"/>
      <c r="J972" s="6"/>
      <c r="K972" s="6"/>
      <c r="L972" s="6"/>
      <c r="M972" s="6"/>
      <c r="N972" s="6"/>
      <c r="O972" s="6"/>
      <c r="P972" s="6"/>
      <c r="Q972" s="6"/>
      <c r="R972" s="6"/>
      <c r="S972" s="6"/>
    </row>
    <row r="973" ht="22.5" hidden="1" customHeight="1">
      <c r="A973" s="49">
        <v>45955.0</v>
      </c>
      <c r="B973" s="58" t="s">
        <v>206</v>
      </c>
      <c r="C973" s="34" t="s">
        <v>216</v>
      </c>
      <c r="D973" s="55" t="s">
        <v>93</v>
      </c>
      <c r="E973" s="59"/>
      <c r="F973" s="60">
        <v>0.010416666666666666</v>
      </c>
      <c r="G973" s="29"/>
      <c r="H973" s="6"/>
      <c r="I973" s="6"/>
      <c r="J973" s="6"/>
      <c r="K973" s="6"/>
      <c r="L973" s="6"/>
      <c r="M973" s="6"/>
      <c r="N973" s="6"/>
      <c r="O973" s="6"/>
      <c r="P973" s="6"/>
      <c r="Q973" s="6"/>
      <c r="R973" s="6"/>
      <c r="S973" s="6"/>
    </row>
    <row r="974" ht="22.5" hidden="1" customHeight="1">
      <c r="A974" s="49">
        <v>45955.0</v>
      </c>
      <c r="B974" s="58" t="s">
        <v>206</v>
      </c>
      <c r="C974" s="34" t="s">
        <v>216</v>
      </c>
      <c r="D974" s="55" t="s">
        <v>131</v>
      </c>
      <c r="E974" s="59"/>
      <c r="F974" s="60">
        <v>0.003472222222222222</v>
      </c>
      <c r="G974" s="29"/>
      <c r="H974" s="6"/>
      <c r="I974" s="6"/>
      <c r="J974" s="6"/>
      <c r="K974" s="6"/>
      <c r="L974" s="6"/>
      <c r="M974" s="6"/>
      <c r="N974" s="6"/>
      <c r="O974" s="6"/>
      <c r="P974" s="6"/>
      <c r="Q974" s="6"/>
      <c r="R974" s="6"/>
      <c r="S974" s="6"/>
    </row>
    <row r="975" ht="22.5" customHeight="1">
      <c r="A975" s="49">
        <v>45955.0</v>
      </c>
      <c r="B975" s="58" t="s">
        <v>206</v>
      </c>
      <c r="C975" s="34" t="s">
        <v>216</v>
      </c>
      <c r="D975" s="55" t="s">
        <v>219</v>
      </c>
      <c r="E975" s="59" t="s">
        <v>215</v>
      </c>
      <c r="F975" s="60">
        <v>0.041666666666666664</v>
      </c>
      <c r="G975" s="29"/>
      <c r="H975" s="6"/>
      <c r="I975" s="6"/>
      <c r="J975" s="6"/>
      <c r="K975" s="6"/>
      <c r="L975" s="6"/>
      <c r="M975" s="6"/>
      <c r="N975" s="6"/>
      <c r="O975" s="6"/>
      <c r="P975" s="6"/>
      <c r="Q975" s="6"/>
      <c r="R975" s="6"/>
      <c r="S975" s="6"/>
    </row>
    <row r="976" ht="22.5" hidden="1" customHeight="1">
      <c r="A976" s="49">
        <v>45956.0</v>
      </c>
      <c r="B976" s="58" t="s">
        <v>206</v>
      </c>
      <c r="C976" s="34" t="s">
        <v>216</v>
      </c>
      <c r="D976" s="55" t="s">
        <v>93</v>
      </c>
      <c r="E976" s="59"/>
      <c r="F976" s="60">
        <v>0.010416666666666666</v>
      </c>
      <c r="G976" s="29"/>
      <c r="H976" s="6"/>
      <c r="I976" s="6"/>
      <c r="J976" s="6"/>
      <c r="K976" s="6"/>
      <c r="L976" s="6"/>
      <c r="M976" s="6"/>
      <c r="N976" s="6"/>
      <c r="O976" s="6"/>
      <c r="P976" s="6"/>
      <c r="Q976" s="6"/>
      <c r="R976" s="6"/>
      <c r="S976" s="6"/>
    </row>
    <row r="977" ht="22.5" hidden="1" customHeight="1">
      <c r="A977" s="49">
        <v>45956.0</v>
      </c>
      <c r="B977" s="58" t="s">
        <v>206</v>
      </c>
      <c r="C977" s="34" t="s">
        <v>216</v>
      </c>
      <c r="D977" s="55" t="s">
        <v>131</v>
      </c>
      <c r="E977" s="59"/>
      <c r="F977" s="60">
        <v>0.003472222222222222</v>
      </c>
      <c r="G977" s="29"/>
      <c r="H977" s="6"/>
      <c r="I977" s="6"/>
      <c r="J977" s="6"/>
      <c r="K977" s="6"/>
      <c r="L977" s="6"/>
      <c r="M977" s="6"/>
      <c r="N977" s="6"/>
      <c r="O977" s="6"/>
      <c r="P977" s="6"/>
      <c r="Q977" s="6"/>
      <c r="R977" s="6"/>
      <c r="S977" s="6"/>
    </row>
    <row r="978" ht="22.5" customHeight="1">
      <c r="A978" s="49">
        <v>45956.0</v>
      </c>
      <c r="B978" s="58" t="s">
        <v>206</v>
      </c>
      <c r="C978" s="34" t="s">
        <v>216</v>
      </c>
      <c r="D978" s="55" t="s">
        <v>219</v>
      </c>
      <c r="E978" s="59" t="s">
        <v>215</v>
      </c>
      <c r="F978" s="60">
        <v>0.041666666666666664</v>
      </c>
      <c r="G978" s="29"/>
      <c r="H978" s="6"/>
      <c r="I978" s="6"/>
      <c r="J978" s="6"/>
      <c r="K978" s="6"/>
      <c r="L978" s="6"/>
      <c r="M978" s="6"/>
      <c r="N978" s="6"/>
      <c r="O978" s="6"/>
      <c r="P978" s="6"/>
      <c r="Q978" s="6"/>
      <c r="R978" s="6"/>
      <c r="S978" s="6"/>
    </row>
    <row r="979" ht="22.5" customHeight="1">
      <c r="A979" s="49">
        <v>45956.0</v>
      </c>
      <c r="B979" s="58" t="s">
        <v>221</v>
      </c>
      <c r="C979" s="34" t="s">
        <v>216</v>
      </c>
      <c r="D979" s="55" t="s">
        <v>222</v>
      </c>
      <c r="E979" s="59" t="s">
        <v>215</v>
      </c>
      <c r="F979" s="60">
        <v>0.010416666666666666</v>
      </c>
      <c r="G979" s="29"/>
      <c r="H979" s="6"/>
      <c r="I979" s="6"/>
      <c r="J979" s="6"/>
      <c r="K979" s="6"/>
      <c r="L979" s="6"/>
      <c r="M979" s="6"/>
      <c r="N979" s="6"/>
      <c r="O979" s="6"/>
      <c r="P979" s="6"/>
      <c r="Q979" s="6"/>
      <c r="R979" s="6"/>
      <c r="S979" s="6"/>
    </row>
    <row r="980" ht="22.5" hidden="1" customHeight="1">
      <c r="A980" s="49">
        <v>45957.0</v>
      </c>
      <c r="B980" s="58" t="s">
        <v>206</v>
      </c>
      <c r="C980" s="34" t="s">
        <v>216</v>
      </c>
      <c r="D980" s="55" t="s">
        <v>93</v>
      </c>
      <c r="E980" s="59"/>
      <c r="F980" s="60">
        <v>0.010416666666666666</v>
      </c>
      <c r="G980" s="29"/>
      <c r="H980" s="6"/>
      <c r="I980" s="6"/>
      <c r="J980" s="6"/>
      <c r="K980" s="6"/>
      <c r="L980" s="6"/>
      <c r="M980" s="6"/>
      <c r="N980" s="6"/>
      <c r="O980" s="6"/>
      <c r="P980" s="6"/>
      <c r="Q980" s="6"/>
      <c r="R980" s="6"/>
      <c r="S980" s="6"/>
    </row>
    <row r="981" ht="22.5" hidden="1" customHeight="1">
      <c r="A981" s="49">
        <v>45957.0</v>
      </c>
      <c r="B981" s="58" t="s">
        <v>206</v>
      </c>
      <c r="C981" s="34" t="s">
        <v>216</v>
      </c>
      <c r="D981" s="55" t="s">
        <v>131</v>
      </c>
      <c r="E981" s="59"/>
      <c r="F981" s="60">
        <v>0.003472222222222222</v>
      </c>
      <c r="G981" s="29"/>
      <c r="H981" s="6"/>
      <c r="I981" s="6"/>
      <c r="J981" s="6"/>
      <c r="K981" s="6"/>
      <c r="L981" s="6"/>
      <c r="M981" s="6"/>
      <c r="N981" s="6"/>
      <c r="O981" s="6"/>
      <c r="P981" s="6"/>
      <c r="Q981" s="6"/>
      <c r="R981" s="6"/>
      <c r="S981" s="6"/>
    </row>
    <row r="982" ht="22.5" customHeight="1">
      <c r="A982" s="49">
        <v>45957.0</v>
      </c>
      <c r="B982" s="58" t="s">
        <v>206</v>
      </c>
      <c r="C982" s="34" t="s">
        <v>216</v>
      </c>
      <c r="D982" s="55" t="s">
        <v>219</v>
      </c>
      <c r="E982" s="59" t="s">
        <v>215</v>
      </c>
      <c r="F982" s="60">
        <v>0.041666666666666664</v>
      </c>
      <c r="G982" s="29"/>
      <c r="H982" s="6"/>
      <c r="I982" s="6"/>
      <c r="J982" s="6"/>
      <c r="K982" s="6"/>
      <c r="L982" s="6"/>
      <c r="M982" s="6"/>
      <c r="N982" s="6"/>
      <c r="O982" s="6"/>
      <c r="P982" s="6"/>
      <c r="Q982" s="6"/>
      <c r="R982" s="6"/>
      <c r="S982" s="6"/>
    </row>
    <row r="983" ht="22.5" customHeight="1">
      <c r="A983" s="49">
        <v>45957.0</v>
      </c>
      <c r="B983" s="58" t="s">
        <v>221</v>
      </c>
      <c r="C983" s="34" t="s">
        <v>216</v>
      </c>
      <c r="D983" s="55" t="s">
        <v>222</v>
      </c>
      <c r="E983" s="59" t="s">
        <v>215</v>
      </c>
      <c r="F983" s="60">
        <v>0.010416666666666666</v>
      </c>
      <c r="G983" s="29"/>
      <c r="H983" s="6"/>
      <c r="I983" s="6"/>
      <c r="J983" s="6"/>
      <c r="K983" s="6"/>
      <c r="L983" s="6"/>
      <c r="M983" s="6"/>
      <c r="N983" s="6"/>
      <c r="O983" s="6"/>
      <c r="P983" s="6"/>
      <c r="Q983" s="6"/>
      <c r="R983" s="6"/>
      <c r="S983" s="6"/>
    </row>
    <row r="984" ht="22.5" hidden="1" customHeight="1">
      <c r="A984" s="49">
        <v>45958.0</v>
      </c>
      <c r="B984" s="58" t="s">
        <v>206</v>
      </c>
      <c r="C984" s="34" t="s">
        <v>216</v>
      </c>
      <c r="D984" s="55" t="s">
        <v>93</v>
      </c>
      <c r="E984" s="59"/>
      <c r="F984" s="60">
        <v>0.010416666666666666</v>
      </c>
      <c r="G984" s="29"/>
      <c r="H984" s="6"/>
      <c r="I984" s="6"/>
      <c r="J984" s="6"/>
      <c r="K984" s="6"/>
      <c r="L984" s="6"/>
      <c r="M984" s="6"/>
      <c r="N984" s="6"/>
      <c r="O984" s="6"/>
      <c r="P984" s="6"/>
      <c r="Q984" s="6"/>
      <c r="R984" s="6"/>
      <c r="S984" s="6"/>
    </row>
    <row r="985" ht="22.5" hidden="1" customHeight="1">
      <c r="A985" s="49">
        <v>45958.0</v>
      </c>
      <c r="B985" s="58" t="s">
        <v>206</v>
      </c>
      <c r="C985" s="34" t="s">
        <v>216</v>
      </c>
      <c r="D985" s="55" t="s">
        <v>131</v>
      </c>
      <c r="E985" s="59"/>
      <c r="F985" s="60">
        <v>0.003472222222222222</v>
      </c>
      <c r="G985" s="29"/>
      <c r="H985" s="6"/>
      <c r="I985" s="6"/>
      <c r="J985" s="6"/>
      <c r="K985" s="6"/>
      <c r="L985" s="6"/>
      <c r="M985" s="6"/>
      <c r="N985" s="6"/>
      <c r="O985" s="6"/>
      <c r="P985" s="6"/>
      <c r="Q985" s="6"/>
      <c r="R985" s="6"/>
      <c r="S985" s="6"/>
    </row>
    <row r="986" ht="22.5" customHeight="1">
      <c r="A986" s="49">
        <v>45958.0</v>
      </c>
      <c r="B986" s="58" t="s">
        <v>206</v>
      </c>
      <c r="C986" s="34" t="s">
        <v>216</v>
      </c>
      <c r="D986" s="55" t="s">
        <v>219</v>
      </c>
      <c r="E986" s="59" t="s">
        <v>215</v>
      </c>
      <c r="F986" s="60">
        <v>0.041666666666666664</v>
      </c>
      <c r="G986" s="29"/>
      <c r="H986" s="6"/>
      <c r="I986" s="6"/>
      <c r="J986" s="6"/>
      <c r="K986" s="6"/>
      <c r="L986" s="6"/>
      <c r="M986" s="6"/>
      <c r="N986" s="6"/>
      <c r="O986" s="6"/>
      <c r="P986" s="6"/>
      <c r="Q986" s="6"/>
      <c r="R986" s="6"/>
      <c r="S986" s="6"/>
    </row>
    <row r="987" ht="22.5" customHeight="1">
      <c r="A987" s="49">
        <v>45958.0</v>
      </c>
      <c r="B987" s="58" t="s">
        <v>221</v>
      </c>
      <c r="C987" s="34" t="s">
        <v>216</v>
      </c>
      <c r="D987" s="55" t="s">
        <v>222</v>
      </c>
      <c r="E987" s="59" t="s">
        <v>215</v>
      </c>
      <c r="F987" s="60">
        <v>0.010416666666666666</v>
      </c>
      <c r="G987" s="29"/>
      <c r="H987" s="6"/>
      <c r="I987" s="6"/>
      <c r="J987" s="6"/>
      <c r="K987" s="6"/>
      <c r="L987" s="6"/>
      <c r="M987" s="6"/>
      <c r="N987" s="6"/>
      <c r="O987" s="6"/>
      <c r="P987" s="6"/>
      <c r="Q987" s="6"/>
      <c r="R987" s="6"/>
      <c r="S987" s="6"/>
    </row>
    <row r="988" ht="22.5" hidden="1" customHeight="1">
      <c r="A988" s="49">
        <v>45959.0</v>
      </c>
      <c r="B988" s="58" t="s">
        <v>206</v>
      </c>
      <c r="C988" s="34" t="s">
        <v>216</v>
      </c>
      <c r="D988" s="55" t="s">
        <v>93</v>
      </c>
      <c r="E988" s="59"/>
      <c r="F988" s="60">
        <v>0.010416666666666666</v>
      </c>
      <c r="G988" s="29"/>
      <c r="H988" s="6"/>
      <c r="I988" s="6"/>
      <c r="J988" s="6"/>
      <c r="K988" s="6"/>
      <c r="L988" s="6"/>
      <c r="M988" s="6"/>
      <c r="N988" s="6"/>
      <c r="O988" s="6"/>
      <c r="P988" s="6"/>
      <c r="Q988" s="6"/>
      <c r="R988" s="6"/>
      <c r="S988" s="6"/>
    </row>
    <row r="989" ht="22.5" hidden="1" customHeight="1">
      <c r="A989" s="49">
        <v>45959.0</v>
      </c>
      <c r="B989" s="58" t="s">
        <v>206</v>
      </c>
      <c r="C989" s="34" t="s">
        <v>216</v>
      </c>
      <c r="D989" s="55" t="s">
        <v>131</v>
      </c>
      <c r="E989" s="59"/>
      <c r="F989" s="60">
        <v>0.003472222222222222</v>
      </c>
      <c r="G989" s="29"/>
      <c r="H989" s="6"/>
      <c r="I989" s="6"/>
      <c r="J989" s="6"/>
      <c r="K989" s="6"/>
      <c r="L989" s="6"/>
      <c r="M989" s="6"/>
      <c r="N989" s="6"/>
      <c r="O989" s="6"/>
      <c r="P989" s="6"/>
      <c r="Q989" s="6"/>
      <c r="R989" s="6"/>
      <c r="S989" s="6"/>
    </row>
    <row r="990" ht="22.5" customHeight="1">
      <c r="A990" s="49">
        <v>45959.0</v>
      </c>
      <c r="B990" s="58" t="s">
        <v>206</v>
      </c>
      <c r="C990" s="34" t="s">
        <v>216</v>
      </c>
      <c r="D990" s="55" t="s">
        <v>219</v>
      </c>
      <c r="E990" s="59" t="s">
        <v>215</v>
      </c>
      <c r="F990" s="60">
        <v>0.041666666666666664</v>
      </c>
      <c r="G990" s="29"/>
      <c r="H990" s="6"/>
      <c r="I990" s="6"/>
      <c r="J990" s="6"/>
      <c r="K990" s="6"/>
      <c r="L990" s="6"/>
      <c r="M990" s="6"/>
      <c r="N990" s="6"/>
      <c r="O990" s="6"/>
      <c r="P990" s="6"/>
      <c r="Q990" s="6"/>
      <c r="R990" s="6"/>
      <c r="S990" s="6"/>
    </row>
    <row r="991" ht="22.5" customHeight="1">
      <c r="A991" s="49">
        <v>45959.0</v>
      </c>
      <c r="B991" s="58" t="s">
        <v>221</v>
      </c>
      <c r="C991" s="34" t="s">
        <v>216</v>
      </c>
      <c r="D991" s="55" t="s">
        <v>222</v>
      </c>
      <c r="E991" s="59" t="s">
        <v>215</v>
      </c>
      <c r="F991" s="60">
        <v>0.010416666666666666</v>
      </c>
      <c r="G991" s="29"/>
      <c r="H991" s="6"/>
      <c r="I991" s="6"/>
      <c r="J991" s="6"/>
      <c r="K991" s="6"/>
      <c r="L991" s="6"/>
      <c r="M991" s="6"/>
      <c r="N991" s="6"/>
      <c r="O991" s="6"/>
      <c r="P991" s="6"/>
      <c r="Q991" s="6"/>
      <c r="R991" s="6"/>
      <c r="S991" s="6"/>
    </row>
    <row r="992" ht="22.5" hidden="1" customHeight="1">
      <c r="A992" s="49">
        <v>45960.0</v>
      </c>
      <c r="B992" s="58" t="s">
        <v>206</v>
      </c>
      <c r="C992" s="34" t="s">
        <v>216</v>
      </c>
      <c r="D992" s="55" t="s">
        <v>93</v>
      </c>
      <c r="E992" s="59"/>
      <c r="F992" s="60">
        <v>0.010416666666666666</v>
      </c>
      <c r="G992" s="29"/>
      <c r="H992" s="6"/>
      <c r="I992" s="6"/>
      <c r="J992" s="6"/>
      <c r="K992" s="6"/>
      <c r="L992" s="6"/>
      <c r="M992" s="6"/>
      <c r="N992" s="6"/>
      <c r="O992" s="6"/>
      <c r="P992" s="6"/>
      <c r="Q992" s="6"/>
      <c r="R992" s="6"/>
      <c r="S992" s="6"/>
    </row>
    <row r="993" ht="22.5" hidden="1" customHeight="1">
      <c r="A993" s="49">
        <v>45960.0</v>
      </c>
      <c r="B993" s="58" t="s">
        <v>206</v>
      </c>
      <c r="C993" s="34" t="s">
        <v>216</v>
      </c>
      <c r="D993" s="55" t="s">
        <v>131</v>
      </c>
      <c r="E993" s="59"/>
      <c r="F993" s="60">
        <v>0.003472222222222222</v>
      </c>
      <c r="G993" s="29"/>
      <c r="H993" s="6"/>
      <c r="I993" s="6"/>
      <c r="J993" s="6"/>
      <c r="K993" s="6"/>
      <c r="L993" s="6"/>
      <c r="M993" s="6"/>
      <c r="N993" s="6"/>
      <c r="O993" s="6"/>
      <c r="P993" s="6"/>
      <c r="Q993" s="6"/>
      <c r="R993" s="6"/>
      <c r="S993" s="6"/>
    </row>
    <row r="994" ht="22.5" customHeight="1">
      <c r="A994" s="49">
        <v>45960.0</v>
      </c>
      <c r="B994" s="58" t="s">
        <v>206</v>
      </c>
      <c r="C994" s="34" t="s">
        <v>216</v>
      </c>
      <c r="D994" s="55" t="s">
        <v>219</v>
      </c>
      <c r="E994" s="59" t="s">
        <v>215</v>
      </c>
      <c r="F994" s="60">
        <v>0.041666666666666664</v>
      </c>
      <c r="G994" s="29"/>
      <c r="H994" s="6"/>
      <c r="I994" s="6"/>
      <c r="J994" s="6"/>
      <c r="K994" s="6"/>
      <c r="L994" s="6"/>
      <c r="M994" s="6"/>
      <c r="N994" s="6"/>
      <c r="O994" s="6"/>
      <c r="P994" s="6"/>
      <c r="Q994" s="6"/>
      <c r="R994" s="6"/>
      <c r="S994" s="6"/>
    </row>
    <row r="995" ht="22.5" customHeight="1">
      <c r="A995" s="49">
        <v>45960.0</v>
      </c>
      <c r="B995" s="58" t="s">
        <v>221</v>
      </c>
      <c r="C995" s="34" t="s">
        <v>216</v>
      </c>
      <c r="D995" s="55" t="s">
        <v>222</v>
      </c>
      <c r="E995" s="59" t="s">
        <v>215</v>
      </c>
      <c r="F995" s="60">
        <v>0.010416666666666666</v>
      </c>
      <c r="G995" s="29"/>
      <c r="H995" s="6"/>
      <c r="I995" s="6"/>
      <c r="J995" s="6"/>
      <c r="K995" s="6"/>
      <c r="L995" s="6"/>
      <c r="M995" s="6"/>
      <c r="N995" s="6"/>
      <c r="O995" s="6"/>
      <c r="P995" s="6"/>
      <c r="Q995" s="6"/>
      <c r="R995" s="6"/>
      <c r="S995" s="6"/>
    </row>
    <row r="996" ht="22.5" hidden="1" customHeight="1">
      <c r="A996" s="49">
        <v>45961.0</v>
      </c>
      <c r="B996" s="58" t="s">
        <v>206</v>
      </c>
      <c r="C996" s="34" t="s">
        <v>216</v>
      </c>
      <c r="D996" s="55" t="s">
        <v>93</v>
      </c>
      <c r="E996" s="59"/>
      <c r="F996" s="60">
        <v>0.010416666666666666</v>
      </c>
      <c r="G996" s="29"/>
      <c r="H996" s="6"/>
      <c r="I996" s="6"/>
      <c r="J996" s="6"/>
      <c r="K996" s="6"/>
      <c r="L996" s="6"/>
      <c r="M996" s="6"/>
      <c r="N996" s="6"/>
      <c r="O996" s="6"/>
      <c r="P996" s="6"/>
      <c r="Q996" s="6"/>
      <c r="R996" s="6"/>
      <c r="S996" s="6"/>
    </row>
    <row r="997" ht="22.5" hidden="1" customHeight="1">
      <c r="A997" s="49">
        <v>45961.0</v>
      </c>
      <c r="B997" s="58" t="s">
        <v>206</v>
      </c>
      <c r="C997" s="34" t="s">
        <v>216</v>
      </c>
      <c r="D997" s="55" t="s">
        <v>131</v>
      </c>
      <c r="E997" s="59"/>
      <c r="F997" s="60">
        <v>0.003472222222222222</v>
      </c>
      <c r="G997" s="29"/>
      <c r="H997" s="6"/>
      <c r="I997" s="6"/>
      <c r="J997" s="6"/>
      <c r="K997" s="6"/>
      <c r="L997" s="6"/>
      <c r="M997" s="6"/>
      <c r="N997" s="6"/>
      <c r="O997" s="6"/>
      <c r="P997" s="6"/>
      <c r="Q997" s="6"/>
      <c r="R997" s="6"/>
      <c r="S997" s="6"/>
    </row>
    <row r="998" ht="22.5" customHeight="1">
      <c r="A998" s="49">
        <v>45961.0</v>
      </c>
      <c r="B998" s="58" t="s">
        <v>206</v>
      </c>
      <c r="C998" s="34" t="s">
        <v>216</v>
      </c>
      <c r="D998" s="55" t="s">
        <v>219</v>
      </c>
      <c r="E998" s="59" t="s">
        <v>215</v>
      </c>
      <c r="F998" s="60">
        <v>0.041666666666666664</v>
      </c>
      <c r="G998" s="29"/>
      <c r="H998" s="6"/>
      <c r="I998" s="6"/>
      <c r="J998" s="6"/>
      <c r="K998" s="6"/>
      <c r="L998" s="6"/>
      <c r="M998" s="6"/>
      <c r="N998" s="6"/>
      <c r="O998" s="6"/>
      <c r="P998" s="6"/>
      <c r="Q998" s="6"/>
      <c r="R998" s="6"/>
      <c r="S998" s="6"/>
    </row>
    <row r="999" ht="22.5" customHeight="1">
      <c r="A999" s="49">
        <v>45961.0</v>
      </c>
      <c r="B999" s="58" t="s">
        <v>221</v>
      </c>
      <c r="C999" s="34" t="s">
        <v>216</v>
      </c>
      <c r="D999" s="55" t="s">
        <v>222</v>
      </c>
      <c r="E999" s="59" t="s">
        <v>215</v>
      </c>
      <c r="F999" s="60">
        <v>0.010416666666666666</v>
      </c>
      <c r="G999" s="29"/>
      <c r="H999" s="6"/>
      <c r="I999" s="6"/>
      <c r="J999" s="6"/>
      <c r="K999" s="6"/>
      <c r="L999" s="6"/>
      <c r="M999" s="6"/>
      <c r="N999" s="6"/>
      <c r="O999" s="6"/>
      <c r="P999" s="6"/>
      <c r="Q999" s="6"/>
      <c r="R999" s="6"/>
      <c r="S999" s="6"/>
    </row>
    <row r="1000" ht="22.5" hidden="1" customHeight="1">
      <c r="A1000" s="49">
        <v>45962.0</v>
      </c>
      <c r="B1000" s="58" t="s">
        <v>206</v>
      </c>
      <c r="C1000" s="34" t="s">
        <v>216</v>
      </c>
      <c r="D1000" s="55" t="s">
        <v>93</v>
      </c>
      <c r="E1000" s="59"/>
      <c r="F1000" s="60">
        <v>0.010416666666666666</v>
      </c>
      <c r="G1000" s="29"/>
      <c r="H1000" s="6"/>
      <c r="I1000" s="6"/>
      <c r="J1000" s="6"/>
      <c r="K1000" s="6"/>
      <c r="L1000" s="6"/>
      <c r="M1000" s="6"/>
      <c r="N1000" s="6"/>
      <c r="O1000" s="6"/>
      <c r="P1000" s="6"/>
      <c r="Q1000" s="6"/>
      <c r="R1000" s="6"/>
      <c r="S1000" s="6"/>
    </row>
    <row r="1001" ht="22.5" hidden="1" customHeight="1">
      <c r="A1001" s="49">
        <v>45962.0</v>
      </c>
      <c r="B1001" s="58" t="s">
        <v>206</v>
      </c>
      <c r="C1001" s="34" t="s">
        <v>216</v>
      </c>
      <c r="D1001" s="55" t="s">
        <v>131</v>
      </c>
      <c r="E1001" s="59"/>
      <c r="F1001" s="60">
        <v>0.003472222222222222</v>
      </c>
      <c r="G1001" s="29"/>
      <c r="H1001" s="6"/>
      <c r="I1001" s="6"/>
      <c r="J1001" s="6"/>
      <c r="K1001" s="6"/>
      <c r="L1001" s="6"/>
      <c r="M1001" s="6"/>
      <c r="N1001" s="6"/>
      <c r="O1001" s="6"/>
      <c r="P1001" s="6"/>
      <c r="Q1001" s="6"/>
      <c r="R1001" s="6"/>
      <c r="S1001" s="6"/>
    </row>
    <row r="1002" ht="22.5" customHeight="1">
      <c r="A1002" s="49">
        <v>45962.0</v>
      </c>
      <c r="B1002" s="58" t="s">
        <v>206</v>
      </c>
      <c r="C1002" s="34" t="s">
        <v>216</v>
      </c>
      <c r="D1002" s="55" t="s">
        <v>223</v>
      </c>
      <c r="E1002" s="59" t="s">
        <v>215</v>
      </c>
      <c r="F1002" s="60">
        <v>0.041666666666666664</v>
      </c>
      <c r="G1002" s="29"/>
      <c r="H1002" s="6"/>
      <c r="I1002" s="6"/>
      <c r="J1002" s="6"/>
      <c r="K1002" s="6"/>
      <c r="L1002" s="6"/>
      <c r="M1002" s="6"/>
      <c r="N1002" s="6"/>
      <c r="O1002" s="6"/>
      <c r="P1002" s="6"/>
      <c r="Q1002" s="6"/>
      <c r="R1002" s="6"/>
      <c r="S1002" s="6"/>
    </row>
    <row r="1003" ht="22.5" customHeight="1">
      <c r="A1003" s="49">
        <v>45962.0</v>
      </c>
      <c r="B1003" s="58" t="s">
        <v>221</v>
      </c>
      <c r="C1003" s="34" t="s">
        <v>216</v>
      </c>
      <c r="D1003" s="55" t="s">
        <v>222</v>
      </c>
      <c r="E1003" s="59" t="s">
        <v>215</v>
      </c>
      <c r="F1003" s="60">
        <v>0.010416666666666666</v>
      </c>
      <c r="G1003" s="29"/>
      <c r="H1003" s="6"/>
      <c r="I1003" s="6"/>
      <c r="J1003" s="6"/>
      <c r="K1003" s="6"/>
      <c r="L1003" s="6"/>
      <c r="M1003" s="6"/>
      <c r="N1003" s="6"/>
      <c r="O1003" s="6"/>
      <c r="P1003" s="6"/>
      <c r="Q1003" s="6"/>
      <c r="R1003" s="6"/>
      <c r="S1003" s="6"/>
    </row>
    <row r="1004" ht="22.5" hidden="1" customHeight="1">
      <c r="A1004" s="49">
        <v>45963.0</v>
      </c>
      <c r="B1004" s="58" t="s">
        <v>206</v>
      </c>
      <c r="C1004" s="34" t="s">
        <v>216</v>
      </c>
      <c r="D1004" s="55" t="s">
        <v>93</v>
      </c>
      <c r="E1004" s="59"/>
      <c r="F1004" s="60">
        <v>0.013888888888888888</v>
      </c>
      <c r="G1004" s="29"/>
      <c r="H1004" s="6"/>
      <c r="I1004" s="6"/>
      <c r="J1004" s="6"/>
      <c r="K1004" s="6"/>
      <c r="L1004" s="6"/>
      <c r="M1004" s="6"/>
      <c r="N1004" s="6"/>
      <c r="O1004" s="6"/>
      <c r="P1004" s="6"/>
      <c r="Q1004" s="6"/>
      <c r="R1004" s="6"/>
      <c r="S1004" s="6"/>
    </row>
    <row r="1005" ht="22.5" hidden="1" customHeight="1">
      <c r="A1005" s="49">
        <v>45963.0</v>
      </c>
      <c r="B1005" s="58" t="s">
        <v>206</v>
      </c>
      <c r="C1005" s="34" t="s">
        <v>216</v>
      </c>
      <c r="D1005" s="55" t="s">
        <v>131</v>
      </c>
      <c r="E1005" s="59"/>
      <c r="F1005" s="60">
        <v>0.003472222222222222</v>
      </c>
      <c r="G1005" s="29"/>
      <c r="H1005" s="6"/>
      <c r="I1005" s="6"/>
      <c r="J1005" s="6"/>
      <c r="K1005" s="6"/>
      <c r="L1005" s="6"/>
      <c r="M1005" s="6"/>
      <c r="N1005" s="6"/>
      <c r="O1005" s="6"/>
      <c r="P1005" s="6"/>
      <c r="Q1005" s="6"/>
      <c r="R1005" s="6"/>
      <c r="S1005" s="6"/>
    </row>
    <row r="1006" ht="22.5" hidden="1" customHeight="1">
      <c r="A1006" s="49">
        <v>45963.0</v>
      </c>
      <c r="B1006" s="58" t="s">
        <v>206</v>
      </c>
      <c r="C1006" s="34" t="s">
        <v>216</v>
      </c>
      <c r="D1006" s="55" t="s">
        <v>224</v>
      </c>
      <c r="E1006" s="59"/>
      <c r="F1006" s="60">
        <v>0.08333333333333333</v>
      </c>
      <c r="G1006" s="29"/>
      <c r="H1006" s="6"/>
      <c r="I1006" s="6"/>
      <c r="J1006" s="6"/>
      <c r="K1006" s="6"/>
      <c r="L1006" s="6"/>
      <c r="M1006" s="6"/>
      <c r="N1006" s="6"/>
      <c r="O1006" s="6"/>
      <c r="P1006" s="6"/>
      <c r="Q1006" s="6"/>
      <c r="R1006" s="6"/>
      <c r="S1006" s="6"/>
    </row>
    <row r="1007" ht="22.5" customHeight="1">
      <c r="A1007" s="49">
        <v>45963.0</v>
      </c>
      <c r="B1007" s="58" t="s">
        <v>206</v>
      </c>
      <c r="C1007" s="34" t="s">
        <v>216</v>
      </c>
      <c r="D1007" s="55" t="s">
        <v>223</v>
      </c>
      <c r="E1007" s="59" t="s">
        <v>215</v>
      </c>
      <c r="F1007" s="60">
        <v>0.041666666666666664</v>
      </c>
      <c r="G1007" s="29"/>
      <c r="H1007" s="6"/>
      <c r="I1007" s="6"/>
      <c r="J1007" s="6"/>
      <c r="K1007" s="6"/>
      <c r="L1007" s="6"/>
      <c r="M1007" s="6"/>
      <c r="N1007" s="6"/>
      <c r="O1007" s="6"/>
      <c r="P1007" s="6"/>
      <c r="Q1007" s="6"/>
      <c r="R1007" s="6"/>
      <c r="S1007" s="6"/>
    </row>
    <row r="1008" ht="22.5" customHeight="1">
      <c r="A1008" s="49">
        <v>45963.0</v>
      </c>
      <c r="B1008" s="58" t="s">
        <v>221</v>
      </c>
      <c r="C1008" s="34" t="s">
        <v>216</v>
      </c>
      <c r="D1008" s="55" t="s">
        <v>222</v>
      </c>
      <c r="E1008" s="59" t="s">
        <v>215</v>
      </c>
      <c r="F1008" s="60">
        <v>0.010416666666666666</v>
      </c>
      <c r="G1008" s="29"/>
      <c r="H1008" s="6"/>
      <c r="I1008" s="6"/>
      <c r="J1008" s="6"/>
      <c r="K1008" s="6"/>
      <c r="L1008" s="6"/>
      <c r="M1008" s="6"/>
      <c r="N1008" s="6"/>
      <c r="O1008" s="6"/>
      <c r="P1008" s="6"/>
      <c r="Q1008" s="6"/>
      <c r="R1008" s="6"/>
      <c r="S1008" s="6"/>
    </row>
    <row r="1009" ht="22.5" hidden="1" customHeight="1">
      <c r="A1009" s="49">
        <v>45964.0</v>
      </c>
      <c r="B1009" s="58" t="s">
        <v>206</v>
      </c>
      <c r="C1009" s="34" t="s">
        <v>216</v>
      </c>
      <c r="D1009" s="55" t="s">
        <v>93</v>
      </c>
      <c r="E1009" s="59"/>
      <c r="F1009" s="60">
        <v>0.017361111111111112</v>
      </c>
      <c r="G1009" s="29"/>
      <c r="H1009" s="6"/>
      <c r="I1009" s="6"/>
      <c r="J1009" s="6"/>
      <c r="K1009" s="6"/>
      <c r="L1009" s="6"/>
      <c r="M1009" s="6"/>
      <c r="N1009" s="6"/>
      <c r="O1009" s="6"/>
      <c r="P1009" s="6"/>
      <c r="Q1009" s="6"/>
      <c r="R1009" s="6"/>
      <c r="S1009" s="6"/>
    </row>
    <row r="1010" ht="22.5" hidden="1" customHeight="1">
      <c r="A1010" s="49">
        <v>45964.0</v>
      </c>
      <c r="B1010" s="58" t="s">
        <v>206</v>
      </c>
      <c r="C1010" s="34" t="s">
        <v>216</v>
      </c>
      <c r="D1010" s="55" t="s">
        <v>225</v>
      </c>
      <c r="E1010" s="59"/>
      <c r="F1010" s="60">
        <v>0.041666666666666664</v>
      </c>
      <c r="G1010" s="29"/>
      <c r="H1010" s="6"/>
      <c r="I1010" s="6"/>
      <c r="J1010" s="6"/>
      <c r="K1010" s="6"/>
      <c r="L1010" s="6"/>
      <c r="M1010" s="6"/>
      <c r="N1010" s="6"/>
      <c r="O1010" s="6"/>
      <c r="P1010" s="6"/>
      <c r="Q1010" s="6"/>
      <c r="R1010" s="6"/>
      <c r="S1010" s="6"/>
    </row>
    <row r="1011" ht="22.5" customHeight="1">
      <c r="A1011" s="49">
        <v>45964.0</v>
      </c>
      <c r="B1011" s="58" t="s">
        <v>206</v>
      </c>
      <c r="C1011" s="34" t="s">
        <v>216</v>
      </c>
      <c r="D1011" s="55" t="s">
        <v>223</v>
      </c>
      <c r="E1011" s="59" t="s">
        <v>215</v>
      </c>
      <c r="F1011" s="60">
        <v>0.041666666666666664</v>
      </c>
      <c r="G1011" s="29"/>
      <c r="H1011" s="6"/>
      <c r="I1011" s="6"/>
      <c r="J1011" s="6"/>
      <c r="K1011" s="6"/>
      <c r="L1011" s="6"/>
      <c r="M1011" s="6"/>
      <c r="N1011" s="6"/>
      <c r="O1011" s="6"/>
      <c r="P1011" s="6"/>
      <c r="Q1011" s="6"/>
      <c r="R1011" s="6"/>
      <c r="S1011" s="6"/>
    </row>
    <row r="1012" ht="22.5" customHeight="1">
      <c r="A1012" s="49">
        <v>45964.0</v>
      </c>
      <c r="B1012" s="58" t="s">
        <v>221</v>
      </c>
      <c r="C1012" s="34" t="s">
        <v>216</v>
      </c>
      <c r="D1012" s="55" t="s">
        <v>222</v>
      </c>
      <c r="E1012" s="59" t="s">
        <v>215</v>
      </c>
      <c r="F1012" s="60">
        <v>0.010416666666666666</v>
      </c>
      <c r="G1012" s="29"/>
      <c r="H1012" s="6"/>
      <c r="I1012" s="6"/>
      <c r="J1012" s="6"/>
      <c r="K1012" s="6"/>
      <c r="L1012" s="6"/>
      <c r="M1012" s="6"/>
      <c r="N1012" s="6"/>
      <c r="O1012" s="6"/>
      <c r="P1012" s="6"/>
      <c r="Q1012" s="6"/>
      <c r="R1012" s="6"/>
      <c r="S1012" s="6"/>
    </row>
    <row r="1013" ht="22.5" hidden="1" customHeight="1">
      <c r="A1013" s="49">
        <v>45965.0</v>
      </c>
      <c r="B1013" s="58" t="s">
        <v>206</v>
      </c>
      <c r="C1013" s="34" t="s">
        <v>216</v>
      </c>
      <c r="D1013" s="55" t="s">
        <v>93</v>
      </c>
      <c r="E1013" s="59"/>
      <c r="F1013" s="60">
        <v>0.017361111111111112</v>
      </c>
      <c r="G1013" s="29"/>
      <c r="H1013" s="6"/>
      <c r="I1013" s="6"/>
      <c r="J1013" s="6"/>
      <c r="K1013" s="6"/>
      <c r="L1013" s="6"/>
      <c r="M1013" s="6"/>
      <c r="N1013" s="6"/>
      <c r="O1013" s="6"/>
      <c r="P1013" s="6"/>
      <c r="Q1013" s="6"/>
      <c r="R1013" s="6"/>
      <c r="S1013" s="6"/>
    </row>
    <row r="1014" ht="22.5" hidden="1" customHeight="1">
      <c r="A1014" s="49">
        <v>45965.0</v>
      </c>
      <c r="B1014" s="58" t="s">
        <v>206</v>
      </c>
      <c r="C1014" s="34" t="s">
        <v>216</v>
      </c>
      <c r="D1014" s="55" t="s">
        <v>225</v>
      </c>
      <c r="E1014" s="59"/>
      <c r="F1014" s="60">
        <v>0.041666666666666664</v>
      </c>
      <c r="G1014" s="29"/>
      <c r="H1014" s="6"/>
      <c r="I1014" s="6"/>
      <c r="J1014" s="6"/>
      <c r="K1014" s="6"/>
      <c r="L1014" s="6"/>
      <c r="M1014" s="6"/>
      <c r="N1014" s="6"/>
      <c r="O1014" s="6"/>
      <c r="P1014" s="6"/>
      <c r="Q1014" s="6"/>
      <c r="R1014" s="6"/>
      <c r="S1014" s="6"/>
    </row>
    <row r="1015" ht="22.5" customHeight="1">
      <c r="A1015" s="49">
        <v>45965.0</v>
      </c>
      <c r="B1015" s="58" t="s">
        <v>206</v>
      </c>
      <c r="C1015" s="34" t="s">
        <v>216</v>
      </c>
      <c r="D1015" s="55" t="s">
        <v>223</v>
      </c>
      <c r="E1015" s="59" t="s">
        <v>215</v>
      </c>
      <c r="F1015" s="60">
        <v>0.041666666666666664</v>
      </c>
      <c r="G1015" s="29"/>
      <c r="H1015" s="6"/>
      <c r="I1015" s="6"/>
      <c r="J1015" s="6"/>
      <c r="K1015" s="6"/>
      <c r="L1015" s="6"/>
      <c r="M1015" s="6"/>
      <c r="N1015" s="6"/>
      <c r="O1015" s="6"/>
      <c r="P1015" s="6"/>
      <c r="Q1015" s="6"/>
      <c r="R1015" s="6"/>
      <c r="S1015" s="6"/>
    </row>
    <row r="1016" ht="22.5" customHeight="1">
      <c r="A1016" s="49">
        <v>45965.0</v>
      </c>
      <c r="B1016" s="58" t="s">
        <v>221</v>
      </c>
      <c r="C1016" s="34" t="s">
        <v>216</v>
      </c>
      <c r="D1016" s="55" t="s">
        <v>222</v>
      </c>
      <c r="E1016" s="59" t="s">
        <v>215</v>
      </c>
      <c r="F1016" s="60">
        <v>0.010416666666666666</v>
      </c>
      <c r="G1016" s="29"/>
      <c r="H1016" s="6"/>
      <c r="I1016" s="6"/>
      <c r="J1016" s="6"/>
      <c r="K1016" s="6"/>
      <c r="L1016" s="6"/>
      <c r="M1016" s="6"/>
      <c r="N1016" s="6"/>
      <c r="O1016" s="6"/>
      <c r="P1016" s="6"/>
      <c r="Q1016" s="6"/>
      <c r="R1016" s="6"/>
      <c r="S1016" s="6"/>
    </row>
    <row r="1017" ht="22.5" hidden="1" customHeight="1">
      <c r="A1017" s="49">
        <v>45966.0</v>
      </c>
      <c r="B1017" s="58" t="s">
        <v>206</v>
      </c>
      <c r="C1017" s="34" t="s">
        <v>216</v>
      </c>
      <c r="D1017" s="55" t="s">
        <v>93</v>
      </c>
      <c r="E1017" s="59"/>
      <c r="F1017" s="60">
        <v>0.013888888888888888</v>
      </c>
      <c r="G1017" s="29"/>
      <c r="H1017" s="6"/>
      <c r="I1017" s="6"/>
      <c r="J1017" s="6"/>
      <c r="K1017" s="6"/>
      <c r="L1017" s="6"/>
      <c r="M1017" s="6"/>
      <c r="N1017" s="6"/>
      <c r="O1017" s="6"/>
      <c r="P1017" s="6"/>
      <c r="Q1017" s="6"/>
      <c r="R1017" s="6"/>
      <c r="S1017" s="6"/>
    </row>
    <row r="1018" ht="22.5" customHeight="1">
      <c r="A1018" s="49">
        <v>45966.0</v>
      </c>
      <c r="B1018" s="58" t="s">
        <v>206</v>
      </c>
      <c r="C1018" s="34" t="s">
        <v>216</v>
      </c>
      <c r="D1018" s="55" t="s">
        <v>223</v>
      </c>
      <c r="E1018" s="59" t="s">
        <v>215</v>
      </c>
      <c r="F1018" s="60">
        <v>0.041666666666666664</v>
      </c>
      <c r="G1018" s="29"/>
      <c r="H1018" s="6"/>
      <c r="I1018" s="6"/>
      <c r="J1018" s="6"/>
      <c r="K1018" s="6"/>
      <c r="L1018" s="6"/>
      <c r="M1018" s="6"/>
      <c r="N1018" s="6"/>
      <c r="O1018" s="6"/>
      <c r="P1018" s="6"/>
      <c r="Q1018" s="6"/>
      <c r="R1018" s="6"/>
      <c r="S1018" s="6"/>
    </row>
    <row r="1019" ht="22.5" customHeight="1">
      <c r="A1019" s="49">
        <v>45966.0</v>
      </c>
      <c r="B1019" s="58" t="s">
        <v>221</v>
      </c>
      <c r="C1019" s="34" t="s">
        <v>216</v>
      </c>
      <c r="D1019" s="55" t="s">
        <v>222</v>
      </c>
      <c r="E1019" s="59" t="s">
        <v>215</v>
      </c>
      <c r="F1019" s="60">
        <v>0.010416666666666666</v>
      </c>
      <c r="G1019" s="29"/>
      <c r="H1019" s="6"/>
      <c r="I1019" s="6"/>
      <c r="J1019" s="6"/>
      <c r="K1019" s="6"/>
      <c r="L1019" s="6"/>
      <c r="M1019" s="6"/>
      <c r="N1019" s="6"/>
      <c r="O1019" s="6"/>
      <c r="P1019" s="6"/>
      <c r="Q1019" s="6"/>
      <c r="R1019" s="6"/>
      <c r="S1019" s="6"/>
    </row>
    <row r="1020" ht="22.5" hidden="1" customHeight="1">
      <c r="A1020" s="49">
        <v>45967.0</v>
      </c>
      <c r="B1020" s="58" t="s">
        <v>206</v>
      </c>
      <c r="C1020" s="34" t="s">
        <v>216</v>
      </c>
      <c r="D1020" s="55" t="s">
        <v>93</v>
      </c>
      <c r="E1020" s="59"/>
      <c r="F1020" s="60">
        <v>0.020833333333333332</v>
      </c>
      <c r="G1020" s="29"/>
      <c r="H1020" s="6"/>
      <c r="I1020" s="6"/>
      <c r="J1020" s="6"/>
      <c r="K1020" s="6"/>
      <c r="L1020" s="6"/>
      <c r="M1020" s="6"/>
      <c r="N1020" s="6"/>
      <c r="O1020" s="6"/>
      <c r="P1020" s="6"/>
      <c r="Q1020" s="6"/>
      <c r="R1020" s="6"/>
      <c r="S1020" s="6"/>
    </row>
    <row r="1021" ht="22.5" hidden="1" customHeight="1">
      <c r="A1021" s="49">
        <v>45967.0</v>
      </c>
      <c r="B1021" s="58" t="s">
        <v>206</v>
      </c>
      <c r="C1021" s="34" t="s">
        <v>216</v>
      </c>
      <c r="D1021" s="55" t="s">
        <v>225</v>
      </c>
      <c r="E1021" s="59"/>
      <c r="F1021" s="60">
        <v>0.05555555555555555</v>
      </c>
      <c r="G1021" s="29"/>
      <c r="H1021" s="6"/>
      <c r="I1021" s="6"/>
      <c r="J1021" s="6"/>
      <c r="K1021" s="6"/>
      <c r="L1021" s="6"/>
      <c r="M1021" s="6"/>
      <c r="N1021" s="6"/>
      <c r="O1021" s="6"/>
      <c r="P1021" s="6"/>
      <c r="Q1021" s="6"/>
      <c r="R1021" s="6"/>
      <c r="S1021" s="6"/>
    </row>
    <row r="1022" ht="22.5" customHeight="1">
      <c r="A1022" s="49">
        <v>45967.0</v>
      </c>
      <c r="B1022" s="58" t="s">
        <v>206</v>
      </c>
      <c r="C1022" s="34" t="s">
        <v>216</v>
      </c>
      <c r="D1022" s="55" t="s">
        <v>223</v>
      </c>
      <c r="E1022" s="59" t="s">
        <v>215</v>
      </c>
      <c r="F1022" s="60">
        <v>0.041666666666666664</v>
      </c>
      <c r="G1022" s="29"/>
      <c r="H1022" s="6"/>
      <c r="I1022" s="6"/>
      <c r="J1022" s="6"/>
      <c r="K1022" s="6"/>
      <c r="L1022" s="6"/>
      <c r="M1022" s="6"/>
      <c r="N1022" s="6"/>
      <c r="O1022" s="6"/>
      <c r="P1022" s="6"/>
      <c r="Q1022" s="6"/>
      <c r="R1022" s="6"/>
      <c r="S1022" s="6"/>
    </row>
    <row r="1023" ht="22.5" hidden="1" customHeight="1">
      <c r="A1023" s="49">
        <v>45968.0</v>
      </c>
      <c r="B1023" s="58" t="s">
        <v>206</v>
      </c>
      <c r="C1023" s="34" t="s">
        <v>216</v>
      </c>
      <c r="D1023" s="55" t="s">
        <v>93</v>
      </c>
      <c r="E1023" s="59"/>
      <c r="F1023" s="60">
        <v>0.020833333333333332</v>
      </c>
      <c r="G1023" s="29"/>
      <c r="H1023" s="6"/>
      <c r="I1023" s="6"/>
      <c r="J1023" s="6"/>
      <c r="K1023" s="6"/>
      <c r="L1023" s="6"/>
      <c r="M1023" s="6"/>
      <c r="N1023" s="6"/>
      <c r="O1023" s="6"/>
      <c r="P1023" s="6"/>
      <c r="Q1023" s="6"/>
      <c r="R1023" s="6"/>
      <c r="S1023" s="6"/>
    </row>
    <row r="1024" ht="22.5" hidden="1" customHeight="1">
      <c r="A1024" s="49">
        <v>45968.0</v>
      </c>
      <c r="B1024" s="58" t="s">
        <v>206</v>
      </c>
      <c r="C1024" s="34" t="s">
        <v>216</v>
      </c>
      <c r="D1024" s="55" t="s">
        <v>225</v>
      </c>
      <c r="E1024" s="59"/>
      <c r="F1024" s="60">
        <v>0.041666666666666664</v>
      </c>
      <c r="G1024" s="29"/>
      <c r="H1024" s="6"/>
      <c r="I1024" s="6"/>
      <c r="J1024" s="6"/>
      <c r="K1024" s="6"/>
      <c r="L1024" s="6"/>
      <c r="M1024" s="6"/>
      <c r="N1024" s="6"/>
      <c r="O1024" s="6"/>
      <c r="P1024" s="6"/>
      <c r="Q1024" s="6"/>
      <c r="R1024" s="6"/>
      <c r="S1024" s="6"/>
    </row>
    <row r="1025" ht="22.5" customHeight="1">
      <c r="A1025" s="49">
        <v>45968.0</v>
      </c>
      <c r="B1025" s="58" t="s">
        <v>206</v>
      </c>
      <c r="C1025" s="34" t="s">
        <v>216</v>
      </c>
      <c r="D1025" s="55" t="s">
        <v>223</v>
      </c>
      <c r="E1025" s="59" t="s">
        <v>215</v>
      </c>
      <c r="F1025" s="60">
        <v>0.041666666666666664</v>
      </c>
      <c r="G1025" s="29"/>
      <c r="H1025" s="6"/>
      <c r="I1025" s="6"/>
      <c r="J1025" s="6"/>
      <c r="K1025" s="6"/>
      <c r="L1025" s="6"/>
      <c r="M1025" s="6"/>
      <c r="N1025" s="6"/>
      <c r="O1025" s="6"/>
      <c r="P1025" s="6"/>
      <c r="Q1025" s="6"/>
      <c r="R1025" s="6"/>
      <c r="S1025" s="6"/>
    </row>
    <row r="1026" ht="22.5" hidden="1" customHeight="1">
      <c r="A1026" s="49">
        <v>45969.0</v>
      </c>
      <c r="B1026" s="58" t="s">
        <v>206</v>
      </c>
      <c r="C1026" s="34" t="s">
        <v>216</v>
      </c>
      <c r="D1026" s="55" t="s">
        <v>93</v>
      </c>
      <c r="E1026" s="59"/>
      <c r="F1026" s="60">
        <v>0.013888888888888888</v>
      </c>
      <c r="G1026" s="29"/>
      <c r="H1026" s="6"/>
      <c r="I1026" s="6"/>
      <c r="J1026" s="6"/>
      <c r="K1026" s="6"/>
      <c r="L1026" s="6"/>
      <c r="M1026" s="6"/>
      <c r="N1026" s="6"/>
      <c r="O1026" s="6"/>
      <c r="P1026" s="6"/>
      <c r="Q1026" s="6"/>
      <c r="R1026" s="6"/>
      <c r="S1026" s="6"/>
    </row>
    <row r="1027" ht="22.5" hidden="1" customHeight="1">
      <c r="A1027" s="49">
        <v>45969.0</v>
      </c>
      <c r="B1027" s="58" t="s">
        <v>206</v>
      </c>
      <c r="C1027" s="34" t="s">
        <v>216</v>
      </c>
      <c r="D1027" s="55" t="s">
        <v>225</v>
      </c>
      <c r="E1027" s="59"/>
      <c r="F1027" s="60">
        <v>0.08333333333333333</v>
      </c>
      <c r="G1027" s="29"/>
      <c r="H1027" s="6"/>
      <c r="I1027" s="6"/>
      <c r="J1027" s="6"/>
      <c r="K1027" s="6"/>
      <c r="L1027" s="6"/>
      <c r="M1027" s="6"/>
      <c r="N1027" s="6"/>
      <c r="O1027" s="6"/>
      <c r="P1027" s="6"/>
      <c r="Q1027" s="6"/>
      <c r="R1027" s="6"/>
      <c r="S1027" s="6"/>
    </row>
    <row r="1028" ht="22.5" customHeight="1">
      <c r="A1028" s="49">
        <v>45969.0</v>
      </c>
      <c r="B1028" s="58" t="s">
        <v>206</v>
      </c>
      <c r="C1028" s="34" t="s">
        <v>216</v>
      </c>
      <c r="D1028" s="55" t="s">
        <v>223</v>
      </c>
      <c r="E1028" s="59" t="s">
        <v>215</v>
      </c>
      <c r="F1028" s="60">
        <v>0.041666666666666664</v>
      </c>
      <c r="G1028" s="29"/>
      <c r="H1028" s="6"/>
      <c r="I1028" s="6"/>
      <c r="J1028" s="6"/>
      <c r="K1028" s="6"/>
      <c r="L1028" s="6"/>
      <c r="M1028" s="6"/>
      <c r="N1028" s="6"/>
      <c r="O1028" s="6"/>
      <c r="P1028" s="6"/>
      <c r="Q1028" s="6"/>
      <c r="R1028" s="6"/>
      <c r="S1028" s="6"/>
    </row>
    <row r="1029" ht="22.5" customHeight="1">
      <c r="A1029" s="49">
        <v>45969.0</v>
      </c>
      <c r="B1029" s="58" t="s">
        <v>221</v>
      </c>
      <c r="C1029" s="34" t="s">
        <v>216</v>
      </c>
      <c r="D1029" s="55" t="s">
        <v>222</v>
      </c>
      <c r="E1029" s="59" t="s">
        <v>215</v>
      </c>
      <c r="F1029" s="60">
        <v>0.010416666666666666</v>
      </c>
      <c r="G1029" s="29"/>
      <c r="H1029" s="6"/>
      <c r="I1029" s="6"/>
      <c r="J1029" s="6"/>
      <c r="K1029" s="6"/>
      <c r="L1029" s="6"/>
      <c r="M1029" s="6"/>
      <c r="N1029" s="6"/>
      <c r="O1029" s="6"/>
      <c r="P1029" s="6"/>
      <c r="Q1029" s="6"/>
      <c r="R1029" s="6"/>
      <c r="S1029" s="6"/>
    </row>
    <row r="1030" ht="22.5" hidden="1" customHeight="1">
      <c r="A1030" s="49">
        <v>45970.0</v>
      </c>
      <c r="B1030" s="58" t="s">
        <v>206</v>
      </c>
      <c r="C1030" s="34" t="s">
        <v>216</v>
      </c>
      <c r="D1030" s="55" t="s">
        <v>93</v>
      </c>
      <c r="E1030" s="59"/>
      <c r="F1030" s="60">
        <v>0.013888888888888888</v>
      </c>
      <c r="G1030" s="29"/>
      <c r="H1030" s="6"/>
      <c r="I1030" s="6"/>
      <c r="J1030" s="6"/>
      <c r="K1030" s="6"/>
      <c r="L1030" s="6"/>
      <c r="M1030" s="6"/>
      <c r="N1030" s="6"/>
      <c r="O1030" s="6"/>
      <c r="P1030" s="6"/>
      <c r="Q1030" s="6"/>
      <c r="R1030" s="6"/>
      <c r="S1030" s="6"/>
    </row>
    <row r="1031" ht="22.5" hidden="1" customHeight="1">
      <c r="A1031" s="49">
        <v>45970.0</v>
      </c>
      <c r="B1031" s="58" t="s">
        <v>206</v>
      </c>
      <c r="C1031" s="34" t="s">
        <v>216</v>
      </c>
      <c r="D1031" s="55" t="s">
        <v>225</v>
      </c>
      <c r="E1031" s="59"/>
      <c r="F1031" s="60">
        <v>0.041666666666666664</v>
      </c>
      <c r="G1031" s="29"/>
      <c r="H1031" s="6"/>
      <c r="I1031" s="6"/>
      <c r="J1031" s="6"/>
      <c r="K1031" s="6"/>
      <c r="L1031" s="6"/>
      <c r="M1031" s="6"/>
      <c r="N1031" s="6"/>
      <c r="O1031" s="6"/>
      <c r="P1031" s="6"/>
      <c r="Q1031" s="6"/>
      <c r="R1031" s="6"/>
      <c r="S1031" s="6"/>
    </row>
    <row r="1032" ht="22.5" customHeight="1">
      <c r="A1032" s="49">
        <v>45970.0</v>
      </c>
      <c r="B1032" s="58" t="s">
        <v>206</v>
      </c>
      <c r="C1032" s="34" t="s">
        <v>216</v>
      </c>
      <c r="D1032" s="55" t="s">
        <v>223</v>
      </c>
      <c r="E1032" s="59" t="s">
        <v>215</v>
      </c>
      <c r="F1032" s="60">
        <v>0.041666666666666664</v>
      </c>
      <c r="G1032" s="29"/>
      <c r="H1032" s="6"/>
      <c r="I1032" s="6"/>
      <c r="J1032" s="6"/>
      <c r="K1032" s="6"/>
      <c r="L1032" s="6"/>
      <c r="M1032" s="6"/>
      <c r="N1032" s="6"/>
      <c r="O1032" s="6"/>
      <c r="P1032" s="6"/>
      <c r="Q1032" s="6"/>
      <c r="R1032" s="6"/>
      <c r="S1032" s="6"/>
    </row>
    <row r="1033" ht="22.5" customHeight="1">
      <c r="A1033" s="49">
        <v>45970.0</v>
      </c>
      <c r="B1033" s="58" t="s">
        <v>221</v>
      </c>
      <c r="C1033" s="34" t="s">
        <v>216</v>
      </c>
      <c r="D1033" s="55" t="s">
        <v>222</v>
      </c>
      <c r="E1033" s="59" t="s">
        <v>215</v>
      </c>
      <c r="F1033" s="60">
        <v>0.010416666666666666</v>
      </c>
      <c r="G1033" s="29"/>
      <c r="H1033" s="6"/>
      <c r="I1033" s="6"/>
      <c r="J1033" s="6"/>
      <c r="K1033" s="6"/>
      <c r="L1033" s="6"/>
      <c r="M1033" s="6"/>
      <c r="N1033" s="6"/>
      <c r="O1033" s="6"/>
      <c r="P1033" s="6"/>
      <c r="Q1033" s="6"/>
      <c r="R1033" s="6"/>
      <c r="S1033" s="6"/>
    </row>
    <row r="1034" ht="22.5" hidden="1" customHeight="1">
      <c r="A1034" s="49">
        <v>45971.0</v>
      </c>
      <c r="B1034" s="58" t="s">
        <v>206</v>
      </c>
      <c r="C1034" s="34" t="s">
        <v>216</v>
      </c>
      <c r="D1034" s="55" t="s">
        <v>93</v>
      </c>
      <c r="E1034" s="59"/>
      <c r="F1034" s="60">
        <v>0.013888888888888888</v>
      </c>
      <c r="G1034" s="29"/>
      <c r="H1034" s="6"/>
      <c r="I1034" s="6"/>
      <c r="J1034" s="6"/>
      <c r="K1034" s="6"/>
      <c r="L1034" s="6"/>
      <c r="M1034" s="6"/>
      <c r="N1034" s="6"/>
      <c r="O1034" s="6"/>
      <c r="P1034" s="6"/>
      <c r="Q1034" s="6"/>
      <c r="R1034" s="6"/>
      <c r="S1034" s="6"/>
    </row>
    <row r="1035" ht="22.5" hidden="1" customHeight="1">
      <c r="A1035" s="49">
        <v>45971.0</v>
      </c>
      <c r="B1035" s="58" t="s">
        <v>206</v>
      </c>
      <c r="C1035" s="34" t="s">
        <v>216</v>
      </c>
      <c r="D1035" s="55" t="s">
        <v>225</v>
      </c>
      <c r="E1035" s="59"/>
      <c r="F1035" s="60">
        <v>0.041666666666666664</v>
      </c>
      <c r="G1035" s="29"/>
      <c r="H1035" s="6"/>
      <c r="I1035" s="6"/>
      <c r="J1035" s="6"/>
      <c r="K1035" s="6"/>
      <c r="L1035" s="6"/>
      <c r="M1035" s="6"/>
      <c r="N1035" s="6"/>
      <c r="O1035" s="6"/>
      <c r="P1035" s="6"/>
      <c r="Q1035" s="6"/>
      <c r="R1035" s="6"/>
      <c r="S1035" s="6"/>
    </row>
    <row r="1036" ht="22.5" customHeight="1">
      <c r="A1036" s="49">
        <v>45971.0</v>
      </c>
      <c r="B1036" s="58" t="s">
        <v>206</v>
      </c>
      <c r="C1036" s="34" t="s">
        <v>216</v>
      </c>
      <c r="D1036" s="55" t="s">
        <v>223</v>
      </c>
      <c r="E1036" s="59" t="s">
        <v>215</v>
      </c>
      <c r="F1036" s="60">
        <v>0.041666666666666664</v>
      </c>
      <c r="G1036" s="29"/>
      <c r="H1036" s="6"/>
      <c r="I1036" s="6"/>
      <c r="J1036" s="6"/>
      <c r="K1036" s="6"/>
      <c r="L1036" s="6"/>
      <c r="M1036" s="6"/>
      <c r="N1036" s="6"/>
      <c r="O1036" s="6"/>
      <c r="P1036" s="6"/>
      <c r="Q1036" s="6"/>
      <c r="R1036" s="6"/>
      <c r="S1036" s="6"/>
    </row>
    <row r="1037" ht="22.5" hidden="1" customHeight="1">
      <c r="A1037" s="49">
        <v>45972.0</v>
      </c>
      <c r="B1037" s="58" t="s">
        <v>206</v>
      </c>
      <c r="C1037" s="34" t="s">
        <v>216</v>
      </c>
      <c r="D1037" s="55" t="s">
        <v>93</v>
      </c>
      <c r="E1037" s="59"/>
      <c r="F1037" s="60">
        <v>0.013888888888888888</v>
      </c>
      <c r="G1037" s="29"/>
      <c r="H1037" s="6"/>
      <c r="I1037" s="6"/>
      <c r="J1037" s="6"/>
      <c r="K1037" s="6"/>
      <c r="L1037" s="6"/>
      <c r="M1037" s="6"/>
      <c r="N1037" s="6"/>
      <c r="O1037" s="6"/>
      <c r="P1037" s="6"/>
      <c r="Q1037" s="6"/>
      <c r="R1037" s="6"/>
      <c r="S1037" s="6"/>
    </row>
    <row r="1038" ht="22.5" customHeight="1">
      <c r="A1038" s="49">
        <v>45972.0</v>
      </c>
      <c r="B1038" s="58" t="s">
        <v>206</v>
      </c>
      <c r="C1038" s="34" t="s">
        <v>216</v>
      </c>
      <c r="D1038" s="55" t="s">
        <v>223</v>
      </c>
      <c r="E1038" s="59" t="s">
        <v>215</v>
      </c>
      <c r="F1038" s="60">
        <v>0.041666666666666664</v>
      </c>
      <c r="G1038" s="29"/>
      <c r="H1038" s="6"/>
      <c r="I1038" s="6"/>
      <c r="J1038" s="6"/>
      <c r="K1038" s="6"/>
      <c r="L1038" s="6"/>
      <c r="M1038" s="6"/>
      <c r="N1038" s="6"/>
      <c r="O1038" s="6"/>
      <c r="P1038" s="6"/>
      <c r="Q1038" s="6"/>
      <c r="R1038" s="6"/>
      <c r="S1038" s="6"/>
    </row>
    <row r="1039" ht="22.5" hidden="1" customHeight="1">
      <c r="A1039" s="49">
        <v>45973.0</v>
      </c>
      <c r="B1039" s="58" t="s">
        <v>206</v>
      </c>
      <c r="C1039" s="34" t="s">
        <v>216</v>
      </c>
      <c r="D1039" s="55" t="s">
        <v>93</v>
      </c>
      <c r="E1039" s="59"/>
      <c r="F1039" s="60">
        <v>0.013888888888888888</v>
      </c>
      <c r="G1039" s="29"/>
      <c r="H1039" s="6"/>
      <c r="I1039" s="6"/>
      <c r="J1039" s="6"/>
      <c r="K1039" s="6"/>
      <c r="L1039" s="6"/>
      <c r="M1039" s="6"/>
      <c r="N1039" s="6"/>
      <c r="O1039" s="6"/>
      <c r="P1039" s="6"/>
      <c r="Q1039" s="6"/>
      <c r="R1039" s="6"/>
      <c r="S1039" s="6"/>
    </row>
    <row r="1040" ht="22.5" customHeight="1">
      <c r="A1040" s="49">
        <v>45973.0</v>
      </c>
      <c r="B1040" s="58" t="s">
        <v>206</v>
      </c>
      <c r="C1040" s="34" t="s">
        <v>216</v>
      </c>
      <c r="D1040" s="55" t="s">
        <v>223</v>
      </c>
      <c r="E1040" s="59" t="s">
        <v>215</v>
      </c>
      <c r="F1040" s="60">
        <v>0.041666666666666664</v>
      </c>
      <c r="G1040" s="29"/>
      <c r="H1040" s="6"/>
      <c r="I1040" s="6"/>
      <c r="J1040" s="6"/>
      <c r="K1040" s="6"/>
      <c r="L1040" s="6"/>
      <c r="M1040" s="6"/>
      <c r="N1040" s="6"/>
      <c r="O1040" s="6"/>
      <c r="P1040" s="6"/>
      <c r="Q1040" s="6"/>
      <c r="R1040" s="6"/>
      <c r="S1040" s="6"/>
    </row>
    <row r="1041" ht="22.5" hidden="1" customHeight="1">
      <c r="A1041" s="49">
        <v>45974.0</v>
      </c>
      <c r="B1041" s="58" t="s">
        <v>206</v>
      </c>
      <c r="C1041" s="34" t="s">
        <v>216</v>
      </c>
      <c r="D1041" s="55" t="s">
        <v>93</v>
      </c>
      <c r="E1041" s="59"/>
      <c r="F1041" s="60">
        <v>0.013888888888888888</v>
      </c>
      <c r="G1041" s="29"/>
      <c r="H1041" s="6"/>
      <c r="I1041" s="6"/>
      <c r="J1041" s="6"/>
      <c r="K1041" s="6"/>
      <c r="L1041" s="6"/>
      <c r="M1041" s="6"/>
      <c r="N1041" s="6"/>
      <c r="O1041" s="6"/>
      <c r="P1041" s="6"/>
      <c r="Q1041" s="6"/>
      <c r="R1041" s="6"/>
      <c r="S1041" s="6"/>
    </row>
    <row r="1042" ht="22.5" customHeight="1">
      <c r="A1042" s="49">
        <v>45974.0</v>
      </c>
      <c r="B1042" s="58" t="s">
        <v>206</v>
      </c>
      <c r="C1042" s="34" t="s">
        <v>216</v>
      </c>
      <c r="D1042" s="55" t="s">
        <v>223</v>
      </c>
      <c r="E1042" s="59" t="s">
        <v>215</v>
      </c>
      <c r="F1042" s="60">
        <v>0.041666666666666664</v>
      </c>
      <c r="G1042" s="29"/>
      <c r="H1042" s="6"/>
      <c r="I1042" s="6"/>
      <c r="J1042" s="6"/>
      <c r="K1042" s="6"/>
      <c r="L1042" s="6"/>
      <c r="M1042" s="6"/>
      <c r="N1042" s="6"/>
      <c r="O1042" s="6"/>
      <c r="P1042" s="6"/>
      <c r="Q1042" s="6"/>
      <c r="R1042" s="6"/>
      <c r="S1042" s="6"/>
    </row>
    <row r="1043" ht="22.5" hidden="1" customHeight="1">
      <c r="A1043" s="49">
        <v>45975.0</v>
      </c>
      <c r="B1043" s="58" t="s">
        <v>206</v>
      </c>
      <c r="C1043" s="34" t="s">
        <v>216</v>
      </c>
      <c r="D1043" s="55" t="s">
        <v>93</v>
      </c>
      <c r="E1043" s="59"/>
      <c r="F1043" s="60">
        <v>0.013888888888888888</v>
      </c>
      <c r="G1043" s="29"/>
      <c r="H1043" s="6"/>
      <c r="I1043" s="6"/>
      <c r="J1043" s="6"/>
      <c r="K1043" s="6"/>
      <c r="L1043" s="6"/>
      <c r="M1043" s="6"/>
      <c r="N1043" s="6"/>
      <c r="O1043" s="6"/>
      <c r="P1043" s="6"/>
      <c r="Q1043" s="6"/>
      <c r="R1043" s="6"/>
      <c r="S1043" s="6"/>
    </row>
    <row r="1044" ht="22.5" customHeight="1">
      <c r="A1044" s="49">
        <v>45975.0</v>
      </c>
      <c r="B1044" s="58" t="s">
        <v>206</v>
      </c>
      <c r="C1044" s="34" t="s">
        <v>216</v>
      </c>
      <c r="D1044" s="55" t="s">
        <v>223</v>
      </c>
      <c r="E1044" s="59" t="s">
        <v>215</v>
      </c>
      <c r="F1044" s="60">
        <v>0.041666666666666664</v>
      </c>
      <c r="G1044" s="29"/>
      <c r="H1044" s="6"/>
      <c r="I1044" s="6"/>
      <c r="J1044" s="6"/>
      <c r="K1044" s="6"/>
      <c r="L1044" s="6"/>
      <c r="M1044" s="6"/>
      <c r="N1044" s="6"/>
      <c r="O1044" s="6"/>
      <c r="P1044" s="6"/>
      <c r="Q1044" s="6"/>
      <c r="R1044" s="6"/>
      <c r="S1044" s="6"/>
    </row>
    <row r="1045" ht="22.5" hidden="1" customHeight="1">
      <c r="A1045" s="49">
        <v>45976.0</v>
      </c>
      <c r="B1045" s="58" t="s">
        <v>206</v>
      </c>
      <c r="C1045" s="34" t="s">
        <v>216</v>
      </c>
      <c r="D1045" s="55" t="s">
        <v>93</v>
      </c>
      <c r="E1045" s="59"/>
      <c r="F1045" s="60">
        <v>0.013888888888888888</v>
      </c>
      <c r="G1045" s="29"/>
      <c r="H1045" s="6"/>
      <c r="I1045" s="6"/>
      <c r="J1045" s="6"/>
      <c r="K1045" s="6"/>
      <c r="L1045" s="6"/>
      <c r="M1045" s="6"/>
      <c r="N1045" s="6"/>
      <c r="O1045" s="6"/>
      <c r="P1045" s="6"/>
      <c r="Q1045" s="6"/>
      <c r="R1045" s="6"/>
      <c r="S1045" s="6"/>
    </row>
    <row r="1046" ht="22.5" customHeight="1">
      <c r="A1046" s="49">
        <v>45976.0</v>
      </c>
      <c r="B1046" s="58" t="s">
        <v>206</v>
      </c>
      <c r="C1046" s="34" t="s">
        <v>216</v>
      </c>
      <c r="D1046" s="55" t="s">
        <v>223</v>
      </c>
      <c r="E1046" s="59" t="s">
        <v>215</v>
      </c>
      <c r="F1046" s="60">
        <v>0.041666666666666664</v>
      </c>
      <c r="G1046" s="29"/>
      <c r="H1046" s="6"/>
      <c r="I1046" s="6"/>
      <c r="J1046" s="6"/>
      <c r="K1046" s="6"/>
      <c r="L1046" s="6"/>
      <c r="M1046" s="6"/>
      <c r="N1046" s="6"/>
      <c r="O1046" s="6"/>
      <c r="P1046" s="6"/>
      <c r="Q1046" s="6"/>
      <c r="R1046" s="6"/>
      <c r="S1046" s="6"/>
    </row>
    <row r="1047" ht="22.5" hidden="1" customHeight="1">
      <c r="A1047" s="49">
        <v>45977.0</v>
      </c>
      <c r="B1047" s="58" t="s">
        <v>206</v>
      </c>
      <c r="C1047" s="34" t="s">
        <v>216</v>
      </c>
      <c r="D1047" s="55" t="s">
        <v>93</v>
      </c>
      <c r="E1047" s="59"/>
      <c r="F1047" s="60">
        <v>0.013888888888888888</v>
      </c>
      <c r="G1047" s="29"/>
      <c r="H1047" s="6"/>
      <c r="I1047" s="6"/>
      <c r="J1047" s="6"/>
      <c r="K1047" s="6"/>
      <c r="L1047" s="6"/>
      <c r="M1047" s="6"/>
      <c r="N1047" s="6"/>
      <c r="O1047" s="6"/>
      <c r="P1047" s="6"/>
      <c r="Q1047" s="6"/>
      <c r="R1047" s="6"/>
      <c r="S1047" s="6"/>
    </row>
    <row r="1048" ht="22.5" customHeight="1">
      <c r="A1048" s="49">
        <v>45977.0</v>
      </c>
      <c r="B1048" s="58" t="s">
        <v>206</v>
      </c>
      <c r="C1048" s="34" t="s">
        <v>216</v>
      </c>
      <c r="D1048" s="55" t="s">
        <v>223</v>
      </c>
      <c r="E1048" s="59" t="s">
        <v>215</v>
      </c>
      <c r="F1048" s="60">
        <v>0.041666666666666664</v>
      </c>
      <c r="G1048" s="29"/>
      <c r="H1048" s="6"/>
      <c r="I1048" s="6"/>
      <c r="J1048" s="6"/>
      <c r="K1048" s="6"/>
      <c r="L1048" s="6"/>
      <c r="M1048" s="6"/>
      <c r="N1048" s="6"/>
      <c r="O1048" s="6"/>
      <c r="P1048" s="6"/>
      <c r="Q1048" s="6"/>
      <c r="R1048" s="6"/>
      <c r="S1048" s="6"/>
    </row>
    <row r="1049" ht="22.5" hidden="1" customHeight="1">
      <c r="A1049" s="49">
        <v>45978.0</v>
      </c>
      <c r="B1049" s="58" t="s">
        <v>206</v>
      </c>
      <c r="C1049" s="34" t="s">
        <v>216</v>
      </c>
      <c r="D1049" s="55" t="s">
        <v>93</v>
      </c>
      <c r="E1049" s="59"/>
      <c r="F1049" s="60">
        <v>0.013888888888888888</v>
      </c>
      <c r="G1049" s="29"/>
      <c r="H1049" s="6"/>
      <c r="I1049" s="6"/>
      <c r="J1049" s="6"/>
      <c r="K1049" s="6"/>
      <c r="L1049" s="6"/>
      <c r="M1049" s="6"/>
      <c r="N1049" s="6"/>
      <c r="O1049" s="6"/>
      <c r="P1049" s="6"/>
      <c r="Q1049" s="6"/>
      <c r="R1049" s="6"/>
      <c r="S1049" s="6"/>
    </row>
    <row r="1050" ht="22.5" customHeight="1">
      <c r="A1050" s="49">
        <v>45978.0</v>
      </c>
      <c r="B1050" s="58" t="s">
        <v>206</v>
      </c>
      <c r="C1050" s="34" t="s">
        <v>216</v>
      </c>
      <c r="D1050" s="55" t="s">
        <v>223</v>
      </c>
      <c r="E1050" s="59" t="s">
        <v>215</v>
      </c>
      <c r="F1050" s="60">
        <v>0.041666666666666664</v>
      </c>
      <c r="G1050" s="29"/>
      <c r="H1050" s="6"/>
      <c r="I1050" s="6"/>
      <c r="J1050" s="6"/>
      <c r="K1050" s="6"/>
      <c r="L1050" s="6"/>
      <c r="M1050" s="6"/>
      <c r="N1050" s="6"/>
      <c r="O1050" s="6"/>
      <c r="P1050" s="6"/>
      <c r="Q1050" s="6"/>
      <c r="R1050" s="6"/>
      <c r="S1050" s="6"/>
    </row>
    <row r="1051" ht="22.5" hidden="1" customHeight="1">
      <c r="A1051" s="49">
        <v>45979.0</v>
      </c>
      <c r="B1051" s="58" t="s">
        <v>206</v>
      </c>
      <c r="C1051" s="34" t="s">
        <v>216</v>
      </c>
      <c r="D1051" s="55" t="s">
        <v>93</v>
      </c>
      <c r="E1051" s="59"/>
      <c r="F1051" s="60">
        <v>0.013888888888888888</v>
      </c>
      <c r="G1051" s="29"/>
      <c r="H1051" s="6"/>
      <c r="I1051" s="6"/>
      <c r="J1051" s="6"/>
      <c r="K1051" s="6"/>
      <c r="L1051" s="6"/>
      <c r="M1051" s="6"/>
      <c r="N1051" s="6"/>
      <c r="O1051" s="6"/>
      <c r="P1051" s="6"/>
      <c r="Q1051" s="6"/>
      <c r="R1051" s="6"/>
      <c r="S1051" s="6"/>
    </row>
    <row r="1052" ht="22.5" customHeight="1">
      <c r="A1052" s="49">
        <v>45979.0</v>
      </c>
      <c r="B1052" s="58" t="s">
        <v>206</v>
      </c>
      <c r="C1052" s="34" t="s">
        <v>216</v>
      </c>
      <c r="D1052" s="55" t="s">
        <v>223</v>
      </c>
      <c r="E1052" s="59" t="s">
        <v>215</v>
      </c>
      <c r="F1052" s="60">
        <v>0.041666666666666664</v>
      </c>
      <c r="G1052" s="29"/>
      <c r="H1052" s="6"/>
      <c r="I1052" s="6"/>
      <c r="J1052" s="6"/>
      <c r="K1052" s="6"/>
      <c r="L1052" s="6"/>
      <c r="M1052" s="6"/>
      <c r="N1052" s="6"/>
      <c r="O1052" s="6"/>
      <c r="P1052" s="6"/>
      <c r="Q1052" s="6"/>
      <c r="R1052" s="6"/>
      <c r="S1052" s="6"/>
    </row>
    <row r="1053" ht="22.5" hidden="1" customHeight="1">
      <c r="A1053" s="49">
        <v>45980.0</v>
      </c>
      <c r="B1053" s="58" t="s">
        <v>206</v>
      </c>
      <c r="C1053" s="34" t="s">
        <v>216</v>
      </c>
      <c r="D1053" s="55" t="s">
        <v>93</v>
      </c>
      <c r="E1053" s="59"/>
      <c r="F1053" s="60">
        <v>0.013888888888888888</v>
      </c>
      <c r="G1053" s="29"/>
      <c r="H1053" s="6"/>
      <c r="I1053" s="6"/>
      <c r="J1053" s="6"/>
      <c r="K1053" s="6"/>
      <c r="L1053" s="6"/>
      <c r="M1053" s="6"/>
      <c r="N1053" s="6"/>
      <c r="O1053" s="6"/>
      <c r="P1053" s="6"/>
      <c r="Q1053" s="6"/>
      <c r="R1053" s="6"/>
      <c r="S1053" s="6"/>
    </row>
    <row r="1054" ht="22.5" customHeight="1">
      <c r="A1054" s="49">
        <v>45980.0</v>
      </c>
      <c r="B1054" s="58" t="s">
        <v>206</v>
      </c>
      <c r="C1054" s="34" t="s">
        <v>216</v>
      </c>
      <c r="D1054" s="55" t="s">
        <v>223</v>
      </c>
      <c r="E1054" s="59" t="s">
        <v>215</v>
      </c>
      <c r="F1054" s="60">
        <v>0.041666666666666664</v>
      </c>
      <c r="G1054" s="29"/>
      <c r="H1054" s="6"/>
      <c r="I1054" s="6"/>
      <c r="J1054" s="6"/>
      <c r="K1054" s="6"/>
      <c r="L1054" s="6"/>
      <c r="M1054" s="6"/>
      <c r="N1054" s="6"/>
      <c r="O1054" s="6"/>
      <c r="P1054" s="6"/>
      <c r="Q1054" s="6"/>
      <c r="R1054" s="6"/>
      <c r="S1054" s="6"/>
    </row>
    <row r="1055" ht="22.5" hidden="1" customHeight="1">
      <c r="A1055" s="49">
        <v>45981.0</v>
      </c>
      <c r="B1055" s="58" t="s">
        <v>206</v>
      </c>
      <c r="C1055" s="34" t="s">
        <v>216</v>
      </c>
      <c r="D1055" s="55" t="s">
        <v>93</v>
      </c>
      <c r="E1055" s="59"/>
      <c r="F1055" s="60">
        <v>0.013888888888888888</v>
      </c>
      <c r="G1055" s="29"/>
      <c r="H1055" s="6"/>
      <c r="I1055" s="6"/>
      <c r="J1055" s="6"/>
      <c r="K1055" s="6"/>
      <c r="L1055" s="6"/>
      <c r="M1055" s="6"/>
      <c r="N1055" s="6"/>
      <c r="O1055" s="6"/>
      <c r="P1055" s="6"/>
      <c r="Q1055" s="6"/>
      <c r="R1055" s="6"/>
      <c r="S1055" s="6"/>
    </row>
    <row r="1056" ht="22.5" customHeight="1">
      <c r="A1056" s="49">
        <v>45981.0</v>
      </c>
      <c r="B1056" s="58" t="s">
        <v>206</v>
      </c>
      <c r="C1056" s="34" t="s">
        <v>216</v>
      </c>
      <c r="D1056" s="55" t="s">
        <v>223</v>
      </c>
      <c r="E1056" s="59" t="s">
        <v>215</v>
      </c>
      <c r="F1056" s="60">
        <v>0.041666666666666664</v>
      </c>
      <c r="G1056" s="29"/>
      <c r="H1056" s="6"/>
      <c r="I1056" s="6"/>
      <c r="J1056" s="6"/>
      <c r="K1056" s="6"/>
      <c r="L1056" s="6"/>
      <c r="M1056" s="6"/>
      <c r="N1056" s="6"/>
      <c r="O1056" s="6"/>
      <c r="P1056" s="6"/>
      <c r="Q1056" s="6"/>
      <c r="R1056" s="6"/>
      <c r="S1056" s="6"/>
    </row>
    <row r="1057" ht="22.5" hidden="1" customHeight="1">
      <c r="A1057" s="49">
        <v>45982.0</v>
      </c>
      <c r="B1057" s="58" t="s">
        <v>206</v>
      </c>
      <c r="C1057" s="34" t="s">
        <v>216</v>
      </c>
      <c r="D1057" s="55" t="s">
        <v>93</v>
      </c>
      <c r="E1057" s="59"/>
      <c r="F1057" s="60">
        <v>0.013888888888888888</v>
      </c>
      <c r="G1057" s="29"/>
      <c r="H1057" s="6"/>
      <c r="I1057" s="6"/>
      <c r="J1057" s="6"/>
      <c r="K1057" s="6"/>
      <c r="L1057" s="6"/>
      <c r="M1057" s="6"/>
      <c r="N1057" s="6"/>
      <c r="O1057" s="6"/>
      <c r="P1057" s="6"/>
      <c r="Q1057" s="6"/>
      <c r="R1057" s="6"/>
      <c r="S1057" s="6"/>
    </row>
    <row r="1058" ht="22.5" customHeight="1">
      <c r="A1058" s="49">
        <v>45982.0</v>
      </c>
      <c r="B1058" s="58" t="s">
        <v>206</v>
      </c>
      <c r="C1058" s="34" t="s">
        <v>216</v>
      </c>
      <c r="D1058" s="55" t="s">
        <v>223</v>
      </c>
      <c r="E1058" s="59" t="s">
        <v>215</v>
      </c>
      <c r="F1058" s="60">
        <v>0.041666666666666664</v>
      </c>
      <c r="G1058" s="29"/>
      <c r="H1058" s="6"/>
      <c r="I1058" s="6"/>
      <c r="J1058" s="6"/>
      <c r="K1058" s="6"/>
      <c r="L1058" s="6"/>
      <c r="M1058" s="6"/>
      <c r="N1058" s="6"/>
      <c r="O1058" s="6"/>
      <c r="P1058" s="6"/>
      <c r="Q1058" s="6"/>
      <c r="R1058" s="6"/>
      <c r="S1058" s="6"/>
    </row>
    <row r="1059" ht="22.5" hidden="1" customHeight="1">
      <c r="A1059" s="49">
        <v>45983.0</v>
      </c>
      <c r="B1059" s="58" t="s">
        <v>206</v>
      </c>
      <c r="C1059" s="34" t="s">
        <v>216</v>
      </c>
      <c r="D1059" s="55" t="s">
        <v>93</v>
      </c>
      <c r="E1059" s="59"/>
      <c r="F1059" s="60">
        <v>0.013888888888888888</v>
      </c>
      <c r="G1059" s="29"/>
      <c r="H1059" s="6"/>
      <c r="I1059" s="6"/>
      <c r="J1059" s="6"/>
      <c r="K1059" s="6"/>
      <c r="L1059" s="6"/>
      <c r="M1059" s="6"/>
      <c r="N1059" s="6"/>
      <c r="O1059" s="6"/>
      <c r="P1059" s="6"/>
      <c r="Q1059" s="6"/>
      <c r="R1059" s="6"/>
      <c r="S1059" s="6"/>
    </row>
    <row r="1060" ht="22.5" customHeight="1">
      <c r="A1060" s="49">
        <v>45983.0</v>
      </c>
      <c r="B1060" s="58" t="s">
        <v>206</v>
      </c>
      <c r="C1060" s="34" t="s">
        <v>216</v>
      </c>
      <c r="D1060" s="55" t="s">
        <v>223</v>
      </c>
      <c r="E1060" s="59" t="s">
        <v>215</v>
      </c>
      <c r="F1060" s="60">
        <v>0.041666666666666664</v>
      </c>
      <c r="G1060" s="29"/>
      <c r="H1060" s="6"/>
      <c r="I1060" s="6"/>
      <c r="J1060" s="6"/>
      <c r="K1060" s="6"/>
      <c r="L1060" s="6"/>
      <c r="M1060" s="6"/>
      <c r="N1060" s="6"/>
      <c r="O1060" s="6"/>
      <c r="P1060" s="6"/>
      <c r="Q1060" s="6"/>
      <c r="R1060" s="6"/>
      <c r="S1060" s="6"/>
    </row>
    <row r="1061" ht="22.5" hidden="1" customHeight="1">
      <c r="A1061" s="49">
        <v>45984.0</v>
      </c>
      <c r="B1061" s="58" t="s">
        <v>206</v>
      </c>
      <c r="C1061" s="34" t="s">
        <v>216</v>
      </c>
      <c r="D1061" s="55" t="s">
        <v>93</v>
      </c>
      <c r="E1061" s="59"/>
      <c r="F1061" s="60">
        <v>0.013888888888888888</v>
      </c>
      <c r="G1061" s="29"/>
      <c r="H1061" s="6"/>
      <c r="I1061" s="6"/>
      <c r="J1061" s="6"/>
      <c r="K1061" s="6"/>
      <c r="L1061" s="6"/>
      <c r="M1061" s="6"/>
      <c r="N1061" s="6"/>
      <c r="O1061" s="6"/>
      <c r="P1061" s="6"/>
      <c r="Q1061" s="6"/>
      <c r="R1061" s="6"/>
      <c r="S1061" s="6"/>
    </row>
    <row r="1062" ht="22.5" customHeight="1">
      <c r="A1062" s="49">
        <v>45984.0</v>
      </c>
      <c r="B1062" s="58" t="s">
        <v>206</v>
      </c>
      <c r="C1062" s="34" t="s">
        <v>216</v>
      </c>
      <c r="D1062" s="55" t="s">
        <v>223</v>
      </c>
      <c r="E1062" s="59" t="s">
        <v>215</v>
      </c>
      <c r="F1062" s="60">
        <v>0.041666666666666664</v>
      </c>
      <c r="G1062" s="29"/>
      <c r="H1062" s="6"/>
      <c r="I1062" s="6"/>
      <c r="J1062" s="6"/>
      <c r="K1062" s="6"/>
      <c r="L1062" s="6"/>
      <c r="M1062" s="6"/>
      <c r="N1062" s="6"/>
      <c r="O1062" s="6"/>
      <c r="P1062" s="6"/>
      <c r="Q1062" s="6"/>
      <c r="R1062" s="6"/>
      <c r="S1062" s="6"/>
    </row>
    <row r="1063" ht="22.5" hidden="1" customHeight="1">
      <c r="A1063" s="49">
        <v>45985.0</v>
      </c>
      <c r="B1063" s="58" t="s">
        <v>206</v>
      </c>
      <c r="C1063" s="34" t="s">
        <v>216</v>
      </c>
      <c r="D1063" s="55" t="s">
        <v>93</v>
      </c>
      <c r="E1063" s="59"/>
      <c r="F1063" s="60">
        <v>0.013888888888888888</v>
      </c>
      <c r="G1063" s="29"/>
      <c r="H1063" s="6"/>
      <c r="I1063" s="6"/>
      <c r="J1063" s="6"/>
      <c r="K1063" s="6"/>
      <c r="L1063" s="6"/>
      <c r="M1063" s="6"/>
      <c r="N1063" s="6"/>
      <c r="O1063" s="6"/>
      <c r="P1063" s="6"/>
      <c r="Q1063" s="6"/>
      <c r="R1063" s="6"/>
      <c r="S1063" s="6"/>
    </row>
    <row r="1064" ht="22.5" customHeight="1">
      <c r="A1064" s="49">
        <v>45985.0</v>
      </c>
      <c r="B1064" s="58" t="s">
        <v>206</v>
      </c>
      <c r="C1064" s="34" t="s">
        <v>216</v>
      </c>
      <c r="D1064" s="55" t="s">
        <v>226</v>
      </c>
      <c r="E1064" s="59" t="s">
        <v>215</v>
      </c>
      <c r="F1064" s="60">
        <v>0.041666666666666664</v>
      </c>
      <c r="G1064" s="29"/>
      <c r="H1064" s="6"/>
      <c r="I1064" s="6"/>
      <c r="J1064" s="6"/>
      <c r="K1064" s="6"/>
      <c r="L1064" s="6"/>
      <c r="M1064" s="6"/>
      <c r="N1064" s="6"/>
      <c r="O1064" s="6"/>
      <c r="P1064" s="6"/>
      <c r="Q1064" s="6"/>
      <c r="R1064" s="6"/>
      <c r="S1064" s="6"/>
    </row>
    <row r="1065" ht="22.5" hidden="1" customHeight="1">
      <c r="A1065" s="49">
        <v>45986.0</v>
      </c>
      <c r="B1065" s="58" t="s">
        <v>206</v>
      </c>
      <c r="C1065" s="34" t="s">
        <v>216</v>
      </c>
      <c r="D1065" s="55" t="s">
        <v>93</v>
      </c>
      <c r="E1065" s="59"/>
      <c r="F1065" s="60">
        <v>0.013888888888888888</v>
      </c>
      <c r="G1065" s="29"/>
      <c r="H1065" s="6"/>
      <c r="I1065" s="6"/>
      <c r="J1065" s="6"/>
      <c r="K1065" s="6"/>
      <c r="L1065" s="6"/>
      <c r="M1065" s="6"/>
      <c r="N1065" s="6"/>
      <c r="O1065" s="6"/>
      <c r="P1065" s="6"/>
      <c r="Q1065" s="6"/>
      <c r="R1065" s="6"/>
      <c r="S1065" s="6"/>
    </row>
    <row r="1066" ht="22.5" customHeight="1">
      <c r="A1066" s="49">
        <v>45986.0</v>
      </c>
      <c r="B1066" s="58" t="s">
        <v>206</v>
      </c>
      <c r="C1066" s="34" t="s">
        <v>216</v>
      </c>
      <c r="D1066" s="55" t="s">
        <v>226</v>
      </c>
      <c r="E1066" s="59" t="s">
        <v>215</v>
      </c>
      <c r="F1066" s="60">
        <v>0.041666666666666664</v>
      </c>
      <c r="G1066" s="29"/>
      <c r="H1066" s="6"/>
      <c r="I1066" s="6"/>
      <c r="J1066" s="6"/>
      <c r="K1066" s="6"/>
      <c r="L1066" s="6"/>
      <c r="M1066" s="6"/>
      <c r="N1066" s="6"/>
      <c r="O1066" s="6"/>
      <c r="P1066" s="6"/>
      <c r="Q1066" s="6"/>
      <c r="R1066" s="6"/>
      <c r="S1066" s="6"/>
    </row>
    <row r="1067" ht="22.5" hidden="1" customHeight="1">
      <c r="A1067" s="49">
        <v>45987.0</v>
      </c>
      <c r="B1067" s="58" t="s">
        <v>206</v>
      </c>
      <c r="C1067" s="34" t="s">
        <v>216</v>
      </c>
      <c r="D1067" s="55" t="s">
        <v>93</v>
      </c>
      <c r="E1067" s="59"/>
      <c r="F1067" s="60">
        <v>0.013888888888888888</v>
      </c>
      <c r="G1067" s="29"/>
      <c r="H1067" s="6"/>
      <c r="I1067" s="6"/>
      <c r="J1067" s="6"/>
      <c r="K1067" s="6"/>
      <c r="L1067" s="6"/>
      <c r="M1067" s="6"/>
      <c r="N1067" s="6"/>
      <c r="O1067" s="6"/>
      <c r="P1067" s="6"/>
      <c r="Q1067" s="6"/>
      <c r="R1067" s="6"/>
      <c r="S1067" s="6"/>
    </row>
    <row r="1068" ht="22.5" customHeight="1">
      <c r="A1068" s="49">
        <v>45987.0</v>
      </c>
      <c r="B1068" s="58" t="s">
        <v>206</v>
      </c>
      <c r="C1068" s="34" t="s">
        <v>216</v>
      </c>
      <c r="D1068" s="55" t="s">
        <v>226</v>
      </c>
      <c r="E1068" s="59" t="s">
        <v>215</v>
      </c>
      <c r="F1068" s="60">
        <v>0.041666666666666664</v>
      </c>
      <c r="G1068" s="29"/>
      <c r="H1068" s="6"/>
      <c r="I1068" s="6"/>
      <c r="J1068" s="6"/>
      <c r="K1068" s="6"/>
      <c r="L1068" s="6"/>
      <c r="M1068" s="6"/>
      <c r="N1068" s="6"/>
      <c r="O1068" s="6"/>
      <c r="P1068" s="6"/>
      <c r="Q1068" s="6"/>
      <c r="R1068" s="6"/>
      <c r="S1068" s="6"/>
    </row>
    <row r="1069" ht="22.5" hidden="1" customHeight="1">
      <c r="A1069" s="49">
        <v>45988.0</v>
      </c>
      <c r="B1069" s="58" t="s">
        <v>206</v>
      </c>
      <c r="C1069" s="34" t="s">
        <v>216</v>
      </c>
      <c r="D1069" s="55" t="s">
        <v>93</v>
      </c>
      <c r="E1069" s="59"/>
      <c r="F1069" s="60">
        <v>0.013888888888888888</v>
      </c>
      <c r="G1069" s="29"/>
      <c r="H1069" s="6"/>
      <c r="I1069" s="6"/>
      <c r="J1069" s="6"/>
      <c r="K1069" s="6"/>
      <c r="L1069" s="6"/>
      <c r="M1069" s="6"/>
      <c r="N1069" s="6"/>
      <c r="O1069" s="6"/>
      <c r="P1069" s="6"/>
      <c r="Q1069" s="6"/>
      <c r="R1069" s="6"/>
      <c r="S1069" s="6"/>
    </row>
    <row r="1070" ht="22.5" hidden="1" customHeight="1">
      <c r="A1070" s="49">
        <v>45988.0</v>
      </c>
      <c r="B1070" s="58" t="s">
        <v>206</v>
      </c>
      <c r="C1070" s="34" t="s">
        <v>216</v>
      </c>
      <c r="D1070" s="55" t="s">
        <v>227</v>
      </c>
      <c r="E1070" s="59"/>
      <c r="F1070" s="60">
        <v>0.041666666666666664</v>
      </c>
      <c r="G1070" s="29"/>
      <c r="H1070" s="6"/>
      <c r="I1070" s="6"/>
      <c r="J1070" s="6"/>
      <c r="K1070" s="6"/>
      <c r="L1070" s="6"/>
      <c r="M1070" s="6"/>
      <c r="N1070" s="6"/>
      <c r="O1070" s="6"/>
      <c r="P1070" s="6"/>
      <c r="Q1070" s="6"/>
      <c r="R1070" s="6"/>
      <c r="S1070" s="6"/>
    </row>
    <row r="1071" ht="22.5" customHeight="1">
      <c r="A1071" s="49">
        <v>45988.0</v>
      </c>
      <c r="B1071" s="58" t="s">
        <v>206</v>
      </c>
      <c r="C1071" s="34" t="s">
        <v>216</v>
      </c>
      <c r="D1071" s="55" t="s">
        <v>226</v>
      </c>
      <c r="E1071" s="59" t="s">
        <v>215</v>
      </c>
      <c r="F1071" s="60">
        <v>0.041666666666666664</v>
      </c>
      <c r="G1071" s="29"/>
      <c r="H1071" s="6"/>
      <c r="I1071" s="6"/>
      <c r="J1071" s="6"/>
      <c r="K1071" s="6"/>
      <c r="L1071" s="6"/>
      <c r="M1071" s="6"/>
      <c r="N1071" s="6"/>
      <c r="O1071" s="6"/>
      <c r="P1071" s="6"/>
      <c r="Q1071" s="6"/>
      <c r="R1071" s="6"/>
      <c r="S1071" s="6"/>
    </row>
    <row r="1072" ht="22.5" hidden="1" customHeight="1">
      <c r="A1072" s="49">
        <v>45989.0</v>
      </c>
      <c r="B1072" s="58" t="s">
        <v>206</v>
      </c>
      <c r="C1072" s="34" t="s">
        <v>216</v>
      </c>
      <c r="D1072" s="55" t="s">
        <v>93</v>
      </c>
      <c r="E1072" s="59"/>
      <c r="F1072" s="60">
        <v>0.013888888888888888</v>
      </c>
      <c r="G1072" s="29"/>
      <c r="H1072" s="6"/>
      <c r="I1072" s="6"/>
      <c r="J1072" s="6"/>
      <c r="K1072" s="6"/>
      <c r="L1072" s="6"/>
      <c r="M1072" s="6"/>
      <c r="N1072" s="6"/>
      <c r="O1072" s="6"/>
      <c r="P1072" s="6"/>
      <c r="Q1072" s="6"/>
      <c r="R1072" s="6"/>
      <c r="S1072" s="6"/>
    </row>
    <row r="1073" ht="22.5" customHeight="1">
      <c r="A1073" s="49">
        <v>45989.0</v>
      </c>
      <c r="B1073" s="58" t="s">
        <v>206</v>
      </c>
      <c r="C1073" s="34" t="s">
        <v>216</v>
      </c>
      <c r="D1073" s="55" t="s">
        <v>226</v>
      </c>
      <c r="E1073" s="59" t="s">
        <v>215</v>
      </c>
      <c r="F1073" s="60">
        <v>0.041666666666666664</v>
      </c>
      <c r="G1073" s="29"/>
      <c r="H1073" s="6"/>
      <c r="I1073" s="6"/>
      <c r="J1073" s="6"/>
      <c r="K1073" s="6"/>
      <c r="L1073" s="6"/>
      <c r="M1073" s="6"/>
      <c r="N1073" s="6"/>
      <c r="O1073" s="6"/>
      <c r="P1073" s="6"/>
      <c r="Q1073" s="6"/>
      <c r="R1073" s="6"/>
      <c r="S1073" s="6"/>
    </row>
    <row r="1074" ht="22.5" hidden="1" customHeight="1">
      <c r="A1074" s="49">
        <v>45990.0</v>
      </c>
      <c r="B1074" s="58" t="s">
        <v>206</v>
      </c>
      <c r="C1074" s="34" t="s">
        <v>216</v>
      </c>
      <c r="D1074" s="55" t="s">
        <v>93</v>
      </c>
      <c r="E1074" s="59"/>
      <c r="F1074" s="60">
        <v>0.013888888888888888</v>
      </c>
      <c r="G1074" s="29"/>
      <c r="H1074" s="6"/>
      <c r="I1074" s="6"/>
      <c r="J1074" s="6"/>
      <c r="K1074" s="6"/>
      <c r="L1074" s="6"/>
      <c r="M1074" s="6"/>
      <c r="N1074" s="6"/>
      <c r="O1074" s="6"/>
      <c r="P1074" s="6"/>
      <c r="Q1074" s="6"/>
      <c r="R1074" s="6"/>
      <c r="S1074" s="6"/>
    </row>
    <row r="1075" ht="22.5" customHeight="1">
      <c r="A1075" s="49">
        <v>45990.0</v>
      </c>
      <c r="B1075" s="58" t="s">
        <v>206</v>
      </c>
      <c r="C1075" s="34" t="s">
        <v>216</v>
      </c>
      <c r="D1075" s="55" t="s">
        <v>226</v>
      </c>
      <c r="E1075" s="59" t="s">
        <v>215</v>
      </c>
      <c r="F1075" s="60">
        <v>0.041666666666666664</v>
      </c>
      <c r="G1075" s="29"/>
      <c r="H1075" s="6"/>
      <c r="I1075" s="6"/>
      <c r="J1075" s="6"/>
      <c r="K1075" s="6"/>
      <c r="L1075" s="6"/>
      <c r="M1075" s="6"/>
      <c r="N1075" s="6"/>
      <c r="O1075" s="6"/>
      <c r="P1075" s="6"/>
      <c r="Q1075" s="6"/>
      <c r="R1075" s="6"/>
      <c r="S1075" s="6"/>
    </row>
    <row r="1076" ht="22.5" hidden="1" customHeight="1">
      <c r="A1076" s="49">
        <v>45991.0</v>
      </c>
      <c r="B1076" s="58" t="s">
        <v>206</v>
      </c>
      <c r="C1076" s="34" t="s">
        <v>216</v>
      </c>
      <c r="D1076" s="55" t="s">
        <v>93</v>
      </c>
      <c r="E1076" s="59"/>
      <c r="F1076" s="60">
        <v>0.013888888888888888</v>
      </c>
      <c r="G1076" s="29"/>
      <c r="H1076" s="6"/>
      <c r="I1076" s="6"/>
      <c r="J1076" s="6"/>
      <c r="K1076" s="6"/>
      <c r="L1076" s="6"/>
      <c r="M1076" s="6"/>
      <c r="N1076" s="6"/>
      <c r="O1076" s="6"/>
      <c r="P1076" s="6"/>
      <c r="Q1076" s="6"/>
      <c r="R1076" s="6"/>
      <c r="S1076" s="6"/>
    </row>
    <row r="1077" ht="22.5" customHeight="1">
      <c r="A1077" s="49">
        <v>45991.0</v>
      </c>
      <c r="B1077" s="58" t="s">
        <v>206</v>
      </c>
      <c r="C1077" s="34" t="s">
        <v>216</v>
      </c>
      <c r="D1077" s="55" t="s">
        <v>226</v>
      </c>
      <c r="E1077" s="59" t="s">
        <v>215</v>
      </c>
      <c r="F1077" s="60">
        <v>0.041666666666666664</v>
      </c>
      <c r="G1077" s="29"/>
      <c r="H1077" s="6"/>
      <c r="I1077" s="6"/>
      <c r="J1077" s="6"/>
      <c r="K1077" s="6"/>
      <c r="L1077" s="6"/>
      <c r="M1077" s="6"/>
      <c r="N1077" s="6"/>
      <c r="O1077" s="6"/>
      <c r="P1077" s="6"/>
      <c r="Q1077" s="6"/>
      <c r="R1077" s="6"/>
      <c r="S1077" s="6"/>
    </row>
    <row r="1078" ht="22.5" hidden="1" customHeight="1">
      <c r="A1078" s="49">
        <v>45992.0</v>
      </c>
      <c r="B1078" s="58" t="s">
        <v>206</v>
      </c>
      <c r="C1078" s="34" t="s">
        <v>216</v>
      </c>
      <c r="D1078" s="55" t="s">
        <v>93</v>
      </c>
      <c r="E1078" s="59"/>
      <c r="F1078" s="60">
        <v>0.013888888888888888</v>
      </c>
      <c r="G1078" s="29"/>
      <c r="H1078" s="6"/>
      <c r="I1078" s="6"/>
      <c r="J1078" s="6"/>
      <c r="K1078" s="6"/>
      <c r="L1078" s="6"/>
      <c r="M1078" s="6"/>
      <c r="N1078" s="6"/>
      <c r="O1078" s="6"/>
      <c r="P1078" s="6"/>
      <c r="Q1078" s="6"/>
      <c r="R1078" s="6"/>
      <c r="S1078" s="6"/>
    </row>
    <row r="1079" ht="22.5" customHeight="1">
      <c r="A1079" s="49">
        <v>45992.0</v>
      </c>
      <c r="B1079" s="58" t="s">
        <v>206</v>
      </c>
      <c r="C1079" s="34" t="s">
        <v>216</v>
      </c>
      <c r="D1079" s="55" t="s">
        <v>226</v>
      </c>
      <c r="E1079" s="59" t="s">
        <v>215</v>
      </c>
      <c r="F1079" s="60">
        <v>0.041666666666666664</v>
      </c>
      <c r="G1079" s="29"/>
      <c r="H1079" s="6"/>
      <c r="I1079" s="6"/>
      <c r="J1079" s="6"/>
      <c r="K1079" s="6"/>
      <c r="L1079" s="6"/>
      <c r="M1079" s="6"/>
      <c r="N1079" s="6"/>
      <c r="O1079" s="6"/>
      <c r="P1079" s="6"/>
      <c r="Q1079" s="6"/>
      <c r="R1079" s="6"/>
      <c r="S1079" s="6"/>
    </row>
    <row r="1080" ht="22.5" hidden="1" customHeight="1">
      <c r="A1080" s="49">
        <v>45993.0</v>
      </c>
      <c r="B1080" s="58" t="s">
        <v>206</v>
      </c>
      <c r="C1080" s="34" t="s">
        <v>216</v>
      </c>
      <c r="D1080" s="55" t="s">
        <v>93</v>
      </c>
      <c r="E1080" s="59"/>
      <c r="F1080" s="60">
        <v>0.013888888888888888</v>
      </c>
      <c r="G1080" s="29"/>
      <c r="H1080" s="6"/>
      <c r="I1080" s="6"/>
      <c r="J1080" s="6"/>
      <c r="K1080" s="6"/>
      <c r="L1080" s="6"/>
      <c r="M1080" s="6"/>
      <c r="N1080" s="6"/>
      <c r="O1080" s="6"/>
      <c r="P1080" s="6"/>
      <c r="Q1080" s="6"/>
      <c r="R1080" s="6"/>
      <c r="S1080" s="6"/>
    </row>
    <row r="1081" ht="22.5" customHeight="1">
      <c r="A1081" s="49">
        <v>45993.0</v>
      </c>
      <c r="B1081" s="58" t="s">
        <v>206</v>
      </c>
      <c r="C1081" s="34" t="s">
        <v>216</v>
      </c>
      <c r="D1081" s="55" t="s">
        <v>226</v>
      </c>
      <c r="E1081" s="59" t="s">
        <v>215</v>
      </c>
      <c r="F1081" s="60">
        <v>0.041666666666666664</v>
      </c>
      <c r="G1081" s="29"/>
      <c r="H1081" s="6"/>
      <c r="I1081" s="6"/>
      <c r="J1081" s="6"/>
      <c r="K1081" s="6"/>
      <c r="L1081" s="6"/>
      <c r="M1081" s="6"/>
      <c r="N1081" s="6"/>
      <c r="O1081" s="6"/>
      <c r="P1081" s="6"/>
      <c r="Q1081" s="6"/>
      <c r="R1081" s="6"/>
      <c r="S1081" s="6"/>
    </row>
    <row r="1082" ht="22.5" hidden="1" customHeight="1">
      <c r="A1082" s="49">
        <v>45994.0</v>
      </c>
      <c r="B1082" s="58" t="s">
        <v>206</v>
      </c>
      <c r="C1082" s="34" t="s">
        <v>216</v>
      </c>
      <c r="D1082" s="55" t="s">
        <v>93</v>
      </c>
      <c r="E1082" s="59"/>
      <c r="F1082" s="60">
        <v>0.013888888888888888</v>
      </c>
      <c r="G1082" s="29"/>
      <c r="H1082" s="6"/>
      <c r="I1082" s="6"/>
      <c r="J1082" s="6"/>
      <c r="K1082" s="6"/>
      <c r="L1082" s="6"/>
      <c r="M1082" s="6"/>
      <c r="N1082" s="6"/>
      <c r="O1082" s="6"/>
      <c r="P1082" s="6"/>
      <c r="Q1082" s="6"/>
      <c r="R1082" s="6"/>
      <c r="S1082" s="6"/>
    </row>
    <row r="1083" ht="22.5" customHeight="1">
      <c r="A1083" s="49">
        <v>45994.0</v>
      </c>
      <c r="B1083" s="58" t="s">
        <v>206</v>
      </c>
      <c r="C1083" s="34" t="s">
        <v>216</v>
      </c>
      <c r="D1083" s="55" t="s">
        <v>226</v>
      </c>
      <c r="E1083" s="59" t="s">
        <v>215</v>
      </c>
      <c r="F1083" s="60">
        <v>0.041666666666666664</v>
      </c>
      <c r="G1083" s="29"/>
      <c r="H1083" s="6"/>
      <c r="I1083" s="6"/>
      <c r="J1083" s="6"/>
      <c r="K1083" s="6"/>
      <c r="L1083" s="6"/>
      <c r="M1083" s="6"/>
      <c r="N1083" s="6"/>
      <c r="O1083" s="6"/>
      <c r="P1083" s="6"/>
      <c r="Q1083" s="6"/>
      <c r="R1083" s="6"/>
      <c r="S1083" s="6"/>
    </row>
    <row r="1084" ht="22.5" hidden="1" customHeight="1">
      <c r="A1084" s="49">
        <v>45995.0</v>
      </c>
      <c r="B1084" s="58" t="s">
        <v>206</v>
      </c>
      <c r="C1084" s="34" t="s">
        <v>216</v>
      </c>
      <c r="D1084" s="55" t="s">
        <v>93</v>
      </c>
      <c r="E1084" s="59"/>
      <c r="F1084" s="60">
        <v>0.013888888888888888</v>
      </c>
      <c r="G1084" s="29"/>
      <c r="H1084" s="6"/>
      <c r="I1084" s="6"/>
      <c r="J1084" s="6"/>
      <c r="K1084" s="6"/>
      <c r="L1084" s="6"/>
      <c r="M1084" s="6"/>
      <c r="N1084" s="6"/>
      <c r="O1084" s="6"/>
      <c r="P1084" s="6"/>
      <c r="Q1084" s="6"/>
      <c r="R1084" s="6"/>
      <c r="S1084" s="6"/>
    </row>
    <row r="1085" ht="22.5" customHeight="1">
      <c r="A1085" s="49">
        <v>45995.0</v>
      </c>
      <c r="B1085" s="58" t="s">
        <v>206</v>
      </c>
      <c r="C1085" s="34" t="s">
        <v>216</v>
      </c>
      <c r="D1085" s="55" t="s">
        <v>226</v>
      </c>
      <c r="E1085" s="59" t="s">
        <v>215</v>
      </c>
      <c r="F1085" s="60">
        <v>0.041666666666666664</v>
      </c>
      <c r="G1085" s="29"/>
      <c r="H1085" s="6"/>
      <c r="I1085" s="6"/>
      <c r="J1085" s="6"/>
      <c r="K1085" s="6"/>
      <c r="L1085" s="6"/>
      <c r="M1085" s="6"/>
      <c r="N1085" s="6"/>
      <c r="O1085" s="6"/>
      <c r="P1085" s="6"/>
      <c r="Q1085" s="6"/>
      <c r="R1085" s="6"/>
      <c r="S1085" s="6"/>
    </row>
    <row r="1086" ht="22.5" hidden="1" customHeight="1">
      <c r="A1086" s="49">
        <v>45995.0</v>
      </c>
      <c r="B1086" s="58" t="s">
        <v>206</v>
      </c>
      <c r="C1086" s="34" t="s">
        <v>216</v>
      </c>
      <c r="D1086" s="55" t="s">
        <v>227</v>
      </c>
      <c r="E1086" s="59"/>
      <c r="F1086" s="60">
        <v>0.041666666666666664</v>
      </c>
      <c r="G1086" s="29"/>
      <c r="H1086" s="6"/>
      <c r="I1086" s="6"/>
      <c r="J1086" s="6"/>
      <c r="K1086" s="6"/>
      <c r="L1086" s="6"/>
      <c r="M1086" s="6"/>
      <c r="N1086" s="6"/>
      <c r="O1086" s="6"/>
      <c r="P1086" s="6"/>
      <c r="Q1086" s="6"/>
      <c r="R1086" s="6"/>
      <c r="S1086" s="6"/>
    </row>
    <row r="1087" ht="22.5" hidden="1" customHeight="1">
      <c r="A1087" s="49">
        <v>45996.0</v>
      </c>
      <c r="B1087" s="58" t="s">
        <v>206</v>
      </c>
      <c r="C1087" s="34" t="s">
        <v>216</v>
      </c>
      <c r="D1087" s="55" t="s">
        <v>93</v>
      </c>
      <c r="E1087" s="59"/>
      <c r="F1087" s="60">
        <v>0.013888888888888888</v>
      </c>
      <c r="G1087" s="29"/>
      <c r="H1087" s="6"/>
      <c r="I1087" s="6"/>
      <c r="J1087" s="6"/>
      <c r="K1087" s="6"/>
      <c r="L1087" s="6"/>
      <c r="M1087" s="6"/>
      <c r="N1087" s="6"/>
      <c r="O1087" s="6"/>
      <c r="P1087" s="6"/>
      <c r="Q1087" s="6"/>
      <c r="R1087" s="6"/>
      <c r="S1087" s="6"/>
    </row>
    <row r="1088" ht="22.5" customHeight="1">
      <c r="A1088" s="49">
        <v>45996.0</v>
      </c>
      <c r="B1088" s="58" t="s">
        <v>206</v>
      </c>
      <c r="C1088" s="34" t="s">
        <v>216</v>
      </c>
      <c r="D1088" s="55" t="s">
        <v>226</v>
      </c>
      <c r="E1088" s="59" t="s">
        <v>215</v>
      </c>
      <c r="F1088" s="60">
        <v>0.041666666666666664</v>
      </c>
      <c r="G1088" s="29"/>
      <c r="H1088" s="6"/>
      <c r="I1088" s="6"/>
      <c r="J1088" s="6"/>
      <c r="K1088" s="6"/>
      <c r="L1088" s="6"/>
      <c r="M1088" s="6"/>
      <c r="N1088" s="6"/>
      <c r="O1088" s="6"/>
      <c r="P1088" s="6"/>
      <c r="Q1088" s="6"/>
      <c r="R1088" s="6"/>
      <c r="S1088" s="6"/>
    </row>
    <row r="1089" ht="22.5" hidden="1" customHeight="1">
      <c r="A1089" s="49">
        <v>45997.0</v>
      </c>
      <c r="B1089" s="58" t="s">
        <v>206</v>
      </c>
      <c r="C1089" s="34" t="s">
        <v>216</v>
      </c>
      <c r="D1089" s="55" t="s">
        <v>93</v>
      </c>
      <c r="E1089" s="59"/>
      <c r="F1089" s="60">
        <v>0.013888888888888888</v>
      </c>
      <c r="G1089" s="29"/>
      <c r="H1089" s="6"/>
      <c r="I1089" s="6"/>
      <c r="J1089" s="6"/>
      <c r="K1089" s="6"/>
      <c r="L1089" s="6"/>
      <c r="M1089" s="6"/>
      <c r="N1089" s="6"/>
      <c r="O1089" s="6"/>
      <c r="P1089" s="6"/>
      <c r="Q1089" s="6"/>
      <c r="R1089" s="6"/>
      <c r="S1089" s="6"/>
    </row>
    <row r="1090" ht="22.5" customHeight="1">
      <c r="A1090" s="49">
        <v>45997.0</v>
      </c>
      <c r="B1090" s="58" t="s">
        <v>206</v>
      </c>
      <c r="C1090" s="34" t="s">
        <v>216</v>
      </c>
      <c r="D1090" s="55" t="s">
        <v>226</v>
      </c>
      <c r="E1090" s="59" t="s">
        <v>215</v>
      </c>
      <c r="F1090" s="60">
        <v>0.041666666666666664</v>
      </c>
      <c r="G1090" s="29"/>
      <c r="H1090" s="6"/>
      <c r="I1090" s="6"/>
      <c r="J1090" s="6"/>
      <c r="K1090" s="6"/>
      <c r="L1090" s="6"/>
      <c r="M1090" s="6"/>
      <c r="N1090" s="6"/>
      <c r="O1090" s="6"/>
      <c r="P1090" s="6"/>
      <c r="Q1090" s="6"/>
      <c r="R1090" s="6"/>
      <c r="S1090" s="6"/>
    </row>
    <row r="1091" ht="22.5" hidden="1" customHeight="1">
      <c r="A1091" s="49">
        <v>45998.0</v>
      </c>
      <c r="B1091" s="58" t="s">
        <v>206</v>
      </c>
      <c r="C1091" s="34" t="s">
        <v>216</v>
      </c>
      <c r="D1091" s="55" t="s">
        <v>93</v>
      </c>
      <c r="E1091" s="59"/>
      <c r="F1091" s="60">
        <v>0.013888888888888888</v>
      </c>
      <c r="G1091" s="29"/>
      <c r="H1091" s="6"/>
      <c r="I1091" s="6"/>
      <c r="J1091" s="6"/>
      <c r="K1091" s="6"/>
      <c r="L1091" s="6"/>
      <c r="M1091" s="6"/>
      <c r="N1091" s="6"/>
      <c r="O1091" s="6"/>
      <c r="P1091" s="6"/>
      <c r="Q1091" s="6"/>
      <c r="R1091" s="6"/>
      <c r="S1091" s="6"/>
    </row>
    <row r="1092" ht="22.5" customHeight="1">
      <c r="A1092" s="49">
        <v>45998.0</v>
      </c>
      <c r="B1092" s="58" t="s">
        <v>206</v>
      </c>
      <c r="C1092" s="34" t="s">
        <v>216</v>
      </c>
      <c r="D1092" s="55" t="s">
        <v>226</v>
      </c>
      <c r="E1092" s="59" t="s">
        <v>215</v>
      </c>
      <c r="F1092" s="60">
        <v>0.041666666666666664</v>
      </c>
      <c r="G1092" s="29"/>
      <c r="H1092" s="6"/>
      <c r="I1092" s="6"/>
      <c r="J1092" s="6"/>
      <c r="K1092" s="6"/>
      <c r="L1092" s="6"/>
      <c r="M1092" s="6"/>
      <c r="N1092" s="6"/>
      <c r="O1092" s="6"/>
      <c r="P1092" s="6"/>
      <c r="Q1092" s="6"/>
      <c r="R1092" s="6"/>
      <c r="S1092" s="6"/>
    </row>
    <row r="1093" ht="22.5" hidden="1" customHeight="1">
      <c r="A1093" s="49">
        <v>45999.0</v>
      </c>
      <c r="B1093" s="58" t="s">
        <v>206</v>
      </c>
      <c r="C1093" s="34" t="s">
        <v>216</v>
      </c>
      <c r="D1093" s="55" t="s">
        <v>93</v>
      </c>
      <c r="E1093" s="59"/>
      <c r="F1093" s="60">
        <v>0.013888888888888888</v>
      </c>
      <c r="G1093" s="29"/>
      <c r="H1093" s="6"/>
      <c r="I1093" s="6"/>
      <c r="J1093" s="6"/>
      <c r="K1093" s="6"/>
      <c r="L1093" s="6"/>
      <c r="M1093" s="6"/>
      <c r="N1093" s="6"/>
      <c r="O1093" s="6"/>
      <c r="P1093" s="6"/>
      <c r="Q1093" s="6"/>
      <c r="R1093" s="6"/>
      <c r="S1093" s="6"/>
    </row>
    <row r="1094" ht="22.5" customHeight="1">
      <c r="A1094" s="49">
        <v>45999.0</v>
      </c>
      <c r="B1094" s="58" t="s">
        <v>206</v>
      </c>
      <c r="C1094" s="34" t="s">
        <v>216</v>
      </c>
      <c r="D1094" s="55" t="s">
        <v>226</v>
      </c>
      <c r="E1094" s="59" t="s">
        <v>215</v>
      </c>
      <c r="F1094" s="60">
        <v>0.041666666666666664</v>
      </c>
      <c r="G1094" s="29"/>
      <c r="H1094" s="6"/>
      <c r="I1094" s="6"/>
      <c r="J1094" s="6"/>
      <c r="K1094" s="6"/>
      <c r="L1094" s="6"/>
      <c r="M1094" s="6"/>
      <c r="N1094" s="6"/>
      <c r="O1094" s="6"/>
      <c r="P1094" s="6"/>
      <c r="Q1094" s="6"/>
      <c r="R1094" s="6"/>
      <c r="S1094" s="6"/>
    </row>
    <row r="1095" ht="22.5" hidden="1" customHeight="1">
      <c r="A1095" s="49">
        <v>46000.0</v>
      </c>
      <c r="B1095" s="58" t="s">
        <v>206</v>
      </c>
      <c r="C1095" s="34" t="s">
        <v>216</v>
      </c>
      <c r="D1095" s="55" t="s">
        <v>93</v>
      </c>
      <c r="E1095" s="59"/>
      <c r="F1095" s="60">
        <v>0.013888888888888888</v>
      </c>
      <c r="G1095" s="29"/>
      <c r="H1095" s="6"/>
      <c r="I1095" s="6"/>
      <c r="J1095" s="6"/>
      <c r="K1095" s="6"/>
      <c r="L1095" s="6"/>
      <c r="M1095" s="6"/>
      <c r="N1095" s="6"/>
      <c r="O1095" s="6"/>
      <c r="P1095" s="6"/>
      <c r="Q1095" s="6"/>
      <c r="R1095" s="6"/>
      <c r="S1095" s="6"/>
    </row>
    <row r="1096" ht="22.5" customHeight="1">
      <c r="A1096" s="49">
        <v>46000.0</v>
      </c>
      <c r="B1096" s="58" t="s">
        <v>206</v>
      </c>
      <c r="C1096" s="34" t="s">
        <v>216</v>
      </c>
      <c r="D1096" s="55" t="s">
        <v>226</v>
      </c>
      <c r="E1096" s="59" t="s">
        <v>215</v>
      </c>
      <c r="F1096" s="60">
        <v>0.041666666666666664</v>
      </c>
      <c r="G1096" s="29"/>
      <c r="H1096" s="6"/>
      <c r="I1096" s="6"/>
      <c r="J1096" s="6"/>
      <c r="K1096" s="6"/>
      <c r="L1096" s="6"/>
      <c r="M1096" s="6"/>
      <c r="N1096" s="6"/>
      <c r="O1096" s="6"/>
      <c r="P1096" s="6"/>
      <c r="Q1096" s="6"/>
      <c r="R1096" s="6"/>
      <c r="S1096" s="6"/>
    </row>
    <row r="1097" ht="22.5" hidden="1" customHeight="1">
      <c r="A1097" s="49">
        <v>46001.0</v>
      </c>
      <c r="B1097" s="58" t="s">
        <v>206</v>
      </c>
      <c r="C1097" s="34" t="s">
        <v>216</v>
      </c>
      <c r="D1097" s="55" t="s">
        <v>93</v>
      </c>
      <c r="E1097" s="59"/>
      <c r="F1097" s="60">
        <v>0.013888888888888888</v>
      </c>
      <c r="G1097" s="29"/>
      <c r="H1097" s="6"/>
      <c r="I1097" s="6"/>
      <c r="J1097" s="6"/>
      <c r="K1097" s="6"/>
      <c r="L1097" s="6"/>
      <c r="M1097" s="6"/>
      <c r="N1097" s="6"/>
      <c r="O1097" s="6"/>
      <c r="P1097" s="6"/>
      <c r="Q1097" s="6"/>
      <c r="R1097" s="6"/>
      <c r="S1097" s="6"/>
    </row>
    <row r="1098" ht="22.5" customHeight="1">
      <c r="A1098" s="49">
        <v>46001.0</v>
      </c>
      <c r="B1098" s="58" t="s">
        <v>206</v>
      </c>
      <c r="C1098" s="34" t="s">
        <v>216</v>
      </c>
      <c r="D1098" s="55" t="s">
        <v>226</v>
      </c>
      <c r="E1098" s="59" t="s">
        <v>215</v>
      </c>
      <c r="F1098" s="60">
        <v>0.041666666666666664</v>
      </c>
      <c r="G1098" s="29"/>
      <c r="H1098" s="6"/>
      <c r="I1098" s="6"/>
      <c r="J1098" s="6"/>
      <c r="K1098" s="6"/>
      <c r="L1098" s="6"/>
      <c r="M1098" s="6"/>
      <c r="N1098" s="6"/>
      <c r="O1098" s="6"/>
      <c r="P1098" s="6"/>
      <c r="Q1098" s="6"/>
      <c r="R1098" s="6"/>
      <c r="S1098" s="6"/>
    </row>
    <row r="1099" ht="22.5" hidden="1" customHeight="1">
      <c r="A1099" s="49">
        <v>46002.0</v>
      </c>
      <c r="B1099" s="58" t="s">
        <v>206</v>
      </c>
      <c r="C1099" s="34" t="s">
        <v>216</v>
      </c>
      <c r="D1099" s="55" t="s">
        <v>93</v>
      </c>
      <c r="E1099" s="59"/>
      <c r="F1099" s="60">
        <v>0.013888888888888888</v>
      </c>
      <c r="G1099" s="29"/>
      <c r="H1099" s="6"/>
      <c r="I1099" s="6"/>
      <c r="J1099" s="6"/>
      <c r="K1099" s="6"/>
      <c r="L1099" s="6"/>
      <c r="M1099" s="6"/>
      <c r="N1099" s="6"/>
      <c r="O1099" s="6"/>
      <c r="P1099" s="6"/>
      <c r="Q1099" s="6"/>
      <c r="R1099" s="6"/>
      <c r="S1099" s="6"/>
    </row>
    <row r="1100" ht="22.5" customHeight="1">
      <c r="A1100" s="49">
        <v>46002.0</v>
      </c>
      <c r="B1100" s="58" t="s">
        <v>206</v>
      </c>
      <c r="C1100" s="34" t="s">
        <v>216</v>
      </c>
      <c r="D1100" s="55" t="s">
        <v>226</v>
      </c>
      <c r="E1100" s="59" t="s">
        <v>215</v>
      </c>
      <c r="F1100" s="60">
        <v>0.041666666666666664</v>
      </c>
      <c r="G1100" s="29"/>
      <c r="H1100" s="6"/>
      <c r="I1100" s="6"/>
      <c r="J1100" s="6"/>
      <c r="K1100" s="6"/>
      <c r="L1100" s="6"/>
      <c r="M1100" s="6"/>
      <c r="N1100" s="6"/>
      <c r="O1100" s="6"/>
      <c r="P1100" s="6"/>
      <c r="Q1100" s="6"/>
      <c r="R1100" s="6"/>
      <c r="S1100" s="6"/>
    </row>
    <row r="1101" ht="22.5" hidden="1" customHeight="1">
      <c r="A1101" s="49">
        <v>46002.0</v>
      </c>
      <c r="B1101" s="58" t="s">
        <v>206</v>
      </c>
      <c r="C1101" s="34" t="s">
        <v>216</v>
      </c>
      <c r="D1101" s="55" t="s">
        <v>227</v>
      </c>
      <c r="E1101" s="59"/>
      <c r="F1101" s="60">
        <v>0.041666666666666664</v>
      </c>
      <c r="G1101" s="29"/>
      <c r="H1101" s="6"/>
      <c r="I1101" s="6"/>
      <c r="J1101" s="6"/>
      <c r="K1101" s="6"/>
      <c r="L1101" s="6"/>
      <c r="M1101" s="6"/>
      <c r="N1101" s="6"/>
      <c r="O1101" s="6"/>
      <c r="P1101" s="6"/>
      <c r="Q1101" s="6"/>
      <c r="R1101" s="6"/>
      <c r="S1101" s="6"/>
    </row>
    <row r="1102" ht="22.5" hidden="1" customHeight="1">
      <c r="A1102" s="49">
        <v>46003.0</v>
      </c>
      <c r="B1102" s="58" t="s">
        <v>206</v>
      </c>
      <c r="C1102" s="34" t="s">
        <v>216</v>
      </c>
      <c r="D1102" s="55" t="s">
        <v>93</v>
      </c>
      <c r="E1102" s="59"/>
      <c r="F1102" s="60">
        <v>0.013888888888888888</v>
      </c>
      <c r="G1102" s="29"/>
      <c r="H1102" s="6"/>
      <c r="I1102" s="6"/>
      <c r="J1102" s="6"/>
      <c r="K1102" s="6"/>
      <c r="L1102" s="6"/>
      <c r="M1102" s="6"/>
      <c r="N1102" s="6"/>
      <c r="O1102" s="6"/>
      <c r="P1102" s="6"/>
      <c r="Q1102" s="6"/>
      <c r="R1102" s="6"/>
      <c r="S1102" s="6"/>
    </row>
    <row r="1103" ht="22.5" customHeight="1">
      <c r="A1103" s="49">
        <v>46003.0</v>
      </c>
      <c r="B1103" s="58" t="s">
        <v>206</v>
      </c>
      <c r="C1103" s="34" t="s">
        <v>216</v>
      </c>
      <c r="D1103" s="55" t="s">
        <v>226</v>
      </c>
      <c r="E1103" s="59" t="s">
        <v>215</v>
      </c>
      <c r="F1103" s="60">
        <v>0.041666666666666664</v>
      </c>
      <c r="G1103" s="29"/>
      <c r="H1103" s="6"/>
      <c r="I1103" s="6"/>
      <c r="J1103" s="6"/>
      <c r="K1103" s="6"/>
      <c r="L1103" s="6"/>
      <c r="M1103" s="6"/>
      <c r="N1103" s="6"/>
      <c r="O1103" s="6"/>
      <c r="P1103" s="6"/>
      <c r="Q1103" s="6"/>
      <c r="R1103" s="6"/>
      <c r="S1103" s="6"/>
    </row>
    <row r="1104" ht="22.5" hidden="1" customHeight="1">
      <c r="A1104" s="49">
        <v>46004.0</v>
      </c>
      <c r="B1104" s="58" t="s">
        <v>206</v>
      </c>
      <c r="C1104" s="34" t="s">
        <v>216</v>
      </c>
      <c r="D1104" s="55" t="s">
        <v>93</v>
      </c>
      <c r="E1104" s="59"/>
      <c r="F1104" s="60">
        <v>0.013888888888888888</v>
      </c>
      <c r="G1104" s="29"/>
      <c r="H1104" s="6"/>
      <c r="I1104" s="6"/>
      <c r="J1104" s="6"/>
      <c r="K1104" s="6"/>
      <c r="L1104" s="6"/>
      <c r="M1104" s="6"/>
      <c r="N1104" s="6"/>
      <c r="O1104" s="6"/>
      <c r="P1104" s="6"/>
      <c r="Q1104" s="6"/>
      <c r="R1104" s="6"/>
      <c r="S1104" s="6"/>
    </row>
    <row r="1105" ht="22.5" customHeight="1">
      <c r="A1105" s="49">
        <v>46004.0</v>
      </c>
      <c r="B1105" s="58" t="s">
        <v>206</v>
      </c>
      <c r="C1105" s="34" t="s">
        <v>216</v>
      </c>
      <c r="D1105" s="55" t="s">
        <v>226</v>
      </c>
      <c r="E1105" s="59" t="s">
        <v>215</v>
      </c>
      <c r="F1105" s="60">
        <v>0.041666666666666664</v>
      </c>
      <c r="G1105" s="29"/>
      <c r="H1105" s="6"/>
      <c r="I1105" s="6"/>
      <c r="J1105" s="6"/>
      <c r="K1105" s="6"/>
      <c r="L1105" s="6"/>
      <c r="M1105" s="6"/>
      <c r="N1105" s="6"/>
      <c r="O1105" s="6"/>
      <c r="P1105" s="6"/>
      <c r="Q1105" s="6"/>
      <c r="R1105" s="6"/>
      <c r="S1105" s="6"/>
    </row>
    <row r="1106" ht="22.5" hidden="1" customHeight="1">
      <c r="A1106" s="49">
        <v>46005.0</v>
      </c>
      <c r="B1106" s="58" t="s">
        <v>206</v>
      </c>
      <c r="C1106" s="34" t="s">
        <v>216</v>
      </c>
      <c r="D1106" s="55" t="s">
        <v>93</v>
      </c>
      <c r="E1106" s="59"/>
      <c r="F1106" s="60">
        <v>0.013888888888888888</v>
      </c>
      <c r="G1106" s="29"/>
      <c r="H1106" s="6"/>
      <c r="I1106" s="6"/>
      <c r="J1106" s="6"/>
      <c r="K1106" s="6"/>
      <c r="L1106" s="6"/>
      <c r="M1106" s="6"/>
      <c r="N1106" s="6"/>
      <c r="O1106" s="6"/>
      <c r="P1106" s="6"/>
      <c r="Q1106" s="6"/>
      <c r="R1106" s="6"/>
      <c r="S1106" s="6"/>
    </row>
    <row r="1107" ht="22.5" customHeight="1">
      <c r="A1107" s="49">
        <v>46005.0</v>
      </c>
      <c r="B1107" s="58" t="s">
        <v>206</v>
      </c>
      <c r="C1107" s="34" t="s">
        <v>216</v>
      </c>
      <c r="D1107" s="55" t="s">
        <v>226</v>
      </c>
      <c r="E1107" s="59" t="s">
        <v>215</v>
      </c>
      <c r="F1107" s="60">
        <v>0.041666666666666664</v>
      </c>
      <c r="G1107" s="29"/>
      <c r="H1107" s="6"/>
      <c r="I1107" s="6"/>
      <c r="J1107" s="6"/>
      <c r="K1107" s="6"/>
      <c r="L1107" s="6"/>
      <c r="M1107" s="6"/>
      <c r="N1107" s="6"/>
      <c r="O1107" s="6"/>
      <c r="P1107" s="6"/>
      <c r="Q1107" s="6"/>
      <c r="R1107" s="6"/>
      <c r="S1107" s="6"/>
    </row>
    <row r="1108" ht="22.5" hidden="1" customHeight="1">
      <c r="A1108" s="49">
        <v>46006.0</v>
      </c>
      <c r="B1108" s="58" t="s">
        <v>206</v>
      </c>
      <c r="C1108" s="34" t="s">
        <v>216</v>
      </c>
      <c r="D1108" s="55" t="s">
        <v>93</v>
      </c>
      <c r="E1108" s="59"/>
      <c r="F1108" s="60">
        <v>0.013888888888888888</v>
      </c>
      <c r="G1108" s="29"/>
      <c r="H1108" s="6"/>
      <c r="I1108" s="6"/>
      <c r="J1108" s="6"/>
      <c r="K1108" s="6"/>
      <c r="L1108" s="6"/>
      <c r="M1108" s="6"/>
      <c r="N1108" s="6"/>
      <c r="O1108" s="6"/>
      <c r="P1108" s="6"/>
      <c r="Q1108" s="6"/>
      <c r="R1108" s="6"/>
      <c r="S1108" s="6"/>
    </row>
    <row r="1109" ht="22.5" customHeight="1">
      <c r="A1109" s="49">
        <v>46006.0</v>
      </c>
      <c r="B1109" s="58" t="s">
        <v>206</v>
      </c>
      <c r="C1109" s="34" t="s">
        <v>216</v>
      </c>
      <c r="D1109" s="55" t="s">
        <v>226</v>
      </c>
      <c r="E1109" s="59" t="s">
        <v>215</v>
      </c>
      <c r="F1109" s="60">
        <v>0.041666666666666664</v>
      </c>
      <c r="G1109" s="29"/>
      <c r="H1109" s="6"/>
      <c r="I1109" s="6"/>
      <c r="J1109" s="6"/>
      <c r="K1109" s="6"/>
      <c r="L1109" s="6"/>
      <c r="M1109" s="6"/>
      <c r="N1109" s="6"/>
      <c r="O1109" s="6"/>
      <c r="P1109" s="6"/>
      <c r="Q1109" s="6"/>
      <c r="R1109" s="6"/>
      <c r="S1109" s="6"/>
    </row>
    <row r="1110" ht="22.5" hidden="1" customHeight="1">
      <c r="A1110" s="49">
        <v>46007.0</v>
      </c>
      <c r="B1110" s="58" t="s">
        <v>206</v>
      </c>
      <c r="C1110" s="34" t="s">
        <v>216</v>
      </c>
      <c r="D1110" s="55" t="s">
        <v>93</v>
      </c>
      <c r="E1110" s="59"/>
      <c r="F1110" s="60">
        <v>0.013888888888888888</v>
      </c>
      <c r="G1110" s="29"/>
      <c r="H1110" s="6"/>
      <c r="I1110" s="6"/>
      <c r="J1110" s="6"/>
      <c r="K1110" s="6"/>
      <c r="L1110" s="6"/>
      <c r="M1110" s="6"/>
      <c r="N1110" s="6"/>
      <c r="O1110" s="6"/>
      <c r="P1110" s="6"/>
      <c r="Q1110" s="6"/>
      <c r="R1110" s="6"/>
      <c r="S1110" s="6"/>
    </row>
    <row r="1111" ht="22.5" customHeight="1">
      <c r="A1111" s="49">
        <v>46007.0</v>
      </c>
      <c r="B1111" s="58" t="s">
        <v>206</v>
      </c>
      <c r="C1111" s="34" t="s">
        <v>216</v>
      </c>
      <c r="D1111" s="55" t="s">
        <v>226</v>
      </c>
      <c r="E1111" s="59" t="s">
        <v>215</v>
      </c>
      <c r="F1111" s="60">
        <v>0.041666666666666664</v>
      </c>
      <c r="G1111" s="29"/>
      <c r="H1111" s="6"/>
      <c r="I1111" s="6"/>
      <c r="J1111" s="6"/>
      <c r="K1111" s="6"/>
      <c r="L1111" s="6"/>
      <c r="M1111" s="6"/>
      <c r="N1111" s="6"/>
      <c r="O1111" s="6"/>
      <c r="P1111" s="6"/>
      <c r="Q1111" s="6"/>
      <c r="R1111" s="6"/>
      <c r="S1111" s="6"/>
    </row>
    <row r="1112" ht="22.5" hidden="1" customHeight="1">
      <c r="A1112" s="49">
        <v>46008.0</v>
      </c>
      <c r="B1112" s="58" t="s">
        <v>206</v>
      </c>
      <c r="C1112" s="34" t="s">
        <v>216</v>
      </c>
      <c r="D1112" s="55" t="s">
        <v>93</v>
      </c>
      <c r="E1112" s="59"/>
      <c r="F1112" s="60">
        <v>0.013888888888888888</v>
      </c>
      <c r="G1112" s="29"/>
      <c r="H1112" s="6"/>
      <c r="I1112" s="6"/>
      <c r="J1112" s="6"/>
      <c r="K1112" s="6"/>
      <c r="L1112" s="6"/>
      <c r="M1112" s="6"/>
      <c r="N1112" s="6"/>
      <c r="O1112" s="6"/>
      <c r="P1112" s="6"/>
      <c r="Q1112" s="6"/>
      <c r="R1112" s="6"/>
      <c r="S1112" s="6"/>
    </row>
    <row r="1113" ht="22.5" customHeight="1">
      <c r="A1113" s="49">
        <v>46008.0</v>
      </c>
      <c r="B1113" s="58" t="s">
        <v>206</v>
      </c>
      <c r="C1113" s="34" t="s">
        <v>216</v>
      </c>
      <c r="D1113" s="55" t="s">
        <v>226</v>
      </c>
      <c r="E1113" s="59" t="s">
        <v>215</v>
      </c>
      <c r="F1113" s="60">
        <v>0.041666666666666664</v>
      </c>
      <c r="G1113" s="29"/>
      <c r="H1113" s="6"/>
      <c r="I1113" s="6"/>
      <c r="J1113" s="6"/>
      <c r="K1113" s="6"/>
      <c r="L1113" s="6"/>
      <c r="M1113" s="6"/>
      <c r="N1113" s="6"/>
      <c r="O1113" s="6"/>
      <c r="P1113" s="6"/>
      <c r="Q1113" s="6"/>
      <c r="R1113" s="6"/>
      <c r="S1113" s="6"/>
    </row>
    <row r="1114" ht="22.5" hidden="1" customHeight="1">
      <c r="A1114" s="49">
        <v>46009.0</v>
      </c>
      <c r="B1114" s="58" t="s">
        <v>206</v>
      </c>
      <c r="C1114" s="34" t="s">
        <v>216</v>
      </c>
      <c r="D1114" s="55" t="s">
        <v>93</v>
      </c>
      <c r="E1114" s="59"/>
      <c r="F1114" s="60">
        <v>0.013888888888888888</v>
      </c>
      <c r="G1114" s="29"/>
      <c r="H1114" s="6"/>
      <c r="I1114" s="6"/>
      <c r="J1114" s="6"/>
      <c r="K1114" s="6"/>
      <c r="L1114" s="6"/>
      <c r="M1114" s="6"/>
      <c r="N1114" s="6"/>
      <c r="O1114" s="6"/>
      <c r="P1114" s="6"/>
      <c r="Q1114" s="6"/>
      <c r="R1114" s="6"/>
      <c r="S1114" s="6"/>
    </row>
    <row r="1115" ht="22.5" customHeight="1">
      <c r="A1115" s="49">
        <v>46009.0</v>
      </c>
      <c r="B1115" s="58" t="s">
        <v>206</v>
      </c>
      <c r="C1115" s="34" t="s">
        <v>216</v>
      </c>
      <c r="D1115" s="55" t="s">
        <v>226</v>
      </c>
      <c r="E1115" s="59" t="s">
        <v>215</v>
      </c>
      <c r="F1115" s="60">
        <v>0.041666666666666664</v>
      </c>
      <c r="G1115" s="29"/>
      <c r="H1115" s="6"/>
      <c r="I1115" s="6"/>
      <c r="J1115" s="6"/>
      <c r="K1115" s="6"/>
      <c r="L1115" s="6"/>
      <c r="M1115" s="6"/>
      <c r="N1115" s="6"/>
      <c r="O1115" s="6"/>
      <c r="P1115" s="6"/>
      <c r="Q1115" s="6"/>
      <c r="R1115" s="6"/>
      <c r="S1115" s="6"/>
    </row>
    <row r="1116" ht="22.5" hidden="1" customHeight="1">
      <c r="A1116" s="49">
        <v>46009.0</v>
      </c>
      <c r="B1116" s="58" t="s">
        <v>206</v>
      </c>
      <c r="C1116" s="34" t="s">
        <v>216</v>
      </c>
      <c r="D1116" s="55" t="s">
        <v>220</v>
      </c>
      <c r="E1116" s="59"/>
      <c r="F1116" s="60">
        <v>0.01888888888888889</v>
      </c>
      <c r="G1116" s="29"/>
      <c r="H1116" s="6"/>
      <c r="I1116" s="6"/>
      <c r="J1116" s="6"/>
      <c r="K1116" s="6"/>
      <c r="L1116" s="6"/>
      <c r="M1116" s="6"/>
      <c r="N1116" s="6"/>
      <c r="O1116" s="6"/>
      <c r="P1116" s="6"/>
      <c r="Q1116" s="6"/>
      <c r="R1116" s="6"/>
      <c r="S1116" s="6"/>
    </row>
    <row r="1117" ht="22.5" hidden="1" customHeight="1">
      <c r="A1117" s="49">
        <v>46010.0</v>
      </c>
      <c r="B1117" s="58" t="s">
        <v>206</v>
      </c>
      <c r="C1117" s="34" t="s">
        <v>216</v>
      </c>
      <c r="D1117" s="55" t="s">
        <v>93</v>
      </c>
      <c r="E1117" s="59"/>
      <c r="F1117" s="60">
        <v>0.013888888888888888</v>
      </c>
      <c r="G1117" s="29"/>
      <c r="H1117" s="6"/>
      <c r="I1117" s="6"/>
      <c r="J1117" s="6"/>
      <c r="K1117" s="6"/>
      <c r="L1117" s="6"/>
      <c r="M1117" s="6"/>
      <c r="N1117" s="6"/>
      <c r="O1117" s="6"/>
      <c r="P1117" s="6"/>
      <c r="Q1117" s="6"/>
      <c r="R1117" s="6"/>
      <c r="S1117" s="6"/>
    </row>
    <row r="1118" ht="22.5" customHeight="1">
      <c r="A1118" s="49">
        <v>46010.0</v>
      </c>
      <c r="B1118" s="58" t="s">
        <v>206</v>
      </c>
      <c r="C1118" s="34" t="s">
        <v>216</v>
      </c>
      <c r="D1118" s="55" t="s">
        <v>226</v>
      </c>
      <c r="E1118" s="59" t="s">
        <v>215</v>
      </c>
      <c r="F1118" s="60">
        <v>0.041666666666666664</v>
      </c>
      <c r="G1118" s="29"/>
      <c r="H1118" s="6"/>
      <c r="I1118" s="6"/>
      <c r="J1118" s="6"/>
      <c r="K1118" s="6"/>
      <c r="L1118" s="6"/>
      <c r="M1118" s="6"/>
      <c r="N1118" s="6"/>
      <c r="O1118" s="6"/>
      <c r="P1118" s="6"/>
      <c r="Q1118" s="6"/>
      <c r="R1118" s="6"/>
      <c r="S1118" s="6"/>
    </row>
    <row r="1119" ht="22.5" hidden="1" customHeight="1">
      <c r="A1119" s="49">
        <v>46011.0</v>
      </c>
      <c r="B1119" s="58" t="s">
        <v>206</v>
      </c>
      <c r="C1119" s="34" t="s">
        <v>216</v>
      </c>
      <c r="D1119" s="55" t="s">
        <v>93</v>
      </c>
      <c r="E1119" s="59"/>
      <c r="F1119" s="60">
        <v>0.013888888888888888</v>
      </c>
      <c r="G1119" s="29"/>
      <c r="H1119" s="6"/>
      <c r="I1119" s="6"/>
      <c r="J1119" s="6"/>
      <c r="K1119" s="6"/>
      <c r="L1119" s="6"/>
      <c r="M1119" s="6"/>
      <c r="N1119" s="6"/>
      <c r="O1119" s="6"/>
      <c r="P1119" s="6"/>
      <c r="Q1119" s="6"/>
      <c r="R1119" s="6"/>
      <c r="S1119" s="6"/>
    </row>
    <row r="1120" ht="22.5" customHeight="1">
      <c r="A1120" s="49">
        <v>46011.0</v>
      </c>
      <c r="B1120" s="58" t="s">
        <v>206</v>
      </c>
      <c r="C1120" s="34" t="s">
        <v>216</v>
      </c>
      <c r="D1120" s="55" t="s">
        <v>226</v>
      </c>
      <c r="E1120" s="59" t="s">
        <v>215</v>
      </c>
      <c r="F1120" s="60">
        <v>0.041666666666666664</v>
      </c>
      <c r="G1120" s="29"/>
      <c r="H1120" s="6"/>
      <c r="I1120" s="6"/>
      <c r="J1120" s="6"/>
      <c r="K1120" s="6"/>
      <c r="L1120" s="6"/>
      <c r="M1120" s="6"/>
      <c r="N1120" s="6"/>
      <c r="O1120" s="6"/>
      <c r="P1120" s="6"/>
      <c r="Q1120" s="6"/>
      <c r="R1120" s="6"/>
      <c r="S1120" s="6"/>
    </row>
    <row r="1121" ht="22.5" hidden="1" customHeight="1">
      <c r="A1121" s="49">
        <v>46012.0</v>
      </c>
      <c r="B1121" s="58" t="s">
        <v>206</v>
      </c>
      <c r="C1121" s="34" t="s">
        <v>216</v>
      </c>
      <c r="D1121" s="55" t="s">
        <v>93</v>
      </c>
      <c r="E1121" s="59"/>
      <c r="F1121" s="60">
        <v>0.013888888888888888</v>
      </c>
      <c r="G1121" s="29"/>
      <c r="H1121" s="6"/>
      <c r="I1121" s="6"/>
      <c r="J1121" s="6"/>
      <c r="K1121" s="6"/>
      <c r="L1121" s="6"/>
      <c r="M1121" s="6"/>
      <c r="N1121" s="6"/>
      <c r="O1121" s="6"/>
      <c r="P1121" s="6"/>
      <c r="Q1121" s="6"/>
      <c r="R1121" s="6"/>
      <c r="S1121" s="6"/>
    </row>
    <row r="1122" ht="22.5" customHeight="1">
      <c r="A1122" s="49">
        <v>46012.0</v>
      </c>
      <c r="B1122" s="58" t="s">
        <v>206</v>
      </c>
      <c r="C1122" s="34" t="s">
        <v>216</v>
      </c>
      <c r="D1122" s="55" t="s">
        <v>226</v>
      </c>
      <c r="E1122" s="59" t="s">
        <v>215</v>
      </c>
      <c r="F1122" s="60">
        <v>0.041666666666666664</v>
      </c>
      <c r="G1122" s="29"/>
      <c r="H1122" s="6"/>
      <c r="I1122" s="6"/>
      <c r="J1122" s="6"/>
      <c r="K1122" s="6"/>
      <c r="L1122" s="6"/>
      <c r="M1122" s="6"/>
      <c r="N1122" s="6"/>
      <c r="O1122" s="6"/>
      <c r="P1122" s="6"/>
      <c r="Q1122" s="6"/>
      <c r="R1122" s="6"/>
      <c r="S1122" s="6"/>
    </row>
    <row r="1123" ht="22.5" hidden="1" customHeight="1">
      <c r="A1123" s="49">
        <v>46013.0</v>
      </c>
      <c r="B1123" s="58" t="s">
        <v>206</v>
      </c>
      <c r="C1123" s="34" t="s">
        <v>216</v>
      </c>
      <c r="D1123" s="55" t="s">
        <v>93</v>
      </c>
      <c r="E1123" s="59"/>
      <c r="F1123" s="60">
        <v>0.013888888888888888</v>
      </c>
      <c r="G1123" s="29"/>
      <c r="H1123" s="6"/>
      <c r="I1123" s="6"/>
      <c r="J1123" s="6"/>
      <c r="K1123" s="6"/>
      <c r="L1123" s="6"/>
      <c r="M1123" s="6"/>
      <c r="N1123" s="6"/>
      <c r="O1123" s="6"/>
      <c r="P1123" s="6"/>
      <c r="Q1123" s="6"/>
      <c r="R1123" s="6"/>
      <c r="S1123" s="6"/>
    </row>
    <row r="1124" ht="22.5" customHeight="1">
      <c r="A1124" s="49">
        <v>46013.0</v>
      </c>
      <c r="B1124" s="58" t="s">
        <v>206</v>
      </c>
      <c r="C1124" s="34" t="s">
        <v>216</v>
      </c>
      <c r="D1124" s="55" t="s">
        <v>226</v>
      </c>
      <c r="E1124" s="59" t="s">
        <v>215</v>
      </c>
      <c r="F1124" s="60">
        <v>0.041666666666666664</v>
      </c>
      <c r="G1124" s="29"/>
      <c r="H1124" s="6"/>
      <c r="I1124" s="6"/>
      <c r="J1124" s="6"/>
      <c r="K1124" s="6"/>
      <c r="L1124" s="6"/>
      <c r="M1124" s="6"/>
      <c r="N1124" s="6"/>
      <c r="O1124" s="6"/>
      <c r="P1124" s="6"/>
      <c r="Q1124" s="6"/>
      <c r="R1124" s="6"/>
      <c r="S1124" s="6"/>
    </row>
    <row r="1125" ht="22.5" hidden="1" customHeight="1">
      <c r="A1125" s="49">
        <v>46014.0</v>
      </c>
      <c r="B1125" s="58" t="s">
        <v>206</v>
      </c>
      <c r="C1125" s="34" t="s">
        <v>216</v>
      </c>
      <c r="D1125" s="55" t="s">
        <v>93</v>
      </c>
      <c r="E1125" s="59"/>
      <c r="F1125" s="60">
        <v>0.013888888888888888</v>
      </c>
      <c r="G1125" s="29"/>
      <c r="H1125" s="6"/>
      <c r="I1125" s="6"/>
      <c r="J1125" s="6"/>
      <c r="K1125" s="6"/>
      <c r="L1125" s="6"/>
      <c r="M1125" s="6"/>
      <c r="N1125" s="6"/>
      <c r="O1125" s="6"/>
      <c r="P1125" s="6"/>
      <c r="Q1125" s="6"/>
      <c r="R1125" s="6"/>
      <c r="S1125" s="6"/>
    </row>
    <row r="1126" ht="22.5" customHeight="1">
      <c r="A1126" s="49">
        <v>46014.0</v>
      </c>
      <c r="B1126" s="58" t="s">
        <v>206</v>
      </c>
      <c r="C1126" s="34" t="s">
        <v>216</v>
      </c>
      <c r="D1126" s="55" t="s">
        <v>226</v>
      </c>
      <c r="E1126" s="59" t="s">
        <v>215</v>
      </c>
      <c r="F1126" s="60">
        <v>0.041666666666666664</v>
      </c>
      <c r="G1126" s="29"/>
      <c r="H1126" s="6"/>
      <c r="I1126" s="6"/>
      <c r="J1126" s="6"/>
      <c r="K1126" s="6"/>
      <c r="L1126" s="6"/>
      <c r="M1126" s="6"/>
      <c r="N1126" s="6"/>
      <c r="O1126" s="6"/>
      <c r="P1126" s="6"/>
      <c r="Q1126" s="6"/>
      <c r="R1126" s="6"/>
      <c r="S1126" s="6"/>
    </row>
    <row r="1127" ht="22.5" hidden="1" customHeight="1">
      <c r="A1127" s="49">
        <v>46015.0</v>
      </c>
      <c r="B1127" s="58" t="s">
        <v>206</v>
      </c>
      <c r="C1127" s="34" t="s">
        <v>216</v>
      </c>
      <c r="D1127" s="55" t="s">
        <v>93</v>
      </c>
      <c r="E1127" s="59"/>
      <c r="F1127" s="60">
        <v>0.013888888888888888</v>
      </c>
      <c r="G1127" s="29"/>
      <c r="H1127" s="6"/>
      <c r="I1127" s="6"/>
      <c r="J1127" s="6"/>
      <c r="K1127" s="6"/>
      <c r="L1127" s="6"/>
      <c r="M1127" s="6"/>
      <c r="N1127" s="6"/>
      <c r="O1127" s="6"/>
      <c r="P1127" s="6"/>
      <c r="Q1127" s="6"/>
      <c r="R1127" s="6"/>
      <c r="S1127" s="6"/>
    </row>
    <row r="1128" ht="22.5" customHeight="1">
      <c r="A1128" s="49">
        <v>46015.0</v>
      </c>
      <c r="B1128" s="58" t="s">
        <v>206</v>
      </c>
      <c r="C1128" s="34" t="s">
        <v>216</v>
      </c>
      <c r="D1128" s="55" t="s">
        <v>226</v>
      </c>
      <c r="E1128" s="59" t="s">
        <v>215</v>
      </c>
      <c r="F1128" s="60">
        <v>0.041666666666666664</v>
      </c>
      <c r="G1128" s="29"/>
      <c r="H1128" s="6"/>
      <c r="I1128" s="6"/>
      <c r="J1128" s="6"/>
      <c r="K1128" s="6"/>
      <c r="L1128" s="6"/>
      <c r="M1128" s="6"/>
      <c r="N1128" s="6"/>
      <c r="O1128" s="6"/>
      <c r="P1128" s="6"/>
      <c r="Q1128" s="6"/>
      <c r="R1128" s="6"/>
      <c r="S1128" s="6"/>
    </row>
    <row r="1129" ht="22.5" hidden="1" customHeight="1">
      <c r="A1129" s="49">
        <v>46016.0</v>
      </c>
      <c r="B1129" s="58" t="s">
        <v>206</v>
      </c>
      <c r="C1129" s="34" t="s">
        <v>216</v>
      </c>
      <c r="D1129" s="55" t="s">
        <v>93</v>
      </c>
      <c r="E1129" s="59"/>
      <c r="F1129" s="60">
        <v>0.013888888888888888</v>
      </c>
      <c r="G1129" s="29"/>
      <c r="H1129" s="6"/>
      <c r="I1129" s="6"/>
      <c r="J1129" s="6"/>
      <c r="K1129" s="6"/>
      <c r="L1129" s="6"/>
      <c r="M1129" s="6"/>
      <c r="N1129" s="6"/>
      <c r="O1129" s="6"/>
      <c r="P1129" s="6"/>
      <c r="Q1129" s="6"/>
      <c r="R1129" s="6"/>
      <c r="S1129" s="6"/>
    </row>
    <row r="1130" ht="22.5" customHeight="1">
      <c r="A1130" s="49">
        <v>46016.0</v>
      </c>
      <c r="B1130" s="58" t="s">
        <v>206</v>
      </c>
      <c r="C1130" s="34" t="s">
        <v>216</v>
      </c>
      <c r="D1130" s="55" t="s">
        <v>226</v>
      </c>
      <c r="E1130" s="59" t="s">
        <v>215</v>
      </c>
      <c r="F1130" s="60">
        <v>0.041666666666666664</v>
      </c>
      <c r="G1130" s="29"/>
      <c r="H1130" s="6"/>
      <c r="I1130" s="6"/>
      <c r="J1130" s="6"/>
      <c r="K1130" s="6"/>
      <c r="L1130" s="6"/>
      <c r="M1130" s="6"/>
      <c r="N1130" s="6"/>
      <c r="O1130" s="6"/>
      <c r="P1130" s="6"/>
      <c r="Q1130" s="6"/>
      <c r="R1130" s="6"/>
      <c r="S1130" s="6"/>
    </row>
    <row r="1131" ht="22.5" hidden="1" customHeight="1">
      <c r="A1131" s="49">
        <v>46017.0</v>
      </c>
      <c r="B1131" s="58" t="s">
        <v>206</v>
      </c>
      <c r="C1131" s="34" t="s">
        <v>216</v>
      </c>
      <c r="D1131" s="55" t="s">
        <v>93</v>
      </c>
      <c r="E1131" s="59"/>
      <c r="F1131" s="60">
        <v>0.013888888888888888</v>
      </c>
      <c r="G1131" s="29"/>
      <c r="H1131" s="6"/>
      <c r="I1131" s="6"/>
      <c r="J1131" s="6"/>
      <c r="K1131" s="6"/>
      <c r="L1131" s="6"/>
      <c r="M1131" s="6"/>
      <c r="N1131" s="6"/>
      <c r="O1131" s="6"/>
      <c r="P1131" s="6"/>
      <c r="Q1131" s="6"/>
      <c r="R1131" s="6"/>
      <c r="S1131" s="6"/>
    </row>
    <row r="1132" ht="22.5" customHeight="1">
      <c r="A1132" s="49">
        <v>46017.0</v>
      </c>
      <c r="B1132" s="58" t="s">
        <v>206</v>
      </c>
      <c r="C1132" s="34" t="s">
        <v>216</v>
      </c>
      <c r="D1132" s="55" t="s">
        <v>226</v>
      </c>
      <c r="E1132" s="59" t="s">
        <v>215</v>
      </c>
      <c r="F1132" s="60">
        <v>0.041666666666666664</v>
      </c>
      <c r="G1132" s="29"/>
      <c r="H1132" s="6"/>
      <c r="I1132" s="6"/>
      <c r="J1132" s="6"/>
      <c r="K1132" s="6"/>
      <c r="L1132" s="6"/>
      <c r="M1132" s="6"/>
      <c r="N1132" s="6"/>
      <c r="O1132" s="6"/>
      <c r="P1132" s="6"/>
      <c r="Q1132" s="6"/>
      <c r="R1132" s="6"/>
      <c r="S1132" s="6"/>
    </row>
    <row r="1133" ht="22.5" hidden="1" customHeight="1">
      <c r="A1133" s="49">
        <v>46018.0</v>
      </c>
      <c r="B1133" s="58" t="s">
        <v>206</v>
      </c>
      <c r="C1133" s="34" t="s">
        <v>216</v>
      </c>
      <c r="D1133" s="55" t="s">
        <v>93</v>
      </c>
      <c r="E1133" s="59"/>
      <c r="F1133" s="60">
        <v>0.013888888888888888</v>
      </c>
      <c r="G1133" s="29"/>
      <c r="H1133" s="6"/>
      <c r="I1133" s="6"/>
      <c r="J1133" s="6"/>
      <c r="K1133" s="6"/>
      <c r="L1133" s="6"/>
      <c r="M1133" s="6"/>
      <c r="N1133" s="6"/>
      <c r="O1133" s="6"/>
      <c r="P1133" s="6"/>
      <c r="Q1133" s="6"/>
      <c r="R1133" s="6"/>
      <c r="S1133" s="6"/>
    </row>
    <row r="1134" ht="22.5" customHeight="1">
      <c r="A1134" s="49">
        <v>46018.0</v>
      </c>
      <c r="B1134" s="58" t="s">
        <v>206</v>
      </c>
      <c r="C1134" s="34" t="s">
        <v>216</v>
      </c>
      <c r="D1134" s="55" t="s">
        <v>226</v>
      </c>
      <c r="E1134" s="59" t="s">
        <v>215</v>
      </c>
      <c r="F1134" s="60">
        <v>0.041666666666666664</v>
      </c>
      <c r="G1134" s="29"/>
      <c r="H1134" s="6"/>
      <c r="I1134" s="6"/>
      <c r="J1134" s="6"/>
      <c r="K1134" s="6"/>
      <c r="L1134" s="6"/>
      <c r="M1134" s="6"/>
      <c r="N1134" s="6"/>
      <c r="O1134" s="6"/>
      <c r="P1134" s="6"/>
      <c r="Q1134" s="6"/>
      <c r="R1134" s="6"/>
      <c r="S1134" s="6"/>
    </row>
    <row r="1135" ht="22.5" hidden="1" customHeight="1">
      <c r="A1135" s="49">
        <v>46019.0</v>
      </c>
      <c r="B1135" s="58" t="s">
        <v>206</v>
      </c>
      <c r="C1135" s="34" t="s">
        <v>216</v>
      </c>
      <c r="D1135" s="55" t="s">
        <v>93</v>
      </c>
      <c r="E1135" s="59"/>
      <c r="F1135" s="60">
        <v>0.013888888888888888</v>
      </c>
      <c r="G1135" s="29"/>
      <c r="H1135" s="6"/>
      <c r="I1135" s="6"/>
      <c r="J1135" s="6"/>
      <c r="K1135" s="6"/>
      <c r="L1135" s="6"/>
      <c r="M1135" s="6"/>
      <c r="N1135" s="6"/>
      <c r="O1135" s="6"/>
      <c r="P1135" s="6"/>
      <c r="Q1135" s="6"/>
      <c r="R1135" s="6"/>
      <c r="S1135" s="6"/>
    </row>
    <row r="1136" ht="22.5" customHeight="1">
      <c r="A1136" s="49">
        <v>46019.0</v>
      </c>
      <c r="B1136" s="58" t="s">
        <v>206</v>
      </c>
      <c r="C1136" s="34" t="s">
        <v>216</v>
      </c>
      <c r="D1136" s="55" t="s">
        <v>226</v>
      </c>
      <c r="E1136" s="59" t="s">
        <v>215</v>
      </c>
      <c r="F1136" s="60">
        <v>0.041666666666666664</v>
      </c>
      <c r="G1136" s="29"/>
      <c r="H1136" s="6"/>
      <c r="I1136" s="6"/>
      <c r="J1136" s="6"/>
      <c r="K1136" s="6"/>
      <c r="L1136" s="6"/>
      <c r="M1136" s="6"/>
      <c r="N1136" s="6"/>
      <c r="O1136" s="6"/>
      <c r="P1136" s="6"/>
      <c r="Q1136" s="6"/>
      <c r="R1136" s="6"/>
      <c r="S1136" s="6"/>
    </row>
    <row r="1137" ht="22.5" hidden="1" customHeight="1">
      <c r="A1137" s="49">
        <v>46020.0</v>
      </c>
      <c r="B1137" s="58" t="s">
        <v>206</v>
      </c>
      <c r="C1137" s="34" t="s">
        <v>216</v>
      </c>
      <c r="D1137" s="55" t="s">
        <v>93</v>
      </c>
      <c r="E1137" s="59"/>
      <c r="F1137" s="60">
        <v>0.013888888888888888</v>
      </c>
      <c r="G1137" s="29"/>
      <c r="H1137" s="6"/>
      <c r="I1137" s="6"/>
      <c r="J1137" s="6"/>
      <c r="K1137" s="6"/>
      <c r="L1137" s="6"/>
      <c r="M1137" s="6"/>
      <c r="N1137" s="6"/>
      <c r="O1137" s="6"/>
      <c r="P1137" s="6"/>
      <c r="Q1137" s="6"/>
      <c r="R1137" s="6"/>
      <c r="S1137" s="6"/>
    </row>
    <row r="1138" ht="22.5" customHeight="1">
      <c r="A1138" s="49">
        <v>46020.0</v>
      </c>
      <c r="B1138" s="58" t="s">
        <v>206</v>
      </c>
      <c r="C1138" s="34" t="s">
        <v>216</v>
      </c>
      <c r="D1138" s="55" t="s">
        <v>226</v>
      </c>
      <c r="E1138" s="59" t="s">
        <v>215</v>
      </c>
      <c r="F1138" s="60">
        <v>0.041666666666666664</v>
      </c>
      <c r="G1138" s="29"/>
      <c r="H1138" s="6"/>
      <c r="I1138" s="6"/>
      <c r="J1138" s="6"/>
      <c r="K1138" s="6"/>
      <c r="L1138" s="6"/>
      <c r="M1138" s="6"/>
      <c r="N1138" s="6"/>
      <c r="O1138" s="6"/>
      <c r="P1138" s="6"/>
      <c r="Q1138" s="6"/>
      <c r="R1138" s="6"/>
      <c r="S1138" s="6"/>
    </row>
    <row r="1139" ht="22.5" hidden="1" customHeight="1">
      <c r="A1139" s="49">
        <v>46021.0</v>
      </c>
      <c r="B1139" s="58" t="s">
        <v>206</v>
      </c>
      <c r="C1139" s="34" t="s">
        <v>216</v>
      </c>
      <c r="D1139" s="55" t="s">
        <v>93</v>
      </c>
      <c r="E1139" s="59"/>
      <c r="F1139" s="60">
        <v>0.013888888888888888</v>
      </c>
      <c r="G1139" s="29"/>
      <c r="H1139" s="6"/>
      <c r="I1139" s="6"/>
      <c r="J1139" s="6"/>
      <c r="K1139" s="6"/>
      <c r="L1139" s="6"/>
      <c r="M1139" s="6"/>
      <c r="N1139" s="6"/>
      <c r="O1139" s="6"/>
      <c r="P1139" s="6"/>
      <c r="Q1139" s="6"/>
      <c r="R1139" s="6"/>
      <c r="S1139" s="6"/>
    </row>
    <row r="1140" ht="22.5" customHeight="1">
      <c r="A1140" s="49">
        <v>46021.0</v>
      </c>
      <c r="B1140" s="58" t="s">
        <v>206</v>
      </c>
      <c r="C1140" s="34" t="s">
        <v>216</v>
      </c>
      <c r="D1140" s="55" t="s">
        <v>226</v>
      </c>
      <c r="E1140" s="59" t="s">
        <v>215</v>
      </c>
      <c r="F1140" s="60">
        <v>0.041666666666666664</v>
      </c>
      <c r="G1140" s="29"/>
      <c r="H1140" s="6"/>
      <c r="I1140" s="6"/>
      <c r="J1140" s="6"/>
      <c r="K1140" s="6"/>
      <c r="L1140" s="6"/>
      <c r="M1140" s="6"/>
      <c r="N1140" s="6"/>
      <c r="O1140" s="6"/>
      <c r="P1140" s="6"/>
      <c r="Q1140" s="6"/>
      <c r="R1140" s="6"/>
      <c r="S1140" s="6"/>
    </row>
    <row r="1141" ht="22.5" hidden="1" customHeight="1">
      <c r="A1141" s="49">
        <v>46022.0</v>
      </c>
      <c r="B1141" s="58" t="s">
        <v>206</v>
      </c>
      <c r="C1141" s="34" t="s">
        <v>216</v>
      </c>
      <c r="D1141" s="55" t="s">
        <v>93</v>
      </c>
      <c r="E1141" s="59"/>
      <c r="F1141" s="60">
        <v>0.013888888888888888</v>
      </c>
      <c r="G1141" s="29"/>
      <c r="H1141" s="6"/>
      <c r="I1141" s="6"/>
      <c r="J1141" s="6"/>
      <c r="K1141" s="6"/>
      <c r="L1141" s="6"/>
      <c r="M1141" s="6"/>
      <c r="N1141" s="6"/>
      <c r="O1141" s="6"/>
      <c r="P1141" s="6"/>
      <c r="Q1141" s="6"/>
      <c r="R1141" s="6"/>
      <c r="S1141" s="6"/>
    </row>
    <row r="1142" ht="22.5" customHeight="1">
      <c r="A1142" s="49">
        <v>46022.0</v>
      </c>
      <c r="B1142" s="58" t="s">
        <v>206</v>
      </c>
      <c r="C1142" s="34" t="s">
        <v>216</v>
      </c>
      <c r="D1142" s="55" t="s">
        <v>226</v>
      </c>
      <c r="E1142" s="59" t="s">
        <v>215</v>
      </c>
      <c r="F1142" s="60">
        <v>0.041666666666666664</v>
      </c>
      <c r="G1142" s="29"/>
      <c r="H1142" s="6"/>
      <c r="I1142" s="6"/>
      <c r="J1142" s="6"/>
      <c r="K1142" s="6"/>
      <c r="L1142" s="6"/>
      <c r="M1142" s="6"/>
      <c r="N1142" s="6"/>
      <c r="O1142" s="6"/>
      <c r="P1142" s="6"/>
      <c r="Q1142" s="6"/>
      <c r="R1142" s="6"/>
      <c r="S1142" s="6"/>
    </row>
    <row r="1143" ht="22.5" hidden="1" customHeight="1">
      <c r="A1143" s="49">
        <v>46023.0</v>
      </c>
      <c r="B1143" s="58" t="s">
        <v>206</v>
      </c>
      <c r="C1143" s="34" t="s">
        <v>216</v>
      </c>
      <c r="D1143" s="55" t="s">
        <v>93</v>
      </c>
      <c r="E1143" s="59"/>
      <c r="F1143" s="60">
        <v>0.013888888888888888</v>
      </c>
      <c r="G1143" s="29"/>
      <c r="H1143" s="6"/>
      <c r="I1143" s="6"/>
      <c r="J1143" s="6"/>
      <c r="K1143" s="6"/>
      <c r="L1143" s="6"/>
      <c r="M1143" s="6"/>
      <c r="N1143" s="6"/>
      <c r="O1143" s="6"/>
      <c r="P1143" s="6"/>
      <c r="Q1143" s="6"/>
      <c r="R1143" s="6"/>
      <c r="S1143" s="6"/>
    </row>
    <row r="1144" ht="22.5" customHeight="1">
      <c r="A1144" s="49">
        <v>46023.0</v>
      </c>
      <c r="B1144" s="58" t="s">
        <v>206</v>
      </c>
      <c r="C1144" s="34" t="s">
        <v>216</v>
      </c>
      <c r="D1144" s="55" t="s">
        <v>226</v>
      </c>
      <c r="E1144" s="59" t="s">
        <v>215</v>
      </c>
      <c r="F1144" s="60">
        <v>0.041666666666666664</v>
      </c>
      <c r="G1144" s="29"/>
      <c r="H1144" s="6"/>
      <c r="I1144" s="6"/>
      <c r="J1144" s="6"/>
      <c r="K1144" s="6"/>
      <c r="L1144" s="6"/>
      <c r="M1144" s="6"/>
      <c r="N1144" s="6"/>
      <c r="O1144" s="6"/>
      <c r="P1144" s="6"/>
      <c r="Q1144" s="6"/>
      <c r="R1144" s="6"/>
      <c r="S1144" s="6"/>
    </row>
    <row r="1145" ht="22.5" hidden="1" customHeight="1">
      <c r="A1145" s="49">
        <v>46024.0</v>
      </c>
      <c r="B1145" s="58" t="s">
        <v>206</v>
      </c>
      <c r="C1145" s="34" t="s">
        <v>216</v>
      </c>
      <c r="D1145" s="55" t="s">
        <v>93</v>
      </c>
      <c r="E1145" s="59"/>
      <c r="F1145" s="60">
        <v>0.013888888888888888</v>
      </c>
      <c r="G1145" s="29"/>
      <c r="H1145" s="6"/>
      <c r="I1145" s="6"/>
      <c r="J1145" s="6"/>
      <c r="K1145" s="6"/>
      <c r="L1145" s="6"/>
      <c r="M1145" s="6"/>
      <c r="N1145" s="6"/>
      <c r="O1145" s="6"/>
      <c r="P1145" s="6"/>
      <c r="Q1145" s="6"/>
      <c r="R1145" s="6"/>
      <c r="S1145" s="6"/>
    </row>
    <row r="1146" ht="22.5" customHeight="1">
      <c r="A1146" s="49">
        <v>46024.0</v>
      </c>
      <c r="B1146" s="58" t="s">
        <v>206</v>
      </c>
      <c r="C1146" s="34" t="s">
        <v>216</v>
      </c>
      <c r="D1146" s="55" t="s">
        <v>226</v>
      </c>
      <c r="E1146" s="59" t="s">
        <v>215</v>
      </c>
      <c r="F1146" s="60">
        <v>0.041666666666666664</v>
      </c>
      <c r="G1146" s="29"/>
      <c r="H1146" s="6"/>
      <c r="I1146" s="6"/>
      <c r="J1146" s="6"/>
      <c r="K1146" s="6"/>
      <c r="L1146" s="6"/>
      <c r="M1146" s="6"/>
      <c r="N1146" s="6"/>
      <c r="O1146" s="6"/>
      <c r="P1146" s="6"/>
      <c r="Q1146" s="6"/>
      <c r="R1146" s="6"/>
      <c r="S1146" s="6"/>
    </row>
    <row r="1147" ht="22.5" hidden="1" customHeight="1">
      <c r="A1147" s="49">
        <v>46025.0</v>
      </c>
      <c r="B1147" s="58" t="s">
        <v>206</v>
      </c>
      <c r="C1147" s="34" t="s">
        <v>216</v>
      </c>
      <c r="D1147" s="55" t="s">
        <v>93</v>
      </c>
      <c r="E1147" s="59"/>
      <c r="F1147" s="60">
        <v>0.013888888888888888</v>
      </c>
      <c r="G1147" s="29"/>
      <c r="H1147" s="6"/>
      <c r="I1147" s="6"/>
      <c r="J1147" s="6"/>
      <c r="K1147" s="6"/>
      <c r="L1147" s="6"/>
      <c r="M1147" s="6"/>
      <c r="N1147" s="6"/>
      <c r="O1147" s="6"/>
      <c r="P1147" s="6"/>
      <c r="Q1147" s="6"/>
      <c r="R1147" s="6"/>
      <c r="S1147" s="6"/>
    </row>
    <row r="1148" ht="22.5" customHeight="1">
      <c r="A1148" s="49">
        <v>46025.0</v>
      </c>
      <c r="B1148" s="58" t="s">
        <v>206</v>
      </c>
      <c r="C1148" s="34" t="s">
        <v>216</v>
      </c>
      <c r="D1148" s="55" t="s">
        <v>226</v>
      </c>
      <c r="E1148" s="59" t="s">
        <v>215</v>
      </c>
      <c r="F1148" s="60">
        <v>0.041666666666666664</v>
      </c>
      <c r="G1148" s="29"/>
      <c r="H1148" s="6"/>
      <c r="I1148" s="6"/>
      <c r="J1148" s="6"/>
      <c r="K1148" s="6"/>
      <c r="L1148" s="6"/>
      <c r="M1148" s="6"/>
      <c r="N1148" s="6"/>
      <c r="O1148" s="6"/>
      <c r="P1148" s="6"/>
      <c r="Q1148" s="6"/>
      <c r="R1148" s="6"/>
      <c r="S1148" s="6"/>
    </row>
    <row r="1149" ht="22.5" hidden="1" customHeight="1">
      <c r="A1149" s="49">
        <v>46026.0</v>
      </c>
      <c r="B1149" s="58" t="s">
        <v>206</v>
      </c>
      <c r="C1149" s="34" t="s">
        <v>216</v>
      </c>
      <c r="D1149" s="55" t="s">
        <v>93</v>
      </c>
      <c r="E1149" s="59"/>
      <c r="F1149" s="60">
        <v>0.013888888888888888</v>
      </c>
      <c r="G1149" s="29"/>
      <c r="H1149" s="6"/>
      <c r="I1149" s="6"/>
      <c r="J1149" s="6"/>
      <c r="K1149" s="6"/>
      <c r="L1149" s="6"/>
      <c r="M1149" s="6"/>
      <c r="N1149" s="6"/>
      <c r="O1149" s="6"/>
      <c r="P1149" s="6"/>
      <c r="Q1149" s="6"/>
      <c r="R1149" s="6"/>
      <c r="S1149" s="6"/>
    </row>
    <row r="1150" ht="22.5" customHeight="1">
      <c r="A1150" s="49">
        <v>46026.0</v>
      </c>
      <c r="B1150" s="58" t="s">
        <v>206</v>
      </c>
      <c r="C1150" s="34" t="s">
        <v>216</v>
      </c>
      <c r="D1150" s="55" t="s">
        <v>226</v>
      </c>
      <c r="E1150" s="59" t="s">
        <v>215</v>
      </c>
      <c r="F1150" s="60">
        <v>0.041666666666666664</v>
      </c>
      <c r="G1150" s="29"/>
      <c r="H1150" s="6"/>
      <c r="I1150" s="6"/>
      <c r="J1150" s="6"/>
      <c r="K1150" s="6"/>
      <c r="L1150" s="6"/>
      <c r="M1150" s="6"/>
      <c r="N1150" s="6"/>
      <c r="O1150" s="6"/>
      <c r="P1150" s="6"/>
      <c r="Q1150" s="6"/>
      <c r="R1150" s="6"/>
      <c r="S1150" s="6"/>
    </row>
    <row r="1151" ht="22.5" hidden="1" customHeight="1">
      <c r="A1151" s="49">
        <v>46027.0</v>
      </c>
      <c r="B1151" s="58" t="s">
        <v>206</v>
      </c>
      <c r="C1151" s="34" t="s">
        <v>216</v>
      </c>
      <c r="D1151" s="55" t="s">
        <v>93</v>
      </c>
      <c r="E1151" s="59"/>
      <c r="F1151" s="60">
        <v>0.013888888888888888</v>
      </c>
      <c r="G1151" s="29"/>
      <c r="H1151" s="6"/>
      <c r="I1151" s="6"/>
      <c r="J1151" s="6"/>
      <c r="K1151" s="6"/>
      <c r="L1151" s="6"/>
      <c r="M1151" s="6"/>
      <c r="N1151" s="6"/>
      <c r="O1151" s="6"/>
      <c r="P1151" s="6"/>
      <c r="Q1151" s="6"/>
      <c r="R1151" s="6"/>
      <c r="S1151" s="6"/>
    </row>
    <row r="1152" ht="22.5" customHeight="1">
      <c r="A1152" s="49">
        <v>46027.0</v>
      </c>
      <c r="B1152" s="58" t="s">
        <v>206</v>
      </c>
      <c r="C1152" s="34" t="s">
        <v>216</v>
      </c>
      <c r="D1152" s="55" t="s">
        <v>226</v>
      </c>
      <c r="E1152" s="59" t="s">
        <v>215</v>
      </c>
      <c r="F1152" s="60">
        <v>0.041666666666666664</v>
      </c>
      <c r="G1152" s="29"/>
      <c r="H1152" s="6"/>
      <c r="I1152" s="6"/>
      <c r="J1152" s="6"/>
      <c r="K1152" s="6"/>
      <c r="L1152" s="6"/>
      <c r="M1152" s="6"/>
      <c r="N1152" s="6"/>
      <c r="O1152" s="6"/>
      <c r="P1152" s="6"/>
      <c r="Q1152" s="6"/>
      <c r="R1152" s="6"/>
      <c r="S1152" s="6"/>
    </row>
    <row r="1153" ht="22.5" hidden="1" customHeight="1">
      <c r="A1153" s="49">
        <v>46028.0</v>
      </c>
      <c r="B1153" s="58" t="s">
        <v>206</v>
      </c>
      <c r="C1153" s="34" t="s">
        <v>216</v>
      </c>
      <c r="D1153" s="55" t="s">
        <v>93</v>
      </c>
      <c r="E1153" s="59"/>
      <c r="F1153" s="60">
        <v>0.013888888888888888</v>
      </c>
      <c r="G1153" s="29"/>
      <c r="H1153" s="6"/>
      <c r="I1153" s="6"/>
      <c r="J1153" s="6"/>
      <c r="K1153" s="6"/>
      <c r="L1153" s="6"/>
      <c r="M1153" s="6"/>
      <c r="N1153" s="6"/>
      <c r="O1153" s="6"/>
      <c r="P1153" s="6"/>
      <c r="Q1153" s="6"/>
      <c r="R1153" s="6"/>
      <c r="S1153" s="6"/>
    </row>
    <row r="1154" ht="22.5" customHeight="1">
      <c r="A1154" s="49">
        <v>46028.0</v>
      </c>
      <c r="B1154" s="58" t="s">
        <v>206</v>
      </c>
      <c r="C1154" s="34" t="s">
        <v>216</v>
      </c>
      <c r="D1154" s="55" t="s">
        <v>226</v>
      </c>
      <c r="E1154" s="59" t="s">
        <v>215</v>
      </c>
      <c r="F1154" s="60">
        <v>0.041666666666666664</v>
      </c>
      <c r="G1154" s="29"/>
      <c r="H1154" s="6"/>
      <c r="I1154" s="6"/>
      <c r="J1154" s="6"/>
      <c r="K1154" s="6"/>
      <c r="L1154" s="6"/>
      <c r="M1154" s="6"/>
      <c r="N1154" s="6"/>
      <c r="O1154" s="6"/>
      <c r="P1154" s="6"/>
      <c r="Q1154" s="6"/>
      <c r="R1154" s="6"/>
      <c r="S1154" s="6"/>
    </row>
    <row r="1155" ht="22.5" hidden="1" customHeight="1">
      <c r="A1155" s="49">
        <v>46029.0</v>
      </c>
      <c r="B1155" s="58" t="s">
        <v>206</v>
      </c>
      <c r="C1155" s="34" t="s">
        <v>216</v>
      </c>
      <c r="D1155" s="55" t="s">
        <v>93</v>
      </c>
      <c r="E1155" s="59"/>
      <c r="F1155" s="60">
        <v>0.013888888888888888</v>
      </c>
      <c r="G1155" s="29"/>
      <c r="H1155" s="6"/>
      <c r="I1155" s="6"/>
      <c r="J1155" s="6"/>
      <c r="K1155" s="6"/>
      <c r="L1155" s="6"/>
      <c r="M1155" s="6"/>
      <c r="N1155" s="6"/>
      <c r="O1155" s="6"/>
      <c r="P1155" s="6"/>
      <c r="Q1155" s="6"/>
      <c r="R1155" s="6"/>
      <c r="S1155" s="6"/>
    </row>
    <row r="1156" ht="22.5" customHeight="1">
      <c r="A1156" s="49">
        <v>46029.0</v>
      </c>
      <c r="B1156" s="58" t="s">
        <v>206</v>
      </c>
      <c r="C1156" s="34" t="s">
        <v>216</v>
      </c>
      <c r="D1156" s="55" t="s">
        <v>226</v>
      </c>
      <c r="E1156" s="59" t="s">
        <v>215</v>
      </c>
      <c r="F1156" s="60">
        <v>0.041666666666666664</v>
      </c>
      <c r="G1156" s="29"/>
      <c r="H1156" s="6"/>
      <c r="I1156" s="6"/>
      <c r="J1156" s="6"/>
      <c r="K1156" s="6"/>
      <c r="L1156" s="6"/>
      <c r="M1156" s="6"/>
      <c r="N1156" s="6"/>
      <c r="O1156" s="6"/>
      <c r="P1156" s="6"/>
      <c r="Q1156" s="6"/>
      <c r="R1156" s="6"/>
      <c r="S1156" s="6"/>
    </row>
    <row r="1157" ht="22.5" hidden="1" customHeight="1">
      <c r="A1157" s="49">
        <v>46030.0</v>
      </c>
      <c r="B1157" s="58" t="s">
        <v>206</v>
      </c>
      <c r="C1157" s="34" t="s">
        <v>216</v>
      </c>
      <c r="D1157" s="55" t="s">
        <v>93</v>
      </c>
      <c r="E1157" s="59"/>
      <c r="F1157" s="60">
        <v>0.013888888888888888</v>
      </c>
      <c r="G1157" s="29"/>
      <c r="H1157" s="6"/>
      <c r="I1157" s="6"/>
      <c r="J1157" s="6"/>
      <c r="K1157" s="6"/>
      <c r="L1157" s="6"/>
      <c r="M1157" s="6"/>
      <c r="N1157" s="6"/>
      <c r="O1157" s="6"/>
      <c r="P1157" s="6"/>
      <c r="Q1157" s="6"/>
      <c r="R1157" s="6"/>
      <c r="S1157" s="6"/>
    </row>
    <row r="1158" ht="22.5" customHeight="1">
      <c r="A1158" s="49">
        <v>46030.0</v>
      </c>
      <c r="B1158" s="58" t="s">
        <v>206</v>
      </c>
      <c r="C1158" s="34" t="s">
        <v>216</v>
      </c>
      <c r="D1158" s="55" t="s">
        <v>226</v>
      </c>
      <c r="E1158" s="59" t="s">
        <v>215</v>
      </c>
      <c r="F1158" s="60">
        <v>0.041666666666666664</v>
      </c>
      <c r="G1158" s="29"/>
      <c r="H1158" s="6"/>
      <c r="I1158" s="6"/>
      <c r="J1158" s="6"/>
      <c r="K1158" s="6"/>
      <c r="L1158" s="6"/>
      <c r="M1158" s="6"/>
      <c r="N1158" s="6"/>
      <c r="O1158" s="6"/>
      <c r="P1158" s="6"/>
      <c r="Q1158" s="6"/>
      <c r="R1158" s="6"/>
      <c r="S1158" s="6"/>
    </row>
    <row r="1159" ht="22.5" hidden="1" customHeight="1">
      <c r="A1159" s="49">
        <v>46031.0</v>
      </c>
      <c r="B1159" s="58" t="s">
        <v>206</v>
      </c>
      <c r="C1159" s="34" t="s">
        <v>216</v>
      </c>
      <c r="D1159" s="55" t="s">
        <v>93</v>
      </c>
      <c r="E1159" s="59"/>
      <c r="F1159" s="60">
        <v>0.013888888888888888</v>
      </c>
      <c r="G1159" s="29"/>
      <c r="H1159" s="6"/>
      <c r="I1159" s="6"/>
      <c r="J1159" s="6"/>
      <c r="K1159" s="6"/>
      <c r="L1159" s="6"/>
      <c r="M1159" s="6"/>
      <c r="N1159" s="6"/>
      <c r="O1159" s="6"/>
      <c r="P1159" s="6"/>
      <c r="Q1159" s="6"/>
      <c r="R1159" s="6"/>
      <c r="S1159" s="6"/>
    </row>
    <row r="1160" ht="22.5" customHeight="1">
      <c r="A1160" s="49">
        <v>46031.0</v>
      </c>
      <c r="B1160" s="58" t="s">
        <v>206</v>
      </c>
      <c r="C1160" s="34" t="s">
        <v>216</v>
      </c>
      <c r="D1160" s="55" t="s">
        <v>226</v>
      </c>
      <c r="E1160" s="59" t="s">
        <v>215</v>
      </c>
      <c r="F1160" s="60">
        <v>0.041666666666666664</v>
      </c>
      <c r="G1160" s="29"/>
      <c r="H1160" s="6"/>
      <c r="I1160" s="6"/>
      <c r="J1160" s="6"/>
      <c r="K1160" s="6"/>
      <c r="L1160" s="6"/>
      <c r="M1160" s="6"/>
      <c r="N1160" s="6"/>
      <c r="O1160" s="6"/>
      <c r="P1160" s="6"/>
      <c r="Q1160" s="6"/>
      <c r="R1160" s="6"/>
      <c r="S1160" s="6"/>
    </row>
    <row r="1161" ht="22.5" hidden="1" customHeight="1">
      <c r="A1161" s="49">
        <v>46032.0</v>
      </c>
      <c r="B1161" s="58" t="s">
        <v>206</v>
      </c>
      <c r="C1161" s="34" t="s">
        <v>216</v>
      </c>
      <c r="D1161" s="55" t="s">
        <v>93</v>
      </c>
      <c r="E1161" s="59"/>
      <c r="F1161" s="60">
        <v>0.013888888888888888</v>
      </c>
      <c r="G1161" s="29"/>
      <c r="H1161" s="6"/>
      <c r="I1161" s="6"/>
      <c r="J1161" s="6"/>
      <c r="K1161" s="6"/>
      <c r="L1161" s="6"/>
      <c r="M1161" s="6"/>
      <c r="N1161" s="6"/>
      <c r="O1161" s="6"/>
      <c r="P1161" s="6"/>
      <c r="Q1161" s="6"/>
      <c r="R1161" s="6"/>
      <c r="S1161" s="6"/>
    </row>
    <row r="1162" ht="22.5" customHeight="1">
      <c r="A1162" s="49">
        <v>46032.0</v>
      </c>
      <c r="B1162" s="58" t="s">
        <v>206</v>
      </c>
      <c r="C1162" s="34" t="s">
        <v>216</v>
      </c>
      <c r="D1162" s="55" t="s">
        <v>226</v>
      </c>
      <c r="E1162" s="59" t="s">
        <v>215</v>
      </c>
      <c r="F1162" s="60">
        <v>0.041666666666666664</v>
      </c>
      <c r="G1162" s="29"/>
      <c r="H1162" s="6"/>
      <c r="I1162" s="6"/>
      <c r="J1162" s="6"/>
      <c r="K1162" s="6"/>
      <c r="L1162" s="6"/>
      <c r="M1162" s="6"/>
      <c r="N1162" s="6"/>
      <c r="O1162" s="6"/>
      <c r="P1162" s="6"/>
      <c r="Q1162" s="6"/>
      <c r="R1162" s="6"/>
      <c r="S1162" s="6"/>
    </row>
    <row r="1163" ht="22.5" hidden="1" customHeight="1">
      <c r="A1163" s="49">
        <v>46033.0</v>
      </c>
      <c r="B1163" s="58" t="s">
        <v>206</v>
      </c>
      <c r="C1163" s="34" t="s">
        <v>216</v>
      </c>
      <c r="D1163" s="55" t="s">
        <v>93</v>
      </c>
      <c r="E1163" s="59"/>
      <c r="F1163" s="60">
        <v>0.013888888888888888</v>
      </c>
      <c r="G1163" s="29"/>
      <c r="H1163" s="6"/>
      <c r="I1163" s="6"/>
      <c r="J1163" s="6"/>
      <c r="K1163" s="6"/>
      <c r="L1163" s="6"/>
      <c r="M1163" s="6"/>
      <c r="N1163" s="6"/>
      <c r="O1163" s="6"/>
      <c r="P1163" s="6"/>
      <c r="Q1163" s="6"/>
      <c r="R1163" s="6"/>
      <c r="S1163" s="6"/>
    </row>
    <row r="1164" ht="22.5" customHeight="1">
      <c r="A1164" s="49">
        <v>46033.0</v>
      </c>
      <c r="B1164" s="58" t="s">
        <v>206</v>
      </c>
      <c r="C1164" s="34" t="s">
        <v>216</v>
      </c>
      <c r="D1164" s="55" t="s">
        <v>226</v>
      </c>
      <c r="E1164" s="59" t="s">
        <v>215</v>
      </c>
      <c r="F1164" s="60">
        <v>0.041666666666666664</v>
      </c>
      <c r="G1164" s="29"/>
      <c r="H1164" s="6"/>
      <c r="I1164" s="6"/>
      <c r="J1164" s="6"/>
      <c r="K1164" s="6"/>
      <c r="L1164" s="6"/>
      <c r="M1164" s="6"/>
      <c r="N1164" s="6"/>
      <c r="O1164" s="6"/>
      <c r="P1164" s="6"/>
      <c r="Q1164" s="6"/>
      <c r="R1164" s="6"/>
      <c r="S1164" s="6"/>
    </row>
    <row r="1165" ht="22.5" hidden="1" customHeight="1">
      <c r="A1165" s="49">
        <v>46034.0</v>
      </c>
      <c r="B1165" s="58" t="s">
        <v>206</v>
      </c>
      <c r="C1165" s="34" t="s">
        <v>216</v>
      </c>
      <c r="D1165" s="55" t="s">
        <v>93</v>
      </c>
      <c r="E1165" s="59"/>
      <c r="F1165" s="60">
        <v>0.013888888888888888</v>
      </c>
      <c r="G1165" s="29"/>
      <c r="H1165" s="6"/>
      <c r="I1165" s="6"/>
      <c r="J1165" s="6"/>
      <c r="K1165" s="6"/>
      <c r="L1165" s="6"/>
      <c r="M1165" s="6"/>
      <c r="N1165" s="6"/>
      <c r="O1165" s="6"/>
      <c r="P1165" s="6"/>
      <c r="Q1165" s="6"/>
      <c r="R1165" s="6"/>
      <c r="S1165" s="6"/>
    </row>
    <row r="1166" ht="22.5" customHeight="1">
      <c r="A1166" s="49">
        <v>46034.0</v>
      </c>
      <c r="B1166" s="58" t="s">
        <v>206</v>
      </c>
      <c r="C1166" s="34" t="s">
        <v>216</v>
      </c>
      <c r="D1166" s="55" t="s">
        <v>226</v>
      </c>
      <c r="E1166" s="59" t="s">
        <v>215</v>
      </c>
      <c r="F1166" s="60">
        <v>0.041666666666666664</v>
      </c>
      <c r="G1166" s="29"/>
      <c r="H1166" s="6"/>
      <c r="I1166" s="6"/>
      <c r="J1166" s="6"/>
      <c r="K1166" s="6"/>
      <c r="L1166" s="6"/>
      <c r="M1166" s="6"/>
      <c r="N1166" s="6"/>
      <c r="O1166" s="6"/>
      <c r="P1166" s="6"/>
      <c r="Q1166" s="6"/>
      <c r="R1166" s="6"/>
      <c r="S1166" s="6"/>
    </row>
    <row r="1167" ht="22.5" hidden="1" customHeight="1">
      <c r="A1167" s="49">
        <v>46035.0</v>
      </c>
      <c r="B1167" s="58" t="s">
        <v>206</v>
      </c>
      <c r="C1167" s="34" t="s">
        <v>216</v>
      </c>
      <c r="D1167" s="55" t="s">
        <v>93</v>
      </c>
      <c r="E1167" s="59"/>
      <c r="F1167" s="60">
        <v>0.013888888888888888</v>
      </c>
      <c r="G1167" s="29"/>
      <c r="H1167" s="6"/>
      <c r="I1167" s="6"/>
      <c r="J1167" s="6"/>
      <c r="K1167" s="6"/>
      <c r="L1167" s="6"/>
      <c r="M1167" s="6"/>
      <c r="N1167" s="6"/>
      <c r="O1167" s="6"/>
      <c r="P1167" s="6"/>
      <c r="Q1167" s="6"/>
      <c r="R1167" s="6"/>
      <c r="S1167" s="6"/>
    </row>
    <row r="1168" ht="22.5" customHeight="1">
      <c r="A1168" s="49">
        <v>46035.0</v>
      </c>
      <c r="B1168" s="58" t="s">
        <v>206</v>
      </c>
      <c r="C1168" s="34" t="s">
        <v>216</v>
      </c>
      <c r="D1168" s="55" t="s">
        <v>226</v>
      </c>
      <c r="E1168" s="59" t="s">
        <v>215</v>
      </c>
      <c r="F1168" s="60">
        <v>0.041666666666666664</v>
      </c>
      <c r="G1168" s="29"/>
      <c r="H1168" s="6"/>
      <c r="I1168" s="6"/>
      <c r="J1168" s="6"/>
      <c r="K1168" s="6"/>
      <c r="L1168" s="6"/>
      <c r="M1168" s="6"/>
      <c r="N1168" s="6"/>
      <c r="O1168" s="6"/>
      <c r="P1168" s="6"/>
      <c r="Q1168" s="6"/>
      <c r="R1168" s="6"/>
      <c r="S1168" s="6"/>
    </row>
    <row r="1169" ht="22.5" hidden="1" customHeight="1">
      <c r="A1169" s="49">
        <v>46036.0</v>
      </c>
      <c r="B1169" s="58" t="s">
        <v>206</v>
      </c>
      <c r="C1169" s="34" t="s">
        <v>216</v>
      </c>
      <c r="D1169" s="55" t="s">
        <v>93</v>
      </c>
      <c r="E1169" s="59"/>
      <c r="F1169" s="60">
        <v>0.013888888888888888</v>
      </c>
      <c r="G1169" s="29"/>
      <c r="H1169" s="6"/>
      <c r="I1169" s="6"/>
      <c r="J1169" s="6"/>
      <c r="K1169" s="6"/>
      <c r="L1169" s="6"/>
      <c r="M1169" s="6"/>
      <c r="N1169" s="6"/>
      <c r="O1169" s="6"/>
      <c r="P1169" s="6"/>
      <c r="Q1169" s="6"/>
      <c r="R1169" s="6"/>
      <c r="S1169" s="6"/>
    </row>
    <row r="1170" ht="22.5" customHeight="1">
      <c r="A1170" s="49">
        <v>46036.0</v>
      </c>
      <c r="B1170" s="58" t="s">
        <v>206</v>
      </c>
      <c r="C1170" s="34" t="s">
        <v>216</v>
      </c>
      <c r="D1170" s="55" t="s">
        <v>226</v>
      </c>
      <c r="E1170" s="59" t="s">
        <v>215</v>
      </c>
      <c r="F1170" s="60">
        <v>0.041666666666666664</v>
      </c>
      <c r="G1170" s="29"/>
      <c r="H1170" s="6"/>
      <c r="I1170" s="6"/>
      <c r="J1170" s="6"/>
      <c r="K1170" s="6"/>
      <c r="L1170" s="6"/>
      <c r="M1170" s="6"/>
      <c r="N1170" s="6"/>
      <c r="O1170" s="6"/>
      <c r="P1170" s="6"/>
      <c r="Q1170" s="6"/>
      <c r="R1170" s="6"/>
      <c r="S1170" s="6"/>
    </row>
    <row r="1171" ht="22.5" hidden="1" customHeight="1">
      <c r="A1171" s="49"/>
      <c r="B1171" s="61"/>
      <c r="C1171" s="34"/>
      <c r="D1171" s="55"/>
      <c r="E1171" s="59"/>
      <c r="F1171" s="60"/>
      <c r="G1171" s="29"/>
      <c r="H1171" s="6"/>
      <c r="I1171" s="6"/>
      <c r="J1171" s="6"/>
      <c r="K1171" s="6"/>
      <c r="L1171" s="6"/>
      <c r="M1171" s="6"/>
      <c r="N1171" s="6"/>
      <c r="O1171" s="6"/>
      <c r="P1171" s="6"/>
      <c r="Q1171" s="6"/>
      <c r="R1171" s="6"/>
      <c r="S1171" s="6"/>
    </row>
    <row r="1172" ht="22.5" hidden="1" customHeight="1">
      <c r="A1172" s="49"/>
      <c r="B1172" s="61"/>
      <c r="C1172" s="34"/>
      <c r="D1172" s="55"/>
      <c r="E1172" s="59"/>
      <c r="F1172" s="60"/>
      <c r="G1172" s="29"/>
      <c r="H1172" s="6"/>
      <c r="I1172" s="6"/>
      <c r="J1172" s="6"/>
      <c r="K1172" s="6"/>
      <c r="L1172" s="6"/>
      <c r="M1172" s="6"/>
      <c r="N1172" s="6"/>
      <c r="O1172" s="6"/>
      <c r="P1172" s="6"/>
      <c r="Q1172" s="6"/>
      <c r="R1172" s="6"/>
      <c r="S1172" s="6"/>
    </row>
    <row r="1173" ht="22.5" hidden="1" customHeight="1">
      <c r="A1173" s="49"/>
      <c r="B1173" s="61"/>
      <c r="C1173" s="34"/>
      <c r="D1173" s="55"/>
      <c r="E1173" s="59"/>
      <c r="F1173" s="60"/>
      <c r="G1173" s="29"/>
      <c r="H1173" s="6"/>
      <c r="I1173" s="6"/>
      <c r="J1173" s="6"/>
      <c r="K1173" s="6"/>
      <c r="L1173" s="6"/>
      <c r="M1173" s="6"/>
      <c r="N1173" s="6"/>
      <c r="O1173" s="6"/>
      <c r="P1173" s="6"/>
      <c r="Q1173" s="6"/>
      <c r="R1173" s="6"/>
      <c r="S1173" s="6"/>
    </row>
    <row r="1174" ht="22.5" hidden="1" customHeight="1">
      <c r="A1174" s="49"/>
      <c r="B1174" s="61"/>
      <c r="C1174" s="34"/>
      <c r="D1174" s="55"/>
      <c r="E1174" s="59"/>
      <c r="F1174" s="60"/>
      <c r="G1174" s="29"/>
      <c r="H1174" s="6"/>
      <c r="I1174" s="6"/>
      <c r="J1174" s="6"/>
      <c r="K1174" s="6"/>
      <c r="L1174" s="6"/>
      <c r="M1174" s="6"/>
      <c r="N1174" s="6"/>
      <c r="O1174" s="6"/>
      <c r="P1174" s="6"/>
      <c r="Q1174" s="6"/>
      <c r="R1174" s="6"/>
      <c r="S1174" s="6"/>
    </row>
    <row r="1175" ht="22.5" hidden="1" customHeight="1">
      <c r="A1175" s="49"/>
      <c r="B1175" s="61"/>
      <c r="C1175" s="34"/>
      <c r="D1175" s="55"/>
      <c r="E1175" s="59"/>
      <c r="F1175" s="60"/>
      <c r="G1175" s="29"/>
      <c r="H1175" s="6"/>
      <c r="I1175" s="6"/>
      <c r="J1175" s="6"/>
      <c r="K1175" s="6"/>
      <c r="L1175" s="6"/>
      <c r="M1175" s="6"/>
      <c r="N1175" s="6"/>
      <c r="O1175" s="6"/>
      <c r="P1175" s="6"/>
      <c r="Q1175" s="6"/>
      <c r="R1175" s="6"/>
      <c r="S1175" s="6"/>
    </row>
    <row r="1176" ht="22.5" hidden="1" customHeight="1">
      <c r="A1176" s="49"/>
      <c r="B1176" s="61"/>
      <c r="C1176" s="34"/>
      <c r="D1176" s="55"/>
      <c r="E1176" s="59"/>
      <c r="F1176" s="60"/>
      <c r="G1176" s="29"/>
      <c r="H1176" s="6"/>
      <c r="I1176" s="6"/>
      <c r="J1176" s="6"/>
      <c r="K1176" s="6"/>
      <c r="L1176" s="6"/>
      <c r="M1176" s="6"/>
      <c r="N1176" s="6"/>
      <c r="O1176" s="6"/>
      <c r="P1176" s="6"/>
      <c r="Q1176" s="6"/>
      <c r="R1176" s="6"/>
      <c r="S1176" s="6"/>
    </row>
    <row r="1177" ht="22.5" hidden="1" customHeight="1">
      <c r="A1177" s="49"/>
      <c r="B1177" s="61"/>
      <c r="C1177" s="34"/>
      <c r="D1177" s="55"/>
      <c r="E1177" s="59"/>
      <c r="F1177" s="60"/>
      <c r="G1177" s="29"/>
      <c r="H1177" s="6"/>
      <c r="I1177" s="6"/>
      <c r="J1177" s="6"/>
      <c r="K1177" s="6"/>
      <c r="L1177" s="6"/>
      <c r="M1177" s="6"/>
      <c r="N1177" s="6"/>
      <c r="O1177" s="6"/>
      <c r="P1177" s="6"/>
      <c r="Q1177" s="6"/>
      <c r="R1177" s="6"/>
      <c r="S1177" s="6"/>
    </row>
    <row r="1178" ht="22.5" hidden="1" customHeight="1">
      <c r="A1178" s="49"/>
      <c r="B1178" s="61"/>
      <c r="C1178" s="34"/>
      <c r="D1178" s="55"/>
      <c r="E1178" s="59"/>
      <c r="F1178" s="60"/>
      <c r="G1178" s="29"/>
      <c r="H1178" s="6"/>
      <c r="I1178" s="6"/>
      <c r="J1178" s="6"/>
      <c r="K1178" s="6"/>
      <c r="L1178" s="6"/>
      <c r="M1178" s="6"/>
      <c r="N1178" s="6"/>
      <c r="O1178" s="6"/>
      <c r="P1178" s="6"/>
      <c r="Q1178" s="6"/>
      <c r="R1178" s="6"/>
      <c r="S1178" s="6"/>
    </row>
    <row r="1179" ht="22.5" hidden="1" customHeight="1">
      <c r="A1179" s="49"/>
      <c r="B1179" s="61"/>
      <c r="C1179" s="34"/>
      <c r="D1179" s="55"/>
      <c r="E1179" s="59"/>
      <c r="F1179" s="60"/>
      <c r="G1179" s="29"/>
      <c r="H1179" s="6"/>
      <c r="I1179" s="6"/>
      <c r="J1179" s="6"/>
      <c r="K1179" s="6"/>
      <c r="L1179" s="6"/>
      <c r="M1179" s="6"/>
      <c r="N1179" s="6"/>
      <c r="O1179" s="6"/>
      <c r="P1179" s="6"/>
      <c r="Q1179" s="6"/>
      <c r="R1179" s="6"/>
      <c r="S1179" s="6"/>
    </row>
    <row r="1180" ht="22.5" hidden="1" customHeight="1">
      <c r="A1180" s="49"/>
      <c r="B1180" s="61"/>
      <c r="C1180" s="34"/>
      <c r="D1180" s="55"/>
      <c r="E1180" s="59"/>
      <c r="F1180" s="60"/>
      <c r="G1180" s="29"/>
      <c r="H1180" s="6"/>
      <c r="I1180" s="6"/>
      <c r="J1180" s="6"/>
      <c r="K1180" s="6"/>
      <c r="L1180" s="6"/>
      <c r="M1180" s="6"/>
      <c r="N1180" s="6"/>
      <c r="O1180" s="6"/>
      <c r="P1180" s="6"/>
      <c r="Q1180" s="6"/>
      <c r="R1180" s="6"/>
      <c r="S1180" s="6"/>
    </row>
    <row r="1181" ht="22.5" hidden="1" customHeight="1">
      <c r="A1181" s="49"/>
      <c r="B1181" s="61"/>
      <c r="C1181" s="34"/>
      <c r="D1181" s="55"/>
      <c r="E1181" s="59"/>
      <c r="F1181" s="60"/>
      <c r="G1181" s="29"/>
      <c r="H1181" s="6"/>
      <c r="I1181" s="6"/>
      <c r="J1181" s="6"/>
      <c r="K1181" s="6"/>
      <c r="L1181" s="6"/>
      <c r="M1181" s="6"/>
      <c r="N1181" s="6"/>
      <c r="O1181" s="6"/>
      <c r="P1181" s="6"/>
      <c r="Q1181" s="6"/>
      <c r="R1181" s="6"/>
      <c r="S1181" s="6"/>
    </row>
    <row r="1182" ht="22.5" hidden="1" customHeight="1">
      <c r="A1182" s="49"/>
      <c r="B1182" s="61"/>
      <c r="C1182" s="34"/>
      <c r="D1182" s="55"/>
      <c r="E1182" s="59"/>
      <c r="F1182" s="60"/>
      <c r="G1182" s="29"/>
      <c r="H1182" s="6"/>
      <c r="I1182" s="6"/>
      <c r="J1182" s="6"/>
      <c r="K1182" s="6"/>
      <c r="L1182" s="6"/>
      <c r="M1182" s="6"/>
      <c r="N1182" s="6"/>
      <c r="O1182" s="6"/>
      <c r="P1182" s="6"/>
      <c r="Q1182" s="6"/>
      <c r="R1182" s="6"/>
      <c r="S1182" s="6"/>
    </row>
    <row r="1183" ht="22.5" hidden="1" customHeight="1">
      <c r="A1183" s="49"/>
      <c r="B1183" s="61"/>
      <c r="C1183" s="34"/>
      <c r="D1183" s="55"/>
      <c r="E1183" s="59"/>
      <c r="F1183" s="60"/>
      <c r="G1183" s="29"/>
      <c r="H1183" s="6"/>
      <c r="I1183" s="6"/>
      <c r="J1183" s="6"/>
      <c r="K1183" s="6"/>
      <c r="L1183" s="6"/>
      <c r="M1183" s="6"/>
      <c r="N1183" s="6"/>
      <c r="O1183" s="6"/>
      <c r="P1183" s="6"/>
      <c r="Q1183" s="6"/>
      <c r="R1183" s="6"/>
      <c r="S1183" s="6"/>
    </row>
    <row r="1184" ht="22.5" hidden="1" customHeight="1">
      <c r="A1184" s="49"/>
      <c r="B1184" s="61"/>
      <c r="C1184" s="34"/>
      <c r="D1184" s="55"/>
      <c r="E1184" s="59"/>
      <c r="F1184" s="60"/>
      <c r="G1184" s="29"/>
      <c r="H1184" s="6"/>
      <c r="I1184" s="6"/>
      <c r="J1184" s="6"/>
      <c r="K1184" s="6"/>
      <c r="L1184" s="6"/>
      <c r="M1184" s="6"/>
      <c r="N1184" s="6"/>
      <c r="O1184" s="6"/>
      <c r="P1184" s="6"/>
      <c r="Q1184" s="6"/>
      <c r="R1184" s="6"/>
      <c r="S1184" s="6"/>
    </row>
    <row r="1185" ht="22.5" hidden="1" customHeight="1">
      <c r="A1185" s="49"/>
      <c r="B1185" s="61"/>
      <c r="C1185" s="34"/>
      <c r="D1185" s="55"/>
      <c r="E1185" s="59"/>
      <c r="F1185" s="60"/>
      <c r="G1185" s="29"/>
      <c r="H1185" s="6"/>
      <c r="I1185" s="6"/>
      <c r="J1185" s="6"/>
      <c r="K1185" s="6"/>
      <c r="L1185" s="6"/>
      <c r="M1185" s="6"/>
      <c r="N1185" s="6"/>
      <c r="O1185" s="6"/>
      <c r="P1185" s="6"/>
      <c r="Q1185" s="6"/>
      <c r="R1185" s="6"/>
      <c r="S1185" s="6"/>
    </row>
    <row r="1186" ht="22.5" hidden="1" customHeight="1">
      <c r="A1186" s="49"/>
      <c r="B1186" s="61"/>
      <c r="C1186" s="34"/>
      <c r="D1186" s="55"/>
      <c r="E1186" s="59"/>
      <c r="F1186" s="60"/>
      <c r="G1186" s="29"/>
      <c r="H1186" s="6"/>
      <c r="I1186" s="6"/>
      <c r="J1186" s="6"/>
      <c r="K1186" s="6"/>
      <c r="L1186" s="6"/>
      <c r="M1186" s="6"/>
      <c r="N1186" s="6"/>
      <c r="O1186" s="6"/>
      <c r="P1186" s="6"/>
      <c r="Q1186" s="6"/>
      <c r="R1186" s="6"/>
      <c r="S1186" s="6"/>
    </row>
    <row r="1187" ht="22.5" hidden="1" customHeight="1">
      <c r="A1187" s="49"/>
      <c r="B1187" s="61"/>
      <c r="C1187" s="34"/>
      <c r="D1187" s="55"/>
      <c r="E1187" s="59"/>
      <c r="F1187" s="60"/>
      <c r="G1187" s="29"/>
      <c r="H1187" s="6"/>
      <c r="I1187" s="6"/>
      <c r="J1187" s="6"/>
      <c r="K1187" s="6"/>
      <c r="L1187" s="6"/>
      <c r="M1187" s="6"/>
      <c r="N1187" s="6"/>
      <c r="O1187" s="6"/>
      <c r="P1187" s="6"/>
      <c r="Q1187" s="6"/>
      <c r="R1187" s="6"/>
      <c r="S1187" s="6"/>
    </row>
    <row r="1188" ht="22.5" hidden="1" customHeight="1">
      <c r="A1188" s="49"/>
      <c r="B1188" s="61"/>
      <c r="C1188" s="34"/>
      <c r="D1188" s="55"/>
      <c r="E1188" s="59"/>
      <c r="F1188" s="60"/>
      <c r="G1188" s="29"/>
      <c r="H1188" s="6"/>
      <c r="I1188" s="6"/>
      <c r="J1188" s="6"/>
      <c r="K1188" s="6"/>
      <c r="L1188" s="6"/>
      <c r="M1188" s="6"/>
      <c r="N1188" s="6"/>
      <c r="O1188" s="6"/>
      <c r="P1188" s="6"/>
      <c r="Q1188" s="6"/>
      <c r="R1188" s="6"/>
      <c r="S1188" s="6"/>
    </row>
    <row r="1189" ht="22.5" hidden="1" customHeight="1">
      <c r="A1189" s="49"/>
      <c r="B1189" s="61"/>
      <c r="C1189" s="34"/>
      <c r="D1189" s="55"/>
      <c r="E1189" s="59"/>
      <c r="F1189" s="60"/>
      <c r="G1189" s="29"/>
      <c r="H1189" s="6"/>
      <c r="I1189" s="6"/>
      <c r="J1189" s="6"/>
      <c r="K1189" s="6"/>
      <c r="L1189" s="6"/>
      <c r="M1189" s="6"/>
      <c r="N1189" s="6"/>
      <c r="O1189" s="6"/>
      <c r="P1189" s="6"/>
      <c r="Q1189" s="6"/>
      <c r="R1189" s="6"/>
      <c r="S1189" s="6"/>
    </row>
    <row r="1190" ht="22.5" hidden="1" customHeight="1">
      <c r="A1190" s="49"/>
      <c r="B1190" s="61"/>
      <c r="C1190" s="34"/>
      <c r="D1190" s="55"/>
      <c r="E1190" s="59"/>
      <c r="F1190" s="60"/>
      <c r="G1190" s="29"/>
      <c r="H1190" s="6"/>
      <c r="I1190" s="6"/>
      <c r="J1190" s="6"/>
      <c r="K1190" s="6"/>
      <c r="L1190" s="6"/>
      <c r="M1190" s="6"/>
      <c r="N1190" s="6"/>
      <c r="O1190" s="6"/>
      <c r="P1190" s="6"/>
      <c r="Q1190" s="6"/>
      <c r="R1190" s="6"/>
      <c r="S1190" s="6"/>
    </row>
    <row r="1191" ht="22.5" hidden="1" customHeight="1">
      <c r="A1191" s="49"/>
      <c r="B1191" s="61"/>
      <c r="C1191" s="34"/>
      <c r="D1191" s="55"/>
      <c r="E1191" s="59"/>
      <c r="F1191" s="60"/>
      <c r="G1191" s="29"/>
      <c r="H1191" s="6"/>
      <c r="I1191" s="6"/>
      <c r="J1191" s="6"/>
      <c r="K1191" s="6"/>
      <c r="L1191" s="6"/>
      <c r="M1191" s="6"/>
      <c r="N1191" s="6"/>
      <c r="O1191" s="6"/>
      <c r="P1191" s="6"/>
      <c r="Q1191" s="6"/>
      <c r="R1191" s="6"/>
      <c r="S1191" s="6"/>
    </row>
    <row r="1192" ht="22.5" hidden="1" customHeight="1">
      <c r="A1192" s="49"/>
      <c r="B1192" s="61"/>
      <c r="C1192" s="34"/>
      <c r="D1192" s="55"/>
      <c r="E1192" s="59"/>
      <c r="F1192" s="60"/>
      <c r="G1192" s="29"/>
      <c r="H1192" s="6"/>
      <c r="I1192" s="6"/>
      <c r="J1192" s="6"/>
      <c r="K1192" s="6"/>
      <c r="L1192" s="6"/>
      <c r="M1192" s="6"/>
      <c r="N1192" s="6"/>
      <c r="O1192" s="6"/>
      <c r="P1192" s="6"/>
      <c r="Q1192" s="6"/>
      <c r="R1192" s="6"/>
      <c r="S1192" s="6"/>
    </row>
    <row r="1193" ht="22.5" hidden="1" customHeight="1">
      <c r="A1193" s="49"/>
      <c r="B1193" s="61"/>
      <c r="C1193" s="34"/>
      <c r="D1193" s="55"/>
      <c r="E1193" s="59"/>
      <c r="F1193" s="60"/>
      <c r="G1193" s="29"/>
      <c r="H1193" s="6"/>
      <c r="I1193" s="6"/>
      <c r="J1193" s="6"/>
      <c r="K1193" s="6"/>
      <c r="L1193" s="6"/>
      <c r="M1193" s="6"/>
      <c r="N1193" s="6"/>
      <c r="O1193" s="6"/>
      <c r="P1193" s="6"/>
      <c r="Q1193" s="6"/>
      <c r="R1193" s="6"/>
      <c r="S1193" s="6"/>
    </row>
    <row r="1194" ht="22.5" hidden="1" customHeight="1">
      <c r="A1194" s="49"/>
      <c r="B1194" s="61"/>
      <c r="C1194" s="34"/>
      <c r="D1194" s="55"/>
      <c r="E1194" s="59"/>
      <c r="F1194" s="60"/>
      <c r="G1194" s="29"/>
      <c r="H1194" s="6"/>
      <c r="I1194" s="6"/>
      <c r="J1194" s="6"/>
      <c r="K1194" s="6"/>
      <c r="L1194" s="6"/>
      <c r="M1194" s="6"/>
      <c r="N1194" s="6"/>
      <c r="O1194" s="6"/>
      <c r="P1194" s="6"/>
      <c r="Q1194" s="6"/>
      <c r="R1194" s="6"/>
      <c r="S1194" s="6"/>
    </row>
    <row r="1195" ht="22.5" hidden="1" customHeight="1">
      <c r="A1195" s="49"/>
      <c r="B1195" s="61"/>
      <c r="C1195" s="34"/>
      <c r="D1195" s="55"/>
      <c r="E1195" s="59"/>
      <c r="F1195" s="60"/>
      <c r="G1195" s="29"/>
      <c r="H1195" s="6"/>
      <c r="I1195" s="6"/>
      <c r="J1195" s="6"/>
      <c r="K1195" s="6"/>
      <c r="L1195" s="6"/>
      <c r="M1195" s="6"/>
      <c r="N1195" s="6"/>
      <c r="O1195" s="6"/>
      <c r="P1195" s="6"/>
      <c r="Q1195" s="6"/>
      <c r="R1195" s="6"/>
      <c r="S1195" s="6"/>
    </row>
    <row r="1196" ht="22.5" hidden="1" customHeight="1">
      <c r="A1196" s="49"/>
      <c r="B1196" s="61"/>
      <c r="C1196" s="34"/>
      <c r="D1196" s="55"/>
      <c r="E1196" s="59"/>
      <c r="F1196" s="60"/>
      <c r="G1196" s="29"/>
      <c r="H1196" s="6"/>
      <c r="I1196" s="6"/>
      <c r="J1196" s="6"/>
      <c r="K1196" s="6"/>
      <c r="L1196" s="6"/>
      <c r="M1196" s="6"/>
      <c r="N1196" s="6"/>
      <c r="O1196" s="6"/>
      <c r="P1196" s="6"/>
      <c r="Q1196" s="6"/>
      <c r="R1196" s="6"/>
      <c r="S1196" s="6"/>
    </row>
    <row r="1197" ht="22.5" hidden="1" customHeight="1">
      <c r="A1197" s="49"/>
      <c r="B1197" s="61"/>
      <c r="C1197" s="34"/>
      <c r="D1197" s="55"/>
      <c r="E1197" s="59"/>
      <c r="F1197" s="60"/>
      <c r="G1197" s="29"/>
      <c r="H1197" s="6"/>
      <c r="I1197" s="6"/>
      <c r="J1197" s="6"/>
      <c r="K1197" s="6"/>
      <c r="L1197" s="6"/>
      <c r="M1197" s="6"/>
      <c r="N1197" s="6"/>
      <c r="O1197" s="6"/>
      <c r="P1197" s="6"/>
      <c r="Q1197" s="6"/>
      <c r="R1197" s="6"/>
      <c r="S1197" s="6"/>
    </row>
    <row r="1198" ht="22.5" hidden="1" customHeight="1">
      <c r="A1198" s="49"/>
      <c r="B1198" s="61"/>
      <c r="C1198" s="34"/>
      <c r="D1198" s="55"/>
      <c r="E1198" s="59"/>
      <c r="F1198" s="60"/>
      <c r="G1198" s="29"/>
      <c r="H1198" s="6"/>
      <c r="I1198" s="6"/>
      <c r="J1198" s="6"/>
      <c r="K1198" s="6"/>
      <c r="L1198" s="6"/>
      <c r="M1198" s="6"/>
      <c r="N1198" s="6"/>
      <c r="O1198" s="6"/>
      <c r="P1198" s="6"/>
      <c r="Q1198" s="6"/>
      <c r="R1198" s="6"/>
      <c r="S1198" s="6"/>
    </row>
    <row r="1199" ht="22.5" hidden="1" customHeight="1">
      <c r="A1199" s="49"/>
      <c r="B1199" s="61"/>
      <c r="C1199" s="34"/>
      <c r="D1199" s="55"/>
      <c r="E1199" s="59"/>
      <c r="F1199" s="60"/>
      <c r="G1199" s="29"/>
      <c r="H1199" s="6"/>
      <c r="I1199" s="6"/>
      <c r="J1199" s="6"/>
      <c r="K1199" s="6"/>
      <c r="L1199" s="6"/>
      <c r="M1199" s="6"/>
      <c r="N1199" s="6"/>
      <c r="O1199" s="6"/>
      <c r="P1199" s="6"/>
      <c r="Q1199" s="6"/>
      <c r="R1199" s="6"/>
      <c r="S1199" s="6"/>
    </row>
    <row r="1200" ht="22.5" hidden="1" customHeight="1">
      <c r="A1200" s="49"/>
      <c r="B1200" s="61"/>
      <c r="C1200" s="34"/>
      <c r="D1200" s="55"/>
      <c r="E1200" s="59"/>
      <c r="F1200" s="60"/>
      <c r="G1200" s="29"/>
      <c r="H1200" s="6"/>
      <c r="I1200" s="6"/>
      <c r="J1200" s="6"/>
      <c r="K1200" s="6"/>
      <c r="L1200" s="6"/>
      <c r="M1200" s="6"/>
      <c r="N1200" s="6"/>
      <c r="O1200" s="6"/>
      <c r="P1200" s="6"/>
      <c r="Q1200" s="6"/>
      <c r="R1200" s="6"/>
      <c r="S1200" s="6"/>
    </row>
    <row r="1201" ht="22.5" hidden="1" customHeight="1">
      <c r="A1201" s="49"/>
      <c r="B1201" s="61"/>
      <c r="C1201" s="34"/>
      <c r="D1201" s="55"/>
      <c r="E1201" s="59"/>
      <c r="F1201" s="60"/>
      <c r="G1201" s="29"/>
      <c r="H1201" s="6"/>
      <c r="I1201" s="6"/>
      <c r="J1201" s="6"/>
      <c r="K1201" s="6"/>
      <c r="L1201" s="6"/>
      <c r="M1201" s="6"/>
      <c r="N1201" s="6"/>
      <c r="O1201" s="6"/>
      <c r="P1201" s="6"/>
      <c r="Q1201" s="6"/>
      <c r="R1201" s="6"/>
      <c r="S1201" s="6"/>
    </row>
    <row r="1202" ht="22.5" hidden="1" customHeight="1">
      <c r="A1202" s="49"/>
      <c r="B1202" s="61"/>
      <c r="C1202" s="34"/>
      <c r="D1202" s="55"/>
      <c r="E1202" s="59"/>
      <c r="F1202" s="60"/>
      <c r="G1202" s="29"/>
      <c r="H1202" s="6"/>
      <c r="I1202" s="6"/>
      <c r="J1202" s="6"/>
      <c r="K1202" s="6"/>
      <c r="L1202" s="6"/>
      <c r="M1202" s="6"/>
      <c r="N1202" s="6"/>
      <c r="O1202" s="6"/>
      <c r="P1202" s="6"/>
      <c r="Q1202" s="6"/>
      <c r="R1202" s="6"/>
      <c r="S1202" s="6"/>
    </row>
    <row r="1203" ht="22.5" hidden="1" customHeight="1">
      <c r="A1203" s="49"/>
      <c r="B1203" s="61"/>
      <c r="C1203" s="34"/>
      <c r="D1203" s="55"/>
      <c r="E1203" s="59"/>
      <c r="F1203" s="60"/>
      <c r="G1203" s="29"/>
      <c r="H1203" s="6"/>
      <c r="I1203" s="6"/>
      <c r="J1203" s="6"/>
      <c r="K1203" s="6"/>
      <c r="L1203" s="6"/>
      <c r="M1203" s="6"/>
      <c r="N1203" s="6"/>
      <c r="O1203" s="6"/>
      <c r="P1203" s="6"/>
      <c r="Q1203" s="6"/>
      <c r="R1203" s="6"/>
      <c r="S1203" s="6"/>
    </row>
    <row r="1204" ht="22.5" hidden="1" customHeight="1">
      <c r="A1204" s="49"/>
      <c r="B1204" s="61"/>
      <c r="C1204" s="34"/>
      <c r="D1204" s="55"/>
      <c r="E1204" s="59"/>
      <c r="F1204" s="60"/>
      <c r="G1204" s="29"/>
      <c r="H1204" s="6"/>
      <c r="I1204" s="6"/>
      <c r="J1204" s="6"/>
      <c r="K1204" s="6"/>
      <c r="L1204" s="6"/>
      <c r="M1204" s="6"/>
      <c r="N1204" s="6"/>
      <c r="O1204" s="6"/>
      <c r="P1204" s="6"/>
      <c r="Q1204" s="6"/>
      <c r="R1204" s="6"/>
      <c r="S1204" s="6"/>
    </row>
    <row r="1205" ht="22.5" hidden="1" customHeight="1">
      <c r="A1205" s="49"/>
      <c r="B1205" s="61"/>
      <c r="C1205" s="34"/>
      <c r="D1205" s="55"/>
      <c r="E1205" s="59"/>
      <c r="F1205" s="60"/>
      <c r="G1205" s="29"/>
      <c r="H1205" s="6"/>
      <c r="I1205" s="6"/>
      <c r="J1205" s="6"/>
      <c r="K1205" s="6"/>
      <c r="L1205" s="6"/>
      <c r="M1205" s="6"/>
      <c r="N1205" s="6"/>
      <c r="O1205" s="6"/>
      <c r="P1205" s="6"/>
      <c r="Q1205" s="6"/>
      <c r="R1205" s="6"/>
      <c r="S1205" s="6"/>
    </row>
    <row r="1206" ht="22.5" hidden="1" customHeight="1">
      <c r="A1206" s="49"/>
      <c r="B1206" s="61"/>
      <c r="C1206" s="34"/>
      <c r="D1206" s="55"/>
      <c r="E1206" s="59"/>
      <c r="F1206" s="60"/>
      <c r="G1206" s="29"/>
      <c r="H1206" s="6"/>
      <c r="I1206" s="6"/>
      <c r="J1206" s="6"/>
      <c r="K1206" s="6"/>
      <c r="L1206" s="6"/>
      <c r="M1206" s="6"/>
      <c r="N1206" s="6"/>
      <c r="O1206" s="6"/>
      <c r="P1206" s="6"/>
      <c r="Q1206" s="6"/>
      <c r="R1206" s="6"/>
      <c r="S1206" s="6"/>
    </row>
    <row r="1207" ht="22.5" hidden="1" customHeight="1">
      <c r="A1207" s="49"/>
      <c r="B1207" s="61"/>
      <c r="C1207" s="34"/>
      <c r="D1207" s="55"/>
      <c r="E1207" s="59"/>
      <c r="F1207" s="60"/>
      <c r="G1207" s="29"/>
      <c r="H1207" s="6"/>
      <c r="I1207" s="6"/>
      <c r="J1207" s="6"/>
      <c r="K1207" s="6"/>
      <c r="L1207" s="6"/>
      <c r="M1207" s="6"/>
      <c r="N1207" s="6"/>
      <c r="O1207" s="6"/>
      <c r="P1207" s="6"/>
      <c r="Q1207" s="6"/>
      <c r="R1207" s="6"/>
      <c r="S1207" s="6"/>
    </row>
    <row r="1208" ht="22.5" hidden="1" customHeight="1">
      <c r="A1208" s="49"/>
      <c r="B1208" s="61"/>
      <c r="C1208" s="34"/>
      <c r="D1208" s="55"/>
      <c r="E1208" s="59"/>
      <c r="F1208" s="60"/>
      <c r="G1208" s="29"/>
      <c r="H1208" s="6"/>
      <c r="I1208" s="6"/>
      <c r="J1208" s="6"/>
      <c r="K1208" s="6"/>
      <c r="L1208" s="6"/>
      <c r="M1208" s="6"/>
      <c r="N1208" s="6"/>
      <c r="O1208" s="6"/>
      <c r="P1208" s="6"/>
      <c r="Q1208" s="6"/>
      <c r="R1208" s="6"/>
      <c r="S1208" s="6"/>
    </row>
    <row r="1209" ht="22.5" hidden="1" customHeight="1">
      <c r="A1209" s="49"/>
      <c r="B1209" s="61"/>
      <c r="C1209" s="34"/>
      <c r="D1209" s="55"/>
      <c r="E1209" s="59"/>
      <c r="F1209" s="60"/>
      <c r="G1209" s="29"/>
      <c r="H1209" s="6"/>
      <c r="I1209" s="6"/>
      <c r="J1209" s="6"/>
      <c r="K1209" s="6"/>
      <c r="L1209" s="6"/>
      <c r="M1209" s="6"/>
      <c r="N1209" s="6"/>
      <c r="O1209" s="6"/>
      <c r="P1209" s="6"/>
      <c r="Q1209" s="6"/>
      <c r="R1209" s="6"/>
      <c r="S1209" s="6"/>
    </row>
    <row r="1210" ht="22.5" hidden="1" customHeight="1">
      <c r="A1210" s="49"/>
      <c r="B1210" s="61"/>
      <c r="C1210" s="34"/>
      <c r="D1210" s="55"/>
      <c r="E1210" s="59"/>
      <c r="F1210" s="60"/>
      <c r="G1210" s="29"/>
      <c r="H1210" s="6"/>
      <c r="I1210" s="6"/>
      <c r="J1210" s="6"/>
      <c r="K1210" s="6"/>
      <c r="L1210" s="6"/>
      <c r="M1210" s="6"/>
      <c r="N1210" s="6"/>
      <c r="O1210" s="6"/>
      <c r="P1210" s="6"/>
      <c r="Q1210" s="6"/>
      <c r="R1210" s="6"/>
      <c r="S1210" s="6"/>
    </row>
    <row r="1211" ht="22.5" hidden="1" customHeight="1">
      <c r="A1211" s="49"/>
      <c r="B1211" s="61"/>
      <c r="C1211" s="34"/>
      <c r="D1211" s="55"/>
      <c r="E1211" s="59"/>
      <c r="F1211" s="60"/>
      <c r="G1211" s="29"/>
      <c r="H1211" s="6"/>
      <c r="I1211" s="6"/>
      <c r="J1211" s="6"/>
      <c r="K1211" s="6"/>
      <c r="L1211" s="6"/>
      <c r="M1211" s="6"/>
      <c r="N1211" s="6"/>
      <c r="O1211" s="6"/>
      <c r="P1211" s="6"/>
      <c r="Q1211" s="6"/>
      <c r="R1211" s="6"/>
      <c r="S1211" s="6"/>
    </row>
    <row r="1212" ht="22.5" hidden="1" customHeight="1">
      <c r="A1212" s="49"/>
      <c r="B1212" s="61"/>
      <c r="C1212" s="34"/>
      <c r="D1212" s="55"/>
      <c r="E1212" s="59"/>
      <c r="F1212" s="60"/>
      <c r="G1212" s="29"/>
      <c r="H1212" s="6"/>
      <c r="I1212" s="6"/>
      <c r="J1212" s="6"/>
      <c r="K1212" s="6"/>
      <c r="L1212" s="6"/>
      <c r="M1212" s="6"/>
      <c r="N1212" s="6"/>
      <c r="O1212" s="6"/>
      <c r="P1212" s="6"/>
      <c r="Q1212" s="6"/>
      <c r="R1212" s="6"/>
      <c r="S1212" s="6"/>
    </row>
    <row r="1213" ht="22.5" hidden="1" customHeight="1">
      <c r="A1213" s="49"/>
      <c r="B1213" s="61"/>
      <c r="C1213" s="34"/>
      <c r="D1213" s="55"/>
      <c r="E1213" s="59"/>
      <c r="F1213" s="60"/>
      <c r="G1213" s="29"/>
      <c r="H1213" s="6"/>
      <c r="I1213" s="6"/>
      <c r="J1213" s="6"/>
      <c r="K1213" s="6"/>
      <c r="L1213" s="6"/>
      <c r="M1213" s="6"/>
      <c r="N1213" s="6"/>
      <c r="O1213" s="6"/>
      <c r="P1213" s="6"/>
      <c r="Q1213" s="6"/>
      <c r="R1213" s="6"/>
      <c r="S1213" s="6"/>
    </row>
    <row r="1214" ht="22.5" hidden="1" customHeight="1">
      <c r="A1214" s="49"/>
      <c r="B1214" s="61"/>
      <c r="C1214" s="34"/>
      <c r="D1214" s="55"/>
      <c r="E1214" s="59"/>
      <c r="F1214" s="60"/>
      <c r="G1214" s="29"/>
      <c r="H1214" s="6"/>
      <c r="I1214" s="6"/>
      <c r="J1214" s="6"/>
      <c r="K1214" s="6"/>
      <c r="L1214" s="6"/>
      <c r="M1214" s="6"/>
      <c r="N1214" s="6"/>
      <c r="O1214" s="6"/>
      <c r="P1214" s="6"/>
      <c r="Q1214" s="6"/>
      <c r="R1214" s="6"/>
      <c r="S1214" s="6"/>
    </row>
    <row r="1215" ht="22.5" hidden="1" customHeight="1">
      <c r="A1215" s="49"/>
      <c r="B1215" s="61"/>
      <c r="C1215" s="34"/>
      <c r="D1215" s="55"/>
      <c r="E1215" s="59"/>
      <c r="F1215" s="60"/>
      <c r="G1215" s="29"/>
      <c r="H1215" s="6"/>
      <c r="I1215" s="6"/>
      <c r="J1215" s="6"/>
      <c r="K1215" s="6"/>
      <c r="L1215" s="6"/>
      <c r="M1215" s="6"/>
      <c r="N1215" s="6"/>
      <c r="O1215" s="6"/>
      <c r="P1215" s="6"/>
      <c r="Q1215" s="6"/>
      <c r="R1215" s="6"/>
      <c r="S1215" s="6"/>
    </row>
    <row r="1216" ht="22.5" hidden="1" customHeight="1">
      <c r="A1216" s="49"/>
      <c r="B1216" s="61"/>
      <c r="C1216" s="34"/>
      <c r="D1216" s="55"/>
      <c r="E1216" s="59"/>
      <c r="F1216" s="60"/>
      <c r="G1216" s="29"/>
      <c r="H1216" s="6"/>
      <c r="I1216" s="6"/>
      <c r="J1216" s="6"/>
      <c r="K1216" s="6"/>
      <c r="L1216" s="6"/>
      <c r="M1216" s="6"/>
      <c r="N1216" s="6"/>
      <c r="O1216" s="6"/>
      <c r="P1216" s="6"/>
      <c r="Q1216" s="6"/>
      <c r="R1216" s="6"/>
      <c r="S1216" s="6"/>
    </row>
    <row r="1217" ht="22.5" hidden="1" customHeight="1">
      <c r="A1217" s="49"/>
      <c r="B1217" s="61"/>
      <c r="C1217" s="34"/>
      <c r="D1217" s="55"/>
      <c r="E1217" s="59"/>
      <c r="F1217" s="60"/>
      <c r="G1217" s="29"/>
      <c r="H1217" s="6"/>
      <c r="I1217" s="6"/>
      <c r="J1217" s="6"/>
      <c r="K1217" s="6"/>
      <c r="L1217" s="6"/>
      <c r="M1217" s="6"/>
      <c r="N1217" s="6"/>
      <c r="O1217" s="6"/>
      <c r="P1217" s="6"/>
      <c r="Q1217" s="6"/>
      <c r="R1217" s="6"/>
      <c r="S1217" s="6"/>
    </row>
    <row r="1218" ht="22.5" hidden="1" customHeight="1">
      <c r="A1218" s="49"/>
      <c r="B1218" s="61"/>
      <c r="C1218" s="34"/>
      <c r="D1218" s="55"/>
      <c r="E1218" s="59"/>
      <c r="F1218" s="60"/>
      <c r="G1218" s="29"/>
      <c r="H1218" s="6"/>
      <c r="I1218" s="6"/>
      <c r="J1218" s="6"/>
      <c r="K1218" s="6"/>
      <c r="L1218" s="6"/>
      <c r="M1218" s="6"/>
      <c r="N1218" s="6"/>
      <c r="O1218" s="6"/>
      <c r="P1218" s="6"/>
      <c r="Q1218" s="6"/>
      <c r="R1218" s="6"/>
      <c r="S1218" s="6"/>
    </row>
    <row r="1219" ht="22.5" hidden="1" customHeight="1">
      <c r="A1219" s="49"/>
      <c r="B1219" s="61"/>
      <c r="C1219" s="34"/>
      <c r="D1219" s="55"/>
      <c r="E1219" s="59"/>
      <c r="F1219" s="60"/>
      <c r="G1219" s="29"/>
      <c r="H1219" s="6"/>
      <c r="I1219" s="6"/>
      <c r="J1219" s="6"/>
      <c r="K1219" s="6"/>
      <c r="L1219" s="6"/>
      <c r="M1219" s="6"/>
      <c r="N1219" s="6"/>
      <c r="O1219" s="6"/>
      <c r="P1219" s="6"/>
      <c r="Q1219" s="6"/>
      <c r="R1219" s="6"/>
      <c r="S1219" s="6"/>
    </row>
    <row r="1220" ht="22.5" hidden="1" customHeight="1">
      <c r="A1220" s="49"/>
      <c r="B1220" s="61"/>
      <c r="C1220" s="34"/>
      <c r="D1220" s="55"/>
      <c r="E1220" s="59"/>
      <c r="F1220" s="60"/>
      <c r="G1220" s="29"/>
      <c r="H1220" s="6"/>
      <c r="I1220" s="6"/>
      <c r="J1220" s="6"/>
      <c r="K1220" s="6"/>
      <c r="L1220" s="6"/>
      <c r="M1220" s="6"/>
      <c r="N1220" s="6"/>
      <c r="O1220" s="6"/>
      <c r="P1220" s="6"/>
      <c r="Q1220" s="6"/>
      <c r="R1220" s="6"/>
      <c r="S1220" s="6"/>
    </row>
    <row r="1221" ht="22.5" hidden="1" customHeight="1">
      <c r="A1221" s="49"/>
      <c r="B1221" s="61"/>
      <c r="C1221" s="34"/>
      <c r="D1221" s="55"/>
      <c r="E1221" s="59"/>
      <c r="F1221" s="60"/>
      <c r="G1221" s="29"/>
      <c r="H1221" s="6"/>
      <c r="I1221" s="6"/>
      <c r="J1221" s="6"/>
      <c r="K1221" s="6"/>
      <c r="L1221" s="6"/>
      <c r="M1221" s="6"/>
      <c r="N1221" s="6"/>
      <c r="O1221" s="6"/>
      <c r="P1221" s="6"/>
      <c r="Q1221" s="6"/>
      <c r="R1221" s="6"/>
      <c r="S1221" s="6"/>
    </row>
    <row r="1222" ht="22.5" hidden="1" customHeight="1">
      <c r="A1222" s="49"/>
      <c r="B1222" s="61"/>
      <c r="C1222" s="34"/>
      <c r="D1222" s="55"/>
      <c r="E1222" s="59"/>
      <c r="F1222" s="60"/>
      <c r="G1222" s="29"/>
      <c r="H1222" s="6"/>
      <c r="I1222" s="6"/>
      <c r="J1222" s="6"/>
      <c r="K1222" s="6"/>
      <c r="L1222" s="6"/>
      <c r="M1222" s="6"/>
      <c r="N1222" s="6"/>
      <c r="O1222" s="6"/>
      <c r="P1222" s="6"/>
      <c r="Q1222" s="6"/>
      <c r="R1222" s="6"/>
      <c r="S1222" s="6"/>
    </row>
    <row r="1223" ht="22.5" hidden="1" customHeight="1">
      <c r="A1223" s="49"/>
      <c r="B1223" s="61"/>
      <c r="C1223" s="34"/>
      <c r="D1223" s="55"/>
      <c r="E1223" s="59"/>
      <c r="F1223" s="60"/>
      <c r="G1223" s="29"/>
      <c r="H1223" s="6"/>
      <c r="I1223" s="6"/>
      <c r="J1223" s="6"/>
      <c r="K1223" s="6"/>
      <c r="L1223" s="6"/>
      <c r="M1223" s="6"/>
      <c r="N1223" s="6"/>
      <c r="O1223" s="6"/>
      <c r="P1223" s="6"/>
      <c r="Q1223" s="6"/>
      <c r="R1223" s="6"/>
      <c r="S1223" s="6"/>
    </row>
    <row r="1224" ht="22.5" hidden="1" customHeight="1">
      <c r="A1224" s="49"/>
      <c r="B1224" s="61"/>
      <c r="C1224" s="34"/>
      <c r="D1224" s="55"/>
      <c r="E1224" s="59"/>
      <c r="F1224" s="60"/>
      <c r="G1224" s="29"/>
      <c r="H1224" s="6"/>
      <c r="I1224" s="6"/>
      <c r="J1224" s="6"/>
      <c r="K1224" s="6"/>
      <c r="L1224" s="6"/>
      <c r="M1224" s="6"/>
      <c r="N1224" s="6"/>
      <c r="O1224" s="6"/>
      <c r="P1224" s="6"/>
      <c r="Q1224" s="6"/>
      <c r="R1224" s="6"/>
      <c r="S1224" s="6"/>
    </row>
    <row r="1225" ht="22.5" hidden="1" customHeight="1">
      <c r="A1225" s="49"/>
      <c r="B1225" s="61"/>
      <c r="C1225" s="34"/>
      <c r="D1225" s="55"/>
      <c r="E1225" s="59"/>
      <c r="F1225" s="60"/>
      <c r="G1225" s="29"/>
      <c r="H1225" s="6"/>
      <c r="I1225" s="6"/>
      <c r="J1225" s="6"/>
      <c r="K1225" s="6"/>
      <c r="L1225" s="6"/>
      <c r="M1225" s="6"/>
      <c r="N1225" s="6"/>
      <c r="O1225" s="6"/>
      <c r="P1225" s="6"/>
      <c r="Q1225" s="6"/>
      <c r="R1225" s="6"/>
      <c r="S1225" s="6"/>
    </row>
    <row r="1226" ht="22.5" hidden="1" customHeight="1">
      <c r="A1226" s="49"/>
      <c r="B1226" s="61"/>
      <c r="C1226" s="34"/>
      <c r="D1226" s="55"/>
      <c r="E1226" s="59"/>
      <c r="F1226" s="60"/>
      <c r="G1226" s="29"/>
      <c r="H1226" s="6"/>
      <c r="I1226" s="6"/>
      <c r="J1226" s="6"/>
      <c r="K1226" s="6"/>
      <c r="L1226" s="6"/>
      <c r="M1226" s="6"/>
      <c r="N1226" s="6"/>
      <c r="O1226" s="6"/>
      <c r="P1226" s="6"/>
      <c r="Q1226" s="6"/>
      <c r="R1226" s="6"/>
      <c r="S1226" s="6"/>
    </row>
    <row r="1227" ht="22.5" hidden="1" customHeight="1">
      <c r="A1227" s="49"/>
      <c r="B1227" s="61"/>
      <c r="C1227" s="34"/>
      <c r="D1227" s="55"/>
      <c r="E1227" s="59"/>
      <c r="F1227" s="60"/>
      <c r="G1227" s="29"/>
      <c r="H1227" s="6"/>
      <c r="I1227" s="6"/>
      <c r="J1227" s="6"/>
      <c r="K1227" s="6"/>
      <c r="L1227" s="6"/>
      <c r="M1227" s="6"/>
      <c r="N1227" s="6"/>
      <c r="O1227" s="6"/>
      <c r="P1227" s="6"/>
      <c r="Q1227" s="6"/>
      <c r="R1227" s="6"/>
      <c r="S1227" s="6"/>
    </row>
    <row r="1228" ht="22.5" hidden="1" customHeight="1">
      <c r="A1228" s="49"/>
      <c r="B1228" s="61"/>
      <c r="C1228" s="34"/>
      <c r="D1228" s="55"/>
      <c r="E1228" s="59"/>
      <c r="F1228" s="60"/>
      <c r="G1228" s="29"/>
      <c r="H1228" s="6"/>
      <c r="I1228" s="6"/>
      <c r="J1228" s="6"/>
      <c r="K1228" s="6"/>
      <c r="L1228" s="6"/>
      <c r="M1228" s="6"/>
      <c r="N1228" s="6"/>
      <c r="O1228" s="6"/>
      <c r="P1228" s="6"/>
      <c r="Q1228" s="6"/>
      <c r="R1228" s="6"/>
      <c r="S1228" s="6"/>
    </row>
    <row r="1229" ht="22.5" hidden="1" customHeight="1">
      <c r="A1229" s="49"/>
      <c r="B1229" s="61"/>
      <c r="C1229" s="34"/>
      <c r="D1229" s="55"/>
      <c r="E1229" s="59"/>
      <c r="F1229" s="60"/>
      <c r="G1229" s="29"/>
      <c r="H1229" s="6"/>
      <c r="I1229" s="6"/>
      <c r="J1229" s="6"/>
      <c r="K1229" s="6"/>
      <c r="L1229" s="6"/>
      <c r="M1229" s="6"/>
      <c r="N1229" s="6"/>
      <c r="O1229" s="6"/>
      <c r="P1229" s="6"/>
      <c r="Q1229" s="6"/>
      <c r="R1229" s="6"/>
      <c r="S1229" s="6"/>
    </row>
    <row r="1230" ht="22.5" hidden="1" customHeight="1">
      <c r="A1230" s="49"/>
      <c r="B1230" s="61"/>
      <c r="C1230" s="34"/>
      <c r="D1230" s="55"/>
      <c r="E1230" s="59"/>
      <c r="F1230" s="60"/>
      <c r="G1230" s="29"/>
      <c r="H1230" s="6"/>
      <c r="I1230" s="6"/>
      <c r="J1230" s="6"/>
      <c r="K1230" s="6"/>
      <c r="L1230" s="6"/>
      <c r="M1230" s="6"/>
      <c r="N1230" s="6"/>
      <c r="O1230" s="6"/>
      <c r="P1230" s="6"/>
      <c r="Q1230" s="6"/>
      <c r="R1230" s="6"/>
      <c r="S1230" s="6"/>
    </row>
    <row r="1231" ht="22.5" hidden="1" customHeight="1">
      <c r="A1231" s="49"/>
      <c r="B1231" s="61"/>
      <c r="C1231" s="34"/>
      <c r="D1231" s="55"/>
      <c r="E1231" s="59"/>
      <c r="F1231" s="60"/>
      <c r="G1231" s="29"/>
      <c r="H1231" s="6"/>
      <c r="I1231" s="6"/>
      <c r="J1231" s="6"/>
      <c r="K1231" s="6"/>
      <c r="L1231" s="6"/>
      <c r="M1231" s="6"/>
      <c r="N1231" s="6"/>
      <c r="O1231" s="6"/>
      <c r="P1231" s="6"/>
      <c r="Q1231" s="6"/>
      <c r="R1231" s="6"/>
      <c r="S1231" s="6"/>
    </row>
    <row r="1232" ht="22.5" hidden="1" customHeight="1">
      <c r="A1232" s="49"/>
      <c r="B1232" s="61"/>
      <c r="C1232" s="34"/>
      <c r="D1232" s="55"/>
      <c r="E1232" s="59"/>
      <c r="F1232" s="60"/>
      <c r="G1232" s="29"/>
      <c r="H1232" s="6"/>
      <c r="I1232" s="6"/>
      <c r="J1232" s="6"/>
      <c r="K1232" s="6"/>
      <c r="L1232" s="6"/>
      <c r="M1232" s="6"/>
      <c r="N1232" s="6"/>
      <c r="O1232" s="6"/>
      <c r="P1232" s="6"/>
      <c r="Q1232" s="6"/>
      <c r="R1232" s="6"/>
      <c r="S1232" s="6"/>
    </row>
    <row r="1233" ht="22.5" hidden="1" customHeight="1">
      <c r="A1233" s="49"/>
      <c r="B1233" s="61"/>
      <c r="C1233" s="34"/>
      <c r="D1233" s="55"/>
      <c r="E1233" s="59"/>
      <c r="F1233" s="60"/>
      <c r="G1233" s="29"/>
      <c r="H1233" s="6"/>
      <c r="I1233" s="6"/>
      <c r="J1233" s="6"/>
      <c r="K1233" s="6"/>
      <c r="L1233" s="6"/>
      <c r="M1233" s="6"/>
      <c r="N1233" s="6"/>
      <c r="O1233" s="6"/>
      <c r="P1233" s="6"/>
      <c r="Q1233" s="6"/>
      <c r="R1233" s="6"/>
      <c r="S1233" s="6"/>
    </row>
    <row r="1234" ht="22.5" hidden="1" customHeight="1">
      <c r="A1234" s="49"/>
      <c r="B1234" s="61"/>
      <c r="C1234" s="34"/>
      <c r="D1234" s="55"/>
      <c r="E1234" s="59"/>
      <c r="F1234" s="60"/>
      <c r="G1234" s="29"/>
      <c r="H1234" s="6"/>
      <c r="I1234" s="6"/>
      <c r="J1234" s="6"/>
      <c r="K1234" s="6"/>
      <c r="L1234" s="6"/>
      <c r="M1234" s="6"/>
      <c r="N1234" s="6"/>
      <c r="O1234" s="6"/>
      <c r="P1234" s="6"/>
      <c r="Q1234" s="6"/>
      <c r="R1234" s="6"/>
      <c r="S1234" s="6"/>
    </row>
    <row r="1235" ht="22.5" hidden="1" customHeight="1">
      <c r="A1235" s="49"/>
      <c r="B1235" s="61"/>
      <c r="C1235" s="34"/>
      <c r="D1235" s="55"/>
      <c r="E1235" s="59"/>
      <c r="F1235" s="60"/>
      <c r="G1235" s="29"/>
      <c r="H1235" s="6"/>
      <c r="I1235" s="6"/>
      <c r="J1235" s="6"/>
      <c r="K1235" s="6"/>
      <c r="L1235" s="6"/>
      <c r="M1235" s="6"/>
      <c r="N1235" s="6"/>
      <c r="O1235" s="6"/>
      <c r="P1235" s="6"/>
      <c r="Q1235" s="6"/>
      <c r="R1235" s="6"/>
      <c r="S1235" s="6"/>
    </row>
    <row r="1236" ht="22.5" hidden="1" customHeight="1">
      <c r="A1236" s="49"/>
      <c r="B1236" s="61"/>
      <c r="C1236" s="34"/>
      <c r="D1236" s="55"/>
      <c r="E1236" s="59"/>
      <c r="F1236" s="60"/>
      <c r="G1236" s="29"/>
      <c r="H1236" s="6"/>
      <c r="I1236" s="6"/>
      <c r="J1236" s="6"/>
      <c r="K1236" s="6"/>
      <c r="L1236" s="6"/>
      <c r="M1236" s="6"/>
      <c r="N1236" s="6"/>
      <c r="O1236" s="6"/>
      <c r="P1236" s="6"/>
      <c r="Q1236" s="6"/>
      <c r="R1236" s="6"/>
      <c r="S1236" s="6"/>
    </row>
    <row r="1237" ht="22.5" hidden="1" customHeight="1">
      <c r="A1237" s="49"/>
      <c r="B1237" s="61"/>
      <c r="C1237" s="34"/>
      <c r="D1237" s="55"/>
      <c r="E1237" s="59"/>
      <c r="F1237" s="60"/>
      <c r="G1237" s="29"/>
      <c r="H1237" s="6"/>
      <c r="I1237" s="6"/>
      <c r="J1237" s="6"/>
      <c r="K1237" s="6"/>
      <c r="L1237" s="6"/>
      <c r="M1237" s="6"/>
      <c r="N1237" s="6"/>
      <c r="O1237" s="6"/>
      <c r="P1237" s="6"/>
      <c r="Q1237" s="6"/>
      <c r="R1237" s="6"/>
      <c r="S1237" s="6"/>
    </row>
    <row r="1238" ht="22.5" hidden="1" customHeight="1">
      <c r="A1238" s="49"/>
      <c r="B1238" s="61"/>
      <c r="C1238" s="34"/>
      <c r="D1238" s="55"/>
      <c r="E1238" s="59"/>
      <c r="F1238" s="60"/>
      <c r="G1238" s="29"/>
      <c r="H1238" s="6"/>
      <c r="I1238" s="6"/>
      <c r="J1238" s="6"/>
      <c r="K1238" s="6"/>
      <c r="L1238" s="6"/>
      <c r="M1238" s="6"/>
      <c r="N1238" s="6"/>
      <c r="O1238" s="6"/>
      <c r="P1238" s="6"/>
      <c r="Q1238" s="6"/>
      <c r="R1238" s="6"/>
      <c r="S1238" s="6"/>
    </row>
    <row r="1239" ht="22.5" hidden="1" customHeight="1">
      <c r="A1239" s="49"/>
      <c r="B1239" s="61"/>
      <c r="C1239" s="34"/>
      <c r="D1239" s="55"/>
      <c r="E1239" s="59"/>
      <c r="F1239" s="60"/>
      <c r="G1239" s="29"/>
      <c r="H1239" s="6"/>
      <c r="I1239" s="6"/>
      <c r="J1239" s="6"/>
      <c r="K1239" s="6"/>
      <c r="L1239" s="6"/>
      <c r="M1239" s="6"/>
      <c r="N1239" s="6"/>
      <c r="O1239" s="6"/>
      <c r="P1239" s="6"/>
      <c r="Q1239" s="6"/>
      <c r="R1239" s="6"/>
      <c r="S1239" s="6"/>
    </row>
    <row r="1240" ht="22.5" hidden="1" customHeight="1">
      <c r="A1240" s="49"/>
      <c r="B1240" s="61"/>
      <c r="C1240" s="34"/>
      <c r="D1240" s="55"/>
      <c r="E1240" s="59"/>
      <c r="F1240" s="60"/>
      <c r="G1240" s="29"/>
      <c r="H1240" s="6"/>
      <c r="I1240" s="6"/>
      <c r="J1240" s="6"/>
      <c r="K1240" s="6"/>
      <c r="L1240" s="6"/>
      <c r="M1240" s="6"/>
      <c r="N1240" s="6"/>
      <c r="O1240" s="6"/>
      <c r="P1240" s="6"/>
      <c r="Q1240" s="6"/>
      <c r="R1240" s="6"/>
      <c r="S1240" s="6"/>
    </row>
    <row r="1241" ht="22.5" hidden="1" customHeight="1">
      <c r="A1241" s="49"/>
      <c r="B1241" s="61"/>
      <c r="C1241" s="34"/>
      <c r="D1241" s="55"/>
      <c r="E1241" s="59"/>
      <c r="F1241" s="60"/>
      <c r="G1241" s="29"/>
      <c r="H1241" s="6"/>
      <c r="I1241" s="6"/>
      <c r="J1241" s="6"/>
      <c r="K1241" s="6"/>
      <c r="L1241" s="6"/>
      <c r="M1241" s="6"/>
      <c r="N1241" s="6"/>
      <c r="O1241" s="6"/>
      <c r="P1241" s="6"/>
      <c r="Q1241" s="6"/>
      <c r="R1241" s="6"/>
      <c r="S1241" s="6"/>
    </row>
    <row r="1242" ht="22.5" hidden="1" customHeight="1">
      <c r="A1242" s="49"/>
      <c r="B1242" s="61"/>
      <c r="C1242" s="34"/>
      <c r="D1242" s="55"/>
      <c r="E1242" s="59"/>
      <c r="F1242" s="60"/>
      <c r="G1242" s="29"/>
      <c r="H1242" s="6"/>
      <c r="I1242" s="6"/>
      <c r="J1242" s="6"/>
      <c r="K1242" s="6"/>
      <c r="L1242" s="6"/>
      <c r="M1242" s="6"/>
      <c r="N1242" s="6"/>
      <c r="O1242" s="6"/>
      <c r="P1242" s="6"/>
      <c r="Q1242" s="6"/>
      <c r="R1242" s="6"/>
      <c r="S1242" s="6"/>
    </row>
    <row r="1243" ht="22.5" hidden="1" customHeight="1">
      <c r="A1243" s="49"/>
      <c r="B1243" s="61"/>
      <c r="C1243" s="34"/>
      <c r="D1243" s="55"/>
      <c r="E1243" s="59"/>
      <c r="F1243" s="60"/>
      <c r="G1243" s="29"/>
      <c r="H1243" s="6"/>
      <c r="I1243" s="6"/>
      <c r="J1243" s="6"/>
      <c r="K1243" s="6"/>
      <c r="L1243" s="6"/>
      <c r="M1243" s="6"/>
      <c r="N1243" s="6"/>
      <c r="O1243" s="6"/>
      <c r="P1243" s="6"/>
      <c r="Q1243" s="6"/>
      <c r="R1243" s="6"/>
      <c r="S1243" s="6"/>
    </row>
    <row r="1244" ht="22.5" hidden="1" customHeight="1">
      <c r="A1244" s="49"/>
      <c r="B1244" s="61"/>
      <c r="C1244" s="34"/>
      <c r="D1244" s="55"/>
      <c r="E1244" s="59"/>
      <c r="F1244" s="60"/>
      <c r="G1244" s="29"/>
      <c r="H1244" s="6"/>
      <c r="I1244" s="6"/>
      <c r="J1244" s="6"/>
      <c r="K1244" s="6"/>
      <c r="L1244" s="6"/>
      <c r="M1244" s="6"/>
      <c r="N1244" s="6"/>
      <c r="O1244" s="6"/>
      <c r="P1244" s="6"/>
      <c r="Q1244" s="6"/>
      <c r="R1244" s="6"/>
      <c r="S1244" s="6"/>
    </row>
    <row r="1245" ht="22.5" hidden="1" customHeight="1">
      <c r="A1245" s="49"/>
      <c r="B1245" s="61"/>
      <c r="C1245" s="34"/>
      <c r="D1245" s="55"/>
      <c r="E1245" s="59"/>
      <c r="F1245" s="60"/>
      <c r="G1245" s="29"/>
      <c r="H1245" s="6"/>
      <c r="I1245" s="6"/>
      <c r="J1245" s="6"/>
      <c r="K1245" s="6"/>
      <c r="L1245" s="6"/>
      <c r="M1245" s="6"/>
      <c r="N1245" s="6"/>
      <c r="O1245" s="6"/>
      <c r="P1245" s="6"/>
      <c r="Q1245" s="6"/>
      <c r="R1245" s="6"/>
      <c r="S1245" s="6"/>
    </row>
    <row r="1246" ht="22.5" hidden="1" customHeight="1">
      <c r="A1246" s="49"/>
      <c r="B1246" s="61"/>
      <c r="C1246" s="34"/>
      <c r="D1246" s="55"/>
      <c r="E1246" s="59"/>
      <c r="F1246" s="60"/>
      <c r="G1246" s="29"/>
      <c r="H1246" s="6"/>
      <c r="I1246" s="6"/>
      <c r="J1246" s="6"/>
      <c r="K1246" s="6"/>
      <c r="L1246" s="6"/>
      <c r="M1246" s="6"/>
      <c r="N1246" s="6"/>
      <c r="O1246" s="6"/>
      <c r="P1246" s="6"/>
      <c r="Q1246" s="6"/>
      <c r="R1246" s="6"/>
      <c r="S1246" s="6"/>
    </row>
    <row r="1247" ht="22.5" hidden="1" customHeight="1">
      <c r="A1247" s="49"/>
      <c r="B1247" s="61"/>
      <c r="C1247" s="34"/>
      <c r="D1247" s="55"/>
      <c r="E1247" s="59"/>
      <c r="F1247" s="60"/>
      <c r="G1247" s="29"/>
      <c r="H1247" s="6"/>
      <c r="I1247" s="6"/>
      <c r="J1247" s="6"/>
      <c r="K1247" s="6"/>
      <c r="L1247" s="6"/>
      <c r="M1247" s="6"/>
      <c r="N1247" s="6"/>
      <c r="O1247" s="6"/>
      <c r="P1247" s="6"/>
      <c r="Q1247" s="6"/>
      <c r="R1247" s="6"/>
      <c r="S1247" s="6"/>
    </row>
    <row r="1248" ht="22.5" hidden="1" customHeight="1">
      <c r="A1248" s="49"/>
      <c r="B1248" s="61"/>
      <c r="C1248" s="34"/>
      <c r="D1248" s="55"/>
      <c r="E1248" s="59"/>
      <c r="F1248" s="60"/>
      <c r="G1248" s="29"/>
      <c r="H1248" s="6"/>
      <c r="I1248" s="6"/>
      <c r="J1248" s="6"/>
      <c r="K1248" s="6"/>
      <c r="L1248" s="6"/>
      <c r="M1248" s="6"/>
      <c r="N1248" s="6"/>
      <c r="O1248" s="6"/>
      <c r="P1248" s="6"/>
      <c r="Q1248" s="6"/>
      <c r="R1248" s="6"/>
      <c r="S1248" s="6"/>
    </row>
    <row r="1249" ht="22.5" hidden="1" customHeight="1">
      <c r="A1249" s="49"/>
      <c r="B1249" s="61"/>
      <c r="C1249" s="34"/>
      <c r="D1249" s="55"/>
      <c r="E1249" s="59"/>
      <c r="F1249" s="60"/>
      <c r="G1249" s="29"/>
      <c r="H1249" s="6"/>
      <c r="I1249" s="6"/>
      <c r="J1249" s="6"/>
      <c r="K1249" s="6"/>
      <c r="L1249" s="6"/>
      <c r="M1249" s="6"/>
      <c r="N1249" s="6"/>
      <c r="O1249" s="6"/>
      <c r="P1249" s="6"/>
      <c r="Q1249" s="6"/>
      <c r="R1249" s="6"/>
      <c r="S1249" s="6"/>
    </row>
    <row r="1250" ht="22.5" hidden="1" customHeight="1">
      <c r="A1250" s="49"/>
      <c r="B1250" s="61"/>
      <c r="C1250" s="34"/>
      <c r="D1250" s="55"/>
      <c r="E1250" s="59"/>
      <c r="F1250" s="60"/>
      <c r="G1250" s="29"/>
      <c r="H1250" s="6"/>
      <c r="I1250" s="6"/>
      <c r="J1250" s="6"/>
      <c r="K1250" s="6"/>
      <c r="L1250" s="6"/>
      <c r="M1250" s="6"/>
      <c r="N1250" s="6"/>
      <c r="O1250" s="6"/>
      <c r="P1250" s="6"/>
      <c r="Q1250" s="6"/>
      <c r="R1250" s="6"/>
      <c r="S1250" s="6"/>
    </row>
    <row r="1251" ht="22.5" hidden="1" customHeight="1">
      <c r="A1251" s="49"/>
      <c r="B1251" s="61"/>
      <c r="C1251" s="34"/>
      <c r="D1251" s="55"/>
      <c r="E1251" s="59"/>
      <c r="F1251" s="60"/>
      <c r="G1251" s="29"/>
      <c r="H1251" s="6"/>
      <c r="I1251" s="6"/>
      <c r="J1251" s="6"/>
      <c r="K1251" s="6"/>
      <c r="L1251" s="6"/>
      <c r="M1251" s="6"/>
      <c r="N1251" s="6"/>
      <c r="O1251" s="6"/>
      <c r="P1251" s="6"/>
      <c r="Q1251" s="6"/>
      <c r="R1251" s="6"/>
      <c r="S1251" s="6"/>
    </row>
    <row r="1252" ht="22.5" hidden="1" customHeight="1">
      <c r="A1252" s="49"/>
      <c r="B1252" s="61"/>
      <c r="C1252" s="34"/>
      <c r="D1252" s="55"/>
      <c r="E1252" s="59"/>
      <c r="F1252" s="60"/>
      <c r="G1252" s="29"/>
      <c r="H1252" s="6"/>
      <c r="I1252" s="6"/>
      <c r="J1252" s="6"/>
      <c r="K1252" s="6"/>
      <c r="L1252" s="6"/>
      <c r="M1252" s="6"/>
      <c r="N1252" s="6"/>
      <c r="O1252" s="6"/>
      <c r="P1252" s="6"/>
      <c r="Q1252" s="6"/>
      <c r="R1252" s="6"/>
      <c r="S1252" s="6"/>
    </row>
    <row r="1253" ht="22.5" hidden="1" customHeight="1">
      <c r="A1253" s="49"/>
      <c r="B1253" s="61"/>
      <c r="C1253" s="34"/>
      <c r="D1253" s="55"/>
      <c r="E1253" s="59"/>
      <c r="F1253" s="60"/>
      <c r="G1253" s="29"/>
      <c r="H1253" s="6"/>
      <c r="I1253" s="6"/>
      <c r="J1253" s="6"/>
      <c r="K1253" s="6"/>
      <c r="L1253" s="6"/>
      <c r="M1253" s="6"/>
      <c r="N1253" s="6"/>
      <c r="O1253" s="6"/>
      <c r="P1253" s="6"/>
      <c r="Q1253" s="6"/>
      <c r="R1253" s="6"/>
      <c r="S1253" s="6"/>
    </row>
    <row r="1254" ht="22.5" hidden="1" customHeight="1">
      <c r="A1254" s="49"/>
      <c r="B1254" s="61"/>
      <c r="C1254" s="34"/>
      <c r="D1254" s="55"/>
      <c r="E1254" s="59"/>
      <c r="F1254" s="60"/>
      <c r="G1254" s="29"/>
      <c r="H1254" s="6"/>
      <c r="I1254" s="6"/>
      <c r="J1254" s="6"/>
      <c r="K1254" s="6"/>
      <c r="L1254" s="6"/>
      <c r="M1254" s="6"/>
      <c r="N1254" s="6"/>
      <c r="O1254" s="6"/>
      <c r="P1254" s="6"/>
      <c r="Q1254" s="6"/>
      <c r="R1254" s="6"/>
      <c r="S1254" s="6"/>
    </row>
    <row r="1255" ht="22.5" hidden="1" customHeight="1">
      <c r="A1255" s="49"/>
      <c r="B1255" s="61"/>
      <c r="C1255" s="34"/>
      <c r="D1255" s="55"/>
      <c r="E1255" s="59"/>
      <c r="F1255" s="60"/>
      <c r="G1255" s="29"/>
      <c r="H1255" s="6"/>
      <c r="I1255" s="6"/>
      <c r="J1255" s="6"/>
      <c r="K1255" s="6"/>
      <c r="L1255" s="6"/>
      <c r="M1255" s="6"/>
      <c r="N1255" s="6"/>
      <c r="O1255" s="6"/>
      <c r="P1255" s="6"/>
      <c r="Q1255" s="6"/>
      <c r="R1255" s="6"/>
      <c r="S1255" s="6"/>
    </row>
    <row r="1256" ht="22.5" hidden="1" customHeight="1">
      <c r="A1256" s="49"/>
      <c r="B1256" s="61"/>
      <c r="C1256" s="34"/>
      <c r="D1256" s="55"/>
      <c r="E1256" s="59"/>
      <c r="F1256" s="60"/>
      <c r="G1256" s="29"/>
      <c r="H1256" s="6"/>
      <c r="I1256" s="6"/>
      <c r="J1256" s="6"/>
      <c r="K1256" s="6"/>
      <c r="L1256" s="6"/>
      <c r="M1256" s="6"/>
      <c r="N1256" s="6"/>
      <c r="O1256" s="6"/>
      <c r="P1256" s="6"/>
      <c r="Q1256" s="6"/>
      <c r="R1256" s="6"/>
      <c r="S1256" s="6"/>
    </row>
    <row r="1257" ht="22.5" hidden="1" customHeight="1">
      <c r="A1257" s="49"/>
      <c r="B1257" s="61"/>
      <c r="C1257" s="34"/>
      <c r="D1257" s="55"/>
      <c r="E1257" s="59"/>
      <c r="F1257" s="60"/>
      <c r="G1257" s="29"/>
      <c r="H1257" s="6"/>
      <c r="I1257" s="6"/>
      <c r="J1257" s="6"/>
      <c r="K1257" s="6"/>
      <c r="L1257" s="6"/>
      <c r="M1257" s="6"/>
      <c r="N1257" s="6"/>
      <c r="O1257" s="6"/>
      <c r="P1257" s="6"/>
      <c r="Q1257" s="6"/>
      <c r="R1257" s="6"/>
      <c r="S1257" s="6"/>
    </row>
    <row r="1258" ht="22.5" hidden="1" customHeight="1">
      <c r="A1258" s="49"/>
      <c r="B1258" s="61"/>
      <c r="C1258" s="34"/>
      <c r="D1258" s="55"/>
      <c r="E1258" s="59"/>
      <c r="F1258" s="60"/>
      <c r="G1258" s="29"/>
      <c r="H1258" s="6"/>
      <c r="I1258" s="6"/>
      <c r="J1258" s="6"/>
      <c r="K1258" s="6"/>
      <c r="L1258" s="6"/>
      <c r="M1258" s="6"/>
      <c r="N1258" s="6"/>
      <c r="O1258" s="6"/>
      <c r="P1258" s="6"/>
      <c r="Q1258" s="6"/>
      <c r="R1258" s="6"/>
      <c r="S1258" s="6"/>
    </row>
    <row r="1259" ht="22.5" hidden="1" customHeight="1">
      <c r="A1259" s="49"/>
      <c r="B1259" s="61"/>
      <c r="C1259" s="34"/>
      <c r="D1259" s="55"/>
      <c r="E1259" s="59"/>
      <c r="F1259" s="60"/>
      <c r="G1259" s="29"/>
      <c r="H1259" s="6"/>
      <c r="I1259" s="6"/>
      <c r="J1259" s="6"/>
      <c r="K1259" s="6"/>
      <c r="L1259" s="6"/>
      <c r="M1259" s="6"/>
      <c r="N1259" s="6"/>
      <c r="O1259" s="6"/>
      <c r="P1259" s="6"/>
      <c r="Q1259" s="6"/>
      <c r="R1259" s="6"/>
      <c r="S1259" s="6"/>
    </row>
    <row r="1260" ht="22.5" hidden="1" customHeight="1">
      <c r="A1260" s="49"/>
      <c r="B1260" s="61"/>
      <c r="C1260" s="34"/>
      <c r="D1260" s="55"/>
      <c r="E1260" s="59"/>
      <c r="F1260" s="60"/>
      <c r="G1260" s="29"/>
      <c r="H1260" s="6"/>
      <c r="I1260" s="6"/>
      <c r="J1260" s="6"/>
      <c r="K1260" s="6"/>
      <c r="L1260" s="6"/>
      <c r="M1260" s="6"/>
      <c r="N1260" s="6"/>
      <c r="O1260" s="6"/>
      <c r="P1260" s="6"/>
      <c r="Q1260" s="6"/>
      <c r="R1260" s="6"/>
      <c r="S1260" s="6"/>
    </row>
    <row r="1261" ht="22.5" hidden="1" customHeight="1">
      <c r="A1261" s="49"/>
      <c r="B1261" s="61"/>
      <c r="C1261" s="34"/>
      <c r="D1261" s="55"/>
      <c r="E1261" s="59"/>
      <c r="F1261" s="60"/>
      <c r="G1261" s="29"/>
      <c r="H1261" s="6"/>
      <c r="I1261" s="6"/>
      <c r="J1261" s="6"/>
      <c r="K1261" s="6"/>
      <c r="L1261" s="6"/>
      <c r="M1261" s="6"/>
      <c r="N1261" s="6"/>
      <c r="O1261" s="6"/>
      <c r="P1261" s="6"/>
      <c r="Q1261" s="6"/>
      <c r="R1261" s="6"/>
      <c r="S1261" s="6"/>
    </row>
    <row r="1262" ht="22.5" hidden="1" customHeight="1">
      <c r="A1262" s="49"/>
      <c r="B1262" s="61"/>
      <c r="C1262" s="34"/>
      <c r="D1262" s="55"/>
      <c r="E1262" s="59"/>
      <c r="F1262" s="60"/>
      <c r="G1262" s="29"/>
      <c r="H1262" s="6"/>
      <c r="I1262" s="6"/>
      <c r="J1262" s="6"/>
      <c r="K1262" s="6"/>
      <c r="L1262" s="6"/>
      <c r="M1262" s="6"/>
      <c r="N1262" s="6"/>
      <c r="O1262" s="6"/>
      <c r="P1262" s="6"/>
      <c r="Q1262" s="6"/>
      <c r="R1262" s="6"/>
      <c r="S1262" s="6"/>
    </row>
    <row r="1263" ht="22.5" hidden="1" customHeight="1">
      <c r="A1263" s="49"/>
      <c r="B1263" s="61"/>
      <c r="C1263" s="34"/>
      <c r="D1263" s="55"/>
      <c r="E1263" s="59"/>
      <c r="F1263" s="60"/>
      <c r="G1263" s="29"/>
      <c r="H1263" s="6"/>
      <c r="I1263" s="6"/>
      <c r="J1263" s="6"/>
      <c r="K1263" s="6"/>
      <c r="L1263" s="6"/>
      <c r="M1263" s="6"/>
      <c r="N1263" s="6"/>
      <c r="O1263" s="6"/>
      <c r="P1263" s="6"/>
      <c r="Q1263" s="6"/>
      <c r="R1263" s="6"/>
      <c r="S1263" s="6"/>
    </row>
    <row r="1264" ht="22.5" hidden="1" customHeight="1">
      <c r="A1264" s="49"/>
      <c r="B1264" s="61"/>
      <c r="C1264" s="34"/>
      <c r="D1264" s="55"/>
      <c r="E1264" s="59"/>
      <c r="F1264" s="60"/>
      <c r="G1264" s="29"/>
      <c r="H1264" s="6"/>
      <c r="I1264" s="6"/>
      <c r="J1264" s="6"/>
      <c r="K1264" s="6"/>
      <c r="L1264" s="6"/>
      <c r="M1264" s="6"/>
      <c r="N1264" s="6"/>
      <c r="O1264" s="6"/>
      <c r="P1264" s="6"/>
      <c r="Q1264" s="6"/>
      <c r="R1264" s="6"/>
      <c r="S1264" s="6"/>
    </row>
    <row r="1265" ht="22.5" hidden="1" customHeight="1">
      <c r="A1265" s="49"/>
      <c r="B1265" s="61"/>
      <c r="C1265" s="34"/>
      <c r="D1265" s="55"/>
      <c r="E1265" s="59"/>
      <c r="F1265" s="60"/>
      <c r="G1265" s="29"/>
      <c r="H1265" s="6"/>
      <c r="I1265" s="6"/>
      <c r="J1265" s="6"/>
      <c r="K1265" s="6"/>
      <c r="L1265" s="6"/>
      <c r="M1265" s="6"/>
      <c r="N1265" s="6"/>
      <c r="O1265" s="6"/>
      <c r="P1265" s="6"/>
      <c r="Q1265" s="6"/>
      <c r="R1265" s="6"/>
      <c r="S1265" s="6"/>
    </row>
    <row r="1266" ht="22.5" hidden="1" customHeight="1">
      <c r="A1266" s="49"/>
      <c r="B1266" s="61"/>
      <c r="C1266" s="34"/>
      <c r="D1266" s="55"/>
      <c r="E1266" s="59"/>
      <c r="F1266" s="60"/>
      <c r="G1266" s="29"/>
      <c r="H1266" s="6"/>
      <c r="I1266" s="6"/>
      <c r="J1266" s="6"/>
      <c r="K1266" s="6"/>
      <c r="L1266" s="6"/>
      <c r="M1266" s="6"/>
      <c r="N1266" s="6"/>
      <c r="O1266" s="6"/>
      <c r="P1266" s="6"/>
      <c r="Q1266" s="6"/>
      <c r="R1266" s="6"/>
      <c r="S1266" s="6"/>
    </row>
    <row r="1267" ht="22.5" hidden="1" customHeight="1">
      <c r="A1267" s="49"/>
      <c r="B1267" s="61"/>
      <c r="C1267" s="34"/>
      <c r="D1267" s="55"/>
      <c r="E1267" s="59"/>
      <c r="F1267" s="60"/>
      <c r="G1267" s="29"/>
      <c r="H1267" s="6"/>
      <c r="I1267" s="6"/>
      <c r="J1267" s="6"/>
      <c r="K1267" s="6"/>
      <c r="L1267" s="6"/>
      <c r="M1267" s="6"/>
      <c r="N1267" s="6"/>
      <c r="O1267" s="6"/>
      <c r="P1267" s="6"/>
      <c r="Q1267" s="6"/>
      <c r="R1267" s="6"/>
      <c r="S1267" s="6"/>
    </row>
    <row r="1268" ht="22.5" hidden="1" customHeight="1">
      <c r="A1268" s="49"/>
      <c r="B1268" s="61"/>
      <c r="C1268" s="34"/>
      <c r="D1268" s="55"/>
      <c r="E1268" s="59"/>
      <c r="F1268" s="60"/>
      <c r="G1268" s="29"/>
      <c r="H1268" s="6"/>
      <c r="I1268" s="6"/>
      <c r="J1268" s="6"/>
      <c r="K1268" s="6"/>
      <c r="L1268" s="6"/>
      <c r="M1268" s="6"/>
      <c r="N1268" s="6"/>
      <c r="O1268" s="6"/>
      <c r="P1268" s="6"/>
      <c r="Q1268" s="6"/>
      <c r="R1268" s="6"/>
      <c r="S1268" s="6"/>
    </row>
    <row r="1269" ht="22.5" hidden="1" customHeight="1">
      <c r="A1269" s="49"/>
      <c r="B1269" s="61"/>
      <c r="C1269" s="34"/>
      <c r="D1269" s="55"/>
      <c r="E1269" s="59"/>
      <c r="F1269" s="60"/>
      <c r="G1269" s="29"/>
      <c r="H1269" s="6"/>
      <c r="I1269" s="6"/>
      <c r="J1269" s="6"/>
      <c r="K1269" s="6"/>
      <c r="L1269" s="6"/>
      <c r="M1269" s="6"/>
      <c r="N1269" s="6"/>
      <c r="O1269" s="6"/>
      <c r="P1269" s="6"/>
      <c r="Q1269" s="6"/>
      <c r="R1269" s="6"/>
      <c r="S1269" s="6"/>
    </row>
    <row r="1270" ht="22.5" hidden="1" customHeight="1">
      <c r="A1270" s="49"/>
      <c r="B1270" s="61"/>
      <c r="C1270" s="34"/>
      <c r="D1270" s="55"/>
      <c r="E1270" s="59"/>
      <c r="F1270" s="60"/>
      <c r="G1270" s="29"/>
      <c r="H1270" s="6"/>
      <c r="I1270" s="6"/>
      <c r="J1270" s="6"/>
      <c r="K1270" s="6"/>
      <c r="L1270" s="6"/>
      <c r="M1270" s="6"/>
      <c r="N1270" s="6"/>
      <c r="O1270" s="6"/>
      <c r="P1270" s="6"/>
      <c r="Q1270" s="6"/>
      <c r="R1270" s="6"/>
      <c r="S1270" s="6"/>
    </row>
    <row r="1271" ht="22.5" hidden="1" customHeight="1">
      <c r="A1271" s="49"/>
      <c r="B1271" s="61"/>
      <c r="C1271" s="34"/>
      <c r="D1271" s="55"/>
      <c r="E1271" s="59"/>
      <c r="F1271" s="60"/>
      <c r="G1271" s="29"/>
      <c r="H1271" s="6"/>
      <c r="I1271" s="6"/>
      <c r="J1271" s="6"/>
      <c r="K1271" s="6"/>
      <c r="L1271" s="6"/>
      <c r="M1271" s="6"/>
      <c r="N1271" s="6"/>
      <c r="O1271" s="6"/>
      <c r="P1271" s="6"/>
      <c r="Q1271" s="6"/>
      <c r="R1271" s="6"/>
      <c r="S1271" s="6"/>
    </row>
    <row r="1272" ht="22.5" hidden="1" customHeight="1">
      <c r="A1272" s="49"/>
      <c r="B1272" s="61"/>
      <c r="C1272" s="34"/>
      <c r="D1272" s="55"/>
      <c r="E1272" s="59"/>
      <c r="F1272" s="60"/>
      <c r="G1272" s="29"/>
      <c r="H1272" s="6"/>
      <c r="I1272" s="6"/>
      <c r="J1272" s="6"/>
      <c r="K1272" s="6"/>
      <c r="L1272" s="6"/>
      <c r="M1272" s="6"/>
      <c r="N1272" s="6"/>
      <c r="O1272" s="6"/>
      <c r="P1272" s="6"/>
      <c r="Q1272" s="6"/>
      <c r="R1272" s="6"/>
      <c r="S1272" s="6"/>
    </row>
    <row r="1273" ht="22.5" hidden="1" customHeight="1">
      <c r="A1273" s="49"/>
      <c r="B1273" s="61"/>
      <c r="C1273" s="34"/>
      <c r="D1273" s="55"/>
      <c r="E1273" s="59"/>
      <c r="F1273" s="60"/>
      <c r="G1273" s="29"/>
      <c r="H1273" s="6"/>
      <c r="I1273" s="6"/>
      <c r="J1273" s="6"/>
      <c r="K1273" s="6"/>
      <c r="L1273" s="6"/>
      <c r="M1273" s="6"/>
      <c r="N1273" s="6"/>
      <c r="O1273" s="6"/>
      <c r="P1273" s="6"/>
      <c r="Q1273" s="6"/>
      <c r="R1273" s="6"/>
      <c r="S1273" s="6"/>
    </row>
    <row r="1274" ht="22.5" hidden="1" customHeight="1">
      <c r="A1274" s="49"/>
      <c r="B1274" s="61"/>
      <c r="C1274" s="34"/>
      <c r="D1274" s="55"/>
      <c r="E1274" s="59"/>
      <c r="F1274" s="60"/>
      <c r="G1274" s="29"/>
      <c r="H1274" s="6"/>
      <c r="I1274" s="6"/>
      <c r="J1274" s="6"/>
      <c r="K1274" s="6"/>
      <c r="L1274" s="6"/>
      <c r="M1274" s="6"/>
      <c r="N1274" s="6"/>
      <c r="O1274" s="6"/>
      <c r="P1274" s="6"/>
      <c r="Q1274" s="6"/>
      <c r="R1274" s="6"/>
      <c r="S1274" s="6"/>
    </row>
    <row r="1275" ht="22.5" hidden="1" customHeight="1">
      <c r="A1275" s="49"/>
      <c r="B1275" s="61"/>
      <c r="C1275" s="34"/>
      <c r="D1275" s="55"/>
      <c r="E1275" s="59"/>
      <c r="F1275" s="60"/>
      <c r="G1275" s="29"/>
      <c r="H1275" s="6"/>
      <c r="I1275" s="6"/>
      <c r="J1275" s="6"/>
      <c r="K1275" s="6"/>
      <c r="L1275" s="6"/>
      <c r="M1275" s="6"/>
      <c r="N1275" s="6"/>
      <c r="O1275" s="6"/>
      <c r="P1275" s="6"/>
      <c r="Q1275" s="6"/>
      <c r="R1275" s="6"/>
      <c r="S1275" s="6"/>
    </row>
    <row r="1276" ht="22.5" hidden="1" customHeight="1">
      <c r="A1276" s="49"/>
      <c r="B1276" s="61"/>
      <c r="C1276" s="34"/>
      <c r="D1276" s="55"/>
      <c r="E1276" s="59"/>
      <c r="F1276" s="60"/>
      <c r="G1276" s="29"/>
      <c r="H1276" s="6"/>
      <c r="I1276" s="6"/>
      <c r="J1276" s="6"/>
      <c r="K1276" s="6"/>
      <c r="L1276" s="6"/>
      <c r="M1276" s="6"/>
      <c r="N1276" s="6"/>
      <c r="O1276" s="6"/>
      <c r="P1276" s="6"/>
      <c r="Q1276" s="6"/>
      <c r="R1276" s="6"/>
      <c r="S1276" s="6"/>
    </row>
    <row r="1277" ht="22.5" hidden="1" customHeight="1">
      <c r="A1277" s="49"/>
      <c r="B1277" s="61"/>
      <c r="C1277" s="34"/>
      <c r="D1277" s="55"/>
      <c r="E1277" s="59"/>
      <c r="F1277" s="60"/>
      <c r="G1277" s="29"/>
      <c r="H1277" s="6"/>
      <c r="I1277" s="6"/>
      <c r="J1277" s="6"/>
      <c r="K1277" s="6"/>
      <c r="L1277" s="6"/>
      <c r="M1277" s="6"/>
      <c r="N1277" s="6"/>
      <c r="O1277" s="6"/>
      <c r="P1277" s="6"/>
      <c r="Q1277" s="6"/>
      <c r="R1277" s="6"/>
      <c r="S1277" s="6"/>
    </row>
    <row r="1278" ht="22.5" hidden="1" customHeight="1">
      <c r="A1278" s="49"/>
      <c r="B1278" s="61"/>
      <c r="C1278" s="34"/>
      <c r="D1278" s="55"/>
      <c r="E1278" s="59"/>
      <c r="F1278" s="60"/>
      <c r="G1278" s="29"/>
      <c r="H1278" s="6"/>
      <c r="I1278" s="6"/>
      <c r="J1278" s="6"/>
      <c r="K1278" s="6"/>
      <c r="L1278" s="6"/>
      <c r="M1278" s="6"/>
      <c r="N1278" s="6"/>
      <c r="O1278" s="6"/>
      <c r="P1278" s="6"/>
      <c r="Q1278" s="6"/>
      <c r="R1278" s="6"/>
      <c r="S1278" s="6"/>
    </row>
    <row r="1279" ht="22.5" hidden="1" customHeight="1">
      <c r="A1279" s="49"/>
      <c r="B1279" s="61"/>
      <c r="C1279" s="34"/>
      <c r="D1279" s="55"/>
      <c r="E1279" s="59"/>
      <c r="F1279" s="60"/>
      <c r="G1279" s="29"/>
      <c r="H1279" s="6"/>
      <c r="I1279" s="6"/>
      <c r="J1279" s="6"/>
      <c r="K1279" s="6"/>
      <c r="L1279" s="6"/>
      <c r="M1279" s="6"/>
      <c r="N1279" s="6"/>
      <c r="O1279" s="6"/>
      <c r="P1279" s="6"/>
      <c r="Q1279" s="6"/>
      <c r="R1279" s="6"/>
      <c r="S1279" s="6"/>
    </row>
    <row r="1280" ht="22.5" hidden="1" customHeight="1">
      <c r="A1280" s="49"/>
      <c r="B1280" s="61"/>
      <c r="C1280" s="34"/>
      <c r="D1280" s="55"/>
      <c r="E1280" s="59"/>
      <c r="F1280" s="60"/>
      <c r="G1280" s="29"/>
      <c r="H1280" s="6"/>
      <c r="I1280" s="6"/>
      <c r="J1280" s="6"/>
      <c r="K1280" s="6"/>
      <c r="L1280" s="6"/>
      <c r="M1280" s="6"/>
      <c r="N1280" s="6"/>
      <c r="O1280" s="6"/>
      <c r="P1280" s="6"/>
      <c r="Q1280" s="6"/>
      <c r="R1280" s="6"/>
      <c r="S1280" s="6"/>
    </row>
    <row r="1281" ht="22.5" hidden="1" customHeight="1">
      <c r="A1281" s="49"/>
      <c r="B1281" s="61"/>
      <c r="C1281" s="34"/>
      <c r="D1281" s="55"/>
      <c r="E1281" s="59"/>
      <c r="F1281" s="60"/>
      <c r="G1281" s="29"/>
      <c r="H1281" s="6"/>
      <c r="I1281" s="6"/>
      <c r="J1281" s="6"/>
      <c r="K1281" s="6"/>
      <c r="L1281" s="6"/>
      <c r="M1281" s="6"/>
      <c r="N1281" s="6"/>
      <c r="O1281" s="6"/>
      <c r="P1281" s="6"/>
      <c r="Q1281" s="6"/>
      <c r="R1281" s="6"/>
      <c r="S1281" s="6"/>
    </row>
    <row r="1282" ht="22.5" hidden="1" customHeight="1">
      <c r="A1282" s="49"/>
      <c r="B1282" s="61"/>
      <c r="C1282" s="34"/>
      <c r="D1282" s="55"/>
      <c r="E1282" s="59"/>
      <c r="F1282" s="60"/>
      <c r="G1282" s="29"/>
      <c r="H1282" s="6"/>
      <c r="I1282" s="6"/>
      <c r="J1282" s="6"/>
      <c r="K1282" s="6"/>
      <c r="L1282" s="6"/>
      <c r="M1282" s="6"/>
      <c r="N1282" s="6"/>
      <c r="O1282" s="6"/>
      <c r="P1282" s="6"/>
      <c r="Q1282" s="6"/>
      <c r="R1282" s="6"/>
      <c r="S1282" s="6"/>
    </row>
    <row r="1283" ht="22.5" hidden="1" customHeight="1">
      <c r="A1283" s="49"/>
      <c r="B1283" s="61"/>
      <c r="C1283" s="34"/>
      <c r="D1283" s="55"/>
      <c r="E1283" s="59"/>
      <c r="F1283" s="60"/>
      <c r="G1283" s="29"/>
      <c r="H1283" s="6"/>
      <c r="I1283" s="6"/>
      <c r="J1283" s="6"/>
      <c r="K1283" s="6"/>
      <c r="L1283" s="6"/>
      <c r="M1283" s="6"/>
      <c r="N1283" s="6"/>
      <c r="O1283" s="6"/>
      <c r="P1283" s="6"/>
      <c r="Q1283" s="6"/>
      <c r="R1283" s="6"/>
      <c r="S1283" s="6"/>
    </row>
    <row r="1284" ht="22.5" hidden="1" customHeight="1">
      <c r="A1284" s="49"/>
      <c r="B1284" s="61"/>
      <c r="C1284" s="34"/>
      <c r="D1284" s="55"/>
      <c r="E1284" s="59"/>
      <c r="F1284" s="60"/>
      <c r="G1284" s="29"/>
      <c r="H1284" s="6"/>
      <c r="I1284" s="6"/>
      <c r="J1284" s="6"/>
      <c r="K1284" s="6"/>
      <c r="L1284" s="6"/>
      <c r="M1284" s="6"/>
      <c r="N1284" s="6"/>
      <c r="O1284" s="6"/>
      <c r="P1284" s="6"/>
      <c r="Q1284" s="6"/>
      <c r="R1284" s="6"/>
      <c r="S1284" s="6"/>
    </row>
    <row r="1285" ht="22.5" hidden="1" customHeight="1">
      <c r="A1285" s="49"/>
      <c r="B1285" s="61"/>
      <c r="C1285" s="34"/>
      <c r="D1285" s="55"/>
      <c r="E1285" s="59"/>
      <c r="F1285" s="60"/>
      <c r="G1285" s="29"/>
      <c r="H1285" s="6"/>
      <c r="I1285" s="6"/>
      <c r="J1285" s="6"/>
      <c r="K1285" s="6"/>
      <c r="L1285" s="6"/>
      <c r="M1285" s="6"/>
      <c r="N1285" s="6"/>
      <c r="O1285" s="6"/>
      <c r="P1285" s="6"/>
      <c r="Q1285" s="6"/>
      <c r="R1285" s="6"/>
      <c r="S1285" s="6"/>
    </row>
    <row r="1286" ht="22.5" hidden="1" customHeight="1">
      <c r="A1286" s="49"/>
      <c r="B1286" s="61"/>
      <c r="C1286" s="34"/>
      <c r="D1286" s="55"/>
      <c r="E1286" s="59"/>
      <c r="F1286" s="60"/>
      <c r="G1286" s="29"/>
      <c r="H1286" s="6"/>
      <c r="I1286" s="6"/>
      <c r="J1286" s="6"/>
      <c r="K1286" s="6"/>
      <c r="L1286" s="6"/>
      <c r="M1286" s="6"/>
      <c r="N1286" s="6"/>
      <c r="O1286" s="6"/>
      <c r="P1286" s="6"/>
      <c r="Q1286" s="6"/>
      <c r="R1286" s="6"/>
      <c r="S1286" s="6"/>
    </row>
    <row r="1287" ht="22.5" hidden="1" customHeight="1">
      <c r="A1287" s="49"/>
      <c r="B1287" s="61"/>
      <c r="C1287" s="34"/>
      <c r="D1287" s="55"/>
      <c r="E1287" s="59"/>
      <c r="F1287" s="60"/>
      <c r="G1287" s="29"/>
      <c r="H1287" s="6"/>
      <c r="I1287" s="6"/>
      <c r="J1287" s="6"/>
      <c r="K1287" s="6"/>
      <c r="L1287" s="6"/>
      <c r="M1287" s="6"/>
      <c r="N1287" s="6"/>
      <c r="O1287" s="6"/>
      <c r="P1287" s="6"/>
      <c r="Q1287" s="6"/>
      <c r="R1287" s="6"/>
      <c r="S1287" s="6"/>
    </row>
    <row r="1288" ht="22.5" hidden="1" customHeight="1">
      <c r="A1288" s="49"/>
      <c r="B1288" s="61"/>
      <c r="C1288" s="34"/>
      <c r="D1288" s="55"/>
      <c r="E1288" s="59"/>
      <c r="F1288" s="60"/>
      <c r="G1288" s="29"/>
      <c r="H1288" s="6"/>
      <c r="I1288" s="6"/>
      <c r="J1288" s="6"/>
      <c r="K1288" s="6"/>
      <c r="L1288" s="6"/>
      <c r="M1288" s="6"/>
      <c r="N1288" s="6"/>
      <c r="O1288" s="6"/>
      <c r="P1288" s="6"/>
      <c r="Q1288" s="6"/>
      <c r="R1288" s="6"/>
      <c r="S1288" s="6"/>
    </row>
    <row r="1289" ht="22.5" hidden="1" customHeight="1">
      <c r="A1289" s="49"/>
      <c r="B1289" s="61"/>
      <c r="C1289" s="34"/>
      <c r="D1289" s="55"/>
      <c r="E1289" s="59"/>
      <c r="F1289" s="60"/>
      <c r="G1289" s="29"/>
      <c r="H1289" s="6"/>
      <c r="I1289" s="6"/>
      <c r="J1289" s="6"/>
      <c r="K1289" s="6"/>
      <c r="L1289" s="6"/>
      <c r="M1289" s="6"/>
      <c r="N1289" s="6"/>
      <c r="O1289" s="6"/>
      <c r="P1289" s="6"/>
      <c r="Q1289" s="6"/>
      <c r="R1289" s="6"/>
      <c r="S1289" s="6"/>
    </row>
    <row r="1290" ht="22.5" hidden="1" customHeight="1">
      <c r="A1290" s="49"/>
      <c r="B1290" s="61"/>
      <c r="C1290" s="34"/>
      <c r="D1290" s="55"/>
      <c r="E1290" s="59"/>
      <c r="F1290" s="60"/>
      <c r="G1290" s="29"/>
      <c r="H1290" s="6"/>
      <c r="I1290" s="6"/>
      <c r="J1290" s="6"/>
      <c r="K1290" s="6"/>
      <c r="L1290" s="6"/>
      <c r="M1290" s="6"/>
      <c r="N1290" s="6"/>
      <c r="O1290" s="6"/>
      <c r="P1290" s="6"/>
      <c r="Q1290" s="6"/>
      <c r="R1290" s="6"/>
      <c r="S1290" s="6"/>
    </row>
    <row r="1291" ht="22.5" hidden="1" customHeight="1">
      <c r="A1291" s="49"/>
      <c r="B1291" s="61"/>
      <c r="C1291" s="34"/>
      <c r="D1291" s="55"/>
      <c r="E1291" s="59"/>
      <c r="F1291" s="60"/>
      <c r="G1291" s="29"/>
      <c r="H1291" s="6"/>
      <c r="I1291" s="6"/>
      <c r="J1291" s="6"/>
      <c r="K1291" s="6"/>
      <c r="L1291" s="6"/>
      <c r="M1291" s="6"/>
      <c r="N1291" s="6"/>
      <c r="O1291" s="6"/>
      <c r="P1291" s="6"/>
      <c r="Q1291" s="6"/>
      <c r="R1291" s="6"/>
      <c r="S1291" s="6"/>
    </row>
    <row r="1292" ht="22.5" hidden="1" customHeight="1">
      <c r="A1292" s="49"/>
      <c r="B1292" s="61"/>
      <c r="C1292" s="34"/>
      <c r="D1292" s="55"/>
      <c r="E1292" s="59"/>
      <c r="F1292" s="60"/>
      <c r="G1292" s="29"/>
      <c r="H1292" s="6"/>
      <c r="I1292" s="6"/>
      <c r="J1292" s="6"/>
      <c r="K1292" s="6"/>
      <c r="L1292" s="6"/>
      <c r="M1292" s="6"/>
      <c r="N1292" s="6"/>
      <c r="O1292" s="6"/>
      <c r="P1292" s="6"/>
      <c r="Q1292" s="6"/>
      <c r="R1292" s="6"/>
      <c r="S1292" s="6"/>
    </row>
    <row r="1293" ht="22.5" hidden="1" customHeight="1">
      <c r="A1293" s="49"/>
      <c r="B1293" s="61"/>
      <c r="C1293" s="34"/>
      <c r="D1293" s="55"/>
      <c r="E1293" s="59"/>
      <c r="F1293" s="60"/>
      <c r="G1293" s="29"/>
      <c r="H1293" s="6"/>
      <c r="I1293" s="6"/>
      <c r="J1293" s="6"/>
      <c r="K1293" s="6"/>
      <c r="L1293" s="6"/>
      <c r="M1293" s="6"/>
      <c r="N1293" s="6"/>
      <c r="O1293" s="6"/>
      <c r="P1293" s="6"/>
      <c r="Q1293" s="6"/>
      <c r="R1293" s="6"/>
      <c r="S1293" s="6"/>
    </row>
    <row r="1294" ht="22.5" hidden="1" customHeight="1">
      <c r="A1294" s="49"/>
      <c r="B1294" s="61"/>
      <c r="C1294" s="34"/>
      <c r="D1294" s="55"/>
      <c r="E1294" s="59"/>
      <c r="F1294" s="60"/>
      <c r="G1294" s="29"/>
      <c r="H1294" s="6"/>
      <c r="I1294" s="6"/>
      <c r="J1294" s="6"/>
      <c r="K1294" s="6"/>
      <c r="L1294" s="6"/>
      <c r="M1294" s="6"/>
      <c r="N1294" s="6"/>
      <c r="O1294" s="6"/>
      <c r="P1294" s="6"/>
      <c r="Q1294" s="6"/>
      <c r="R1294" s="6"/>
      <c r="S1294" s="6"/>
    </row>
    <row r="1295" ht="22.5" hidden="1" customHeight="1">
      <c r="A1295" s="49"/>
      <c r="B1295" s="61"/>
      <c r="C1295" s="34"/>
      <c r="D1295" s="55"/>
      <c r="E1295" s="59"/>
      <c r="F1295" s="60"/>
      <c r="G1295" s="29"/>
      <c r="H1295" s="6"/>
      <c r="I1295" s="6"/>
      <c r="J1295" s="6"/>
      <c r="K1295" s="6"/>
      <c r="L1295" s="6"/>
      <c r="M1295" s="6"/>
      <c r="N1295" s="6"/>
      <c r="O1295" s="6"/>
      <c r="P1295" s="6"/>
      <c r="Q1295" s="6"/>
      <c r="R1295" s="6"/>
      <c r="S1295" s="6"/>
    </row>
    <row r="1296" ht="22.5" hidden="1" customHeight="1">
      <c r="A1296" s="49"/>
      <c r="B1296" s="61"/>
      <c r="C1296" s="34"/>
      <c r="D1296" s="55"/>
      <c r="E1296" s="59"/>
      <c r="F1296" s="60"/>
      <c r="G1296" s="29"/>
      <c r="H1296" s="6"/>
      <c r="I1296" s="6"/>
      <c r="J1296" s="6"/>
      <c r="K1296" s="6"/>
      <c r="L1296" s="6"/>
      <c r="M1296" s="6"/>
      <c r="N1296" s="6"/>
      <c r="O1296" s="6"/>
      <c r="P1296" s="6"/>
      <c r="Q1296" s="6"/>
      <c r="R1296" s="6"/>
      <c r="S1296" s="6"/>
    </row>
    <row r="1297" ht="22.5" hidden="1" customHeight="1">
      <c r="A1297" s="49"/>
      <c r="B1297" s="61"/>
      <c r="C1297" s="34"/>
      <c r="D1297" s="55"/>
      <c r="E1297" s="59"/>
      <c r="F1297" s="60"/>
      <c r="G1297" s="29"/>
      <c r="H1297" s="6"/>
      <c r="I1297" s="6"/>
      <c r="J1297" s="6"/>
      <c r="K1297" s="6"/>
      <c r="L1297" s="6"/>
      <c r="M1297" s="6"/>
      <c r="N1297" s="6"/>
      <c r="O1297" s="6"/>
      <c r="P1297" s="6"/>
      <c r="Q1297" s="6"/>
      <c r="R1297" s="6"/>
      <c r="S1297" s="6"/>
    </row>
    <row r="1298" ht="22.5" hidden="1" customHeight="1">
      <c r="A1298" s="49"/>
      <c r="B1298" s="61"/>
      <c r="C1298" s="34"/>
      <c r="D1298" s="55"/>
      <c r="E1298" s="59"/>
      <c r="F1298" s="60"/>
      <c r="G1298" s="29"/>
      <c r="H1298" s="6"/>
      <c r="I1298" s="6"/>
      <c r="J1298" s="6"/>
      <c r="K1298" s="6"/>
      <c r="L1298" s="6"/>
      <c r="M1298" s="6"/>
      <c r="N1298" s="6"/>
      <c r="O1298" s="6"/>
      <c r="P1298" s="6"/>
      <c r="Q1298" s="6"/>
      <c r="R1298" s="6"/>
      <c r="S1298" s="6"/>
    </row>
    <row r="1299" ht="22.5" hidden="1" customHeight="1">
      <c r="A1299" s="49"/>
      <c r="B1299" s="61"/>
      <c r="C1299" s="34"/>
      <c r="D1299" s="55"/>
      <c r="E1299" s="59"/>
      <c r="F1299" s="60"/>
      <c r="G1299" s="29"/>
      <c r="H1299" s="6"/>
      <c r="I1299" s="6"/>
      <c r="J1299" s="6"/>
      <c r="K1299" s="6"/>
      <c r="L1299" s="6"/>
      <c r="M1299" s="6"/>
      <c r="N1299" s="6"/>
      <c r="O1299" s="6"/>
      <c r="P1299" s="6"/>
      <c r="Q1299" s="6"/>
      <c r="R1299" s="6"/>
      <c r="S1299" s="6"/>
    </row>
    <row r="1300" ht="22.5" hidden="1" customHeight="1">
      <c r="A1300" s="49"/>
      <c r="B1300" s="61"/>
      <c r="C1300" s="34"/>
      <c r="D1300" s="55"/>
      <c r="E1300" s="59"/>
      <c r="F1300" s="60"/>
      <c r="G1300" s="29"/>
      <c r="H1300" s="6"/>
      <c r="I1300" s="6"/>
      <c r="J1300" s="6"/>
      <c r="K1300" s="6"/>
      <c r="L1300" s="6"/>
      <c r="M1300" s="6"/>
      <c r="N1300" s="6"/>
      <c r="O1300" s="6"/>
      <c r="P1300" s="6"/>
      <c r="Q1300" s="6"/>
      <c r="R1300" s="6"/>
      <c r="S1300" s="6"/>
    </row>
    <row r="1301" ht="22.5" hidden="1" customHeight="1">
      <c r="A1301" s="49"/>
      <c r="B1301" s="61"/>
      <c r="C1301" s="34"/>
      <c r="D1301" s="55"/>
      <c r="E1301" s="59"/>
      <c r="F1301" s="60"/>
      <c r="G1301" s="29"/>
      <c r="H1301" s="6"/>
      <c r="I1301" s="6"/>
      <c r="J1301" s="6"/>
      <c r="K1301" s="6"/>
      <c r="L1301" s="6"/>
      <c r="M1301" s="6"/>
      <c r="N1301" s="6"/>
      <c r="O1301" s="6"/>
      <c r="P1301" s="6"/>
      <c r="Q1301" s="6"/>
      <c r="R1301" s="6"/>
      <c r="S1301" s="6"/>
    </row>
    <row r="1302" ht="22.5" hidden="1" customHeight="1">
      <c r="A1302" s="49"/>
      <c r="B1302" s="61"/>
      <c r="C1302" s="34"/>
      <c r="D1302" s="55"/>
      <c r="E1302" s="59"/>
      <c r="F1302" s="60"/>
      <c r="G1302" s="29"/>
      <c r="H1302" s="6"/>
      <c r="I1302" s="6"/>
      <c r="J1302" s="6"/>
      <c r="K1302" s="6"/>
      <c r="L1302" s="6"/>
      <c r="M1302" s="6"/>
      <c r="N1302" s="6"/>
      <c r="O1302" s="6"/>
      <c r="P1302" s="6"/>
      <c r="Q1302" s="6"/>
      <c r="R1302" s="6"/>
      <c r="S1302" s="6"/>
    </row>
    <row r="1303" ht="22.5" hidden="1" customHeight="1">
      <c r="A1303" s="49"/>
      <c r="B1303" s="61"/>
      <c r="C1303" s="34"/>
      <c r="D1303" s="55"/>
      <c r="E1303" s="59"/>
      <c r="F1303" s="60"/>
      <c r="G1303" s="29"/>
      <c r="H1303" s="6"/>
      <c r="I1303" s="6"/>
      <c r="J1303" s="6"/>
      <c r="K1303" s="6"/>
      <c r="L1303" s="6"/>
      <c r="M1303" s="6"/>
      <c r="N1303" s="6"/>
      <c r="O1303" s="6"/>
      <c r="P1303" s="6"/>
      <c r="Q1303" s="6"/>
      <c r="R1303" s="6"/>
      <c r="S1303" s="6"/>
    </row>
    <row r="1304" ht="22.5" hidden="1" customHeight="1">
      <c r="A1304" s="49"/>
      <c r="B1304" s="61"/>
      <c r="C1304" s="34"/>
      <c r="D1304" s="55"/>
      <c r="E1304" s="59"/>
      <c r="F1304" s="60"/>
      <c r="G1304" s="29"/>
      <c r="H1304" s="6"/>
      <c r="I1304" s="6"/>
      <c r="J1304" s="6"/>
      <c r="K1304" s="6"/>
      <c r="L1304" s="6"/>
      <c r="M1304" s="6"/>
      <c r="N1304" s="6"/>
      <c r="O1304" s="6"/>
      <c r="P1304" s="6"/>
      <c r="Q1304" s="6"/>
      <c r="R1304" s="6"/>
      <c r="S1304" s="6"/>
    </row>
    <row r="1305" ht="22.5" hidden="1" customHeight="1">
      <c r="A1305" s="49"/>
      <c r="B1305" s="61"/>
      <c r="C1305" s="34"/>
      <c r="D1305" s="55"/>
      <c r="E1305" s="59"/>
      <c r="F1305" s="60"/>
      <c r="G1305" s="29"/>
      <c r="H1305" s="6"/>
      <c r="I1305" s="6"/>
      <c r="J1305" s="6"/>
      <c r="K1305" s="6"/>
      <c r="L1305" s="6"/>
      <c r="M1305" s="6"/>
      <c r="N1305" s="6"/>
      <c r="O1305" s="6"/>
      <c r="P1305" s="6"/>
      <c r="Q1305" s="6"/>
      <c r="R1305" s="6"/>
      <c r="S1305" s="6"/>
    </row>
    <row r="1306" ht="22.5" hidden="1" customHeight="1">
      <c r="A1306" s="49"/>
      <c r="B1306" s="61"/>
      <c r="C1306" s="34"/>
      <c r="D1306" s="55"/>
      <c r="E1306" s="59"/>
      <c r="F1306" s="60"/>
      <c r="G1306" s="29"/>
      <c r="H1306" s="6"/>
      <c r="I1306" s="6"/>
      <c r="J1306" s="6"/>
      <c r="K1306" s="6"/>
      <c r="L1306" s="6"/>
      <c r="M1306" s="6"/>
      <c r="N1306" s="6"/>
      <c r="O1306" s="6"/>
      <c r="P1306" s="6"/>
      <c r="Q1306" s="6"/>
      <c r="R1306" s="6"/>
      <c r="S1306" s="6"/>
    </row>
    <row r="1307" ht="22.5" hidden="1" customHeight="1">
      <c r="A1307" s="49"/>
      <c r="B1307" s="61"/>
      <c r="C1307" s="34"/>
      <c r="D1307" s="55"/>
      <c r="E1307" s="59"/>
      <c r="F1307" s="60"/>
      <c r="G1307" s="29"/>
      <c r="H1307" s="6"/>
      <c r="I1307" s="6"/>
      <c r="J1307" s="6"/>
      <c r="K1307" s="6"/>
      <c r="L1307" s="6"/>
      <c r="M1307" s="6"/>
      <c r="N1307" s="6"/>
      <c r="O1307" s="6"/>
      <c r="P1307" s="6"/>
      <c r="Q1307" s="6"/>
      <c r="R1307" s="6"/>
      <c r="S1307" s="6"/>
    </row>
    <row r="1308" ht="22.5" hidden="1" customHeight="1">
      <c r="A1308" s="49"/>
      <c r="B1308" s="61"/>
      <c r="C1308" s="34"/>
      <c r="D1308" s="55"/>
      <c r="E1308" s="59"/>
      <c r="F1308" s="60"/>
      <c r="G1308" s="29"/>
      <c r="H1308" s="6"/>
      <c r="I1308" s="6"/>
      <c r="J1308" s="6"/>
      <c r="K1308" s="6"/>
      <c r="L1308" s="6"/>
      <c r="M1308" s="6"/>
      <c r="N1308" s="6"/>
      <c r="O1308" s="6"/>
      <c r="P1308" s="6"/>
      <c r="Q1308" s="6"/>
      <c r="R1308" s="6"/>
      <c r="S1308" s="6"/>
    </row>
    <row r="1309" ht="22.5" hidden="1" customHeight="1">
      <c r="A1309" s="49"/>
      <c r="B1309" s="61"/>
      <c r="C1309" s="34"/>
      <c r="D1309" s="55"/>
      <c r="E1309" s="59"/>
      <c r="F1309" s="60"/>
      <c r="G1309" s="29"/>
      <c r="H1309" s="6"/>
      <c r="I1309" s="6"/>
      <c r="J1309" s="6"/>
      <c r="K1309" s="6"/>
      <c r="L1309" s="6"/>
      <c r="M1309" s="6"/>
      <c r="N1309" s="6"/>
      <c r="O1309" s="6"/>
      <c r="P1309" s="6"/>
      <c r="Q1309" s="6"/>
      <c r="R1309" s="6"/>
      <c r="S1309" s="6"/>
    </row>
    <row r="1310" ht="22.5" hidden="1" customHeight="1">
      <c r="A1310" s="49"/>
      <c r="B1310" s="61"/>
      <c r="C1310" s="34"/>
      <c r="D1310" s="55"/>
      <c r="E1310" s="59"/>
      <c r="F1310" s="60"/>
      <c r="G1310" s="29"/>
      <c r="H1310" s="6"/>
      <c r="I1310" s="6"/>
      <c r="J1310" s="6"/>
      <c r="K1310" s="6"/>
      <c r="L1310" s="6"/>
      <c r="M1310" s="6"/>
      <c r="N1310" s="6"/>
      <c r="O1310" s="6"/>
      <c r="P1310" s="6"/>
      <c r="Q1310" s="6"/>
      <c r="R1310" s="6"/>
      <c r="S1310" s="6"/>
    </row>
    <row r="1311" ht="22.5" hidden="1" customHeight="1">
      <c r="A1311" s="49"/>
      <c r="B1311" s="61"/>
      <c r="C1311" s="34"/>
      <c r="D1311" s="55"/>
      <c r="E1311" s="59"/>
      <c r="F1311" s="60"/>
      <c r="G1311" s="29"/>
      <c r="H1311" s="6"/>
      <c r="I1311" s="6"/>
      <c r="J1311" s="6"/>
      <c r="K1311" s="6"/>
      <c r="L1311" s="6"/>
      <c r="M1311" s="6"/>
      <c r="N1311" s="6"/>
      <c r="O1311" s="6"/>
      <c r="P1311" s="6"/>
      <c r="Q1311" s="6"/>
      <c r="R1311" s="6"/>
      <c r="S1311" s="6"/>
    </row>
    <row r="1312" ht="22.5" hidden="1" customHeight="1">
      <c r="A1312" s="49"/>
      <c r="B1312" s="61"/>
      <c r="C1312" s="34"/>
      <c r="D1312" s="55"/>
      <c r="E1312" s="59"/>
      <c r="F1312" s="60"/>
      <c r="G1312" s="29"/>
      <c r="H1312" s="6"/>
      <c r="I1312" s="6"/>
      <c r="J1312" s="6"/>
      <c r="K1312" s="6"/>
      <c r="L1312" s="6"/>
      <c r="M1312" s="6"/>
      <c r="N1312" s="6"/>
      <c r="O1312" s="6"/>
      <c r="P1312" s="6"/>
      <c r="Q1312" s="6"/>
      <c r="R1312" s="6"/>
      <c r="S1312" s="6"/>
    </row>
    <row r="1313" ht="22.5" hidden="1" customHeight="1">
      <c r="A1313" s="49"/>
      <c r="B1313" s="61"/>
      <c r="C1313" s="34"/>
      <c r="D1313" s="55"/>
      <c r="E1313" s="59"/>
      <c r="F1313" s="60"/>
      <c r="G1313" s="29"/>
      <c r="H1313" s="6"/>
      <c r="I1313" s="6"/>
      <c r="J1313" s="6"/>
      <c r="K1313" s="6"/>
      <c r="L1313" s="6"/>
      <c r="M1313" s="6"/>
      <c r="N1313" s="6"/>
      <c r="O1313" s="6"/>
      <c r="P1313" s="6"/>
      <c r="Q1313" s="6"/>
      <c r="R1313" s="6"/>
      <c r="S1313" s="6"/>
    </row>
    <row r="1314" ht="22.5" hidden="1" customHeight="1">
      <c r="A1314" s="49"/>
      <c r="B1314" s="61"/>
      <c r="C1314" s="34"/>
      <c r="D1314" s="55"/>
      <c r="E1314" s="59"/>
      <c r="F1314" s="60"/>
      <c r="G1314" s="29"/>
      <c r="H1314" s="6"/>
      <c r="I1314" s="6"/>
      <c r="J1314" s="6"/>
      <c r="K1314" s="6"/>
      <c r="L1314" s="6"/>
      <c r="M1314" s="6"/>
      <c r="N1314" s="6"/>
      <c r="O1314" s="6"/>
      <c r="P1314" s="6"/>
      <c r="Q1314" s="6"/>
      <c r="R1314" s="6"/>
      <c r="S1314" s="6"/>
    </row>
    <row r="1315" ht="22.5" hidden="1" customHeight="1">
      <c r="A1315" s="49"/>
      <c r="B1315" s="61"/>
      <c r="C1315" s="34"/>
      <c r="D1315" s="55"/>
      <c r="E1315" s="59"/>
      <c r="F1315" s="60"/>
      <c r="G1315" s="29"/>
      <c r="H1315" s="6"/>
      <c r="I1315" s="6"/>
      <c r="J1315" s="6"/>
      <c r="K1315" s="6"/>
      <c r="L1315" s="6"/>
      <c r="M1315" s="6"/>
      <c r="N1315" s="6"/>
      <c r="O1315" s="6"/>
      <c r="P1315" s="6"/>
      <c r="Q1315" s="6"/>
      <c r="R1315" s="6"/>
      <c r="S1315" s="6"/>
    </row>
    <row r="1316" ht="22.5" hidden="1" customHeight="1">
      <c r="A1316" s="49"/>
      <c r="B1316" s="61"/>
      <c r="C1316" s="34"/>
      <c r="D1316" s="55"/>
      <c r="E1316" s="59"/>
      <c r="F1316" s="60"/>
      <c r="G1316" s="29"/>
      <c r="H1316" s="6"/>
      <c r="I1316" s="6"/>
      <c r="J1316" s="6"/>
      <c r="K1316" s="6"/>
      <c r="L1316" s="6"/>
      <c r="M1316" s="6"/>
      <c r="N1316" s="6"/>
      <c r="O1316" s="6"/>
      <c r="P1316" s="6"/>
      <c r="Q1316" s="6"/>
      <c r="R1316" s="6"/>
      <c r="S1316" s="6"/>
    </row>
    <row r="1317" ht="22.5" hidden="1" customHeight="1">
      <c r="A1317" s="49"/>
      <c r="B1317" s="61"/>
      <c r="C1317" s="34"/>
      <c r="D1317" s="55"/>
      <c r="E1317" s="59"/>
      <c r="F1317" s="60"/>
      <c r="G1317" s="29"/>
      <c r="H1317" s="6"/>
      <c r="I1317" s="6"/>
      <c r="J1317" s="6"/>
      <c r="K1317" s="6"/>
      <c r="L1317" s="6"/>
      <c r="M1317" s="6"/>
      <c r="N1317" s="6"/>
      <c r="O1317" s="6"/>
      <c r="P1317" s="6"/>
      <c r="Q1317" s="6"/>
      <c r="R1317" s="6"/>
      <c r="S1317" s="6"/>
    </row>
    <row r="1318" ht="22.5" hidden="1" customHeight="1">
      <c r="A1318" s="49"/>
      <c r="B1318" s="61"/>
      <c r="C1318" s="34"/>
      <c r="D1318" s="55"/>
      <c r="E1318" s="59"/>
      <c r="F1318" s="60"/>
      <c r="G1318" s="29"/>
      <c r="H1318" s="6"/>
      <c r="I1318" s="6"/>
      <c r="J1318" s="6"/>
      <c r="K1318" s="6"/>
      <c r="L1318" s="6"/>
      <c r="M1318" s="6"/>
      <c r="N1318" s="6"/>
      <c r="O1318" s="6"/>
      <c r="P1318" s="6"/>
      <c r="Q1318" s="6"/>
      <c r="R1318" s="6"/>
      <c r="S1318" s="6"/>
    </row>
    <row r="1319" ht="22.5" hidden="1" customHeight="1">
      <c r="A1319" s="49"/>
      <c r="B1319" s="61"/>
      <c r="C1319" s="34"/>
      <c r="D1319" s="55"/>
      <c r="E1319" s="59"/>
      <c r="F1319" s="60"/>
      <c r="G1319" s="29"/>
      <c r="H1319" s="6"/>
      <c r="I1319" s="6"/>
      <c r="J1319" s="6"/>
      <c r="K1319" s="6"/>
      <c r="L1319" s="6"/>
      <c r="M1319" s="6"/>
      <c r="N1319" s="6"/>
      <c r="O1319" s="6"/>
      <c r="P1319" s="6"/>
      <c r="Q1319" s="6"/>
      <c r="R1319" s="6"/>
      <c r="S1319" s="6"/>
    </row>
    <row r="1320" ht="22.5" hidden="1" customHeight="1">
      <c r="A1320" s="49"/>
      <c r="B1320" s="61"/>
      <c r="C1320" s="34"/>
      <c r="D1320" s="55"/>
      <c r="E1320" s="59"/>
      <c r="F1320" s="60"/>
      <c r="G1320" s="29"/>
      <c r="H1320" s="6"/>
      <c r="I1320" s="6"/>
      <c r="J1320" s="6"/>
      <c r="K1320" s="6"/>
      <c r="L1320" s="6"/>
      <c r="M1320" s="6"/>
      <c r="N1320" s="6"/>
      <c r="O1320" s="6"/>
      <c r="P1320" s="6"/>
      <c r="Q1320" s="6"/>
      <c r="R1320" s="6"/>
      <c r="S1320" s="6"/>
    </row>
    <row r="1321" ht="22.5" hidden="1" customHeight="1">
      <c r="A1321" s="49"/>
      <c r="B1321" s="61"/>
      <c r="C1321" s="34"/>
      <c r="D1321" s="55"/>
      <c r="E1321" s="59"/>
      <c r="F1321" s="60"/>
      <c r="G1321" s="29"/>
      <c r="H1321" s="6"/>
      <c r="I1321" s="6"/>
      <c r="J1321" s="6"/>
      <c r="K1321" s="6"/>
      <c r="L1321" s="6"/>
      <c r="M1321" s="6"/>
      <c r="N1321" s="6"/>
      <c r="O1321" s="6"/>
      <c r="P1321" s="6"/>
      <c r="Q1321" s="6"/>
      <c r="R1321" s="6"/>
      <c r="S1321" s="6"/>
    </row>
    <row r="1322" ht="22.5" hidden="1" customHeight="1">
      <c r="A1322" s="49"/>
      <c r="B1322" s="61"/>
      <c r="C1322" s="34"/>
      <c r="D1322" s="55"/>
      <c r="E1322" s="59"/>
      <c r="F1322" s="60"/>
      <c r="G1322" s="29"/>
      <c r="H1322" s="6"/>
      <c r="I1322" s="6"/>
      <c r="J1322" s="6"/>
      <c r="K1322" s="6"/>
      <c r="L1322" s="6"/>
      <c r="M1322" s="6"/>
      <c r="N1322" s="6"/>
      <c r="O1322" s="6"/>
      <c r="P1322" s="6"/>
      <c r="Q1322" s="6"/>
      <c r="R1322" s="6"/>
      <c r="S1322" s="6"/>
    </row>
    <row r="1323" ht="22.5" hidden="1" customHeight="1">
      <c r="A1323" s="49"/>
      <c r="B1323" s="61"/>
      <c r="C1323" s="34"/>
      <c r="D1323" s="55"/>
      <c r="E1323" s="59"/>
      <c r="F1323" s="60"/>
      <c r="G1323" s="29"/>
      <c r="H1323" s="6"/>
      <c r="I1323" s="6"/>
      <c r="J1323" s="6"/>
      <c r="K1323" s="6"/>
      <c r="L1323" s="6"/>
      <c r="M1323" s="6"/>
      <c r="N1323" s="6"/>
      <c r="O1323" s="6"/>
      <c r="P1323" s="6"/>
      <c r="Q1323" s="6"/>
      <c r="R1323" s="6"/>
      <c r="S1323" s="6"/>
    </row>
    <row r="1324" ht="22.5" hidden="1" customHeight="1">
      <c r="A1324" s="49"/>
      <c r="B1324" s="61"/>
      <c r="C1324" s="34"/>
      <c r="D1324" s="55"/>
      <c r="E1324" s="59"/>
      <c r="F1324" s="60"/>
      <c r="G1324" s="29"/>
      <c r="H1324" s="6"/>
      <c r="I1324" s="6"/>
      <c r="J1324" s="6"/>
      <c r="K1324" s="6"/>
      <c r="L1324" s="6"/>
      <c r="M1324" s="6"/>
      <c r="N1324" s="6"/>
      <c r="O1324" s="6"/>
      <c r="P1324" s="6"/>
      <c r="Q1324" s="6"/>
      <c r="R1324" s="6"/>
      <c r="S1324" s="6"/>
    </row>
    <row r="1325" ht="22.5" hidden="1" customHeight="1">
      <c r="A1325" s="49"/>
      <c r="B1325" s="61"/>
      <c r="C1325" s="34"/>
      <c r="D1325" s="55"/>
      <c r="E1325" s="59"/>
      <c r="F1325" s="60"/>
      <c r="G1325" s="29"/>
      <c r="H1325" s="6"/>
      <c r="I1325" s="6"/>
      <c r="J1325" s="6"/>
      <c r="K1325" s="6"/>
      <c r="L1325" s="6"/>
      <c r="M1325" s="6"/>
      <c r="N1325" s="6"/>
      <c r="O1325" s="6"/>
      <c r="P1325" s="6"/>
      <c r="Q1325" s="6"/>
      <c r="R1325" s="6"/>
      <c r="S1325" s="6"/>
    </row>
    <row r="1326" ht="22.5" hidden="1" customHeight="1">
      <c r="A1326" s="49"/>
      <c r="B1326" s="61"/>
      <c r="C1326" s="34"/>
      <c r="D1326" s="55"/>
      <c r="E1326" s="59"/>
      <c r="F1326" s="60"/>
      <c r="G1326" s="29"/>
      <c r="H1326" s="6"/>
      <c r="I1326" s="6"/>
      <c r="J1326" s="6"/>
      <c r="K1326" s="6"/>
      <c r="L1326" s="6"/>
      <c r="M1326" s="6"/>
      <c r="N1326" s="6"/>
      <c r="O1326" s="6"/>
      <c r="P1326" s="6"/>
      <c r="Q1326" s="6"/>
      <c r="R1326" s="6"/>
      <c r="S1326" s="6"/>
    </row>
    <row r="1327" ht="22.5" hidden="1" customHeight="1">
      <c r="A1327" s="49"/>
      <c r="B1327" s="61"/>
      <c r="C1327" s="34"/>
      <c r="D1327" s="55"/>
      <c r="E1327" s="59"/>
      <c r="F1327" s="60"/>
      <c r="G1327" s="29"/>
      <c r="H1327" s="6"/>
      <c r="I1327" s="6"/>
      <c r="J1327" s="6"/>
      <c r="K1327" s="6"/>
      <c r="L1327" s="6"/>
      <c r="M1327" s="6"/>
      <c r="N1327" s="6"/>
      <c r="O1327" s="6"/>
      <c r="P1327" s="6"/>
      <c r="Q1327" s="6"/>
      <c r="R1327" s="6"/>
      <c r="S1327" s="6"/>
    </row>
    <row r="1328" ht="22.5" hidden="1" customHeight="1">
      <c r="A1328" s="49"/>
      <c r="B1328" s="61"/>
      <c r="C1328" s="34"/>
      <c r="D1328" s="55"/>
      <c r="E1328" s="59"/>
      <c r="F1328" s="60"/>
      <c r="G1328" s="29"/>
      <c r="H1328" s="6"/>
      <c r="I1328" s="6"/>
      <c r="J1328" s="6"/>
      <c r="K1328" s="6"/>
      <c r="L1328" s="6"/>
      <c r="M1328" s="6"/>
      <c r="N1328" s="6"/>
      <c r="O1328" s="6"/>
      <c r="P1328" s="6"/>
      <c r="Q1328" s="6"/>
      <c r="R1328" s="6"/>
      <c r="S1328" s="6"/>
    </row>
    <row r="1329" ht="22.5" hidden="1" customHeight="1">
      <c r="A1329" s="49"/>
      <c r="B1329" s="61"/>
      <c r="C1329" s="34"/>
      <c r="D1329" s="55"/>
      <c r="E1329" s="59"/>
      <c r="F1329" s="60"/>
      <c r="G1329" s="29"/>
      <c r="H1329" s="6"/>
      <c r="I1329" s="6"/>
      <c r="J1329" s="6"/>
      <c r="K1329" s="6"/>
      <c r="L1329" s="6"/>
      <c r="M1329" s="6"/>
      <c r="N1329" s="6"/>
      <c r="O1329" s="6"/>
      <c r="P1329" s="6"/>
      <c r="Q1329" s="6"/>
      <c r="R1329" s="6"/>
      <c r="S1329" s="6"/>
    </row>
    <row r="1330" ht="22.5" hidden="1" customHeight="1">
      <c r="A1330" s="49"/>
      <c r="B1330" s="61"/>
      <c r="C1330" s="34"/>
      <c r="D1330" s="55"/>
      <c r="E1330" s="59"/>
      <c r="F1330" s="60"/>
      <c r="G1330" s="29"/>
      <c r="H1330" s="6"/>
      <c r="I1330" s="6"/>
      <c r="J1330" s="6"/>
      <c r="K1330" s="6"/>
      <c r="L1330" s="6"/>
      <c r="M1330" s="6"/>
      <c r="N1330" s="6"/>
      <c r="O1330" s="6"/>
      <c r="P1330" s="6"/>
      <c r="Q1330" s="6"/>
      <c r="R1330" s="6"/>
      <c r="S1330" s="6"/>
    </row>
    <row r="1331" ht="22.5" hidden="1" customHeight="1">
      <c r="A1331" s="49"/>
      <c r="B1331" s="61"/>
      <c r="C1331" s="34"/>
      <c r="D1331" s="55"/>
      <c r="E1331" s="59"/>
      <c r="F1331" s="60"/>
      <c r="G1331" s="29"/>
      <c r="H1331" s="6"/>
      <c r="I1331" s="6"/>
      <c r="J1331" s="6"/>
      <c r="K1331" s="6"/>
      <c r="L1331" s="6"/>
      <c r="M1331" s="6"/>
      <c r="N1331" s="6"/>
      <c r="O1331" s="6"/>
      <c r="P1331" s="6"/>
      <c r="Q1331" s="6"/>
      <c r="R1331" s="6"/>
      <c r="S1331" s="6"/>
    </row>
    <row r="1332" ht="22.5" hidden="1" customHeight="1">
      <c r="A1332" s="49"/>
      <c r="B1332" s="61"/>
      <c r="C1332" s="34"/>
      <c r="D1332" s="55"/>
      <c r="E1332" s="59"/>
      <c r="F1332" s="60"/>
      <c r="G1332" s="29"/>
      <c r="H1332" s="6"/>
      <c r="I1332" s="6"/>
      <c r="J1332" s="6"/>
      <c r="K1332" s="6"/>
      <c r="L1332" s="6"/>
      <c r="M1332" s="6"/>
      <c r="N1332" s="6"/>
      <c r="O1332" s="6"/>
      <c r="P1332" s="6"/>
      <c r="Q1332" s="6"/>
      <c r="R1332" s="6"/>
      <c r="S1332" s="6"/>
    </row>
    <row r="1333" ht="22.5" hidden="1" customHeight="1">
      <c r="A1333" s="49"/>
      <c r="B1333" s="61"/>
      <c r="C1333" s="34"/>
      <c r="D1333" s="55"/>
      <c r="E1333" s="59"/>
      <c r="F1333" s="60"/>
      <c r="G1333" s="29"/>
      <c r="H1333" s="6"/>
      <c r="I1333" s="6"/>
      <c r="J1333" s="6"/>
      <c r="K1333" s="6"/>
      <c r="L1333" s="6"/>
      <c r="M1333" s="6"/>
      <c r="N1333" s="6"/>
      <c r="O1333" s="6"/>
      <c r="P1333" s="6"/>
      <c r="Q1333" s="6"/>
      <c r="R1333" s="6"/>
      <c r="S1333" s="6"/>
    </row>
    <row r="1334" ht="22.5" hidden="1" customHeight="1">
      <c r="A1334" s="49"/>
      <c r="B1334" s="61"/>
      <c r="C1334" s="34"/>
      <c r="D1334" s="55"/>
      <c r="E1334" s="59"/>
      <c r="F1334" s="60"/>
      <c r="G1334" s="29"/>
      <c r="H1334" s="6"/>
      <c r="I1334" s="6"/>
      <c r="J1334" s="6"/>
      <c r="K1334" s="6"/>
      <c r="L1334" s="6"/>
      <c r="M1334" s="6"/>
      <c r="N1334" s="6"/>
      <c r="O1334" s="6"/>
      <c r="P1334" s="6"/>
      <c r="Q1334" s="6"/>
      <c r="R1334" s="6"/>
      <c r="S1334" s="6"/>
    </row>
    <row r="1335" ht="22.5" hidden="1" customHeight="1">
      <c r="A1335" s="49"/>
      <c r="B1335" s="61"/>
      <c r="C1335" s="34"/>
      <c r="D1335" s="55"/>
      <c r="E1335" s="59"/>
      <c r="F1335" s="60"/>
      <c r="G1335" s="29"/>
      <c r="H1335" s="6"/>
      <c r="I1335" s="6"/>
      <c r="J1335" s="6"/>
      <c r="K1335" s="6"/>
      <c r="L1335" s="6"/>
      <c r="M1335" s="6"/>
      <c r="N1335" s="6"/>
      <c r="O1335" s="6"/>
      <c r="P1335" s="6"/>
      <c r="Q1335" s="6"/>
      <c r="R1335" s="6"/>
      <c r="S1335" s="6"/>
    </row>
    <row r="1336" ht="22.5" hidden="1" customHeight="1">
      <c r="A1336" s="49"/>
      <c r="B1336" s="61"/>
      <c r="C1336" s="34"/>
      <c r="D1336" s="55"/>
      <c r="E1336" s="59"/>
      <c r="F1336" s="60"/>
      <c r="G1336" s="29"/>
      <c r="H1336" s="6"/>
      <c r="I1336" s="6"/>
      <c r="J1336" s="6"/>
      <c r="K1336" s="6"/>
      <c r="L1336" s="6"/>
      <c r="M1336" s="6"/>
      <c r="N1336" s="6"/>
      <c r="O1336" s="6"/>
      <c r="P1336" s="6"/>
      <c r="Q1336" s="6"/>
      <c r="R1336" s="6"/>
      <c r="S1336" s="6"/>
    </row>
    <row r="1337" ht="22.5" hidden="1" customHeight="1">
      <c r="A1337" s="49"/>
      <c r="B1337" s="61"/>
      <c r="C1337" s="34"/>
      <c r="D1337" s="55"/>
      <c r="E1337" s="59"/>
      <c r="F1337" s="60"/>
      <c r="G1337" s="29"/>
      <c r="H1337" s="6"/>
      <c r="I1337" s="6"/>
      <c r="J1337" s="6"/>
      <c r="K1337" s="6"/>
      <c r="L1337" s="6"/>
      <c r="M1337" s="6"/>
      <c r="N1337" s="6"/>
      <c r="O1337" s="6"/>
      <c r="P1337" s="6"/>
      <c r="Q1337" s="6"/>
      <c r="R1337" s="6"/>
      <c r="S1337" s="6"/>
    </row>
    <row r="1338" ht="22.5" hidden="1" customHeight="1">
      <c r="A1338" s="49"/>
      <c r="B1338" s="61"/>
      <c r="C1338" s="34"/>
      <c r="D1338" s="55"/>
      <c r="E1338" s="59"/>
      <c r="F1338" s="60"/>
      <c r="G1338" s="29"/>
      <c r="H1338" s="6"/>
      <c r="I1338" s="6"/>
      <c r="J1338" s="6"/>
      <c r="K1338" s="6"/>
      <c r="L1338" s="6"/>
      <c r="M1338" s="6"/>
      <c r="N1338" s="6"/>
      <c r="O1338" s="6"/>
      <c r="P1338" s="6"/>
      <c r="Q1338" s="6"/>
      <c r="R1338" s="6"/>
      <c r="S1338" s="6"/>
    </row>
    <row r="1339" ht="22.5" hidden="1" customHeight="1">
      <c r="A1339" s="49"/>
      <c r="B1339" s="61"/>
      <c r="C1339" s="34"/>
      <c r="D1339" s="55"/>
      <c r="E1339" s="59"/>
      <c r="F1339" s="60"/>
      <c r="G1339" s="29"/>
      <c r="H1339" s="6"/>
      <c r="I1339" s="6"/>
      <c r="J1339" s="6"/>
      <c r="K1339" s="6"/>
      <c r="L1339" s="6"/>
      <c r="M1339" s="6"/>
      <c r="N1339" s="6"/>
      <c r="O1339" s="6"/>
      <c r="P1339" s="6"/>
      <c r="Q1339" s="6"/>
      <c r="R1339" s="6"/>
      <c r="S1339" s="6"/>
    </row>
    <row r="1340" ht="22.5" hidden="1" customHeight="1">
      <c r="A1340" s="49"/>
      <c r="B1340" s="61"/>
      <c r="C1340" s="34"/>
      <c r="D1340" s="55"/>
      <c r="E1340" s="59"/>
      <c r="F1340" s="60"/>
      <c r="G1340" s="29"/>
      <c r="H1340" s="6"/>
      <c r="I1340" s="6"/>
      <c r="J1340" s="6"/>
      <c r="K1340" s="6"/>
      <c r="L1340" s="6"/>
      <c r="M1340" s="6"/>
      <c r="N1340" s="6"/>
      <c r="O1340" s="6"/>
      <c r="P1340" s="6"/>
      <c r="Q1340" s="6"/>
      <c r="R1340" s="6"/>
      <c r="S1340" s="6"/>
    </row>
    <row r="1341" ht="22.5" hidden="1" customHeight="1">
      <c r="A1341" s="49"/>
      <c r="B1341" s="61"/>
      <c r="C1341" s="34"/>
      <c r="D1341" s="55"/>
      <c r="E1341" s="59"/>
      <c r="F1341" s="60"/>
      <c r="G1341" s="29"/>
      <c r="H1341" s="6"/>
      <c r="I1341" s="6"/>
      <c r="J1341" s="6"/>
      <c r="K1341" s="6"/>
      <c r="L1341" s="6"/>
      <c r="M1341" s="6"/>
      <c r="N1341" s="6"/>
      <c r="O1341" s="6"/>
      <c r="P1341" s="6"/>
      <c r="Q1341" s="6"/>
      <c r="R1341" s="6"/>
      <c r="S1341" s="6"/>
    </row>
    <row r="1342" ht="22.5" hidden="1" customHeight="1">
      <c r="A1342" s="49"/>
      <c r="B1342" s="61"/>
      <c r="C1342" s="34"/>
      <c r="D1342" s="55"/>
      <c r="E1342" s="59"/>
      <c r="F1342" s="60"/>
      <c r="G1342" s="29"/>
      <c r="H1342" s="6"/>
      <c r="I1342" s="6"/>
      <c r="J1342" s="6"/>
      <c r="K1342" s="6"/>
      <c r="L1342" s="6"/>
      <c r="M1342" s="6"/>
      <c r="N1342" s="6"/>
      <c r="O1342" s="6"/>
      <c r="P1342" s="6"/>
      <c r="Q1342" s="6"/>
      <c r="R1342" s="6"/>
      <c r="S1342" s="6"/>
    </row>
    <row r="1343" ht="22.5" hidden="1" customHeight="1">
      <c r="A1343" s="49"/>
      <c r="B1343" s="61"/>
      <c r="C1343" s="34"/>
      <c r="D1343" s="55"/>
      <c r="E1343" s="59"/>
      <c r="F1343" s="60"/>
      <c r="G1343" s="29"/>
      <c r="H1343" s="6"/>
      <c r="I1343" s="6"/>
      <c r="J1343" s="6"/>
      <c r="K1343" s="6"/>
      <c r="L1343" s="6"/>
      <c r="M1343" s="6"/>
      <c r="N1343" s="6"/>
      <c r="O1343" s="6"/>
      <c r="P1343" s="6"/>
      <c r="Q1343" s="6"/>
      <c r="R1343" s="6"/>
      <c r="S1343" s="6"/>
    </row>
    <row r="1344" ht="22.5" hidden="1" customHeight="1">
      <c r="A1344" s="49"/>
      <c r="B1344" s="61"/>
      <c r="C1344" s="34"/>
      <c r="D1344" s="55"/>
      <c r="E1344" s="59"/>
      <c r="F1344" s="60"/>
      <c r="G1344" s="29"/>
      <c r="H1344" s="6"/>
      <c r="I1344" s="6"/>
      <c r="J1344" s="6"/>
      <c r="K1344" s="6"/>
      <c r="L1344" s="6"/>
      <c r="M1344" s="6"/>
      <c r="N1344" s="6"/>
      <c r="O1344" s="6"/>
      <c r="P1344" s="6"/>
      <c r="Q1344" s="6"/>
      <c r="R1344" s="6"/>
      <c r="S1344" s="6"/>
    </row>
    <row r="1345" ht="22.5" hidden="1" customHeight="1">
      <c r="A1345" s="49"/>
      <c r="B1345" s="61"/>
      <c r="C1345" s="34"/>
      <c r="D1345" s="55"/>
      <c r="E1345" s="59"/>
      <c r="F1345" s="60"/>
      <c r="G1345" s="29"/>
      <c r="H1345" s="6"/>
      <c r="I1345" s="6"/>
      <c r="J1345" s="6"/>
      <c r="K1345" s="6"/>
      <c r="L1345" s="6"/>
      <c r="M1345" s="6"/>
      <c r="N1345" s="6"/>
      <c r="O1345" s="6"/>
      <c r="P1345" s="6"/>
      <c r="Q1345" s="6"/>
      <c r="R1345" s="6"/>
      <c r="S1345" s="6"/>
    </row>
    <row r="1346" ht="22.5" hidden="1" customHeight="1">
      <c r="A1346" s="49"/>
      <c r="B1346" s="61"/>
      <c r="C1346" s="34"/>
      <c r="D1346" s="55"/>
      <c r="E1346" s="59"/>
      <c r="F1346" s="60"/>
      <c r="G1346" s="29"/>
      <c r="H1346" s="6"/>
      <c r="I1346" s="6"/>
      <c r="J1346" s="6"/>
      <c r="K1346" s="6"/>
      <c r="L1346" s="6"/>
      <c r="M1346" s="6"/>
      <c r="N1346" s="6"/>
      <c r="O1346" s="6"/>
      <c r="P1346" s="6"/>
      <c r="Q1346" s="6"/>
      <c r="R1346" s="6"/>
      <c r="S1346" s="6"/>
    </row>
    <row r="1347" ht="22.5" hidden="1" customHeight="1">
      <c r="A1347" s="49"/>
      <c r="B1347" s="61"/>
      <c r="C1347" s="34"/>
      <c r="D1347" s="55"/>
      <c r="E1347" s="59"/>
      <c r="F1347" s="60"/>
      <c r="G1347" s="29"/>
      <c r="H1347" s="6"/>
      <c r="I1347" s="6"/>
      <c r="J1347" s="6"/>
      <c r="K1347" s="6"/>
      <c r="L1347" s="6"/>
      <c r="M1347" s="6"/>
      <c r="N1347" s="6"/>
      <c r="O1347" s="6"/>
      <c r="P1347" s="6"/>
      <c r="Q1347" s="6"/>
      <c r="R1347" s="6"/>
      <c r="S1347" s="6"/>
    </row>
    <row r="1348" ht="22.5" hidden="1" customHeight="1">
      <c r="A1348" s="49"/>
      <c r="B1348" s="61"/>
      <c r="C1348" s="34"/>
      <c r="D1348" s="55"/>
      <c r="E1348" s="59"/>
      <c r="F1348" s="60"/>
      <c r="G1348" s="29"/>
      <c r="H1348" s="6"/>
      <c r="I1348" s="6"/>
      <c r="J1348" s="6"/>
      <c r="K1348" s="6"/>
      <c r="L1348" s="6"/>
      <c r="M1348" s="6"/>
      <c r="N1348" s="6"/>
      <c r="O1348" s="6"/>
      <c r="P1348" s="6"/>
      <c r="Q1348" s="6"/>
      <c r="R1348" s="6"/>
      <c r="S1348" s="6"/>
    </row>
    <row r="1349" ht="22.5" hidden="1" customHeight="1">
      <c r="A1349" s="49"/>
      <c r="B1349" s="61"/>
      <c r="C1349" s="34"/>
      <c r="D1349" s="55"/>
      <c r="E1349" s="59"/>
      <c r="F1349" s="60"/>
      <c r="G1349" s="29"/>
      <c r="H1349" s="6"/>
      <c r="I1349" s="6"/>
      <c r="J1349" s="6"/>
      <c r="K1349" s="6"/>
      <c r="L1349" s="6"/>
      <c r="M1349" s="6"/>
      <c r="N1349" s="6"/>
      <c r="O1349" s="6"/>
      <c r="P1349" s="6"/>
      <c r="Q1349" s="6"/>
      <c r="R1349" s="6"/>
      <c r="S1349" s="6"/>
    </row>
    <row r="1350" ht="22.5" hidden="1" customHeight="1">
      <c r="A1350" s="49"/>
      <c r="B1350" s="61"/>
      <c r="C1350" s="34"/>
      <c r="D1350" s="55"/>
      <c r="E1350" s="59"/>
      <c r="F1350" s="60"/>
      <c r="G1350" s="29"/>
      <c r="H1350" s="6"/>
      <c r="I1350" s="6"/>
      <c r="J1350" s="6"/>
      <c r="K1350" s="6"/>
      <c r="L1350" s="6"/>
      <c r="M1350" s="6"/>
      <c r="N1350" s="6"/>
      <c r="O1350" s="6"/>
      <c r="P1350" s="6"/>
      <c r="Q1350" s="6"/>
      <c r="R1350" s="6"/>
      <c r="S1350" s="6"/>
    </row>
    <row r="1351" ht="22.5" hidden="1" customHeight="1">
      <c r="A1351" s="49"/>
      <c r="B1351" s="61"/>
      <c r="C1351" s="34"/>
      <c r="D1351" s="55"/>
      <c r="E1351" s="59"/>
      <c r="F1351" s="60"/>
      <c r="G1351" s="29"/>
      <c r="H1351" s="6"/>
      <c r="I1351" s="6"/>
      <c r="J1351" s="6"/>
      <c r="K1351" s="6"/>
      <c r="L1351" s="6"/>
      <c r="M1351" s="6"/>
      <c r="N1351" s="6"/>
      <c r="O1351" s="6"/>
      <c r="P1351" s="6"/>
      <c r="Q1351" s="6"/>
      <c r="R1351" s="6"/>
      <c r="S1351" s="6"/>
    </row>
    <row r="1352" ht="22.5" hidden="1" customHeight="1">
      <c r="A1352" s="49"/>
      <c r="B1352" s="61"/>
      <c r="C1352" s="34"/>
      <c r="D1352" s="55"/>
      <c r="E1352" s="59"/>
      <c r="F1352" s="60"/>
      <c r="G1352" s="29"/>
      <c r="H1352" s="6"/>
      <c r="I1352" s="6"/>
      <c r="J1352" s="6"/>
      <c r="K1352" s="6"/>
      <c r="L1352" s="6"/>
      <c r="M1352" s="6"/>
      <c r="N1352" s="6"/>
      <c r="O1352" s="6"/>
      <c r="P1352" s="6"/>
      <c r="Q1352" s="6"/>
      <c r="R1352" s="6"/>
      <c r="S1352" s="6"/>
    </row>
    <row r="1353" ht="22.5" hidden="1" customHeight="1">
      <c r="A1353" s="49"/>
      <c r="B1353" s="61"/>
      <c r="C1353" s="34"/>
      <c r="D1353" s="55"/>
      <c r="E1353" s="59"/>
      <c r="F1353" s="60"/>
      <c r="G1353" s="29"/>
      <c r="H1353" s="6"/>
      <c r="I1353" s="6"/>
      <c r="J1353" s="6"/>
      <c r="K1353" s="6"/>
      <c r="L1353" s="6"/>
      <c r="M1353" s="6"/>
      <c r="N1353" s="6"/>
      <c r="O1353" s="6"/>
      <c r="P1353" s="6"/>
      <c r="Q1353" s="6"/>
      <c r="R1353" s="6"/>
      <c r="S1353" s="6"/>
    </row>
    <row r="1354" ht="22.5" hidden="1" customHeight="1">
      <c r="A1354" s="49"/>
      <c r="B1354" s="61"/>
      <c r="C1354" s="34"/>
      <c r="D1354" s="55"/>
      <c r="E1354" s="59"/>
      <c r="F1354" s="60"/>
      <c r="G1354" s="29"/>
      <c r="H1354" s="6"/>
      <c r="I1354" s="6"/>
      <c r="J1354" s="6"/>
      <c r="K1354" s="6"/>
      <c r="L1354" s="6"/>
      <c r="M1354" s="6"/>
      <c r="N1354" s="6"/>
      <c r="O1354" s="6"/>
      <c r="P1354" s="6"/>
      <c r="Q1354" s="6"/>
      <c r="R1354" s="6"/>
      <c r="S1354" s="6"/>
    </row>
    <row r="1355" ht="22.5" hidden="1" customHeight="1">
      <c r="A1355" s="49"/>
      <c r="B1355" s="61"/>
      <c r="C1355" s="34"/>
      <c r="D1355" s="55"/>
      <c r="E1355" s="59"/>
      <c r="F1355" s="60"/>
      <c r="G1355" s="29"/>
      <c r="H1355" s="6"/>
      <c r="I1355" s="6"/>
      <c r="J1355" s="6"/>
      <c r="K1355" s="6"/>
      <c r="L1355" s="6"/>
      <c r="M1355" s="6"/>
      <c r="N1355" s="6"/>
      <c r="O1355" s="6"/>
      <c r="P1355" s="6"/>
      <c r="Q1355" s="6"/>
      <c r="R1355" s="6"/>
      <c r="S1355" s="6"/>
    </row>
    <row r="1356" ht="22.5" hidden="1" customHeight="1">
      <c r="A1356" s="49"/>
      <c r="B1356" s="61"/>
      <c r="C1356" s="34"/>
      <c r="D1356" s="55"/>
      <c r="E1356" s="59"/>
      <c r="F1356" s="60"/>
      <c r="G1356" s="29"/>
      <c r="H1356" s="6"/>
      <c r="I1356" s="6"/>
      <c r="J1356" s="6"/>
      <c r="K1356" s="6"/>
      <c r="L1356" s="6"/>
      <c r="M1356" s="6"/>
      <c r="N1356" s="6"/>
      <c r="O1356" s="6"/>
      <c r="P1356" s="6"/>
      <c r="Q1356" s="6"/>
      <c r="R1356" s="6"/>
      <c r="S1356" s="6"/>
    </row>
    <row r="1357" ht="22.5" hidden="1" customHeight="1">
      <c r="A1357" s="49"/>
      <c r="B1357" s="61"/>
      <c r="C1357" s="34"/>
      <c r="D1357" s="55"/>
      <c r="E1357" s="59"/>
      <c r="F1357" s="60"/>
      <c r="G1357" s="29"/>
      <c r="H1357" s="6"/>
      <c r="I1357" s="6"/>
      <c r="J1357" s="6"/>
      <c r="K1357" s="6"/>
      <c r="L1357" s="6"/>
      <c r="M1357" s="6"/>
      <c r="N1357" s="6"/>
      <c r="O1357" s="6"/>
      <c r="P1357" s="6"/>
      <c r="Q1357" s="6"/>
      <c r="R1357" s="6"/>
      <c r="S1357" s="6"/>
    </row>
    <row r="1358" ht="22.5" hidden="1" customHeight="1">
      <c r="A1358" s="49"/>
      <c r="B1358" s="61"/>
      <c r="C1358" s="34"/>
      <c r="D1358" s="55"/>
      <c r="E1358" s="59"/>
      <c r="F1358" s="60"/>
      <c r="G1358" s="29"/>
      <c r="H1358" s="6"/>
      <c r="I1358" s="6"/>
      <c r="J1358" s="6"/>
      <c r="K1358" s="6"/>
      <c r="L1358" s="6"/>
      <c r="M1358" s="6"/>
      <c r="N1358" s="6"/>
      <c r="O1358" s="6"/>
      <c r="P1358" s="6"/>
      <c r="Q1358" s="6"/>
      <c r="R1358" s="6"/>
      <c r="S1358" s="6"/>
    </row>
    <row r="1359" ht="22.5" hidden="1" customHeight="1">
      <c r="A1359" s="49"/>
      <c r="B1359" s="61"/>
      <c r="C1359" s="34"/>
      <c r="D1359" s="55"/>
      <c r="E1359" s="59"/>
      <c r="F1359" s="60"/>
      <c r="G1359" s="29"/>
      <c r="H1359" s="6"/>
      <c r="I1359" s="6"/>
      <c r="J1359" s="6"/>
      <c r="K1359" s="6"/>
      <c r="L1359" s="6"/>
      <c r="M1359" s="6"/>
      <c r="N1359" s="6"/>
      <c r="O1359" s="6"/>
      <c r="P1359" s="6"/>
      <c r="Q1359" s="6"/>
      <c r="R1359" s="6"/>
      <c r="S1359" s="6"/>
    </row>
    <row r="1360" ht="22.5" hidden="1" customHeight="1">
      <c r="A1360" s="49"/>
      <c r="B1360" s="61"/>
      <c r="C1360" s="34"/>
      <c r="D1360" s="55"/>
      <c r="E1360" s="59"/>
      <c r="F1360" s="60"/>
      <c r="G1360" s="29"/>
      <c r="H1360" s="6"/>
      <c r="I1360" s="6"/>
      <c r="J1360" s="6"/>
      <c r="K1360" s="6"/>
      <c r="L1360" s="6"/>
      <c r="M1360" s="6"/>
      <c r="N1360" s="6"/>
      <c r="O1360" s="6"/>
      <c r="P1360" s="6"/>
      <c r="Q1360" s="6"/>
      <c r="R1360" s="6"/>
      <c r="S1360" s="6"/>
    </row>
    <row r="1361" ht="22.5" hidden="1" customHeight="1">
      <c r="A1361" s="49"/>
      <c r="B1361" s="61"/>
      <c r="C1361" s="34"/>
      <c r="D1361" s="55"/>
      <c r="E1361" s="59"/>
      <c r="F1361" s="60"/>
      <c r="G1361" s="29"/>
      <c r="H1361" s="6"/>
      <c r="I1361" s="6"/>
      <c r="J1361" s="6"/>
      <c r="K1361" s="6"/>
      <c r="L1361" s="6"/>
      <c r="M1361" s="6"/>
      <c r="N1361" s="6"/>
      <c r="O1361" s="6"/>
      <c r="P1361" s="6"/>
      <c r="Q1361" s="6"/>
      <c r="R1361" s="6"/>
      <c r="S1361" s="6"/>
    </row>
    <row r="1362" ht="22.5" hidden="1" customHeight="1">
      <c r="A1362" s="49"/>
      <c r="B1362" s="61"/>
      <c r="C1362" s="34"/>
      <c r="D1362" s="55"/>
      <c r="E1362" s="59"/>
      <c r="F1362" s="60"/>
      <c r="G1362" s="29"/>
      <c r="H1362" s="6"/>
      <c r="I1362" s="6"/>
      <c r="J1362" s="6"/>
      <c r="K1362" s="6"/>
      <c r="L1362" s="6"/>
      <c r="M1362" s="6"/>
      <c r="N1362" s="6"/>
      <c r="O1362" s="6"/>
      <c r="P1362" s="6"/>
      <c r="Q1362" s="6"/>
      <c r="R1362" s="6"/>
      <c r="S1362" s="6"/>
    </row>
    <row r="1363" ht="22.5" hidden="1" customHeight="1">
      <c r="A1363" s="49"/>
      <c r="B1363" s="61"/>
      <c r="C1363" s="34"/>
      <c r="D1363" s="55"/>
      <c r="E1363" s="59"/>
      <c r="F1363" s="60"/>
      <c r="G1363" s="29"/>
      <c r="H1363" s="6"/>
      <c r="I1363" s="6"/>
      <c r="J1363" s="6"/>
      <c r="K1363" s="6"/>
      <c r="L1363" s="6"/>
      <c r="M1363" s="6"/>
      <c r="N1363" s="6"/>
      <c r="O1363" s="6"/>
      <c r="P1363" s="6"/>
      <c r="Q1363" s="6"/>
      <c r="R1363" s="6"/>
      <c r="S1363" s="6"/>
    </row>
    <row r="1364" ht="22.5" hidden="1" customHeight="1">
      <c r="A1364" s="49"/>
      <c r="B1364" s="61"/>
      <c r="C1364" s="34"/>
      <c r="D1364" s="55"/>
      <c r="E1364" s="59"/>
      <c r="F1364" s="60"/>
      <c r="G1364" s="29"/>
      <c r="H1364" s="6"/>
      <c r="I1364" s="6"/>
      <c r="J1364" s="6"/>
      <c r="K1364" s="6"/>
      <c r="L1364" s="6"/>
      <c r="M1364" s="6"/>
      <c r="N1364" s="6"/>
      <c r="O1364" s="6"/>
      <c r="P1364" s="6"/>
      <c r="Q1364" s="6"/>
      <c r="R1364" s="6"/>
      <c r="S1364" s="6"/>
    </row>
    <row r="1365" ht="22.5" hidden="1" customHeight="1">
      <c r="A1365" s="49"/>
      <c r="B1365" s="61"/>
      <c r="C1365" s="34"/>
      <c r="D1365" s="55"/>
      <c r="E1365" s="59"/>
      <c r="F1365" s="60"/>
      <c r="G1365" s="29"/>
      <c r="H1365" s="6"/>
      <c r="I1365" s="6"/>
      <c r="J1365" s="6"/>
      <c r="K1365" s="6"/>
      <c r="L1365" s="6"/>
      <c r="M1365" s="6"/>
      <c r="N1365" s="6"/>
      <c r="O1365" s="6"/>
      <c r="P1365" s="6"/>
      <c r="Q1365" s="6"/>
      <c r="R1365" s="6"/>
      <c r="S1365" s="6"/>
    </row>
    <row r="1366" ht="22.5" hidden="1" customHeight="1">
      <c r="A1366" s="49"/>
      <c r="B1366" s="61"/>
      <c r="C1366" s="34"/>
      <c r="D1366" s="55"/>
      <c r="E1366" s="59"/>
      <c r="F1366" s="60"/>
      <c r="G1366" s="29"/>
      <c r="H1366" s="6"/>
      <c r="I1366" s="6"/>
      <c r="J1366" s="6"/>
      <c r="K1366" s="6"/>
      <c r="L1366" s="6"/>
      <c r="M1366" s="6"/>
      <c r="N1366" s="6"/>
      <c r="O1366" s="6"/>
      <c r="P1366" s="6"/>
      <c r="Q1366" s="6"/>
      <c r="R1366" s="6"/>
      <c r="S1366" s="6"/>
    </row>
    <row r="1367" ht="22.5" hidden="1" customHeight="1">
      <c r="A1367" s="49"/>
      <c r="B1367" s="61"/>
      <c r="C1367" s="34"/>
      <c r="D1367" s="55"/>
      <c r="E1367" s="59"/>
      <c r="F1367" s="60"/>
      <c r="G1367" s="29"/>
      <c r="H1367" s="6"/>
      <c r="I1367" s="6"/>
      <c r="J1367" s="6"/>
      <c r="K1367" s="6"/>
      <c r="L1367" s="6"/>
      <c r="M1367" s="6"/>
      <c r="N1367" s="6"/>
      <c r="O1367" s="6"/>
      <c r="P1367" s="6"/>
      <c r="Q1367" s="6"/>
      <c r="R1367" s="6"/>
      <c r="S1367" s="6"/>
    </row>
    <row r="1368" ht="22.5" hidden="1" customHeight="1">
      <c r="A1368" s="49"/>
      <c r="B1368" s="61"/>
      <c r="C1368" s="34"/>
      <c r="D1368" s="55"/>
      <c r="E1368" s="59"/>
      <c r="F1368" s="60"/>
      <c r="G1368" s="29"/>
      <c r="H1368" s="6"/>
      <c r="I1368" s="6"/>
      <c r="J1368" s="6"/>
      <c r="K1368" s="6"/>
      <c r="L1368" s="6"/>
      <c r="M1368" s="6"/>
      <c r="N1368" s="6"/>
      <c r="O1368" s="6"/>
      <c r="P1368" s="6"/>
      <c r="Q1368" s="6"/>
      <c r="R1368" s="6"/>
      <c r="S1368" s="6"/>
    </row>
    <row r="1369" ht="22.5" hidden="1" customHeight="1">
      <c r="A1369" s="49"/>
      <c r="B1369" s="61"/>
      <c r="C1369" s="34"/>
      <c r="D1369" s="55"/>
      <c r="E1369" s="59"/>
      <c r="F1369" s="60"/>
      <c r="G1369" s="29"/>
      <c r="H1369" s="6"/>
      <c r="I1369" s="6"/>
      <c r="J1369" s="6"/>
      <c r="K1369" s="6"/>
      <c r="L1369" s="6"/>
      <c r="M1369" s="6"/>
      <c r="N1369" s="6"/>
      <c r="O1369" s="6"/>
      <c r="P1369" s="6"/>
      <c r="Q1369" s="6"/>
      <c r="R1369" s="6"/>
      <c r="S1369" s="6"/>
    </row>
    <row r="1370" ht="22.5" hidden="1" customHeight="1">
      <c r="A1370" s="49"/>
      <c r="B1370" s="61"/>
      <c r="C1370" s="34"/>
      <c r="D1370" s="55"/>
      <c r="E1370" s="59"/>
      <c r="F1370" s="60"/>
      <c r="G1370" s="29"/>
      <c r="H1370" s="6"/>
      <c r="I1370" s="6"/>
      <c r="J1370" s="6"/>
      <c r="K1370" s="6"/>
      <c r="L1370" s="6"/>
      <c r="M1370" s="6"/>
      <c r="N1370" s="6"/>
      <c r="O1370" s="6"/>
      <c r="P1370" s="6"/>
      <c r="Q1370" s="6"/>
      <c r="R1370" s="6"/>
      <c r="S1370" s="6"/>
    </row>
    <row r="1371" ht="22.5" hidden="1" customHeight="1">
      <c r="A1371" s="49"/>
      <c r="B1371" s="61"/>
      <c r="C1371" s="34"/>
      <c r="D1371" s="55"/>
      <c r="E1371" s="59"/>
      <c r="F1371" s="60"/>
      <c r="G1371" s="29"/>
      <c r="H1371" s="6"/>
      <c r="I1371" s="6"/>
      <c r="J1371" s="6"/>
      <c r="K1371" s="6"/>
      <c r="L1371" s="6"/>
      <c r="M1371" s="6"/>
      <c r="N1371" s="6"/>
      <c r="O1371" s="6"/>
      <c r="P1371" s="6"/>
      <c r="Q1371" s="6"/>
      <c r="R1371" s="6"/>
      <c r="S1371" s="6"/>
    </row>
    <row r="1372" ht="22.5" hidden="1" customHeight="1">
      <c r="A1372" s="49"/>
      <c r="B1372" s="61"/>
      <c r="C1372" s="34"/>
      <c r="D1372" s="55"/>
      <c r="E1372" s="59"/>
      <c r="F1372" s="60"/>
      <c r="G1372" s="29"/>
      <c r="H1372" s="6"/>
      <c r="I1372" s="6"/>
      <c r="J1372" s="6"/>
      <c r="K1372" s="6"/>
      <c r="L1372" s="6"/>
      <c r="M1372" s="6"/>
      <c r="N1372" s="6"/>
      <c r="O1372" s="6"/>
      <c r="P1372" s="6"/>
      <c r="Q1372" s="6"/>
      <c r="R1372" s="6"/>
      <c r="S1372" s="6"/>
    </row>
    <row r="1373" ht="22.5" hidden="1" customHeight="1">
      <c r="A1373" s="49"/>
      <c r="B1373" s="61"/>
      <c r="C1373" s="34"/>
      <c r="D1373" s="55"/>
      <c r="E1373" s="59"/>
      <c r="F1373" s="60"/>
      <c r="G1373" s="29"/>
      <c r="H1373" s="6"/>
      <c r="I1373" s="6"/>
      <c r="J1373" s="6"/>
      <c r="K1373" s="6"/>
      <c r="L1373" s="6"/>
      <c r="M1373" s="6"/>
      <c r="N1373" s="6"/>
      <c r="O1373" s="6"/>
      <c r="P1373" s="6"/>
      <c r="Q1373" s="6"/>
      <c r="R1373" s="6"/>
      <c r="S1373" s="6"/>
    </row>
    <row r="1374" ht="22.5" hidden="1" customHeight="1">
      <c r="A1374" s="49"/>
      <c r="B1374" s="61"/>
      <c r="C1374" s="34"/>
      <c r="D1374" s="55"/>
      <c r="E1374" s="59"/>
      <c r="F1374" s="60"/>
      <c r="G1374" s="29"/>
      <c r="H1374" s="6"/>
      <c r="I1374" s="6"/>
      <c r="J1374" s="6"/>
      <c r="K1374" s="6"/>
      <c r="L1374" s="6"/>
      <c r="M1374" s="6"/>
      <c r="N1374" s="6"/>
      <c r="O1374" s="6"/>
      <c r="P1374" s="6"/>
      <c r="Q1374" s="6"/>
      <c r="R1374" s="6"/>
      <c r="S1374" s="6"/>
    </row>
    <row r="1375" ht="22.5" hidden="1" customHeight="1">
      <c r="A1375" s="49"/>
      <c r="B1375" s="61"/>
      <c r="C1375" s="34"/>
      <c r="D1375" s="55"/>
      <c r="E1375" s="59"/>
      <c r="F1375" s="60"/>
      <c r="G1375" s="29"/>
      <c r="H1375" s="6"/>
      <c r="I1375" s="6"/>
      <c r="J1375" s="6"/>
      <c r="K1375" s="6"/>
      <c r="L1375" s="6"/>
      <c r="M1375" s="6"/>
      <c r="N1375" s="6"/>
      <c r="O1375" s="6"/>
      <c r="P1375" s="6"/>
      <c r="Q1375" s="6"/>
      <c r="R1375" s="6"/>
      <c r="S1375" s="6"/>
    </row>
    <row r="1376" ht="22.5" hidden="1" customHeight="1">
      <c r="A1376" s="49"/>
      <c r="B1376" s="61"/>
      <c r="C1376" s="34"/>
      <c r="D1376" s="55"/>
      <c r="E1376" s="59"/>
      <c r="F1376" s="60"/>
      <c r="G1376" s="29"/>
      <c r="H1376" s="6"/>
      <c r="I1376" s="6"/>
      <c r="J1376" s="6"/>
      <c r="K1376" s="6"/>
      <c r="L1376" s="6"/>
      <c r="M1376" s="6"/>
      <c r="N1376" s="6"/>
      <c r="O1376" s="6"/>
      <c r="P1376" s="6"/>
      <c r="Q1376" s="6"/>
      <c r="R1376" s="6"/>
      <c r="S1376" s="6"/>
    </row>
    <row r="1377" ht="22.5" hidden="1" customHeight="1">
      <c r="A1377" s="49"/>
      <c r="B1377" s="61"/>
      <c r="C1377" s="34"/>
      <c r="D1377" s="55"/>
      <c r="E1377" s="59"/>
      <c r="F1377" s="60"/>
      <c r="G1377" s="29"/>
      <c r="H1377" s="6"/>
      <c r="I1377" s="6"/>
      <c r="J1377" s="6"/>
      <c r="K1377" s="6"/>
      <c r="L1377" s="6"/>
      <c r="M1377" s="6"/>
      <c r="N1377" s="6"/>
      <c r="O1377" s="6"/>
      <c r="P1377" s="6"/>
      <c r="Q1377" s="6"/>
      <c r="R1377" s="6"/>
      <c r="S1377" s="6"/>
    </row>
    <row r="1378" ht="22.5" hidden="1" customHeight="1">
      <c r="A1378" s="49"/>
      <c r="B1378" s="61"/>
      <c r="C1378" s="34"/>
      <c r="D1378" s="55"/>
      <c r="E1378" s="59"/>
      <c r="F1378" s="60"/>
      <c r="G1378" s="29"/>
      <c r="H1378" s="6"/>
      <c r="I1378" s="6"/>
      <c r="J1378" s="6"/>
      <c r="K1378" s="6"/>
      <c r="L1378" s="6"/>
      <c r="M1378" s="6"/>
      <c r="N1378" s="6"/>
      <c r="O1378" s="6"/>
      <c r="P1378" s="6"/>
      <c r="Q1378" s="6"/>
      <c r="R1378" s="6"/>
      <c r="S1378" s="6"/>
    </row>
    <row r="1379" ht="22.5" hidden="1" customHeight="1">
      <c r="A1379" s="49"/>
      <c r="B1379" s="61"/>
      <c r="C1379" s="34"/>
      <c r="D1379" s="55"/>
      <c r="E1379" s="59"/>
      <c r="F1379" s="60"/>
      <c r="G1379" s="29"/>
      <c r="H1379" s="6"/>
      <c r="I1379" s="6"/>
      <c r="J1379" s="6"/>
      <c r="K1379" s="6"/>
      <c r="L1379" s="6"/>
      <c r="M1379" s="6"/>
      <c r="N1379" s="6"/>
      <c r="O1379" s="6"/>
      <c r="P1379" s="6"/>
      <c r="Q1379" s="6"/>
      <c r="R1379" s="6"/>
      <c r="S1379" s="6"/>
    </row>
    <row r="1380" ht="22.5" hidden="1" customHeight="1">
      <c r="A1380" s="49"/>
      <c r="B1380" s="61"/>
      <c r="C1380" s="34"/>
      <c r="D1380" s="55"/>
      <c r="E1380" s="59"/>
      <c r="F1380" s="60"/>
      <c r="G1380" s="29"/>
      <c r="H1380" s="6"/>
      <c r="I1380" s="6"/>
      <c r="J1380" s="6"/>
      <c r="K1380" s="6"/>
      <c r="L1380" s="6"/>
      <c r="M1380" s="6"/>
      <c r="N1380" s="6"/>
      <c r="O1380" s="6"/>
      <c r="P1380" s="6"/>
      <c r="Q1380" s="6"/>
      <c r="R1380" s="6"/>
      <c r="S1380" s="6"/>
    </row>
    <row r="1381" ht="22.5" hidden="1" customHeight="1">
      <c r="A1381" s="49"/>
      <c r="B1381" s="61"/>
      <c r="C1381" s="34"/>
      <c r="D1381" s="55"/>
      <c r="E1381" s="59"/>
      <c r="F1381" s="60"/>
      <c r="G1381" s="29"/>
      <c r="H1381" s="6"/>
      <c r="I1381" s="6"/>
      <c r="J1381" s="6"/>
      <c r="K1381" s="6"/>
      <c r="L1381" s="6"/>
      <c r="M1381" s="6"/>
      <c r="N1381" s="6"/>
      <c r="O1381" s="6"/>
      <c r="P1381" s="6"/>
      <c r="Q1381" s="6"/>
      <c r="R1381" s="6"/>
      <c r="S1381" s="6"/>
    </row>
    <row r="1382" ht="22.5" hidden="1" customHeight="1">
      <c r="A1382" s="49"/>
      <c r="B1382" s="61"/>
      <c r="C1382" s="34"/>
      <c r="D1382" s="55"/>
      <c r="E1382" s="59"/>
      <c r="F1382" s="60"/>
      <c r="G1382" s="29"/>
      <c r="H1382" s="6"/>
      <c r="I1382" s="6"/>
      <c r="J1382" s="6"/>
      <c r="K1382" s="6"/>
      <c r="L1382" s="6"/>
      <c r="M1382" s="6"/>
      <c r="N1382" s="6"/>
      <c r="O1382" s="6"/>
      <c r="P1382" s="6"/>
      <c r="Q1382" s="6"/>
      <c r="R1382" s="6"/>
      <c r="S1382" s="6"/>
    </row>
    <row r="1383" ht="22.5" hidden="1" customHeight="1">
      <c r="A1383" s="49"/>
      <c r="B1383" s="61"/>
      <c r="C1383" s="34"/>
      <c r="D1383" s="55"/>
      <c r="E1383" s="59"/>
      <c r="F1383" s="60"/>
      <c r="G1383" s="29"/>
      <c r="H1383" s="6"/>
      <c r="I1383" s="6"/>
      <c r="J1383" s="6"/>
      <c r="K1383" s="6"/>
      <c r="L1383" s="6"/>
      <c r="M1383" s="6"/>
      <c r="N1383" s="6"/>
      <c r="O1383" s="6"/>
      <c r="P1383" s="6"/>
      <c r="Q1383" s="6"/>
      <c r="R1383" s="6"/>
      <c r="S1383" s="6"/>
    </row>
    <row r="1384" ht="22.5" hidden="1" customHeight="1">
      <c r="A1384" s="49"/>
      <c r="B1384" s="61"/>
      <c r="C1384" s="34"/>
      <c r="D1384" s="55"/>
      <c r="E1384" s="59"/>
      <c r="F1384" s="60"/>
      <c r="G1384" s="29"/>
      <c r="H1384" s="6"/>
      <c r="I1384" s="6"/>
      <c r="J1384" s="6"/>
      <c r="K1384" s="6"/>
      <c r="L1384" s="6"/>
      <c r="M1384" s="6"/>
      <c r="N1384" s="6"/>
      <c r="O1384" s="6"/>
      <c r="P1384" s="6"/>
      <c r="Q1384" s="6"/>
      <c r="R1384" s="6"/>
      <c r="S1384" s="6"/>
    </row>
    <row r="1385" ht="22.5" hidden="1" customHeight="1">
      <c r="A1385" s="49"/>
      <c r="B1385" s="61"/>
      <c r="C1385" s="34"/>
      <c r="D1385" s="55"/>
      <c r="E1385" s="59"/>
      <c r="F1385" s="60"/>
      <c r="G1385" s="29"/>
      <c r="H1385" s="6"/>
      <c r="I1385" s="6"/>
      <c r="J1385" s="6"/>
      <c r="K1385" s="6"/>
      <c r="L1385" s="6"/>
      <c r="M1385" s="6"/>
      <c r="N1385" s="6"/>
      <c r="O1385" s="6"/>
      <c r="P1385" s="6"/>
      <c r="Q1385" s="6"/>
      <c r="R1385" s="6"/>
      <c r="S1385" s="6"/>
    </row>
    <row r="1386" ht="22.5" hidden="1" customHeight="1">
      <c r="A1386" s="49"/>
      <c r="B1386" s="61"/>
      <c r="C1386" s="34"/>
      <c r="D1386" s="55"/>
      <c r="E1386" s="59"/>
      <c r="F1386" s="60"/>
      <c r="G1386" s="29"/>
      <c r="H1386" s="6"/>
      <c r="I1386" s="6"/>
      <c r="J1386" s="6"/>
      <c r="K1386" s="6"/>
      <c r="L1386" s="6"/>
      <c r="M1386" s="6"/>
      <c r="N1386" s="6"/>
      <c r="O1386" s="6"/>
      <c r="P1386" s="6"/>
      <c r="Q1386" s="6"/>
      <c r="R1386" s="6"/>
      <c r="S1386" s="6"/>
    </row>
    <row r="1387" ht="22.5" hidden="1" customHeight="1">
      <c r="A1387" s="49"/>
      <c r="B1387" s="61"/>
      <c r="C1387" s="34"/>
      <c r="D1387" s="55"/>
      <c r="E1387" s="59"/>
      <c r="F1387" s="60"/>
      <c r="G1387" s="29"/>
      <c r="H1387" s="6"/>
      <c r="I1387" s="6"/>
      <c r="J1387" s="6"/>
      <c r="K1387" s="6"/>
      <c r="L1387" s="6"/>
      <c r="M1387" s="6"/>
      <c r="N1387" s="6"/>
      <c r="O1387" s="6"/>
      <c r="P1387" s="6"/>
      <c r="Q1387" s="6"/>
      <c r="R1387" s="6"/>
      <c r="S1387" s="6"/>
    </row>
    <row r="1388" ht="22.5" hidden="1" customHeight="1">
      <c r="A1388" s="49"/>
      <c r="B1388" s="61"/>
      <c r="C1388" s="34"/>
      <c r="D1388" s="55"/>
      <c r="E1388" s="59"/>
      <c r="F1388" s="60"/>
      <c r="G1388" s="29"/>
      <c r="H1388" s="6"/>
      <c r="I1388" s="6"/>
      <c r="J1388" s="6"/>
      <c r="K1388" s="6"/>
      <c r="L1388" s="6"/>
      <c r="M1388" s="6"/>
      <c r="N1388" s="6"/>
      <c r="O1388" s="6"/>
      <c r="P1388" s="6"/>
      <c r="Q1388" s="6"/>
      <c r="R1388" s="6"/>
      <c r="S1388" s="6"/>
    </row>
    <row r="1389" ht="22.5" hidden="1" customHeight="1">
      <c r="A1389" s="49"/>
      <c r="B1389" s="61"/>
      <c r="C1389" s="34"/>
      <c r="D1389" s="55"/>
      <c r="E1389" s="59"/>
      <c r="F1389" s="60"/>
      <c r="G1389" s="29"/>
      <c r="H1389" s="6"/>
      <c r="I1389" s="6"/>
      <c r="J1389" s="6"/>
      <c r="K1389" s="6"/>
      <c r="L1389" s="6"/>
      <c r="M1389" s="6"/>
      <c r="N1389" s="6"/>
      <c r="O1389" s="6"/>
      <c r="P1389" s="6"/>
      <c r="Q1389" s="6"/>
      <c r="R1389" s="6"/>
      <c r="S1389" s="6"/>
    </row>
    <row r="1390" ht="22.5" hidden="1" customHeight="1">
      <c r="A1390" s="49"/>
      <c r="B1390" s="61"/>
      <c r="C1390" s="34"/>
      <c r="D1390" s="55"/>
      <c r="E1390" s="59"/>
      <c r="F1390" s="60"/>
      <c r="G1390" s="29"/>
      <c r="H1390" s="6"/>
      <c r="I1390" s="6"/>
      <c r="J1390" s="6"/>
      <c r="K1390" s="6"/>
      <c r="L1390" s="6"/>
      <c r="M1390" s="6"/>
      <c r="N1390" s="6"/>
      <c r="O1390" s="6"/>
      <c r="P1390" s="6"/>
      <c r="Q1390" s="6"/>
      <c r="R1390" s="6"/>
      <c r="S1390" s="6"/>
    </row>
    <row r="1391" ht="22.5" hidden="1" customHeight="1">
      <c r="A1391" s="49"/>
      <c r="B1391" s="61"/>
      <c r="C1391" s="34"/>
      <c r="D1391" s="55"/>
      <c r="E1391" s="59"/>
      <c r="F1391" s="60"/>
      <c r="G1391" s="29"/>
      <c r="H1391" s="6"/>
      <c r="I1391" s="6"/>
      <c r="J1391" s="6"/>
      <c r="K1391" s="6"/>
      <c r="L1391" s="6"/>
      <c r="M1391" s="6"/>
      <c r="N1391" s="6"/>
      <c r="O1391" s="6"/>
      <c r="P1391" s="6"/>
      <c r="Q1391" s="6"/>
      <c r="R1391" s="6"/>
      <c r="S1391" s="6"/>
    </row>
    <row r="1392" ht="22.5" hidden="1" customHeight="1">
      <c r="A1392" s="49"/>
      <c r="B1392" s="61"/>
      <c r="C1392" s="34"/>
      <c r="D1392" s="55"/>
      <c r="E1392" s="59"/>
      <c r="F1392" s="60"/>
      <c r="G1392" s="29"/>
      <c r="H1392" s="6"/>
      <c r="I1392" s="6"/>
      <c r="J1392" s="6"/>
      <c r="K1392" s="6"/>
      <c r="L1392" s="6"/>
      <c r="M1392" s="6"/>
      <c r="N1392" s="6"/>
      <c r="O1392" s="6"/>
      <c r="P1392" s="6"/>
      <c r="Q1392" s="6"/>
      <c r="R1392" s="6"/>
      <c r="S1392" s="6"/>
    </row>
    <row r="1393" ht="22.5" hidden="1" customHeight="1">
      <c r="A1393" s="49"/>
      <c r="B1393" s="61"/>
      <c r="C1393" s="34"/>
      <c r="D1393" s="55"/>
      <c r="E1393" s="59"/>
      <c r="F1393" s="60"/>
      <c r="G1393" s="29"/>
      <c r="H1393" s="6"/>
      <c r="I1393" s="6"/>
      <c r="J1393" s="6"/>
      <c r="K1393" s="6"/>
      <c r="L1393" s="6"/>
      <c r="M1393" s="6"/>
      <c r="N1393" s="6"/>
      <c r="O1393" s="6"/>
      <c r="P1393" s="6"/>
      <c r="Q1393" s="6"/>
      <c r="R1393" s="6"/>
      <c r="S1393" s="6"/>
    </row>
    <row r="1394" ht="22.5" hidden="1" customHeight="1">
      <c r="A1394" s="49"/>
      <c r="B1394" s="61"/>
      <c r="C1394" s="34"/>
      <c r="D1394" s="55"/>
      <c r="E1394" s="59"/>
      <c r="F1394" s="60"/>
      <c r="G1394" s="29"/>
      <c r="H1394" s="6"/>
      <c r="I1394" s="6"/>
      <c r="J1394" s="6"/>
      <c r="K1394" s="6"/>
      <c r="L1394" s="6"/>
      <c r="M1394" s="6"/>
      <c r="N1394" s="6"/>
      <c r="O1394" s="6"/>
      <c r="P1394" s="6"/>
      <c r="Q1394" s="6"/>
      <c r="R1394" s="6"/>
      <c r="S1394" s="6"/>
    </row>
    <row r="1395" ht="22.5" hidden="1" customHeight="1">
      <c r="A1395" s="49"/>
      <c r="B1395" s="61"/>
      <c r="C1395" s="34"/>
      <c r="D1395" s="55"/>
      <c r="E1395" s="59"/>
      <c r="F1395" s="60"/>
      <c r="G1395" s="29"/>
      <c r="H1395" s="6"/>
      <c r="I1395" s="6"/>
      <c r="J1395" s="6"/>
      <c r="K1395" s="6"/>
      <c r="L1395" s="6"/>
      <c r="M1395" s="6"/>
      <c r="N1395" s="6"/>
      <c r="O1395" s="6"/>
      <c r="P1395" s="6"/>
      <c r="Q1395" s="6"/>
      <c r="R1395" s="6"/>
      <c r="S1395" s="6"/>
    </row>
    <row r="1396" ht="22.5" hidden="1" customHeight="1">
      <c r="A1396" s="49"/>
      <c r="B1396" s="61"/>
      <c r="C1396" s="34"/>
      <c r="D1396" s="55"/>
      <c r="E1396" s="59"/>
      <c r="F1396" s="60"/>
      <c r="G1396" s="29"/>
      <c r="H1396" s="6"/>
      <c r="I1396" s="6"/>
      <c r="J1396" s="6"/>
      <c r="K1396" s="6"/>
      <c r="L1396" s="6"/>
      <c r="M1396" s="6"/>
      <c r="N1396" s="6"/>
      <c r="O1396" s="6"/>
      <c r="P1396" s="6"/>
      <c r="Q1396" s="6"/>
      <c r="R1396" s="6"/>
      <c r="S1396" s="6"/>
    </row>
    <row r="1397" ht="22.5" hidden="1" customHeight="1">
      <c r="A1397" s="49"/>
      <c r="B1397" s="61"/>
      <c r="C1397" s="34"/>
      <c r="D1397" s="55"/>
      <c r="E1397" s="59"/>
      <c r="F1397" s="60"/>
      <c r="G1397" s="29"/>
      <c r="H1397" s="6"/>
      <c r="I1397" s="6"/>
      <c r="J1397" s="6"/>
      <c r="K1397" s="6"/>
      <c r="L1397" s="6"/>
      <c r="M1397" s="6"/>
      <c r="N1397" s="6"/>
      <c r="O1397" s="6"/>
      <c r="P1397" s="6"/>
      <c r="Q1397" s="6"/>
      <c r="R1397" s="6"/>
      <c r="S1397" s="6"/>
    </row>
    <row r="1398" ht="22.5" hidden="1" customHeight="1">
      <c r="A1398" s="49"/>
      <c r="B1398" s="61"/>
      <c r="C1398" s="34"/>
      <c r="D1398" s="55"/>
      <c r="E1398" s="59"/>
      <c r="F1398" s="60"/>
      <c r="G1398" s="29"/>
      <c r="H1398" s="6"/>
      <c r="I1398" s="6"/>
      <c r="J1398" s="6"/>
      <c r="K1398" s="6"/>
      <c r="L1398" s="6"/>
      <c r="M1398" s="6"/>
      <c r="N1398" s="6"/>
      <c r="O1398" s="6"/>
      <c r="P1398" s="6"/>
      <c r="Q1398" s="6"/>
      <c r="R1398" s="6"/>
      <c r="S1398" s="6"/>
    </row>
    <row r="1399" ht="22.5" hidden="1" customHeight="1">
      <c r="A1399" s="49"/>
      <c r="B1399" s="61"/>
      <c r="C1399" s="34"/>
      <c r="D1399" s="55"/>
      <c r="E1399" s="59"/>
      <c r="F1399" s="60"/>
      <c r="G1399" s="29"/>
      <c r="H1399" s="6"/>
      <c r="I1399" s="6"/>
      <c r="J1399" s="6"/>
      <c r="K1399" s="6"/>
      <c r="L1399" s="6"/>
      <c r="M1399" s="6"/>
      <c r="N1399" s="6"/>
      <c r="O1399" s="6"/>
      <c r="P1399" s="6"/>
      <c r="Q1399" s="6"/>
      <c r="R1399" s="6"/>
      <c r="S1399" s="6"/>
    </row>
    <row r="1400" ht="22.5" hidden="1" customHeight="1">
      <c r="A1400" s="49"/>
      <c r="B1400" s="61"/>
      <c r="C1400" s="34"/>
      <c r="D1400" s="55"/>
      <c r="E1400" s="59"/>
      <c r="F1400" s="60"/>
      <c r="G1400" s="29"/>
      <c r="H1400" s="6"/>
      <c r="I1400" s="6"/>
      <c r="J1400" s="6"/>
      <c r="K1400" s="6"/>
      <c r="L1400" s="6"/>
      <c r="M1400" s="6"/>
      <c r="N1400" s="6"/>
      <c r="O1400" s="6"/>
      <c r="P1400" s="6"/>
      <c r="Q1400" s="6"/>
      <c r="R1400" s="6"/>
      <c r="S1400" s="6"/>
    </row>
    <row r="1401" ht="22.5" hidden="1" customHeight="1">
      <c r="A1401" s="49"/>
      <c r="B1401" s="61"/>
      <c r="C1401" s="34"/>
      <c r="D1401" s="55"/>
      <c r="E1401" s="59"/>
      <c r="F1401" s="60"/>
      <c r="G1401" s="29"/>
      <c r="H1401" s="6"/>
      <c r="I1401" s="6"/>
      <c r="J1401" s="6"/>
      <c r="K1401" s="6"/>
      <c r="L1401" s="6"/>
      <c r="M1401" s="6"/>
      <c r="N1401" s="6"/>
      <c r="O1401" s="6"/>
      <c r="P1401" s="6"/>
      <c r="Q1401" s="6"/>
      <c r="R1401" s="6"/>
      <c r="S1401" s="6"/>
    </row>
    <row r="1402" ht="22.5" hidden="1" customHeight="1">
      <c r="A1402" s="49"/>
      <c r="B1402" s="61"/>
      <c r="C1402" s="34"/>
      <c r="D1402" s="55"/>
      <c r="E1402" s="59"/>
      <c r="F1402" s="60"/>
      <c r="G1402" s="29"/>
      <c r="H1402" s="6"/>
      <c r="I1402" s="6"/>
      <c r="J1402" s="6"/>
      <c r="K1402" s="6"/>
      <c r="L1402" s="6"/>
      <c r="M1402" s="6"/>
      <c r="N1402" s="6"/>
      <c r="O1402" s="6"/>
      <c r="P1402" s="6"/>
      <c r="Q1402" s="6"/>
      <c r="R1402" s="6"/>
      <c r="S1402" s="6"/>
    </row>
    <row r="1403" ht="22.5" hidden="1" customHeight="1">
      <c r="A1403" s="49"/>
      <c r="B1403" s="61"/>
      <c r="C1403" s="34"/>
      <c r="D1403" s="55"/>
      <c r="E1403" s="59"/>
      <c r="F1403" s="60"/>
      <c r="G1403" s="29"/>
      <c r="H1403" s="6"/>
      <c r="I1403" s="6"/>
      <c r="J1403" s="6"/>
      <c r="K1403" s="6"/>
      <c r="L1403" s="6"/>
      <c r="M1403" s="6"/>
      <c r="N1403" s="6"/>
      <c r="O1403" s="6"/>
      <c r="P1403" s="6"/>
      <c r="Q1403" s="6"/>
      <c r="R1403" s="6"/>
      <c r="S1403" s="6"/>
    </row>
    <row r="1404" ht="22.5" hidden="1" customHeight="1">
      <c r="A1404" s="49"/>
      <c r="B1404" s="61"/>
      <c r="C1404" s="34"/>
      <c r="D1404" s="55"/>
      <c r="E1404" s="59"/>
      <c r="F1404" s="60"/>
      <c r="G1404" s="29"/>
      <c r="H1404" s="6"/>
      <c r="I1404" s="6"/>
      <c r="J1404" s="6"/>
      <c r="K1404" s="6"/>
      <c r="L1404" s="6"/>
      <c r="M1404" s="6"/>
      <c r="N1404" s="6"/>
      <c r="O1404" s="6"/>
      <c r="P1404" s="6"/>
      <c r="Q1404" s="6"/>
      <c r="R1404" s="6"/>
      <c r="S1404" s="6"/>
    </row>
    <row r="1405" ht="22.5" hidden="1" customHeight="1">
      <c r="A1405" s="49"/>
      <c r="B1405" s="61"/>
      <c r="C1405" s="34"/>
      <c r="D1405" s="55"/>
      <c r="E1405" s="59"/>
      <c r="F1405" s="60"/>
      <c r="G1405" s="29"/>
      <c r="H1405" s="6"/>
      <c r="I1405" s="6"/>
      <c r="J1405" s="6"/>
      <c r="K1405" s="6"/>
      <c r="L1405" s="6"/>
      <c r="M1405" s="6"/>
      <c r="N1405" s="6"/>
      <c r="O1405" s="6"/>
      <c r="P1405" s="6"/>
      <c r="Q1405" s="6"/>
      <c r="R1405" s="6"/>
      <c r="S1405" s="6"/>
    </row>
    <row r="1406" ht="22.5" hidden="1" customHeight="1">
      <c r="A1406" s="49"/>
      <c r="B1406" s="61"/>
      <c r="C1406" s="34"/>
      <c r="D1406" s="55"/>
      <c r="E1406" s="59"/>
      <c r="F1406" s="60"/>
      <c r="G1406" s="29"/>
      <c r="H1406" s="6"/>
      <c r="I1406" s="6"/>
      <c r="J1406" s="6"/>
      <c r="K1406" s="6"/>
      <c r="L1406" s="6"/>
      <c r="M1406" s="6"/>
      <c r="N1406" s="6"/>
      <c r="O1406" s="6"/>
      <c r="P1406" s="6"/>
      <c r="Q1406" s="6"/>
      <c r="R1406" s="6"/>
      <c r="S1406" s="6"/>
    </row>
    <row r="1407" ht="22.5" hidden="1" customHeight="1">
      <c r="A1407" s="49"/>
      <c r="B1407" s="61"/>
      <c r="C1407" s="34"/>
      <c r="D1407" s="55"/>
      <c r="E1407" s="59"/>
      <c r="F1407" s="60"/>
      <c r="G1407" s="29"/>
      <c r="H1407" s="6"/>
      <c r="I1407" s="6"/>
      <c r="J1407" s="6"/>
      <c r="K1407" s="6"/>
      <c r="L1407" s="6"/>
      <c r="M1407" s="6"/>
      <c r="N1407" s="6"/>
      <c r="O1407" s="6"/>
      <c r="P1407" s="6"/>
      <c r="Q1407" s="6"/>
      <c r="R1407" s="6"/>
      <c r="S1407" s="6"/>
    </row>
    <row r="1408" ht="22.5" hidden="1" customHeight="1">
      <c r="A1408" s="49"/>
      <c r="B1408" s="61"/>
      <c r="C1408" s="34"/>
      <c r="D1408" s="55"/>
      <c r="E1408" s="59"/>
      <c r="F1408" s="60"/>
      <c r="G1408" s="29"/>
      <c r="H1408" s="6"/>
      <c r="I1408" s="6"/>
      <c r="J1408" s="6"/>
      <c r="K1408" s="6"/>
      <c r="L1408" s="6"/>
      <c r="M1408" s="6"/>
      <c r="N1408" s="6"/>
      <c r="O1408" s="6"/>
      <c r="P1408" s="6"/>
      <c r="Q1408" s="6"/>
      <c r="R1408" s="6"/>
      <c r="S1408" s="6"/>
    </row>
    <row r="1409" ht="22.5" hidden="1" customHeight="1">
      <c r="A1409" s="49"/>
      <c r="B1409" s="61"/>
      <c r="C1409" s="34"/>
      <c r="D1409" s="55"/>
      <c r="E1409" s="59"/>
      <c r="F1409" s="60"/>
      <c r="G1409" s="29"/>
      <c r="H1409" s="6"/>
      <c r="I1409" s="6"/>
      <c r="J1409" s="6"/>
      <c r="K1409" s="6"/>
      <c r="L1409" s="6"/>
      <c r="M1409" s="6"/>
      <c r="N1409" s="6"/>
      <c r="O1409" s="6"/>
      <c r="P1409" s="6"/>
      <c r="Q1409" s="6"/>
      <c r="R1409" s="6"/>
      <c r="S1409" s="6"/>
    </row>
    <row r="1410" ht="22.5" hidden="1" customHeight="1">
      <c r="A1410" s="49"/>
      <c r="B1410" s="61"/>
      <c r="C1410" s="34"/>
      <c r="D1410" s="55"/>
      <c r="E1410" s="59"/>
      <c r="F1410" s="60"/>
      <c r="G1410" s="29"/>
      <c r="H1410" s="6"/>
      <c r="I1410" s="6"/>
      <c r="J1410" s="6"/>
      <c r="K1410" s="6"/>
      <c r="L1410" s="6"/>
      <c r="M1410" s="6"/>
      <c r="N1410" s="6"/>
      <c r="O1410" s="6"/>
      <c r="P1410" s="6"/>
      <c r="Q1410" s="6"/>
      <c r="R1410" s="6"/>
      <c r="S1410" s="6"/>
    </row>
    <row r="1411" ht="22.5" hidden="1" customHeight="1">
      <c r="A1411" s="49"/>
      <c r="B1411" s="61"/>
      <c r="C1411" s="34"/>
      <c r="D1411" s="55"/>
      <c r="E1411" s="59"/>
      <c r="F1411" s="60"/>
      <c r="G1411" s="29"/>
      <c r="H1411" s="6"/>
      <c r="I1411" s="6"/>
      <c r="J1411" s="6"/>
      <c r="K1411" s="6"/>
      <c r="L1411" s="6"/>
      <c r="M1411" s="6"/>
      <c r="N1411" s="6"/>
      <c r="O1411" s="6"/>
      <c r="P1411" s="6"/>
      <c r="Q1411" s="6"/>
      <c r="R1411" s="6"/>
      <c r="S1411" s="6"/>
    </row>
    <row r="1412" ht="22.5" hidden="1" customHeight="1">
      <c r="A1412" s="49"/>
      <c r="B1412" s="61"/>
      <c r="C1412" s="34"/>
      <c r="D1412" s="55"/>
      <c r="E1412" s="59"/>
      <c r="F1412" s="60"/>
      <c r="G1412" s="29"/>
      <c r="H1412" s="6"/>
      <c r="I1412" s="6"/>
      <c r="J1412" s="6"/>
      <c r="K1412" s="6"/>
      <c r="L1412" s="6"/>
      <c r="M1412" s="6"/>
      <c r="N1412" s="6"/>
      <c r="O1412" s="6"/>
      <c r="P1412" s="6"/>
      <c r="Q1412" s="6"/>
      <c r="R1412" s="6"/>
      <c r="S1412" s="6"/>
    </row>
    <row r="1413" ht="22.5" hidden="1" customHeight="1">
      <c r="A1413" s="49"/>
      <c r="B1413" s="61"/>
      <c r="C1413" s="34"/>
      <c r="D1413" s="55"/>
      <c r="E1413" s="59"/>
      <c r="F1413" s="60"/>
      <c r="G1413" s="29"/>
      <c r="H1413" s="6"/>
      <c r="I1413" s="6"/>
      <c r="J1413" s="6"/>
      <c r="K1413" s="6"/>
      <c r="L1413" s="6"/>
      <c r="M1413" s="6"/>
      <c r="N1413" s="6"/>
      <c r="O1413" s="6"/>
      <c r="P1413" s="6"/>
      <c r="Q1413" s="6"/>
      <c r="R1413" s="6"/>
      <c r="S1413" s="6"/>
    </row>
    <row r="1414" ht="22.5" hidden="1" customHeight="1">
      <c r="A1414" s="49"/>
      <c r="B1414" s="61"/>
      <c r="C1414" s="34"/>
      <c r="D1414" s="55"/>
      <c r="E1414" s="59"/>
      <c r="F1414" s="60"/>
      <c r="G1414" s="29"/>
      <c r="H1414" s="6"/>
      <c r="I1414" s="6"/>
      <c r="J1414" s="6"/>
      <c r="K1414" s="6"/>
      <c r="L1414" s="6"/>
      <c r="M1414" s="6"/>
      <c r="N1414" s="6"/>
      <c r="O1414" s="6"/>
      <c r="P1414" s="6"/>
      <c r="Q1414" s="6"/>
      <c r="R1414" s="6"/>
      <c r="S1414" s="6"/>
    </row>
    <row r="1415" ht="22.5" hidden="1" customHeight="1">
      <c r="A1415" s="49"/>
      <c r="B1415" s="61"/>
      <c r="C1415" s="34"/>
      <c r="D1415" s="55"/>
      <c r="E1415" s="59"/>
      <c r="F1415" s="60"/>
      <c r="G1415" s="29"/>
      <c r="H1415" s="6"/>
      <c r="I1415" s="6"/>
      <c r="J1415" s="6"/>
      <c r="K1415" s="6"/>
      <c r="L1415" s="6"/>
      <c r="M1415" s="6"/>
      <c r="N1415" s="6"/>
      <c r="O1415" s="6"/>
      <c r="P1415" s="6"/>
      <c r="Q1415" s="6"/>
      <c r="R1415" s="6"/>
      <c r="S1415" s="6"/>
    </row>
    <row r="1416" ht="22.5" hidden="1" customHeight="1">
      <c r="A1416" s="49"/>
      <c r="B1416" s="61"/>
      <c r="C1416" s="34"/>
      <c r="D1416" s="55"/>
      <c r="E1416" s="59"/>
      <c r="F1416" s="60"/>
      <c r="G1416" s="29"/>
      <c r="H1416" s="6"/>
      <c r="I1416" s="6"/>
      <c r="J1416" s="6"/>
      <c r="K1416" s="6"/>
      <c r="L1416" s="6"/>
      <c r="M1416" s="6"/>
      <c r="N1416" s="6"/>
      <c r="O1416" s="6"/>
      <c r="P1416" s="6"/>
      <c r="Q1416" s="6"/>
      <c r="R1416" s="6"/>
      <c r="S1416" s="6"/>
    </row>
    <row r="1417" ht="22.5" hidden="1" customHeight="1">
      <c r="A1417" s="49"/>
      <c r="B1417" s="61"/>
      <c r="C1417" s="34"/>
      <c r="D1417" s="55"/>
      <c r="E1417" s="59"/>
      <c r="F1417" s="60"/>
      <c r="G1417" s="29"/>
      <c r="H1417" s="6"/>
      <c r="I1417" s="6"/>
      <c r="J1417" s="6"/>
      <c r="K1417" s="6"/>
      <c r="L1417" s="6"/>
      <c r="M1417" s="6"/>
      <c r="N1417" s="6"/>
      <c r="O1417" s="6"/>
      <c r="P1417" s="6"/>
      <c r="Q1417" s="6"/>
      <c r="R1417" s="6"/>
      <c r="S1417" s="6"/>
    </row>
    <row r="1418" ht="22.5" hidden="1" customHeight="1">
      <c r="A1418" s="49"/>
      <c r="B1418" s="61"/>
      <c r="C1418" s="34"/>
      <c r="D1418" s="55"/>
      <c r="E1418" s="59"/>
      <c r="F1418" s="60"/>
      <c r="G1418" s="29"/>
      <c r="H1418" s="6"/>
      <c r="I1418" s="6"/>
      <c r="J1418" s="6"/>
      <c r="K1418" s="6"/>
      <c r="L1418" s="6"/>
      <c r="M1418" s="6"/>
      <c r="N1418" s="6"/>
      <c r="O1418" s="6"/>
      <c r="P1418" s="6"/>
      <c r="Q1418" s="6"/>
      <c r="R1418" s="6"/>
      <c r="S1418" s="6"/>
    </row>
    <row r="1419" ht="22.5" hidden="1" customHeight="1">
      <c r="A1419" s="49"/>
      <c r="B1419" s="61"/>
      <c r="C1419" s="34"/>
      <c r="D1419" s="55"/>
      <c r="E1419" s="59"/>
      <c r="F1419" s="60"/>
      <c r="G1419" s="29"/>
      <c r="H1419" s="6"/>
      <c r="I1419" s="6"/>
      <c r="J1419" s="6"/>
      <c r="K1419" s="6"/>
      <c r="L1419" s="6"/>
      <c r="M1419" s="6"/>
      <c r="N1419" s="6"/>
      <c r="O1419" s="6"/>
      <c r="P1419" s="6"/>
      <c r="Q1419" s="6"/>
      <c r="R1419" s="6"/>
      <c r="S1419" s="6"/>
    </row>
    <row r="1420" ht="22.5" hidden="1" customHeight="1">
      <c r="A1420" s="49"/>
      <c r="B1420" s="61"/>
      <c r="C1420" s="34"/>
      <c r="D1420" s="55"/>
      <c r="E1420" s="59"/>
      <c r="F1420" s="60"/>
      <c r="G1420" s="29"/>
      <c r="H1420" s="6"/>
      <c r="I1420" s="6"/>
      <c r="J1420" s="6"/>
      <c r="K1420" s="6"/>
      <c r="L1420" s="6"/>
      <c r="M1420" s="6"/>
      <c r="N1420" s="6"/>
      <c r="O1420" s="6"/>
      <c r="P1420" s="6"/>
      <c r="Q1420" s="6"/>
      <c r="R1420" s="6"/>
      <c r="S1420" s="6"/>
    </row>
    <row r="1421" ht="22.5" hidden="1" customHeight="1">
      <c r="A1421" s="49"/>
      <c r="B1421" s="61"/>
      <c r="C1421" s="34"/>
      <c r="D1421" s="55"/>
      <c r="E1421" s="59"/>
      <c r="F1421" s="60"/>
      <c r="G1421" s="29"/>
      <c r="H1421" s="6"/>
      <c r="I1421" s="6"/>
      <c r="J1421" s="6"/>
      <c r="K1421" s="6"/>
      <c r="L1421" s="6"/>
      <c r="M1421" s="6"/>
      <c r="N1421" s="6"/>
      <c r="O1421" s="6"/>
      <c r="P1421" s="6"/>
      <c r="Q1421" s="6"/>
      <c r="R1421" s="6"/>
      <c r="S1421" s="6"/>
    </row>
    <row r="1422" ht="22.5" hidden="1" customHeight="1">
      <c r="A1422" s="49"/>
      <c r="B1422" s="61"/>
      <c r="C1422" s="34"/>
      <c r="D1422" s="55"/>
      <c r="E1422" s="59"/>
      <c r="F1422" s="60"/>
      <c r="G1422" s="29"/>
      <c r="H1422" s="6"/>
      <c r="I1422" s="6"/>
      <c r="J1422" s="6"/>
      <c r="K1422" s="6"/>
      <c r="L1422" s="6"/>
      <c r="M1422" s="6"/>
      <c r="N1422" s="6"/>
      <c r="O1422" s="6"/>
      <c r="P1422" s="6"/>
      <c r="Q1422" s="6"/>
      <c r="R1422" s="6"/>
      <c r="S1422" s="6"/>
    </row>
    <row r="1423" ht="22.5" hidden="1" customHeight="1">
      <c r="A1423" s="49"/>
      <c r="B1423" s="61"/>
      <c r="C1423" s="34"/>
      <c r="D1423" s="55"/>
      <c r="E1423" s="59"/>
      <c r="F1423" s="60"/>
      <c r="G1423" s="29"/>
      <c r="H1423" s="6"/>
      <c r="I1423" s="6"/>
      <c r="J1423" s="6"/>
      <c r="K1423" s="6"/>
      <c r="L1423" s="6"/>
      <c r="M1423" s="6"/>
      <c r="N1423" s="6"/>
      <c r="O1423" s="6"/>
      <c r="P1423" s="6"/>
      <c r="Q1423" s="6"/>
      <c r="R1423" s="6"/>
      <c r="S1423" s="6"/>
    </row>
    <row r="1424" ht="22.5" hidden="1" customHeight="1">
      <c r="A1424" s="49"/>
      <c r="B1424" s="61"/>
      <c r="C1424" s="34"/>
      <c r="D1424" s="55"/>
      <c r="E1424" s="59"/>
      <c r="F1424" s="60"/>
      <c r="G1424" s="29"/>
      <c r="H1424" s="6"/>
      <c r="I1424" s="6"/>
      <c r="J1424" s="6"/>
      <c r="K1424" s="6"/>
      <c r="L1424" s="6"/>
      <c r="M1424" s="6"/>
      <c r="N1424" s="6"/>
      <c r="O1424" s="6"/>
      <c r="P1424" s="6"/>
      <c r="Q1424" s="6"/>
      <c r="R1424" s="6"/>
      <c r="S1424" s="6"/>
    </row>
    <row r="1425" ht="22.5" hidden="1" customHeight="1">
      <c r="A1425" s="49"/>
      <c r="B1425" s="61"/>
      <c r="C1425" s="34"/>
      <c r="D1425" s="55"/>
      <c r="E1425" s="59"/>
      <c r="F1425" s="60"/>
      <c r="G1425" s="29"/>
      <c r="H1425" s="6"/>
      <c r="I1425" s="6"/>
      <c r="J1425" s="6"/>
      <c r="K1425" s="6"/>
      <c r="L1425" s="6"/>
      <c r="M1425" s="6"/>
      <c r="N1425" s="6"/>
      <c r="O1425" s="6"/>
      <c r="P1425" s="6"/>
      <c r="Q1425" s="6"/>
      <c r="R1425" s="6"/>
      <c r="S1425" s="6"/>
    </row>
    <row r="1426" ht="22.5" hidden="1" customHeight="1">
      <c r="A1426" s="49"/>
      <c r="B1426" s="61"/>
      <c r="C1426" s="34"/>
      <c r="D1426" s="55"/>
      <c r="E1426" s="59"/>
      <c r="F1426" s="60"/>
      <c r="G1426" s="29"/>
      <c r="H1426" s="6"/>
      <c r="I1426" s="6"/>
      <c r="J1426" s="6"/>
      <c r="K1426" s="6"/>
      <c r="L1426" s="6"/>
      <c r="M1426" s="6"/>
      <c r="N1426" s="6"/>
      <c r="O1426" s="6"/>
      <c r="P1426" s="6"/>
      <c r="Q1426" s="6"/>
      <c r="R1426" s="6"/>
      <c r="S1426" s="6"/>
    </row>
    <row r="1427" ht="22.5" hidden="1" customHeight="1">
      <c r="A1427" s="49"/>
      <c r="B1427" s="61"/>
      <c r="C1427" s="34"/>
      <c r="D1427" s="55"/>
      <c r="E1427" s="59"/>
      <c r="F1427" s="60"/>
      <c r="G1427" s="29"/>
      <c r="H1427" s="6"/>
      <c r="I1427" s="6"/>
      <c r="J1427" s="6"/>
      <c r="K1427" s="6"/>
      <c r="L1427" s="6"/>
      <c r="M1427" s="6"/>
      <c r="N1427" s="6"/>
      <c r="O1427" s="6"/>
      <c r="P1427" s="6"/>
      <c r="Q1427" s="6"/>
      <c r="R1427" s="6"/>
      <c r="S1427" s="6"/>
    </row>
    <row r="1428" ht="22.5" hidden="1" customHeight="1">
      <c r="A1428" s="49"/>
      <c r="B1428" s="61"/>
      <c r="C1428" s="34"/>
      <c r="D1428" s="55"/>
      <c r="E1428" s="59"/>
      <c r="F1428" s="60"/>
      <c r="G1428" s="29"/>
      <c r="H1428" s="6"/>
      <c r="I1428" s="6"/>
      <c r="J1428" s="6"/>
      <c r="K1428" s="6"/>
      <c r="L1428" s="6"/>
      <c r="M1428" s="6"/>
      <c r="N1428" s="6"/>
      <c r="O1428" s="6"/>
      <c r="P1428" s="6"/>
      <c r="Q1428" s="6"/>
      <c r="R1428" s="6"/>
      <c r="S1428" s="6"/>
    </row>
    <row r="1429" ht="22.5" hidden="1" customHeight="1">
      <c r="A1429" s="49"/>
      <c r="B1429" s="61"/>
      <c r="C1429" s="34"/>
      <c r="D1429" s="55"/>
      <c r="E1429" s="59"/>
      <c r="F1429" s="60"/>
      <c r="G1429" s="29"/>
      <c r="H1429" s="6"/>
      <c r="I1429" s="6"/>
      <c r="J1429" s="6"/>
      <c r="K1429" s="6"/>
      <c r="L1429" s="6"/>
      <c r="M1429" s="6"/>
      <c r="N1429" s="6"/>
      <c r="O1429" s="6"/>
      <c r="P1429" s="6"/>
      <c r="Q1429" s="6"/>
      <c r="R1429" s="6"/>
      <c r="S1429" s="6"/>
    </row>
    <row r="1430" ht="22.5" hidden="1" customHeight="1">
      <c r="A1430" s="49"/>
      <c r="B1430" s="61"/>
      <c r="C1430" s="34"/>
      <c r="D1430" s="55"/>
      <c r="E1430" s="59"/>
      <c r="F1430" s="60"/>
      <c r="G1430" s="29"/>
      <c r="H1430" s="6"/>
      <c r="I1430" s="6"/>
      <c r="J1430" s="6"/>
      <c r="K1430" s="6"/>
      <c r="L1430" s="6"/>
      <c r="M1430" s="6"/>
      <c r="N1430" s="6"/>
      <c r="O1430" s="6"/>
      <c r="P1430" s="6"/>
      <c r="Q1430" s="6"/>
      <c r="R1430" s="6"/>
      <c r="S1430" s="6"/>
    </row>
    <row r="1431" ht="22.5" hidden="1" customHeight="1">
      <c r="A1431" s="49"/>
      <c r="B1431" s="61"/>
      <c r="C1431" s="34"/>
      <c r="D1431" s="55"/>
      <c r="E1431" s="59"/>
      <c r="F1431" s="60"/>
      <c r="G1431" s="29"/>
      <c r="H1431" s="6"/>
      <c r="I1431" s="6"/>
      <c r="J1431" s="6"/>
      <c r="K1431" s="6"/>
      <c r="L1431" s="6"/>
      <c r="M1431" s="6"/>
      <c r="N1431" s="6"/>
      <c r="O1431" s="6"/>
      <c r="P1431" s="6"/>
      <c r="Q1431" s="6"/>
      <c r="R1431" s="6"/>
      <c r="S1431" s="6"/>
    </row>
    <row r="1432" ht="22.5" hidden="1" customHeight="1">
      <c r="A1432" s="49"/>
      <c r="B1432" s="61"/>
      <c r="C1432" s="34"/>
      <c r="D1432" s="55"/>
      <c r="E1432" s="59"/>
      <c r="F1432" s="60"/>
      <c r="G1432" s="29"/>
      <c r="H1432" s="6"/>
      <c r="I1432" s="6"/>
      <c r="J1432" s="6"/>
      <c r="K1432" s="6"/>
      <c r="L1432" s="6"/>
      <c r="M1432" s="6"/>
      <c r="N1432" s="6"/>
      <c r="O1432" s="6"/>
      <c r="P1432" s="6"/>
      <c r="Q1432" s="6"/>
      <c r="R1432" s="6"/>
      <c r="S1432" s="6"/>
    </row>
    <row r="1433" ht="22.5" hidden="1" customHeight="1">
      <c r="A1433" s="49"/>
      <c r="B1433" s="61"/>
      <c r="C1433" s="34"/>
      <c r="D1433" s="55"/>
      <c r="E1433" s="59"/>
      <c r="F1433" s="60"/>
      <c r="G1433" s="29"/>
      <c r="H1433" s="6"/>
      <c r="I1433" s="6"/>
      <c r="J1433" s="6"/>
      <c r="K1433" s="6"/>
      <c r="L1433" s="6"/>
      <c r="M1433" s="6"/>
      <c r="N1433" s="6"/>
      <c r="O1433" s="6"/>
      <c r="P1433" s="6"/>
      <c r="Q1433" s="6"/>
      <c r="R1433" s="6"/>
      <c r="S1433" s="6"/>
    </row>
    <row r="1434" ht="22.5" hidden="1" customHeight="1">
      <c r="A1434" s="49"/>
      <c r="B1434" s="61"/>
      <c r="C1434" s="34"/>
      <c r="D1434" s="55"/>
      <c r="E1434" s="59"/>
      <c r="F1434" s="60"/>
      <c r="G1434" s="29"/>
      <c r="H1434" s="6"/>
      <c r="I1434" s="6"/>
      <c r="J1434" s="6"/>
      <c r="K1434" s="6"/>
      <c r="L1434" s="6"/>
      <c r="M1434" s="6"/>
      <c r="N1434" s="6"/>
      <c r="O1434" s="6"/>
      <c r="P1434" s="6"/>
      <c r="Q1434" s="6"/>
      <c r="R1434" s="6"/>
      <c r="S1434" s="6"/>
    </row>
    <row r="1435" ht="22.5" hidden="1" customHeight="1">
      <c r="A1435" s="49"/>
      <c r="B1435" s="61"/>
      <c r="C1435" s="34"/>
      <c r="D1435" s="55"/>
      <c r="E1435" s="59"/>
      <c r="F1435" s="60"/>
      <c r="G1435" s="29"/>
      <c r="H1435" s="6"/>
      <c r="I1435" s="6"/>
      <c r="J1435" s="6"/>
      <c r="K1435" s="6"/>
      <c r="L1435" s="6"/>
      <c r="M1435" s="6"/>
      <c r="N1435" s="6"/>
      <c r="O1435" s="6"/>
      <c r="P1435" s="6"/>
      <c r="Q1435" s="6"/>
      <c r="R1435" s="6"/>
      <c r="S1435" s="6"/>
    </row>
    <row r="1436" ht="22.5" hidden="1" customHeight="1">
      <c r="A1436" s="49"/>
      <c r="B1436" s="61"/>
      <c r="C1436" s="34"/>
      <c r="D1436" s="55"/>
      <c r="E1436" s="59"/>
      <c r="F1436" s="60"/>
      <c r="G1436" s="29"/>
      <c r="H1436" s="6"/>
      <c r="I1436" s="6"/>
      <c r="J1436" s="6"/>
      <c r="K1436" s="6"/>
      <c r="L1436" s="6"/>
      <c r="M1436" s="6"/>
      <c r="N1436" s="6"/>
      <c r="O1436" s="6"/>
      <c r="P1436" s="6"/>
      <c r="Q1436" s="6"/>
      <c r="R1436" s="6"/>
      <c r="S1436" s="6"/>
    </row>
    <row r="1437" ht="22.5" hidden="1" customHeight="1">
      <c r="A1437" s="49"/>
      <c r="B1437" s="61"/>
      <c r="C1437" s="34"/>
      <c r="D1437" s="55"/>
      <c r="E1437" s="59"/>
      <c r="F1437" s="60"/>
      <c r="G1437" s="29"/>
      <c r="H1437" s="6"/>
      <c r="I1437" s="6"/>
      <c r="J1437" s="6"/>
      <c r="K1437" s="6"/>
      <c r="L1437" s="6"/>
      <c r="M1437" s="6"/>
      <c r="N1437" s="6"/>
      <c r="O1437" s="6"/>
      <c r="P1437" s="6"/>
      <c r="Q1437" s="6"/>
      <c r="R1437" s="6"/>
      <c r="S1437" s="6"/>
    </row>
    <row r="1438" ht="22.5" hidden="1" customHeight="1">
      <c r="A1438" s="49"/>
      <c r="B1438" s="61"/>
      <c r="C1438" s="34"/>
      <c r="D1438" s="55"/>
      <c r="E1438" s="59"/>
      <c r="F1438" s="60"/>
      <c r="G1438" s="29"/>
      <c r="H1438" s="6"/>
      <c r="I1438" s="6"/>
      <c r="J1438" s="6"/>
      <c r="K1438" s="6"/>
      <c r="L1438" s="6"/>
      <c r="M1438" s="6"/>
      <c r="N1438" s="6"/>
      <c r="O1438" s="6"/>
      <c r="P1438" s="6"/>
      <c r="Q1438" s="6"/>
      <c r="R1438" s="6"/>
      <c r="S1438" s="6"/>
    </row>
    <row r="1439" ht="22.5" hidden="1" customHeight="1">
      <c r="A1439" s="49"/>
      <c r="B1439" s="61"/>
      <c r="C1439" s="34"/>
      <c r="D1439" s="55"/>
      <c r="E1439" s="59"/>
      <c r="F1439" s="60"/>
      <c r="G1439" s="29"/>
      <c r="H1439" s="6"/>
      <c r="I1439" s="6"/>
      <c r="J1439" s="6"/>
      <c r="K1439" s="6"/>
      <c r="L1439" s="6"/>
      <c r="M1439" s="6"/>
      <c r="N1439" s="6"/>
      <c r="O1439" s="6"/>
      <c r="P1439" s="6"/>
      <c r="Q1439" s="6"/>
      <c r="R1439" s="6"/>
      <c r="S1439" s="6"/>
    </row>
    <row r="1440" ht="22.5" hidden="1" customHeight="1">
      <c r="A1440" s="49"/>
      <c r="B1440" s="61"/>
      <c r="C1440" s="34"/>
      <c r="D1440" s="55"/>
      <c r="E1440" s="59"/>
      <c r="F1440" s="60"/>
      <c r="G1440" s="29"/>
      <c r="H1440" s="6"/>
      <c r="I1440" s="6"/>
      <c r="J1440" s="6"/>
      <c r="K1440" s="6"/>
      <c r="L1440" s="6"/>
      <c r="M1440" s="6"/>
      <c r="N1440" s="6"/>
      <c r="O1440" s="6"/>
      <c r="P1440" s="6"/>
      <c r="Q1440" s="6"/>
      <c r="R1440" s="6"/>
      <c r="S1440" s="6"/>
    </row>
    <row r="1441" ht="22.5" hidden="1" customHeight="1">
      <c r="A1441" s="49"/>
      <c r="B1441" s="61"/>
      <c r="C1441" s="34"/>
      <c r="D1441" s="55"/>
      <c r="E1441" s="59"/>
      <c r="F1441" s="60"/>
      <c r="G1441" s="29"/>
      <c r="H1441" s="6"/>
      <c r="I1441" s="6"/>
      <c r="J1441" s="6"/>
      <c r="K1441" s="6"/>
      <c r="L1441" s="6"/>
      <c r="M1441" s="6"/>
      <c r="N1441" s="6"/>
      <c r="O1441" s="6"/>
      <c r="P1441" s="6"/>
      <c r="Q1441" s="6"/>
      <c r="R1441" s="6"/>
      <c r="S1441" s="6"/>
    </row>
    <row r="1442" ht="22.5" hidden="1" customHeight="1">
      <c r="A1442" s="49"/>
      <c r="B1442" s="61"/>
      <c r="C1442" s="34"/>
      <c r="D1442" s="55"/>
      <c r="E1442" s="59"/>
      <c r="F1442" s="60"/>
      <c r="G1442" s="29"/>
      <c r="H1442" s="6"/>
      <c r="I1442" s="6"/>
      <c r="J1442" s="6"/>
      <c r="K1442" s="6"/>
      <c r="L1442" s="6"/>
      <c r="M1442" s="6"/>
      <c r="N1442" s="6"/>
      <c r="O1442" s="6"/>
      <c r="P1442" s="6"/>
      <c r="Q1442" s="6"/>
      <c r="R1442" s="6"/>
      <c r="S1442" s="6"/>
    </row>
    <row r="1443" ht="22.5" hidden="1" customHeight="1">
      <c r="A1443" s="49"/>
      <c r="B1443" s="61"/>
      <c r="C1443" s="34"/>
      <c r="D1443" s="55"/>
      <c r="E1443" s="59"/>
      <c r="F1443" s="60"/>
      <c r="G1443" s="29"/>
      <c r="H1443" s="6"/>
      <c r="I1443" s="6"/>
      <c r="J1443" s="6"/>
      <c r="K1443" s="6"/>
      <c r="L1443" s="6"/>
      <c r="M1443" s="6"/>
      <c r="N1443" s="6"/>
      <c r="O1443" s="6"/>
      <c r="P1443" s="6"/>
      <c r="Q1443" s="6"/>
      <c r="R1443" s="6"/>
      <c r="S1443" s="6"/>
    </row>
    <row r="1444" ht="22.5" hidden="1" customHeight="1">
      <c r="A1444" s="49"/>
      <c r="B1444" s="61"/>
      <c r="C1444" s="34"/>
      <c r="D1444" s="55"/>
      <c r="E1444" s="59"/>
      <c r="F1444" s="60"/>
      <c r="G1444" s="29"/>
      <c r="H1444" s="6"/>
      <c r="I1444" s="6"/>
      <c r="J1444" s="6"/>
      <c r="K1444" s="6"/>
      <c r="L1444" s="6"/>
      <c r="M1444" s="6"/>
      <c r="N1444" s="6"/>
      <c r="O1444" s="6"/>
      <c r="P1444" s="6"/>
      <c r="Q1444" s="6"/>
      <c r="R1444" s="6"/>
      <c r="S1444" s="6"/>
    </row>
    <row r="1445" ht="22.5" hidden="1" customHeight="1">
      <c r="A1445" s="49"/>
      <c r="B1445" s="61"/>
      <c r="C1445" s="34"/>
      <c r="D1445" s="55"/>
      <c r="E1445" s="59"/>
      <c r="F1445" s="60"/>
      <c r="G1445" s="29"/>
      <c r="H1445" s="6"/>
      <c r="I1445" s="6"/>
      <c r="J1445" s="6"/>
      <c r="K1445" s="6"/>
      <c r="L1445" s="6"/>
      <c r="M1445" s="6"/>
      <c r="N1445" s="6"/>
      <c r="O1445" s="6"/>
      <c r="P1445" s="6"/>
      <c r="Q1445" s="6"/>
      <c r="R1445" s="6"/>
      <c r="S1445" s="6"/>
    </row>
    <row r="1446" ht="22.5" hidden="1" customHeight="1">
      <c r="A1446" s="49"/>
      <c r="B1446" s="61"/>
      <c r="C1446" s="34"/>
      <c r="D1446" s="55"/>
      <c r="E1446" s="59"/>
      <c r="F1446" s="60"/>
      <c r="G1446" s="29"/>
      <c r="H1446" s="6"/>
      <c r="I1446" s="6"/>
      <c r="J1446" s="6"/>
      <c r="K1446" s="6"/>
      <c r="L1446" s="6"/>
      <c r="M1446" s="6"/>
      <c r="N1446" s="6"/>
      <c r="O1446" s="6"/>
      <c r="P1446" s="6"/>
      <c r="Q1446" s="6"/>
      <c r="R1446" s="6"/>
      <c r="S1446" s="6"/>
    </row>
    <row r="1447" ht="22.5" hidden="1" customHeight="1">
      <c r="A1447" s="49"/>
      <c r="B1447" s="61"/>
      <c r="C1447" s="34"/>
      <c r="D1447" s="55"/>
      <c r="E1447" s="59"/>
      <c r="F1447" s="60"/>
      <c r="G1447" s="29"/>
      <c r="H1447" s="6"/>
      <c r="I1447" s="6"/>
      <c r="J1447" s="6"/>
      <c r="K1447" s="6"/>
      <c r="L1447" s="6"/>
      <c r="M1447" s="6"/>
      <c r="N1447" s="6"/>
      <c r="O1447" s="6"/>
      <c r="P1447" s="6"/>
      <c r="Q1447" s="6"/>
      <c r="R1447" s="6"/>
      <c r="S1447" s="6"/>
    </row>
    <row r="1448" ht="22.5" hidden="1" customHeight="1">
      <c r="A1448" s="49"/>
      <c r="B1448" s="61"/>
      <c r="C1448" s="34"/>
      <c r="D1448" s="55"/>
      <c r="E1448" s="59"/>
      <c r="F1448" s="60"/>
      <c r="G1448" s="29"/>
      <c r="H1448" s="6"/>
      <c r="I1448" s="6"/>
      <c r="J1448" s="6"/>
      <c r="K1448" s="6"/>
      <c r="L1448" s="6"/>
      <c r="M1448" s="6"/>
      <c r="N1448" s="6"/>
      <c r="O1448" s="6"/>
      <c r="P1448" s="6"/>
      <c r="Q1448" s="6"/>
      <c r="R1448" s="6"/>
      <c r="S1448" s="6"/>
    </row>
    <row r="1449" ht="22.5" hidden="1" customHeight="1">
      <c r="A1449" s="49"/>
      <c r="B1449" s="61"/>
      <c r="C1449" s="34"/>
      <c r="D1449" s="55"/>
      <c r="E1449" s="59"/>
      <c r="F1449" s="60"/>
      <c r="G1449" s="29"/>
      <c r="H1449" s="6"/>
      <c r="I1449" s="6"/>
      <c r="J1449" s="6"/>
      <c r="K1449" s="6"/>
      <c r="L1449" s="6"/>
      <c r="M1449" s="6"/>
      <c r="N1449" s="6"/>
      <c r="O1449" s="6"/>
      <c r="P1449" s="6"/>
      <c r="Q1449" s="6"/>
      <c r="R1449" s="6"/>
      <c r="S1449" s="6"/>
    </row>
    <row r="1450" ht="22.5" hidden="1" customHeight="1">
      <c r="A1450" s="49"/>
      <c r="B1450" s="61"/>
      <c r="C1450" s="34"/>
      <c r="D1450" s="55"/>
      <c r="E1450" s="59"/>
      <c r="F1450" s="60"/>
      <c r="G1450" s="29"/>
      <c r="H1450" s="6"/>
      <c r="I1450" s="6"/>
      <c r="J1450" s="6"/>
      <c r="K1450" s="6"/>
      <c r="L1450" s="6"/>
      <c r="M1450" s="6"/>
      <c r="N1450" s="6"/>
      <c r="O1450" s="6"/>
      <c r="P1450" s="6"/>
      <c r="Q1450" s="6"/>
      <c r="R1450" s="6"/>
      <c r="S1450" s="6"/>
    </row>
    <row r="1451" ht="22.5" hidden="1" customHeight="1">
      <c r="A1451" s="49"/>
      <c r="B1451" s="61"/>
      <c r="C1451" s="34"/>
      <c r="D1451" s="55"/>
      <c r="E1451" s="59"/>
      <c r="F1451" s="60"/>
      <c r="G1451" s="29"/>
      <c r="H1451" s="6"/>
      <c r="I1451" s="6"/>
      <c r="J1451" s="6"/>
      <c r="K1451" s="6"/>
      <c r="L1451" s="6"/>
      <c r="M1451" s="6"/>
      <c r="N1451" s="6"/>
      <c r="O1451" s="6"/>
      <c r="P1451" s="6"/>
      <c r="Q1451" s="6"/>
      <c r="R1451" s="6"/>
      <c r="S1451" s="6"/>
    </row>
    <row r="1452" ht="22.5" hidden="1" customHeight="1">
      <c r="A1452" s="49"/>
      <c r="B1452" s="61"/>
      <c r="C1452" s="34"/>
      <c r="D1452" s="55"/>
      <c r="E1452" s="59"/>
      <c r="F1452" s="60"/>
      <c r="G1452" s="29"/>
      <c r="H1452" s="6"/>
      <c r="I1452" s="6"/>
      <c r="J1452" s="6"/>
      <c r="K1452" s="6"/>
      <c r="L1452" s="6"/>
      <c r="M1452" s="6"/>
      <c r="N1452" s="6"/>
      <c r="O1452" s="6"/>
      <c r="P1452" s="6"/>
      <c r="Q1452" s="6"/>
      <c r="R1452" s="6"/>
      <c r="S1452" s="6"/>
    </row>
    <row r="1453" ht="22.5" hidden="1" customHeight="1">
      <c r="A1453" s="49"/>
      <c r="B1453" s="61"/>
      <c r="C1453" s="34"/>
      <c r="D1453" s="55"/>
      <c r="E1453" s="59"/>
      <c r="F1453" s="60"/>
      <c r="G1453" s="29"/>
      <c r="H1453" s="6"/>
      <c r="I1453" s="6"/>
      <c r="J1453" s="6"/>
      <c r="K1453" s="6"/>
      <c r="L1453" s="6"/>
      <c r="M1453" s="6"/>
      <c r="N1453" s="6"/>
      <c r="O1453" s="6"/>
      <c r="P1453" s="6"/>
      <c r="Q1453" s="6"/>
      <c r="R1453" s="6"/>
      <c r="S1453" s="6"/>
    </row>
    <row r="1454" ht="22.5" hidden="1" customHeight="1">
      <c r="A1454" s="49"/>
      <c r="B1454" s="61"/>
      <c r="C1454" s="34"/>
      <c r="D1454" s="55"/>
      <c r="E1454" s="59"/>
      <c r="F1454" s="60"/>
      <c r="G1454" s="29"/>
      <c r="H1454" s="6"/>
      <c r="I1454" s="6"/>
      <c r="J1454" s="6"/>
      <c r="K1454" s="6"/>
      <c r="L1454" s="6"/>
      <c r="M1454" s="6"/>
      <c r="N1454" s="6"/>
      <c r="O1454" s="6"/>
      <c r="P1454" s="6"/>
      <c r="Q1454" s="6"/>
      <c r="R1454" s="6"/>
      <c r="S1454" s="6"/>
    </row>
    <row r="1455" ht="22.5" hidden="1" customHeight="1">
      <c r="A1455" s="49"/>
      <c r="B1455" s="61"/>
      <c r="C1455" s="34"/>
      <c r="D1455" s="55"/>
      <c r="E1455" s="59"/>
      <c r="F1455" s="60"/>
      <c r="G1455" s="29"/>
      <c r="H1455" s="6"/>
      <c r="I1455" s="6"/>
      <c r="J1455" s="6"/>
      <c r="K1455" s="6"/>
      <c r="L1455" s="6"/>
      <c r="M1455" s="6"/>
      <c r="N1455" s="6"/>
      <c r="O1455" s="6"/>
      <c r="P1455" s="6"/>
      <c r="Q1455" s="6"/>
      <c r="R1455" s="6"/>
      <c r="S1455" s="6"/>
    </row>
    <row r="1456" ht="22.5" hidden="1" customHeight="1">
      <c r="A1456" s="49"/>
      <c r="B1456" s="61"/>
      <c r="C1456" s="34"/>
      <c r="D1456" s="55"/>
      <c r="E1456" s="59"/>
      <c r="F1456" s="60"/>
      <c r="G1456" s="29"/>
      <c r="H1456" s="6"/>
      <c r="I1456" s="6"/>
      <c r="J1456" s="6"/>
      <c r="K1456" s="6"/>
      <c r="L1456" s="6"/>
      <c r="M1456" s="6"/>
      <c r="N1456" s="6"/>
      <c r="O1456" s="6"/>
      <c r="P1456" s="6"/>
      <c r="Q1456" s="6"/>
      <c r="R1456" s="6"/>
      <c r="S1456" s="6"/>
    </row>
    <row r="1457" ht="22.5" hidden="1" customHeight="1">
      <c r="A1457" s="49"/>
      <c r="B1457" s="61"/>
      <c r="C1457" s="34"/>
      <c r="D1457" s="55"/>
      <c r="E1457" s="59"/>
      <c r="F1457" s="60"/>
      <c r="G1457" s="29"/>
      <c r="H1457" s="6"/>
      <c r="I1457" s="6"/>
      <c r="J1457" s="6"/>
      <c r="K1457" s="6"/>
      <c r="L1457" s="6"/>
      <c r="M1457" s="6"/>
      <c r="N1457" s="6"/>
      <c r="O1457" s="6"/>
      <c r="P1457" s="6"/>
      <c r="Q1457" s="6"/>
      <c r="R1457" s="6"/>
      <c r="S1457" s="6"/>
    </row>
    <row r="1458" ht="22.5" hidden="1" customHeight="1">
      <c r="A1458" s="49"/>
      <c r="B1458" s="61"/>
      <c r="C1458" s="34"/>
      <c r="D1458" s="55"/>
      <c r="E1458" s="59"/>
      <c r="F1458" s="60"/>
      <c r="G1458" s="29"/>
      <c r="H1458" s="6"/>
      <c r="I1458" s="6"/>
      <c r="J1458" s="6"/>
      <c r="K1458" s="6"/>
      <c r="L1458" s="6"/>
      <c r="M1458" s="6"/>
      <c r="N1458" s="6"/>
      <c r="O1458" s="6"/>
      <c r="P1458" s="6"/>
      <c r="Q1458" s="6"/>
      <c r="R1458" s="6"/>
      <c r="S1458" s="6"/>
    </row>
    <row r="1459" ht="22.5" hidden="1" customHeight="1">
      <c r="A1459" s="49"/>
      <c r="B1459" s="61"/>
      <c r="C1459" s="34"/>
      <c r="D1459" s="55"/>
      <c r="E1459" s="59"/>
      <c r="F1459" s="60"/>
      <c r="G1459" s="29"/>
      <c r="H1459" s="6"/>
      <c r="I1459" s="6"/>
      <c r="J1459" s="6"/>
      <c r="K1459" s="6"/>
      <c r="L1459" s="6"/>
      <c r="M1459" s="6"/>
      <c r="N1459" s="6"/>
      <c r="O1459" s="6"/>
      <c r="P1459" s="6"/>
      <c r="Q1459" s="6"/>
      <c r="R1459" s="6"/>
      <c r="S1459" s="6"/>
    </row>
    <row r="1460" ht="22.5" hidden="1" customHeight="1">
      <c r="A1460" s="49"/>
      <c r="B1460" s="61"/>
      <c r="C1460" s="34"/>
      <c r="D1460" s="55"/>
      <c r="E1460" s="59"/>
      <c r="F1460" s="60"/>
      <c r="G1460" s="29"/>
      <c r="H1460" s="6"/>
      <c r="I1460" s="6"/>
      <c r="J1460" s="6"/>
      <c r="K1460" s="6"/>
      <c r="L1460" s="6"/>
      <c r="M1460" s="6"/>
      <c r="N1460" s="6"/>
      <c r="O1460" s="6"/>
      <c r="P1460" s="6"/>
      <c r="Q1460" s="6"/>
      <c r="R1460" s="6"/>
      <c r="S1460" s="6"/>
    </row>
    <row r="1461" ht="22.5" hidden="1" customHeight="1">
      <c r="A1461" s="49"/>
      <c r="B1461" s="61"/>
      <c r="C1461" s="34"/>
      <c r="D1461" s="55"/>
      <c r="E1461" s="59"/>
      <c r="F1461" s="60"/>
      <c r="G1461" s="29"/>
      <c r="H1461" s="6"/>
      <c r="I1461" s="6"/>
      <c r="J1461" s="6"/>
      <c r="K1461" s="6"/>
      <c r="L1461" s="6"/>
      <c r="M1461" s="6"/>
      <c r="N1461" s="6"/>
      <c r="O1461" s="6"/>
      <c r="P1461" s="6"/>
      <c r="Q1461" s="6"/>
      <c r="R1461" s="6"/>
      <c r="S1461" s="6"/>
    </row>
    <row r="1462" ht="22.5" hidden="1" customHeight="1">
      <c r="A1462" s="49"/>
      <c r="B1462" s="61"/>
      <c r="C1462" s="34"/>
      <c r="D1462" s="55"/>
      <c r="E1462" s="59"/>
      <c r="F1462" s="60"/>
      <c r="G1462" s="29"/>
      <c r="H1462" s="6"/>
      <c r="I1462" s="6"/>
      <c r="J1462" s="6"/>
      <c r="K1462" s="6"/>
      <c r="L1462" s="6"/>
      <c r="M1462" s="6"/>
      <c r="N1462" s="6"/>
      <c r="O1462" s="6"/>
      <c r="P1462" s="6"/>
      <c r="Q1462" s="6"/>
      <c r="R1462" s="6"/>
      <c r="S1462" s="6"/>
    </row>
    <row r="1463" ht="22.5" hidden="1" customHeight="1">
      <c r="A1463" s="49"/>
      <c r="B1463" s="61"/>
      <c r="C1463" s="34"/>
      <c r="D1463" s="55"/>
      <c r="E1463" s="59"/>
      <c r="F1463" s="60"/>
      <c r="G1463" s="29"/>
      <c r="H1463" s="6"/>
      <c r="I1463" s="6"/>
      <c r="J1463" s="6"/>
      <c r="K1463" s="6"/>
      <c r="L1463" s="6"/>
      <c r="M1463" s="6"/>
      <c r="N1463" s="6"/>
      <c r="O1463" s="6"/>
      <c r="P1463" s="6"/>
      <c r="Q1463" s="6"/>
      <c r="R1463" s="6"/>
      <c r="S1463" s="6"/>
    </row>
    <row r="1464" ht="22.5" hidden="1" customHeight="1">
      <c r="A1464" s="49"/>
      <c r="B1464" s="61"/>
      <c r="C1464" s="34"/>
      <c r="D1464" s="55"/>
      <c r="E1464" s="59"/>
      <c r="F1464" s="60"/>
      <c r="G1464" s="29"/>
      <c r="H1464" s="6"/>
      <c r="I1464" s="6"/>
      <c r="J1464" s="6"/>
      <c r="K1464" s="6"/>
      <c r="L1464" s="6"/>
      <c r="M1464" s="6"/>
      <c r="N1464" s="6"/>
      <c r="O1464" s="6"/>
      <c r="P1464" s="6"/>
      <c r="Q1464" s="6"/>
      <c r="R1464" s="6"/>
      <c r="S1464" s="6"/>
    </row>
    <row r="1465" ht="22.5" hidden="1" customHeight="1">
      <c r="A1465" s="49"/>
      <c r="B1465" s="61"/>
      <c r="C1465" s="34"/>
      <c r="D1465" s="55"/>
      <c r="E1465" s="59"/>
      <c r="F1465" s="60"/>
      <c r="G1465" s="29"/>
      <c r="H1465" s="6"/>
      <c r="I1465" s="6"/>
      <c r="J1465" s="6"/>
      <c r="K1465" s="6"/>
      <c r="L1465" s="6"/>
      <c r="M1465" s="6"/>
      <c r="N1465" s="6"/>
      <c r="O1465" s="6"/>
      <c r="P1465" s="6"/>
      <c r="Q1465" s="6"/>
      <c r="R1465" s="6"/>
      <c r="S1465" s="6"/>
    </row>
    <row r="1466" ht="22.5" hidden="1" customHeight="1">
      <c r="A1466" s="49"/>
      <c r="B1466" s="61"/>
      <c r="C1466" s="34"/>
      <c r="D1466" s="55"/>
      <c r="E1466" s="59"/>
      <c r="F1466" s="60"/>
      <c r="G1466" s="29"/>
      <c r="H1466" s="6"/>
      <c r="I1466" s="6"/>
      <c r="J1466" s="6"/>
      <c r="K1466" s="6"/>
      <c r="L1466" s="6"/>
      <c r="M1466" s="6"/>
      <c r="N1466" s="6"/>
      <c r="O1466" s="6"/>
      <c r="P1466" s="6"/>
      <c r="Q1466" s="6"/>
      <c r="R1466" s="6"/>
      <c r="S1466" s="6"/>
    </row>
    <row r="1467" ht="22.5" hidden="1" customHeight="1">
      <c r="A1467" s="49"/>
      <c r="B1467" s="61"/>
      <c r="C1467" s="34"/>
      <c r="D1467" s="55"/>
      <c r="E1467" s="59"/>
      <c r="F1467" s="60"/>
      <c r="G1467" s="29"/>
      <c r="H1467" s="6"/>
      <c r="I1467" s="6"/>
      <c r="J1467" s="6"/>
      <c r="K1467" s="6"/>
      <c r="L1467" s="6"/>
      <c r="M1467" s="6"/>
      <c r="N1467" s="6"/>
      <c r="O1467" s="6"/>
      <c r="P1467" s="6"/>
      <c r="Q1467" s="6"/>
      <c r="R1467" s="6"/>
      <c r="S1467" s="6"/>
    </row>
    <row r="1468" ht="22.5" hidden="1" customHeight="1">
      <c r="A1468" s="49"/>
      <c r="B1468" s="61"/>
      <c r="C1468" s="34"/>
      <c r="D1468" s="55"/>
      <c r="E1468" s="59"/>
      <c r="F1468" s="60"/>
      <c r="G1468" s="29"/>
      <c r="H1468" s="6"/>
      <c r="I1468" s="6"/>
      <c r="J1468" s="6"/>
      <c r="K1468" s="6"/>
      <c r="L1468" s="6"/>
      <c r="M1468" s="6"/>
      <c r="N1468" s="6"/>
      <c r="O1468" s="6"/>
      <c r="P1468" s="6"/>
      <c r="Q1468" s="6"/>
      <c r="R1468" s="6"/>
      <c r="S1468" s="6"/>
    </row>
    <row r="1469" ht="22.5" hidden="1" customHeight="1">
      <c r="A1469" s="49"/>
      <c r="B1469" s="61"/>
      <c r="C1469" s="34"/>
      <c r="D1469" s="55"/>
      <c r="E1469" s="59"/>
      <c r="F1469" s="60"/>
      <c r="G1469" s="29"/>
      <c r="H1469" s="6"/>
      <c r="I1469" s="6"/>
      <c r="J1469" s="6"/>
      <c r="K1469" s="6"/>
      <c r="L1469" s="6"/>
      <c r="M1469" s="6"/>
      <c r="N1469" s="6"/>
      <c r="O1469" s="6"/>
      <c r="P1469" s="6"/>
      <c r="Q1469" s="6"/>
      <c r="R1469" s="6"/>
      <c r="S1469" s="6"/>
    </row>
    <row r="1470" ht="22.5" hidden="1" customHeight="1">
      <c r="A1470" s="49"/>
      <c r="B1470" s="61"/>
      <c r="C1470" s="34"/>
      <c r="D1470" s="55"/>
      <c r="E1470" s="59"/>
      <c r="F1470" s="60"/>
      <c r="G1470" s="29"/>
      <c r="H1470" s="6"/>
      <c r="I1470" s="6"/>
      <c r="J1470" s="6"/>
      <c r="K1470" s="6"/>
      <c r="L1470" s="6"/>
      <c r="M1470" s="6"/>
      <c r="N1470" s="6"/>
      <c r="O1470" s="6"/>
      <c r="P1470" s="6"/>
      <c r="Q1470" s="6"/>
      <c r="R1470" s="6"/>
      <c r="S1470" s="6"/>
    </row>
    <row r="1471" ht="22.5" hidden="1" customHeight="1">
      <c r="A1471" s="49"/>
      <c r="B1471" s="61"/>
      <c r="C1471" s="34"/>
      <c r="D1471" s="55"/>
      <c r="E1471" s="59"/>
      <c r="F1471" s="60"/>
      <c r="G1471" s="29"/>
      <c r="H1471" s="6"/>
      <c r="I1471" s="6"/>
      <c r="J1471" s="6"/>
      <c r="K1471" s="6"/>
      <c r="L1471" s="6"/>
      <c r="M1471" s="6"/>
      <c r="N1471" s="6"/>
      <c r="O1471" s="6"/>
      <c r="P1471" s="6"/>
      <c r="Q1471" s="6"/>
      <c r="R1471" s="6"/>
      <c r="S1471" s="6"/>
    </row>
    <row r="1472" ht="22.5" hidden="1" customHeight="1">
      <c r="A1472" s="49"/>
      <c r="B1472" s="61"/>
      <c r="C1472" s="34"/>
      <c r="D1472" s="55"/>
      <c r="E1472" s="59"/>
      <c r="F1472" s="60"/>
      <c r="G1472" s="29"/>
      <c r="H1472" s="6"/>
      <c r="I1472" s="6"/>
      <c r="J1472" s="6"/>
      <c r="K1472" s="6"/>
      <c r="L1472" s="6"/>
      <c r="M1472" s="6"/>
      <c r="N1472" s="6"/>
      <c r="O1472" s="6"/>
      <c r="P1472" s="6"/>
      <c r="Q1472" s="6"/>
      <c r="R1472" s="6"/>
      <c r="S1472" s="6"/>
    </row>
    <row r="1473" ht="22.5" hidden="1" customHeight="1">
      <c r="A1473" s="49"/>
      <c r="B1473" s="61"/>
      <c r="C1473" s="34"/>
      <c r="D1473" s="55"/>
      <c r="E1473" s="59"/>
      <c r="F1473" s="60"/>
      <c r="G1473" s="29"/>
      <c r="H1473" s="6"/>
      <c r="I1473" s="6"/>
      <c r="J1473" s="6"/>
      <c r="K1473" s="6"/>
      <c r="L1473" s="6"/>
      <c r="M1473" s="6"/>
      <c r="N1473" s="6"/>
      <c r="O1473" s="6"/>
      <c r="P1473" s="6"/>
      <c r="Q1473" s="6"/>
      <c r="R1473" s="6"/>
      <c r="S1473" s="6"/>
    </row>
    <row r="1474" ht="22.5" hidden="1" customHeight="1">
      <c r="A1474" s="49"/>
      <c r="B1474" s="61"/>
      <c r="C1474" s="34"/>
      <c r="D1474" s="55"/>
      <c r="E1474" s="59"/>
      <c r="F1474" s="60"/>
      <c r="G1474" s="29"/>
      <c r="H1474" s="6"/>
      <c r="I1474" s="6"/>
      <c r="J1474" s="6"/>
      <c r="K1474" s="6"/>
      <c r="L1474" s="6"/>
      <c r="M1474" s="6"/>
      <c r="N1474" s="6"/>
      <c r="O1474" s="6"/>
      <c r="P1474" s="6"/>
      <c r="Q1474" s="6"/>
      <c r="R1474" s="6"/>
      <c r="S1474" s="6"/>
    </row>
    <row r="1475" ht="22.5" hidden="1" customHeight="1">
      <c r="A1475" s="49"/>
      <c r="B1475" s="61"/>
      <c r="C1475" s="34"/>
      <c r="D1475" s="55"/>
      <c r="E1475" s="59"/>
      <c r="F1475" s="60"/>
      <c r="G1475" s="29"/>
      <c r="H1475" s="6"/>
      <c r="I1475" s="6"/>
      <c r="J1475" s="6"/>
      <c r="K1475" s="6"/>
      <c r="L1475" s="6"/>
      <c r="M1475" s="6"/>
      <c r="N1475" s="6"/>
      <c r="O1475" s="6"/>
      <c r="P1475" s="6"/>
      <c r="Q1475" s="6"/>
      <c r="R1475" s="6"/>
      <c r="S1475" s="6"/>
    </row>
    <row r="1476" ht="22.5" hidden="1" customHeight="1">
      <c r="A1476" s="49"/>
      <c r="B1476" s="61"/>
      <c r="C1476" s="34"/>
      <c r="D1476" s="55"/>
      <c r="E1476" s="59"/>
      <c r="F1476" s="60"/>
      <c r="G1476" s="29"/>
      <c r="H1476" s="6"/>
      <c r="I1476" s="6"/>
      <c r="J1476" s="6"/>
      <c r="K1476" s="6"/>
      <c r="L1476" s="6"/>
      <c r="M1476" s="6"/>
      <c r="N1476" s="6"/>
      <c r="O1476" s="6"/>
      <c r="P1476" s="6"/>
      <c r="Q1476" s="6"/>
      <c r="R1476" s="6"/>
      <c r="S1476" s="6"/>
    </row>
    <row r="1477" ht="22.5" hidden="1" customHeight="1">
      <c r="A1477" s="49"/>
      <c r="B1477" s="61"/>
      <c r="C1477" s="34"/>
      <c r="D1477" s="55"/>
      <c r="E1477" s="59"/>
      <c r="F1477" s="60"/>
      <c r="G1477" s="29"/>
      <c r="H1477" s="6"/>
      <c r="I1477" s="6"/>
      <c r="J1477" s="6"/>
      <c r="K1477" s="6"/>
      <c r="L1477" s="6"/>
      <c r="M1477" s="6"/>
      <c r="N1477" s="6"/>
      <c r="O1477" s="6"/>
      <c r="P1477" s="6"/>
      <c r="Q1477" s="6"/>
      <c r="R1477" s="6"/>
      <c r="S1477" s="6"/>
    </row>
    <row r="1478" ht="22.5" hidden="1" customHeight="1">
      <c r="A1478" s="49"/>
      <c r="B1478" s="61"/>
      <c r="C1478" s="34"/>
      <c r="D1478" s="55"/>
      <c r="E1478" s="59"/>
      <c r="F1478" s="60"/>
      <c r="G1478" s="29"/>
      <c r="H1478" s="6"/>
      <c r="I1478" s="6"/>
      <c r="J1478" s="6"/>
      <c r="K1478" s="6"/>
      <c r="L1478" s="6"/>
      <c r="M1478" s="6"/>
      <c r="N1478" s="6"/>
      <c r="O1478" s="6"/>
      <c r="P1478" s="6"/>
      <c r="Q1478" s="6"/>
      <c r="R1478" s="6"/>
      <c r="S1478" s="6"/>
    </row>
    <row r="1479" ht="22.5" hidden="1" customHeight="1">
      <c r="A1479" s="49"/>
      <c r="B1479" s="61"/>
      <c r="C1479" s="34"/>
      <c r="D1479" s="55"/>
      <c r="E1479" s="59"/>
      <c r="F1479" s="60"/>
      <c r="G1479" s="29"/>
      <c r="H1479" s="6"/>
      <c r="I1479" s="6"/>
      <c r="J1479" s="6"/>
      <c r="K1479" s="6"/>
      <c r="L1479" s="6"/>
      <c r="M1479" s="6"/>
      <c r="N1479" s="6"/>
      <c r="O1479" s="6"/>
      <c r="P1479" s="6"/>
      <c r="Q1479" s="6"/>
      <c r="R1479" s="6"/>
      <c r="S1479" s="6"/>
    </row>
    <row r="1480" ht="22.5" hidden="1" customHeight="1">
      <c r="A1480" s="49"/>
      <c r="B1480" s="61"/>
      <c r="C1480" s="34"/>
      <c r="D1480" s="55"/>
      <c r="E1480" s="59"/>
      <c r="F1480" s="60"/>
      <c r="G1480" s="29"/>
      <c r="H1480" s="6"/>
      <c r="I1480" s="6"/>
      <c r="J1480" s="6"/>
      <c r="K1480" s="6"/>
      <c r="L1480" s="6"/>
      <c r="M1480" s="6"/>
      <c r="N1480" s="6"/>
      <c r="O1480" s="6"/>
      <c r="P1480" s="6"/>
      <c r="Q1480" s="6"/>
      <c r="R1480" s="6"/>
      <c r="S1480" s="6"/>
    </row>
    <row r="1481" ht="22.5" hidden="1" customHeight="1">
      <c r="A1481" s="49"/>
      <c r="B1481" s="61"/>
      <c r="C1481" s="34"/>
      <c r="D1481" s="55"/>
      <c r="E1481" s="59"/>
      <c r="F1481" s="60"/>
      <c r="G1481" s="29"/>
      <c r="H1481" s="6"/>
      <c r="I1481" s="6"/>
      <c r="J1481" s="6"/>
      <c r="K1481" s="6"/>
      <c r="L1481" s="6"/>
      <c r="M1481" s="6"/>
      <c r="N1481" s="6"/>
      <c r="O1481" s="6"/>
      <c r="P1481" s="6"/>
      <c r="Q1481" s="6"/>
      <c r="R1481" s="6"/>
      <c r="S1481" s="6"/>
    </row>
    <row r="1482" ht="22.5" hidden="1" customHeight="1">
      <c r="A1482" s="49"/>
      <c r="B1482" s="61"/>
      <c r="C1482" s="34"/>
      <c r="D1482" s="55"/>
      <c r="E1482" s="59"/>
      <c r="F1482" s="60"/>
      <c r="G1482" s="29"/>
      <c r="H1482" s="6"/>
      <c r="I1482" s="6"/>
      <c r="J1482" s="6"/>
      <c r="K1482" s="6"/>
      <c r="L1482" s="6"/>
      <c r="M1482" s="6"/>
      <c r="N1482" s="6"/>
      <c r="O1482" s="6"/>
      <c r="P1482" s="6"/>
      <c r="Q1482" s="6"/>
      <c r="R1482" s="6"/>
      <c r="S1482" s="6"/>
    </row>
    <row r="1483" ht="22.5" hidden="1" customHeight="1">
      <c r="A1483" s="49"/>
      <c r="B1483" s="61"/>
      <c r="C1483" s="34"/>
      <c r="D1483" s="55"/>
      <c r="E1483" s="59"/>
      <c r="F1483" s="60"/>
      <c r="G1483" s="29"/>
      <c r="H1483" s="6"/>
      <c r="I1483" s="6"/>
      <c r="J1483" s="6"/>
      <c r="K1483" s="6"/>
      <c r="L1483" s="6"/>
      <c r="M1483" s="6"/>
      <c r="N1483" s="6"/>
      <c r="O1483" s="6"/>
      <c r="P1483" s="6"/>
      <c r="Q1483" s="6"/>
      <c r="R1483" s="6"/>
      <c r="S1483" s="6"/>
    </row>
    <row r="1484" ht="22.5" hidden="1" customHeight="1">
      <c r="A1484" s="49"/>
      <c r="B1484" s="61"/>
      <c r="C1484" s="34"/>
      <c r="D1484" s="55"/>
      <c r="E1484" s="59"/>
      <c r="F1484" s="60"/>
      <c r="G1484" s="29"/>
      <c r="H1484" s="6"/>
      <c r="I1484" s="6"/>
      <c r="J1484" s="6"/>
      <c r="K1484" s="6"/>
      <c r="L1484" s="6"/>
      <c r="M1484" s="6"/>
      <c r="N1484" s="6"/>
      <c r="O1484" s="6"/>
      <c r="P1484" s="6"/>
      <c r="Q1484" s="6"/>
      <c r="R1484" s="6"/>
      <c r="S1484" s="6"/>
    </row>
    <row r="1485" ht="22.5" hidden="1" customHeight="1">
      <c r="A1485" s="49"/>
      <c r="B1485" s="61"/>
      <c r="C1485" s="34"/>
      <c r="D1485" s="55"/>
      <c r="E1485" s="59"/>
      <c r="F1485" s="60"/>
      <c r="G1485" s="29"/>
      <c r="H1485" s="6"/>
      <c r="I1485" s="6"/>
      <c r="J1485" s="6"/>
      <c r="K1485" s="6"/>
      <c r="L1485" s="6"/>
      <c r="M1485" s="6"/>
      <c r="N1485" s="6"/>
      <c r="O1485" s="6"/>
      <c r="P1485" s="6"/>
      <c r="Q1485" s="6"/>
      <c r="R1485" s="6"/>
      <c r="S1485" s="6"/>
    </row>
    <row r="1486" ht="22.5" hidden="1" customHeight="1">
      <c r="A1486" s="49"/>
      <c r="B1486" s="61"/>
      <c r="C1486" s="34"/>
      <c r="D1486" s="55"/>
      <c r="E1486" s="59"/>
      <c r="F1486" s="60"/>
      <c r="G1486" s="29"/>
      <c r="H1486" s="6"/>
      <c r="I1486" s="6"/>
      <c r="J1486" s="6"/>
      <c r="K1486" s="6"/>
      <c r="L1486" s="6"/>
      <c r="M1486" s="6"/>
      <c r="N1486" s="6"/>
      <c r="O1486" s="6"/>
      <c r="P1486" s="6"/>
      <c r="Q1486" s="6"/>
      <c r="R1486" s="6"/>
      <c r="S1486" s="6"/>
    </row>
    <row r="1487" ht="22.5" hidden="1" customHeight="1">
      <c r="A1487" s="49"/>
      <c r="B1487" s="61"/>
      <c r="C1487" s="34"/>
      <c r="D1487" s="55"/>
      <c r="E1487" s="59"/>
      <c r="F1487" s="60"/>
      <c r="G1487" s="29"/>
      <c r="H1487" s="6"/>
      <c r="I1487" s="6"/>
      <c r="J1487" s="6"/>
      <c r="K1487" s="6"/>
      <c r="L1487" s="6"/>
      <c r="M1487" s="6"/>
      <c r="N1487" s="6"/>
      <c r="O1487" s="6"/>
      <c r="P1487" s="6"/>
      <c r="Q1487" s="6"/>
      <c r="R1487" s="6"/>
      <c r="S1487" s="6"/>
    </row>
    <row r="1488" ht="22.5" hidden="1" customHeight="1">
      <c r="A1488" s="49"/>
      <c r="B1488" s="61"/>
      <c r="C1488" s="34"/>
      <c r="D1488" s="55"/>
      <c r="E1488" s="59"/>
      <c r="F1488" s="60"/>
      <c r="G1488" s="29"/>
      <c r="H1488" s="6"/>
      <c r="I1488" s="6"/>
      <c r="J1488" s="6"/>
      <c r="K1488" s="6"/>
      <c r="L1488" s="6"/>
      <c r="M1488" s="6"/>
      <c r="N1488" s="6"/>
      <c r="O1488" s="6"/>
      <c r="P1488" s="6"/>
      <c r="Q1488" s="6"/>
      <c r="R1488" s="6"/>
      <c r="S1488" s="6"/>
    </row>
    <row r="1489" ht="22.5" hidden="1" customHeight="1">
      <c r="A1489" s="49"/>
      <c r="B1489" s="61"/>
      <c r="C1489" s="34"/>
      <c r="D1489" s="55"/>
      <c r="E1489" s="59"/>
      <c r="F1489" s="60"/>
      <c r="G1489" s="29"/>
      <c r="H1489" s="6"/>
      <c r="I1489" s="6"/>
      <c r="J1489" s="6"/>
      <c r="K1489" s="6"/>
      <c r="L1489" s="6"/>
      <c r="M1489" s="6"/>
      <c r="N1489" s="6"/>
      <c r="O1489" s="6"/>
      <c r="P1489" s="6"/>
      <c r="Q1489" s="6"/>
      <c r="R1489" s="6"/>
      <c r="S1489" s="6"/>
    </row>
    <row r="1490" ht="22.5" hidden="1" customHeight="1">
      <c r="A1490" s="49"/>
      <c r="B1490" s="61"/>
      <c r="C1490" s="34"/>
      <c r="D1490" s="55"/>
      <c r="E1490" s="59"/>
      <c r="F1490" s="60"/>
      <c r="G1490" s="29"/>
      <c r="H1490" s="6"/>
      <c r="I1490" s="6"/>
      <c r="J1490" s="6"/>
      <c r="K1490" s="6"/>
      <c r="L1490" s="6"/>
      <c r="M1490" s="6"/>
      <c r="N1490" s="6"/>
      <c r="O1490" s="6"/>
      <c r="P1490" s="6"/>
      <c r="Q1490" s="6"/>
      <c r="R1490" s="6"/>
      <c r="S1490" s="6"/>
    </row>
    <row r="1491" ht="22.5" hidden="1" customHeight="1">
      <c r="A1491" s="49"/>
      <c r="B1491" s="61"/>
      <c r="C1491" s="34"/>
      <c r="D1491" s="55"/>
      <c r="E1491" s="59"/>
      <c r="F1491" s="60"/>
      <c r="G1491" s="29"/>
      <c r="H1491" s="6"/>
      <c r="I1491" s="6"/>
      <c r="J1491" s="6"/>
      <c r="K1491" s="6"/>
      <c r="L1491" s="6"/>
      <c r="M1491" s="6"/>
      <c r="N1491" s="6"/>
      <c r="O1491" s="6"/>
      <c r="P1491" s="6"/>
      <c r="Q1491" s="6"/>
      <c r="R1491" s="6"/>
      <c r="S1491" s="6"/>
    </row>
    <row r="1492" ht="22.5" hidden="1" customHeight="1">
      <c r="A1492" s="49"/>
      <c r="B1492" s="61"/>
      <c r="C1492" s="34"/>
      <c r="D1492" s="55"/>
      <c r="E1492" s="59"/>
      <c r="F1492" s="60"/>
      <c r="G1492" s="29"/>
      <c r="H1492" s="6"/>
      <c r="I1492" s="6"/>
      <c r="J1492" s="6"/>
      <c r="K1492" s="6"/>
      <c r="L1492" s="6"/>
      <c r="M1492" s="6"/>
      <c r="N1492" s="6"/>
      <c r="O1492" s="6"/>
      <c r="P1492" s="6"/>
      <c r="Q1492" s="6"/>
      <c r="R1492" s="6"/>
      <c r="S1492" s="6"/>
    </row>
    <row r="1493" ht="22.5" hidden="1" customHeight="1">
      <c r="A1493" s="49"/>
      <c r="B1493" s="61"/>
      <c r="C1493" s="34"/>
      <c r="D1493" s="55"/>
      <c r="E1493" s="59"/>
      <c r="F1493" s="60"/>
      <c r="G1493" s="29"/>
      <c r="H1493" s="6"/>
      <c r="I1493" s="6"/>
      <c r="J1493" s="6"/>
      <c r="K1493" s="6"/>
      <c r="L1493" s="6"/>
      <c r="M1493" s="6"/>
      <c r="N1493" s="6"/>
      <c r="O1493" s="6"/>
      <c r="P1493" s="6"/>
      <c r="Q1493" s="6"/>
      <c r="R1493" s="6"/>
      <c r="S1493" s="6"/>
    </row>
    <row r="1494" ht="22.5" hidden="1" customHeight="1">
      <c r="A1494" s="49"/>
      <c r="B1494" s="61"/>
      <c r="C1494" s="34"/>
      <c r="D1494" s="55"/>
      <c r="E1494" s="59"/>
      <c r="F1494" s="60"/>
      <c r="G1494" s="29"/>
      <c r="H1494" s="6"/>
      <c r="I1494" s="6"/>
      <c r="J1494" s="6"/>
      <c r="K1494" s="6"/>
      <c r="L1494" s="6"/>
      <c r="M1494" s="6"/>
      <c r="N1494" s="6"/>
      <c r="O1494" s="6"/>
      <c r="P1494" s="6"/>
      <c r="Q1494" s="6"/>
      <c r="R1494" s="6"/>
      <c r="S1494" s="6"/>
    </row>
    <row r="1495" ht="22.5" hidden="1" customHeight="1">
      <c r="A1495" s="49"/>
      <c r="B1495" s="61"/>
      <c r="C1495" s="34"/>
      <c r="D1495" s="55"/>
      <c r="E1495" s="59"/>
      <c r="F1495" s="60"/>
      <c r="G1495" s="29"/>
      <c r="H1495" s="6"/>
      <c r="I1495" s="6"/>
      <c r="J1495" s="6"/>
      <c r="K1495" s="6"/>
      <c r="L1495" s="6"/>
      <c r="M1495" s="6"/>
      <c r="N1495" s="6"/>
      <c r="O1495" s="6"/>
      <c r="P1495" s="6"/>
      <c r="Q1495" s="6"/>
      <c r="R1495" s="6"/>
      <c r="S1495" s="6"/>
    </row>
    <row r="1496" ht="22.5" hidden="1" customHeight="1">
      <c r="A1496" s="49"/>
      <c r="B1496" s="61"/>
      <c r="C1496" s="34"/>
      <c r="D1496" s="55"/>
      <c r="E1496" s="59"/>
      <c r="F1496" s="60"/>
      <c r="G1496" s="29"/>
      <c r="H1496" s="6"/>
      <c r="I1496" s="6"/>
      <c r="J1496" s="6"/>
      <c r="K1496" s="6"/>
      <c r="L1496" s="6"/>
      <c r="M1496" s="6"/>
      <c r="N1496" s="6"/>
      <c r="O1496" s="6"/>
      <c r="P1496" s="6"/>
      <c r="Q1496" s="6"/>
      <c r="R1496" s="6"/>
      <c r="S1496" s="6"/>
    </row>
    <row r="1497" ht="22.5" hidden="1" customHeight="1">
      <c r="A1497" s="49"/>
      <c r="B1497" s="61"/>
      <c r="C1497" s="34"/>
      <c r="D1497" s="55"/>
      <c r="E1497" s="59"/>
      <c r="F1497" s="60"/>
      <c r="G1497" s="29"/>
      <c r="H1497" s="6"/>
      <c r="I1497" s="6"/>
      <c r="J1497" s="6"/>
      <c r="K1497" s="6"/>
      <c r="L1497" s="6"/>
      <c r="M1497" s="6"/>
      <c r="N1497" s="6"/>
      <c r="O1497" s="6"/>
      <c r="P1497" s="6"/>
      <c r="Q1497" s="6"/>
      <c r="R1497" s="6"/>
      <c r="S1497" s="6"/>
    </row>
    <row r="1498" ht="22.5" hidden="1" customHeight="1">
      <c r="A1498" s="49"/>
      <c r="B1498" s="61"/>
      <c r="C1498" s="34"/>
      <c r="D1498" s="55"/>
      <c r="E1498" s="59"/>
      <c r="F1498" s="60"/>
      <c r="G1498" s="29"/>
      <c r="H1498" s="6"/>
      <c r="I1498" s="6"/>
      <c r="J1498" s="6"/>
      <c r="K1498" s="6"/>
      <c r="L1498" s="6"/>
      <c r="M1498" s="6"/>
      <c r="N1498" s="6"/>
      <c r="O1498" s="6"/>
      <c r="P1498" s="6"/>
      <c r="Q1498" s="6"/>
      <c r="R1498" s="6"/>
      <c r="S1498" s="6"/>
    </row>
    <row r="1499" ht="22.5" hidden="1" customHeight="1">
      <c r="A1499" s="49"/>
      <c r="B1499" s="61"/>
      <c r="C1499" s="34"/>
      <c r="D1499" s="55"/>
      <c r="E1499" s="59"/>
      <c r="F1499" s="60"/>
      <c r="G1499" s="29"/>
      <c r="H1499" s="6"/>
      <c r="I1499" s="6"/>
      <c r="J1499" s="6"/>
      <c r="K1499" s="6"/>
      <c r="L1499" s="6"/>
      <c r="M1499" s="6"/>
      <c r="N1499" s="6"/>
      <c r="O1499" s="6"/>
      <c r="P1499" s="6"/>
      <c r="Q1499" s="6"/>
      <c r="R1499" s="6"/>
      <c r="S1499" s="6"/>
    </row>
    <row r="1500" ht="22.5" hidden="1" customHeight="1">
      <c r="A1500" s="49"/>
      <c r="B1500" s="61"/>
      <c r="C1500" s="34"/>
      <c r="D1500" s="55"/>
      <c r="E1500" s="59"/>
      <c r="F1500" s="60"/>
      <c r="G1500" s="29"/>
      <c r="H1500" s="6"/>
      <c r="I1500" s="6"/>
      <c r="J1500" s="6"/>
      <c r="K1500" s="6"/>
      <c r="L1500" s="6"/>
      <c r="M1500" s="6"/>
      <c r="N1500" s="6"/>
      <c r="O1500" s="6"/>
      <c r="P1500" s="6"/>
      <c r="Q1500" s="6"/>
      <c r="R1500" s="6"/>
      <c r="S1500" s="6"/>
    </row>
    <row r="1501" ht="22.5" hidden="1" customHeight="1">
      <c r="A1501" s="49"/>
      <c r="B1501" s="61"/>
      <c r="C1501" s="34"/>
      <c r="D1501" s="55"/>
      <c r="E1501" s="59"/>
      <c r="F1501" s="60"/>
      <c r="G1501" s="29"/>
      <c r="H1501" s="6"/>
      <c r="I1501" s="6"/>
      <c r="J1501" s="6"/>
      <c r="K1501" s="6"/>
      <c r="L1501" s="6"/>
      <c r="M1501" s="6"/>
      <c r="N1501" s="6"/>
      <c r="O1501" s="6"/>
      <c r="P1501" s="6"/>
      <c r="Q1501" s="6"/>
      <c r="R1501" s="6"/>
      <c r="S1501" s="6"/>
    </row>
    <row r="1502" ht="22.5" hidden="1" customHeight="1">
      <c r="A1502" s="49"/>
      <c r="B1502" s="61"/>
      <c r="C1502" s="34"/>
      <c r="D1502" s="55"/>
      <c r="E1502" s="59"/>
      <c r="F1502" s="60"/>
      <c r="G1502" s="29"/>
      <c r="H1502" s="6"/>
      <c r="I1502" s="6"/>
      <c r="J1502" s="6"/>
      <c r="K1502" s="6"/>
      <c r="L1502" s="6"/>
      <c r="M1502" s="6"/>
      <c r="N1502" s="6"/>
      <c r="O1502" s="6"/>
      <c r="P1502" s="6"/>
      <c r="Q1502" s="6"/>
      <c r="R1502" s="6"/>
      <c r="S1502" s="6"/>
    </row>
    <row r="1503" ht="22.5" hidden="1" customHeight="1">
      <c r="A1503" s="49"/>
      <c r="B1503" s="61"/>
      <c r="C1503" s="34"/>
      <c r="D1503" s="55"/>
      <c r="E1503" s="59"/>
      <c r="F1503" s="60"/>
      <c r="G1503" s="29"/>
      <c r="H1503" s="6"/>
      <c r="I1503" s="6"/>
      <c r="J1503" s="6"/>
      <c r="K1503" s="6"/>
      <c r="L1503" s="6"/>
      <c r="M1503" s="6"/>
      <c r="N1503" s="6"/>
      <c r="O1503" s="6"/>
      <c r="P1503" s="6"/>
      <c r="Q1503" s="6"/>
      <c r="R1503" s="6"/>
      <c r="S1503" s="6"/>
    </row>
    <row r="1504" ht="22.5" hidden="1" customHeight="1">
      <c r="A1504" s="49"/>
      <c r="B1504" s="61"/>
      <c r="C1504" s="34"/>
      <c r="D1504" s="55"/>
      <c r="E1504" s="59"/>
      <c r="F1504" s="60"/>
      <c r="G1504" s="29"/>
      <c r="H1504" s="6"/>
      <c r="I1504" s="6"/>
      <c r="J1504" s="6"/>
      <c r="K1504" s="6"/>
      <c r="L1504" s="6"/>
      <c r="M1504" s="6"/>
      <c r="N1504" s="6"/>
      <c r="O1504" s="6"/>
      <c r="P1504" s="6"/>
      <c r="Q1504" s="6"/>
      <c r="R1504" s="6"/>
      <c r="S1504" s="6"/>
    </row>
    <row r="1505" ht="22.5" hidden="1" customHeight="1">
      <c r="A1505" s="49"/>
      <c r="B1505" s="61"/>
      <c r="C1505" s="34"/>
      <c r="D1505" s="55"/>
      <c r="E1505" s="59"/>
      <c r="F1505" s="60"/>
      <c r="G1505" s="29"/>
      <c r="H1505" s="6"/>
      <c r="I1505" s="6"/>
      <c r="J1505" s="6"/>
      <c r="K1505" s="6"/>
      <c r="L1505" s="6"/>
      <c r="M1505" s="6"/>
      <c r="N1505" s="6"/>
      <c r="O1505" s="6"/>
      <c r="P1505" s="6"/>
      <c r="Q1505" s="6"/>
      <c r="R1505" s="6"/>
      <c r="S1505" s="6"/>
    </row>
    <row r="1506" ht="22.5" hidden="1" customHeight="1">
      <c r="A1506" s="49"/>
      <c r="B1506" s="61"/>
      <c r="C1506" s="34"/>
      <c r="D1506" s="55"/>
      <c r="E1506" s="59"/>
      <c r="F1506" s="60"/>
      <c r="G1506" s="29"/>
      <c r="H1506" s="6"/>
      <c r="I1506" s="6"/>
      <c r="J1506" s="6"/>
      <c r="K1506" s="6"/>
      <c r="L1506" s="6"/>
      <c r="M1506" s="6"/>
      <c r="N1506" s="6"/>
      <c r="O1506" s="6"/>
      <c r="P1506" s="6"/>
      <c r="Q1506" s="6"/>
      <c r="R1506" s="6"/>
      <c r="S1506" s="6"/>
    </row>
    <row r="1507" ht="22.5" hidden="1" customHeight="1">
      <c r="A1507" s="49"/>
      <c r="B1507" s="61"/>
      <c r="C1507" s="34"/>
      <c r="D1507" s="55"/>
      <c r="E1507" s="59"/>
      <c r="F1507" s="60"/>
      <c r="G1507" s="29"/>
      <c r="H1507" s="6"/>
      <c r="I1507" s="6"/>
      <c r="J1507" s="6"/>
      <c r="K1507" s="6"/>
      <c r="L1507" s="6"/>
      <c r="M1507" s="6"/>
      <c r="N1507" s="6"/>
      <c r="O1507" s="6"/>
      <c r="P1507" s="6"/>
      <c r="Q1507" s="6"/>
      <c r="R1507" s="6"/>
      <c r="S1507" s="6"/>
    </row>
    <row r="1508" ht="22.5" hidden="1" customHeight="1">
      <c r="A1508" s="49"/>
      <c r="B1508" s="61"/>
      <c r="C1508" s="34"/>
      <c r="D1508" s="55"/>
      <c r="E1508" s="59"/>
      <c r="F1508" s="60"/>
      <c r="G1508" s="29"/>
      <c r="H1508" s="6"/>
      <c r="I1508" s="6"/>
      <c r="J1508" s="6"/>
      <c r="K1508" s="6"/>
      <c r="L1508" s="6"/>
      <c r="M1508" s="6"/>
      <c r="N1508" s="6"/>
      <c r="O1508" s="6"/>
      <c r="P1508" s="6"/>
      <c r="Q1508" s="6"/>
      <c r="R1508" s="6"/>
      <c r="S1508" s="6"/>
    </row>
    <row r="1509" ht="22.5" hidden="1" customHeight="1">
      <c r="A1509" s="49"/>
      <c r="B1509" s="61"/>
      <c r="C1509" s="34"/>
      <c r="D1509" s="55"/>
      <c r="E1509" s="59"/>
      <c r="F1509" s="60"/>
      <c r="G1509" s="29"/>
      <c r="H1509" s="6"/>
      <c r="I1509" s="6"/>
      <c r="J1509" s="6"/>
      <c r="K1509" s="6"/>
      <c r="L1509" s="6"/>
      <c r="M1509" s="6"/>
      <c r="N1509" s="6"/>
      <c r="O1509" s="6"/>
      <c r="P1509" s="6"/>
      <c r="Q1509" s="6"/>
      <c r="R1509" s="6"/>
      <c r="S1509" s="6"/>
    </row>
    <row r="1510" ht="22.5" hidden="1" customHeight="1">
      <c r="A1510" s="49"/>
      <c r="B1510" s="61"/>
      <c r="C1510" s="34"/>
      <c r="D1510" s="55"/>
      <c r="E1510" s="59"/>
      <c r="F1510" s="60"/>
      <c r="G1510" s="29"/>
      <c r="H1510" s="6"/>
      <c r="I1510" s="6"/>
      <c r="J1510" s="6"/>
      <c r="K1510" s="6"/>
      <c r="L1510" s="6"/>
      <c r="M1510" s="6"/>
      <c r="N1510" s="6"/>
      <c r="O1510" s="6"/>
      <c r="P1510" s="6"/>
      <c r="Q1510" s="6"/>
      <c r="R1510" s="6"/>
      <c r="S1510" s="6"/>
    </row>
    <row r="1511" ht="22.5" hidden="1" customHeight="1">
      <c r="A1511" s="49"/>
      <c r="B1511" s="61"/>
      <c r="C1511" s="34"/>
      <c r="D1511" s="55"/>
      <c r="E1511" s="59"/>
      <c r="F1511" s="60"/>
      <c r="G1511" s="29"/>
      <c r="H1511" s="6"/>
      <c r="I1511" s="6"/>
      <c r="J1511" s="6"/>
      <c r="K1511" s="6"/>
      <c r="L1511" s="6"/>
      <c r="M1511" s="6"/>
      <c r="N1511" s="6"/>
      <c r="O1511" s="6"/>
      <c r="P1511" s="6"/>
      <c r="Q1511" s="6"/>
      <c r="R1511" s="6"/>
      <c r="S1511" s="6"/>
    </row>
    <row r="1512" ht="22.5" hidden="1" customHeight="1">
      <c r="A1512" s="49"/>
      <c r="B1512" s="61"/>
      <c r="C1512" s="34"/>
      <c r="D1512" s="55"/>
      <c r="E1512" s="59"/>
      <c r="F1512" s="60"/>
      <c r="G1512" s="29"/>
      <c r="H1512" s="6"/>
      <c r="I1512" s="6"/>
      <c r="J1512" s="6"/>
      <c r="K1512" s="6"/>
      <c r="L1512" s="6"/>
      <c r="M1512" s="6"/>
      <c r="N1512" s="6"/>
      <c r="O1512" s="6"/>
      <c r="P1512" s="6"/>
      <c r="Q1512" s="6"/>
      <c r="R1512" s="6"/>
      <c r="S1512" s="6"/>
    </row>
    <row r="1513" ht="22.5" hidden="1" customHeight="1">
      <c r="A1513" s="49"/>
      <c r="B1513" s="61"/>
      <c r="C1513" s="34"/>
      <c r="D1513" s="55"/>
      <c r="E1513" s="59"/>
      <c r="F1513" s="60"/>
      <c r="G1513" s="29"/>
      <c r="H1513" s="6"/>
      <c r="I1513" s="6"/>
      <c r="J1513" s="6"/>
      <c r="K1513" s="6"/>
      <c r="L1513" s="6"/>
      <c r="M1513" s="6"/>
      <c r="N1513" s="6"/>
      <c r="O1513" s="6"/>
      <c r="P1513" s="6"/>
      <c r="Q1513" s="6"/>
      <c r="R1513" s="6"/>
      <c r="S1513" s="6"/>
    </row>
    <row r="1514" ht="22.5" hidden="1" customHeight="1">
      <c r="A1514" s="49"/>
      <c r="B1514" s="61"/>
      <c r="C1514" s="34"/>
      <c r="D1514" s="55"/>
      <c r="E1514" s="59"/>
      <c r="F1514" s="60"/>
      <c r="G1514" s="29"/>
      <c r="H1514" s="6"/>
      <c r="I1514" s="6"/>
      <c r="J1514" s="6"/>
      <c r="K1514" s="6"/>
      <c r="L1514" s="6"/>
      <c r="M1514" s="6"/>
      <c r="N1514" s="6"/>
      <c r="O1514" s="6"/>
      <c r="P1514" s="6"/>
      <c r="Q1514" s="6"/>
      <c r="R1514" s="6"/>
      <c r="S1514" s="6"/>
    </row>
    <row r="1515" ht="22.5" hidden="1" customHeight="1">
      <c r="A1515" s="49"/>
      <c r="B1515" s="61"/>
      <c r="C1515" s="34"/>
      <c r="D1515" s="55"/>
      <c r="E1515" s="59"/>
      <c r="F1515" s="60"/>
      <c r="G1515" s="29"/>
      <c r="H1515" s="6"/>
      <c r="I1515" s="6"/>
      <c r="J1515" s="6"/>
      <c r="K1515" s="6"/>
      <c r="L1515" s="6"/>
      <c r="M1515" s="6"/>
      <c r="N1515" s="6"/>
      <c r="O1515" s="6"/>
      <c r="P1515" s="6"/>
      <c r="Q1515" s="6"/>
      <c r="R1515" s="6"/>
      <c r="S1515" s="6"/>
    </row>
    <row r="1516" ht="22.5" hidden="1" customHeight="1">
      <c r="A1516" s="49"/>
      <c r="B1516" s="61"/>
      <c r="C1516" s="34"/>
      <c r="D1516" s="55"/>
      <c r="E1516" s="59"/>
      <c r="F1516" s="60"/>
      <c r="G1516" s="29"/>
      <c r="H1516" s="6"/>
      <c r="I1516" s="6"/>
      <c r="J1516" s="6"/>
      <c r="K1516" s="6"/>
      <c r="L1516" s="6"/>
      <c r="M1516" s="6"/>
      <c r="N1516" s="6"/>
      <c r="O1516" s="6"/>
      <c r="P1516" s="6"/>
      <c r="Q1516" s="6"/>
      <c r="R1516" s="6"/>
      <c r="S1516" s="6"/>
    </row>
    <row r="1517" ht="22.5" hidden="1" customHeight="1">
      <c r="A1517" s="49"/>
      <c r="B1517" s="61"/>
      <c r="C1517" s="34"/>
      <c r="D1517" s="55"/>
      <c r="E1517" s="59"/>
      <c r="F1517" s="60"/>
      <c r="G1517" s="29"/>
      <c r="H1517" s="6"/>
      <c r="I1517" s="6"/>
      <c r="J1517" s="6"/>
      <c r="K1517" s="6"/>
      <c r="L1517" s="6"/>
      <c r="M1517" s="6"/>
      <c r="N1517" s="6"/>
      <c r="O1517" s="6"/>
      <c r="P1517" s="6"/>
      <c r="Q1517" s="6"/>
      <c r="R1517" s="6"/>
      <c r="S1517" s="6"/>
    </row>
    <row r="1518" ht="22.5" hidden="1" customHeight="1">
      <c r="A1518" s="49"/>
      <c r="B1518" s="61"/>
      <c r="C1518" s="34"/>
      <c r="D1518" s="55"/>
      <c r="E1518" s="59"/>
      <c r="F1518" s="60"/>
      <c r="G1518" s="29"/>
      <c r="H1518" s="6"/>
      <c r="I1518" s="6"/>
      <c r="J1518" s="6"/>
      <c r="K1518" s="6"/>
      <c r="L1518" s="6"/>
      <c r="M1518" s="6"/>
      <c r="N1518" s="6"/>
      <c r="O1518" s="6"/>
      <c r="P1518" s="6"/>
      <c r="Q1518" s="6"/>
      <c r="R1518" s="6"/>
      <c r="S1518" s="6"/>
    </row>
    <row r="1519" ht="22.5" hidden="1" customHeight="1">
      <c r="A1519" s="49"/>
      <c r="B1519" s="61"/>
      <c r="C1519" s="34"/>
      <c r="D1519" s="55"/>
      <c r="E1519" s="59"/>
      <c r="F1519" s="60"/>
      <c r="G1519" s="29"/>
      <c r="H1519" s="6"/>
      <c r="I1519" s="6"/>
      <c r="J1519" s="6"/>
      <c r="K1519" s="6"/>
      <c r="L1519" s="6"/>
      <c r="M1519" s="6"/>
      <c r="N1519" s="6"/>
      <c r="O1519" s="6"/>
      <c r="P1519" s="6"/>
      <c r="Q1519" s="6"/>
      <c r="R1519" s="6"/>
      <c r="S1519" s="6"/>
    </row>
    <row r="1520" ht="22.5" hidden="1" customHeight="1">
      <c r="A1520" s="49"/>
      <c r="B1520" s="61"/>
      <c r="C1520" s="34"/>
      <c r="D1520" s="55"/>
      <c r="E1520" s="59"/>
      <c r="F1520" s="60"/>
      <c r="G1520" s="29"/>
      <c r="H1520" s="6"/>
      <c r="I1520" s="6"/>
      <c r="J1520" s="6"/>
      <c r="K1520" s="6"/>
      <c r="L1520" s="6"/>
      <c r="M1520" s="6"/>
      <c r="N1520" s="6"/>
      <c r="O1520" s="6"/>
      <c r="P1520" s="6"/>
      <c r="Q1520" s="6"/>
      <c r="R1520" s="6"/>
      <c r="S1520" s="6"/>
    </row>
    <row r="1521" ht="22.5" hidden="1" customHeight="1">
      <c r="A1521" s="49"/>
      <c r="B1521" s="61"/>
      <c r="C1521" s="34"/>
      <c r="D1521" s="55"/>
      <c r="E1521" s="59"/>
      <c r="F1521" s="60"/>
      <c r="G1521" s="29"/>
      <c r="H1521" s="6"/>
      <c r="I1521" s="6"/>
      <c r="J1521" s="6"/>
      <c r="K1521" s="6"/>
      <c r="L1521" s="6"/>
      <c r="M1521" s="6"/>
      <c r="N1521" s="6"/>
      <c r="O1521" s="6"/>
      <c r="P1521" s="6"/>
      <c r="Q1521" s="6"/>
      <c r="R1521" s="6"/>
      <c r="S1521" s="6"/>
    </row>
    <row r="1522" ht="22.5" hidden="1" customHeight="1">
      <c r="A1522" s="49"/>
      <c r="B1522" s="61"/>
      <c r="C1522" s="34"/>
      <c r="D1522" s="55"/>
      <c r="E1522" s="59"/>
      <c r="F1522" s="60"/>
      <c r="G1522" s="29"/>
      <c r="H1522" s="6"/>
      <c r="I1522" s="6"/>
      <c r="J1522" s="6"/>
      <c r="K1522" s="6"/>
      <c r="L1522" s="6"/>
      <c r="M1522" s="6"/>
      <c r="N1522" s="6"/>
      <c r="O1522" s="6"/>
      <c r="P1522" s="6"/>
      <c r="Q1522" s="6"/>
      <c r="R1522" s="6"/>
      <c r="S1522" s="6"/>
    </row>
    <row r="1523" ht="22.5" hidden="1" customHeight="1">
      <c r="A1523" s="49"/>
      <c r="B1523" s="61"/>
      <c r="C1523" s="34"/>
      <c r="D1523" s="55"/>
      <c r="E1523" s="59"/>
      <c r="F1523" s="60"/>
      <c r="G1523" s="29"/>
      <c r="H1523" s="6"/>
      <c r="I1523" s="6"/>
      <c r="J1523" s="6"/>
      <c r="K1523" s="6"/>
      <c r="L1523" s="6"/>
      <c r="M1523" s="6"/>
      <c r="N1523" s="6"/>
      <c r="O1523" s="6"/>
      <c r="P1523" s="6"/>
      <c r="Q1523" s="6"/>
      <c r="R1523" s="6"/>
      <c r="S1523" s="6"/>
    </row>
    <row r="1524" ht="22.5" hidden="1" customHeight="1">
      <c r="A1524" s="49"/>
      <c r="B1524" s="61"/>
      <c r="C1524" s="34"/>
      <c r="D1524" s="55"/>
      <c r="E1524" s="59"/>
      <c r="F1524" s="60"/>
      <c r="G1524" s="29"/>
      <c r="H1524" s="6"/>
      <c r="I1524" s="6"/>
      <c r="J1524" s="6"/>
      <c r="K1524" s="6"/>
      <c r="L1524" s="6"/>
      <c r="M1524" s="6"/>
      <c r="N1524" s="6"/>
      <c r="O1524" s="6"/>
      <c r="P1524" s="6"/>
      <c r="Q1524" s="6"/>
      <c r="R1524" s="6"/>
      <c r="S1524" s="6"/>
    </row>
    <row r="1525" ht="22.5" hidden="1" customHeight="1">
      <c r="A1525" s="49"/>
      <c r="B1525" s="61"/>
      <c r="C1525" s="34"/>
      <c r="D1525" s="55"/>
      <c r="E1525" s="59"/>
      <c r="F1525" s="60"/>
      <c r="G1525" s="29"/>
      <c r="H1525" s="6"/>
      <c r="I1525" s="6"/>
      <c r="J1525" s="6"/>
      <c r="K1525" s="6"/>
      <c r="L1525" s="6"/>
      <c r="M1525" s="6"/>
      <c r="N1525" s="6"/>
      <c r="O1525" s="6"/>
      <c r="P1525" s="6"/>
      <c r="Q1525" s="6"/>
      <c r="R1525" s="6"/>
      <c r="S1525" s="6"/>
    </row>
    <row r="1526" ht="22.5" hidden="1" customHeight="1">
      <c r="A1526" s="49"/>
      <c r="B1526" s="61"/>
      <c r="C1526" s="34"/>
      <c r="D1526" s="55"/>
      <c r="E1526" s="59"/>
      <c r="F1526" s="60"/>
      <c r="G1526" s="29"/>
      <c r="H1526" s="6"/>
      <c r="I1526" s="6"/>
      <c r="J1526" s="6"/>
      <c r="K1526" s="6"/>
      <c r="L1526" s="6"/>
      <c r="M1526" s="6"/>
      <c r="N1526" s="6"/>
      <c r="O1526" s="6"/>
      <c r="P1526" s="6"/>
      <c r="Q1526" s="6"/>
      <c r="R1526" s="6"/>
      <c r="S1526" s="6"/>
    </row>
    <row r="1527" ht="22.5" hidden="1" customHeight="1">
      <c r="A1527" s="49"/>
      <c r="B1527" s="61"/>
      <c r="C1527" s="34"/>
      <c r="D1527" s="55"/>
      <c r="E1527" s="59"/>
      <c r="F1527" s="60"/>
      <c r="G1527" s="29"/>
      <c r="H1527" s="6"/>
      <c r="I1527" s="6"/>
      <c r="J1527" s="6"/>
      <c r="K1527" s="6"/>
      <c r="L1527" s="6"/>
      <c r="M1527" s="6"/>
      <c r="N1527" s="6"/>
      <c r="O1527" s="6"/>
      <c r="P1527" s="6"/>
      <c r="Q1527" s="6"/>
      <c r="R1527" s="6"/>
      <c r="S1527" s="6"/>
    </row>
    <row r="1528" ht="22.5" hidden="1" customHeight="1">
      <c r="A1528" s="49"/>
      <c r="B1528" s="61"/>
      <c r="C1528" s="34"/>
      <c r="D1528" s="55"/>
      <c r="E1528" s="59"/>
      <c r="F1528" s="60"/>
      <c r="G1528" s="29"/>
      <c r="H1528" s="6"/>
      <c r="I1528" s="6"/>
      <c r="J1528" s="6"/>
      <c r="K1528" s="6"/>
      <c r="L1528" s="6"/>
      <c r="M1528" s="6"/>
      <c r="N1528" s="6"/>
      <c r="O1528" s="6"/>
      <c r="P1528" s="6"/>
      <c r="Q1528" s="6"/>
      <c r="R1528" s="6"/>
      <c r="S1528" s="6"/>
    </row>
    <row r="1529" ht="22.5" hidden="1" customHeight="1">
      <c r="A1529" s="49"/>
      <c r="B1529" s="61"/>
      <c r="C1529" s="34"/>
      <c r="D1529" s="55"/>
      <c r="E1529" s="59"/>
      <c r="F1529" s="60"/>
      <c r="G1529" s="29"/>
      <c r="H1529" s="6"/>
      <c r="I1529" s="6"/>
      <c r="J1529" s="6"/>
      <c r="K1529" s="6"/>
      <c r="L1529" s="6"/>
      <c r="M1529" s="6"/>
      <c r="N1529" s="6"/>
      <c r="O1529" s="6"/>
      <c r="P1529" s="6"/>
      <c r="Q1529" s="6"/>
      <c r="R1529" s="6"/>
      <c r="S1529" s="6"/>
    </row>
    <row r="1530" ht="22.5" hidden="1" customHeight="1">
      <c r="A1530" s="49"/>
      <c r="B1530" s="61"/>
      <c r="C1530" s="34"/>
      <c r="D1530" s="55"/>
      <c r="E1530" s="59"/>
      <c r="F1530" s="60"/>
      <c r="G1530" s="29"/>
      <c r="H1530" s="6"/>
      <c r="I1530" s="6"/>
      <c r="J1530" s="6"/>
      <c r="K1530" s="6"/>
      <c r="L1530" s="6"/>
      <c r="M1530" s="6"/>
      <c r="N1530" s="6"/>
      <c r="O1530" s="6"/>
      <c r="P1530" s="6"/>
      <c r="Q1530" s="6"/>
      <c r="R1530" s="6"/>
      <c r="S1530" s="6"/>
    </row>
    <row r="1531" ht="22.5" hidden="1" customHeight="1">
      <c r="A1531" s="49"/>
      <c r="B1531" s="61"/>
      <c r="C1531" s="34"/>
      <c r="D1531" s="55"/>
      <c r="E1531" s="59"/>
      <c r="F1531" s="60"/>
      <c r="G1531" s="29"/>
      <c r="H1531" s="6"/>
      <c r="I1531" s="6"/>
      <c r="J1531" s="6"/>
      <c r="K1531" s="6"/>
      <c r="L1531" s="6"/>
      <c r="M1531" s="6"/>
      <c r="N1531" s="6"/>
      <c r="O1531" s="6"/>
      <c r="P1531" s="6"/>
      <c r="Q1531" s="6"/>
      <c r="R1531" s="6"/>
      <c r="S1531" s="6"/>
    </row>
    <row r="1532" ht="22.5" hidden="1" customHeight="1">
      <c r="A1532" s="49"/>
      <c r="B1532" s="61"/>
      <c r="C1532" s="34"/>
      <c r="D1532" s="55"/>
      <c r="E1532" s="59"/>
      <c r="F1532" s="60"/>
      <c r="G1532" s="29"/>
      <c r="H1532" s="6"/>
      <c r="I1532" s="6"/>
      <c r="J1532" s="6"/>
      <c r="K1532" s="6"/>
      <c r="L1532" s="6"/>
      <c r="M1532" s="6"/>
      <c r="N1532" s="6"/>
      <c r="O1532" s="6"/>
      <c r="P1532" s="6"/>
      <c r="Q1532" s="6"/>
      <c r="R1532" s="6"/>
      <c r="S1532" s="6"/>
    </row>
    <row r="1533" ht="22.5" hidden="1" customHeight="1">
      <c r="A1533" s="49"/>
      <c r="B1533" s="61"/>
      <c r="C1533" s="34"/>
      <c r="D1533" s="55"/>
      <c r="E1533" s="59"/>
      <c r="F1533" s="60"/>
      <c r="G1533" s="29"/>
      <c r="H1533" s="6"/>
      <c r="I1533" s="6"/>
      <c r="J1533" s="6"/>
      <c r="K1533" s="6"/>
      <c r="L1533" s="6"/>
      <c r="M1533" s="6"/>
      <c r="N1533" s="6"/>
      <c r="O1533" s="6"/>
      <c r="P1533" s="6"/>
      <c r="Q1533" s="6"/>
      <c r="R1533" s="6"/>
      <c r="S1533" s="6"/>
    </row>
    <row r="1534" ht="22.5" hidden="1" customHeight="1">
      <c r="A1534" s="49"/>
      <c r="B1534" s="61"/>
      <c r="C1534" s="34"/>
      <c r="D1534" s="55"/>
      <c r="E1534" s="59"/>
      <c r="F1534" s="60"/>
      <c r="G1534" s="29"/>
      <c r="H1534" s="6"/>
      <c r="I1534" s="6"/>
      <c r="J1534" s="6"/>
      <c r="K1534" s="6"/>
      <c r="L1534" s="6"/>
      <c r="M1534" s="6"/>
      <c r="N1534" s="6"/>
      <c r="O1534" s="6"/>
      <c r="P1534" s="6"/>
      <c r="Q1534" s="6"/>
      <c r="R1534" s="6"/>
      <c r="S1534" s="6"/>
    </row>
    <row r="1535" ht="22.5" hidden="1" customHeight="1">
      <c r="A1535" s="49"/>
      <c r="B1535" s="61"/>
      <c r="C1535" s="34"/>
      <c r="D1535" s="55"/>
      <c r="E1535" s="59"/>
      <c r="F1535" s="60"/>
      <c r="G1535" s="29"/>
      <c r="H1535" s="6"/>
      <c r="I1535" s="6"/>
      <c r="J1535" s="6"/>
      <c r="K1535" s="6"/>
      <c r="L1535" s="6"/>
      <c r="M1535" s="6"/>
      <c r="N1535" s="6"/>
      <c r="O1535" s="6"/>
      <c r="P1535" s="6"/>
      <c r="Q1535" s="6"/>
      <c r="R1535" s="6"/>
      <c r="S1535" s="6"/>
    </row>
    <row r="1536" ht="22.5" hidden="1" customHeight="1">
      <c r="A1536" s="49"/>
      <c r="B1536" s="61"/>
      <c r="C1536" s="34"/>
      <c r="D1536" s="55"/>
      <c r="E1536" s="59"/>
      <c r="F1536" s="60"/>
      <c r="G1536" s="29"/>
      <c r="H1536" s="6"/>
      <c r="I1536" s="6"/>
      <c r="J1536" s="6"/>
      <c r="K1536" s="6"/>
      <c r="L1536" s="6"/>
      <c r="M1536" s="6"/>
      <c r="N1536" s="6"/>
      <c r="O1536" s="6"/>
      <c r="P1536" s="6"/>
      <c r="Q1536" s="6"/>
      <c r="R1536" s="6"/>
      <c r="S1536" s="6"/>
    </row>
    <row r="1537" ht="22.5" hidden="1" customHeight="1">
      <c r="A1537" s="49"/>
      <c r="B1537" s="61"/>
      <c r="C1537" s="34"/>
      <c r="D1537" s="55"/>
      <c r="E1537" s="59"/>
      <c r="F1537" s="60"/>
      <c r="G1537" s="29"/>
      <c r="H1537" s="6"/>
      <c r="I1537" s="6"/>
      <c r="J1537" s="6"/>
      <c r="K1537" s="6"/>
      <c r="L1537" s="6"/>
      <c r="M1537" s="6"/>
      <c r="N1537" s="6"/>
      <c r="O1537" s="6"/>
      <c r="P1537" s="6"/>
      <c r="Q1537" s="6"/>
      <c r="R1537" s="6"/>
      <c r="S1537" s="6"/>
    </row>
    <row r="1538" ht="22.5" hidden="1" customHeight="1">
      <c r="A1538" s="49"/>
      <c r="B1538" s="61"/>
      <c r="C1538" s="34"/>
      <c r="D1538" s="55"/>
      <c r="E1538" s="59"/>
      <c r="F1538" s="60"/>
      <c r="G1538" s="29"/>
      <c r="H1538" s="6"/>
      <c r="I1538" s="6"/>
      <c r="J1538" s="6"/>
      <c r="K1538" s="6"/>
      <c r="L1538" s="6"/>
      <c r="M1538" s="6"/>
      <c r="N1538" s="6"/>
      <c r="O1538" s="6"/>
      <c r="P1538" s="6"/>
      <c r="Q1538" s="6"/>
      <c r="R1538" s="6"/>
      <c r="S1538" s="6"/>
    </row>
    <row r="1539" ht="22.5" hidden="1" customHeight="1">
      <c r="A1539" s="49"/>
      <c r="B1539" s="61"/>
      <c r="C1539" s="34"/>
      <c r="D1539" s="55"/>
      <c r="E1539" s="59"/>
      <c r="F1539" s="60"/>
      <c r="G1539" s="29"/>
      <c r="H1539" s="6"/>
      <c r="I1539" s="6"/>
      <c r="J1539" s="6"/>
      <c r="K1539" s="6"/>
      <c r="L1539" s="6"/>
      <c r="M1539" s="6"/>
      <c r="N1539" s="6"/>
      <c r="O1539" s="6"/>
      <c r="P1539" s="6"/>
      <c r="Q1539" s="6"/>
      <c r="R1539" s="6"/>
      <c r="S1539" s="6"/>
    </row>
    <row r="1540" ht="22.5" hidden="1" customHeight="1">
      <c r="A1540" s="49"/>
      <c r="B1540" s="61"/>
      <c r="C1540" s="34"/>
      <c r="D1540" s="55"/>
      <c r="E1540" s="59"/>
      <c r="F1540" s="60"/>
      <c r="G1540" s="29"/>
      <c r="H1540" s="6"/>
      <c r="I1540" s="6"/>
      <c r="J1540" s="6"/>
      <c r="K1540" s="6"/>
      <c r="L1540" s="6"/>
      <c r="M1540" s="6"/>
      <c r="N1540" s="6"/>
      <c r="O1540" s="6"/>
      <c r="P1540" s="6"/>
      <c r="Q1540" s="6"/>
      <c r="R1540" s="6"/>
      <c r="S1540" s="6"/>
    </row>
    <row r="1541" ht="22.5" hidden="1" customHeight="1">
      <c r="A1541" s="49"/>
      <c r="B1541" s="61"/>
      <c r="C1541" s="34"/>
      <c r="D1541" s="55"/>
      <c r="E1541" s="59"/>
      <c r="F1541" s="60"/>
      <c r="G1541" s="29"/>
      <c r="H1541" s="6"/>
      <c r="I1541" s="6"/>
      <c r="J1541" s="6"/>
      <c r="K1541" s="6"/>
      <c r="L1541" s="6"/>
      <c r="M1541" s="6"/>
      <c r="N1541" s="6"/>
      <c r="O1541" s="6"/>
      <c r="P1541" s="6"/>
      <c r="Q1541" s="6"/>
      <c r="R1541" s="6"/>
      <c r="S1541" s="6"/>
    </row>
    <row r="1542" ht="22.5" hidden="1" customHeight="1">
      <c r="A1542" s="49"/>
      <c r="B1542" s="61"/>
      <c r="C1542" s="34"/>
      <c r="D1542" s="55"/>
      <c r="E1542" s="59"/>
      <c r="F1542" s="60"/>
      <c r="G1542" s="29"/>
      <c r="H1542" s="6"/>
      <c r="I1542" s="6"/>
      <c r="J1542" s="6"/>
      <c r="K1542" s="6"/>
      <c r="L1542" s="6"/>
      <c r="M1542" s="6"/>
      <c r="N1542" s="6"/>
      <c r="O1542" s="6"/>
      <c r="P1542" s="6"/>
      <c r="Q1542" s="6"/>
      <c r="R1542" s="6"/>
      <c r="S1542" s="6"/>
    </row>
    <row r="1543" ht="22.5" hidden="1" customHeight="1">
      <c r="A1543" s="49"/>
      <c r="B1543" s="61"/>
      <c r="C1543" s="34"/>
      <c r="D1543" s="55"/>
      <c r="E1543" s="59"/>
      <c r="F1543" s="60"/>
      <c r="G1543" s="29"/>
      <c r="H1543" s="6"/>
      <c r="I1543" s="6"/>
      <c r="J1543" s="6"/>
      <c r="K1543" s="6"/>
      <c r="L1543" s="6"/>
      <c r="M1543" s="6"/>
      <c r="N1543" s="6"/>
      <c r="O1543" s="6"/>
      <c r="P1543" s="6"/>
      <c r="Q1543" s="6"/>
      <c r="R1543" s="6"/>
      <c r="S1543" s="6"/>
    </row>
    <row r="1544" ht="22.5" hidden="1" customHeight="1">
      <c r="A1544" s="49"/>
      <c r="B1544" s="61"/>
      <c r="C1544" s="34"/>
      <c r="D1544" s="55"/>
      <c r="E1544" s="59"/>
      <c r="F1544" s="60"/>
      <c r="G1544" s="29"/>
      <c r="H1544" s="6"/>
      <c r="I1544" s="6"/>
      <c r="J1544" s="6"/>
      <c r="K1544" s="6"/>
      <c r="L1544" s="6"/>
      <c r="M1544" s="6"/>
      <c r="N1544" s="6"/>
      <c r="O1544" s="6"/>
      <c r="P1544" s="6"/>
      <c r="Q1544" s="6"/>
      <c r="R1544" s="6"/>
      <c r="S1544" s="6"/>
    </row>
    <row r="1545" ht="22.5" hidden="1" customHeight="1">
      <c r="A1545" s="49"/>
      <c r="B1545" s="61"/>
      <c r="C1545" s="34"/>
      <c r="D1545" s="55"/>
      <c r="E1545" s="59"/>
      <c r="F1545" s="60"/>
      <c r="G1545" s="29"/>
      <c r="H1545" s="6"/>
      <c r="I1545" s="6"/>
      <c r="J1545" s="6"/>
      <c r="K1545" s="6"/>
      <c r="L1545" s="6"/>
      <c r="M1545" s="6"/>
      <c r="N1545" s="6"/>
      <c r="O1545" s="6"/>
      <c r="P1545" s="6"/>
      <c r="Q1545" s="6"/>
      <c r="R1545" s="6"/>
      <c r="S1545" s="6"/>
    </row>
    <row r="1546" ht="22.5" hidden="1" customHeight="1">
      <c r="A1546" s="49"/>
      <c r="B1546" s="61"/>
      <c r="C1546" s="34"/>
      <c r="D1546" s="55"/>
      <c r="E1546" s="59"/>
      <c r="F1546" s="60"/>
      <c r="G1546" s="29"/>
      <c r="H1546" s="6"/>
      <c r="I1546" s="6"/>
      <c r="J1546" s="6"/>
      <c r="K1546" s="6"/>
      <c r="L1546" s="6"/>
      <c r="M1546" s="6"/>
      <c r="N1546" s="6"/>
      <c r="O1546" s="6"/>
      <c r="P1546" s="6"/>
      <c r="Q1546" s="6"/>
      <c r="R1546" s="6"/>
      <c r="S1546" s="6"/>
    </row>
    <row r="1547" ht="22.5" hidden="1" customHeight="1">
      <c r="A1547" s="49"/>
      <c r="B1547" s="61"/>
      <c r="C1547" s="34"/>
      <c r="D1547" s="55"/>
      <c r="E1547" s="59"/>
      <c r="F1547" s="60"/>
      <c r="G1547" s="29"/>
      <c r="H1547" s="6"/>
      <c r="I1547" s="6"/>
      <c r="J1547" s="6"/>
      <c r="K1547" s="6"/>
      <c r="L1547" s="6"/>
      <c r="M1547" s="6"/>
      <c r="N1547" s="6"/>
      <c r="O1547" s="6"/>
      <c r="P1547" s="6"/>
      <c r="Q1547" s="6"/>
      <c r="R1547" s="6"/>
      <c r="S1547" s="6"/>
    </row>
    <row r="1548" ht="22.5" hidden="1" customHeight="1">
      <c r="A1548" s="49"/>
      <c r="B1548" s="61"/>
      <c r="C1548" s="34"/>
      <c r="D1548" s="55"/>
      <c r="E1548" s="59"/>
      <c r="F1548" s="60"/>
      <c r="G1548" s="29"/>
      <c r="H1548" s="6"/>
      <c r="I1548" s="6"/>
      <c r="J1548" s="6"/>
      <c r="K1548" s="6"/>
      <c r="L1548" s="6"/>
      <c r="M1548" s="6"/>
      <c r="N1548" s="6"/>
      <c r="O1548" s="6"/>
      <c r="P1548" s="6"/>
      <c r="Q1548" s="6"/>
      <c r="R1548" s="6"/>
      <c r="S1548" s="6"/>
    </row>
    <row r="1549" ht="22.5" hidden="1" customHeight="1">
      <c r="A1549" s="49"/>
      <c r="B1549" s="61"/>
      <c r="C1549" s="34"/>
      <c r="D1549" s="55"/>
      <c r="E1549" s="59"/>
      <c r="F1549" s="60"/>
      <c r="G1549" s="29"/>
      <c r="H1549" s="6"/>
      <c r="I1549" s="6"/>
      <c r="J1549" s="6"/>
      <c r="K1549" s="6"/>
      <c r="L1549" s="6"/>
      <c r="M1549" s="6"/>
      <c r="N1549" s="6"/>
      <c r="O1549" s="6"/>
      <c r="P1549" s="6"/>
      <c r="Q1549" s="6"/>
      <c r="R1549" s="6"/>
      <c r="S1549" s="6"/>
    </row>
    <row r="1550" ht="22.5" hidden="1" customHeight="1">
      <c r="A1550" s="49"/>
      <c r="B1550" s="61"/>
      <c r="C1550" s="34"/>
      <c r="D1550" s="55"/>
      <c r="E1550" s="59"/>
      <c r="F1550" s="60"/>
      <c r="G1550" s="29"/>
      <c r="H1550" s="6"/>
      <c r="I1550" s="6"/>
      <c r="J1550" s="6"/>
      <c r="K1550" s="6"/>
      <c r="L1550" s="6"/>
      <c r="M1550" s="6"/>
      <c r="N1550" s="6"/>
      <c r="O1550" s="6"/>
      <c r="P1550" s="6"/>
      <c r="Q1550" s="6"/>
      <c r="R1550" s="6"/>
      <c r="S1550" s="6"/>
    </row>
    <row r="1551" ht="22.5" hidden="1" customHeight="1">
      <c r="A1551" s="49"/>
      <c r="B1551" s="61"/>
      <c r="C1551" s="34"/>
      <c r="D1551" s="55"/>
      <c r="E1551" s="59"/>
      <c r="F1551" s="60"/>
      <c r="G1551" s="29"/>
      <c r="H1551" s="6"/>
      <c r="I1551" s="6"/>
      <c r="J1551" s="6"/>
      <c r="K1551" s="6"/>
      <c r="L1551" s="6"/>
      <c r="M1551" s="6"/>
      <c r="N1551" s="6"/>
      <c r="O1551" s="6"/>
      <c r="P1551" s="6"/>
      <c r="Q1551" s="6"/>
      <c r="R1551" s="6"/>
      <c r="S1551" s="6"/>
    </row>
    <row r="1552" ht="22.5" hidden="1" customHeight="1">
      <c r="A1552" s="49"/>
      <c r="B1552" s="61"/>
      <c r="C1552" s="34"/>
      <c r="D1552" s="55"/>
      <c r="E1552" s="59"/>
      <c r="F1552" s="60"/>
      <c r="G1552" s="29"/>
      <c r="H1552" s="6"/>
      <c r="I1552" s="6"/>
      <c r="J1552" s="6"/>
      <c r="K1552" s="6"/>
      <c r="L1552" s="6"/>
      <c r="M1552" s="6"/>
      <c r="N1552" s="6"/>
      <c r="O1552" s="6"/>
      <c r="P1552" s="6"/>
      <c r="Q1552" s="6"/>
      <c r="R1552" s="6"/>
      <c r="S1552" s="6"/>
    </row>
    <row r="1553" ht="22.5" hidden="1" customHeight="1">
      <c r="A1553" s="49"/>
      <c r="B1553" s="61"/>
      <c r="C1553" s="34"/>
      <c r="D1553" s="55"/>
      <c r="E1553" s="59"/>
      <c r="F1553" s="60"/>
      <c r="G1553" s="29"/>
      <c r="H1553" s="6"/>
      <c r="I1553" s="6"/>
      <c r="J1553" s="6"/>
      <c r="K1553" s="6"/>
      <c r="L1553" s="6"/>
      <c r="M1553" s="6"/>
      <c r="N1553" s="6"/>
      <c r="O1553" s="6"/>
      <c r="P1553" s="6"/>
      <c r="Q1553" s="6"/>
      <c r="R1553" s="6"/>
      <c r="S1553" s="6"/>
    </row>
    <row r="1554" ht="22.5" hidden="1" customHeight="1">
      <c r="A1554" s="49"/>
      <c r="B1554" s="61"/>
      <c r="C1554" s="34"/>
      <c r="D1554" s="55"/>
      <c r="E1554" s="59"/>
      <c r="F1554" s="60"/>
      <c r="G1554" s="29"/>
      <c r="H1554" s="6"/>
      <c r="I1554" s="6"/>
      <c r="J1554" s="6"/>
      <c r="K1554" s="6"/>
      <c r="L1554" s="6"/>
      <c r="M1554" s="6"/>
      <c r="N1554" s="6"/>
      <c r="O1554" s="6"/>
      <c r="P1554" s="6"/>
      <c r="Q1554" s="6"/>
      <c r="R1554" s="6"/>
      <c r="S1554" s="6"/>
    </row>
    <row r="1555" ht="22.5" hidden="1" customHeight="1">
      <c r="A1555" s="49"/>
      <c r="B1555" s="61"/>
      <c r="C1555" s="34"/>
      <c r="D1555" s="55"/>
      <c r="E1555" s="59"/>
      <c r="F1555" s="60"/>
      <c r="G1555" s="29"/>
      <c r="H1555" s="6"/>
      <c r="I1555" s="6"/>
      <c r="J1555" s="6"/>
      <c r="K1555" s="6"/>
      <c r="L1555" s="6"/>
      <c r="M1555" s="6"/>
      <c r="N1555" s="6"/>
      <c r="O1555" s="6"/>
      <c r="P1555" s="6"/>
      <c r="Q1555" s="6"/>
      <c r="R1555" s="6"/>
      <c r="S1555" s="6"/>
    </row>
    <row r="1556" ht="22.5" hidden="1" customHeight="1">
      <c r="A1556" s="49"/>
      <c r="B1556" s="61"/>
      <c r="C1556" s="34"/>
      <c r="D1556" s="55"/>
      <c r="E1556" s="59"/>
      <c r="F1556" s="60"/>
      <c r="G1556" s="29"/>
      <c r="H1556" s="6"/>
      <c r="I1556" s="6"/>
      <c r="J1556" s="6"/>
      <c r="K1556" s="6"/>
      <c r="L1556" s="6"/>
      <c r="M1556" s="6"/>
      <c r="N1556" s="6"/>
      <c r="O1556" s="6"/>
      <c r="P1556" s="6"/>
      <c r="Q1556" s="6"/>
      <c r="R1556" s="6"/>
      <c r="S1556" s="6"/>
    </row>
    <row r="1557" ht="22.5" hidden="1" customHeight="1">
      <c r="A1557" s="49"/>
      <c r="B1557" s="61"/>
      <c r="C1557" s="34"/>
      <c r="D1557" s="55"/>
      <c r="E1557" s="59"/>
      <c r="F1557" s="60"/>
      <c r="G1557" s="29"/>
      <c r="H1557" s="6"/>
      <c r="I1557" s="6"/>
      <c r="J1557" s="6"/>
      <c r="K1557" s="6"/>
      <c r="L1557" s="6"/>
      <c r="M1557" s="6"/>
      <c r="N1557" s="6"/>
      <c r="O1557" s="6"/>
      <c r="P1557" s="6"/>
      <c r="Q1557" s="6"/>
      <c r="R1557" s="6"/>
      <c r="S1557" s="6"/>
    </row>
    <row r="1558" ht="22.5" hidden="1" customHeight="1">
      <c r="A1558" s="49"/>
      <c r="B1558" s="61"/>
      <c r="C1558" s="34"/>
      <c r="D1558" s="55"/>
      <c r="E1558" s="59"/>
      <c r="F1558" s="60"/>
      <c r="G1558" s="29"/>
      <c r="H1558" s="6"/>
      <c r="I1558" s="6"/>
      <c r="J1558" s="6"/>
      <c r="K1558" s="6"/>
      <c r="L1558" s="6"/>
      <c r="M1558" s="6"/>
      <c r="N1558" s="6"/>
      <c r="O1558" s="6"/>
      <c r="P1558" s="6"/>
      <c r="Q1558" s="6"/>
      <c r="R1558" s="6"/>
      <c r="S1558" s="6"/>
    </row>
    <row r="1559" ht="22.5" hidden="1" customHeight="1">
      <c r="A1559" s="49"/>
      <c r="B1559" s="61"/>
      <c r="C1559" s="34"/>
      <c r="D1559" s="55"/>
      <c r="E1559" s="59"/>
      <c r="F1559" s="60"/>
      <c r="G1559" s="29"/>
      <c r="H1559" s="6"/>
      <c r="I1559" s="6"/>
      <c r="J1559" s="6"/>
      <c r="K1559" s="6"/>
      <c r="L1559" s="6"/>
      <c r="M1559" s="6"/>
      <c r="N1559" s="6"/>
      <c r="O1559" s="6"/>
      <c r="P1559" s="6"/>
      <c r="Q1559" s="6"/>
      <c r="R1559" s="6"/>
      <c r="S1559" s="6"/>
    </row>
    <row r="1560" ht="22.5" hidden="1" customHeight="1">
      <c r="A1560" s="49"/>
      <c r="B1560" s="61"/>
      <c r="C1560" s="34"/>
      <c r="D1560" s="55"/>
      <c r="E1560" s="59"/>
      <c r="F1560" s="60"/>
      <c r="G1560" s="29"/>
      <c r="H1560" s="6"/>
      <c r="I1560" s="6"/>
      <c r="J1560" s="6"/>
      <c r="K1560" s="6"/>
      <c r="L1560" s="6"/>
      <c r="M1560" s="6"/>
      <c r="N1560" s="6"/>
      <c r="O1560" s="6"/>
      <c r="P1560" s="6"/>
      <c r="Q1560" s="6"/>
      <c r="R1560" s="6"/>
      <c r="S1560" s="6"/>
    </row>
    <row r="1561" ht="22.5" hidden="1" customHeight="1">
      <c r="A1561" s="49"/>
      <c r="B1561" s="61"/>
      <c r="C1561" s="34"/>
      <c r="D1561" s="55"/>
      <c r="E1561" s="59"/>
      <c r="F1561" s="60"/>
      <c r="G1561" s="29"/>
      <c r="H1561" s="6"/>
      <c r="I1561" s="6"/>
      <c r="J1561" s="6"/>
      <c r="K1561" s="6"/>
      <c r="L1561" s="6"/>
      <c r="M1561" s="6"/>
      <c r="N1561" s="6"/>
      <c r="O1561" s="6"/>
      <c r="P1561" s="6"/>
      <c r="Q1561" s="6"/>
      <c r="R1561" s="6"/>
      <c r="S1561" s="6"/>
    </row>
    <row r="1562" ht="22.5" hidden="1" customHeight="1">
      <c r="A1562" s="49"/>
      <c r="B1562" s="61"/>
      <c r="C1562" s="34"/>
      <c r="D1562" s="55"/>
      <c r="E1562" s="59"/>
      <c r="F1562" s="60"/>
      <c r="G1562" s="29"/>
      <c r="H1562" s="6"/>
      <c r="I1562" s="6"/>
      <c r="J1562" s="6"/>
      <c r="K1562" s="6"/>
      <c r="L1562" s="6"/>
      <c r="M1562" s="6"/>
      <c r="N1562" s="6"/>
      <c r="O1562" s="6"/>
      <c r="P1562" s="6"/>
      <c r="Q1562" s="6"/>
      <c r="R1562" s="6"/>
      <c r="S1562" s="6"/>
    </row>
    <row r="1563" ht="22.5" hidden="1" customHeight="1">
      <c r="A1563" s="49"/>
      <c r="B1563" s="61"/>
      <c r="C1563" s="34"/>
      <c r="D1563" s="55"/>
      <c r="E1563" s="59"/>
      <c r="F1563" s="60"/>
      <c r="G1563" s="29"/>
      <c r="H1563" s="6"/>
      <c r="I1563" s="6"/>
      <c r="J1563" s="6"/>
      <c r="K1563" s="6"/>
      <c r="L1563" s="6"/>
      <c r="M1563" s="6"/>
      <c r="N1563" s="6"/>
      <c r="O1563" s="6"/>
      <c r="P1563" s="6"/>
      <c r="Q1563" s="6"/>
      <c r="R1563" s="6"/>
      <c r="S1563" s="6"/>
    </row>
    <row r="1564" ht="22.5" hidden="1" customHeight="1">
      <c r="A1564" s="49"/>
      <c r="B1564" s="61"/>
      <c r="C1564" s="34"/>
      <c r="D1564" s="55"/>
      <c r="E1564" s="59"/>
      <c r="F1564" s="60"/>
      <c r="G1564" s="29"/>
      <c r="H1564" s="6"/>
      <c r="I1564" s="6"/>
      <c r="J1564" s="6"/>
      <c r="K1564" s="6"/>
      <c r="L1564" s="6"/>
      <c r="M1564" s="6"/>
      <c r="N1564" s="6"/>
      <c r="O1564" s="6"/>
      <c r="P1564" s="6"/>
      <c r="Q1564" s="6"/>
      <c r="R1564" s="6"/>
      <c r="S1564" s="6"/>
    </row>
    <row r="1565" ht="22.5" hidden="1" customHeight="1">
      <c r="A1565" s="49"/>
      <c r="B1565" s="61"/>
      <c r="C1565" s="34"/>
      <c r="D1565" s="55"/>
      <c r="E1565" s="59"/>
      <c r="F1565" s="60"/>
      <c r="G1565" s="29"/>
      <c r="H1565" s="6"/>
      <c r="I1565" s="6"/>
      <c r="J1565" s="6"/>
      <c r="K1565" s="6"/>
      <c r="L1565" s="6"/>
      <c r="M1565" s="6"/>
      <c r="N1565" s="6"/>
      <c r="O1565" s="6"/>
      <c r="P1565" s="6"/>
      <c r="Q1565" s="6"/>
      <c r="R1565" s="6"/>
      <c r="S1565" s="6"/>
    </row>
    <row r="1566" ht="22.5" hidden="1" customHeight="1">
      <c r="A1566" s="49"/>
      <c r="B1566" s="61"/>
      <c r="C1566" s="34"/>
      <c r="D1566" s="55"/>
      <c r="E1566" s="59"/>
      <c r="F1566" s="60"/>
      <c r="G1566" s="29"/>
      <c r="H1566" s="6"/>
      <c r="I1566" s="6"/>
      <c r="J1566" s="6"/>
      <c r="K1566" s="6"/>
      <c r="L1566" s="6"/>
      <c r="M1566" s="6"/>
      <c r="N1566" s="6"/>
      <c r="O1566" s="6"/>
      <c r="P1566" s="6"/>
      <c r="Q1566" s="6"/>
      <c r="R1566" s="6"/>
      <c r="S1566" s="6"/>
    </row>
    <row r="1567" ht="22.5" hidden="1" customHeight="1">
      <c r="A1567" s="49"/>
      <c r="B1567" s="61"/>
      <c r="C1567" s="34"/>
      <c r="D1567" s="55"/>
      <c r="E1567" s="59"/>
      <c r="F1567" s="60"/>
      <c r="G1567" s="29"/>
      <c r="H1567" s="6"/>
      <c r="I1567" s="6"/>
      <c r="J1567" s="6"/>
      <c r="K1567" s="6"/>
      <c r="L1567" s="6"/>
      <c r="M1567" s="6"/>
      <c r="N1567" s="6"/>
      <c r="O1567" s="6"/>
      <c r="P1567" s="6"/>
      <c r="Q1567" s="6"/>
      <c r="R1567" s="6"/>
      <c r="S1567" s="6"/>
    </row>
    <row r="1568" ht="22.5" hidden="1" customHeight="1">
      <c r="A1568" s="49"/>
      <c r="B1568" s="61"/>
      <c r="C1568" s="34"/>
      <c r="D1568" s="55"/>
      <c r="E1568" s="59"/>
      <c r="F1568" s="60"/>
      <c r="G1568" s="29"/>
      <c r="H1568" s="6"/>
      <c r="I1568" s="6"/>
      <c r="J1568" s="6"/>
      <c r="K1568" s="6"/>
      <c r="L1568" s="6"/>
      <c r="M1568" s="6"/>
      <c r="N1568" s="6"/>
      <c r="O1568" s="6"/>
      <c r="P1568" s="6"/>
      <c r="Q1568" s="6"/>
      <c r="R1568" s="6"/>
      <c r="S1568" s="6"/>
    </row>
    <row r="1569" ht="22.5" hidden="1" customHeight="1">
      <c r="A1569" s="49"/>
      <c r="B1569" s="61"/>
      <c r="C1569" s="34"/>
      <c r="D1569" s="55"/>
      <c r="E1569" s="59"/>
      <c r="F1569" s="60"/>
      <c r="G1569" s="29"/>
      <c r="H1569" s="6"/>
      <c r="I1569" s="6"/>
      <c r="J1569" s="6"/>
      <c r="K1569" s="6"/>
      <c r="L1569" s="6"/>
      <c r="M1569" s="6"/>
      <c r="N1569" s="6"/>
      <c r="O1569" s="6"/>
      <c r="P1569" s="6"/>
      <c r="Q1569" s="6"/>
      <c r="R1569" s="6"/>
      <c r="S1569" s="6"/>
    </row>
    <row r="1570" ht="22.5" hidden="1" customHeight="1">
      <c r="A1570" s="49"/>
      <c r="B1570" s="61"/>
      <c r="C1570" s="34"/>
      <c r="D1570" s="55"/>
      <c r="E1570" s="59"/>
      <c r="F1570" s="60"/>
      <c r="G1570" s="29"/>
      <c r="H1570" s="6"/>
      <c r="I1570" s="6"/>
      <c r="J1570" s="6"/>
      <c r="K1570" s="6"/>
      <c r="L1570" s="6"/>
      <c r="M1570" s="6"/>
      <c r="N1570" s="6"/>
      <c r="O1570" s="6"/>
      <c r="P1570" s="6"/>
      <c r="Q1570" s="6"/>
      <c r="R1570" s="6"/>
      <c r="S1570" s="6"/>
    </row>
    <row r="1571" ht="22.5" hidden="1" customHeight="1">
      <c r="A1571" s="49"/>
      <c r="B1571" s="61"/>
      <c r="C1571" s="34"/>
      <c r="D1571" s="55"/>
      <c r="E1571" s="59"/>
      <c r="F1571" s="60"/>
      <c r="G1571" s="29"/>
      <c r="H1571" s="6"/>
      <c r="I1571" s="6"/>
      <c r="J1571" s="6"/>
      <c r="K1571" s="6"/>
      <c r="L1571" s="6"/>
      <c r="M1571" s="6"/>
      <c r="N1571" s="6"/>
      <c r="O1571" s="6"/>
      <c r="P1571" s="6"/>
      <c r="Q1571" s="6"/>
      <c r="R1571" s="6"/>
      <c r="S1571" s="6"/>
    </row>
    <row r="1572" ht="22.5" hidden="1" customHeight="1">
      <c r="A1572" s="49"/>
      <c r="B1572" s="61"/>
      <c r="C1572" s="34"/>
      <c r="D1572" s="55"/>
      <c r="E1572" s="59"/>
      <c r="F1572" s="60"/>
      <c r="G1572" s="29"/>
      <c r="H1572" s="6"/>
      <c r="I1572" s="6"/>
      <c r="J1572" s="6"/>
      <c r="K1572" s="6"/>
      <c r="L1572" s="6"/>
      <c r="M1572" s="6"/>
      <c r="N1572" s="6"/>
      <c r="O1572" s="6"/>
      <c r="P1572" s="6"/>
      <c r="Q1572" s="6"/>
      <c r="R1572" s="6"/>
      <c r="S1572" s="6"/>
    </row>
    <row r="1573" ht="22.5" hidden="1" customHeight="1">
      <c r="A1573" s="49"/>
      <c r="B1573" s="61"/>
      <c r="C1573" s="34"/>
      <c r="D1573" s="55"/>
      <c r="E1573" s="59"/>
      <c r="F1573" s="60"/>
      <c r="G1573" s="29"/>
      <c r="H1573" s="6"/>
      <c r="I1573" s="6"/>
      <c r="J1573" s="6"/>
      <c r="K1573" s="6"/>
      <c r="L1573" s="6"/>
      <c r="M1573" s="6"/>
      <c r="N1573" s="6"/>
      <c r="O1573" s="6"/>
      <c r="P1573" s="6"/>
      <c r="Q1573" s="6"/>
      <c r="R1573" s="6"/>
      <c r="S1573" s="6"/>
    </row>
    <row r="1574" ht="22.5" hidden="1" customHeight="1">
      <c r="A1574" s="49"/>
      <c r="B1574" s="61"/>
      <c r="C1574" s="34"/>
      <c r="D1574" s="55"/>
      <c r="E1574" s="59"/>
      <c r="F1574" s="60"/>
      <c r="G1574" s="29"/>
      <c r="H1574" s="6"/>
      <c r="I1574" s="6"/>
      <c r="J1574" s="6"/>
      <c r="K1574" s="6"/>
      <c r="L1574" s="6"/>
      <c r="M1574" s="6"/>
      <c r="N1574" s="6"/>
      <c r="O1574" s="6"/>
      <c r="P1574" s="6"/>
      <c r="Q1574" s="6"/>
      <c r="R1574" s="6"/>
      <c r="S1574" s="6"/>
    </row>
    <row r="1575" ht="22.5" hidden="1" customHeight="1">
      <c r="A1575" s="49"/>
      <c r="B1575" s="61"/>
      <c r="C1575" s="34"/>
      <c r="D1575" s="55"/>
      <c r="E1575" s="59"/>
      <c r="F1575" s="60"/>
      <c r="G1575" s="29"/>
      <c r="H1575" s="6"/>
      <c r="I1575" s="6"/>
      <c r="J1575" s="6"/>
      <c r="K1575" s="6"/>
      <c r="L1575" s="6"/>
      <c r="M1575" s="6"/>
      <c r="N1575" s="6"/>
      <c r="O1575" s="6"/>
      <c r="P1575" s="6"/>
      <c r="Q1575" s="6"/>
      <c r="R1575" s="6"/>
      <c r="S1575" s="6"/>
    </row>
    <row r="1576" ht="22.5" hidden="1" customHeight="1">
      <c r="A1576" s="49"/>
      <c r="B1576" s="61"/>
      <c r="C1576" s="34"/>
      <c r="D1576" s="55"/>
      <c r="E1576" s="59"/>
      <c r="F1576" s="60"/>
      <c r="G1576" s="29"/>
      <c r="H1576" s="6"/>
      <c r="I1576" s="6"/>
      <c r="J1576" s="6"/>
      <c r="K1576" s="6"/>
      <c r="L1576" s="6"/>
      <c r="M1576" s="6"/>
      <c r="N1576" s="6"/>
      <c r="O1576" s="6"/>
      <c r="P1576" s="6"/>
      <c r="Q1576" s="6"/>
      <c r="R1576" s="6"/>
      <c r="S1576" s="6"/>
    </row>
    <row r="1577" ht="22.5" hidden="1" customHeight="1">
      <c r="A1577" s="49"/>
      <c r="B1577" s="61"/>
      <c r="C1577" s="34"/>
      <c r="D1577" s="55"/>
      <c r="E1577" s="59"/>
      <c r="F1577" s="60"/>
      <c r="G1577" s="29"/>
      <c r="H1577" s="6"/>
      <c r="I1577" s="6"/>
      <c r="J1577" s="6"/>
      <c r="K1577" s="6"/>
      <c r="L1577" s="6"/>
      <c r="M1577" s="6"/>
      <c r="N1577" s="6"/>
      <c r="O1577" s="6"/>
      <c r="P1577" s="6"/>
      <c r="Q1577" s="6"/>
      <c r="R1577" s="6"/>
      <c r="S1577" s="6"/>
    </row>
    <row r="1578" ht="22.5" hidden="1" customHeight="1">
      <c r="A1578" s="49"/>
      <c r="B1578" s="61"/>
      <c r="C1578" s="34"/>
      <c r="D1578" s="55"/>
      <c r="E1578" s="59"/>
      <c r="F1578" s="60"/>
      <c r="G1578" s="29"/>
      <c r="H1578" s="6"/>
      <c r="I1578" s="6"/>
      <c r="J1578" s="6"/>
      <c r="K1578" s="6"/>
      <c r="L1578" s="6"/>
      <c r="M1578" s="6"/>
      <c r="N1578" s="6"/>
      <c r="O1578" s="6"/>
      <c r="P1578" s="6"/>
      <c r="Q1578" s="6"/>
      <c r="R1578" s="6"/>
      <c r="S1578" s="6"/>
    </row>
    <row r="1579" ht="22.5" hidden="1" customHeight="1">
      <c r="A1579" s="49"/>
      <c r="B1579" s="61"/>
      <c r="C1579" s="34"/>
      <c r="D1579" s="55"/>
      <c r="E1579" s="59"/>
      <c r="F1579" s="60"/>
      <c r="G1579" s="29"/>
      <c r="H1579" s="6"/>
      <c r="I1579" s="6"/>
      <c r="J1579" s="6"/>
      <c r="K1579" s="6"/>
      <c r="L1579" s="6"/>
      <c r="M1579" s="6"/>
      <c r="N1579" s="6"/>
      <c r="O1579" s="6"/>
      <c r="P1579" s="6"/>
      <c r="Q1579" s="6"/>
      <c r="R1579" s="6"/>
      <c r="S1579" s="6"/>
    </row>
    <row r="1580" ht="22.5" hidden="1" customHeight="1">
      <c r="A1580" s="49"/>
      <c r="B1580" s="61"/>
      <c r="C1580" s="34"/>
      <c r="D1580" s="55"/>
      <c r="E1580" s="59"/>
      <c r="F1580" s="60"/>
      <c r="G1580" s="29"/>
      <c r="H1580" s="6"/>
      <c r="I1580" s="6"/>
      <c r="J1580" s="6"/>
      <c r="K1580" s="6"/>
      <c r="L1580" s="6"/>
      <c r="M1580" s="6"/>
      <c r="N1580" s="6"/>
      <c r="O1580" s="6"/>
      <c r="P1580" s="6"/>
      <c r="Q1580" s="6"/>
      <c r="R1580" s="6"/>
      <c r="S1580" s="6"/>
    </row>
    <row r="1581" ht="22.5" hidden="1" customHeight="1">
      <c r="A1581" s="49"/>
      <c r="B1581" s="61"/>
      <c r="C1581" s="34"/>
      <c r="D1581" s="55"/>
      <c r="E1581" s="59"/>
      <c r="F1581" s="60"/>
      <c r="G1581" s="29"/>
      <c r="H1581" s="6"/>
      <c r="I1581" s="6"/>
      <c r="J1581" s="6"/>
      <c r="K1581" s="6"/>
      <c r="L1581" s="6"/>
      <c r="M1581" s="6"/>
      <c r="N1581" s="6"/>
      <c r="O1581" s="6"/>
      <c r="P1581" s="6"/>
      <c r="Q1581" s="6"/>
      <c r="R1581" s="6"/>
      <c r="S1581" s="6"/>
    </row>
    <row r="1582" ht="22.5" hidden="1" customHeight="1">
      <c r="A1582" s="49"/>
      <c r="B1582" s="61"/>
      <c r="C1582" s="34"/>
      <c r="D1582" s="55"/>
      <c r="E1582" s="59"/>
      <c r="F1582" s="60"/>
      <c r="G1582" s="29"/>
      <c r="H1582" s="6"/>
      <c r="I1582" s="6"/>
      <c r="J1582" s="6"/>
      <c r="K1582" s="6"/>
      <c r="L1582" s="6"/>
      <c r="M1582" s="6"/>
      <c r="N1582" s="6"/>
      <c r="O1582" s="6"/>
      <c r="P1582" s="6"/>
      <c r="Q1582" s="6"/>
      <c r="R1582" s="6"/>
      <c r="S1582" s="6"/>
    </row>
    <row r="1583" ht="22.5" hidden="1" customHeight="1">
      <c r="A1583" s="49"/>
      <c r="B1583" s="61"/>
      <c r="C1583" s="34"/>
      <c r="D1583" s="55"/>
      <c r="E1583" s="59"/>
      <c r="F1583" s="60"/>
      <c r="G1583" s="29"/>
      <c r="H1583" s="6"/>
      <c r="I1583" s="6"/>
      <c r="J1583" s="6"/>
      <c r="K1583" s="6"/>
      <c r="L1583" s="6"/>
      <c r="M1583" s="6"/>
      <c r="N1583" s="6"/>
      <c r="O1583" s="6"/>
      <c r="P1583" s="6"/>
      <c r="Q1583" s="6"/>
      <c r="R1583" s="6"/>
      <c r="S1583" s="6"/>
    </row>
    <row r="1584" ht="22.5" hidden="1" customHeight="1">
      <c r="A1584" s="49"/>
      <c r="B1584" s="61"/>
      <c r="C1584" s="34"/>
      <c r="D1584" s="55"/>
      <c r="E1584" s="59"/>
      <c r="F1584" s="60"/>
      <c r="G1584" s="29"/>
      <c r="H1584" s="6"/>
      <c r="I1584" s="6"/>
      <c r="J1584" s="6"/>
      <c r="K1584" s="6"/>
      <c r="L1584" s="6"/>
      <c r="M1584" s="6"/>
      <c r="N1584" s="6"/>
      <c r="O1584" s="6"/>
      <c r="P1584" s="6"/>
      <c r="Q1584" s="6"/>
      <c r="R1584" s="6"/>
      <c r="S1584" s="6"/>
    </row>
    <row r="1585" ht="22.5" hidden="1" customHeight="1">
      <c r="A1585" s="49"/>
      <c r="B1585" s="61"/>
      <c r="C1585" s="34"/>
      <c r="D1585" s="55"/>
      <c r="E1585" s="59"/>
      <c r="F1585" s="60"/>
      <c r="G1585" s="29"/>
      <c r="H1585" s="6"/>
      <c r="I1585" s="6"/>
      <c r="J1585" s="6"/>
      <c r="K1585" s="6"/>
      <c r="L1585" s="6"/>
      <c r="M1585" s="6"/>
      <c r="N1585" s="6"/>
      <c r="O1585" s="6"/>
      <c r="P1585" s="6"/>
      <c r="Q1585" s="6"/>
      <c r="R1585" s="6"/>
      <c r="S1585" s="6"/>
    </row>
    <row r="1586" ht="22.5" hidden="1" customHeight="1">
      <c r="A1586" s="49"/>
      <c r="B1586" s="61"/>
      <c r="C1586" s="34"/>
      <c r="D1586" s="55"/>
      <c r="E1586" s="59"/>
      <c r="F1586" s="60"/>
      <c r="G1586" s="29"/>
      <c r="H1586" s="6"/>
      <c r="I1586" s="6"/>
      <c r="J1586" s="6"/>
      <c r="K1586" s="6"/>
      <c r="L1586" s="6"/>
      <c r="M1586" s="6"/>
      <c r="N1586" s="6"/>
      <c r="O1586" s="6"/>
      <c r="P1586" s="6"/>
      <c r="Q1586" s="6"/>
      <c r="R1586" s="6"/>
      <c r="S1586" s="6"/>
    </row>
    <row r="1587" ht="22.5" hidden="1" customHeight="1">
      <c r="A1587" s="49"/>
      <c r="B1587" s="61"/>
      <c r="C1587" s="34"/>
      <c r="D1587" s="55"/>
      <c r="E1587" s="59"/>
      <c r="F1587" s="60"/>
      <c r="G1587" s="29"/>
      <c r="H1587" s="6"/>
      <c r="I1587" s="6"/>
      <c r="J1587" s="6"/>
      <c r="K1587" s="6"/>
      <c r="L1587" s="6"/>
      <c r="M1587" s="6"/>
      <c r="N1587" s="6"/>
      <c r="O1587" s="6"/>
      <c r="P1587" s="6"/>
      <c r="Q1587" s="6"/>
      <c r="R1587" s="6"/>
      <c r="S1587" s="6"/>
    </row>
    <row r="1588" ht="22.5" hidden="1" customHeight="1">
      <c r="A1588" s="49"/>
      <c r="B1588" s="61"/>
      <c r="C1588" s="34"/>
      <c r="D1588" s="55"/>
      <c r="E1588" s="59"/>
      <c r="F1588" s="60"/>
      <c r="G1588" s="29"/>
      <c r="H1588" s="6"/>
      <c r="I1588" s="6"/>
      <c r="J1588" s="6"/>
      <c r="K1588" s="6"/>
      <c r="L1588" s="6"/>
      <c r="M1588" s="6"/>
      <c r="N1588" s="6"/>
      <c r="O1588" s="6"/>
      <c r="P1588" s="6"/>
      <c r="Q1588" s="6"/>
      <c r="R1588" s="6"/>
      <c r="S1588" s="6"/>
    </row>
    <row r="1589" ht="22.5" hidden="1" customHeight="1">
      <c r="A1589" s="49"/>
      <c r="B1589" s="61"/>
      <c r="C1589" s="34"/>
      <c r="D1589" s="55"/>
      <c r="E1589" s="59"/>
      <c r="F1589" s="60"/>
      <c r="G1589" s="29"/>
      <c r="H1589" s="6"/>
      <c r="I1589" s="6"/>
      <c r="J1589" s="6"/>
      <c r="K1589" s="6"/>
      <c r="L1589" s="6"/>
      <c r="M1589" s="6"/>
      <c r="N1589" s="6"/>
      <c r="O1589" s="6"/>
      <c r="P1589" s="6"/>
      <c r="Q1589" s="6"/>
      <c r="R1589" s="6"/>
      <c r="S1589" s="6"/>
    </row>
    <row r="1590" ht="22.5" hidden="1" customHeight="1">
      <c r="A1590" s="49"/>
      <c r="B1590" s="61"/>
      <c r="C1590" s="34"/>
      <c r="D1590" s="55"/>
      <c r="E1590" s="59"/>
      <c r="F1590" s="60"/>
      <c r="G1590" s="29"/>
      <c r="H1590" s="6"/>
      <c r="I1590" s="6"/>
      <c r="J1590" s="6"/>
      <c r="K1590" s="6"/>
      <c r="L1590" s="6"/>
      <c r="M1590" s="6"/>
      <c r="N1590" s="6"/>
      <c r="O1590" s="6"/>
      <c r="P1590" s="6"/>
      <c r="Q1590" s="6"/>
      <c r="R1590" s="6"/>
      <c r="S1590" s="6"/>
    </row>
    <row r="1591" ht="22.5" hidden="1" customHeight="1">
      <c r="A1591" s="49"/>
      <c r="B1591" s="61"/>
      <c r="C1591" s="34"/>
      <c r="D1591" s="55"/>
      <c r="E1591" s="59"/>
      <c r="F1591" s="60"/>
      <c r="G1591" s="29"/>
      <c r="H1591" s="6"/>
      <c r="I1591" s="6"/>
      <c r="J1591" s="6"/>
      <c r="K1591" s="6"/>
      <c r="L1591" s="6"/>
      <c r="M1591" s="6"/>
      <c r="N1591" s="6"/>
      <c r="O1591" s="6"/>
      <c r="P1591" s="6"/>
      <c r="Q1591" s="6"/>
      <c r="R1591" s="6"/>
      <c r="S1591" s="6"/>
    </row>
    <row r="1592" ht="22.5" hidden="1" customHeight="1">
      <c r="A1592" s="49"/>
      <c r="B1592" s="61"/>
      <c r="C1592" s="34"/>
      <c r="D1592" s="55"/>
      <c r="E1592" s="59"/>
      <c r="F1592" s="60"/>
      <c r="G1592" s="29"/>
      <c r="H1592" s="6"/>
      <c r="I1592" s="6"/>
      <c r="J1592" s="6"/>
      <c r="K1592" s="6"/>
      <c r="L1592" s="6"/>
      <c r="M1592" s="6"/>
      <c r="N1592" s="6"/>
      <c r="O1592" s="6"/>
      <c r="P1592" s="6"/>
      <c r="Q1592" s="6"/>
      <c r="R1592" s="6"/>
      <c r="S1592" s="6"/>
    </row>
    <row r="1593" ht="22.5" hidden="1" customHeight="1">
      <c r="A1593" s="49"/>
      <c r="B1593" s="61"/>
      <c r="C1593" s="34"/>
      <c r="D1593" s="55"/>
      <c r="E1593" s="59"/>
      <c r="F1593" s="60"/>
      <c r="G1593" s="29"/>
      <c r="H1593" s="6"/>
      <c r="I1593" s="6"/>
      <c r="J1593" s="6"/>
      <c r="K1593" s="6"/>
      <c r="L1593" s="6"/>
      <c r="M1593" s="6"/>
      <c r="N1593" s="6"/>
      <c r="O1593" s="6"/>
      <c r="P1593" s="6"/>
      <c r="Q1593" s="6"/>
      <c r="R1593" s="6"/>
      <c r="S1593" s="6"/>
    </row>
    <row r="1594" ht="22.5" hidden="1" customHeight="1">
      <c r="A1594" s="49"/>
      <c r="B1594" s="61"/>
      <c r="C1594" s="34"/>
      <c r="D1594" s="55"/>
      <c r="E1594" s="59"/>
      <c r="F1594" s="60"/>
      <c r="G1594" s="29"/>
      <c r="H1594" s="6"/>
      <c r="I1594" s="6"/>
      <c r="J1594" s="6"/>
      <c r="K1594" s="6"/>
      <c r="L1594" s="6"/>
      <c r="M1594" s="6"/>
      <c r="N1594" s="6"/>
      <c r="O1594" s="6"/>
      <c r="P1594" s="6"/>
      <c r="Q1594" s="6"/>
      <c r="R1594" s="6"/>
      <c r="S1594" s="6"/>
    </row>
    <row r="1595" ht="22.5" hidden="1" customHeight="1">
      <c r="A1595" s="49"/>
      <c r="B1595" s="61"/>
      <c r="C1595" s="34"/>
      <c r="D1595" s="55"/>
      <c r="E1595" s="59"/>
      <c r="F1595" s="60"/>
      <c r="G1595" s="29"/>
      <c r="H1595" s="6"/>
      <c r="I1595" s="6"/>
      <c r="J1595" s="6"/>
      <c r="K1595" s="6"/>
      <c r="L1595" s="6"/>
      <c r="M1595" s="6"/>
      <c r="N1595" s="6"/>
      <c r="O1595" s="6"/>
      <c r="P1595" s="6"/>
      <c r="Q1595" s="6"/>
      <c r="R1595" s="6"/>
      <c r="S1595" s="6"/>
    </row>
    <row r="1596" ht="22.5" hidden="1" customHeight="1">
      <c r="A1596" s="49"/>
      <c r="B1596" s="61"/>
      <c r="C1596" s="34"/>
      <c r="D1596" s="55"/>
      <c r="E1596" s="59"/>
      <c r="F1596" s="60"/>
      <c r="G1596" s="29"/>
      <c r="H1596" s="6"/>
      <c r="I1596" s="6"/>
      <c r="J1596" s="6"/>
      <c r="K1596" s="6"/>
      <c r="L1596" s="6"/>
      <c r="M1596" s="6"/>
      <c r="N1596" s="6"/>
      <c r="O1596" s="6"/>
      <c r="P1596" s="6"/>
      <c r="Q1596" s="6"/>
      <c r="R1596" s="6"/>
      <c r="S1596" s="6"/>
    </row>
    <row r="1597" ht="22.5" hidden="1" customHeight="1">
      <c r="A1597" s="49"/>
      <c r="B1597" s="61"/>
      <c r="C1597" s="34"/>
      <c r="D1597" s="55"/>
      <c r="E1597" s="59"/>
      <c r="F1597" s="60"/>
      <c r="G1597" s="29"/>
      <c r="H1597" s="6"/>
      <c r="I1597" s="6"/>
      <c r="J1597" s="6"/>
      <c r="K1597" s="6"/>
      <c r="L1597" s="6"/>
      <c r="M1597" s="6"/>
      <c r="N1597" s="6"/>
      <c r="O1597" s="6"/>
      <c r="P1597" s="6"/>
      <c r="Q1597" s="6"/>
      <c r="R1597" s="6"/>
      <c r="S1597" s="6"/>
    </row>
    <row r="1598" ht="22.5" hidden="1" customHeight="1">
      <c r="A1598" s="49"/>
      <c r="B1598" s="61"/>
      <c r="C1598" s="34"/>
      <c r="D1598" s="55"/>
      <c r="E1598" s="59"/>
      <c r="F1598" s="60"/>
      <c r="G1598" s="29"/>
      <c r="H1598" s="6"/>
      <c r="I1598" s="6"/>
      <c r="J1598" s="6"/>
      <c r="K1598" s="6"/>
      <c r="L1598" s="6"/>
      <c r="M1598" s="6"/>
      <c r="N1598" s="6"/>
      <c r="O1598" s="6"/>
      <c r="P1598" s="6"/>
      <c r="Q1598" s="6"/>
      <c r="R1598" s="6"/>
      <c r="S1598" s="6"/>
    </row>
    <row r="1599" ht="22.5" hidden="1" customHeight="1">
      <c r="A1599" s="49"/>
      <c r="B1599" s="61"/>
      <c r="C1599" s="34"/>
      <c r="D1599" s="55"/>
      <c r="E1599" s="59"/>
      <c r="F1599" s="60"/>
      <c r="G1599" s="29"/>
      <c r="H1599" s="6"/>
      <c r="I1599" s="6"/>
      <c r="J1599" s="6"/>
      <c r="K1599" s="6"/>
      <c r="L1599" s="6"/>
      <c r="M1599" s="6"/>
      <c r="N1599" s="6"/>
      <c r="O1599" s="6"/>
      <c r="P1599" s="6"/>
      <c r="Q1599" s="6"/>
      <c r="R1599" s="6"/>
      <c r="S1599" s="6"/>
    </row>
    <row r="1600" ht="22.5" hidden="1" customHeight="1">
      <c r="A1600" s="49"/>
      <c r="B1600" s="61"/>
      <c r="C1600" s="34"/>
      <c r="D1600" s="55"/>
      <c r="E1600" s="59"/>
      <c r="F1600" s="60"/>
      <c r="G1600" s="29"/>
      <c r="H1600" s="6"/>
      <c r="I1600" s="6"/>
      <c r="J1600" s="6"/>
      <c r="K1600" s="6"/>
      <c r="L1600" s="6"/>
      <c r="M1600" s="6"/>
      <c r="N1600" s="6"/>
      <c r="O1600" s="6"/>
      <c r="P1600" s="6"/>
      <c r="Q1600" s="6"/>
      <c r="R1600" s="6"/>
      <c r="S1600" s="6"/>
    </row>
    <row r="1601" ht="22.5" hidden="1" customHeight="1">
      <c r="A1601" s="49"/>
      <c r="B1601" s="61"/>
      <c r="C1601" s="34"/>
      <c r="D1601" s="55"/>
      <c r="E1601" s="59"/>
      <c r="F1601" s="60"/>
      <c r="G1601" s="29"/>
      <c r="H1601" s="6"/>
      <c r="I1601" s="6"/>
      <c r="J1601" s="6"/>
      <c r="K1601" s="6"/>
      <c r="L1601" s="6"/>
      <c r="M1601" s="6"/>
      <c r="N1601" s="6"/>
      <c r="O1601" s="6"/>
      <c r="P1601" s="6"/>
      <c r="Q1601" s="6"/>
      <c r="R1601" s="6"/>
      <c r="S1601" s="6"/>
    </row>
    <row r="1602" ht="22.5" hidden="1" customHeight="1">
      <c r="A1602" s="49"/>
      <c r="B1602" s="61"/>
      <c r="C1602" s="34"/>
      <c r="D1602" s="55"/>
      <c r="E1602" s="59"/>
      <c r="F1602" s="60"/>
      <c r="G1602" s="29"/>
      <c r="H1602" s="6"/>
      <c r="I1602" s="6"/>
      <c r="J1602" s="6"/>
      <c r="K1602" s="6"/>
      <c r="L1602" s="6"/>
      <c r="M1602" s="6"/>
      <c r="N1602" s="6"/>
      <c r="O1602" s="6"/>
      <c r="P1602" s="6"/>
      <c r="Q1602" s="6"/>
      <c r="R1602" s="6"/>
      <c r="S1602" s="6"/>
    </row>
    <row r="1603" ht="22.5" hidden="1" customHeight="1">
      <c r="A1603" s="49"/>
      <c r="B1603" s="61"/>
      <c r="C1603" s="34"/>
      <c r="D1603" s="55"/>
      <c r="E1603" s="59"/>
      <c r="F1603" s="60"/>
      <c r="G1603" s="29"/>
      <c r="H1603" s="6"/>
      <c r="I1603" s="6"/>
      <c r="J1603" s="6"/>
      <c r="K1603" s="6"/>
      <c r="L1603" s="6"/>
      <c r="M1603" s="6"/>
      <c r="N1603" s="6"/>
      <c r="O1603" s="6"/>
      <c r="P1603" s="6"/>
      <c r="Q1603" s="6"/>
      <c r="R1603" s="6"/>
      <c r="S1603" s="6"/>
    </row>
    <row r="1604" ht="22.5" hidden="1" customHeight="1">
      <c r="A1604" s="49"/>
      <c r="B1604" s="61"/>
      <c r="C1604" s="34"/>
      <c r="D1604" s="55"/>
      <c r="E1604" s="59"/>
      <c r="F1604" s="60"/>
      <c r="G1604" s="29"/>
      <c r="H1604" s="6"/>
      <c r="I1604" s="6"/>
      <c r="J1604" s="6"/>
      <c r="K1604" s="6"/>
      <c r="L1604" s="6"/>
      <c r="M1604" s="6"/>
      <c r="N1604" s="6"/>
      <c r="O1604" s="6"/>
      <c r="P1604" s="6"/>
      <c r="Q1604" s="6"/>
      <c r="R1604" s="6"/>
      <c r="S1604" s="6"/>
    </row>
    <row r="1605" ht="22.5" hidden="1" customHeight="1">
      <c r="A1605" s="49"/>
      <c r="B1605" s="61"/>
      <c r="C1605" s="34"/>
      <c r="D1605" s="55"/>
      <c r="E1605" s="59"/>
      <c r="F1605" s="60"/>
      <c r="G1605" s="29"/>
      <c r="H1605" s="6"/>
      <c r="I1605" s="6"/>
      <c r="J1605" s="6"/>
      <c r="K1605" s="6"/>
      <c r="L1605" s="6"/>
      <c r="M1605" s="6"/>
      <c r="N1605" s="6"/>
      <c r="O1605" s="6"/>
      <c r="P1605" s="6"/>
      <c r="Q1605" s="6"/>
      <c r="R1605" s="6"/>
      <c r="S1605" s="6"/>
    </row>
    <row r="1606" ht="22.5" hidden="1" customHeight="1">
      <c r="A1606" s="49"/>
      <c r="B1606" s="61"/>
      <c r="C1606" s="34"/>
      <c r="D1606" s="55"/>
      <c r="E1606" s="59"/>
      <c r="F1606" s="60"/>
      <c r="G1606" s="29"/>
      <c r="H1606" s="6"/>
      <c r="I1606" s="6"/>
      <c r="J1606" s="6"/>
      <c r="K1606" s="6"/>
      <c r="L1606" s="6"/>
      <c r="M1606" s="6"/>
      <c r="N1606" s="6"/>
      <c r="O1606" s="6"/>
      <c r="P1606" s="6"/>
      <c r="Q1606" s="6"/>
      <c r="R1606" s="6"/>
      <c r="S1606" s="6"/>
    </row>
    <row r="1607" ht="22.5" hidden="1" customHeight="1">
      <c r="A1607" s="49"/>
      <c r="B1607" s="61"/>
      <c r="C1607" s="34"/>
      <c r="D1607" s="55"/>
      <c r="E1607" s="59"/>
      <c r="F1607" s="60"/>
      <c r="G1607" s="29"/>
      <c r="H1607" s="6"/>
      <c r="I1607" s="6"/>
      <c r="J1607" s="6"/>
      <c r="K1607" s="6"/>
      <c r="L1607" s="6"/>
      <c r="M1607" s="6"/>
      <c r="N1607" s="6"/>
      <c r="O1607" s="6"/>
      <c r="P1607" s="6"/>
      <c r="Q1607" s="6"/>
      <c r="R1607" s="6"/>
      <c r="S1607" s="6"/>
    </row>
    <row r="1608" ht="22.5" hidden="1" customHeight="1">
      <c r="A1608" s="49"/>
      <c r="B1608" s="61"/>
      <c r="C1608" s="34"/>
      <c r="D1608" s="55"/>
      <c r="E1608" s="59"/>
      <c r="F1608" s="60"/>
      <c r="G1608" s="29"/>
      <c r="H1608" s="6"/>
      <c r="I1608" s="6"/>
      <c r="J1608" s="6"/>
      <c r="K1608" s="6"/>
      <c r="L1608" s="6"/>
      <c r="M1608" s="6"/>
      <c r="N1608" s="6"/>
      <c r="O1608" s="6"/>
      <c r="P1608" s="6"/>
      <c r="Q1608" s="6"/>
      <c r="R1608" s="6"/>
      <c r="S1608" s="6"/>
    </row>
    <row r="1609" ht="22.5" hidden="1" customHeight="1">
      <c r="A1609" s="49"/>
      <c r="B1609" s="61"/>
      <c r="C1609" s="34"/>
      <c r="D1609" s="55"/>
      <c r="E1609" s="59"/>
      <c r="F1609" s="60"/>
      <c r="G1609" s="29"/>
      <c r="H1609" s="6"/>
      <c r="I1609" s="6"/>
      <c r="J1609" s="6"/>
      <c r="K1609" s="6"/>
      <c r="L1609" s="6"/>
      <c r="M1609" s="6"/>
      <c r="N1609" s="6"/>
      <c r="O1609" s="6"/>
      <c r="P1609" s="6"/>
      <c r="Q1609" s="6"/>
      <c r="R1609" s="6"/>
      <c r="S1609" s="6"/>
    </row>
    <row r="1610" ht="22.5" hidden="1" customHeight="1">
      <c r="A1610" s="49"/>
      <c r="B1610" s="61"/>
      <c r="C1610" s="34"/>
      <c r="D1610" s="55"/>
      <c r="E1610" s="59"/>
      <c r="F1610" s="60"/>
      <c r="G1610" s="29"/>
      <c r="H1610" s="6"/>
      <c r="I1610" s="6"/>
      <c r="J1610" s="6"/>
      <c r="K1610" s="6"/>
      <c r="L1610" s="6"/>
      <c r="M1610" s="6"/>
      <c r="N1610" s="6"/>
      <c r="O1610" s="6"/>
      <c r="P1610" s="6"/>
      <c r="Q1610" s="6"/>
      <c r="R1610" s="6"/>
      <c r="S1610" s="6"/>
    </row>
    <row r="1611" ht="22.5" hidden="1" customHeight="1">
      <c r="A1611" s="49"/>
      <c r="B1611" s="61"/>
      <c r="C1611" s="34"/>
      <c r="D1611" s="55"/>
      <c r="E1611" s="59"/>
      <c r="F1611" s="60"/>
      <c r="G1611" s="29"/>
      <c r="H1611" s="6"/>
      <c r="I1611" s="6"/>
      <c r="J1611" s="6"/>
      <c r="K1611" s="6"/>
      <c r="L1611" s="6"/>
      <c r="M1611" s="6"/>
      <c r="N1611" s="6"/>
      <c r="O1611" s="6"/>
      <c r="P1611" s="6"/>
      <c r="Q1611" s="6"/>
      <c r="R1611" s="6"/>
      <c r="S1611" s="6"/>
    </row>
    <row r="1612" ht="22.5" hidden="1" customHeight="1">
      <c r="A1612" s="49"/>
      <c r="B1612" s="61"/>
      <c r="C1612" s="34"/>
      <c r="D1612" s="55"/>
      <c r="E1612" s="59"/>
      <c r="F1612" s="60"/>
      <c r="G1612" s="29"/>
      <c r="H1612" s="6"/>
      <c r="I1612" s="6"/>
      <c r="J1612" s="6"/>
      <c r="K1612" s="6"/>
      <c r="L1612" s="6"/>
      <c r="M1612" s="6"/>
      <c r="N1612" s="6"/>
      <c r="O1612" s="6"/>
      <c r="P1612" s="6"/>
      <c r="Q1612" s="6"/>
      <c r="R1612" s="6"/>
      <c r="S1612" s="6"/>
    </row>
    <row r="1613" ht="22.5" hidden="1" customHeight="1">
      <c r="A1613" s="49"/>
      <c r="B1613" s="61"/>
      <c r="C1613" s="34"/>
      <c r="D1613" s="55"/>
      <c r="E1613" s="59"/>
      <c r="F1613" s="60"/>
      <c r="G1613" s="29"/>
      <c r="H1613" s="6"/>
      <c r="I1613" s="6"/>
      <c r="J1613" s="6"/>
      <c r="K1613" s="6"/>
      <c r="L1613" s="6"/>
      <c r="M1613" s="6"/>
      <c r="N1613" s="6"/>
      <c r="O1613" s="6"/>
      <c r="P1613" s="6"/>
      <c r="Q1613" s="6"/>
      <c r="R1613" s="6"/>
      <c r="S1613" s="6"/>
    </row>
    <row r="1614" ht="22.5" hidden="1" customHeight="1">
      <c r="A1614" s="49"/>
      <c r="B1614" s="61"/>
      <c r="C1614" s="34"/>
      <c r="D1614" s="55"/>
      <c r="E1614" s="59"/>
      <c r="F1614" s="60"/>
      <c r="G1614" s="29"/>
      <c r="H1614" s="6"/>
      <c r="I1614" s="6"/>
      <c r="J1614" s="6"/>
      <c r="K1614" s="6"/>
      <c r="L1614" s="6"/>
      <c r="M1614" s="6"/>
      <c r="N1614" s="6"/>
      <c r="O1614" s="6"/>
      <c r="P1614" s="6"/>
      <c r="Q1614" s="6"/>
      <c r="R1614" s="6"/>
      <c r="S1614" s="6"/>
    </row>
    <row r="1615" ht="22.5" hidden="1" customHeight="1">
      <c r="A1615" s="49"/>
      <c r="B1615" s="61"/>
      <c r="C1615" s="34"/>
      <c r="D1615" s="55"/>
      <c r="E1615" s="59"/>
      <c r="F1615" s="60"/>
      <c r="G1615" s="29"/>
      <c r="H1615" s="6"/>
      <c r="I1615" s="6"/>
      <c r="J1615" s="6"/>
      <c r="K1615" s="6"/>
      <c r="L1615" s="6"/>
      <c r="M1615" s="6"/>
      <c r="N1615" s="6"/>
      <c r="O1615" s="6"/>
      <c r="P1615" s="6"/>
      <c r="Q1615" s="6"/>
      <c r="R1615" s="6"/>
      <c r="S1615" s="6"/>
    </row>
    <row r="1616" ht="22.5" hidden="1" customHeight="1">
      <c r="A1616" s="49"/>
      <c r="B1616" s="61"/>
      <c r="C1616" s="34"/>
      <c r="D1616" s="55"/>
      <c r="E1616" s="59"/>
      <c r="F1616" s="60"/>
      <c r="G1616" s="29"/>
      <c r="H1616" s="6"/>
      <c r="I1616" s="6"/>
      <c r="J1616" s="6"/>
      <c r="K1616" s="6"/>
      <c r="L1616" s="6"/>
      <c r="M1616" s="6"/>
      <c r="N1616" s="6"/>
      <c r="O1616" s="6"/>
      <c r="P1616" s="6"/>
      <c r="Q1616" s="6"/>
      <c r="R1616" s="6"/>
      <c r="S1616" s="6"/>
    </row>
    <row r="1617" ht="22.5" hidden="1" customHeight="1">
      <c r="A1617" s="49"/>
      <c r="B1617" s="61"/>
      <c r="C1617" s="34"/>
      <c r="D1617" s="55"/>
      <c r="E1617" s="59"/>
      <c r="F1617" s="60"/>
      <c r="G1617" s="29"/>
      <c r="H1617" s="6"/>
      <c r="I1617" s="6"/>
      <c r="J1617" s="6"/>
      <c r="K1617" s="6"/>
      <c r="L1617" s="6"/>
      <c r="M1617" s="6"/>
      <c r="N1617" s="6"/>
      <c r="O1617" s="6"/>
      <c r="P1617" s="6"/>
      <c r="Q1617" s="6"/>
      <c r="R1617" s="6"/>
      <c r="S1617" s="6"/>
    </row>
    <row r="1618" ht="22.5" hidden="1" customHeight="1">
      <c r="A1618" s="49"/>
      <c r="B1618" s="61"/>
      <c r="C1618" s="34"/>
      <c r="D1618" s="55"/>
      <c r="E1618" s="59"/>
      <c r="F1618" s="60"/>
      <c r="G1618" s="29"/>
      <c r="H1618" s="6"/>
      <c r="I1618" s="6"/>
      <c r="J1618" s="6"/>
      <c r="K1618" s="6"/>
      <c r="L1618" s="6"/>
      <c r="M1618" s="6"/>
      <c r="N1618" s="6"/>
      <c r="O1618" s="6"/>
      <c r="P1618" s="6"/>
      <c r="Q1618" s="6"/>
      <c r="R1618" s="6"/>
      <c r="S1618" s="6"/>
    </row>
    <row r="1619" ht="22.5" hidden="1" customHeight="1">
      <c r="A1619" s="49"/>
      <c r="B1619" s="61"/>
      <c r="C1619" s="34"/>
      <c r="D1619" s="55"/>
      <c r="E1619" s="59"/>
      <c r="F1619" s="60"/>
      <c r="G1619" s="29"/>
      <c r="H1619" s="6"/>
      <c r="I1619" s="6"/>
      <c r="J1619" s="6"/>
      <c r="K1619" s="6"/>
      <c r="L1619" s="6"/>
      <c r="M1619" s="6"/>
      <c r="N1619" s="6"/>
      <c r="O1619" s="6"/>
      <c r="P1619" s="6"/>
      <c r="Q1619" s="6"/>
      <c r="R1619" s="6"/>
      <c r="S1619" s="6"/>
    </row>
    <row r="1620" ht="22.5" hidden="1" customHeight="1">
      <c r="A1620" s="49"/>
      <c r="B1620" s="61"/>
      <c r="C1620" s="34"/>
      <c r="D1620" s="55"/>
      <c r="E1620" s="59"/>
      <c r="F1620" s="60"/>
      <c r="G1620" s="29"/>
      <c r="H1620" s="6"/>
      <c r="I1620" s="6"/>
      <c r="J1620" s="6"/>
      <c r="K1620" s="6"/>
      <c r="L1620" s="6"/>
      <c r="M1620" s="6"/>
      <c r="N1620" s="6"/>
      <c r="O1620" s="6"/>
      <c r="P1620" s="6"/>
      <c r="Q1620" s="6"/>
      <c r="R1620" s="6"/>
      <c r="S1620" s="6"/>
    </row>
    <row r="1621" ht="22.5" hidden="1" customHeight="1">
      <c r="A1621" s="49"/>
      <c r="B1621" s="61"/>
      <c r="C1621" s="34"/>
      <c r="D1621" s="55"/>
      <c r="E1621" s="59"/>
      <c r="F1621" s="60"/>
      <c r="G1621" s="29"/>
      <c r="H1621" s="6"/>
      <c r="I1621" s="6"/>
      <c r="J1621" s="6"/>
      <c r="K1621" s="6"/>
      <c r="L1621" s="6"/>
      <c r="M1621" s="6"/>
      <c r="N1621" s="6"/>
      <c r="O1621" s="6"/>
      <c r="P1621" s="6"/>
      <c r="Q1621" s="6"/>
      <c r="R1621" s="6"/>
      <c r="S1621" s="6"/>
    </row>
    <row r="1622" ht="22.5" hidden="1" customHeight="1">
      <c r="A1622" s="49"/>
      <c r="B1622" s="61"/>
      <c r="C1622" s="34"/>
      <c r="D1622" s="55"/>
      <c r="E1622" s="59"/>
      <c r="F1622" s="60"/>
      <c r="G1622" s="29"/>
      <c r="H1622" s="6"/>
      <c r="I1622" s="6"/>
      <c r="J1622" s="6"/>
      <c r="K1622" s="6"/>
      <c r="L1622" s="6"/>
      <c r="M1622" s="6"/>
      <c r="N1622" s="6"/>
      <c r="O1622" s="6"/>
      <c r="P1622" s="6"/>
      <c r="Q1622" s="6"/>
      <c r="R1622" s="6"/>
      <c r="S1622" s="6"/>
    </row>
    <row r="1623" ht="22.5" hidden="1" customHeight="1">
      <c r="A1623" s="49"/>
      <c r="B1623" s="61"/>
      <c r="C1623" s="34"/>
      <c r="D1623" s="55"/>
      <c r="E1623" s="59"/>
      <c r="F1623" s="60"/>
      <c r="G1623" s="29"/>
      <c r="H1623" s="6"/>
      <c r="I1623" s="6"/>
      <c r="J1623" s="6"/>
      <c r="K1623" s="6"/>
      <c r="L1623" s="6"/>
      <c r="M1623" s="6"/>
      <c r="N1623" s="6"/>
      <c r="O1623" s="6"/>
      <c r="P1623" s="6"/>
      <c r="Q1623" s="6"/>
      <c r="R1623" s="6"/>
      <c r="S1623" s="6"/>
    </row>
    <row r="1624" ht="22.5" hidden="1" customHeight="1">
      <c r="A1624" s="49"/>
      <c r="B1624" s="61"/>
      <c r="C1624" s="34"/>
      <c r="D1624" s="55"/>
      <c r="E1624" s="59"/>
      <c r="F1624" s="60"/>
      <c r="G1624" s="29"/>
      <c r="H1624" s="6"/>
      <c r="I1624" s="6"/>
      <c r="J1624" s="6"/>
      <c r="K1624" s="6"/>
      <c r="L1624" s="6"/>
      <c r="M1624" s="6"/>
      <c r="N1624" s="6"/>
      <c r="O1624" s="6"/>
      <c r="P1624" s="6"/>
      <c r="Q1624" s="6"/>
      <c r="R1624" s="6"/>
      <c r="S1624" s="6"/>
    </row>
    <row r="1625" ht="22.5" hidden="1" customHeight="1">
      <c r="A1625" s="49"/>
      <c r="B1625" s="61"/>
      <c r="C1625" s="34"/>
      <c r="D1625" s="55"/>
      <c r="E1625" s="59"/>
      <c r="F1625" s="60"/>
      <c r="G1625" s="29"/>
      <c r="H1625" s="6"/>
      <c r="I1625" s="6"/>
      <c r="J1625" s="6"/>
      <c r="K1625" s="6"/>
      <c r="L1625" s="6"/>
      <c r="M1625" s="6"/>
      <c r="N1625" s="6"/>
      <c r="O1625" s="6"/>
      <c r="P1625" s="6"/>
      <c r="Q1625" s="6"/>
      <c r="R1625" s="6"/>
      <c r="S1625" s="6"/>
    </row>
    <row r="1626" ht="22.5" hidden="1" customHeight="1">
      <c r="A1626" s="49"/>
      <c r="B1626" s="61"/>
      <c r="C1626" s="34"/>
      <c r="D1626" s="55"/>
      <c r="E1626" s="59"/>
      <c r="F1626" s="60"/>
      <c r="G1626" s="29"/>
      <c r="H1626" s="6"/>
      <c r="I1626" s="6"/>
      <c r="J1626" s="6"/>
      <c r="K1626" s="6"/>
      <c r="L1626" s="6"/>
      <c r="M1626" s="6"/>
      <c r="N1626" s="6"/>
      <c r="O1626" s="6"/>
      <c r="P1626" s="6"/>
      <c r="Q1626" s="6"/>
      <c r="R1626" s="6"/>
      <c r="S1626" s="6"/>
    </row>
    <row r="1627" ht="22.5" hidden="1" customHeight="1">
      <c r="A1627" s="49"/>
      <c r="B1627" s="61"/>
      <c r="C1627" s="34"/>
      <c r="D1627" s="55"/>
      <c r="E1627" s="59"/>
      <c r="F1627" s="60"/>
      <c r="G1627" s="29"/>
      <c r="H1627" s="6"/>
      <c r="I1627" s="6"/>
      <c r="J1627" s="6"/>
      <c r="K1627" s="6"/>
      <c r="L1627" s="6"/>
      <c r="M1627" s="6"/>
      <c r="N1627" s="6"/>
      <c r="O1627" s="6"/>
      <c r="P1627" s="6"/>
      <c r="Q1627" s="6"/>
      <c r="R1627" s="6"/>
      <c r="S1627" s="6"/>
    </row>
    <row r="1628" ht="22.5" hidden="1" customHeight="1">
      <c r="A1628" s="49"/>
      <c r="B1628" s="61"/>
      <c r="C1628" s="34"/>
      <c r="D1628" s="55"/>
      <c r="E1628" s="59"/>
      <c r="F1628" s="60"/>
      <c r="G1628" s="29"/>
      <c r="H1628" s="6"/>
      <c r="I1628" s="6"/>
      <c r="J1628" s="6"/>
      <c r="K1628" s="6"/>
      <c r="L1628" s="6"/>
      <c r="M1628" s="6"/>
      <c r="N1628" s="6"/>
      <c r="O1628" s="6"/>
      <c r="P1628" s="6"/>
      <c r="Q1628" s="6"/>
      <c r="R1628" s="6"/>
      <c r="S1628" s="6"/>
    </row>
    <row r="1629" ht="22.5" hidden="1" customHeight="1">
      <c r="A1629" s="49"/>
      <c r="B1629" s="61"/>
      <c r="C1629" s="34"/>
      <c r="D1629" s="55"/>
      <c r="E1629" s="59"/>
      <c r="F1629" s="60"/>
      <c r="G1629" s="29"/>
      <c r="H1629" s="6"/>
      <c r="I1629" s="6"/>
      <c r="J1629" s="6"/>
      <c r="K1629" s="6"/>
      <c r="L1629" s="6"/>
      <c r="M1629" s="6"/>
      <c r="N1629" s="6"/>
      <c r="O1629" s="6"/>
      <c r="P1629" s="6"/>
      <c r="Q1629" s="6"/>
      <c r="R1629" s="6"/>
      <c r="S1629" s="6"/>
    </row>
    <row r="1630" ht="22.5" hidden="1" customHeight="1">
      <c r="A1630" s="49"/>
      <c r="B1630" s="61"/>
      <c r="C1630" s="34"/>
      <c r="D1630" s="55"/>
      <c r="E1630" s="59"/>
      <c r="F1630" s="60"/>
      <c r="G1630" s="29"/>
      <c r="H1630" s="6"/>
      <c r="I1630" s="6"/>
      <c r="J1630" s="6"/>
      <c r="K1630" s="6"/>
      <c r="L1630" s="6"/>
      <c r="M1630" s="6"/>
      <c r="N1630" s="6"/>
      <c r="O1630" s="6"/>
      <c r="P1630" s="6"/>
      <c r="Q1630" s="6"/>
      <c r="R1630" s="6"/>
      <c r="S1630" s="6"/>
    </row>
    <row r="1631" ht="22.5" hidden="1" customHeight="1">
      <c r="A1631" s="49"/>
      <c r="B1631" s="61"/>
      <c r="C1631" s="34"/>
      <c r="D1631" s="55"/>
      <c r="E1631" s="59"/>
      <c r="F1631" s="60"/>
      <c r="G1631" s="29"/>
      <c r="H1631" s="6"/>
      <c r="I1631" s="6"/>
      <c r="J1631" s="6"/>
      <c r="K1631" s="6"/>
      <c r="L1631" s="6"/>
      <c r="M1631" s="6"/>
      <c r="N1631" s="6"/>
      <c r="O1631" s="6"/>
      <c r="P1631" s="6"/>
      <c r="Q1631" s="6"/>
      <c r="R1631" s="6"/>
      <c r="S1631" s="6"/>
    </row>
    <row r="1632" ht="22.5" hidden="1" customHeight="1">
      <c r="A1632" s="49"/>
      <c r="B1632" s="61"/>
      <c r="C1632" s="34"/>
      <c r="D1632" s="55"/>
      <c r="E1632" s="59"/>
      <c r="F1632" s="60"/>
      <c r="G1632" s="29"/>
      <c r="H1632" s="6"/>
      <c r="I1632" s="6"/>
      <c r="J1632" s="6"/>
      <c r="K1632" s="6"/>
      <c r="L1632" s="6"/>
      <c r="M1632" s="6"/>
      <c r="N1632" s="6"/>
      <c r="O1632" s="6"/>
      <c r="P1632" s="6"/>
      <c r="Q1632" s="6"/>
      <c r="R1632" s="6"/>
      <c r="S1632" s="6"/>
    </row>
    <row r="1633" ht="22.5" hidden="1" customHeight="1">
      <c r="A1633" s="49"/>
      <c r="B1633" s="61"/>
      <c r="C1633" s="34"/>
      <c r="D1633" s="55"/>
      <c r="E1633" s="59"/>
      <c r="F1633" s="60"/>
      <c r="G1633" s="29"/>
      <c r="H1633" s="6"/>
      <c r="I1633" s="6"/>
      <c r="J1633" s="6"/>
      <c r="K1633" s="6"/>
      <c r="L1633" s="6"/>
      <c r="M1633" s="6"/>
      <c r="N1633" s="6"/>
      <c r="O1633" s="6"/>
      <c r="P1633" s="6"/>
      <c r="Q1633" s="6"/>
      <c r="R1633" s="6"/>
      <c r="S1633" s="6"/>
    </row>
    <row r="1634" ht="22.5" hidden="1" customHeight="1">
      <c r="A1634" s="49"/>
      <c r="B1634" s="61"/>
      <c r="C1634" s="34"/>
      <c r="D1634" s="55"/>
      <c r="E1634" s="59"/>
      <c r="F1634" s="60"/>
      <c r="G1634" s="29"/>
      <c r="H1634" s="6"/>
      <c r="I1634" s="6"/>
      <c r="J1634" s="6"/>
      <c r="K1634" s="6"/>
      <c r="L1634" s="6"/>
      <c r="M1634" s="6"/>
      <c r="N1634" s="6"/>
      <c r="O1634" s="6"/>
      <c r="P1634" s="6"/>
      <c r="Q1634" s="6"/>
      <c r="R1634" s="6"/>
      <c r="S1634" s="6"/>
    </row>
    <row r="1635" ht="22.5" hidden="1" customHeight="1">
      <c r="A1635" s="49"/>
      <c r="B1635" s="61"/>
      <c r="C1635" s="34"/>
      <c r="D1635" s="55"/>
      <c r="E1635" s="59"/>
      <c r="F1635" s="60"/>
      <c r="G1635" s="29"/>
      <c r="H1635" s="6"/>
      <c r="I1635" s="6"/>
      <c r="J1635" s="6"/>
      <c r="K1635" s="6"/>
      <c r="L1635" s="6"/>
      <c r="M1635" s="6"/>
      <c r="N1635" s="6"/>
      <c r="O1635" s="6"/>
      <c r="P1635" s="6"/>
      <c r="Q1635" s="6"/>
      <c r="R1635" s="6"/>
      <c r="S1635" s="6"/>
    </row>
    <row r="1636" ht="22.5" hidden="1" customHeight="1">
      <c r="A1636" s="49"/>
      <c r="B1636" s="61"/>
      <c r="C1636" s="34"/>
      <c r="D1636" s="55"/>
      <c r="E1636" s="59"/>
      <c r="F1636" s="60"/>
      <c r="G1636" s="29"/>
      <c r="H1636" s="6"/>
      <c r="I1636" s="6"/>
      <c r="J1636" s="6"/>
      <c r="K1636" s="6"/>
      <c r="L1636" s="6"/>
      <c r="M1636" s="6"/>
      <c r="N1636" s="6"/>
      <c r="O1636" s="6"/>
      <c r="P1636" s="6"/>
      <c r="Q1636" s="6"/>
      <c r="R1636" s="6"/>
      <c r="S1636" s="6"/>
    </row>
    <row r="1637" ht="22.5" hidden="1" customHeight="1">
      <c r="A1637" s="49"/>
      <c r="B1637" s="61"/>
      <c r="C1637" s="34"/>
      <c r="D1637" s="55"/>
      <c r="E1637" s="59"/>
      <c r="F1637" s="60"/>
      <c r="G1637" s="29"/>
      <c r="H1637" s="6"/>
      <c r="I1637" s="6"/>
      <c r="J1637" s="6"/>
      <c r="K1637" s="6"/>
      <c r="L1637" s="6"/>
      <c r="M1637" s="6"/>
      <c r="N1637" s="6"/>
      <c r="O1637" s="6"/>
      <c r="P1637" s="6"/>
      <c r="Q1637" s="6"/>
      <c r="R1637" s="6"/>
      <c r="S1637" s="6"/>
    </row>
    <row r="1638" ht="22.5" hidden="1" customHeight="1">
      <c r="A1638" s="49"/>
      <c r="B1638" s="61"/>
      <c r="C1638" s="34"/>
      <c r="D1638" s="55"/>
      <c r="E1638" s="59"/>
      <c r="F1638" s="60"/>
      <c r="G1638" s="29"/>
      <c r="H1638" s="6"/>
      <c r="I1638" s="6"/>
      <c r="J1638" s="6"/>
      <c r="K1638" s="6"/>
      <c r="L1638" s="6"/>
      <c r="M1638" s="6"/>
      <c r="N1638" s="6"/>
      <c r="O1638" s="6"/>
      <c r="P1638" s="6"/>
      <c r="Q1638" s="6"/>
      <c r="R1638" s="6"/>
      <c r="S1638" s="6"/>
    </row>
    <row r="1639" ht="22.5" hidden="1" customHeight="1">
      <c r="A1639" s="49"/>
      <c r="B1639" s="61"/>
      <c r="C1639" s="34"/>
      <c r="D1639" s="55"/>
      <c r="E1639" s="59"/>
      <c r="F1639" s="60"/>
      <c r="G1639" s="29"/>
      <c r="H1639" s="6"/>
      <c r="I1639" s="6"/>
      <c r="J1639" s="6"/>
      <c r="K1639" s="6"/>
      <c r="L1639" s="6"/>
      <c r="M1639" s="6"/>
      <c r="N1639" s="6"/>
      <c r="O1639" s="6"/>
      <c r="P1639" s="6"/>
      <c r="Q1639" s="6"/>
      <c r="R1639" s="6"/>
      <c r="S1639" s="6"/>
    </row>
    <row r="1640" ht="22.5" hidden="1" customHeight="1">
      <c r="A1640" s="49"/>
      <c r="B1640" s="61"/>
      <c r="C1640" s="34"/>
      <c r="D1640" s="55"/>
      <c r="E1640" s="59"/>
      <c r="F1640" s="60"/>
      <c r="G1640" s="29"/>
      <c r="H1640" s="6"/>
      <c r="I1640" s="6"/>
      <c r="J1640" s="6"/>
      <c r="K1640" s="6"/>
      <c r="L1640" s="6"/>
      <c r="M1640" s="6"/>
      <c r="N1640" s="6"/>
      <c r="O1640" s="6"/>
      <c r="P1640" s="6"/>
      <c r="Q1640" s="6"/>
      <c r="R1640" s="6"/>
      <c r="S1640" s="6"/>
    </row>
    <row r="1641" ht="22.5" hidden="1" customHeight="1">
      <c r="A1641" s="49"/>
      <c r="B1641" s="61"/>
      <c r="C1641" s="34"/>
      <c r="D1641" s="55"/>
      <c r="E1641" s="59"/>
      <c r="F1641" s="60"/>
      <c r="G1641" s="29"/>
      <c r="H1641" s="6"/>
      <c r="I1641" s="6"/>
      <c r="J1641" s="6"/>
      <c r="K1641" s="6"/>
      <c r="L1641" s="6"/>
      <c r="M1641" s="6"/>
      <c r="N1641" s="6"/>
      <c r="O1641" s="6"/>
      <c r="P1641" s="6"/>
      <c r="Q1641" s="6"/>
      <c r="R1641" s="6"/>
      <c r="S1641" s="6"/>
    </row>
    <row r="1642" ht="22.5" hidden="1" customHeight="1">
      <c r="A1642" s="49"/>
      <c r="B1642" s="61"/>
      <c r="C1642" s="34"/>
      <c r="D1642" s="55"/>
      <c r="E1642" s="59"/>
      <c r="F1642" s="60"/>
      <c r="G1642" s="29"/>
      <c r="H1642" s="6"/>
      <c r="I1642" s="6"/>
      <c r="J1642" s="6"/>
      <c r="K1642" s="6"/>
      <c r="L1642" s="6"/>
      <c r="M1642" s="6"/>
      <c r="N1642" s="6"/>
      <c r="O1642" s="6"/>
      <c r="P1642" s="6"/>
      <c r="Q1642" s="6"/>
      <c r="R1642" s="6"/>
      <c r="S1642" s="6"/>
    </row>
    <row r="1643" ht="22.5" hidden="1" customHeight="1">
      <c r="A1643" s="49"/>
      <c r="B1643" s="61"/>
      <c r="C1643" s="34"/>
      <c r="D1643" s="55"/>
      <c r="E1643" s="59"/>
      <c r="F1643" s="60"/>
      <c r="G1643" s="29"/>
      <c r="H1643" s="6"/>
      <c r="I1643" s="6"/>
      <c r="J1643" s="6"/>
      <c r="K1643" s="6"/>
      <c r="L1643" s="6"/>
      <c r="M1643" s="6"/>
      <c r="N1643" s="6"/>
      <c r="O1643" s="6"/>
      <c r="P1643" s="6"/>
      <c r="Q1643" s="6"/>
      <c r="R1643" s="6"/>
      <c r="S1643" s="6"/>
    </row>
    <row r="1644" ht="22.5" hidden="1" customHeight="1">
      <c r="A1644" s="49"/>
      <c r="B1644" s="61"/>
      <c r="C1644" s="34"/>
      <c r="D1644" s="55"/>
      <c r="E1644" s="59"/>
      <c r="F1644" s="60"/>
      <c r="G1644" s="29"/>
      <c r="H1644" s="6"/>
      <c r="I1644" s="6"/>
      <c r="J1644" s="6"/>
      <c r="K1644" s="6"/>
      <c r="L1644" s="6"/>
      <c r="M1644" s="6"/>
      <c r="N1644" s="6"/>
      <c r="O1644" s="6"/>
      <c r="P1644" s="6"/>
      <c r="Q1644" s="6"/>
      <c r="R1644" s="6"/>
      <c r="S1644" s="6"/>
    </row>
    <row r="1645" ht="22.5" hidden="1" customHeight="1">
      <c r="A1645" s="49"/>
      <c r="B1645" s="61"/>
      <c r="C1645" s="34"/>
      <c r="D1645" s="55"/>
      <c r="E1645" s="59"/>
      <c r="F1645" s="60"/>
      <c r="G1645" s="29"/>
      <c r="H1645" s="6"/>
      <c r="I1645" s="6"/>
      <c r="J1645" s="6"/>
      <c r="K1645" s="6"/>
      <c r="L1645" s="6"/>
      <c r="M1645" s="6"/>
      <c r="N1645" s="6"/>
      <c r="O1645" s="6"/>
      <c r="P1645" s="6"/>
      <c r="Q1645" s="6"/>
      <c r="R1645" s="6"/>
      <c r="S1645" s="6"/>
    </row>
    <row r="1646" ht="22.5" hidden="1" customHeight="1">
      <c r="A1646" s="49"/>
      <c r="B1646" s="61"/>
      <c r="C1646" s="34"/>
      <c r="D1646" s="55"/>
      <c r="E1646" s="59"/>
      <c r="F1646" s="60"/>
      <c r="G1646" s="29"/>
      <c r="H1646" s="6"/>
      <c r="I1646" s="6"/>
      <c r="J1646" s="6"/>
      <c r="K1646" s="6"/>
      <c r="L1646" s="6"/>
      <c r="M1646" s="6"/>
      <c r="N1646" s="6"/>
      <c r="O1646" s="6"/>
      <c r="P1646" s="6"/>
      <c r="Q1646" s="6"/>
      <c r="R1646" s="6"/>
      <c r="S1646" s="6"/>
    </row>
    <row r="1647" ht="22.5" hidden="1" customHeight="1">
      <c r="A1647" s="49"/>
      <c r="B1647" s="61"/>
      <c r="C1647" s="34"/>
      <c r="D1647" s="55"/>
      <c r="E1647" s="59"/>
      <c r="F1647" s="60"/>
      <c r="G1647" s="29"/>
      <c r="H1647" s="6"/>
      <c r="I1647" s="6"/>
      <c r="J1647" s="6"/>
      <c r="K1647" s="6"/>
      <c r="L1647" s="6"/>
      <c r="M1647" s="6"/>
      <c r="N1647" s="6"/>
      <c r="O1647" s="6"/>
      <c r="P1647" s="6"/>
      <c r="Q1647" s="6"/>
      <c r="R1647" s="6"/>
      <c r="S1647" s="6"/>
    </row>
    <row r="1648" ht="22.5" hidden="1" customHeight="1">
      <c r="A1648" s="49"/>
      <c r="B1648" s="61"/>
      <c r="C1648" s="34"/>
      <c r="D1648" s="55"/>
      <c r="E1648" s="59"/>
      <c r="F1648" s="60"/>
      <c r="G1648" s="29"/>
      <c r="H1648" s="6"/>
      <c r="I1648" s="6"/>
      <c r="J1648" s="6"/>
      <c r="K1648" s="6"/>
      <c r="L1648" s="6"/>
      <c r="M1648" s="6"/>
      <c r="N1648" s="6"/>
      <c r="O1648" s="6"/>
      <c r="P1648" s="6"/>
      <c r="Q1648" s="6"/>
      <c r="R1648" s="6"/>
      <c r="S1648" s="6"/>
    </row>
    <row r="1649" ht="22.5" hidden="1" customHeight="1">
      <c r="A1649" s="49"/>
      <c r="B1649" s="61"/>
      <c r="C1649" s="34"/>
      <c r="D1649" s="55"/>
      <c r="E1649" s="59"/>
      <c r="F1649" s="60"/>
      <c r="G1649" s="29"/>
      <c r="H1649" s="6"/>
      <c r="I1649" s="6"/>
      <c r="J1649" s="6"/>
      <c r="K1649" s="6"/>
      <c r="L1649" s="6"/>
      <c r="M1649" s="6"/>
      <c r="N1649" s="6"/>
      <c r="O1649" s="6"/>
      <c r="P1649" s="6"/>
      <c r="Q1649" s="6"/>
      <c r="R1649" s="6"/>
      <c r="S1649" s="6"/>
    </row>
    <row r="1650" ht="22.5" hidden="1" customHeight="1">
      <c r="A1650" s="49"/>
      <c r="B1650" s="61"/>
      <c r="C1650" s="34"/>
      <c r="D1650" s="55"/>
      <c r="E1650" s="59"/>
      <c r="F1650" s="60"/>
      <c r="G1650" s="29"/>
      <c r="H1650" s="6"/>
      <c r="I1650" s="6"/>
      <c r="J1650" s="6"/>
      <c r="K1650" s="6"/>
      <c r="L1650" s="6"/>
      <c r="M1650" s="6"/>
      <c r="N1650" s="6"/>
      <c r="O1650" s="6"/>
      <c r="P1650" s="6"/>
      <c r="Q1650" s="6"/>
      <c r="R1650" s="6"/>
      <c r="S1650" s="6"/>
    </row>
    <row r="1651" ht="22.5" hidden="1" customHeight="1">
      <c r="A1651" s="49"/>
      <c r="B1651" s="61"/>
      <c r="C1651" s="34"/>
      <c r="D1651" s="55"/>
      <c r="E1651" s="59"/>
      <c r="F1651" s="60"/>
      <c r="G1651" s="29"/>
      <c r="H1651" s="6"/>
      <c r="I1651" s="6"/>
      <c r="J1651" s="6"/>
      <c r="K1651" s="6"/>
      <c r="L1651" s="6"/>
      <c r="M1651" s="6"/>
      <c r="N1651" s="6"/>
      <c r="O1651" s="6"/>
      <c r="P1651" s="6"/>
      <c r="Q1651" s="6"/>
      <c r="R1651" s="6"/>
      <c r="S1651" s="6"/>
    </row>
    <row r="1652" ht="22.5" hidden="1" customHeight="1">
      <c r="A1652" s="49"/>
      <c r="B1652" s="61"/>
      <c r="C1652" s="34"/>
      <c r="D1652" s="55"/>
      <c r="E1652" s="59"/>
      <c r="F1652" s="60"/>
      <c r="G1652" s="29"/>
      <c r="H1652" s="6"/>
      <c r="I1652" s="6"/>
      <c r="J1652" s="6"/>
      <c r="K1652" s="6"/>
      <c r="L1652" s="6"/>
      <c r="M1652" s="6"/>
      <c r="N1652" s="6"/>
      <c r="O1652" s="6"/>
      <c r="P1652" s="6"/>
      <c r="Q1652" s="6"/>
      <c r="R1652" s="6"/>
      <c r="S1652" s="6"/>
    </row>
    <row r="1653" ht="22.5" hidden="1" customHeight="1">
      <c r="A1653" s="49"/>
      <c r="B1653" s="61"/>
      <c r="C1653" s="34"/>
      <c r="D1653" s="55"/>
      <c r="E1653" s="59"/>
      <c r="F1653" s="60"/>
      <c r="G1653" s="29"/>
      <c r="H1653" s="6"/>
      <c r="I1653" s="6"/>
      <c r="J1653" s="6"/>
      <c r="K1653" s="6"/>
      <c r="L1653" s="6"/>
      <c r="M1653" s="6"/>
      <c r="N1653" s="6"/>
      <c r="O1653" s="6"/>
      <c r="P1653" s="6"/>
      <c r="Q1653" s="6"/>
      <c r="R1653" s="6"/>
      <c r="S1653" s="6"/>
    </row>
    <row r="1654" ht="22.5" hidden="1" customHeight="1">
      <c r="A1654" s="49"/>
      <c r="B1654" s="61"/>
      <c r="C1654" s="34"/>
      <c r="D1654" s="55"/>
      <c r="E1654" s="59"/>
      <c r="F1654" s="60"/>
      <c r="G1654" s="29"/>
      <c r="H1654" s="6"/>
      <c r="I1654" s="6"/>
      <c r="J1654" s="6"/>
      <c r="K1654" s="6"/>
      <c r="L1654" s="6"/>
      <c r="M1654" s="6"/>
      <c r="N1654" s="6"/>
      <c r="O1654" s="6"/>
      <c r="P1654" s="6"/>
      <c r="Q1654" s="6"/>
      <c r="R1654" s="6"/>
      <c r="S1654" s="6"/>
    </row>
    <row r="1655" ht="22.5" hidden="1" customHeight="1">
      <c r="A1655" s="49"/>
      <c r="B1655" s="61"/>
      <c r="C1655" s="34"/>
      <c r="D1655" s="55"/>
      <c r="E1655" s="59"/>
      <c r="F1655" s="60"/>
      <c r="G1655" s="29"/>
      <c r="H1655" s="6"/>
      <c r="I1655" s="6"/>
      <c r="J1655" s="6"/>
      <c r="K1655" s="6"/>
      <c r="L1655" s="6"/>
      <c r="M1655" s="6"/>
      <c r="N1655" s="6"/>
      <c r="O1655" s="6"/>
      <c r="P1655" s="6"/>
      <c r="Q1655" s="6"/>
      <c r="R1655" s="6"/>
      <c r="S1655" s="6"/>
    </row>
    <row r="1656" ht="22.5" hidden="1" customHeight="1">
      <c r="A1656" s="49"/>
      <c r="B1656" s="61"/>
      <c r="C1656" s="34"/>
      <c r="D1656" s="55"/>
      <c r="E1656" s="59"/>
      <c r="F1656" s="60"/>
      <c r="G1656" s="29"/>
      <c r="H1656" s="6"/>
      <c r="I1656" s="6"/>
      <c r="J1656" s="6"/>
      <c r="K1656" s="6"/>
      <c r="L1656" s="6"/>
      <c r="M1656" s="6"/>
      <c r="N1656" s="6"/>
      <c r="O1656" s="6"/>
      <c r="P1656" s="6"/>
      <c r="Q1656" s="6"/>
      <c r="R1656" s="6"/>
      <c r="S1656" s="6"/>
    </row>
    <row r="1657" ht="22.5" hidden="1" customHeight="1">
      <c r="A1657" s="49"/>
      <c r="B1657" s="61"/>
      <c r="C1657" s="34"/>
      <c r="D1657" s="55"/>
      <c r="E1657" s="59"/>
      <c r="F1657" s="60"/>
      <c r="G1657" s="29"/>
      <c r="H1657" s="6"/>
      <c r="I1657" s="6"/>
      <c r="J1657" s="6"/>
      <c r="K1657" s="6"/>
      <c r="L1657" s="6"/>
      <c r="M1657" s="6"/>
      <c r="N1657" s="6"/>
      <c r="O1657" s="6"/>
      <c r="P1657" s="6"/>
      <c r="Q1657" s="6"/>
      <c r="R1657" s="6"/>
      <c r="S1657" s="6"/>
    </row>
    <row r="1658" ht="22.5" hidden="1" customHeight="1">
      <c r="A1658" s="49"/>
      <c r="B1658" s="61"/>
      <c r="C1658" s="34"/>
      <c r="D1658" s="55"/>
      <c r="E1658" s="59"/>
      <c r="F1658" s="60"/>
      <c r="G1658" s="29"/>
      <c r="H1658" s="6"/>
      <c r="I1658" s="6"/>
      <c r="J1658" s="6"/>
      <c r="K1658" s="6"/>
      <c r="L1658" s="6"/>
      <c r="M1658" s="6"/>
      <c r="N1658" s="6"/>
      <c r="O1658" s="6"/>
      <c r="P1658" s="6"/>
      <c r="Q1658" s="6"/>
      <c r="R1658" s="6"/>
      <c r="S1658" s="6"/>
    </row>
    <row r="1659" ht="22.5" hidden="1" customHeight="1">
      <c r="A1659" s="49"/>
      <c r="B1659" s="61"/>
      <c r="C1659" s="34"/>
      <c r="D1659" s="55"/>
      <c r="E1659" s="59"/>
      <c r="F1659" s="60"/>
      <c r="G1659" s="29"/>
      <c r="H1659" s="6"/>
      <c r="I1659" s="6"/>
      <c r="J1659" s="6"/>
      <c r="K1659" s="6"/>
      <c r="L1659" s="6"/>
      <c r="M1659" s="6"/>
      <c r="N1659" s="6"/>
      <c r="O1659" s="6"/>
      <c r="P1659" s="6"/>
      <c r="Q1659" s="6"/>
      <c r="R1659" s="6"/>
      <c r="S1659" s="6"/>
    </row>
    <row r="1660" ht="22.5" hidden="1" customHeight="1">
      <c r="A1660" s="49"/>
      <c r="B1660" s="61"/>
      <c r="C1660" s="34"/>
      <c r="D1660" s="55"/>
      <c r="E1660" s="59"/>
      <c r="F1660" s="60"/>
      <c r="G1660" s="29"/>
      <c r="H1660" s="6"/>
      <c r="I1660" s="6"/>
      <c r="J1660" s="6"/>
      <c r="K1660" s="6"/>
      <c r="L1660" s="6"/>
      <c r="M1660" s="6"/>
      <c r="N1660" s="6"/>
      <c r="O1660" s="6"/>
      <c r="P1660" s="6"/>
      <c r="Q1660" s="6"/>
      <c r="R1660" s="6"/>
      <c r="S1660" s="6"/>
    </row>
    <row r="1661" ht="22.5" hidden="1" customHeight="1">
      <c r="A1661" s="49"/>
      <c r="B1661" s="61"/>
      <c r="C1661" s="34"/>
      <c r="D1661" s="55"/>
      <c r="E1661" s="59"/>
      <c r="F1661" s="60"/>
      <c r="G1661" s="29"/>
      <c r="H1661" s="6"/>
      <c r="I1661" s="6"/>
      <c r="J1661" s="6"/>
      <c r="K1661" s="6"/>
      <c r="L1661" s="6"/>
      <c r="M1661" s="6"/>
      <c r="N1661" s="6"/>
      <c r="O1661" s="6"/>
      <c r="P1661" s="6"/>
      <c r="Q1661" s="6"/>
      <c r="R1661" s="6"/>
      <c r="S1661" s="6"/>
    </row>
    <row r="1662" ht="22.5" hidden="1" customHeight="1">
      <c r="A1662" s="49"/>
      <c r="B1662" s="61"/>
      <c r="C1662" s="34"/>
      <c r="D1662" s="55"/>
      <c r="E1662" s="59"/>
      <c r="F1662" s="60"/>
      <c r="G1662" s="29"/>
      <c r="H1662" s="6"/>
      <c r="I1662" s="6"/>
      <c r="J1662" s="6"/>
      <c r="K1662" s="6"/>
      <c r="L1662" s="6"/>
      <c r="M1662" s="6"/>
      <c r="N1662" s="6"/>
      <c r="O1662" s="6"/>
      <c r="P1662" s="6"/>
      <c r="Q1662" s="6"/>
      <c r="R1662" s="6"/>
      <c r="S1662" s="6"/>
    </row>
    <row r="1663" ht="22.5" hidden="1" customHeight="1">
      <c r="A1663" s="49"/>
      <c r="B1663" s="61"/>
      <c r="C1663" s="34"/>
      <c r="D1663" s="55"/>
      <c r="E1663" s="59"/>
      <c r="F1663" s="60"/>
      <c r="G1663" s="29"/>
      <c r="H1663" s="6"/>
      <c r="I1663" s="6"/>
      <c r="J1663" s="6"/>
      <c r="K1663" s="6"/>
      <c r="L1663" s="6"/>
      <c r="M1663" s="6"/>
      <c r="N1663" s="6"/>
      <c r="O1663" s="6"/>
      <c r="P1663" s="6"/>
      <c r="Q1663" s="6"/>
      <c r="R1663" s="6"/>
      <c r="S1663" s="6"/>
    </row>
    <row r="1664" ht="22.5" hidden="1" customHeight="1">
      <c r="A1664" s="49"/>
      <c r="B1664" s="61"/>
      <c r="C1664" s="34"/>
      <c r="D1664" s="55"/>
      <c r="E1664" s="59"/>
      <c r="F1664" s="60"/>
      <c r="G1664" s="29"/>
      <c r="H1664" s="6"/>
      <c r="I1664" s="6"/>
      <c r="J1664" s="6"/>
      <c r="K1664" s="6"/>
      <c r="L1664" s="6"/>
      <c r="M1664" s="6"/>
      <c r="N1664" s="6"/>
      <c r="O1664" s="6"/>
      <c r="P1664" s="6"/>
      <c r="Q1664" s="6"/>
      <c r="R1664" s="6"/>
      <c r="S1664" s="6"/>
    </row>
    <row r="1665" ht="22.5" hidden="1" customHeight="1">
      <c r="A1665" s="49"/>
      <c r="B1665" s="61"/>
      <c r="C1665" s="34"/>
      <c r="D1665" s="55"/>
      <c r="E1665" s="59"/>
      <c r="F1665" s="60"/>
      <c r="G1665" s="29"/>
      <c r="H1665" s="6"/>
      <c r="I1665" s="6"/>
      <c r="J1665" s="6"/>
      <c r="K1665" s="6"/>
      <c r="L1665" s="6"/>
      <c r="M1665" s="6"/>
      <c r="N1665" s="6"/>
      <c r="O1665" s="6"/>
      <c r="P1665" s="6"/>
      <c r="Q1665" s="6"/>
      <c r="R1665" s="6"/>
      <c r="S1665" s="6"/>
    </row>
    <row r="1666" ht="22.5" hidden="1" customHeight="1">
      <c r="A1666" s="49"/>
      <c r="B1666" s="61"/>
      <c r="C1666" s="34"/>
      <c r="D1666" s="55"/>
      <c r="E1666" s="59"/>
      <c r="F1666" s="60"/>
      <c r="G1666" s="29"/>
      <c r="H1666" s="6"/>
      <c r="I1666" s="6"/>
      <c r="J1666" s="6"/>
      <c r="K1666" s="6"/>
      <c r="L1666" s="6"/>
      <c r="M1666" s="6"/>
      <c r="N1666" s="6"/>
      <c r="O1666" s="6"/>
      <c r="P1666" s="6"/>
      <c r="Q1666" s="6"/>
      <c r="R1666" s="6"/>
      <c r="S1666" s="6"/>
    </row>
    <row r="1667" ht="22.5" hidden="1" customHeight="1">
      <c r="A1667" s="49"/>
      <c r="B1667" s="61"/>
      <c r="C1667" s="34"/>
      <c r="D1667" s="55"/>
      <c r="E1667" s="59"/>
      <c r="F1667" s="60"/>
      <c r="G1667" s="29"/>
      <c r="H1667" s="6"/>
      <c r="I1667" s="6"/>
      <c r="J1667" s="6"/>
      <c r="K1667" s="6"/>
      <c r="L1667" s="6"/>
      <c r="M1667" s="6"/>
      <c r="N1667" s="6"/>
      <c r="O1667" s="6"/>
      <c r="P1667" s="6"/>
      <c r="Q1667" s="6"/>
      <c r="R1667" s="6"/>
      <c r="S1667" s="6"/>
    </row>
    <row r="1668" ht="22.5" hidden="1" customHeight="1">
      <c r="A1668" s="49"/>
      <c r="B1668" s="61"/>
      <c r="C1668" s="34"/>
      <c r="D1668" s="55"/>
      <c r="E1668" s="59"/>
      <c r="F1668" s="60"/>
      <c r="G1668" s="29"/>
      <c r="H1668" s="6"/>
      <c r="I1668" s="6"/>
      <c r="J1668" s="6"/>
      <c r="K1668" s="6"/>
      <c r="L1668" s="6"/>
      <c r="M1668" s="6"/>
      <c r="N1668" s="6"/>
      <c r="O1668" s="6"/>
      <c r="P1668" s="6"/>
      <c r="Q1668" s="6"/>
      <c r="R1668" s="6"/>
      <c r="S1668" s="6"/>
    </row>
    <row r="1669" ht="22.5" hidden="1" customHeight="1">
      <c r="A1669" s="49"/>
      <c r="B1669" s="61"/>
      <c r="C1669" s="34"/>
      <c r="D1669" s="55"/>
      <c r="E1669" s="59"/>
      <c r="F1669" s="60"/>
      <c r="G1669" s="29"/>
      <c r="H1669" s="6"/>
      <c r="I1669" s="6"/>
      <c r="J1669" s="6"/>
      <c r="K1669" s="6"/>
      <c r="L1669" s="6"/>
      <c r="M1669" s="6"/>
      <c r="N1669" s="6"/>
      <c r="O1669" s="6"/>
      <c r="P1669" s="6"/>
      <c r="Q1669" s="6"/>
      <c r="R1669" s="6"/>
      <c r="S1669" s="6"/>
    </row>
    <row r="1670" ht="22.5" hidden="1" customHeight="1">
      <c r="A1670" s="49"/>
      <c r="B1670" s="61"/>
      <c r="C1670" s="34"/>
      <c r="D1670" s="55"/>
      <c r="E1670" s="59"/>
      <c r="F1670" s="60"/>
      <c r="G1670" s="29"/>
      <c r="H1670" s="6"/>
      <c r="I1670" s="6"/>
      <c r="J1670" s="6"/>
      <c r="K1670" s="6"/>
      <c r="L1670" s="6"/>
      <c r="M1670" s="6"/>
      <c r="N1670" s="6"/>
      <c r="O1670" s="6"/>
      <c r="P1670" s="6"/>
      <c r="Q1670" s="6"/>
      <c r="R1670" s="6"/>
      <c r="S1670" s="6"/>
    </row>
    <row r="1671" ht="22.5" hidden="1" customHeight="1">
      <c r="A1671" s="49"/>
      <c r="B1671" s="61"/>
      <c r="C1671" s="34"/>
      <c r="D1671" s="55"/>
      <c r="E1671" s="59"/>
      <c r="F1671" s="60"/>
      <c r="G1671" s="29"/>
      <c r="H1671" s="6"/>
      <c r="I1671" s="6"/>
      <c r="J1671" s="6"/>
      <c r="K1671" s="6"/>
      <c r="L1671" s="6"/>
      <c r="M1671" s="6"/>
      <c r="N1671" s="6"/>
      <c r="O1671" s="6"/>
      <c r="P1671" s="6"/>
      <c r="Q1671" s="6"/>
      <c r="R1671" s="6"/>
      <c r="S1671" s="6"/>
    </row>
    <row r="1672" ht="22.5" hidden="1" customHeight="1">
      <c r="A1672" s="49"/>
      <c r="B1672" s="61"/>
      <c r="C1672" s="34"/>
      <c r="D1672" s="55"/>
      <c r="E1672" s="59"/>
      <c r="F1672" s="60"/>
      <c r="G1672" s="29"/>
      <c r="H1672" s="6"/>
      <c r="I1672" s="6"/>
      <c r="J1672" s="6"/>
      <c r="K1672" s="6"/>
      <c r="L1672" s="6"/>
      <c r="M1672" s="6"/>
      <c r="N1672" s="6"/>
      <c r="O1672" s="6"/>
      <c r="P1672" s="6"/>
      <c r="Q1672" s="6"/>
      <c r="R1672" s="6"/>
      <c r="S1672" s="6"/>
    </row>
    <row r="1673" ht="22.5" hidden="1" customHeight="1">
      <c r="A1673" s="49"/>
      <c r="B1673" s="61"/>
      <c r="C1673" s="34"/>
      <c r="D1673" s="55"/>
      <c r="E1673" s="59"/>
      <c r="F1673" s="60"/>
      <c r="G1673" s="29"/>
      <c r="H1673" s="6"/>
      <c r="I1673" s="6"/>
      <c r="J1673" s="6"/>
      <c r="K1673" s="6"/>
      <c r="L1673" s="6"/>
      <c r="M1673" s="6"/>
      <c r="N1673" s="6"/>
      <c r="O1673" s="6"/>
      <c r="P1673" s="6"/>
      <c r="Q1673" s="6"/>
      <c r="R1673" s="6"/>
      <c r="S1673" s="6"/>
    </row>
    <row r="1674" ht="22.5" hidden="1" customHeight="1">
      <c r="A1674" s="49"/>
      <c r="B1674" s="61"/>
      <c r="C1674" s="34"/>
      <c r="D1674" s="55"/>
      <c r="E1674" s="59"/>
      <c r="F1674" s="60"/>
      <c r="G1674" s="29"/>
      <c r="H1674" s="6"/>
      <c r="I1674" s="6"/>
      <c r="J1674" s="6"/>
      <c r="K1674" s="6"/>
      <c r="L1674" s="6"/>
      <c r="M1674" s="6"/>
      <c r="N1674" s="6"/>
      <c r="O1674" s="6"/>
      <c r="P1674" s="6"/>
      <c r="Q1674" s="6"/>
      <c r="R1674" s="6"/>
      <c r="S1674" s="6"/>
    </row>
    <row r="1675" ht="22.5" hidden="1" customHeight="1">
      <c r="A1675" s="49"/>
      <c r="B1675" s="61"/>
      <c r="C1675" s="34"/>
      <c r="D1675" s="55"/>
      <c r="E1675" s="59"/>
      <c r="F1675" s="60"/>
      <c r="G1675" s="29"/>
      <c r="H1675" s="6"/>
      <c r="I1675" s="6"/>
      <c r="J1675" s="6"/>
      <c r="K1675" s="6"/>
      <c r="L1675" s="6"/>
      <c r="M1675" s="6"/>
      <c r="N1675" s="6"/>
      <c r="O1675" s="6"/>
      <c r="P1675" s="6"/>
      <c r="Q1675" s="6"/>
      <c r="R1675" s="6"/>
      <c r="S1675" s="6"/>
    </row>
    <row r="1676" ht="22.5" hidden="1" customHeight="1">
      <c r="A1676" s="49"/>
      <c r="B1676" s="61"/>
      <c r="C1676" s="34"/>
      <c r="D1676" s="55"/>
      <c r="E1676" s="59"/>
      <c r="F1676" s="60"/>
      <c r="G1676" s="29"/>
      <c r="H1676" s="6"/>
      <c r="I1676" s="6"/>
      <c r="J1676" s="6"/>
      <c r="K1676" s="6"/>
      <c r="L1676" s="6"/>
      <c r="M1676" s="6"/>
      <c r="N1676" s="6"/>
      <c r="O1676" s="6"/>
      <c r="P1676" s="6"/>
      <c r="Q1676" s="6"/>
      <c r="R1676" s="6"/>
      <c r="S1676" s="6"/>
    </row>
    <row r="1677" ht="22.5" hidden="1" customHeight="1">
      <c r="A1677" s="49"/>
      <c r="B1677" s="61"/>
      <c r="C1677" s="34"/>
      <c r="D1677" s="55"/>
      <c r="E1677" s="59"/>
      <c r="F1677" s="60"/>
      <c r="G1677" s="29"/>
      <c r="H1677" s="6"/>
      <c r="I1677" s="6"/>
      <c r="J1677" s="6"/>
      <c r="K1677" s="6"/>
      <c r="L1677" s="6"/>
      <c r="M1677" s="6"/>
      <c r="N1677" s="6"/>
      <c r="O1677" s="6"/>
      <c r="P1677" s="6"/>
      <c r="Q1677" s="6"/>
      <c r="R1677" s="6"/>
      <c r="S1677" s="6"/>
    </row>
    <row r="1678" ht="22.5" hidden="1" customHeight="1">
      <c r="A1678" s="49"/>
      <c r="B1678" s="61"/>
      <c r="C1678" s="34"/>
      <c r="D1678" s="55"/>
      <c r="E1678" s="59"/>
      <c r="F1678" s="60"/>
      <c r="G1678" s="29"/>
      <c r="H1678" s="6"/>
      <c r="I1678" s="6"/>
      <c r="J1678" s="6"/>
      <c r="K1678" s="6"/>
      <c r="L1678" s="6"/>
      <c r="M1678" s="6"/>
      <c r="N1678" s="6"/>
      <c r="O1678" s="6"/>
      <c r="P1678" s="6"/>
      <c r="Q1678" s="6"/>
      <c r="R1678" s="6"/>
      <c r="S1678" s="6"/>
    </row>
    <row r="1679" ht="22.5" hidden="1" customHeight="1">
      <c r="A1679" s="49"/>
      <c r="B1679" s="61"/>
      <c r="C1679" s="34"/>
      <c r="D1679" s="55"/>
      <c r="E1679" s="59"/>
      <c r="F1679" s="60"/>
      <c r="G1679" s="29"/>
      <c r="H1679" s="6"/>
      <c r="I1679" s="6"/>
      <c r="J1679" s="6"/>
      <c r="K1679" s="6"/>
      <c r="L1679" s="6"/>
      <c r="M1679" s="6"/>
      <c r="N1679" s="6"/>
      <c r="O1679" s="6"/>
      <c r="P1679" s="6"/>
      <c r="Q1679" s="6"/>
      <c r="R1679" s="6"/>
      <c r="S1679" s="6"/>
    </row>
    <row r="1680" ht="22.5" hidden="1" customHeight="1">
      <c r="A1680" s="49"/>
      <c r="B1680" s="61"/>
      <c r="C1680" s="34"/>
      <c r="D1680" s="55"/>
      <c r="E1680" s="59"/>
      <c r="F1680" s="60"/>
      <c r="G1680" s="29"/>
      <c r="H1680" s="6"/>
      <c r="I1680" s="6"/>
      <c r="J1680" s="6"/>
      <c r="K1680" s="6"/>
      <c r="L1680" s="6"/>
      <c r="M1680" s="6"/>
      <c r="N1680" s="6"/>
      <c r="O1680" s="6"/>
      <c r="P1680" s="6"/>
      <c r="Q1680" s="6"/>
      <c r="R1680" s="6"/>
      <c r="S1680" s="6"/>
    </row>
    <row r="1681" ht="22.5" hidden="1" customHeight="1">
      <c r="A1681" s="49"/>
      <c r="B1681" s="61"/>
      <c r="C1681" s="34"/>
      <c r="D1681" s="55"/>
      <c r="E1681" s="59"/>
      <c r="F1681" s="60"/>
      <c r="G1681" s="29"/>
      <c r="H1681" s="6"/>
      <c r="I1681" s="6"/>
      <c r="J1681" s="6"/>
      <c r="K1681" s="6"/>
      <c r="L1681" s="6"/>
      <c r="M1681" s="6"/>
      <c r="N1681" s="6"/>
      <c r="O1681" s="6"/>
      <c r="P1681" s="6"/>
      <c r="Q1681" s="6"/>
      <c r="R1681" s="6"/>
      <c r="S1681" s="6"/>
    </row>
    <row r="1682" ht="22.5" hidden="1" customHeight="1">
      <c r="A1682" s="49"/>
      <c r="B1682" s="61"/>
      <c r="C1682" s="34"/>
      <c r="D1682" s="55"/>
      <c r="E1682" s="59"/>
      <c r="F1682" s="60"/>
      <c r="G1682" s="29"/>
      <c r="H1682" s="6"/>
      <c r="I1682" s="6"/>
      <c r="J1682" s="6"/>
      <c r="K1682" s="6"/>
      <c r="L1682" s="6"/>
      <c r="M1682" s="6"/>
      <c r="N1682" s="6"/>
      <c r="O1682" s="6"/>
      <c r="P1682" s="6"/>
      <c r="Q1682" s="6"/>
      <c r="R1682" s="6"/>
      <c r="S1682" s="6"/>
    </row>
    <row r="1683" ht="22.5" hidden="1" customHeight="1">
      <c r="A1683" s="49"/>
      <c r="B1683" s="61"/>
      <c r="C1683" s="34"/>
      <c r="D1683" s="55"/>
      <c r="E1683" s="59"/>
      <c r="F1683" s="60"/>
      <c r="G1683" s="29"/>
      <c r="H1683" s="6"/>
      <c r="I1683" s="6"/>
      <c r="J1683" s="6"/>
      <c r="K1683" s="6"/>
      <c r="L1683" s="6"/>
      <c r="M1683" s="6"/>
      <c r="N1683" s="6"/>
      <c r="O1683" s="6"/>
      <c r="P1683" s="6"/>
      <c r="Q1683" s="6"/>
      <c r="R1683" s="6"/>
      <c r="S1683" s="6"/>
    </row>
    <row r="1684" ht="22.5" hidden="1" customHeight="1">
      <c r="A1684" s="49"/>
      <c r="B1684" s="61"/>
      <c r="C1684" s="34"/>
      <c r="D1684" s="55"/>
      <c r="E1684" s="59"/>
      <c r="F1684" s="60"/>
      <c r="G1684" s="29"/>
      <c r="H1684" s="6"/>
      <c r="I1684" s="6"/>
      <c r="J1684" s="6"/>
      <c r="K1684" s="6"/>
      <c r="L1684" s="6"/>
      <c r="M1684" s="6"/>
      <c r="N1684" s="6"/>
      <c r="O1684" s="6"/>
      <c r="P1684" s="6"/>
      <c r="Q1684" s="6"/>
      <c r="R1684" s="6"/>
      <c r="S1684" s="6"/>
    </row>
    <row r="1685" ht="22.5" hidden="1" customHeight="1">
      <c r="A1685" s="49"/>
      <c r="B1685" s="61"/>
      <c r="C1685" s="34"/>
      <c r="D1685" s="55"/>
      <c r="E1685" s="59"/>
      <c r="F1685" s="60"/>
      <c r="G1685" s="29"/>
      <c r="H1685" s="6"/>
      <c r="I1685" s="6"/>
      <c r="J1685" s="6"/>
      <c r="K1685" s="6"/>
      <c r="L1685" s="6"/>
      <c r="M1685" s="6"/>
      <c r="N1685" s="6"/>
      <c r="O1685" s="6"/>
      <c r="P1685" s="6"/>
      <c r="Q1685" s="6"/>
      <c r="R1685" s="6"/>
      <c r="S1685" s="6"/>
    </row>
    <row r="1686" ht="22.5" hidden="1" customHeight="1">
      <c r="A1686" s="49"/>
      <c r="B1686" s="61"/>
      <c r="C1686" s="34"/>
      <c r="D1686" s="55"/>
      <c r="E1686" s="59"/>
      <c r="F1686" s="60"/>
      <c r="G1686" s="29"/>
      <c r="H1686" s="6"/>
      <c r="I1686" s="6"/>
      <c r="J1686" s="6"/>
      <c r="K1686" s="6"/>
      <c r="L1686" s="6"/>
      <c r="M1686" s="6"/>
      <c r="N1686" s="6"/>
      <c r="O1686" s="6"/>
      <c r="P1686" s="6"/>
      <c r="Q1686" s="6"/>
      <c r="R1686" s="6"/>
      <c r="S1686" s="6"/>
    </row>
    <row r="1687" ht="22.5" hidden="1" customHeight="1">
      <c r="A1687" s="49"/>
      <c r="B1687" s="61"/>
      <c r="C1687" s="34"/>
      <c r="D1687" s="55"/>
      <c r="E1687" s="59"/>
      <c r="F1687" s="60"/>
      <c r="G1687" s="29"/>
      <c r="H1687" s="6"/>
      <c r="I1687" s="6"/>
      <c r="J1687" s="6"/>
      <c r="K1687" s="6"/>
      <c r="L1687" s="6"/>
      <c r="M1687" s="6"/>
      <c r="N1687" s="6"/>
      <c r="O1687" s="6"/>
      <c r="P1687" s="6"/>
      <c r="Q1687" s="6"/>
      <c r="R1687" s="6"/>
      <c r="S1687" s="6"/>
    </row>
    <row r="1688" ht="22.5" hidden="1" customHeight="1">
      <c r="A1688" s="49"/>
      <c r="B1688" s="61"/>
      <c r="C1688" s="34"/>
      <c r="D1688" s="55"/>
      <c r="E1688" s="59"/>
      <c r="F1688" s="60"/>
      <c r="G1688" s="29"/>
      <c r="H1688" s="6"/>
      <c r="I1688" s="6"/>
      <c r="J1688" s="6"/>
      <c r="K1688" s="6"/>
      <c r="L1688" s="6"/>
      <c r="M1688" s="6"/>
      <c r="N1688" s="6"/>
      <c r="O1688" s="6"/>
      <c r="P1688" s="6"/>
      <c r="Q1688" s="6"/>
      <c r="R1688" s="6"/>
      <c r="S1688" s="6"/>
    </row>
    <row r="1689" ht="22.5" hidden="1" customHeight="1">
      <c r="A1689" s="49"/>
      <c r="B1689" s="61"/>
      <c r="C1689" s="34"/>
      <c r="D1689" s="55"/>
      <c r="E1689" s="59"/>
      <c r="F1689" s="60"/>
      <c r="G1689" s="29"/>
      <c r="H1689" s="6"/>
      <c r="I1689" s="6"/>
      <c r="J1689" s="6"/>
      <c r="K1689" s="6"/>
      <c r="L1689" s="6"/>
      <c r="M1689" s="6"/>
      <c r="N1689" s="6"/>
      <c r="O1689" s="6"/>
      <c r="P1689" s="6"/>
      <c r="Q1689" s="6"/>
      <c r="R1689" s="6"/>
      <c r="S1689" s="6"/>
    </row>
    <row r="1690" ht="22.5" hidden="1" customHeight="1">
      <c r="A1690" s="49"/>
      <c r="B1690" s="61"/>
      <c r="C1690" s="34"/>
      <c r="D1690" s="55"/>
      <c r="E1690" s="59"/>
      <c r="F1690" s="60"/>
      <c r="G1690" s="29"/>
      <c r="H1690" s="6"/>
      <c r="I1690" s="6"/>
      <c r="J1690" s="6"/>
      <c r="K1690" s="6"/>
      <c r="L1690" s="6"/>
      <c r="M1690" s="6"/>
      <c r="N1690" s="6"/>
      <c r="O1690" s="6"/>
      <c r="P1690" s="6"/>
      <c r="Q1690" s="6"/>
      <c r="R1690" s="6"/>
      <c r="S1690" s="6"/>
    </row>
    <row r="1691" ht="22.5" hidden="1" customHeight="1">
      <c r="A1691" s="49"/>
      <c r="B1691" s="61"/>
      <c r="C1691" s="34"/>
      <c r="D1691" s="55"/>
      <c r="E1691" s="59"/>
      <c r="F1691" s="60"/>
      <c r="G1691" s="29"/>
      <c r="H1691" s="6"/>
      <c r="I1691" s="6"/>
      <c r="J1691" s="6"/>
      <c r="K1691" s="6"/>
      <c r="L1691" s="6"/>
      <c r="M1691" s="6"/>
      <c r="N1691" s="6"/>
      <c r="O1691" s="6"/>
      <c r="P1691" s="6"/>
      <c r="Q1691" s="6"/>
      <c r="R1691" s="6"/>
      <c r="S1691" s="6"/>
    </row>
    <row r="1692" ht="22.5" hidden="1" customHeight="1">
      <c r="A1692" s="49"/>
      <c r="B1692" s="61"/>
      <c r="C1692" s="34"/>
      <c r="D1692" s="55"/>
      <c r="E1692" s="59"/>
      <c r="F1692" s="60"/>
      <c r="G1692" s="29"/>
      <c r="H1692" s="6"/>
      <c r="I1692" s="6"/>
      <c r="J1692" s="6"/>
      <c r="K1692" s="6"/>
      <c r="L1692" s="6"/>
      <c r="M1692" s="6"/>
      <c r="N1692" s="6"/>
      <c r="O1692" s="6"/>
      <c r="P1692" s="6"/>
      <c r="Q1692" s="6"/>
      <c r="R1692" s="6"/>
      <c r="S1692" s="6"/>
    </row>
    <row r="1693" ht="22.5" hidden="1" customHeight="1">
      <c r="A1693" s="49"/>
      <c r="B1693" s="61"/>
      <c r="C1693" s="34"/>
      <c r="D1693" s="55"/>
      <c r="E1693" s="59"/>
      <c r="F1693" s="60"/>
      <c r="G1693" s="29"/>
      <c r="H1693" s="6"/>
      <c r="I1693" s="6"/>
      <c r="J1693" s="6"/>
      <c r="K1693" s="6"/>
      <c r="L1693" s="6"/>
      <c r="M1693" s="6"/>
      <c r="N1693" s="6"/>
      <c r="O1693" s="6"/>
      <c r="P1693" s="6"/>
      <c r="Q1693" s="6"/>
      <c r="R1693" s="6"/>
      <c r="S1693" s="6"/>
    </row>
    <row r="1694" ht="22.5" hidden="1" customHeight="1">
      <c r="A1694" s="49"/>
      <c r="B1694" s="61"/>
      <c r="C1694" s="34"/>
      <c r="D1694" s="55"/>
      <c r="E1694" s="59"/>
      <c r="F1694" s="60"/>
      <c r="G1694" s="29"/>
      <c r="H1694" s="6"/>
      <c r="I1694" s="6"/>
      <c r="J1694" s="6"/>
      <c r="K1694" s="6"/>
      <c r="L1694" s="6"/>
      <c r="M1694" s="6"/>
      <c r="N1694" s="6"/>
      <c r="O1694" s="6"/>
      <c r="P1694" s="6"/>
      <c r="Q1694" s="6"/>
      <c r="R1694" s="6"/>
      <c r="S1694" s="6"/>
    </row>
    <row r="1695" ht="22.5" hidden="1" customHeight="1">
      <c r="A1695" s="49"/>
      <c r="B1695" s="61"/>
      <c r="C1695" s="34"/>
      <c r="D1695" s="55"/>
      <c r="E1695" s="59"/>
      <c r="F1695" s="60"/>
      <c r="G1695" s="29"/>
      <c r="H1695" s="6"/>
      <c r="I1695" s="6"/>
      <c r="J1695" s="6"/>
      <c r="K1695" s="6"/>
      <c r="L1695" s="6"/>
      <c r="M1695" s="6"/>
      <c r="N1695" s="6"/>
      <c r="O1695" s="6"/>
      <c r="P1695" s="6"/>
      <c r="Q1695" s="6"/>
      <c r="R1695" s="6"/>
      <c r="S1695" s="6"/>
    </row>
    <row r="1696" ht="22.5" hidden="1" customHeight="1">
      <c r="A1696" s="49"/>
      <c r="B1696" s="61"/>
      <c r="C1696" s="34"/>
      <c r="D1696" s="55"/>
      <c r="E1696" s="59"/>
      <c r="F1696" s="60"/>
      <c r="G1696" s="29"/>
      <c r="H1696" s="6"/>
      <c r="I1696" s="6"/>
      <c r="J1696" s="6"/>
      <c r="K1696" s="6"/>
      <c r="L1696" s="6"/>
      <c r="M1696" s="6"/>
      <c r="N1696" s="6"/>
      <c r="O1696" s="6"/>
      <c r="P1696" s="6"/>
      <c r="Q1696" s="6"/>
      <c r="R1696" s="6"/>
      <c r="S1696" s="6"/>
    </row>
    <row r="1697" ht="22.5" hidden="1" customHeight="1">
      <c r="A1697" s="49"/>
      <c r="B1697" s="61"/>
      <c r="C1697" s="34"/>
      <c r="D1697" s="55"/>
      <c r="E1697" s="59"/>
      <c r="F1697" s="60"/>
      <c r="G1697" s="29"/>
      <c r="H1697" s="6"/>
      <c r="I1697" s="6"/>
      <c r="J1697" s="6"/>
      <c r="K1697" s="6"/>
      <c r="L1697" s="6"/>
      <c r="M1697" s="6"/>
      <c r="N1697" s="6"/>
      <c r="O1697" s="6"/>
      <c r="P1697" s="6"/>
      <c r="Q1697" s="6"/>
      <c r="R1697" s="6"/>
      <c r="S1697" s="6"/>
    </row>
    <row r="1698" ht="22.5" hidden="1" customHeight="1">
      <c r="A1698" s="49"/>
      <c r="B1698" s="61"/>
      <c r="C1698" s="34"/>
      <c r="D1698" s="55"/>
      <c r="E1698" s="59"/>
      <c r="F1698" s="60"/>
      <c r="G1698" s="29"/>
      <c r="H1698" s="6"/>
      <c r="I1698" s="6"/>
      <c r="J1698" s="6"/>
      <c r="K1698" s="6"/>
      <c r="L1698" s="6"/>
      <c r="M1698" s="6"/>
      <c r="N1698" s="6"/>
      <c r="O1698" s="6"/>
      <c r="P1698" s="6"/>
      <c r="Q1698" s="6"/>
      <c r="R1698" s="6"/>
      <c r="S1698" s="6"/>
    </row>
    <row r="1699" ht="22.5" hidden="1" customHeight="1">
      <c r="A1699" s="49"/>
      <c r="B1699" s="61"/>
      <c r="C1699" s="34"/>
      <c r="D1699" s="55"/>
      <c r="E1699" s="59"/>
      <c r="F1699" s="60"/>
      <c r="G1699" s="29"/>
      <c r="H1699" s="6"/>
      <c r="I1699" s="6"/>
      <c r="J1699" s="6"/>
      <c r="K1699" s="6"/>
      <c r="L1699" s="6"/>
      <c r="M1699" s="6"/>
      <c r="N1699" s="6"/>
      <c r="O1699" s="6"/>
      <c r="P1699" s="6"/>
      <c r="Q1699" s="6"/>
      <c r="R1699" s="6"/>
      <c r="S1699" s="6"/>
    </row>
    <row r="1700" ht="22.5" hidden="1" customHeight="1">
      <c r="A1700" s="49"/>
      <c r="B1700" s="61"/>
      <c r="C1700" s="34"/>
      <c r="D1700" s="55"/>
      <c r="E1700" s="59"/>
      <c r="F1700" s="60"/>
      <c r="G1700" s="29"/>
      <c r="H1700" s="6"/>
      <c r="I1700" s="6"/>
      <c r="J1700" s="6"/>
      <c r="K1700" s="6"/>
      <c r="L1700" s="6"/>
      <c r="M1700" s="6"/>
      <c r="N1700" s="6"/>
      <c r="O1700" s="6"/>
      <c r="P1700" s="6"/>
      <c r="Q1700" s="6"/>
      <c r="R1700" s="6"/>
      <c r="S1700" s="6"/>
    </row>
    <row r="1701" ht="22.5" hidden="1" customHeight="1">
      <c r="A1701" s="49"/>
      <c r="B1701" s="61"/>
      <c r="C1701" s="34"/>
      <c r="D1701" s="55"/>
      <c r="E1701" s="59"/>
      <c r="F1701" s="60"/>
      <c r="G1701" s="29"/>
      <c r="H1701" s="6"/>
      <c r="I1701" s="6"/>
      <c r="J1701" s="6"/>
      <c r="K1701" s="6"/>
      <c r="L1701" s="6"/>
      <c r="M1701" s="6"/>
      <c r="N1701" s="6"/>
      <c r="O1701" s="6"/>
      <c r="P1701" s="6"/>
      <c r="Q1701" s="6"/>
      <c r="R1701" s="6"/>
      <c r="S1701" s="6"/>
    </row>
    <row r="1702" ht="22.5" hidden="1" customHeight="1">
      <c r="A1702" s="49"/>
      <c r="B1702" s="61"/>
      <c r="C1702" s="34"/>
      <c r="D1702" s="55"/>
      <c r="E1702" s="59"/>
      <c r="F1702" s="60"/>
      <c r="G1702" s="29"/>
      <c r="H1702" s="6"/>
      <c r="I1702" s="6"/>
      <c r="J1702" s="6"/>
      <c r="K1702" s="6"/>
      <c r="L1702" s="6"/>
      <c r="M1702" s="6"/>
      <c r="N1702" s="6"/>
      <c r="O1702" s="6"/>
      <c r="P1702" s="6"/>
      <c r="Q1702" s="6"/>
      <c r="R1702" s="6"/>
      <c r="S1702" s="6"/>
    </row>
    <row r="1703" ht="22.5" hidden="1" customHeight="1">
      <c r="A1703" s="49"/>
      <c r="B1703" s="61"/>
      <c r="C1703" s="34"/>
      <c r="D1703" s="55"/>
      <c r="E1703" s="59"/>
      <c r="F1703" s="60"/>
      <c r="G1703" s="29"/>
      <c r="H1703" s="6"/>
      <c r="I1703" s="6"/>
      <c r="J1703" s="6"/>
      <c r="K1703" s="6"/>
      <c r="L1703" s="6"/>
      <c r="M1703" s="6"/>
      <c r="N1703" s="6"/>
      <c r="O1703" s="6"/>
      <c r="P1703" s="6"/>
      <c r="Q1703" s="6"/>
      <c r="R1703" s="6"/>
      <c r="S1703" s="6"/>
    </row>
    <row r="1704" ht="22.5" hidden="1" customHeight="1">
      <c r="A1704" s="49"/>
      <c r="B1704" s="61"/>
      <c r="C1704" s="34"/>
      <c r="D1704" s="55"/>
      <c r="E1704" s="59"/>
      <c r="F1704" s="60"/>
      <c r="G1704" s="29"/>
      <c r="H1704" s="6"/>
      <c r="I1704" s="6"/>
      <c r="J1704" s="6"/>
      <c r="K1704" s="6"/>
      <c r="L1704" s="6"/>
      <c r="M1704" s="6"/>
      <c r="N1704" s="6"/>
      <c r="O1704" s="6"/>
      <c r="P1704" s="6"/>
      <c r="Q1704" s="6"/>
      <c r="R1704" s="6"/>
      <c r="S1704" s="6"/>
    </row>
    <row r="1705" ht="22.5" hidden="1" customHeight="1">
      <c r="A1705" s="49"/>
      <c r="B1705" s="61"/>
      <c r="C1705" s="34"/>
      <c r="D1705" s="55"/>
      <c r="E1705" s="59"/>
      <c r="F1705" s="60"/>
      <c r="G1705" s="29"/>
      <c r="H1705" s="6"/>
      <c r="I1705" s="6"/>
      <c r="J1705" s="6"/>
      <c r="K1705" s="6"/>
      <c r="L1705" s="6"/>
      <c r="M1705" s="6"/>
      <c r="N1705" s="6"/>
      <c r="O1705" s="6"/>
      <c r="P1705" s="6"/>
      <c r="Q1705" s="6"/>
      <c r="R1705" s="6"/>
      <c r="S1705" s="6"/>
    </row>
    <row r="1706" ht="22.5" hidden="1" customHeight="1">
      <c r="A1706" s="49"/>
      <c r="B1706" s="61"/>
      <c r="C1706" s="34"/>
      <c r="D1706" s="55"/>
      <c r="E1706" s="59"/>
      <c r="F1706" s="60"/>
      <c r="G1706" s="29"/>
      <c r="H1706" s="6"/>
      <c r="I1706" s="6"/>
      <c r="J1706" s="6"/>
      <c r="K1706" s="6"/>
      <c r="L1706" s="6"/>
      <c r="M1706" s="6"/>
      <c r="N1706" s="6"/>
      <c r="O1706" s="6"/>
      <c r="P1706" s="6"/>
      <c r="Q1706" s="6"/>
      <c r="R1706" s="6"/>
      <c r="S1706" s="6"/>
    </row>
    <row r="1707" ht="22.5" hidden="1" customHeight="1">
      <c r="A1707" s="49"/>
      <c r="B1707" s="61"/>
      <c r="C1707" s="34"/>
      <c r="D1707" s="55"/>
      <c r="E1707" s="59"/>
      <c r="F1707" s="60"/>
      <c r="G1707" s="29"/>
      <c r="H1707" s="6"/>
      <c r="I1707" s="6"/>
      <c r="J1707" s="6"/>
      <c r="K1707" s="6"/>
      <c r="L1707" s="6"/>
      <c r="M1707" s="6"/>
      <c r="N1707" s="6"/>
      <c r="O1707" s="6"/>
      <c r="P1707" s="6"/>
      <c r="Q1707" s="6"/>
      <c r="R1707" s="6"/>
      <c r="S1707" s="6"/>
    </row>
    <row r="1708" ht="22.5" hidden="1" customHeight="1">
      <c r="A1708" s="49"/>
      <c r="B1708" s="61"/>
      <c r="C1708" s="34"/>
      <c r="D1708" s="55"/>
      <c r="E1708" s="59"/>
      <c r="F1708" s="60"/>
      <c r="G1708" s="29"/>
      <c r="H1708" s="6"/>
      <c r="I1708" s="6"/>
      <c r="J1708" s="6"/>
      <c r="K1708" s="6"/>
      <c r="L1708" s="6"/>
      <c r="M1708" s="6"/>
      <c r="N1708" s="6"/>
      <c r="O1708" s="6"/>
      <c r="P1708" s="6"/>
      <c r="Q1708" s="6"/>
      <c r="R1708" s="6"/>
      <c r="S1708" s="6"/>
    </row>
    <row r="1709" ht="22.5" hidden="1" customHeight="1">
      <c r="A1709" s="49"/>
      <c r="B1709" s="61"/>
      <c r="C1709" s="34"/>
      <c r="D1709" s="55"/>
      <c r="E1709" s="59"/>
      <c r="F1709" s="60"/>
      <c r="G1709" s="29"/>
      <c r="H1709" s="6"/>
      <c r="I1709" s="6"/>
      <c r="J1709" s="6"/>
      <c r="K1709" s="6"/>
      <c r="L1709" s="6"/>
      <c r="M1709" s="6"/>
      <c r="N1709" s="6"/>
      <c r="O1709" s="6"/>
      <c r="P1709" s="6"/>
      <c r="Q1709" s="6"/>
      <c r="R1709" s="6"/>
      <c r="S1709" s="6"/>
    </row>
    <row r="1710" ht="22.5" hidden="1" customHeight="1">
      <c r="A1710" s="49"/>
      <c r="B1710" s="61"/>
      <c r="C1710" s="34"/>
      <c r="D1710" s="55"/>
      <c r="E1710" s="59"/>
      <c r="F1710" s="60"/>
      <c r="G1710" s="29"/>
      <c r="H1710" s="6"/>
      <c r="I1710" s="6"/>
      <c r="J1710" s="6"/>
      <c r="K1710" s="6"/>
      <c r="L1710" s="6"/>
      <c r="M1710" s="6"/>
      <c r="N1710" s="6"/>
      <c r="O1710" s="6"/>
      <c r="P1710" s="6"/>
      <c r="Q1710" s="6"/>
      <c r="R1710" s="6"/>
      <c r="S1710" s="6"/>
    </row>
    <row r="1711" ht="22.5" hidden="1" customHeight="1">
      <c r="A1711" s="49"/>
      <c r="B1711" s="61"/>
      <c r="C1711" s="34"/>
      <c r="D1711" s="55"/>
      <c r="E1711" s="59"/>
      <c r="F1711" s="60"/>
      <c r="G1711" s="29"/>
      <c r="H1711" s="6"/>
      <c r="I1711" s="6"/>
      <c r="J1711" s="6"/>
      <c r="K1711" s="6"/>
      <c r="L1711" s="6"/>
      <c r="M1711" s="6"/>
      <c r="N1711" s="6"/>
      <c r="O1711" s="6"/>
      <c r="P1711" s="6"/>
      <c r="Q1711" s="6"/>
      <c r="R1711" s="6"/>
      <c r="S1711" s="6"/>
    </row>
    <row r="1712" ht="22.5" hidden="1" customHeight="1">
      <c r="A1712" s="49"/>
      <c r="B1712" s="61"/>
      <c r="C1712" s="34"/>
      <c r="D1712" s="55"/>
      <c r="E1712" s="59"/>
      <c r="F1712" s="60"/>
      <c r="G1712" s="29"/>
      <c r="H1712" s="6"/>
      <c r="I1712" s="6"/>
      <c r="J1712" s="6"/>
      <c r="K1712" s="6"/>
      <c r="L1712" s="6"/>
      <c r="M1712" s="6"/>
      <c r="N1712" s="6"/>
      <c r="O1712" s="6"/>
      <c r="P1712" s="6"/>
      <c r="Q1712" s="6"/>
      <c r="R1712" s="6"/>
      <c r="S1712" s="6"/>
    </row>
    <row r="1713" ht="22.5" hidden="1" customHeight="1">
      <c r="A1713" s="49"/>
      <c r="B1713" s="61"/>
      <c r="C1713" s="34"/>
      <c r="D1713" s="55"/>
      <c r="E1713" s="59"/>
      <c r="F1713" s="60"/>
      <c r="G1713" s="29"/>
      <c r="H1713" s="6"/>
      <c r="I1713" s="6"/>
      <c r="J1713" s="6"/>
      <c r="K1713" s="6"/>
      <c r="L1713" s="6"/>
      <c r="M1713" s="6"/>
      <c r="N1713" s="6"/>
      <c r="O1713" s="6"/>
      <c r="P1713" s="6"/>
      <c r="Q1713" s="6"/>
      <c r="R1713" s="6"/>
      <c r="S1713" s="6"/>
    </row>
    <row r="1714" ht="22.5" hidden="1" customHeight="1">
      <c r="A1714" s="49"/>
      <c r="B1714" s="61"/>
      <c r="C1714" s="34"/>
      <c r="D1714" s="55"/>
      <c r="E1714" s="59"/>
      <c r="F1714" s="60"/>
      <c r="G1714" s="29"/>
      <c r="H1714" s="6"/>
      <c r="I1714" s="6"/>
      <c r="J1714" s="6"/>
      <c r="K1714" s="6"/>
      <c r="L1714" s="6"/>
      <c r="M1714" s="6"/>
      <c r="N1714" s="6"/>
      <c r="O1714" s="6"/>
      <c r="P1714" s="6"/>
      <c r="Q1714" s="6"/>
      <c r="R1714" s="6"/>
      <c r="S1714" s="6"/>
    </row>
    <row r="1715" ht="22.5" hidden="1" customHeight="1">
      <c r="A1715" s="49"/>
      <c r="B1715" s="61"/>
      <c r="C1715" s="34"/>
      <c r="D1715" s="55"/>
      <c r="E1715" s="59"/>
      <c r="F1715" s="60"/>
      <c r="G1715" s="29"/>
      <c r="H1715" s="6"/>
      <c r="I1715" s="6"/>
      <c r="J1715" s="6"/>
      <c r="K1715" s="6"/>
      <c r="L1715" s="6"/>
      <c r="M1715" s="6"/>
      <c r="N1715" s="6"/>
      <c r="O1715" s="6"/>
      <c r="P1715" s="6"/>
      <c r="Q1715" s="6"/>
      <c r="R1715" s="6"/>
      <c r="S1715" s="6"/>
    </row>
    <row r="1716" ht="22.5" hidden="1" customHeight="1">
      <c r="A1716" s="49"/>
      <c r="B1716" s="61"/>
      <c r="C1716" s="34"/>
      <c r="D1716" s="55"/>
      <c r="E1716" s="59"/>
      <c r="F1716" s="60"/>
      <c r="G1716" s="29"/>
      <c r="H1716" s="6"/>
      <c r="I1716" s="6"/>
      <c r="J1716" s="6"/>
      <c r="K1716" s="6"/>
      <c r="L1716" s="6"/>
      <c r="M1716" s="6"/>
      <c r="N1716" s="6"/>
      <c r="O1716" s="6"/>
      <c r="P1716" s="6"/>
      <c r="Q1716" s="6"/>
      <c r="R1716" s="6"/>
      <c r="S1716" s="6"/>
    </row>
    <row r="1717" ht="22.5" hidden="1" customHeight="1">
      <c r="A1717" s="49"/>
      <c r="B1717" s="61"/>
      <c r="C1717" s="34"/>
      <c r="D1717" s="55"/>
      <c r="E1717" s="59"/>
      <c r="F1717" s="60"/>
      <c r="G1717" s="29"/>
      <c r="H1717" s="6"/>
      <c r="I1717" s="6"/>
      <c r="J1717" s="6"/>
      <c r="K1717" s="6"/>
      <c r="L1717" s="6"/>
      <c r="M1717" s="6"/>
      <c r="N1717" s="6"/>
      <c r="O1717" s="6"/>
      <c r="P1717" s="6"/>
      <c r="Q1717" s="6"/>
      <c r="R1717" s="6"/>
      <c r="S1717" s="6"/>
    </row>
    <row r="1718" ht="22.5" hidden="1" customHeight="1">
      <c r="A1718" s="49"/>
      <c r="B1718" s="61"/>
      <c r="C1718" s="34"/>
      <c r="D1718" s="55"/>
      <c r="E1718" s="59"/>
      <c r="F1718" s="60"/>
      <c r="G1718" s="29"/>
      <c r="H1718" s="6"/>
      <c r="I1718" s="6"/>
      <c r="J1718" s="6"/>
      <c r="K1718" s="6"/>
      <c r="L1718" s="6"/>
      <c r="M1718" s="6"/>
      <c r="N1718" s="6"/>
      <c r="O1718" s="6"/>
      <c r="P1718" s="6"/>
      <c r="Q1718" s="6"/>
      <c r="R1718" s="6"/>
      <c r="S1718" s="6"/>
    </row>
    <row r="1719" ht="22.5" hidden="1" customHeight="1">
      <c r="A1719" s="49"/>
      <c r="B1719" s="61"/>
      <c r="C1719" s="34"/>
      <c r="D1719" s="55"/>
      <c r="E1719" s="59"/>
      <c r="F1719" s="60"/>
      <c r="G1719" s="29"/>
      <c r="H1719" s="6"/>
      <c r="I1719" s="6"/>
      <c r="J1719" s="6"/>
      <c r="K1719" s="6"/>
      <c r="L1719" s="6"/>
      <c r="M1719" s="6"/>
      <c r="N1719" s="6"/>
      <c r="O1719" s="6"/>
      <c r="P1719" s="6"/>
      <c r="Q1719" s="6"/>
      <c r="R1719" s="6"/>
      <c r="S1719" s="6"/>
    </row>
    <row r="1720" ht="22.5" hidden="1" customHeight="1">
      <c r="A1720" s="49"/>
      <c r="B1720" s="61"/>
      <c r="C1720" s="34"/>
      <c r="D1720" s="55"/>
      <c r="E1720" s="59"/>
      <c r="F1720" s="60"/>
      <c r="G1720" s="29"/>
      <c r="H1720" s="6"/>
      <c r="I1720" s="6"/>
      <c r="J1720" s="6"/>
      <c r="K1720" s="6"/>
      <c r="L1720" s="6"/>
      <c r="M1720" s="6"/>
      <c r="N1720" s="6"/>
      <c r="O1720" s="6"/>
      <c r="P1720" s="6"/>
      <c r="Q1720" s="6"/>
      <c r="R1720" s="6"/>
      <c r="S1720" s="6"/>
    </row>
    <row r="1721" ht="22.5" hidden="1" customHeight="1">
      <c r="A1721" s="49"/>
      <c r="B1721" s="61"/>
      <c r="C1721" s="34"/>
      <c r="D1721" s="55"/>
      <c r="E1721" s="59"/>
      <c r="F1721" s="60"/>
      <c r="G1721" s="29"/>
      <c r="H1721" s="6"/>
      <c r="I1721" s="6"/>
      <c r="J1721" s="6"/>
      <c r="K1721" s="6"/>
      <c r="L1721" s="6"/>
      <c r="M1721" s="6"/>
      <c r="N1721" s="6"/>
      <c r="O1721" s="6"/>
      <c r="P1721" s="6"/>
      <c r="Q1721" s="6"/>
      <c r="R1721" s="6"/>
      <c r="S1721" s="6"/>
    </row>
    <row r="1722" ht="22.5" hidden="1" customHeight="1">
      <c r="A1722" s="49"/>
      <c r="B1722" s="61"/>
      <c r="C1722" s="34"/>
      <c r="D1722" s="55"/>
      <c r="E1722" s="59"/>
      <c r="F1722" s="60"/>
      <c r="G1722" s="29"/>
      <c r="H1722" s="6"/>
      <c r="I1722" s="6"/>
      <c r="J1722" s="6"/>
      <c r="K1722" s="6"/>
      <c r="L1722" s="6"/>
      <c r="M1722" s="6"/>
      <c r="N1722" s="6"/>
      <c r="O1722" s="6"/>
      <c r="P1722" s="6"/>
      <c r="Q1722" s="6"/>
      <c r="R1722" s="6"/>
      <c r="S1722" s="6"/>
    </row>
    <row r="1723" ht="22.5" hidden="1" customHeight="1">
      <c r="A1723" s="49"/>
      <c r="B1723" s="61"/>
      <c r="C1723" s="34"/>
      <c r="D1723" s="55"/>
      <c r="E1723" s="59"/>
      <c r="F1723" s="60"/>
      <c r="G1723" s="29"/>
      <c r="H1723" s="6"/>
      <c r="I1723" s="6"/>
      <c r="J1723" s="6"/>
      <c r="K1723" s="6"/>
      <c r="L1723" s="6"/>
      <c r="M1723" s="6"/>
      <c r="N1723" s="6"/>
      <c r="O1723" s="6"/>
      <c r="P1723" s="6"/>
      <c r="Q1723" s="6"/>
      <c r="R1723" s="6"/>
      <c r="S1723" s="6"/>
    </row>
    <row r="1724" ht="22.5" hidden="1" customHeight="1">
      <c r="A1724" s="49"/>
      <c r="B1724" s="61"/>
      <c r="C1724" s="34"/>
      <c r="D1724" s="55"/>
      <c r="E1724" s="59"/>
      <c r="F1724" s="60"/>
      <c r="G1724" s="29"/>
      <c r="H1724" s="6"/>
      <c r="I1724" s="6"/>
      <c r="J1724" s="6"/>
      <c r="K1724" s="6"/>
      <c r="L1724" s="6"/>
      <c r="M1724" s="6"/>
      <c r="N1724" s="6"/>
      <c r="O1724" s="6"/>
      <c r="P1724" s="6"/>
      <c r="Q1724" s="6"/>
      <c r="R1724" s="6"/>
      <c r="S1724" s="6"/>
    </row>
    <row r="1725" ht="22.5" hidden="1" customHeight="1">
      <c r="A1725" s="49"/>
      <c r="B1725" s="61"/>
      <c r="C1725" s="34"/>
      <c r="D1725" s="55"/>
      <c r="E1725" s="59"/>
      <c r="F1725" s="60"/>
      <c r="G1725" s="29"/>
      <c r="H1725" s="6"/>
      <c r="I1725" s="6"/>
      <c r="J1725" s="6"/>
      <c r="K1725" s="6"/>
      <c r="L1725" s="6"/>
      <c r="M1725" s="6"/>
      <c r="N1725" s="6"/>
      <c r="O1725" s="6"/>
      <c r="P1725" s="6"/>
      <c r="Q1725" s="6"/>
      <c r="R1725" s="6"/>
      <c r="S1725" s="6"/>
    </row>
    <row r="1726" ht="22.5" hidden="1" customHeight="1">
      <c r="A1726" s="49"/>
      <c r="B1726" s="61"/>
      <c r="C1726" s="34"/>
      <c r="D1726" s="55"/>
      <c r="E1726" s="59"/>
      <c r="F1726" s="60"/>
      <c r="G1726" s="29"/>
      <c r="H1726" s="6"/>
      <c r="I1726" s="6"/>
      <c r="J1726" s="6"/>
      <c r="K1726" s="6"/>
      <c r="L1726" s="6"/>
      <c r="M1726" s="6"/>
      <c r="N1726" s="6"/>
      <c r="O1726" s="6"/>
      <c r="P1726" s="6"/>
      <c r="Q1726" s="6"/>
      <c r="R1726" s="6"/>
      <c r="S1726" s="6"/>
    </row>
    <row r="1727" ht="22.5" hidden="1" customHeight="1">
      <c r="A1727" s="49"/>
      <c r="B1727" s="61"/>
      <c r="C1727" s="34"/>
      <c r="D1727" s="55"/>
      <c r="E1727" s="59"/>
      <c r="F1727" s="60"/>
      <c r="G1727" s="29"/>
      <c r="H1727" s="6"/>
      <c r="I1727" s="6"/>
      <c r="J1727" s="6"/>
      <c r="K1727" s="6"/>
      <c r="L1727" s="6"/>
      <c r="M1727" s="6"/>
      <c r="N1727" s="6"/>
      <c r="O1727" s="6"/>
      <c r="P1727" s="6"/>
      <c r="Q1727" s="6"/>
      <c r="R1727" s="6"/>
      <c r="S1727" s="6"/>
    </row>
    <row r="1728" ht="22.5" hidden="1" customHeight="1">
      <c r="A1728" s="49"/>
      <c r="B1728" s="61"/>
      <c r="C1728" s="34"/>
      <c r="D1728" s="55"/>
      <c r="E1728" s="59"/>
      <c r="F1728" s="60"/>
      <c r="G1728" s="29"/>
      <c r="H1728" s="6"/>
      <c r="I1728" s="6"/>
      <c r="J1728" s="6"/>
      <c r="K1728" s="6"/>
      <c r="L1728" s="6"/>
      <c r="M1728" s="6"/>
      <c r="N1728" s="6"/>
      <c r="O1728" s="6"/>
      <c r="P1728" s="6"/>
      <c r="Q1728" s="6"/>
      <c r="R1728" s="6"/>
      <c r="S1728" s="6"/>
    </row>
    <row r="1729" ht="22.5" hidden="1" customHeight="1">
      <c r="A1729" s="49"/>
      <c r="B1729" s="61"/>
      <c r="C1729" s="34"/>
      <c r="D1729" s="55"/>
      <c r="E1729" s="59"/>
      <c r="F1729" s="60"/>
      <c r="G1729" s="29"/>
      <c r="H1729" s="6"/>
      <c r="I1729" s="6"/>
      <c r="J1729" s="6"/>
      <c r="K1729" s="6"/>
      <c r="L1729" s="6"/>
      <c r="M1729" s="6"/>
      <c r="N1729" s="6"/>
      <c r="O1729" s="6"/>
      <c r="P1729" s="6"/>
      <c r="Q1729" s="6"/>
      <c r="R1729" s="6"/>
      <c r="S1729" s="6"/>
    </row>
    <row r="1730" ht="22.5" hidden="1" customHeight="1">
      <c r="A1730" s="49"/>
      <c r="B1730" s="61"/>
      <c r="C1730" s="34"/>
      <c r="D1730" s="55"/>
      <c r="E1730" s="59"/>
      <c r="F1730" s="60"/>
      <c r="G1730" s="29"/>
      <c r="H1730" s="6"/>
      <c r="I1730" s="6"/>
      <c r="J1730" s="6"/>
      <c r="K1730" s="6"/>
      <c r="L1730" s="6"/>
      <c r="M1730" s="6"/>
      <c r="N1730" s="6"/>
      <c r="O1730" s="6"/>
      <c r="P1730" s="6"/>
      <c r="Q1730" s="6"/>
      <c r="R1730" s="6"/>
      <c r="S1730" s="6"/>
    </row>
    <row r="1731" ht="22.5" hidden="1" customHeight="1">
      <c r="A1731" s="49"/>
      <c r="B1731" s="61"/>
      <c r="C1731" s="34"/>
      <c r="D1731" s="55"/>
      <c r="E1731" s="59"/>
      <c r="F1731" s="60"/>
      <c r="G1731" s="29"/>
      <c r="H1731" s="6"/>
      <c r="I1731" s="6"/>
      <c r="J1731" s="6"/>
      <c r="K1731" s="6"/>
      <c r="L1731" s="6"/>
      <c r="M1731" s="6"/>
      <c r="N1731" s="6"/>
      <c r="O1731" s="6"/>
      <c r="P1731" s="6"/>
      <c r="Q1731" s="6"/>
      <c r="R1731" s="6"/>
      <c r="S1731" s="6"/>
    </row>
    <row r="1732" ht="22.5" hidden="1" customHeight="1">
      <c r="A1732" s="49"/>
      <c r="B1732" s="61"/>
      <c r="C1732" s="34"/>
      <c r="D1732" s="55"/>
      <c r="E1732" s="59"/>
      <c r="F1732" s="60"/>
      <c r="G1732" s="29"/>
      <c r="H1732" s="6"/>
      <c r="I1732" s="6"/>
      <c r="J1732" s="6"/>
      <c r="K1732" s="6"/>
      <c r="L1732" s="6"/>
      <c r="M1732" s="6"/>
      <c r="N1732" s="6"/>
      <c r="O1732" s="6"/>
      <c r="P1732" s="6"/>
      <c r="Q1732" s="6"/>
      <c r="R1732" s="6"/>
      <c r="S1732" s="6"/>
    </row>
    <row r="1733" ht="22.5" hidden="1" customHeight="1">
      <c r="A1733" s="49"/>
      <c r="B1733" s="61"/>
      <c r="C1733" s="34"/>
      <c r="D1733" s="55"/>
      <c r="E1733" s="59"/>
      <c r="F1733" s="60"/>
      <c r="G1733" s="29"/>
      <c r="H1733" s="6"/>
      <c r="I1733" s="6"/>
      <c r="J1733" s="6"/>
      <c r="K1733" s="6"/>
      <c r="L1733" s="6"/>
      <c r="M1733" s="6"/>
      <c r="N1733" s="6"/>
      <c r="O1733" s="6"/>
      <c r="P1733" s="6"/>
      <c r="Q1733" s="6"/>
      <c r="R1733" s="6"/>
      <c r="S1733" s="6"/>
    </row>
    <row r="1734" ht="22.5" hidden="1" customHeight="1">
      <c r="A1734" s="49"/>
      <c r="B1734" s="61"/>
      <c r="C1734" s="34"/>
      <c r="D1734" s="55"/>
      <c r="E1734" s="59"/>
      <c r="F1734" s="60"/>
      <c r="G1734" s="29"/>
      <c r="H1734" s="6"/>
      <c r="I1734" s="6"/>
      <c r="J1734" s="6"/>
      <c r="K1734" s="6"/>
      <c r="L1734" s="6"/>
      <c r="M1734" s="6"/>
      <c r="N1734" s="6"/>
      <c r="O1734" s="6"/>
      <c r="P1734" s="6"/>
      <c r="Q1734" s="6"/>
      <c r="R1734" s="6"/>
      <c r="S1734" s="6"/>
    </row>
    <row r="1735" ht="22.5" hidden="1" customHeight="1">
      <c r="A1735" s="49"/>
      <c r="B1735" s="61"/>
      <c r="C1735" s="34"/>
      <c r="D1735" s="55"/>
      <c r="E1735" s="59"/>
      <c r="F1735" s="60"/>
      <c r="G1735" s="29"/>
      <c r="H1735" s="6"/>
      <c r="I1735" s="6"/>
      <c r="J1735" s="6"/>
      <c r="K1735" s="6"/>
      <c r="L1735" s="6"/>
      <c r="M1735" s="6"/>
      <c r="N1735" s="6"/>
      <c r="O1735" s="6"/>
      <c r="P1735" s="6"/>
      <c r="Q1735" s="6"/>
      <c r="R1735" s="6"/>
      <c r="S1735" s="6"/>
    </row>
    <row r="1736" ht="22.5" hidden="1" customHeight="1">
      <c r="A1736" s="49"/>
      <c r="B1736" s="61"/>
      <c r="C1736" s="34"/>
      <c r="D1736" s="55"/>
      <c r="E1736" s="59"/>
      <c r="F1736" s="60"/>
      <c r="G1736" s="29"/>
      <c r="H1736" s="6"/>
      <c r="I1736" s="6"/>
      <c r="J1736" s="6"/>
      <c r="K1736" s="6"/>
      <c r="L1736" s="6"/>
      <c r="M1736" s="6"/>
      <c r="N1736" s="6"/>
      <c r="O1736" s="6"/>
      <c r="P1736" s="6"/>
      <c r="Q1736" s="6"/>
      <c r="R1736" s="6"/>
      <c r="S1736" s="6"/>
    </row>
    <row r="1737" ht="22.5" hidden="1" customHeight="1">
      <c r="A1737" s="49"/>
      <c r="B1737" s="61"/>
      <c r="C1737" s="34"/>
      <c r="D1737" s="55"/>
      <c r="E1737" s="59"/>
      <c r="F1737" s="60"/>
      <c r="G1737" s="29"/>
      <c r="H1737" s="6"/>
      <c r="I1737" s="6"/>
      <c r="J1737" s="6"/>
      <c r="K1737" s="6"/>
      <c r="L1737" s="6"/>
      <c r="M1737" s="6"/>
      <c r="N1737" s="6"/>
      <c r="O1737" s="6"/>
      <c r="P1737" s="6"/>
      <c r="Q1737" s="6"/>
      <c r="R1737" s="6"/>
      <c r="S1737" s="6"/>
    </row>
    <row r="1738" ht="22.5" hidden="1" customHeight="1">
      <c r="A1738" s="49"/>
      <c r="B1738" s="61"/>
      <c r="C1738" s="34"/>
      <c r="D1738" s="55"/>
      <c r="E1738" s="59"/>
      <c r="F1738" s="60"/>
      <c r="G1738" s="29"/>
      <c r="H1738" s="6"/>
      <c r="I1738" s="6"/>
      <c r="J1738" s="6"/>
      <c r="K1738" s="6"/>
      <c r="L1738" s="6"/>
      <c r="M1738" s="6"/>
      <c r="N1738" s="6"/>
      <c r="O1738" s="6"/>
      <c r="P1738" s="6"/>
      <c r="Q1738" s="6"/>
      <c r="R1738" s="6"/>
      <c r="S1738" s="6"/>
    </row>
    <row r="1739" ht="22.5" hidden="1" customHeight="1">
      <c r="A1739" s="49"/>
      <c r="B1739" s="61"/>
      <c r="C1739" s="34"/>
      <c r="D1739" s="55"/>
      <c r="E1739" s="59"/>
      <c r="F1739" s="60"/>
      <c r="G1739" s="29"/>
      <c r="H1739" s="6"/>
      <c r="I1739" s="6"/>
      <c r="J1739" s="6"/>
      <c r="K1739" s="6"/>
      <c r="L1739" s="6"/>
      <c r="M1739" s="6"/>
      <c r="N1739" s="6"/>
      <c r="O1739" s="6"/>
      <c r="P1739" s="6"/>
      <c r="Q1739" s="6"/>
      <c r="R1739" s="6"/>
      <c r="S1739" s="6"/>
    </row>
    <row r="1740" ht="22.5" hidden="1" customHeight="1">
      <c r="A1740" s="49"/>
      <c r="B1740" s="61"/>
      <c r="C1740" s="34"/>
      <c r="D1740" s="55"/>
      <c r="E1740" s="59"/>
      <c r="F1740" s="60"/>
      <c r="G1740" s="29"/>
      <c r="H1740" s="6"/>
      <c r="I1740" s="6"/>
      <c r="J1740" s="6"/>
      <c r="K1740" s="6"/>
      <c r="L1740" s="6"/>
      <c r="M1740" s="6"/>
      <c r="N1740" s="6"/>
      <c r="O1740" s="6"/>
      <c r="P1740" s="6"/>
      <c r="Q1740" s="6"/>
      <c r="R1740" s="6"/>
      <c r="S1740" s="6"/>
    </row>
    <row r="1741" ht="22.5" hidden="1" customHeight="1">
      <c r="A1741" s="49"/>
      <c r="B1741" s="61"/>
      <c r="C1741" s="34"/>
      <c r="D1741" s="55"/>
      <c r="E1741" s="59"/>
      <c r="F1741" s="60"/>
      <c r="G1741" s="29"/>
      <c r="H1741" s="6"/>
      <c r="I1741" s="6"/>
      <c r="J1741" s="6"/>
      <c r="K1741" s="6"/>
      <c r="L1741" s="6"/>
      <c r="M1741" s="6"/>
      <c r="N1741" s="6"/>
      <c r="O1741" s="6"/>
      <c r="P1741" s="6"/>
      <c r="Q1741" s="6"/>
      <c r="R1741" s="6"/>
      <c r="S1741" s="6"/>
    </row>
    <row r="1742" ht="22.5" hidden="1" customHeight="1">
      <c r="A1742" s="49"/>
      <c r="B1742" s="61"/>
      <c r="C1742" s="34"/>
      <c r="D1742" s="55"/>
      <c r="E1742" s="59"/>
      <c r="F1742" s="60"/>
      <c r="G1742" s="29"/>
      <c r="H1742" s="6"/>
      <c r="I1742" s="6"/>
      <c r="J1742" s="6"/>
      <c r="K1742" s="6"/>
      <c r="L1742" s="6"/>
      <c r="M1742" s="6"/>
      <c r="N1742" s="6"/>
      <c r="O1742" s="6"/>
      <c r="P1742" s="6"/>
      <c r="Q1742" s="6"/>
      <c r="R1742" s="6"/>
      <c r="S1742" s="6"/>
    </row>
    <row r="1743" ht="22.5" hidden="1" customHeight="1">
      <c r="A1743" s="49"/>
      <c r="B1743" s="61"/>
      <c r="C1743" s="34"/>
      <c r="D1743" s="55"/>
      <c r="E1743" s="59"/>
      <c r="F1743" s="60"/>
      <c r="G1743" s="29"/>
      <c r="H1743" s="6"/>
      <c r="I1743" s="6"/>
      <c r="J1743" s="6"/>
      <c r="K1743" s="6"/>
      <c r="L1743" s="6"/>
      <c r="M1743" s="6"/>
      <c r="N1743" s="6"/>
      <c r="O1743" s="6"/>
      <c r="P1743" s="6"/>
      <c r="Q1743" s="6"/>
      <c r="R1743" s="6"/>
      <c r="S1743" s="6"/>
    </row>
    <row r="1744" ht="22.5" hidden="1" customHeight="1">
      <c r="A1744" s="49"/>
      <c r="B1744" s="61"/>
      <c r="C1744" s="34"/>
      <c r="D1744" s="55"/>
      <c r="E1744" s="59"/>
      <c r="F1744" s="60"/>
      <c r="G1744" s="29"/>
      <c r="H1744" s="6"/>
      <c r="I1744" s="6"/>
      <c r="J1744" s="6"/>
      <c r="K1744" s="6"/>
      <c r="L1744" s="6"/>
      <c r="M1744" s="6"/>
      <c r="N1744" s="6"/>
      <c r="O1744" s="6"/>
      <c r="P1744" s="6"/>
      <c r="Q1744" s="6"/>
      <c r="R1744" s="6"/>
      <c r="S1744" s="6"/>
    </row>
    <row r="1745" ht="22.5" hidden="1" customHeight="1">
      <c r="A1745" s="49"/>
      <c r="B1745" s="61"/>
      <c r="C1745" s="34"/>
      <c r="D1745" s="55"/>
      <c r="E1745" s="59"/>
      <c r="F1745" s="60"/>
      <c r="G1745" s="29"/>
      <c r="H1745" s="6"/>
      <c r="I1745" s="6"/>
      <c r="J1745" s="6"/>
      <c r="K1745" s="6"/>
      <c r="L1745" s="6"/>
      <c r="M1745" s="6"/>
      <c r="N1745" s="6"/>
      <c r="O1745" s="6"/>
      <c r="P1745" s="6"/>
      <c r="Q1745" s="6"/>
      <c r="R1745" s="6"/>
      <c r="S1745" s="6"/>
    </row>
    <row r="1746" ht="22.5" hidden="1" customHeight="1">
      <c r="A1746" s="49"/>
      <c r="B1746" s="61"/>
      <c r="C1746" s="34"/>
      <c r="D1746" s="55"/>
      <c r="E1746" s="59"/>
      <c r="F1746" s="60"/>
      <c r="G1746" s="29"/>
      <c r="H1746" s="6"/>
      <c r="I1746" s="6"/>
      <c r="J1746" s="6"/>
      <c r="K1746" s="6"/>
      <c r="L1746" s="6"/>
      <c r="M1746" s="6"/>
      <c r="N1746" s="6"/>
      <c r="O1746" s="6"/>
      <c r="P1746" s="6"/>
      <c r="Q1746" s="6"/>
      <c r="R1746" s="6"/>
      <c r="S1746" s="6"/>
    </row>
    <row r="1747" ht="22.5" hidden="1" customHeight="1">
      <c r="A1747" s="49"/>
      <c r="B1747" s="61"/>
      <c r="C1747" s="34"/>
      <c r="D1747" s="55"/>
      <c r="E1747" s="59"/>
      <c r="F1747" s="60"/>
      <c r="G1747" s="29"/>
      <c r="H1747" s="6"/>
      <c r="I1747" s="6"/>
      <c r="J1747" s="6"/>
      <c r="K1747" s="6"/>
      <c r="L1747" s="6"/>
      <c r="M1747" s="6"/>
      <c r="N1747" s="6"/>
      <c r="O1747" s="6"/>
      <c r="P1747" s="6"/>
      <c r="Q1747" s="6"/>
      <c r="R1747" s="6"/>
      <c r="S1747" s="6"/>
    </row>
    <row r="1748" ht="22.5" hidden="1" customHeight="1">
      <c r="A1748" s="49"/>
      <c r="B1748" s="61"/>
      <c r="C1748" s="34"/>
      <c r="D1748" s="55"/>
      <c r="E1748" s="59"/>
      <c r="F1748" s="60"/>
      <c r="G1748" s="29"/>
      <c r="H1748" s="6"/>
      <c r="I1748" s="6"/>
      <c r="J1748" s="6"/>
      <c r="K1748" s="6"/>
      <c r="L1748" s="6"/>
      <c r="M1748" s="6"/>
      <c r="N1748" s="6"/>
      <c r="O1748" s="6"/>
      <c r="P1748" s="6"/>
      <c r="Q1748" s="6"/>
      <c r="R1748" s="6"/>
      <c r="S1748" s="6"/>
    </row>
    <row r="1749" ht="22.5" hidden="1" customHeight="1">
      <c r="A1749" s="49"/>
      <c r="B1749" s="61"/>
      <c r="C1749" s="34"/>
      <c r="D1749" s="55"/>
      <c r="E1749" s="59"/>
      <c r="F1749" s="60"/>
      <c r="G1749" s="29"/>
      <c r="H1749" s="6"/>
      <c r="I1749" s="6"/>
      <c r="J1749" s="6"/>
      <c r="K1749" s="6"/>
      <c r="L1749" s="6"/>
      <c r="M1749" s="6"/>
      <c r="N1749" s="6"/>
      <c r="O1749" s="6"/>
      <c r="P1749" s="6"/>
      <c r="Q1749" s="6"/>
      <c r="R1749" s="6"/>
      <c r="S1749" s="6"/>
    </row>
    <row r="1750" ht="22.5" hidden="1" customHeight="1">
      <c r="A1750" s="49"/>
      <c r="B1750" s="61"/>
      <c r="C1750" s="34"/>
      <c r="D1750" s="55"/>
      <c r="E1750" s="59"/>
      <c r="F1750" s="60"/>
      <c r="G1750" s="29"/>
      <c r="H1750" s="6"/>
      <c r="I1750" s="6"/>
      <c r="J1750" s="6"/>
      <c r="K1750" s="6"/>
      <c r="L1750" s="6"/>
      <c r="M1750" s="6"/>
      <c r="N1750" s="6"/>
      <c r="O1750" s="6"/>
      <c r="P1750" s="6"/>
      <c r="Q1750" s="6"/>
      <c r="R1750" s="6"/>
      <c r="S1750" s="6"/>
    </row>
    <row r="1751" ht="22.5" hidden="1" customHeight="1">
      <c r="A1751" s="49"/>
      <c r="B1751" s="61"/>
      <c r="C1751" s="34"/>
      <c r="D1751" s="55"/>
      <c r="E1751" s="59"/>
      <c r="F1751" s="60"/>
      <c r="G1751" s="29"/>
      <c r="H1751" s="6"/>
      <c r="I1751" s="6"/>
      <c r="J1751" s="6"/>
      <c r="K1751" s="6"/>
      <c r="L1751" s="6"/>
      <c r="M1751" s="6"/>
      <c r="N1751" s="6"/>
      <c r="O1751" s="6"/>
      <c r="P1751" s="6"/>
      <c r="Q1751" s="6"/>
      <c r="R1751" s="6"/>
      <c r="S1751" s="6"/>
    </row>
    <row r="1752" ht="22.5" hidden="1" customHeight="1">
      <c r="A1752" s="49"/>
      <c r="B1752" s="61"/>
      <c r="C1752" s="34"/>
      <c r="D1752" s="55"/>
      <c r="E1752" s="59"/>
      <c r="F1752" s="60"/>
      <c r="G1752" s="29"/>
      <c r="H1752" s="6"/>
      <c r="I1752" s="6"/>
      <c r="J1752" s="6"/>
      <c r="K1752" s="6"/>
      <c r="L1752" s="6"/>
      <c r="M1752" s="6"/>
      <c r="N1752" s="6"/>
      <c r="O1752" s="6"/>
      <c r="P1752" s="6"/>
      <c r="Q1752" s="6"/>
      <c r="R1752" s="6"/>
      <c r="S1752" s="6"/>
    </row>
    <row r="1753" ht="22.5" hidden="1" customHeight="1">
      <c r="A1753" s="49"/>
      <c r="B1753" s="61"/>
      <c r="C1753" s="34"/>
      <c r="D1753" s="55"/>
      <c r="E1753" s="59"/>
      <c r="F1753" s="60"/>
      <c r="G1753" s="29"/>
      <c r="H1753" s="6"/>
      <c r="I1753" s="6"/>
      <c r="J1753" s="6"/>
      <c r="K1753" s="6"/>
      <c r="L1753" s="6"/>
      <c r="M1753" s="6"/>
      <c r="N1753" s="6"/>
      <c r="O1753" s="6"/>
      <c r="P1753" s="6"/>
      <c r="Q1753" s="6"/>
      <c r="R1753" s="6"/>
      <c r="S1753" s="6"/>
    </row>
    <row r="1754" ht="22.5" hidden="1" customHeight="1">
      <c r="A1754" s="49"/>
      <c r="B1754" s="61"/>
      <c r="C1754" s="34"/>
      <c r="D1754" s="55"/>
      <c r="E1754" s="59"/>
      <c r="F1754" s="60"/>
      <c r="G1754" s="29"/>
      <c r="H1754" s="6"/>
      <c r="I1754" s="6"/>
      <c r="J1754" s="6"/>
      <c r="K1754" s="6"/>
      <c r="L1754" s="6"/>
      <c r="M1754" s="6"/>
      <c r="N1754" s="6"/>
      <c r="O1754" s="6"/>
      <c r="P1754" s="6"/>
      <c r="Q1754" s="6"/>
      <c r="R1754" s="6"/>
      <c r="S1754" s="6"/>
    </row>
    <row r="1755" ht="22.5" hidden="1" customHeight="1">
      <c r="A1755" s="49"/>
      <c r="B1755" s="61"/>
      <c r="C1755" s="34"/>
      <c r="D1755" s="55"/>
      <c r="E1755" s="59"/>
      <c r="F1755" s="60"/>
      <c r="G1755" s="29"/>
      <c r="H1755" s="6"/>
      <c r="I1755" s="6"/>
      <c r="J1755" s="6"/>
      <c r="K1755" s="6"/>
      <c r="L1755" s="6"/>
      <c r="M1755" s="6"/>
      <c r="N1755" s="6"/>
      <c r="O1755" s="6"/>
      <c r="P1755" s="6"/>
      <c r="Q1755" s="6"/>
      <c r="R1755" s="6"/>
      <c r="S1755" s="6"/>
    </row>
    <row r="1756" ht="22.5" hidden="1" customHeight="1">
      <c r="A1756" s="49"/>
      <c r="B1756" s="61"/>
      <c r="C1756" s="34"/>
      <c r="D1756" s="55"/>
      <c r="E1756" s="59"/>
      <c r="F1756" s="60"/>
      <c r="G1756" s="29"/>
      <c r="H1756" s="6"/>
      <c r="I1756" s="6"/>
      <c r="J1756" s="6"/>
      <c r="K1756" s="6"/>
      <c r="L1756" s="6"/>
      <c r="M1756" s="6"/>
      <c r="N1756" s="6"/>
      <c r="O1756" s="6"/>
      <c r="P1756" s="6"/>
      <c r="Q1756" s="6"/>
      <c r="R1756" s="6"/>
      <c r="S1756" s="6"/>
    </row>
    <row r="1757" ht="22.5" hidden="1" customHeight="1">
      <c r="A1757" s="49"/>
      <c r="B1757" s="61"/>
      <c r="C1757" s="34"/>
      <c r="D1757" s="55"/>
      <c r="E1757" s="59"/>
      <c r="F1757" s="60"/>
      <c r="G1757" s="29"/>
      <c r="H1757" s="6"/>
      <c r="I1757" s="6"/>
      <c r="J1757" s="6"/>
      <c r="K1757" s="6"/>
      <c r="L1757" s="6"/>
      <c r="M1757" s="6"/>
      <c r="N1757" s="6"/>
      <c r="O1757" s="6"/>
      <c r="P1757" s="6"/>
      <c r="Q1757" s="6"/>
      <c r="R1757" s="6"/>
      <c r="S1757" s="6"/>
    </row>
    <row r="1758" ht="22.5" hidden="1" customHeight="1">
      <c r="A1758" s="49"/>
      <c r="B1758" s="61"/>
      <c r="C1758" s="34"/>
      <c r="D1758" s="55"/>
      <c r="E1758" s="59"/>
      <c r="F1758" s="60"/>
      <c r="G1758" s="29"/>
      <c r="H1758" s="6"/>
      <c r="I1758" s="6"/>
      <c r="J1758" s="6"/>
      <c r="K1758" s="6"/>
      <c r="L1758" s="6"/>
      <c r="M1758" s="6"/>
      <c r="N1758" s="6"/>
      <c r="O1758" s="6"/>
      <c r="P1758" s="6"/>
      <c r="Q1758" s="6"/>
      <c r="R1758" s="6"/>
      <c r="S1758" s="6"/>
    </row>
    <row r="1759" ht="22.5" hidden="1" customHeight="1">
      <c r="A1759" s="49"/>
      <c r="B1759" s="61"/>
      <c r="C1759" s="34"/>
      <c r="D1759" s="55"/>
      <c r="E1759" s="59"/>
      <c r="F1759" s="60"/>
      <c r="G1759" s="29"/>
      <c r="H1759" s="6"/>
      <c r="I1759" s="6"/>
      <c r="J1759" s="6"/>
      <c r="K1759" s="6"/>
      <c r="L1759" s="6"/>
      <c r="M1759" s="6"/>
      <c r="N1759" s="6"/>
      <c r="O1759" s="6"/>
      <c r="P1759" s="6"/>
      <c r="Q1759" s="6"/>
      <c r="R1759" s="6"/>
      <c r="S1759" s="6"/>
    </row>
    <row r="1760" ht="22.5" hidden="1" customHeight="1">
      <c r="A1760" s="49"/>
      <c r="B1760" s="61"/>
      <c r="C1760" s="34"/>
      <c r="D1760" s="55"/>
      <c r="E1760" s="59"/>
      <c r="F1760" s="60"/>
      <c r="G1760" s="29"/>
      <c r="H1760" s="6"/>
      <c r="I1760" s="6"/>
      <c r="J1760" s="6"/>
      <c r="K1760" s="6"/>
      <c r="L1760" s="6"/>
      <c r="M1760" s="6"/>
      <c r="N1760" s="6"/>
      <c r="O1760" s="6"/>
      <c r="P1760" s="6"/>
      <c r="Q1760" s="6"/>
      <c r="R1760" s="6"/>
      <c r="S1760" s="6"/>
    </row>
    <row r="1761" ht="22.5" hidden="1" customHeight="1">
      <c r="A1761" s="49"/>
      <c r="B1761" s="61"/>
      <c r="C1761" s="34"/>
      <c r="D1761" s="55"/>
      <c r="E1761" s="59"/>
      <c r="F1761" s="60"/>
      <c r="G1761" s="29"/>
      <c r="H1761" s="6"/>
      <c r="I1761" s="6"/>
      <c r="J1761" s="6"/>
      <c r="K1761" s="6"/>
      <c r="L1761" s="6"/>
      <c r="M1761" s="6"/>
      <c r="N1761" s="6"/>
      <c r="O1761" s="6"/>
      <c r="P1761" s="6"/>
      <c r="Q1761" s="6"/>
      <c r="R1761" s="6"/>
      <c r="S1761" s="6"/>
    </row>
    <row r="1762" ht="22.5" hidden="1" customHeight="1">
      <c r="A1762" s="49"/>
      <c r="B1762" s="61"/>
      <c r="C1762" s="34"/>
      <c r="D1762" s="55"/>
      <c r="E1762" s="59"/>
      <c r="F1762" s="60"/>
      <c r="G1762" s="29"/>
      <c r="H1762" s="6"/>
      <c r="I1762" s="6"/>
      <c r="J1762" s="6"/>
      <c r="K1762" s="6"/>
      <c r="L1762" s="6"/>
      <c r="M1762" s="6"/>
      <c r="N1762" s="6"/>
      <c r="O1762" s="6"/>
      <c r="P1762" s="6"/>
      <c r="Q1762" s="6"/>
      <c r="R1762" s="6"/>
      <c r="S1762" s="6"/>
    </row>
    <row r="1763" ht="22.5" hidden="1" customHeight="1">
      <c r="A1763" s="49"/>
      <c r="B1763" s="61"/>
      <c r="C1763" s="34"/>
      <c r="D1763" s="55"/>
      <c r="E1763" s="59"/>
      <c r="F1763" s="60"/>
      <c r="G1763" s="29"/>
      <c r="H1763" s="6"/>
      <c r="I1763" s="6"/>
      <c r="J1763" s="6"/>
      <c r="K1763" s="6"/>
      <c r="L1763" s="6"/>
      <c r="M1763" s="6"/>
      <c r="N1763" s="6"/>
      <c r="O1763" s="6"/>
      <c r="P1763" s="6"/>
      <c r="Q1763" s="6"/>
      <c r="R1763" s="6"/>
      <c r="S1763" s="6"/>
    </row>
    <row r="1764" ht="22.5" hidden="1" customHeight="1">
      <c r="A1764" s="49"/>
      <c r="B1764" s="61"/>
      <c r="C1764" s="34"/>
      <c r="D1764" s="55"/>
      <c r="E1764" s="59"/>
      <c r="F1764" s="60"/>
      <c r="G1764" s="29"/>
      <c r="H1764" s="6"/>
      <c r="I1764" s="6"/>
      <c r="J1764" s="6"/>
      <c r="K1764" s="6"/>
      <c r="L1764" s="6"/>
      <c r="M1764" s="6"/>
      <c r="N1764" s="6"/>
      <c r="O1764" s="6"/>
      <c r="P1764" s="6"/>
      <c r="Q1764" s="6"/>
      <c r="R1764" s="6"/>
      <c r="S1764" s="6"/>
    </row>
    <row r="1765" ht="22.5" hidden="1" customHeight="1">
      <c r="A1765" s="49"/>
      <c r="B1765" s="61"/>
      <c r="C1765" s="34"/>
      <c r="D1765" s="55"/>
      <c r="E1765" s="59"/>
      <c r="F1765" s="60"/>
      <c r="G1765" s="29"/>
      <c r="H1765" s="6"/>
      <c r="I1765" s="6"/>
      <c r="J1765" s="6"/>
      <c r="K1765" s="6"/>
      <c r="L1765" s="6"/>
      <c r="M1765" s="6"/>
      <c r="N1765" s="6"/>
      <c r="O1765" s="6"/>
      <c r="P1765" s="6"/>
      <c r="Q1765" s="6"/>
      <c r="R1765" s="6"/>
      <c r="S1765" s="6"/>
    </row>
    <row r="1766" ht="22.5" hidden="1" customHeight="1">
      <c r="A1766" s="49"/>
      <c r="B1766" s="61"/>
      <c r="C1766" s="34"/>
      <c r="D1766" s="55"/>
      <c r="E1766" s="59"/>
      <c r="F1766" s="60"/>
      <c r="G1766" s="29"/>
      <c r="H1766" s="6"/>
      <c r="I1766" s="6"/>
      <c r="J1766" s="6"/>
      <c r="K1766" s="6"/>
      <c r="L1766" s="6"/>
      <c r="M1766" s="6"/>
      <c r="N1766" s="6"/>
      <c r="O1766" s="6"/>
      <c r="P1766" s="6"/>
      <c r="Q1766" s="6"/>
      <c r="R1766" s="6"/>
      <c r="S1766" s="6"/>
    </row>
    <row r="1767" ht="22.5" hidden="1" customHeight="1">
      <c r="A1767" s="49"/>
      <c r="B1767" s="61"/>
      <c r="C1767" s="34"/>
      <c r="D1767" s="55"/>
      <c r="E1767" s="59"/>
      <c r="F1767" s="60"/>
      <c r="G1767" s="29"/>
      <c r="H1767" s="6"/>
      <c r="I1767" s="6"/>
      <c r="J1767" s="6"/>
      <c r="K1767" s="6"/>
      <c r="L1767" s="6"/>
      <c r="M1767" s="6"/>
      <c r="N1767" s="6"/>
      <c r="O1767" s="6"/>
      <c r="P1767" s="6"/>
      <c r="Q1767" s="6"/>
      <c r="R1767" s="6"/>
      <c r="S1767" s="6"/>
    </row>
    <row r="1768" ht="22.5" hidden="1" customHeight="1">
      <c r="A1768" s="49"/>
      <c r="B1768" s="61"/>
      <c r="C1768" s="34"/>
      <c r="D1768" s="55"/>
      <c r="E1768" s="59"/>
      <c r="F1768" s="60"/>
      <c r="G1768" s="29"/>
      <c r="H1768" s="6"/>
      <c r="I1768" s="6"/>
      <c r="J1768" s="6"/>
      <c r="K1768" s="6"/>
      <c r="L1768" s="6"/>
      <c r="M1768" s="6"/>
      <c r="N1768" s="6"/>
      <c r="O1768" s="6"/>
      <c r="P1768" s="6"/>
      <c r="Q1768" s="6"/>
      <c r="R1768" s="6"/>
      <c r="S1768" s="6"/>
    </row>
    <row r="1769" ht="22.5" hidden="1" customHeight="1">
      <c r="A1769" s="49"/>
      <c r="B1769" s="61"/>
      <c r="C1769" s="34"/>
      <c r="D1769" s="55"/>
      <c r="E1769" s="59"/>
      <c r="F1769" s="60"/>
      <c r="G1769" s="29"/>
      <c r="H1769" s="6"/>
      <c r="I1769" s="6"/>
      <c r="J1769" s="6"/>
      <c r="K1769" s="6"/>
      <c r="L1769" s="6"/>
      <c r="M1769" s="6"/>
      <c r="N1769" s="6"/>
      <c r="O1769" s="6"/>
      <c r="P1769" s="6"/>
      <c r="Q1769" s="6"/>
      <c r="R1769" s="6"/>
      <c r="S1769" s="6"/>
    </row>
    <row r="1770" ht="22.5" hidden="1" customHeight="1">
      <c r="A1770" s="49"/>
      <c r="B1770" s="61"/>
      <c r="C1770" s="34"/>
      <c r="D1770" s="55"/>
      <c r="E1770" s="59"/>
      <c r="F1770" s="60"/>
      <c r="G1770" s="29"/>
      <c r="H1770" s="6"/>
      <c r="I1770" s="6"/>
      <c r="J1770" s="6"/>
      <c r="K1770" s="6"/>
      <c r="L1770" s="6"/>
      <c r="M1770" s="6"/>
      <c r="N1770" s="6"/>
      <c r="O1770" s="6"/>
      <c r="P1770" s="6"/>
      <c r="Q1770" s="6"/>
      <c r="R1770" s="6"/>
      <c r="S1770" s="6"/>
    </row>
    <row r="1771" ht="22.5" hidden="1" customHeight="1">
      <c r="A1771" s="49"/>
      <c r="B1771" s="61"/>
      <c r="C1771" s="34"/>
      <c r="D1771" s="55"/>
      <c r="E1771" s="59"/>
      <c r="F1771" s="60"/>
      <c r="G1771" s="29"/>
      <c r="H1771" s="6"/>
      <c r="I1771" s="6"/>
      <c r="J1771" s="6"/>
      <c r="K1771" s="6"/>
      <c r="L1771" s="6"/>
      <c r="M1771" s="6"/>
      <c r="N1771" s="6"/>
      <c r="O1771" s="6"/>
      <c r="P1771" s="6"/>
      <c r="Q1771" s="6"/>
      <c r="R1771" s="6"/>
      <c r="S1771" s="6"/>
    </row>
    <row r="1772" ht="22.5" hidden="1" customHeight="1">
      <c r="A1772" s="49"/>
      <c r="B1772" s="61"/>
      <c r="C1772" s="34"/>
      <c r="D1772" s="55"/>
      <c r="E1772" s="59"/>
      <c r="F1772" s="60"/>
      <c r="G1772" s="29"/>
      <c r="H1772" s="6"/>
      <c r="I1772" s="6"/>
      <c r="J1772" s="6"/>
      <c r="K1772" s="6"/>
      <c r="L1772" s="6"/>
      <c r="M1772" s="6"/>
      <c r="N1772" s="6"/>
      <c r="O1772" s="6"/>
      <c r="P1772" s="6"/>
      <c r="Q1772" s="6"/>
      <c r="R1772" s="6"/>
      <c r="S1772" s="6"/>
    </row>
    <row r="1773" ht="22.5" hidden="1" customHeight="1">
      <c r="A1773" s="49"/>
      <c r="B1773" s="61"/>
      <c r="C1773" s="34"/>
      <c r="D1773" s="55"/>
      <c r="E1773" s="59"/>
      <c r="F1773" s="60"/>
      <c r="G1773" s="29"/>
      <c r="H1773" s="6"/>
      <c r="I1773" s="6"/>
      <c r="J1773" s="6"/>
      <c r="K1773" s="6"/>
      <c r="L1773" s="6"/>
      <c r="M1773" s="6"/>
      <c r="N1773" s="6"/>
      <c r="O1773" s="6"/>
      <c r="P1773" s="6"/>
      <c r="Q1773" s="6"/>
      <c r="R1773" s="6"/>
      <c r="S1773" s="6"/>
    </row>
    <row r="1774" ht="22.5" hidden="1" customHeight="1">
      <c r="A1774" s="49"/>
      <c r="B1774" s="61"/>
      <c r="C1774" s="34"/>
      <c r="D1774" s="55"/>
      <c r="E1774" s="59"/>
      <c r="F1774" s="60"/>
      <c r="G1774" s="29"/>
      <c r="H1774" s="6"/>
      <c r="I1774" s="6"/>
      <c r="J1774" s="6"/>
      <c r="K1774" s="6"/>
      <c r="L1774" s="6"/>
      <c r="M1774" s="6"/>
      <c r="N1774" s="6"/>
      <c r="O1774" s="6"/>
      <c r="P1774" s="6"/>
      <c r="Q1774" s="6"/>
      <c r="R1774" s="6"/>
      <c r="S1774" s="6"/>
    </row>
    <row r="1775" ht="22.5" hidden="1" customHeight="1">
      <c r="A1775" s="49"/>
      <c r="B1775" s="61"/>
      <c r="C1775" s="34"/>
      <c r="D1775" s="55"/>
      <c r="E1775" s="59"/>
      <c r="F1775" s="60"/>
      <c r="G1775" s="29"/>
      <c r="H1775" s="6"/>
      <c r="I1775" s="6"/>
      <c r="J1775" s="6"/>
      <c r="K1775" s="6"/>
      <c r="L1775" s="6"/>
      <c r="M1775" s="6"/>
      <c r="N1775" s="6"/>
      <c r="O1775" s="6"/>
      <c r="P1775" s="6"/>
      <c r="Q1775" s="6"/>
      <c r="R1775" s="6"/>
      <c r="S1775" s="6"/>
    </row>
    <row r="1776" ht="22.5" hidden="1" customHeight="1">
      <c r="A1776" s="49"/>
      <c r="B1776" s="61"/>
      <c r="C1776" s="34"/>
      <c r="D1776" s="55"/>
      <c r="E1776" s="59"/>
      <c r="F1776" s="60"/>
      <c r="G1776" s="29"/>
      <c r="H1776" s="6"/>
      <c r="I1776" s="6"/>
      <c r="J1776" s="6"/>
      <c r="K1776" s="6"/>
      <c r="L1776" s="6"/>
      <c r="M1776" s="6"/>
      <c r="N1776" s="6"/>
      <c r="O1776" s="6"/>
      <c r="P1776" s="6"/>
      <c r="Q1776" s="6"/>
      <c r="R1776" s="6"/>
      <c r="S1776" s="6"/>
    </row>
    <row r="1777" ht="22.5" hidden="1" customHeight="1">
      <c r="A1777" s="49"/>
      <c r="B1777" s="61"/>
      <c r="C1777" s="34"/>
      <c r="D1777" s="55"/>
      <c r="E1777" s="59"/>
      <c r="F1777" s="60"/>
      <c r="G1777" s="29"/>
      <c r="H1777" s="6"/>
      <c r="I1777" s="6"/>
      <c r="J1777" s="6"/>
      <c r="K1777" s="6"/>
      <c r="L1777" s="6"/>
      <c r="M1777" s="6"/>
      <c r="N1777" s="6"/>
      <c r="O1777" s="6"/>
      <c r="P1777" s="6"/>
      <c r="Q1777" s="6"/>
      <c r="R1777" s="6"/>
      <c r="S1777" s="6"/>
    </row>
    <row r="1778" ht="22.5" hidden="1" customHeight="1">
      <c r="A1778" s="49"/>
      <c r="B1778" s="61"/>
      <c r="C1778" s="34"/>
      <c r="D1778" s="55"/>
      <c r="E1778" s="59"/>
      <c r="F1778" s="60"/>
      <c r="G1778" s="29"/>
      <c r="H1778" s="6"/>
      <c r="I1778" s="6"/>
      <c r="J1778" s="6"/>
      <c r="K1778" s="6"/>
      <c r="L1778" s="6"/>
      <c r="M1778" s="6"/>
      <c r="N1778" s="6"/>
      <c r="O1778" s="6"/>
      <c r="P1778" s="6"/>
      <c r="Q1778" s="6"/>
      <c r="R1778" s="6"/>
      <c r="S1778" s="6"/>
    </row>
    <row r="1779" ht="22.5" hidden="1" customHeight="1">
      <c r="A1779" s="49"/>
      <c r="B1779" s="61"/>
      <c r="C1779" s="34"/>
      <c r="D1779" s="55"/>
      <c r="E1779" s="59"/>
      <c r="F1779" s="60"/>
      <c r="G1779" s="29"/>
      <c r="H1779" s="6"/>
      <c r="I1779" s="6"/>
      <c r="J1779" s="6"/>
      <c r="K1779" s="6"/>
      <c r="L1779" s="6"/>
      <c r="M1779" s="6"/>
      <c r="N1779" s="6"/>
      <c r="O1779" s="6"/>
      <c r="P1779" s="6"/>
      <c r="Q1779" s="6"/>
      <c r="R1779" s="6"/>
      <c r="S1779" s="6"/>
    </row>
    <row r="1780" ht="22.5" hidden="1" customHeight="1">
      <c r="A1780" s="49"/>
      <c r="B1780" s="61"/>
      <c r="C1780" s="34"/>
      <c r="D1780" s="55"/>
      <c r="E1780" s="59"/>
      <c r="F1780" s="60"/>
      <c r="G1780" s="29"/>
      <c r="H1780" s="6"/>
      <c r="I1780" s="6"/>
      <c r="J1780" s="6"/>
      <c r="K1780" s="6"/>
      <c r="L1780" s="6"/>
      <c r="M1780" s="6"/>
      <c r="N1780" s="6"/>
      <c r="O1780" s="6"/>
      <c r="P1780" s="6"/>
      <c r="Q1780" s="6"/>
      <c r="R1780" s="6"/>
      <c r="S1780" s="6"/>
    </row>
    <row r="1781" ht="22.5" hidden="1" customHeight="1">
      <c r="A1781" s="49"/>
      <c r="B1781" s="61"/>
      <c r="C1781" s="34"/>
      <c r="D1781" s="55"/>
      <c r="E1781" s="59"/>
      <c r="F1781" s="60"/>
      <c r="G1781" s="29"/>
      <c r="H1781" s="6"/>
      <c r="I1781" s="6"/>
      <c r="J1781" s="6"/>
      <c r="K1781" s="6"/>
      <c r="L1781" s="6"/>
      <c r="M1781" s="6"/>
      <c r="N1781" s="6"/>
      <c r="O1781" s="6"/>
      <c r="P1781" s="6"/>
      <c r="Q1781" s="6"/>
      <c r="R1781" s="6"/>
      <c r="S1781" s="6"/>
    </row>
    <row r="1782" ht="22.5" hidden="1" customHeight="1">
      <c r="A1782" s="49"/>
      <c r="B1782" s="61"/>
      <c r="C1782" s="34"/>
      <c r="D1782" s="55"/>
      <c r="E1782" s="59"/>
      <c r="F1782" s="60"/>
      <c r="G1782" s="29"/>
      <c r="H1782" s="6"/>
      <c r="I1782" s="6"/>
      <c r="J1782" s="6"/>
      <c r="K1782" s="6"/>
      <c r="L1782" s="6"/>
      <c r="M1782" s="6"/>
      <c r="N1782" s="6"/>
      <c r="O1782" s="6"/>
      <c r="P1782" s="6"/>
      <c r="Q1782" s="6"/>
      <c r="R1782" s="6"/>
      <c r="S1782" s="6"/>
    </row>
    <row r="1783" ht="22.5" hidden="1" customHeight="1">
      <c r="A1783" s="49"/>
      <c r="B1783" s="61"/>
      <c r="C1783" s="34"/>
      <c r="D1783" s="55"/>
      <c r="E1783" s="59"/>
      <c r="F1783" s="60"/>
      <c r="G1783" s="29"/>
      <c r="H1783" s="6"/>
      <c r="I1783" s="6"/>
      <c r="J1783" s="6"/>
      <c r="K1783" s="6"/>
      <c r="L1783" s="6"/>
      <c r="M1783" s="6"/>
      <c r="N1783" s="6"/>
      <c r="O1783" s="6"/>
      <c r="P1783" s="6"/>
      <c r="Q1783" s="6"/>
      <c r="R1783" s="6"/>
      <c r="S1783" s="6"/>
    </row>
    <row r="1784" ht="22.5" hidden="1" customHeight="1">
      <c r="A1784" s="49"/>
      <c r="B1784" s="61"/>
      <c r="C1784" s="34"/>
      <c r="D1784" s="55"/>
      <c r="E1784" s="59"/>
      <c r="F1784" s="60"/>
      <c r="G1784" s="29"/>
      <c r="H1784" s="6"/>
      <c r="I1784" s="6"/>
      <c r="J1784" s="6"/>
      <c r="K1784" s="6"/>
      <c r="L1784" s="6"/>
      <c r="M1784" s="6"/>
      <c r="N1784" s="6"/>
      <c r="O1784" s="6"/>
      <c r="P1784" s="6"/>
      <c r="Q1784" s="6"/>
      <c r="R1784" s="6"/>
      <c r="S1784" s="6"/>
    </row>
    <row r="1785" ht="22.5" hidden="1" customHeight="1">
      <c r="A1785" s="49"/>
      <c r="B1785" s="61"/>
      <c r="C1785" s="34"/>
      <c r="D1785" s="55"/>
      <c r="E1785" s="59"/>
      <c r="F1785" s="60"/>
      <c r="G1785" s="29"/>
      <c r="H1785" s="6"/>
      <c r="I1785" s="6"/>
      <c r="J1785" s="6"/>
      <c r="K1785" s="6"/>
      <c r="L1785" s="6"/>
      <c r="M1785" s="6"/>
      <c r="N1785" s="6"/>
      <c r="O1785" s="6"/>
      <c r="P1785" s="6"/>
      <c r="Q1785" s="6"/>
      <c r="R1785" s="6"/>
      <c r="S1785" s="6"/>
    </row>
    <row r="1786" ht="22.5" hidden="1" customHeight="1">
      <c r="A1786" s="49"/>
      <c r="B1786" s="61"/>
      <c r="C1786" s="34"/>
      <c r="D1786" s="55"/>
      <c r="E1786" s="59"/>
      <c r="F1786" s="60"/>
      <c r="G1786" s="29"/>
      <c r="H1786" s="6"/>
      <c r="I1786" s="6"/>
      <c r="J1786" s="6"/>
      <c r="K1786" s="6"/>
      <c r="L1786" s="6"/>
      <c r="M1786" s="6"/>
      <c r="N1786" s="6"/>
      <c r="O1786" s="6"/>
      <c r="P1786" s="6"/>
      <c r="Q1786" s="6"/>
      <c r="R1786" s="6"/>
      <c r="S1786" s="6"/>
    </row>
    <row r="1787" ht="22.5" hidden="1" customHeight="1">
      <c r="A1787" s="49"/>
      <c r="B1787" s="61"/>
      <c r="C1787" s="34"/>
      <c r="D1787" s="55"/>
      <c r="E1787" s="59"/>
      <c r="F1787" s="60"/>
      <c r="G1787" s="29"/>
      <c r="H1787" s="6"/>
      <c r="I1787" s="6"/>
      <c r="J1787" s="6"/>
      <c r="K1787" s="6"/>
      <c r="L1787" s="6"/>
      <c r="M1787" s="6"/>
      <c r="N1787" s="6"/>
      <c r="O1787" s="6"/>
      <c r="P1787" s="6"/>
      <c r="Q1787" s="6"/>
      <c r="R1787" s="6"/>
      <c r="S1787" s="6"/>
    </row>
    <row r="1788" ht="22.5" hidden="1" customHeight="1">
      <c r="A1788" s="49"/>
      <c r="B1788" s="61"/>
      <c r="C1788" s="34"/>
      <c r="D1788" s="55"/>
      <c r="E1788" s="59"/>
      <c r="F1788" s="60"/>
      <c r="G1788" s="29"/>
      <c r="H1788" s="6"/>
      <c r="I1788" s="6"/>
      <c r="J1788" s="6"/>
      <c r="K1788" s="6"/>
      <c r="L1788" s="6"/>
      <c r="M1788" s="6"/>
      <c r="N1788" s="6"/>
      <c r="O1788" s="6"/>
      <c r="P1788" s="6"/>
      <c r="Q1788" s="6"/>
      <c r="R1788" s="6"/>
      <c r="S1788" s="6"/>
    </row>
    <row r="1789" ht="22.5" hidden="1" customHeight="1">
      <c r="A1789" s="49"/>
      <c r="B1789" s="61"/>
      <c r="C1789" s="34"/>
      <c r="D1789" s="55"/>
      <c r="E1789" s="59"/>
      <c r="F1789" s="60"/>
      <c r="G1789" s="29"/>
      <c r="H1789" s="6"/>
      <c r="I1789" s="6"/>
      <c r="J1789" s="6"/>
      <c r="K1789" s="6"/>
      <c r="L1789" s="6"/>
      <c r="M1789" s="6"/>
      <c r="N1789" s="6"/>
      <c r="O1789" s="6"/>
      <c r="P1789" s="6"/>
      <c r="Q1789" s="6"/>
      <c r="R1789" s="6"/>
      <c r="S1789" s="6"/>
    </row>
    <row r="1790" ht="22.5" hidden="1" customHeight="1">
      <c r="A1790" s="49"/>
      <c r="B1790" s="61"/>
      <c r="C1790" s="34"/>
      <c r="D1790" s="55"/>
      <c r="E1790" s="59"/>
      <c r="F1790" s="60"/>
      <c r="G1790" s="29"/>
      <c r="H1790" s="6"/>
      <c r="I1790" s="6"/>
      <c r="J1790" s="6"/>
      <c r="K1790" s="6"/>
      <c r="L1790" s="6"/>
      <c r="M1790" s="6"/>
      <c r="N1790" s="6"/>
      <c r="O1790" s="6"/>
      <c r="P1790" s="6"/>
      <c r="Q1790" s="6"/>
      <c r="R1790" s="6"/>
      <c r="S1790" s="6"/>
    </row>
    <row r="1791" ht="22.5" hidden="1" customHeight="1">
      <c r="A1791" s="49"/>
      <c r="B1791" s="61"/>
      <c r="C1791" s="34"/>
      <c r="D1791" s="55"/>
      <c r="E1791" s="59"/>
      <c r="F1791" s="60"/>
      <c r="G1791" s="29"/>
      <c r="H1791" s="6"/>
      <c r="I1791" s="6"/>
      <c r="J1791" s="6"/>
      <c r="K1791" s="6"/>
      <c r="L1791" s="6"/>
      <c r="M1791" s="6"/>
      <c r="N1791" s="6"/>
      <c r="O1791" s="6"/>
      <c r="P1791" s="6"/>
      <c r="Q1791" s="6"/>
      <c r="R1791" s="6"/>
      <c r="S1791" s="6"/>
    </row>
    <row r="1792" ht="22.5" hidden="1" customHeight="1">
      <c r="A1792" s="49"/>
      <c r="B1792" s="61"/>
      <c r="C1792" s="34"/>
      <c r="D1792" s="55"/>
      <c r="E1792" s="59"/>
      <c r="F1792" s="60"/>
      <c r="G1792" s="29"/>
      <c r="H1792" s="6"/>
      <c r="I1792" s="6"/>
      <c r="J1792" s="6"/>
      <c r="K1792" s="6"/>
      <c r="L1792" s="6"/>
      <c r="M1792" s="6"/>
      <c r="N1792" s="6"/>
      <c r="O1792" s="6"/>
      <c r="P1792" s="6"/>
      <c r="Q1792" s="6"/>
      <c r="R1792" s="6"/>
      <c r="S1792" s="6"/>
    </row>
    <row r="1793" ht="22.5" hidden="1" customHeight="1">
      <c r="A1793" s="49"/>
      <c r="B1793" s="61"/>
      <c r="C1793" s="34"/>
      <c r="D1793" s="55"/>
      <c r="E1793" s="59"/>
      <c r="F1793" s="60"/>
      <c r="G1793" s="29"/>
      <c r="H1793" s="6"/>
      <c r="I1793" s="6"/>
      <c r="J1793" s="6"/>
      <c r="K1793" s="6"/>
      <c r="L1793" s="6"/>
      <c r="M1793" s="6"/>
      <c r="N1793" s="6"/>
      <c r="O1793" s="6"/>
      <c r="P1793" s="6"/>
      <c r="Q1793" s="6"/>
      <c r="R1793" s="6"/>
      <c r="S1793" s="6"/>
    </row>
    <row r="1794" ht="22.5" hidden="1" customHeight="1">
      <c r="A1794" s="49"/>
      <c r="B1794" s="61"/>
      <c r="C1794" s="34"/>
      <c r="D1794" s="55"/>
      <c r="E1794" s="59"/>
      <c r="F1794" s="60"/>
      <c r="G1794" s="29"/>
      <c r="H1794" s="6"/>
      <c r="I1794" s="6"/>
      <c r="J1794" s="6"/>
      <c r="K1794" s="6"/>
      <c r="L1794" s="6"/>
      <c r="M1794" s="6"/>
      <c r="N1794" s="6"/>
      <c r="O1794" s="6"/>
      <c r="P1794" s="6"/>
      <c r="Q1794" s="6"/>
      <c r="R1794" s="6"/>
      <c r="S1794" s="6"/>
    </row>
    <row r="1795" ht="22.5" hidden="1" customHeight="1">
      <c r="A1795" s="49"/>
      <c r="B1795" s="61"/>
      <c r="C1795" s="34"/>
      <c r="D1795" s="55"/>
      <c r="E1795" s="59"/>
      <c r="F1795" s="60"/>
      <c r="G1795" s="29"/>
      <c r="H1795" s="6"/>
      <c r="I1795" s="6"/>
      <c r="J1795" s="6"/>
      <c r="K1795" s="6"/>
      <c r="L1795" s="6"/>
      <c r="M1795" s="6"/>
      <c r="N1795" s="6"/>
      <c r="O1795" s="6"/>
      <c r="P1795" s="6"/>
      <c r="Q1795" s="6"/>
      <c r="R1795" s="6"/>
      <c r="S1795" s="6"/>
    </row>
    <row r="1796" ht="22.5" hidden="1" customHeight="1">
      <c r="A1796" s="49"/>
      <c r="B1796" s="61"/>
      <c r="C1796" s="34"/>
      <c r="D1796" s="55"/>
      <c r="E1796" s="59"/>
      <c r="F1796" s="60"/>
      <c r="G1796" s="29"/>
      <c r="H1796" s="6"/>
      <c r="I1796" s="6"/>
      <c r="J1796" s="6"/>
      <c r="K1796" s="6"/>
      <c r="L1796" s="6"/>
      <c r="M1796" s="6"/>
      <c r="N1796" s="6"/>
      <c r="O1796" s="6"/>
      <c r="P1796" s="6"/>
      <c r="Q1796" s="6"/>
      <c r="R1796" s="6"/>
      <c r="S1796" s="6"/>
    </row>
    <row r="1797" ht="22.5" hidden="1" customHeight="1">
      <c r="A1797" s="49"/>
      <c r="B1797" s="61"/>
      <c r="C1797" s="34"/>
      <c r="D1797" s="55"/>
      <c r="E1797" s="59"/>
      <c r="F1797" s="60"/>
      <c r="G1797" s="29"/>
      <c r="H1797" s="6"/>
      <c r="I1797" s="6"/>
      <c r="J1797" s="6"/>
      <c r="K1797" s="6"/>
      <c r="L1797" s="6"/>
      <c r="M1797" s="6"/>
      <c r="N1797" s="6"/>
      <c r="O1797" s="6"/>
      <c r="P1797" s="6"/>
      <c r="Q1797" s="6"/>
      <c r="R1797" s="6"/>
      <c r="S1797" s="6"/>
    </row>
    <row r="1798" ht="22.5" hidden="1" customHeight="1">
      <c r="A1798" s="49"/>
      <c r="B1798" s="61"/>
      <c r="C1798" s="34"/>
      <c r="D1798" s="55"/>
      <c r="E1798" s="59"/>
      <c r="F1798" s="60"/>
      <c r="G1798" s="29"/>
      <c r="H1798" s="6"/>
      <c r="I1798" s="6"/>
      <c r="J1798" s="6"/>
      <c r="K1798" s="6"/>
      <c r="L1798" s="6"/>
      <c r="M1798" s="6"/>
      <c r="N1798" s="6"/>
      <c r="O1798" s="6"/>
      <c r="P1798" s="6"/>
      <c r="Q1798" s="6"/>
      <c r="R1798" s="6"/>
      <c r="S1798" s="6"/>
    </row>
    <row r="1799" ht="22.5" hidden="1" customHeight="1">
      <c r="A1799" s="49"/>
      <c r="B1799" s="61"/>
      <c r="C1799" s="34"/>
      <c r="D1799" s="55"/>
      <c r="E1799" s="59"/>
      <c r="F1799" s="60"/>
      <c r="G1799" s="29"/>
      <c r="H1799" s="6"/>
      <c r="I1799" s="6"/>
      <c r="J1799" s="6"/>
      <c r="K1799" s="6"/>
      <c r="L1799" s="6"/>
      <c r="M1799" s="6"/>
      <c r="N1799" s="6"/>
      <c r="O1799" s="6"/>
      <c r="P1799" s="6"/>
      <c r="Q1799" s="6"/>
      <c r="R1799" s="6"/>
      <c r="S1799" s="6"/>
    </row>
    <row r="1800" ht="22.5" hidden="1" customHeight="1">
      <c r="A1800" s="49"/>
      <c r="B1800" s="61"/>
      <c r="C1800" s="34"/>
      <c r="D1800" s="55"/>
      <c r="E1800" s="59"/>
      <c r="F1800" s="60"/>
      <c r="G1800" s="29"/>
      <c r="H1800" s="6"/>
      <c r="I1800" s="6"/>
      <c r="J1800" s="6"/>
      <c r="K1800" s="6"/>
      <c r="L1800" s="6"/>
      <c r="M1800" s="6"/>
      <c r="N1800" s="6"/>
      <c r="O1800" s="6"/>
      <c r="P1800" s="6"/>
      <c r="Q1800" s="6"/>
      <c r="R1800" s="6"/>
      <c r="S1800" s="6"/>
    </row>
    <row r="1801" ht="22.5" hidden="1" customHeight="1">
      <c r="A1801" s="49"/>
      <c r="B1801" s="61"/>
      <c r="C1801" s="34"/>
      <c r="D1801" s="55"/>
      <c r="E1801" s="59"/>
      <c r="F1801" s="60"/>
      <c r="G1801" s="29"/>
      <c r="H1801" s="6"/>
      <c r="I1801" s="6"/>
      <c r="J1801" s="6"/>
      <c r="K1801" s="6"/>
      <c r="L1801" s="6"/>
      <c r="M1801" s="6"/>
      <c r="N1801" s="6"/>
      <c r="O1801" s="6"/>
      <c r="P1801" s="6"/>
      <c r="Q1801" s="6"/>
      <c r="R1801" s="6"/>
      <c r="S1801" s="6"/>
    </row>
    <row r="1802" ht="22.5" hidden="1" customHeight="1">
      <c r="A1802" s="49"/>
      <c r="B1802" s="61"/>
      <c r="C1802" s="34"/>
      <c r="D1802" s="55"/>
      <c r="E1802" s="59"/>
      <c r="F1802" s="60"/>
      <c r="G1802" s="29"/>
      <c r="H1802" s="6"/>
      <c r="I1802" s="6"/>
      <c r="J1802" s="6"/>
      <c r="K1802" s="6"/>
      <c r="L1802" s="6"/>
      <c r="M1802" s="6"/>
      <c r="N1802" s="6"/>
      <c r="O1802" s="6"/>
      <c r="P1802" s="6"/>
      <c r="Q1802" s="6"/>
      <c r="R1802" s="6"/>
      <c r="S1802" s="6"/>
    </row>
    <row r="1803" ht="22.5" hidden="1" customHeight="1">
      <c r="A1803" s="49"/>
      <c r="B1803" s="61"/>
      <c r="C1803" s="34"/>
      <c r="D1803" s="55"/>
      <c r="E1803" s="59"/>
      <c r="F1803" s="60"/>
      <c r="G1803" s="29"/>
      <c r="H1803" s="6"/>
      <c r="I1803" s="6"/>
      <c r="J1803" s="6"/>
      <c r="K1803" s="6"/>
      <c r="L1803" s="6"/>
      <c r="M1803" s="6"/>
      <c r="N1803" s="6"/>
      <c r="O1803" s="6"/>
      <c r="P1803" s="6"/>
      <c r="Q1803" s="6"/>
      <c r="R1803" s="6"/>
      <c r="S1803" s="6"/>
    </row>
    <row r="1804" ht="22.5" hidden="1" customHeight="1">
      <c r="A1804" s="49"/>
      <c r="B1804" s="61"/>
      <c r="C1804" s="34"/>
      <c r="D1804" s="55"/>
      <c r="E1804" s="59"/>
      <c r="F1804" s="60"/>
      <c r="G1804" s="29"/>
      <c r="H1804" s="6"/>
      <c r="I1804" s="6"/>
      <c r="J1804" s="6"/>
      <c r="K1804" s="6"/>
      <c r="L1804" s="6"/>
      <c r="M1804" s="6"/>
      <c r="N1804" s="6"/>
      <c r="O1804" s="6"/>
      <c r="P1804" s="6"/>
      <c r="Q1804" s="6"/>
      <c r="R1804" s="6"/>
      <c r="S1804" s="6"/>
    </row>
    <row r="1805" ht="22.5" hidden="1" customHeight="1">
      <c r="A1805" s="49"/>
      <c r="B1805" s="61"/>
      <c r="C1805" s="34"/>
      <c r="D1805" s="55"/>
      <c r="E1805" s="59"/>
      <c r="F1805" s="60"/>
      <c r="G1805" s="29"/>
      <c r="H1805" s="6"/>
      <c r="I1805" s="6"/>
      <c r="J1805" s="6"/>
      <c r="K1805" s="6"/>
      <c r="L1805" s="6"/>
      <c r="M1805" s="6"/>
      <c r="N1805" s="6"/>
      <c r="O1805" s="6"/>
      <c r="P1805" s="6"/>
      <c r="Q1805" s="6"/>
      <c r="R1805" s="6"/>
      <c r="S1805" s="6"/>
    </row>
    <row r="1806" ht="22.5" hidden="1" customHeight="1">
      <c r="A1806" s="49"/>
      <c r="B1806" s="61"/>
      <c r="C1806" s="34"/>
      <c r="D1806" s="55"/>
      <c r="E1806" s="59"/>
      <c r="F1806" s="60"/>
      <c r="G1806" s="29"/>
      <c r="H1806" s="6"/>
      <c r="I1806" s="6"/>
      <c r="J1806" s="6"/>
      <c r="K1806" s="6"/>
      <c r="L1806" s="6"/>
      <c r="M1806" s="6"/>
      <c r="N1806" s="6"/>
      <c r="O1806" s="6"/>
      <c r="P1806" s="6"/>
      <c r="Q1806" s="6"/>
      <c r="R1806" s="6"/>
      <c r="S1806" s="6"/>
    </row>
    <row r="1807" ht="22.5" hidden="1" customHeight="1">
      <c r="A1807" s="49"/>
      <c r="B1807" s="61"/>
      <c r="C1807" s="34"/>
      <c r="D1807" s="55"/>
      <c r="E1807" s="59"/>
      <c r="F1807" s="60"/>
      <c r="G1807" s="29"/>
      <c r="H1807" s="6"/>
      <c r="I1807" s="6"/>
      <c r="J1807" s="6"/>
      <c r="K1807" s="6"/>
      <c r="L1807" s="6"/>
      <c r="M1807" s="6"/>
      <c r="N1807" s="6"/>
      <c r="O1807" s="6"/>
      <c r="P1807" s="6"/>
      <c r="Q1807" s="6"/>
      <c r="R1807" s="6"/>
      <c r="S1807" s="6"/>
    </row>
    <row r="1808" ht="22.5" hidden="1" customHeight="1">
      <c r="A1808" s="49"/>
      <c r="B1808" s="61"/>
      <c r="C1808" s="34"/>
      <c r="D1808" s="55"/>
      <c r="E1808" s="59"/>
      <c r="F1808" s="60"/>
      <c r="G1808" s="29"/>
      <c r="H1808" s="6"/>
      <c r="I1808" s="6"/>
      <c r="J1808" s="6"/>
      <c r="K1808" s="6"/>
      <c r="L1808" s="6"/>
      <c r="M1808" s="6"/>
      <c r="N1808" s="6"/>
      <c r="O1808" s="6"/>
      <c r="P1808" s="6"/>
      <c r="Q1808" s="6"/>
      <c r="R1808" s="6"/>
      <c r="S1808" s="6"/>
    </row>
    <row r="1809" ht="22.5" hidden="1" customHeight="1">
      <c r="A1809" s="49"/>
      <c r="B1809" s="61"/>
      <c r="C1809" s="34"/>
      <c r="D1809" s="55"/>
      <c r="E1809" s="59"/>
      <c r="F1809" s="60"/>
      <c r="G1809" s="29"/>
      <c r="H1809" s="6"/>
      <c r="I1809" s="6"/>
      <c r="J1809" s="6"/>
      <c r="K1809" s="6"/>
      <c r="L1809" s="6"/>
      <c r="M1809" s="6"/>
      <c r="N1809" s="6"/>
      <c r="O1809" s="6"/>
      <c r="P1809" s="6"/>
      <c r="Q1809" s="6"/>
      <c r="R1809" s="6"/>
      <c r="S1809" s="6"/>
    </row>
    <row r="1810" ht="22.5" hidden="1" customHeight="1">
      <c r="A1810" s="49"/>
      <c r="B1810" s="61"/>
      <c r="C1810" s="34"/>
      <c r="D1810" s="55"/>
      <c r="E1810" s="59"/>
      <c r="F1810" s="60"/>
      <c r="G1810" s="29"/>
      <c r="H1810" s="6"/>
      <c r="I1810" s="6"/>
      <c r="J1810" s="6"/>
      <c r="K1810" s="6"/>
      <c r="L1810" s="6"/>
      <c r="M1810" s="6"/>
      <c r="N1810" s="6"/>
      <c r="O1810" s="6"/>
      <c r="P1810" s="6"/>
      <c r="Q1810" s="6"/>
      <c r="R1810" s="6"/>
      <c r="S1810" s="6"/>
    </row>
    <row r="1811" ht="22.5" hidden="1" customHeight="1">
      <c r="A1811" s="49"/>
      <c r="B1811" s="61"/>
      <c r="C1811" s="34"/>
      <c r="D1811" s="55"/>
      <c r="E1811" s="59"/>
      <c r="F1811" s="60"/>
      <c r="G1811" s="29"/>
      <c r="H1811" s="6"/>
      <c r="I1811" s="6"/>
      <c r="J1811" s="6"/>
      <c r="K1811" s="6"/>
      <c r="L1811" s="6"/>
      <c r="M1811" s="6"/>
      <c r="N1811" s="6"/>
      <c r="O1811" s="6"/>
      <c r="P1811" s="6"/>
      <c r="Q1811" s="6"/>
      <c r="R1811" s="6"/>
      <c r="S1811" s="6"/>
    </row>
    <row r="1812" ht="22.5" hidden="1" customHeight="1">
      <c r="A1812" s="49"/>
      <c r="B1812" s="61"/>
      <c r="C1812" s="34"/>
      <c r="D1812" s="55"/>
      <c r="E1812" s="59"/>
      <c r="F1812" s="60"/>
      <c r="G1812" s="29"/>
      <c r="H1812" s="6"/>
      <c r="I1812" s="6"/>
      <c r="J1812" s="6"/>
      <c r="K1812" s="6"/>
      <c r="L1812" s="6"/>
      <c r="M1812" s="6"/>
      <c r="N1812" s="6"/>
      <c r="O1812" s="6"/>
      <c r="P1812" s="6"/>
      <c r="Q1812" s="6"/>
      <c r="R1812" s="6"/>
      <c r="S1812" s="6"/>
    </row>
    <row r="1813" ht="22.5" hidden="1" customHeight="1">
      <c r="A1813" s="49"/>
      <c r="B1813" s="61"/>
      <c r="C1813" s="34"/>
      <c r="D1813" s="55"/>
      <c r="E1813" s="59"/>
      <c r="F1813" s="60"/>
      <c r="G1813" s="29"/>
      <c r="H1813" s="6"/>
      <c r="I1813" s="6"/>
      <c r="J1813" s="6"/>
      <c r="K1813" s="6"/>
      <c r="L1813" s="6"/>
      <c r="M1813" s="6"/>
      <c r="N1813" s="6"/>
      <c r="O1813" s="6"/>
      <c r="P1813" s="6"/>
      <c r="Q1813" s="6"/>
      <c r="R1813" s="6"/>
      <c r="S1813" s="6"/>
    </row>
    <row r="1814" ht="22.5" hidden="1" customHeight="1">
      <c r="A1814" s="49"/>
      <c r="B1814" s="61"/>
      <c r="C1814" s="34"/>
      <c r="D1814" s="55"/>
      <c r="E1814" s="59"/>
      <c r="F1814" s="60"/>
      <c r="G1814" s="29"/>
      <c r="H1814" s="6"/>
      <c r="I1814" s="6"/>
      <c r="J1814" s="6"/>
      <c r="K1814" s="6"/>
      <c r="L1814" s="6"/>
      <c r="M1814" s="6"/>
      <c r="N1814" s="6"/>
      <c r="O1814" s="6"/>
      <c r="P1814" s="6"/>
      <c r="Q1814" s="6"/>
      <c r="R1814" s="6"/>
      <c r="S1814" s="6"/>
    </row>
    <row r="1815" ht="22.5" hidden="1" customHeight="1">
      <c r="A1815" s="49"/>
      <c r="B1815" s="61"/>
      <c r="C1815" s="34"/>
      <c r="D1815" s="55"/>
      <c r="E1815" s="59"/>
      <c r="F1815" s="60"/>
      <c r="G1815" s="29"/>
      <c r="H1815" s="6"/>
      <c r="I1815" s="6"/>
      <c r="J1815" s="6"/>
      <c r="K1815" s="6"/>
      <c r="L1815" s="6"/>
      <c r="M1815" s="6"/>
      <c r="N1815" s="6"/>
      <c r="O1815" s="6"/>
      <c r="P1815" s="6"/>
      <c r="Q1815" s="6"/>
      <c r="R1815" s="6"/>
      <c r="S1815" s="6"/>
    </row>
    <row r="1816" ht="22.5" hidden="1" customHeight="1">
      <c r="A1816" s="49"/>
      <c r="B1816" s="61"/>
      <c r="C1816" s="34"/>
      <c r="D1816" s="55"/>
      <c r="E1816" s="59"/>
      <c r="F1816" s="60"/>
      <c r="G1816" s="29"/>
      <c r="H1816" s="6"/>
      <c r="I1816" s="6"/>
      <c r="J1816" s="6"/>
      <c r="K1816" s="6"/>
      <c r="L1816" s="6"/>
      <c r="M1816" s="6"/>
      <c r="N1816" s="6"/>
      <c r="O1816" s="6"/>
      <c r="P1816" s="6"/>
      <c r="Q1816" s="6"/>
      <c r="R1816" s="6"/>
      <c r="S1816" s="6"/>
    </row>
    <row r="1817" ht="22.5" hidden="1" customHeight="1">
      <c r="A1817" s="49"/>
      <c r="B1817" s="61"/>
      <c r="C1817" s="34"/>
      <c r="D1817" s="55"/>
      <c r="E1817" s="59"/>
      <c r="F1817" s="60"/>
      <c r="G1817" s="29"/>
      <c r="H1817" s="6"/>
      <c r="I1817" s="6"/>
      <c r="J1817" s="6"/>
      <c r="K1817" s="6"/>
      <c r="L1817" s="6"/>
      <c r="M1817" s="6"/>
      <c r="N1817" s="6"/>
      <c r="O1817" s="6"/>
      <c r="P1817" s="6"/>
      <c r="Q1817" s="6"/>
      <c r="R1817" s="6"/>
      <c r="S1817" s="6"/>
    </row>
    <row r="1818" ht="22.5" hidden="1" customHeight="1">
      <c r="A1818" s="49"/>
      <c r="B1818" s="61"/>
      <c r="C1818" s="34"/>
      <c r="D1818" s="55"/>
      <c r="E1818" s="59"/>
      <c r="F1818" s="60"/>
      <c r="G1818" s="29"/>
      <c r="H1818" s="6"/>
      <c r="I1818" s="6"/>
      <c r="J1818" s="6"/>
      <c r="K1818" s="6"/>
      <c r="L1818" s="6"/>
      <c r="M1818" s="6"/>
      <c r="N1818" s="6"/>
      <c r="O1818" s="6"/>
      <c r="P1818" s="6"/>
      <c r="Q1818" s="6"/>
      <c r="R1818" s="6"/>
      <c r="S1818" s="6"/>
    </row>
    <row r="1819" ht="22.5" hidden="1" customHeight="1">
      <c r="A1819" s="49"/>
      <c r="B1819" s="61"/>
      <c r="C1819" s="34"/>
      <c r="D1819" s="55"/>
      <c r="E1819" s="59"/>
      <c r="F1819" s="60"/>
      <c r="G1819" s="29"/>
      <c r="H1819" s="6"/>
      <c r="I1819" s="6"/>
      <c r="J1819" s="6"/>
      <c r="K1819" s="6"/>
      <c r="L1819" s="6"/>
      <c r="M1819" s="6"/>
      <c r="N1819" s="6"/>
      <c r="O1819" s="6"/>
      <c r="P1819" s="6"/>
      <c r="Q1819" s="6"/>
      <c r="R1819" s="6"/>
      <c r="S1819" s="6"/>
    </row>
    <row r="1820" ht="22.5" hidden="1" customHeight="1">
      <c r="A1820" s="49"/>
      <c r="B1820" s="61"/>
      <c r="C1820" s="34"/>
      <c r="D1820" s="55"/>
      <c r="E1820" s="59"/>
      <c r="F1820" s="60"/>
      <c r="G1820" s="29"/>
      <c r="H1820" s="6"/>
      <c r="I1820" s="6"/>
      <c r="J1820" s="6"/>
      <c r="K1820" s="6"/>
      <c r="L1820" s="6"/>
      <c r="M1820" s="6"/>
      <c r="N1820" s="6"/>
      <c r="O1820" s="6"/>
      <c r="P1820" s="6"/>
      <c r="Q1820" s="6"/>
      <c r="R1820" s="6"/>
      <c r="S1820" s="6"/>
    </row>
    <row r="1821" ht="22.5" hidden="1" customHeight="1">
      <c r="A1821" s="49"/>
      <c r="B1821" s="61"/>
      <c r="C1821" s="34"/>
      <c r="D1821" s="55"/>
      <c r="E1821" s="59"/>
      <c r="F1821" s="60"/>
      <c r="G1821" s="29"/>
      <c r="H1821" s="6"/>
      <c r="I1821" s="6"/>
      <c r="J1821" s="6"/>
      <c r="K1821" s="6"/>
      <c r="L1821" s="6"/>
      <c r="M1821" s="6"/>
      <c r="N1821" s="6"/>
      <c r="O1821" s="6"/>
      <c r="P1821" s="6"/>
      <c r="Q1821" s="6"/>
      <c r="R1821" s="6"/>
      <c r="S1821" s="6"/>
    </row>
    <row r="1822" ht="22.5" hidden="1" customHeight="1">
      <c r="A1822" s="49"/>
      <c r="B1822" s="61"/>
      <c r="C1822" s="34"/>
      <c r="D1822" s="55"/>
      <c r="E1822" s="59"/>
      <c r="F1822" s="60"/>
      <c r="G1822" s="29"/>
      <c r="H1822" s="6"/>
      <c r="I1822" s="6"/>
      <c r="J1822" s="6"/>
      <c r="K1822" s="6"/>
      <c r="L1822" s="6"/>
      <c r="M1822" s="6"/>
      <c r="N1822" s="6"/>
      <c r="O1822" s="6"/>
      <c r="P1822" s="6"/>
      <c r="Q1822" s="6"/>
      <c r="R1822" s="6"/>
      <c r="S1822" s="6"/>
    </row>
    <row r="1823" ht="22.5" hidden="1" customHeight="1">
      <c r="A1823" s="49"/>
      <c r="B1823" s="61"/>
      <c r="C1823" s="34"/>
      <c r="D1823" s="55"/>
      <c r="E1823" s="59"/>
      <c r="F1823" s="60"/>
      <c r="G1823" s="29"/>
      <c r="H1823" s="6"/>
      <c r="I1823" s="6"/>
      <c r="J1823" s="6"/>
      <c r="K1823" s="6"/>
      <c r="L1823" s="6"/>
      <c r="M1823" s="6"/>
      <c r="N1823" s="6"/>
      <c r="O1823" s="6"/>
      <c r="P1823" s="6"/>
      <c r="Q1823" s="6"/>
      <c r="R1823" s="6"/>
      <c r="S1823" s="6"/>
    </row>
    <row r="1824" ht="22.5" hidden="1" customHeight="1">
      <c r="A1824" s="49"/>
      <c r="B1824" s="61"/>
      <c r="C1824" s="34"/>
      <c r="D1824" s="55"/>
      <c r="E1824" s="59"/>
      <c r="F1824" s="60"/>
      <c r="G1824" s="29"/>
      <c r="H1824" s="6"/>
      <c r="I1824" s="6"/>
      <c r="J1824" s="6"/>
      <c r="K1824" s="6"/>
      <c r="L1824" s="6"/>
      <c r="M1824" s="6"/>
      <c r="N1824" s="6"/>
      <c r="O1824" s="6"/>
      <c r="P1824" s="6"/>
      <c r="Q1824" s="6"/>
      <c r="R1824" s="6"/>
      <c r="S1824" s="6"/>
    </row>
    <row r="1825" ht="22.5" hidden="1" customHeight="1">
      <c r="A1825" s="49"/>
      <c r="B1825" s="61"/>
      <c r="C1825" s="34"/>
      <c r="D1825" s="55"/>
      <c r="E1825" s="59"/>
      <c r="F1825" s="60"/>
      <c r="G1825" s="29"/>
      <c r="H1825" s="6"/>
      <c r="I1825" s="6"/>
      <c r="J1825" s="6"/>
      <c r="K1825" s="6"/>
      <c r="L1825" s="6"/>
      <c r="M1825" s="6"/>
      <c r="N1825" s="6"/>
      <c r="O1825" s="6"/>
      <c r="P1825" s="6"/>
      <c r="Q1825" s="6"/>
      <c r="R1825" s="6"/>
      <c r="S1825" s="6"/>
    </row>
    <row r="1826" ht="22.5" hidden="1" customHeight="1">
      <c r="A1826" s="49"/>
      <c r="B1826" s="61"/>
      <c r="C1826" s="34"/>
      <c r="D1826" s="55"/>
      <c r="E1826" s="59"/>
      <c r="F1826" s="60"/>
      <c r="G1826" s="29"/>
      <c r="H1826" s="6"/>
      <c r="I1826" s="6"/>
      <c r="J1826" s="6"/>
      <c r="K1826" s="6"/>
      <c r="L1826" s="6"/>
      <c r="M1826" s="6"/>
      <c r="N1826" s="6"/>
      <c r="O1826" s="6"/>
      <c r="P1826" s="6"/>
      <c r="Q1826" s="6"/>
      <c r="R1826" s="6"/>
      <c r="S1826" s="6"/>
    </row>
    <row r="1827" ht="22.5" hidden="1" customHeight="1">
      <c r="A1827" s="49"/>
      <c r="B1827" s="61"/>
      <c r="C1827" s="34"/>
      <c r="D1827" s="55"/>
      <c r="E1827" s="59"/>
      <c r="F1827" s="60"/>
      <c r="G1827" s="29"/>
      <c r="H1827" s="6"/>
      <c r="I1827" s="6"/>
      <c r="J1827" s="6"/>
      <c r="K1827" s="6"/>
      <c r="L1827" s="6"/>
      <c r="M1827" s="6"/>
      <c r="N1827" s="6"/>
      <c r="O1827" s="6"/>
      <c r="P1827" s="6"/>
      <c r="Q1827" s="6"/>
      <c r="R1827" s="6"/>
      <c r="S1827" s="6"/>
    </row>
    <row r="1828" ht="22.5" hidden="1" customHeight="1">
      <c r="A1828" s="49"/>
      <c r="B1828" s="61"/>
      <c r="C1828" s="34"/>
      <c r="D1828" s="55"/>
      <c r="E1828" s="59"/>
      <c r="F1828" s="60"/>
      <c r="G1828" s="29"/>
      <c r="H1828" s="6"/>
      <c r="I1828" s="6"/>
      <c r="J1828" s="6"/>
      <c r="K1828" s="6"/>
      <c r="L1828" s="6"/>
      <c r="M1828" s="6"/>
      <c r="N1828" s="6"/>
      <c r="O1828" s="6"/>
      <c r="P1828" s="6"/>
      <c r="Q1828" s="6"/>
      <c r="R1828" s="6"/>
      <c r="S1828" s="6"/>
    </row>
    <row r="1829" ht="22.5" hidden="1" customHeight="1">
      <c r="A1829" s="49"/>
      <c r="B1829" s="61"/>
      <c r="C1829" s="34"/>
      <c r="D1829" s="55"/>
      <c r="E1829" s="59"/>
      <c r="F1829" s="60"/>
      <c r="G1829" s="29"/>
      <c r="H1829" s="6"/>
      <c r="I1829" s="6"/>
      <c r="J1829" s="6"/>
      <c r="K1829" s="6"/>
      <c r="L1829" s="6"/>
      <c r="M1829" s="6"/>
      <c r="N1829" s="6"/>
      <c r="O1829" s="6"/>
      <c r="P1829" s="6"/>
      <c r="Q1829" s="6"/>
      <c r="R1829" s="6"/>
      <c r="S1829" s="6"/>
    </row>
    <row r="1830" ht="22.5" hidden="1" customHeight="1">
      <c r="A1830" s="49"/>
      <c r="B1830" s="61"/>
      <c r="C1830" s="34"/>
      <c r="D1830" s="55"/>
      <c r="E1830" s="59"/>
      <c r="F1830" s="60"/>
      <c r="G1830" s="29"/>
      <c r="H1830" s="6"/>
      <c r="I1830" s="6"/>
      <c r="J1830" s="6"/>
      <c r="K1830" s="6"/>
      <c r="L1830" s="6"/>
      <c r="M1830" s="6"/>
      <c r="N1830" s="6"/>
      <c r="O1830" s="6"/>
      <c r="P1830" s="6"/>
      <c r="Q1830" s="6"/>
      <c r="R1830" s="6"/>
      <c r="S1830" s="6"/>
    </row>
    <row r="1831" ht="22.5" hidden="1" customHeight="1">
      <c r="A1831" s="49"/>
      <c r="B1831" s="61"/>
      <c r="C1831" s="34"/>
      <c r="D1831" s="55"/>
      <c r="E1831" s="59"/>
      <c r="F1831" s="60"/>
      <c r="G1831" s="29"/>
      <c r="H1831" s="6"/>
      <c r="I1831" s="6"/>
      <c r="J1831" s="6"/>
      <c r="K1831" s="6"/>
      <c r="L1831" s="6"/>
      <c r="M1831" s="6"/>
      <c r="N1831" s="6"/>
      <c r="O1831" s="6"/>
      <c r="P1831" s="6"/>
      <c r="Q1831" s="6"/>
      <c r="R1831" s="6"/>
      <c r="S1831" s="6"/>
    </row>
    <row r="1832" ht="22.5" hidden="1" customHeight="1">
      <c r="A1832" s="49"/>
      <c r="B1832" s="61"/>
      <c r="C1832" s="34"/>
      <c r="D1832" s="55"/>
      <c r="E1832" s="59"/>
      <c r="F1832" s="60"/>
      <c r="G1832" s="29"/>
      <c r="H1832" s="6"/>
      <c r="I1832" s="6"/>
      <c r="J1832" s="6"/>
      <c r="K1832" s="6"/>
      <c r="L1832" s="6"/>
      <c r="M1832" s="6"/>
      <c r="N1832" s="6"/>
      <c r="O1832" s="6"/>
      <c r="P1832" s="6"/>
      <c r="Q1832" s="6"/>
      <c r="R1832" s="6"/>
      <c r="S1832" s="6"/>
    </row>
    <row r="1833" ht="22.5" hidden="1" customHeight="1">
      <c r="A1833" s="49"/>
      <c r="B1833" s="61"/>
      <c r="C1833" s="34"/>
      <c r="D1833" s="55"/>
      <c r="E1833" s="59"/>
      <c r="F1833" s="60"/>
      <c r="G1833" s="29"/>
      <c r="H1833" s="6"/>
      <c r="I1833" s="6"/>
      <c r="J1833" s="6"/>
      <c r="K1833" s="6"/>
      <c r="L1833" s="6"/>
      <c r="M1833" s="6"/>
      <c r="N1833" s="6"/>
      <c r="O1833" s="6"/>
      <c r="P1833" s="6"/>
      <c r="Q1833" s="6"/>
      <c r="R1833" s="6"/>
      <c r="S1833" s="6"/>
    </row>
    <row r="1834" ht="22.5" hidden="1" customHeight="1">
      <c r="A1834" s="49"/>
      <c r="B1834" s="61"/>
      <c r="C1834" s="34"/>
      <c r="D1834" s="55"/>
      <c r="E1834" s="59"/>
      <c r="F1834" s="60"/>
      <c r="G1834" s="29"/>
      <c r="H1834" s="6"/>
      <c r="I1834" s="6"/>
      <c r="J1834" s="6"/>
      <c r="K1834" s="6"/>
      <c r="L1834" s="6"/>
      <c r="M1834" s="6"/>
      <c r="N1834" s="6"/>
      <c r="O1834" s="6"/>
      <c r="P1834" s="6"/>
      <c r="Q1834" s="6"/>
      <c r="R1834" s="6"/>
      <c r="S1834" s="6"/>
    </row>
    <row r="1835" ht="22.5" hidden="1" customHeight="1">
      <c r="A1835" s="49"/>
      <c r="B1835" s="61"/>
      <c r="C1835" s="34"/>
      <c r="D1835" s="55"/>
      <c r="E1835" s="59"/>
      <c r="F1835" s="60"/>
      <c r="G1835" s="29"/>
      <c r="H1835" s="6"/>
      <c r="I1835" s="6"/>
      <c r="J1835" s="6"/>
      <c r="K1835" s="6"/>
      <c r="L1835" s="6"/>
      <c r="M1835" s="6"/>
      <c r="N1835" s="6"/>
      <c r="O1835" s="6"/>
      <c r="P1835" s="6"/>
      <c r="Q1835" s="6"/>
      <c r="R1835" s="6"/>
      <c r="S1835" s="6"/>
    </row>
    <row r="1836" ht="22.5" hidden="1" customHeight="1">
      <c r="A1836" s="49"/>
      <c r="B1836" s="61"/>
      <c r="C1836" s="34"/>
      <c r="D1836" s="55"/>
      <c r="E1836" s="59"/>
      <c r="F1836" s="60"/>
      <c r="G1836" s="29"/>
      <c r="H1836" s="6"/>
      <c r="I1836" s="6"/>
      <c r="J1836" s="6"/>
      <c r="K1836" s="6"/>
      <c r="L1836" s="6"/>
      <c r="M1836" s="6"/>
      <c r="N1836" s="6"/>
      <c r="O1836" s="6"/>
      <c r="P1836" s="6"/>
      <c r="Q1836" s="6"/>
      <c r="R1836" s="6"/>
      <c r="S1836" s="6"/>
    </row>
    <row r="1837" ht="22.5" hidden="1" customHeight="1">
      <c r="A1837" s="49"/>
      <c r="B1837" s="61"/>
      <c r="C1837" s="34"/>
      <c r="D1837" s="55"/>
      <c r="E1837" s="59"/>
      <c r="F1837" s="60"/>
      <c r="G1837" s="29"/>
      <c r="H1837" s="6"/>
      <c r="I1837" s="6"/>
      <c r="J1837" s="6"/>
      <c r="K1837" s="6"/>
      <c r="L1837" s="6"/>
      <c r="M1837" s="6"/>
      <c r="N1837" s="6"/>
      <c r="O1837" s="6"/>
      <c r="P1837" s="6"/>
      <c r="Q1837" s="6"/>
      <c r="R1837" s="6"/>
      <c r="S1837" s="6"/>
    </row>
    <row r="1838" ht="22.5" hidden="1" customHeight="1">
      <c r="A1838" s="49"/>
      <c r="B1838" s="61"/>
      <c r="C1838" s="34"/>
      <c r="D1838" s="55"/>
      <c r="E1838" s="59"/>
      <c r="F1838" s="60"/>
      <c r="G1838" s="29"/>
      <c r="H1838" s="6"/>
      <c r="I1838" s="6"/>
      <c r="J1838" s="6"/>
      <c r="K1838" s="6"/>
      <c r="L1838" s="6"/>
      <c r="M1838" s="6"/>
      <c r="N1838" s="6"/>
      <c r="O1838" s="6"/>
      <c r="P1838" s="6"/>
      <c r="Q1838" s="6"/>
      <c r="R1838" s="6"/>
      <c r="S1838" s="6"/>
    </row>
    <row r="1839" ht="22.5" hidden="1" customHeight="1">
      <c r="A1839" s="49"/>
      <c r="B1839" s="61"/>
      <c r="C1839" s="34"/>
      <c r="D1839" s="55"/>
      <c r="E1839" s="59"/>
      <c r="F1839" s="60"/>
      <c r="G1839" s="29"/>
      <c r="H1839" s="6"/>
      <c r="I1839" s="6"/>
      <c r="J1839" s="6"/>
      <c r="K1839" s="6"/>
      <c r="L1839" s="6"/>
      <c r="M1839" s="6"/>
      <c r="N1839" s="6"/>
      <c r="O1839" s="6"/>
      <c r="P1839" s="6"/>
      <c r="Q1839" s="6"/>
      <c r="R1839" s="6"/>
      <c r="S1839" s="6"/>
    </row>
    <row r="1840" ht="22.5" hidden="1" customHeight="1">
      <c r="A1840" s="49"/>
      <c r="B1840" s="61"/>
      <c r="C1840" s="34"/>
      <c r="D1840" s="55"/>
      <c r="E1840" s="59"/>
      <c r="F1840" s="60"/>
      <c r="G1840" s="29"/>
      <c r="H1840" s="6"/>
      <c r="I1840" s="6"/>
      <c r="J1840" s="6"/>
      <c r="K1840" s="6"/>
      <c r="L1840" s="6"/>
      <c r="M1840" s="6"/>
      <c r="N1840" s="6"/>
      <c r="O1840" s="6"/>
      <c r="P1840" s="6"/>
      <c r="Q1840" s="6"/>
      <c r="R1840" s="6"/>
      <c r="S1840" s="6"/>
    </row>
    <row r="1841" ht="22.5" hidden="1" customHeight="1">
      <c r="A1841" s="49"/>
      <c r="B1841" s="61"/>
      <c r="C1841" s="34"/>
      <c r="D1841" s="55"/>
      <c r="E1841" s="59"/>
      <c r="F1841" s="60"/>
      <c r="G1841" s="29"/>
      <c r="H1841" s="6"/>
      <c r="I1841" s="6"/>
      <c r="J1841" s="6"/>
      <c r="K1841" s="6"/>
      <c r="L1841" s="6"/>
      <c r="M1841" s="6"/>
      <c r="N1841" s="6"/>
      <c r="O1841" s="6"/>
      <c r="P1841" s="6"/>
      <c r="Q1841" s="6"/>
      <c r="R1841" s="6"/>
      <c r="S1841" s="6"/>
    </row>
    <row r="1842" ht="22.5" hidden="1" customHeight="1">
      <c r="A1842" s="49"/>
      <c r="B1842" s="61"/>
      <c r="C1842" s="34"/>
      <c r="D1842" s="55"/>
      <c r="E1842" s="59"/>
      <c r="F1842" s="60"/>
      <c r="G1842" s="29"/>
      <c r="H1842" s="6"/>
      <c r="I1842" s="6"/>
      <c r="J1842" s="6"/>
      <c r="K1842" s="6"/>
      <c r="L1842" s="6"/>
      <c r="M1842" s="6"/>
      <c r="N1842" s="6"/>
      <c r="O1842" s="6"/>
      <c r="P1842" s="6"/>
      <c r="Q1842" s="6"/>
      <c r="R1842" s="6"/>
      <c r="S1842" s="6"/>
    </row>
    <row r="1843" ht="22.5" hidden="1" customHeight="1">
      <c r="A1843" s="49"/>
      <c r="B1843" s="61"/>
      <c r="C1843" s="34"/>
      <c r="D1843" s="55"/>
      <c r="E1843" s="59"/>
      <c r="F1843" s="60"/>
      <c r="G1843" s="29"/>
      <c r="H1843" s="6"/>
      <c r="I1843" s="6"/>
      <c r="J1843" s="6"/>
      <c r="K1843" s="6"/>
      <c r="L1843" s="6"/>
      <c r="M1843" s="6"/>
      <c r="N1843" s="6"/>
      <c r="O1843" s="6"/>
      <c r="P1843" s="6"/>
      <c r="Q1843" s="6"/>
      <c r="R1843" s="6"/>
      <c r="S1843" s="6"/>
    </row>
    <row r="1844" ht="22.5" hidden="1" customHeight="1">
      <c r="A1844" s="49"/>
      <c r="B1844" s="61"/>
      <c r="C1844" s="34"/>
      <c r="D1844" s="55"/>
      <c r="E1844" s="59"/>
      <c r="F1844" s="60"/>
      <c r="G1844" s="29"/>
      <c r="H1844" s="6"/>
      <c r="I1844" s="6"/>
      <c r="J1844" s="6"/>
      <c r="K1844" s="6"/>
      <c r="L1844" s="6"/>
      <c r="M1844" s="6"/>
      <c r="N1844" s="6"/>
      <c r="O1844" s="6"/>
      <c r="P1844" s="6"/>
      <c r="Q1844" s="6"/>
      <c r="R1844" s="6"/>
      <c r="S1844" s="6"/>
    </row>
    <row r="1845" ht="22.5" hidden="1" customHeight="1">
      <c r="A1845" s="49"/>
      <c r="B1845" s="61"/>
      <c r="C1845" s="34"/>
      <c r="D1845" s="55"/>
      <c r="E1845" s="59"/>
      <c r="F1845" s="60"/>
      <c r="G1845" s="29"/>
      <c r="H1845" s="6"/>
      <c r="I1845" s="6"/>
      <c r="J1845" s="6"/>
      <c r="K1845" s="6"/>
      <c r="L1845" s="6"/>
      <c r="M1845" s="6"/>
      <c r="N1845" s="6"/>
      <c r="O1845" s="6"/>
      <c r="P1845" s="6"/>
      <c r="Q1845" s="6"/>
      <c r="R1845" s="6"/>
      <c r="S1845" s="6"/>
    </row>
    <row r="1846" ht="22.5" hidden="1" customHeight="1">
      <c r="A1846" s="49"/>
      <c r="B1846" s="61"/>
      <c r="C1846" s="34"/>
      <c r="D1846" s="55"/>
      <c r="E1846" s="59"/>
      <c r="F1846" s="60"/>
      <c r="G1846" s="29"/>
      <c r="H1846" s="6"/>
      <c r="I1846" s="6"/>
      <c r="J1846" s="6"/>
      <c r="K1846" s="6"/>
      <c r="L1846" s="6"/>
      <c r="M1846" s="6"/>
      <c r="N1846" s="6"/>
      <c r="O1846" s="6"/>
      <c r="P1846" s="6"/>
      <c r="Q1846" s="6"/>
      <c r="R1846" s="6"/>
      <c r="S1846" s="6"/>
    </row>
    <row r="1847" ht="22.5" hidden="1" customHeight="1">
      <c r="A1847" s="49"/>
      <c r="B1847" s="61"/>
      <c r="C1847" s="34"/>
      <c r="D1847" s="55"/>
      <c r="E1847" s="59"/>
      <c r="F1847" s="60"/>
      <c r="G1847" s="29"/>
      <c r="H1847" s="6"/>
      <c r="I1847" s="6"/>
      <c r="J1847" s="6"/>
      <c r="K1847" s="6"/>
      <c r="L1847" s="6"/>
      <c r="M1847" s="6"/>
      <c r="N1847" s="6"/>
      <c r="O1847" s="6"/>
      <c r="P1847" s="6"/>
      <c r="Q1847" s="6"/>
      <c r="R1847" s="6"/>
      <c r="S1847" s="6"/>
    </row>
    <row r="1848" ht="22.5" hidden="1" customHeight="1">
      <c r="A1848" s="49"/>
      <c r="B1848" s="61"/>
      <c r="C1848" s="34"/>
      <c r="D1848" s="55"/>
      <c r="E1848" s="59"/>
      <c r="F1848" s="60"/>
      <c r="G1848" s="29"/>
      <c r="H1848" s="6"/>
      <c r="I1848" s="6"/>
      <c r="J1848" s="6"/>
      <c r="K1848" s="6"/>
      <c r="L1848" s="6"/>
      <c r="M1848" s="6"/>
      <c r="N1848" s="6"/>
      <c r="O1848" s="6"/>
      <c r="P1848" s="6"/>
      <c r="Q1848" s="6"/>
      <c r="R1848" s="6"/>
      <c r="S1848" s="6"/>
    </row>
    <row r="1849" ht="22.5" hidden="1" customHeight="1">
      <c r="A1849" s="49"/>
      <c r="B1849" s="61"/>
      <c r="C1849" s="34"/>
      <c r="D1849" s="55"/>
      <c r="E1849" s="59"/>
      <c r="F1849" s="60"/>
      <c r="G1849" s="29"/>
      <c r="H1849" s="6"/>
      <c r="I1849" s="6"/>
      <c r="J1849" s="6"/>
      <c r="K1849" s="6"/>
      <c r="L1849" s="6"/>
      <c r="M1849" s="6"/>
      <c r="N1849" s="6"/>
      <c r="O1849" s="6"/>
      <c r="P1849" s="6"/>
      <c r="Q1849" s="6"/>
      <c r="R1849" s="6"/>
      <c r="S1849" s="6"/>
    </row>
    <row r="1850" ht="22.5" hidden="1" customHeight="1">
      <c r="A1850" s="49"/>
      <c r="B1850" s="61"/>
      <c r="C1850" s="34"/>
      <c r="D1850" s="55"/>
      <c r="E1850" s="59"/>
      <c r="F1850" s="60"/>
      <c r="G1850" s="29"/>
      <c r="H1850" s="6"/>
      <c r="I1850" s="6"/>
      <c r="J1850" s="6"/>
      <c r="K1850" s="6"/>
      <c r="L1850" s="6"/>
      <c r="M1850" s="6"/>
      <c r="N1850" s="6"/>
      <c r="O1850" s="6"/>
      <c r="P1850" s="6"/>
      <c r="Q1850" s="6"/>
      <c r="R1850" s="6"/>
      <c r="S1850" s="6"/>
    </row>
    <row r="1851" ht="22.5" hidden="1" customHeight="1">
      <c r="A1851" s="49"/>
      <c r="B1851" s="61"/>
      <c r="C1851" s="34"/>
      <c r="D1851" s="55"/>
      <c r="E1851" s="59"/>
      <c r="F1851" s="60"/>
      <c r="G1851" s="29"/>
      <c r="H1851" s="6"/>
      <c r="I1851" s="6"/>
      <c r="J1851" s="6"/>
      <c r="K1851" s="6"/>
      <c r="L1851" s="6"/>
      <c r="M1851" s="6"/>
      <c r="N1851" s="6"/>
      <c r="O1851" s="6"/>
      <c r="P1851" s="6"/>
      <c r="Q1851" s="6"/>
      <c r="R1851" s="6"/>
      <c r="S1851" s="6"/>
    </row>
    <row r="1852" ht="22.5" hidden="1" customHeight="1">
      <c r="A1852" s="49"/>
      <c r="B1852" s="61"/>
      <c r="C1852" s="34"/>
      <c r="D1852" s="55"/>
      <c r="E1852" s="59"/>
      <c r="F1852" s="60"/>
      <c r="G1852" s="29"/>
      <c r="H1852" s="6"/>
      <c r="I1852" s="6"/>
      <c r="J1852" s="6"/>
      <c r="K1852" s="6"/>
      <c r="L1852" s="6"/>
      <c r="M1852" s="6"/>
      <c r="N1852" s="6"/>
      <c r="O1852" s="6"/>
      <c r="P1852" s="6"/>
      <c r="Q1852" s="6"/>
      <c r="R1852" s="6"/>
      <c r="S1852" s="6"/>
    </row>
    <row r="1853" ht="22.5" hidden="1" customHeight="1">
      <c r="A1853" s="49"/>
      <c r="B1853" s="61"/>
      <c r="C1853" s="34"/>
      <c r="D1853" s="55"/>
      <c r="E1853" s="59"/>
      <c r="F1853" s="60"/>
      <c r="G1853" s="29"/>
      <c r="H1853" s="6"/>
      <c r="I1853" s="6"/>
      <c r="J1853" s="6"/>
      <c r="K1853" s="6"/>
      <c r="L1853" s="6"/>
      <c r="M1853" s="6"/>
      <c r="N1853" s="6"/>
      <c r="O1853" s="6"/>
      <c r="P1853" s="6"/>
      <c r="Q1853" s="6"/>
      <c r="R1853" s="6"/>
      <c r="S1853" s="6"/>
    </row>
    <row r="1854" ht="22.5" hidden="1" customHeight="1">
      <c r="A1854" s="49"/>
      <c r="B1854" s="61"/>
      <c r="C1854" s="34"/>
      <c r="D1854" s="55"/>
      <c r="E1854" s="59"/>
      <c r="F1854" s="60"/>
      <c r="G1854" s="29"/>
      <c r="H1854" s="6"/>
      <c r="I1854" s="6"/>
      <c r="J1854" s="6"/>
      <c r="K1854" s="6"/>
      <c r="L1854" s="6"/>
      <c r="M1854" s="6"/>
      <c r="N1854" s="6"/>
      <c r="O1854" s="6"/>
      <c r="P1854" s="6"/>
      <c r="Q1854" s="6"/>
      <c r="R1854" s="6"/>
      <c r="S1854" s="6"/>
    </row>
    <row r="1855" ht="22.5" hidden="1" customHeight="1">
      <c r="A1855" s="49"/>
      <c r="B1855" s="61"/>
      <c r="C1855" s="34"/>
      <c r="D1855" s="55"/>
      <c r="E1855" s="59"/>
      <c r="F1855" s="60"/>
      <c r="G1855" s="29"/>
      <c r="H1855" s="6"/>
      <c r="I1855" s="6"/>
      <c r="J1855" s="6"/>
      <c r="K1855" s="6"/>
      <c r="L1855" s="6"/>
      <c r="M1855" s="6"/>
      <c r="N1855" s="6"/>
      <c r="O1855" s="6"/>
      <c r="P1855" s="6"/>
      <c r="Q1855" s="6"/>
      <c r="R1855" s="6"/>
      <c r="S1855" s="6"/>
    </row>
    <row r="1856" ht="22.5" hidden="1" customHeight="1">
      <c r="A1856" s="49"/>
      <c r="B1856" s="61"/>
      <c r="C1856" s="34"/>
      <c r="D1856" s="55"/>
      <c r="E1856" s="59"/>
      <c r="F1856" s="60"/>
      <c r="G1856" s="29"/>
      <c r="H1856" s="6"/>
      <c r="I1856" s="6"/>
      <c r="J1856" s="6"/>
      <c r="K1856" s="6"/>
      <c r="L1856" s="6"/>
      <c r="M1856" s="6"/>
      <c r="N1856" s="6"/>
      <c r="O1856" s="6"/>
      <c r="P1856" s="6"/>
      <c r="Q1856" s="6"/>
      <c r="R1856" s="6"/>
      <c r="S1856" s="6"/>
    </row>
    <row r="1857" ht="22.5" hidden="1" customHeight="1">
      <c r="A1857" s="49"/>
      <c r="B1857" s="61"/>
      <c r="C1857" s="34"/>
      <c r="D1857" s="55"/>
      <c r="E1857" s="59"/>
      <c r="F1857" s="60"/>
      <c r="G1857" s="29"/>
      <c r="H1857" s="6"/>
      <c r="I1857" s="6"/>
      <c r="J1857" s="6"/>
      <c r="K1857" s="6"/>
      <c r="L1857" s="6"/>
      <c r="M1857" s="6"/>
      <c r="N1857" s="6"/>
      <c r="O1857" s="6"/>
      <c r="P1857" s="6"/>
      <c r="Q1857" s="6"/>
      <c r="R1857" s="6"/>
      <c r="S1857" s="6"/>
    </row>
    <row r="1858" ht="22.5" hidden="1" customHeight="1">
      <c r="A1858" s="49"/>
      <c r="B1858" s="61"/>
      <c r="C1858" s="34"/>
      <c r="D1858" s="55"/>
      <c r="E1858" s="59"/>
      <c r="F1858" s="60"/>
      <c r="G1858" s="29"/>
      <c r="H1858" s="6"/>
      <c r="I1858" s="6"/>
      <c r="J1858" s="6"/>
      <c r="K1858" s="6"/>
      <c r="L1858" s="6"/>
      <c r="M1858" s="6"/>
      <c r="N1858" s="6"/>
      <c r="O1858" s="6"/>
      <c r="P1858" s="6"/>
      <c r="Q1858" s="6"/>
      <c r="R1858" s="6"/>
      <c r="S1858" s="6"/>
    </row>
    <row r="1859" ht="22.5" hidden="1" customHeight="1">
      <c r="A1859" s="49"/>
      <c r="B1859" s="61"/>
      <c r="C1859" s="34"/>
      <c r="D1859" s="55"/>
      <c r="E1859" s="59"/>
      <c r="F1859" s="60"/>
      <c r="G1859" s="29"/>
      <c r="H1859" s="6"/>
      <c r="I1859" s="6"/>
      <c r="J1859" s="6"/>
      <c r="K1859" s="6"/>
      <c r="L1859" s="6"/>
      <c r="M1859" s="6"/>
      <c r="N1859" s="6"/>
      <c r="O1859" s="6"/>
      <c r="P1859" s="6"/>
      <c r="Q1859" s="6"/>
      <c r="R1859" s="6"/>
      <c r="S1859" s="6"/>
    </row>
    <row r="1860" ht="22.5" hidden="1" customHeight="1">
      <c r="A1860" s="49"/>
      <c r="B1860" s="61"/>
      <c r="C1860" s="34"/>
      <c r="D1860" s="55"/>
      <c r="E1860" s="59"/>
      <c r="F1860" s="60"/>
      <c r="G1860" s="29"/>
      <c r="H1860" s="6"/>
      <c r="I1860" s="6"/>
      <c r="J1860" s="6"/>
      <c r="K1860" s="6"/>
      <c r="L1860" s="6"/>
      <c r="M1860" s="6"/>
      <c r="N1860" s="6"/>
      <c r="O1860" s="6"/>
      <c r="P1860" s="6"/>
      <c r="Q1860" s="6"/>
      <c r="R1860" s="6"/>
      <c r="S1860" s="6"/>
    </row>
    <row r="1861" ht="22.5" hidden="1" customHeight="1">
      <c r="A1861" s="49"/>
      <c r="B1861" s="61"/>
      <c r="C1861" s="34"/>
      <c r="D1861" s="55"/>
      <c r="E1861" s="59"/>
      <c r="F1861" s="60"/>
      <c r="G1861" s="29"/>
      <c r="H1861" s="6"/>
      <c r="I1861" s="6"/>
      <c r="J1861" s="6"/>
      <c r="K1861" s="6"/>
      <c r="L1861" s="6"/>
      <c r="M1861" s="6"/>
      <c r="N1861" s="6"/>
      <c r="O1861" s="6"/>
      <c r="P1861" s="6"/>
      <c r="Q1861" s="6"/>
      <c r="R1861" s="6"/>
      <c r="S1861" s="6"/>
    </row>
    <row r="1862" ht="22.5" hidden="1" customHeight="1">
      <c r="A1862" s="49"/>
      <c r="B1862" s="61"/>
      <c r="C1862" s="34"/>
      <c r="D1862" s="55"/>
      <c r="E1862" s="59"/>
      <c r="F1862" s="60"/>
      <c r="G1862" s="29"/>
      <c r="H1862" s="6"/>
      <c r="I1862" s="6"/>
      <c r="J1862" s="6"/>
      <c r="K1862" s="6"/>
      <c r="L1862" s="6"/>
      <c r="M1862" s="6"/>
      <c r="N1862" s="6"/>
      <c r="O1862" s="6"/>
      <c r="P1862" s="6"/>
      <c r="Q1862" s="6"/>
      <c r="R1862" s="6"/>
      <c r="S1862" s="6"/>
    </row>
    <row r="1863" ht="22.5" hidden="1" customHeight="1">
      <c r="A1863" s="49"/>
      <c r="B1863" s="61"/>
      <c r="C1863" s="34"/>
      <c r="D1863" s="55"/>
      <c r="E1863" s="59"/>
      <c r="F1863" s="60"/>
      <c r="G1863" s="29"/>
      <c r="H1863" s="6"/>
      <c r="I1863" s="6"/>
      <c r="J1863" s="6"/>
      <c r="K1863" s="6"/>
      <c r="L1863" s="6"/>
      <c r="M1863" s="6"/>
      <c r="N1863" s="6"/>
      <c r="O1863" s="6"/>
      <c r="P1863" s="6"/>
      <c r="Q1863" s="6"/>
      <c r="R1863" s="6"/>
      <c r="S1863" s="6"/>
    </row>
    <row r="1864" ht="22.5" hidden="1" customHeight="1">
      <c r="A1864" s="49"/>
      <c r="B1864" s="61"/>
      <c r="C1864" s="34"/>
      <c r="D1864" s="55"/>
      <c r="E1864" s="59"/>
      <c r="F1864" s="60"/>
      <c r="G1864" s="29"/>
      <c r="H1864" s="6"/>
      <c r="I1864" s="6"/>
      <c r="J1864" s="6"/>
      <c r="K1864" s="6"/>
      <c r="L1864" s="6"/>
      <c r="M1864" s="6"/>
      <c r="N1864" s="6"/>
      <c r="O1864" s="6"/>
      <c r="P1864" s="6"/>
      <c r="Q1864" s="6"/>
      <c r="R1864" s="6"/>
      <c r="S1864" s="6"/>
    </row>
    <row r="1865" ht="22.5" hidden="1" customHeight="1">
      <c r="A1865" s="49"/>
      <c r="B1865" s="61"/>
      <c r="C1865" s="34"/>
      <c r="D1865" s="55"/>
      <c r="E1865" s="59"/>
      <c r="F1865" s="60"/>
      <c r="G1865" s="29"/>
      <c r="H1865" s="6"/>
      <c r="I1865" s="6"/>
      <c r="J1865" s="6"/>
      <c r="K1865" s="6"/>
      <c r="L1865" s="6"/>
      <c r="M1865" s="6"/>
      <c r="N1865" s="6"/>
      <c r="O1865" s="6"/>
      <c r="P1865" s="6"/>
      <c r="Q1865" s="6"/>
      <c r="R1865" s="6"/>
      <c r="S1865" s="6"/>
    </row>
    <row r="1866" ht="22.5" hidden="1" customHeight="1">
      <c r="A1866" s="49"/>
      <c r="B1866" s="61"/>
      <c r="C1866" s="34"/>
      <c r="D1866" s="55"/>
      <c r="E1866" s="59"/>
      <c r="F1866" s="60"/>
      <c r="G1866" s="29"/>
      <c r="H1866" s="6"/>
      <c r="I1866" s="6"/>
      <c r="J1866" s="6"/>
      <c r="K1866" s="6"/>
      <c r="L1866" s="6"/>
      <c r="M1866" s="6"/>
      <c r="N1866" s="6"/>
      <c r="O1866" s="6"/>
      <c r="P1866" s="6"/>
      <c r="Q1866" s="6"/>
      <c r="R1866" s="6"/>
      <c r="S1866" s="6"/>
    </row>
    <row r="1867" ht="22.5" hidden="1" customHeight="1">
      <c r="A1867" s="49"/>
      <c r="B1867" s="61"/>
      <c r="C1867" s="34"/>
      <c r="D1867" s="55"/>
      <c r="E1867" s="59"/>
      <c r="F1867" s="60"/>
      <c r="G1867" s="29"/>
      <c r="H1867" s="6"/>
      <c r="I1867" s="6"/>
      <c r="J1867" s="6"/>
      <c r="K1867" s="6"/>
      <c r="L1867" s="6"/>
      <c r="M1867" s="6"/>
      <c r="N1867" s="6"/>
      <c r="O1867" s="6"/>
      <c r="P1867" s="6"/>
      <c r="Q1867" s="6"/>
      <c r="R1867" s="6"/>
      <c r="S1867" s="6"/>
    </row>
    <row r="1868" ht="22.5" hidden="1" customHeight="1">
      <c r="A1868" s="49"/>
      <c r="B1868" s="61"/>
      <c r="C1868" s="34"/>
      <c r="D1868" s="55"/>
      <c r="E1868" s="59"/>
      <c r="F1868" s="60"/>
      <c r="G1868" s="29"/>
      <c r="H1868" s="6"/>
      <c r="I1868" s="6"/>
      <c r="J1868" s="6"/>
      <c r="K1868" s="6"/>
      <c r="L1868" s="6"/>
      <c r="M1868" s="6"/>
      <c r="N1868" s="6"/>
      <c r="O1868" s="6"/>
      <c r="P1868" s="6"/>
      <c r="Q1868" s="6"/>
      <c r="R1868" s="6"/>
      <c r="S1868" s="6"/>
    </row>
    <row r="1869" ht="22.5" hidden="1" customHeight="1">
      <c r="A1869" s="49"/>
      <c r="B1869" s="61"/>
      <c r="C1869" s="34"/>
      <c r="D1869" s="55"/>
      <c r="E1869" s="59"/>
      <c r="F1869" s="60"/>
      <c r="G1869" s="29"/>
      <c r="H1869" s="6"/>
      <c r="I1869" s="6"/>
      <c r="J1869" s="6"/>
      <c r="K1869" s="6"/>
      <c r="L1869" s="6"/>
      <c r="M1869" s="6"/>
      <c r="N1869" s="6"/>
      <c r="O1869" s="6"/>
      <c r="P1869" s="6"/>
      <c r="Q1869" s="6"/>
      <c r="R1869" s="6"/>
      <c r="S1869" s="6"/>
    </row>
    <row r="1870" ht="22.5" hidden="1" customHeight="1">
      <c r="A1870" s="49"/>
      <c r="B1870" s="61"/>
      <c r="C1870" s="34"/>
      <c r="D1870" s="55"/>
      <c r="E1870" s="59"/>
      <c r="F1870" s="60"/>
      <c r="G1870" s="29"/>
      <c r="H1870" s="6"/>
      <c r="I1870" s="6"/>
      <c r="J1870" s="6"/>
      <c r="K1870" s="6"/>
      <c r="L1870" s="6"/>
      <c r="M1870" s="6"/>
      <c r="N1870" s="6"/>
      <c r="O1870" s="6"/>
      <c r="P1870" s="6"/>
      <c r="Q1870" s="6"/>
      <c r="R1870" s="6"/>
      <c r="S1870" s="6"/>
    </row>
    <row r="1871" ht="22.5" hidden="1" customHeight="1">
      <c r="A1871" s="49"/>
      <c r="B1871" s="61"/>
      <c r="C1871" s="34"/>
      <c r="D1871" s="55"/>
      <c r="E1871" s="59"/>
      <c r="F1871" s="60"/>
      <c r="G1871" s="29"/>
      <c r="H1871" s="6"/>
      <c r="I1871" s="6"/>
      <c r="J1871" s="6"/>
      <c r="K1871" s="6"/>
      <c r="L1871" s="6"/>
      <c r="M1871" s="6"/>
      <c r="N1871" s="6"/>
      <c r="O1871" s="6"/>
      <c r="P1871" s="6"/>
      <c r="Q1871" s="6"/>
      <c r="R1871" s="6"/>
      <c r="S1871" s="6"/>
    </row>
    <row r="1872" ht="22.5" hidden="1" customHeight="1">
      <c r="A1872" s="49"/>
      <c r="B1872" s="61"/>
      <c r="C1872" s="34"/>
      <c r="D1872" s="55"/>
      <c r="E1872" s="59"/>
      <c r="F1872" s="60"/>
      <c r="G1872" s="29"/>
      <c r="H1872" s="6"/>
      <c r="I1872" s="6"/>
      <c r="J1872" s="6"/>
      <c r="K1872" s="6"/>
      <c r="L1872" s="6"/>
      <c r="M1872" s="6"/>
      <c r="N1872" s="6"/>
      <c r="O1872" s="6"/>
      <c r="P1872" s="6"/>
      <c r="Q1872" s="6"/>
      <c r="R1872" s="6"/>
      <c r="S1872" s="6"/>
    </row>
    <row r="1873" ht="22.5" hidden="1" customHeight="1">
      <c r="A1873" s="49"/>
      <c r="B1873" s="61"/>
      <c r="C1873" s="34"/>
      <c r="D1873" s="55"/>
      <c r="E1873" s="59"/>
      <c r="F1873" s="60"/>
      <c r="G1873" s="29"/>
      <c r="H1873" s="6"/>
      <c r="I1873" s="6"/>
      <c r="J1873" s="6"/>
      <c r="K1873" s="6"/>
      <c r="L1873" s="6"/>
      <c r="M1873" s="6"/>
      <c r="N1873" s="6"/>
      <c r="O1873" s="6"/>
      <c r="P1873" s="6"/>
      <c r="Q1873" s="6"/>
      <c r="R1873" s="6"/>
      <c r="S1873" s="6"/>
    </row>
    <row r="1874" ht="22.5" hidden="1" customHeight="1">
      <c r="A1874" s="49"/>
      <c r="B1874" s="61"/>
      <c r="C1874" s="34"/>
      <c r="D1874" s="55"/>
      <c r="E1874" s="59"/>
      <c r="F1874" s="60"/>
      <c r="G1874" s="29"/>
      <c r="H1874" s="6"/>
      <c r="I1874" s="6"/>
      <c r="J1874" s="6"/>
      <c r="K1874" s="6"/>
      <c r="L1874" s="6"/>
      <c r="M1874" s="6"/>
      <c r="N1874" s="6"/>
      <c r="O1874" s="6"/>
      <c r="P1874" s="6"/>
      <c r="Q1874" s="6"/>
      <c r="R1874" s="6"/>
      <c r="S1874" s="6"/>
    </row>
    <row r="1875" ht="22.5" hidden="1" customHeight="1">
      <c r="A1875" s="49"/>
      <c r="B1875" s="61"/>
      <c r="C1875" s="34"/>
      <c r="D1875" s="55"/>
      <c r="E1875" s="59"/>
      <c r="F1875" s="60"/>
      <c r="G1875" s="29"/>
      <c r="H1875" s="6"/>
      <c r="I1875" s="6"/>
      <c r="J1875" s="6"/>
      <c r="K1875" s="6"/>
      <c r="L1875" s="6"/>
      <c r="M1875" s="6"/>
      <c r="N1875" s="6"/>
      <c r="O1875" s="6"/>
      <c r="P1875" s="6"/>
      <c r="Q1875" s="6"/>
      <c r="R1875" s="6"/>
      <c r="S1875" s="6"/>
    </row>
    <row r="1876" ht="22.5" hidden="1" customHeight="1">
      <c r="A1876" s="49"/>
      <c r="B1876" s="61"/>
      <c r="C1876" s="34"/>
      <c r="D1876" s="55"/>
      <c r="E1876" s="59"/>
      <c r="F1876" s="60"/>
      <c r="G1876" s="29"/>
      <c r="H1876" s="6"/>
      <c r="I1876" s="6"/>
      <c r="J1876" s="6"/>
      <c r="K1876" s="6"/>
      <c r="L1876" s="6"/>
      <c r="M1876" s="6"/>
      <c r="N1876" s="6"/>
      <c r="O1876" s="6"/>
      <c r="P1876" s="6"/>
      <c r="Q1876" s="6"/>
      <c r="R1876" s="6"/>
      <c r="S1876" s="6"/>
    </row>
    <row r="1877" ht="22.5" hidden="1" customHeight="1">
      <c r="A1877" s="49"/>
      <c r="B1877" s="61"/>
      <c r="C1877" s="34"/>
      <c r="D1877" s="55"/>
      <c r="E1877" s="59"/>
      <c r="F1877" s="60"/>
      <c r="G1877" s="29"/>
      <c r="H1877" s="6"/>
      <c r="I1877" s="6"/>
      <c r="J1877" s="6"/>
      <c r="K1877" s="6"/>
      <c r="L1877" s="6"/>
      <c r="M1877" s="6"/>
      <c r="N1877" s="6"/>
      <c r="O1877" s="6"/>
      <c r="P1877" s="6"/>
      <c r="Q1877" s="6"/>
      <c r="R1877" s="6"/>
      <c r="S1877" s="6"/>
    </row>
    <row r="1878" ht="22.5" hidden="1" customHeight="1">
      <c r="A1878" s="49"/>
      <c r="B1878" s="61"/>
      <c r="C1878" s="34"/>
      <c r="D1878" s="55"/>
      <c r="E1878" s="59"/>
      <c r="F1878" s="60"/>
      <c r="G1878" s="29"/>
      <c r="H1878" s="6"/>
      <c r="I1878" s="6"/>
      <c r="J1878" s="6"/>
      <c r="K1878" s="6"/>
      <c r="L1878" s="6"/>
      <c r="M1878" s="6"/>
      <c r="N1878" s="6"/>
      <c r="O1878" s="6"/>
      <c r="P1878" s="6"/>
      <c r="Q1878" s="6"/>
      <c r="R1878" s="6"/>
      <c r="S1878" s="6"/>
    </row>
    <row r="1879" ht="22.5" hidden="1" customHeight="1">
      <c r="A1879" s="49"/>
      <c r="B1879" s="61"/>
      <c r="C1879" s="34"/>
      <c r="D1879" s="55"/>
      <c r="E1879" s="59"/>
      <c r="F1879" s="60"/>
      <c r="G1879" s="29"/>
      <c r="H1879" s="6"/>
      <c r="I1879" s="6"/>
      <c r="J1879" s="6"/>
      <c r="K1879" s="6"/>
      <c r="L1879" s="6"/>
      <c r="M1879" s="6"/>
      <c r="N1879" s="6"/>
      <c r="O1879" s="6"/>
      <c r="P1879" s="6"/>
      <c r="Q1879" s="6"/>
      <c r="R1879" s="6"/>
      <c r="S1879" s="6"/>
    </row>
    <row r="1880" ht="22.5" hidden="1" customHeight="1">
      <c r="A1880" s="49"/>
      <c r="B1880" s="61"/>
      <c r="C1880" s="34"/>
      <c r="D1880" s="55"/>
      <c r="E1880" s="59"/>
      <c r="F1880" s="60"/>
      <c r="G1880" s="29"/>
      <c r="H1880" s="6"/>
      <c r="I1880" s="6"/>
      <c r="J1880" s="6"/>
      <c r="K1880" s="6"/>
      <c r="L1880" s="6"/>
      <c r="M1880" s="6"/>
      <c r="N1880" s="6"/>
      <c r="O1880" s="6"/>
      <c r="P1880" s="6"/>
      <c r="Q1880" s="6"/>
      <c r="R1880" s="6"/>
      <c r="S1880" s="6"/>
    </row>
    <row r="1881" ht="22.5" hidden="1" customHeight="1">
      <c r="A1881" s="49"/>
      <c r="B1881" s="61"/>
      <c r="C1881" s="34"/>
      <c r="D1881" s="55"/>
      <c r="E1881" s="59"/>
      <c r="F1881" s="60"/>
      <c r="G1881" s="29"/>
      <c r="H1881" s="6"/>
      <c r="I1881" s="6"/>
      <c r="J1881" s="6"/>
      <c r="K1881" s="6"/>
      <c r="L1881" s="6"/>
      <c r="M1881" s="6"/>
      <c r="N1881" s="6"/>
      <c r="O1881" s="6"/>
      <c r="P1881" s="6"/>
      <c r="Q1881" s="6"/>
      <c r="R1881" s="6"/>
      <c r="S1881" s="6"/>
    </row>
    <row r="1882" ht="22.5" hidden="1" customHeight="1">
      <c r="A1882" s="49"/>
      <c r="B1882" s="61"/>
      <c r="C1882" s="34"/>
      <c r="D1882" s="55"/>
      <c r="E1882" s="59"/>
      <c r="F1882" s="60"/>
      <c r="G1882" s="29"/>
      <c r="H1882" s="6"/>
      <c r="I1882" s="6"/>
      <c r="J1882" s="6"/>
      <c r="K1882" s="6"/>
      <c r="L1882" s="6"/>
      <c r="M1882" s="6"/>
      <c r="N1882" s="6"/>
      <c r="O1882" s="6"/>
      <c r="P1882" s="6"/>
      <c r="Q1882" s="6"/>
      <c r="R1882" s="6"/>
      <c r="S1882" s="6"/>
    </row>
    <row r="1883" ht="22.5" hidden="1" customHeight="1">
      <c r="A1883" s="49"/>
      <c r="B1883" s="61"/>
      <c r="C1883" s="34"/>
      <c r="D1883" s="55"/>
      <c r="E1883" s="59"/>
      <c r="F1883" s="60"/>
      <c r="G1883" s="29"/>
      <c r="H1883" s="6"/>
      <c r="I1883" s="6"/>
      <c r="J1883" s="6"/>
      <c r="K1883" s="6"/>
      <c r="L1883" s="6"/>
      <c r="M1883" s="6"/>
      <c r="N1883" s="6"/>
      <c r="O1883" s="6"/>
      <c r="P1883" s="6"/>
      <c r="Q1883" s="6"/>
      <c r="R1883" s="6"/>
      <c r="S1883" s="6"/>
    </row>
    <row r="1884" ht="22.5" hidden="1" customHeight="1">
      <c r="A1884" s="49"/>
      <c r="B1884" s="61"/>
      <c r="C1884" s="34"/>
      <c r="D1884" s="55"/>
      <c r="E1884" s="59"/>
      <c r="F1884" s="60"/>
      <c r="G1884" s="29"/>
      <c r="H1884" s="6"/>
      <c r="I1884" s="6"/>
      <c r="J1884" s="6"/>
      <c r="K1884" s="6"/>
      <c r="L1884" s="6"/>
      <c r="M1884" s="6"/>
      <c r="N1884" s="6"/>
      <c r="O1884" s="6"/>
      <c r="P1884" s="6"/>
      <c r="Q1884" s="6"/>
      <c r="R1884" s="6"/>
      <c r="S1884" s="6"/>
    </row>
    <row r="1885" ht="22.5" hidden="1" customHeight="1">
      <c r="A1885" s="49"/>
      <c r="B1885" s="61"/>
      <c r="C1885" s="34"/>
      <c r="D1885" s="55"/>
      <c r="E1885" s="59"/>
      <c r="F1885" s="60"/>
      <c r="G1885" s="29"/>
      <c r="H1885" s="6"/>
      <c r="I1885" s="6"/>
      <c r="J1885" s="6"/>
      <c r="K1885" s="6"/>
      <c r="L1885" s="6"/>
      <c r="M1885" s="6"/>
      <c r="N1885" s="6"/>
      <c r="O1885" s="6"/>
      <c r="P1885" s="6"/>
      <c r="Q1885" s="6"/>
      <c r="R1885" s="6"/>
      <c r="S1885" s="6"/>
    </row>
    <row r="1886" ht="22.5" hidden="1" customHeight="1">
      <c r="A1886" s="49"/>
      <c r="B1886" s="61"/>
      <c r="C1886" s="34"/>
      <c r="D1886" s="55"/>
      <c r="E1886" s="59"/>
      <c r="F1886" s="60"/>
      <c r="G1886" s="29"/>
      <c r="H1886" s="6"/>
      <c r="I1886" s="6"/>
      <c r="J1886" s="6"/>
      <c r="K1886" s="6"/>
      <c r="L1886" s="6"/>
      <c r="M1886" s="6"/>
      <c r="N1886" s="6"/>
      <c r="O1886" s="6"/>
      <c r="P1886" s="6"/>
      <c r="Q1886" s="6"/>
      <c r="R1886" s="6"/>
      <c r="S1886" s="6"/>
    </row>
    <row r="1887" ht="22.5" hidden="1" customHeight="1">
      <c r="A1887" s="49"/>
      <c r="B1887" s="61"/>
      <c r="C1887" s="34"/>
      <c r="D1887" s="55"/>
      <c r="E1887" s="59"/>
      <c r="F1887" s="60"/>
      <c r="G1887" s="29"/>
      <c r="H1887" s="6"/>
      <c r="I1887" s="6"/>
      <c r="J1887" s="6"/>
      <c r="K1887" s="6"/>
      <c r="L1887" s="6"/>
      <c r="M1887" s="6"/>
      <c r="N1887" s="6"/>
      <c r="O1887" s="6"/>
      <c r="P1887" s="6"/>
      <c r="Q1887" s="6"/>
      <c r="R1887" s="6"/>
      <c r="S1887" s="6"/>
    </row>
    <row r="1888" ht="22.5" hidden="1" customHeight="1">
      <c r="A1888" s="49"/>
      <c r="B1888" s="61"/>
      <c r="C1888" s="34"/>
      <c r="D1888" s="55"/>
      <c r="E1888" s="59"/>
      <c r="F1888" s="60"/>
      <c r="G1888" s="29"/>
      <c r="H1888" s="6"/>
      <c r="I1888" s="6"/>
      <c r="J1888" s="6"/>
      <c r="K1888" s="6"/>
      <c r="L1888" s="6"/>
      <c r="M1888" s="6"/>
      <c r="N1888" s="6"/>
      <c r="O1888" s="6"/>
      <c r="P1888" s="6"/>
      <c r="Q1888" s="6"/>
      <c r="R1888" s="6"/>
      <c r="S1888" s="6"/>
    </row>
    <row r="1889" ht="22.5" hidden="1" customHeight="1">
      <c r="A1889" s="49"/>
      <c r="B1889" s="61"/>
      <c r="C1889" s="34"/>
      <c r="D1889" s="55"/>
      <c r="E1889" s="59"/>
      <c r="F1889" s="60"/>
      <c r="G1889" s="29"/>
      <c r="H1889" s="6"/>
      <c r="I1889" s="6"/>
      <c r="J1889" s="6"/>
      <c r="K1889" s="6"/>
      <c r="L1889" s="6"/>
      <c r="M1889" s="6"/>
      <c r="N1889" s="6"/>
      <c r="O1889" s="6"/>
      <c r="P1889" s="6"/>
      <c r="Q1889" s="6"/>
      <c r="R1889" s="6"/>
      <c r="S1889" s="6"/>
    </row>
    <row r="1890" ht="22.5" hidden="1" customHeight="1">
      <c r="A1890" s="49"/>
      <c r="B1890" s="61"/>
      <c r="C1890" s="34"/>
      <c r="D1890" s="55"/>
      <c r="E1890" s="59"/>
      <c r="F1890" s="60"/>
      <c r="G1890" s="29"/>
      <c r="H1890" s="6"/>
      <c r="I1890" s="6"/>
      <c r="J1890" s="6"/>
      <c r="K1890" s="6"/>
      <c r="L1890" s="6"/>
      <c r="M1890" s="6"/>
      <c r="N1890" s="6"/>
      <c r="O1890" s="6"/>
      <c r="P1890" s="6"/>
      <c r="Q1890" s="6"/>
      <c r="R1890" s="6"/>
      <c r="S1890" s="6"/>
    </row>
    <row r="1891" ht="22.5" hidden="1" customHeight="1">
      <c r="A1891" s="49"/>
      <c r="B1891" s="61"/>
      <c r="C1891" s="34"/>
      <c r="D1891" s="55"/>
      <c r="E1891" s="59"/>
      <c r="F1891" s="60"/>
      <c r="G1891" s="29"/>
      <c r="H1891" s="6"/>
      <c r="I1891" s="6"/>
      <c r="J1891" s="6"/>
      <c r="K1891" s="6"/>
      <c r="L1891" s="6"/>
      <c r="M1891" s="6"/>
      <c r="N1891" s="6"/>
      <c r="O1891" s="6"/>
      <c r="P1891" s="6"/>
      <c r="Q1891" s="6"/>
      <c r="R1891" s="6"/>
      <c r="S1891" s="6"/>
    </row>
    <row r="1892" ht="22.5" hidden="1" customHeight="1">
      <c r="A1892" s="49"/>
      <c r="B1892" s="61"/>
      <c r="C1892" s="34"/>
      <c r="D1892" s="55"/>
      <c r="E1892" s="59"/>
      <c r="F1892" s="60"/>
      <c r="G1892" s="29"/>
      <c r="H1892" s="6"/>
      <c r="I1892" s="6"/>
      <c r="J1892" s="6"/>
      <c r="K1892" s="6"/>
      <c r="L1892" s="6"/>
      <c r="M1892" s="6"/>
      <c r="N1892" s="6"/>
      <c r="O1892" s="6"/>
      <c r="P1892" s="6"/>
      <c r="Q1892" s="6"/>
      <c r="R1892" s="6"/>
      <c r="S1892" s="6"/>
    </row>
    <row r="1893" ht="22.5" hidden="1" customHeight="1">
      <c r="A1893" s="49"/>
      <c r="B1893" s="61"/>
      <c r="C1893" s="34"/>
      <c r="D1893" s="55"/>
      <c r="E1893" s="59"/>
      <c r="F1893" s="60"/>
      <c r="G1893" s="29"/>
      <c r="H1893" s="6"/>
      <c r="I1893" s="6"/>
      <c r="J1893" s="6"/>
      <c r="K1893" s="6"/>
      <c r="L1893" s="6"/>
      <c r="M1893" s="6"/>
      <c r="N1893" s="6"/>
      <c r="O1893" s="6"/>
      <c r="P1893" s="6"/>
      <c r="Q1893" s="6"/>
      <c r="R1893" s="6"/>
      <c r="S1893" s="6"/>
    </row>
    <row r="1894" ht="22.5" hidden="1" customHeight="1">
      <c r="A1894" s="49"/>
      <c r="B1894" s="61"/>
      <c r="C1894" s="34"/>
      <c r="D1894" s="55"/>
      <c r="E1894" s="59"/>
      <c r="F1894" s="60"/>
      <c r="G1894" s="29"/>
      <c r="H1894" s="6"/>
      <c r="I1894" s="6"/>
      <c r="J1894" s="6"/>
      <c r="K1894" s="6"/>
      <c r="L1894" s="6"/>
      <c r="M1894" s="6"/>
      <c r="N1894" s="6"/>
      <c r="O1894" s="6"/>
      <c r="P1894" s="6"/>
      <c r="Q1894" s="6"/>
      <c r="R1894" s="6"/>
      <c r="S1894" s="6"/>
    </row>
    <row r="1895" ht="22.5" hidden="1" customHeight="1">
      <c r="A1895" s="49"/>
      <c r="B1895" s="61"/>
      <c r="C1895" s="34"/>
      <c r="D1895" s="55"/>
      <c r="E1895" s="59"/>
      <c r="F1895" s="60"/>
      <c r="G1895" s="29"/>
      <c r="H1895" s="6"/>
      <c r="I1895" s="6"/>
      <c r="J1895" s="6"/>
      <c r="K1895" s="6"/>
      <c r="L1895" s="6"/>
      <c r="M1895" s="6"/>
      <c r="N1895" s="6"/>
      <c r="O1895" s="6"/>
      <c r="P1895" s="6"/>
      <c r="Q1895" s="6"/>
      <c r="R1895" s="6"/>
      <c r="S1895" s="6"/>
    </row>
    <row r="1896" ht="22.5" hidden="1" customHeight="1">
      <c r="A1896" s="49"/>
      <c r="B1896" s="61"/>
      <c r="C1896" s="34"/>
      <c r="D1896" s="55"/>
      <c r="E1896" s="59"/>
      <c r="F1896" s="60"/>
      <c r="G1896" s="29"/>
      <c r="H1896" s="6"/>
      <c r="I1896" s="6"/>
      <c r="J1896" s="6"/>
      <c r="K1896" s="6"/>
      <c r="L1896" s="6"/>
      <c r="M1896" s="6"/>
      <c r="N1896" s="6"/>
      <c r="O1896" s="6"/>
      <c r="P1896" s="6"/>
      <c r="Q1896" s="6"/>
      <c r="R1896" s="6"/>
      <c r="S1896" s="6"/>
    </row>
    <row r="1897" ht="22.5" hidden="1" customHeight="1">
      <c r="A1897" s="49"/>
      <c r="B1897" s="61"/>
      <c r="C1897" s="34"/>
      <c r="D1897" s="55"/>
      <c r="E1897" s="59"/>
      <c r="F1897" s="60"/>
      <c r="G1897" s="29"/>
      <c r="H1897" s="6"/>
      <c r="I1897" s="6"/>
      <c r="J1897" s="6"/>
      <c r="K1897" s="6"/>
      <c r="L1897" s="6"/>
      <c r="M1897" s="6"/>
      <c r="N1897" s="6"/>
      <c r="O1897" s="6"/>
      <c r="P1897" s="6"/>
      <c r="Q1897" s="6"/>
      <c r="R1897" s="6"/>
      <c r="S1897" s="6"/>
    </row>
    <row r="1898" ht="22.5" hidden="1" customHeight="1">
      <c r="A1898" s="49"/>
      <c r="B1898" s="61"/>
      <c r="C1898" s="34"/>
      <c r="D1898" s="55"/>
      <c r="E1898" s="59"/>
      <c r="F1898" s="60"/>
      <c r="G1898" s="29"/>
      <c r="H1898" s="6"/>
      <c r="I1898" s="6"/>
      <c r="J1898" s="6"/>
      <c r="K1898" s="6"/>
      <c r="L1898" s="6"/>
      <c r="M1898" s="6"/>
      <c r="N1898" s="6"/>
      <c r="O1898" s="6"/>
      <c r="P1898" s="6"/>
      <c r="Q1898" s="6"/>
      <c r="R1898" s="6"/>
      <c r="S1898" s="6"/>
    </row>
    <row r="1899" ht="22.5" hidden="1" customHeight="1">
      <c r="A1899" s="49"/>
      <c r="B1899" s="61"/>
      <c r="C1899" s="34"/>
      <c r="D1899" s="55"/>
      <c r="E1899" s="59"/>
      <c r="F1899" s="60"/>
      <c r="G1899" s="29"/>
      <c r="H1899" s="6"/>
      <c r="I1899" s="6"/>
      <c r="J1899" s="6"/>
      <c r="K1899" s="6"/>
      <c r="L1899" s="6"/>
      <c r="M1899" s="6"/>
      <c r="N1899" s="6"/>
      <c r="O1899" s="6"/>
      <c r="P1899" s="6"/>
      <c r="Q1899" s="6"/>
      <c r="R1899" s="6"/>
      <c r="S1899" s="6"/>
    </row>
    <row r="1900" ht="22.5" hidden="1" customHeight="1">
      <c r="A1900" s="49"/>
      <c r="B1900" s="61"/>
      <c r="C1900" s="34"/>
      <c r="D1900" s="55"/>
      <c r="E1900" s="59"/>
      <c r="F1900" s="60"/>
      <c r="G1900" s="29"/>
      <c r="H1900" s="6"/>
      <c r="I1900" s="6"/>
      <c r="J1900" s="6"/>
      <c r="K1900" s="6"/>
      <c r="L1900" s="6"/>
      <c r="M1900" s="6"/>
      <c r="N1900" s="6"/>
      <c r="O1900" s="6"/>
      <c r="P1900" s="6"/>
      <c r="Q1900" s="6"/>
      <c r="R1900" s="6"/>
      <c r="S1900" s="6"/>
    </row>
    <row r="1901" ht="22.5" hidden="1" customHeight="1">
      <c r="A1901" s="49"/>
      <c r="B1901" s="61"/>
      <c r="C1901" s="34"/>
      <c r="D1901" s="55"/>
      <c r="E1901" s="59"/>
      <c r="F1901" s="60"/>
      <c r="G1901" s="29"/>
      <c r="H1901" s="6"/>
      <c r="I1901" s="6"/>
      <c r="J1901" s="6"/>
      <c r="K1901" s="6"/>
      <c r="L1901" s="6"/>
      <c r="M1901" s="6"/>
      <c r="N1901" s="6"/>
      <c r="O1901" s="6"/>
      <c r="P1901" s="6"/>
      <c r="Q1901" s="6"/>
      <c r="R1901" s="6"/>
      <c r="S1901" s="6"/>
    </row>
    <row r="1902" ht="22.5" hidden="1" customHeight="1">
      <c r="A1902" s="49"/>
      <c r="B1902" s="61"/>
      <c r="C1902" s="34"/>
      <c r="D1902" s="55"/>
      <c r="E1902" s="59"/>
      <c r="F1902" s="60"/>
      <c r="G1902" s="29"/>
      <c r="H1902" s="6"/>
      <c r="I1902" s="6"/>
      <c r="J1902" s="6"/>
      <c r="K1902" s="6"/>
      <c r="L1902" s="6"/>
      <c r="M1902" s="6"/>
      <c r="N1902" s="6"/>
      <c r="O1902" s="6"/>
      <c r="P1902" s="6"/>
      <c r="Q1902" s="6"/>
      <c r="R1902" s="6"/>
      <c r="S1902" s="6"/>
    </row>
    <row r="1903" ht="22.5" hidden="1" customHeight="1">
      <c r="A1903" s="49"/>
      <c r="B1903" s="61"/>
      <c r="C1903" s="34"/>
      <c r="D1903" s="55"/>
      <c r="E1903" s="59"/>
      <c r="F1903" s="60"/>
      <c r="G1903" s="29"/>
      <c r="H1903" s="6"/>
      <c r="I1903" s="6"/>
      <c r="J1903" s="6"/>
      <c r="K1903" s="6"/>
      <c r="L1903" s="6"/>
      <c r="M1903" s="6"/>
      <c r="N1903" s="6"/>
      <c r="O1903" s="6"/>
      <c r="P1903" s="6"/>
      <c r="Q1903" s="6"/>
      <c r="R1903" s="6"/>
      <c r="S1903" s="6"/>
    </row>
    <row r="1904" ht="22.5" hidden="1" customHeight="1">
      <c r="A1904" s="49"/>
      <c r="B1904" s="61"/>
      <c r="C1904" s="34"/>
      <c r="D1904" s="55"/>
      <c r="E1904" s="59"/>
      <c r="F1904" s="60"/>
      <c r="G1904" s="29"/>
      <c r="H1904" s="6"/>
      <c r="I1904" s="6"/>
      <c r="J1904" s="6"/>
      <c r="K1904" s="6"/>
      <c r="L1904" s="6"/>
      <c r="M1904" s="6"/>
      <c r="N1904" s="6"/>
      <c r="O1904" s="6"/>
      <c r="P1904" s="6"/>
      <c r="Q1904" s="6"/>
      <c r="R1904" s="6"/>
      <c r="S1904" s="6"/>
    </row>
    <row r="1905" ht="22.5" hidden="1" customHeight="1">
      <c r="A1905" s="49"/>
      <c r="B1905" s="61"/>
      <c r="C1905" s="34"/>
      <c r="D1905" s="55"/>
      <c r="E1905" s="59"/>
      <c r="F1905" s="60"/>
      <c r="G1905" s="29"/>
      <c r="H1905" s="6"/>
      <c r="I1905" s="6"/>
      <c r="J1905" s="6"/>
      <c r="K1905" s="6"/>
      <c r="L1905" s="6"/>
      <c r="M1905" s="6"/>
      <c r="N1905" s="6"/>
      <c r="O1905" s="6"/>
      <c r="P1905" s="6"/>
      <c r="Q1905" s="6"/>
      <c r="R1905" s="6"/>
      <c r="S1905" s="6"/>
    </row>
    <row r="1906" ht="22.5" hidden="1" customHeight="1">
      <c r="A1906" s="49"/>
      <c r="B1906" s="61"/>
      <c r="C1906" s="34"/>
      <c r="D1906" s="55"/>
      <c r="E1906" s="59"/>
      <c r="F1906" s="60"/>
      <c r="G1906" s="29"/>
      <c r="H1906" s="6"/>
      <c r="I1906" s="6"/>
      <c r="J1906" s="6"/>
      <c r="K1906" s="6"/>
      <c r="L1906" s="6"/>
      <c r="M1906" s="6"/>
      <c r="N1906" s="6"/>
      <c r="O1906" s="6"/>
      <c r="P1906" s="6"/>
      <c r="Q1906" s="6"/>
      <c r="R1906" s="6"/>
      <c r="S1906" s="6"/>
    </row>
    <row r="1907" ht="22.5" hidden="1" customHeight="1">
      <c r="A1907" s="49"/>
      <c r="B1907" s="61"/>
      <c r="C1907" s="34"/>
      <c r="D1907" s="55"/>
      <c r="E1907" s="59"/>
      <c r="F1907" s="60"/>
      <c r="G1907" s="29"/>
      <c r="H1907" s="6"/>
      <c r="I1907" s="6"/>
      <c r="J1907" s="6"/>
      <c r="K1907" s="6"/>
      <c r="L1907" s="6"/>
      <c r="M1907" s="6"/>
      <c r="N1907" s="6"/>
      <c r="O1907" s="6"/>
      <c r="P1907" s="6"/>
      <c r="Q1907" s="6"/>
      <c r="R1907" s="6"/>
      <c r="S1907" s="6"/>
    </row>
    <row r="1908" ht="22.5" hidden="1" customHeight="1">
      <c r="A1908" s="49"/>
      <c r="B1908" s="61"/>
      <c r="C1908" s="34"/>
      <c r="D1908" s="55"/>
      <c r="E1908" s="59"/>
      <c r="F1908" s="60"/>
      <c r="G1908" s="29"/>
      <c r="H1908" s="6"/>
      <c r="I1908" s="6"/>
      <c r="J1908" s="6"/>
      <c r="K1908" s="6"/>
      <c r="L1908" s="6"/>
      <c r="M1908" s="6"/>
      <c r="N1908" s="6"/>
      <c r="O1908" s="6"/>
      <c r="P1908" s="6"/>
      <c r="Q1908" s="6"/>
      <c r="R1908" s="6"/>
      <c r="S1908" s="6"/>
    </row>
    <row r="1909" ht="22.5" hidden="1" customHeight="1">
      <c r="A1909" s="49"/>
      <c r="B1909" s="61"/>
      <c r="C1909" s="34"/>
      <c r="D1909" s="55"/>
      <c r="E1909" s="59"/>
      <c r="F1909" s="60"/>
      <c r="G1909" s="29"/>
      <c r="H1909" s="6"/>
      <c r="I1909" s="6"/>
      <c r="J1909" s="6"/>
      <c r="K1909" s="6"/>
      <c r="L1909" s="6"/>
      <c r="M1909" s="6"/>
      <c r="N1909" s="6"/>
      <c r="O1909" s="6"/>
      <c r="P1909" s="6"/>
      <c r="Q1909" s="6"/>
      <c r="R1909" s="6"/>
      <c r="S1909" s="6"/>
    </row>
    <row r="1910" ht="22.5" hidden="1" customHeight="1">
      <c r="A1910" s="49"/>
      <c r="B1910" s="61"/>
      <c r="C1910" s="34"/>
      <c r="D1910" s="55"/>
      <c r="E1910" s="59"/>
      <c r="F1910" s="60"/>
      <c r="G1910" s="29"/>
      <c r="H1910" s="6"/>
      <c r="I1910" s="6"/>
      <c r="J1910" s="6"/>
      <c r="K1910" s="6"/>
      <c r="L1910" s="6"/>
      <c r="M1910" s="6"/>
      <c r="N1910" s="6"/>
      <c r="O1910" s="6"/>
      <c r="P1910" s="6"/>
      <c r="Q1910" s="6"/>
      <c r="R1910" s="6"/>
      <c r="S1910" s="6"/>
    </row>
    <row r="1911" ht="22.5" hidden="1" customHeight="1">
      <c r="A1911" s="49"/>
      <c r="B1911" s="61"/>
      <c r="C1911" s="34"/>
      <c r="D1911" s="55"/>
      <c r="E1911" s="59"/>
      <c r="F1911" s="60"/>
      <c r="G1911" s="29"/>
      <c r="H1911" s="6"/>
      <c r="I1911" s="6"/>
      <c r="J1911" s="6"/>
      <c r="K1911" s="6"/>
      <c r="L1911" s="6"/>
      <c r="M1911" s="6"/>
      <c r="N1911" s="6"/>
      <c r="O1911" s="6"/>
      <c r="P1911" s="6"/>
      <c r="Q1911" s="6"/>
      <c r="R1911" s="6"/>
      <c r="S1911" s="6"/>
    </row>
    <row r="1912" ht="22.5" hidden="1" customHeight="1">
      <c r="A1912" s="49"/>
      <c r="B1912" s="61"/>
      <c r="C1912" s="34"/>
      <c r="D1912" s="55"/>
      <c r="E1912" s="59"/>
      <c r="F1912" s="60"/>
      <c r="G1912" s="29"/>
      <c r="H1912" s="6"/>
      <c r="I1912" s="6"/>
      <c r="J1912" s="6"/>
      <c r="K1912" s="6"/>
      <c r="L1912" s="6"/>
      <c r="M1912" s="6"/>
      <c r="N1912" s="6"/>
      <c r="O1912" s="6"/>
      <c r="P1912" s="6"/>
      <c r="Q1912" s="6"/>
      <c r="R1912" s="6"/>
      <c r="S1912" s="6"/>
    </row>
    <row r="1913" ht="22.5" hidden="1" customHeight="1">
      <c r="A1913" s="49"/>
      <c r="B1913" s="61"/>
      <c r="C1913" s="34"/>
      <c r="D1913" s="55"/>
      <c r="E1913" s="59"/>
      <c r="F1913" s="60"/>
      <c r="G1913" s="29"/>
      <c r="H1913" s="6"/>
      <c r="I1913" s="6"/>
      <c r="J1913" s="6"/>
      <c r="K1913" s="6"/>
      <c r="L1913" s="6"/>
      <c r="M1913" s="6"/>
      <c r="N1913" s="6"/>
      <c r="O1913" s="6"/>
      <c r="P1913" s="6"/>
      <c r="Q1913" s="6"/>
      <c r="R1913" s="6"/>
      <c r="S1913" s="6"/>
    </row>
    <row r="1914" ht="22.5" hidden="1" customHeight="1">
      <c r="A1914" s="49"/>
      <c r="B1914" s="61"/>
      <c r="C1914" s="34"/>
      <c r="D1914" s="55"/>
      <c r="E1914" s="59"/>
      <c r="F1914" s="60"/>
      <c r="G1914" s="29"/>
      <c r="H1914" s="6"/>
      <c r="I1914" s="6"/>
      <c r="J1914" s="6"/>
      <c r="K1914" s="6"/>
      <c r="L1914" s="6"/>
      <c r="M1914" s="6"/>
      <c r="N1914" s="6"/>
      <c r="O1914" s="6"/>
      <c r="P1914" s="6"/>
      <c r="Q1914" s="6"/>
      <c r="R1914" s="6"/>
      <c r="S1914" s="6"/>
    </row>
    <row r="1915" ht="22.5" hidden="1" customHeight="1">
      <c r="A1915" s="49"/>
      <c r="B1915" s="61"/>
      <c r="C1915" s="34"/>
      <c r="D1915" s="55"/>
      <c r="E1915" s="59"/>
      <c r="F1915" s="60"/>
      <c r="G1915" s="29"/>
      <c r="H1915" s="6"/>
      <c r="I1915" s="6"/>
      <c r="J1915" s="6"/>
      <c r="K1915" s="6"/>
      <c r="L1915" s="6"/>
      <c r="M1915" s="6"/>
      <c r="N1915" s="6"/>
      <c r="O1915" s="6"/>
      <c r="P1915" s="6"/>
      <c r="Q1915" s="6"/>
      <c r="R1915" s="6"/>
      <c r="S1915" s="6"/>
    </row>
    <row r="1916" ht="22.5" hidden="1" customHeight="1">
      <c r="A1916" s="49"/>
      <c r="B1916" s="61"/>
      <c r="C1916" s="34"/>
      <c r="D1916" s="55"/>
      <c r="E1916" s="59"/>
      <c r="F1916" s="60"/>
      <c r="G1916" s="29"/>
      <c r="H1916" s="6"/>
      <c r="I1916" s="6"/>
      <c r="J1916" s="6"/>
      <c r="K1916" s="6"/>
      <c r="L1916" s="6"/>
      <c r="M1916" s="6"/>
      <c r="N1916" s="6"/>
      <c r="O1916" s="6"/>
      <c r="P1916" s="6"/>
      <c r="Q1916" s="6"/>
      <c r="R1916" s="6"/>
      <c r="S1916" s="6"/>
    </row>
    <row r="1917" ht="22.5" hidden="1" customHeight="1">
      <c r="A1917" s="49"/>
      <c r="B1917" s="61"/>
      <c r="C1917" s="34"/>
      <c r="D1917" s="55"/>
      <c r="E1917" s="59"/>
      <c r="F1917" s="60"/>
      <c r="G1917" s="29"/>
      <c r="H1917" s="6"/>
      <c r="I1917" s="6"/>
      <c r="J1917" s="6"/>
      <c r="K1917" s="6"/>
      <c r="L1917" s="6"/>
      <c r="M1917" s="6"/>
      <c r="N1917" s="6"/>
      <c r="O1917" s="6"/>
      <c r="P1917" s="6"/>
      <c r="Q1917" s="6"/>
      <c r="R1917" s="6"/>
      <c r="S1917" s="6"/>
    </row>
    <row r="1918" ht="22.5" hidden="1" customHeight="1">
      <c r="A1918" s="49"/>
      <c r="B1918" s="61"/>
      <c r="C1918" s="34"/>
      <c r="D1918" s="55"/>
      <c r="E1918" s="59"/>
      <c r="F1918" s="60"/>
      <c r="G1918" s="29"/>
      <c r="H1918" s="6"/>
      <c r="I1918" s="6"/>
      <c r="J1918" s="6"/>
      <c r="K1918" s="6"/>
      <c r="L1918" s="6"/>
      <c r="M1918" s="6"/>
      <c r="N1918" s="6"/>
      <c r="O1918" s="6"/>
      <c r="P1918" s="6"/>
      <c r="Q1918" s="6"/>
      <c r="R1918" s="6"/>
      <c r="S1918" s="6"/>
    </row>
    <row r="1919" ht="22.5" hidden="1" customHeight="1">
      <c r="A1919" s="49"/>
      <c r="B1919" s="61"/>
      <c r="C1919" s="34"/>
      <c r="D1919" s="55"/>
      <c r="E1919" s="59"/>
      <c r="F1919" s="60"/>
      <c r="G1919" s="29"/>
      <c r="H1919" s="6"/>
      <c r="I1919" s="6"/>
      <c r="J1919" s="6"/>
      <c r="K1919" s="6"/>
      <c r="L1919" s="6"/>
      <c r="M1919" s="6"/>
      <c r="N1919" s="6"/>
      <c r="O1919" s="6"/>
      <c r="P1919" s="6"/>
      <c r="Q1919" s="6"/>
      <c r="R1919" s="6"/>
      <c r="S1919" s="6"/>
    </row>
    <row r="1920" ht="22.5" hidden="1" customHeight="1">
      <c r="A1920" s="49"/>
      <c r="B1920" s="61"/>
      <c r="C1920" s="34"/>
      <c r="D1920" s="55"/>
      <c r="E1920" s="59"/>
      <c r="F1920" s="60"/>
      <c r="G1920" s="29"/>
      <c r="H1920" s="6"/>
      <c r="I1920" s="6"/>
      <c r="J1920" s="6"/>
      <c r="K1920" s="6"/>
      <c r="L1920" s="6"/>
      <c r="M1920" s="6"/>
      <c r="N1920" s="6"/>
      <c r="O1920" s="6"/>
      <c r="P1920" s="6"/>
      <c r="Q1920" s="6"/>
      <c r="R1920" s="6"/>
      <c r="S1920" s="6"/>
    </row>
    <row r="1921" ht="22.5" hidden="1" customHeight="1">
      <c r="A1921" s="49"/>
      <c r="B1921" s="61"/>
      <c r="C1921" s="34"/>
      <c r="D1921" s="55"/>
      <c r="E1921" s="59"/>
      <c r="F1921" s="60"/>
      <c r="G1921" s="29"/>
      <c r="H1921" s="6"/>
      <c r="I1921" s="6"/>
      <c r="J1921" s="6"/>
      <c r="K1921" s="6"/>
      <c r="L1921" s="6"/>
      <c r="M1921" s="6"/>
      <c r="N1921" s="6"/>
      <c r="O1921" s="6"/>
      <c r="P1921" s="6"/>
      <c r="Q1921" s="6"/>
      <c r="R1921" s="6"/>
      <c r="S1921" s="6"/>
    </row>
    <row r="1922" ht="22.5" hidden="1" customHeight="1">
      <c r="A1922" s="49"/>
      <c r="B1922" s="61"/>
      <c r="C1922" s="34"/>
      <c r="D1922" s="55"/>
      <c r="E1922" s="59"/>
      <c r="F1922" s="60"/>
      <c r="G1922" s="29"/>
      <c r="H1922" s="6"/>
      <c r="I1922" s="6"/>
      <c r="J1922" s="6"/>
      <c r="K1922" s="6"/>
      <c r="L1922" s="6"/>
      <c r="M1922" s="6"/>
      <c r="N1922" s="6"/>
      <c r="O1922" s="6"/>
      <c r="P1922" s="6"/>
      <c r="Q1922" s="6"/>
      <c r="R1922" s="6"/>
      <c r="S1922" s="6"/>
    </row>
    <row r="1923" ht="22.5" hidden="1" customHeight="1">
      <c r="A1923" s="49"/>
      <c r="B1923" s="61"/>
      <c r="C1923" s="34"/>
      <c r="D1923" s="55"/>
      <c r="E1923" s="59"/>
      <c r="F1923" s="60"/>
      <c r="G1923" s="29"/>
      <c r="H1923" s="6"/>
      <c r="I1923" s="6"/>
      <c r="J1923" s="6"/>
      <c r="K1923" s="6"/>
      <c r="L1923" s="6"/>
      <c r="M1923" s="6"/>
      <c r="N1923" s="6"/>
      <c r="O1923" s="6"/>
      <c r="P1923" s="6"/>
      <c r="Q1923" s="6"/>
      <c r="R1923" s="6"/>
      <c r="S1923" s="6"/>
    </row>
    <row r="1924" ht="22.5" hidden="1" customHeight="1">
      <c r="A1924" s="49"/>
      <c r="B1924" s="61"/>
      <c r="C1924" s="34"/>
      <c r="D1924" s="55"/>
      <c r="E1924" s="59"/>
      <c r="F1924" s="60"/>
      <c r="G1924" s="29"/>
      <c r="H1924" s="6"/>
      <c r="I1924" s="6"/>
      <c r="J1924" s="6"/>
      <c r="K1924" s="6"/>
      <c r="L1924" s="6"/>
      <c r="M1924" s="6"/>
      <c r="N1924" s="6"/>
      <c r="O1924" s="6"/>
      <c r="P1924" s="6"/>
      <c r="Q1924" s="6"/>
      <c r="R1924" s="6"/>
      <c r="S1924" s="6"/>
    </row>
    <row r="1925" ht="22.5" hidden="1" customHeight="1">
      <c r="A1925" s="49"/>
      <c r="B1925" s="61"/>
      <c r="C1925" s="34"/>
      <c r="D1925" s="55"/>
      <c r="E1925" s="59"/>
      <c r="F1925" s="60"/>
      <c r="G1925" s="29"/>
      <c r="H1925" s="6"/>
      <c r="I1925" s="6"/>
      <c r="J1925" s="6"/>
      <c r="K1925" s="6"/>
      <c r="L1925" s="6"/>
      <c r="M1925" s="6"/>
      <c r="N1925" s="6"/>
      <c r="O1925" s="6"/>
      <c r="P1925" s="6"/>
      <c r="Q1925" s="6"/>
      <c r="R1925" s="6"/>
      <c r="S1925" s="6"/>
    </row>
    <row r="1926" ht="22.5" hidden="1" customHeight="1">
      <c r="A1926" s="49"/>
      <c r="B1926" s="61"/>
      <c r="C1926" s="34"/>
      <c r="D1926" s="55"/>
      <c r="E1926" s="59"/>
      <c r="F1926" s="60"/>
      <c r="G1926" s="29"/>
      <c r="H1926" s="6"/>
      <c r="I1926" s="6"/>
      <c r="J1926" s="6"/>
      <c r="K1926" s="6"/>
      <c r="L1926" s="6"/>
      <c r="M1926" s="6"/>
      <c r="N1926" s="6"/>
      <c r="O1926" s="6"/>
      <c r="P1926" s="6"/>
      <c r="Q1926" s="6"/>
      <c r="R1926" s="6"/>
      <c r="S1926" s="6"/>
    </row>
    <row r="1927" ht="22.5" hidden="1" customHeight="1">
      <c r="A1927" s="49"/>
      <c r="B1927" s="61"/>
      <c r="C1927" s="34"/>
      <c r="D1927" s="55"/>
      <c r="E1927" s="59"/>
      <c r="F1927" s="60"/>
      <c r="G1927" s="29"/>
      <c r="H1927" s="6"/>
      <c r="I1927" s="6"/>
      <c r="J1927" s="6"/>
      <c r="K1927" s="6"/>
      <c r="L1927" s="6"/>
      <c r="M1927" s="6"/>
      <c r="N1927" s="6"/>
      <c r="O1927" s="6"/>
      <c r="P1927" s="6"/>
      <c r="Q1927" s="6"/>
      <c r="R1927" s="6"/>
      <c r="S1927" s="6"/>
    </row>
    <row r="1928" ht="22.5" hidden="1" customHeight="1">
      <c r="A1928" s="49"/>
      <c r="B1928" s="61"/>
      <c r="C1928" s="34"/>
      <c r="D1928" s="55"/>
      <c r="E1928" s="59"/>
      <c r="F1928" s="60"/>
      <c r="G1928" s="29"/>
      <c r="H1928" s="6"/>
      <c r="I1928" s="6"/>
      <c r="J1928" s="6"/>
      <c r="K1928" s="6"/>
      <c r="L1928" s="6"/>
      <c r="M1928" s="6"/>
      <c r="N1928" s="6"/>
      <c r="O1928" s="6"/>
      <c r="P1928" s="6"/>
      <c r="Q1928" s="6"/>
      <c r="R1928" s="6"/>
      <c r="S1928" s="6"/>
    </row>
    <row r="1929" ht="22.5" hidden="1" customHeight="1">
      <c r="A1929" s="49"/>
      <c r="B1929" s="61"/>
      <c r="C1929" s="34"/>
      <c r="D1929" s="55"/>
      <c r="E1929" s="59"/>
      <c r="F1929" s="60"/>
      <c r="G1929" s="29"/>
      <c r="H1929" s="6"/>
      <c r="I1929" s="6"/>
      <c r="J1929" s="6"/>
      <c r="K1929" s="6"/>
      <c r="L1929" s="6"/>
      <c r="M1929" s="6"/>
      <c r="N1929" s="6"/>
      <c r="O1929" s="6"/>
      <c r="P1929" s="6"/>
      <c r="Q1929" s="6"/>
      <c r="R1929" s="6"/>
      <c r="S1929" s="6"/>
    </row>
    <row r="1930" ht="22.5" hidden="1" customHeight="1">
      <c r="A1930" s="49"/>
      <c r="B1930" s="61"/>
      <c r="C1930" s="34"/>
      <c r="D1930" s="55"/>
      <c r="E1930" s="59"/>
      <c r="F1930" s="60"/>
      <c r="G1930" s="29"/>
      <c r="H1930" s="6"/>
      <c r="I1930" s="6"/>
      <c r="J1930" s="6"/>
      <c r="K1930" s="6"/>
      <c r="L1930" s="6"/>
      <c r="M1930" s="6"/>
      <c r="N1930" s="6"/>
      <c r="O1930" s="6"/>
      <c r="P1930" s="6"/>
      <c r="Q1930" s="6"/>
      <c r="R1930" s="6"/>
      <c r="S1930" s="6"/>
    </row>
    <row r="1931" ht="22.5" hidden="1" customHeight="1">
      <c r="A1931" s="49"/>
      <c r="B1931" s="61"/>
      <c r="C1931" s="34"/>
      <c r="D1931" s="55"/>
      <c r="E1931" s="59"/>
      <c r="F1931" s="60"/>
      <c r="G1931" s="29"/>
      <c r="H1931" s="6"/>
      <c r="I1931" s="6"/>
      <c r="J1931" s="6"/>
      <c r="K1931" s="6"/>
      <c r="L1931" s="6"/>
      <c r="M1931" s="6"/>
      <c r="N1931" s="6"/>
      <c r="O1931" s="6"/>
      <c r="P1931" s="6"/>
      <c r="Q1931" s="6"/>
      <c r="R1931" s="6"/>
      <c r="S1931" s="6"/>
    </row>
    <row r="1932" ht="22.5" hidden="1" customHeight="1">
      <c r="A1932" s="49"/>
      <c r="B1932" s="61"/>
      <c r="C1932" s="34"/>
      <c r="D1932" s="55"/>
      <c r="E1932" s="59"/>
      <c r="F1932" s="60"/>
      <c r="G1932" s="29"/>
      <c r="H1932" s="6"/>
      <c r="I1932" s="6"/>
      <c r="J1932" s="6"/>
      <c r="K1932" s="6"/>
      <c r="L1932" s="6"/>
      <c r="M1932" s="6"/>
      <c r="N1932" s="6"/>
      <c r="O1932" s="6"/>
      <c r="P1932" s="6"/>
      <c r="Q1932" s="6"/>
      <c r="R1932" s="6"/>
      <c r="S1932" s="6"/>
    </row>
    <row r="1933" ht="22.5" hidden="1" customHeight="1">
      <c r="A1933" s="49"/>
      <c r="B1933" s="61"/>
      <c r="C1933" s="34"/>
      <c r="D1933" s="55"/>
      <c r="E1933" s="59"/>
      <c r="F1933" s="60"/>
      <c r="G1933" s="29"/>
      <c r="H1933" s="6"/>
      <c r="I1933" s="6"/>
      <c r="J1933" s="6"/>
      <c r="K1933" s="6"/>
      <c r="L1933" s="6"/>
      <c r="M1933" s="6"/>
      <c r="N1933" s="6"/>
      <c r="O1933" s="6"/>
      <c r="P1933" s="6"/>
      <c r="Q1933" s="6"/>
      <c r="R1933" s="6"/>
      <c r="S1933" s="6"/>
    </row>
    <row r="1934" ht="22.5" hidden="1" customHeight="1">
      <c r="A1934" s="49"/>
      <c r="B1934" s="61"/>
      <c r="C1934" s="34"/>
      <c r="D1934" s="55"/>
      <c r="E1934" s="59"/>
      <c r="F1934" s="60"/>
      <c r="G1934" s="29"/>
      <c r="H1934" s="6"/>
      <c r="I1934" s="6"/>
      <c r="J1934" s="6"/>
      <c r="K1934" s="6"/>
      <c r="L1934" s="6"/>
      <c r="M1934" s="6"/>
      <c r="N1934" s="6"/>
      <c r="O1934" s="6"/>
      <c r="P1934" s="6"/>
      <c r="Q1934" s="6"/>
      <c r="R1934" s="6"/>
      <c r="S1934" s="6"/>
    </row>
    <row r="1935" ht="22.5" hidden="1" customHeight="1">
      <c r="A1935" s="49"/>
      <c r="B1935" s="61"/>
      <c r="C1935" s="34"/>
      <c r="D1935" s="55"/>
      <c r="E1935" s="59"/>
      <c r="F1935" s="60"/>
      <c r="G1935" s="29"/>
      <c r="H1935" s="6"/>
      <c r="I1935" s="6"/>
      <c r="J1935" s="6"/>
      <c r="K1935" s="6"/>
      <c r="L1935" s="6"/>
      <c r="M1935" s="6"/>
      <c r="N1935" s="6"/>
      <c r="O1935" s="6"/>
      <c r="P1935" s="6"/>
      <c r="Q1935" s="6"/>
      <c r="R1935" s="6"/>
      <c r="S1935" s="6"/>
    </row>
    <row r="1936" ht="22.5" hidden="1" customHeight="1">
      <c r="A1936" s="49"/>
      <c r="B1936" s="61"/>
      <c r="C1936" s="34"/>
      <c r="D1936" s="55"/>
      <c r="E1936" s="59"/>
      <c r="F1936" s="60"/>
      <c r="G1936" s="29"/>
      <c r="H1936" s="6"/>
      <c r="I1936" s="6"/>
      <c r="J1936" s="6"/>
      <c r="K1936" s="6"/>
      <c r="L1936" s="6"/>
      <c r="M1936" s="6"/>
      <c r="N1936" s="6"/>
      <c r="O1936" s="6"/>
      <c r="P1936" s="6"/>
      <c r="Q1936" s="6"/>
      <c r="R1936" s="6"/>
      <c r="S1936" s="6"/>
    </row>
    <row r="1937" ht="22.5" hidden="1" customHeight="1">
      <c r="A1937" s="49"/>
      <c r="B1937" s="61"/>
      <c r="C1937" s="34"/>
      <c r="D1937" s="55"/>
      <c r="E1937" s="59"/>
      <c r="F1937" s="60"/>
      <c r="G1937" s="29"/>
      <c r="H1937" s="6"/>
      <c r="I1937" s="6"/>
      <c r="J1937" s="6"/>
      <c r="K1937" s="6"/>
      <c r="L1937" s="6"/>
      <c r="M1937" s="6"/>
      <c r="N1937" s="6"/>
      <c r="O1937" s="6"/>
      <c r="P1937" s="6"/>
      <c r="Q1937" s="6"/>
      <c r="R1937" s="6"/>
      <c r="S1937" s="6"/>
    </row>
    <row r="1938" ht="22.5" hidden="1" customHeight="1">
      <c r="A1938" s="49"/>
      <c r="B1938" s="61"/>
      <c r="C1938" s="34"/>
      <c r="D1938" s="55"/>
      <c r="E1938" s="59"/>
      <c r="F1938" s="60"/>
      <c r="G1938" s="29"/>
      <c r="H1938" s="6"/>
      <c r="I1938" s="6"/>
      <c r="J1938" s="6"/>
      <c r="K1938" s="6"/>
      <c r="L1938" s="6"/>
      <c r="M1938" s="6"/>
      <c r="N1938" s="6"/>
      <c r="O1938" s="6"/>
      <c r="P1938" s="6"/>
      <c r="Q1938" s="6"/>
      <c r="R1938" s="6"/>
      <c r="S1938" s="6"/>
    </row>
    <row r="1939" ht="22.5" hidden="1" customHeight="1">
      <c r="A1939" s="49"/>
      <c r="B1939" s="61"/>
      <c r="C1939" s="34"/>
      <c r="D1939" s="55"/>
      <c r="E1939" s="59"/>
      <c r="F1939" s="60"/>
      <c r="G1939" s="29"/>
      <c r="H1939" s="6"/>
      <c r="I1939" s="6"/>
      <c r="J1939" s="6"/>
      <c r="K1939" s="6"/>
      <c r="L1939" s="6"/>
      <c r="M1939" s="6"/>
      <c r="N1939" s="6"/>
      <c r="O1939" s="6"/>
      <c r="P1939" s="6"/>
      <c r="Q1939" s="6"/>
      <c r="R1939" s="6"/>
      <c r="S1939" s="6"/>
    </row>
    <row r="1940" ht="22.5" hidden="1" customHeight="1">
      <c r="A1940" s="49"/>
      <c r="B1940" s="61"/>
      <c r="C1940" s="34"/>
      <c r="D1940" s="55"/>
      <c r="E1940" s="59"/>
      <c r="F1940" s="60"/>
      <c r="G1940" s="29"/>
      <c r="H1940" s="6"/>
      <c r="I1940" s="6"/>
      <c r="J1940" s="6"/>
      <c r="K1940" s="6"/>
      <c r="L1940" s="6"/>
      <c r="M1940" s="6"/>
      <c r="N1940" s="6"/>
      <c r="O1940" s="6"/>
      <c r="P1940" s="6"/>
      <c r="Q1940" s="6"/>
      <c r="R1940" s="6"/>
      <c r="S1940" s="6"/>
    </row>
    <row r="1941" ht="22.5" hidden="1" customHeight="1">
      <c r="A1941" s="49"/>
      <c r="B1941" s="61"/>
      <c r="C1941" s="34"/>
      <c r="D1941" s="55"/>
      <c r="E1941" s="59"/>
      <c r="F1941" s="60"/>
      <c r="G1941" s="29"/>
      <c r="H1941" s="6"/>
      <c r="I1941" s="6"/>
      <c r="J1941" s="6"/>
      <c r="K1941" s="6"/>
      <c r="L1941" s="6"/>
      <c r="M1941" s="6"/>
      <c r="N1941" s="6"/>
      <c r="O1941" s="6"/>
      <c r="P1941" s="6"/>
      <c r="Q1941" s="6"/>
      <c r="R1941" s="6"/>
      <c r="S1941" s="6"/>
    </row>
    <row r="1942" ht="22.5" hidden="1" customHeight="1">
      <c r="A1942" s="49"/>
      <c r="B1942" s="61"/>
      <c r="C1942" s="34"/>
      <c r="D1942" s="55"/>
      <c r="E1942" s="59"/>
      <c r="F1942" s="60"/>
      <c r="G1942" s="29"/>
      <c r="H1942" s="6"/>
      <c r="I1942" s="6"/>
      <c r="J1942" s="6"/>
      <c r="K1942" s="6"/>
      <c r="L1942" s="6"/>
      <c r="M1942" s="6"/>
      <c r="N1942" s="6"/>
      <c r="O1942" s="6"/>
      <c r="P1942" s="6"/>
      <c r="Q1942" s="6"/>
      <c r="R1942" s="6"/>
      <c r="S1942" s="6"/>
    </row>
    <row r="1943" ht="22.5" hidden="1" customHeight="1">
      <c r="A1943" s="49"/>
      <c r="B1943" s="61"/>
      <c r="C1943" s="34"/>
      <c r="D1943" s="55"/>
      <c r="E1943" s="59"/>
      <c r="F1943" s="60"/>
      <c r="G1943" s="29"/>
      <c r="H1943" s="6"/>
      <c r="I1943" s="6"/>
      <c r="J1943" s="6"/>
      <c r="K1943" s="6"/>
      <c r="L1943" s="6"/>
      <c r="M1943" s="6"/>
      <c r="N1943" s="6"/>
      <c r="O1943" s="6"/>
      <c r="P1943" s="6"/>
      <c r="Q1943" s="6"/>
      <c r="R1943" s="6"/>
      <c r="S1943" s="6"/>
    </row>
    <row r="1944" ht="22.5" hidden="1" customHeight="1">
      <c r="A1944" s="49"/>
      <c r="B1944" s="61"/>
      <c r="C1944" s="34"/>
      <c r="D1944" s="55"/>
      <c r="E1944" s="59"/>
      <c r="F1944" s="60"/>
      <c r="G1944" s="29"/>
      <c r="H1944" s="6"/>
      <c r="I1944" s="6"/>
      <c r="J1944" s="6"/>
      <c r="K1944" s="6"/>
      <c r="L1944" s="6"/>
      <c r="M1944" s="6"/>
      <c r="N1944" s="6"/>
      <c r="O1944" s="6"/>
      <c r="P1944" s="6"/>
      <c r="Q1944" s="6"/>
      <c r="R1944" s="6"/>
      <c r="S1944" s="6"/>
    </row>
    <row r="1945" ht="22.5" hidden="1" customHeight="1">
      <c r="A1945" s="49"/>
      <c r="B1945" s="61"/>
      <c r="C1945" s="34"/>
      <c r="D1945" s="55"/>
      <c r="E1945" s="59"/>
      <c r="F1945" s="60"/>
      <c r="G1945" s="29"/>
      <c r="H1945" s="6"/>
      <c r="I1945" s="6"/>
      <c r="J1945" s="6"/>
      <c r="K1945" s="6"/>
      <c r="L1945" s="6"/>
      <c r="M1945" s="6"/>
      <c r="N1945" s="6"/>
      <c r="O1945" s="6"/>
      <c r="P1945" s="6"/>
      <c r="Q1945" s="6"/>
      <c r="R1945" s="6"/>
      <c r="S1945" s="6"/>
    </row>
    <row r="1946" ht="22.5" hidden="1" customHeight="1">
      <c r="A1946" s="49"/>
      <c r="B1946" s="61"/>
      <c r="C1946" s="34"/>
      <c r="D1946" s="55"/>
      <c r="E1946" s="59"/>
      <c r="F1946" s="60"/>
      <c r="G1946" s="29"/>
      <c r="H1946" s="6"/>
      <c r="I1946" s="6"/>
      <c r="J1946" s="6"/>
      <c r="K1946" s="6"/>
      <c r="L1946" s="6"/>
      <c r="M1946" s="6"/>
      <c r="N1946" s="6"/>
      <c r="O1946" s="6"/>
      <c r="P1946" s="6"/>
      <c r="Q1946" s="6"/>
      <c r="R1946" s="6"/>
      <c r="S1946" s="6"/>
    </row>
    <row r="1947" ht="22.5" hidden="1" customHeight="1">
      <c r="A1947" s="49"/>
      <c r="B1947" s="61"/>
      <c r="C1947" s="34"/>
      <c r="D1947" s="55"/>
      <c r="E1947" s="59"/>
      <c r="F1947" s="60"/>
      <c r="G1947" s="29"/>
      <c r="H1947" s="6"/>
      <c r="I1947" s="6"/>
      <c r="J1947" s="6"/>
      <c r="K1947" s="6"/>
      <c r="L1947" s="6"/>
      <c r="M1947" s="6"/>
      <c r="N1947" s="6"/>
      <c r="O1947" s="6"/>
      <c r="P1947" s="6"/>
      <c r="Q1947" s="6"/>
      <c r="R1947" s="6"/>
      <c r="S1947" s="6"/>
    </row>
    <row r="1948" ht="22.5" hidden="1" customHeight="1">
      <c r="A1948" s="49"/>
      <c r="B1948" s="61"/>
      <c r="C1948" s="34"/>
      <c r="D1948" s="55"/>
      <c r="E1948" s="59"/>
      <c r="F1948" s="60"/>
      <c r="G1948" s="29"/>
      <c r="H1948" s="6"/>
      <c r="I1948" s="6"/>
      <c r="J1948" s="6"/>
      <c r="K1948" s="6"/>
      <c r="L1948" s="6"/>
      <c r="M1948" s="6"/>
      <c r="N1948" s="6"/>
      <c r="O1948" s="6"/>
      <c r="P1948" s="6"/>
      <c r="Q1948" s="6"/>
      <c r="R1948" s="6"/>
      <c r="S1948" s="6"/>
    </row>
    <row r="1949" ht="22.5" hidden="1" customHeight="1">
      <c r="A1949" s="49"/>
      <c r="B1949" s="61"/>
      <c r="C1949" s="34"/>
      <c r="D1949" s="55"/>
      <c r="E1949" s="59"/>
      <c r="F1949" s="60"/>
      <c r="G1949" s="29"/>
      <c r="H1949" s="6"/>
      <c r="I1949" s="6"/>
      <c r="J1949" s="6"/>
      <c r="K1949" s="6"/>
      <c r="L1949" s="6"/>
      <c r="M1949" s="6"/>
      <c r="N1949" s="6"/>
      <c r="O1949" s="6"/>
      <c r="P1949" s="6"/>
      <c r="Q1949" s="6"/>
      <c r="R1949" s="6"/>
      <c r="S1949" s="6"/>
    </row>
    <row r="1950" ht="22.5" hidden="1" customHeight="1">
      <c r="A1950" s="49"/>
      <c r="B1950" s="61"/>
      <c r="C1950" s="34"/>
      <c r="D1950" s="55"/>
      <c r="E1950" s="59"/>
      <c r="F1950" s="60"/>
      <c r="G1950" s="29"/>
      <c r="H1950" s="6"/>
      <c r="I1950" s="6"/>
      <c r="J1950" s="6"/>
      <c r="K1950" s="6"/>
      <c r="L1950" s="6"/>
      <c r="M1950" s="6"/>
      <c r="N1950" s="6"/>
      <c r="O1950" s="6"/>
      <c r="P1950" s="6"/>
      <c r="Q1950" s="6"/>
      <c r="R1950" s="6"/>
      <c r="S1950" s="6"/>
    </row>
    <row r="1951" ht="22.5" hidden="1" customHeight="1">
      <c r="A1951" s="49"/>
      <c r="B1951" s="61"/>
      <c r="C1951" s="34"/>
      <c r="D1951" s="55"/>
      <c r="E1951" s="59"/>
      <c r="F1951" s="60"/>
      <c r="G1951" s="29"/>
      <c r="H1951" s="6"/>
      <c r="I1951" s="6"/>
      <c r="J1951" s="6"/>
      <c r="K1951" s="6"/>
      <c r="L1951" s="6"/>
      <c r="M1951" s="6"/>
      <c r="N1951" s="6"/>
      <c r="O1951" s="6"/>
      <c r="P1951" s="6"/>
      <c r="Q1951" s="6"/>
      <c r="R1951" s="6"/>
      <c r="S1951" s="6"/>
    </row>
    <row r="1952" ht="22.5" hidden="1" customHeight="1">
      <c r="A1952" s="49"/>
      <c r="B1952" s="61"/>
      <c r="C1952" s="34"/>
      <c r="D1952" s="55"/>
      <c r="E1952" s="59"/>
      <c r="F1952" s="60"/>
      <c r="G1952" s="29"/>
      <c r="H1952" s="6"/>
      <c r="I1952" s="6"/>
      <c r="J1952" s="6"/>
      <c r="K1952" s="6"/>
      <c r="L1952" s="6"/>
      <c r="M1952" s="6"/>
      <c r="N1952" s="6"/>
      <c r="O1952" s="6"/>
      <c r="P1952" s="6"/>
      <c r="Q1952" s="6"/>
      <c r="R1952" s="6"/>
      <c r="S1952" s="6"/>
    </row>
    <row r="1953" ht="22.5" hidden="1" customHeight="1">
      <c r="A1953" s="49"/>
      <c r="B1953" s="61"/>
      <c r="C1953" s="34"/>
      <c r="D1953" s="55"/>
      <c r="E1953" s="59"/>
      <c r="F1953" s="60"/>
      <c r="G1953" s="29"/>
      <c r="H1953" s="6"/>
      <c r="I1953" s="6"/>
      <c r="J1953" s="6"/>
      <c r="K1953" s="6"/>
      <c r="L1953" s="6"/>
      <c r="M1953" s="6"/>
      <c r="N1953" s="6"/>
      <c r="O1953" s="6"/>
      <c r="P1953" s="6"/>
      <c r="Q1953" s="6"/>
      <c r="R1953" s="6"/>
      <c r="S1953" s="6"/>
    </row>
    <row r="1954" ht="22.5" hidden="1" customHeight="1">
      <c r="A1954" s="49"/>
      <c r="B1954" s="61"/>
      <c r="C1954" s="34"/>
      <c r="D1954" s="55"/>
      <c r="E1954" s="59"/>
      <c r="F1954" s="60"/>
      <c r="G1954" s="29"/>
      <c r="H1954" s="6"/>
      <c r="I1954" s="6"/>
      <c r="J1954" s="6"/>
      <c r="K1954" s="6"/>
      <c r="L1954" s="6"/>
      <c r="M1954" s="6"/>
      <c r="N1954" s="6"/>
      <c r="O1954" s="6"/>
      <c r="P1954" s="6"/>
      <c r="Q1954" s="6"/>
      <c r="R1954" s="6"/>
      <c r="S1954" s="6"/>
    </row>
    <row r="1955" ht="22.5" hidden="1" customHeight="1">
      <c r="A1955" s="49"/>
      <c r="B1955" s="61"/>
      <c r="C1955" s="34"/>
      <c r="D1955" s="55"/>
      <c r="E1955" s="59"/>
      <c r="F1955" s="60"/>
      <c r="G1955" s="29"/>
      <c r="H1955" s="6"/>
      <c r="I1955" s="6"/>
      <c r="J1955" s="6"/>
      <c r="K1955" s="6"/>
      <c r="L1955" s="6"/>
      <c r="M1955" s="6"/>
      <c r="N1955" s="6"/>
      <c r="O1955" s="6"/>
      <c r="P1955" s="6"/>
      <c r="Q1955" s="6"/>
      <c r="R1955" s="6"/>
      <c r="S1955" s="6"/>
    </row>
    <row r="1956" ht="22.5" hidden="1" customHeight="1">
      <c r="A1956" s="49"/>
      <c r="B1956" s="61"/>
      <c r="C1956" s="34"/>
      <c r="D1956" s="55"/>
      <c r="E1956" s="59"/>
      <c r="F1956" s="60"/>
      <c r="G1956" s="29"/>
      <c r="H1956" s="6"/>
      <c r="I1956" s="6"/>
      <c r="J1956" s="6"/>
      <c r="K1956" s="6"/>
      <c r="L1956" s="6"/>
      <c r="M1956" s="6"/>
      <c r="N1956" s="6"/>
      <c r="O1956" s="6"/>
      <c r="P1956" s="6"/>
      <c r="Q1956" s="6"/>
      <c r="R1956" s="6"/>
      <c r="S1956" s="6"/>
    </row>
    <row r="1957" ht="22.5" hidden="1" customHeight="1">
      <c r="A1957" s="49"/>
      <c r="B1957" s="61"/>
      <c r="C1957" s="34"/>
      <c r="D1957" s="55"/>
      <c r="E1957" s="59"/>
      <c r="F1957" s="60"/>
      <c r="G1957" s="29"/>
      <c r="H1957" s="6"/>
      <c r="I1957" s="6"/>
      <c r="J1957" s="6"/>
      <c r="K1957" s="6"/>
      <c r="L1957" s="6"/>
      <c r="M1957" s="6"/>
      <c r="N1957" s="6"/>
      <c r="O1957" s="6"/>
      <c r="P1957" s="6"/>
      <c r="Q1957" s="6"/>
      <c r="R1957" s="6"/>
      <c r="S1957" s="6"/>
    </row>
    <row r="1958" ht="22.5" hidden="1" customHeight="1">
      <c r="A1958" s="49"/>
      <c r="B1958" s="61"/>
      <c r="C1958" s="34"/>
      <c r="D1958" s="55"/>
      <c r="E1958" s="59"/>
      <c r="F1958" s="60"/>
      <c r="G1958" s="29"/>
      <c r="H1958" s="6"/>
      <c r="I1958" s="6"/>
      <c r="J1958" s="6"/>
      <c r="K1958" s="6"/>
      <c r="L1958" s="6"/>
      <c r="M1958" s="6"/>
      <c r="N1958" s="6"/>
      <c r="O1958" s="6"/>
      <c r="P1958" s="6"/>
      <c r="Q1958" s="6"/>
      <c r="R1958" s="6"/>
      <c r="S1958" s="6"/>
    </row>
    <row r="1959" ht="22.5" hidden="1" customHeight="1">
      <c r="A1959" s="49"/>
      <c r="B1959" s="61"/>
      <c r="C1959" s="34"/>
      <c r="D1959" s="55"/>
      <c r="E1959" s="59"/>
      <c r="F1959" s="60"/>
      <c r="G1959" s="29"/>
      <c r="H1959" s="6"/>
      <c r="I1959" s="6"/>
      <c r="J1959" s="6"/>
      <c r="K1959" s="6"/>
      <c r="L1959" s="6"/>
      <c r="M1959" s="6"/>
      <c r="N1959" s="6"/>
      <c r="O1959" s="6"/>
      <c r="P1959" s="6"/>
      <c r="Q1959" s="6"/>
      <c r="R1959" s="6"/>
      <c r="S1959" s="6"/>
    </row>
    <row r="1960" ht="22.5" hidden="1" customHeight="1">
      <c r="A1960" s="49"/>
      <c r="B1960" s="61"/>
      <c r="C1960" s="34"/>
      <c r="D1960" s="55"/>
      <c r="E1960" s="59"/>
      <c r="F1960" s="60"/>
      <c r="G1960" s="29"/>
      <c r="H1960" s="6"/>
      <c r="I1960" s="6"/>
      <c r="J1960" s="6"/>
      <c r="K1960" s="6"/>
      <c r="L1960" s="6"/>
      <c r="M1960" s="6"/>
      <c r="N1960" s="6"/>
      <c r="O1960" s="6"/>
      <c r="P1960" s="6"/>
      <c r="Q1960" s="6"/>
      <c r="R1960" s="6"/>
      <c r="S1960" s="6"/>
    </row>
    <row r="1961" ht="22.5" hidden="1" customHeight="1">
      <c r="A1961" s="49"/>
      <c r="B1961" s="61"/>
      <c r="C1961" s="34"/>
      <c r="D1961" s="55"/>
      <c r="E1961" s="59"/>
      <c r="F1961" s="60"/>
      <c r="G1961" s="29"/>
      <c r="H1961" s="6"/>
      <c r="I1961" s="6"/>
      <c r="J1961" s="6"/>
      <c r="K1961" s="6"/>
      <c r="L1961" s="6"/>
      <c r="M1961" s="6"/>
      <c r="N1961" s="6"/>
      <c r="O1961" s="6"/>
      <c r="P1961" s="6"/>
      <c r="Q1961" s="6"/>
      <c r="R1961" s="6"/>
      <c r="S1961" s="6"/>
    </row>
    <row r="1962" ht="22.5" hidden="1" customHeight="1">
      <c r="A1962" s="49"/>
      <c r="B1962" s="61"/>
      <c r="C1962" s="34"/>
      <c r="D1962" s="55"/>
      <c r="E1962" s="59"/>
      <c r="F1962" s="60"/>
      <c r="G1962" s="29"/>
      <c r="H1962" s="6"/>
      <c r="I1962" s="6"/>
      <c r="J1962" s="6"/>
      <c r="K1962" s="6"/>
      <c r="L1962" s="6"/>
      <c r="M1962" s="6"/>
      <c r="N1962" s="6"/>
      <c r="O1962" s="6"/>
      <c r="P1962" s="6"/>
      <c r="Q1962" s="6"/>
      <c r="R1962" s="6"/>
      <c r="S1962" s="6"/>
    </row>
    <row r="1963" ht="22.5" hidden="1" customHeight="1">
      <c r="A1963" s="49"/>
      <c r="B1963" s="61"/>
      <c r="C1963" s="34"/>
      <c r="D1963" s="55"/>
      <c r="E1963" s="59"/>
      <c r="F1963" s="60"/>
      <c r="G1963" s="29"/>
      <c r="H1963" s="6"/>
      <c r="I1963" s="6"/>
      <c r="J1963" s="6"/>
      <c r="K1963" s="6"/>
      <c r="L1963" s="6"/>
      <c r="M1963" s="6"/>
      <c r="N1963" s="6"/>
      <c r="O1963" s="6"/>
      <c r="P1963" s="6"/>
      <c r="Q1963" s="6"/>
      <c r="R1963" s="6"/>
      <c r="S1963" s="6"/>
    </row>
    <row r="1964" ht="22.5" hidden="1" customHeight="1">
      <c r="A1964" s="49"/>
      <c r="B1964" s="61"/>
      <c r="C1964" s="34"/>
      <c r="D1964" s="55"/>
      <c r="E1964" s="59"/>
      <c r="F1964" s="60"/>
      <c r="G1964" s="29"/>
      <c r="H1964" s="6"/>
      <c r="I1964" s="6"/>
      <c r="J1964" s="6"/>
      <c r="K1964" s="6"/>
      <c r="L1964" s="6"/>
      <c r="M1964" s="6"/>
      <c r="N1964" s="6"/>
      <c r="O1964" s="6"/>
      <c r="P1964" s="6"/>
      <c r="Q1964" s="6"/>
      <c r="R1964" s="6"/>
      <c r="S1964" s="6"/>
    </row>
  </sheetData>
  <dataValidations>
    <dataValidation type="custom" allowBlank="1" showDropDown="1" sqref="F3:F1964">
      <formula1>OR(TIMEVALUE(TEXT(F3, "hh:mm:ss"))=F3, AND(ISNUMBER(F3), LEFT(CELL("format", F3))="D"))</formula1>
    </dataValidation>
    <dataValidation type="custom" allowBlank="1" showDropDown="1" sqref="A3:A1964">
      <formula1>OR(NOT(ISERROR(DATEVALUE(A3))), AND(ISNUMBER(A3), LEFT(CELL("format", A3))="D"))</formula1>
    </dataValidation>
    <dataValidation type="list" allowBlank="1" sqref="C3:C1964">
      <formula1>"Primeiros passos,Módulo 001,Módulo 002,Módulo 003,Módulo 004,Módulo 005,Módulo 006,Módulo 007,Módulo 008,Módulo 009,Módulo 010,Módulo 011,Módulo 012,Módulo 013,Módulo 014,Módulo 015,Módulo 016"</formula1>
    </dataValidation>
  </dataValidations>
  <hyperlinks>
    <hyperlink r:id="rId1" ref="D464"/>
    <hyperlink r:id="rId2" ref="D493"/>
    <hyperlink r:id="rId3" ref="D497"/>
    <hyperlink r:id="rId4" ref="D498"/>
  </hyperlinks>
  <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hidden="1" min="2" max="2" width="22.63"/>
    <col customWidth="1" min="3" max="4" width="11.13"/>
    <col customWidth="1" min="5" max="5" width="11.5"/>
    <col customWidth="1" min="6" max="6" width="22.88"/>
    <col customWidth="1" min="7" max="7" width="34.88"/>
  </cols>
  <sheetData>
    <row r="1" ht="22.5" customHeight="1">
      <c r="A1" s="62" t="s">
        <v>228</v>
      </c>
      <c r="B1" s="62" t="s">
        <v>229</v>
      </c>
      <c r="C1" s="63" t="s">
        <v>230</v>
      </c>
      <c r="D1" s="64" t="s">
        <v>0</v>
      </c>
      <c r="E1" s="64" t="s">
        <v>231</v>
      </c>
      <c r="F1" s="64" t="s">
        <v>232</v>
      </c>
      <c r="G1" s="65" t="s">
        <v>233</v>
      </c>
    </row>
    <row r="2" ht="22.5" customHeight="1">
      <c r="A2" s="66" t="s">
        <v>234</v>
      </c>
      <c r="B2" s="67" t="str">
        <f t="shared" ref="B2:B471" si="1">CONCATENATE("M: ",A2)</f>
        <v>M: Had</v>
      </c>
      <c r="C2" s="68"/>
      <c r="D2" s="68">
        <v>45742.0</v>
      </c>
      <c r="E2" s="66">
        <v>1.0</v>
      </c>
      <c r="F2" s="66" t="str">
        <f>IFERROR(__xludf.DUMMYFUNCTION("GOOGLETRANSLATE(A2,""en"",""pt"")"),"Tive")</f>
        <v>Tive</v>
      </c>
      <c r="G2" s="69"/>
    </row>
    <row r="3" ht="22.5" customHeight="1">
      <c r="A3" s="66" t="s">
        <v>235</v>
      </c>
      <c r="B3" s="67" t="str">
        <f t="shared" si="1"/>
        <v>M: Slow down</v>
      </c>
      <c r="C3" s="68"/>
      <c r="D3" s="68">
        <v>45742.0</v>
      </c>
      <c r="E3" s="66">
        <v>2.0</v>
      </c>
      <c r="F3" s="66" t="str">
        <f>IFERROR(__xludf.DUMMYFUNCTION("GOOGLETRANSLATE(A3,""en"",""pt"")"),"Desacelerar")</f>
        <v>Desacelerar</v>
      </c>
      <c r="G3" s="69"/>
    </row>
    <row r="4" ht="22.5" customHeight="1">
      <c r="A4" s="66" t="s">
        <v>236</v>
      </c>
      <c r="B4" s="67" t="str">
        <f t="shared" si="1"/>
        <v>M: Was</v>
      </c>
      <c r="C4" s="68"/>
      <c r="D4" s="68">
        <v>45742.0</v>
      </c>
      <c r="E4" s="66">
        <v>3.0</v>
      </c>
      <c r="F4" s="66" t="str">
        <f>IFERROR(__xludf.DUMMYFUNCTION("GOOGLETRANSLATE(A4,""en"",""pt"")"),"Era")</f>
        <v>Era</v>
      </c>
      <c r="G4" s="69"/>
    </row>
    <row r="5" ht="22.5" customHeight="1">
      <c r="A5" s="66" t="s">
        <v>237</v>
      </c>
      <c r="B5" s="67" t="str">
        <f t="shared" si="1"/>
        <v>M: As well</v>
      </c>
      <c r="C5" s="68"/>
      <c r="D5" s="68">
        <v>45742.0</v>
      </c>
      <c r="E5" s="66">
        <v>4.0</v>
      </c>
      <c r="F5" s="66" t="str">
        <f>IFERROR(__xludf.DUMMYFUNCTION("GOOGLETRANSLATE(A5,""en"",""pt"")"),"Também")</f>
        <v>Também</v>
      </c>
      <c r="G5" s="69"/>
    </row>
    <row r="6" ht="22.5" customHeight="1">
      <c r="A6" s="66" t="s">
        <v>238</v>
      </c>
      <c r="B6" s="67" t="str">
        <f t="shared" si="1"/>
        <v>M: In a row</v>
      </c>
      <c r="C6" s="68"/>
      <c r="D6" s="68">
        <v>45742.0</v>
      </c>
      <c r="E6" s="66">
        <v>5.0</v>
      </c>
      <c r="F6" s="66" t="str">
        <f>IFERROR(__xludf.DUMMYFUNCTION("GOOGLETRANSLATE(A6,""en"",""pt"")"),"Em fila")</f>
        <v>Em fila</v>
      </c>
      <c r="G6" s="69"/>
    </row>
    <row r="7" ht="22.5" customHeight="1">
      <c r="A7" s="66" t="s">
        <v>239</v>
      </c>
      <c r="B7" s="67" t="str">
        <f t="shared" si="1"/>
        <v>M: Mischief</v>
      </c>
      <c r="C7" s="68"/>
      <c r="D7" s="68">
        <v>45742.0</v>
      </c>
      <c r="E7" s="66">
        <v>6.0</v>
      </c>
      <c r="F7" s="66" t="str">
        <f>IFERROR(__xludf.DUMMYFUNCTION("GOOGLETRANSLATE(A7,""en"",""pt"")"),"Travessura")</f>
        <v>Travessura</v>
      </c>
      <c r="G7" s="69"/>
    </row>
    <row r="8" ht="22.5" customHeight="1">
      <c r="A8" s="66" t="s">
        <v>240</v>
      </c>
      <c r="B8" s="67" t="str">
        <f t="shared" si="1"/>
        <v>M: Just</v>
      </c>
      <c r="C8" s="68"/>
      <c r="D8" s="68">
        <v>45742.0</v>
      </c>
      <c r="E8" s="66">
        <v>7.0</v>
      </c>
      <c r="F8" s="66" t="str">
        <f>IFERROR(__xludf.DUMMYFUNCTION("GOOGLETRANSLATE(A8,""en"",""pt"")"),"Apenas")</f>
        <v>Apenas</v>
      </c>
      <c r="G8" s="69"/>
    </row>
    <row r="9" ht="22.5" customHeight="1">
      <c r="A9" s="66" t="s">
        <v>241</v>
      </c>
      <c r="B9" s="67" t="str">
        <f t="shared" si="1"/>
        <v>M: Enjoyed</v>
      </c>
      <c r="C9" s="68"/>
      <c r="D9" s="68">
        <v>45742.0</v>
      </c>
      <c r="E9" s="66">
        <v>8.0</v>
      </c>
      <c r="F9" s="66" t="str">
        <f>IFERROR(__xludf.DUMMYFUNCTION("GOOGLETRANSLATE(A9,""en"",""pt"")"),"Curtiu")</f>
        <v>Curtiu</v>
      </c>
      <c r="G9" s="69"/>
    </row>
    <row r="10" ht="22.5" customHeight="1">
      <c r="A10" s="66" t="s">
        <v>242</v>
      </c>
      <c r="B10" s="67" t="str">
        <f t="shared" si="1"/>
        <v>M: Enjoy</v>
      </c>
      <c r="C10" s="68"/>
      <c r="D10" s="68">
        <v>45742.0</v>
      </c>
      <c r="E10" s="66">
        <v>9.0</v>
      </c>
      <c r="F10" s="66" t="str">
        <f>IFERROR(__xludf.DUMMYFUNCTION("GOOGLETRANSLATE(A10,""en"",""pt"")"),"Aproveitar")</f>
        <v>Aproveitar</v>
      </c>
      <c r="G10" s="69"/>
    </row>
    <row r="11" ht="22.5" customHeight="1">
      <c r="A11" s="66" t="s">
        <v>243</v>
      </c>
      <c r="B11" s="67" t="str">
        <f t="shared" si="1"/>
        <v>M: Around</v>
      </c>
      <c r="C11" s="68"/>
      <c r="D11" s="68">
        <v>45742.0</v>
      </c>
      <c r="E11" s="66">
        <v>10.0</v>
      </c>
      <c r="F11" s="66" t="str">
        <f>IFERROR(__xludf.DUMMYFUNCTION("GOOGLETRANSLATE(A11,""en"",""pt"")"),"Em volta")</f>
        <v>Em volta</v>
      </c>
      <c r="G11" s="69"/>
    </row>
    <row r="12" ht="22.5" customHeight="1">
      <c r="A12" s="66" t="s">
        <v>244</v>
      </c>
      <c r="B12" s="67" t="str">
        <f t="shared" si="1"/>
        <v>M: Have</v>
      </c>
      <c r="C12" s="68"/>
      <c r="D12" s="68">
        <v>45743.0</v>
      </c>
      <c r="E12" s="66">
        <v>1.0</v>
      </c>
      <c r="F12" s="66" t="str">
        <f>IFERROR(__xludf.DUMMYFUNCTION("GOOGLETRANSLATE(A12,""en"",""pt"")"),"Ter")</f>
        <v>Ter</v>
      </c>
      <c r="G12" s="69"/>
    </row>
    <row r="13" ht="22.5" customHeight="1">
      <c r="A13" s="66" t="s">
        <v>245</v>
      </c>
      <c r="B13" s="67" t="str">
        <f t="shared" si="1"/>
        <v>M: Check on</v>
      </c>
      <c r="C13" s="66">
        <v>1.0</v>
      </c>
      <c r="D13" s="68">
        <v>45743.0</v>
      </c>
      <c r="E13" s="66">
        <v>2.0</v>
      </c>
      <c r="F13" s="66" t="s">
        <v>246</v>
      </c>
      <c r="G13" s="66" t="s">
        <v>247</v>
      </c>
    </row>
    <row r="14" ht="22.5" customHeight="1">
      <c r="A14" s="66" t="s">
        <v>248</v>
      </c>
      <c r="B14" s="67" t="str">
        <f t="shared" si="1"/>
        <v>M: Gasket</v>
      </c>
      <c r="C14" s="68"/>
      <c r="D14" s="68">
        <v>45743.0</v>
      </c>
      <c r="E14" s="66">
        <v>3.0</v>
      </c>
      <c r="F14" s="66" t="str">
        <f>IFERROR(__xludf.DUMMYFUNCTION("GOOGLETRANSLATE(A14,""en"",""pt"")"),"Junta")</f>
        <v>Junta</v>
      </c>
      <c r="G14" s="69"/>
    </row>
    <row r="15" ht="22.5" customHeight="1">
      <c r="A15" s="66" t="s">
        <v>249</v>
      </c>
      <c r="B15" s="67" t="str">
        <f t="shared" si="1"/>
        <v>M: Leak</v>
      </c>
      <c r="C15" s="68"/>
      <c r="D15" s="68">
        <v>45743.0</v>
      </c>
      <c r="E15" s="66">
        <v>4.0</v>
      </c>
      <c r="F15" s="66" t="str">
        <f>IFERROR(__xludf.DUMMYFUNCTION("GOOGLETRANSLATE(A15,""en"",""pt"")"),"Vazar")</f>
        <v>Vazar</v>
      </c>
      <c r="G15" s="69"/>
    </row>
    <row r="16" ht="22.5" customHeight="1">
      <c r="A16" s="66" t="s">
        <v>250</v>
      </c>
      <c r="B16" s="67" t="str">
        <f t="shared" si="1"/>
        <v>M: Couldn't</v>
      </c>
      <c r="C16" s="68"/>
      <c r="D16" s="68">
        <v>45743.0</v>
      </c>
      <c r="E16" s="66">
        <v>5.0</v>
      </c>
      <c r="F16" s="66" t="str">
        <f>IFERROR(__xludf.DUMMYFUNCTION("GOOGLETRANSLATE(A16,""en"",""pt"")"),"Não poderia")</f>
        <v>Não poderia</v>
      </c>
      <c r="G16" s="69"/>
    </row>
    <row r="17" ht="22.5" customHeight="1">
      <c r="A17" s="66" t="s">
        <v>251</v>
      </c>
      <c r="B17" s="67" t="str">
        <f t="shared" si="1"/>
        <v>M: Just about</v>
      </c>
      <c r="C17" s="68"/>
      <c r="D17" s="68">
        <v>45743.0</v>
      </c>
      <c r="E17" s="66">
        <v>6.0</v>
      </c>
      <c r="F17" s="66" t="str">
        <f>IFERROR(__xludf.DUMMYFUNCTION("GOOGLETRANSLATE(A17,""en"",""pt"")"),"Quase")</f>
        <v>Quase</v>
      </c>
      <c r="G17" s="69"/>
    </row>
    <row r="18" ht="22.5" customHeight="1">
      <c r="A18" s="66" t="s">
        <v>252</v>
      </c>
      <c r="B18" s="67" t="str">
        <f t="shared" si="1"/>
        <v>M: Tinkering</v>
      </c>
      <c r="C18" s="68"/>
      <c r="D18" s="68">
        <v>45743.0</v>
      </c>
      <c r="E18" s="66">
        <v>7.0</v>
      </c>
      <c r="F18" s="66" t="str">
        <f>IFERROR(__xludf.DUMMYFUNCTION("GOOGLETRANSLATE(A18,""en"",""pt"")"),"Mexer")</f>
        <v>Mexer</v>
      </c>
      <c r="G18" s="69"/>
    </row>
    <row r="19" ht="22.5" customHeight="1">
      <c r="A19" s="66" t="s">
        <v>253</v>
      </c>
      <c r="B19" s="67" t="str">
        <f t="shared" si="1"/>
        <v>M: Seemed</v>
      </c>
      <c r="C19" s="68"/>
      <c r="D19" s="68">
        <v>45743.0</v>
      </c>
      <c r="E19" s="66">
        <v>8.0</v>
      </c>
      <c r="F19" s="66" t="str">
        <f>IFERROR(__xludf.DUMMYFUNCTION("GOOGLETRANSLATE(A19,""en"",""pt"")"),"Pareceu")</f>
        <v>Pareceu</v>
      </c>
      <c r="G19" s="69"/>
    </row>
    <row r="20" ht="22.5" customHeight="1">
      <c r="A20" s="66" t="s">
        <v>254</v>
      </c>
      <c r="B20" s="67" t="str">
        <f t="shared" si="1"/>
        <v>M: Causing</v>
      </c>
      <c r="C20" s="68"/>
      <c r="D20" s="68">
        <v>45743.0</v>
      </c>
      <c r="E20" s="66">
        <v>9.0</v>
      </c>
      <c r="F20" s="66" t="str">
        <f>IFERROR(__xludf.DUMMYFUNCTION("GOOGLETRANSLATE(A20,""en"",""pt"")"),"Causando")</f>
        <v>Causando</v>
      </c>
      <c r="G20" s="69"/>
    </row>
    <row r="21" ht="22.5" customHeight="1">
      <c r="A21" s="66" t="s">
        <v>255</v>
      </c>
      <c r="B21" s="67" t="str">
        <f t="shared" si="1"/>
        <v>M: Get</v>
      </c>
      <c r="C21" s="68"/>
      <c r="D21" s="68">
        <v>45743.0</v>
      </c>
      <c r="E21" s="66">
        <v>10.0</v>
      </c>
      <c r="F21" s="66" t="str">
        <f>IFERROR(__xludf.DUMMYFUNCTION("GOOGLETRANSLATE(A21,""en"",""pt"")"),"Pegar")</f>
        <v>Pegar</v>
      </c>
      <c r="G21" s="69"/>
    </row>
    <row r="22" ht="22.5" customHeight="1">
      <c r="A22" s="70" t="s">
        <v>256</v>
      </c>
      <c r="B22" s="67" t="str">
        <f t="shared" si="1"/>
        <v>M: were</v>
      </c>
      <c r="C22" s="68"/>
      <c r="D22" s="68">
        <v>45744.0</v>
      </c>
      <c r="E22" s="66">
        <v>1.0</v>
      </c>
      <c r="F22" s="66" t="str">
        <f>IFERROR(__xludf.DUMMYFUNCTION("GOOGLETRANSLATE(A22,""en"",""pt"")"),"eram")</f>
        <v>eram</v>
      </c>
      <c r="G22" s="69"/>
    </row>
    <row r="23" ht="22.5" customHeight="1">
      <c r="A23" s="66" t="s">
        <v>257</v>
      </c>
      <c r="B23" s="67" t="str">
        <f t="shared" si="1"/>
        <v>M: while</v>
      </c>
      <c r="C23" s="66">
        <v>1.0</v>
      </c>
      <c r="D23" s="68">
        <v>45744.0</v>
      </c>
      <c r="E23" s="66">
        <v>2.0</v>
      </c>
      <c r="F23" s="71" t="s">
        <v>258</v>
      </c>
      <c r="G23" s="66" t="s">
        <v>247</v>
      </c>
    </row>
    <row r="24" ht="22.5" customHeight="1">
      <c r="A24" s="66" t="s">
        <v>259</v>
      </c>
      <c r="B24" s="67" t="str">
        <f t="shared" si="1"/>
        <v>M: yelling</v>
      </c>
      <c r="C24" s="68"/>
      <c r="D24" s="68">
        <v>45744.0</v>
      </c>
      <c r="E24" s="66">
        <v>3.0</v>
      </c>
      <c r="F24" s="66" t="str">
        <f>IFERROR(__xludf.DUMMYFUNCTION("GOOGLETRANSLATE(A24,""en"",""pt"")"),"gritando")</f>
        <v>gritando</v>
      </c>
      <c r="G24" s="69"/>
    </row>
    <row r="25" ht="22.5" customHeight="1">
      <c r="A25" s="66" t="s">
        <v>260</v>
      </c>
      <c r="B25" s="67" t="str">
        <f t="shared" si="1"/>
        <v>M: toward</v>
      </c>
      <c r="C25" s="68"/>
      <c r="D25" s="68">
        <v>45744.0</v>
      </c>
      <c r="E25" s="66">
        <v>4.0</v>
      </c>
      <c r="F25" s="66" t="str">
        <f>IFERROR(__xludf.DUMMYFUNCTION("GOOGLETRANSLATE(A25,""en"",""pt"")"),"na direção")</f>
        <v>na direção</v>
      </c>
      <c r="G25" s="69"/>
    </row>
    <row r="26" ht="22.5" customHeight="1">
      <c r="A26" s="66" t="s">
        <v>261</v>
      </c>
      <c r="B26" s="67" t="str">
        <f t="shared" si="1"/>
        <v>M: them</v>
      </c>
      <c r="C26" s="68"/>
      <c r="D26" s="68">
        <v>45744.0</v>
      </c>
      <c r="E26" s="66">
        <v>5.0</v>
      </c>
      <c r="F26" s="66" t="str">
        <f>IFERROR(__xludf.DUMMYFUNCTION("GOOGLETRANSLATE(A26,""en"",""pt"")"),"eles")</f>
        <v>eles</v>
      </c>
      <c r="G26" s="69"/>
    </row>
    <row r="27" ht="22.5" customHeight="1">
      <c r="A27" s="66" t="s">
        <v>262</v>
      </c>
      <c r="B27" s="67" t="str">
        <f t="shared" si="1"/>
        <v>M: There</v>
      </c>
      <c r="C27" s="68"/>
      <c r="D27" s="68">
        <v>45744.0</v>
      </c>
      <c r="E27" s="66">
        <v>6.0</v>
      </c>
      <c r="F27" s="66" t="str">
        <f>IFERROR(__xludf.DUMMYFUNCTION("GOOGLETRANSLATE(A27,""en"",""pt"")"),"Lá")</f>
        <v>Lá</v>
      </c>
      <c r="G27" s="69"/>
    </row>
    <row r="28" ht="22.5" customHeight="1">
      <c r="A28" s="66" t="s">
        <v>263</v>
      </c>
      <c r="B28" s="67" t="str">
        <f t="shared" si="1"/>
        <v>M: weren't</v>
      </c>
      <c r="C28" s="68"/>
      <c r="D28" s="68">
        <v>45744.0</v>
      </c>
      <c r="E28" s="66">
        <v>7.0</v>
      </c>
      <c r="F28" s="66" t="str">
        <f>IFERROR(__xludf.DUMMYFUNCTION("GOOGLETRANSLATE(A28,""en"",""pt"")"),"não eram")</f>
        <v>não eram</v>
      </c>
      <c r="G28" s="69"/>
    </row>
    <row r="29" ht="22.5" customHeight="1">
      <c r="A29" s="66" t="s">
        <v>264</v>
      </c>
      <c r="B29" s="67" t="str">
        <f t="shared" si="1"/>
        <v>M: tiptoed</v>
      </c>
      <c r="C29" s="68"/>
      <c r="D29" s="68">
        <v>45744.0</v>
      </c>
      <c r="E29" s="66">
        <v>8.0</v>
      </c>
      <c r="F29" s="66" t="str">
        <f>IFERROR(__xludf.DUMMYFUNCTION("GOOGLETRANSLATE(A29,""en"",""pt"")"),"na ponta dos pés")</f>
        <v>na ponta dos pés</v>
      </c>
      <c r="G29" s="69"/>
    </row>
    <row r="30" ht="22.5" customHeight="1">
      <c r="A30" s="66" t="s">
        <v>265</v>
      </c>
      <c r="B30" s="67" t="str">
        <f t="shared" si="1"/>
        <v>M: giggle</v>
      </c>
      <c r="C30" s="68"/>
      <c r="D30" s="68">
        <v>45744.0</v>
      </c>
      <c r="E30" s="66">
        <v>9.0</v>
      </c>
      <c r="F30" s="66" t="str">
        <f>IFERROR(__xludf.DUMMYFUNCTION("GOOGLETRANSLATE(A30,""en"",""pt"")"),"riso")</f>
        <v>riso</v>
      </c>
      <c r="G30" s="69"/>
    </row>
    <row r="31" ht="22.5" customHeight="1">
      <c r="A31" s="66" t="s">
        <v>266</v>
      </c>
      <c r="B31" s="67" t="str">
        <f t="shared" si="1"/>
        <v>M: he'd</v>
      </c>
      <c r="C31" s="68"/>
      <c r="D31" s="68">
        <v>45744.0</v>
      </c>
      <c r="E31" s="66">
        <v>10.0</v>
      </c>
      <c r="F31" s="66" t="str">
        <f>IFERROR(__xludf.DUMMYFUNCTION("GOOGLETRANSLATE(A31,""en"",""pt"")"),"ele tinha")</f>
        <v>ele tinha</v>
      </c>
      <c r="G31" s="69"/>
    </row>
    <row r="32" ht="22.5" customHeight="1">
      <c r="A32" s="66" t="s">
        <v>267</v>
      </c>
      <c r="B32" s="67" t="str">
        <f t="shared" si="1"/>
        <v>M: been</v>
      </c>
      <c r="C32" s="68"/>
      <c r="D32" s="68">
        <v>45745.0</v>
      </c>
      <c r="E32" s="66">
        <v>1.0</v>
      </c>
      <c r="F32" s="66" t="str">
        <f>IFERROR(__xludf.DUMMYFUNCTION("GOOGLETRANSLATE(A32,""en"",""pt"")"),"estive")</f>
        <v>estive</v>
      </c>
      <c r="G32" s="69"/>
    </row>
    <row r="33" ht="22.5" customHeight="1">
      <c r="A33" s="66" t="s">
        <v>268</v>
      </c>
      <c r="B33" s="67" t="str">
        <f t="shared" si="1"/>
        <v>M: even</v>
      </c>
      <c r="C33" s="68"/>
      <c r="D33" s="68">
        <v>45745.0</v>
      </c>
      <c r="E33" s="66">
        <v>2.0</v>
      </c>
      <c r="F33" s="66" t="str">
        <f>IFERROR(__xludf.DUMMYFUNCTION("GOOGLETRANSLATE(A33,""en"",""pt"")"),"até")</f>
        <v>até</v>
      </c>
      <c r="G33" s="69"/>
    </row>
    <row r="34" ht="22.5" customHeight="1">
      <c r="A34" s="66" t="s">
        <v>269</v>
      </c>
      <c r="B34" s="67" t="str">
        <f t="shared" si="1"/>
        <v>M: ran off</v>
      </c>
      <c r="C34" s="66">
        <v>1.0</v>
      </c>
      <c r="D34" s="68">
        <v>45745.0</v>
      </c>
      <c r="E34" s="66">
        <v>3.0</v>
      </c>
      <c r="F34" s="66" t="s">
        <v>270</v>
      </c>
      <c r="G34" s="66" t="s">
        <v>247</v>
      </c>
    </row>
    <row r="35" ht="22.5" customHeight="1">
      <c r="A35" s="66" t="s">
        <v>271</v>
      </c>
      <c r="B35" s="67" t="str">
        <f t="shared" si="1"/>
        <v>M: We're</v>
      </c>
      <c r="C35" s="66">
        <v>1.0</v>
      </c>
      <c r="D35" s="68">
        <v>45745.0</v>
      </c>
      <c r="E35" s="66">
        <v>4.0</v>
      </c>
      <c r="F35" s="66" t="s">
        <v>272</v>
      </c>
      <c r="G35" s="66" t="s">
        <v>247</v>
      </c>
    </row>
    <row r="36" ht="22.5" customHeight="1">
      <c r="A36" s="66" t="s">
        <v>273</v>
      </c>
      <c r="B36" s="67" t="str">
        <f t="shared" si="1"/>
        <v>M: wouldn't</v>
      </c>
      <c r="C36" s="68"/>
      <c r="D36" s="68">
        <v>45745.0</v>
      </c>
      <c r="E36" s="66">
        <v>5.0</v>
      </c>
      <c r="F36" s="66" t="str">
        <f>IFERROR(__xludf.DUMMYFUNCTION("GOOGLETRANSLATE(A36,""en"",""pt"")"),"não faria")</f>
        <v>não faria</v>
      </c>
      <c r="G36" s="69"/>
    </row>
    <row r="37" ht="22.5" customHeight="1">
      <c r="A37" s="66" t="s">
        <v>274</v>
      </c>
      <c r="B37" s="67" t="str">
        <f t="shared" si="1"/>
        <v>M: that</v>
      </c>
      <c r="C37" s="68"/>
      <c r="D37" s="68">
        <v>45745.0</v>
      </c>
      <c r="E37" s="66">
        <v>6.0</v>
      </c>
      <c r="F37" s="66" t="str">
        <f>IFERROR(__xludf.DUMMYFUNCTION("GOOGLETRANSLATE(A37,""en"",""pt"")"),"que")</f>
        <v>que</v>
      </c>
      <c r="G37" s="69"/>
    </row>
    <row r="38" ht="22.5" customHeight="1">
      <c r="A38" s="66" t="s">
        <v>275</v>
      </c>
      <c r="B38" s="67" t="str">
        <f t="shared" si="1"/>
        <v>M: tripped</v>
      </c>
      <c r="C38" s="68"/>
      <c r="D38" s="68">
        <v>45745.0</v>
      </c>
      <c r="E38" s="66">
        <v>7.0</v>
      </c>
      <c r="F38" s="66" t="str">
        <f>IFERROR(__xludf.DUMMYFUNCTION("GOOGLETRANSLATE(A38,""en"",""pt"")"),"tropeçou")</f>
        <v>tropeçou</v>
      </c>
      <c r="G38" s="69"/>
    </row>
    <row r="39" ht="22.5" customHeight="1">
      <c r="A39" s="66" t="s">
        <v>276</v>
      </c>
      <c r="B39" s="67" t="str">
        <f t="shared" si="1"/>
        <v>M: over</v>
      </c>
      <c r="C39" s="66">
        <v>1.0</v>
      </c>
      <c r="D39" s="68">
        <v>45745.0</v>
      </c>
      <c r="E39" s="66">
        <v>8.0</v>
      </c>
      <c r="F39" s="66" t="s">
        <v>277</v>
      </c>
      <c r="G39" s="66" t="s">
        <v>247</v>
      </c>
    </row>
    <row r="40" ht="22.5" customHeight="1">
      <c r="A40" s="66" t="s">
        <v>278</v>
      </c>
      <c r="B40" s="67" t="str">
        <f t="shared" si="1"/>
        <v>M: yanked</v>
      </c>
      <c r="C40" s="68"/>
      <c r="D40" s="68">
        <v>45745.0</v>
      </c>
      <c r="E40" s="66">
        <v>9.0</v>
      </c>
      <c r="F40" s="66" t="str">
        <f>IFERROR(__xludf.DUMMYFUNCTION("GOOGLETRANSLATE(A40,""en"",""pt"")"),"puxado")</f>
        <v>puxado</v>
      </c>
      <c r="G40" s="69"/>
    </row>
    <row r="41" ht="22.5" customHeight="1">
      <c r="A41" s="66" t="s">
        <v>279</v>
      </c>
      <c r="B41" s="67" t="str">
        <f t="shared" si="1"/>
        <v>M: skinned</v>
      </c>
      <c r="C41" s="68"/>
      <c r="D41" s="68">
        <v>45745.0</v>
      </c>
      <c r="E41" s="66">
        <v>10.0</v>
      </c>
      <c r="F41" s="66" t="str">
        <f>IFERROR(__xludf.DUMMYFUNCTION("GOOGLETRANSLATE(A41,""en"",""pt"")"),"esfolado")</f>
        <v>esfolado</v>
      </c>
      <c r="G41" s="69"/>
    </row>
    <row r="42" ht="22.5" customHeight="1">
      <c r="A42" s="66" t="s">
        <v>280</v>
      </c>
      <c r="B42" s="67" t="str">
        <f t="shared" si="1"/>
        <v>M: notices</v>
      </c>
      <c r="C42" s="66">
        <v>1.0</v>
      </c>
      <c r="D42" s="68">
        <f>IFERROR(__xludf.DUMMYFUNCTION("ARRAYFORMULA(
  INDEX(
    UNIQUE(FILTER(D2:D11612, D2:D11612&lt;&gt;"""")),
    CEILING.MATH(SEQUENCE(COUNTUNIQUE(D2:D11612)*10, 1, 1)/10
  )
)+4)"),45746.0)</f>
        <v>45746</v>
      </c>
      <c r="E42" s="66">
        <v>1.0</v>
      </c>
      <c r="F42" s="71" t="s">
        <v>281</v>
      </c>
      <c r="G42" s="66" t="s">
        <v>247</v>
      </c>
    </row>
    <row r="43" ht="22.5" customHeight="1">
      <c r="A43" s="66" t="s">
        <v>282</v>
      </c>
      <c r="B43" s="67" t="str">
        <f t="shared" si="1"/>
        <v>M: thought</v>
      </c>
      <c r="C43" s="68"/>
      <c r="D43" s="68">
        <f>IFERROR(__xludf.DUMMYFUNCTION("ARRAYFORMULA(
  INDEX(
    UNIQUE(FILTER(D3:D11612, D3:D11612&lt;&gt;"""")),
    CEILING.MATH(SEQUENCE(COUNTUNIQUE(D3:D11612)*10, 1, 1)/10
  )
)+4)"),45746.0)</f>
        <v>45746</v>
      </c>
      <c r="E43" s="66">
        <v>2.0</v>
      </c>
      <c r="F43" s="66" t="str">
        <f>IFERROR(__xludf.DUMMYFUNCTION("GOOGLETRANSLATE(A43,""en"",""pt"")"),"pensamento")</f>
        <v>pensamento</v>
      </c>
      <c r="G43" s="69"/>
    </row>
    <row r="44" ht="22.5" customHeight="1">
      <c r="A44" s="66" t="s">
        <v>283</v>
      </c>
      <c r="B44" s="67" t="str">
        <f t="shared" si="1"/>
        <v>M: might</v>
      </c>
      <c r="C44" s="68"/>
      <c r="D44" s="68">
        <f>IFERROR(__xludf.DUMMYFUNCTION("ARRAYFORMULA(
  INDEX(
    UNIQUE(FILTER(D4:D11612, D4:D11612&lt;&gt;"""")),
    CEILING.MATH(SEQUENCE(COUNTUNIQUE(D4:D11612)*10, 1, 1)/10
  )
)+4)"),45746.0)</f>
        <v>45746</v>
      </c>
      <c r="E44" s="66">
        <v>3.0</v>
      </c>
      <c r="F44" s="66" t="str">
        <f>IFERROR(__xludf.DUMMYFUNCTION("GOOGLETRANSLATE(A44,""en"",""pt"")"),"poder")</f>
        <v>poder</v>
      </c>
      <c r="G44" s="69"/>
    </row>
    <row r="45" ht="22.5" customHeight="1">
      <c r="A45" s="66" t="s">
        <v>284</v>
      </c>
      <c r="B45" s="67" t="str">
        <f t="shared" si="1"/>
        <v>M: landmarks</v>
      </c>
      <c r="C45" s="66">
        <v>1.0</v>
      </c>
      <c r="D45" s="68">
        <f>IFERROR(__xludf.DUMMYFUNCTION("ARRAYFORMULA(
  INDEX(
    UNIQUE(FILTER(D5:D11612, D5:D11612&lt;&gt;"""")),
    CEILING.MATH(SEQUENCE(COUNTUNIQUE(D5:D11612)*10, 1, 1)/10
  )
)+4)"),45746.0)</f>
        <v>45746</v>
      </c>
      <c r="E45" s="66">
        <v>4.0</v>
      </c>
      <c r="F45" s="71" t="s">
        <v>285</v>
      </c>
      <c r="G45" s="66" t="s">
        <v>247</v>
      </c>
    </row>
    <row r="46" ht="22.5" customHeight="1">
      <c r="A46" s="66" t="s">
        <v>286</v>
      </c>
      <c r="B46" s="67" t="str">
        <f t="shared" si="1"/>
        <v>M: headed</v>
      </c>
      <c r="C46" s="68"/>
      <c r="D46" s="68">
        <f>IFERROR(__xludf.DUMMYFUNCTION("ARRAYFORMULA(
  INDEX(
    UNIQUE(FILTER(D6:D11612, D6:D11612&lt;&gt;"""")),
    CEILING.MATH(SEQUENCE(COUNTUNIQUE(D6:D11612)*10, 1, 1)/10
  )
)+4)"),45746.0)</f>
        <v>45746</v>
      </c>
      <c r="E46" s="66">
        <v>5.0</v>
      </c>
      <c r="F46" s="66" t="str">
        <f>IFERROR(__xludf.DUMMYFUNCTION("GOOGLETRANSLATE(A46,""en"",""pt"")"),"dirigido")</f>
        <v>dirigido</v>
      </c>
      <c r="G46" s="69"/>
    </row>
    <row r="47" ht="22.5" customHeight="1">
      <c r="A47" s="66" t="s">
        <v>287</v>
      </c>
      <c r="B47" s="67" t="str">
        <f t="shared" si="1"/>
        <v>M: taught</v>
      </c>
      <c r="C47" s="68"/>
      <c r="D47" s="68">
        <f>IFERROR(__xludf.DUMMYFUNCTION("ARRAYFORMULA(
  INDEX(
    UNIQUE(FILTER(D7:D11612, D7:D11612&lt;&gt;"""")),
    CEILING.MATH(SEQUENCE(COUNTUNIQUE(D7:D11612)*10, 1, 1)/10
  )
)+4)"),45746.0)</f>
        <v>45746</v>
      </c>
      <c r="E47" s="66">
        <v>6.0</v>
      </c>
      <c r="F47" s="66" t="str">
        <f>IFERROR(__xludf.DUMMYFUNCTION("GOOGLETRANSLATE(A47,""en"",""pt"")"),"ensinado")</f>
        <v>ensinado</v>
      </c>
      <c r="G47" s="69"/>
    </row>
    <row r="48" ht="22.5" customHeight="1">
      <c r="A48" s="66" t="s">
        <v>288</v>
      </c>
      <c r="B48" s="67" t="str">
        <f t="shared" si="1"/>
        <v>M: they'd</v>
      </c>
      <c r="C48" s="68"/>
      <c r="D48" s="68">
        <f>IFERROR(__xludf.DUMMYFUNCTION("ARRAYFORMULA(
  INDEX(
    UNIQUE(FILTER(D8:D11612, D8:D11612&lt;&gt;"""")),
    CEILING.MATH(SEQUENCE(COUNTUNIQUE(D8:D11612)*10, 1, 1)/10
  )
)+4)"),45746.0)</f>
        <v>45746</v>
      </c>
      <c r="E48" s="66">
        <v>7.0</v>
      </c>
      <c r="F48" s="66" t="str">
        <f>IFERROR(__xludf.DUMMYFUNCTION("GOOGLETRANSLATE(A48,""en"",""pt"")"),"eles")</f>
        <v>eles</v>
      </c>
      <c r="G48" s="69"/>
    </row>
    <row r="49" ht="22.5" customHeight="1">
      <c r="A49" s="66" t="s">
        <v>289</v>
      </c>
      <c r="B49" s="67" t="str">
        <f t="shared" si="1"/>
        <v>M: shelter</v>
      </c>
      <c r="C49" s="68"/>
      <c r="D49" s="68">
        <f>IFERROR(__xludf.DUMMYFUNCTION("ARRAYFORMULA(
  INDEX(
    UNIQUE(FILTER(D9:D11612, D9:D11612&lt;&gt;"""")),
    CEILING.MATH(SEQUENCE(COUNTUNIQUE(D9:D11612)*10, 1, 1)/10
  )
)+4)"),45746.0)</f>
        <v>45746</v>
      </c>
      <c r="E49" s="66">
        <v>8.0</v>
      </c>
      <c r="F49" s="66" t="str">
        <f>IFERROR(__xludf.DUMMYFUNCTION("GOOGLETRANSLATE(A49,""en"",""pt"")"),"abrigo")</f>
        <v>abrigo</v>
      </c>
      <c r="G49" s="69"/>
    </row>
    <row r="50" ht="22.5" customHeight="1">
      <c r="A50" s="66" t="s">
        <v>290</v>
      </c>
      <c r="B50" s="67" t="str">
        <f t="shared" si="1"/>
        <v>M: get back</v>
      </c>
      <c r="C50" s="68"/>
      <c r="D50" s="68">
        <f>IFERROR(__xludf.DUMMYFUNCTION("ARRAYFORMULA(
  INDEX(
    UNIQUE(FILTER(D10:D11612, D10:D11612&lt;&gt;"""")),
    CEILING.MATH(SEQUENCE(COUNTUNIQUE(D10:D11612)*10, 1, 1)/10
  )
)+4)"),45746.0)</f>
        <v>45746</v>
      </c>
      <c r="E50" s="66">
        <v>9.0</v>
      </c>
      <c r="F50" s="66" t="str">
        <f>IFERROR(__xludf.DUMMYFUNCTION("GOOGLETRANSLATE(A50,""en"",""pt"")"),"volte")</f>
        <v>volte</v>
      </c>
      <c r="G50" s="69"/>
    </row>
    <row r="51" ht="22.5" customHeight="1">
      <c r="A51" s="66" t="s">
        <v>291</v>
      </c>
      <c r="B51" s="67" t="str">
        <f t="shared" si="1"/>
        <v>M: we'll</v>
      </c>
      <c r="C51" s="68"/>
      <c r="D51" s="68">
        <f>IFERROR(__xludf.DUMMYFUNCTION("ARRAYFORMULA(
  INDEX(
    UNIQUE(FILTER(D11:D11612, D11:D11612&lt;&gt;"""")),
    CEILING.MATH(SEQUENCE(COUNTUNIQUE(D11:D11612)*10, 1, 1)/10
  )
)+4)"),45746.0)</f>
        <v>45746</v>
      </c>
      <c r="E51" s="66">
        <v>10.0</v>
      </c>
      <c r="F51" s="66" t="str">
        <f>IFERROR(__xludf.DUMMYFUNCTION("GOOGLETRANSLATE(A51,""en"",""pt"")"),"bem")</f>
        <v>bem</v>
      </c>
      <c r="G51" s="69"/>
    </row>
    <row r="52" ht="22.5" customHeight="1">
      <c r="A52" s="66" t="s">
        <v>292</v>
      </c>
      <c r="B52" s="67" t="str">
        <f t="shared" si="1"/>
        <v>M: campground</v>
      </c>
      <c r="C52" s="68"/>
      <c r="D52" s="68">
        <f>IFERROR(__xludf.DUMMYFUNCTION("ARRAYFORMULA(
  INDEX(
    UNIQUE(FILTER(D12:D11612, D12:D11612&lt;&gt;"""")),
    CEILING.MATH(SEQUENCE(COUNTUNIQUE(D12:D11612)*10, 1, 1)/10
  )
)+4)"),45747.0)</f>
        <v>45747</v>
      </c>
      <c r="E52" s="66">
        <v>1.0</v>
      </c>
      <c r="F52" s="66" t="str">
        <f>IFERROR(__xludf.DUMMYFUNCTION("GOOGLETRANSLATE(A52,""en"",""pt"")"),"área de camping")</f>
        <v>área de camping</v>
      </c>
      <c r="G52" s="69"/>
    </row>
    <row r="53" ht="22.5" customHeight="1">
      <c r="A53" s="66" t="s">
        <v>293</v>
      </c>
      <c r="B53" s="67" t="str">
        <f t="shared" si="1"/>
        <v>M: beginning</v>
      </c>
      <c r="C53" s="68"/>
      <c r="D53" s="68">
        <f>IFERROR(__xludf.DUMMYFUNCTION("ARRAYFORMULA(
  INDEX(
    UNIQUE(FILTER(D13:D11612, D13:D11612&lt;&gt;"""")),
    CEILING.MATH(SEQUENCE(COUNTUNIQUE(D13:D11612)*10, 1, 1)/10
  )
)+4)"),45747.0)</f>
        <v>45747</v>
      </c>
      <c r="E53" s="66">
        <v>2.0</v>
      </c>
      <c r="F53" s="66" t="str">
        <f>IFERROR(__xludf.DUMMYFUNCTION("GOOGLETRANSLATE(A53,""en"",""pt"")"),"começo")</f>
        <v>começo</v>
      </c>
      <c r="G53" s="69"/>
    </row>
    <row r="54" ht="22.5" customHeight="1">
      <c r="A54" s="66" t="s">
        <v>294</v>
      </c>
      <c r="B54" s="67" t="str">
        <f t="shared" si="1"/>
        <v>M: pattern</v>
      </c>
      <c r="C54" s="68"/>
      <c r="D54" s="68">
        <f>IFERROR(__xludf.DUMMYFUNCTION("ARRAYFORMULA(
  INDEX(
    UNIQUE(FILTER(D14:D11612, D14:D11612&lt;&gt;"""")),
    CEILING.MATH(SEQUENCE(COUNTUNIQUE(D14:D11612)*10, 1, 1)/10
  )
)+4)"),45747.0)</f>
        <v>45747</v>
      </c>
      <c r="E54" s="66">
        <v>3.0</v>
      </c>
      <c r="F54" s="66" t="str">
        <f>IFERROR(__xludf.DUMMYFUNCTION("GOOGLETRANSLATE(A54,""en"",""pt"")"),"padrão")</f>
        <v>padrão</v>
      </c>
      <c r="G54" s="69"/>
    </row>
    <row r="55" ht="22.5" customHeight="1">
      <c r="A55" s="66" t="s">
        <v>295</v>
      </c>
      <c r="B55" s="67" t="str">
        <f t="shared" si="1"/>
        <v>M: although</v>
      </c>
      <c r="C55" s="68"/>
      <c r="D55" s="68">
        <f>IFERROR(__xludf.DUMMYFUNCTION("ARRAYFORMULA(
  INDEX(
    UNIQUE(FILTER(D15:D11612, D15:D11612&lt;&gt;"""")),
    CEILING.MATH(SEQUENCE(COUNTUNIQUE(D15:D11612)*10, 1, 1)/10
  )
)+4)"),45747.0)</f>
        <v>45747</v>
      </c>
      <c r="E55" s="66">
        <v>4.0</v>
      </c>
      <c r="F55" s="66" t="str">
        <f>IFERROR(__xludf.DUMMYFUNCTION("GOOGLETRANSLATE(A55,""en"",""pt"")"),"embora")</f>
        <v>embora</v>
      </c>
      <c r="G55" s="69"/>
    </row>
    <row r="56" ht="22.5" customHeight="1">
      <c r="A56" s="66" t="s">
        <v>296</v>
      </c>
      <c r="B56" s="67" t="str">
        <f t="shared" si="1"/>
        <v>M: struggled</v>
      </c>
      <c r="C56" s="68"/>
      <c r="D56" s="68">
        <f>IFERROR(__xludf.DUMMYFUNCTION("ARRAYFORMULA(
  INDEX(
    UNIQUE(FILTER(D16:D11612, D16:D11612&lt;&gt;"""")),
    CEILING.MATH(SEQUENCE(COUNTUNIQUE(D16:D11612)*10, 1, 1)/10
  )
)+4)"),45747.0)</f>
        <v>45747</v>
      </c>
      <c r="E56" s="66">
        <v>5.0</v>
      </c>
      <c r="F56" s="66" t="str">
        <f>IFERROR(__xludf.DUMMYFUNCTION("GOOGLETRANSLATE(A56,""en"",""pt"")"),"lutaram")</f>
        <v>lutaram</v>
      </c>
      <c r="G56" s="69"/>
    </row>
    <row r="57" ht="22.5" customHeight="1">
      <c r="A57" s="66" t="s">
        <v>297</v>
      </c>
      <c r="B57" s="67" t="str">
        <f t="shared" si="1"/>
        <v>M: filled</v>
      </c>
      <c r="C57" s="68"/>
      <c r="D57" s="68">
        <f>IFERROR(__xludf.DUMMYFUNCTION("ARRAYFORMULA(
  INDEX(
    UNIQUE(FILTER(D17:D11612, D17:D11612&lt;&gt;"""")),
    CEILING.MATH(SEQUENCE(COUNTUNIQUE(D17:D11612)*10, 1, 1)/10
  )
)+4)"),45747.0)</f>
        <v>45747</v>
      </c>
      <c r="E57" s="66">
        <v>6.0</v>
      </c>
      <c r="F57" s="66" t="str">
        <f>IFERROR(__xludf.DUMMYFUNCTION("GOOGLETRANSLATE(A57,""en"",""pt"")"),"preenchido")</f>
        <v>preenchido</v>
      </c>
      <c r="G57" s="69"/>
    </row>
    <row r="58" ht="22.5" customHeight="1">
      <c r="A58" s="66" t="s">
        <v>298</v>
      </c>
      <c r="B58" s="67" t="str">
        <f t="shared" si="1"/>
        <v>M: droopy</v>
      </c>
      <c r="C58" s="68"/>
      <c r="D58" s="68">
        <f>IFERROR(__xludf.DUMMYFUNCTION("ARRAYFORMULA(
  INDEX(
    UNIQUE(FILTER(D18:D11612, D18:D11612&lt;&gt;"""")),
    CEILING.MATH(SEQUENCE(COUNTUNIQUE(D18:D11612)*10, 1, 1)/10
  )
)+4)"),45747.0)</f>
        <v>45747</v>
      </c>
      <c r="E58" s="66">
        <v>7.0</v>
      </c>
      <c r="F58" s="66" t="str">
        <f>IFERROR(__xludf.DUMMYFUNCTION("GOOGLETRANSLATE(A58,""en"",""pt"")"),"caído")</f>
        <v>caído</v>
      </c>
      <c r="G58" s="69"/>
    </row>
    <row r="59" ht="22.5" customHeight="1">
      <c r="A59" s="66" t="s">
        <v>299</v>
      </c>
      <c r="B59" s="67" t="str">
        <f t="shared" si="1"/>
        <v>M: drooling</v>
      </c>
      <c r="C59" s="68"/>
      <c r="D59" s="68">
        <f>IFERROR(__xludf.DUMMYFUNCTION("ARRAYFORMULA(
  INDEX(
    UNIQUE(FILTER(D19:D11612, D19:D11612&lt;&gt;"""")),
    CEILING.MATH(SEQUENCE(COUNTUNIQUE(D19:D11612)*10, 1, 1)/10
  )
)+4)"),45747.0)</f>
        <v>45747</v>
      </c>
      <c r="E59" s="66">
        <v>8.0</v>
      </c>
      <c r="F59" s="66" t="str">
        <f>IFERROR(__xludf.DUMMYFUNCTION("GOOGLETRANSLATE(A59,""en"",""pt"")"),"babando")</f>
        <v>babando</v>
      </c>
      <c r="G59" s="69"/>
    </row>
    <row r="60" ht="22.5" customHeight="1">
      <c r="A60" s="66" t="s">
        <v>300</v>
      </c>
      <c r="B60" s="67" t="str">
        <f t="shared" si="1"/>
        <v>M: may</v>
      </c>
      <c r="C60" s="68"/>
      <c r="D60" s="68">
        <f>IFERROR(__xludf.DUMMYFUNCTION("ARRAYFORMULA(
  INDEX(
    UNIQUE(FILTER(D20:D11612, D20:D11612&lt;&gt;"""")),
    CEILING.MATH(SEQUENCE(COUNTUNIQUE(D20:D11612)*10, 1, 1)/10
  )
)+4)"),45747.0)</f>
        <v>45747</v>
      </c>
      <c r="E60" s="66">
        <v>9.0</v>
      </c>
      <c r="F60" s="66" t="str">
        <f>IFERROR(__xludf.DUMMYFUNCTION("GOOGLETRANSLATE(A60,""en"",""pt"")"),"poderia")</f>
        <v>poderia</v>
      </c>
      <c r="G60" s="69"/>
    </row>
    <row r="61" ht="22.5" customHeight="1">
      <c r="A61" s="66" t="s">
        <v>301</v>
      </c>
      <c r="B61" s="67" t="str">
        <f t="shared" si="1"/>
        <v>M: scent</v>
      </c>
      <c r="C61" s="68"/>
      <c r="D61" s="68">
        <f>IFERROR(__xludf.DUMMYFUNCTION("ARRAYFORMULA(
  INDEX(
    UNIQUE(FILTER(D21:D11612, D21:D11612&lt;&gt;"""")),
    CEILING.MATH(SEQUENCE(COUNTUNIQUE(D21:D11612)*10, 1, 1)/10
  )
)+4)"),45747.0)</f>
        <v>45747</v>
      </c>
      <c r="E61" s="66">
        <v>10.0</v>
      </c>
      <c r="F61" s="66" t="str">
        <f>IFERROR(__xludf.DUMMYFUNCTION("GOOGLETRANSLATE(A61,""en"",""pt"")"),"aroma")</f>
        <v>aroma</v>
      </c>
      <c r="G61" s="69"/>
    </row>
    <row r="62" ht="22.5" customHeight="1">
      <c r="A62" s="66" t="s">
        <v>302</v>
      </c>
      <c r="B62" s="67" t="str">
        <f t="shared" si="1"/>
        <v>M: stuffed</v>
      </c>
      <c r="C62" s="68"/>
      <c r="D62" s="68">
        <f>IFERROR(__xludf.DUMMYFUNCTION("ARRAYFORMULA(
  INDEX(
    UNIQUE(FILTER(D22:D11612, D22:D11612&lt;&gt;"""")),
    CEILING.MATH(SEQUENCE(COUNTUNIQUE(D22:D11612)*10, 1, 1)/10
  )
)+4)"),45748.0)</f>
        <v>45748</v>
      </c>
      <c r="E62" s="66">
        <v>1.0</v>
      </c>
      <c r="F62" s="66" t="str">
        <f>IFERROR(__xludf.DUMMYFUNCTION("GOOGLETRANSLATE(A62,""en"",""pt"")"),"recheado")</f>
        <v>recheado</v>
      </c>
      <c r="G62" s="69"/>
    </row>
    <row r="63" ht="22.5" customHeight="1">
      <c r="A63" s="66" t="s">
        <v>303</v>
      </c>
      <c r="B63" s="67" t="str">
        <f t="shared" si="1"/>
        <v>M: cuddled</v>
      </c>
      <c r="C63" s="68"/>
      <c r="D63" s="68">
        <f>IFERROR(__xludf.DUMMYFUNCTION("ARRAYFORMULA(
  INDEX(
    UNIQUE(FILTER(D23:D11612, D23:D11612&lt;&gt;"""")),
    CEILING.MATH(SEQUENCE(COUNTUNIQUE(D23:D11612)*10, 1, 1)/10
  )
)+4)"),45748.0)</f>
        <v>45748</v>
      </c>
      <c r="E63" s="66">
        <v>2.0</v>
      </c>
      <c r="F63" s="66" t="str">
        <f>IFERROR(__xludf.DUMMYFUNCTION("GOOGLETRANSLATE(A63,""en"",""pt"")"),"abraçados")</f>
        <v>abraçados</v>
      </c>
      <c r="G63" s="69"/>
    </row>
    <row r="64" ht="22.5" customHeight="1">
      <c r="A64" s="66" t="s">
        <v>304</v>
      </c>
      <c r="B64" s="67" t="str">
        <f t="shared" si="1"/>
        <v>M: blanket</v>
      </c>
      <c r="C64" s="68"/>
      <c r="D64" s="68">
        <f>IFERROR(__xludf.DUMMYFUNCTION("ARRAYFORMULA(
  INDEX(
    UNIQUE(FILTER(D24:D11612, D24:D11612&lt;&gt;"""")),
    CEILING.MATH(SEQUENCE(COUNTUNIQUE(D24:D11612)*10, 1, 1)/10
  )
)+4)"),45748.0)</f>
        <v>45748</v>
      </c>
      <c r="E64" s="66">
        <v>3.0</v>
      </c>
      <c r="F64" s="66" t="str">
        <f>IFERROR(__xludf.DUMMYFUNCTION("GOOGLETRANSLATE(A64,""en"",""pt"")"),"cobertor")</f>
        <v>cobertor</v>
      </c>
      <c r="G64" s="69"/>
    </row>
    <row r="65" ht="22.5" customHeight="1">
      <c r="A65" s="66" t="s">
        <v>305</v>
      </c>
      <c r="B65" s="67" t="str">
        <f t="shared" si="1"/>
        <v>M: trunk</v>
      </c>
      <c r="C65" s="68"/>
      <c r="D65" s="68">
        <f>IFERROR(__xludf.DUMMYFUNCTION("ARRAYFORMULA(
  INDEX(
    UNIQUE(FILTER(D25:D11612, D25:D11612&lt;&gt;"""")),
    CEILING.MATH(SEQUENCE(COUNTUNIQUE(D25:D11612)*10, 1, 1)/10
  )
)+4)"),45748.0)</f>
        <v>45748</v>
      </c>
      <c r="E65" s="66">
        <v>4.0</v>
      </c>
      <c r="F65" s="66" t="str">
        <f>IFERROR(__xludf.DUMMYFUNCTION("GOOGLETRANSLATE(A65,""en"",""pt"")"),"porta-malas")</f>
        <v>porta-malas</v>
      </c>
      <c r="G65" s="69"/>
    </row>
    <row r="66" ht="22.5" customHeight="1">
      <c r="A66" s="66" t="s">
        <v>306</v>
      </c>
      <c r="B66" s="67" t="str">
        <f t="shared" si="1"/>
        <v>M: embedded</v>
      </c>
      <c r="C66" s="68"/>
      <c r="D66" s="68">
        <f>IFERROR(__xludf.DUMMYFUNCTION("ARRAYFORMULA(
  INDEX(
    UNIQUE(FILTER(D26:D11612, D26:D11612&lt;&gt;"""")),
    CEILING.MATH(SEQUENCE(COUNTUNIQUE(D26:D11612)*10, 1, 1)/10
  )
)+4)"),45748.0)</f>
        <v>45748</v>
      </c>
      <c r="E66" s="66">
        <v>5.0</v>
      </c>
      <c r="F66" s="66" t="str">
        <f>IFERROR(__xludf.DUMMYFUNCTION("GOOGLETRANSLATE(A66,""en"",""pt"")"),"integrado")</f>
        <v>integrado</v>
      </c>
      <c r="G66" s="69"/>
    </row>
    <row r="67" ht="22.5" customHeight="1">
      <c r="A67" s="66" t="s">
        <v>307</v>
      </c>
      <c r="B67" s="67" t="str">
        <f t="shared" si="1"/>
        <v>M: hillside</v>
      </c>
      <c r="C67" s="68"/>
      <c r="D67" s="68">
        <f>IFERROR(__xludf.DUMMYFUNCTION("ARRAYFORMULA(
  INDEX(
    UNIQUE(FILTER(D27:D11612, D27:D11612&lt;&gt;"""")),
    CEILING.MATH(SEQUENCE(COUNTUNIQUE(D27:D11612)*10, 1, 1)/10
  )
)+4)"),45748.0)</f>
        <v>45748</v>
      </c>
      <c r="E67" s="66">
        <v>6.0</v>
      </c>
      <c r="F67" s="66" t="str">
        <f>IFERROR(__xludf.DUMMYFUNCTION("GOOGLETRANSLATE(A67,""en"",""pt"")"),"encosta")</f>
        <v>encosta</v>
      </c>
      <c r="G67" s="69"/>
    </row>
    <row r="68" ht="22.5" customHeight="1">
      <c r="A68" s="66" t="s">
        <v>308</v>
      </c>
      <c r="B68" s="67" t="str">
        <f t="shared" si="1"/>
        <v>M: snuggled</v>
      </c>
      <c r="C68" s="68"/>
      <c r="D68" s="68">
        <f>IFERROR(__xludf.DUMMYFUNCTION("ARRAYFORMULA(
  INDEX(
    UNIQUE(FILTER(D28:D11612, D28:D11612&lt;&gt;"""")),
    CEILING.MATH(SEQUENCE(COUNTUNIQUE(D28:D11612)*10, 1, 1)/10
  )
)+4)"),45748.0)</f>
        <v>45748</v>
      </c>
      <c r="E68" s="66">
        <v>7.0</v>
      </c>
      <c r="F68" s="66" t="str">
        <f>IFERROR(__xludf.DUMMYFUNCTION("GOOGLETRANSLATE(A68,""en"",""pt"")"),"aconchegados")</f>
        <v>aconchegados</v>
      </c>
      <c r="G68" s="69"/>
    </row>
    <row r="69" ht="22.5" customHeight="1">
      <c r="A69" s="66" t="s">
        <v>309</v>
      </c>
      <c r="B69" s="67" t="str">
        <f t="shared" si="1"/>
        <v>M: ration</v>
      </c>
      <c r="C69" s="68"/>
      <c r="D69" s="68">
        <f>IFERROR(__xludf.DUMMYFUNCTION("ARRAYFORMULA(
  INDEX(
    UNIQUE(FILTER(D29:D11612, D29:D11612&lt;&gt;"""")),
    CEILING.MATH(SEQUENCE(COUNTUNIQUE(D29:D11612)*10, 1, 1)/10
  )
)+4)"),45748.0)</f>
        <v>45748</v>
      </c>
      <c r="E69" s="66">
        <v>8.0</v>
      </c>
      <c r="F69" s="66" t="str">
        <f>IFERROR(__xludf.DUMMYFUNCTION("GOOGLETRANSLATE(A69,""en"",""pt"")"),"ração")</f>
        <v>ração</v>
      </c>
      <c r="G69" s="69"/>
    </row>
    <row r="70" ht="22.5" customHeight="1">
      <c r="A70" s="66" t="s">
        <v>310</v>
      </c>
      <c r="B70" s="67" t="str">
        <f t="shared" si="1"/>
        <v>M: doubt</v>
      </c>
      <c r="C70" s="68"/>
      <c r="D70" s="68">
        <f>IFERROR(__xludf.DUMMYFUNCTION("ARRAYFORMULA(
  INDEX(
    UNIQUE(FILTER(D30:D11612, D30:D11612&lt;&gt;"""")),
    CEILING.MATH(SEQUENCE(COUNTUNIQUE(D30:D11612)*10, 1, 1)/10
  )
)+4)"),45748.0)</f>
        <v>45748</v>
      </c>
      <c r="E70" s="66">
        <v>9.0</v>
      </c>
      <c r="F70" s="66" t="str">
        <f>IFERROR(__xludf.DUMMYFUNCTION("GOOGLETRANSLATE(A70,""en"",""pt"")"),"dúvida")</f>
        <v>dúvida</v>
      </c>
      <c r="G70" s="69"/>
    </row>
    <row r="71" ht="22.5" customHeight="1">
      <c r="A71" s="66" t="s">
        <v>311</v>
      </c>
      <c r="B71" s="67" t="str">
        <f t="shared" si="1"/>
        <v>M: surely</v>
      </c>
      <c r="C71" s="68"/>
      <c r="D71" s="68">
        <f>IFERROR(__xludf.DUMMYFUNCTION("ARRAYFORMULA(
  INDEX(
    UNIQUE(FILTER(D31:D11612, D31:D11612&lt;&gt;"""")),
    CEILING.MATH(SEQUENCE(COUNTUNIQUE(D31:D11612)*10, 1, 1)/10
  )
)+4)"),45748.0)</f>
        <v>45748</v>
      </c>
      <c r="E71" s="66">
        <v>10.0</v>
      </c>
      <c r="F71" s="66" t="str">
        <f>IFERROR(__xludf.DUMMYFUNCTION("GOOGLETRANSLATE(A71,""en"",""pt"")"),"certamente")</f>
        <v>certamente</v>
      </c>
      <c r="G71" s="69"/>
    </row>
    <row r="72" ht="22.5" customHeight="1">
      <c r="A72" s="66" t="s">
        <v>312</v>
      </c>
      <c r="B72" s="67" t="str">
        <f t="shared" si="1"/>
        <v>M: careful</v>
      </c>
      <c r="C72" s="68"/>
      <c r="D72" s="68">
        <f>IFERROR(__xludf.DUMMYFUNCTION("ARRAYFORMULA(
  INDEX(
    UNIQUE(FILTER(D32:D11612, D32:D11612&lt;&gt;"""")),
    CEILING.MATH(SEQUENCE(COUNTUNIQUE(D32:D11612)*10, 1, 1)/10
  )
)+4)"),45749.0)</f>
        <v>45749</v>
      </c>
      <c r="E72" s="66">
        <v>1.0</v>
      </c>
      <c r="F72" s="66" t="str">
        <f>IFERROR(__xludf.DUMMYFUNCTION("GOOGLETRANSLATE(A72,""en"",""pt"")"),"cuidadoso")</f>
        <v>cuidadoso</v>
      </c>
      <c r="G72" s="69"/>
    </row>
    <row r="73" ht="22.5" customHeight="1">
      <c r="A73" s="66" t="s">
        <v>313</v>
      </c>
      <c r="B73" s="67" t="str">
        <f t="shared" si="1"/>
        <v>M: just in case</v>
      </c>
      <c r="C73" s="68"/>
      <c r="D73" s="68">
        <f>IFERROR(__xludf.DUMMYFUNCTION("ARRAYFORMULA(
  INDEX(
    UNIQUE(FILTER(D33:D11612, D33:D11612&lt;&gt;"""")),
    CEILING.MATH(SEQUENCE(COUNTUNIQUE(D33:D11612)*10, 1, 1)/10
  )
)+4)"),45749.0)</f>
        <v>45749</v>
      </c>
      <c r="E73" s="66">
        <v>2.0</v>
      </c>
      <c r="F73" s="66" t="str">
        <f>IFERROR(__xludf.DUMMYFUNCTION("GOOGLETRANSLATE(A73,""en"",""pt"")"),"apenas no caso de")</f>
        <v>apenas no caso de</v>
      </c>
      <c r="G73" s="69"/>
    </row>
    <row r="74" ht="22.5" customHeight="1">
      <c r="A74" s="66" t="s">
        <v>314</v>
      </c>
      <c r="B74" s="67" t="str">
        <f t="shared" si="1"/>
        <v>M: as soon as</v>
      </c>
      <c r="C74" s="68"/>
      <c r="D74" s="68">
        <f>IFERROR(__xludf.DUMMYFUNCTION("ARRAYFORMULA(
  INDEX(
    UNIQUE(FILTER(D34:D11612, D34:D11612&lt;&gt;"""")),
    CEILING.MATH(SEQUENCE(COUNTUNIQUE(D34:D11612)*10, 1, 1)/10
  )
)+4)"),45749.0)</f>
        <v>45749</v>
      </c>
      <c r="E74" s="66">
        <v>3.0</v>
      </c>
      <c r="F74" s="66" t="str">
        <f>IFERROR(__xludf.DUMMYFUNCTION("GOOGLETRANSLATE(A74,""en"",""pt"")"),"assim que")</f>
        <v>assim que</v>
      </c>
      <c r="G74" s="69"/>
    </row>
    <row r="75" ht="22.5" customHeight="1">
      <c r="A75" s="66" t="s">
        <v>315</v>
      </c>
      <c r="B75" s="67" t="str">
        <f t="shared" si="1"/>
        <v>M: felt</v>
      </c>
      <c r="C75" s="68"/>
      <c r="D75" s="68">
        <f>IFERROR(__xludf.DUMMYFUNCTION("ARRAYFORMULA(
  INDEX(
    UNIQUE(FILTER(D35:D11612, D35:D11612&lt;&gt;"""")),
    CEILING.MATH(SEQUENCE(COUNTUNIQUE(D35:D11612)*10, 1, 1)/10
  )
)+4)"),45749.0)</f>
        <v>45749</v>
      </c>
      <c r="E75" s="66">
        <v>4.0</v>
      </c>
      <c r="F75" s="66" t="str">
        <f>IFERROR(__xludf.DUMMYFUNCTION("GOOGLETRANSLATE(A75,""en"",""pt"")"),"sentido")</f>
        <v>sentido</v>
      </c>
      <c r="G75" s="69"/>
    </row>
    <row r="76" ht="22.5" customHeight="1">
      <c r="A76" s="66" t="s">
        <v>316</v>
      </c>
      <c r="B76" s="67" t="str">
        <f t="shared" si="1"/>
        <v>M: isn't</v>
      </c>
      <c r="C76" s="68"/>
      <c r="D76" s="68">
        <f>IFERROR(__xludf.DUMMYFUNCTION("ARRAYFORMULA(
  INDEX(
    UNIQUE(FILTER(D36:D11612, D36:D11612&lt;&gt;"""")),
    CEILING.MATH(SEQUENCE(COUNTUNIQUE(D36:D11612)*10, 1, 1)/10
  )
)+4)"),45749.0)</f>
        <v>45749</v>
      </c>
      <c r="E76" s="66">
        <v>5.0</v>
      </c>
      <c r="F76" s="66" t="str">
        <f>IFERROR(__xludf.DUMMYFUNCTION("GOOGLETRANSLATE(A76,""en"",""pt"")"),"não é")</f>
        <v>não é</v>
      </c>
      <c r="G76" s="69"/>
    </row>
    <row r="77" ht="22.5" customHeight="1">
      <c r="A77" s="66" t="s">
        <v>317</v>
      </c>
      <c r="B77" s="67" t="str">
        <f t="shared" si="1"/>
        <v>M: act</v>
      </c>
      <c r="C77" s="68"/>
      <c r="D77" s="68">
        <f>IFERROR(__xludf.DUMMYFUNCTION("ARRAYFORMULA(
  INDEX(
    UNIQUE(FILTER(D37:D11612, D37:D11612&lt;&gt;"""")),
    CEILING.MATH(SEQUENCE(COUNTUNIQUE(D37:D11612)*10, 1, 1)/10
  )
)+4)"),45749.0)</f>
        <v>45749</v>
      </c>
      <c r="E77" s="66">
        <v>6.0</v>
      </c>
      <c r="F77" s="66" t="str">
        <f>IFERROR(__xludf.DUMMYFUNCTION("GOOGLETRANSLATE(A77,""en"",""pt"")"),"agir")</f>
        <v>agir</v>
      </c>
      <c r="G77" s="69"/>
    </row>
    <row r="78" ht="22.5" customHeight="1">
      <c r="A78" s="66" t="s">
        <v>318</v>
      </c>
      <c r="B78" s="67" t="str">
        <f t="shared" si="1"/>
        <v>M: even more</v>
      </c>
      <c r="C78" s="68"/>
      <c r="D78" s="68">
        <f>IFERROR(__xludf.DUMMYFUNCTION("ARRAYFORMULA(
  INDEX(
    UNIQUE(FILTER(D38:D11612, D38:D11612&lt;&gt;"""")),
    CEILING.MATH(SEQUENCE(COUNTUNIQUE(D38:D11612)*10, 1, 1)/10
  )
)+4)"),45749.0)</f>
        <v>45749</v>
      </c>
      <c r="E78" s="66">
        <v>7.0</v>
      </c>
      <c r="F78" s="66" t="str">
        <f>IFERROR(__xludf.DUMMYFUNCTION("GOOGLETRANSLATE(A78,""en"",""pt"")"),"ainda mais")</f>
        <v>ainda mais</v>
      </c>
      <c r="G78" s="69"/>
    </row>
    <row r="79" ht="22.5" customHeight="1">
      <c r="A79" s="66" t="s">
        <v>319</v>
      </c>
      <c r="B79" s="67" t="str">
        <f t="shared" si="1"/>
        <v>M: run out of</v>
      </c>
      <c r="C79" s="68"/>
      <c r="D79" s="68">
        <f>IFERROR(__xludf.DUMMYFUNCTION("ARRAYFORMULA(
  INDEX(
    UNIQUE(FILTER(D39:D11612, D39:D11612&lt;&gt;"""")),
    CEILING.MATH(SEQUENCE(COUNTUNIQUE(D39:D11612)*10, 1, 1)/10
  )
)+4)"),45749.0)</f>
        <v>45749</v>
      </c>
      <c r="E79" s="66">
        <v>8.0</v>
      </c>
      <c r="F79" s="66" t="str">
        <f>IFERROR(__xludf.DUMMYFUNCTION("GOOGLETRANSLATE(A79,""en"",""pt"")"),"ficar sem")</f>
        <v>ficar sem</v>
      </c>
      <c r="G79" s="69"/>
    </row>
    <row r="80" ht="22.5" customHeight="1">
      <c r="A80" s="66" t="s">
        <v>320</v>
      </c>
      <c r="B80" s="67" t="str">
        <f t="shared" si="1"/>
        <v>M: pretended</v>
      </c>
      <c r="C80" s="68"/>
      <c r="D80" s="68">
        <f>IFERROR(__xludf.DUMMYFUNCTION("ARRAYFORMULA(
  INDEX(
    UNIQUE(FILTER(D40:D11612, D40:D11612&lt;&gt;"""")),
    CEILING.MATH(SEQUENCE(COUNTUNIQUE(D40:D11612)*10, 1, 1)/10
  )
)+4)"),45749.0)</f>
        <v>45749</v>
      </c>
      <c r="E80" s="66">
        <v>9.0</v>
      </c>
      <c r="F80" s="66" t="str">
        <f>IFERROR(__xludf.DUMMYFUNCTION("GOOGLETRANSLATE(A80,""en"",""pt"")"),"fingiu")</f>
        <v>fingiu</v>
      </c>
      <c r="G80" s="69"/>
    </row>
    <row r="81" ht="22.5" customHeight="1">
      <c r="A81" s="66" t="s">
        <v>321</v>
      </c>
      <c r="B81" s="67" t="str">
        <f t="shared" si="1"/>
        <v>M: shuddered</v>
      </c>
      <c r="C81" s="68"/>
      <c r="D81" s="68">
        <f>IFERROR(__xludf.DUMMYFUNCTION("ARRAYFORMULA(
  INDEX(
    UNIQUE(FILTER(D41:D11612, D41:D11612&lt;&gt;"""")),
    CEILING.MATH(SEQUENCE(COUNTUNIQUE(D41:D11612)*10, 1, 1)/10
  )
)+4)"),45749.0)</f>
        <v>45749</v>
      </c>
      <c r="E81" s="66">
        <v>10.0</v>
      </c>
      <c r="F81" s="66" t="str">
        <f>IFERROR(__xludf.DUMMYFUNCTION("GOOGLETRANSLATE(A81,""en"",""pt"")"),"estremeceu")</f>
        <v>estremeceu</v>
      </c>
      <c r="G81" s="69"/>
    </row>
    <row r="82" ht="22.5" customHeight="1">
      <c r="A82" s="66" t="s">
        <v>322</v>
      </c>
      <c r="B82" s="67" t="str">
        <f t="shared" si="1"/>
        <v>M: Soon enough</v>
      </c>
      <c r="C82" s="68"/>
      <c r="D82" s="68">
        <f>IFERROR(__xludf.DUMMYFUNCTION("ARRAYFORMULA(
  INDEX(
    UNIQUE(FILTER(D42:D11612, D42:D11612&lt;&gt;"""")),
    CEILING.MATH(SEQUENCE(COUNTUNIQUE(D42:D11612)*10, 1, 1)/10
  )
)+4)"),45750.0)</f>
        <v>45750</v>
      </c>
      <c r="E82" s="66">
        <v>1.0</v>
      </c>
      <c r="F82" s="66" t="str">
        <f>IFERROR(__xludf.DUMMYFUNCTION("GOOGLETRANSLATE(A82,""en"",""pt"")"),"Em breve")</f>
        <v>Em breve</v>
      </c>
      <c r="G82" s="69"/>
    </row>
    <row r="83" ht="22.5" customHeight="1">
      <c r="A83" s="66" t="s">
        <v>323</v>
      </c>
      <c r="B83" s="67" t="str">
        <f t="shared" si="1"/>
        <v>M: eyelids</v>
      </c>
      <c r="C83" s="68"/>
      <c r="D83" s="68">
        <f>IFERROR(__xludf.DUMMYFUNCTION("ARRAYFORMULA(
  INDEX(
    UNIQUE(FILTER(D43:D11612, D43:D11612&lt;&gt;"""")),
    CEILING.MATH(SEQUENCE(COUNTUNIQUE(D43:D11612)*10, 1, 1)/10
  )
)+4)"),45750.0)</f>
        <v>45750</v>
      </c>
      <c r="E83" s="66">
        <v>2.0</v>
      </c>
      <c r="F83" s="66" t="str">
        <f>IFERROR(__xludf.DUMMYFUNCTION("GOOGLETRANSLATE(A83,""en"",""pt"")"),"pálpebras")</f>
        <v>pálpebras</v>
      </c>
      <c r="G83" s="69"/>
    </row>
    <row r="84" ht="22.5" customHeight="1">
      <c r="A84" s="66" t="s">
        <v>324</v>
      </c>
      <c r="B84" s="67" t="str">
        <f t="shared" si="1"/>
        <v>M: droop</v>
      </c>
      <c r="C84" s="68"/>
      <c r="D84" s="68">
        <f>IFERROR(__xludf.DUMMYFUNCTION("ARRAYFORMULA(
  INDEX(
    UNIQUE(FILTER(D44:D11612, D44:D11612&lt;&gt;"""")),
    CEILING.MATH(SEQUENCE(COUNTUNIQUE(D44:D11612)*10, 1, 1)/10
  )
)+4)"),45750.0)</f>
        <v>45750</v>
      </c>
      <c r="E84" s="66">
        <v>3.0</v>
      </c>
      <c r="F84" s="66" t="str">
        <f>IFERROR(__xludf.DUMMYFUNCTION("GOOGLETRANSLATE(A84,""en"",""pt"")"),"inclinação")</f>
        <v>inclinação</v>
      </c>
      <c r="G84" s="69"/>
    </row>
    <row r="85" ht="22.5" customHeight="1">
      <c r="A85" s="66" t="s">
        <v>325</v>
      </c>
      <c r="B85" s="67" t="str">
        <f t="shared" si="1"/>
        <v>M: turning</v>
      </c>
      <c r="C85" s="68"/>
      <c r="D85" s="68">
        <f>IFERROR(__xludf.DUMMYFUNCTION("ARRAYFORMULA(
  INDEX(
    UNIQUE(FILTER(D45:D11612, D45:D11612&lt;&gt;"""")),
    CEILING.MATH(SEQUENCE(COUNTUNIQUE(D45:D11612)*10, 1, 1)/10
  )
)+4)"),45750.0)</f>
        <v>45750</v>
      </c>
      <c r="E85" s="66">
        <v>4.0</v>
      </c>
      <c r="F85" s="66" t="str">
        <f>IFERROR(__xludf.DUMMYFUNCTION("GOOGLETRANSLATE(A85,""en"",""pt"")"),"virando")</f>
        <v>virando</v>
      </c>
      <c r="G85" s="69"/>
    </row>
    <row r="86" ht="22.5" customHeight="1">
      <c r="A86" s="66" t="s">
        <v>326</v>
      </c>
      <c r="B86" s="67" t="str">
        <f t="shared" si="1"/>
        <v>M: frightened</v>
      </c>
      <c r="C86" s="68"/>
      <c r="D86" s="68">
        <f>IFERROR(__xludf.DUMMYFUNCTION("ARRAYFORMULA(
  INDEX(
    UNIQUE(FILTER(D46:D11612, D46:D11612&lt;&gt;"""")),
    CEILING.MATH(SEQUENCE(COUNTUNIQUE(D46:D11612)*10, 1, 1)/10
  )
)+4)"),45750.0)</f>
        <v>45750</v>
      </c>
      <c r="E86" s="66">
        <v>5.0</v>
      </c>
      <c r="F86" s="66" t="str">
        <f>IFERROR(__xludf.DUMMYFUNCTION("GOOGLETRANSLATE(A86,""en"",""pt"")"),"com medo")</f>
        <v>com medo</v>
      </c>
      <c r="G86" s="69"/>
    </row>
    <row r="87" ht="22.5" customHeight="1">
      <c r="A87" s="66" t="s">
        <v>327</v>
      </c>
      <c r="B87" s="67" t="str">
        <f t="shared" si="1"/>
        <v>M: rodents</v>
      </c>
      <c r="C87" s="68"/>
      <c r="D87" s="68">
        <f>IFERROR(__xludf.DUMMYFUNCTION("ARRAYFORMULA(
  INDEX(
    UNIQUE(FILTER(D47:D11612, D47:D11612&lt;&gt;"""")),
    CEILING.MATH(SEQUENCE(COUNTUNIQUE(D47:D11612)*10, 1, 1)/10
  )
)+4)"),45750.0)</f>
        <v>45750</v>
      </c>
      <c r="E87" s="66">
        <v>6.0</v>
      </c>
      <c r="F87" s="66" t="str">
        <f>IFERROR(__xludf.DUMMYFUNCTION("GOOGLETRANSLATE(A87,""en"",""pt"")"),"roedores")</f>
        <v>roedores</v>
      </c>
      <c r="G87" s="69"/>
    </row>
    <row r="88" ht="22.5" customHeight="1">
      <c r="A88" s="66" t="s">
        <v>328</v>
      </c>
      <c r="B88" s="67" t="str">
        <f t="shared" si="1"/>
        <v>M: on-edge</v>
      </c>
      <c r="C88" s="68"/>
      <c r="D88" s="68">
        <f>IFERROR(__xludf.DUMMYFUNCTION("ARRAYFORMULA(
  INDEX(
    UNIQUE(FILTER(D48:D11612, D48:D11612&lt;&gt;"""")),
    CEILING.MATH(SEQUENCE(COUNTUNIQUE(D48:D11612)*10, 1, 1)/10
  )
)+4)"),45750.0)</f>
        <v>45750</v>
      </c>
      <c r="E88" s="66">
        <v>7.0</v>
      </c>
      <c r="F88" s="66" t="str">
        <f>IFERROR(__xludf.DUMMYFUNCTION("GOOGLETRANSLATE(A88,""en"",""pt"")"),"à beira de um ataque de nervos")</f>
        <v>à beira de um ataque de nervos</v>
      </c>
      <c r="G88" s="69"/>
    </row>
    <row r="89" ht="22.5" customHeight="1">
      <c r="A89" s="70" t="s">
        <v>329</v>
      </c>
      <c r="B89" s="67" t="str">
        <f t="shared" si="1"/>
        <v>M: awake</v>
      </c>
      <c r="C89" s="68"/>
      <c r="D89" s="68">
        <f>IFERROR(__xludf.DUMMYFUNCTION("ARRAYFORMULA(
  INDEX(
    UNIQUE(FILTER(D49:D11612, D49:D11612&lt;&gt;"""")),
    CEILING.MATH(SEQUENCE(COUNTUNIQUE(D49:D11612)*10, 1, 1)/10
  )
)+4)"),45750.0)</f>
        <v>45750</v>
      </c>
      <c r="E89" s="66">
        <v>8.0</v>
      </c>
      <c r="F89" s="66" t="str">
        <f>IFERROR(__xludf.DUMMYFUNCTION("GOOGLETRANSLATE(A89,""en"",""pt"")"),"acordado")</f>
        <v>acordado</v>
      </c>
      <c r="G89" s="69"/>
    </row>
    <row r="90" ht="22.5" customHeight="1">
      <c r="A90" s="66" t="s">
        <v>330</v>
      </c>
      <c r="B90" s="67" t="str">
        <f t="shared" si="1"/>
        <v>M: awakened</v>
      </c>
      <c r="C90" s="68"/>
      <c r="D90" s="68">
        <f>IFERROR(__xludf.DUMMYFUNCTION("ARRAYFORMULA(
  INDEX(
    UNIQUE(FILTER(D50:D11612, D50:D11612&lt;&gt;"""")),
    CEILING.MATH(SEQUENCE(COUNTUNIQUE(D50:D11612)*10, 1, 1)/10
  )
)+4)"),45750.0)</f>
        <v>45750</v>
      </c>
      <c r="E90" s="66">
        <v>9.0</v>
      </c>
      <c r="F90" s="66" t="str">
        <f>IFERROR(__xludf.DUMMYFUNCTION("GOOGLETRANSLATE(A90,""en"",""pt"")"),"despertou")</f>
        <v>despertou</v>
      </c>
      <c r="G90" s="69"/>
    </row>
    <row r="91" ht="22.5" customHeight="1">
      <c r="A91" s="66" t="s">
        <v>331</v>
      </c>
      <c r="B91" s="67" t="str">
        <f t="shared" si="1"/>
        <v>M: jumped up</v>
      </c>
      <c r="C91" s="68"/>
      <c r="D91" s="68">
        <f>IFERROR(__xludf.DUMMYFUNCTION("ARRAYFORMULA(
  INDEX(
    UNIQUE(FILTER(D51:D11612, D51:D11612&lt;&gt;"""")),
    CEILING.MATH(SEQUENCE(COUNTUNIQUE(D51:D11612)*10, 1, 1)/10
  )
)+4)"),45750.0)</f>
        <v>45750</v>
      </c>
      <c r="E91" s="66">
        <v>10.0</v>
      </c>
      <c r="F91" s="66" t="str">
        <f>IFERROR(__xludf.DUMMYFUNCTION("GOOGLETRANSLATE(A91,""en"",""pt"")"),"pulou para cima")</f>
        <v>pulou para cima</v>
      </c>
      <c r="G91" s="69"/>
    </row>
    <row r="92" ht="22.5" customHeight="1">
      <c r="A92" s="66" t="s">
        <v>332</v>
      </c>
      <c r="B92" s="67" t="str">
        <f t="shared" si="1"/>
        <v>M: relief</v>
      </c>
      <c r="C92" s="68"/>
      <c r="D92" s="68">
        <f>IFERROR(__xludf.DUMMYFUNCTION("ARRAYFORMULA(
  INDEX(
    UNIQUE(FILTER(D52:D11612, D52:D11612&lt;&gt;"""")),
    CEILING.MATH(SEQUENCE(COUNTUNIQUE(D52:D11612)*10, 1, 1)/10
  )
)+4)"),45751.0)</f>
        <v>45751</v>
      </c>
      <c r="E92" s="66">
        <v>1.0</v>
      </c>
      <c r="F92" s="66" t="str">
        <f>IFERROR(__xludf.DUMMYFUNCTION("GOOGLETRANSLATE(A92,""en"",""pt"")"),"alívio")</f>
        <v>alívio</v>
      </c>
      <c r="G92" s="69"/>
    </row>
    <row r="93" ht="22.5" customHeight="1">
      <c r="A93" s="66" t="s">
        <v>333</v>
      </c>
      <c r="B93" s="67" t="str">
        <f t="shared" si="1"/>
        <v>M: rescuers</v>
      </c>
      <c r="C93" s="68"/>
      <c r="D93" s="68">
        <f>IFERROR(__xludf.DUMMYFUNCTION("ARRAYFORMULA(
  INDEX(
    UNIQUE(FILTER(D53:D11612, D53:D11612&lt;&gt;"""")),
    CEILING.MATH(SEQUENCE(COUNTUNIQUE(D53:D11612)*10, 1, 1)/10
  )
)+4)"),45751.0)</f>
        <v>45751</v>
      </c>
      <c r="E93" s="66">
        <v>2.0</v>
      </c>
      <c r="F93" s="66" t="str">
        <f>IFERROR(__xludf.DUMMYFUNCTION("GOOGLETRANSLATE(A93,""en"",""pt"")"),"socorristas")</f>
        <v>socorristas</v>
      </c>
      <c r="G93" s="69"/>
    </row>
    <row r="94" ht="22.5" customHeight="1">
      <c r="A94" s="66" t="s">
        <v>334</v>
      </c>
      <c r="B94" s="67" t="str">
        <f t="shared" si="1"/>
        <v>M: on their own</v>
      </c>
      <c r="C94" s="68"/>
      <c r="D94" s="68">
        <f>IFERROR(__xludf.DUMMYFUNCTION("ARRAYFORMULA(
  INDEX(
    UNIQUE(FILTER(D54:D11612, D54:D11612&lt;&gt;"""")),
    CEILING.MATH(SEQUENCE(COUNTUNIQUE(D54:D11612)*10, 1, 1)/10
  )
)+4)"),45751.0)</f>
        <v>45751</v>
      </c>
      <c r="E94" s="66">
        <v>3.0</v>
      </c>
      <c r="F94" s="66" t="str">
        <f>IFERROR(__xludf.DUMMYFUNCTION("GOOGLETRANSLATE(A94,""en"",""pt"")"),"por conta própria")</f>
        <v>por conta própria</v>
      </c>
      <c r="G94" s="69"/>
    </row>
    <row r="95" ht="22.5" customHeight="1">
      <c r="A95" s="66" t="s">
        <v>335</v>
      </c>
      <c r="B95" s="67" t="str">
        <f t="shared" si="1"/>
        <v>M: invitations</v>
      </c>
      <c r="C95" s="68"/>
      <c r="D95" s="68">
        <f>IFERROR(__xludf.DUMMYFUNCTION("ARRAYFORMULA(
  INDEX(
    UNIQUE(FILTER(D55:D11612, D55:D11612&lt;&gt;"""")),
    CEILING.MATH(SEQUENCE(COUNTUNIQUE(D55:D11612)*10, 1, 1)/10
  )
)+4)"),45751.0)</f>
        <v>45751</v>
      </c>
      <c r="E95" s="66">
        <v>4.0</v>
      </c>
      <c r="F95" s="66" t="str">
        <f>IFERROR(__xludf.DUMMYFUNCTION("GOOGLETRANSLATE(A95,""en"",""pt"")"),"convites")</f>
        <v>convites</v>
      </c>
      <c r="G95" s="69"/>
    </row>
    <row r="96" ht="22.5" customHeight="1">
      <c r="A96" s="66" t="s">
        <v>336</v>
      </c>
      <c r="B96" s="67" t="str">
        <f t="shared" si="1"/>
        <v>M: way</v>
      </c>
      <c r="C96" s="68"/>
      <c r="D96" s="68">
        <f>IFERROR(__xludf.DUMMYFUNCTION("ARRAYFORMULA(
  INDEX(
    UNIQUE(FILTER(D56:D11612, D56:D11612&lt;&gt;"""")),
    CEILING.MATH(SEQUENCE(COUNTUNIQUE(D56:D11612)*10, 1, 1)/10
  )
)+4)"),45751.0)</f>
        <v>45751</v>
      </c>
      <c r="E96" s="66">
        <v>5.0</v>
      </c>
      <c r="F96" s="66" t="str">
        <f>IFERROR(__xludf.DUMMYFUNCTION("GOOGLETRANSLATE(A96,""en"",""pt"")"),"caminho")</f>
        <v>caminho</v>
      </c>
      <c r="G96" s="69"/>
    </row>
    <row r="97" ht="22.5" customHeight="1">
      <c r="A97" s="66" t="s">
        <v>337</v>
      </c>
      <c r="B97" s="67" t="str">
        <f t="shared" si="1"/>
        <v>M: ordeal</v>
      </c>
      <c r="C97" s="68"/>
      <c r="D97" s="68">
        <f>IFERROR(__xludf.DUMMYFUNCTION("ARRAYFORMULA(
  INDEX(
    UNIQUE(FILTER(D57:D11612, D57:D11612&lt;&gt;"""")),
    CEILING.MATH(SEQUENCE(COUNTUNIQUE(D57:D11612)*10, 1, 1)/10
  )
)+4)"),45751.0)</f>
        <v>45751</v>
      </c>
      <c r="E97" s="66">
        <v>6.0</v>
      </c>
      <c r="F97" s="66" t="str">
        <f>IFERROR(__xludf.DUMMYFUNCTION("GOOGLETRANSLATE(A97,""en"",""pt"")"),"provação")</f>
        <v>provação</v>
      </c>
      <c r="G97" s="69"/>
    </row>
    <row r="98" ht="22.5" customHeight="1">
      <c r="A98" s="66" t="s">
        <v>338</v>
      </c>
      <c r="B98" s="67" t="str">
        <f t="shared" si="1"/>
        <v>M: at least</v>
      </c>
      <c r="C98" s="68"/>
      <c r="D98" s="68">
        <f>IFERROR(__xludf.DUMMYFUNCTION("ARRAYFORMULA(
  INDEX(
    UNIQUE(FILTER(D58:D11612, D58:D11612&lt;&gt;"""")),
    CEILING.MATH(SEQUENCE(COUNTUNIQUE(D58:D11612)*10, 1, 1)/10
  )
)+4)"),45751.0)</f>
        <v>45751</v>
      </c>
      <c r="E98" s="66">
        <v>7.0</v>
      </c>
      <c r="F98" s="66" t="str">
        <f>IFERROR(__xludf.DUMMYFUNCTION("GOOGLETRANSLATE(A98,""en"",""pt"")"),"pelo menos")</f>
        <v>pelo menos</v>
      </c>
      <c r="G98" s="69"/>
    </row>
    <row r="99" ht="22.5" customHeight="1">
      <c r="A99" s="66" t="s">
        <v>339</v>
      </c>
      <c r="B99" s="67" t="str">
        <f t="shared" si="1"/>
        <v>M: usually</v>
      </c>
      <c r="C99" s="68"/>
      <c r="D99" s="68">
        <f>IFERROR(__xludf.DUMMYFUNCTION("ARRAYFORMULA(
  INDEX(
    UNIQUE(FILTER(D59:D11612, D59:D11612&lt;&gt;"""")),
    CEILING.MATH(SEQUENCE(COUNTUNIQUE(D59:D11612)*10, 1, 1)/10
  )
)+4)"),45751.0)</f>
        <v>45751</v>
      </c>
      <c r="E99" s="66">
        <v>8.0</v>
      </c>
      <c r="F99" s="66" t="str">
        <f>IFERROR(__xludf.DUMMYFUNCTION("GOOGLETRANSLATE(A99,""en"",""pt"")"),"geralmente")</f>
        <v>geralmente</v>
      </c>
      <c r="G99" s="69"/>
    </row>
    <row r="100" ht="22.5" customHeight="1">
      <c r="A100" s="66" t="s">
        <v>340</v>
      </c>
      <c r="B100" s="67" t="str">
        <f t="shared" si="1"/>
        <v>M: get ready</v>
      </c>
      <c r="C100" s="68"/>
      <c r="D100" s="68">
        <f>IFERROR(__xludf.DUMMYFUNCTION("ARRAYFORMULA(
  INDEX(
    UNIQUE(FILTER(D60:D11612, D60:D11612&lt;&gt;"""")),
    CEILING.MATH(SEQUENCE(COUNTUNIQUE(D60:D11612)*10, 1, 1)/10
  )
)+4)"),45751.0)</f>
        <v>45751</v>
      </c>
      <c r="E100" s="66">
        <v>9.0</v>
      </c>
      <c r="F100" s="66" t="str">
        <f>IFERROR(__xludf.DUMMYFUNCTION("GOOGLETRANSLATE(A100,""en"",""pt"")"),"prepare-se")</f>
        <v>prepare-se</v>
      </c>
      <c r="G100" s="69"/>
    </row>
    <row r="101" ht="22.5" customHeight="1">
      <c r="A101" s="66" t="s">
        <v>341</v>
      </c>
      <c r="B101" s="67" t="str">
        <f t="shared" si="1"/>
        <v>M: having</v>
      </c>
      <c r="C101" s="68"/>
      <c r="D101" s="68">
        <f>IFERROR(__xludf.DUMMYFUNCTION("ARRAYFORMULA(
  INDEX(
    UNIQUE(FILTER(D61:D11612, D61:D11612&lt;&gt;"""")),
    CEILING.MATH(SEQUENCE(COUNTUNIQUE(D61:D11612)*10, 1, 1)/10
  )
)+4)"),45751.0)</f>
        <v>45751</v>
      </c>
      <c r="E101" s="66">
        <v>10.0</v>
      </c>
      <c r="F101" s="66" t="str">
        <f>IFERROR(__xludf.DUMMYFUNCTION("GOOGLETRANSLATE(A101,""en"",""pt"")"),"tendo")</f>
        <v>tendo</v>
      </c>
      <c r="G101" s="69"/>
    </row>
    <row r="102" ht="22.5" customHeight="1">
      <c r="A102" s="66" t="s">
        <v>342</v>
      </c>
      <c r="B102" s="67" t="str">
        <f t="shared" si="1"/>
        <v>M: finest</v>
      </c>
      <c r="C102" s="68"/>
      <c r="D102" s="68">
        <f>IFERROR(__xludf.DUMMYFUNCTION("ARRAYFORMULA(
  INDEX(
    UNIQUE(FILTER(D62:D11612, D62:D11612&lt;&gt;"""")),
    CEILING.MATH(SEQUENCE(COUNTUNIQUE(D62:D11612)*10, 1, 1)/10
  )
)+4)"),45752.0)</f>
        <v>45752</v>
      </c>
      <c r="E102" s="66">
        <v>1.0</v>
      </c>
      <c r="F102" s="66" t="str">
        <f>IFERROR(__xludf.DUMMYFUNCTION("GOOGLETRANSLATE(A102,""en"",""pt"")"),"melhor")</f>
        <v>melhor</v>
      </c>
      <c r="G102" s="69"/>
    </row>
    <row r="103" ht="22.5" customHeight="1">
      <c r="A103" s="66" t="s">
        <v>343</v>
      </c>
      <c r="B103" s="67" t="str">
        <f t="shared" si="1"/>
        <v>M: college</v>
      </c>
      <c r="C103" s="68"/>
      <c r="D103" s="68">
        <f>IFERROR(__xludf.DUMMYFUNCTION("ARRAYFORMULA(
  INDEX(
    UNIQUE(FILTER(D63:D11612, D63:D11612&lt;&gt;"""")),
    CEILING.MATH(SEQUENCE(COUNTUNIQUE(D63:D11612)*10, 1, 1)/10
  )
)+4)"),45752.0)</f>
        <v>45752</v>
      </c>
      <c r="E103" s="66">
        <v>2.0</v>
      </c>
      <c r="F103" s="66" t="str">
        <f>IFERROR(__xludf.DUMMYFUNCTION("GOOGLETRANSLATE(A103,""en"",""pt"")"),"faculdade")</f>
        <v>faculdade</v>
      </c>
      <c r="G103" s="69"/>
    </row>
    <row r="104" ht="22.5" customHeight="1">
      <c r="A104" s="66" t="s">
        <v>344</v>
      </c>
      <c r="B104" s="67" t="str">
        <f t="shared" si="1"/>
        <v>M: closest</v>
      </c>
      <c r="C104" s="66">
        <v>1.0</v>
      </c>
      <c r="D104" s="68">
        <f>IFERROR(__xludf.DUMMYFUNCTION("ARRAYFORMULA(
  INDEX(
    UNIQUE(FILTER(D64:D11612, D64:D11612&lt;&gt;"""")),
    CEILING.MATH(SEQUENCE(COUNTUNIQUE(D64:D11612)*10, 1, 1)/10
  )
)+4)"),45752.0)</f>
        <v>45752</v>
      </c>
      <c r="E104" s="66">
        <v>3.0</v>
      </c>
      <c r="F104" s="71" t="s">
        <v>345</v>
      </c>
      <c r="G104" s="66" t="s">
        <v>247</v>
      </c>
    </row>
    <row r="105" ht="22.5" customHeight="1">
      <c r="A105" s="66" t="s">
        <v>346</v>
      </c>
      <c r="B105" s="67" t="str">
        <f t="shared" si="1"/>
        <v>M: ever</v>
      </c>
      <c r="C105" s="68"/>
      <c r="D105" s="68">
        <f>IFERROR(__xludf.DUMMYFUNCTION("ARRAYFORMULA(
  INDEX(
    UNIQUE(FILTER(D65:D11612, D65:D11612&lt;&gt;"""")),
    CEILING.MATH(SEQUENCE(COUNTUNIQUE(D65:D11612)*10, 1, 1)/10
  )
)+4)"),45752.0)</f>
        <v>45752</v>
      </c>
      <c r="E105" s="66">
        <v>4.0</v>
      </c>
      <c r="F105" s="66" t="str">
        <f>IFERROR(__xludf.DUMMYFUNCTION("GOOGLETRANSLATE(A105,""en"",""pt"")"),"sempre")</f>
        <v>sempre</v>
      </c>
      <c r="G105" s="69"/>
    </row>
    <row r="106" ht="22.5" customHeight="1">
      <c r="A106" s="66" t="s">
        <v>347</v>
      </c>
      <c r="B106" s="67" t="str">
        <f t="shared" si="1"/>
        <v>M: dropped out</v>
      </c>
      <c r="C106" s="68"/>
      <c r="D106" s="68">
        <f>IFERROR(__xludf.DUMMYFUNCTION("ARRAYFORMULA(
  INDEX(
    UNIQUE(FILTER(D66:D11612, D66:D11612&lt;&gt;"""")),
    CEILING.MATH(SEQUENCE(COUNTUNIQUE(D66:D11612)*10, 1, 1)/10
  )
)+4)"),45752.0)</f>
        <v>45752</v>
      </c>
      <c r="E106" s="66">
        <v>5.0</v>
      </c>
      <c r="F106" s="66" t="str">
        <f>IFERROR(__xludf.DUMMYFUNCTION("GOOGLETRANSLATE(A106,""en"",""pt"")"),"desistiu")</f>
        <v>desistiu</v>
      </c>
      <c r="G106" s="69"/>
    </row>
    <row r="107" ht="22.5" customHeight="1">
      <c r="A107" s="66" t="s">
        <v>348</v>
      </c>
      <c r="B107" s="67" t="str">
        <f t="shared" si="1"/>
        <v>M: gotten</v>
      </c>
      <c r="C107" s="68"/>
      <c r="D107" s="68">
        <f>IFERROR(__xludf.DUMMYFUNCTION("ARRAYFORMULA(
  INDEX(
    UNIQUE(FILTER(D67:D11612, D67:D11612&lt;&gt;"""")),
    CEILING.MATH(SEQUENCE(COUNTUNIQUE(D67:D11612)*10, 1, 1)/10
  )
)+4)"),45752.0)</f>
        <v>45752</v>
      </c>
      <c r="E107" s="66">
        <v>6.0</v>
      </c>
      <c r="F107" s="66" t="str">
        <f>IFERROR(__xludf.DUMMYFUNCTION("GOOGLETRANSLATE(A107,""en"",""pt"")"),"pego")</f>
        <v>pego</v>
      </c>
      <c r="G107" s="69"/>
    </row>
    <row r="108" ht="22.5" customHeight="1">
      <c r="A108" s="66" t="s">
        <v>349</v>
      </c>
      <c r="B108" s="67" t="str">
        <f t="shared" si="1"/>
        <v>M: unwed</v>
      </c>
      <c r="C108" s="68"/>
      <c r="D108" s="68">
        <f>IFERROR(__xludf.DUMMYFUNCTION("ARRAYFORMULA(
  INDEX(
    UNIQUE(FILTER(D68:D11612, D68:D11612&lt;&gt;"""")),
    CEILING.MATH(SEQUENCE(COUNTUNIQUE(D68:D11612)*10, 1, 1)/10
  )
)+4)"),45752.0)</f>
        <v>45752</v>
      </c>
      <c r="E108" s="66">
        <v>7.0</v>
      </c>
      <c r="F108" s="66" t="str">
        <f>IFERROR(__xludf.DUMMYFUNCTION("GOOGLETRANSLATE(A108,""en"",""pt"")"),"solteira")</f>
        <v>solteira</v>
      </c>
      <c r="G108" s="69"/>
    </row>
    <row r="109" ht="22.5" customHeight="1">
      <c r="A109" s="66" t="s">
        <v>350</v>
      </c>
      <c r="B109" s="67" t="str">
        <f t="shared" si="1"/>
        <v>M: should</v>
      </c>
      <c r="C109" s="68"/>
      <c r="D109" s="68">
        <f>IFERROR(__xludf.DUMMYFUNCTION("ARRAYFORMULA(
  INDEX(
    UNIQUE(FILTER(D69:D11612, D69:D11612&lt;&gt;"""")),
    CEILING.MATH(SEQUENCE(COUNTUNIQUE(D69:D11612)*10, 1, 1)/10
  )
)+4)"),45752.0)</f>
        <v>45752</v>
      </c>
      <c r="E109" s="66">
        <v>8.0</v>
      </c>
      <c r="F109" s="66" t="str">
        <f>IFERROR(__xludf.DUMMYFUNCTION("GOOGLETRANSLATE(A109,""en"",""pt"")"),"deve")</f>
        <v>deve</v>
      </c>
      <c r="G109" s="69"/>
    </row>
    <row r="110" ht="22.5" customHeight="1">
      <c r="A110" s="66" t="s">
        <v>351</v>
      </c>
      <c r="B110" s="67" t="str">
        <f t="shared" si="1"/>
        <v>M: lawyer</v>
      </c>
      <c r="C110" s="68"/>
      <c r="D110" s="68">
        <f>IFERROR(__xludf.DUMMYFUNCTION("ARRAYFORMULA(
  INDEX(
    UNIQUE(FILTER(D70:D11612, D70:D11612&lt;&gt;"""")),
    CEILING.MATH(SEQUENCE(COUNTUNIQUE(D70:D11612)*10, 1, 1)/10
  )
)+4)"),45752.0)</f>
        <v>45752</v>
      </c>
      <c r="E110" s="66">
        <v>9.0</v>
      </c>
      <c r="F110" s="66" t="str">
        <f>IFERROR(__xludf.DUMMYFUNCTION("GOOGLETRANSLATE(A110,""en"",""pt"")"),"advogado")</f>
        <v>advogado</v>
      </c>
      <c r="G110" s="69"/>
    </row>
    <row r="111" ht="22.5" customHeight="1">
      <c r="A111" s="66" t="s">
        <v>352</v>
      </c>
      <c r="B111" s="67" t="str">
        <f t="shared" si="1"/>
        <v>M: popped out</v>
      </c>
      <c r="C111" s="68"/>
      <c r="D111" s="68">
        <f>IFERROR(__xludf.DUMMYFUNCTION("ARRAYFORMULA(
  INDEX(
    UNIQUE(FILTER(D71:D11612, D71:D11612&lt;&gt;"""")),
    CEILING.MATH(SEQUENCE(COUNTUNIQUE(D71:D11612)*10, 1, 1)/10
  )
)+4)"),45752.0)</f>
        <v>45752</v>
      </c>
      <c r="E111" s="66">
        <v>10.0</v>
      </c>
      <c r="F111" s="66" t="str">
        <f>IFERROR(__xludf.DUMMYFUNCTION("GOOGLETRANSLATE(A111,""en"",""pt"")"),"apareceu")</f>
        <v>apareceu</v>
      </c>
      <c r="G111" s="69"/>
    </row>
    <row r="112" ht="22.5" customHeight="1">
      <c r="A112" s="66" t="s">
        <v>353</v>
      </c>
      <c r="B112" s="67" t="str">
        <f t="shared" si="1"/>
        <v>M: got</v>
      </c>
      <c r="C112" s="68"/>
      <c r="D112" s="68">
        <f>IFERROR(__xludf.DUMMYFUNCTION("ARRAYFORMULA(
  INDEX(
    UNIQUE(FILTER(D72:D11612, D72:D11612&lt;&gt;"""")),
    CEILING.MATH(SEQUENCE(COUNTUNIQUE(D72:D11612)*10, 1, 1)/10
  )
)+4)"),45753.0)</f>
        <v>45753</v>
      </c>
      <c r="E112" s="66">
        <v>1.0</v>
      </c>
      <c r="F112" s="66" t="str">
        <f>IFERROR(__xludf.DUMMYFUNCTION("GOOGLETRANSLATE(A112,""en"",""pt"")"),"pegou")</f>
        <v>pegou</v>
      </c>
      <c r="G112" s="69"/>
    </row>
    <row r="113" ht="22.5" customHeight="1">
      <c r="A113" s="66" t="s">
        <v>354</v>
      </c>
      <c r="B113" s="67" t="str">
        <f t="shared" si="1"/>
        <v>M: We've</v>
      </c>
      <c r="C113" s="68"/>
      <c r="D113" s="68">
        <f>IFERROR(__xludf.DUMMYFUNCTION("ARRAYFORMULA(
  INDEX(
    UNIQUE(FILTER(D73:D11612, D73:D11612&lt;&gt;"""")),
    CEILING.MATH(SEQUENCE(COUNTUNIQUE(D73:D11612)*10, 1, 1)/10
  )
)+4)"),45753.0)</f>
        <v>45753</v>
      </c>
      <c r="E113" s="66">
        <v>2.0</v>
      </c>
      <c r="F113" s="66" t="str">
        <f>IFERROR(__xludf.DUMMYFUNCTION("GOOGLETRANSLATE(A113,""en"",""pt"")"),"Nós temos")</f>
        <v>Nós temos</v>
      </c>
      <c r="G113" s="69"/>
    </row>
    <row r="114" ht="22.5" customHeight="1">
      <c r="A114" s="66" t="s">
        <v>355</v>
      </c>
      <c r="B114" s="67" t="str">
        <f t="shared" si="1"/>
        <v>M: found out</v>
      </c>
      <c r="C114" s="68"/>
      <c r="D114" s="68">
        <f>IFERROR(__xludf.DUMMYFUNCTION("ARRAYFORMULA(
  INDEX(
    UNIQUE(FILTER(D74:D11612, D74:D11612&lt;&gt;"""")),
    CEILING.MATH(SEQUENCE(COUNTUNIQUE(D74:D11612)*10, 1, 1)/10
  )
)+4)"),45753.0)</f>
        <v>45753</v>
      </c>
      <c r="E114" s="66">
        <v>3.0</v>
      </c>
      <c r="F114" s="66" t="str">
        <f>IFERROR(__xludf.DUMMYFUNCTION("GOOGLETRANSLATE(A114,""en"",""pt"")"),"descobriu")</f>
        <v>descobriu</v>
      </c>
      <c r="G114" s="69"/>
    </row>
    <row r="115" ht="22.5" customHeight="1">
      <c r="A115" s="66" t="s">
        <v>356</v>
      </c>
      <c r="B115" s="67" t="str">
        <f t="shared" si="1"/>
        <v>M: refused</v>
      </c>
      <c r="C115" s="68"/>
      <c r="D115" s="68">
        <f>IFERROR(__xludf.DUMMYFUNCTION("ARRAYFORMULA(
  INDEX(
    UNIQUE(FILTER(D75:D11612, D75:D11612&lt;&gt;"""")),
    CEILING.MATH(SEQUENCE(COUNTUNIQUE(D75:D11612)*10, 1, 1)/10
  )
)+4)"),45753.0)</f>
        <v>45753</v>
      </c>
      <c r="E115" s="66">
        <v>4.0</v>
      </c>
      <c r="F115" s="66" t="str">
        <f>IFERROR(__xludf.DUMMYFUNCTION("GOOGLETRANSLATE(A115,""en"",""pt"")"),"recusado")</f>
        <v>recusado</v>
      </c>
      <c r="G115" s="69"/>
    </row>
    <row r="116" ht="22.5" customHeight="1">
      <c r="A116" s="66" t="s">
        <v>357</v>
      </c>
      <c r="B116" s="67" t="str">
        <f t="shared" si="1"/>
        <v>M: relented</v>
      </c>
      <c r="C116" s="68"/>
      <c r="D116" s="68">
        <f>IFERROR(__xludf.DUMMYFUNCTION("ARRAYFORMULA(
  INDEX(
    UNIQUE(FILTER(D76:D11612, D76:D11612&lt;&gt;"""")),
    CEILING.MATH(SEQUENCE(COUNTUNIQUE(D76:D11612)*10, 1, 1)/10
  )
)+4)"),45753.0)</f>
        <v>45753</v>
      </c>
      <c r="E116" s="66">
        <v>5.0</v>
      </c>
      <c r="F116" s="66" t="str">
        <f>IFERROR(__xludf.DUMMYFUNCTION("GOOGLETRANSLATE(A116,""en"",""pt"")"),"cedeu")</f>
        <v>cedeu</v>
      </c>
      <c r="G116" s="69"/>
    </row>
    <row r="117" ht="22.5" customHeight="1">
      <c r="A117" s="66" t="s">
        <v>358</v>
      </c>
      <c r="B117" s="67" t="str">
        <f t="shared" si="1"/>
        <v>M: naively</v>
      </c>
      <c r="C117" s="68"/>
      <c r="D117" s="68">
        <f>IFERROR(__xludf.DUMMYFUNCTION("ARRAYFORMULA(
  INDEX(
    UNIQUE(FILTER(D77:D11612, D77:D11612&lt;&gt;"""")),
    CEILING.MATH(SEQUENCE(COUNTUNIQUE(D77:D11612)*10, 1, 1)/10
  )
)+4)"),45753.0)</f>
        <v>45753</v>
      </c>
      <c r="E117" s="66">
        <v>6.0</v>
      </c>
      <c r="F117" s="66" t="str">
        <f>IFERROR(__xludf.DUMMYFUNCTION("GOOGLETRANSLATE(A117,""en"",""pt"")"),"ingenuamente")</f>
        <v>ingenuamente</v>
      </c>
      <c r="G117" s="69"/>
    </row>
    <row r="118" ht="22.5" customHeight="1">
      <c r="A118" s="66" t="s">
        <v>359</v>
      </c>
      <c r="B118" s="67" t="str">
        <f t="shared" si="1"/>
        <v>M: being</v>
      </c>
      <c r="C118" s="68"/>
      <c r="D118" s="68">
        <f>IFERROR(__xludf.DUMMYFUNCTION("ARRAYFORMULA(
  INDEX(
    UNIQUE(FILTER(D78:D11612, D78:D11612&lt;&gt;"""")),
    CEILING.MATH(SEQUENCE(COUNTUNIQUE(D78:D11612)*10, 1, 1)/10
  )
)+4)"),45753.0)</f>
        <v>45753</v>
      </c>
      <c r="E118" s="66">
        <v>7.0</v>
      </c>
      <c r="F118" s="66" t="str">
        <f>IFERROR(__xludf.DUMMYFUNCTION("GOOGLETRANSLATE(A118,""en"",""pt"")"),"ser")</f>
        <v>ser</v>
      </c>
      <c r="G118" s="69"/>
    </row>
    <row r="119" ht="22.5" customHeight="1">
      <c r="A119" s="66" t="s">
        <v>360</v>
      </c>
      <c r="B119" s="67" t="str">
        <f t="shared" si="1"/>
        <v>M: deal with</v>
      </c>
      <c r="C119" s="68"/>
      <c r="D119" s="68">
        <f>IFERROR(__xludf.DUMMYFUNCTION("ARRAYFORMULA(
  INDEX(
    UNIQUE(FILTER(D79:D11612, D79:D11612&lt;&gt;"""")),
    CEILING.MATH(SEQUENCE(COUNTUNIQUE(D79:D11612)*10, 1, 1)/10
  )
)+4)"),45753.0)</f>
        <v>45753</v>
      </c>
      <c r="E119" s="66">
        <v>8.0</v>
      </c>
      <c r="F119" s="66" t="str">
        <f>IFERROR(__xludf.DUMMYFUNCTION("GOOGLETRANSLATE(A119,""en"",""pt"")"),"tratar")</f>
        <v>tratar</v>
      </c>
      <c r="G119" s="69"/>
    </row>
    <row r="120" ht="22.5" customHeight="1">
      <c r="A120" s="66" t="s">
        <v>361</v>
      </c>
      <c r="B120" s="67" t="str">
        <f t="shared" si="1"/>
        <v>M: look into</v>
      </c>
      <c r="C120" s="68"/>
      <c r="D120" s="68">
        <f>IFERROR(__xludf.DUMMYFUNCTION("ARRAYFORMULA(
  INDEX(
    UNIQUE(FILTER(D80:D11612, D80:D11612&lt;&gt;"""")),
    CEILING.MATH(SEQUENCE(COUNTUNIQUE(D80:D11612)*10, 1, 1)/10
  )
)+4)"),45753.0)</f>
        <v>45753</v>
      </c>
      <c r="E120" s="66">
        <v>9.0</v>
      </c>
      <c r="F120" s="66" t="str">
        <f>IFERROR(__xludf.DUMMYFUNCTION("GOOGLETRANSLATE(A120,""en"",""pt"")"),"investigar")</f>
        <v>investigar</v>
      </c>
      <c r="G120" s="69"/>
    </row>
    <row r="121" ht="22.5" customHeight="1">
      <c r="A121" s="66" t="s">
        <v>362</v>
      </c>
      <c r="B121" s="67" t="str">
        <f t="shared" si="1"/>
        <v>M: seems</v>
      </c>
      <c r="C121" s="68"/>
      <c r="D121" s="68">
        <f>IFERROR(__xludf.DUMMYFUNCTION("ARRAYFORMULA(
  INDEX(
    UNIQUE(FILTER(D81:D11612, D81:D11612&lt;&gt;"""")),
    CEILING.MATH(SEQUENCE(COUNTUNIQUE(D81:D11612)*10, 1, 1)/10
  )
)+4)"),45753.0)</f>
        <v>45753</v>
      </c>
      <c r="E121" s="66">
        <v>10.0</v>
      </c>
      <c r="F121" s="66" t="str">
        <f>IFERROR(__xludf.DUMMYFUNCTION("GOOGLETRANSLATE(A121,""en"",""pt"")"),"parece")</f>
        <v>parece</v>
      </c>
      <c r="G121" s="69"/>
    </row>
    <row r="122" ht="22.5" customHeight="1">
      <c r="A122" s="66" t="s">
        <v>363</v>
      </c>
      <c r="B122" s="67" t="str">
        <f t="shared" si="1"/>
        <v>M: couldn’t</v>
      </c>
      <c r="C122" s="68"/>
      <c r="D122" s="68">
        <f>IFERROR(__xludf.DUMMYFUNCTION("ARRAYFORMULA(
  INDEX(
    UNIQUE(FILTER(D82:D11612, D82:D11612&lt;&gt;"""")),
    CEILING.MATH(SEQUENCE(COUNTUNIQUE(D82:D11612)*10, 1, 1)/10
  )
)+4)"),45754.0)</f>
        <v>45754</v>
      </c>
      <c r="E122" s="66">
        <v>1.0</v>
      </c>
      <c r="F122" s="66" t="str">
        <f>IFERROR(__xludf.DUMMYFUNCTION("GOOGLETRANSLATE(A122,""en"",""pt"")"),"não poderia")</f>
        <v>não poderia</v>
      </c>
      <c r="G122" s="69"/>
    </row>
    <row r="123" ht="22.5" customHeight="1">
      <c r="A123" s="66" t="s">
        <v>364</v>
      </c>
      <c r="B123" s="67" t="str">
        <f t="shared" si="1"/>
        <v>M: wanted</v>
      </c>
      <c r="C123" s="68"/>
      <c r="D123" s="68">
        <f>IFERROR(__xludf.DUMMYFUNCTION("ARRAYFORMULA(
  INDEX(
    UNIQUE(FILTER(D83:D11612, D83:D11612&lt;&gt;"""")),
    CEILING.MATH(SEQUENCE(COUNTUNIQUE(D83:D11612)*10, 1, 1)/10
  )
)+4)"),45754.0)</f>
        <v>45754</v>
      </c>
      <c r="E123" s="66">
        <v>2.0</v>
      </c>
      <c r="F123" s="66" t="str">
        <f>IFERROR(__xludf.DUMMYFUNCTION("GOOGLETRANSLATE(A123,""en"",""pt"")"),"desejado")</f>
        <v>desejado</v>
      </c>
      <c r="G123" s="69"/>
    </row>
    <row r="124" ht="22.5" customHeight="1">
      <c r="A124" s="66" t="s">
        <v>365</v>
      </c>
      <c r="B124" s="67" t="str">
        <f t="shared" si="1"/>
        <v>M: figure out</v>
      </c>
      <c r="C124" s="68"/>
      <c r="D124" s="68">
        <f>IFERROR(__xludf.DUMMYFUNCTION("ARRAYFORMULA(
  INDEX(
    UNIQUE(FILTER(D84:D11612, D84:D11612&lt;&gt;"""")),
    CEILING.MATH(SEQUENCE(COUNTUNIQUE(D84:D11612)*10, 1, 1)/10
  )
)+4)"),45754.0)</f>
        <v>45754</v>
      </c>
      <c r="E124" s="66">
        <v>3.0</v>
      </c>
      <c r="F124" s="66" t="str">
        <f>IFERROR(__xludf.DUMMYFUNCTION("GOOGLETRANSLATE(A124,""en"",""pt"")"),"descobrir")</f>
        <v>descobrir</v>
      </c>
      <c r="G124" s="69"/>
    </row>
    <row r="125" ht="22.5" customHeight="1">
      <c r="A125" s="66" t="s">
        <v>366</v>
      </c>
      <c r="B125" s="67" t="str">
        <f t="shared" si="1"/>
        <v>M: entire</v>
      </c>
      <c r="C125" s="68"/>
      <c r="D125" s="68">
        <f>IFERROR(__xludf.DUMMYFUNCTION("ARRAYFORMULA(
  INDEX(
    UNIQUE(FILTER(D85:D11612, D85:D11612&lt;&gt;"""")),
    CEILING.MATH(SEQUENCE(COUNTUNIQUE(D85:D11612)*10, 1, 1)/10
  )
)+4)"),45754.0)</f>
        <v>45754</v>
      </c>
      <c r="E125" s="66">
        <v>4.0</v>
      </c>
      <c r="F125" s="66" t="str">
        <f>IFERROR(__xludf.DUMMYFUNCTION("GOOGLETRANSLATE(A125,""en"",""pt"")"),"inteiro")</f>
        <v>inteiro</v>
      </c>
      <c r="G125" s="69"/>
    </row>
    <row r="126" ht="22.5" customHeight="1">
      <c r="A126" s="66" t="s">
        <v>367</v>
      </c>
      <c r="B126" s="67" t="str">
        <f t="shared" si="1"/>
        <v>M: work out</v>
      </c>
      <c r="C126" s="68"/>
      <c r="D126" s="68">
        <f>IFERROR(__xludf.DUMMYFUNCTION("ARRAYFORMULA(
  INDEX(
    UNIQUE(FILTER(D86:D11612, D86:D11612&lt;&gt;"""")),
    CEILING.MATH(SEQUENCE(COUNTUNIQUE(D86:D11612)*10, 1, 1)/10
  )
)+4)"),45754.0)</f>
        <v>45754</v>
      </c>
      <c r="E126" s="66">
        <v>5.0</v>
      </c>
      <c r="F126" s="66" t="str">
        <f>IFERROR(__xludf.DUMMYFUNCTION("GOOGLETRANSLATE(A126,""en"",""pt"")"),"dar certo")</f>
        <v>dar certo</v>
      </c>
      <c r="G126" s="69"/>
    </row>
    <row r="127" ht="22.5" customHeight="1">
      <c r="A127" s="66" t="s">
        <v>368</v>
      </c>
      <c r="B127" s="67" t="str">
        <f t="shared" si="1"/>
        <v>M: taking</v>
      </c>
      <c r="C127" s="68"/>
      <c r="D127" s="68">
        <f>IFERROR(__xludf.DUMMYFUNCTION("ARRAYFORMULA(
  INDEX(
    UNIQUE(FILTER(D87:D11612, D87:D11612&lt;&gt;"""")),
    CEILING.MATH(SEQUENCE(COUNTUNIQUE(D87:D11612)*10, 1, 1)/10
  )
)+4)"),45754.0)</f>
        <v>45754</v>
      </c>
      <c r="E127" s="66">
        <v>6.0</v>
      </c>
      <c r="F127" s="66" t="str">
        <f>IFERROR(__xludf.DUMMYFUNCTION("GOOGLETRANSLATE(A127,""en"",""pt"")"),"tirando")</f>
        <v>tirando</v>
      </c>
      <c r="G127" s="69"/>
    </row>
    <row r="128" ht="22.5" customHeight="1">
      <c r="A128" s="66" t="s">
        <v>369</v>
      </c>
      <c r="B128" s="67" t="str">
        <f t="shared" si="1"/>
        <v>M: dropping in</v>
      </c>
      <c r="C128" s="66">
        <v>1.0</v>
      </c>
      <c r="D128" s="68">
        <f>IFERROR(__xludf.DUMMYFUNCTION("ARRAYFORMULA(
  INDEX(
    UNIQUE(FILTER(D88:D11612, D88:D11612&lt;&gt;"""")),
    CEILING.MATH(SEQUENCE(COUNTUNIQUE(D88:D11612)*10, 1, 1)/10
  )
)+4)"),45754.0)</f>
        <v>45754</v>
      </c>
      <c r="E128" s="66">
        <v>7.0</v>
      </c>
      <c r="F128" s="66" t="str">
        <f>IFERROR(__xludf.DUMMYFUNCTION("GOOGLETRANSLATE(A128,""en"",""pt"")"),"entrando")</f>
        <v>entrando</v>
      </c>
      <c r="G128" s="66" t="s">
        <v>247</v>
      </c>
    </row>
    <row r="129" ht="22.5" customHeight="1">
      <c r="A129" s="66" t="s">
        <v>370</v>
      </c>
      <c r="B129" s="67" t="str">
        <f t="shared" si="1"/>
        <v>M: wasn’t</v>
      </c>
      <c r="C129" s="68"/>
      <c r="D129" s="68">
        <f>IFERROR(__xludf.DUMMYFUNCTION("ARRAYFORMULA(
  INDEX(
    UNIQUE(FILTER(D89:D11612, D89:D11612&lt;&gt;"""")),
    CEILING.MATH(SEQUENCE(COUNTUNIQUE(D89:D11612)*10, 1, 1)/10
  )
)+4)"),45754.0)</f>
        <v>45754</v>
      </c>
      <c r="E129" s="66">
        <v>8.0</v>
      </c>
      <c r="F129" s="66" t="str">
        <f>IFERROR(__xludf.DUMMYFUNCTION("GOOGLETRANSLATE(A129,""en"",""pt"")"),"não era")</f>
        <v>não era</v>
      </c>
      <c r="G129" s="69"/>
    </row>
    <row r="130" ht="22.5" customHeight="1">
      <c r="A130" s="66" t="s">
        <v>371</v>
      </c>
      <c r="B130" s="67" t="str">
        <f t="shared" si="1"/>
        <v>M: stumbled into</v>
      </c>
      <c r="C130" s="68"/>
      <c r="D130" s="68">
        <f>IFERROR(__xludf.DUMMYFUNCTION("ARRAYFORMULA(
  INDEX(
    UNIQUE(FILTER(D90:D11612, D90:D11612&lt;&gt;"""")),
    CEILING.MATH(SEQUENCE(COUNTUNIQUE(D90:D11612)*10, 1, 1)/10
  )
)+4)"),45754.0)</f>
        <v>45754</v>
      </c>
      <c r="E130" s="66">
        <v>9.0</v>
      </c>
      <c r="F130" s="66" t="str">
        <f>IFERROR(__xludf.DUMMYFUNCTION("GOOGLETRANSLATE(A130,""en"",""pt"")"),"tropeçou em")</f>
        <v>tropeçou em</v>
      </c>
      <c r="G130" s="69"/>
    </row>
    <row r="131" ht="22.5" customHeight="1">
      <c r="A131" s="66" t="s">
        <v>372</v>
      </c>
      <c r="B131" s="67" t="str">
        <f t="shared" si="1"/>
        <v>M: priceless</v>
      </c>
      <c r="C131" s="68"/>
      <c r="D131" s="68">
        <f>IFERROR(__xludf.DUMMYFUNCTION("ARRAYFORMULA(
  INDEX(
    UNIQUE(FILTER(D91:D11612, D91:D11612&lt;&gt;"""")),
    CEILING.MATH(SEQUENCE(COUNTUNIQUE(D91:D11612)*10, 1, 1)/10
  )
)+4)"),45754.0)</f>
        <v>45754</v>
      </c>
      <c r="E131" s="66">
        <v>10.0</v>
      </c>
      <c r="F131" s="66" t="str">
        <f>IFERROR(__xludf.DUMMYFUNCTION("GOOGLETRANSLATE(A131,""en"",""pt"")"),"inestimável")</f>
        <v>inestimável</v>
      </c>
      <c r="G131" s="69"/>
    </row>
    <row r="132" ht="22.5" customHeight="1">
      <c r="A132" s="66" t="s">
        <v>373</v>
      </c>
      <c r="B132" s="67" t="str">
        <f t="shared" si="1"/>
        <v>M: offered</v>
      </c>
      <c r="C132" s="68"/>
      <c r="D132" s="68">
        <f>IFERROR(__xludf.DUMMYFUNCTION("ARRAYFORMULA(
  INDEX(
    UNIQUE(FILTER(D92:D11612, D92:D11612&lt;&gt;"""")),
    CEILING.MATH(SEQUENCE(COUNTUNIQUE(D92:D11612)*10, 1, 1)/10
  )
)+4)"),45755.0)</f>
        <v>45755</v>
      </c>
      <c r="E132" s="66">
        <v>1.0</v>
      </c>
      <c r="F132" s="66" t="str">
        <f>IFERROR(__xludf.DUMMYFUNCTION("GOOGLETRANSLATE(A132,""en"",""pt"")"),"oferecido")</f>
        <v>oferecido</v>
      </c>
      <c r="G132" s="69"/>
    </row>
    <row r="133" ht="22.5" customHeight="1">
      <c r="A133" s="66" t="s">
        <v>374</v>
      </c>
      <c r="B133" s="67" t="str">
        <f t="shared" si="1"/>
        <v>M: perhaps</v>
      </c>
      <c r="C133" s="68"/>
      <c r="D133" s="68">
        <f>IFERROR(__xludf.DUMMYFUNCTION("ARRAYFORMULA(
  INDEX(
    UNIQUE(FILTER(D93:D11612, D93:D11612&lt;&gt;"""")),
    CEILING.MATH(SEQUENCE(COUNTUNIQUE(D93:D11612)*10, 1, 1)/10
  )
)+4)"),45755.0)</f>
        <v>45755</v>
      </c>
      <c r="E133" s="66">
        <v>2.0</v>
      </c>
      <c r="F133" s="66" t="str">
        <f>IFERROR(__xludf.DUMMYFUNCTION("GOOGLETRANSLATE(A133,""en"",""pt"")"),"talvez")</f>
        <v>talvez</v>
      </c>
      <c r="G133" s="69"/>
    </row>
    <row r="134" ht="22.5" customHeight="1">
      <c r="A134" s="66" t="s">
        <v>375</v>
      </c>
      <c r="B134" s="67" t="str">
        <f t="shared" si="1"/>
        <v>M: Throughout</v>
      </c>
      <c r="C134" s="68"/>
      <c r="D134" s="68">
        <f>IFERROR(__xludf.DUMMYFUNCTION("ARRAYFORMULA(
  INDEX(
    UNIQUE(FILTER(D94:D11612, D94:D11612&lt;&gt;"""")),
    CEILING.MATH(SEQUENCE(COUNTUNIQUE(D94:D11612)*10, 1, 1)/10
  )
)+4)"),45755.0)</f>
        <v>45755</v>
      </c>
      <c r="E134" s="66">
        <v>3.0</v>
      </c>
      <c r="F134" s="66" t="str">
        <f>IFERROR(__xludf.DUMMYFUNCTION("GOOGLETRANSLATE(A134,""en"",""pt"")"),"Por todo")</f>
        <v>Por todo</v>
      </c>
      <c r="G134" s="69"/>
    </row>
    <row r="135" ht="22.5" customHeight="1">
      <c r="A135" s="66" t="s">
        <v>376</v>
      </c>
      <c r="B135" s="67" t="str">
        <f t="shared" si="1"/>
        <v>M: beautifully</v>
      </c>
      <c r="C135" s="68"/>
      <c r="D135" s="68">
        <f>IFERROR(__xludf.DUMMYFUNCTION("ARRAYFORMULA(
  INDEX(
    UNIQUE(FILTER(D95:D11612, D95:D11612&lt;&gt;"""")),
    CEILING.MATH(SEQUENCE(COUNTUNIQUE(D95:D11612)*10, 1, 1)/10
  )
)+4)"),45755.0)</f>
        <v>45755</v>
      </c>
      <c r="E135" s="66">
        <v>4.0</v>
      </c>
      <c r="F135" s="66" t="str">
        <f>IFERROR(__xludf.DUMMYFUNCTION("GOOGLETRANSLATE(A135,""en"",""pt"")"),"lindamente")</f>
        <v>lindamente</v>
      </c>
      <c r="G135" s="69"/>
    </row>
    <row r="136" ht="22.5" customHeight="1">
      <c r="A136" s="66" t="s">
        <v>377</v>
      </c>
      <c r="B136" s="67" t="str">
        <f t="shared" si="1"/>
        <v>M: didn’t</v>
      </c>
      <c r="C136" s="68"/>
      <c r="D136" s="68">
        <f>IFERROR(__xludf.DUMMYFUNCTION("ARRAYFORMULA(
  INDEX(
    UNIQUE(FILTER(D96:D11612, D96:D11612&lt;&gt;"""")),
    CEILING.MATH(SEQUENCE(COUNTUNIQUE(D96:D11612)*10, 1, 1)/10
  )
)+4)"),45755.0)</f>
        <v>45755</v>
      </c>
      <c r="E136" s="66">
        <v>5.0</v>
      </c>
      <c r="F136" s="66" t="str">
        <f>IFERROR(__xludf.DUMMYFUNCTION("GOOGLETRANSLATE(A136,""en"",""pt"")"),"não")</f>
        <v>não</v>
      </c>
      <c r="G136" s="69"/>
    </row>
    <row r="137" ht="22.5" customHeight="1">
      <c r="A137" s="66" t="s">
        <v>378</v>
      </c>
      <c r="B137" s="67" t="str">
        <f t="shared" si="1"/>
        <v>M: decided</v>
      </c>
      <c r="C137" s="68"/>
      <c r="D137" s="68">
        <f>IFERROR(__xludf.DUMMYFUNCTION("ARRAYFORMULA(
  INDEX(
    UNIQUE(FILTER(D97:D11612, D97:D11612&lt;&gt;"""")),
    CEILING.MATH(SEQUENCE(COUNTUNIQUE(D97:D11612)*10, 1, 1)/10
  )
)+4)"),45755.0)</f>
        <v>45755</v>
      </c>
      <c r="E137" s="66">
        <v>6.0</v>
      </c>
      <c r="F137" s="66" t="str">
        <f>IFERROR(__xludf.DUMMYFUNCTION("GOOGLETRANSLATE(A137,""en"",""pt"")"),"decidido")</f>
        <v>decidido</v>
      </c>
      <c r="G137" s="69"/>
    </row>
    <row r="138" ht="22.5" customHeight="1">
      <c r="A138" s="66" t="s">
        <v>379</v>
      </c>
      <c r="B138" s="67" t="str">
        <f t="shared" si="1"/>
        <v>M: varying</v>
      </c>
      <c r="C138" s="68"/>
      <c r="D138" s="68">
        <f>IFERROR(__xludf.DUMMYFUNCTION("ARRAYFORMULA(
  INDEX(
    UNIQUE(FILTER(D98:D11612, D98:D11612&lt;&gt;"""")),
    CEILING.MATH(SEQUENCE(COUNTUNIQUE(D98:D11612)*10, 1, 1)/10
  )
)+4)"),45755.0)</f>
        <v>45755</v>
      </c>
      <c r="E138" s="66">
        <v>7.0</v>
      </c>
      <c r="F138" s="66" t="str">
        <f>IFERROR(__xludf.DUMMYFUNCTION("GOOGLETRANSLATE(A138,""en"",""pt"")"),"variando")</f>
        <v>variando</v>
      </c>
      <c r="G138" s="69"/>
    </row>
    <row r="139" ht="22.5" customHeight="1">
      <c r="A139" s="66" t="s">
        <v>380</v>
      </c>
      <c r="B139" s="67" t="str">
        <f t="shared" si="1"/>
        <v>M: subtle</v>
      </c>
      <c r="C139" s="68"/>
      <c r="D139" s="68">
        <f>IFERROR(__xludf.DUMMYFUNCTION("ARRAYFORMULA(
  INDEX(
    UNIQUE(FILTER(D99:D11612, D99:D11612&lt;&gt;"""")),
    CEILING.MATH(SEQUENCE(COUNTUNIQUE(D99:D11612)*10, 1, 1)/10
  )
)+4)"),45755.0)</f>
        <v>45755</v>
      </c>
      <c r="E139" s="66">
        <v>8.0</v>
      </c>
      <c r="F139" s="66" t="str">
        <f>IFERROR(__xludf.DUMMYFUNCTION("GOOGLETRANSLATE(A139,""en"",""pt"")"),"sutil")</f>
        <v>sutil</v>
      </c>
      <c r="G139" s="69"/>
    </row>
    <row r="140" ht="22.5" customHeight="1">
      <c r="A140" s="66" t="s">
        <v>381</v>
      </c>
      <c r="B140" s="67" t="str">
        <f t="shared" si="1"/>
        <v>M: can't</v>
      </c>
      <c r="C140" s="68"/>
      <c r="D140" s="68">
        <f>IFERROR(__xludf.DUMMYFUNCTION("ARRAYFORMULA(
  INDEX(
    UNIQUE(FILTER(D100:D11612, D100:D11612&lt;&gt;"""")),
    CEILING.MATH(SEQUENCE(COUNTUNIQUE(D100:D11612)*10, 1, 1)/10
  )
)+4)"),45755.0)</f>
        <v>45755</v>
      </c>
      <c r="E140" s="66">
        <v>9.0</v>
      </c>
      <c r="F140" s="66" t="str">
        <f>IFERROR(__xludf.DUMMYFUNCTION("GOOGLETRANSLATE(A140,""en"",""pt"")"),"não pode")</f>
        <v>não pode</v>
      </c>
      <c r="G140" s="69"/>
    </row>
    <row r="141" ht="22.5" customHeight="1">
      <c r="A141" s="66" t="s">
        <v>382</v>
      </c>
      <c r="B141" s="67" t="str">
        <f t="shared" si="1"/>
        <v>M: came</v>
      </c>
      <c r="C141" s="68"/>
      <c r="D141" s="68">
        <f>IFERROR(__xludf.DUMMYFUNCTION("ARRAYFORMULA(
  INDEX(
    UNIQUE(FILTER(D101:D11612, D101:D11612&lt;&gt;"""")),
    CEILING.MATH(SEQUENCE(COUNTUNIQUE(D101:D11612)*10, 1, 1)/10
  )
)+4)"),45755.0)</f>
        <v>45755</v>
      </c>
      <c r="E141" s="66">
        <v>10.0</v>
      </c>
      <c r="F141" s="66" t="str">
        <f>IFERROR(__xludf.DUMMYFUNCTION("GOOGLETRANSLATE(A141,""en"",""pt"")"),"veio")</f>
        <v>veio</v>
      </c>
      <c r="G141" s="69"/>
    </row>
    <row r="142" ht="22.5" customHeight="1">
      <c r="A142" s="66" t="s">
        <v>383</v>
      </c>
      <c r="B142" s="67" t="str">
        <f t="shared" si="1"/>
        <v>M: proportionally</v>
      </c>
      <c r="C142" s="68"/>
      <c r="D142" s="68">
        <f>IFERROR(__xludf.DUMMYFUNCTION("ARRAYFORMULA(
  INDEX(
    UNIQUE(FILTER(D102:D11612, D102:D11612&lt;&gt;"""")),
    CEILING.MATH(SEQUENCE(COUNTUNIQUE(D102:D11612)*10, 1, 1)/10
  )
)+4)"),45756.0)</f>
        <v>45756</v>
      </c>
      <c r="E142" s="66">
        <v>1.0</v>
      </c>
      <c r="F142" s="66" t="str">
        <f>IFERROR(__xludf.DUMMYFUNCTION("GOOGLETRANSLATE(A142,""en"",""pt"")"),"proporcionalmente")</f>
        <v>proporcionalmente</v>
      </c>
      <c r="G142" s="69"/>
    </row>
    <row r="143" ht="22.5" customHeight="1">
      <c r="A143" s="66" t="s">
        <v>384</v>
      </c>
      <c r="B143" s="67" t="str">
        <f t="shared" si="1"/>
        <v>M: likely</v>
      </c>
      <c r="C143" s="68"/>
      <c r="D143" s="68">
        <f>IFERROR(__xludf.DUMMYFUNCTION("ARRAYFORMULA(
  INDEX(
    UNIQUE(FILTER(D103:D11612, D103:D11612&lt;&gt;"""")),
    CEILING.MATH(SEQUENCE(COUNTUNIQUE(D103:D11612)*10, 1, 1)/10
  )
)+4)"),45756.0)</f>
        <v>45756</v>
      </c>
      <c r="E143" s="66">
        <v>2.0</v>
      </c>
      <c r="F143" s="66" t="str">
        <f>IFERROR(__xludf.DUMMYFUNCTION("GOOGLETRANSLATE(A143,""en"",""pt"")"),"provável")</f>
        <v>provável</v>
      </c>
      <c r="G143" s="69"/>
    </row>
    <row r="144" ht="22.5" customHeight="1">
      <c r="A144" s="66" t="s">
        <v>385</v>
      </c>
      <c r="B144" s="67" t="str">
        <f t="shared" si="1"/>
        <v>M: Of course</v>
      </c>
      <c r="C144" s="68"/>
      <c r="D144" s="68">
        <f>IFERROR(__xludf.DUMMYFUNCTION("ARRAYFORMULA(
  INDEX(
    UNIQUE(FILTER(D104:D11612, D104:D11612&lt;&gt;"""")),
    CEILING.MATH(SEQUENCE(COUNTUNIQUE(D104:D11612)*10, 1, 1)/10
  )
)+4)"),45756.0)</f>
        <v>45756</v>
      </c>
      <c r="E144" s="66">
        <v>3.0</v>
      </c>
      <c r="F144" s="66" t="str">
        <f>IFERROR(__xludf.DUMMYFUNCTION("GOOGLETRANSLATE(A144,""en"",""pt"")"),"Claro")</f>
        <v>Claro</v>
      </c>
      <c r="G144" s="69"/>
    </row>
    <row r="145" ht="22.5" customHeight="1">
      <c r="A145" s="66" t="s">
        <v>386</v>
      </c>
      <c r="B145" s="67" t="str">
        <f t="shared" si="1"/>
        <v>M: backwards</v>
      </c>
      <c r="C145" s="68"/>
      <c r="D145" s="68">
        <f>IFERROR(__xludf.DUMMYFUNCTION("ARRAYFORMULA(
  INDEX(
    UNIQUE(FILTER(D105:D11612, D105:D11612&lt;&gt;"""")),
    CEILING.MATH(SEQUENCE(COUNTUNIQUE(D105:D11612)*10, 1, 1)/10
  )
)+4)"),45756.0)</f>
        <v>45756</v>
      </c>
      <c r="E145" s="66">
        <v>4.0</v>
      </c>
      <c r="F145" s="66" t="str">
        <f>IFERROR(__xludf.DUMMYFUNCTION("GOOGLETRANSLATE(A145,""en"",""pt"")"),"para trás")</f>
        <v>para trás</v>
      </c>
      <c r="G145" s="69"/>
    </row>
    <row r="146" ht="22.5" customHeight="1">
      <c r="A146" s="66" t="s">
        <v>387</v>
      </c>
      <c r="B146" s="67" t="str">
        <f t="shared" si="1"/>
        <v>M: can’t</v>
      </c>
      <c r="C146" s="68"/>
      <c r="D146" s="68">
        <f>IFERROR(__xludf.DUMMYFUNCTION("ARRAYFORMULA(
  INDEX(
    UNIQUE(FILTER(D106:D11612, D106:D11612&lt;&gt;"""")),
    CEILING.MATH(SEQUENCE(COUNTUNIQUE(D106:D11612)*10, 1, 1)/10
  )
)+4)"),45756.0)</f>
        <v>45756</v>
      </c>
      <c r="E146" s="66">
        <v>5.0</v>
      </c>
      <c r="F146" s="66" t="str">
        <f>IFERROR(__xludf.DUMMYFUNCTION("GOOGLETRANSLATE(A146,""en"",""pt"")"),"não pode")</f>
        <v>não pode</v>
      </c>
      <c r="G146" s="69"/>
    </row>
    <row r="147" ht="22.5" customHeight="1">
      <c r="A147" s="66" t="s">
        <v>388</v>
      </c>
      <c r="B147" s="67" t="str">
        <f t="shared" si="1"/>
        <v>M: forward</v>
      </c>
      <c r="C147" s="66">
        <v>1.0</v>
      </c>
      <c r="D147" s="68">
        <f>IFERROR(__xludf.DUMMYFUNCTION("ARRAYFORMULA(
  INDEX(
    UNIQUE(FILTER(D107:D11612, D107:D11612&lt;&gt;"""")),
    CEILING.MATH(SEQUENCE(COUNTUNIQUE(D107:D11612)*10, 1, 1)/10
  )
)+4)"),45756.0)</f>
        <v>45756</v>
      </c>
      <c r="E147" s="66">
        <v>6.0</v>
      </c>
      <c r="F147" s="71" t="s">
        <v>389</v>
      </c>
      <c r="G147" s="66" t="s">
        <v>247</v>
      </c>
    </row>
    <row r="148" ht="22.5" customHeight="1">
      <c r="A148" s="66" t="s">
        <v>390</v>
      </c>
      <c r="B148" s="67" t="str">
        <f t="shared" si="1"/>
        <v>M: somehow</v>
      </c>
      <c r="C148" s="68"/>
      <c r="D148" s="68">
        <f>IFERROR(__xludf.DUMMYFUNCTION("ARRAYFORMULA(
  INDEX(
    UNIQUE(FILTER(D108:D11612, D108:D11612&lt;&gt;"""")),
    CEILING.MATH(SEQUENCE(COUNTUNIQUE(D108:D11612)*10, 1, 1)/10
  )
)+4)"),45756.0)</f>
        <v>45756</v>
      </c>
      <c r="E148" s="66">
        <v>7.0</v>
      </c>
      <c r="F148" s="66" t="str">
        <f>IFERROR(__xludf.DUMMYFUNCTION("GOOGLETRANSLATE(A148,""en"",""pt"")"),"de alguma forma")</f>
        <v>de alguma forma</v>
      </c>
      <c r="G148" s="69"/>
    </row>
    <row r="149" ht="22.5" customHeight="1">
      <c r="A149" s="66" t="s">
        <v>391</v>
      </c>
      <c r="B149" s="67" t="str">
        <f t="shared" si="1"/>
        <v>M: whatever</v>
      </c>
      <c r="C149" s="68"/>
      <c r="D149" s="68">
        <f>IFERROR(__xludf.DUMMYFUNCTION("ARRAYFORMULA(
  INDEX(
    UNIQUE(FILTER(D109:D11612, D109:D11612&lt;&gt;"""")),
    CEILING.MATH(SEQUENCE(COUNTUNIQUE(D109:D11612)*10, 1, 1)/10
  )
)+4)"),45756.0)</f>
        <v>45756</v>
      </c>
      <c r="E149" s="66">
        <v>8.0</v>
      </c>
      <c r="F149" s="66" t="str">
        <f>IFERROR(__xludf.DUMMYFUNCTION("GOOGLETRANSLATE(A149,""en"",""pt"")"),"qualquer que seja")</f>
        <v>qualquer que seja</v>
      </c>
      <c r="G149" s="69"/>
    </row>
    <row r="150" ht="22.5" customHeight="1">
      <c r="A150" s="66" t="s">
        <v>392</v>
      </c>
      <c r="B150" s="67" t="str">
        <f t="shared" si="1"/>
        <v>M: down the road</v>
      </c>
      <c r="C150" s="68"/>
      <c r="D150" s="68">
        <f>IFERROR(__xludf.DUMMYFUNCTION("ARRAYFORMULA(
  INDEX(
    UNIQUE(FILTER(D110:D11612, D110:D11612&lt;&gt;"""")),
    CEILING.MATH(SEQUENCE(COUNTUNIQUE(D110:D11612)*10, 1, 1)/10
  )
)+4)"),45756.0)</f>
        <v>45756</v>
      </c>
      <c r="E150" s="66">
        <v>9.0</v>
      </c>
      <c r="F150" s="66" t="str">
        <f>IFERROR(__xludf.DUMMYFUNCTION("GOOGLETRANSLATE(A150,""en"",""pt"")"),"mais adiante na estrada")</f>
        <v>mais adiante na estrada</v>
      </c>
      <c r="G150" s="69"/>
    </row>
    <row r="151" ht="22.5" customHeight="1">
      <c r="A151" s="66" t="s">
        <v>393</v>
      </c>
      <c r="B151" s="67" t="str">
        <f t="shared" si="1"/>
        <v>M: confidence</v>
      </c>
      <c r="C151" s="66">
        <v>1.0</v>
      </c>
      <c r="D151" s="68">
        <f>IFERROR(__xludf.DUMMYFUNCTION("ARRAYFORMULA(
  INDEX(
    UNIQUE(FILTER(D111:D11612, D111:D11612&lt;&gt;"""")),
    CEILING.MATH(SEQUENCE(COUNTUNIQUE(D111:D11612)*10, 1, 1)/10
  )
)+4)"),45756.0)</f>
        <v>45756</v>
      </c>
      <c r="E151" s="66">
        <v>10.0</v>
      </c>
      <c r="F151" s="66" t="s">
        <v>394</v>
      </c>
      <c r="G151" s="66" t="s">
        <v>247</v>
      </c>
    </row>
    <row r="152" ht="22.5" customHeight="1">
      <c r="A152" s="66" t="s">
        <v>395</v>
      </c>
      <c r="B152" s="67" t="str">
        <f t="shared" si="1"/>
        <v>M: going through</v>
      </c>
      <c r="C152" s="68"/>
      <c r="D152" s="68">
        <f>IFERROR(__xludf.DUMMYFUNCTION("ARRAYFORMULA(
  INDEX(
    UNIQUE(FILTER(D112:D11612, D112:D11612&lt;&gt;"""")),
    CEILING.MATH(SEQUENCE(COUNTUNIQUE(D112:D11612)*10, 1, 1)/10
  )
)+4)"),45757.0)</f>
        <v>45757</v>
      </c>
      <c r="E152" s="66">
        <v>1.0</v>
      </c>
      <c r="F152" s="66" t="str">
        <f>IFERROR(__xludf.DUMMYFUNCTION("GOOGLETRANSLATE(A152,""en"",""pt"")"),"passando por")</f>
        <v>passando por</v>
      </c>
      <c r="G152" s="69"/>
    </row>
    <row r="153" ht="22.5" customHeight="1">
      <c r="A153" s="66" t="s">
        <v>396</v>
      </c>
      <c r="B153" s="67" t="str">
        <f t="shared" si="1"/>
        <v>M: we'd</v>
      </c>
      <c r="C153" s="68"/>
      <c r="D153" s="68">
        <f>IFERROR(__xludf.DUMMYFUNCTION("ARRAYFORMULA(
  INDEX(
    UNIQUE(FILTER(D113:D11612, D113:D11612&lt;&gt;"""")),
    CEILING.MATH(SEQUENCE(COUNTUNIQUE(D113:D11612)*10, 1, 1)/10
  )
)+4)"),45757.0)</f>
        <v>45757</v>
      </c>
      <c r="E153" s="66">
        <v>2.0</v>
      </c>
      <c r="F153" s="66" t="str">
        <f>IFERROR(__xludf.DUMMYFUNCTION("GOOGLETRANSLATE(A153,""en"",""pt"")"),"qua")</f>
        <v>qua</v>
      </c>
      <c r="G153" s="69"/>
    </row>
    <row r="154" ht="22.5" customHeight="1">
      <c r="A154" s="66" t="s">
        <v>397</v>
      </c>
      <c r="B154" s="67" t="str">
        <f t="shared" si="1"/>
        <v>M: released</v>
      </c>
      <c r="C154" s="68"/>
      <c r="D154" s="68">
        <f>IFERROR(__xludf.DUMMYFUNCTION("ARRAYFORMULA(
  INDEX(
    UNIQUE(FILTER(D114:D11612, D114:D11612&lt;&gt;"""")),
    CEILING.MATH(SEQUENCE(COUNTUNIQUE(D114:D11612)*10, 1, 1)/10
  )
)+4)"),45757.0)</f>
        <v>45757</v>
      </c>
      <c r="E154" s="66">
        <v>3.0</v>
      </c>
      <c r="F154" s="66" t="str">
        <f>IFERROR(__xludf.DUMMYFUNCTION("GOOGLETRANSLATE(A154,""en"",""pt"")"),"lançado")</f>
        <v>lançado</v>
      </c>
      <c r="G154" s="69"/>
    </row>
    <row r="155" ht="22.5" customHeight="1">
      <c r="A155" s="66" t="s">
        <v>398</v>
      </c>
      <c r="B155" s="67" t="str">
        <f t="shared" si="1"/>
        <v>M: got fired</v>
      </c>
      <c r="C155" s="68"/>
      <c r="D155" s="68">
        <f>IFERROR(__xludf.DUMMYFUNCTION("ARRAYFORMULA(
  INDEX(
    UNIQUE(FILTER(D115:D11612, D115:D11612&lt;&gt;"""")),
    CEILING.MATH(SEQUENCE(COUNTUNIQUE(D115:D11612)*10, 1, 1)/10
  )
)+4)"),45757.0)</f>
        <v>45757</v>
      </c>
      <c r="E155" s="66">
        <v>4.0</v>
      </c>
      <c r="F155" s="66" t="str">
        <f>IFERROR(__xludf.DUMMYFUNCTION("GOOGLETRANSLATE(A155,""en"",""pt"")"),"foi demitido")</f>
        <v>foi demitido</v>
      </c>
      <c r="G155" s="69"/>
    </row>
    <row r="156" ht="22.5" customHeight="1">
      <c r="A156" s="66" t="s">
        <v>399</v>
      </c>
      <c r="B156" s="67" t="str">
        <f t="shared" si="1"/>
        <v>M: hired</v>
      </c>
      <c r="C156" s="68"/>
      <c r="D156" s="68">
        <f>IFERROR(__xludf.DUMMYFUNCTION("ARRAYFORMULA(
  INDEX(
    UNIQUE(FILTER(D116:D11612, D116:D11612&lt;&gt;"""")),
    CEILING.MATH(SEQUENCE(COUNTUNIQUE(D116:D11612)*10, 1, 1)/10
  )
)+4)"),45757.0)</f>
        <v>45757</v>
      </c>
      <c r="E156" s="66">
        <v>5.0</v>
      </c>
      <c r="F156" s="66" t="str">
        <f>IFERROR(__xludf.DUMMYFUNCTION("GOOGLETRANSLATE(A156,""en"",""pt"")"),"contratado")</f>
        <v>contratado</v>
      </c>
      <c r="G156" s="69"/>
    </row>
    <row r="157" ht="22.5" customHeight="1">
      <c r="A157" s="66" t="s">
        <v>400</v>
      </c>
      <c r="B157" s="67" t="str">
        <f t="shared" si="1"/>
        <v>M: falling out</v>
      </c>
      <c r="C157" s="68"/>
      <c r="D157" s="68">
        <f>IFERROR(__xludf.DUMMYFUNCTION("ARRAYFORMULA(
  INDEX(
    UNIQUE(FILTER(D117:D11612, D117:D11612&lt;&gt;"""")),
    CEILING.MATH(SEQUENCE(COUNTUNIQUE(D117:D11612)*10, 1, 1)/10
  )
)+4)"),45757.0)</f>
        <v>45757</v>
      </c>
      <c r="E157" s="66">
        <v>6.0</v>
      </c>
      <c r="F157" s="66" t="str">
        <f>IFERROR(__xludf.DUMMYFUNCTION("GOOGLETRANSLATE(A157,""en"",""pt"")"),"caindo")</f>
        <v>caindo</v>
      </c>
      <c r="G157" s="69"/>
    </row>
    <row r="158" ht="22.5" customHeight="1">
      <c r="A158" s="66" t="s">
        <v>401</v>
      </c>
      <c r="B158" s="67" t="str">
        <f t="shared" si="1"/>
        <v>M: sided</v>
      </c>
      <c r="C158" s="68"/>
      <c r="D158" s="68">
        <f>IFERROR(__xludf.DUMMYFUNCTION("ARRAYFORMULA(
  INDEX(
    UNIQUE(FILTER(D118:D11612, D118:D11612&lt;&gt;"""")),
    CEILING.MATH(SEQUENCE(COUNTUNIQUE(D118:D11612)*10, 1, 1)/10
  )
)+4)"),45757.0)</f>
        <v>45757</v>
      </c>
      <c r="E158" s="66">
        <v>7.0</v>
      </c>
      <c r="F158" s="66" t="str">
        <f>IFERROR(__xludf.DUMMYFUNCTION("GOOGLETRANSLATE(A158,""en"",""pt"")"),"lado")</f>
        <v>lado</v>
      </c>
      <c r="G158" s="69"/>
    </row>
    <row r="159" ht="22.5" customHeight="1">
      <c r="A159" s="66" t="s">
        <v>402</v>
      </c>
      <c r="B159" s="67" t="str">
        <f t="shared" si="1"/>
        <v>M: publicly</v>
      </c>
      <c r="C159" s="68"/>
      <c r="D159" s="68">
        <f>IFERROR(__xludf.DUMMYFUNCTION("ARRAYFORMULA(
  INDEX(
    UNIQUE(FILTER(D119:D11612, D119:D11612&lt;&gt;"""")),
    CEILING.MATH(SEQUENCE(COUNTUNIQUE(D119:D11612)*10, 1, 1)/10
  )
)+4)"),45757.0)</f>
        <v>45757</v>
      </c>
      <c r="E159" s="66">
        <v>8.0</v>
      </c>
      <c r="F159" s="66" t="str">
        <f>IFERROR(__xludf.DUMMYFUNCTION("GOOGLETRANSLATE(A159,""en"",""pt"")"),"publicamente")</f>
        <v>publicamente</v>
      </c>
      <c r="G159" s="69"/>
    </row>
    <row r="160" ht="22.5" customHeight="1">
      <c r="A160" s="66" t="s">
        <v>403</v>
      </c>
      <c r="B160" s="67" t="str">
        <f t="shared" si="1"/>
        <v>M: hang out</v>
      </c>
      <c r="C160" s="68"/>
      <c r="D160" s="68">
        <f>IFERROR(__xludf.DUMMYFUNCTION("ARRAYFORMULA(
  INDEX(
    UNIQUE(FILTER(D120:D11612, D120:D11612&lt;&gt;"""")),
    CEILING.MATH(SEQUENCE(COUNTUNIQUE(D120:D11612)*10, 1, 1)/10
  )
)+4)"),45757.0)</f>
        <v>45757</v>
      </c>
      <c r="E160" s="66">
        <v>9.0</v>
      </c>
      <c r="F160" s="66" t="str">
        <f>IFERROR(__xludf.DUMMYFUNCTION("GOOGLETRANSLATE(A160,""en"",""pt"")"),"passar tempo junto")</f>
        <v>passar tempo junto</v>
      </c>
      <c r="G160" s="69"/>
    </row>
    <row r="161" ht="22.5" customHeight="1">
      <c r="A161" s="66" t="s">
        <v>404</v>
      </c>
      <c r="B161" s="67" t="str">
        <f t="shared" si="1"/>
        <v>M: caught up</v>
      </c>
      <c r="C161" s="68"/>
      <c r="D161" s="68">
        <f>IFERROR(__xludf.DUMMYFUNCTION("ARRAYFORMULA(
  INDEX(
    UNIQUE(FILTER(D121:D11612, D121:D11612&lt;&gt;"""")),
    CEILING.MATH(SEQUENCE(COUNTUNIQUE(D121:D11612)*10, 1, 1)/10
  )
)+4)"),45757.0)</f>
        <v>45757</v>
      </c>
      <c r="E161" s="66">
        <v>10.0</v>
      </c>
      <c r="F161" s="66" t="str">
        <f>IFERROR(__xludf.DUMMYFUNCTION("GOOGLETRANSLATE(A161,""en"",""pt"")"),"alcançado")</f>
        <v>alcançado</v>
      </c>
      <c r="G161" s="69"/>
    </row>
    <row r="162" ht="22.5" customHeight="1">
      <c r="A162" s="66" t="s">
        <v>405</v>
      </c>
      <c r="B162" s="67" t="str">
        <f t="shared" si="1"/>
        <v>M: didn't</v>
      </c>
      <c r="C162" s="68"/>
      <c r="D162" s="68">
        <f>IFERROR(__xludf.DUMMYFUNCTION("ARRAYFORMULA(
  INDEX(
    UNIQUE(FILTER(D122:D11612, D122:D11612&lt;&gt;"""")),
    CEILING.MATH(SEQUENCE(COUNTUNIQUE(D122:D11612)*10, 1, 1)/10
  )
)+4)"),45758.0)</f>
        <v>45758</v>
      </c>
      <c r="E162" s="66">
        <v>1.0</v>
      </c>
      <c r="F162" s="66" t="str">
        <f>IFERROR(__xludf.DUMMYFUNCTION("GOOGLETRANSLATE(A162,""en"",""pt"")"),"não")</f>
        <v>não</v>
      </c>
      <c r="G162" s="69"/>
    </row>
    <row r="163" ht="22.5" customHeight="1">
      <c r="A163" s="66" t="s">
        <v>406</v>
      </c>
      <c r="B163" s="67" t="str">
        <f t="shared" si="1"/>
        <v>M: I'd</v>
      </c>
      <c r="C163" s="68"/>
      <c r="D163" s="68">
        <f>IFERROR(__xludf.DUMMYFUNCTION("ARRAYFORMULA(
  INDEX(
    UNIQUE(FILTER(D123:D11612, D123:D11612&lt;&gt;"""")),
    CEILING.MATH(SEQUENCE(COUNTUNIQUE(D123:D11612)*10, 1, 1)/10
  )
)+4)"),45758.0)</f>
        <v>45758</v>
      </c>
      <c r="E163" s="66">
        <v>2.0</v>
      </c>
      <c r="F163" s="66" t="str">
        <f>IFERROR(__xludf.DUMMYFUNCTION("GOOGLETRANSLATE(A163,""en"",""pt"")"),"Eu ia")</f>
        <v>Eu ia</v>
      </c>
      <c r="G163" s="69"/>
    </row>
    <row r="164" ht="22.5" customHeight="1">
      <c r="A164" s="66" t="s">
        <v>407</v>
      </c>
      <c r="B164" s="67" t="str">
        <f t="shared" si="1"/>
        <v>M: let</v>
      </c>
      <c r="C164" s="68"/>
      <c r="D164" s="68">
        <f>IFERROR(__xludf.DUMMYFUNCTION("ARRAYFORMULA(
  INDEX(
    UNIQUE(FILTER(D124:D11612, D124:D11612&lt;&gt;"""")),
    CEILING.MATH(SEQUENCE(COUNTUNIQUE(D124:D11612)*10, 1, 1)/10
  )
)+4)"),45758.0)</f>
        <v>45758</v>
      </c>
      <c r="E164" s="66">
        <v>3.0</v>
      </c>
      <c r="F164" s="66" t="str">
        <f>IFERROR(__xludf.DUMMYFUNCTION("GOOGLETRANSLATE(A164,""en"",""pt"")"),"deixar")</f>
        <v>deixar</v>
      </c>
      <c r="G164" s="69"/>
    </row>
    <row r="165" ht="22.5" customHeight="1">
      <c r="A165" s="66" t="s">
        <v>408</v>
      </c>
      <c r="B165" s="67" t="str">
        <f t="shared" si="1"/>
        <v>M: screwing up</v>
      </c>
      <c r="C165" s="68"/>
      <c r="D165" s="68">
        <f>IFERROR(__xludf.DUMMYFUNCTION("ARRAYFORMULA(
  INDEX(
    UNIQUE(FILTER(D125:D11612, D125:D11612&lt;&gt;"""")),
    CEILING.MATH(SEQUENCE(COUNTUNIQUE(D125:D11612)*10, 1, 1)/10
  )
)+4)"),45758.0)</f>
        <v>45758</v>
      </c>
      <c r="E165" s="66">
        <v>4.0</v>
      </c>
      <c r="F165" s="66" t="str">
        <f>IFERROR(__xludf.DUMMYFUNCTION("GOOGLETRANSLATE(A165,""en"",""pt"")"),"estragando tudo")</f>
        <v>estragando tudo</v>
      </c>
      <c r="G165" s="69"/>
    </row>
    <row r="166" ht="22.5" customHeight="1">
      <c r="A166" s="66" t="s">
        <v>409</v>
      </c>
      <c r="B166" s="67" t="str">
        <f t="shared" si="1"/>
        <v>M: badly</v>
      </c>
      <c r="C166" s="68"/>
      <c r="D166" s="68">
        <f>IFERROR(__xludf.DUMMYFUNCTION("ARRAYFORMULA(
  INDEX(
    UNIQUE(FILTER(D126:D11612, D126:D11612&lt;&gt;"""")),
    CEILING.MATH(SEQUENCE(COUNTUNIQUE(D126:D11612)*10, 1, 1)/10
  )
)+4)"),45758.0)</f>
        <v>45758</v>
      </c>
      <c r="E166" s="66">
        <v>5.0</v>
      </c>
      <c r="F166" s="66" t="str">
        <f>IFERROR(__xludf.DUMMYFUNCTION("GOOGLETRANSLATE(A166,""en"",""pt"")"),"seriamente")</f>
        <v>seriamente</v>
      </c>
      <c r="G166" s="69"/>
    </row>
    <row r="167" ht="22.5" customHeight="1">
      <c r="A167" s="66" t="s">
        <v>410</v>
      </c>
      <c r="B167" s="67" t="str">
        <f t="shared" si="1"/>
        <v>M: running away</v>
      </c>
      <c r="C167" s="68"/>
      <c r="D167" s="68">
        <f>IFERROR(__xludf.DUMMYFUNCTION("ARRAYFORMULA(
  INDEX(
    UNIQUE(FILTER(D127:D11612, D127:D11612&lt;&gt;"""")),
    CEILING.MATH(SEQUENCE(COUNTUNIQUE(D127:D11612)*10, 1, 1)/10
  )
)+4)"),45758.0)</f>
        <v>45758</v>
      </c>
      <c r="E167" s="66">
        <v>6.0</v>
      </c>
      <c r="F167" s="66" t="str">
        <f>IFERROR(__xludf.DUMMYFUNCTION("GOOGLETRANSLATE(A167,""en"",""pt"")"),"fugindo")</f>
        <v>fugindo</v>
      </c>
      <c r="G167" s="69"/>
    </row>
    <row r="168" ht="22.5" customHeight="1">
      <c r="A168" s="66" t="s">
        <v>411</v>
      </c>
      <c r="B168" s="67" t="str">
        <f t="shared" si="1"/>
        <v>M: dawn</v>
      </c>
      <c r="C168" s="66">
        <v>1.0</v>
      </c>
      <c r="D168" s="68">
        <f>IFERROR(__xludf.DUMMYFUNCTION("ARRAYFORMULA(
  INDEX(
    UNIQUE(FILTER(D128:D11612, D128:D11612&lt;&gt;"""")),
    CEILING.MATH(SEQUENCE(COUNTUNIQUE(D128:D11612)*10, 1, 1)/10
  )
)+4)"),45758.0)</f>
        <v>45758</v>
      </c>
      <c r="E168" s="66">
        <v>7.0</v>
      </c>
      <c r="F168" s="66" t="s">
        <v>412</v>
      </c>
      <c r="G168" s="66" t="s">
        <v>247</v>
      </c>
    </row>
    <row r="169" ht="22.5" customHeight="1">
      <c r="A169" s="66" t="s">
        <v>413</v>
      </c>
      <c r="B169" s="67" t="str">
        <f t="shared" si="1"/>
        <v>M: less</v>
      </c>
      <c r="C169" s="68"/>
      <c r="D169" s="68">
        <f>IFERROR(__xludf.DUMMYFUNCTION("ARRAYFORMULA(
  INDEX(
    UNIQUE(FILTER(D129:D11612, D129:D11612&lt;&gt;"""")),
    CEILING.MATH(SEQUENCE(COUNTUNIQUE(D129:D11612)*10, 1, 1)/10
  )
)+4)"),45758.0)</f>
        <v>45758</v>
      </c>
      <c r="E169" s="66">
        <v>8.0</v>
      </c>
      <c r="F169" s="66" t="str">
        <f>IFERROR(__xludf.DUMMYFUNCTION("GOOGLETRANSLATE(A169,""en"",""pt"")"),"menos")</f>
        <v>menos</v>
      </c>
      <c r="G169" s="69"/>
    </row>
    <row r="170" ht="22.5" customHeight="1">
      <c r="A170" s="66" t="s">
        <v>414</v>
      </c>
      <c r="B170" s="67" t="str">
        <f t="shared" si="1"/>
        <v>M: freed</v>
      </c>
      <c r="C170" s="68"/>
      <c r="D170" s="68">
        <f>IFERROR(__xludf.DUMMYFUNCTION("ARRAYFORMULA(
  INDEX(
    UNIQUE(FILTER(D130:D11612, D130:D11612&lt;&gt;"""")),
    CEILING.MATH(SEQUENCE(COUNTUNIQUE(D130:D11612)*10, 1, 1)/10
  )
)+4)"),45758.0)</f>
        <v>45758</v>
      </c>
      <c r="E170" s="66">
        <v>9.0</v>
      </c>
      <c r="F170" s="66" t="str">
        <f>IFERROR(__xludf.DUMMYFUNCTION("GOOGLETRANSLATE(A170,""en"",""pt"")"),"libertado")</f>
        <v>libertado</v>
      </c>
      <c r="G170" s="69"/>
    </row>
    <row r="171" ht="22.5" customHeight="1">
      <c r="A171" s="66" t="s">
        <v>415</v>
      </c>
      <c r="B171" s="67" t="str">
        <f t="shared" si="1"/>
        <v>M: fell in love</v>
      </c>
      <c r="C171" s="68"/>
      <c r="D171" s="68">
        <f>IFERROR(__xludf.DUMMYFUNCTION("ARRAYFORMULA(
  INDEX(
    UNIQUE(FILTER(D131:D11612, D131:D11612&lt;&gt;"""")),
    CEILING.MATH(SEQUENCE(COUNTUNIQUE(D131:D11612)*10, 1, 1)/10
  )
)+4)"),45758.0)</f>
        <v>45758</v>
      </c>
      <c r="E171" s="66">
        <v>10.0</v>
      </c>
      <c r="F171" s="66" t="str">
        <f>IFERROR(__xludf.DUMMYFUNCTION("GOOGLETRANSLATE(A171,""en"",""pt"")"),"apaixonou-se")</f>
        <v>apaixonou-se</v>
      </c>
      <c r="G171" s="69"/>
    </row>
    <row r="172" ht="22.5" customHeight="1">
      <c r="A172" s="66" t="s">
        <v>416</v>
      </c>
      <c r="B172" s="67" t="str">
        <f t="shared" si="1"/>
        <v>M: went</v>
      </c>
      <c r="C172" s="68"/>
      <c r="D172" s="68">
        <f>IFERROR(__xludf.DUMMYFUNCTION("ARRAYFORMULA(
  INDEX(
    UNIQUE(FILTER(D132:D11612, D132:D11612&lt;&gt;"""")),
    CEILING.MATH(SEQUENCE(COUNTUNIQUE(D132:D11612)*10, 1, 1)/10
  )
)+4)"),45759.0)</f>
        <v>45759</v>
      </c>
      <c r="E172" s="66">
        <v>1.0</v>
      </c>
      <c r="F172" s="66" t="str">
        <f>IFERROR(__xludf.DUMMYFUNCTION("GOOGLETRANSLATE(A172,""en"",""pt"")"),"foi")</f>
        <v>foi</v>
      </c>
      <c r="G172" s="69"/>
    </row>
    <row r="173" ht="22.5" customHeight="1">
      <c r="A173" s="66" t="s">
        <v>417</v>
      </c>
      <c r="B173" s="67" t="str">
        <f t="shared" si="1"/>
        <v>M: remarkable</v>
      </c>
      <c r="C173" s="68"/>
      <c r="D173" s="68">
        <f>IFERROR(__xludf.DUMMYFUNCTION("ARRAYFORMULA(
  INDEX(
    UNIQUE(FILTER(D133:D11612, D133:D11612&lt;&gt;"""")),
    CEILING.MATH(SEQUENCE(COUNTUNIQUE(D133:D11612)*10, 1, 1)/10
  )
)+4)"),45759.0)</f>
        <v>45759</v>
      </c>
      <c r="E173" s="66">
        <v>2.0</v>
      </c>
      <c r="F173" s="66" t="str">
        <f>IFERROR(__xludf.DUMMYFUNCTION("GOOGLETRANSLATE(A173,""en"",""pt"")"),"notável")</f>
        <v>notável</v>
      </c>
      <c r="G173" s="69"/>
    </row>
    <row r="174" ht="22.5" customHeight="1">
      <c r="A174" s="66" t="s">
        <v>418</v>
      </c>
      <c r="B174" s="67" t="str">
        <f t="shared" si="1"/>
        <v>M: pretty</v>
      </c>
      <c r="C174" s="68"/>
      <c r="D174" s="68">
        <f>IFERROR(__xludf.DUMMYFUNCTION("ARRAYFORMULA(
  INDEX(
    UNIQUE(FILTER(D134:D11612, D134:D11612&lt;&gt;"""")),
    CEILING.MATH(SEQUENCE(COUNTUNIQUE(D134:D11612)*10, 1, 1)/10
  )
)+4)"),45759.0)</f>
        <v>45759</v>
      </c>
      <c r="E174" s="66">
        <v>3.0</v>
      </c>
      <c r="F174" s="66" t="str">
        <f>IFERROR(__xludf.DUMMYFUNCTION("GOOGLETRANSLATE(A174,""en"",""pt"")"),"bonito")</f>
        <v>bonito</v>
      </c>
      <c r="G174" s="69"/>
    </row>
    <row r="175" ht="22.5" customHeight="1">
      <c r="A175" s="66" t="s">
        <v>419</v>
      </c>
      <c r="B175" s="67" t="str">
        <f t="shared" si="1"/>
        <v>M: hadn't</v>
      </c>
      <c r="C175" s="68"/>
      <c r="D175" s="68">
        <f>IFERROR(__xludf.DUMMYFUNCTION("ARRAYFORMULA(
  INDEX(
    UNIQUE(FILTER(D135:D11612, D135:D11612&lt;&gt;"""")),
    CEILING.MATH(SEQUENCE(COUNTUNIQUE(D135:D11612)*10, 1, 1)/10
  )
)+4)"),45759.0)</f>
        <v>45759</v>
      </c>
      <c r="E175" s="66">
        <v>4.0</v>
      </c>
      <c r="F175" s="66" t="str">
        <f>IFERROR(__xludf.DUMMYFUNCTION("GOOGLETRANSLATE(A175,""en"",""pt"")"),"não tinha")</f>
        <v>não tinha</v>
      </c>
      <c r="G175" s="69"/>
    </row>
    <row r="176" ht="22.5" customHeight="1">
      <c r="A176" s="66" t="s">
        <v>420</v>
      </c>
      <c r="B176" s="67" t="str">
        <f t="shared" si="1"/>
        <v>M: guess</v>
      </c>
      <c r="C176" s="68"/>
      <c r="D176" s="68">
        <f>IFERROR(__xludf.DUMMYFUNCTION("ARRAYFORMULA(
  INDEX(
    UNIQUE(FILTER(D136:D11612, D136:D11612&lt;&gt;"""")),
    CEILING.MATH(SEQUENCE(COUNTUNIQUE(D136:D11612)*10, 1, 1)/10
  )
)+4)"),45759.0)</f>
        <v>45759</v>
      </c>
      <c r="E176" s="66">
        <v>5.0</v>
      </c>
      <c r="F176" s="66" t="str">
        <f>IFERROR(__xludf.DUMMYFUNCTION("GOOGLETRANSLATE(A176,""en"",""pt"")"),"adivinhar")</f>
        <v>adivinhar</v>
      </c>
      <c r="G176" s="69"/>
    </row>
    <row r="177" ht="22.5" customHeight="1">
      <c r="A177" s="66" t="s">
        <v>421</v>
      </c>
      <c r="B177" s="67" t="str">
        <f t="shared" si="1"/>
        <v>M: You've got to</v>
      </c>
      <c r="C177" s="68"/>
      <c r="D177" s="68">
        <f>IFERROR(__xludf.DUMMYFUNCTION("ARRAYFORMULA(
  INDEX(
    UNIQUE(FILTER(D137:D11612, D137:D11612&lt;&gt;"""")),
    CEILING.MATH(SEQUENCE(COUNTUNIQUE(D137:D11612)*10, 1, 1)/10
  )
)+4)"),45759.0)</f>
        <v>45759</v>
      </c>
      <c r="E177" s="66">
        <v>6.0</v>
      </c>
      <c r="F177" s="66" t="str">
        <f>IFERROR(__xludf.DUMMYFUNCTION("GOOGLETRANSLATE(A177,""en"",""pt"")"),"Você precisa")</f>
        <v>Você precisa</v>
      </c>
      <c r="G177" s="69"/>
    </row>
    <row r="178" ht="22.5" customHeight="1">
      <c r="A178" s="66" t="s">
        <v>422</v>
      </c>
      <c r="B178" s="67" t="str">
        <f t="shared" si="1"/>
        <v>M: matters</v>
      </c>
      <c r="C178" s="68"/>
      <c r="D178" s="68">
        <f>IFERROR(__xludf.DUMMYFUNCTION("ARRAYFORMULA(
  INDEX(
    UNIQUE(FILTER(D138:D11612, D138:D11612&lt;&gt;"""")),
    CEILING.MATH(SEQUENCE(COUNTUNIQUE(D138:D11612)*10, 1, 1)/10
  )
)+4)"),45759.0)</f>
        <v>45759</v>
      </c>
      <c r="E178" s="66">
        <v>7.0</v>
      </c>
      <c r="F178" s="66" t="str">
        <f>IFERROR(__xludf.DUMMYFUNCTION("GOOGLETRANSLATE(A178,""en"",""pt"")"),"assuntos")</f>
        <v>assuntos</v>
      </c>
      <c r="G178" s="69"/>
    </row>
    <row r="179" ht="22.5" customHeight="1">
      <c r="A179" s="66" t="s">
        <v>423</v>
      </c>
      <c r="B179" s="67" t="str">
        <f t="shared" si="1"/>
        <v>M: yet</v>
      </c>
      <c r="C179" s="68"/>
      <c r="D179" s="68">
        <f>IFERROR(__xludf.DUMMYFUNCTION("ARRAYFORMULA(
  INDEX(
    UNIQUE(FILTER(D139:D11612, D139:D11612&lt;&gt;"""")),
    CEILING.MATH(SEQUENCE(COUNTUNIQUE(D139:D11612)*10, 1, 1)/10
  )
)+4)"),45759.0)</f>
        <v>45759</v>
      </c>
      <c r="E179" s="66">
        <v>8.0</v>
      </c>
      <c r="F179" s="66" t="str">
        <f>IFERROR(__xludf.DUMMYFUNCTION("GOOGLETRANSLATE(A179,""en"",""pt"")"),"ainda")</f>
        <v>ainda</v>
      </c>
      <c r="G179" s="69"/>
    </row>
    <row r="180" ht="22.5" customHeight="1">
      <c r="A180" s="66" t="s">
        <v>424</v>
      </c>
      <c r="B180" s="67" t="str">
        <f t="shared" si="1"/>
        <v>M: roll on</v>
      </c>
      <c r="C180" s="68"/>
      <c r="D180" s="68">
        <f>IFERROR(__xludf.DUMMYFUNCTION("ARRAYFORMULA(
  INDEX(
    UNIQUE(FILTER(D140:D11612, D140:D11612&lt;&gt;"""")),
    CEILING.MATH(SEQUENCE(COUNTUNIQUE(D140:D11612)*10, 1, 1)/10
  )
)+4)"),45759.0)</f>
        <v>45759</v>
      </c>
      <c r="E180" s="66">
        <v>9.0</v>
      </c>
      <c r="F180" s="66" t="str">
        <f>IFERROR(__xludf.DUMMYFUNCTION("GOOGLETRANSLATE(A180,""en"",""pt"")"),"continue")</f>
        <v>continue</v>
      </c>
      <c r="G180" s="69"/>
    </row>
    <row r="181" ht="22.5" customHeight="1">
      <c r="A181" s="66" t="s">
        <v>425</v>
      </c>
      <c r="B181" s="67" t="str">
        <f t="shared" si="1"/>
        <v>M: settle</v>
      </c>
      <c r="C181" s="68"/>
      <c r="D181" s="68">
        <f>IFERROR(__xludf.DUMMYFUNCTION("ARRAYFORMULA(
  INDEX(
    UNIQUE(FILTER(D141:D11612, D141:D11612&lt;&gt;"""")),
    CEILING.MATH(SEQUENCE(COUNTUNIQUE(D141:D11612)*10, 1, 1)/10
  )
)+4)"),45759.0)</f>
        <v>45759</v>
      </c>
      <c r="E181" s="66">
        <v>10.0</v>
      </c>
      <c r="F181" s="66" t="str">
        <f>IFERROR(__xludf.DUMMYFUNCTION("GOOGLETRANSLATE(A181,""en"",""pt"")"),"resolver")</f>
        <v>resolver</v>
      </c>
      <c r="G181" s="69"/>
    </row>
    <row r="182" ht="22.5" customHeight="1">
      <c r="A182" s="66" t="s">
        <v>426</v>
      </c>
      <c r="B182" s="67" t="str">
        <f t="shared" si="1"/>
        <v>M: quote</v>
      </c>
      <c r="C182" s="68"/>
      <c r="D182" s="68">
        <f>IFERROR(__xludf.DUMMYFUNCTION("ARRAYFORMULA(
  INDEX(
    UNIQUE(FILTER(D142:D11612, D142:D11612&lt;&gt;"""")),
    CEILING.MATH(SEQUENCE(COUNTUNIQUE(D142:D11612)*10, 1, 1)/10
  )
)+4)"),45760.0)</f>
        <v>45760</v>
      </c>
      <c r="E182" s="66">
        <v>1.0</v>
      </c>
      <c r="F182" s="66" t="str">
        <f>IFERROR(__xludf.DUMMYFUNCTION("GOOGLETRANSLATE(A182,""en"",""pt"")"),"citar")</f>
        <v>citar</v>
      </c>
      <c r="G182" s="69"/>
    </row>
    <row r="183" ht="22.5" customHeight="1">
      <c r="A183" s="66" t="s">
        <v>427</v>
      </c>
      <c r="B183" s="67" t="str">
        <f t="shared" si="1"/>
        <v>M: most</v>
      </c>
      <c r="C183" s="68"/>
      <c r="D183" s="68">
        <f>IFERROR(__xludf.DUMMYFUNCTION("ARRAYFORMULA(
  INDEX(
    UNIQUE(FILTER(D143:D11612, D143:D11612&lt;&gt;"""")),
    CEILING.MATH(SEQUENCE(COUNTUNIQUE(D143:D11612)*10, 1, 1)/10
  )
)+4)"),45760.0)</f>
        <v>45760</v>
      </c>
      <c r="E183" s="66">
        <v>2.0</v>
      </c>
      <c r="F183" s="66" t="str">
        <f>IFERROR(__xludf.DUMMYFUNCTION("GOOGLETRANSLATE(A183,""en"",""pt"")"),"maioria")</f>
        <v>maioria</v>
      </c>
      <c r="G183" s="69"/>
    </row>
    <row r="184" ht="22.5" customHeight="1">
      <c r="A184" s="66" t="s">
        <v>428</v>
      </c>
      <c r="B184" s="67" t="str">
        <f t="shared" si="1"/>
        <v>M: I've</v>
      </c>
      <c r="C184" s="68"/>
      <c r="D184" s="68">
        <f>IFERROR(__xludf.DUMMYFUNCTION("ARRAYFORMULA(
  INDEX(
    UNIQUE(FILTER(D144:D11612, D144:D11612&lt;&gt;"""")),
    CEILING.MATH(SEQUENCE(COUNTUNIQUE(D144:D11612)*10, 1, 1)/10
  )
)+4)"),45760.0)</f>
        <v>45760</v>
      </c>
      <c r="E184" s="66">
        <v>3.0</v>
      </c>
      <c r="F184" s="66" t="str">
        <f>IFERROR(__xludf.DUMMYFUNCTION("GOOGLETRANSLATE(A184,""en"",""pt"")"),"Eu tenho")</f>
        <v>Eu tenho</v>
      </c>
      <c r="G184" s="69"/>
    </row>
    <row r="185" ht="22.5" customHeight="1">
      <c r="A185" s="66" t="s">
        <v>429</v>
      </c>
      <c r="B185" s="67" t="str">
        <f t="shared" si="1"/>
        <v>M: whenever</v>
      </c>
      <c r="C185" s="68"/>
      <c r="D185" s="68">
        <f>IFERROR(__xludf.DUMMYFUNCTION("ARRAYFORMULA(
  INDEX(
    UNIQUE(FILTER(D145:D11612, D145:D11612&lt;&gt;"""")),
    CEILING.MATH(SEQUENCE(COUNTUNIQUE(D145:D11612)*10, 1, 1)/10
  )
)+4)"),45760.0)</f>
        <v>45760</v>
      </c>
      <c r="E185" s="66">
        <v>4.0</v>
      </c>
      <c r="F185" s="66" t="str">
        <f>IFERROR(__xludf.DUMMYFUNCTION("GOOGLETRANSLATE(A185,""en"",""pt"")"),"em qualquer momento")</f>
        <v>em qualquer momento</v>
      </c>
      <c r="G185" s="69"/>
    </row>
    <row r="186" ht="22.5" customHeight="1">
      <c r="A186" s="66" t="s">
        <v>430</v>
      </c>
      <c r="B186" s="67" t="str">
        <f t="shared" si="1"/>
        <v>M: naked</v>
      </c>
      <c r="C186" s="66">
        <v>1.0</v>
      </c>
      <c r="D186" s="68">
        <f>IFERROR(__xludf.DUMMYFUNCTION("ARRAYFORMULA(
  INDEX(
    UNIQUE(FILTER(D146:D11612, D146:D11612&lt;&gt;"""")),
    CEILING.MATH(SEQUENCE(COUNTUNIQUE(D146:D11612)*10, 1, 1)/10
  )
)+4)"),45760.0)</f>
        <v>45760</v>
      </c>
      <c r="E186" s="66">
        <v>5.0</v>
      </c>
      <c r="F186" s="66" t="s">
        <v>431</v>
      </c>
      <c r="G186" s="66" t="s">
        <v>247</v>
      </c>
    </row>
    <row r="187" ht="22.5" customHeight="1">
      <c r="A187" s="66" t="s">
        <v>432</v>
      </c>
      <c r="B187" s="67" t="str">
        <f t="shared" si="1"/>
        <v>M: groceries</v>
      </c>
      <c r="C187" s="68"/>
      <c r="D187" s="68">
        <f>IFERROR(__xludf.DUMMYFUNCTION("ARRAYFORMULA(
  INDEX(
    UNIQUE(FILTER(D147:D11612, D147:D11612&lt;&gt;"""")),
    CEILING.MATH(SEQUENCE(COUNTUNIQUE(D147:D11612)*10, 1, 1)/10
  )
)+4)"),45760.0)</f>
        <v>45760</v>
      </c>
      <c r="E187" s="66">
        <v>6.0</v>
      </c>
      <c r="F187" s="66" t="str">
        <f>IFERROR(__xludf.DUMMYFUNCTION("GOOGLETRANSLATE(A187,""en"",""pt"")"),"mantimentos")</f>
        <v>mantimentos</v>
      </c>
      <c r="G187" s="69"/>
    </row>
    <row r="188" ht="22.5" customHeight="1">
      <c r="A188" s="66" t="s">
        <v>433</v>
      </c>
      <c r="B188" s="67" t="str">
        <f t="shared" si="1"/>
        <v>M: chill out</v>
      </c>
      <c r="C188" s="68"/>
      <c r="D188" s="68">
        <f>IFERROR(__xludf.DUMMYFUNCTION("ARRAYFORMULA(
  INDEX(
    UNIQUE(FILTER(D148:D11612, D148:D11612&lt;&gt;"""")),
    CEILING.MATH(SEQUENCE(COUNTUNIQUE(D148:D11612)*10, 1, 1)/10
  )
)+4)"),45760.0)</f>
        <v>45760</v>
      </c>
      <c r="E188" s="66">
        <v>7.0</v>
      </c>
      <c r="F188" s="66" t="str">
        <f>IFERROR(__xludf.DUMMYFUNCTION("GOOGLETRANSLATE(A188,""en"",""pt"")"),"relaxar")</f>
        <v>relaxar</v>
      </c>
      <c r="G188" s="69"/>
    </row>
    <row r="189" ht="22.5" customHeight="1">
      <c r="A189" s="66" t="s">
        <v>434</v>
      </c>
      <c r="B189" s="67" t="str">
        <f t="shared" si="1"/>
        <v>M: turning in</v>
      </c>
      <c r="C189" s="68"/>
      <c r="D189" s="68">
        <f>IFERROR(__xludf.DUMMYFUNCTION("ARRAYFORMULA(
  INDEX(
    UNIQUE(FILTER(D149:D11612, D149:D11612&lt;&gt;"""")),
    CEILING.MATH(SEQUENCE(COUNTUNIQUE(D149:D11612)*10, 1, 1)/10
  )
)+4)"),45760.0)</f>
        <v>45760</v>
      </c>
      <c r="E189" s="66">
        <v>8.0</v>
      </c>
      <c r="F189" s="66" t="str">
        <f>IFERROR(__xludf.DUMMYFUNCTION("GOOGLETRANSLATE(A189,""en"",""pt"")"),"transformando em")</f>
        <v>transformando em</v>
      </c>
      <c r="G189" s="69"/>
    </row>
    <row r="190" ht="22.5" customHeight="1">
      <c r="A190" s="66" t="s">
        <v>435</v>
      </c>
      <c r="B190" s="67" t="str">
        <f t="shared" si="1"/>
        <v>M: went off</v>
      </c>
      <c r="C190" s="68"/>
      <c r="D190" s="68">
        <f>IFERROR(__xludf.DUMMYFUNCTION("ARRAYFORMULA(
  INDEX(
    UNIQUE(FILTER(D150:D11612, D150:D11612&lt;&gt;"""")),
    CEILING.MATH(SEQUENCE(COUNTUNIQUE(D150:D11612)*10, 1, 1)/10
  )
)+4)"),45760.0)</f>
        <v>45760</v>
      </c>
      <c r="E190" s="66">
        <v>9.0</v>
      </c>
      <c r="F190" s="66" t="str">
        <f>IFERROR(__xludf.DUMMYFUNCTION("GOOGLETRANSLATE(A190,""en"",""pt"")"),"saiu")</f>
        <v>saiu</v>
      </c>
      <c r="G190" s="69"/>
    </row>
    <row r="191" ht="22.5" customHeight="1">
      <c r="A191" s="66" t="s">
        <v>436</v>
      </c>
      <c r="B191" s="67" t="str">
        <f t="shared" si="1"/>
        <v>M: catch up</v>
      </c>
      <c r="C191" s="68"/>
      <c r="D191" s="68">
        <f>IFERROR(__xludf.DUMMYFUNCTION("ARRAYFORMULA(
  INDEX(
    UNIQUE(FILTER(D151:D11612, D151:D11612&lt;&gt;"""")),
    CEILING.MATH(SEQUENCE(COUNTUNIQUE(D151:D11612)*10, 1, 1)/10
  )
)+4)"),45760.0)</f>
        <v>45760</v>
      </c>
      <c r="E191" s="66">
        <v>10.0</v>
      </c>
      <c r="F191" s="66" t="str">
        <f>IFERROR(__xludf.DUMMYFUNCTION("GOOGLETRANSLATE(A191,""en"",""pt"")"),"alcançar")</f>
        <v>alcançar</v>
      </c>
      <c r="G191" s="69"/>
    </row>
    <row r="192" ht="22.5" customHeight="1">
      <c r="A192" s="66" t="s">
        <v>437</v>
      </c>
      <c r="B192" s="67" t="str">
        <f t="shared" si="1"/>
        <v>M: about</v>
      </c>
      <c r="C192" s="68"/>
      <c r="D192" s="68">
        <f>IFERROR(__xludf.DUMMYFUNCTION("ARRAYFORMULA(
  INDEX(
    UNIQUE(FILTER(D152:D11612, D152:D11612&lt;&gt;"""")),
    CEILING.MATH(SEQUENCE(COUNTUNIQUE(D152:D11612)*10, 1, 1)/10
  )
)+4)"),45761.0)</f>
        <v>45761</v>
      </c>
      <c r="E192" s="66">
        <v>1.0</v>
      </c>
      <c r="F192" s="66" t="str">
        <f>IFERROR(__xludf.DUMMYFUNCTION("GOOGLETRANSLATE(A192,""en"",""pt"")"),"sobre")</f>
        <v>sobre</v>
      </c>
      <c r="G192" s="69"/>
    </row>
    <row r="193" ht="22.5" customHeight="1">
      <c r="A193" s="66" t="s">
        <v>438</v>
      </c>
      <c r="B193" s="67" t="str">
        <f t="shared" si="1"/>
        <v>M: certainly</v>
      </c>
      <c r="C193" s="68"/>
      <c r="D193" s="68">
        <f>IFERROR(__xludf.DUMMYFUNCTION("ARRAYFORMULA(
  INDEX(
    UNIQUE(FILTER(D153:D11612, D153:D11612&lt;&gt;"""")),
    CEILING.MATH(SEQUENCE(COUNTUNIQUE(D153:D11612)*10, 1, 1)/10
  )
)+4)"),45761.0)</f>
        <v>45761</v>
      </c>
      <c r="E193" s="66">
        <v>2.0</v>
      </c>
      <c r="F193" s="66" t="str">
        <f>IFERROR(__xludf.DUMMYFUNCTION("GOOGLETRANSLATE(A193,""en"",""pt"")"),"certamente")</f>
        <v>certamente</v>
      </c>
      <c r="G193" s="69"/>
    </row>
    <row r="194" ht="22.5" customHeight="1">
      <c r="A194" s="66" t="s">
        <v>439</v>
      </c>
      <c r="B194" s="67" t="str">
        <f t="shared" si="1"/>
        <v>M: expect</v>
      </c>
      <c r="C194" s="68"/>
      <c r="D194" s="68">
        <f>IFERROR(__xludf.DUMMYFUNCTION("ARRAYFORMULA(
  INDEX(
    UNIQUE(FILTER(D154:D11612, D154:D11612&lt;&gt;"""")),
    CEILING.MATH(SEQUENCE(COUNTUNIQUE(D154:D11612)*10, 1, 1)/10
  )
)+4)"),45761.0)</f>
        <v>45761</v>
      </c>
      <c r="E194" s="66">
        <v>3.0</v>
      </c>
      <c r="F194" s="66" t="str">
        <f>IFERROR(__xludf.DUMMYFUNCTION("GOOGLETRANSLATE(A194,""en"",""pt"")"),"esperar")</f>
        <v>esperar</v>
      </c>
      <c r="G194" s="69"/>
    </row>
    <row r="195" ht="22.5" customHeight="1">
      <c r="A195" s="66" t="s">
        <v>440</v>
      </c>
      <c r="B195" s="67" t="str">
        <f t="shared" si="1"/>
        <v>M: longer</v>
      </c>
      <c r="C195" s="68"/>
      <c r="D195" s="68">
        <f>IFERROR(__xludf.DUMMYFUNCTION("ARRAYFORMULA(
  INDEX(
    UNIQUE(FILTER(D155:D11612, D155:D11612&lt;&gt;"""")),
    CEILING.MATH(SEQUENCE(COUNTUNIQUE(D155:D11612)*10, 1, 1)/10
  )
)+4)"),45761.0)</f>
        <v>45761</v>
      </c>
      <c r="E195" s="66">
        <v>4.0</v>
      </c>
      <c r="F195" s="66" t="str">
        <f>IFERROR(__xludf.DUMMYFUNCTION("GOOGLETRANSLATE(A195,""en"",""pt"")"),"mais longo")</f>
        <v>mais longo</v>
      </c>
      <c r="G195" s="69"/>
    </row>
    <row r="196" ht="22.5" customHeight="1">
      <c r="A196" s="66" t="s">
        <v>441</v>
      </c>
      <c r="B196" s="67" t="str">
        <f t="shared" si="1"/>
        <v>M: advised</v>
      </c>
      <c r="C196" s="68"/>
      <c r="D196" s="68">
        <f>IFERROR(__xludf.DUMMYFUNCTION("ARRAYFORMULA(
  INDEX(
    UNIQUE(FILTER(D156:D11612, D156:D11612&lt;&gt;"""")),
    CEILING.MATH(SEQUENCE(COUNTUNIQUE(D156:D11612)*10, 1, 1)/10
  )
)+4)"),45761.0)</f>
        <v>45761</v>
      </c>
      <c r="E196" s="66">
        <v>5.0</v>
      </c>
      <c r="F196" s="66" t="str">
        <f>IFERROR(__xludf.DUMMYFUNCTION("GOOGLETRANSLATE(A196,""en"",""pt"")"),"aconselhado")</f>
        <v>aconselhado</v>
      </c>
      <c r="G196" s="69"/>
    </row>
    <row r="197" ht="22.5" customHeight="1">
      <c r="A197" s="66" t="s">
        <v>442</v>
      </c>
      <c r="B197" s="67" t="str">
        <f t="shared" si="1"/>
        <v>M: affairs</v>
      </c>
      <c r="C197" s="68"/>
      <c r="D197" s="68">
        <f>IFERROR(__xludf.DUMMYFUNCTION("ARRAYFORMULA(
  INDEX(
    UNIQUE(FILTER(D157:D11612, D157:D11612&lt;&gt;"""")),
    CEILING.MATH(SEQUENCE(COUNTUNIQUE(D157:D11612)*10, 1, 1)/10
  )
)+4)"),45761.0)</f>
        <v>45761</v>
      </c>
      <c r="E197" s="66">
        <v>6.0</v>
      </c>
      <c r="F197" s="66" t="str">
        <f>IFERROR(__xludf.DUMMYFUNCTION("GOOGLETRANSLATE(A197,""en"",""pt"")"),"assuntos")</f>
        <v>assuntos</v>
      </c>
      <c r="G197" s="69"/>
    </row>
    <row r="198" ht="22.5" customHeight="1">
      <c r="A198" s="66" t="s">
        <v>443</v>
      </c>
      <c r="B198" s="67" t="str">
        <f t="shared" si="1"/>
        <v>M: buttoned up</v>
      </c>
      <c r="C198" s="68"/>
      <c r="D198" s="68">
        <f>IFERROR(__xludf.DUMMYFUNCTION("ARRAYFORMULA(
  INDEX(
    UNIQUE(FILTER(D158:D11612, D158:D11612&lt;&gt;"""")),
    CEILING.MATH(SEQUENCE(COUNTUNIQUE(D158:D11612)*10, 1, 1)/10
  )
)+4)"),45761.0)</f>
        <v>45761</v>
      </c>
      <c r="E198" s="66">
        <v>7.0</v>
      </c>
      <c r="F198" s="66" t="str">
        <f>IFERROR(__xludf.DUMMYFUNCTION("GOOGLETRANSLATE(A198,""en"",""pt"")"),"abotoado")</f>
        <v>abotoado</v>
      </c>
      <c r="G198" s="69"/>
    </row>
    <row r="199" ht="22.5" customHeight="1">
      <c r="A199" s="66" t="s">
        <v>444</v>
      </c>
      <c r="B199" s="67" t="str">
        <f t="shared" si="1"/>
        <v>M: means</v>
      </c>
      <c r="C199" s="68"/>
      <c r="D199" s="68">
        <f>IFERROR(__xludf.DUMMYFUNCTION("ARRAYFORMULA(
  INDEX(
    UNIQUE(FILTER(D159:D11612, D159:D11612&lt;&gt;"""")),
    CEILING.MATH(SEQUENCE(COUNTUNIQUE(D159:D11612)*10, 1, 1)/10
  )
)+4)"),45761.0)</f>
        <v>45761</v>
      </c>
      <c r="E199" s="66">
        <v>8.0</v>
      </c>
      <c r="F199" s="66" t="str">
        <f>IFERROR(__xludf.DUMMYFUNCTION("GOOGLETRANSLATE(A199,""en"",""pt"")"),"significa")</f>
        <v>significa</v>
      </c>
      <c r="G199" s="69"/>
    </row>
    <row r="200" ht="22.5" customHeight="1">
      <c r="A200" s="66" t="s">
        <v>445</v>
      </c>
      <c r="B200" s="67" t="str">
        <f t="shared" si="1"/>
        <v>M: you'd</v>
      </c>
      <c r="C200" s="68"/>
      <c r="D200" s="68">
        <f>IFERROR(__xludf.DUMMYFUNCTION("ARRAYFORMULA(
  INDEX(
    UNIQUE(FILTER(D160:D11612, D160:D11612&lt;&gt;"""")),
    CEILING.MATH(SEQUENCE(COUNTUNIQUE(D160:D11612)*10, 1, 1)/10
  )
)+4)"),45761.0)</f>
        <v>45761</v>
      </c>
      <c r="E200" s="66">
        <v>9.0</v>
      </c>
      <c r="F200" s="66" t="str">
        <f>IFERROR(__xludf.DUMMYFUNCTION("GOOGLETRANSLATE(A200,""en"",""pt"")"),"você faria")</f>
        <v>você faria</v>
      </c>
      <c r="G200" s="69"/>
    </row>
    <row r="201" ht="22.5" customHeight="1">
      <c r="A201" s="66" t="s">
        <v>446</v>
      </c>
      <c r="B201" s="67" t="str">
        <f t="shared" si="1"/>
        <v>M: sure</v>
      </c>
      <c r="C201" s="68"/>
      <c r="D201" s="68">
        <f>IFERROR(__xludf.DUMMYFUNCTION("ARRAYFORMULA(
  INDEX(
    UNIQUE(FILTER(D161:D11612, D161:D11612&lt;&gt;"""")),
    CEILING.MATH(SEQUENCE(COUNTUNIQUE(D161:D11612)*10, 1, 1)/10
  )
)+4)"),45761.0)</f>
        <v>45761</v>
      </c>
      <c r="E201" s="66">
        <v>10.0</v>
      </c>
      <c r="F201" s="66" t="str">
        <f>IFERROR(__xludf.DUMMYFUNCTION("GOOGLETRANSLATE(A201,""en"",""pt"")"),"claro")</f>
        <v>claro</v>
      </c>
      <c r="G201" s="69"/>
    </row>
    <row r="202" ht="22.5" customHeight="1">
      <c r="A202" s="66" t="s">
        <v>447</v>
      </c>
      <c r="B202" s="67" t="str">
        <f t="shared" si="1"/>
        <v>M: lived</v>
      </c>
      <c r="C202" s="68"/>
      <c r="D202" s="68">
        <f>IFERROR(__xludf.DUMMYFUNCTION("ARRAYFORMULA(
  INDEX(
    UNIQUE(FILTER(D162:D11612, D162:D11612&lt;&gt;"""")),
    CEILING.MATH(SEQUENCE(COUNTUNIQUE(D162:D11612)*10, 1, 1)/10
  )
)+4)"),45762.0)</f>
        <v>45762</v>
      </c>
      <c r="E202" s="66">
        <v>1.0</v>
      </c>
      <c r="F202" s="66" t="str">
        <f>IFERROR(__xludf.DUMMYFUNCTION("GOOGLETRANSLATE(A202,""en"",""pt"")"),"vivido")</f>
        <v>vivido</v>
      </c>
      <c r="G202" s="69"/>
    </row>
    <row r="203" ht="22.5" customHeight="1">
      <c r="A203" s="66" t="s">
        <v>448</v>
      </c>
      <c r="B203" s="67" t="str">
        <f t="shared" si="1"/>
        <v>M: Later</v>
      </c>
      <c r="C203" s="68"/>
      <c r="D203" s="68">
        <f>IFERROR(__xludf.DUMMYFUNCTION("ARRAYFORMULA(
  INDEX(
    UNIQUE(FILTER(D163:D11612, D163:D11612&lt;&gt;"""")),
    CEILING.MATH(SEQUENCE(COUNTUNIQUE(D163:D11612)*10, 1, 1)/10
  )
)+4)"),45762.0)</f>
        <v>45762</v>
      </c>
      <c r="E203" s="66">
        <v>2.0</v>
      </c>
      <c r="F203" s="66" t="str">
        <f>IFERROR(__xludf.DUMMYFUNCTION("GOOGLETRANSLATE(A203,""en"",""pt"")"),"Mais tarde")</f>
        <v>Mais tarde</v>
      </c>
      <c r="G203" s="69"/>
    </row>
    <row r="204" ht="22.5" customHeight="1">
      <c r="A204" s="66" t="s">
        <v>449</v>
      </c>
      <c r="B204" s="67" t="str">
        <f t="shared" si="1"/>
        <v>M: evening</v>
      </c>
      <c r="C204" s="68"/>
      <c r="D204" s="68">
        <f>IFERROR(__xludf.DUMMYFUNCTION("ARRAYFORMULA(
  INDEX(
    UNIQUE(FILTER(D164:D11612, D164:D11612&lt;&gt;"""")),
    CEILING.MATH(SEQUENCE(COUNTUNIQUE(D164:D11612)*10, 1, 1)/10
  )
)+4)"),45762.0)</f>
        <v>45762</v>
      </c>
      <c r="E204" s="66">
        <v>3.0</v>
      </c>
      <c r="F204" s="66" t="str">
        <f>IFERROR(__xludf.DUMMYFUNCTION("GOOGLETRANSLATE(A204,""en"",""pt"")"),"noite")</f>
        <v>noite</v>
      </c>
      <c r="G204" s="69"/>
    </row>
    <row r="205" ht="22.5" customHeight="1">
      <c r="A205" s="66" t="s">
        <v>450</v>
      </c>
      <c r="B205" s="67" t="str">
        <f t="shared" si="1"/>
        <v>M: needle</v>
      </c>
      <c r="C205" s="68"/>
      <c r="D205" s="68">
        <f>IFERROR(__xludf.DUMMYFUNCTION("ARRAYFORMULA(
  INDEX(
    UNIQUE(FILTER(D165:D11612, D165:D11612&lt;&gt;"""")),
    CEILING.MATH(SEQUENCE(COUNTUNIQUE(D165:D11612)*10, 1, 1)/10
  )
)+4)"),45762.0)</f>
        <v>45762</v>
      </c>
      <c r="E205" s="66">
        <v>4.0</v>
      </c>
      <c r="F205" s="66" t="str">
        <f>IFERROR(__xludf.DUMMYFUNCTION("GOOGLETRANSLATE(A205,""en"",""pt"")"),"agulha")</f>
        <v>agulha</v>
      </c>
      <c r="G205" s="69"/>
    </row>
    <row r="206" ht="22.5" customHeight="1">
      <c r="A206" s="66" t="s">
        <v>451</v>
      </c>
      <c r="B206" s="67" t="str">
        <f t="shared" si="1"/>
        <v>M: turned</v>
      </c>
      <c r="C206" s="68"/>
      <c r="D206" s="68">
        <f>IFERROR(__xludf.DUMMYFUNCTION("ARRAYFORMULA(
  INDEX(
    UNIQUE(FILTER(D166:D11612, D166:D11612&lt;&gt;"""")),
    CEILING.MATH(SEQUENCE(COUNTUNIQUE(D166:D11612)*10, 1, 1)/10
  )
)+4)"),45762.0)</f>
        <v>45762</v>
      </c>
      <c r="E206" s="66">
        <v>5.0</v>
      </c>
      <c r="F206" s="66" t="str">
        <f>IFERROR(__xludf.DUMMYFUNCTION("GOOGLETRANSLATE(A206,""en"",""pt"")"),"virou")</f>
        <v>virou</v>
      </c>
      <c r="G206" s="69"/>
    </row>
    <row r="207" ht="22.5" customHeight="1">
      <c r="A207" s="66" t="s">
        <v>452</v>
      </c>
      <c r="B207" s="67" t="str">
        <f t="shared" si="1"/>
        <v>M: thankfully</v>
      </c>
      <c r="C207" s="68"/>
      <c r="D207" s="68">
        <f>IFERROR(__xludf.DUMMYFUNCTION("ARRAYFORMULA(
  INDEX(
    UNIQUE(FILTER(D167:D11612, D167:D11612&lt;&gt;"""")),
    CEILING.MATH(SEQUENCE(COUNTUNIQUE(D167:D11612)*10, 1, 1)/10
  )
)+4)"),45762.0)</f>
        <v>45762</v>
      </c>
      <c r="E207" s="66">
        <v>6.0</v>
      </c>
      <c r="F207" s="66" t="str">
        <f>IFERROR(__xludf.DUMMYFUNCTION("GOOGLETRANSLATE(A207,""en"",""pt"")"),"felizmente")</f>
        <v>felizmente</v>
      </c>
      <c r="G207" s="69"/>
    </row>
    <row r="208" ht="22.5" customHeight="1">
      <c r="A208" s="66" t="s">
        <v>453</v>
      </c>
      <c r="B208" s="67" t="str">
        <f t="shared" si="1"/>
        <v>M: through</v>
      </c>
      <c r="C208" s="66">
        <v>1.0</v>
      </c>
      <c r="D208" s="68">
        <f>IFERROR(__xludf.DUMMYFUNCTION("ARRAYFORMULA(
  INDEX(
    UNIQUE(FILTER(D168:D11612, D168:D11612&lt;&gt;"""")),
    CEILING.MATH(SEQUENCE(COUNTUNIQUE(D168:D11612)*10, 1, 1)/10
  )
)+4)"),45762.0)</f>
        <v>45762</v>
      </c>
      <c r="E208" s="66">
        <v>7.0</v>
      </c>
      <c r="F208" s="66" t="s">
        <v>454</v>
      </c>
      <c r="G208" s="66" t="s">
        <v>247</v>
      </c>
    </row>
    <row r="209" ht="22.5" customHeight="1">
      <c r="A209" s="66" t="s">
        <v>455</v>
      </c>
      <c r="B209" s="67" t="str">
        <f t="shared" si="1"/>
        <v>M: than</v>
      </c>
      <c r="C209" s="68"/>
      <c r="D209" s="68">
        <f>IFERROR(__xludf.DUMMYFUNCTION("ARRAYFORMULA(
  INDEX(
    UNIQUE(FILTER(D169:D11612, D169:D11612&lt;&gt;"""")),
    CEILING.MATH(SEQUENCE(COUNTUNIQUE(D169:D11612)*10, 1, 1)/10
  )
)+4)"),45762.0)</f>
        <v>45762</v>
      </c>
      <c r="E209" s="66">
        <v>8.0</v>
      </c>
      <c r="F209" s="66" t="str">
        <f>IFERROR(__xludf.DUMMYFUNCTION("GOOGLETRANSLATE(A209,""en"",""pt"")"),"que")</f>
        <v>que</v>
      </c>
      <c r="G209" s="69"/>
    </row>
    <row r="210" ht="22.5" customHeight="1">
      <c r="A210" s="66" t="s">
        <v>456</v>
      </c>
      <c r="B210" s="67" t="str">
        <f t="shared" si="1"/>
        <v>M: useful</v>
      </c>
      <c r="C210" s="68"/>
      <c r="D210" s="68">
        <f>IFERROR(__xludf.DUMMYFUNCTION("ARRAYFORMULA(
  INDEX(
    UNIQUE(FILTER(D170:D11612, D170:D11612&lt;&gt;"""")),
    CEILING.MATH(SEQUENCE(COUNTUNIQUE(D170:D11612)*10, 1, 1)/10
  )
)+4)"),45762.0)</f>
        <v>45762</v>
      </c>
      <c r="E210" s="66">
        <v>9.0</v>
      </c>
      <c r="F210" s="66" t="str">
        <f>IFERROR(__xludf.DUMMYFUNCTION("GOOGLETRANSLATE(A210,""en"",""pt"")"),"útil")</f>
        <v>útil</v>
      </c>
      <c r="G210" s="69"/>
    </row>
    <row r="211" ht="22.5" customHeight="1">
      <c r="A211" s="66" t="s">
        <v>457</v>
      </c>
      <c r="B211" s="67" t="str">
        <f t="shared" si="1"/>
        <v>M: brought up</v>
      </c>
      <c r="C211" s="68"/>
      <c r="D211" s="68">
        <f>IFERROR(__xludf.DUMMYFUNCTION("ARRAYFORMULA(
  INDEX(
    UNIQUE(FILTER(D171:D11612, D171:D11612&lt;&gt;"""")),
    CEILING.MATH(SEQUENCE(COUNTUNIQUE(D171:D11612)*10, 1, 1)/10
  )
)+4)"),45762.0)</f>
        <v>45762</v>
      </c>
      <c r="E211" s="66">
        <v>10.0</v>
      </c>
      <c r="F211" s="66" t="str">
        <f>IFERROR(__xludf.DUMMYFUNCTION("GOOGLETRANSLATE(A211,""en"",""pt"")"),"foi levantado")</f>
        <v>foi levantado</v>
      </c>
      <c r="G211" s="69"/>
    </row>
    <row r="212" ht="22.5" customHeight="1">
      <c r="A212" s="66" t="s">
        <v>458</v>
      </c>
      <c r="B212" s="67" t="str">
        <f t="shared" si="1"/>
        <v>M: wanna</v>
      </c>
      <c r="C212" s="68"/>
      <c r="D212" s="68">
        <f>IFERROR(__xludf.DUMMYFUNCTION("ARRAYFORMULA(
  INDEX(
    UNIQUE(FILTER(D172:D11612, D172:D11612&lt;&gt;"""")),
    CEILING.MATH(SEQUENCE(COUNTUNIQUE(D172:D11612)*10, 1, 1)/10
  )
)+4)"),45763.0)</f>
        <v>45763</v>
      </c>
      <c r="E212" s="66">
        <v>1.0</v>
      </c>
      <c r="F212" s="66" t="str">
        <f>IFERROR(__xludf.DUMMYFUNCTION("GOOGLETRANSLATE(A212,""en"",""pt"")"),"quero")</f>
        <v>quero</v>
      </c>
      <c r="G212" s="69"/>
    </row>
    <row r="213" ht="22.5" customHeight="1">
      <c r="A213" s="66" t="s">
        <v>459</v>
      </c>
      <c r="B213" s="67" t="str">
        <f t="shared" si="1"/>
        <v>M: no one</v>
      </c>
      <c r="C213" s="68"/>
      <c r="D213" s="68">
        <f>IFERROR(__xludf.DUMMYFUNCTION("ARRAYFORMULA(
  INDEX(
    UNIQUE(FILTER(D173:D11612, D173:D11612&lt;&gt;"""")),
    CEILING.MATH(SEQUENCE(COUNTUNIQUE(D173:D11612)*10, 1, 1)/10
  )
)+4)"),45763.0)</f>
        <v>45763</v>
      </c>
      <c r="E213" s="66">
        <v>2.0</v>
      </c>
      <c r="F213" s="66" t="s">
        <v>460</v>
      </c>
      <c r="G213" s="66" t="s">
        <v>247</v>
      </c>
    </row>
    <row r="214" ht="22.5" customHeight="1">
      <c r="A214" s="66" t="s">
        <v>461</v>
      </c>
      <c r="B214" s="67" t="str">
        <f t="shared" si="1"/>
        <v>M: has</v>
      </c>
      <c r="C214" s="68"/>
      <c r="D214" s="68">
        <f>IFERROR(__xludf.DUMMYFUNCTION("ARRAYFORMULA(
  INDEX(
    UNIQUE(FILTER(D174:D11612, D174:D11612&lt;&gt;"""")),
    CEILING.MATH(SEQUENCE(COUNTUNIQUE(D174:D11612)*10, 1, 1)/10
  )
)+4)"),45763.0)</f>
        <v>45763</v>
      </c>
      <c r="E214" s="66">
        <v>3.0</v>
      </c>
      <c r="F214" s="66" t="str">
        <f>IFERROR(__xludf.DUMMYFUNCTION("GOOGLETRANSLATE(A214,""en"",""pt"")"),"tem")</f>
        <v>tem</v>
      </c>
      <c r="G214" s="69"/>
    </row>
    <row r="215" ht="22.5" customHeight="1">
      <c r="A215" s="66" t="s">
        <v>462</v>
      </c>
      <c r="B215" s="67" t="str">
        <f t="shared" si="1"/>
        <v>M: clears out</v>
      </c>
      <c r="C215" s="68"/>
      <c r="D215" s="68">
        <f>IFERROR(__xludf.DUMMYFUNCTION("ARRAYFORMULA(
  INDEX(
    UNIQUE(FILTER(D175:D11612, D175:D11612&lt;&gt;"""")),
    CEILING.MATH(SEQUENCE(COUNTUNIQUE(D175:D11612)*10, 1, 1)/10
  )
)+4)"),45763.0)</f>
        <v>45763</v>
      </c>
      <c r="E215" s="66">
        <v>4.0</v>
      </c>
      <c r="F215" s="66" t="str">
        <f>IFERROR(__xludf.DUMMYFUNCTION("GOOGLETRANSLATE(A215,""en"",""pt"")"),"limpa")</f>
        <v>limpa</v>
      </c>
      <c r="G215" s="69"/>
    </row>
    <row r="216" ht="22.5" customHeight="1">
      <c r="A216" s="66" t="s">
        <v>463</v>
      </c>
      <c r="B216" s="67" t="str">
        <f t="shared" si="1"/>
        <v>M: cleared away</v>
      </c>
      <c r="C216" s="68"/>
      <c r="D216" s="68">
        <f>IFERROR(__xludf.DUMMYFUNCTION("ARRAYFORMULA(
  INDEX(
    UNIQUE(FILTER(D176:D11612, D176:D11612&lt;&gt;"""")),
    CEILING.MATH(SEQUENCE(COUNTUNIQUE(D176:D11612)*10, 1, 1)/10
  )
)+4)"),45763.0)</f>
        <v>45763</v>
      </c>
      <c r="E216" s="66">
        <v>5.0</v>
      </c>
      <c r="F216" s="66" t="str">
        <f>IFERROR(__xludf.DUMMYFUNCTION("GOOGLETRANSLATE(A216,""en"",""pt"")"),"limpo")</f>
        <v>limpo</v>
      </c>
      <c r="G216" s="69"/>
    </row>
    <row r="217" ht="22.5" customHeight="1">
      <c r="A217" s="66" t="s">
        <v>464</v>
      </c>
      <c r="B217" s="67" t="str">
        <f t="shared" si="1"/>
        <v>M: quite</v>
      </c>
      <c r="C217" s="68"/>
      <c r="D217" s="68">
        <f>IFERROR(__xludf.DUMMYFUNCTION("ARRAYFORMULA(
  INDEX(
    UNIQUE(FILTER(D177:D11612, D177:D11612&lt;&gt;"""")),
    CEILING.MATH(SEQUENCE(COUNTUNIQUE(D177:D11612)*10, 1, 1)/10
  )
)+4)"),45763.0)</f>
        <v>45763</v>
      </c>
      <c r="E217" s="66">
        <v>6.0</v>
      </c>
      <c r="F217" s="66" t="str">
        <f>IFERROR(__xludf.DUMMYFUNCTION("GOOGLETRANSLATE(A217,""en"",""pt"")"),"bastante")</f>
        <v>bastante</v>
      </c>
      <c r="G217" s="69"/>
    </row>
    <row r="218" ht="22.5" customHeight="1">
      <c r="A218" s="66" t="s">
        <v>465</v>
      </c>
      <c r="B218" s="67" t="str">
        <f t="shared" si="1"/>
        <v>M: someone else</v>
      </c>
      <c r="C218" s="68"/>
      <c r="D218" s="68">
        <f>IFERROR(__xludf.DUMMYFUNCTION("ARRAYFORMULA(
  INDEX(
    UNIQUE(FILTER(D178:D11612, D178:D11612&lt;&gt;"""")),
    CEILING.MATH(SEQUENCE(COUNTUNIQUE(D178:D11612)*10, 1, 1)/10
  )
)+4)"),45763.0)</f>
        <v>45763</v>
      </c>
      <c r="E218" s="66">
        <v>7.0</v>
      </c>
      <c r="F218" s="66" t="str">
        <f>IFERROR(__xludf.DUMMYFUNCTION("GOOGLETRANSLATE(A218,""en"",""pt"")"),"outra pessoa")</f>
        <v>outra pessoa</v>
      </c>
      <c r="G218" s="69"/>
    </row>
    <row r="219" ht="22.5" customHeight="1">
      <c r="A219" s="66" t="s">
        <v>466</v>
      </c>
      <c r="B219" s="67" t="str">
        <f t="shared" si="1"/>
        <v>M: inner</v>
      </c>
      <c r="C219" s="66">
        <v>1.0</v>
      </c>
      <c r="D219" s="68">
        <f>IFERROR(__xludf.DUMMYFUNCTION("ARRAYFORMULA(
  INDEX(
    UNIQUE(FILTER(D179:D11612, D179:D11612&lt;&gt;"""")),
    CEILING.MATH(SEQUENCE(COUNTUNIQUE(D179:D11612)*10, 1, 1)/10
  )
)+4)"),45763.0)</f>
        <v>45763</v>
      </c>
      <c r="E219" s="66">
        <v>8.0</v>
      </c>
      <c r="F219" s="71" t="s">
        <v>467</v>
      </c>
      <c r="G219" s="66" t="s">
        <v>247</v>
      </c>
    </row>
    <row r="220" ht="22.5" customHeight="1">
      <c r="A220" s="66" t="s">
        <v>468</v>
      </c>
      <c r="B220" s="67" t="str">
        <f t="shared" si="1"/>
        <v>M: Everything else</v>
      </c>
      <c r="C220" s="68"/>
      <c r="D220" s="68">
        <f>IFERROR(__xludf.DUMMYFUNCTION("ARRAYFORMULA(
  INDEX(
    UNIQUE(FILTER(D180:D11612, D180:D11612&lt;&gt;"""")),
    CEILING.MATH(SEQUENCE(COUNTUNIQUE(D180:D11612)*10, 1, 1)/10
  )
)+4)"),45763.0)</f>
        <v>45763</v>
      </c>
      <c r="E220" s="66">
        <v>9.0</v>
      </c>
      <c r="F220" s="66" t="str">
        <f>IFERROR(__xludf.DUMMYFUNCTION("GOOGLETRANSLATE(A220,""en"",""pt"")"),"Todo o resto")</f>
        <v>Todo o resto</v>
      </c>
      <c r="G220" s="69"/>
    </row>
    <row r="221" ht="22.5" customHeight="1">
      <c r="A221" s="66" t="s">
        <v>469</v>
      </c>
      <c r="B221" s="67" t="str">
        <f t="shared" si="1"/>
        <v>M: drown out</v>
      </c>
      <c r="C221" s="68"/>
      <c r="D221" s="68">
        <f>IFERROR(__xludf.DUMMYFUNCTION("ARRAYFORMULA(
  INDEX(
    UNIQUE(FILTER(D181:D11612, D181:D11612&lt;&gt;"""")),
    CEILING.MATH(SEQUENCE(COUNTUNIQUE(D181:D11612)*10, 1, 1)/10
  )
)+4)"),45763.0)</f>
        <v>45763</v>
      </c>
      <c r="E221" s="66">
        <v>10.0</v>
      </c>
      <c r="F221" s="66" t="str">
        <f>IFERROR(__xludf.DUMMYFUNCTION("GOOGLETRANSLATE(A221,""en"",""pt"")"),"abafar")</f>
        <v>abafar</v>
      </c>
      <c r="G221" s="69"/>
    </row>
    <row r="222" ht="22.5" customHeight="1">
      <c r="A222" s="66" t="s">
        <v>470</v>
      </c>
      <c r="B222" s="67" t="str">
        <f t="shared" si="1"/>
        <v>M: whole</v>
      </c>
      <c r="C222" s="68"/>
      <c r="D222" s="68">
        <f>IFERROR(__xludf.DUMMYFUNCTION("ARRAYFORMULA(
  INDEX(
    UNIQUE(FILTER(D182:D11612, D182:D11612&lt;&gt;"""")),
    CEILING.MATH(SEQUENCE(COUNTUNIQUE(D182:D11612)*10, 1, 1)/10
  )
)+4)"),45764.0)</f>
        <v>45764</v>
      </c>
      <c r="E222" s="66">
        <v>1.0</v>
      </c>
      <c r="F222" s="66" t="str">
        <f>IFERROR(__xludf.DUMMYFUNCTION("GOOGLETRANSLATE(A222,""en"",""pt"")"),"todo")</f>
        <v>todo</v>
      </c>
      <c r="G222" s="69"/>
    </row>
    <row r="223" ht="22.5" customHeight="1">
      <c r="A223" s="66" t="s">
        <v>471</v>
      </c>
      <c r="B223" s="67" t="str">
        <f t="shared" si="1"/>
        <v>M: fellow</v>
      </c>
      <c r="C223" s="68"/>
      <c r="D223" s="68">
        <f>IFERROR(__xludf.DUMMYFUNCTION("ARRAYFORMULA(
  INDEX(
    UNIQUE(FILTER(D183:D11612, D183:D11612&lt;&gt;"""")),
    CEILING.MATH(SEQUENCE(COUNTUNIQUE(D183:D11612)*10, 1, 1)/10
  )
)+4)"),45764.0)</f>
        <v>45764</v>
      </c>
      <c r="E223" s="66">
        <v>2.0</v>
      </c>
      <c r="F223" s="66" t="str">
        <f>IFERROR(__xludf.DUMMYFUNCTION("GOOGLETRANSLATE(A223,""en"",""pt"")"),"amigo")</f>
        <v>amigo</v>
      </c>
      <c r="G223" s="69"/>
    </row>
    <row r="224" ht="22.5" customHeight="1">
      <c r="A224" s="66" t="s">
        <v>472</v>
      </c>
      <c r="B224" s="67" t="str">
        <f t="shared" si="1"/>
        <v>M: brought</v>
      </c>
      <c r="C224" s="68"/>
      <c r="D224" s="68">
        <f>IFERROR(__xludf.DUMMYFUNCTION("ARRAYFORMULA(
  INDEX(
    UNIQUE(FILTER(D184:D11612, D184:D11612&lt;&gt;"""")),
    CEILING.MATH(SEQUENCE(COUNTUNIQUE(D184:D11612)*10, 1, 1)/10
  )
)+4)"),45764.0)</f>
        <v>45764</v>
      </c>
      <c r="E224" s="66">
        <v>3.0</v>
      </c>
      <c r="F224" s="66" t="str">
        <f>IFERROR(__xludf.DUMMYFUNCTION("GOOGLETRANSLATE(A224,""en"",""pt"")"),"trouxe")</f>
        <v>trouxe</v>
      </c>
      <c r="G224" s="69"/>
    </row>
    <row r="225" ht="22.5" customHeight="1">
      <c r="A225" s="66" t="s">
        <v>473</v>
      </c>
      <c r="B225" s="67" t="str">
        <f t="shared" si="1"/>
        <v>M: came along</v>
      </c>
      <c r="C225" s="68"/>
      <c r="D225" s="68">
        <f>IFERROR(__xludf.DUMMYFUNCTION("ARRAYFORMULA(
  INDEX(
    UNIQUE(FILTER(D185:D11612, D185:D11612&lt;&gt;"""")),
    CEILING.MATH(SEQUENCE(COUNTUNIQUE(D185:D11612)*10, 1, 1)/10
  )
)+4)"),45764.0)</f>
        <v>45764</v>
      </c>
      <c r="E225" s="66">
        <v>4.0</v>
      </c>
      <c r="F225" s="66" t="str">
        <f>IFERROR(__xludf.DUMMYFUNCTION("GOOGLETRANSLATE(A225,""en"",""pt"")"),"veio junto")</f>
        <v>veio junto</v>
      </c>
      <c r="G225" s="69"/>
    </row>
    <row r="226" ht="22.5" customHeight="1">
      <c r="A226" s="66" t="s">
        <v>474</v>
      </c>
      <c r="B226" s="67" t="str">
        <f t="shared" si="1"/>
        <v>M: sort of</v>
      </c>
      <c r="C226" s="68"/>
      <c r="D226" s="68">
        <f>IFERROR(__xludf.DUMMYFUNCTION("ARRAYFORMULA(
  INDEX(
    UNIQUE(FILTER(D186:D11612, D186:D11612&lt;&gt;"""")),
    CEILING.MATH(SEQUENCE(COUNTUNIQUE(D186:D11612)*10, 1, 1)/10
  )
)+4)"),45764.0)</f>
        <v>45764</v>
      </c>
      <c r="E226" s="66">
        <v>5.0</v>
      </c>
      <c r="F226" s="66" t="str">
        <f>IFERROR(__xludf.DUMMYFUNCTION("GOOGLETRANSLATE(A226,""en"",""pt"")"),"mais ou menos")</f>
        <v>mais ou menos</v>
      </c>
      <c r="G226" s="69"/>
    </row>
    <row r="227" ht="22.5" customHeight="1">
      <c r="A227" s="66" t="s">
        <v>475</v>
      </c>
      <c r="B227" s="67" t="str">
        <f t="shared" si="1"/>
        <v>M: neat</v>
      </c>
      <c r="C227" s="68"/>
      <c r="D227" s="68">
        <f>IFERROR(__xludf.DUMMYFUNCTION("ARRAYFORMULA(
  INDEX(
    UNIQUE(FILTER(D187:D11612, D187:D11612&lt;&gt;"""")),
    CEILING.MATH(SEQUENCE(COUNTUNIQUE(D187:D11612)*10, 1, 1)/10
  )
)+4)"),45764.0)</f>
        <v>45764</v>
      </c>
      <c r="E227" s="66">
        <v>6.0</v>
      </c>
      <c r="F227" s="66" t="str">
        <f>IFERROR(__xludf.DUMMYFUNCTION("GOOGLETRANSLATE(A227,""en"",""pt"")"),"organizado")</f>
        <v>organizado</v>
      </c>
      <c r="G227" s="69"/>
    </row>
    <row r="228" ht="22.5" customHeight="1">
      <c r="A228" s="66" t="s">
        <v>476</v>
      </c>
      <c r="B228" s="67" t="str">
        <f t="shared" si="1"/>
        <v>M: hitchhiking</v>
      </c>
      <c r="C228" s="68"/>
      <c r="D228" s="68">
        <f>IFERROR(__xludf.DUMMYFUNCTION("ARRAYFORMULA(
  INDEX(
    UNIQUE(FILTER(D188:D11612, D188:D11612&lt;&gt;"""")),
    CEILING.MATH(SEQUENCE(COUNTUNIQUE(D188:D11612)*10, 1, 1)/10
  )
)+4)"),45764.0)</f>
        <v>45764</v>
      </c>
      <c r="E228" s="66">
        <v>7.0</v>
      </c>
      <c r="F228" s="66" t="str">
        <f>IFERROR(__xludf.DUMMYFUNCTION("GOOGLETRANSLATE(A228,""en"",""pt"")"),"pedir carona")</f>
        <v>pedir carona</v>
      </c>
      <c r="G228" s="69"/>
    </row>
    <row r="229" ht="22.5" customHeight="1">
      <c r="A229" s="66" t="s">
        <v>477</v>
      </c>
      <c r="B229" s="67" t="str">
        <f t="shared" si="1"/>
        <v>M: Beneath</v>
      </c>
      <c r="C229" s="68"/>
      <c r="D229" s="68">
        <f>IFERROR(__xludf.DUMMYFUNCTION("ARRAYFORMULA(
  INDEX(
    UNIQUE(FILTER(D189:D11612, D189:D11612&lt;&gt;"""")),
    CEILING.MATH(SEQUENCE(COUNTUNIQUE(D189:D11612)*10, 1, 1)/10
  )
)+4)"),45764.0)</f>
        <v>45764</v>
      </c>
      <c r="E229" s="66">
        <v>8.0</v>
      </c>
      <c r="F229" s="66" t="str">
        <f>IFERROR(__xludf.DUMMYFUNCTION("GOOGLETRANSLATE(A229,""en"",""pt"")"),"Abaixo")</f>
        <v>Abaixo</v>
      </c>
      <c r="G229" s="69"/>
    </row>
    <row r="230" ht="22.5" customHeight="1">
      <c r="A230" s="66" t="s">
        <v>478</v>
      </c>
      <c r="B230" s="67" t="str">
        <f t="shared" si="1"/>
        <v>M: farewell</v>
      </c>
      <c r="C230" s="68"/>
      <c r="D230" s="68">
        <f>IFERROR(__xludf.DUMMYFUNCTION("ARRAYFORMULA(
  INDEX(
    UNIQUE(FILTER(D190:D11612, D190:D11612&lt;&gt;"""")),
    CEILING.MATH(SEQUENCE(COUNTUNIQUE(D190:D11612)*10, 1, 1)/10
  )
)+4)"),45764.0)</f>
        <v>45764</v>
      </c>
      <c r="E230" s="66">
        <v>9.0</v>
      </c>
      <c r="F230" s="66" t="str">
        <f>IFERROR(__xludf.DUMMYFUNCTION("GOOGLETRANSLATE(A230,""en"",""pt"")"),"até a próxima")</f>
        <v>até a próxima</v>
      </c>
      <c r="G230" s="69"/>
    </row>
    <row r="231" ht="22.5" customHeight="1">
      <c r="A231" s="66" t="s">
        <v>479</v>
      </c>
      <c r="B231" s="67" t="str">
        <f t="shared" si="1"/>
        <v>M: signed off</v>
      </c>
      <c r="C231" s="68"/>
      <c r="D231" s="68">
        <f>IFERROR(__xludf.DUMMYFUNCTION("ARRAYFORMULA(
  INDEX(
    UNIQUE(FILTER(D191:D11612, D191:D11612&lt;&gt;"""")),
    CEILING.MATH(SEQUENCE(COUNTUNIQUE(D191:D11612)*10, 1, 1)/10
  )
)+4)"),45764.0)</f>
        <v>45764</v>
      </c>
      <c r="E231" s="66">
        <v>10.0</v>
      </c>
      <c r="F231" s="66" t="str">
        <f>IFERROR(__xludf.DUMMYFUNCTION("GOOGLETRANSLATE(A231,""en"",""pt"")"),"Assinado")</f>
        <v>Assinado</v>
      </c>
      <c r="G231" s="69"/>
    </row>
    <row r="232" ht="22.5" customHeight="1">
      <c r="A232" s="66" t="s">
        <v>480</v>
      </c>
      <c r="B232" s="67" t="str">
        <f t="shared" si="1"/>
        <v>M: rest</v>
      </c>
      <c r="C232" s="68"/>
      <c r="D232" s="68">
        <f>IFERROR(__xludf.DUMMYFUNCTION("ARRAYFORMULA(
  INDEX(
    UNIQUE(FILTER(D192:D11612, D192:D11612&lt;&gt;"""")),
    CEILING.MATH(SEQUENCE(COUNTUNIQUE(D192:D11612)*10, 1, 1)/10
  )
)+4)"),45765.0)</f>
        <v>45765</v>
      </c>
      <c r="E232" s="66">
        <v>1.0</v>
      </c>
      <c r="F232" s="66" t="str">
        <f>IFERROR(__xludf.DUMMYFUNCTION("GOOGLETRANSLATE(A232,""en"",""pt"")"),"descansar")</f>
        <v>descansar</v>
      </c>
      <c r="G232" s="69"/>
    </row>
    <row r="233" ht="22.5" customHeight="1">
      <c r="A233" s="66" t="s">
        <v>481</v>
      </c>
      <c r="B233" s="67" t="str">
        <f t="shared" si="1"/>
        <v>M: sort out</v>
      </c>
      <c r="C233" s="68"/>
      <c r="D233" s="68">
        <f>IFERROR(__xludf.DUMMYFUNCTION("ARRAYFORMULA(
  INDEX(
    UNIQUE(FILTER(D193:D11612, D193:D11612&lt;&gt;"""")),
    CEILING.MATH(SEQUENCE(COUNTUNIQUE(D193:D11612)*10, 1, 1)/10
  )
)+4)"),45765.0)</f>
        <v>45765</v>
      </c>
      <c r="E233" s="66">
        <v>2.0</v>
      </c>
      <c r="F233" s="66" t="str">
        <f>IFERROR(__xludf.DUMMYFUNCTION("GOOGLETRANSLATE(A233,""en"",""pt"")"),"separar")</f>
        <v>separar</v>
      </c>
      <c r="G233" s="69"/>
    </row>
    <row r="234" ht="22.5" customHeight="1">
      <c r="A234" s="66" t="s">
        <v>482</v>
      </c>
      <c r="B234" s="67" t="str">
        <f t="shared" si="1"/>
        <v>M: eating out</v>
      </c>
      <c r="C234" s="68"/>
      <c r="D234" s="68">
        <f>IFERROR(__xludf.DUMMYFUNCTION("ARRAYFORMULA(
  INDEX(
    UNIQUE(FILTER(D194:D11612, D194:D11612&lt;&gt;"""")),
    CEILING.MATH(SEQUENCE(COUNTUNIQUE(D194:D11612)*10, 1, 1)/10
  )
)+4)"),45765.0)</f>
        <v>45765</v>
      </c>
      <c r="E234" s="66">
        <v>3.0</v>
      </c>
      <c r="F234" s="66" t="str">
        <f>IFERROR(__xludf.DUMMYFUNCTION("GOOGLETRANSLATE(A234,""en"",""pt"")"),"comer fora")</f>
        <v>comer fora</v>
      </c>
      <c r="G234" s="69"/>
    </row>
    <row r="235" ht="22.5" customHeight="1">
      <c r="A235" s="66" t="s">
        <v>483</v>
      </c>
      <c r="B235" s="67" t="str">
        <f t="shared" si="1"/>
        <v>M: savoring</v>
      </c>
      <c r="C235" s="68"/>
      <c r="D235" s="68">
        <f>IFERROR(__xludf.DUMMYFUNCTION("ARRAYFORMULA(
  INDEX(
    UNIQUE(FILTER(D195:D11612, D195:D11612&lt;&gt;"""")),
    CEILING.MATH(SEQUENCE(COUNTUNIQUE(D195:D11612)*10, 1, 1)/10
  )
)+4)"),45765.0)</f>
        <v>45765</v>
      </c>
      <c r="E235" s="66">
        <v>4.0</v>
      </c>
      <c r="F235" s="66" t="str">
        <f>IFERROR(__xludf.DUMMYFUNCTION("GOOGLETRANSLATE(A235,""en"",""pt"")"),"saboreando")</f>
        <v>saboreando</v>
      </c>
      <c r="G235" s="69"/>
    </row>
    <row r="236" ht="22.5" customHeight="1">
      <c r="A236" s="66" t="s">
        <v>484</v>
      </c>
      <c r="B236" s="67" t="str">
        <f t="shared" si="1"/>
        <v>M: came across</v>
      </c>
      <c r="C236" s="68"/>
      <c r="D236" s="68">
        <f>IFERROR(__xludf.DUMMYFUNCTION("ARRAYFORMULA(
  INDEX(
    UNIQUE(FILTER(D196:D11612, D196:D11612&lt;&gt;"""")),
    CEILING.MATH(SEQUENCE(COUNTUNIQUE(D196:D11612)*10, 1, 1)/10
  )
)+4)"),45765.0)</f>
        <v>45765</v>
      </c>
      <c r="E236" s="66">
        <v>5.0</v>
      </c>
      <c r="F236" s="66" t="str">
        <f>IFERROR(__xludf.DUMMYFUNCTION("GOOGLETRANSLATE(A236,""en"",""pt"")"),"me deparei")</f>
        <v>me deparei</v>
      </c>
      <c r="G236" s="69"/>
    </row>
    <row r="237" ht="22.5" customHeight="1">
      <c r="A237" s="66" t="s">
        <v>485</v>
      </c>
      <c r="B237" s="67" t="str">
        <f t="shared" si="1"/>
        <v>M: yesterday</v>
      </c>
      <c r="C237" s="68"/>
      <c r="D237" s="68">
        <f>IFERROR(__xludf.DUMMYFUNCTION("ARRAYFORMULA(
  INDEX(
    UNIQUE(FILTER(D197:D11612, D197:D11612&lt;&gt;"""")),
    CEILING.MATH(SEQUENCE(COUNTUNIQUE(D197:D11612)*10, 1, 1)/10
  )
)+4)"),45765.0)</f>
        <v>45765</v>
      </c>
      <c r="E237" s="66">
        <v>6.0</v>
      </c>
      <c r="F237" s="66" t="str">
        <f>IFERROR(__xludf.DUMMYFUNCTION("GOOGLETRANSLATE(A237,""en"",""pt"")"),"ontem")</f>
        <v>ontem</v>
      </c>
      <c r="G237" s="69"/>
    </row>
    <row r="238" ht="22.5" customHeight="1">
      <c r="A238" s="66" t="s">
        <v>486</v>
      </c>
      <c r="B238" s="67" t="str">
        <f t="shared" si="1"/>
        <v>M: fill out</v>
      </c>
      <c r="C238" s="68"/>
      <c r="D238" s="68">
        <f>IFERROR(__xludf.DUMMYFUNCTION("ARRAYFORMULA(
  INDEX(
    UNIQUE(FILTER(D198:D11612, D198:D11612&lt;&gt;"""")),
    CEILING.MATH(SEQUENCE(COUNTUNIQUE(D198:D11612)*10, 1, 1)/10
  )
)+4)"),45765.0)</f>
        <v>45765</v>
      </c>
      <c r="E238" s="66">
        <v>7.0</v>
      </c>
      <c r="F238" s="66" t="str">
        <f>IFERROR(__xludf.DUMMYFUNCTION("GOOGLETRANSLATE(A238,""en"",""pt"")"),"preencher")</f>
        <v>preencher</v>
      </c>
      <c r="G238" s="69"/>
    </row>
    <row r="239" ht="22.5" customHeight="1">
      <c r="A239" s="66" t="s">
        <v>487</v>
      </c>
      <c r="B239" s="67" t="str">
        <f t="shared" si="1"/>
        <v>M: glad</v>
      </c>
      <c r="C239" s="68"/>
      <c r="D239" s="68">
        <f>IFERROR(__xludf.DUMMYFUNCTION("ARRAYFORMULA(
  INDEX(
    UNIQUE(FILTER(D199:D11612, D199:D11612&lt;&gt;"""")),
    CEILING.MATH(SEQUENCE(COUNTUNIQUE(D199:D11612)*10, 1, 1)/10
  )
)+4)"),45765.0)</f>
        <v>45765</v>
      </c>
      <c r="E239" s="66">
        <v>8.0</v>
      </c>
      <c r="F239" s="66" t="str">
        <f>IFERROR(__xludf.DUMMYFUNCTION("GOOGLETRANSLATE(A239,""en"",""pt"")"),"alegre")</f>
        <v>alegre</v>
      </c>
      <c r="G239" s="69"/>
    </row>
    <row r="240" ht="22.5" customHeight="1">
      <c r="A240" s="66" t="s">
        <v>488</v>
      </c>
      <c r="B240" s="67" t="str">
        <f t="shared" si="1"/>
        <v>M: knew</v>
      </c>
      <c r="C240" s="68"/>
      <c r="D240" s="68">
        <f>IFERROR(__xludf.DUMMYFUNCTION("ARRAYFORMULA(
  INDEX(
    UNIQUE(FILTER(D200:D11612, D200:D11612&lt;&gt;"""")),
    CEILING.MATH(SEQUENCE(COUNTUNIQUE(D200:D11612)*10, 1, 1)/10
  )
)+4)"),45765.0)</f>
        <v>45765</v>
      </c>
      <c r="E240" s="66">
        <v>9.0</v>
      </c>
      <c r="F240" s="66" t="str">
        <f>IFERROR(__xludf.DUMMYFUNCTION("GOOGLETRANSLATE(A240,""en"",""pt"")"),"sabia")</f>
        <v>sabia</v>
      </c>
      <c r="G240" s="69"/>
    </row>
    <row r="241" ht="22.5" customHeight="1">
      <c r="A241" s="66" t="s">
        <v>489</v>
      </c>
      <c r="B241" s="67" t="str">
        <f t="shared" si="1"/>
        <v>M: effort</v>
      </c>
      <c r="C241" s="68"/>
      <c r="D241" s="68">
        <f>IFERROR(__xludf.DUMMYFUNCTION("ARRAYFORMULA(
  INDEX(
    UNIQUE(FILTER(D201:D11612, D201:D11612&lt;&gt;"""")),
    CEILING.MATH(SEQUENCE(COUNTUNIQUE(D201:D11612)*10, 1, 1)/10
  )
)+4)"),45765.0)</f>
        <v>45765</v>
      </c>
      <c r="E241" s="66">
        <v>10.0</v>
      </c>
      <c r="F241" s="66" t="str">
        <f>IFERROR(__xludf.DUMMYFUNCTION("GOOGLETRANSLATE(A241,""en"",""pt"")"),"esforço")</f>
        <v>esforço</v>
      </c>
      <c r="G241" s="69"/>
    </row>
    <row r="242" ht="22.5" customHeight="1">
      <c r="A242" s="66" t="s">
        <v>490</v>
      </c>
      <c r="B242" s="67" t="str">
        <f t="shared" si="1"/>
        <v>M: been gone</v>
      </c>
      <c r="C242" s="68"/>
      <c r="D242" s="68">
        <f>IFERROR(__xludf.DUMMYFUNCTION("ARRAYFORMULA(
  INDEX(
    UNIQUE(FILTER(D202:D11612, D202:D11612&lt;&gt;"""")),
    CEILING.MATH(SEQUENCE(COUNTUNIQUE(D202:D11612)*10, 1, 1)/10
  )
)+4)"),45766.0)</f>
        <v>45766</v>
      </c>
      <c r="E242" s="66">
        <v>1.0</v>
      </c>
      <c r="F242" s="66" t="str">
        <f>IFERROR(__xludf.DUMMYFUNCTION("GOOGLETRANSLATE(A242,""en"",""pt"")"),"esteve ausente")</f>
        <v>esteve ausente</v>
      </c>
      <c r="G242" s="69"/>
    </row>
    <row r="243" ht="22.5" customHeight="1">
      <c r="A243" s="66" t="s">
        <v>491</v>
      </c>
      <c r="B243" s="67" t="str">
        <f t="shared" si="1"/>
        <v>M: break out</v>
      </c>
      <c r="C243" s="66">
        <v>1.0</v>
      </c>
      <c r="D243" s="68">
        <f>IFERROR(__xludf.DUMMYFUNCTION("ARRAYFORMULA(
  INDEX(
    UNIQUE(FILTER(D203:D11612, D203:D11612&lt;&gt;"""")),
    CEILING.MATH(SEQUENCE(COUNTUNIQUE(D203:D11612)*10, 1, 1)/10
  )
)+4)"),45766.0)</f>
        <v>45766</v>
      </c>
      <c r="E243" s="66">
        <v>2.0</v>
      </c>
      <c r="F243" s="71" t="s">
        <v>492</v>
      </c>
      <c r="G243" s="66" t="s">
        <v>247</v>
      </c>
    </row>
    <row r="244" ht="22.5" customHeight="1">
      <c r="A244" s="66" t="s">
        <v>493</v>
      </c>
      <c r="B244" s="67" t="str">
        <f t="shared" si="1"/>
        <v>M: deep down</v>
      </c>
      <c r="C244" s="66">
        <v>1.0</v>
      </c>
      <c r="D244" s="68">
        <f>IFERROR(__xludf.DUMMYFUNCTION("ARRAYFORMULA(
  INDEX(
    UNIQUE(FILTER(D204:D11612, D204:D11612&lt;&gt;"""")),
    CEILING.MATH(SEQUENCE(COUNTUNIQUE(D204:D11612)*10, 1, 1)/10
  )
)+4)"),45766.0)</f>
        <v>45766</v>
      </c>
      <c r="E244" s="66">
        <v>3.0</v>
      </c>
      <c r="F244" s="71" t="s">
        <v>494</v>
      </c>
      <c r="G244" s="66" t="s">
        <v>247</v>
      </c>
    </row>
    <row r="245" ht="22.5" customHeight="1">
      <c r="A245" s="66" t="s">
        <v>495</v>
      </c>
      <c r="B245" s="67" t="str">
        <f t="shared" si="1"/>
        <v>M: thoughtlessly</v>
      </c>
      <c r="C245" s="68"/>
      <c r="D245" s="68">
        <f>IFERROR(__xludf.DUMMYFUNCTION("ARRAYFORMULA(
  INDEX(
    UNIQUE(FILTER(D205:D11612, D205:D11612&lt;&gt;"""")),
    CEILING.MATH(SEQUENCE(COUNTUNIQUE(D205:D11612)*10, 1, 1)/10
  )
)+4)"),45766.0)</f>
        <v>45766</v>
      </c>
      <c r="E245" s="66">
        <v>4.0</v>
      </c>
      <c r="F245" s="66" t="str">
        <f>IFERROR(__xludf.DUMMYFUNCTION("GOOGLETRANSLATE(A245,""en"",""pt"")"),"sem pensar")</f>
        <v>sem pensar</v>
      </c>
      <c r="G245" s="69"/>
    </row>
    <row r="246" ht="22.5" customHeight="1">
      <c r="A246" s="66" t="s">
        <v>496</v>
      </c>
      <c r="B246" s="67" t="str">
        <f t="shared" si="1"/>
        <v>M: concern</v>
      </c>
      <c r="C246" s="68"/>
      <c r="D246" s="68">
        <f>IFERROR(__xludf.DUMMYFUNCTION("ARRAYFORMULA(
  INDEX(
    UNIQUE(FILTER(D206:D11612, D206:D11612&lt;&gt;"""")),
    CEILING.MATH(SEQUENCE(COUNTUNIQUE(D206:D11612)*10, 1, 1)/10
  )
)+4)"),45766.0)</f>
        <v>45766</v>
      </c>
      <c r="E246" s="66">
        <v>5.0</v>
      </c>
      <c r="F246" s="66" t="str">
        <f>IFERROR(__xludf.DUMMYFUNCTION("GOOGLETRANSLATE(A246,""en"",""pt"")"),"preocupação")</f>
        <v>preocupação</v>
      </c>
      <c r="G246" s="69"/>
    </row>
    <row r="247" ht="22.5" customHeight="1">
      <c r="A247" s="66" t="s">
        <v>497</v>
      </c>
      <c r="B247" s="67" t="str">
        <f t="shared" si="1"/>
        <v>M: whole grains</v>
      </c>
      <c r="C247" s="68"/>
      <c r="D247" s="68">
        <f>IFERROR(__xludf.DUMMYFUNCTION("ARRAYFORMULA(
  INDEX(
    UNIQUE(FILTER(D207:D11612, D207:D11612&lt;&gt;"""")),
    CEILING.MATH(SEQUENCE(COUNTUNIQUE(D207:D11612)*10, 1, 1)/10
  )
)+4)"),45766.0)</f>
        <v>45766</v>
      </c>
      <c r="E247" s="66">
        <v>6.0</v>
      </c>
      <c r="F247" s="66" t="str">
        <f>IFERROR(__xludf.DUMMYFUNCTION("GOOGLETRANSLATE(A247,""en"",""pt"")"),"grãos integrais")</f>
        <v>grãos integrais</v>
      </c>
      <c r="G247" s="69"/>
    </row>
    <row r="248" ht="22.5" customHeight="1">
      <c r="A248" s="66" t="s">
        <v>498</v>
      </c>
      <c r="B248" s="67" t="str">
        <f t="shared" si="1"/>
        <v>M: predictable</v>
      </c>
      <c r="C248" s="68"/>
      <c r="D248" s="68">
        <f>IFERROR(__xludf.DUMMYFUNCTION("ARRAYFORMULA(
  INDEX(
    UNIQUE(FILTER(D208:D11612, D208:D11612&lt;&gt;"""")),
    CEILING.MATH(SEQUENCE(COUNTUNIQUE(D208:D11612)*10, 1, 1)/10
  )
)+4)"),45766.0)</f>
        <v>45766</v>
      </c>
      <c r="E248" s="66">
        <v>7.0</v>
      </c>
      <c r="F248" s="66" t="str">
        <f>IFERROR(__xludf.DUMMYFUNCTION("GOOGLETRANSLATE(A248,""en"",""pt"")"),"previsível")</f>
        <v>previsível</v>
      </c>
      <c r="G248" s="69"/>
    </row>
    <row r="249" ht="22.5" customHeight="1">
      <c r="A249" s="66" t="s">
        <v>499</v>
      </c>
      <c r="B249" s="67" t="str">
        <f t="shared" si="1"/>
        <v>M: barely</v>
      </c>
      <c r="C249" s="68"/>
      <c r="D249" s="68">
        <f>IFERROR(__xludf.DUMMYFUNCTION("ARRAYFORMULA(
  INDEX(
    UNIQUE(FILTER(D209:D11612, D209:D11612&lt;&gt;"""")),
    CEILING.MATH(SEQUENCE(COUNTUNIQUE(D209:D11612)*10, 1, 1)/10
  )
)+4)"),45766.0)</f>
        <v>45766</v>
      </c>
      <c r="E249" s="66">
        <v>8.0</v>
      </c>
      <c r="F249" s="66" t="str">
        <f>IFERROR(__xludf.DUMMYFUNCTION("GOOGLETRANSLATE(A249,""en"",""pt"")"),"por muito pouco")</f>
        <v>por muito pouco</v>
      </c>
      <c r="G249" s="69"/>
    </row>
    <row r="250" ht="22.5" customHeight="1">
      <c r="A250" s="66" t="s">
        <v>500</v>
      </c>
      <c r="B250" s="67" t="str">
        <f t="shared" si="1"/>
        <v>M: get out</v>
      </c>
      <c r="C250" s="68"/>
      <c r="D250" s="68">
        <f>IFERROR(__xludf.DUMMYFUNCTION("ARRAYFORMULA(
  INDEX(
    UNIQUE(FILTER(D210:D11612, D210:D11612&lt;&gt;"""")),
    CEILING.MATH(SEQUENCE(COUNTUNIQUE(D210:D11612)*10, 1, 1)/10
  )
)+4)"),45766.0)</f>
        <v>45766</v>
      </c>
      <c r="E250" s="66">
        <v>9.0</v>
      </c>
      <c r="F250" s="66" t="str">
        <f>IFERROR(__xludf.DUMMYFUNCTION("GOOGLETRANSLATE(A250,""en"",""pt"")"),"sair")</f>
        <v>sair</v>
      </c>
      <c r="G250" s="69"/>
    </row>
    <row r="251" ht="22.5" customHeight="1">
      <c r="A251" s="66" t="s">
        <v>501</v>
      </c>
      <c r="B251" s="67" t="str">
        <f t="shared" si="1"/>
        <v>M: answer</v>
      </c>
      <c r="C251" s="68"/>
      <c r="D251" s="68">
        <f>IFERROR(__xludf.DUMMYFUNCTION("ARRAYFORMULA(
  INDEX(
    UNIQUE(FILTER(D211:D11612, D211:D11612&lt;&gt;"""")),
    CEILING.MATH(SEQUENCE(COUNTUNIQUE(D211:D11612)*10, 1, 1)/10
  )
)+4)"),45766.0)</f>
        <v>45766</v>
      </c>
      <c r="E251" s="66">
        <v>10.0</v>
      </c>
      <c r="F251" s="66" t="str">
        <f>IFERROR(__xludf.DUMMYFUNCTION("GOOGLETRANSLATE(A251,""en"",""pt"")"),"responder")</f>
        <v>responder</v>
      </c>
      <c r="G251" s="69"/>
    </row>
    <row r="252" ht="22.5" customHeight="1">
      <c r="A252" s="66" t="s">
        <v>502</v>
      </c>
      <c r="B252" s="67" t="str">
        <f t="shared" si="1"/>
        <v>M: afternoon</v>
      </c>
      <c r="C252" s="68"/>
      <c r="D252" s="68">
        <f>IFERROR(__xludf.DUMMYFUNCTION("ARRAYFORMULA(
  INDEX(
    UNIQUE(FILTER(D212:D11612, D212:D11612&lt;&gt;"""")),
    CEILING.MATH(SEQUENCE(COUNTUNIQUE(D212:D11612)*10, 1, 1)/10
  )
)+4)"),45767.0)</f>
        <v>45767</v>
      </c>
      <c r="E252" s="66">
        <v>1.0</v>
      </c>
      <c r="F252" s="66" t="str">
        <f>IFERROR(__xludf.DUMMYFUNCTION("GOOGLETRANSLATE(A252,""en"",""pt"")"),"tarde")</f>
        <v>tarde</v>
      </c>
      <c r="G252" s="69"/>
    </row>
    <row r="253" ht="22.5" customHeight="1">
      <c r="A253" s="66" t="s">
        <v>503</v>
      </c>
      <c r="B253" s="67" t="str">
        <f t="shared" si="1"/>
        <v>M: look over</v>
      </c>
      <c r="C253" s="68"/>
      <c r="D253" s="68">
        <f>IFERROR(__xludf.DUMMYFUNCTION("ARRAYFORMULA(
  INDEX(
    UNIQUE(FILTER(D213:D11612, D213:D11612&lt;&gt;"""")),
    CEILING.MATH(SEQUENCE(COUNTUNIQUE(D213:D11612)*10, 1, 1)/10
  )
)+4)"),45767.0)</f>
        <v>45767</v>
      </c>
      <c r="E253" s="66">
        <v>2.0</v>
      </c>
      <c r="F253" s="66" t="str">
        <f>IFERROR(__xludf.DUMMYFUNCTION("GOOGLETRANSLATE(A253,""en"",""pt"")"),"examinar")</f>
        <v>examinar</v>
      </c>
      <c r="G253" s="69"/>
    </row>
    <row r="254" ht="22.5" customHeight="1">
      <c r="A254" s="66" t="s">
        <v>504</v>
      </c>
      <c r="B254" s="67" t="str">
        <f t="shared" si="1"/>
        <v>M: clock out</v>
      </c>
      <c r="C254" s="68"/>
      <c r="D254" s="68">
        <f>IFERROR(__xludf.DUMMYFUNCTION("ARRAYFORMULA(
  INDEX(
    UNIQUE(FILTER(D214:D11612, D214:D11612&lt;&gt;"""")),
    CEILING.MATH(SEQUENCE(COUNTUNIQUE(D214:D11612)*10, 1, 1)/10
  )
)+4)"),45767.0)</f>
        <v>45767</v>
      </c>
      <c r="E254" s="66">
        <v>3.0</v>
      </c>
      <c r="F254" s="66" t="str">
        <f>IFERROR(__xludf.DUMMYFUNCTION("GOOGLETRANSLATE(A254,""en"",""pt"")"),"registrar saída")</f>
        <v>registrar saída</v>
      </c>
      <c r="G254" s="69"/>
    </row>
    <row r="255" ht="22.5" customHeight="1">
      <c r="A255" s="66" t="s">
        <v>505</v>
      </c>
      <c r="B255" s="67" t="str">
        <f t="shared" si="1"/>
        <v>M: heat up</v>
      </c>
      <c r="C255" s="68"/>
      <c r="D255" s="68">
        <f>IFERROR(__xludf.DUMMYFUNCTION("ARRAYFORMULA(
  INDEX(
    UNIQUE(FILTER(D215:D11612, D215:D11612&lt;&gt;"""")),
    CEILING.MATH(SEQUENCE(COUNTUNIQUE(D215:D11612)*10, 1, 1)/10
  )
)+4)"),45767.0)</f>
        <v>45767</v>
      </c>
      <c r="E255" s="66">
        <v>4.0</v>
      </c>
      <c r="F255" s="66" t="str">
        <f>IFERROR(__xludf.DUMMYFUNCTION("GOOGLETRANSLATE(A255,""en"",""pt"")"),"aquecer")</f>
        <v>aquecer</v>
      </c>
      <c r="G255" s="69"/>
    </row>
    <row r="256" ht="22.5" customHeight="1">
      <c r="A256" s="66" t="s">
        <v>506</v>
      </c>
      <c r="B256" s="67" t="str">
        <f t="shared" si="1"/>
        <v>M: desserts</v>
      </c>
      <c r="C256" s="68"/>
      <c r="D256" s="68">
        <f>IFERROR(__xludf.DUMMYFUNCTION("ARRAYFORMULA(
  INDEX(
    UNIQUE(FILTER(D216:D11612, D216:D11612&lt;&gt;"""")),
    CEILING.MATH(SEQUENCE(COUNTUNIQUE(D216:D11612)*10, 1, 1)/10
  )
)+4)"),45767.0)</f>
        <v>45767</v>
      </c>
      <c r="E256" s="66">
        <v>5.0</v>
      </c>
      <c r="F256" s="66" t="str">
        <f>IFERROR(__xludf.DUMMYFUNCTION("GOOGLETRANSLATE(A256,""en"",""pt"")"),"sobremesas")</f>
        <v>sobremesas</v>
      </c>
      <c r="G256" s="69"/>
    </row>
    <row r="257" ht="22.5" customHeight="1">
      <c r="A257" s="66" t="s">
        <v>507</v>
      </c>
      <c r="B257" s="67" t="str">
        <f t="shared" si="1"/>
        <v>M: haul</v>
      </c>
      <c r="C257" s="68"/>
      <c r="D257" s="68">
        <f>IFERROR(__xludf.DUMMYFUNCTION("ARRAYFORMULA(
  INDEX(
    UNIQUE(FILTER(D217:D11612, D217:D11612&lt;&gt;"""")),
    CEILING.MATH(SEQUENCE(COUNTUNIQUE(D217:D11612)*10, 1, 1)/10
  )
)+4)"),45767.0)</f>
        <v>45767</v>
      </c>
      <c r="E257" s="66">
        <v>6.0</v>
      </c>
      <c r="F257" s="66" t="str">
        <f>IFERROR(__xludf.DUMMYFUNCTION("GOOGLETRANSLATE(A257,""en"",""pt"")"),"transporte")</f>
        <v>transporte</v>
      </c>
      <c r="G257" s="69"/>
    </row>
    <row r="258" ht="22.5" customHeight="1">
      <c r="A258" s="66" t="s">
        <v>508</v>
      </c>
      <c r="B258" s="67" t="str">
        <f t="shared" si="1"/>
        <v>M: bulk</v>
      </c>
      <c r="C258" s="68"/>
      <c r="D258" s="68">
        <f>IFERROR(__xludf.DUMMYFUNCTION("ARRAYFORMULA(
  INDEX(
    UNIQUE(FILTER(D218:D11612, D218:D11612&lt;&gt;"""")),
    CEILING.MATH(SEQUENCE(COUNTUNIQUE(D218:D11612)*10, 1, 1)/10
  )
)+4)"),45767.0)</f>
        <v>45767</v>
      </c>
      <c r="E258" s="66">
        <v>7.0</v>
      </c>
      <c r="F258" s="66" t="str">
        <f>IFERROR(__xludf.DUMMYFUNCTION("GOOGLETRANSLATE(A258,""en"",""pt"")"),"volume")</f>
        <v>volume</v>
      </c>
      <c r="G258" s="69"/>
    </row>
    <row r="259" ht="22.5" customHeight="1">
      <c r="A259" s="66" t="s">
        <v>509</v>
      </c>
      <c r="B259" s="67" t="str">
        <f t="shared" si="1"/>
        <v>M: couch</v>
      </c>
      <c r="C259" s="66">
        <v>1.0</v>
      </c>
      <c r="D259" s="68">
        <f>IFERROR(__xludf.DUMMYFUNCTION("ARRAYFORMULA(
  INDEX(
    UNIQUE(FILTER(D219:D11612, D219:D11612&lt;&gt;"""")),
    CEILING.MATH(SEQUENCE(COUNTUNIQUE(D219:D11612)*10, 1, 1)/10
  )
)+4)"),45767.0)</f>
        <v>45767</v>
      </c>
      <c r="E259" s="66">
        <v>8.0</v>
      </c>
      <c r="F259" s="66" t="s">
        <v>510</v>
      </c>
      <c r="G259" s="66" t="s">
        <v>247</v>
      </c>
    </row>
    <row r="260" ht="22.5" customHeight="1">
      <c r="A260" s="66" t="s">
        <v>511</v>
      </c>
      <c r="B260" s="67" t="str">
        <f t="shared" si="1"/>
        <v>M: notice</v>
      </c>
      <c r="C260" s="68"/>
      <c r="D260" s="68">
        <f>IFERROR(__xludf.DUMMYFUNCTION("ARRAYFORMULA(
  INDEX(
    UNIQUE(FILTER(D220:D11612, D220:D11612&lt;&gt;"""")),
    CEILING.MATH(SEQUENCE(COUNTUNIQUE(D220:D11612)*10, 1, 1)/10
  )
)+4)"),45767.0)</f>
        <v>45767</v>
      </c>
      <c r="E260" s="66">
        <v>9.0</v>
      </c>
      <c r="F260" s="66" t="str">
        <f>IFERROR(__xludf.DUMMYFUNCTION("GOOGLETRANSLATE(A260,""en"",""pt"")"),"perceber")</f>
        <v>perceber</v>
      </c>
      <c r="G260" s="69"/>
    </row>
    <row r="261" ht="22.5" customHeight="1">
      <c r="A261" s="66" t="s">
        <v>512</v>
      </c>
      <c r="B261" s="67" t="str">
        <f t="shared" si="1"/>
        <v>M: eerie</v>
      </c>
      <c r="C261" s="68"/>
      <c r="D261" s="68">
        <f>IFERROR(__xludf.DUMMYFUNCTION("ARRAYFORMULA(
  INDEX(
    UNIQUE(FILTER(D221:D11612, D221:D11612&lt;&gt;"""")),
    CEILING.MATH(SEQUENCE(COUNTUNIQUE(D221:D11612)*10, 1, 1)/10
  )
)+4)"),45767.0)</f>
        <v>45767</v>
      </c>
      <c r="E261" s="66">
        <v>10.0</v>
      </c>
      <c r="F261" s="66" t="str">
        <f>IFERROR(__xludf.DUMMYFUNCTION("GOOGLETRANSLATE(A261,""en"",""pt"")"),"assustador")</f>
        <v>assustador</v>
      </c>
      <c r="G261" s="69"/>
    </row>
    <row r="262" ht="22.5" customHeight="1">
      <c r="A262" s="66" t="s">
        <v>513</v>
      </c>
      <c r="B262" s="67" t="str">
        <f t="shared" si="1"/>
        <v>M: disbelief</v>
      </c>
      <c r="C262" s="68"/>
      <c r="D262" s="68">
        <f>IFERROR(__xludf.DUMMYFUNCTION("ARRAYFORMULA(
  INDEX(
    UNIQUE(FILTER(D222:D11612, D222:D11612&lt;&gt;"""")),
    CEILING.MATH(SEQUENCE(COUNTUNIQUE(D222:D11612)*10, 1, 1)/10
  )
)+4)"),45768.0)</f>
        <v>45768</v>
      </c>
      <c r="E262" s="66">
        <v>1.0</v>
      </c>
      <c r="F262" s="66" t="str">
        <f>IFERROR(__xludf.DUMMYFUNCTION("GOOGLETRANSLATE(A262,""en"",""pt"")"),"descrença")</f>
        <v>descrença</v>
      </c>
      <c r="G262" s="69"/>
    </row>
    <row r="263" ht="22.5" customHeight="1">
      <c r="A263" s="66" t="s">
        <v>514</v>
      </c>
      <c r="B263" s="67" t="str">
        <f t="shared" si="1"/>
        <v>M: gave up</v>
      </c>
      <c r="C263" s="68"/>
      <c r="D263" s="68">
        <f>IFERROR(__xludf.DUMMYFUNCTION("ARRAYFORMULA(
  INDEX(
    UNIQUE(FILTER(D223:D11612, D223:D11612&lt;&gt;"""")),
    CEILING.MATH(SEQUENCE(COUNTUNIQUE(D223:D11612)*10, 1, 1)/10
  )
)+4)"),45768.0)</f>
        <v>45768</v>
      </c>
      <c r="E263" s="66">
        <v>2.0</v>
      </c>
      <c r="F263" s="66" t="str">
        <f>IFERROR(__xludf.DUMMYFUNCTION("GOOGLETRANSLATE(A263,""en"",""pt"")"),"desistiu")</f>
        <v>desistiu</v>
      </c>
      <c r="G263" s="69"/>
    </row>
    <row r="264" ht="22.5" customHeight="1">
      <c r="A264" s="66" t="s">
        <v>515</v>
      </c>
      <c r="B264" s="67" t="str">
        <f t="shared" si="1"/>
        <v>M: still</v>
      </c>
      <c r="C264" s="68"/>
      <c r="D264" s="68">
        <f>IFERROR(__xludf.DUMMYFUNCTION("ARRAYFORMULA(
  INDEX(
    UNIQUE(FILTER(D224:D11612, D224:D11612&lt;&gt;"""")),
    CEILING.MATH(SEQUENCE(COUNTUNIQUE(D224:D11612)*10, 1, 1)/10
  )
)+4)"),45768.0)</f>
        <v>45768</v>
      </c>
      <c r="E264" s="66">
        <v>3.0</v>
      </c>
      <c r="F264" s="66" t="str">
        <f>IFERROR(__xludf.DUMMYFUNCTION("GOOGLETRANSLATE(A264,""en"",""pt"")"),"ainda")</f>
        <v>ainda</v>
      </c>
      <c r="G264" s="69"/>
    </row>
    <row r="265" ht="22.5" customHeight="1">
      <c r="A265" s="66" t="s">
        <v>516</v>
      </c>
      <c r="B265" s="67" t="str">
        <f t="shared" si="1"/>
        <v>M: strangeness</v>
      </c>
      <c r="C265" s="68"/>
      <c r="D265" s="68">
        <f>IFERROR(__xludf.DUMMYFUNCTION("ARRAYFORMULA(
  INDEX(
    UNIQUE(FILTER(D225:D11612, D225:D11612&lt;&gt;"""")),
    CEILING.MATH(SEQUENCE(COUNTUNIQUE(D225:D11612)*10, 1, 1)/10
  )
)+4)"),45768.0)</f>
        <v>45768</v>
      </c>
      <c r="E265" s="66">
        <v>4.0</v>
      </c>
      <c r="F265" s="66" t="str">
        <f>IFERROR(__xludf.DUMMYFUNCTION("GOOGLETRANSLATE(A265,""en"",""pt"")"),"estranheza")</f>
        <v>estranheza</v>
      </c>
      <c r="G265" s="69"/>
    </row>
    <row r="266" ht="22.5" customHeight="1">
      <c r="A266" s="66" t="s">
        <v>517</v>
      </c>
      <c r="B266" s="67" t="str">
        <f t="shared" si="1"/>
        <v>M: whizzing</v>
      </c>
      <c r="C266" s="68"/>
      <c r="D266" s="68">
        <f>IFERROR(__xludf.DUMMYFUNCTION("ARRAYFORMULA(
  INDEX(
    UNIQUE(FILTER(D226:D11612, D226:D11612&lt;&gt;"""")),
    CEILING.MATH(SEQUENCE(COUNTUNIQUE(D226:D11612)*10, 1, 1)/10
  )
)+4)"),45768.0)</f>
        <v>45768</v>
      </c>
      <c r="E266" s="66">
        <v>5.0</v>
      </c>
      <c r="F266" s="66" t="str">
        <f>IFERROR(__xludf.DUMMYFUNCTION("GOOGLETRANSLATE(A266,""en"",""pt"")"),"zunindo")</f>
        <v>zunindo</v>
      </c>
      <c r="G266" s="69"/>
    </row>
    <row r="267" ht="22.5" customHeight="1">
      <c r="A267" s="66" t="s">
        <v>518</v>
      </c>
      <c r="B267" s="67" t="str">
        <f t="shared" si="1"/>
        <v>M: dumpster</v>
      </c>
      <c r="C267" s="68"/>
      <c r="D267" s="68">
        <f>IFERROR(__xludf.DUMMYFUNCTION("ARRAYFORMULA(
  INDEX(
    UNIQUE(FILTER(D227:D11612, D227:D11612&lt;&gt;"""")),
    CEILING.MATH(SEQUENCE(COUNTUNIQUE(D227:D11612)*10, 1, 1)/10
  )
)+4)"),45768.0)</f>
        <v>45768</v>
      </c>
      <c r="E267" s="66">
        <v>6.0</v>
      </c>
      <c r="F267" s="66" t="str">
        <f>IFERROR(__xludf.DUMMYFUNCTION("GOOGLETRANSLATE(A267,""en"",""pt"")"),"caçamba")</f>
        <v>caçamba</v>
      </c>
      <c r="G267" s="69"/>
    </row>
    <row r="268" ht="22.5" customHeight="1">
      <c r="A268" s="66" t="s">
        <v>519</v>
      </c>
      <c r="B268" s="67" t="str">
        <f t="shared" si="1"/>
        <v>M: spilled</v>
      </c>
      <c r="C268" s="66">
        <v>1.0</v>
      </c>
      <c r="D268" s="68">
        <f>IFERROR(__xludf.DUMMYFUNCTION("ARRAYFORMULA(
  INDEX(
    UNIQUE(FILTER(D228:D11612, D228:D11612&lt;&gt;"""")),
    CEILING.MATH(SEQUENCE(COUNTUNIQUE(D228:D11612)*10, 1, 1)/10
  )
)+4)"),45768.0)</f>
        <v>45768</v>
      </c>
      <c r="E268" s="66">
        <v>7.0</v>
      </c>
      <c r="F268" s="71" t="s">
        <v>520</v>
      </c>
      <c r="G268" s="66" t="s">
        <v>247</v>
      </c>
    </row>
    <row r="269" ht="22.5" customHeight="1">
      <c r="A269" s="66" t="s">
        <v>521</v>
      </c>
      <c r="B269" s="67" t="str">
        <f t="shared" si="1"/>
        <v>M: rustled</v>
      </c>
      <c r="C269" s="68"/>
      <c r="D269" s="68">
        <f>IFERROR(__xludf.DUMMYFUNCTION("ARRAYFORMULA(
  INDEX(
    UNIQUE(FILTER(D229:D11612, D229:D11612&lt;&gt;"""")),
    CEILING.MATH(SEQUENCE(COUNTUNIQUE(D229:D11612)*10, 1, 1)/10
  )
)+4)"),45768.0)</f>
        <v>45768</v>
      </c>
      <c r="E269" s="66">
        <v>8.0</v>
      </c>
      <c r="F269" s="66" t="str">
        <f>IFERROR(__xludf.DUMMYFUNCTION("GOOGLETRANSLATE(A269,""en"",""pt"")"),"farfalhou")</f>
        <v>farfalhou</v>
      </c>
      <c r="G269" s="69"/>
    </row>
    <row r="270" ht="22.5" customHeight="1">
      <c r="A270" s="66" t="s">
        <v>522</v>
      </c>
      <c r="B270" s="67" t="str">
        <f t="shared" si="1"/>
        <v>M: ordinarily</v>
      </c>
      <c r="C270" s="68"/>
      <c r="D270" s="68">
        <f>IFERROR(__xludf.DUMMYFUNCTION("ARRAYFORMULA(
  INDEX(
    UNIQUE(FILTER(D230:D11612, D230:D11612&lt;&gt;"""")),
    CEILING.MATH(SEQUENCE(COUNTUNIQUE(D230:D11612)*10, 1, 1)/10
  )
)+4)"),45768.0)</f>
        <v>45768</v>
      </c>
      <c r="E270" s="66">
        <v>9.0</v>
      </c>
      <c r="F270" s="66" t="str">
        <f>IFERROR(__xludf.DUMMYFUNCTION("GOOGLETRANSLATE(A270,""en"",""pt"")"),"normalmente")</f>
        <v>normalmente</v>
      </c>
      <c r="G270" s="69"/>
    </row>
    <row r="271" ht="22.5" customHeight="1">
      <c r="A271" s="66" t="s">
        <v>523</v>
      </c>
      <c r="B271" s="67" t="str">
        <f t="shared" si="1"/>
        <v>M: faint</v>
      </c>
      <c r="C271" s="68"/>
      <c r="D271" s="68">
        <f>IFERROR(__xludf.DUMMYFUNCTION("ARRAYFORMULA(
  INDEX(
    UNIQUE(FILTER(D231:D11612, D231:D11612&lt;&gt;"""")),
    CEILING.MATH(SEQUENCE(COUNTUNIQUE(D231:D11612)*10, 1, 1)/10
  )
)+4)"),45768.0)</f>
        <v>45768</v>
      </c>
      <c r="E271" s="66">
        <v>10.0</v>
      </c>
      <c r="F271" s="66" t="str">
        <f>IFERROR(__xludf.DUMMYFUNCTION("GOOGLETRANSLATE(A271,""en"",""pt"")"),"desmaiar")</f>
        <v>desmaiar</v>
      </c>
      <c r="G271" s="69"/>
    </row>
    <row r="272" ht="22.5" customHeight="1">
      <c r="A272" s="66" t="s">
        <v>524</v>
      </c>
      <c r="B272" s="67" t="str">
        <f t="shared" si="1"/>
        <v>M: forgotten</v>
      </c>
      <c r="C272" s="68"/>
      <c r="D272" s="68">
        <f>IFERROR(__xludf.DUMMYFUNCTION("ARRAYFORMULA(
  INDEX(
    UNIQUE(FILTER(D232:D11612, D232:D11612&lt;&gt;"""")),
    CEILING.MATH(SEQUENCE(COUNTUNIQUE(D232:D11612)*10, 1, 1)/10
  )
)+4)"),45769.0)</f>
        <v>45769</v>
      </c>
      <c r="E272" s="66">
        <v>1.0</v>
      </c>
      <c r="F272" s="66" t="str">
        <f>IFERROR(__xludf.DUMMYFUNCTION("GOOGLETRANSLATE(A272,""en"",""pt"")"),"esquecido")</f>
        <v>esquecido</v>
      </c>
      <c r="G272" s="69"/>
    </row>
    <row r="273" ht="22.5" customHeight="1">
      <c r="A273" s="66" t="s">
        <v>525</v>
      </c>
      <c r="B273" s="67" t="str">
        <f t="shared" si="1"/>
        <v>M: noticed</v>
      </c>
      <c r="C273" s="68"/>
      <c r="D273" s="68">
        <f>IFERROR(__xludf.DUMMYFUNCTION("ARRAYFORMULA(
  INDEX(
    UNIQUE(FILTER(D233:D11612, D233:D11612&lt;&gt;"""")),
    CEILING.MATH(SEQUENCE(COUNTUNIQUE(D233:D11612)*10, 1, 1)/10
  )
)+4)"),45769.0)</f>
        <v>45769</v>
      </c>
      <c r="E273" s="66">
        <v>2.0</v>
      </c>
      <c r="F273" s="66" t="str">
        <f>IFERROR(__xludf.DUMMYFUNCTION("GOOGLETRANSLATE(A273,""en"",""pt"")"),"percebido")</f>
        <v>percebido</v>
      </c>
      <c r="G273" s="69"/>
    </row>
    <row r="274" ht="22.5" customHeight="1">
      <c r="A274" s="66" t="s">
        <v>526</v>
      </c>
      <c r="B274" s="67" t="str">
        <f t="shared" si="1"/>
        <v>M: across</v>
      </c>
      <c r="C274" s="68"/>
      <c r="D274" s="68">
        <f>IFERROR(__xludf.DUMMYFUNCTION("ARRAYFORMULA(
  INDEX(
    UNIQUE(FILTER(D234:D11612, D234:D11612&lt;&gt;"""")),
    CEILING.MATH(SEQUENCE(COUNTUNIQUE(D234:D11612)*10, 1, 1)/10
  )
)+4)"),45769.0)</f>
        <v>45769</v>
      </c>
      <c r="E274" s="66">
        <v>3.0</v>
      </c>
      <c r="F274" s="66" t="str">
        <f>IFERROR(__xludf.DUMMYFUNCTION("GOOGLETRANSLATE(A274,""en"",""pt"")"),"entre")</f>
        <v>entre</v>
      </c>
      <c r="G274" s="69"/>
    </row>
    <row r="275" ht="22.5" customHeight="1">
      <c r="A275" s="66" t="s">
        <v>527</v>
      </c>
      <c r="B275" s="67" t="str">
        <f t="shared" si="1"/>
        <v>M: rustling</v>
      </c>
      <c r="C275" s="68"/>
      <c r="D275" s="68">
        <f>IFERROR(__xludf.DUMMYFUNCTION("ARRAYFORMULA(
  INDEX(
    UNIQUE(FILTER(D235:D11612, D235:D11612&lt;&gt;"""")),
    CEILING.MATH(SEQUENCE(COUNTUNIQUE(D235:D11612)*10, 1, 1)/10
  )
)+4)"),45769.0)</f>
        <v>45769</v>
      </c>
      <c r="E275" s="66">
        <v>4.0</v>
      </c>
      <c r="F275" s="66" t="str">
        <f>IFERROR(__xludf.DUMMYFUNCTION("GOOGLETRANSLATE(A275,""en"",""pt"")"),"farfalhar")</f>
        <v>farfalhar</v>
      </c>
      <c r="G275" s="69"/>
    </row>
    <row r="276" ht="22.5" customHeight="1">
      <c r="A276" s="66" t="s">
        <v>528</v>
      </c>
      <c r="B276" s="67" t="str">
        <f t="shared" si="1"/>
        <v>M: spotted</v>
      </c>
      <c r="C276" s="68"/>
      <c r="D276" s="68">
        <f>IFERROR(__xludf.DUMMYFUNCTION("ARRAYFORMULA(
  INDEX(
    UNIQUE(FILTER(D236:D11612, D236:D11612&lt;&gt;"""")),
    CEILING.MATH(SEQUENCE(COUNTUNIQUE(D236:D11612)*10, 1, 1)/10
  )
)+4)"),45769.0)</f>
        <v>45769</v>
      </c>
      <c r="E276" s="66">
        <v>5.0</v>
      </c>
      <c r="F276" s="66" t="str">
        <f>IFERROR(__xludf.DUMMYFUNCTION("GOOGLETRANSLATE(A276,""en"",""pt"")"),"identificado")</f>
        <v>identificado</v>
      </c>
      <c r="G276" s="69"/>
    </row>
    <row r="277" ht="22.5" customHeight="1">
      <c r="A277" s="66" t="s">
        <v>529</v>
      </c>
      <c r="B277" s="67" t="str">
        <f t="shared" si="1"/>
        <v>M: explained</v>
      </c>
      <c r="C277" s="68"/>
      <c r="D277" s="68">
        <f>IFERROR(__xludf.DUMMYFUNCTION("ARRAYFORMULA(
  INDEX(
    UNIQUE(FILTER(D237:D11612, D237:D11612&lt;&gt;"""")),
    CEILING.MATH(SEQUENCE(COUNTUNIQUE(D237:D11612)*10, 1, 1)/10
  )
)+4)"),45769.0)</f>
        <v>45769</v>
      </c>
      <c r="E277" s="66">
        <v>6.0</v>
      </c>
      <c r="F277" s="66" t="str">
        <f>IFERROR(__xludf.DUMMYFUNCTION("GOOGLETRANSLATE(A277,""en"",""pt"")"),"explicado")</f>
        <v>explicado</v>
      </c>
      <c r="G277" s="69"/>
    </row>
    <row r="278" ht="22.5" customHeight="1">
      <c r="A278" s="66" t="s">
        <v>530</v>
      </c>
      <c r="B278" s="67" t="str">
        <f t="shared" si="1"/>
        <v>M: belong</v>
      </c>
      <c r="C278" s="68"/>
      <c r="D278" s="68">
        <f>IFERROR(__xludf.DUMMYFUNCTION("ARRAYFORMULA(
  INDEX(
    UNIQUE(FILTER(D238:D11612, D238:D11612&lt;&gt;"""")),
    CEILING.MATH(SEQUENCE(COUNTUNIQUE(D238:D11612)*10, 1, 1)/10
  )
)+4)"),45769.0)</f>
        <v>45769</v>
      </c>
      <c r="E278" s="66">
        <v>7.0</v>
      </c>
      <c r="F278" s="66" t="str">
        <f>IFERROR(__xludf.DUMMYFUNCTION("GOOGLETRANSLATE(A278,""en"",""pt"")"),"pertencer")</f>
        <v>pertencer</v>
      </c>
      <c r="G278" s="69"/>
    </row>
    <row r="279" ht="22.5" customHeight="1">
      <c r="A279" s="66" t="s">
        <v>531</v>
      </c>
      <c r="B279" s="67" t="str">
        <f t="shared" si="1"/>
        <v>M: whip-like</v>
      </c>
      <c r="C279" s="68"/>
      <c r="D279" s="68">
        <f>IFERROR(__xludf.DUMMYFUNCTION("ARRAYFORMULA(
  INDEX(
    UNIQUE(FILTER(D239:D11612, D239:D11612&lt;&gt;"""")),
    CEILING.MATH(SEQUENCE(COUNTUNIQUE(D239:D11612)*10, 1, 1)/10
  )
)+4)"),45769.0)</f>
        <v>45769</v>
      </c>
      <c r="E279" s="66">
        <v>8.0</v>
      </c>
      <c r="F279" s="66" t="str">
        <f>IFERROR(__xludf.DUMMYFUNCTION("GOOGLETRANSLATE(A279,""en"",""pt"")"),"semelhante a um chicote")</f>
        <v>semelhante a um chicote</v>
      </c>
      <c r="G279" s="69"/>
    </row>
    <row r="280" ht="22.5" customHeight="1">
      <c r="A280" s="66" t="s">
        <v>532</v>
      </c>
      <c r="B280" s="67" t="str">
        <f t="shared" si="1"/>
        <v>M: wagging</v>
      </c>
      <c r="C280" s="66">
        <v>1.0</v>
      </c>
      <c r="D280" s="68">
        <f>IFERROR(__xludf.DUMMYFUNCTION("ARRAYFORMULA(
  INDEX(
    UNIQUE(FILTER(D240:D11612, D240:D11612&lt;&gt;"""")),
    CEILING.MATH(SEQUENCE(COUNTUNIQUE(D240:D11612)*10, 1, 1)/10
  )
)+4)"),45769.0)</f>
        <v>45769</v>
      </c>
      <c r="E280" s="66">
        <v>9.0</v>
      </c>
      <c r="F280" s="66" t="s">
        <v>533</v>
      </c>
      <c r="G280" s="66" t="s">
        <v>247</v>
      </c>
    </row>
    <row r="281" ht="22.5" customHeight="1">
      <c r="A281" s="66" t="s">
        <v>534</v>
      </c>
      <c r="B281" s="67" t="str">
        <f t="shared" si="1"/>
        <v>M: either</v>
      </c>
      <c r="C281" s="68"/>
      <c r="D281" s="68">
        <f>IFERROR(__xludf.DUMMYFUNCTION("ARRAYFORMULA(
  INDEX(
    UNIQUE(FILTER(D241:D11612, D241:D11612&lt;&gt;"""")),
    CEILING.MATH(SEQUENCE(COUNTUNIQUE(D241:D11612)*10, 1, 1)/10
  )
)+4)"),45769.0)</f>
        <v>45769</v>
      </c>
      <c r="E281" s="66">
        <v>10.0</v>
      </c>
      <c r="F281" s="66" t="str">
        <f>IFERROR(__xludf.DUMMYFUNCTION("GOOGLETRANSLATE(A281,""en"",""pt"")"),"qualquer")</f>
        <v>qualquer</v>
      </c>
      <c r="G281" s="69"/>
    </row>
    <row r="282" ht="22.5" customHeight="1">
      <c r="A282" s="66" t="s">
        <v>535</v>
      </c>
      <c r="B282" s="67" t="str">
        <f t="shared" si="1"/>
        <v>M: pulled</v>
      </c>
      <c r="C282" s="66">
        <v>1.0</v>
      </c>
      <c r="D282" s="68">
        <f>IFERROR(__xludf.DUMMYFUNCTION("ARRAYFORMULA(
  INDEX(
    UNIQUE(FILTER(D242:D11612, D242:D11612&lt;&gt;"""")),
    CEILING.MATH(SEQUENCE(COUNTUNIQUE(D242:D11612)*10, 1, 1)/10
  )
)+4)"),45770.0)</f>
        <v>45770</v>
      </c>
      <c r="E282" s="66">
        <v>1.0</v>
      </c>
      <c r="F282" s="71" t="s">
        <v>536</v>
      </c>
      <c r="G282" s="66" t="s">
        <v>247</v>
      </c>
    </row>
    <row r="283" ht="22.5" customHeight="1">
      <c r="A283" s="66" t="s">
        <v>537</v>
      </c>
      <c r="B283" s="67" t="str">
        <f t="shared" si="1"/>
        <v>M: puppy</v>
      </c>
      <c r="C283" s="68"/>
      <c r="D283" s="68">
        <f>IFERROR(__xludf.DUMMYFUNCTION("ARRAYFORMULA(
  INDEX(
    UNIQUE(FILTER(D243:D11612, D243:D11612&lt;&gt;"""")),
    CEILING.MATH(SEQUENCE(COUNTUNIQUE(D243:D11612)*10, 1, 1)/10
  )
)+4)"),45770.0)</f>
        <v>45770</v>
      </c>
      <c r="E283" s="66">
        <v>2.0</v>
      </c>
      <c r="F283" s="66" t="str">
        <f>IFERROR(__xludf.DUMMYFUNCTION("GOOGLETRANSLATE(A283,""en"",""pt"")"),"filhote de cachorro")</f>
        <v>filhote de cachorro</v>
      </c>
      <c r="G283" s="69"/>
    </row>
    <row r="284" ht="22.5" customHeight="1">
      <c r="A284" s="66" t="s">
        <v>538</v>
      </c>
      <c r="B284" s="67" t="str">
        <f t="shared" si="1"/>
        <v>M: mutt</v>
      </c>
      <c r="C284" s="68"/>
      <c r="D284" s="68">
        <f>IFERROR(__xludf.DUMMYFUNCTION("ARRAYFORMULA(
  INDEX(
    UNIQUE(FILTER(D244:D11612, D244:D11612&lt;&gt;"""")),
    CEILING.MATH(SEQUENCE(COUNTUNIQUE(D244:D11612)*10, 1, 1)/10
  )
)+4)"),45770.0)</f>
        <v>45770</v>
      </c>
      <c r="E284" s="66">
        <v>3.0</v>
      </c>
      <c r="F284" s="66" t="str">
        <f>IFERROR(__xludf.DUMMYFUNCTION("GOOGLETRANSLATE(A284,""en"",""pt"")"),"vira-lata")</f>
        <v>vira-lata</v>
      </c>
      <c r="G284" s="69"/>
    </row>
    <row r="285" ht="22.5" customHeight="1">
      <c r="A285" s="66" t="s">
        <v>539</v>
      </c>
      <c r="B285" s="67" t="str">
        <f t="shared" si="1"/>
        <v>M: though</v>
      </c>
      <c r="C285" s="68"/>
      <c r="D285" s="68">
        <f>IFERROR(__xludf.DUMMYFUNCTION("ARRAYFORMULA(
  INDEX(
    UNIQUE(FILTER(D245:D11612, D245:D11612&lt;&gt;"""")),
    CEILING.MATH(SEQUENCE(COUNTUNIQUE(D245:D11612)*10, 1, 1)/10
  )
)+4)"),45770.0)</f>
        <v>45770</v>
      </c>
      <c r="E285" s="66">
        <v>4.0</v>
      </c>
      <c r="F285" s="66" t="str">
        <f>IFERROR(__xludf.DUMMYFUNCTION("GOOGLETRANSLATE(A285,""en"",""pt"")"),"no entanto")</f>
        <v>no entanto</v>
      </c>
      <c r="G285" s="69"/>
    </row>
    <row r="286" ht="22.5" customHeight="1">
      <c r="A286" s="66" t="s">
        <v>540</v>
      </c>
      <c r="B286" s="67" t="str">
        <f t="shared" si="1"/>
        <v>M: nearly</v>
      </c>
      <c r="C286" s="68"/>
      <c r="D286" s="68">
        <f>IFERROR(__xludf.DUMMYFUNCTION("ARRAYFORMULA(
  INDEX(
    UNIQUE(FILTER(D246:D11612, D246:D11612&lt;&gt;"""")),
    CEILING.MATH(SEQUENCE(COUNTUNIQUE(D246:D11612)*10, 1, 1)/10
  )
)+4)"),45770.0)</f>
        <v>45770</v>
      </c>
      <c r="E286" s="66">
        <v>5.0</v>
      </c>
      <c r="F286" s="66" t="str">
        <f>IFERROR(__xludf.DUMMYFUNCTION("GOOGLETRANSLATE(A286,""en"",""pt"")"),"aproximadamente")</f>
        <v>aproximadamente</v>
      </c>
      <c r="G286" s="69"/>
    </row>
    <row r="287" ht="22.5" customHeight="1">
      <c r="A287" s="66" t="s">
        <v>541</v>
      </c>
      <c r="B287" s="67" t="str">
        <f t="shared" si="1"/>
        <v>M: gleefully</v>
      </c>
      <c r="C287" s="68"/>
      <c r="D287" s="68">
        <f>IFERROR(__xludf.DUMMYFUNCTION("ARRAYFORMULA(
  INDEX(
    UNIQUE(FILTER(D247:D11612, D247:D11612&lt;&gt;"""")),
    CEILING.MATH(SEQUENCE(COUNTUNIQUE(D247:D11612)*10, 1, 1)/10
  )
)+4)"),45770.0)</f>
        <v>45770</v>
      </c>
      <c r="E287" s="66">
        <v>6.0</v>
      </c>
      <c r="F287" s="66" t="str">
        <f>IFERROR(__xludf.DUMMYFUNCTION("GOOGLETRANSLATE(A287,""en"",""pt"")"),"alegremente")</f>
        <v>alegremente</v>
      </c>
      <c r="G287" s="69"/>
    </row>
    <row r="288" ht="22.5" customHeight="1">
      <c r="A288" s="66" t="s">
        <v>542</v>
      </c>
      <c r="B288" s="67" t="str">
        <f t="shared" si="1"/>
        <v>M: over and over</v>
      </c>
      <c r="C288" s="68"/>
      <c r="D288" s="68">
        <f>IFERROR(__xludf.DUMMYFUNCTION("ARRAYFORMULA(
  INDEX(
    UNIQUE(FILTER(D248:D11612, D248:D11612&lt;&gt;"""")),
    CEILING.MATH(SEQUENCE(COUNTUNIQUE(D248:D11612)*10, 1, 1)/10
  )
)+4)"),45770.0)</f>
        <v>45770</v>
      </c>
      <c r="E288" s="66">
        <v>7.0</v>
      </c>
      <c r="F288" s="66" t="str">
        <f>IFERROR(__xludf.DUMMYFUNCTION("GOOGLETRANSLATE(A288,""en"",""pt"")"),"repetidamente")</f>
        <v>repetidamente</v>
      </c>
      <c r="G288" s="69"/>
    </row>
    <row r="289" ht="22.5" customHeight="1">
      <c r="A289" s="66" t="s">
        <v>543</v>
      </c>
      <c r="B289" s="67" t="str">
        <f t="shared" si="1"/>
        <v>M: chuckled</v>
      </c>
      <c r="C289" s="68"/>
      <c r="D289" s="68">
        <f>IFERROR(__xludf.DUMMYFUNCTION("ARRAYFORMULA(
  INDEX(
    UNIQUE(FILTER(D249:D11612, D249:D11612&lt;&gt;"""")),
    CEILING.MATH(SEQUENCE(COUNTUNIQUE(D249:D11612)*10, 1, 1)/10
  )
)+4)"),45770.0)</f>
        <v>45770</v>
      </c>
      <c r="E289" s="66">
        <v>8.0</v>
      </c>
      <c r="F289" s="66" t="str">
        <f>IFERROR(__xludf.DUMMYFUNCTION("GOOGLETRANSLATE(A289,""en"",""pt"")"),"riu baixinho")</f>
        <v>riu baixinho</v>
      </c>
      <c r="G289" s="69"/>
    </row>
    <row r="290" ht="22.5" customHeight="1">
      <c r="A290" s="66" t="s">
        <v>544</v>
      </c>
      <c r="B290" s="67" t="str">
        <f t="shared" si="1"/>
        <v>M: warmth</v>
      </c>
      <c r="C290" s="68"/>
      <c r="D290" s="68">
        <f>IFERROR(__xludf.DUMMYFUNCTION("ARRAYFORMULA(
  INDEX(
    UNIQUE(FILTER(D250:D11612, D250:D11612&lt;&gt;"""")),
    CEILING.MATH(SEQUENCE(COUNTUNIQUE(D250:D11612)*10, 1, 1)/10
  )
)+4)"),45770.0)</f>
        <v>45770</v>
      </c>
      <c r="E290" s="66">
        <v>9.0</v>
      </c>
      <c r="F290" s="66" t="str">
        <f>IFERROR(__xludf.DUMMYFUNCTION("GOOGLETRANSLATE(A290,""en"",""pt"")"),"cordialidade")</f>
        <v>cordialidade</v>
      </c>
      <c r="G290" s="69"/>
    </row>
    <row r="291" ht="22.5" customHeight="1">
      <c r="A291" s="66" t="s">
        <v>545</v>
      </c>
      <c r="B291" s="67" t="str">
        <f t="shared" si="1"/>
        <v>M: scooped</v>
      </c>
      <c r="C291" s="68"/>
      <c r="D291" s="68">
        <f>IFERROR(__xludf.DUMMYFUNCTION("ARRAYFORMULA(
  INDEX(
    UNIQUE(FILTER(D251:D11612, D251:D11612&lt;&gt;"""")),
    CEILING.MATH(SEQUENCE(COUNTUNIQUE(D251:D11612)*10, 1, 1)/10
  )
)+4)"),45770.0)</f>
        <v>45770</v>
      </c>
      <c r="E291" s="66">
        <v>10.0</v>
      </c>
      <c r="F291" s="66" t="str">
        <f>IFERROR(__xludf.DUMMYFUNCTION("GOOGLETRANSLATE(A291,""en"",""pt"")"),"escavado")</f>
        <v>escavado</v>
      </c>
      <c r="G291" s="69"/>
    </row>
    <row r="292" ht="22.5" customHeight="1">
      <c r="A292" s="66" t="s">
        <v>546</v>
      </c>
      <c r="B292" s="67" t="str">
        <f t="shared" si="1"/>
        <v>M: looked forward</v>
      </c>
      <c r="C292" s="68"/>
      <c r="D292" s="68">
        <f>IFERROR(__xludf.DUMMYFUNCTION("ARRAYFORMULA(
  INDEX(
    UNIQUE(FILTER(D252:D11612, D252:D11612&lt;&gt;"""")),
    CEILING.MATH(SEQUENCE(COUNTUNIQUE(D252:D11612)*10, 1, 1)/10
  )
)+4)"),45771.0)</f>
        <v>45771</v>
      </c>
      <c r="E292" s="66">
        <v>1.0</v>
      </c>
      <c r="F292" s="66" t="str">
        <f>IFERROR(__xludf.DUMMYFUNCTION("GOOGLETRANSLATE(A292,""en"",""pt"")"),"aguardava ansiosamente")</f>
        <v>aguardava ansiosamente</v>
      </c>
      <c r="G292" s="69"/>
    </row>
    <row r="293" ht="22.5" customHeight="1">
      <c r="A293" s="66" t="s">
        <v>547</v>
      </c>
      <c r="B293" s="67" t="str">
        <f t="shared" si="1"/>
        <v>M: sorrowful</v>
      </c>
      <c r="C293" s="68"/>
      <c r="D293" s="68">
        <f>IFERROR(__xludf.DUMMYFUNCTION("ARRAYFORMULA(
  INDEX(
    UNIQUE(FILTER(D253:D11612, D253:D11612&lt;&gt;"""")),
    CEILING.MATH(SEQUENCE(COUNTUNIQUE(D253:D11612)*10, 1, 1)/10
  )
)+4)"),45771.0)</f>
        <v>45771</v>
      </c>
      <c r="E293" s="66">
        <v>2.0</v>
      </c>
      <c r="F293" s="66" t="str">
        <f>IFERROR(__xludf.DUMMYFUNCTION("GOOGLETRANSLATE(A293,""en"",""pt"")"),"triste")</f>
        <v>triste</v>
      </c>
      <c r="G293" s="69"/>
    </row>
    <row r="294" ht="22.5" customHeight="1">
      <c r="A294" s="66" t="s">
        <v>548</v>
      </c>
      <c r="B294" s="67" t="str">
        <f t="shared" si="1"/>
        <v>M: enamored</v>
      </c>
      <c r="C294" s="68"/>
      <c r="D294" s="68">
        <f>IFERROR(__xludf.DUMMYFUNCTION("ARRAYFORMULA(
  INDEX(
    UNIQUE(FILTER(D254:D11612, D254:D11612&lt;&gt;"""")),
    CEILING.MATH(SEQUENCE(COUNTUNIQUE(D254:D11612)*10, 1, 1)/10
  )
)+4)"),45771.0)</f>
        <v>45771</v>
      </c>
      <c r="E294" s="66">
        <v>3.0</v>
      </c>
      <c r="F294" s="66" t="str">
        <f>IFERROR(__xludf.DUMMYFUNCTION("GOOGLETRANSLATE(A294,""en"",""pt"")"),"apaixonado")</f>
        <v>apaixonado</v>
      </c>
      <c r="G294" s="69"/>
    </row>
    <row r="295" ht="22.5" customHeight="1">
      <c r="A295" s="66" t="s">
        <v>549</v>
      </c>
      <c r="B295" s="67" t="str">
        <f t="shared" si="1"/>
        <v>M: trashcan</v>
      </c>
      <c r="C295" s="68"/>
      <c r="D295" s="68">
        <f>IFERROR(__xludf.DUMMYFUNCTION("ARRAYFORMULA(
  INDEX(
    UNIQUE(FILTER(D255:D11612, D255:D11612&lt;&gt;"""")),
    CEILING.MATH(SEQUENCE(COUNTUNIQUE(D255:D11612)*10, 1, 1)/10
  )
)+4)"),45771.0)</f>
        <v>45771</v>
      </c>
      <c r="E295" s="66">
        <v>4.0</v>
      </c>
      <c r="F295" s="66" t="str">
        <f>IFERROR(__xludf.DUMMYFUNCTION("GOOGLETRANSLATE(A295,""en"",""pt"")"),"cesto de lixo")</f>
        <v>cesto de lixo</v>
      </c>
      <c r="G295" s="69"/>
    </row>
    <row r="296" ht="22.5" customHeight="1">
      <c r="A296" s="66" t="s">
        <v>550</v>
      </c>
      <c r="B296" s="67" t="str">
        <f t="shared" si="1"/>
        <v>M: upended</v>
      </c>
      <c r="C296" s="66">
        <v>1.0</v>
      </c>
      <c r="D296" s="68">
        <f>IFERROR(__xludf.DUMMYFUNCTION("ARRAYFORMULA(
  INDEX(
    UNIQUE(FILTER(D256:D11612, D256:D11612&lt;&gt;"""")),
    CEILING.MATH(SEQUENCE(COUNTUNIQUE(D256:D11612)*10, 1, 1)/10
  )
)+4)"),45771.0)</f>
        <v>45771</v>
      </c>
      <c r="E296" s="66">
        <v>5.0</v>
      </c>
      <c r="F296" s="66" t="s">
        <v>551</v>
      </c>
      <c r="G296" s="66" t="s">
        <v>247</v>
      </c>
    </row>
    <row r="297" ht="22.5" customHeight="1">
      <c r="A297" s="66" t="s">
        <v>552</v>
      </c>
      <c r="B297" s="67" t="str">
        <f t="shared" si="1"/>
        <v>M: emptied</v>
      </c>
      <c r="C297" s="68"/>
      <c r="D297" s="68">
        <f>IFERROR(__xludf.DUMMYFUNCTION("ARRAYFORMULA(
  INDEX(
    UNIQUE(FILTER(D257:D11612, D257:D11612&lt;&gt;"""")),
    CEILING.MATH(SEQUENCE(COUNTUNIQUE(D257:D11612)*10, 1, 1)/10
  )
)+4)"),45771.0)</f>
        <v>45771</v>
      </c>
      <c r="E297" s="66">
        <v>6.0</v>
      </c>
      <c r="F297" s="66" t="str">
        <f>IFERROR(__xludf.DUMMYFUNCTION("GOOGLETRANSLATE(A297,""en"",""pt"")"),"esvaziado")</f>
        <v>esvaziado</v>
      </c>
      <c r="G297" s="69"/>
    </row>
    <row r="298" ht="22.5" customHeight="1">
      <c r="A298" s="66" t="s">
        <v>553</v>
      </c>
      <c r="B298" s="67" t="str">
        <f t="shared" si="1"/>
        <v>M: torn</v>
      </c>
      <c r="C298" s="68"/>
      <c r="D298" s="68">
        <f>IFERROR(__xludf.DUMMYFUNCTION("ARRAYFORMULA(
  INDEX(
    UNIQUE(FILTER(D258:D11612, D258:D11612&lt;&gt;"""")),
    CEILING.MATH(SEQUENCE(COUNTUNIQUE(D258:D11612)*10, 1, 1)/10
  )
)+4)"),45771.0)</f>
        <v>45771</v>
      </c>
      <c r="E298" s="66">
        <v>7.0</v>
      </c>
      <c r="F298" s="66" t="str">
        <f>IFERROR(__xludf.DUMMYFUNCTION("GOOGLETRANSLATE(A298,""en"",""pt"")"),"rasgado")</f>
        <v>rasgado</v>
      </c>
      <c r="G298" s="69"/>
    </row>
    <row r="299" ht="22.5" customHeight="1">
      <c r="A299" s="66" t="s">
        <v>554</v>
      </c>
      <c r="B299" s="67" t="str">
        <f t="shared" si="1"/>
        <v>M: whimpered</v>
      </c>
      <c r="C299" s="66">
        <v>1.0</v>
      </c>
      <c r="D299" s="68">
        <f>IFERROR(__xludf.DUMMYFUNCTION("ARRAYFORMULA(
  INDEX(
    UNIQUE(FILTER(D259:D11612, D259:D11612&lt;&gt;"""")),
    CEILING.MATH(SEQUENCE(COUNTUNIQUE(D259:D11612)*10, 1, 1)/10
  )
)+4)"),45771.0)</f>
        <v>45771</v>
      </c>
      <c r="E299" s="66">
        <v>8.0</v>
      </c>
      <c r="F299" s="66" t="s">
        <v>555</v>
      </c>
      <c r="G299" s="66" t="s">
        <v>247</v>
      </c>
    </row>
    <row r="300" ht="22.5" customHeight="1">
      <c r="A300" s="66" t="s">
        <v>556</v>
      </c>
      <c r="B300" s="67" t="str">
        <f t="shared" si="1"/>
        <v>M: tucking</v>
      </c>
      <c r="C300" s="68"/>
      <c r="D300" s="68">
        <f>IFERROR(__xludf.DUMMYFUNCTION("ARRAYFORMULA(
  INDEX(
    UNIQUE(FILTER(D260:D11612, D260:D11612&lt;&gt;"""")),
    CEILING.MATH(SEQUENCE(COUNTUNIQUE(D260:D11612)*10, 1, 1)/10
  )
)+4)"),45771.0)</f>
        <v>45771</v>
      </c>
      <c r="E300" s="66">
        <v>9.0</v>
      </c>
      <c r="F300" s="66" t="str">
        <f>IFERROR(__xludf.DUMMYFUNCTION("GOOGLETRANSLATE(A300,""en"",""pt"")"),"dobrando")</f>
        <v>dobrando</v>
      </c>
      <c r="G300" s="69"/>
    </row>
    <row r="301" ht="22.5" customHeight="1">
      <c r="A301" s="66" t="s">
        <v>557</v>
      </c>
      <c r="B301" s="67" t="str">
        <f t="shared" si="1"/>
        <v>M: ducking</v>
      </c>
      <c r="C301" s="66">
        <v>1.0</v>
      </c>
      <c r="D301" s="68">
        <f>IFERROR(__xludf.DUMMYFUNCTION("ARRAYFORMULA(
  INDEX(
    UNIQUE(FILTER(D261:D11612, D261:D11612&lt;&gt;"""")),
    CEILING.MATH(SEQUENCE(COUNTUNIQUE(D261:D11612)*10, 1, 1)/10
  )
)+4)"),45771.0)</f>
        <v>45771</v>
      </c>
      <c r="E301" s="66">
        <v>10.0</v>
      </c>
      <c r="F301" s="66" t="s">
        <v>558</v>
      </c>
      <c r="G301" s="66" t="s">
        <v>247</v>
      </c>
    </row>
    <row r="302" ht="22.5" customHeight="1">
      <c r="A302" s="66" t="s">
        <v>559</v>
      </c>
      <c r="B302" s="67" t="str">
        <f t="shared" si="1"/>
        <v>M: chew</v>
      </c>
      <c r="C302" s="68"/>
      <c r="D302" s="68">
        <f>IFERROR(__xludf.DUMMYFUNCTION("ARRAYFORMULA(
  INDEX(
    UNIQUE(FILTER(D262:D11612, D262:D11612&lt;&gt;"""")),
    CEILING.MATH(SEQUENCE(COUNTUNIQUE(D262:D11612)*10, 1, 1)/10
  )
)+4)"),45772.0)</f>
        <v>45772</v>
      </c>
      <c r="E302" s="66">
        <v>1.0</v>
      </c>
      <c r="F302" s="66" t="str">
        <f>IFERROR(__xludf.DUMMYFUNCTION("GOOGLETRANSLATE(A302,""en"",""pt"")"),"mastigar")</f>
        <v>mastigar</v>
      </c>
      <c r="G302" s="69"/>
    </row>
    <row r="303" ht="22.5" customHeight="1">
      <c r="A303" s="66" t="s">
        <v>560</v>
      </c>
      <c r="B303" s="67" t="str">
        <f t="shared" si="1"/>
        <v>M: treats</v>
      </c>
      <c r="C303" s="66">
        <v>1.0</v>
      </c>
      <c r="D303" s="68">
        <f>IFERROR(__xludf.DUMMYFUNCTION("ARRAYFORMULA(
  INDEX(
    UNIQUE(FILTER(D263:D11612, D263:D11612&lt;&gt;"""")),
    CEILING.MATH(SEQUENCE(COUNTUNIQUE(D263:D11612)*10, 1, 1)/10
  )
)+4)"),45772.0)</f>
        <v>45772</v>
      </c>
      <c r="E303" s="66">
        <v>2.0</v>
      </c>
      <c r="F303" s="66" t="s">
        <v>561</v>
      </c>
      <c r="G303" s="66" t="s">
        <v>247</v>
      </c>
    </row>
    <row r="304" ht="22.5" customHeight="1">
      <c r="A304" s="66" t="s">
        <v>562</v>
      </c>
      <c r="B304" s="67" t="str">
        <f t="shared" si="1"/>
        <v>M: leash</v>
      </c>
      <c r="C304" s="68"/>
      <c r="D304" s="68">
        <f>IFERROR(__xludf.DUMMYFUNCTION("ARRAYFORMULA(
  INDEX(
    UNIQUE(FILTER(D264:D11612, D264:D11612&lt;&gt;"""")),
    CEILING.MATH(SEQUENCE(COUNTUNIQUE(D264:D11612)*10, 1, 1)/10
  )
)+4)"),45772.0)</f>
        <v>45772</v>
      </c>
      <c r="E304" s="66">
        <v>3.0</v>
      </c>
      <c r="F304" s="66" t="str">
        <f>IFERROR(__xludf.DUMMYFUNCTION("GOOGLETRANSLATE(A304,""en"",""pt"")"),"coleira")</f>
        <v>coleira</v>
      </c>
      <c r="G304" s="69"/>
    </row>
    <row r="305" ht="22.5" customHeight="1">
      <c r="A305" s="66" t="s">
        <v>563</v>
      </c>
      <c r="B305" s="67" t="str">
        <f t="shared" si="1"/>
        <v>M: kennel</v>
      </c>
      <c r="C305" s="66">
        <v>1.0</v>
      </c>
      <c r="D305" s="68">
        <f>IFERROR(__xludf.DUMMYFUNCTION("ARRAYFORMULA(
  INDEX(
    UNIQUE(FILTER(D265:D11612, D265:D11612&lt;&gt;"""")),
    CEILING.MATH(SEQUENCE(COUNTUNIQUE(D265:D11612)*10, 1, 1)/10
  )
)+4)"),45772.0)</f>
        <v>45772</v>
      </c>
      <c r="E305" s="66">
        <v>4.0</v>
      </c>
      <c r="F305" s="66" t="s">
        <v>564</v>
      </c>
      <c r="G305" s="66" t="s">
        <v>247</v>
      </c>
    </row>
    <row r="306" ht="22.5" customHeight="1">
      <c r="A306" s="66" t="s">
        <v>565</v>
      </c>
      <c r="B306" s="67" t="str">
        <f t="shared" si="1"/>
        <v>M: hooked</v>
      </c>
      <c r="C306" s="68"/>
      <c r="D306" s="68">
        <f>IFERROR(__xludf.DUMMYFUNCTION("ARRAYFORMULA(
  INDEX(
    UNIQUE(FILTER(D266:D11612, D266:D11612&lt;&gt;"""")),
    CEILING.MATH(SEQUENCE(COUNTUNIQUE(D266:D11612)*10, 1, 1)/10
  )
)+4)"),45772.0)</f>
        <v>45772</v>
      </c>
      <c r="E306" s="66">
        <v>5.0</v>
      </c>
      <c r="F306" s="66" t="str">
        <f>IFERROR(__xludf.DUMMYFUNCTION("GOOGLETRANSLATE(A306,""en"",""pt"")"),"viciado")</f>
        <v>viciado</v>
      </c>
      <c r="G306" s="69"/>
    </row>
    <row r="307" ht="22.5" customHeight="1">
      <c r="A307" s="66" t="s">
        <v>566</v>
      </c>
      <c r="B307" s="67" t="str">
        <f t="shared" si="1"/>
        <v>M: panting</v>
      </c>
      <c r="C307" s="68"/>
      <c r="D307" s="68">
        <f>IFERROR(__xludf.DUMMYFUNCTION("ARRAYFORMULA(
  INDEX(
    UNIQUE(FILTER(D267:D11612, D267:D11612&lt;&gt;"""")),
    CEILING.MATH(SEQUENCE(COUNTUNIQUE(D267:D11612)*10, 1, 1)/10
  )
)+4)"),45772.0)</f>
        <v>45772</v>
      </c>
      <c r="E307" s="66">
        <v>6.0</v>
      </c>
      <c r="F307" s="66" t="str">
        <f>IFERROR(__xludf.DUMMYFUNCTION("GOOGLETRANSLATE(A307,""en"",""pt"")"),"ofegante")</f>
        <v>ofegante</v>
      </c>
      <c r="G307" s="69"/>
    </row>
    <row r="308" ht="22.5" customHeight="1">
      <c r="A308" s="66" t="s">
        <v>567</v>
      </c>
      <c r="B308" s="67" t="str">
        <f t="shared" si="1"/>
        <v>M: chewed</v>
      </c>
      <c r="C308" s="68"/>
      <c r="D308" s="68">
        <f>IFERROR(__xludf.DUMMYFUNCTION("ARRAYFORMULA(
  INDEX(
    UNIQUE(FILTER(D268:D11612, D268:D11612&lt;&gt;"""")),
    CEILING.MATH(SEQUENCE(COUNTUNIQUE(D268:D11612)*10, 1, 1)/10
  )
)+4)"),45772.0)</f>
        <v>45772</v>
      </c>
      <c r="E308" s="66">
        <v>7.0</v>
      </c>
      <c r="F308" s="66" t="str">
        <f>IFERROR(__xludf.DUMMYFUNCTION("GOOGLETRANSLATE(A308,""en"",""pt"")"),"mastigado")</f>
        <v>mastigado</v>
      </c>
      <c r="G308" s="69"/>
    </row>
    <row r="309" ht="22.5" customHeight="1">
      <c r="A309" s="66" t="s">
        <v>568</v>
      </c>
      <c r="B309" s="67" t="str">
        <f t="shared" si="1"/>
        <v>M: wasted</v>
      </c>
      <c r="C309" s="66">
        <v>1.0</v>
      </c>
      <c r="D309" s="68">
        <f>IFERROR(__xludf.DUMMYFUNCTION("ARRAYFORMULA(
  INDEX(
    UNIQUE(FILTER(D269:D11612, D269:D11612&lt;&gt;"""")),
    CEILING.MATH(SEQUENCE(COUNTUNIQUE(D269:D11612)*10, 1, 1)/10
  )
)+4)"),45772.0)</f>
        <v>45772</v>
      </c>
      <c r="E309" s="66">
        <v>8.0</v>
      </c>
      <c r="F309" s="66" t="s">
        <v>569</v>
      </c>
      <c r="G309" s="66" t="s">
        <v>247</v>
      </c>
    </row>
    <row r="310" ht="22.5" customHeight="1">
      <c r="A310" s="66" t="s">
        <v>570</v>
      </c>
      <c r="B310" s="67" t="str">
        <f t="shared" si="1"/>
        <v>M: cravings</v>
      </c>
      <c r="C310" s="66">
        <v>1.0</v>
      </c>
      <c r="D310" s="68">
        <f>IFERROR(__xludf.DUMMYFUNCTION("ARRAYFORMULA(
  INDEX(
    UNIQUE(FILTER(D270:D11612, D270:D11612&lt;&gt;"""")),
    CEILING.MATH(SEQUENCE(COUNTUNIQUE(D270:D11612)*10, 1, 1)/10
  )
)+4)"),45772.0)</f>
        <v>45772</v>
      </c>
      <c r="E310" s="66">
        <v>9.0</v>
      </c>
      <c r="F310" s="71" t="s">
        <v>571</v>
      </c>
      <c r="G310" s="66" t="s">
        <v>247</v>
      </c>
    </row>
    <row r="311" ht="22.5" customHeight="1">
      <c r="A311" s="66" t="s">
        <v>572</v>
      </c>
      <c r="B311" s="67" t="str">
        <f t="shared" si="1"/>
        <v>M: lay off</v>
      </c>
      <c r="C311" s="66">
        <v>1.0</v>
      </c>
      <c r="D311" s="68">
        <f>IFERROR(__xludf.DUMMYFUNCTION("ARRAYFORMULA(
  INDEX(
    UNIQUE(FILTER(D271:D11612, D271:D11612&lt;&gt;"""")),
    CEILING.MATH(SEQUENCE(COUNTUNIQUE(D271:D11612)*10, 1, 1)/10
  )
)+4)"),45772.0)</f>
        <v>45772</v>
      </c>
      <c r="E311" s="66">
        <v>10.0</v>
      </c>
      <c r="F311" s="66" t="s">
        <v>573</v>
      </c>
      <c r="G311" s="66" t="s">
        <v>247</v>
      </c>
    </row>
    <row r="312" ht="22.5" customHeight="1">
      <c r="A312" s="66" t="s">
        <v>574</v>
      </c>
      <c r="B312" s="67" t="str">
        <f t="shared" si="1"/>
        <v>M: burn off</v>
      </c>
      <c r="C312" s="68"/>
      <c r="D312" s="68">
        <f>IFERROR(__xludf.DUMMYFUNCTION("ARRAYFORMULA(
  INDEX(
    UNIQUE(FILTER(D272:D11612, D272:D11612&lt;&gt;"""")),
    CEILING.MATH(SEQUENCE(COUNTUNIQUE(D272:D11612)*10, 1, 1)/10
  )
)+4)"),45773.0)</f>
        <v>45773</v>
      </c>
      <c r="E312" s="66">
        <v>1.0</v>
      </c>
      <c r="F312" s="66" t="str">
        <f>IFERROR(__xludf.DUMMYFUNCTION("GOOGLETRANSLATE(A312,""en"",""pt"")"),"queimar")</f>
        <v>queimar</v>
      </c>
      <c r="G312" s="69"/>
    </row>
    <row r="313" ht="22.5" customHeight="1">
      <c r="A313" s="66" t="s">
        <v>575</v>
      </c>
      <c r="B313" s="67" t="str">
        <f t="shared" si="1"/>
        <v>M: chime</v>
      </c>
      <c r="C313" s="68"/>
      <c r="D313" s="68">
        <f>IFERROR(__xludf.DUMMYFUNCTION("ARRAYFORMULA(
  INDEX(
    UNIQUE(FILTER(D273:D11612, D273:D11612&lt;&gt;"""")),
    CEILING.MATH(SEQUENCE(COUNTUNIQUE(D273:D11612)*10, 1, 1)/10
  )
)+4)"),45773.0)</f>
        <v>45773</v>
      </c>
      <c r="E313" s="66">
        <v>2.0</v>
      </c>
      <c r="F313" s="66" t="str">
        <f>IFERROR(__xludf.DUMMYFUNCTION("GOOGLETRANSLATE(A313,""en"",""pt"")"),"sino")</f>
        <v>sino</v>
      </c>
      <c r="G313" s="69"/>
    </row>
    <row r="314" ht="22.5" customHeight="1">
      <c r="A314" s="66" t="s">
        <v>576</v>
      </c>
      <c r="B314" s="67" t="str">
        <f t="shared" si="1"/>
        <v>M: lighter</v>
      </c>
      <c r="C314" s="68"/>
      <c r="D314" s="68">
        <f>IFERROR(__xludf.DUMMYFUNCTION("ARRAYFORMULA(
  INDEX(
    UNIQUE(FILTER(D274:D11612, D274:D11612&lt;&gt;"""")),
    CEILING.MATH(SEQUENCE(COUNTUNIQUE(D274:D11612)*10, 1, 1)/10
  )
)+4)"),45773.0)</f>
        <v>45773</v>
      </c>
      <c r="E314" s="66">
        <v>3.0</v>
      </c>
      <c r="F314" s="66" t="str">
        <f>IFERROR(__xludf.DUMMYFUNCTION("GOOGLETRANSLATE(A314,""en"",""pt"")"),"isqueiro")</f>
        <v>isqueiro</v>
      </c>
      <c r="G314" s="69"/>
    </row>
    <row r="315" ht="22.5" customHeight="1">
      <c r="A315" s="66" t="s">
        <v>577</v>
      </c>
      <c r="B315" s="67" t="str">
        <f t="shared" si="1"/>
        <v>M: jog</v>
      </c>
      <c r="C315" s="68"/>
      <c r="D315" s="68">
        <f>IFERROR(__xludf.DUMMYFUNCTION("ARRAYFORMULA(
  INDEX(
    UNIQUE(FILTER(D275:D11612, D275:D11612&lt;&gt;"""")),
    CEILING.MATH(SEQUENCE(COUNTUNIQUE(D275:D11612)*10, 1, 1)/10
  )
)+4)"),45773.0)</f>
        <v>45773</v>
      </c>
      <c r="E315" s="66">
        <v>4.0</v>
      </c>
      <c r="F315" s="66" t="str">
        <f>IFERROR(__xludf.DUMMYFUNCTION("GOOGLETRANSLATE(A315,""en"",""pt"")"),"corrida")</f>
        <v>corrida</v>
      </c>
      <c r="G315" s="69"/>
    </row>
    <row r="316" ht="22.5" customHeight="1">
      <c r="A316" s="66" t="s">
        <v>578</v>
      </c>
      <c r="B316" s="67" t="str">
        <f t="shared" si="1"/>
        <v>M: toothy</v>
      </c>
      <c r="C316" s="68"/>
      <c r="D316" s="68">
        <f>IFERROR(__xludf.DUMMYFUNCTION("ARRAYFORMULA(
  INDEX(
    UNIQUE(FILTER(D276:D11612, D276:D11612&lt;&gt;"""")),
    CEILING.MATH(SEQUENCE(COUNTUNIQUE(D276:D11612)*10, 1, 1)/10
  )
)+4)"),45773.0)</f>
        <v>45773</v>
      </c>
      <c r="E316" s="66">
        <v>5.0</v>
      </c>
      <c r="F316" s="66" t="str">
        <f>IFERROR(__xludf.DUMMYFUNCTION("GOOGLETRANSLATE(A316,""en"",""pt"")"),"dentuço")</f>
        <v>dentuço</v>
      </c>
      <c r="G316" s="69"/>
    </row>
    <row r="317" ht="22.5" customHeight="1">
      <c r="A317" s="66" t="s">
        <v>579</v>
      </c>
      <c r="B317" s="67" t="str">
        <f t="shared" si="1"/>
        <v>M: grin</v>
      </c>
      <c r="C317" s="68"/>
      <c r="D317" s="68">
        <f>IFERROR(__xludf.DUMMYFUNCTION("ARRAYFORMULA(
  INDEX(
    UNIQUE(FILTER(D277:D11612, D277:D11612&lt;&gt;"""")),
    CEILING.MATH(SEQUENCE(COUNTUNIQUE(D277:D11612)*10, 1, 1)/10
  )
)+4)"),45773.0)</f>
        <v>45773</v>
      </c>
      <c r="E317" s="66">
        <v>6.0</v>
      </c>
      <c r="F317" s="66" t="str">
        <f>IFERROR(__xludf.DUMMYFUNCTION("GOOGLETRANSLATE(A317,""en"",""pt"")"),"sorriso")</f>
        <v>sorriso</v>
      </c>
      <c r="G317" s="69"/>
    </row>
    <row r="318" ht="22.5" customHeight="1">
      <c r="A318" s="66" t="s">
        <v>580</v>
      </c>
      <c r="B318" s="67" t="str">
        <f t="shared" si="1"/>
        <v>M: sleek</v>
      </c>
      <c r="C318" s="68"/>
      <c r="D318" s="68">
        <f>IFERROR(__xludf.DUMMYFUNCTION("ARRAYFORMULA(
  INDEX(
    UNIQUE(FILTER(D278:D11612, D278:D11612&lt;&gt;"""")),
    CEILING.MATH(SEQUENCE(COUNTUNIQUE(D278:D11612)*10, 1, 1)/10
  )
)+4)"),45773.0)</f>
        <v>45773</v>
      </c>
      <c r="E318" s="66">
        <v>7.0</v>
      </c>
      <c r="F318" s="66" t="str">
        <f>IFERROR(__xludf.DUMMYFUNCTION("GOOGLETRANSLATE(A318,""en"",""pt"")"),"elegante")</f>
        <v>elegante</v>
      </c>
      <c r="G318" s="69"/>
    </row>
    <row r="319" ht="22.5" customHeight="1">
      <c r="A319" s="66" t="s">
        <v>581</v>
      </c>
      <c r="B319" s="67" t="str">
        <f t="shared" si="1"/>
        <v>M: slimmed down</v>
      </c>
      <c r="C319" s="68"/>
      <c r="D319" s="68">
        <f>IFERROR(__xludf.DUMMYFUNCTION("ARRAYFORMULA(
  INDEX(
    UNIQUE(FILTER(D279:D11612, D279:D11612&lt;&gt;"""")),
    CEILING.MATH(SEQUENCE(COUNTUNIQUE(D279:D11612)*10, 1, 1)/10
  )
)+4)"),45773.0)</f>
        <v>45773</v>
      </c>
      <c r="E319" s="66">
        <v>8.0</v>
      </c>
      <c r="F319" s="66" t="str">
        <f>IFERROR(__xludf.DUMMYFUNCTION("GOOGLETRANSLATE(A319,""en"",""pt"")"),"emagreceu")</f>
        <v>emagreceu</v>
      </c>
      <c r="G319" s="69"/>
    </row>
    <row r="320" ht="22.5" customHeight="1">
      <c r="A320" s="66" t="s">
        <v>582</v>
      </c>
      <c r="B320" s="67" t="str">
        <f t="shared" si="1"/>
        <v>M: wardrobe</v>
      </c>
      <c r="C320" s="68"/>
      <c r="D320" s="68">
        <f>IFERROR(__xludf.DUMMYFUNCTION("ARRAYFORMULA(
  INDEX(
    UNIQUE(FILTER(D280:D11612, D280:D11612&lt;&gt;"""")),
    CEILING.MATH(SEQUENCE(COUNTUNIQUE(D280:D11612)*10, 1, 1)/10
  )
)+4)"),45773.0)</f>
        <v>45773</v>
      </c>
      <c r="E320" s="66">
        <v>9.0</v>
      </c>
      <c r="F320" s="66" t="str">
        <f>IFERROR(__xludf.DUMMYFUNCTION("GOOGLETRANSLATE(A320,""en"",""pt"")"),"guarda-roupa")</f>
        <v>guarda-roupa</v>
      </c>
      <c r="G320" s="69"/>
    </row>
    <row r="321" ht="22.5" customHeight="1">
      <c r="A321" s="66" t="s">
        <v>583</v>
      </c>
      <c r="B321" s="67" t="str">
        <f t="shared" si="1"/>
        <v>M: nose</v>
      </c>
      <c r="C321" s="68"/>
      <c r="D321" s="68">
        <f>IFERROR(__xludf.DUMMYFUNCTION("ARRAYFORMULA(
  INDEX(
    UNIQUE(FILTER(D281:D11612, D281:D11612&lt;&gt;"""")),
    CEILING.MATH(SEQUENCE(COUNTUNIQUE(D281:D11612)*10, 1, 1)/10
  )
)+4)"),45773.0)</f>
        <v>45773</v>
      </c>
      <c r="E321" s="66">
        <v>10.0</v>
      </c>
      <c r="F321" s="66" t="str">
        <f>IFERROR(__xludf.DUMMYFUNCTION("GOOGLETRANSLATE(A321,""en"",""pt"")"),"nariz")</f>
        <v>nariz</v>
      </c>
      <c r="G321" s="69"/>
    </row>
    <row r="322" ht="22.5" customHeight="1">
      <c r="A322" s="66" t="s">
        <v>584</v>
      </c>
      <c r="B322" s="67" t="str">
        <f t="shared" si="1"/>
        <v>M: tacked</v>
      </c>
      <c r="C322" s="68"/>
      <c r="D322" s="68">
        <f>IFERROR(__xludf.DUMMYFUNCTION("ARRAYFORMULA(
  INDEX(
    UNIQUE(FILTER(D282:D11612, D282:D11612&lt;&gt;"""")),
    CEILING.MATH(SEQUENCE(COUNTUNIQUE(D282:D11612)*10, 1, 1)/10
  )
)+4)"),45774.0)</f>
        <v>45774</v>
      </c>
      <c r="E322" s="66">
        <v>1.0</v>
      </c>
      <c r="F322" s="66" t="str">
        <f>IFERROR(__xludf.DUMMYFUNCTION("GOOGLETRANSLATE(A322,""en"",""pt"")"),"pregado")</f>
        <v>pregado</v>
      </c>
      <c r="G322" s="69"/>
    </row>
    <row r="323" ht="22.5" customHeight="1">
      <c r="A323" s="66" t="s">
        <v>585</v>
      </c>
      <c r="B323" s="67" t="str">
        <f t="shared" si="1"/>
        <v>M: flirting</v>
      </c>
      <c r="C323" s="68"/>
      <c r="D323" s="68">
        <f>IFERROR(__xludf.DUMMYFUNCTION("ARRAYFORMULA(
  INDEX(
    UNIQUE(FILTER(D283:D11612, D283:D11612&lt;&gt;"""")),
    CEILING.MATH(SEQUENCE(COUNTUNIQUE(D283:D11612)*10, 1, 1)/10
  )
)+4)"),45774.0)</f>
        <v>45774</v>
      </c>
      <c r="E323" s="66">
        <v>2.0</v>
      </c>
      <c r="F323" s="66" t="str">
        <f>IFERROR(__xludf.DUMMYFUNCTION("GOOGLETRANSLATE(A323,""en"",""pt"")"),"flertar")</f>
        <v>flertar</v>
      </c>
      <c r="G323" s="69"/>
    </row>
    <row r="324" ht="22.5" customHeight="1">
      <c r="A324" s="66" t="s">
        <v>586</v>
      </c>
      <c r="B324" s="67" t="str">
        <f t="shared" si="1"/>
        <v>M: lessened</v>
      </c>
      <c r="C324" s="68"/>
      <c r="D324" s="68">
        <f>IFERROR(__xludf.DUMMYFUNCTION("ARRAYFORMULA(
  INDEX(
    UNIQUE(FILTER(D284:D11612, D284:D11612&lt;&gt;"""")),
    CEILING.MATH(SEQUENCE(COUNTUNIQUE(D284:D11612)*10, 1, 1)/10
  )
)+4)"),45774.0)</f>
        <v>45774</v>
      </c>
      <c r="E324" s="66">
        <v>3.0</v>
      </c>
      <c r="F324" s="66" t="str">
        <f>IFERROR(__xludf.DUMMYFUNCTION("GOOGLETRANSLATE(A324,""en"",""pt"")"),"diminuído")</f>
        <v>diminuído</v>
      </c>
      <c r="G324" s="69"/>
    </row>
    <row r="325" ht="22.5" customHeight="1">
      <c r="A325" s="66" t="s">
        <v>587</v>
      </c>
      <c r="B325" s="67" t="str">
        <f t="shared" si="1"/>
        <v>M: restroom</v>
      </c>
      <c r="C325" s="68"/>
      <c r="D325" s="68">
        <f>IFERROR(__xludf.DUMMYFUNCTION("ARRAYFORMULA(
  INDEX(
    UNIQUE(FILTER(D285:D11612, D285:D11612&lt;&gt;"""")),
    CEILING.MATH(SEQUENCE(COUNTUNIQUE(D285:D11612)*10, 1, 1)/10
  )
)+4)"),45774.0)</f>
        <v>45774</v>
      </c>
      <c r="E325" s="66">
        <v>4.0</v>
      </c>
      <c r="F325" s="66" t="str">
        <f>IFERROR(__xludf.DUMMYFUNCTION("GOOGLETRANSLATE(A325,""en"",""pt"")"),"banheiro")</f>
        <v>banheiro</v>
      </c>
      <c r="G325" s="69"/>
    </row>
    <row r="326" ht="22.5" customHeight="1">
      <c r="A326" s="66" t="s">
        <v>588</v>
      </c>
      <c r="B326" s="67" t="str">
        <f t="shared" si="1"/>
        <v>M: formerly</v>
      </c>
      <c r="C326" s="68"/>
      <c r="D326" s="68">
        <f>IFERROR(__xludf.DUMMYFUNCTION("ARRAYFORMULA(
  INDEX(
    UNIQUE(FILTER(D286:D11612, D286:D11612&lt;&gt;"""")),
    CEILING.MATH(SEQUENCE(COUNTUNIQUE(D286:D11612)*10, 1, 1)/10
  )
)+4)"),45774.0)</f>
        <v>45774</v>
      </c>
      <c r="E326" s="66">
        <v>5.0</v>
      </c>
      <c r="F326" s="66" t="str">
        <f>IFERROR(__xludf.DUMMYFUNCTION("GOOGLETRANSLATE(A326,""en"",""pt"")"),"anteriormente")</f>
        <v>anteriormente</v>
      </c>
      <c r="G326" s="69"/>
    </row>
    <row r="327" ht="22.5" customHeight="1">
      <c r="A327" s="66" t="s">
        <v>589</v>
      </c>
      <c r="B327" s="67" t="str">
        <f t="shared" si="1"/>
        <v>M: envisioned</v>
      </c>
      <c r="C327" s="68"/>
      <c r="D327" s="68">
        <f>IFERROR(__xludf.DUMMYFUNCTION("ARRAYFORMULA(
  INDEX(
    UNIQUE(FILTER(D287:D11612, D287:D11612&lt;&gt;"""")),
    CEILING.MATH(SEQUENCE(COUNTUNIQUE(D287:D11612)*10, 1, 1)/10
  )
)+4)"),45774.0)</f>
        <v>45774</v>
      </c>
      <c r="E327" s="66">
        <v>6.0</v>
      </c>
      <c r="F327" s="66" t="str">
        <f>IFERROR(__xludf.DUMMYFUNCTION("GOOGLETRANSLATE(A327,""en"",""pt"")"),"idealizado")</f>
        <v>idealizado</v>
      </c>
      <c r="G327" s="69"/>
    </row>
    <row r="328" ht="22.5" customHeight="1">
      <c r="A328" s="70" t="s">
        <v>590</v>
      </c>
      <c r="B328" s="67" t="str">
        <f t="shared" si="1"/>
        <v>M: scrounging</v>
      </c>
      <c r="C328" s="68"/>
      <c r="D328" s="68">
        <f>IFERROR(__xludf.DUMMYFUNCTION("ARRAYFORMULA(
  INDEX(
    UNIQUE(FILTER(D288:D11612, D288:D11612&lt;&gt;"""")),
    CEILING.MATH(SEQUENCE(COUNTUNIQUE(D288:D11612)*10, 1, 1)/10
  )
)+4)"),45774.0)</f>
        <v>45774</v>
      </c>
      <c r="E328" s="66">
        <v>7.0</v>
      </c>
      <c r="F328" s="66" t="str">
        <f>IFERROR(__xludf.DUMMYFUNCTION("GOOGLETRANSLATE(A328,""en"",""pt"")"),"catando")</f>
        <v>catando</v>
      </c>
      <c r="G328" s="69"/>
    </row>
    <row r="329" ht="22.5" customHeight="1">
      <c r="A329" s="66" t="s">
        <v>591</v>
      </c>
      <c r="B329" s="67" t="str">
        <f t="shared" si="1"/>
        <v>M: settled in</v>
      </c>
      <c r="C329" s="68"/>
      <c r="D329" s="68">
        <f>IFERROR(__xludf.DUMMYFUNCTION("ARRAYFORMULA(
  INDEX(
    UNIQUE(FILTER(D289:D11612, D289:D11612&lt;&gt;"""")),
    CEILING.MATH(SEQUENCE(COUNTUNIQUE(D289:D11612)*10, 1, 1)/10
  )
)+4)"),45774.0)</f>
        <v>45774</v>
      </c>
      <c r="E329" s="66">
        <v>8.0</v>
      </c>
      <c r="F329" s="66" t="str">
        <f>IFERROR(__xludf.DUMMYFUNCTION("GOOGLETRANSLATE(A329,""en"",""pt"")"),"estabelecido em")</f>
        <v>estabelecido em</v>
      </c>
      <c r="G329" s="69"/>
    </row>
    <row r="330" ht="22.5" customHeight="1">
      <c r="A330" s="66" t="s">
        <v>592</v>
      </c>
      <c r="B330" s="67" t="str">
        <f t="shared" si="1"/>
        <v>M: intended</v>
      </c>
      <c r="C330" s="68"/>
      <c r="D330" s="68">
        <f>IFERROR(__xludf.DUMMYFUNCTION("ARRAYFORMULA(
  INDEX(
    UNIQUE(FILTER(D290:D11612, D290:D11612&lt;&gt;"""")),
    CEILING.MATH(SEQUENCE(COUNTUNIQUE(D290:D11612)*10, 1, 1)/10
  )
)+4)"),45774.0)</f>
        <v>45774</v>
      </c>
      <c r="E330" s="66">
        <v>9.0</v>
      </c>
      <c r="F330" s="66" t="str">
        <f>IFERROR(__xludf.DUMMYFUNCTION("GOOGLETRANSLATE(A330,""en"",""pt"")"),"pretendido")</f>
        <v>pretendido</v>
      </c>
      <c r="G330" s="69"/>
    </row>
    <row r="331" ht="22.5" customHeight="1">
      <c r="A331" s="66" t="s">
        <v>593</v>
      </c>
      <c r="B331" s="67" t="str">
        <f t="shared" si="1"/>
        <v>M: following</v>
      </c>
      <c r="C331" s="68"/>
      <c r="D331" s="68">
        <f>IFERROR(__xludf.DUMMYFUNCTION("ARRAYFORMULA(
  INDEX(
    UNIQUE(FILTER(D291:D11612, D291:D11612&lt;&gt;"""")),
    CEILING.MATH(SEQUENCE(COUNTUNIQUE(D291:D11612)*10, 1, 1)/10
  )
)+4)"),45774.0)</f>
        <v>45774</v>
      </c>
      <c r="E331" s="66">
        <v>10.0</v>
      </c>
      <c r="F331" s="66" t="str">
        <f>IFERROR(__xludf.DUMMYFUNCTION("GOOGLETRANSLATE(A331,""en"",""pt"")"),"seguindo")</f>
        <v>seguindo</v>
      </c>
      <c r="G331" s="69"/>
    </row>
    <row r="332" ht="22.5" customHeight="1">
      <c r="A332" s="66" t="s">
        <v>594</v>
      </c>
      <c r="B332" s="67" t="str">
        <f t="shared" si="1"/>
        <v>M: woken</v>
      </c>
      <c r="C332" s="68"/>
      <c r="D332" s="68">
        <f>IFERROR(__xludf.DUMMYFUNCTION("ARRAYFORMULA(
  INDEX(
    UNIQUE(FILTER(D292:D11612, D292:D11612&lt;&gt;"""")),
    CEILING.MATH(SEQUENCE(COUNTUNIQUE(D292:D11612)*10, 1, 1)/10
  )
)+4)"),45775.0)</f>
        <v>45775</v>
      </c>
      <c r="E332" s="66">
        <v>1.0</v>
      </c>
      <c r="F332" s="66" t="str">
        <f>IFERROR(__xludf.DUMMYFUNCTION("GOOGLETRANSLATE(A332,""en"",""pt"")"),"acordado")</f>
        <v>acordado</v>
      </c>
      <c r="G332" s="69"/>
    </row>
    <row r="333" ht="22.5" customHeight="1">
      <c r="A333" s="66" t="s">
        <v>595</v>
      </c>
      <c r="B333" s="67" t="str">
        <f t="shared" si="1"/>
        <v>M: hooting</v>
      </c>
      <c r="C333" s="68"/>
      <c r="D333" s="68">
        <f>IFERROR(__xludf.DUMMYFUNCTION("ARRAYFORMULA(
  INDEX(
    UNIQUE(FILTER(D293:D11612, D293:D11612&lt;&gt;"""")),
    CEILING.MATH(SEQUENCE(COUNTUNIQUE(D293:D11612)*10, 1, 1)/10
  )
)+4)"),45775.0)</f>
        <v>45775</v>
      </c>
      <c r="E333" s="66">
        <v>2.0</v>
      </c>
      <c r="F333" s="66" t="str">
        <f>IFERROR(__xludf.DUMMYFUNCTION("GOOGLETRANSLATE(A333,""en"",""pt"")"),"buzinando")</f>
        <v>buzinando</v>
      </c>
      <c r="G333" s="69"/>
    </row>
    <row r="334" ht="22.5" customHeight="1">
      <c r="A334" s="66" t="s">
        <v>596</v>
      </c>
      <c r="B334" s="67" t="str">
        <f t="shared" si="1"/>
        <v>M: roared</v>
      </c>
      <c r="C334" s="68"/>
      <c r="D334" s="68">
        <f>IFERROR(__xludf.DUMMYFUNCTION("ARRAYFORMULA(
  INDEX(
    UNIQUE(FILTER(D294:D11612, D294:D11612&lt;&gt;"""")),
    CEILING.MATH(SEQUENCE(COUNTUNIQUE(D294:D11612)*10, 1, 1)/10
  )
)+4)"),45775.0)</f>
        <v>45775</v>
      </c>
      <c r="E334" s="66">
        <v>3.0</v>
      </c>
      <c r="F334" s="66" t="str">
        <f>IFERROR(__xludf.DUMMYFUNCTION("GOOGLETRANSLATE(A334,""en"",""pt"")"),"rugiu")</f>
        <v>rugiu</v>
      </c>
      <c r="G334" s="69"/>
    </row>
    <row r="335" ht="22.5" customHeight="1">
      <c r="A335" s="66" t="s">
        <v>597</v>
      </c>
      <c r="B335" s="67" t="str">
        <f t="shared" si="1"/>
        <v>M: it’ll</v>
      </c>
      <c r="C335" s="68"/>
      <c r="D335" s="68">
        <f>IFERROR(__xludf.DUMMYFUNCTION("ARRAYFORMULA(
  INDEX(
    UNIQUE(FILTER(D295:D11612, D295:D11612&lt;&gt;"""")),
    CEILING.MATH(SEQUENCE(COUNTUNIQUE(D295:D11612)*10, 1, 1)/10
  )
)+4)"),45775.0)</f>
        <v>45775</v>
      </c>
      <c r="E335" s="66">
        <v>4.0</v>
      </c>
      <c r="F335" s="66" t="str">
        <f>IFERROR(__xludf.DUMMYFUNCTION("GOOGLETRANSLATE(A335,""en"",""pt"")"),"vai")</f>
        <v>vai</v>
      </c>
      <c r="G335" s="69"/>
    </row>
    <row r="336" ht="22.5" customHeight="1">
      <c r="A336" s="66" t="s">
        <v>598</v>
      </c>
      <c r="B336" s="67" t="str">
        <f t="shared" si="1"/>
        <v>M: tried</v>
      </c>
      <c r="C336" s="68"/>
      <c r="D336" s="68">
        <f>IFERROR(__xludf.DUMMYFUNCTION("ARRAYFORMULA(
  INDEX(
    UNIQUE(FILTER(D296:D11612, D296:D11612&lt;&gt;"""")),
    CEILING.MATH(SEQUENCE(COUNTUNIQUE(D296:D11612)*10, 1, 1)/10
  )
)+4)"),45775.0)</f>
        <v>45775</v>
      </c>
      <c r="E336" s="66">
        <v>5.0</v>
      </c>
      <c r="F336" s="66" t="str">
        <f>IFERROR(__xludf.DUMMYFUNCTION("GOOGLETRANSLATE(A336,""en"",""pt"")"),"testado")</f>
        <v>testado</v>
      </c>
      <c r="G336" s="69"/>
    </row>
    <row r="337" ht="22.5" customHeight="1">
      <c r="A337" s="66" t="s">
        <v>599</v>
      </c>
      <c r="B337" s="67" t="str">
        <f t="shared" si="1"/>
        <v>M: snarled</v>
      </c>
      <c r="C337" s="68"/>
      <c r="D337" s="68">
        <f>IFERROR(__xludf.DUMMYFUNCTION("ARRAYFORMULA(
  INDEX(
    UNIQUE(FILTER(D297:D11612, D297:D11612&lt;&gt;"""")),
    CEILING.MATH(SEQUENCE(COUNTUNIQUE(D297:D11612)*10, 1, 1)/10
  )
)+4)"),45775.0)</f>
        <v>45775</v>
      </c>
      <c r="E337" s="66">
        <v>6.0</v>
      </c>
      <c r="F337" s="66" t="str">
        <f>IFERROR(__xludf.DUMMYFUNCTION("GOOGLETRANSLATE(A337,""en"",""pt"")"),"rosnou")</f>
        <v>rosnou</v>
      </c>
      <c r="G337" s="69"/>
    </row>
    <row r="338" ht="22.5" customHeight="1">
      <c r="A338" s="66" t="s">
        <v>600</v>
      </c>
      <c r="B338" s="67" t="str">
        <f t="shared" si="1"/>
        <v>M: dangling</v>
      </c>
      <c r="C338" s="68"/>
      <c r="D338" s="68">
        <f>IFERROR(__xludf.DUMMYFUNCTION("ARRAYFORMULA(
  INDEX(
    UNIQUE(FILTER(D298:D11612, D298:D11612&lt;&gt;"""")),
    CEILING.MATH(SEQUENCE(COUNTUNIQUE(D298:D11612)*10, 1, 1)/10
  )
)+4)"),45775.0)</f>
        <v>45775</v>
      </c>
      <c r="E338" s="66">
        <v>7.0</v>
      </c>
      <c r="F338" s="66" t="str">
        <f>IFERROR(__xludf.DUMMYFUNCTION("GOOGLETRANSLATE(A338,""en"",""pt"")"),"pendurado")</f>
        <v>pendurado</v>
      </c>
      <c r="G338" s="69"/>
    </row>
    <row r="339" ht="22.5" customHeight="1">
      <c r="A339" s="66" t="s">
        <v>601</v>
      </c>
      <c r="B339" s="67" t="str">
        <f t="shared" si="1"/>
        <v>M: bushy</v>
      </c>
      <c r="C339" s="68"/>
      <c r="D339" s="68">
        <f>IFERROR(__xludf.DUMMYFUNCTION("ARRAYFORMULA(
  INDEX(
    UNIQUE(FILTER(D299:D11612, D299:D11612&lt;&gt;"""")),
    CEILING.MATH(SEQUENCE(COUNTUNIQUE(D299:D11612)*10, 1, 1)/10
  )
)+4)"),45775.0)</f>
        <v>45775</v>
      </c>
      <c r="E339" s="66">
        <v>8.0</v>
      </c>
      <c r="F339" s="66" t="str">
        <f>IFERROR(__xludf.DUMMYFUNCTION("GOOGLETRANSLATE(A339,""en"",""pt"")"),"arbustivo")</f>
        <v>arbustivo</v>
      </c>
      <c r="G339" s="69"/>
    </row>
    <row r="340" ht="22.5" customHeight="1">
      <c r="A340" s="66" t="s">
        <v>602</v>
      </c>
      <c r="B340" s="67" t="str">
        <f t="shared" si="1"/>
        <v>M: gasped</v>
      </c>
      <c r="C340" s="68"/>
      <c r="D340" s="68">
        <f>IFERROR(__xludf.DUMMYFUNCTION("ARRAYFORMULA(
  INDEX(
    UNIQUE(FILTER(D300:D11612, D300:D11612&lt;&gt;"""")),
    CEILING.MATH(SEQUENCE(COUNTUNIQUE(D300:D11612)*10, 1, 1)/10
  )
)+4)"),45775.0)</f>
        <v>45775</v>
      </c>
      <c r="E340" s="66">
        <v>9.0</v>
      </c>
      <c r="F340" s="66" t="str">
        <f>IFERROR(__xludf.DUMMYFUNCTION("GOOGLETRANSLATE(A340,""en"",""pt"")"),"ofegante")</f>
        <v>ofegante</v>
      </c>
      <c r="G340" s="69"/>
    </row>
    <row r="341" ht="22.5" customHeight="1">
      <c r="A341" s="66" t="s">
        <v>603</v>
      </c>
      <c r="B341" s="67" t="str">
        <f t="shared" si="1"/>
        <v>M: clapped</v>
      </c>
      <c r="C341" s="68"/>
      <c r="D341" s="68">
        <f>IFERROR(__xludf.DUMMYFUNCTION("ARRAYFORMULA(
  INDEX(
    UNIQUE(FILTER(D301:D11612, D301:D11612&lt;&gt;"""")),
    CEILING.MATH(SEQUENCE(COUNTUNIQUE(D301:D11612)*10, 1, 1)/10
  )
)+4)"),45775.0)</f>
        <v>45775</v>
      </c>
      <c r="E341" s="66">
        <v>10.0</v>
      </c>
      <c r="F341" s="66" t="str">
        <f>IFERROR(__xludf.DUMMYFUNCTION("GOOGLETRANSLATE(A341,""en"",""pt"")"),"aplaudiram")</f>
        <v>aplaudiram</v>
      </c>
      <c r="G341" s="69"/>
    </row>
    <row r="342" ht="22.5" customHeight="1">
      <c r="A342" s="66" t="s">
        <v>604</v>
      </c>
      <c r="B342" s="67" t="str">
        <f t="shared" si="1"/>
        <v>M: conceived</v>
      </c>
      <c r="C342" s="68"/>
      <c r="D342" s="68">
        <f>IFERROR(__xludf.DUMMYFUNCTION("ARRAYFORMULA(
  INDEX(
    UNIQUE(FILTER(D302:D11612, D302:D11612&lt;&gt;"""")),
    CEILING.MATH(SEQUENCE(COUNTUNIQUE(D302:D11612)*10, 1, 1)/10
  )
)+4)"),45776.0)</f>
        <v>45776</v>
      </c>
      <c r="E342" s="66">
        <v>1.0</v>
      </c>
      <c r="F342" s="66" t="str">
        <f>IFERROR(__xludf.DUMMYFUNCTION("GOOGLETRANSLATE(A342,""en"",""pt"")"),"concebido")</f>
        <v>concebido</v>
      </c>
      <c r="G342" s="69"/>
    </row>
    <row r="343" ht="22.5" customHeight="1">
      <c r="A343" s="66" t="s">
        <v>605</v>
      </c>
      <c r="B343" s="67" t="str">
        <f t="shared" si="1"/>
        <v>M: sidewalk</v>
      </c>
      <c r="C343" s="68"/>
      <c r="D343" s="68">
        <f>IFERROR(__xludf.DUMMYFUNCTION("ARRAYFORMULA(
  INDEX(
    UNIQUE(FILTER(D303:D11612, D303:D11612&lt;&gt;"""")),
    CEILING.MATH(SEQUENCE(COUNTUNIQUE(D303:D11612)*10, 1, 1)/10
  )
)+4)"),45776.0)</f>
        <v>45776</v>
      </c>
      <c r="E343" s="66">
        <v>2.0</v>
      </c>
      <c r="F343" s="66" t="str">
        <f>IFERROR(__xludf.DUMMYFUNCTION("GOOGLETRANSLATE(A343,""en"",""pt"")"),"calçada")</f>
        <v>calçada</v>
      </c>
      <c r="G343" s="69"/>
    </row>
    <row r="344" ht="22.5" customHeight="1">
      <c r="A344" s="66" t="s">
        <v>606</v>
      </c>
      <c r="B344" s="67" t="str">
        <f t="shared" si="1"/>
        <v>M: since</v>
      </c>
      <c r="C344" s="68"/>
      <c r="D344" s="68">
        <f>IFERROR(__xludf.DUMMYFUNCTION("ARRAYFORMULA(
  INDEX(
    UNIQUE(FILTER(D304:D11612, D304:D11612&lt;&gt;"""")),
    CEILING.MATH(SEQUENCE(COUNTUNIQUE(D304:D11612)*10, 1, 1)/10
  )
)+4)"),45776.0)</f>
        <v>45776</v>
      </c>
      <c r="E344" s="66">
        <v>3.0</v>
      </c>
      <c r="F344" s="66" t="str">
        <f>IFERROR(__xludf.DUMMYFUNCTION("GOOGLETRANSLATE(A344,""en"",""pt"")"),"desde")</f>
        <v>desde</v>
      </c>
      <c r="G344" s="69"/>
    </row>
    <row r="345" ht="22.5" customHeight="1">
      <c r="A345" s="66" t="s">
        <v>607</v>
      </c>
      <c r="B345" s="67" t="str">
        <f t="shared" si="1"/>
        <v>M: worldwide</v>
      </c>
      <c r="C345" s="68"/>
      <c r="D345" s="68">
        <f>IFERROR(__xludf.DUMMYFUNCTION("ARRAYFORMULA(
  INDEX(
    UNIQUE(FILTER(D305:D11612, D305:D11612&lt;&gt;"""")),
    CEILING.MATH(SEQUENCE(COUNTUNIQUE(D305:D11612)*10, 1, 1)/10
  )
)+4)"),45776.0)</f>
        <v>45776</v>
      </c>
      <c r="E345" s="66">
        <v>4.0</v>
      </c>
      <c r="F345" s="66" t="str">
        <f>IFERROR(__xludf.DUMMYFUNCTION("GOOGLETRANSLATE(A345,""en"",""pt"")"),"mundialmente")</f>
        <v>mundialmente</v>
      </c>
      <c r="G345" s="69"/>
    </row>
    <row r="346" ht="22.5" customHeight="1">
      <c r="A346" s="66" t="s">
        <v>608</v>
      </c>
      <c r="B346" s="67" t="str">
        <f t="shared" si="1"/>
        <v>M: give up</v>
      </c>
      <c r="C346" s="68"/>
      <c r="D346" s="68">
        <f>IFERROR(__xludf.DUMMYFUNCTION("ARRAYFORMULA(
  INDEX(
    UNIQUE(FILTER(D306:D11612, D306:D11612&lt;&gt;"""")),
    CEILING.MATH(SEQUENCE(COUNTUNIQUE(D306:D11612)*10, 1, 1)/10
  )
)+4)"),45776.0)</f>
        <v>45776</v>
      </c>
      <c r="E346" s="66">
        <v>5.0</v>
      </c>
      <c r="F346" s="66" t="str">
        <f>IFERROR(__xludf.DUMMYFUNCTION("GOOGLETRANSLATE(A346,""en"",""pt"")"),"desistir")</f>
        <v>desistir</v>
      </c>
      <c r="G346" s="69"/>
    </row>
    <row r="347" ht="22.5" customHeight="1">
      <c r="A347" s="66" t="s">
        <v>609</v>
      </c>
      <c r="B347" s="67" t="str">
        <f t="shared" si="1"/>
        <v>M: unpredictable</v>
      </c>
      <c r="C347" s="68"/>
      <c r="D347" s="68">
        <f>IFERROR(__xludf.DUMMYFUNCTION("ARRAYFORMULA(
  INDEX(
    UNIQUE(FILTER(D307:D11612, D307:D11612&lt;&gt;"""")),
    CEILING.MATH(SEQUENCE(COUNTUNIQUE(D307:D11612)*10, 1, 1)/10
  )
)+4)"),45776.0)</f>
        <v>45776</v>
      </c>
      <c r="E347" s="66">
        <v>6.0</v>
      </c>
      <c r="F347" s="66" t="str">
        <f>IFERROR(__xludf.DUMMYFUNCTION("GOOGLETRANSLATE(A347,""en"",""pt"")"),"imprevisível")</f>
        <v>imprevisível</v>
      </c>
      <c r="G347" s="69"/>
    </row>
    <row r="348" ht="22.5" customHeight="1">
      <c r="A348" s="66" t="s">
        <v>610</v>
      </c>
      <c r="B348" s="67" t="str">
        <f t="shared" si="1"/>
        <v>M: despite</v>
      </c>
      <c r="C348" s="68"/>
      <c r="D348" s="68">
        <f>IFERROR(__xludf.DUMMYFUNCTION("ARRAYFORMULA(
  INDEX(
    UNIQUE(FILTER(D308:D11612, D308:D11612&lt;&gt;"""")),
    CEILING.MATH(SEQUENCE(COUNTUNIQUE(D308:D11612)*10, 1, 1)/10
  )
)+4)"),45776.0)</f>
        <v>45776</v>
      </c>
      <c r="E348" s="66">
        <v>7.0</v>
      </c>
      <c r="F348" s="66" t="str">
        <f>IFERROR(__xludf.DUMMYFUNCTION("GOOGLETRANSLATE(A348,""en"",""pt"")"),"apesar de")</f>
        <v>apesar de</v>
      </c>
      <c r="G348" s="69"/>
    </row>
    <row r="349" ht="22.5" customHeight="1">
      <c r="A349" s="66" t="s">
        <v>611</v>
      </c>
      <c r="B349" s="67" t="str">
        <f t="shared" si="1"/>
        <v>M: dilapidated</v>
      </c>
      <c r="C349" s="68"/>
      <c r="D349" s="68">
        <f>IFERROR(__xludf.DUMMYFUNCTION("ARRAYFORMULA(
  INDEX(
    UNIQUE(FILTER(D309:D11612, D309:D11612&lt;&gt;"""")),
    CEILING.MATH(SEQUENCE(COUNTUNIQUE(D309:D11612)*10, 1, 1)/10
  )
)+4)"),45776.0)</f>
        <v>45776</v>
      </c>
      <c r="E349" s="66">
        <v>8.0</v>
      </c>
      <c r="F349" s="66" t="str">
        <f>IFERROR(__xludf.DUMMYFUNCTION("GOOGLETRANSLATE(A349,""en"",""pt"")"),"dilapidado")</f>
        <v>dilapidado</v>
      </c>
      <c r="G349" s="69"/>
    </row>
    <row r="350" ht="22.5" customHeight="1">
      <c r="A350" s="66" t="s">
        <v>612</v>
      </c>
      <c r="B350" s="67" t="str">
        <f t="shared" si="1"/>
        <v>M: venture</v>
      </c>
      <c r="C350" s="68"/>
      <c r="D350" s="68">
        <f>IFERROR(__xludf.DUMMYFUNCTION("ARRAYFORMULA(
  INDEX(
    UNIQUE(FILTER(D310:D11612, D310:D11612&lt;&gt;"""")),
    CEILING.MATH(SEQUENCE(COUNTUNIQUE(D310:D11612)*10, 1, 1)/10
  )
)+4)"),45776.0)</f>
        <v>45776</v>
      </c>
      <c r="E350" s="66">
        <v>9.0</v>
      </c>
      <c r="F350" s="66" t="str">
        <f>IFERROR(__xludf.DUMMYFUNCTION("GOOGLETRANSLATE(A350,""en"",""pt"")"),"risco")</f>
        <v>risco</v>
      </c>
      <c r="G350" s="69"/>
    </row>
    <row r="351" ht="22.5" customHeight="1">
      <c r="A351" s="66" t="s">
        <v>613</v>
      </c>
      <c r="B351" s="67" t="str">
        <f t="shared" si="1"/>
        <v>M: piqued</v>
      </c>
      <c r="C351" s="68"/>
      <c r="D351" s="68">
        <f>IFERROR(__xludf.DUMMYFUNCTION("ARRAYFORMULA(
  INDEX(
    UNIQUE(FILTER(D311:D11612, D311:D11612&lt;&gt;"""")),
    CEILING.MATH(SEQUENCE(COUNTUNIQUE(D311:D11612)*10, 1, 1)/10
  )
)+4)"),45776.0)</f>
        <v>45776</v>
      </c>
      <c r="E351" s="66">
        <v>10.0</v>
      </c>
      <c r="F351" s="66" t="str">
        <f>IFERROR(__xludf.DUMMYFUNCTION("GOOGLETRANSLATE(A351,""en"",""pt"")"),"irritado")</f>
        <v>irritado</v>
      </c>
      <c r="G351" s="69"/>
    </row>
    <row r="352" ht="22.5" customHeight="1">
      <c r="A352" s="66" t="s">
        <v>614</v>
      </c>
      <c r="B352" s="67" t="str">
        <f t="shared" si="1"/>
        <v>M: there was</v>
      </c>
      <c r="C352" s="68"/>
      <c r="D352" s="68">
        <f>IFERROR(__xludf.DUMMYFUNCTION("ARRAYFORMULA(
  INDEX(
    UNIQUE(FILTER(D312:D11612, D312:D11612&lt;&gt;"""")),
    CEILING.MATH(SEQUENCE(COUNTUNIQUE(D312:D11612)*10, 1, 1)/10
  )
)+4)"),45777.0)</f>
        <v>45777</v>
      </c>
      <c r="E352" s="66">
        <v>1.0</v>
      </c>
      <c r="F352" s="66" t="str">
        <f>IFERROR(__xludf.DUMMYFUNCTION("GOOGLETRANSLATE(A352,""en"",""pt"")"),"havia")</f>
        <v>havia</v>
      </c>
      <c r="G352" s="69"/>
    </row>
    <row r="353" ht="22.5" customHeight="1">
      <c r="A353" s="66" t="s">
        <v>615</v>
      </c>
      <c r="B353" s="67" t="str">
        <f t="shared" si="1"/>
        <v>M: against</v>
      </c>
      <c r="C353" s="68"/>
      <c r="D353" s="68">
        <f>IFERROR(__xludf.DUMMYFUNCTION("ARRAYFORMULA(
  INDEX(
    UNIQUE(FILTER(D313:D11612, D313:D11612&lt;&gt;"""")),
    CEILING.MATH(SEQUENCE(COUNTUNIQUE(D313:D11612)*10, 1, 1)/10
  )
)+4)"),45777.0)</f>
        <v>45777</v>
      </c>
      <c r="E353" s="66">
        <v>2.0</v>
      </c>
      <c r="F353" s="66" t="str">
        <f>IFERROR(__xludf.DUMMYFUNCTION("GOOGLETRANSLATE(A353,""en"",""pt"")"),"contra")</f>
        <v>contra</v>
      </c>
      <c r="G353" s="69"/>
    </row>
    <row r="354" ht="22.5" customHeight="1">
      <c r="A354" s="66" t="s">
        <v>616</v>
      </c>
      <c r="B354" s="67" t="str">
        <f t="shared" si="1"/>
        <v>M: building</v>
      </c>
      <c r="C354" s="68"/>
      <c r="D354" s="68">
        <f>IFERROR(__xludf.DUMMYFUNCTION("ARRAYFORMULA(
  INDEX(
    UNIQUE(FILTER(D314:D11612, D314:D11612&lt;&gt;"""")),
    CEILING.MATH(SEQUENCE(COUNTUNIQUE(D314:D11612)*10, 1, 1)/10
  )
)+4)"),45777.0)</f>
        <v>45777</v>
      </c>
      <c r="E354" s="66">
        <v>3.0</v>
      </c>
      <c r="F354" s="66" t="str">
        <f>IFERROR(__xludf.DUMMYFUNCTION("GOOGLETRANSLATE(A354,""en"",""pt"")"),"prédio")</f>
        <v>prédio</v>
      </c>
      <c r="G354" s="69"/>
    </row>
    <row r="355" ht="22.5" customHeight="1">
      <c r="A355" s="66" t="s">
        <v>617</v>
      </c>
      <c r="B355" s="67" t="str">
        <f t="shared" si="1"/>
        <v>M: curtain</v>
      </c>
      <c r="C355" s="68"/>
      <c r="D355" s="68">
        <f>IFERROR(__xludf.DUMMYFUNCTION("ARRAYFORMULA(
  INDEX(
    UNIQUE(FILTER(D315:D11612, D315:D11612&lt;&gt;"""")),
    CEILING.MATH(SEQUENCE(COUNTUNIQUE(D315:D11612)*10, 1, 1)/10
  )
)+4)"),45777.0)</f>
        <v>45777</v>
      </c>
      <c r="E355" s="66">
        <v>4.0</v>
      </c>
      <c r="F355" s="66" t="str">
        <f>IFERROR(__xludf.DUMMYFUNCTION("GOOGLETRANSLATE(A355,""en"",""pt"")"),"cortina")</f>
        <v>cortina</v>
      </c>
      <c r="G355" s="69"/>
    </row>
    <row r="356" ht="22.5" customHeight="1">
      <c r="A356" s="66" t="s">
        <v>618</v>
      </c>
      <c r="B356" s="67" t="str">
        <f t="shared" si="1"/>
        <v>M: strings</v>
      </c>
      <c r="C356" s="68"/>
      <c r="D356" s="68">
        <f>IFERROR(__xludf.DUMMYFUNCTION("ARRAYFORMULA(
  INDEX(
    UNIQUE(FILTER(D316:D11612, D316:D11612&lt;&gt;"""")),
    CEILING.MATH(SEQUENCE(COUNTUNIQUE(D316:D11612)*10, 1, 1)/10
  )
)+4)"),45777.0)</f>
        <v>45777</v>
      </c>
      <c r="E356" s="66">
        <v>5.0</v>
      </c>
      <c r="F356" s="66" t="str">
        <f>IFERROR(__xludf.DUMMYFUNCTION("GOOGLETRANSLATE(A356,""en"",""pt"")"),"cordas")</f>
        <v>cordas</v>
      </c>
      <c r="G356" s="69"/>
    </row>
    <row r="357" ht="22.5" customHeight="1">
      <c r="A357" s="66" t="s">
        <v>619</v>
      </c>
      <c r="B357" s="67" t="str">
        <f t="shared" si="1"/>
        <v>M: beads</v>
      </c>
      <c r="C357" s="68"/>
      <c r="D357" s="68">
        <f>IFERROR(__xludf.DUMMYFUNCTION("ARRAYFORMULA(
  INDEX(
    UNIQUE(FILTER(D317:D11612, D317:D11612&lt;&gt;"""")),
    CEILING.MATH(SEQUENCE(COUNTUNIQUE(D317:D11612)*10, 1, 1)/10
  )
)+4)"),45777.0)</f>
        <v>45777</v>
      </c>
      <c r="E357" s="66">
        <v>6.0</v>
      </c>
      <c r="F357" s="66" t="str">
        <f>IFERROR(__xludf.DUMMYFUNCTION("GOOGLETRANSLATE(A357,""en"",""pt"")"),"contas")</f>
        <v>contas</v>
      </c>
      <c r="G357" s="69"/>
    </row>
    <row r="358" ht="22.5" customHeight="1">
      <c r="A358" s="66" t="s">
        <v>620</v>
      </c>
      <c r="B358" s="67" t="str">
        <f t="shared" si="1"/>
        <v>M: keep out</v>
      </c>
      <c r="C358" s="68"/>
      <c r="D358" s="68">
        <f>IFERROR(__xludf.DUMMYFUNCTION("ARRAYFORMULA(
  INDEX(
    UNIQUE(FILTER(D318:D11612, D318:D11612&lt;&gt;"""")),
    CEILING.MATH(SEQUENCE(COUNTUNIQUE(D318:D11612)*10, 1, 1)/10
  )
)+4)"),45777.0)</f>
        <v>45777</v>
      </c>
      <c r="E358" s="66">
        <v>7.0</v>
      </c>
      <c r="F358" s="66" t="str">
        <f>IFERROR(__xludf.DUMMYFUNCTION("GOOGLETRANSLATE(A358,""en"",""pt"")"),"mantenha-se afastado")</f>
        <v>mantenha-se afastado</v>
      </c>
      <c r="G358" s="69"/>
    </row>
    <row r="359" ht="22.5" customHeight="1">
      <c r="A359" s="66" t="s">
        <v>621</v>
      </c>
      <c r="B359" s="67" t="str">
        <f t="shared" si="1"/>
        <v>M: shade</v>
      </c>
      <c r="C359" s="68"/>
      <c r="D359" s="68">
        <f>IFERROR(__xludf.DUMMYFUNCTION("ARRAYFORMULA(
  INDEX(
    UNIQUE(FILTER(D319:D11612, D319:D11612&lt;&gt;"""")),
    CEILING.MATH(SEQUENCE(COUNTUNIQUE(D319:D11612)*10, 1, 1)/10
  )
)+4)"),45777.0)</f>
        <v>45777</v>
      </c>
      <c r="E359" s="66">
        <v>8.0</v>
      </c>
      <c r="F359" s="66" t="str">
        <f>IFERROR(__xludf.DUMMYFUNCTION("GOOGLETRANSLATE(A359,""en"",""pt"")"),"sombra")</f>
        <v>sombra</v>
      </c>
      <c r="G359" s="69"/>
    </row>
    <row r="360" ht="22.5" customHeight="1">
      <c r="A360" s="66" t="s">
        <v>622</v>
      </c>
      <c r="B360" s="67" t="str">
        <f t="shared" si="1"/>
        <v>M: went on</v>
      </c>
      <c r="C360" s="66">
        <v>1.0</v>
      </c>
      <c r="D360" s="68">
        <f>IFERROR(__xludf.DUMMYFUNCTION("ARRAYFORMULA(
  INDEX(
    UNIQUE(FILTER(D320:D11612, D320:D11612&lt;&gt;"""")),
    CEILING.MATH(SEQUENCE(COUNTUNIQUE(D320:D11612)*10, 1, 1)/10
  )
)+4)"),45777.0)</f>
        <v>45777</v>
      </c>
      <c r="E360" s="66">
        <v>9.0</v>
      </c>
      <c r="F360" s="66" t="s">
        <v>623</v>
      </c>
      <c r="G360" s="66" t="s">
        <v>247</v>
      </c>
    </row>
    <row r="361" ht="22.5" customHeight="1">
      <c r="A361" s="66" t="s">
        <v>624</v>
      </c>
      <c r="B361" s="67" t="str">
        <f t="shared" si="1"/>
        <v>M: taken off</v>
      </c>
      <c r="C361" s="68"/>
      <c r="D361" s="68">
        <f>IFERROR(__xludf.DUMMYFUNCTION("ARRAYFORMULA(
  INDEX(
    UNIQUE(FILTER(D321:D11612, D321:D11612&lt;&gt;"""")),
    CEILING.MATH(SEQUENCE(COUNTUNIQUE(D321:D11612)*10, 1, 1)/10
  )
)+4)"),45777.0)</f>
        <v>45777</v>
      </c>
      <c r="E361" s="66">
        <v>10.0</v>
      </c>
      <c r="F361" s="66" t="str">
        <f>IFERROR(__xludf.DUMMYFUNCTION("GOOGLETRANSLATE(A361,""en"",""pt"")"),"retirado")</f>
        <v>retirado</v>
      </c>
      <c r="G361" s="69"/>
    </row>
    <row r="362" ht="22.5" customHeight="1">
      <c r="A362" s="66" t="s">
        <v>625</v>
      </c>
      <c r="B362" s="67" t="str">
        <f t="shared" si="1"/>
        <v>M: pads</v>
      </c>
      <c r="C362" s="68"/>
      <c r="D362" s="68">
        <f>IFERROR(__xludf.DUMMYFUNCTION("ARRAYFORMULA(
  INDEX(
    UNIQUE(FILTER(D322:D11612, D322:D11612&lt;&gt;"""")),
    CEILING.MATH(SEQUENCE(COUNTUNIQUE(D322:D11612)*10, 1, 1)/10
  )
)+4)"),45778.0)</f>
        <v>45778</v>
      </c>
      <c r="E362" s="66">
        <v>1.0</v>
      </c>
      <c r="F362" s="66" t="str">
        <f>IFERROR(__xludf.DUMMYFUNCTION("GOOGLETRANSLATE(A362,""en"",""pt"")"),"almofadas")</f>
        <v>almofadas</v>
      </c>
      <c r="G362" s="69"/>
    </row>
    <row r="363" ht="22.5" customHeight="1">
      <c r="A363" s="66" t="s">
        <v>626</v>
      </c>
      <c r="B363" s="67" t="str">
        <f t="shared" si="1"/>
        <v>M: beer</v>
      </c>
      <c r="C363" s="68"/>
      <c r="D363" s="68">
        <f>IFERROR(__xludf.DUMMYFUNCTION("ARRAYFORMULA(
  INDEX(
    UNIQUE(FILTER(D323:D11612, D323:D11612&lt;&gt;"""")),
    CEILING.MATH(SEQUENCE(COUNTUNIQUE(D323:D11612)*10, 1, 1)/10
  )
)+4)"),45778.0)</f>
        <v>45778</v>
      </c>
      <c r="E363" s="66">
        <v>2.0</v>
      </c>
      <c r="F363" s="66" t="str">
        <f>IFERROR(__xludf.DUMMYFUNCTION("GOOGLETRANSLATE(A363,""en"",""pt"")"),"cerveja")</f>
        <v>cerveja</v>
      </c>
      <c r="G363" s="69"/>
    </row>
    <row r="364" ht="22.5" customHeight="1">
      <c r="A364" s="66" t="s">
        <v>627</v>
      </c>
      <c r="B364" s="67" t="str">
        <f t="shared" si="1"/>
        <v>M: country</v>
      </c>
      <c r="C364" s="68"/>
      <c r="D364" s="68">
        <f>IFERROR(__xludf.DUMMYFUNCTION("ARRAYFORMULA(
  INDEX(
    UNIQUE(FILTER(D324:D11612, D324:D11612&lt;&gt;"""")),
    CEILING.MATH(SEQUENCE(COUNTUNIQUE(D324:D11612)*10, 1, 1)/10
  )
)+4)"),45778.0)</f>
        <v>45778</v>
      </c>
      <c r="E364" s="66">
        <v>3.0</v>
      </c>
      <c r="F364" s="66" t="str">
        <f>IFERROR(__xludf.DUMMYFUNCTION("GOOGLETRANSLATE(A364,""en"",""pt"")"),"país")</f>
        <v>país</v>
      </c>
      <c r="G364" s="69"/>
    </row>
    <row r="365" ht="22.5" customHeight="1">
      <c r="A365" s="66" t="s">
        <v>628</v>
      </c>
      <c r="B365" s="67" t="str">
        <f t="shared" si="1"/>
        <v>M: dry</v>
      </c>
      <c r="C365" s="68"/>
      <c r="D365" s="68">
        <f>IFERROR(__xludf.DUMMYFUNCTION("ARRAYFORMULA(
  INDEX(
    UNIQUE(FILTER(D325:D11612, D325:D11612&lt;&gt;"""")),
    CEILING.MATH(SEQUENCE(COUNTUNIQUE(D325:D11612)*10, 1, 1)/10
  )
)+4)"),45778.0)</f>
        <v>45778</v>
      </c>
      <c r="E365" s="66">
        <v>4.0</v>
      </c>
      <c r="F365" s="66" t="str">
        <f>IFERROR(__xludf.DUMMYFUNCTION("GOOGLETRANSLATE(A365,""en"",""pt"")"),"seco")</f>
        <v>seco</v>
      </c>
      <c r="G365" s="69"/>
    </row>
    <row r="366" ht="22.5" customHeight="1">
      <c r="A366" s="66" t="s">
        <v>629</v>
      </c>
      <c r="B366" s="67" t="str">
        <f t="shared" si="1"/>
        <v>M: seen</v>
      </c>
      <c r="C366" s="68"/>
      <c r="D366" s="68">
        <f>IFERROR(__xludf.DUMMYFUNCTION("ARRAYFORMULA(
  INDEX(
    UNIQUE(FILTER(D326:D11612, D326:D11612&lt;&gt;"""")),
    CEILING.MATH(SEQUENCE(COUNTUNIQUE(D326:D11612)*10, 1, 1)/10
  )
)+4)"),45778.0)</f>
        <v>45778</v>
      </c>
      <c r="E366" s="66">
        <v>5.0</v>
      </c>
      <c r="F366" s="66" t="str">
        <f>IFERROR(__xludf.DUMMYFUNCTION("GOOGLETRANSLATE(A366,""en"",""pt"")"),"visto")</f>
        <v>visto</v>
      </c>
      <c r="G366" s="69"/>
    </row>
    <row r="367" ht="22.5" customHeight="1">
      <c r="A367" s="66" t="s">
        <v>630</v>
      </c>
      <c r="B367" s="67" t="str">
        <f t="shared" si="1"/>
        <v>M: doesn't</v>
      </c>
      <c r="C367" s="68"/>
      <c r="D367" s="68">
        <f>IFERROR(__xludf.DUMMYFUNCTION("ARRAYFORMULA(
  INDEX(
    UNIQUE(FILTER(D327:D11612, D327:D11612&lt;&gt;"""")),
    CEILING.MATH(SEQUENCE(COUNTUNIQUE(D327:D11612)*10, 1, 1)/10
  )
)+4)"),45778.0)</f>
        <v>45778</v>
      </c>
      <c r="E367" s="66">
        <v>6.0</v>
      </c>
      <c r="F367" s="66" t="str">
        <f>IFERROR(__xludf.DUMMYFUNCTION("GOOGLETRANSLATE(A367,""en"",""pt"")"),"não")</f>
        <v>não</v>
      </c>
      <c r="G367" s="69"/>
    </row>
    <row r="368" ht="22.5" customHeight="1">
      <c r="A368" s="66" t="s">
        <v>631</v>
      </c>
      <c r="B368" s="67" t="str">
        <f t="shared" si="1"/>
        <v>M: bead</v>
      </c>
      <c r="C368" s="68"/>
      <c r="D368" s="68">
        <f>IFERROR(__xludf.DUMMYFUNCTION("ARRAYFORMULA(
  INDEX(
    UNIQUE(FILTER(D328:D11612, D328:D11612&lt;&gt;"""")),
    CEILING.MATH(SEQUENCE(COUNTUNIQUE(D328:D11612)*10, 1, 1)/10
  )
)+4)"),45778.0)</f>
        <v>45778</v>
      </c>
      <c r="E368" s="66">
        <v>7.0</v>
      </c>
      <c r="F368" s="66" t="str">
        <f>IFERROR(__xludf.DUMMYFUNCTION("GOOGLETRANSLATE(A368,""en"",""pt"")"),"miçanga")</f>
        <v>miçanga</v>
      </c>
      <c r="G368" s="69"/>
    </row>
    <row r="369" ht="22.5" customHeight="1">
      <c r="A369" s="66" t="s">
        <v>632</v>
      </c>
      <c r="B369" s="67" t="str">
        <f t="shared" si="1"/>
        <v>M: came out</v>
      </c>
      <c r="C369" s="68"/>
      <c r="D369" s="68">
        <f>IFERROR(__xludf.DUMMYFUNCTION("ARRAYFORMULA(
  INDEX(
    UNIQUE(FILTER(D329:D11612, D329:D11612&lt;&gt;"""")),
    CEILING.MATH(SEQUENCE(COUNTUNIQUE(D329:D11612)*10, 1, 1)/10
  )
)+4)"),45778.0)</f>
        <v>45778</v>
      </c>
      <c r="E369" s="66">
        <v>8.0</v>
      </c>
      <c r="F369" s="66" t="str">
        <f>IFERROR(__xludf.DUMMYFUNCTION("GOOGLETRANSLATE(A369,""en"",""pt"")"),"saiu")</f>
        <v>saiu</v>
      </c>
      <c r="G369" s="69"/>
    </row>
    <row r="370" ht="22.5" customHeight="1">
      <c r="A370" s="66" t="s">
        <v>633</v>
      </c>
      <c r="B370" s="67" t="str">
        <f t="shared" si="1"/>
        <v>M: permeating</v>
      </c>
      <c r="C370" s="68"/>
      <c r="D370" s="68">
        <f>IFERROR(__xludf.DUMMYFUNCTION("ARRAYFORMULA(
  INDEX(
    UNIQUE(FILTER(D330:D11612, D330:D11612&lt;&gt;"""")),
    CEILING.MATH(SEQUENCE(COUNTUNIQUE(D330:D11612)*10, 1, 1)/10
  )
)+4)"),45778.0)</f>
        <v>45778</v>
      </c>
      <c r="E370" s="66">
        <v>9.0</v>
      </c>
      <c r="F370" s="66" t="str">
        <f>IFERROR(__xludf.DUMMYFUNCTION("GOOGLETRANSLATE(A370,""en"",""pt"")"),"permeando")</f>
        <v>permeando</v>
      </c>
      <c r="G370" s="69"/>
    </row>
    <row r="371" ht="22.5" customHeight="1">
      <c r="A371" s="66" t="s">
        <v>634</v>
      </c>
      <c r="B371" s="67" t="str">
        <f t="shared" si="1"/>
        <v>M: wonder</v>
      </c>
      <c r="C371" s="66">
        <v>1.0</v>
      </c>
      <c r="D371" s="68">
        <f>IFERROR(__xludf.DUMMYFUNCTION("ARRAYFORMULA(
  INDEX(
    UNIQUE(FILTER(D331:D11612, D331:D11612&lt;&gt;"""")),
    CEILING.MATH(SEQUENCE(COUNTUNIQUE(D331:D11612)*10, 1, 1)/10
  )
)+4)"),45778.0)</f>
        <v>45778</v>
      </c>
      <c r="E371" s="66">
        <v>10.0</v>
      </c>
      <c r="F371" s="66" t="s">
        <v>635</v>
      </c>
      <c r="G371" s="66" t="s">
        <v>247</v>
      </c>
    </row>
    <row r="372" ht="22.5" customHeight="1">
      <c r="A372" s="66" t="s">
        <v>636</v>
      </c>
      <c r="B372" s="67" t="str">
        <f t="shared" si="1"/>
        <v>M: licorice</v>
      </c>
      <c r="C372" s="68"/>
      <c r="D372" s="68">
        <f>IFERROR(__xludf.DUMMYFUNCTION("ARRAYFORMULA(
  INDEX(
    UNIQUE(FILTER(D332:D11612, D332:D11612&lt;&gt;"""")),
    CEILING.MATH(SEQUENCE(COUNTUNIQUE(D332:D11612)*10, 1, 1)/10
  )
)+4)"),45779.0)</f>
        <v>45779</v>
      </c>
      <c r="E372" s="66">
        <v>1.0</v>
      </c>
      <c r="F372" s="66" t="str">
        <f>IFERROR(__xludf.DUMMYFUNCTION("GOOGLETRANSLATE(A372,""en"",""pt"")"),"alcaçuz")</f>
        <v>alcaçuz</v>
      </c>
      <c r="G372" s="69"/>
    </row>
    <row r="373" ht="22.5" customHeight="1">
      <c r="A373" s="66" t="s">
        <v>637</v>
      </c>
      <c r="B373" s="67" t="str">
        <f t="shared" si="1"/>
        <v>M: That's</v>
      </c>
      <c r="C373" s="68"/>
      <c r="D373" s="68">
        <f>IFERROR(__xludf.DUMMYFUNCTION("ARRAYFORMULA(
  INDEX(
    UNIQUE(FILTER(D333:D11612, D333:D11612&lt;&gt;"""")),
    CEILING.MATH(SEQUENCE(COUNTUNIQUE(D333:D11612)*10, 1, 1)/10
  )
)+4)"),45779.0)</f>
        <v>45779</v>
      </c>
      <c r="E373" s="66">
        <v>2.0</v>
      </c>
      <c r="F373" s="66" t="str">
        <f>IFERROR(__xludf.DUMMYFUNCTION("GOOGLETRANSLATE(A373,""en"",""pt"")"),"Isso é")</f>
        <v>Isso é</v>
      </c>
      <c r="G373" s="69"/>
    </row>
    <row r="374" ht="22.5" customHeight="1">
      <c r="A374" s="66" t="s">
        <v>638</v>
      </c>
      <c r="B374" s="67" t="str">
        <f t="shared" si="1"/>
        <v>M: waited</v>
      </c>
      <c r="C374" s="68"/>
      <c r="D374" s="68">
        <f>IFERROR(__xludf.DUMMYFUNCTION("ARRAYFORMULA(
  INDEX(
    UNIQUE(FILTER(D334:D11612, D334:D11612&lt;&gt;"""")),
    CEILING.MATH(SEQUENCE(COUNTUNIQUE(D334:D11612)*10, 1, 1)/10
  )
)+4)"),45779.0)</f>
        <v>45779</v>
      </c>
      <c r="E374" s="66">
        <v>3.0</v>
      </c>
      <c r="F374" s="66" t="str">
        <f>IFERROR(__xludf.DUMMYFUNCTION("GOOGLETRANSLATE(A374,""en"",""pt"")"),"esperou")</f>
        <v>esperou</v>
      </c>
      <c r="G374" s="69"/>
    </row>
    <row r="375" ht="22.5" customHeight="1">
      <c r="A375" s="66" t="s">
        <v>639</v>
      </c>
      <c r="B375" s="67" t="str">
        <f t="shared" si="1"/>
        <v>M: You've</v>
      </c>
      <c r="C375" s="68"/>
      <c r="D375" s="68">
        <f>IFERROR(__xludf.DUMMYFUNCTION("ARRAYFORMULA(
  INDEX(
    UNIQUE(FILTER(D335:D11612, D335:D11612&lt;&gt;"""")),
    CEILING.MATH(SEQUENCE(COUNTUNIQUE(D335:D11612)*10, 1, 1)/10
  )
)+4)"),45779.0)</f>
        <v>45779</v>
      </c>
      <c r="E375" s="66">
        <v>4.0</v>
      </c>
      <c r="F375" s="66" t="str">
        <f>IFERROR(__xludf.DUMMYFUNCTION("GOOGLETRANSLATE(A375,""en"",""pt"")"),"Você tem")</f>
        <v>Você tem</v>
      </c>
      <c r="G375" s="69"/>
    </row>
    <row r="376" ht="22.5" customHeight="1">
      <c r="A376" s="66" t="s">
        <v>640</v>
      </c>
      <c r="B376" s="67" t="str">
        <f t="shared" si="1"/>
        <v>M: absinthe</v>
      </c>
      <c r="C376" s="68"/>
      <c r="D376" s="68">
        <f>IFERROR(__xludf.DUMMYFUNCTION("ARRAYFORMULA(
  INDEX(
    UNIQUE(FILTER(D336:D11612, D336:D11612&lt;&gt;"""")),
    CEILING.MATH(SEQUENCE(COUNTUNIQUE(D336:D11612)*10, 1, 1)/10
  )
)+4)"),45779.0)</f>
        <v>45779</v>
      </c>
      <c r="E376" s="66">
        <v>5.0</v>
      </c>
      <c r="F376" s="66" t="str">
        <f>IFERROR(__xludf.DUMMYFUNCTION("GOOGLETRANSLATE(A376,""en"",""pt"")"),"absinto")</f>
        <v>absinto</v>
      </c>
      <c r="G376" s="69"/>
    </row>
    <row r="377" ht="22.5" customHeight="1">
      <c r="A377" s="66" t="s">
        <v>641</v>
      </c>
      <c r="B377" s="67" t="str">
        <f t="shared" si="1"/>
        <v>M: cut it out</v>
      </c>
      <c r="C377" s="68"/>
      <c r="D377" s="68">
        <f>IFERROR(__xludf.DUMMYFUNCTION("ARRAYFORMULA(
  INDEX(
    UNIQUE(FILTER(D337:D11612, D337:D11612&lt;&gt;"""")),
    CEILING.MATH(SEQUENCE(COUNTUNIQUE(D337:D11612)*10, 1, 1)/10
  )
)+4)"),45779.0)</f>
        <v>45779</v>
      </c>
      <c r="E377" s="66">
        <v>6.0</v>
      </c>
      <c r="F377" s="66" t="str">
        <f>IFERROR(__xludf.DUMMYFUNCTION("GOOGLETRANSLATE(A377,""en"",""pt"")"),"corte isso")</f>
        <v>corte isso</v>
      </c>
      <c r="G377" s="69"/>
    </row>
    <row r="378" ht="22.5" customHeight="1">
      <c r="A378" s="66" t="s">
        <v>642</v>
      </c>
      <c r="B378" s="67" t="str">
        <f t="shared" si="1"/>
        <v>M: Wasn't</v>
      </c>
      <c r="C378" s="68"/>
      <c r="D378" s="68">
        <f>IFERROR(__xludf.DUMMYFUNCTION("ARRAYFORMULA(
  INDEX(
    UNIQUE(FILTER(D338:D11612, D338:D11612&lt;&gt;"""")),
    CEILING.MATH(SEQUENCE(COUNTUNIQUE(D338:D11612)*10, 1, 1)/10
  )
)+4)"),45779.0)</f>
        <v>45779</v>
      </c>
      <c r="E378" s="66">
        <v>7.0</v>
      </c>
      <c r="F378" s="66" t="str">
        <f>IFERROR(__xludf.DUMMYFUNCTION("GOOGLETRANSLATE(A378,""en"",""pt"")"),"Não era")</f>
        <v>Não era</v>
      </c>
      <c r="G378" s="69"/>
    </row>
    <row r="379" ht="22.5" customHeight="1">
      <c r="A379" s="66" t="s">
        <v>643</v>
      </c>
      <c r="B379" s="67" t="str">
        <f t="shared" si="1"/>
        <v>M: bright</v>
      </c>
      <c r="C379" s="68"/>
      <c r="D379" s="68">
        <f>IFERROR(__xludf.DUMMYFUNCTION("ARRAYFORMULA(
  INDEX(
    UNIQUE(FILTER(D339:D11612, D339:D11612&lt;&gt;"""")),
    CEILING.MATH(SEQUENCE(COUNTUNIQUE(D339:D11612)*10, 1, 1)/10
  )
)+4)"),45779.0)</f>
        <v>45779</v>
      </c>
      <c r="E379" s="66">
        <v>8.0</v>
      </c>
      <c r="F379" s="66" t="str">
        <f>IFERROR(__xludf.DUMMYFUNCTION("GOOGLETRANSLATE(A379,""en"",""pt"")"),"brilhante")</f>
        <v>brilhante</v>
      </c>
      <c r="G379" s="69"/>
    </row>
    <row r="380" ht="22.5" customHeight="1">
      <c r="A380" s="66" t="s">
        <v>644</v>
      </c>
      <c r="B380" s="67" t="str">
        <f t="shared" si="1"/>
        <v>M: lovely</v>
      </c>
      <c r="C380" s="68"/>
      <c r="D380" s="68">
        <f>IFERROR(__xludf.DUMMYFUNCTION("ARRAYFORMULA(
  INDEX(
    UNIQUE(FILTER(D340:D11612, D340:D11612&lt;&gt;"""")),
    CEILING.MATH(SEQUENCE(COUNTUNIQUE(D340:D11612)*10, 1, 1)/10
  )
)+4)"),45779.0)</f>
        <v>45779</v>
      </c>
      <c r="E380" s="66">
        <v>9.0</v>
      </c>
      <c r="F380" s="66" t="str">
        <f>IFERROR(__xludf.DUMMYFUNCTION("GOOGLETRANSLATE(A380,""en"",""pt"")"),"amável")</f>
        <v>amável</v>
      </c>
      <c r="G380" s="69"/>
    </row>
    <row r="381" ht="22.5" customHeight="1">
      <c r="A381" s="66" t="s">
        <v>645</v>
      </c>
      <c r="B381" s="67" t="str">
        <f t="shared" si="1"/>
        <v>M: blew</v>
      </c>
      <c r="C381" s="68"/>
      <c r="D381" s="68">
        <f>IFERROR(__xludf.DUMMYFUNCTION("ARRAYFORMULA(
  INDEX(
    UNIQUE(FILTER(D341:D11612, D341:D11612&lt;&gt;"""")),
    CEILING.MATH(SEQUENCE(COUNTUNIQUE(D341:D11612)*10, 1, 1)/10
  )
)+4)"),45779.0)</f>
        <v>45779</v>
      </c>
      <c r="E381" s="66">
        <v>10.0</v>
      </c>
      <c r="F381" s="66" t="str">
        <f>IFERROR(__xludf.DUMMYFUNCTION("GOOGLETRANSLATE(A381,""en"",""pt"")"),"soprou")</f>
        <v>soprou</v>
      </c>
      <c r="G381" s="69"/>
    </row>
    <row r="382" ht="22.5" customHeight="1">
      <c r="A382" s="66" t="s">
        <v>646</v>
      </c>
      <c r="B382" s="67" t="str">
        <f t="shared" si="1"/>
        <v>M: mind</v>
      </c>
      <c r="C382" s="68"/>
      <c r="D382" s="68">
        <f>IFERROR(__xludf.DUMMYFUNCTION("ARRAYFORMULA(
  INDEX(
    UNIQUE(FILTER(D342:D11612, D342:D11612&lt;&gt;"""")),
    CEILING.MATH(SEQUENCE(COUNTUNIQUE(D342:D11612)*10, 1, 1)/10
  )
)+4)"),45780.0)</f>
        <v>45780</v>
      </c>
      <c r="E382" s="66">
        <v>1.0</v>
      </c>
      <c r="F382" s="66" t="str">
        <f>IFERROR(__xludf.DUMMYFUNCTION("GOOGLETRANSLATE(A382,""en"",""pt"")"),"mente")</f>
        <v>mente</v>
      </c>
      <c r="G382" s="69"/>
    </row>
    <row r="383" ht="22.5" customHeight="1">
      <c r="A383" s="66" t="s">
        <v>647</v>
      </c>
      <c r="B383" s="67" t="str">
        <f t="shared" si="1"/>
        <v>M: anything</v>
      </c>
      <c r="C383" s="66">
        <v>1.0</v>
      </c>
      <c r="D383" s="68">
        <f>IFERROR(__xludf.DUMMYFUNCTION("ARRAYFORMULA(
  INDEX(
    UNIQUE(FILTER(D343:D11612, D343:D11612&lt;&gt;"""")),
    CEILING.MATH(SEQUENCE(COUNTUNIQUE(D343:D11612)*10, 1, 1)/10
  )
)+4)"),45780.0)</f>
        <v>45780</v>
      </c>
      <c r="E383" s="66">
        <v>2.0</v>
      </c>
      <c r="F383" s="66" t="s">
        <v>648</v>
      </c>
      <c r="G383" s="66" t="s">
        <v>247</v>
      </c>
    </row>
    <row r="384" ht="22.5" customHeight="1">
      <c r="A384" s="66" t="s">
        <v>649</v>
      </c>
      <c r="B384" s="67" t="str">
        <f t="shared" si="1"/>
        <v>M: afterward</v>
      </c>
      <c r="C384" s="68"/>
      <c r="D384" s="68">
        <f>IFERROR(__xludf.DUMMYFUNCTION("ARRAYFORMULA(
  INDEX(
    UNIQUE(FILTER(D344:D11612, D344:D11612&lt;&gt;"""")),
    CEILING.MATH(SEQUENCE(COUNTUNIQUE(D344:D11612)*10, 1, 1)/10
  )
)+4)"),45780.0)</f>
        <v>45780</v>
      </c>
      <c r="E384" s="66">
        <v>3.0</v>
      </c>
      <c r="F384" s="66" t="str">
        <f>IFERROR(__xludf.DUMMYFUNCTION("GOOGLETRANSLATE(A384,""en"",""pt"")"),"depois")</f>
        <v>depois</v>
      </c>
      <c r="G384" s="69"/>
    </row>
    <row r="385" ht="22.5" customHeight="1">
      <c r="A385" s="66" t="s">
        <v>650</v>
      </c>
      <c r="B385" s="67" t="str">
        <f t="shared" si="1"/>
        <v>M: bothers</v>
      </c>
      <c r="C385" s="68"/>
      <c r="D385" s="68">
        <f>IFERROR(__xludf.DUMMYFUNCTION("ARRAYFORMULA(
  INDEX(
    UNIQUE(FILTER(D345:D11612, D345:D11612&lt;&gt;"""")),
    CEILING.MATH(SEQUENCE(COUNTUNIQUE(D345:D11612)*10, 1, 1)/10
  )
)+4)"),45780.0)</f>
        <v>45780</v>
      </c>
      <c r="E385" s="66">
        <v>4.0</v>
      </c>
      <c r="F385" s="66" t="str">
        <f>IFERROR(__xludf.DUMMYFUNCTION("GOOGLETRANSLATE(A385,""en"",""pt"")"),"incomoda")</f>
        <v>incomoda</v>
      </c>
      <c r="G385" s="69"/>
    </row>
    <row r="386" ht="22.5" customHeight="1">
      <c r="A386" s="66" t="s">
        <v>651</v>
      </c>
      <c r="B386" s="67" t="str">
        <f t="shared" si="1"/>
        <v>M: took hold of</v>
      </c>
      <c r="C386" s="68"/>
      <c r="D386" s="68">
        <f>IFERROR(__xludf.DUMMYFUNCTION("ARRAYFORMULA(
  INDEX(
    UNIQUE(FILTER(D346:D11612, D346:D11612&lt;&gt;"""")),
    CEILING.MATH(SEQUENCE(COUNTUNIQUE(D346:D11612)*10, 1, 1)/10
  )
)+4)"),45780.0)</f>
        <v>45780</v>
      </c>
      <c r="E386" s="66">
        <v>5.0</v>
      </c>
      <c r="F386" s="66" t="str">
        <f>IFERROR(__xludf.DUMMYFUNCTION("GOOGLETRANSLATE(A386,""en"",""pt"")"),"tomou conta de")</f>
        <v>tomou conta de</v>
      </c>
      <c r="G386" s="69"/>
    </row>
    <row r="387" ht="22.5" customHeight="1">
      <c r="A387" s="66" t="s">
        <v>652</v>
      </c>
      <c r="B387" s="67" t="str">
        <f t="shared" si="1"/>
        <v>M: afraid</v>
      </c>
      <c r="C387" s="68"/>
      <c r="D387" s="68">
        <f>IFERROR(__xludf.DUMMYFUNCTION("ARRAYFORMULA(
  INDEX(
    UNIQUE(FILTER(D347:D11612, D347:D11612&lt;&gt;"""")),
    CEILING.MATH(SEQUENCE(COUNTUNIQUE(D347:D11612)*10, 1, 1)/10
  )
)+4)"),45780.0)</f>
        <v>45780</v>
      </c>
      <c r="E387" s="66">
        <v>6.0</v>
      </c>
      <c r="F387" s="66" t="str">
        <f>IFERROR(__xludf.DUMMYFUNCTION("GOOGLETRANSLATE(A387,""en"",""pt"")"),"com medo")</f>
        <v>com medo</v>
      </c>
      <c r="G387" s="69"/>
    </row>
    <row r="388" ht="22.5" customHeight="1">
      <c r="A388" s="66" t="s">
        <v>653</v>
      </c>
      <c r="B388" s="67" t="str">
        <f t="shared" si="1"/>
        <v>M: rather</v>
      </c>
      <c r="C388" s="68"/>
      <c r="D388" s="68">
        <f>IFERROR(__xludf.DUMMYFUNCTION("ARRAYFORMULA(
  INDEX(
    UNIQUE(FILTER(D348:D11612, D348:D11612&lt;&gt;"""")),
    CEILING.MATH(SEQUENCE(COUNTUNIQUE(D348:D11612)*10, 1, 1)/10
  )
)+4)"),45780.0)</f>
        <v>45780</v>
      </c>
      <c r="E388" s="66">
        <v>7.0</v>
      </c>
      <c r="F388" s="66" t="str">
        <f>IFERROR(__xludf.DUMMYFUNCTION("GOOGLETRANSLATE(A388,""en"",""pt"")"),"em vez de")</f>
        <v>em vez de</v>
      </c>
      <c r="G388" s="69"/>
    </row>
    <row r="389" ht="22.5" customHeight="1">
      <c r="A389" s="66" t="s">
        <v>654</v>
      </c>
      <c r="B389" s="67" t="str">
        <f t="shared" si="1"/>
        <v>M: anyway</v>
      </c>
      <c r="C389" s="68"/>
      <c r="D389" s="68">
        <f>IFERROR(__xludf.DUMMYFUNCTION("ARRAYFORMULA(
  INDEX(
    UNIQUE(FILTER(D349:D11612, D349:D11612&lt;&gt;"""")),
    CEILING.MATH(SEQUENCE(COUNTUNIQUE(D349:D11612)*10, 1, 1)/10
  )
)+4)"),45780.0)</f>
        <v>45780</v>
      </c>
      <c r="E389" s="66">
        <v>8.0</v>
      </c>
      <c r="F389" s="66" t="str">
        <f>IFERROR(__xludf.DUMMYFUNCTION("GOOGLETRANSLATE(A389,""en"",""pt"")"),"de qualquer forma")</f>
        <v>de qualquer forma</v>
      </c>
      <c r="G389" s="69"/>
    </row>
    <row r="390" ht="22.5" customHeight="1">
      <c r="A390" s="66" t="s">
        <v>655</v>
      </c>
      <c r="B390" s="67" t="str">
        <f t="shared" si="1"/>
        <v>M: actually</v>
      </c>
      <c r="C390" s="68"/>
      <c r="D390" s="68">
        <f>IFERROR(__xludf.DUMMYFUNCTION("ARRAYFORMULA(
  INDEX(
    UNIQUE(FILTER(D350:D11612, D350:D11612&lt;&gt;"""")),
    CEILING.MATH(SEQUENCE(COUNTUNIQUE(D350:D11612)*10, 1, 1)/10
  )
)+4)"),45780.0)</f>
        <v>45780</v>
      </c>
      <c r="E390" s="66">
        <v>9.0</v>
      </c>
      <c r="F390" s="66" t="str">
        <f>IFERROR(__xludf.DUMMYFUNCTION("GOOGLETRANSLATE(A390,""en"",""pt"")"),"na verdade")</f>
        <v>na verdade</v>
      </c>
      <c r="G390" s="69"/>
    </row>
    <row r="391" ht="22.5" customHeight="1">
      <c r="A391" s="66" t="s">
        <v>656</v>
      </c>
      <c r="B391" s="67" t="str">
        <f t="shared" si="1"/>
        <v>M: suddenly</v>
      </c>
      <c r="C391" s="68"/>
      <c r="D391" s="68">
        <f>IFERROR(__xludf.DUMMYFUNCTION("ARRAYFORMULA(
  INDEX(
    UNIQUE(FILTER(D351:D11612, D351:D11612&lt;&gt;"""")),
    CEILING.MATH(SEQUENCE(COUNTUNIQUE(D351:D11612)*10, 1, 1)/10
  )
)+4)"),45780.0)</f>
        <v>45780</v>
      </c>
      <c r="E391" s="66">
        <v>10.0</v>
      </c>
      <c r="F391" s="66" t="str">
        <f>IFERROR(__xludf.DUMMYFUNCTION("GOOGLETRANSLATE(A391,""en"",""pt"")"),"de repente")</f>
        <v>de repente</v>
      </c>
      <c r="G391" s="69"/>
    </row>
    <row r="392" ht="22.5" customHeight="1">
      <c r="A392" s="66" t="s">
        <v>657</v>
      </c>
      <c r="B392" s="67" t="str">
        <f t="shared" si="1"/>
        <v>M: big deal</v>
      </c>
      <c r="C392" s="68"/>
      <c r="D392" s="68">
        <f>IFERROR(__xludf.DUMMYFUNCTION("ARRAYFORMULA(
  INDEX(
    UNIQUE(FILTER(D352:D11612, D352:D11612&lt;&gt;"""")),
    CEILING.MATH(SEQUENCE(COUNTUNIQUE(D352:D11612)*10, 1, 1)/10
  )
)+4)"),45781.0)</f>
        <v>45781</v>
      </c>
      <c r="E392" s="66">
        <v>1.0</v>
      </c>
      <c r="F392" s="66" t="str">
        <f>IFERROR(__xludf.DUMMYFUNCTION("GOOGLETRANSLATE(A392,""en"",""pt"")"),"problema")</f>
        <v>problema</v>
      </c>
      <c r="G392" s="69"/>
    </row>
    <row r="393" ht="22.5" customHeight="1">
      <c r="A393" s="66" t="s">
        <v>658</v>
      </c>
      <c r="B393" s="67" t="str">
        <f t="shared" si="1"/>
        <v>M: drop-in</v>
      </c>
      <c r="C393" s="68"/>
      <c r="D393" s="68">
        <f>IFERROR(__xludf.DUMMYFUNCTION("ARRAYFORMULA(
  INDEX(
    UNIQUE(FILTER(D353:D11612, D353:D11612&lt;&gt;"""")),
    CEILING.MATH(SEQUENCE(COUNTUNIQUE(D353:D11612)*10, 1, 1)/10
  )
)+4)"),45781.0)</f>
        <v>45781</v>
      </c>
      <c r="E393" s="66">
        <v>2.0</v>
      </c>
      <c r="F393" s="66" t="str">
        <f>IFERROR(__xludf.DUMMYFUNCTION("GOOGLETRANSLATE(A393,""en"",""pt"")"),"entrada livre")</f>
        <v>entrada livre</v>
      </c>
      <c r="G393" s="69"/>
    </row>
    <row r="394" ht="22.5" customHeight="1">
      <c r="A394" s="66" t="s">
        <v>659</v>
      </c>
      <c r="B394" s="67" t="str">
        <f t="shared" si="1"/>
        <v>M: promised</v>
      </c>
      <c r="C394" s="66">
        <v>1.0</v>
      </c>
      <c r="D394" s="68">
        <f>IFERROR(__xludf.DUMMYFUNCTION("ARRAYFORMULA(
  INDEX(
    UNIQUE(FILTER(D354:D11612, D354:D11612&lt;&gt;"""")),
    CEILING.MATH(SEQUENCE(COUNTUNIQUE(D354:D11612)*10, 1, 1)/10
  )
)+4)"),45781.0)</f>
        <v>45781</v>
      </c>
      <c r="E394" s="66">
        <v>3.0</v>
      </c>
      <c r="F394" s="66" t="s">
        <v>660</v>
      </c>
      <c r="G394" s="66" t="s">
        <v>247</v>
      </c>
    </row>
    <row r="395" ht="22.5" customHeight="1">
      <c r="A395" s="66" t="s">
        <v>661</v>
      </c>
      <c r="B395" s="67" t="str">
        <f t="shared" si="1"/>
        <v>M: tuition</v>
      </c>
      <c r="C395" s="68"/>
      <c r="D395" s="68">
        <f>IFERROR(__xludf.DUMMYFUNCTION("ARRAYFORMULA(
  INDEX(
    UNIQUE(FILTER(D355:D11612, D355:D11612&lt;&gt;"""")),
    CEILING.MATH(SEQUENCE(COUNTUNIQUE(D355:D11612)*10, 1, 1)/10
  )
)+4)"),45781.0)</f>
        <v>45781</v>
      </c>
      <c r="E395" s="66">
        <v>4.0</v>
      </c>
      <c r="F395" s="66" t="str">
        <f>IFERROR(__xludf.DUMMYFUNCTION("GOOGLETRANSLATE(A395,""en"",""pt"")"),"mensalidade")</f>
        <v>mensalidade</v>
      </c>
      <c r="G395" s="69"/>
    </row>
    <row r="396" ht="22.5" customHeight="1">
      <c r="A396" s="66" t="s">
        <v>662</v>
      </c>
      <c r="B396" s="67" t="str">
        <f t="shared" si="1"/>
        <v>M: spending</v>
      </c>
      <c r="C396" s="68"/>
      <c r="D396" s="68">
        <f>IFERROR(__xludf.DUMMYFUNCTION("ARRAYFORMULA(
  INDEX(
    UNIQUE(FILTER(D356:D11612, D356:D11612&lt;&gt;"""")),
    CEILING.MATH(SEQUENCE(COUNTUNIQUE(D356:D11612)*10, 1, 1)/10
  )
)+4)"),45781.0)</f>
        <v>45781</v>
      </c>
      <c r="E396" s="66">
        <v>5.0</v>
      </c>
      <c r="F396" s="66" t="str">
        <f>IFERROR(__xludf.DUMMYFUNCTION("GOOGLETRANSLATE(A396,""en"",""pt"")"),"gastos")</f>
        <v>gastos</v>
      </c>
      <c r="G396" s="69"/>
    </row>
    <row r="397" ht="22.5" customHeight="1">
      <c r="A397" s="66" t="s">
        <v>663</v>
      </c>
      <c r="B397" s="67" t="str">
        <f t="shared" si="1"/>
        <v>M: issue</v>
      </c>
      <c r="C397" s="68"/>
      <c r="D397" s="68">
        <f>IFERROR(__xludf.DUMMYFUNCTION("ARRAYFORMULA(
  INDEX(
    UNIQUE(FILTER(D357:D11612, D357:D11612&lt;&gt;"""")),
    CEILING.MATH(SEQUENCE(COUNTUNIQUE(D357:D11612)*10, 1, 1)/10
  )
)+4)"),45781.0)</f>
        <v>45781</v>
      </c>
      <c r="E397" s="66">
        <v>6.0</v>
      </c>
      <c r="F397" s="66" t="str">
        <f>IFERROR(__xludf.DUMMYFUNCTION("GOOGLETRANSLATE(A397,""en"",""pt"")"),"emitir")</f>
        <v>emitir</v>
      </c>
      <c r="G397" s="69"/>
    </row>
    <row r="398" ht="22.5" customHeight="1">
      <c r="A398" s="66" t="s">
        <v>664</v>
      </c>
      <c r="B398" s="67" t="str">
        <f t="shared" si="1"/>
        <v>M: overflowing</v>
      </c>
      <c r="C398" s="68"/>
      <c r="D398" s="68">
        <f>IFERROR(__xludf.DUMMYFUNCTION("ARRAYFORMULA(
  INDEX(
    UNIQUE(FILTER(D358:D11612, D358:D11612&lt;&gt;"""")),
    CEILING.MATH(SEQUENCE(COUNTUNIQUE(D358:D11612)*10, 1, 1)/10
  )
)+4)"),45781.0)</f>
        <v>45781</v>
      </c>
      <c r="E398" s="66">
        <v>7.0</v>
      </c>
      <c r="F398" s="66" t="str">
        <f>IFERROR(__xludf.DUMMYFUNCTION("GOOGLETRANSLATE(A398,""en"",""pt"")"),"transbordante")</f>
        <v>transbordante</v>
      </c>
      <c r="G398" s="69"/>
    </row>
    <row r="399" ht="22.5" customHeight="1">
      <c r="A399" s="66" t="s">
        <v>665</v>
      </c>
      <c r="B399" s="67" t="str">
        <f t="shared" si="1"/>
        <v>M: run its course</v>
      </c>
      <c r="C399" s="68"/>
      <c r="D399" s="68">
        <f>IFERROR(__xludf.DUMMYFUNCTION("ARRAYFORMULA(
  INDEX(
    UNIQUE(FILTER(D359:D11612, D359:D11612&lt;&gt;"""")),
    CEILING.MATH(SEQUENCE(COUNTUNIQUE(D359:D11612)*10, 1, 1)/10
  )
)+4)"),45781.0)</f>
        <v>45781</v>
      </c>
      <c r="E399" s="66">
        <v>8.0</v>
      </c>
      <c r="F399" s="66" t="str">
        <f>IFERROR(__xludf.DUMMYFUNCTION("GOOGLETRANSLATE(A399,""en"",""pt"")"),"seguir seu curso")</f>
        <v>seguir seu curso</v>
      </c>
      <c r="G399" s="69"/>
    </row>
    <row r="400" ht="22.5" customHeight="1">
      <c r="A400" s="66" t="s">
        <v>666</v>
      </c>
      <c r="B400" s="67" t="str">
        <f t="shared" si="1"/>
        <v>M: put out</v>
      </c>
      <c r="C400" s="68"/>
      <c r="D400" s="68">
        <f>IFERROR(__xludf.DUMMYFUNCTION("ARRAYFORMULA(
  INDEX(
    UNIQUE(FILTER(D360:D11612, D360:D11612&lt;&gt;"""")),
    CEILING.MATH(SEQUENCE(COUNTUNIQUE(D360:D11612)*10, 1, 1)/10
  )
)+4)"),45781.0)</f>
        <v>45781</v>
      </c>
      <c r="E400" s="66">
        <v>9.0</v>
      </c>
      <c r="F400" s="66" t="str">
        <f>IFERROR(__xludf.DUMMYFUNCTION("GOOGLETRANSLATE(A400,""en"",""pt"")"),"apagar")</f>
        <v>apagar</v>
      </c>
      <c r="G400" s="69"/>
    </row>
    <row r="401" ht="22.5" customHeight="1">
      <c r="A401" s="66" t="s">
        <v>667</v>
      </c>
      <c r="B401" s="67" t="str">
        <f t="shared" si="1"/>
        <v>M: sort</v>
      </c>
      <c r="C401" s="68"/>
      <c r="D401" s="68">
        <f>IFERROR(__xludf.DUMMYFUNCTION("ARRAYFORMULA(
  INDEX(
    UNIQUE(FILTER(D361:D11612, D361:D11612&lt;&gt;"""")),
    CEILING.MATH(SEQUENCE(COUNTUNIQUE(D361:D11612)*10, 1, 1)/10
  )
)+4)"),45781.0)</f>
        <v>45781</v>
      </c>
      <c r="E401" s="66">
        <v>10.0</v>
      </c>
      <c r="F401" s="66" t="str">
        <f>IFERROR(__xludf.DUMMYFUNCTION("GOOGLETRANSLATE(A401,""en"",""pt"")"),"organizar")</f>
        <v>organizar</v>
      </c>
      <c r="G401" s="69"/>
    </row>
    <row r="402" ht="22.5" customHeight="1">
      <c r="A402" s="66" t="s">
        <v>668</v>
      </c>
      <c r="B402" s="67" t="str">
        <f t="shared" si="1"/>
        <v>M: unless</v>
      </c>
      <c r="C402" s="68"/>
      <c r="D402" s="68">
        <f>IFERROR(__xludf.DUMMYFUNCTION("ARRAYFORMULA(
  INDEX(
    UNIQUE(FILTER(D362:D11612, D362:D11612&lt;&gt;"""")),
    CEILING.MATH(SEQUENCE(COUNTUNIQUE(D362:D11612)*10, 1, 1)/10
  )
)+4)"),45782.0)</f>
        <v>45782</v>
      </c>
      <c r="E402" s="66">
        <v>1.0</v>
      </c>
      <c r="F402" s="66" t="str">
        <f>IFERROR(__xludf.DUMMYFUNCTION("GOOGLETRANSLATE(A402,""en"",""pt"")"),"a menos que")</f>
        <v>a menos que</v>
      </c>
      <c r="G402" s="69"/>
    </row>
    <row r="403" ht="22.5" customHeight="1">
      <c r="A403" s="66" t="s">
        <v>669</v>
      </c>
      <c r="B403" s="67" t="str">
        <f t="shared" si="1"/>
        <v>M: won't</v>
      </c>
      <c r="C403" s="68"/>
      <c r="D403" s="68">
        <f>IFERROR(__xludf.DUMMYFUNCTION("ARRAYFORMULA(
  INDEX(
    UNIQUE(FILTER(D363:D11612, D363:D11612&lt;&gt;"""")),
    CEILING.MATH(SEQUENCE(COUNTUNIQUE(D363:D11612)*10, 1, 1)/10
  )
)+4)"),45782.0)</f>
        <v>45782</v>
      </c>
      <c r="E403" s="66">
        <v>2.0</v>
      </c>
      <c r="F403" s="66" t="str">
        <f>IFERROR(__xludf.DUMMYFUNCTION("GOOGLETRANSLATE(A403,""en"",""pt"")"),"não vai")</f>
        <v>não vai</v>
      </c>
      <c r="G403" s="69"/>
    </row>
    <row r="404" ht="22.5" customHeight="1">
      <c r="A404" s="66" t="s">
        <v>670</v>
      </c>
      <c r="B404" s="67" t="str">
        <f t="shared" si="1"/>
        <v>M: worry</v>
      </c>
      <c r="C404" s="68"/>
      <c r="D404" s="68">
        <f>IFERROR(__xludf.DUMMYFUNCTION("ARRAYFORMULA(
  INDEX(
    UNIQUE(FILTER(D364:D11612, D364:D11612&lt;&gt;"""")),
    CEILING.MATH(SEQUENCE(COUNTUNIQUE(D364:D11612)*10, 1, 1)/10
  )
)+4)"),45782.0)</f>
        <v>45782</v>
      </c>
      <c r="E404" s="66">
        <v>3.0</v>
      </c>
      <c r="F404" s="66" t="str">
        <f>IFERROR(__xludf.DUMMYFUNCTION("GOOGLETRANSLATE(A404,""en"",""pt"")"),"preocupar")</f>
        <v>preocupar</v>
      </c>
      <c r="G404" s="69"/>
    </row>
    <row r="405" ht="22.5" customHeight="1">
      <c r="A405" s="66" t="s">
        <v>671</v>
      </c>
      <c r="B405" s="67" t="str">
        <f t="shared" si="1"/>
        <v>M: without</v>
      </c>
      <c r="C405" s="68"/>
      <c r="D405" s="68">
        <f>IFERROR(__xludf.DUMMYFUNCTION("ARRAYFORMULA(
  INDEX(
    UNIQUE(FILTER(D365:D11612, D365:D11612&lt;&gt;"""")),
    CEILING.MATH(SEQUENCE(COUNTUNIQUE(D365:D11612)*10, 1, 1)/10
  )
)+4)"),45782.0)</f>
        <v>45782</v>
      </c>
      <c r="E405" s="66">
        <v>4.0</v>
      </c>
      <c r="F405" s="66" t="str">
        <f>IFERROR(__xludf.DUMMYFUNCTION("GOOGLETRANSLATE(A405,""en"",""pt"")"),"sem")</f>
        <v>sem</v>
      </c>
      <c r="G405" s="69"/>
    </row>
    <row r="406" ht="22.5" customHeight="1">
      <c r="A406" s="66" t="s">
        <v>672</v>
      </c>
      <c r="B406" s="67" t="str">
        <f t="shared" si="1"/>
        <v>M: used to</v>
      </c>
      <c r="C406" s="68"/>
      <c r="D406" s="68">
        <f>IFERROR(__xludf.DUMMYFUNCTION("ARRAYFORMULA(
  INDEX(
    UNIQUE(FILTER(D366:D11612, D366:D11612&lt;&gt;"""")),
    CEILING.MATH(SEQUENCE(COUNTUNIQUE(D366:D11612)*10, 1, 1)/10
  )
)+4)"),45782.0)</f>
        <v>45782</v>
      </c>
      <c r="E406" s="66">
        <v>5.0</v>
      </c>
      <c r="F406" s="66" t="str">
        <f>IFERROR(__xludf.DUMMYFUNCTION("GOOGLETRANSLATE(A406,""en"",""pt"")"),"costumava ser")</f>
        <v>costumava ser</v>
      </c>
      <c r="G406" s="69"/>
    </row>
    <row r="407" ht="22.5" customHeight="1">
      <c r="A407" s="66" t="s">
        <v>673</v>
      </c>
      <c r="B407" s="67" t="str">
        <f t="shared" si="1"/>
        <v>M: cozy</v>
      </c>
      <c r="C407" s="68"/>
      <c r="D407" s="68">
        <f>IFERROR(__xludf.DUMMYFUNCTION("ARRAYFORMULA(
  INDEX(
    UNIQUE(FILTER(D367:D11612, D367:D11612&lt;&gt;"""")),
    CEILING.MATH(SEQUENCE(COUNTUNIQUE(D367:D11612)*10, 1, 1)/10
  )
)+4)"),45782.0)</f>
        <v>45782</v>
      </c>
      <c r="E407" s="66">
        <v>6.0</v>
      </c>
      <c r="F407" s="66" t="str">
        <f>IFERROR(__xludf.DUMMYFUNCTION("GOOGLETRANSLATE(A407,""en"",""pt"")"),"aconchegante")</f>
        <v>aconchegante</v>
      </c>
      <c r="G407" s="69"/>
    </row>
    <row r="408" ht="22.5" customHeight="1">
      <c r="A408" s="66" t="s">
        <v>674</v>
      </c>
      <c r="B408" s="67" t="str">
        <f t="shared" si="1"/>
        <v>M: serve</v>
      </c>
      <c r="C408" s="66">
        <v>1.0</v>
      </c>
      <c r="D408" s="68">
        <f>IFERROR(__xludf.DUMMYFUNCTION("ARRAYFORMULA(
  INDEX(
    UNIQUE(FILTER(D368:D11612, D368:D11612&lt;&gt;"""")),
    CEILING.MATH(SEQUENCE(COUNTUNIQUE(D368:D11612)*10, 1, 1)/10
  )
)+4)"),45782.0)</f>
        <v>45782</v>
      </c>
      <c r="E408" s="66">
        <v>7.0</v>
      </c>
      <c r="F408" s="66" t="s">
        <v>675</v>
      </c>
      <c r="G408" s="66" t="s">
        <v>247</v>
      </c>
    </row>
    <row r="409" ht="22.5" customHeight="1">
      <c r="A409" s="66" t="s">
        <v>676</v>
      </c>
      <c r="B409" s="67" t="str">
        <f t="shared" si="1"/>
        <v>M: give in</v>
      </c>
      <c r="C409" s="68"/>
      <c r="D409" s="68">
        <f>IFERROR(__xludf.DUMMYFUNCTION("ARRAYFORMULA(
  INDEX(
    UNIQUE(FILTER(D369:D11612, D369:D11612&lt;&gt;"""")),
    CEILING.MATH(SEQUENCE(COUNTUNIQUE(D369:D11612)*10, 1, 1)/10
  )
)+4)"),45782.0)</f>
        <v>45782</v>
      </c>
      <c r="E409" s="66">
        <v>8.0</v>
      </c>
      <c r="F409" s="66" t="str">
        <f>IFERROR(__xludf.DUMMYFUNCTION("GOOGLETRANSLATE(A409,""en"",""pt"")"),"ceder")</f>
        <v>ceder</v>
      </c>
      <c r="G409" s="69"/>
    </row>
    <row r="410" ht="22.5" customHeight="1">
      <c r="A410" s="66" t="s">
        <v>677</v>
      </c>
      <c r="B410" s="67" t="str">
        <f t="shared" si="1"/>
        <v>M: instead</v>
      </c>
      <c r="C410" s="68"/>
      <c r="D410" s="68">
        <f>IFERROR(__xludf.DUMMYFUNCTION("ARRAYFORMULA(
  INDEX(
    UNIQUE(FILTER(D370:D11612, D370:D11612&lt;&gt;"""")),
    CEILING.MATH(SEQUENCE(COUNTUNIQUE(D370:D11612)*10, 1, 1)/10
  )
)+4)"),45782.0)</f>
        <v>45782</v>
      </c>
      <c r="E410" s="66">
        <v>9.0</v>
      </c>
      <c r="F410" s="66" t="str">
        <f>IFERROR(__xludf.DUMMYFUNCTION("GOOGLETRANSLATE(A410,""en"",""pt"")"),"em vez de")</f>
        <v>em vez de</v>
      </c>
      <c r="G410" s="69"/>
    </row>
    <row r="411" ht="22.5" customHeight="1">
      <c r="A411" s="66" t="s">
        <v>678</v>
      </c>
      <c r="B411" s="67" t="str">
        <f t="shared" si="1"/>
        <v>M: whether</v>
      </c>
      <c r="C411" s="68"/>
      <c r="D411" s="68">
        <f>IFERROR(__xludf.DUMMYFUNCTION("ARRAYFORMULA(
  INDEX(
    UNIQUE(FILTER(D371:D11612, D371:D11612&lt;&gt;"""")),
    CEILING.MATH(SEQUENCE(COUNTUNIQUE(D371:D11612)*10, 1, 1)/10
  )
)+4)"),45782.0)</f>
        <v>45782</v>
      </c>
      <c r="E411" s="66">
        <v>10.0</v>
      </c>
      <c r="F411" s="66" t="str">
        <f>IFERROR(__xludf.DUMMYFUNCTION("GOOGLETRANSLATE(A411,""en"",""pt"")"),"se")</f>
        <v>se</v>
      </c>
      <c r="G411" s="69"/>
    </row>
    <row r="412" ht="22.5" customHeight="1">
      <c r="A412" s="66" t="s">
        <v>679</v>
      </c>
      <c r="B412" s="67" t="str">
        <f t="shared" si="1"/>
        <v>M: mean</v>
      </c>
      <c r="C412" s="68"/>
      <c r="D412" s="68">
        <f>IFERROR(__xludf.DUMMYFUNCTION("ARRAYFORMULA(
  INDEX(
    UNIQUE(FILTER(D372:D11612, D372:D11612&lt;&gt;"""")),
    CEILING.MATH(SEQUENCE(COUNTUNIQUE(D372:D11612)*10, 1, 1)/10
  )
)+4)"),45783.0)</f>
        <v>45783</v>
      </c>
      <c r="E412" s="66">
        <v>1.0</v>
      </c>
      <c r="F412" s="66" t="str">
        <f>IFERROR(__xludf.DUMMYFUNCTION("GOOGLETRANSLATE(A412,""en"",""pt"")"),"significar")</f>
        <v>significar</v>
      </c>
      <c r="G412" s="69"/>
    </row>
    <row r="413" ht="22.5" customHeight="1">
      <c r="A413" s="66" t="s">
        <v>680</v>
      </c>
      <c r="B413" s="67" t="str">
        <f t="shared" si="1"/>
        <v>M: stood up</v>
      </c>
      <c r="C413" s="68"/>
      <c r="D413" s="68">
        <f>IFERROR(__xludf.DUMMYFUNCTION("ARRAYFORMULA(
  INDEX(
    UNIQUE(FILTER(D373:D11612, D373:D11612&lt;&gt;"""")),
    CEILING.MATH(SEQUENCE(COUNTUNIQUE(D373:D11612)*10, 1, 1)/10
  )
)+4)"),45783.0)</f>
        <v>45783</v>
      </c>
      <c r="E413" s="66">
        <v>2.0</v>
      </c>
      <c r="F413" s="66" t="str">
        <f>IFERROR(__xludf.DUMMYFUNCTION("GOOGLETRANSLATE(A413,""en"",""pt"")"),"levantou-se")</f>
        <v>levantou-se</v>
      </c>
      <c r="G413" s="69"/>
    </row>
    <row r="414" ht="22.5" customHeight="1">
      <c r="A414" s="66" t="s">
        <v>681</v>
      </c>
      <c r="B414" s="67" t="str">
        <f t="shared" si="1"/>
        <v>M: fields</v>
      </c>
      <c r="C414" s="68"/>
      <c r="D414" s="68">
        <f>IFERROR(__xludf.DUMMYFUNCTION("ARRAYFORMULA(
  INDEX(
    UNIQUE(FILTER(D374:D11612, D374:D11612&lt;&gt;"""")),
    CEILING.MATH(SEQUENCE(COUNTUNIQUE(D374:D11612)*10, 1, 1)/10
  )
)+4)"),45783.0)</f>
        <v>45783</v>
      </c>
      <c r="E414" s="66">
        <v>3.0</v>
      </c>
      <c r="F414" s="66" t="str">
        <f>IFERROR(__xludf.DUMMYFUNCTION("GOOGLETRANSLATE(A414,""en"",""pt"")"),"campos")</f>
        <v>campos</v>
      </c>
      <c r="G414" s="69"/>
    </row>
    <row r="415" ht="22.5" customHeight="1">
      <c r="A415" s="66" t="s">
        <v>682</v>
      </c>
      <c r="B415" s="67" t="str">
        <f t="shared" si="1"/>
        <v>M: along</v>
      </c>
      <c r="C415" s="68"/>
      <c r="D415" s="68">
        <f>IFERROR(__xludf.DUMMYFUNCTION("ARRAYFORMULA(
  INDEX(
    UNIQUE(FILTER(D375:D11612, D375:D11612&lt;&gt;"""")),
    CEILING.MATH(SEQUENCE(COUNTUNIQUE(D375:D11612)*10, 1, 1)/10
  )
)+4)"),45783.0)</f>
        <v>45783</v>
      </c>
      <c r="E415" s="66">
        <v>4.0</v>
      </c>
      <c r="F415" s="66" t="str">
        <f>IFERROR(__xludf.DUMMYFUNCTION("GOOGLETRANSLATE(A415,""en"",""pt"")"),"junto")</f>
        <v>junto</v>
      </c>
      <c r="G415" s="69"/>
    </row>
    <row r="416" ht="22.5" customHeight="1">
      <c r="A416" s="66" t="s">
        <v>683</v>
      </c>
      <c r="B416" s="67" t="str">
        <f t="shared" si="1"/>
        <v>M: banks</v>
      </c>
      <c r="C416" s="68"/>
      <c r="D416" s="68">
        <f>IFERROR(__xludf.DUMMYFUNCTION("ARRAYFORMULA(
  INDEX(
    UNIQUE(FILTER(D376:D11612, D376:D11612&lt;&gt;"""")),
    CEILING.MATH(SEQUENCE(COUNTUNIQUE(D376:D11612)*10, 1, 1)/10
  )
)+4)"),45783.0)</f>
        <v>45783</v>
      </c>
      <c r="E416" s="66">
        <v>5.0</v>
      </c>
      <c r="F416" s="66" t="str">
        <f>IFERROR(__xludf.DUMMYFUNCTION("GOOGLETRANSLATE(A416,""en"",""pt"")"),"bancos")</f>
        <v>bancos</v>
      </c>
      <c r="G416" s="69"/>
    </row>
    <row r="417" ht="22.5" customHeight="1">
      <c r="A417" s="66" t="s">
        <v>684</v>
      </c>
      <c r="B417" s="67" t="str">
        <f t="shared" si="1"/>
        <v>M: beyond</v>
      </c>
      <c r="C417" s="68"/>
      <c r="D417" s="68">
        <f>IFERROR(__xludf.DUMMYFUNCTION("ARRAYFORMULA(
  INDEX(
    UNIQUE(FILTER(D377:D11612, D377:D11612&lt;&gt;"""")),
    CEILING.MATH(SEQUENCE(COUNTUNIQUE(D377:D11612)*10, 1, 1)/10
  )
)+4)"),45783.0)</f>
        <v>45783</v>
      </c>
      <c r="E417" s="66">
        <v>6.0</v>
      </c>
      <c r="F417" s="66" t="str">
        <f>IFERROR(__xludf.DUMMYFUNCTION("GOOGLETRANSLATE(A417,""en"",""pt"")"),"além")</f>
        <v>além</v>
      </c>
      <c r="G417" s="69"/>
    </row>
    <row r="418" ht="22.5" customHeight="1">
      <c r="A418" s="66" t="s">
        <v>685</v>
      </c>
      <c r="B418" s="67" t="str">
        <f t="shared" si="1"/>
        <v>M: everywhere</v>
      </c>
      <c r="C418" s="68"/>
      <c r="D418" s="68">
        <f>IFERROR(__xludf.DUMMYFUNCTION("ARRAYFORMULA(
  INDEX(
    UNIQUE(FILTER(D378:D11612, D378:D11612&lt;&gt;"""")),
    CEILING.MATH(SEQUENCE(COUNTUNIQUE(D378:D11612)*10, 1, 1)/10
  )
)+4)"),45783.0)</f>
        <v>45783</v>
      </c>
      <c r="E418" s="66">
        <v>7.0</v>
      </c>
      <c r="F418" s="66" t="str">
        <f>IFERROR(__xludf.DUMMYFUNCTION("GOOGLETRANSLATE(A418,""en"",""pt"")"),"em todos os lugares")</f>
        <v>em todos os lugares</v>
      </c>
      <c r="G418" s="69"/>
    </row>
    <row r="419" ht="22.5" customHeight="1">
      <c r="A419" s="66" t="s">
        <v>686</v>
      </c>
      <c r="B419" s="67" t="str">
        <f t="shared" si="1"/>
        <v>M: take it away</v>
      </c>
      <c r="C419" s="68"/>
      <c r="D419" s="68">
        <f>IFERROR(__xludf.DUMMYFUNCTION("ARRAYFORMULA(
  INDEX(
    UNIQUE(FILTER(D379:D11612, D379:D11612&lt;&gt;"""")),
    CEILING.MATH(SEQUENCE(COUNTUNIQUE(D379:D11612)*10, 1, 1)/10
  )
)+4)"),45783.0)</f>
        <v>45783</v>
      </c>
      <c r="E419" s="66">
        <v>8.0</v>
      </c>
      <c r="F419" s="66" t="str">
        <f>IFERROR(__xludf.DUMMYFUNCTION("GOOGLETRANSLATE(A419,""en"",""pt"")"),"leve embora")</f>
        <v>leve embora</v>
      </c>
      <c r="G419" s="69"/>
    </row>
    <row r="420" ht="22.5" customHeight="1">
      <c r="A420" s="66" t="s">
        <v>687</v>
      </c>
      <c r="B420" s="67" t="str">
        <f t="shared" si="1"/>
        <v>M: thus</v>
      </c>
      <c r="C420" s="68"/>
      <c r="D420" s="68">
        <f>IFERROR(__xludf.DUMMYFUNCTION("ARRAYFORMULA(
  INDEX(
    UNIQUE(FILTER(D380:D11612, D380:D11612&lt;&gt;"""")),
    CEILING.MATH(SEQUENCE(COUNTUNIQUE(D380:D11612)*10, 1, 1)/10
  )
)+4)"),45783.0)</f>
        <v>45783</v>
      </c>
      <c r="E420" s="66">
        <v>9.0</v>
      </c>
      <c r="F420" s="66" t="str">
        <f>IFERROR(__xludf.DUMMYFUNCTION("GOOGLETRANSLATE(A420,""en"",""pt"")"),"por isso")</f>
        <v>por isso</v>
      </c>
      <c r="G420" s="69"/>
    </row>
    <row r="421" ht="22.5" customHeight="1">
      <c r="A421" s="66" t="s">
        <v>688</v>
      </c>
      <c r="B421" s="67" t="str">
        <f t="shared" si="1"/>
        <v>M: whose</v>
      </c>
      <c r="C421" s="66">
        <v>1.0</v>
      </c>
      <c r="D421" s="68">
        <f>IFERROR(__xludf.DUMMYFUNCTION("ARRAYFORMULA(
  INDEX(
    UNIQUE(FILTER(D381:D11612, D381:D11612&lt;&gt;"""")),
    CEILING.MATH(SEQUENCE(COUNTUNIQUE(D381:D11612)*10, 1, 1)/10
  )
)+4)"),45783.0)</f>
        <v>45783</v>
      </c>
      <c r="E421" s="66">
        <v>10.0</v>
      </c>
      <c r="F421" s="71" t="s">
        <v>689</v>
      </c>
      <c r="G421" s="66" t="s">
        <v>247</v>
      </c>
    </row>
    <row r="422" ht="22.5" customHeight="1">
      <c r="A422" s="66" t="s">
        <v>690</v>
      </c>
      <c r="B422" s="67" t="str">
        <f t="shared" si="1"/>
        <v>M: Come on</v>
      </c>
      <c r="C422" s="68"/>
      <c r="D422" s="68">
        <f>IFERROR(__xludf.DUMMYFUNCTION("ARRAYFORMULA(
  INDEX(
    UNIQUE(FILTER(D382:D11612, D382:D11612&lt;&gt;"""")),
    CEILING.MATH(SEQUENCE(COUNTUNIQUE(D382:D11612)*10, 1, 1)/10
  )
)+4)"),45784.0)</f>
        <v>45784</v>
      </c>
      <c r="E422" s="66">
        <v>1.0</v>
      </c>
      <c r="F422" s="66" t="str">
        <f>IFERROR(__xludf.DUMMYFUNCTION("GOOGLETRANSLATE(A422,""en"",""pt"")"),"Vamos")</f>
        <v>Vamos</v>
      </c>
      <c r="G422" s="69"/>
    </row>
    <row r="423" ht="22.5" customHeight="1">
      <c r="A423" s="66" t="s">
        <v>691</v>
      </c>
      <c r="B423" s="67" t="str">
        <f t="shared" si="1"/>
        <v>M: mustn't</v>
      </c>
      <c r="C423" s="68"/>
      <c r="D423" s="68">
        <f>IFERROR(__xludf.DUMMYFUNCTION("ARRAYFORMULA(
  INDEX(
    UNIQUE(FILTER(D383:D11612, D383:D11612&lt;&gt;"""")),
    CEILING.MATH(SEQUENCE(COUNTUNIQUE(D383:D11612)*10, 1, 1)/10
  )
)+4)"),45784.0)</f>
        <v>45784</v>
      </c>
      <c r="E423" s="66">
        <v>2.0</v>
      </c>
      <c r="F423" s="66" t="str">
        <f>IFERROR(__xludf.DUMMYFUNCTION("GOOGLETRANSLATE(A423,""en"",""pt"")"),"não deve")</f>
        <v>não deve</v>
      </c>
      <c r="G423" s="69"/>
    </row>
    <row r="424" ht="22.5" customHeight="1">
      <c r="A424" s="66" t="s">
        <v>692</v>
      </c>
      <c r="B424" s="67" t="str">
        <f t="shared" si="1"/>
        <v>M: nor</v>
      </c>
      <c r="C424" s="68"/>
      <c r="D424" s="68">
        <f>IFERROR(__xludf.DUMMYFUNCTION("ARRAYFORMULA(
  INDEX(
    UNIQUE(FILTER(D384:D11612, D384:D11612&lt;&gt;"""")),
    CEILING.MATH(SEQUENCE(COUNTUNIQUE(D384:D11612)*10, 1, 1)/10
  )
)+4)"),45784.0)</f>
        <v>45784</v>
      </c>
      <c r="E424" s="66">
        <v>3.0</v>
      </c>
      <c r="F424" s="66" t="str">
        <f>IFERROR(__xludf.DUMMYFUNCTION("GOOGLETRANSLATE(A424,""en"",""pt"")"),"nem")</f>
        <v>nem</v>
      </c>
      <c r="G424" s="69"/>
    </row>
    <row r="425" ht="22.5" customHeight="1">
      <c r="A425" s="66" t="s">
        <v>693</v>
      </c>
      <c r="B425" s="67" t="str">
        <f t="shared" si="1"/>
        <v>M: sat down</v>
      </c>
      <c r="C425" s="68"/>
      <c r="D425" s="68">
        <f>IFERROR(__xludf.DUMMYFUNCTION("ARRAYFORMULA(
  INDEX(
    UNIQUE(FILTER(D385:D11612, D385:D11612&lt;&gt;"""")),
    CEILING.MATH(SEQUENCE(COUNTUNIQUE(D385:D11612)*10, 1, 1)/10
  )
)+4)"),45784.0)</f>
        <v>45784</v>
      </c>
      <c r="E425" s="66">
        <v>4.0</v>
      </c>
      <c r="F425" s="66" t="str">
        <f>IFERROR(__xludf.DUMMYFUNCTION("GOOGLETRANSLATE(A425,""en"",""pt"")"),"sentou-se")</f>
        <v>sentou-se</v>
      </c>
      <c r="G425" s="69"/>
    </row>
    <row r="426" ht="22.5" customHeight="1">
      <c r="A426" s="66" t="s">
        <v>694</v>
      </c>
      <c r="B426" s="67" t="str">
        <f t="shared" si="1"/>
        <v>M: go through with</v>
      </c>
      <c r="C426" s="68"/>
      <c r="D426" s="68">
        <f>IFERROR(__xludf.DUMMYFUNCTION("ARRAYFORMULA(
  INDEX(
    UNIQUE(FILTER(D386:D11612, D386:D11612&lt;&gt;"""")),
    CEILING.MATH(SEQUENCE(COUNTUNIQUE(D386:D11612)*10, 1, 1)/10
  )
)+4)"),45784.0)</f>
        <v>45784</v>
      </c>
      <c r="E426" s="66">
        <v>5.0</v>
      </c>
      <c r="F426" s="66" t="str">
        <f>IFERROR(__xludf.DUMMYFUNCTION("GOOGLETRANSLATE(A426,""en"",""pt"")"),"prosseguir com")</f>
        <v>prosseguir com</v>
      </c>
      <c r="G426" s="69"/>
    </row>
    <row r="427" ht="22.5" customHeight="1">
      <c r="A427" s="66" t="s">
        <v>695</v>
      </c>
      <c r="B427" s="67" t="str">
        <f t="shared" si="1"/>
        <v>M: willing</v>
      </c>
      <c r="C427" s="68"/>
      <c r="D427" s="68">
        <f>IFERROR(__xludf.DUMMYFUNCTION("ARRAYFORMULA(
  INDEX(
    UNIQUE(FILTER(D387:D11612, D387:D11612&lt;&gt;"""")),
    CEILING.MATH(SEQUENCE(COUNTUNIQUE(D387:D11612)*10, 1, 1)/10
  )
)+4)"),45784.0)</f>
        <v>45784</v>
      </c>
      <c r="E427" s="66">
        <v>6.0</v>
      </c>
      <c r="F427" s="66" t="str">
        <f>IFERROR(__xludf.DUMMYFUNCTION("GOOGLETRANSLATE(A427,""en"",""pt"")"),"disposto")</f>
        <v>disposto</v>
      </c>
      <c r="G427" s="69"/>
    </row>
    <row r="428" ht="22.5" customHeight="1">
      <c r="A428" s="66" t="s">
        <v>696</v>
      </c>
      <c r="B428" s="67" t="str">
        <f t="shared" si="1"/>
        <v>M: whom</v>
      </c>
      <c r="C428" s="68"/>
      <c r="D428" s="68">
        <f>IFERROR(__xludf.DUMMYFUNCTION("ARRAYFORMULA(
  INDEX(
    UNIQUE(FILTER(D388:D11612, D388:D11612&lt;&gt;"""")),
    CEILING.MATH(SEQUENCE(COUNTUNIQUE(D388:D11612)*10, 1, 1)/10
  )
)+4)"),45784.0)</f>
        <v>45784</v>
      </c>
      <c r="E428" s="66">
        <v>7.0</v>
      </c>
      <c r="F428" s="66" t="str">
        <f>IFERROR(__xludf.DUMMYFUNCTION("GOOGLETRANSLATE(A428,""en"",""pt"")"),"a quem")</f>
        <v>a quem</v>
      </c>
      <c r="G428" s="69"/>
    </row>
    <row r="429" ht="22.5" customHeight="1">
      <c r="A429" s="66" t="s">
        <v>697</v>
      </c>
      <c r="B429" s="67" t="str">
        <f t="shared" si="1"/>
        <v>M: hence</v>
      </c>
      <c r="C429" s="68"/>
      <c r="D429" s="68">
        <f>IFERROR(__xludf.DUMMYFUNCTION("ARRAYFORMULA(
  INDEX(
    UNIQUE(FILTER(D389:D11612, D389:D11612&lt;&gt;"""")),
    CEILING.MATH(SEQUENCE(COUNTUNIQUE(D389:D11612)*10, 1, 1)/10
  )
)+4)"),45784.0)</f>
        <v>45784</v>
      </c>
      <c r="E429" s="66">
        <v>8.0</v>
      </c>
      <c r="F429" s="66" t="str">
        <f>IFERROR(__xludf.DUMMYFUNCTION("GOOGLETRANSLATE(A429,""en"",""pt"")"),"por isso")</f>
        <v>por isso</v>
      </c>
      <c r="G429" s="69"/>
    </row>
    <row r="430" ht="22.5" customHeight="1">
      <c r="A430" s="66" t="s">
        <v>698</v>
      </c>
      <c r="B430" s="67" t="str">
        <f t="shared" si="1"/>
        <v>M: seldom</v>
      </c>
      <c r="C430" s="68"/>
      <c r="D430" s="68">
        <f>IFERROR(__xludf.DUMMYFUNCTION("ARRAYFORMULA(
  INDEX(
    UNIQUE(FILTER(D390:D11612, D390:D11612&lt;&gt;"""")),
    CEILING.MATH(SEQUENCE(COUNTUNIQUE(D390:D11612)*10, 1, 1)/10
  )
)+4)"),45784.0)</f>
        <v>45784</v>
      </c>
      <c r="E430" s="66">
        <v>9.0</v>
      </c>
      <c r="F430" s="66" t="str">
        <f>IFERROR(__xludf.DUMMYFUNCTION("GOOGLETRANSLATE(A430,""en"",""pt"")"),"raramente")</f>
        <v>raramente</v>
      </c>
      <c r="G430" s="69"/>
    </row>
    <row r="431" ht="22.5" customHeight="1">
      <c r="A431" s="66" t="s">
        <v>699</v>
      </c>
      <c r="B431" s="67" t="str">
        <f t="shared" si="1"/>
        <v>M: rarely</v>
      </c>
      <c r="C431" s="68"/>
      <c r="D431" s="68">
        <f>IFERROR(__xludf.DUMMYFUNCTION("ARRAYFORMULA(
  INDEX(
    UNIQUE(FILTER(D391:D11612, D391:D11612&lt;&gt;"""")),
    CEILING.MATH(SEQUENCE(COUNTUNIQUE(D391:D11612)*10, 1, 1)/10
  )
)+4)"),45784.0)</f>
        <v>45784</v>
      </c>
      <c r="E431" s="66">
        <v>10.0</v>
      </c>
      <c r="F431" s="66" t="str">
        <f>IFERROR(__xludf.DUMMYFUNCTION("GOOGLETRANSLATE(A431,""en"",""pt"")"),"raramente")</f>
        <v>raramente</v>
      </c>
      <c r="G431" s="69"/>
    </row>
    <row r="432" ht="22.5" customHeight="1">
      <c r="A432" s="66" t="s">
        <v>700</v>
      </c>
      <c r="B432" s="67" t="str">
        <f t="shared" si="1"/>
        <v>M: get along</v>
      </c>
      <c r="C432" s="66">
        <v>1.0</v>
      </c>
      <c r="D432" s="68">
        <f>IFERROR(__xludf.DUMMYFUNCTION("ARRAYFORMULA(
  INDEX(
    UNIQUE(FILTER(D392:D11612, D392:D11612&lt;&gt;"""")),
    CEILING.MATH(SEQUENCE(COUNTUNIQUE(D392:D11612)*10, 1, 1)/10
  )
)+4)"),45785.0)</f>
        <v>45785</v>
      </c>
      <c r="E432" s="66">
        <v>1.0</v>
      </c>
      <c r="F432" s="66" t="s">
        <v>701</v>
      </c>
      <c r="G432" s="66" t="s">
        <v>247</v>
      </c>
    </row>
    <row r="433" ht="22.5" customHeight="1">
      <c r="A433" s="66" t="s">
        <v>702</v>
      </c>
      <c r="B433" s="67" t="str">
        <f t="shared" si="1"/>
        <v>M: course</v>
      </c>
      <c r="C433" s="68"/>
      <c r="D433" s="68">
        <f>IFERROR(__xludf.DUMMYFUNCTION("ARRAYFORMULA(
  INDEX(
    UNIQUE(FILTER(D393:D11612, D393:D11612&lt;&gt;"""")),
    CEILING.MATH(SEQUENCE(COUNTUNIQUE(D393:D11612)*10, 1, 1)/10
  )
)+4)"),45785.0)</f>
        <v>45785</v>
      </c>
      <c r="E433" s="66">
        <v>2.0</v>
      </c>
      <c r="F433" s="66" t="str">
        <f>IFERROR(__xludf.DUMMYFUNCTION("GOOGLETRANSLATE(A433,""en"",""pt"")"),"curso")</f>
        <v>curso</v>
      </c>
      <c r="G433" s="69"/>
    </row>
    <row r="434" ht="22.5" customHeight="1">
      <c r="A434" s="66" t="s">
        <v>703</v>
      </c>
      <c r="B434" s="67" t="str">
        <f t="shared" si="1"/>
        <v>M: does</v>
      </c>
      <c r="C434" s="68"/>
      <c r="D434" s="68">
        <f>IFERROR(__xludf.DUMMYFUNCTION("ARRAYFORMULA(
  INDEX(
    UNIQUE(FILTER(D394:D11612, D394:D11612&lt;&gt;"""")),
    CEILING.MATH(SEQUENCE(COUNTUNIQUE(D394:D11612)*10, 1, 1)/10
  )
)+4)"),45785.0)</f>
        <v>45785</v>
      </c>
      <c r="E434" s="66">
        <v>3.0</v>
      </c>
      <c r="F434" s="66" t="str">
        <f>IFERROR(__xludf.DUMMYFUNCTION("GOOGLETRANSLATE(A434,""en"",""pt"")"),"faz")</f>
        <v>faz</v>
      </c>
      <c r="G434" s="69"/>
    </row>
    <row r="435" ht="22.5" customHeight="1">
      <c r="A435" s="66" t="s">
        <v>704</v>
      </c>
      <c r="B435" s="67" t="str">
        <f t="shared" si="1"/>
        <v>M: but</v>
      </c>
      <c r="C435" s="68"/>
      <c r="D435" s="68">
        <f>IFERROR(__xludf.DUMMYFUNCTION("ARRAYFORMULA(
  INDEX(
    UNIQUE(FILTER(D395:D11612, D395:D11612&lt;&gt;"""")),
    CEILING.MATH(SEQUENCE(COUNTUNIQUE(D395:D11612)*10, 1, 1)/10
  )
)+4)"),45785.0)</f>
        <v>45785</v>
      </c>
      <c r="E435" s="66">
        <v>4.0</v>
      </c>
      <c r="F435" s="66" t="str">
        <f>IFERROR(__xludf.DUMMYFUNCTION("GOOGLETRANSLATE(A435,""en"",""pt"")"),"mas")</f>
        <v>mas</v>
      </c>
      <c r="G435" s="69"/>
    </row>
    <row r="436" ht="22.5" customHeight="1">
      <c r="A436" s="66" t="s">
        <v>705</v>
      </c>
      <c r="B436" s="67" t="str">
        <f t="shared" si="1"/>
        <v>M: else</v>
      </c>
      <c r="C436" s="68"/>
      <c r="D436" s="68">
        <f>IFERROR(__xludf.DUMMYFUNCTION("ARRAYFORMULA(
  INDEX(
    UNIQUE(FILTER(D396:D11612, D396:D11612&lt;&gt;"""")),
    CEILING.MATH(SEQUENCE(COUNTUNIQUE(D396:D11612)*10, 1, 1)/10
  )
)+4)"),45785.0)</f>
        <v>45785</v>
      </c>
      <c r="E436" s="66">
        <v>5.0</v>
      </c>
      <c r="F436" s="66" t="str">
        <f>IFERROR(__xludf.DUMMYFUNCTION("GOOGLETRANSLATE(A436,""en"",""pt"")"),"outro")</f>
        <v>outro</v>
      </c>
      <c r="G436" s="69"/>
    </row>
    <row r="437" ht="22.5" customHeight="1">
      <c r="A437" s="66" t="s">
        <v>706</v>
      </c>
      <c r="B437" s="67" t="str">
        <f t="shared" si="1"/>
        <v>M: all right</v>
      </c>
      <c r="C437" s="68"/>
      <c r="D437" s="68">
        <f>IFERROR(__xludf.DUMMYFUNCTION("ARRAYFORMULA(
  INDEX(
    UNIQUE(FILTER(D397:D11612, D397:D11612&lt;&gt;"""")),
    CEILING.MATH(SEQUENCE(COUNTUNIQUE(D397:D11612)*10, 1, 1)/10
  )
)+4)"),45785.0)</f>
        <v>45785</v>
      </c>
      <c r="E437" s="66">
        <v>6.0</v>
      </c>
      <c r="F437" s="66" t="str">
        <f>IFERROR(__xludf.DUMMYFUNCTION("GOOGLETRANSLATE(A437,""en"",""pt"")"),"tudo bem")</f>
        <v>tudo bem</v>
      </c>
      <c r="G437" s="69"/>
    </row>
    <row r="438" ht="22.5" customHeight="1">
      <c r="A438" s="66" t="s">
        <v>707</v>
      </c>
      <c r="B438" s="67" t="str">
        <f t="shared" si="1"/>
        <v>M: labels</v>
      </c>
      <c r="C438" s="68"/>
      <c r="D438" s="68">
        <f>IFERROR(__xludf.DUMMYFUNCTION("ARRAYFORMULA(
  INDEX(
    UNIQUE(FILTER(D398:D11612, D398:D11612&lt;&gt;"""")),
    CEILING.MATH(SEQUENCE(COUNTUNIQUE(D398:D11612)*10, 1, 1)/10
  )
)+4)"),45785.0)</f>
        <v>45785</v>
      </c>
      <c r="E438" s="66">
        <v>7.0</v>
      </c>
      <c r="F438" s="66" t="str">
        <f>IFERROR(__xludf.DUMMYFUNCTION("GOOGLETRANSLATE(A438,""en"",""pt"")"),"rótulos")</f>
        <v>rótulos</v>
      </c>
      <c r="G438" s="69"/>
    </row>
    <row r="439" ht="22.5" customHeight="1">
      <c r="A439" s="66" t="s">
        <v>708</v>
      </c>
      <c r="B439" s="67" t="str">
        <f t="shared" si="1"/>
        <v>M: spent</v>
      </c>
      <c r="C439" s="68"/>
      <c r="D439" s="68">
        <f>IFERROR(__xludf.DUMMYFUNCTION("ARRAYFORMULA(
  INDEX(
    UNIQUE(FILTER(D399:D11612, D399:D11612&lt;&gt;"""")),
    CEILING.MATH(SEQUENCE(COUNTUNIQUE(D399:D11612)*10, 1, 1)/10
  )
)+4)"),45785.0)</f>
        <v>45785</v>
      </c>
      <c r="E439" s="66">
        <v>8.0</v>
      </c>
      <c r="F439" s="66" t="str">
        <f>IFERROR(__xludf.DUMMYFUNCTION("GOOGLETRANSLATE(A439,""en"",""pt"")"),"gasto")</f>
        <v>gasto</v>
      </c>
      <c r="G439" s="69"/>
    </row>
    <row r="440" ht="22.5" customHeight="1">
      <c r="A440" s="66" t="s">
        <v>709</v>
      </c>
      <c r="B440" s="67" t="str">
        <f t="shared" si="1"/>
        <v>M: put down</v>
      </c>
      <c r="C440" s="68"/>
      <c r="D440" s="68">
        <f>IFERROR(__xludf.DUMMYFUNCTION("ARRAYFORMULA(
  INDEX(
    UNIQUE(FILTER(D400:D11612, D400:D11612&lt;&gt;"""")),
    CEILING.MATH(SEQUENCE(COUNTUNIQUE(D400:D11612)*10, 1, 1)/10
  )
)+4)"),45785.0)</f>
        <v>45785</v>
      </c>
      <c r="E440" s="66">
        <v>9.0</v>
      </c>
      <c r="F440" s="66" t="str">
        <f>IFERROR(__xludf.DUMMYFUNCTION("GOOGLETRANSLATE(A440,""en"",""pt"")"),"colocar")</f>
        <v>colocar</v>
      </c>
      <c r="G440" s="69"/>
    </row>
    <row r="441" ht="22.5" customHeight="1">
      <c r="A441" s="66" t="s">
        <v>710</v>
      </c>
      <c r="B441" s="67" t="str">
        <f t="shared" si="1"/>
        <v>M: damp</v>
      </c>
      <c r="C441" s="68"/>
      <c r="D441" s="68">
        <f>IFERROR(__xludf.DUMMYFUNCTION("ARRAYFORMULA(
  INDEX(
    UNIQUE(FILTER(D401:D11612, D401:D11612&lt;&gt;"""")),
    CEILING.MATH(SEQUENCE(COUNTUNIQUE(D401:D11612)*10, 1, 1)/10
  )
)+4)"),45785.0)</f>
        <v>45785</v>
      </c>
      <c r="E441" s="66">
        <v>10.0</v>
      </c>
      <c r="F441" s="66" t="str">
        <f>IFERROR(__xludf.DUMMYFUNCTION("GOOGLETRANSLATE(A441,""en"",""pt"")"),"úmido")</f>
        <v>úmido</v>
      </c>
      <c r="G441" s="69"/>
    </row>
    <row r="442" ht="22.5" customHeight="1">
      <c r="A442" s="66" t="s">
        <v>711</v>
      </c>
      <c r="B442" s="67" t="str">
        <f t="shared" si="1"/>
        <v>M: brightly</v>
      </c>
      <c r="C442" s="68"/>
      <c r="D442" s="68">
        <f>IFERROR(__xludf.DUMMYFUNCTION("ARRAYFORMULA(
  INDEX(
    UNIQUE(FILTER(D402:D11612, D402:D11612&lt;&gt;"""")),
    CEILING.MATH(SEQUENCE(COUNTUNIQUE(D402:D11612)*10, 1, 1)/10
  )
)+4)"),45786.0)</f>
        <v>45786</v>
      </c>
      <c r="E442" s="66">
        <v>1.0</v>
      </c>
      <c r="F442" s="66" t="str">
        <f>IFERROR(__xludf.DUMMYFUNCTION("GOOGLETRANSLATE(A442,""en"",""pt"")"),"brilhantemente")</f>
        <v>brilhantemente</v>
      </c>
      <c r="G442" s="69"/>
    </row>
    <row r="443" ht="22.5" customHeight="1">
      <c r="A443" s="66" t="s">
        <v>712</v>
      </c>
      <c r="B443" s="67" t="str">
        <f t="shared" si="1"/>
        <v>M: thank</v>
      </c>
      <c r="C443" s="68"/>
      <c r="D443" s="68">
        <f>IFERROR(__xludf.DUMMYFUNCTION("ARRAYFORMULA(
  INDEX(
    UNIQUE(FILTER(D403:D11612, D403:D11612&lt;&gt;"""")),
    CEILING.MATH(SEQUENCE(COUNTUNIQUE(D403:D11612)*10, 1, 1)/10
  )
)+4)"),45786.0)</f>
        <v>45786</v>
      </c>
      <c r="E443" s="66">
        <v>2.0</v>
      </c>
      <c r="F443" s="66" t="str">
        <f>IFERROR(__xludf.DUMMYFUNCTION("GOOGLETRANSLATE(A443,""en"",""pt"")"),"agradecer")</f>
        <v>agradecer</v>
      </c>
      <c r="G443" s="69"/>
    </row>
    <row r="444" ht="22.5" customHeight="1">
      <c r="A444" s="66" t="s">
        <v>713</v>
      </c>
      <c r="B444" s="67" t="str">
        <f t="shared" si="1"/>
        <v>M: I'd better</v>
      </c>
      <c r="C444" s="68"/>
      <c r="D444" s="68">
        <f>IFERROR(__xludf.DUMMYFUNCTION("ARRAYFORMULA(
  INDEX(
    UNIQUE(FILTER(D404:D11612, D404:D11612&lt;&gt;"""")),
    CEILING.MATH(SEQUENCE(COUNTUNIQUE(D404:D11612)*10, 1, 1)/10
  )
)+4)"),45786.0)</f>
        <v>45786</v>
      </c>
      <c r="E444" s="66">
        <v>3.0</v>
      </c>
      <c r="F444" s="66" t="str">
        <f>IFERROR(__xludf.DUMMYFUNCTION("GOOGLETRANSLATE(A444,""en"",""pt"")"),"É melhor eu fazer isso.")</f>
        <v>É melhor eu fazer isso.</v>
      </c>
      <c r="G444" s="69"/>
    </row>
    <row r="445" ht="22.5" customHeight="1">
      <c r="A445" s="66" t="s">
        <v>714</v>
      </c>
      <c r="B445" s="67" t="str">
        <f t="shared" si="1"/>
        <v>M: come back</v>
      </c>
      <c r="C445" s="68"/>
      <c r="D445" s="68">
        <f>IFERROR(__xludf.DUMMYFUNCTION("ARRAYFORMULA(
  INDEX(
    UNIQUE(FILTER(D405:D11612, D405:D11612&lt;&gt;"""")),
    CEILING.MATH(SEQUENCE(COUNTUNIQUE(D405:D11612)*10, 1, 1)/10
  )
)+4)"),45786.0)</f>
        <v>45786</v>
      </c>
      <c r="E445" s="66">
        <v>4.0</v>
      </c>
      <c r="F445" s="66" t="str">
        <f>IFERROR(__xludf.DUMMYFUNCTION("GOOGLETRANSLATE(A445,""en"",""pt"")"),"voltar")</f>
        <v>voltar</v>
      </c>
      <c r="G445" s="69"/>
    </row>
    <row r="446" ht="22.5" customHeight="1">
      <c r="A446" s="66" t="s">
        <v>715</v>
      </c>
      <c r="B446" s="67" t="str">
        <f t="shared" si="1"/>
        <v>M: picked up</v>
      </c>
      <c r="C446" s="66">
        <v>1.0</v>
      </c>
      <c r="D446" s="68">
        <f>IFERROR(__xludf.DUMMYFUNCTION("ARRAYFORMULA(
  INDEX(
    UNIQUE(FILTER(D406:D11612, D406:D11612&lt;&gt;"""")),
    CEILING.MATH(SEQUENCE(COUNTUNIQUE(D406:D11612)*10, 1, 1)/10
  )
)+4)"),45786.0)</f>
        <v>45786</v>
      </c>
      <c r="E446" s="66">
        <v>5.0</v>
      </c>
      <c r="F446" s="66" t="s">
        <v>716</v>
      </c>
      <c r="G446" s="66" t="s">
        <v>247</v>
      </c>
    </row>
    <row r="447" ht="22.5" customHeight="1">
      <c r="A447" s="66" t="s">
        <v>717</v>
      </c>
      <c r="B447" s="67" t="str">
        <f t="shared" si="1"/>
        <v>M: carried</v>
      </c>
      <c r="C447" s="68"/>
      <c r="D447" s="68">
        <f>IFERROR(__xludf.DUMMYFUNCTION("ARRAYFORMULA(
  INDEX(
    UNIQUE(FILTER(D407:D11612, D407:D11612&lt;&gt;"""")),
    CEILING.MATH(SEQUENCE(COUNTUNIQUE(D407:D11612)*10, 1, 1)/10
  )
)+4)"),45786.0)</f>
        <v>45786</v>
      </c>
      <c r="E447" s="66">
        <v>6.0</v>
      </c>
      <c r="F447" s="66" t="str">
        <f>IFERROR(__xludf.DUMMYFUNCTION("GOOGLETRANSLATE(A447,""en"",""pt"")"),"carregou")</f>
        <v>carregou</v>
      </c>
      <c r="G447" s="69"/>
    </row>
    <row r="448" ht="22.5" customHeight="1">
      <c r="A448" s="66" t="s">
        <v>718</v>
      </c>
      <c r="B448" s="67" t="str">
        <f t="shared" si="1"/>
        <v>M: tracks</v>
      </c>
      <c r="C448" s="68"/>
      <c r="D448" s="68">
        <f>IFERROR(__xludf.DUMMYFUNCTION("ARRAYFORMULA(
  INDEX(
    UNIQUE(FILTER(D408:D11612, D408:D11612&lt;&gt;"""")),
    CEILING.MATH(SEQUENCE(COUNTUNIQUE(D408:D11612)*10, 1, 1)/10
  )
)+4)"),45786.0)</f>
        <v>45786</v>
      </c>
      <c r="E448" s="66">
        <v>7.0</v>
      </c>
      <c r="F448" s="66" t="str">
        <f>IFERROR(__xludf.DUMMYFUNCTION("GOOGLETRANSLATE(A448,""en"",""pt"")"),"faixas")</f>
        <v>faixas</v>
      </c>
      <c r="G448" s="69"/>
    </row>
    <row r="449" ht="22.5" customHeight="1">
      <c r="A449" s="66" t="s">
        <v>719</v>
      </c>
      <c r="B449" s="67" t="str">
        <f t="shared" si="1"/>
        <v>M: reasonably</v>
      </c>
      <c r="C449" s="68"/>
      <c r="D449" s="68">
        <f>IFERROR(__xludf.DUMMYFUNCTION("ARRAYFORMULA(
  INDEX(
    UNIQUE(FILTER(D409:D11612, D409:D11612&lt;&gt;"""")),
    CEILING.MATH(SEQUENCE(COUNTUNIQUE(D409:D11612)*10, 1, 1)/10
  )
)+4)"),45786.0)</f>
        <v>45786</v>
      </c>
      <c r="E449" s="66">
        <v>8.0</v>
      </c>
      <c r="F449" s="66" t="str">
        <f>IFERROR(__xludf.DUMMYFUNCTION("GOOGLETRANSLATE(A449,""en"",""pt"")"),"razoavelmente")</f>
        <v>razoavelmente</v>
      </c>
      <c r="G449" s="69"/>
    </row>
    <row r="450" ht="22.5" customHeight="1">
      <c r="A450" s="66" t="s">
        <v>720</v>
      </c>
      <c r="B450" s="67" t="str">
        <f t="shared" si="1"/>
        <v>M: drank</v>
      </c>
      <c r="C450" s="68"/>
      <c r="D450" s="68">
        <f>IFERROR(__xludf.DUMMYFUNCTION("ARRAYFORMULA(
  INDEX(
    UNIQUE(FILTER(D410:D11612, D410:D11612&lt;&gt;"""")),
    CEILING.MATH(SEQUENCE(COUNTUNIQUE(D410:D11612)*10, 1, 1)/10
  )
)+4)"),45786.0)</f>
        <v>45786</v>
      </c>
      <c r="E450" s="66">
        <v>9.0</v>
      </c>
      <c r="F450" s="66" t="str">
        <f>IFERROR(__xludf.DUMMYFUNCTION("GOOGLETRANSLATE(A450,""en"",""pt"")"),"bebido")</f>
        <v>bebido</v>
      </c>
      <c r="G450" s="69"/>
    </row>
    <row r="451" ht="22.5" customHeight="1">
      <c r="A451" s="66" t="s">
        <v>721</v>
      </c>
      <c r="B451" s="67" t="str">
        <f t="shared" si="1"/>
        <v>M: went out </v>
      </c>
      <c r="C451" s="66">
        <v>1.0</v>
      </c>
      <c r="D451" s="68">
        <f>IFERROR(__xludf.DUMMYFUNCTION("ARRAYFORMULA(
  INDEX(
    UNIQUE(FILTER(D411:D11612, D411:D11612&lt;&gt;"""")),
    CEILING.MATH(SEQUENCE(COUNTUNIQUE(D411:D11612)*10, 1, 1)/10
  )
)+4)"),45786.0)</f>
        <v>45786</v>
      </c>
      <c r="E451" s="66">
        <v>10.0</v>
      </c>
      <c r="F451" s="71" t="s">
        <v>722</v>
      </c>
      <c r="G451" s="66" t="s">
        <v>247</v>
      </c>
    </row>
    <row r="452" ht="22.5" customHeight="1">
      <c r="A452" s="66" t="s">
        <v>723</v>
      </c>
      <c r="B452" s="67" t="str">
        <f t="shared" si="1"/>
        <v>M: simply</v>
      </c>
      <c r="C452" s="68"/>
      <c r="D452" s="68">
        <f>IFERROR(__xludf.DUMMYFUNCTION("ARRAYFORMULA(
  INDEX(
    UNIQUE(FILTER(D412:D11612, D412:D11612&lt;&gt;"""")),
    CEILING.MATH(SEQUENCE(COUNTUNIQUE(D412:D11612)*10, 1, 1)/10
  )
)+4)"),45787.0)</f>
        <v>45787</v>
      </c>
      <c r="E452" s="66">
        <v>1.0</v>
      </c>
      <c r="F452" s="66" t="str">
        <f>IFERROR(__xludf.DUMMYFUNCTION("GOOGLETRANSLATE(A452,""en"",""pt"")"),"simplesmente")</f>
        <v>simplesmente</v>
      </c>
      <c r="G452" s="69"/>
    </row>
    <row r="453" ht="22.5" customHeight="1">
      <c r="A453" s="66" t="s">
        <v>724</v>
      </c>
      <c r="B453" s="67" t="str">
        <f t="shared" si="1"/>
        <v>M: merely</v>
      </c>
      <c r="C453" s="68"/>
      <c r="D453" s="68">
        <f>IFERROR(__xludf.DUMMYFUNCTION("ARRAYFORMULA(
  INDEX(
    UNIQUE(FILTER(D413:D11612, D413:D11612&lt;&gt;"""")),
    CEILING.MATH(SEQUENCE(COUNTUNIQUE(D413:D11612)*10, 1, 1)/10
  )
)+4)"),45787.0)</f>
        <v>45787</v>
      </c>
      <c r="E453" s="66">
        <v>2.0</v>
      </c>
      <c r="F453" s="66" t="str">
        <f>IFERROR(__xludf.DUMMYFUNCTION("GOOGLETRANSLATE(A453,""en"",""pt"")"),"apenas")</f>
        <v>apenas</v>
      </c>
      <c r="G453" s="69"/>
    </row>
    <row r="454" ht="22.5" customHeight="1">
      <c r="A454" s="66" t="s">
        <v>725</v>
      </c>
      <c r="B454" s="67" t="str">
        <f t="shared" si="1"/>
        <v>M: hardly</v>
      </c>
      <c r="C454" s="68"/>
      <c r="D454" s="68">
        <f>IFERROR(__xludf.DUMMYFUNCTION("ARRAYFORMULA(
  INDEX(
    UNIQUE(FILTER(D414:D11612, D414:D11612&lt;&gt;"""")),
    CEILING.MATH(SEQUENCE(COUNTUNIQUE(D414:D11612)*10, 1, 1)/10
  )
)+4)"),45787.0)</f>
        <v>45787</v>
      </c>
      <c r="E454" s="66">
        <v>3.0</v>
      </c>
      <c r="F454" s="66" t="str">
        <f>IFERROR(__xludf.DUMMYFUNCTION("GOOGLETRANSLATE(A454,""en"",""pt"")"),"dificilmente")</f>
        <v>dificilmente</v>
      </c>
      <c r="G454" s="69"/>
    </row>
    <row r="455" ht="22.5" customHeight="1">
      <c r="A455" s="66" t="s">
        <v>726</v>
      </c>
      <c r="B455" s="67" t="str">
        <f t="shared" si="1"/>
        <v>M: once</v>
      </c>
      <c r="C455" s="68"/>
      <c r="D455" s="68">
        <f>IFERROR(__xludf.DUMMYFUNCTION("ARRAYFORMULA(
  INDEX(
    UNIQUE(FILTER(D415:D11612, D415:D11612&lt;&gt;"""")),
    CEILING.MATH(SEQUENCE(COUNTUNIQUE(D415:D11612)*10, 1, 1)/10
  )
)+4)"),45787.0)</f>
        <v>45787</v>
      </c>
      <c r="E455" s="66">
        <v>4.0</v>
      </c>
      <c r="F455" s="66" t="str">
        <f>IFERROR(__xludf.DUMMYFUNCTION("GOOGLETRANSLATE(A455,""en"",""pt"")"),"uma vez")</f>
        <v>uma vez</v>
      </c>
      <c r="G455" s="69"/>
    </row>
    <row r="456" ht="22.5" customHeight="1">
      <c r="A456" s="66" t="s">
        <v>727</v>
      </c>
      <c r="B456" s="67" t="str">
        <f t="shared" si="1"/>
        <v>M: twice</v>
      </c>
      <c r="C456" s="68"/>
      <c r="D456" s="68">
        <f>IFERROR(__xludf.DUMMYFUNCTION("ARRAYFORMULA(
  INDEX(
    UNIQUE(FILTER(D416:D11612, D416:D11612&lt;&gt;"""")),
    CEILING.MATH(SEQUENCE(COUNTUNIQUE(D416:D11612)*10, 1, 1)/10
  )
)+4)"),45787.0)</f>
        <v>45787</v>
      </c>
      <c r="E456" s="66">
        <v>5.0</v>
      </c>
      <c r="F456" s="66" t="str">
        <f>IFERROR(__xludf.DUMMYFUNCTION("GOOGLETRANSLATE(A456,""en"",""pt"")"),"duas vezes")</f>
        <v>duas vezes</v>
      </c>
      <c r="G456" s="69"/>
    </row>
    <row r="457" ht="22.5" customHeight="1">
      <c r="A457" s="66" t="s">
        <v>728</v>
      </c>
      <c r="B457" s="67" t="str">
        <f t="shared" si="1"/>
        <v>M: thrice</v>
      </c>
      <c r="C457" s="68"/>
      <c r="D457" s="68">
        <f>IFERROR(__xludf.DUMMYFUNCTION("ARRAYFORMULA(
  INDEX(
    UNIQUE(FILTER(D417:D11612, D417:D11612&lt;&gt;"""")),
    CEILING.MATH(SEQUENCE(COUNTUNIQUE(D417:D11612)*10, 1, 1)/10
  )
)+4)"),45787.0)</f>
        <v>45787</v>
      </c>
      <c r="E457" s="66">
        <v>6.0</v>
      </c>
      <c r="F457" s="66" t="str">
        <f>IFERROR(__xludf.DUMMYFUNCTION("GOOGLETRANSLATE(A457,""en"",""pt"")"),"três vezes")</f>
        <v>três vezes</v>
      </c>
      <c r="G457" s="69"/>
    </row>
    <row r="458" ht="22.5" customHeight="1">
      <c r="A458" s="66" t="s">
        <v>729</v>
      </c>
      <c r="B458" s="67" t="str">
        <f t="shared" si="1"/>
        <v>M: like</v>
      </c>
      <c r="C458" s="68"/>
      <c r="D458" s="68">
        <f>IFERROR(__xludf.DUMMYFUNCTION("ARRAYFORMULA(
  INDEX(
    UNIQUE(FILTER(D418:D11612, D418:D11612&lt;&gt;"""")),
    CEILING.MATH(SEQUENCE(COUNTUNIQUE(D418:D11612)*10, 1, 1)/10
  )
)+4)"),45787.0)</f>
        <v>45787</v>
      </c>
      <c r="E458" s="66">
        <v>7.0</v>
      </c>
      <c r="F458" s="66" t="str">
        <f>IFERROR(__xludf.DUMMYFUNCTION("GOOGLETRANSLATE(A458,""en"",""pt"")"),"como")</f>
        <v>como</v>
      </c>
      <c r="G458" s="69"/>
    </row>
    <row r="459" ht="22.5" customHeight="1">
      <c r="A459" s="66" t="s">
        <v>730</v>
      </c>
      <c r="B459" s="67" t="str">
        <f t="shared" si="1"/>
        <v>M: unlikely</v>
      </c>
      <c r="C459" s="66">
        <v>1.0</v>
      </c>
      <c r="D459" s="68">
        <f>IFERROR(__xludf.DUMMYFUNCTION("ARRAYFORMULA(
  INDEX(
    UNIQUE(FILTER(D419:D11612, D419:D11612&lt;&gt;"""")),
    CEILING.MATH(SEQUENCE(COUNTUNIQUE(D419:D11612)*10, 1, 1)/10
  )
)+4)"),45787.0)</f>
        <v>45787</v>
      </c>
      <c r="E459" s="66">
        <v>8.0</v>
      </c>
      <c r="F459" s="71" t="s">
        <v>731</v>
      </c>
      <c r="G459" s="66" t="s">
        <v>247</v>
      </c>
    </row>
    <row r="460" ht="22.5" customHeight="1">
      <c r="A460" s="66" t="s">
        <v>732</v>
      </c>
      <c r="B460" s="67" t="str">
        <f t="shared" si="1"/>
        <v>M: therefore</v>
      </c>
      <c r="C460" s="68"/>
      <c r="D460" s="68">
        <f>IFERROR(__xludf.DUMMYFUNCTION("ARRAYFORMULA(
  INDEX(
    UNIQUE(FILTER(D420:D11612, D420:D11612&lt;&gt;"""")),
    CEILING.MATH(SEQUENCE(COUNTUNIQUE(D420:D11612)*10, 1, 1)/10
  )
)+4)"),45787.0)</f>
        <v>45787</v>
      </c>
      <c r="E460" s="66">
        <v>9.0</v>
      </c>
      <c r="F460" s="66" t="str">
        <f>IFERROR(__xludf.DUMMYFUNCTION("GOOGLETRANSLATE(A460,""en"",""pt"")"),"portanto")</f>
        <v>portanto</v>
      </c>
      <c r="G460" s="69"/>
    </row>
    <row r="461" ht="22.5" customHeight="1">
      <c r="A461" s="66" t="s">
        <v>733</v>
      </c>
      <c r="B461" s="67" t="str">
        <f t="shared" si="1"/>
        <v>M: furthermore</v>
      </c>
      <c r="C461" s="68"/>
      <c r="D461" s="68">
        <f>IFERROR(__xludf.DUMMYFUNCTION("ARRAYFORMULA(
  INDEX(
    UNIQUE(FILTER(D421:D11612, D421:D11612&lt;&gt;"""")),
    CEILING.MATH(SEQUENCE(COUNTUNIQUE(D421:D11612)*10, 1, 1)/10
  )
)+4)"),45787.0)</f>
        <v>45787</v>
      </c>
      <c r="E461" s="66">
        <v>10.0</v>
      </c>
      <c r="F461" s="66" t="str">
        <f>IFERROR(__xludf.DUMMYFUNCTION("GOOGLETRANSLATE(A461,""en"",""pt"")"),"além disso")</f>
        <v>além disso</v>
      </c>
      <c r="G461" s="69"/>
    </row>
    <row r="462" ht="22.5" customHeight="1">
      <c r="A462" s="66" t="s">
        <v>734</v>
      </c>
      <c r="B462" s="67" t="str">
        <f t="shared" si="1"/>
        <v>M: moreover</v>
      </c>
      <c r="C462" s="68"/>
      <c r="D462" s="68">
        <f>IFERROR(__xludf.DUMMYFUNCTION("ARRAYFORMULA(
  INDEX(
    UNIQUE(FILTER(D422:D11612, D422:D11612&lt;&gt;"""")),
    CEILING.MATH(SEQUENCE(COUNTUNIQUE(D422:D11612)*10, 1, 1)/10
  )
)+4)"),45788.0)</f>
        <v>45788</v>
      </c>
      <c r="E462" s="66">
        <v>1.0</v>
      </c>
      <c r="F462" s="66" t="str">
        <f>IFERROR(__xludf.DUMMYFUNCTION("GOOGLETRANSLATE(A462,""en"",""pt"")"),"além disso")</f>
        <v>além disso</v>
      </c>
      <c r="G462" s="69"/>
    </row>
    <row r="463" ht="22.5" customHeight="1">
      <c r="A463" s="66" t="s">
        <v>735</v>
      </c>
      <c r="B463" s="67" t="str">
        <f t="shared" si="1"/>
        <v>M: otherwise</v>
      </c>
      <c r="C463" s="68"/>
      <c r="D463" s="68">
        <f>IFERROR(__xludf.DUMMYFUNCTION("ARRAYFORMULA(
  INDEX(
    UNIQUE(FILTER(D423:D11612, D423:D11612&lt;&gt;"""")),
    CEILING.MATH(SEQUENCE(COUNTUNIQUE(D423:D11612)*10, 1, 1)/10
  )
)+4)"),45788.0)</f>
        <v>45788</v>
      </c>
      <c r="E463" s="66">
        <v>2.0</v>
      </c>
      <c r="F463" s="66" t="str">
        <f>IFERROR(__xludf.DUMMYFUNCTION("GOOGLETRANSLATE(A463,""en"",""pt"")"),"de outra forma")</f>
        <v>de outra forma</v>
      </c>
      <c r="G463" s="69"/>
    </row>
    <row r="464" ht="22.5" customHeight="1">
      <c r="A464" s="66" t="s">
        <v>736</v>
      </c>
      <c r="B464" s="67" t="str">
        <f t="shared" si="1"/>
        <v>M: instead of</v>
      </c>
      <c r="C464" s="68"/>
      <c r="D464" s="68">
        <f>IFERROR(__xludf.DUMMYFUNCTION("ARRAYFORMULA(
  INDEX(
    UNIQUE(FILTER(D424:D11612, D424:D11612&lt;&gt;"""")),
    CEILING.MATH(SEQUENCE(COUNTUNIQUE(D424:D11612)*10, 1, 1)/10
  )
)+4)"),45788.0)</f>
        <v>45788</v>
      </c>
      <c r="E464" s="66">
        <v>3.0</v>
      </c>
      <c r="F464" s="66" t="str">
        <f>IFERROR(__xludf.DUMMYFUNCTION("GOOGLETRANSLATE(A464,""en"",""pt"")"),"em vez de")</f>
        <v>em vez de</v>
      </c>
      <c r="G464" s="69"/>
    </row>
    <row r="465" ht="22.5" customHeight="1">
      <c r="A465" s="66" t="s">
        <v>737</v>
      </c>
      <c r="B465" s="67" t="str">
        <f t="shared" si="1"/>
        <v>M: because of</v>
      </c>
      <c r="C465" s="68"/>
      <c r="D465" s="68">
        <f>IFERROR(__xludf.DUMMYFUNCTION("ARRAYFORMULA(
  INDEX(
    UNIQUE(FILTER(D425:D11612, D425:D11612&lt;&gt;"""")),
    CEILING.MATH(SEQUENCE(COUNTUNIQUE(D425:D11612)*10, 1, 1)/10
  )
)+4)"),45788.0)</f>
        <v>45788</v>
      </c>
      <c r="E465" s="66">
        <v>4.0</v>
      </c>
      <c r="F465" s="66" t="str">
        <f>IFERROR(__xludf.DUMMYFUNCTION("GOOGLETRANSLATE(A465,""en"",""pt"")"),"por causa de")</f>
        <v>por causa de</v>
      </c>
      <c r="G465" s="69"/>
    </row>
    <row r="466" ht="22.5" customHeight="1">
      <c r="A466" s="66" t="s">
        <v>738</v>
      </c>
      <c r="B466" s="67" t="str">
        <f t="shared" si="1"/>
        <v>M: due to</v>
      </c>
      <c r="C466" s="68"/>
      <c r="D466" s="68">
        <f>IFERROR(__xludf.DUMMYFUNCTION("ARRAYFORMULA(
  INDEX(
    UNIQUE(FILTER(D426:D11612, D426:D11612&lt;&gt;"""")),
    CEILING.MATH(SEQUENCE(COUNTUNIQUE(D426:D11612)*10, 1, 1)/10
  )
)+4)"),45788.0)</f>
        <v>45788</v>
      </c>
      <c r="E466" s="66">
        <v>5.0</v>
      </c>
      <c r="F466" s="66" t="str">
        <f>IFERROR(__xludf.DUMMYFUNCTION("GOOGLETRANSLATE(A466,""en"",""pt"")"),"devido a")</f>
        <v>devido a</v>
      </c>
      <c r="G466" s="69"/>
    </row>
    <row r="467" ht="22.5" customHeight="1">
      <c r="A467" s="66" t="s">
        <v>739</v>
      </c>
      <c r="B467" s="67" t="str">
        <f t="shared" si="1"/>
        <v>M: as well as</v>
      </c>
      <c r="C467" s="68"/>
      <c r="D467" s="68">
        <f>IFERROR(__xludf.DUMMYFUNCTION("ARRAYFORMULA(
  INDEX(
    UNIQUE(FILTER(D427:D11612, D427:D11612&lt;&gt;"""")),
    CEILING.MATH(SEQUENCE(COUNTUNIQUE(D427:D11612)*10, 1, 1)/10
  )
)+4)"),45788.0)</f>
        <v>45788</v>
      </c>
      <c r="E467" s="66">
        <v>6.0</v>
      </c>
      <c r="F467" s="66" t="str">
        <f>IFERROR(__xludf.DUMMYFUNCTION("GOOGLETRANSLATE(A467,""en"",""pt"")"),"assim como")</f>
        <v>assim como</v>
      </c>
      <c r="G467" s="69"/>
    </row>
    <row r="468" ht="22.5" customHeight="1">
      <c r="A468" s="66" t="s">
        <v>740</v>
      </c>
      <c r="B468" s="67" t="str">
        <f t="shared" si="1"/>
        <v>M: in addition to</v>
      </c>
      <c r="C468" s="68"/>
      <c r="D468" s="68">
        <f>IFERROR(__xludf.DUMMYFUNCTION("ARRAYFORMULA(
  INDEX(
    UNIQUE(FILTER(D428:D11612, D428:D11612&lt;&gt;"""")),
    CEILING.MATH(SEQUENCE(COUNTUNIQUE(D428:D11612)*10, 1, 1)/10
  )
)+4)"),45788.0)</f>
        <v>45788</v>
      </c>
      <c r="E468" s="66">
        <v>7.0</v>
      </c>
      <c r="F468" s="66" t="str">
        <f>IFERROR(__xludf.DUMMYFUNCTION("GOOGLETRANSLATE(A468,""en"",""pt"")"),"além de")</f>
        <v>além de</v>
      </c>
      <c r="G468" s="69"/>
    </row>
    <row r="469" ht="22.5" customHeight="1">
      <c r="A469" s="66" t="s">
        <v>741</v>
      </c>
      <c r="B469" s="67" t="str">
        <f t="shared" si="1"/>
        <v>M: often</v>
      </c>
      <c r="C469" s="68"/>
      <c r="D469" s="68">
        <f>IFERROR(__xludf.DUMMYFUNCTION("ARRAYFORMULA(
  INDEX(
    UNIQUE(FILTER(D429:D11612, D429:D11612&lt;&gt;"""")),
    CEILING.MATH(SEQUENCE(COUNTUNIQUE(D429:D11612)*10, 1, 1)/10
  )
)+4)"),45788.0)</f>
        <v>45788</v>
      </c>
      <c r="E469" s="66">
        <v>8.0</v>
      </c>
      <c r="F469" s="66" t="str">
        <f>IFERROR(__xludf.DUMMYFUNCTION("GOOGLETRANSLATE(A469,""en"",""pt"")"),"muitas vezes")</f>
        <v>muitas vezes</v>
      </c>
      <c r="G469" s="69"/>
    </row>
    <row r="470" ht="22.5" customHeight="1">
      <c r="A470" s="66" t="s">
        <v>742</v>
      </c>
      <c r="B470" s="67" t="str">
        <f t="shared" si="1"/>
        <v>M: consequently</v>
      </c>
      <c r="C470" s="68"/>
      <c r="D470" s="68">
        <f>IFERROR(__xludf.DUMMYFUNCTION("ARRAYFORMULA(
  INDEX(
    UNIQUE(FILTER(D430:D11612, D430:D11612&lt;&gt;"""")),
    CEILING.MATH(SEQUENCE(COUNTUNIQUE(D430:D11612)*10, 1, 1)/10
  )
)+4)"),45788.0)</f>
        <v>45788</v>
      </c>
      <c r="E470" s="66">
        <v>9.0</v>
      </c>
      <c r="F470" s="66" t="str">
        <f>IFERROR(__xludf.DUMMYFUNCTION("GOOGLETRANSLATE(A470,""en"",""pt"")"),"consequentemente")</f>
        <v>consequentemente</v>
      </c>
      <c r="G470" s="69"/>
    </row>
    <row r="471" ht="22.5" customHeight="1">
      <c r="A471" s="66" t="s">
        <v>743</v>
      </c>
      <c r="B471" s="67" t="str">
        <f t="shared" si="1"/>
        <v>M: below</v>
      </c>
      <c r="C471" s="68"/>
      <c r="D471" s="68">
        <f>IFERROR(__xludf.DUMMYFUNCTION("ARRAYFORMULA(
  INDEX(
    UNIQUE(FILTER(D431:D11612, D431:D11612&lt;&gt;"""")),
    CEILING.MATH(SEQUENCE(COUNTUNIQUE(D431:D11612)*10, 1, 1)/10
  )
)+4)"),45788.0)</f>
        <v>45788</v>
      </c>
      <c r="E471" s="66">
        <v>10.0</v>
      </c>
      <c r="F471" s="66" t="str">
        <f>IFERROR(__xludf.DUMMYFUNCTION("GOOGLETRANSLATE(A471,""en"",""pt"")"),"abaixo")</f>
        <v>abaixo</v>
      </c>
      <c r="G471" s="69"/>
    </row>
    <row r="472" ht="22.5" customHeight="1">
      <c r="A472" s="70" t="s">
        <v>744</v>
      </c>
      <c r="B472" s="67" t="str">
        <f t="shared" ref="B472:B478" si="2">CONCATENATE("M: ",#REF!)</f>
        <v>#REF!</v>
      </c>
      <c r="C472" s="66">
        <v>1.0</v>
      </c>
      <c r="D472" s="68">
        <f>IFERROR(__xludf.DUMMYFUNCTION("ARRAYFORMULA(
  INDEX(
    UNIQUE(FILTER(D432:D11612, D432:D11612&lt;&gt;"""")),
    CEILING.MATH(SEQUENCE(COUNTUNIQUE(D432:D11612)*10, 1, 1)/10
  )
)+4)"),45789.0)</f>
        <v>45789</v>
      </c>
      <c r="E472" s="66">
        <v>1.0</v>
      </c>
      <c r="F472" s="71" t="s">
        <v>745</v>
      </c>
      <c r="G472" s="66" t="s">
        <v>247</v>
      </c>
    </row>
    <row r="473" ht="22.5" customHeight="1">
      <c r="A473" s="70" t="s">
        <v>746</v>
      </c>
      <c r="B473" s="67" t="str">
        <f t="shared" si="2"/>
        <v>#REF!</v>
      </c>
      <c r="C473" s="68"/>
      <c r="D473" s="68">
        <f>IFERROR(__xludf.DUMMYFUNCTION("ARRAYFORMULA(
  INDEX(
    UNIQUE(FILTER(D433:D11612, D433:D11612&lt;&gt;"""")),
    CEILING.MATH(SEQUENCE(COUNTUNIQUE(D433:D11612)*10, 1, 1)/10
  )
)+4)"),45789.0)</f>
        <v>45789</v>
      </c>
      <c r="E473" s="66">
        <v>2.0</v>
      </c>
      <c r="F473" s="66" t="str">
        <f>IFERROR(__xludf.DUMMYFUNCTION("GOOGLETRANSLATE(A473,""en"",""pt"")"),"quadrado")</f>
        <v>quadrado</v>
      </c>
      <c r="G473" s="69"/>
    </row>
    <row r="474" ht="22.5" customHeight="1">
      <c r="A474" s="70" t="s">
        <v>747</v>
      </c>
      <c r="B474" s="67" t="str">
        <f t="shared" si="2"/>
        <v>#REF!</v>
      </c>
      <c r="C474" s="68"/>
      <c r="D474" s="68">
        <f>IFERROR(__xludf.DUMMYFUNCTION("ARRAYFORMULA(
  INDEX(
    UNIQUE(FILTER(D434:D11612, D434:D11612&lt;&gt;"""")),
    CEILING.MATH(SEQUENCE(COUNTUNIQUE(D434:D11612)*10, 1, 1)/10
  )
)+4)"),45789.0)</f>
        <v>45789</v>
      </c>
      <c r="E474" s="66">
        <v>3.0</v>
      </c>
      <c r="F474" s="66" t="str">
        <f>IFERROR(__xludf.DUMMYFUNCTION("GOOGLETRANSLATE(A474,""en"",""pt"")"),"redondo")</f>
        <v>redondo</v>
      </c>
      <c r="G474" s="69"/>
    </row>
    <row r="475" ht="22.5" customHeight="1">
      <c r="A475" s="70" t="s">
        <v>748</v>
      </c>
      <c r="B475" s="67" t="str">
        <f t="shared" si="2"/>
        <v>#REF!</v>
      </c>
      <c r="C475" s="68"/>
      <c r="D475" s="68">
        <f>IFERROR(__xludf.DUMMYFUNCTION("ARRAYFORMULA(
  INDEX(
    UNIQUE(FILTER(D435:D11612, D435:D11612&lt;&gt;"""")),
    CEILING.MATH(SEQUENCE(COUNTUNIQUE(D435:D11612)*10, 1, 1)/10
  )
)+4)"),45789.0)</f>
        <v>45789</v>
      </c>
      <c r="E475" s="66">
        <v>4.0</v>
      </c>
      <c r="F475" s="66" t="str">
        <f>IFERROR(__xludf.DUMMYFUNCTION("GOOGLETRANSLATE(A475,""en"",""pt"")"),"falha encontrada")</f>
        <v>falha encontrada</v>
      </c>
      <c r="G475" s="69"/>
    </row>
    <row r="476" ht="22.5" customHeight="1">
      <c r="A476" s="70" t="s">
        <v>749</v>
      </c>
      <c r="B476" s="67" t="str">
        <f t="shared" si="2"/>
        <v>#REF!</v>
      </c>
      <c r="C476" s="68"/>
      <c r="D476" s="68">
        <f>IFERROR(__xludf.DUMMYFUNCTION("ARRAYFORMULA(
  INDEX(
    UNIQUE(FILTER(D436:D11612, D436:D11612&lt;&gt;"""")),
    CEILING.MATH(SEQUENCE(COUNTUNIQUE(D436:D11612)*10, 1, 1)/10
  )
)+4)"),45789.0)</f>
        <v>45789</v>
      </c>
      <c r="E476" s="66">
        <v>5.0</v>
      </c>
      <c r="F476" s="66" t="str">
        <f>IFERROR(__xludf.DUMMYFUNCTION("GOOGLETRANSLATE(A476,""en"",""pt"")"),"ladrão")</f>
        <v>ladrão</v>
      </c>
      <c r="G476" s="69"/>
    </row>
    <row r="477" ht="22.5" customHeight="1">
      <c r="A477" s="70" t="s">
        <v>750</v>
      </c>
      <c r="B477" s="67" t="str">
        <f t="shared" si="2"/>
        <v>#REF!</v>
      </c>
      <c r="C477" s="68"/>
      <c r="D477" s="68">
        <f>IFERROR(__xludf.DUMMYFUNCTION("ARRAYFORMULA(
  INDEX(
    UNIQUE(FILTER(D437:D11612, D437:D11612&lt;&gt;"""")),
    CEILING.MATH(SEQUENCE(COUNTUNIQUE(D437:D11612)*10, 1, 1)/10
  )
)+4)"),45789.0)</f>
        <v>45789</v>
      </c>
      <c r="E477" s="66">
        <v>6.0</v>
      </c>
      <c r="F477" s="66" t="str">
        <f>IFERROR(__xludf.DUMMYFUNCTION("GOOGLETRANSLATE(A477,""en"",""pt"")"),"permitindo")</f>
        <v>permitindo</v>
      </c>
      <c r="G477" s="69"/>
    </row>
    <row r="478" ht="22.5" customHeight="1">
      <c r="A478" s="70" t="s">
        <v>751</v>
      </c>
      <c r="B478" s="67" t="str">
        <f t="shared" si="2"/>
        <v>#REF!</v>
      </c>
      <c r="C478" s="68"/>
      <c r="D478" s="68">
        <f>IFERROR(__xludf.DUMMYFUNCTION("ARRAYFORMULA(
  INDEX(
    UNIQUE(FILTER(D438:D11612, D438:D11612&lt;&gt;"""")),
    CEILING.MATH(SEQUENCE(COUNTUNIQUE(D438:D11612)*10, 1, 1)/10
  )
)+4)"),45789.0)</f>
        <v>45789</v>
      </c>
      <c r="E478" s="66">
        <v>7.0</v>
      </c>
      <c r="F478" s="66" t="str">
        <f>IFERROR(__xludf.DUMMYFUNCTION("GOOGLETRANSLATE(A478,""en"",""pt"")"),"resfriados")</f>
        <v>resfriados</v>
      </c>
      <c r="G478" s="69"/>
    </row>
    <row r="479" ht="22.5" customHeight="1">
      <c r="A479" s="70" t="s">
        <v>752</v>
      </c>
      <c r="B479" s="67" t="str">
        <f t="shared" ref="B479:B488" si="3">CONCATENATE("M: ",A562)</f>
        <v>M: Those</v>
      </c>
      <c r="C479" s="68"/>
      <c r="D479" s="68">
        <f>IFERROR(__xludf.DUMMYFUNCTION("ARRAYFORMULA(
  INDEX(
    UNIQUE(FILTER(D439:D11612, D439:D11612&lt;&gt;"""")),
    CEILING.MATH(SEQUENCE(COUNTUNIQUE(D439:D11612)*10, 1, 1)/10
  )
)+4)"),45789.0)</f>
        <v>45789</v>
      </c>
      <c r="E479" s="66">
        <v>8.0</v>
      </c>
      <c r="F479" s="66" t="str">
        <f>IFERROR(__xludf.DUMMYFUNCTION("GOOGLETRANSLATE(A479,""en"",""pt"")"),"espirrou")</f>
        <v>espirrou</v>
      </c>
      <c r="G479" s="69"/>
    </row>
    <row r="480" ht="22.5" customHeight="1">
      <c r="A480" s="70" t="s">
        <v>753</v>
      </c>
      <c r="B480" s="67" t="str">
        <f t="shared" si="3"/>
        <v>M: Some</v>
      </c>
      <c r="C480" s="68"/>
      <c r="D480" s="68">
        <f>IFERROR(__xludf.DUMMYFUNCTION("ARRAYFORMULA(
  INDEX(
    UNIQUE(FILTER(D440:D11612, D440:D11612&lt;&gt;"""")),
    CEILING.MATH(SEQUENCE(COUNTUNIQUE(D440:D11612)*10, 1, 1)/10
  )
)+4)"),45789.0)</f>
        <v>45789</v>
      </c>
      <c r="E480" s="66">
        <v>9.0</v>
      </c>
      <c r="F480" s="66" t="str">
        <f>IFERROR(__xludf.DUMMYFUNCTION("GOOGLETRANSLATE(A480,""en"",""pt"")"),"tempos passados")</f>
        <v>tempos passados</v>
      </c>
      <c r="G480" s="69"/>
    </row>
    <row r="481" ht="22.5" customHeight="1">
      <c r="A481" s="70" t="s">
        <v>754</v>
      </c>
      <c r="B481" s="67" t="str">
        <f t="shared" si="3"/>
        <v>M: Any</v>
      </c>
      <c r="C481" s="68"/>
      <c r="D481" s="68">
        <f>IFERROR(__xludf.DUMMYFUNCTION("ARRAYFORMULA(
  INDEX(
    UNIQUE(FILTER(D441:D11612, D441:D11612&lt;&gt;"""")),
    CEILING.MATH(SEQUENCE(COUNTUNIQUE(D441:D11612)*10, 1, 1)/10
  )
)+4)"),45789.0)</f>
        <v>45789</v>
      </c>
      <c r="E481" s="66">
        <v>10.0</v>
      </c>
      <c r="F481" s="66" t="str">
        <f>IFERROR(__xludf.DUMMYFUNCTION("GOOGLETRANSLATE(A481,""en"",""pt"")"),"objeção")</f>
        <v>objeção</v>
      </c>
      <c r="G481" s="69"/>
    </row>
    <row r="482" ht="22.5" customHeight="1">
      <c r="A482" s="70" t="s">
        <v>755</v>
      </c>
      <c r="B482" s="67" t="str">
        <f t="shared" si="3"/>
        <v>M: Few</v>
      </c>
      <c r="C482" s="68"/>
      <c r="D482" s="68">
        <f>IFERROR(__xludf.DUMMYFUNCTION("ARRAYFORMULA(
  INDEX(
    UNIQUE(FILTER(D442:D11612, D442:D11612&lt;&gt;"""")),
    CEILING.MATH(SEQUENCE(COUNTUNIQUE(D442:D11612)*10, 1, 1)/10
  )
)+4)"),45790.0)</f>
        <v>45790</v>
      </c>
      <c r="E482" s="66">
        <v>1.0</v>
      </c>
      <c r="F482" s="66" t="str">
        <f>IFERROR(__xludf.DUMMYFUNCTION("GOOGLETRANSLATE(A482,""en"",""pt"")"),"escolhido")</f>
        <v>escolhido</v>
      </c>
      <c r="G482" s="69"/>
    </row>
    <row r="483" ht="22.5" customHeight="1">
      <c r="A483" s="70" t="s">
        <v>756</v>
      </c>
      <c r="B483" s="67" t="str">
        <f t="shared" si="3"/>
        <v>M: Many</v>
      </c>
      <c r="C483" s="68"/>
      <c r="D483" s="68">
        <f>IFERROR(__xludf.DUMMYFUNCTION("ARRAYFORMULA(
  INDEX(
    UNIQUE(FILTER(D443:D11612, D443:D11612&lt;&gt;"""")),
    CEILING.MATH(SEQUENCE(COUNTUNIQUE(D443:D11612)*10, 1, 1)/10
  )
)+4)"),45790.0)</f>
        <v>45790</v>
      </c>
      <c r="E483" s="66">
        <v>2.0</v>
      </c>
      <c r="F483" s="66" t="str">
        <f>IFERROR(__xludf.DUMMYFUNCTION("GOOGLETRANSLATE(A483,""en"",""pt"")"),"cabana")</f>
        <v>cabana</v>
      </c>
      <c r="G483" s="69"/>
    </row>
    <row r="484" ht="22.5" customHeight="1">
      <c r="A484" s="70" t="s">
        <v>757</v>
      </c>
      <c r="B484" s="67" t="str">
        <f t="shared" si="3"/>
        <v>M: Little</v>
      </c>
      <c r="C484" s="68"/>
      <c r="D484" s="68">
        <f>IFERROR(__xludf.DUMMYFUNCTION("ARRAYFORMULA(
  INDEX(
    UNIQUE(FILTER(D444:D11612, D444:D11612&lt;&gt;"""")),
    CEILING.MATH(SEQUENCE(COUNTUNIQUE(D444:D11612)*10, 1, 1)/10
  )
)+4)"),45790.0)</f>
        <v>45790</v>
      </c>
      <c r="E484" s="66">
        <v>3.0</v>
      </c>
      <c r="F484" s="66" t="str">
        <f>IFERROR(__xludf.DUMMYFUNCTION("GOOGLETRANSLATE(A484,""en"",""pt"")"),"aluguel")</f>
        <v>aluguel</v>
      </c>
      <c r="G484" s="69"/>
    </row>
    <row r="485" ht="22.5" customHeight="1">
      <c r="A485" s="70" t="s">
        <v>758</v>
      </c>
      <c r="B485" s="67" t="str">
        <f t="shared" si="3"/>
        <v>M: both</v>
      </c>
      <c r="C485" s="68"/>
      <c r="D485" s="68">
        <f>IFERROR(__xludf.DUMMYFUNCTION("ARRAYFORMULA(
  INDEX(
    UNIQUE(FILTER(D445:D11612, D445:D11612&lt;&gt;"""")),
    CEILING.MATH(SEQUENCE(COUNTUNIQUE(D445:D11612)*10, 1, 1)/10
  )
)+4)"),45790.0)</f>
        <v>45790</v>
      </c>
      <c r="E485" s="66">
        <v>4.0</v>
      </c>
      <c r="F485" s="66" t="str">
        <f>IFERROR(__xludf.DUMMYFUNCTION("GOOGLETRANSLATE(A485,""en"",""pt"")"),"escolhido")</f>
        <v>escolhido</v>
      </c>
      <c r="G485" s="69"/>
    </row>
    <row r="486" ht="22.5" customHeight="1">
      <c r="A486" s="70" t="s">
        <v>759</v>
      </c>
      <c r="B486" s="67" t="str">
        <f t="shared" si="3"/>
        <v>M: Another</v>
      </c>
      <c r="C486" s="68"/>
      <c r="D486" s="68">
        <f>IFERROR(__xludf.DUMMYFUNCTION("ARRAYFORMULA(
  INDEX(
    UNIQUE(FILTER(D446:D11612, D446:D11612&lt;&gt;"""")),
    CEILING.MATH(SEQUENCE(COUNTUNIQUE(D446:D11612)*10, 1, 1)/10
  )
)+4)"),45790.0)</f>
        <v>45790</v>
      </c>
      <c r="E486" s="66">
        <v>5.0</v>
      </c>
      <c r="F486" s="66" t="str">
        <f>IFERROR(__xludf.DUMMYFUNCTION("GOOGLETRANSLATE(A486,""en"",""pt"")"),"celeiro")</f>
        <v>celeiro</v>
      </c>
      <c r="G486" s="69"/>
    </row>
    <row r="487" ht="22.5" customHeight="1">
      <c r="A487" s="70" t="s">
        <v>760</v>
      </c>
      <c r="B487" s="67" t="str">
        <f t="shared" si="3"/>
        <v>M: Such</v>
      </c>
      <c r="C487" s="66">
        <v>1.0</v>
      </c>
      <c r="D487" s="68">
        <f>IFERROR(__xludf.DUMMYFUNCTION("ARRAYFORMULA(
  INDEX(
    UNIQUE(FILTER(D447:D11612, D447:D11612&lt;&gt;"""")),
    CEILING.MATH(SEQUENCE(COUNTUNIQUE(D447:D11612)*10, 1, 1)/10
  )
)+4)"),45790.0)</f>
        <v>45790</v>
      </c>
      <c r="E487" s="66">
        <v>6.0</v>
      </c>
      <c r="F487" s="71" t="s">
        <v>761</v>
      </c>
      <c r="G487" s="66" t="s">
        <v>247</v>
      </c>
    </row>
    <row r="488" ht="22.5" customHeight="1">
      <c r="A488" s="70" t="s">
        <v>614</v>
      </c>
      <c r="B488" s="67" t="str">
        <f t="shared" si="3"/>
        <v>M: Same</v>
      </c>
      <c r="C488" s="68"/>
      <c r="D488" s="68">
        <f>IFERROR(__xludf.DUMMYFUNCTION("ARRAYFORMULA(
  INDEX(
    UNIQUE(FILTER(D448:D11612, D448:D11612&lt;&gt;"""")),
    CEILING.MATH(SEQUENCE(COUNTUNIQUE(D448:D11612)*10, 1, 1)/10
  )
)+4)"),45790.0)</f>
        <v>45790</v>
      </c>
      <c r="E488" s="66">
        <v>7.0</v>
      </c>
      <c r="F488" s="66" t="str">
        <f>IFERROR(__xludf.DUMMYFUNCTION("GOOGLETRANSLATE(A488,""en"",""pt"")"),"havia")</f>
        <v>havia</v>
      </c>
      <c r="G488" s="69"/>
    </row>
    <row r="489" ht="22.5" customHeight="1">
      <c r="A489" s="70" t="s">
        <v>762</v>
      </c>
      <c r="B489" s="67" t="str">
        <f t="shared" ref="B489:B495" si="4">CONCATENATE("M: ",#REF!)</f>
        <v>#REF!</v>
      </c>
      <c r="C489" s="68"/>
      <c r="D489" s="68">
        <f>IFERROR(__xludf.DUMMYFUNCTION("ARRAYFORMULA(
  INDEX(
    UNIQUE(FILTER(D449:D11612, D449:D11612&lt;&gt;"""")),
    CEILING.MATH(SEQUENCE(COUNTUNIQUE(D449:D11612)*10, 1, 1)/10
  )
)+4)"),45790.0)</f>
        <v>45790</v>
      </c>
      <c r="E489" s="66">
        <v>8.0</v>
      </c>
      <c r="F489" s="66" t="str">
        <f>IFERROR(__xludf.DUMMYFUNCTION("GOOGLETRANSLATE(A489,""en"",""pt"")"),"torcendo as mãos")</f>
        <v>torcendo as mãos</v>
      </c>
      <c r="G489" s="69"/>
    </row>
    <row r="490" ht="22.5" customHeight="1">
      <c r="A490" s="70" t="s">
        <v>763</v>
      </c>
      <c r="B490" s="67" t="str">
        <f t="shared" si="4"/>
        <v>#REF!</v>
      </c>
      <c r="C490" s="68"/>
      <c r="D490" s="68">
        <f>IFERROR(__xludf.DUMMYFUNCTION("ARRAYFORMULA(
  INDEX(
    UNIQUE(FILTER(D450:D11612, D450:D11612&lt;&gt;"""")),
    CEILING.MATH(SEQUENCE(COUNTUNIQUE(D450:D11612)*10, 1, 1)/10
  )
)+4)"),45790.0)</f>
        <v>45790</v>
      </c>
      <c r="E490" s="66">
        <v>9.0</v>
      </c>
      <c r="F490" s="66" t="str">
        <f>IFERROR(__xludf.DUMMYFUNCTION("GOOGLETRANSLATE(A490,""en"",""pt"")"),"Entre")</f>
        <v>Entre</v>
      </c>
      <c r="G490" s="69"/>
    </row>
    <row r="491" ht="22.5" customHeight="1">
      <c r="A491" s="70" t="s">
        <v>764</v>
      </c>
      <c r="B491" s="67" t="str">
        <f t="shared" si="4"/>
        <v>#REF!</v>
      </c>
      <c r="C491" s="68"/>
      <c r="D491" s="68">
        <f>IFERROR(__xludf.DUMMYFUNCTION("ARRAYFORMULA(
  INDEX(
    UNIQUE(FILTER(D451:D11612, D451:D11612&lt;&gt;"""")),
    CEILING.MATH(SEQUENCE(COUNTUNIQUE(D451:D11612)*10, 1, 1)/10
  )
)+4)"),45790.0)</f>
        <v>45790</v>
      </c>
      <c r="E491" s="66">
        <v>10.0</v>
      </c>
      <c r="F491" s="66" t="str">
        <f>IFERROR(__xludf.DUMMYFUNCTION("GOOGLETRANSLATE(A491,""en"",""pt"")"),"mantido")</f>
        <v>mantido</v>
      </c>
      <c r="G491" s="69"/>
    </row>
    <row r="492" ht="22.5" customHeight="1">
      <c r="A492" s="70" t="s">
        <v>765</v>
      </c>
      <c r="B492" s="67" t="str">
        <f t="shared" si="4"/>
        <v>#REF!</v>
      </c>
      <c r="C492" s="68"/>
      <c r="D492" s="68">
        <f>IFERROR(__xludf.DUMMYFUNCTION("ARRAYFORMULA(
  INDEX(
    UNIQUE(FILTER(D452:D11612, D452:D11612&lt;&gt;"""")),
    CEILING.MATH(SEQUENCE(COUNTUNIQUE(D452:D11612)*10, 1, 1)/10
  )
)+4)"),45791.0)</f>
        <v>45791</v>
      </c>
      <c r="E492" s="66">
        <v>1.0</v>
      </c>
      <c r="F492" s="66" t="str">
        <f>IFERROR(__xludf.DUMMYFUNCTION("GOOGLETRANSLATE(A492,""en"",""pt"")"),"lamentar")</f>
        <v>lamentar</v>
      </c>
      <c r="G492" s="69"/>
    </row>
    <row r="493" ht="22.5" customHeight="1">
      <c r="A493" s="70" t="s">
        <v>766</v>
      </c>
      <c r="B493" s="67" t="str">
        <f t="shared" si="4"/>
        <v>#REF!</v>
      </c>
      <c r="C493" s="66">
        <v>1.0</v>
      </c>
      <c r="D493" s="68">
        <f>IFERROR(__xludf.DUMMYFUNCTION("ARRAYFORMULA(
  INDEX(
    UNIQUE(FILTER(D453:D11612, D453:D11612&lt;&gt;"""")),
    CEILING.MATH(SEQUENCE(COUNTUNIQUE(D453:D11612)*10, 1, 1)/10
  )
)+4)"),45791.0)</f>
        <v>45791</v>
      </c>
      <c r="E493" s="66">
        <v>2.0</v>
      </c>
      <c r="F493" s="66" t="str">
        <f>IFERROR(__xludf.DUMMYFUNCTION("GOOGLETRANSLATE(A493,""en"",""pt"")"),"ai")</f>
        <v>ai</v>
      </c>
      <c r="G493" s="66" t="s">
        <v>247</v>
      </c>
    </row>
    <row r="494" ht="22.5" customHeight="1">
      <c r="A494" s="70" t="s">
        <v>767</v>
      </c>
      <c r="B494" s="67" t="str">
        <f t="shared" si="4"/>
        <v>#REF!</v>
      </c>
      <c r="C494" s="66">
        <v>1.0</v>
      </c>
      <c r="D494" s="68">
        <f>IFERROR(__xludf.DUMMYFUNCTION("ARRAYFORMULA(
  INDEX(
    UNIQUE(FILTER(D454:D11612, D454:D11612&lt;&gt;"""")),
    CEILING.MATH(SEQUENCE(COUNTUNIQUE(D454:D11612)*10, 1, 1)/10
  )
)+4)"),45791.0)</f>
        <v>45791</v>
      </c>
      <c r="E494" s="66">
        <v>3.0</v>
      </c>
      <c r="F494" s="71" t="s">
        <v>768</v>
      </c>
      <c r="G494" s="66" t="s">
        <v>247</v>
      </c>
    </row>
    <row r="495" ht="22.5" customHeight="1">
      <c r="A495" s="70" t="s">
        <v>769</v>
      </c>
      <c r="B495" s="67" t="str">
        <f t="shared" si="4"/>
        <v>#REF!</v>
      </c>
      <c r="C495" s="66">
        <v>1.0</v>
      </c>
      <c r="D495" s="68">
        <f>IFERROR(__xludf.DUMMYFUNCTION("ARRAYFORMULA(
  INDEX(
    UNIQUE(FILTER(D455:D11612, D455:D11612&lt;&gt;"""")),
    CEILING.MATH(SEQUENCE(COUNTUNIQUE(D455:D11612)*10, 1, 1)/10
  )
)+4)"),45791.0)</f>
        <v>45791</v>
      </c>
      <c r="E495" s="66">
        <v>4.0</v>
      </c>
      <c r="F495" s="71" t="s">
        <v>770</v>
      </c>
      <c r="G495" s="66" t="s">
        <v>247</v>
      </c>
    </row>
    <row r="496" ht="22.5" customHeight="1">
      <c r="A496" s="66" t="s">
        <v>771</v>
      </c>
      <c r="B496" s="67" t="str">
        <f t="shared" ref="B496:B499" si="5">CONCATENATE("M: ",A496)</f>
        <v>M: take comfort</v>
      </c>
      <c r="C496" s="68"/>
      <c r="D496" s="68">
        <f>IFERROR(__xludf.DUMMYFUNCTION("ARRAYFORMULA(
  INDEX(
    UNIQUE(FILTER(D456:D11612, D456:D11612&lt;&gt;"""")),
    CEILING.MATH(SEQUENCE(COUNTUNIQUE(D456:D11612)*10, 1, 1)/10
  )
)+4)"),45791.0)</f>
        <v>45791</v>
      </c>
      <c r="E496" s="66">
        <v>5.0</v>
      </c>
      <c r="F496" s="66" t="str">
        <f>IFERROR(__xludf.DUMMYFUNCTION("GOOGLETRANSLATE(A496,""en"",""pt"")"),"encontre conforto")</f>
        <v>encontre conforto</v>
      </c>
      <c r="G496" s="69"/>
    </row>
    <row r="497" ht="22.5" customHeight="1">
      <c r="A497" s="66" t="s">
        <v>772</v>
      </c>
      <c r="B497" s="67" t="str">
        <f t="shared" si="5"/>
        <v>M: peat</v>
      </c>
      <c r="C497" s="68"/>
      <c r="D497" s="68">
        <f>IFERROR(__xludf.DUMMYFUNCTION("ARRAYFORMULA(
  INDEX(
    UNIQUE(FILTER(D457:D11612, D457:D11612&lt;&gt;"""")),
    CEILING.MATH(SEQUENCE(COUNTUNIQUE(D457:D11612)*10, 1, 1)/10
  )
)+4)"),45791.0)</f>
        <v>45791</v>
      </c>
      <c r="E497" s="66">
        <v>6.0</v>
      </c>
      <c r="F497" s="66" t="str">
        <f>IFERROR(__xludf.DUMMYFUNCTION("GOOGLETRANSLATE(A497,""en"",""pt"")"),"turfa")</f>
        <v>turfa</v>
      </c>
      <c r="G497" s="69"/>
    </row>
    <row r="498" ht="22.5" customHeight="1">
      <c r="A498" s="66" t="s">
        <v>773</v>
      </c>
      <c r="B498" s="67" t="str">
        <f t="shared" si="5"/>
        <v>M: heap</v>
      </c>
      <c r="C498" s="68"/>
      <c r="D498" s="68">
        <f>IFERROR(__xludf.DUMMYFUNCTION("ARRAYFORMULA(
  INDEX(
    UNIQUE(FILTER(D458:D11612, D458:D11612&lt;&gt;"""")),
    CEILING.MATH(SEQUENCE(COUNTUNIQUE(D458:D11612)*10, 1, 1)/10
  )
)+4)"),45791.0)</f>
        <v>45791</v>
      </c>
      <c r="E498" s="66">
        <v>7.0</v>
      </c>
      <c r="F498" s="66" t="str">
        <f>IFERROR(__xludf.DUMMYFUNCTION("GOOGLETRANSLATE(A498,""en"",""pt"")"),"monte")</f>
        <v>monte</v>
      </c>
      <c r="G498" s="69"/>
    </row>
    <row r="499" ht="22.5" customHeight="1">
      <c r="A499" s="66" t="s">
        <v>774</v>
      </c>
      <c r="B499" s="67" t="str">
        <f t="shared" si="5"/>
        <v>M: glanced</v>
      </c>
      <c r="C499" s="68"/>
      <c r="D499" s="68">
        <f>IFERROR(__xludf.DUMMYFUNCTION("ARRAYFORMULA(
  INDEX(
    UNIQUE(FILTER(D459:D11612, D459:D11612&lt;&gt;"""")),
    CEILING.MATH(SEQUENCE(COUNTUNIQUE(D459:D11612)*10, 1, 1)/10
  )
)+4)"),45791.0)</f>
        <v>45791</v>
      </c>
      <c r="E499" s="66">
        <v>8.0</v>
      </c>
      <c r="F499" s="66" t="str">
        <f>IFERROR(__xludf.DUMMYFUNCTION("GOOGLETRANSLATE(A499,""en"",""pt"")"),"olhou de relance")</f>
        <v>olhou de relance</v>
      </c>
      <c r="G499" s="69"/>
    </row>
    <row r="500" ht="22.5" customHeight="1">
      <c r="A500" s="70" t="s">
        <v>775</v>
      </c>
      <c r="B500" s="67" t="str">
        <f t="shared" ref="B500:B501" si="6">CONCATENATE("M: ",#REF!)</f>
        <v>#REF!</v>
      </c>
      <c r="C500" s="68"/>
      <c r="D500" s="68">
        <f>IFERROR(__xludf.DUMMYFUNCTION("ARRAYFORMULA(
  INDEX(
    UNIQUE(FILTER(D460:D11612, D460:D11612&lt;&gt;"""")),
    CEILING.MATH(SEQUENCE(COUNTUNIQUE(D460:D11612)*10, 1, 1)/10
  )
)+4)"),45791.0)</f>
        <v>45791</v>
      </c>
      <c r="E500" s="66">
        <v>9.0</v>
      </c>
      <c r="F500" s="66" t="str">
        <f>IFERROR(__xludf.DUMMYFUNCTION("GOOGLETRANSLATE(A500,""en"",""pt"")"),"picou")</f>
        <v>picou</v>
      </c>
      <c r="G500" s="69"/>
    </row>
    <row r="501" ht="22.5" customHeight="1">
      <c r="A501" s="70" t="s">
        <v>776</v>
      </c>
      <c r="B501" s="67" t="str">
        <f t="shared" si="6"/>
        <v>#REF!</v>
      </c>
      <c r="C501" s="68"/>
      <c r="D501" s="68">
        <f>IFERROR(__xludf.DUMMYFUNCTION("ARRAYFORMULA(
  INDEX(
    UNIQUE(FILTER(D461:D11612, D461:D11612&lt;&gt;"""")),
    CEILING.MATH(SEQUENCE(COUNTUNIQUE(D461:D11612)*10, 1, 1)/10
  )
)+4)"),45791.0)</f>
        <v>45791</v>
      </c>
      <c r="E501" s="66">
        <v>10.0</v>
      </c>
      <c r="F501" s="66" t="str">
        <f>IFERROR(__xludf.DUMMYFUNCTION("GOOGLETRANSLATE(A501,""en"",""pt"")"),"babados")</f>
        <v>babados</v>
      </c>
      <c r="G501" s="69"/>
    </row>
    <row r="502" ht="22.5" customHeight="1">
      <c r="A502" s="66" t="s">
        <v>777</v>
      </c>
      <c r="B502" s="67" t="str">
        <f t="shared" ref="B502:B541" si="7">CONCATENATE("M: ",A502)</f>
        <v>M: burglars</v>
      </c>
      <c r="C502" s="68"/>
      <c r="D502" s="68">
        <f>IFERROR(__xludf.DUMMYFUNCTION("ARRAYFORMULA(
  INDEX(
    UNIQUE(FILTER(D462:D11612, D462:D11612&lt;&gt;"""")),
    CEILING.MATH(SEQUENCE(COUNTUNIQUE(D462:D11612)*10, 1, 1)/10
  )
)+4)"),45792.0)</f>
        <v>45792</v>
      </c>
      <c r="E502" s="66">
        <v>1.0</v>
      </c>
      <c r="F502" s="66" t="str">
        <f>IFERROR(__xludf.DUMMYFUNCTION("GOOGLETRANSLATE(A502,""en"",""pt"")"),"ladrões")</f>
        <v>ladrões</v>
      </c>
      <c r="G502" s="69"/>
    </row>
    <row r="503" ht="22.5" customHeight="1">
      <c r="A503" s="67" t="s">
        <v>778</v>
      </c>
      <c r="B503" s="67" t="str">
        <f t="shared" si="7"/>
        <v>M: asleep</v>
      </c>
      <c r="C503" s="68"/>
      <c r="D503" s="68">
        <f>IFERROR(__xludf.DUMMYFUNCTION("ARRAYFORMULA(
  INDEX(
    UNIQUE(FILTER(D463:D11612, D463:D11612&lt;&gt;"""")),
    CEILING.MATH(SEQUENCE(COUNTUNIQUE(D463:D11612)*10, 1, 1)/10
  )
)+4)"),45792.0)</f>
        <v>45792</v>
      </c>
      <c r="E503" s="66">
        <v>2.0</v>
      </c>
      <c r="F503" s="66" t="str">
        <f>IFERROR(__xludf.DUMMYFUNCTION("GOOGLETRANSLATE(A503,""en"",""pt"")"),"dormindo")</f>
        <v>dormindo</v>
      </c>
      <c r="G503" s="69"/>
    </row>
    <row r="504" ht="22.5" customHeight="1">
      <c r="A504" s="67" t="s">
        <v>779</v>
      </c>
      <c r="B504" s="67" t="str">
        <f t="shared" si="7"/>
        <v>M: which is</v>
      </c>
      <c r="C504" s="68"/>
      <c r="D504" s="68">
        <f>IFERROR(__xludf.DUMMYFUNCTION("ARRAYFORMULA(
  INDEX(
    UNIQUE(FILTER(D464:D11612, D464:D11612&lt;&gt;"""")),
    CEILING.MATH(SEQUENCE(COUNTUNIQUE(D464:D11612)*10, 1, 1)/10
  )
)+4)"),45792.0)</f>
        <v>45792</v>
      </c>
      <c r="E504" s="66">
        <v>3.0</v>
      </c>
      <c r="F504" s="66" t="str">
        <f>IFERROR(__xludf.DUMMYFUNCTION("GOOGLETRANSLATE(A504,""en"",""pt"")"),"que é")</f>
        <v>que é</v>
      </c>
      <c r="G504" s="69"/>
    </row>
    <row r="505" ht="22.5" customHeight="1">
      <c r="A505" s="67" t="s">
        <v>780</v>
      </c>
      <c r="B505" s="67" t="str">
        <f t="shared" si="7"/>
        <v>M: shires</v>
      </c>
      <c r="C505" s="66">
        <v>1.0</v>
      </c>
      <c r="D505" s="68">
        <f>IFERROR(__xludf.DUMMYFUNCTION("ARRAYFORMULA(
  INDEX(
    UNIQUE(FILTER(D465:D11612, D465:D11612&lt;&gt;"""")),
    CEILING.MATH(SEQUENCE(COUNTUNIQUE(D465:D11612)*10, 1, 1)/10
  )
)+4)"),45792.0)</f>
        <v>45792</v>
      </c>
      <c r="E505" s="66">
        <v>4.0</v>
      </c>
      <c r="F505" s="66" t="s">
        <v>781</v>
      </c>
      <c r="G505" s="69"/>
    </row>
    <row r="506" ht="22.5" customHeight="1">
      <c r="A506" s="67" t="s">
        <v>782</v>
      </c>
      <c r="B506" s="67" t="str">
        <f t="shared" si="7"/>
        <v>M: Welsh</v>
      </c>
      <c r="C506" s="68"/>
      <c r="D506" s="68">
        <f>IFERROR(__xludf.DUMMYFUNCTION("ARRAYFORMULA(
  INDEX(
    UNIQUE(FILTER(D466:D11612, D466:D11612&lt;&gt;"""")),
    CEILING.MATH(SEQUENCE(COUNTUNIQUE(D466:D11612)*10, 1, 1)/10
  )
)+4)"),45792.0)</f>
        <v>45792</v>
      </c>
      <c r="E506" s="66">
        <v>5.0</v>
      </c>
      <c r="F506" s="66" t="str">
        <f>IFERROR(__xludf.DUMMYFUNCTION("GOOGLETRANSLATE(A506,""en"",""pt"")"),"galês")</f>
        <v>galês</v>
      </c>
      <c r="G506" s="69"/>
    </row>
    <row r="507" ht="22.5" customHeight="1">
      <c r="A507" s="66" t="s">
        <v>783</v>
      </c>
      <c r="B507" s="67" t="str">
        <f t="shared" si="7"/>
        <v>M: upon</v>
      </c>
      <c r="C507" s="68"/>
      <c r="D507" s="68">
        <f>IFERROR(__xludf.DUMMYFUNCTION("ARRAYFORMULA(
  INDEX(
    UNIQUE(FILTER(D467:D11612, D467:D11612&lt;&gt;"""")),
    CEILING.MATH(SEQUENCE(COUNTUNIQUE(D467:D11612)*10, 1, 1)/10
  )
)+4)"),45792.0)</f>
        <v>45792</v>
      </c>
      <c r="E507" s="66">
        <v>6.0</v>
      </c>
      <c r="F507" s="66" t="str">
        <f>IFERROR(__xludf.DUMMYFUNCTION("GOOGLETRANSLATE(A507,""en"",""pt"")"),"sobre")</f>
        <v>sobre</v>
      </c>
      <c r="G507" s="69"/>
    </row>
    <row r="508" ht="22.5" customHeight="1">
      <c r="A508" s="67" t="s">
        <v>784</v>
      </c>
      <c r="B508" s="67" t="str">
        <f t="shared" si="7"/>
        <v>M: had been killed</v>
      </c>
      <c r="C508" s="68"/>
      <c r="D508" s="68">
        <f>IFERROR(__xludf.DUMMYFUNCTION("ARRAYFORMULA(
  INDEX(
    UNIQUE(FILTER(D468:D11612, D468:D11612&lt;&gt;"""")),
    CEILING.MATH(SEQUENCE(COUNTUNIQUE(D468:D11612)*10, 1, 1)/10
  )
)+4)"),45792.0)</f>
        <v>45792</v>
      </c>
      <c r="E508" s="66">
        <v>7.0</v>
      </c>
      <c r="F508" s="66" t="str">
        <f>IFERROR(__xludf.DUMMYFUNCTION("GOOGLETRANSLATE(A508,""en"",""pt"")"),"tinha sido morto")</f>
        <v>tinha sido morto</v>
      </c>
      <c r="G508" s="69"/>
    </row>
    <row r="509" ht="22.5" customHeight="1">
      <c r="A509" s="67" t="s">
        <v>785</v>
      </c>
      <c r="B509" s="67" t="str">
        <f t="shared" si="7"/>
        <v>M: cradle</v>
      </c>
      <c r="C509" s="68"/>
      <c r="D509" s="68">
        <f>IFERROR(__xludf.DUMMYFUNCTION("ARRAYFORMULA(
  INDEX(
    UNIQUE(FILTER(D469:D11612, D469:D11612&lt;&gt;"""")),
    CEILING.MATH(SEQUENCE(COUNTUNIQUE(D469:D11612)*10, 1, 1)/10
  )
)+4)"),45792.0)</f>
        <v>45792</v>
      </c>
      <c r="E509" s="66">
        <v>8.0</v>
      </c>
      <c r="F509" s="66" t="str">
        <f>IFERROR(__xludf.DUMMYFUNCTION("GOOGLETRANSLATE(A509,""en"",""pt"")"),"berço")</f>
        <v>berço</v>
      </c>
      <c r="G509" s="69"/>
    </row>
    <row r="510" ht="22.5" customHeight="1">
      <c r="A510" s="67" t="s">
        <v>786</v>
      </c>
      <c r="B510" s="67" t="str">
        <f t="shared" si="7"/>
        <v>M: shed</v>
      </c>
      <c r="C510" s="66">
        <v>1.0</v>
      </c>
      <c r="D510" s="68">
        <f>IFERROR(__xludf.DUMMYFUNCTION("ARRAYFORMULA(
  INDEX(
    UNIQUE(FILTER(D470:D11612, D470:D11612&lt;&gt;"""")),
    CEILING.MATH(SEQUENCE(COUNTUNIQUE(D470:D11612)*10, 1, 1)/10
  )
)+4)"),45792.0)</f>
        <v>45792</v>
      </c>
      <c r="E510" s="66">
        <v>9.0</v>
      </c>
      <c r="F510" s="71" t="s">
        <v>787</v>
      </c>
      <c r="G510" s="66" t="s">
        <v>247</v>
      </c>
    </row>
    <row r="511" ht="22.5" customHeight="1">
      <c r="A511" s="66" t="s">
        <v>788</v>
      </c>
      <c r="B511" s="67" t="str">
        <f t="shared" si="7"/>
        <v>M: neither</v>
      </c>
      <c r="C511" s="68"/>
      <c r="D511" s="68">
        <f>IFERROR(__xludf.DUMMYFUNCTION("ARRAYFORMULA(
  INDEX(
    UNIQUE(FILTER(D471:D11612, D471:D11612&lt;&gt;"""")),
    CEILING.MATH(SEQUENCE(COUNTUNIQUE(D471:D11612)*10, 1, 1)/10
  )
)+4)"),45792.0)</f>
        <v>45792</v>
      </c>
      <c r="E511" s="66">
        <v>10.0</v>
      </c>
      <c r="F511" s="66" t="str">
        <f>IFERROR(__xludf.DUMMYFUNCTION("GOOGLETRANSLATE(A511,""en"",""pt"")"),"nenhum")</f>
        <v>nenhum</v>
      </c>
      <c r="G511" s="69"/>
    </row>
    <row r="512" ht="22.5" customHeight="1">
      <c r="A512" s="66" t="s">
        <v>789</v>
      </c>
      <c r="B512" s="67" t="str">
        <f t="shared" si="7"/>
        <v>M: wondered</v>
      </c>
      <c r="C512" s="66">
        <v>1.0</v>
      </c>
      <c r="D512" s="68">
        <f>IFERROR(__xludf.DUMMYFUNCTION("ARRAYFORMULA(
  INDEX(
    UNIQUE(FILTER(D472:D11612, D472:D11612&lt;&gt;"""")),
    CEILING.MATH(SEQUENCE(COUNTUNIQUE(D472:D11612)*10, 1, 1)/10
  )
)+4)"),45793.0)</f>
        <v>45793</v>
      </c>
      <c r="E512" s="66">
        <v>1.0</v>
      </c>
      <c r="F512" s="66" t="s">
        <v>790</v>
      </c>
      <c r="G512" s="66" t="s">
        <v>247</v>
      </c>
    </row>
    <row r="513" ht="22.5" customHeight="1">
      <c r="A513" s="66" t="s">
        <v>791</v>
      </c>
      <c r="B513" s="67" t="str">
        <f t="shared" si="7"/>
        <v>M: laughing at herself</v>
      </c>
      <c r="C513" s="68"/>
      <c r="D513" s="68">
        <f>IFERROR(__xludf.DUMMYFUNCTION("ARRAYFORMULA(
  INDEX(
    UNIQUE(FILTER(D473:D11612, D473:D11612&lt;&gt;"""")),
    CEILING.MATH(SEQUENCE(COUNTUNIQUE(D473:D11612)*10, 1, 1)/10
  )
)+4)"),45793.0)</f>
        <v>45793</v>
      </c>
      <c r="E513" s="66">
        <v>2.0</v>
      </c>
      <c r="F513" s="66" t="str">
        <f>IFERROR(__xludf.DUMMYFUNCTION("GOOGLETRANSLATE(A513,""en"",""pt"")"),"rindo de si mesma")</f>
        <v>rindo de si mesma</v>
      </c>
      <c r="G513" s="69"/>
    </row>
    <row r="514" ht="22.5" customHeight="1">
      <c r="A514" s="66" t="s">
        <v>792</v>
      </c>
      <c r="B514" s="67" t="str">
        <f t="shared" si="7"/>
        <v>M: what there was in it</v>
      </c>
      <c r="C514" s="68"/>
      <c r="D514" s="68">
        <f>IFERROR(__xludf.DUMMYFUNCTION("ARRAYFORMULA(
  INDEX(
    UNIQUE(FILTER(D474:D11612, D474:D11612&lt;&gt;"""")),
    CEILING.MATH(SEQUENCE(COUNTUNIQUE(D474:D11612)*10, 1, 1)/10
  )
)+4)"),45793.0)</f>
        <v>45793</v>
      </c>
      <c r="E514" s="66">
        <v>3.0</v>
      </c>
      <c r="F514" s="66" t="str">
        <f>IFERROR(__xludf.DUMMYFUNCTION("GOOGLETRANSLATE(A514,""en"",""pt"")"),"o que havia dentro")</f>
        <v>o que havia dentro</v>
      </c>
      <c r="G514" s="69"/>
    </row>
    <row r="515" ht="22.5" customHeight="1">
      <c r="A515" s="66" t="s">
        <v>793</v>
      </c>
      <c r="B515" s="67" t="str">
        <f t="shared" si="7"/>
        <v>M: cheerfully</v>
      </c>
      <c r="C515" s="68"/>
      <c r="D515" s="68">
        <f>IFERROR(__xludf.DUMMYFUNCTION("ARRAYFORMULA(
  INDEX(
    UNIQUE(FILTER(D475:D11612, D475:D11612&lt;&gt;"""")),
    CEILING.MATH(SEQUENCE(COUNTUNIQUE(D475:D11612)*10, 1, 1)/10
  )
)+4)"),45793.0)</f>
        <v>45793</v>
      </c>
      <c r="E515" s="66">
        <v>4.0</v>
      </c>
      <c r="F515" s="66" t="str">
        <f>IFERROR(__xludf.DUMMYFUNCTION("GOOGLETRANSLATE(A515,""en"",""pt"")"),"alegremente")</f>
        <v>alegremente</v>
      </c>
      <c r="G515" s="69"/>
    </row>
    <row r="516" ht="22.5" customHeight="1">
      <c r="A516" s="66" t="s">
        <v>794</v>
      </c>
      <c r="B516" s="67" t="str">
        <f t="shared" si="7"/>
        <v>M: got hold of</v>
      </c>
      <c r="C516" s="68"/>
      <c r="D516" s="68">
        <f>IFERROR(__xludf.DUMMYFUNCTION("ARRAYFORMULA(
  INDEX(
    UNIQUE(FILTER(D476:D11612, D476:D11612&lt;&gt;"""")),
    CEILING.MATH(SEQUENCE(COUNTUNIQUE(D476:D11612)*10, 1, 1)/10
  )
)+4)"),45793.0)</f>
        <v>45793</v>
      </c>
      <c r="E516" s="66">
        <v>5.0</v>
      </c>
      <c r="F516" s="66" t="str">
        <f>IFERROR(__xludf.DUMMYFUNCTION("GOOGLETRANSLATE(A516,""en"",""pt"")"),"conseguiu se apoderar de")</f>
        <v>conseguiu se apoderar de</v>
      </c>
      <c r="G516" s="69"/>
    </row>
    <row r="517" ht="22.5" customHeight="1">
      <c r="A517" s="66" t="s">
        <v>795</v>
      </c>
      <c r="B517" s="67" t="str">
        <f t="shared" si="7"/>
        <v>M: begged</v>
      </c>
      <c r="C517" s="68"/>
      <c r="D517" s="68">
        <f>IFERROR(__xludf.DUMMYFUNCTION("ARRAYFORMULA(
  INDEX(
    UNIQUE(FILTER(D477:D11612, D477:D11612&lt;&gt;"""")),
    CEILING.MATH(SEQUENCE(COUNTUNIQUE(D477:D11612)*10, 1, 1)/10
  )
)+4)"),45793.0)</f>
        <v>45793</v>
      </c>
      <c r="E517" s="66">
        <v>6.0</v>
      </c>
      <c r="F517" s="66" t="str">
        <f>IFERROR(__xludf.DUMMYFUNCTION("GOOGLETRANSLATE(A517,""en"",""pt"")"),"implorou")</f>
        <v>implorou</v>
      </c>
      <c r="G517" s="69"/>
    </row>
    <row r="518" ht="22.5" customHeight="1">
      <c r="A518" s="66" t="s">
        <v>796</v>
      </c>
      <c r="B518" s="67" t="str">
        <f t="shared" si="7"/>
        <v>M: piteously</v>
      </c>
      <c r="C518" s="68"/>
      <c r="D518" s="68">
        <f>IFERROR(__xludf.DUMMYFUNCTION("ARRAYFORMULA(
  INDEX(
    UNIQUE(FILTER(D478:D11612, D478:D11612&lt;&gt;"""")),
    CEILING.MATH(SEQUENCE(COUNTUNIQUE(D478:D11612)*10, 1, 1)/10
  )
)+4)"),45793.0)</f>
        <v>45793</v>
      </c>
      <c r="E518" s="66">
        <v>7.0</v>
      </c>
      <c r="F518" s="66" t="str">
        <f>IFERROR(__xludf.DUMMYFUNCTION("GOOGLETRANSLATE(A518,""en"",""pt"")"),"lamentavelmente")</f>
        <v>lamentavelmente</v>
      </c>
      <c r="G518" s="69"/>
    </row>
    <row r="519" ht="22.5" customHeight="1">
      <c r="A519" s="66" t="s">
        <v>797</v>
      </c>
      <c r="B519" s="67" t="str">
        <f t="shared" si="7"/>
        <v>M: cloak</v>
      </c>
      <c r="C519" s="68"/>
      <c r="D519" s="68">
        <f>IFERROR(__xludf.DUMMYFUNCTION("ARRAYFORMULA(
  INDEX(
    UNIQUE(FILTER(D479:D11612, D479:D11612&lt;&gt;"""")),
    CEILING.MATH(SEQUENCE(COUNTUNIQUE(D479:D11612)*10, 1, 1)/10
  )
)+4)"),45793.0)</f>
        <v>45793</v>
      </c>
      <c r="E519" s="66">
        <v>8.0</v>
      </c>
      <c r="F519" s="66" t="str">
        <f>IFERROR(__xludf.DUMMYFUNCTION("GOOGLETRANSLATE(A519,""en"",""pt"")"),"capa")</f>
        <v>capa</v>
      </c>
      <c r="G519" s="69"/>
    </row>
    <row r="520" ht="22.5" customHeight="1">
      <c r="A520" s="66" t="s">
        <v>798</v>
      </c>
      <c r="B520" s="67" t="str">
        <f t="shared" si="7"/>
        <v>M: there were</v>
      </c>
      <c r="C520" s="68"/>
      <c r="D520" s="68">
        <f>IFERROR(__xludf.DUMMYFUNCTION("ARRAYFORMULA(
  INDEX(
    UNIQUE(FILTER(D480:D11612, D480:D11612&lt;&gt;"""")),
    CEILING.MATH(SEQUENCE(COUNTUNIQUE(D480:D11612)*10, 1, 1)/10
  )
)+4)"),45793.0)</f>
        <v>45793</v>
      </c>
      <c r="E520" s="66">
        <v>9.0</v>
      </c>
      <c r="F520" s="66" t="str">
        <f>IFERROR(__xludf.DUMMYFUNCTION("GOOGLETRANSLATE(A520,""en"",""pt"")"),"havia")</f>
        <v>havia</v>
      </c>
      <c r="G520" s="69"/>
    </row>
    <row r="521" ht="22.5" customHeight="1">
      <c r="A521" s="66" t="s">
        <v>799</v>
      </c>
      <c r="B521" s="67" t="str">
        <f t="shared" si="7"/>
        <v>M: she thought</v>
      </c>
      <c r="C521" s="66">
        <v>1.0</v>
      </c>
      <c r="D521" s="68">
        <f>IFERROR(__xludf.DUMMYFUNCTION("ARRAYFORMULA(
  INDEX(
    UNIQUE(FILTER(D481:D11612, D481:D11612&lt;&gt;"""")),
    CEILING.MATH(SEQUENCE(COUNTUNIQUE(D481:D11612)*10, 1, 1)/10
  )
)+4)"),45793.0)</f>
        <v>45793</v>
      </c>
      <c r="E521" s="66">
        <v>10.0</v>
      </c>
      <c r="F521" s="66" t="s">
        <v>800</v>
      </c>
      <c r="G521" s="66" t="s">
        <v>247</v>
      </c>
    </row>
    <row r="522" ht="22.5" customHeight="1">
      <c r="A522" s="66" t="s">
        <v>801</v>
      </c>
      <c r="B522" s="67" t="str">
        <f t="shared" si="7"/>
        <v>M: There are</v>
      </c>
      <c r="C522" s="68"/>
      <c r="D522" s="68">
        <f>IFERROR(__xludf.DUMMYFUNCTION("ARRAYFORMULA(
  INDEX(
    UNIQUE(FILTER(D482:D11612, D482:D11612&lt;&gt;"""")),
    CEILING.MATH(SEQUENCE(COUNTUNIQUE(D482:D11612)*10, 1, 1)/10
  )
)+4)"),45794.0)</f>
        <v>45794</v>
      </c>
      <c r="E522" s="66">
        <v>1.0</v>
      </c>
      <c r="F522" s="66" t="str">
        <f>IFERROR(__xludf.DUMMYFUNCTION("GOOGLETRANSLATE(A522,""en"",""pt"")"),"Há")</f>
        <v>Há</v>
      </c>
      <c r="G522" s="69"/>
    </row>
    <row r="523" ht="22.5" customHeight="1">
      <c r="A523" s="66" t="s">
        <v>802</v>
      </c>
      <c r="B523" s="67" t="str">
        <f t="shared" si="7"/>
        <v>M: cheer</v>
      </c>
      <c r="C523" s="68"/>
      <c r="D523" s="68">
        <f>IFERROR(__xludf.DUMMYFUNCTION("ARRAYFORMULA(
  INDEX(
    UNIQUE(FILTER(D483:D11612, D483:D11612&lt;&gt;"""")),
    CEILING.MATH(SEQUENCE(COUNTUNIQUE(D483:D11612)*10, 1, 1)/10
  )
)+4)"),45794.0)</f>
        <v>45794</v>
      </c>
      <c r="E523" s="66">
        <v>2.0</v>
      </c>
      <c r="F523" s="66" t="str">
        <f>IFERROR(__xludf.DUMMYFUNCTION("GOOGLETRANSLATE(A523,""en"",""pt"")"),"alegrar")</f>
        <v>alegrar</v>
      </c>
      <c r="G523" s="69"/>
    </row>
    <row r="524" ht="22.5" customHeight="1">
      <c r="A524" s="66" t="s">
        <v>803</v>
      </c>
      <c r="B524" s="67" t="str">
        <f t="shared" si="7"/>
        <v>M: eagerly</v>
      </c>
      <c r="C524" s="68"/>
      <c r="D524" s="68">
        <f>IFERROR(__xludf.DUMMYFUNCTION("ARRAYFORMULA(
  INDEX(
    UNIQUE(FILTER(D484:D11612, D484:D11612&lt;&gt;"""")),
    CEILING.MATH(SEQUENCE(COUNTUNIQUE(D484:D11612)*10, 1, 1)/10
  )
)+4)"),45794.0)</f>
        <v>45794</v>
      </c>
      <c r="E524" s="66">
        <v>3.0</v>
      </c>
      <c r="F524" s="66" t="str">
        <f>IFERROR(__xludf.DUMMYFUNCTION("GOOGLETRANSLATE(A524,""en"",""pt"")"),"ansiosamente")</f>
        <v>ansiosamente</v>
      </c>
      <c r="G524" s="69"/>
    </row>
    <row r="525" ht="22.5" customHeight="1">
      <c r="A525" s="66" t="s">
        <v>804</v>
      </c>
      <c r="B525" s="67" t="str">
        <f t="shared" si="7"/>
        <v>M: stated</v>
      </c>
      <c r="C525" s="68"/>
      <c r="D525" s="68">
        <f>IFERROR(__xludf.DUMMYFUNCTION("ARRAYFORMULA(
  INDEX(
    UNIQUE(FILTER(D485:D11612, D485:D11612&lt;&gt;"""")),
    CEILING.MATH(SEQUENCE(COUNTUNIQUE(D485:D11612)*10, 1, 1)/10
  )
)+4)"),45794.0)</f>
        <v>45794</v>
      </c>
      <c r="E525" s="66">
        <v>4.0</v>
      </c>
      <c r="F525" s="66" t="str">
        <f>IFERROR(__xludf.DUMMYFUNCTION("GOOGLETRANSLATE(A525,""en"",""pt"")"),"declarou")</f>
        <v>declarou</v>
      </c>
      <c r="G525" s="69"/>
    </row>
    <row r="526" ht="22.5" customHeight="1">
      <c r="A526" s="66" t="s">
        <v>805</v>
      </c>
      <c r="B526" s="67" t="str">
        <f t="shared" si="7"/>
        <v>M: scooped up</v>
      </c>
      <c r="C526" s="68"/>
      <c r="D526" s="68">
        <f>IFERROR(__xludf.DUMMYFUNCTION("ARRAYFORMULA(
  INDEX(
    UNIQUE(FILTER(D486:D11612, D486:D11612&lt;&gt;"""")),
    CEILING.MATH(SEQUENCE(COUNTUNIQUE(D486:D11612)*10, 1, 1)/10
  )
)+4)"),45794.0)</f>
        <v>45794</v>
      </c>
      <c r="E526" s="66">
        <v>5.0</v>
      </c>
      <c r="F526" s="66" t="str">
        <f>IFERROR(__xludf.DUMMYFUNCTION("GOOGLETRANSLATE(A526,""en"",""pt"")"),"recolhido")</f>
        <v>recolhido</v>
      </c>
      <c r="G526" s="69"/>
    </row>
    <row r="527" ht="22.5" customHeight="1">
      <c r="A527" s="66" t="s">
        <v>806</v>
      </c>
      <c r="B527" s="67" t="str">
        <f t="shared" si="7"/>
        <v>M: brooded</v>
      </c>
      <c r="C527" s="66">
        <v>1.0</v>
      </c>
      <c r="D527" s="68">
        <f>IFERROR(__xludf.DUMMYFUNCTION("ARRAYFORMULA(
  INDEX(
    UNIQUE(FILTER(D487:D11612, D487:D11612&lt;&gt;"""")),
    CEILING.MATH(SEQUENCE(COUNTUNIQUE(D487:D11612)*10, 1, 1)/10
  )
)+4)"),45794.0)</f>
        <v>45794</v>
      </c>
      <c r="E527" s="66">
        <v>6.0</v>
      </c>
      <c r="F527" s="71" t="s">
        <v>807</v>
      </c>
      <c r="G527" s="66" t="s">
        <v>247</v>
      </c>
    </row>
    <row r="528" ht="22.5" customHeight="1">
      <c r="A528" s="66" t="s">
        <v>808</v>
      </c>
      <c r="B528" s="67" t="str">
        <f t="shared" si="7"/>
        <v>M: slept a wink</v>
      </c>
      <c r="C528" s="68"/>
      <c r="D528" s="68">
        <f>IFERROR(__xludf.DUMMYFUNCTION("ARRAYFORMULA(
  INDEX(
    UNIQUE(FILTER(D488:D11612, D488:D11612&lt;&gt;"""")),
    CEILING.MATH(SEQUENCE(COUNTUNIQUE(D488:D11612)*10, 1, 1)/10
  )
)+4)"),45794.0)</f>
        <v>45794</v>
      </c>
      <c r="E528" s="66">
        <v>7.0</v>
      </c>
      <c r="F528" s="66" t="str">
        <f>IFERROR(__xludf.DUMMYFUNCTION("GOOGLETRANSLATE(A528,""en"",""pt"")"),"cochilou")</f>
        <v>cochilou</v>
      </c>
      <c r="G528" s="69"/>
    </row>
    <row r="529" ht="22.5" customHeight="1">
      <c r="A529" s="66" t="s">
        <v>809</v>
      </c>
      <c r="B529" s="67" t="str">
        <f t="shared" si="7"/>
        <v>M: Provided</v>
      </c>
      <c r="C529" s="68"/>
      <c r="D529" s="68">
        <f>IFERROR(__xludf.DUMMYFUNCTION("ARRAYFORMULA(
  INDEX(
    UNIQUE(FILTER(D489:D11612, D489:D11612&lt;&gt;"""")),
    CEILING.MATH(SEQUENCE(COUNTUNIQUE(D489:D11612)*10, 1, 1)/10
  )
)+4)"),45794.0)</f>
        <v>45794</v>
      </c>
      <c r="E529" s="66">
        <v>8.0</v>
      </c>
      <c r="F529" s="66" t="str">
        <f>IFERROR(__xludf.DUMMYFUNCTION("GOOGLETRANSLATE(A529,""en"",""pt"")"),"Oferecido")</f>
        <v>Oferecido</v>
      </c>
      <c r="G529" s="69"/>
    </row>
    <row r="530" ht="22.5" customHeight="1">
      <c r="A530" s="66" t="s">
        <v>810</v>
      </c>
      <c r="B530" s="67" t="str">
        <f t="shared" si="7"/>
        <v>M: Wherever</v>
      </c>
      <c r="C530" s="66">
        <v>1.0</v>
      </c>
      <c r="D530" s="68">
        <f>IFERROR(__xludf.DUMMYFUNCTION("ARRAYFORMULA(
  INDEX(
    UNIQUE(FILTER(D490:D11612, D490:D11612&lt;&gt;"""")),
    CEILING.MATH(SEQUENCE(COUNTUNIQUE(D490:D11612)*10, 1, 1)/10
  )
)+4)"),45794.0)</f>
        <v>45794</v>
      </c>
      <c r="E530" s="66">
        <v>9.0</v>
      </c>
      <c r="F530" s="71" t="s">
        <v>811</v>
      </c>
      <c r="G530" s="66" t="s">
        <v>247</v>
      </c>
    </row>
    <row r="531" ht="22.5" customHeight="1">
      <c r="A531" s="66" t="s">
        <v>812</v>
      </c>
      <c r="B531" s="67" t="str">
        <f t="shared" si="7"/>
        <v>M: Whoever</v>
      </c>
      <c r="C531" s="68"/>
      <c r="D531" s="68">
        <f>IFERROR(__xludf.DUMMYFUNCTION("ARRAYFORMULA(
  INDEX(
    UNIQUE(FILTER(D491:D11612, D491:D11612&lt;&gt;"""")),
    CEILING.MATH(SEQUENCE(COUNTUNIQUE(D491:D11612)*10, 1, 1)/10
  )
)+4)"),45794.0)</f>
        <v>45794</v>
      </c>
      <c r="E531" s="66">
        <v>10.0</v>
      </c>
      <c r="F531" s="66" t="str">
        <f>IFERROR(__xludf.DUMMYFUNCTION("GOOGLETRANSLATE(A531,""en"",""pt"")"),"Quem quer que seja")</f>
        <v>Quem quer que seja</v>
      </c>
      <c r="G531" s="69"/>
    </row>
    <row r="532" ht="22.5" customHeight="1">
      <c r="A532" s="66" t="s">
        <v>813</v>
      </c>
      <c r="B532" s="67" t="str">
        <f t="shared" si="7"/>
        <v>M: rose up</v>
      </c>
      <c r="C532" s="66">
        <v>1.0</v>
      </c>
      <c r="D532" s="68">
        <f>IFERROR(__xludf.DUMMYFUNCTION("ARRAYFORMULA(
  INDEX(
    UNIQUE(FILTER(D492:D11612, D492:D11612&lt;&gt;"""")),
    CEILING.MATH(SEQUENCE(COUNTUNIQUE(D492:D11612)*10, 1, 1)/10
  )
)+4)"),45795.0)</f>
        <v>45795</v>
      </c>
      <c r="E532" s="66">
        <v>1.0</v>
      </c>
      <c r="F532" s="66" t="s">
        <v>814</v>
      </c>
      <c r="G532" s="66" t="s">
        <v>247</v>
      </c>
    </row>
    <row r="533" ht="22.5" customHeight="1">
      <c r="A533" s="66" t="s">
        <v>815</v>
      </c>
      <c r="B533" s="67" t="str">
        <f t="shared" si="7"/>
        <v>M: neighbor</v>
      </c>
      <c r="C533" s="68"/>
      <c r="D533" s="68">
        <f>IFERROR(__xludf.DUMMYFUNCTION("ARRAYFORMULA(
  INDEX(
    UNIQUE(FILTER(D493:D11612, D493:D11612&lt;&gt;"""")),
    CEILING.MATH(SEQUENCE(COUNTUNIQUE(D493:D11612)*10, 1, 1)/10
  )
)+4)"),45795.0)</f>
        <v>45795</v>
      </c>
      <c r="E533" s="66">
        <v>2.0</v>
      </c>
      <c r="F533" s="66" t="str">
        <f>IFERROR(__xludf.DUMMYFUNCTION("GOOGLETRANSLATE(A533,""en"",""pt"")"),"vizinho")</f>
        <v>vizinho</v>
      </c>
      <c r="G533" s="69"/>
    </row>
    <row r="534" ht="22.5" customHeight="1">
      <c r="A534" s="66" t="s">
        <v>816</v>
      </c>
      <c r="B534" s="67" t="str">
        <f t="shared" si="7"/>
        <v>M: relatives</v>
      </c>
      <c r="C534" s="66">
        <v>1.0</v>
      </c>
      <c r="D534" s="68">
        <f>IFERROR(__xludf.DUMMYFUNCTION("ARRAYFORMULA(
  INDEX(
    UNIQUE(FILTER(D494:D11612, D494:D11612&lt;&gt;"""")),
    CEILING.MATH(SEQUENCE(COUNTUNIQUE(D494:D11612)*10, 1, 1)/10
  )
)+4)"),45795.0)</f>
        <v>45795</v>
      </c>
      <c r="E534" s="66">
        <v>3.0</v>
      </c>
      <c r="F534" s="71" t="s">
        <v>817</v>
      </c>
      <c r="G534" s="66" t="s">
        <v>247</v>
      </c>
    </row>
    <row r="535" ht="22.5" customHeight="1">
      <c r="A535" s="66" t="s">
        <v>818</v>
      </c>
      <c r="B535" s="67" t="str">
        <f t="shared" si="7"/>
        <v>M: several</v>
      </c>
      <c r="C535" s="68"/>
      <c r="D535" s="68">
        <f>IFERROR(__xludf.DUMMYFUNCTION("ARRAYFORMULA(
  INDEX(
    UNIQUE(FILTER(D495:D11612, D495:D11612&lt;&gt;"""")),
    CEILING.MATH(SEQUENCE(COUNTUNIQUE(D495:D11612)*10, 1, 1)/10
  )
)+4)"),45795.0)</f>
        <v>45795</v>
      </c>
      <c r="E535" s="66">
        <v>4.0</v>
      </c>
      <c r="F535" s="66" t="str">
        <f>IFERROR(__xludf.DUMMYFUNCTION("GOOGLETRANSLATE(A535,""en"",""pt"")"),"diversos")</f>
        <v>diversos</v>
      </c>
      <c r="G535" s="69"/>
    </row>
    <row r="536" ht="22.5" customHeight="1">
      <c r="A536" s="66" t="s">
        <v>819</v>
      </c>
      <c r="B536" s="67" t="str">
        <f t="shared" si="7"/>
        <v>M: kinsfolk</v>
      </c>
      <c r="C536" s="68"/>
      <c r="D536" s="68">
        <f>IFERROR(__xludf.DUMMYFUNCTION("ARRAYFORMULA(
  INDEX(
    UNIQUE(FILTER(D496:D11612, D496:D11612&lt;&gt;"""")),
    CEILING.MATH(SEQUENCE(COUNTUNIQUE(D496:D11612)*10, 1, 1)/10
  )
)+4)"),45795.0)</f>
        <v>45795</v>
      </c>
      <c r="E536" s="66">
        <v>5.0</v>
      </c>
      <c r="F536" s="66" t="str">
        <f>IFERROR(__xludf.DUMMYFUNCTION("GOOGLETRANSLATE(A536,""en"",""pt"")"),"parentes")</f>
        <v>parentes</v>
      </c>
      <c r="G536" s="69"/>
    </row>
    <row r="537" ht="22.5" customHeight="1">
      <c r="A537" s="66" t="s">
        <v>820</v>
      </c>
      <c r="B537" s="67" t="str">
        <f t="shared" si="7"/>
        <v>M: downcast</v>
      </c>
      <c r="C537" s="68"/>
      <c r="D537" s="68">
        <f>IFERROR(__xludf.DUMMYFUNCTION("ARRAYFORMULA(
  INDEX(
    UNIQUE(FILTER(D497:D11612, D497:D11612&lt;&gt;"""")),
    CEILING.MATH(SEQUENCE(COUNTUNIQUE(D497:D11612)*10, 1, 1)/10
  )
)+4)"),45795.0)</f>
        <v>45795</v>
      </c>
      <c r="E537" s="66">
        <v>6.0</v>
      </c>
      <c r="F537" s="66" t="str">
        <f>IFERROR(__xludf.DUMMYFUNCTION("GOOGLETRANSLATE(A537,""en"",""pt"")"),"cabisbaixo")</f>
        <v>cabisbaixo</v>
      </c>
      <c r="G537" s="69"/>
    </row>
    <row r="538" ht="22.5" customHeight="1">
      <c r="A538" s="66" t="s">
        <v>821</v>
      </c>
      <c r="B538" s="67" t="str">
        <f t="shared" si="7"/>
        <v>M: homewards</v>
      </c>
      <c r="C538" s="68"/>
      <c r="D538" s="68">
        <f>IFERROR(__xludf.DUMMYFUNCTION("ARRAYFORMULA(
  INDEX(
    UNIQUE(FILTER(D498:D11612, D498:D11612&lt;&gt;"""")),
    CEILING.MATH(SEQUENCE(COUNTUNIQUE(D498:D11612)*10, 1, 1)/10
  )
)+4)"),45795.0)</f>
        <v>45795</v>
      </c>
      <c r="E538" s="66">
        <v>7.0</v>
      </c>
      <c r="F538" s="66" t="str">
        <f>IFERROR(__xludf.DUMMYFUNCTION("GOOGLETRANSLATE(A538,""en"",""pt"")"),"de volta para casa")</f>
        <v>de volta para casa</v>
      </c>
      <c r="G538" s="69"/>
    </row>
    <row r="539" ht="22.5" customHeight="1">
      <c r="A539" s="66" t="s">
        <v>822</v>
      </c>
      <c r="B539" s="67" t="str">
        <f t="shared" si="7"/>
        <v>M: tripping</v>
      </c>
      <c r="C539" s="68"/>
      <c r="D539" s="68">
        <f>IFERROR(__xludf.DUMMYFUNCTION("ARRAYFORMULA(
  INDEX(
    UNIQUE(FILTER(D499:D11612, D499:D11612&lt;&gt;"""")),
    CEILING.MATH(SEQUENCE(COUNTUNIQUE(D499:D11612)*10, 1, 1)/10
  )
)+4)"),45795.0)</f>
        <v>45795</v>
      </c>
      <c r="E539" s="66">
        <v>8.0</v>
      </c>
      <c r="F539" s="66" t="str">
        <f>IFERROR(__xludf.DUMMYFUNCTION("GOOGLETRANSLATE(A539,""en"",""pt"")"),"tropeçando")</f>
        <v>tropeçando</v>
      </c>
      <c r="G539" s="69"/>
    </row>
    <row r="540" ht="22.5" customHeight="1">
      <c r="A540" s="66" t="s">
        <v>823</v>
      </c>
      <c r="B540" s="67" t="str">
        <f t="shared" si="7"/>
        <v>M: Creeping</v>
      </c>
      <c r="C540" s="68"/>
      <c r="D540" s="68">
        <f>IFERROR(__xludf.DUMMYFUNCTION("ARRAYFORMULA(
  INDEX(
    UNIQUE(FILTER(D500:D11612, D500:D11612&lt;&gt;"""")),
    CEILING.MATH(SEQUENCE(COUNTUNIQUE(D500:D11612)*10, 1, 1)/10
  )
)+4)"),45795.0)</f>
        <v>45795</v>
      </c>
      <c r="E540" s="66">
        <v>9.0</v>
      </c>
      <c r="F540" s="66" t="str">
        <f>IFERROR(__xludf.DUMMYFUNCTION("GOOGLETRANSLATE(A540,""en"",""pt"")"),"Rastejando")</f>
        <v>Rastejando</v>
      </c>
      <c r="G540" s="69"/>
    </row>
    <row r="541" ht="22.5" customHeight="1">
      <c r="A541" s="66" t="s">
        <v>824</v>
      </c>
      <c r="B541" s="67" t="str">
        <f t="shared" si="7"/>
        <v>M: set about</v>
      </c>
      <c r="C541" s="68"/>
      <c r="D541" s="68">
        <f>IFERROR(__xludf.DUMMYFUNCTION("ARRAYFORMULA(
  INDEX(
    UNIQUE(FILTER(D501:D11612, D501:D11612&lt;&gt;"""")),
    CEILING.MATH(SEQUENCE(COUNTUNIQUE(D501:D11612)*10, 1, 1)/10
  )
)+4)"),45795.0)</f>
        <v>45795</v>
      </c>
      <c r="E541" s="66">
        <v>10.0</v>
      </c>
      <c r="F541" s="66" t="str">
        <f>IFERROR(__xludf.DUMMYFUNCTION("GOOGLETRANSLATE(A541,""en"",""pt"")"),"começar")</f>
        <v>começar</v>
      </c>
      <c r="G541" s="69"/>
    </row>
    <row r="542" ht="22.5" customHeight="1">
      <c r="A542" s="70" t="s">
        <v>446</v>
      </c>
      <c r="B542" s="67" t="str">
        <f>CONCATENATE("M: ",#REF!)</f>
        <v>#REF!</v>
      </c>
      <c r="C542" s="68"/>
      <c r="D542" s="68">
        <f>IFERROR(__xludf.DUMMYFUNCTION("ARRAYFORMULA(
  INDEX(
    UNIQUE(FILTER(D502:D11612, D502:D11612&lt;&gt;"""")),
    CEILING.MATH(SEQUENCE(COUNTUNIQUE(D502:D11612)*10, 1, 1)/10
  )
)+4)"),45796.0)</f>
        <v>45796</v>
      </c>
      <c r="E542" s="66">
        <v>1.0</v>
      </c>
      <c r="F542" s="66" t="str">
        <f>IFERROR(__xludf.DUMMYFUNCTION("GOOGLETRANSLATE(A542,""en"",""pt"")"),"claro")</f>
        <v>claro</v>
      </c>
      <c r="G542" s="69"/>
    </row>
    <row r="543" ht="22.5" customHeight="1">
      <c r="A543" s="66" t="s">
        <v>825</v>
      </c>
      <c r="B543" s="67" t="str">
        <f t="shared" ref="B543:B556" si="8">CONCATENATE("M: ",A543)</f>
        <v>M: guesses</v>
      </c>
      <c r="C543" s="68"/>
      <c r="D543" s="68">
        <f>IFERROR(__xludf.DUMMYFUNCTION("ARRAYFORMULA(
  INDEX(
    UNIQUE(FILTER(D503:D11612, D503:D11612&lt;&gt;"""")),
    CEILING.MATH(SEQUENCE(COUNTUNIQUE(D503:D11612)*10, 1, 1)/10
  )
)+4)"),45796.0)</f>
        <v>45796</v>
      </c>
      <c r="E543" s="66">
        <v>2.0</v>
      </c>
      <c r="F543" s="66" t="str">
        <f>IFERROR(__xludf.DUMMYFUNCTION("GOOGLETRANSLATE(A543,""en"",""pt"")"),"palpites")</f>
        <v>palpites</v>
      </c>
      <c r="G543" s="69"/>
    </row>
    <row r="544" ht="22.5" customHeight="1">
      <c r="A544" s="66" t="s">
        <v>826</v>
      </c>
      <c r="B544" s="67" t="str">
        <f t="shared" si="8"/>
        <v>M: allowed</v>
      </c>
      <c r="C544" s="68"/>
      <c r="D544" s="68">
        <f>IFERROR(__xludf.DUMMYFUNCTION("ARRAYFORMULA(
  INDEX(
    UNIQUE(FILTER(D504:D11612, D504:D11612&lt;&gt;"""")),
    CEILING.MATH(SEQUENCE(COUNTUNIQUE(D504:D11612)*10, 1, 1)/10
  )
)+4)"),45796.0)</f>
        <v>45796</v>
      </c>
      <c r="E544" s="66">
        <v>3.0</v>
      </c>
      <c r="F544" s="66" t="str">
        <f>IFERROR(__xludf.DUMMYFUNCTION("GOOGLETRANSLATE(A544,""en"",""pt"")"),"permitido")</f>
        <v>permitido</v>
      </c>
      <c r="G544" s="69"/>
    </row>
    <row r="545" ht="22.5" customHeight="1">
      <c r="A545" s="66" t="s">
        <v>827</v>
      </c>
      <c r="B545" s="67" t="str">
        <f t="shared" si="8"/>
        <v>M: answered</v>
      </c>
      <c r="C545" s="68"/>
      <c r="D545" s="68">
        <f>IFERROR(__xludf.DUMMYFUNCTION("ARRAYFORMULA(
  INDEX(
    UNIQUE(FILTER(D505:D11612, D505:D11612&lt;&gt;"""")),
    CEILING.MATH(SEQUENCE(COUNTUNIQUE(D505:D11612)*10, 1, 1)/10
  )
)+4)"),45796.0)</f>
        <v>45796</v>
      </c>
      <c r="E545" s="66">
        <v>4.0</v>
      </c>
      <c r="F545" s="66" t="str">
        <f>IFERROR(__xludf.DUMMYFUNCTION("GOOGLETRANSLATE(A545,""en"",""pt"")"),"respondido")</f>
        <v>respondido</v>
      </c>
      <c r="G545" s="69"/>
    </row>
    <row r="546" ht="22.5" customHeight="1">
      <c r="A546" s="66" t="s">
        <v>828</v>
      </c>
      <c r="B546" s="67" t="str">
        <f t="shared" si="8"/>
        <v>M: smiling</v>
      </c>
      <c r="C546" s="68"/>
      <c r="D546" s="68">
        <f>IFERROR(__xludf.DUMMYFUNCTION("ARRAYFORMULA(
  INDEX(
    UNIQUE(FILTER(D506:D11612, D506:D11612&lt;&gt;"""")),
    CEILING.MATH(SEQUENCE(COUNTUNIQUE(D506:D11612)*10, 1, 1)/10
  )
)+4)"),45796.0)</f>
        <v>45796</v>
      </c>
      <c r="E546" s="66">
        <v>5.0</v>
      </c>
      <c r="F546" s="66" t="str">
        <f>IFERROR(__xludf.DUMMYFUNCTION("GOOGLETRANSLATE(A546,""en"",""pt"")"),"sorrindo")</f>
        <v>sorrindo</v>
      </c>
      <c r="G546" s="69"/>
    </row>
    <row r="547" ht="22.5" customHeight="1">
      <c r="A547" s="66" t="s">
        <v>829</v>
      </c>
      <c r="B547" s="67" t="str">
        <f t="shared" si="8"/>
        <v>M: rattled off</v>
      </c>
      <c r="C547" s="68"/>
      <c r="D547" s="68">
        <f>IFERROR(__xludf.DUMMYFUNCTION("ARRAYFORMULA(
  INDEX(
    UNIQUE(FILTER(D507:D11612, D507:D11612&lt;&gt;"""")),
    CEILING.MATH(SEQUENCE(COUNTUNIQUE(D507:D11612)*10, 1, 1)/10
  )
)+4)"),45796.0)</f>
        <v>45796</v>
      </c>
      <c r="E547" s="66">
        <v>6.0</v>
      </c>
      <c r="F547" s="66" t="str">
        <f>IFERROR(__xludf.DUMMYFUNCTION("GOOGLETRANSLATE(A547,""en"",""pt"")"),"disparou")</f>
        <v>disparou</v>
      </c>
      <c r="G547" s="69"/>
    </row>
    <row r="548" ht="22.5" customHeight="1">
      <c r="A548" s="66" t="s">
        <v>830</v>
      </c>
      <c r="B548" s="67" t="str">
        <f t="shared" si="8"/>
        <v>M: shook</v>
      </c>
      <c r="C548" s="68"/>
      <c r="D548" s="68">
        <f>IFERROR(__xludf.DUMMYFUNCTION("ARRAYFORMULA(
  INDEX(
    UNIQUE(FILTER(D508:D11612, D508:D11612&lt;&gt;"""")),
    CEILING.MATH(SEQUENCE(COUNTUNIQUE(D508:D11612)*10, 1, 1)/10
  )
)+4)"),45796.0)</f>
        <v>45796</v>
      </c>
      <c r="E548" s="66">
        <v>7.0</v>
      </c>
      <c r="F548" s="66" t="str">
        <f>IFERROR(__xludf.DUMMYFUNCTION("GOOGLETRANSLATE(A548,""en"",""pt"")"),"sacudiu")</f>
        <v>sacudiu</v>
      </c>
      <c r="G548" s="69"/>
    </row>
    <row r="549" ht="22.5" customHeight="1">
      <c r="A549" s="66" t="s">
        <v>831</v>
      </c>
      <c r="B549" s="67" t="str">
        <f t="shared" si="8"/>
        <v>M: shook her head</v>
      </c>
      <c r="C549" s="68"/>
      <c r="D549" s="68">
        <f>IFERROR(__xludf.DUMMYFUNCTION("ARRAYFORMULA(
  INDEX(
    UNIQUE(FILTER(D509:D11612, D509:D11612&lt;&gt;"""")),
    CEILING.MATH(SEQUENCE(COUNTUNIQUE(D509:D11612)*10, 1, 1)/10
  )
)+4)"),45796.0)</f>
        <v>45796</v>
      </c>
      <c r="E549" s="66">
        <v>8.0</v>
      </c>
      <c r="F549" s="66" t="str">
        <f>IFERROR(__xludf.DUMMYFUNCTION("GOOGLETRANSLATE(A549,""en"",""pt"")"),"balançou a cabeça negativamente.")</f>
        <v>balançou a cabeça negativamente.</v>
      </c>
      <c r="G549" s="69"/>
    </row>
    <row r="550" ht="22.5" customHeight="1">
      <c r="A550" s="66" t="s">
        <v>832</v>
      </c>
      <c r="B550" s="67" t="str">
        <f t="shared" si="8"/>
        <v>M: gleam</v>
      </c>
      <c r="C550" s="68"/>
      <c r="D550" s="68">
        <f>IFERROR(__xludf.DUMMYFUNCTION("ARRAYFORMULA(
  INDEX(
    UNIQUE(FILTER(D510:D11612, D510:D11612&lt;&gt;"""")),
    CEILING.MATH(SEQUENCE(COUNTUNIQUE(D510:D11612)*10, 1, 1)/10
  )
)+4)"),45796.0)</f>
        <v>45796</v>
      </c>
      <c r="E550" s="66">
        <v>9.0</v>
      </c>
      <c r="F550" s="66" t="str">
        <f>IFERROR(__xludf.DUMMYFUNCTION("GOOGLETRANSLATE(A550,""en"",""pt"")"),"brilho")</f>
        <v>brilho</v>
      </c>
      <c r="G550" s="69"/>
    </row>
    <row r="551" ht="22.5" customHeight="1">
      <c r="A551" s="66" t="s">
        <v>833</v>
      </c>
      <c r="B551" s="67" t="str">
        <f t="shared" si="8"/>
        <v>M: blast</v>
      </c>
      <c r="C551" s="68"/>
      <c r="D551" s="68">
        <f>IFERROR(__xludf.DUMMYFUNCTION("ARRAYFORMULA(
  INDEX(
    UNIQUE(FILTER(D511:D11612, D511:D11612&lt;&gt;"""")),
    CEILING.MATH(SEQUENCE(COUNTUNIQUE(D511:D11612)*10, 1, 1)/10
  )
)+4)"),45796.0)</f>
        <v>45796</v>
      </c>
      <c r="E551" s="66">
        <v>10.0</v>
      </c>
      <c r="F551" s="66" t="str">
        <f>IFERROR(__xludf.DUMMYFUNCTION("GOOGLETRANSLATE(A551,""en"",""pt"")"),"explosão")</f>
        <v>explosão</v>
      </c>
      <c r="G551" s="69"/>
    </row>
    <row r="552" ht="22.5" customHeight="1">
      <c r="A552" s="66" t="s">
        <v>834</v>
      </c>
      <c r="B552" s="67" t="str">
        <f t="shared" si="8"/>
        <v>M: rooted out</v>
      </c>
      <c r="C552" s="68"/>
      <c r="D552" s="68">
        <f>IFERROR(__xludf.DUMMYFUNCTION("ARRAYFORMULA(
  INDEX(
    UNIQUE(FILTER(D512:D11612, D512:D11612&lt;&gt;"""")),
    CEILING.MATH(SEQUENCE(COUNTUNIQUE(D512:D11612)*10, 1, 1)/10
  )
)+4)"),45797.0)</f>
        <v>45797</v>
      </c>
      <c r="E552" s="66">
        <v>1.0</v>
      </c>
      <c r="F552" s="66" t="str">
        <f>IFERROR(__xludf.DUMMYFUNCTION("GOOGLETRANSLATE(A552,""en"",""pt"")"),"desenraizado")</f>
        <v>desenraizado</v>
      </c>
      <c r="G552" s="69"/>
    </row>
    <row r="553" ht="22.5" customHeight="1">
      <c r="A553" s="66" t="s">
        <v>835</v>
      </c>
      <c r="B553" s="67" t="str">
        <f t="shared" si="8"/>
        <v>M: furnished</v>
      </c>
      <c r="C553" s="68"/>
      <c r="D553" s="68">
        <f>IFERROR(__xludf.DUMMYFUNCTION("ARRAYFORMULA(
  INDEX(
    UNIQUE(FILTER(D513:D11612, D513:D11612&lt;&gt;"""")),
    CEILING.MATH(SEQUENCE(COUNTUNIQUE(D513:D11612)*10, 1, 1)/10
  )
)+4)"),45797.0)</f>
        <v>45797</v>
      </c>
      <c r="E553" s="66">
        <v>2.0</v>
      </c>
      <c r="F553" s="66" t="str">
        <f>IFERROR(__xludf.DUMMYFUNCTION("GOOGLETRANSLATE(A553,""en"",""pt"")"),"mobiliado")</f>
        <v>mobiliado</v>
      </c>
      <c r="G553" s="69"/>
    </row>
    <row r="554" ht="22.5" customHeight="1">
      <c r="A554" s="66" t="s">
        <v>836</v>
      </c>
      <c r="B554" s="67" t="str">
        <f t="shared" si="8"/>
        <v>M: housetops</v>
      </c>
      <c r="C554" s="68"/>
      <c r="D554" s="68">
        <f>IFERROR(__xludf.DUMMYFUNCTION("ARRAYFORMULA(
  INDEX(
    UNIQUE(FILTER(D514:D11612, D514:D11612&lt;&gt;"""")),
    CEILING.MATH(SEQUENCE(COUNTUNIQUE(D514:D11612)*10, 1, 1)/10
  )
)+4)"),45797.0)</f>
        <v>45797</v>
      </c>
      <c r="E554" s="66">
        <v>3.0</v>
      </c>
      <c r="F554" s="66" t="str">
        <f>IFERROR(__xludf.DUMMYFUNCTION("GOOGLETRANSLATE(A554,""en"",""pt"")"),"telhados")</f>
        <v>telhados</v>
      </c>
      <c r="G554" s="69"/>
    </row>
    <row r="555" ht="22.5" customHeight="1">
      <c r="A555" s="66" t="s">
        <v>837</v>
      </c>
      <c r="B555" s="67" t="str">
        <f t="shared" si="8"/>
        <v>M: flare up</v>
      </c>
      <c r="C555" s="68"/>
      <c r="D555" s="68">
        <f>IFERROR(__xludf.DUMMYFUNCTION("ARRAYFORMULA(
  INDEX(
    UNIQUE(FILTER(D515:D11612, D515:D11612&lt;&gt;"""")),
    CEILING.MATH(SEQUENCE(COUNTUNIQUE(D515:D11612)*10, 1, 1)/10
  )
)+4)"),45797.0)</f>
        <v>45797</v>
      </c>
      <c r="E555" s="66">
        <v>4.0</v>
      </c>
      <c r="F555" s="66" t="str">
        <f>IFERROR(__xludf.DUMMYFUNCTION("GOOGLETRANSLATE(A555,""en"",""pt"")"),"surto")</f>
        <v>surto</v>
      </c>
      <c r="G555" s="69"/>
    </row>
    <row r="556" ht="22.5" customHeight="1">
      <c r="A556" s="66" t="s">
        <v>838</v>
      </c>
      <c r="B556" s="67" t="str">
        <f t="shared" si="8"/>
        <v>M: clearing</v>
      </c>
      <c r="C556" s="68"/>
      <c r="D556" s="68">
        <f>IFERROR(__xludf.DUMMYFUNCTION("ARRAYFORMULA(
  INDEX(
    UNIQUE(FILTER(D516:D11612, D516:D11612&lt;&gt;"""")),
    CEILING.MATH(SEQUENCE(COUNTUNIQUE(D516:D11612)*10, 1, 1)/10
  )
)+4)"),45797.0)</f>
        <v>45797</v>
      </c>
      <c r="E556" s="66">
        <v>5.0</v>
      </c>
      <c r="F556" s="66" t="str">
        <f>IFERROR(__xludf.DUMMYFUNCTION("GOOGLETRANSLATE(A556,""en"",""pt"")"),"limpeza")</f>
        <v>limpeza</v>
      </c>
      <c r="G556" s="69"/>
    </row>
    <row r="557" ht="22.5" customHeight="1">
      <c r="A557" s="66" t="s">
        <v>839</v>
      </c>
      <c r="B557" s="67" t="str">
        <f>CONCATENATE("M: ",#REF!)</f>
        <v>#REF!</v>
      </c>
      <c r="C557" s="68"/>
      <c r="D557" s="68">
        <f>IFERROR(__xludf.DUMMYFUNCTION("ARRAYFORMULA(
  INDEX(
    UNIQUE(FILTER(D517:D11612, D517:D11612&lt;&gt;"""")),
    CEILING.MATH(SEQUENCE(COUNTUNIQUE(D517:D11612)*10, 1, 1)/10
  )
)+4)"),45797.0)</f>
        <v>45797</v>
      </c>
      <c r="E557" s="66">
        <v>6.0</v>
      </c>
      <c r="F557" s="66" t="str">
        <f>IFERROR(__xludf.DUMMYFUNCTION("GOOGLETRANSLATE(A557,""en"",""pt"")"),"tilintar")</f>
        <v>tilintar</v>
      </c>
      <c r="G557" s="69"/>
    </row>
    <row r="558" ht="22.5" customHeight="1">
      <c r="A558" s="66" t="s">
        <v>840</v>
      </c>
      <c r="B558" s="67" t="str">
        <f t="shared" ref="B558:B560" si="9">CONCATENATE("M: ",A557)</f>
        <v>M: jingling</v>
      </c>
      <c r="C558" s="68"/>
      <c r="D558" s="68">
        <f>IFERROR(__xludf.DUMMYFUNCTION("ARRAYFORMULA(
  INDEX(
    UNIQUE(FILTER(D518:D11612, D518:D11612&lt;&gt;"""")),
    CEILING.MATH(SEQUENCE(COUNTUNIQUE(D518:D11612)*10, 1, 1)/10
  )
)+4)"),45797.0)</f>
        <v>45797</v>
      </c>
      <c r="E558" s="66">
        <v>7.0</v>
      </c>
      <c r="F558" s="66" t="str">
        <f>IFERROR(__xludf.DUMMYFUNCTION("GOOGLETRANSLATE(A558,""en"",""pt"")"),"derramado")</f>
        <v>derramado</v>
      </c>
      <c r="G558" s="69"/>
    </row>
    <row r="559" ht="22.5" customHeight="1">
      <c r="A559" s="66" t="s">
        <v>841</v>
      </c>
      <c r="B559" s="67" t="str">
        <f t="shared" si="9"/>
        <v>M: poured</v>
      </c>
      <c r="C559" s="66">
        <v>1.0</v>
      </c>
      <c r="D559" s="68">
        <f>IFERROR(__xludf.DUMMYFUNCTION("ARRAYFORMULA(
  INDEX(
    UNIQUE(FILTER(D519:D11612, D519:D11612&lt;&gt;"""")),
    CEILING.MATH(SEQUENCE(COUNTUNIQUE(D519:D11612)*10, 1, 1)/10
  )
)+4)"),45797.0)</f>
        <v>45797</v>
      </c>
      <c r="E559" s="66">
        <v>8.0</v>
      </c>
      <c r="F559" s="66" t="s">
        <v>842</v>
      </c>
      <c r="G559" s="66" t="s">
        <v>247</v>
      </c>
    </row>
    <row r="560" ht="22.5" customHeight="1">
      <c r="A560" s="70" t="s">
        <v>843</v>
      </c>
      <c r="B560" s="67" t="str">
        <f t="shared" si="9"/>
        <v>M: slept soundly</v>
      </c>
      <c r="C560" s="68"/>
      <c r="D560" s="68">
        <f>IFERROR(__xludf.DUMMYFUNCTION("ARRAYFORMULA(
  INDEX(
    UNIQUE(FILTER(D520:D11612, D520:D11612&lt;&gt;"""")),
    CEILING.MATH(SEQUENCE(COUNTUNIQUE(D520:D11612)*10, 1, 1)/10
  )
)+4)"),45797.0)</f>
        <v>45797</v>
      </c>
      <c r="E560" s="66">
        <v>9.0</v>
      </c>
      <c r="F560" s="66" t="str">
        <f>IFERROR(__xludf.DUMMYFUNCTION("GOOGLETRANSLATE(A560,""en"",""pt"")"),"Qualquer uma delas")</f>
        <v>Qualquer uma delas</v>
      </c>
      <c r="G560" s="69"/>
    </row>
    <row r="561" ht="22.5" customHeight="1">
      <c r="A561" s="66" t="s">
        <v>844</v>
      </c>
      <c r="B561" s="67" t="str">
        <f>CONCATENATE("M: ",A561)</f>
        <v>M: When</v>
      </c>
      <c r="C561" s="66">
        <v>1.0</v>
      </c>
      <c r="D561" s="68">
        <f>IFERROR(__xludf.DUMMYFUNCTION("ARRAYFORMULA(
  INDEX(
    UNIQUE(FILTER(D521:D11612, D521:D11612&lt;&gt;"""")),
    CEILING.MATH(SEQUENCE(COUNTUNIQUE(D521:D11612)*10, 1, 1)/10
  )
)+4)"),45797.0)</f>
        <v>45797</v>
      </c>
      <c r="E561" s="66">
        <v>10.0</v>
      </c>
      <c r="F561" s="71" t="s">
        <v>845</v>
      </c>
      <c r="G561" s="66" t="s">
        <v>247</v>
      </c>
    </row>
    <row r="562" ht="22.5" customHeight="1">
      <c r="A562" s="66" t="s">
        <v>846</v>
      </c>
      <c r="B562" s="67" t="str">
        <f t="shared" ref="B562:B571" si="10">CONCATENATE("M: ",#REF!)</f>
        <v>#REF!</v>
      </c>
      <c r="C562" s="68"/>
      <c r="D562" s="68">
        <f>IFERROR(__xludf.DUMMYFUNCTION("ARRAYFORMULA(
  INDEX(
    UNIQUE(FILTER(D522:D11612, D522:D11612&lt;&gt;"""")),
    CEILING.MATH(SEQUENCE(COUNTUNIQUE(D522:D11612)*10, 1, 1)/10
  )
)+4)"),45798.0)</f>
        <v>45798</v>
      </c>
      <c r="E562" s="66">
        <v>1.0</v>
      </c>
      <c r="F562" s="66" t="str">
        <f>IFERROR(__xludf.DUMMYFUNCTION("GOOGLETRANSLATE(A562,""en"",""pt"")"),"Aqueles")</f>
        <v>Aqueles</v>
      </c>
      <c r="G562" s="69"/>
    </row>
    <row r="563" ht="22.5" customHeight="1">
      <c r="A563" s="66" t="s">
        <v>847</v>
      </c>
      <c r="B563" s="67" t="str">
        <f t="shared" si="10"/>
        <v>#REF!</v>
      </c>
      <c r="C563" s="68"/>
      <c r="D563" s="68">
        <f>IFERROR(__xludf.DUMMYFUNCTION("ARRAYFORMULA(
  INDEX(
    UNIQUE(FILTER(D523:D11612, D523:D11612&lt;&gt;"""")),
    CEILING.MATH(SEQUENCE(COUNTUNIQUE(D523:D11612)*10, 1, 1)/10
  )
)+4)"),45798.0)</f>
        <v>45798</v>
      </c>
      <c r="E563" s="66">
        <v>2.0</v>
      </c>
      <c r="F563" s="66" t="str">
        <f>IFERROR(__xludf.DUMMYFUNCTION("GOOGLETRANSLATE(A563,""en"",""pt"")"),"Alguns")</f>
        <v>Alguns</v>
      </c>
      <c r="G563" s="69"/>
    </row>
    <row r="564" ht="22.5" customHeight="1">
      <c r="A564" s="66" t="s">
        <v>848</v>
      </c>
      <c r="B564" s="67" t="str">
        <f t="shared" si="10"/>
        <v>#REF!</v>
      </c>
      <c r="C564" s="68"/>
      <c r="D564" s="68">
        <f>IFERROR(__xludf.DUMMYFUNCTION("ARRAYFORMULA(
  INDEX(
    UNIQUE(FILTER(D524:D11612, D524:D11612&lt;&gt;"""")),
    CEILING.MATH(SEQUENCE(COUNTUNIQUE(D524:D11612)*10, 1, 1)/10
  )
)+4)"),45798.0)</f>
        <v>45798</v>
      </c>
      <c r="E564" s="66">
        <v>3.0</v>
      </c>
      <c r="F564" s="66" t="str">
        <f>IFERROR(__xludf.DUMMYFUNCTION("GOOGLETRANSLATE(A564,""en"",""pt"")"),"Qualquer")</f>
        <v>Qualquer</v>
      </c>
      <c r="G564" s="69"/>
    </row>
    <row r="565" ht="22.5" customHeight="1">
      <c r="A565" s="66" t="s">
        <v>849</v>
      </c>
      <c r="B565" s="67" t="str">
        <f t="shared" si="10"/>
        <v>#REF!</v>
      </c>
      <c r="C565" s="68"/>
      <c r="D565" s="68">
        <f>IFERROR(__xludf.DUMMYFUNCTION("ARRAYFORMULA(
  INDEX(
    UNIQUE(FILTER(D525:D11612, D525:D11612&lt;&gt;"""")),
    CEILING.MATH(SEQUENCE(COUNTUNIQUE(D525:D11612)*10, 1, 1)/10
  )
)+4)"),45798.0)</f>
        <v>45798</v>
      </c>
      <c r="E565" s="66">
        <v>4.0</v>
      </c>
      <c r="F565" s="66" t="str">
        <f>IFERROR(__xludf.DUMMYFUNCTION("GOOGLETRANSLATE(A565,""en"",""pt"")"),"Alguns")</f>
        <v>Alguns</v>
      </c>
      <c r="G565" s="69"/>
    </row>
    <row r="566" ht="22.5" customHeight="1">
      <c r="A566" s="66" t="s">
        <v>850</v>
      </c>
      <c r="B566" s="67" t="str">
        <f t="shared" si="10"/>
        <v>#REF!</v>
      </c>
      <c r="C566" s="68"/>
      <c r="D566" s="68">
        <f>IFERROR(__xludf.DUMMYFUNCTION("ARRAYFORMULA(
  INDEX(
    UNIQUE(FILTER(D526:D11612, D526:D11612&lt;&gt;"""")),
    CEILING.MATH(SEQUENCE(COUNTUNIQUE(D526:D11612)*10, 1, 1)/10
  )
)+4)"),45798.0)</f>
        <v>45798</v>
      </c>
      <c r="E566" s="66">
        <v>5.0</v>
      </c>
      <c r="F566" s="66" t="str">
        <f>IFERROR(__xludf.DUMMYFUNCTION("GOOGLETRANSLATE(A566,""en"",""pt"")"),"Muitos")</f>
        <v>Muitos</v>
      </c>
      <c r="G566" s="69"/>
    </row>
    <row r="567" ht="22.5" customHeight="1">
      <c r="A567" s="66" t="s">
        <v>851</v>
      </c>
      <c r="B567" s="67" t="str">
        <f t="shared" si="10"/>
        <v>#REF!</v>
      </c>
      <c r="C567" s="68"/>
      <c r="D567" s="68">
        <f>IFERROR(__xludf.DUMMYFUNCTION("ARRAYFORMULA(
  INDEX(
    UNIQUE(FILTER(D527:D11612, D527:D11612&lt;&gt;"""")),
    CEILING.MATH(SEQUENCE(COUNTUNIQUE(D527:D11612)*10, 1, 1)/10
  )
)+4)"),45798.0)</f>
        <v>45798</v>
      </c>
      <c r="E567" s="66">
        <v>6.0</v>
      </c>
      <c r="F567" s="66" t="str">
        <f>IFERROR(__xludf.DUMMYFUNCTION("GOOGLETRANSLATE(A567,""en"",""pt"")"),"Pequeno")</f>
        <v>Pequeno</v>
      </c>
      <c r="G567" s="69"/>
    </row>
    <row r="568" ht="22.5" customHeight="1">
      <c r="A568" s="66" t="s">
        <v>852</v>
      </c>
      <c r="B568" s="67" t="str">
        <f t="shared" si="10"/>
        <v>#REF!</v>
      </c>
      <c r="C568" s="68"/>
      <c r="D568" s="68">
        <f>IFERROR(__xludf.DUMMYFUNCTION("ARRAYFORMULA(
  INDEX(
    UNIQUE(FILTER(D528:D11612, D528:D11612&lt;&gt;"""")),
    CEILING.MATH(SEQUENCE(COUNTUNIQUE(D528:D11612)*10, 1, 1)/10
  )
)+4)"),45798.0)</f>
        <v>45798</v>
      </c>
      <c r="E568" s="66">
        <v>7.0</v>
      </c>
      <c r="F568" s="66" t="str">
        <f>IFERROR(__xludf.DUMMYFUNCTION("GOOGLETRANSLATE(A568,""en"",""pt"")"),"ambos")</f>
        <v>ambos</v>
      </c>
      <c r="G568" s="69"/>
    </row>
    <row r="569" ht="22.5" customHeight="1">
      <c r="A569" s="66" t="s">
        <v>853</v>
      </c>
      <c r="B569" s="67" t="str">
        <f t="shared" si="10"/>
        <v>#REF!</v>
      </c>
      <c r="C569" s="68"/>
      <c r="D569" s="68">
        <f>IFERROR(__xludf.DUMMYFUNCTION("ARRAYFORMULA(
  INDEX(
    UNIQUE(FILTER(D529:D11612, D529:D11612&lt;&gt;"""")),
    CEILING.MATH(SEQUENCE(COUNTUNIQUE(D529:D11612)*10, 1, 1)/10
  )
)+4)"),45798.0)</f>
        <v>45798</v>
      </c>
      <c r="E569" s="66">
        <v>8.0</v>
      </c>
      <c r="F569" s="66" t="str">
        <f>IFERROR(__xludf.DUMMYFUNCTION("GOOGLETRANSLATE(A569,""en"",""pt"")"),"Outro")</f>
        <v>Outro</v>
      </c>
      <c r="G569" s="69"/>
    </row>
    <row r="570" ht="22.5" customHeight="1">
      <c r="A570" s="66" t="s">
        <v>854</v>
      </c>
      <c r="B570" s="67" t="str">
        <f t="shared" si="10"/>
        <v>#REF!</v>
      </c>
      <c r="C570" s="68"/>
      <c r="D570" s="68">
        <f>IFERROR(__xludf.DUMMYFUNCTION("ARRAYFORMULA(
  INDEX(
    UNIQUE(FILTER(D530:D11612, D530:D11612&lt;&gt;"""")),
    CEILING.MATH(SEQUENCE(COUNTUNIQUE(D530:D11612)*10, 1, 1)/10
  )
)+4)"),45798.0)</f>
        <v>45798</v>
      </c>
      <c r="E570" s="66">
        <v>9.0</v>
      </c>
      <c r="F570" s="66" t="str">
        <f>IFERROR(__xludf.DUMMYFUNCTION("GOOGLETRANSLATE(A570,""en"",""pt"")"),"Tal")</f>
        <v>Tal</v>
      </c>
      <c r="G570" s="69"/>
    </row>
    <row r="571" ht="22.5" customHeight="1">
      <c r="A571" s="66" t="s">
        <v>855</v>
      </c>
      <c r="B571" s="67" t="str">
        <f t="shared" si="10"/>
        <v>#REF!</v>
      </c>
      <c r="C571" s="68"/>
      <c r="D571" s="68">
        <f>IFERROR(__xludf.DUMMYFUNCTION("ARRAYFORMULA(
  INDEX(
    UNIQUE(FILTER(D531:D11612, D531:D11612&lt;&gt;"""")),
    CEILING.MATH(SEQUENCE(COUNTUNIQUE(D531:D11612)*10, 1, 1)/10
  )
)+4)"),45798.0)</f>
        <v>45798</v>
      </c>
      <c r="E571" s="66">
        <v>10.0</v>
      </c>
      <c r="F571" s="66" t="str">
        <f>IFERROR(__xludf.DUMMYFUNCTION("GOOGLETRANSLATE(A571,""en"",""pt"")"),"Mesmo")</f>
        <v>Mesmo</v>
      </c>
      <c r="G571" s="69"/>
    </row>
    <row r="572" ht="22.5" customHeight="1">
      <c r="A572" s="66" t="s">
        <v>856</v>
      </c>
      <c r="B572" s="67" t="str">
        <f t="shared" ref="B572:B2262" si="11">CONCATENATE("M: ",A572)</f>
        <v>M: Own</v>
      </c>
      <c r="C572" s="68"/>
      <c r="D572" s="68">
        <f>IFERROR(__xludf.DUMMYFUNCTION("ARRAYFORMULA(
  INDEX(
    UNIQUE(FILTER(D532:D11612, D532:D11612&lt;&gt;"""")),
    CEILING.MATH(SEQUENCE(COUNTUNIQUE(D532:D11612)*10, 1, 1)/10
  )
)+4)"),45799.0)</f>
        <v>45799</v>
      </c>
      <c r="E572" s="66">
        <v>1.0</v>
      </c>
      <c r="F572" s="66" t="str">
        <f>IFERROR(__xludf.DUMMYFUNCTION("GOOGLETRANSLATE(A572,""en"",""pt"")"),"Ter")</f>
        <v>Ter</v>
      </c>
      <c r="G572" s="69"/>
    </row>
    <row r="573" ht="22.5" customHeight="1">
      <c r="A573" s="66" t="s">
        <v>857</v>
      </c>
      <c r="B573" s="67" t="str">
        <f t="shared" si="11"/>
        <v>M: Also</v>
      </c>
      <c r="C573" s="68"/>
      <c r="D573" s="68">
        <f>IFERROR(__xludf.DUMMYFUNCTION("ARRAYFORMULA(
  INDEX(
    UNIQUE(FILTER(D533:D11612, D533:D11612&lt;&gt;"""")),
    CEILING.MATH(SEQUENCE(COUNTUNIQUE(D533:D11612)*10, 1, 1)/10
  )
)+4)"),45799.0)</f>
        <v>45799</v>
      </c>
      <c r="E573" s="66">
        <v>2.0</v>
      </c>
      <c r="F573" s="66" t="str">
        <f>IFERROR(__xludf.DUMMYFUNCTION("GOOGLETRANSLATE(A573,""en"",""pt"")"),"Também")</f>
        <v>Também</v>
      </c>
      <c r="G573" s="69"/>
    </row>
    <row r="574" ht="22.5" customHeight="1">
      <c r="A574" s="66" t="s">
        <v>858</v>
      </c>
      <c r="B574" s="67" t="str">
        <f t="shared" si="11"/>
        <v>M: Too</v>
      </c>
      <c r="C574" s="68"/>
      <c r="D574" s="68">
        <f>IFERROR(__xludf.DUMMYFUNCTION("ARRAYFORMULA(
  INDEX(
    UNIQUE(FILTER(D534:D11612, D534:D11612&lt;&gt;"""")),
    CEILING.MATH(SEQUENCE(COUNTUNIQUE(D534:D11612)*10, 1, 1)/10
  )
)+4)"),45799.0)</f>
        <v>45799</v>
      </c>
      <c r="E574" s="66">
        <v>3.0</v>
      </c>
      <c r="F574" s="66" t="str">
        <f>IFERROR(__xludf.DUMMYFUNCTION("GOOGLETRANSLATE(A574,""en"",""pt"")"),"Também")</f>
        <v>Também</v>
      </c>
      <c r="G574" s="69"/>
    </row>
    <row r="575" ht="22.5" customHeight="1">
      <c r="A575" s="66" t="s">
        <v>859</v>
      </c>
      <c r="B575" s="67" t="str">
        <f t="shared" si="11"/>
        <v>M: So</v>
      </c>
      <c r="C575" s="68"/>
      <c r="D575" s="68">
        <f>IFERROR(__xludf.DUMMYFUNCTION("ARRAYFORMULA(
  INDEX(
    UNIQUE(FILTER(D535:D11612, D535:D11612&lt;&gt;"""")),
    CEILING.MATH(SEQUENCE(COUNTUNIQUE(D535:D11612)*10, 1, 1)/10
  )
)+4)"),45799.0)</f>
        <v>45799</v>
      </c>
      <c r="E575" s="66">
        <v>4.0</v>
      </c>
      <c r="F575" s="66" t="str">
        <f>IFERROR(__xludf.DUMMYFUNCTION("GOOGLETRANSLATE(A575,""en"",""pt"")"),"Então")</f>
        <v>Então</v>
      </c>
      <c r="G575" s="69"/>
    </row>
    <row r="576" ht="22.5" customHeight="1">
      <c r="A576" s="66" t="s">
        <v>860</v>
      </c>
      <c r="B576" s="67" t="str">
        <f t="shared" si="11"/>
        <v>M: Really</v>
      </c>
      <c r="C576" s="68"/>
      <c r="D576" s="68">
        <f>IFERROR(__xludf.DUMMYFUNCTION("ARRAYFORMULA(
  INDEX(
    UNIQUE(FILTER(D536:D11612, D536:D11612&lt;&gt;"""")),
    CEILING.MATH(SEQUENCE(COUNTUNIQUE(D536:D11612)*10, 1, 1)/10
  )
)+4)"),45799.0)</f>
        <v>45799</v>
      </c>
      <c r="E576" s="66">
        <v>5.0</v>
      </c>
      <c r="F576" s="66" t="str">
        <f>IFERROR(__xludf.DUMMYFUNCTION("GOOGLETRANSLATE(A576,""en"",""pt"")"),"Realmente")</f>
        <v>Realmente</v>
      </c>
      <c r="G576" s="69"/>
    </row>
    <row r="577" ht="22.5" customHeight="1">
      <c r="A577" s="66" t="s">
        <v>861</v>
      </c>
      <c r="B577" s="67" t="str">
        <f t="shared" si="11"/>
        <v>M: Already</v>
      </c>
      <c r="C577" s="68"/>
      <c r="D577" s="68">
        <f>IFERROR(__xludf.DUMMYFUNCTION("ARRAYFORMULA(
  INDEX(
    UNIQUE(FILTER(D537:D11612, D537:D11612&lt;&gt;"""")),
    CEILING.MATH(SEQUENCE(COUNTUNIQUE(D537:D11612)*10, 1, 1)/10
  )
)+4)"),45799.0)</f>
        <v>45799</v>
      </c>
      <c r="E577" s="66">
        <v>6.0</v>
      </c>
      <c r="F577" s="66" t="str">
        <f>IFERROR(__xludf.DUMMYFUNCTION("GOOGLETRANSLATE(A577,""en"",""pt"")"),"Já")</f>
        <v>Já</v>
      </c>
      <c r="G577" s="69"/>
    </row>
    <row r="578" ht="22.5" customHeight="1">
      <c r="A578" s="66" t="s">
        <v>862</v>
      </c>
      <c r="B578" s="67" t="str">
        <f t="shared" si="11"/>
        <v>M: Wholly</v>
      </c>
      <c r="C578" s="68"/>
      <c r="D578" s="68">
        <f>IFERROR(__xludf.DUMMYFUNCTION("ARRAYFORMULA(
  INDEX(
    UNIQUE(FILTER(D538:D11612, D538:D11612&lt;&gt;"""")),
    CEILING.MATH(SEQUENCE(COUNTUNIQUE(D538:D11612)*10, 1, 1)/10
  )
)+4)"),45799.0)</f>
        <v>45799</v>
      </c>
      <c r="E578" s="66">
        <v>7.0</v>
      </c>
      <c r="F578" s="66" t="str">
        <f>IFERROR(__xludf.DUMMYFUNCTION("GOOGLETRANSLATE(A578,""en"",""pt"")"),"Totalmente")</f>
        <v>Totalmente</v>
      </c>
      <c r="G578" s="69"/>
    </row>
    <row r="579" ht="22.5" customHeight="1">
      <c r="A579" s="66" t="s">
        <v>863</v>
      </c>
      <c r="B579" s="67" t="str">
        <f t="shared" si="11"/>
        <v>M: Scarcely</v>
      </c>
      <c r="C579" s="68"/>
      <c r="D579" s="68">
        <f>IFERROR(__xludf.DUMMYFUNCTION("ARRAYFORMULA(
  INDEX(
    UNIQUE(FILTER(D539:D11612, D539:D11612&lt;&gt;"""")),
    CEILING.MATH(SEQUENCE(COUNTUNIQUE(D539:D11612)*10, 1, 1)/10
  )
)+4)"),45799.0)</f>
        <v>45799</v>
      </c>
      <c r="E579" s="66">
        <v>8.0</v>
      </c>
      <c r="F579" s="66" t="str">
        <f>IFERROR(__xludf.DUMMYFUNCTION("GOOGLETRANSLATE(A579,""en"",""pt"")"),"Dificilmente")</f>
        <v>Dificilmente</v>
      </c>
      <c r="G579" s="69"/>
    </row>
    <row r="580" ht="22.5" customHeight="1">
      <c r="A580" s="66" t="s">
        <v>864</v>
      </c>
      <c r="B580" s="67" t="str">
        <f t="shared" si="11"/>
        <v>M: Largely</v>
      </c>
      <c r="C580" s="68"/>
      <c r="D580" s="68">
        <f>IFERROR(__xludf.DUMMYFUNCTION("ARRAYFORMULA(
  INDEX(
    UNIQUE(FILTER(D540:D11612, D540:D11612&lt;&gt;"""")),
    CEILING.MATH(SEQUENCE(COUNTUNIQUE(D540:D11612)*10, 1, 1)/10
  )
)+4)"),45799.0)</f>
        <v>45799</v>
      </c>
      <c r="E580" s="66">
        <v>9.0</v>
      </c>
      <c r="F580" s="66" t="str">
        <f>IFERROR(__xludf.DUMMYFUNCTION("GOOGLETRANSLATE(A580,""en"",""pt"")"),"Em grande parte")</f>
        <v>Em grande parte</v>
      </c>
      <c r="G580" s="69"/>
    </row>
    <row r="581" ht="22.5" customHeight="1">
      <c r="A581" s="66" t="s">
        <v>865</v>
      </c>
      <c r="B581" s="67" t="str">
        <f t="shared" si="11"/>
        <v>M: Chiefly</v>
      </c>
      <c r="C581" s="68"/>
      <c r="D581" s="68">
        <f>IFERROR(__xludf.DUMMYFUNCTION("ARRAYFORMULA(
  INDEX(
    UNIQUE(FILTER(D541:D11612, D541:D11612&lt;&gt;"""")),
    CEILING.MATH(SEQUENCE(COUNTUNIQUE(D541:D11612)*10, 1, 1)/10
  )
)+4)"),45799.0)</f>
        <v>45799</v>
      </c>
      <c r="E581" s="66">
        <v>10.0</v>
      </c>
      <c r="F581" s="66" t="str">
        <f>IFERROR(__xludf.DUMMYFUNCTION("GOOGLETRANSLATE(A581,""en"",""pt"")"),"Principalmente")</f>
        <v>Principalmente</v>
      </c>
      <c r="G581" s="69"/>
    </row>
    <row r="582" ht="22.5" customHeight="1">
      <c r="A582" s="66" t="s">
        <v>866</v>
      </c>
      <c r="B582" s="67" t="str">
        <f t="shared" si="11"/>
        <v>M: Ultimately</v>
      </c>
      <c r="C582" s="68"/>
      <c r="D582" s="68">
        <f>IFERROR(__xludf.DUMMYFUNCTION("ARRAYFORMULA(
  INDEX(
    UNIQUE(FILTER(D542:D11612, D542:D11612&lt;&gt;"""")),
    CEILING.MATH(SEQUENCE(COUNTUNIQUE(D542:D11612)*10, 1, 1)/10
  )
)+4)"),45800.0)</f>
        <v>45800</v>
      </c>
      <c r="E582" s="66">
        <v>1.0</v>
      </c>
      <c r="F582" s="66" t="str">
        <f>IFERROR(__xludf.DUMMYFUNCTION("GOOGLETRANSLATE(A582,""en"",""pt"")"),"Em última análise")</f>
        <v>Em última análise</v>
      </c>
      <c r="G582" s="69"/>
    </row>
    <row r="583" ht="22.5" customHeight="1">
      <c r="A583" s="66" t="s">
        <v>867</v>
      </c>
      <c r="B583" s="67" t="str">
        <f t="shared" si="11"/>
        <v>M: Albeit</v>
      </c>
      <c r="C583" s="68"/>
      <c r="D583" s="68">
        <f>IFERROR(__xludf.DUMMYFUNCTION("ARRAYFORMULA(
  INDEX(
    UNIQUE(FILTER(D543:D11612, D543:D11612&lt;&gt;"""")),
    CEILING.MATH(SEQUENCE(COUNTUNIQUE(D543:D11612)*10, 1, 1)/10
  )
)+4)"),45800.0)</f>
        <v>45800</v>
      </c>
      <c r="E583" s="66">
        <v>2.0</v>
      </c>
      <c r="F583" s="66" t="str">
        <f>IFERROR(__xludf.DUMMYFUNCTION("GOOGLETRANSLATE(A583,""en"",""pt"")"),"Embora")</f>
        <v>Embora</v>
      </c>
      <c r="G583" s="69"/>
    </row>
    <row r="584" ht="22.5" customHeight="1">
      <c r="A584" s="66" t="s">
        <v>868</v>
      </c>
      <c r="B584" s="67" t="str">
        <f t="shared" si="11"/>
        <v>M: Occasionally</v>
      </c>
      <c r="C584" s="68"/>
      <c r="D584" s="68">
        <f>IFERROR(__xludf.DUMMYFUNCTION("ARRAYFORMULA(
  INDEX(
    UNIQUE(FILTER(D544:D11612, D544:D11612&lt;&gt;"""")),
    CEILING.MATH(SEQUENCE(COUNTUNIQUE(D544:D11612)*10, 1, 1)/10
  )
)+4)"),45800.0)</f>
        <v>45800</v>
      </c>
      <c r="E584" s="66">
        <v>3.0</v>
      </c>
      <c r="F584" s="66" t="str">
        <f>IFERROR(__xludf.DUMMYFUNCTION("GOOGLETRANSLATE(A584,""en"",""pt"")"),"Ocasionalmente")</f>
        <v>Ocasionalmente</v>
      </c>
      <c r="G584" s="69"/>
    </row>
    <row r="585" ht="22.5" customHeight="1">
      <c r="A585" s="66" t="s">
        <v>869</v>
      </c>
      <c r="B585" s="67" t="str">
        <f t="shared" si="11"/>
        <v>M: Generally</v>
      </c>
      <c r="C585" s="68"/>
      <c r="D585" s="68">
        <f>IFERROR(__xludf.DUMMYFUNCTION("ARRAYFORMULA(
  INDEX(
    UNIQUE(FILTER(D545:D11612, D545:D11612&lt;&gt;"""")),
    CEILING.MATH(SEQUENCE(COUNTUNIQUE(D545:D11612)*10, 1, 1)/10
  )
)+4)"),45800.0)</f>
        <v>45800</v>
      </c>
      <c r="E585" s="66">
        <v>4.0</v>
      </c>
      <c r="F585" s="66" t="str">
        <f>IFERROR(__xludf.DUMMYFUNCTION("GOOGLETRANSLATE(A585,""en"",""pt"")"),"Geralmente")</f>
        <v>Geralmente</v>
      </c>
      <c r="G585" s="69"/>
    </row>
    <row r="586" ht="22.5" customHeight="1">
      <c r="A586" s="66" t="s">
        <v>870</v>
      </c>
      <c r="B586" s="67" t="str">
        <f t="shared" si="11"/>
        <v>M: Mostly</v>
      </c>
      <c r="C586" s="68"/>
      <c r="D586" s="68">
        <f>IFERROR(__xludf.DUMMYFUNCTION("ARRAYFORMULA(
  INDEX(
    UNIQUE(FILTER(D546:D11612, D546:D11612&lt;&gt;"""")),
    CEILING.MATH(SEQUENCE(COUNTUNIQUE(D546:D11612)*10, 1, 1)/10
  )
)+4)"),45800.0)</f>
        <v>45800</v>
      </c>
      <c r="E586" s="66">
        <v>5.0</v>
      </c>
      <c r="F586" s="66" t="str">
        <f>IFERROR(__xludf.DUMMYFUNCTION("GOOGLETRANSLATE(A586,""en"",""pt"")"),"Majoritariamente")</f>
        <v>Majoritariamente</v>
      </c>
      <c r="G586" s="69"/>
    </row>
    <row r="587" ht="22.5" customHeight="1">
      <c r="A587" s="66" t="s">
        <v>871</v>
      </c>
      <c r="B587" s="67" t="str">
        <f t="shared" si="11"/>
        <v>M: Truly</v>
      </c>
      <c r="C587" s="68"/>
      <c r="D587" s="68">
        <f>IFERROR(__xludf.DUMMYFUNCTION("ARRAYFORMULA(
  INDEX(
    UNIQUE(FILTER(D547:D11612, D547:D11612&lt;&gt;"""")),
    CEILING.MATH(SEQUENCE(COUNTUNIQUE(D547:D11612)*10, 1, 1)/10
  )
)+4)"),45800.0)</f>
        <v>45800</v>
      </c>
      <c r="E587" s="66">
        <v>6.0</v>
      </c>
      <c r="F587" s="66" t="str">
        <f>IFERROR(__xludf.DUMMYFUNCTION("GOOGLETRANSLATE(A587,""en"",""pt"")"),"Verdadeiramente")</f>
        <v>Verdadeiramente</v>
      </c>
      <c r="G587" s="69"/>
    </row>
    <row r="588" ht="22.5" customHeight="1">
      <c r="A588" s="66" t="s">
        <v>872</v>
      </c>
      <c r="B588" s="67" t="str">
        <f t="shared" si="11"/>
        <v>M: every</v>
      </c>
      <c r="C588" s="68"/>
      <c r="D588" s="68">
        <f>IFERROR(__xludf.DUMMYFUNCTION("ARRAYFORMULA(
  INDEX(
    UNIQUE(FILTER(D548:D11612, D548:D11612&lt;&gt;"""")),
    CEILING.MATH(SEQUENCE(COUNTUNIQUE(D548:D11612)*10, 1, 1)/10
  )
)+4)"),45800.0)</f>
        <v>45800</v>
      </c>
      <c r="E588" s="66">
        <v>7.0</v>
      </c>
      <c r="F588" s="66" t="str">
        <f>IFERROR(__xludf.DUMMYFUNCTION("GOOGLETRANSLATE(A588,""en"",""pt"")"),"todo")</f>
        <v>todo</v>
      </c>
      <c r="G588" s="69"/>
    </row>
    <row r="589" ht="22.5" customHeight="1">
      <c r="A589" s="66" t="s">
        <v>873</v>
      </c>
      <c r="B589" s="67" t="str">
        <f t="shared" si="11"/>
        <v>M: Beside</v>
      </c>
      <c r="C589" s="66">
        <v>1.0</v>
      </c>
      <c r="D589" s="68">
        <f>IFERROR(__xludf.DUMMYFUNCTION("ARRAYFORMULA(
  INDEX(
    UNIQUE(FILTER(D549:D11612, D549:D11612&lt;&gt;"""")),
    CEILING.MATH(SEQUENCE(COUNTUNIQUE(D549:D11612)*10, 1, 1)/10
  )
)+4)"),45800.0)</f>
        <v>45800</v>
      </c>
      <c r="E589" s="66">
        <v>8.0</v>
      </c>
      <c r="F589" s="71" t="s">
        <v>874</v>
      </c>
      <c r="G589" s="66" t="s">
        <v>247</v>
      </c>
    </row>
    <row r="590" ht="22.5" customHeight="1">
      <c r="A590" s="66" t="s">
        <v>875</v>
      </c>
      <c r="B590" s="67" t="str">
        <f t="shared" si="11"/>
        <v>M: In spite of</v>
      </c>
      <c r="C590" s="68"/>
      <c r="D590" s="68">
        <f>IFERROR(__xludf.DUMMYFUNCTION("ARRAYFORMULA(
  INDEX(
    UNIQUE(FILTER(D550:D11612, D550:D11612&lt;&gt;"""")),
    CEILING.MATH(SEQUENCE(COUNTUNIQUE(D550:D11612)*10, 1, 1)/10
  )
)+4)"),45800.0)</f>
        <v>45800</v>
      </c>
      <c r="E590" s="66">
        <v>9.0</v>
      </c>
      <c r="F590" s="66" t="str">
        <f>IFERROR(__xludf.DUMMYFUNCTION("GOOGLETRANSLATE(A590,""en"",""pt"")"),"Apesar de")</f>
        <v>Apesar de</v>
      </c>
      <c r="G590" s="69"/>
    </row>
    <row r="591" ht="22.5" customHeight="1">
      <c r="A591" s="66" t="s">
        <v>876</v>
      </c>
      <c r="B591" s="67" t="str">
        <f t="shared" si="11"/>
        <v>M: Afford</v>
      </c>
      <c r="C591" s="68"/>
      <c r="D591" s="68">
        <f>IFERROR(__xludf.DUMMYFUNCTION("ARRAYFORMULA(
  INDEX(
    UNIQUE(FILTER(D551:D11612, D551:D11612&lt;&gt;"""")),
    CEILING.MATH(SEQUENCE(COUNTUNIQUE(D551:D11612)*10, 1, 1)/10
  )
)+4)"),45800.0)</f>
        <v>45800</v>
      </c>
      <c r="E591" s="66">
        <v>10.0</v>
      </c>
      <c r="F591" s="66" t="str">
        <f>IFERROR(__xludf.DUMMYFUNCTION("GOOGLETRANSLATE(A591,""en"",""pt"")"),"Dispor")</f>
        <v>Dispor</v>
      </c>
      <c r="G591" s="69"/>
    </row>
    <row r="592" ht="22.5" customHeight="1">
      <c r="A592" s="66" t="s">
        <v>877</v>
      </c>
      <c r="B592" s="67" t="str">
        <f t="shared" si="11"/>
        <v>M: Achieve</v>
      </c>
      <c r="C592" s="68"/>
      <c r="D592" s="68">
        <v>45810.0</v>
      </c>
      <c r="E592" s="66">
        <v>1.0</v>
      </c>
      <c r="F592" s="66" t="str">
        <f>IFERROR(__xludf.DUMMYFUNCTION("GOOGLETRANSLATE(A592,""en"",""pt"")"),"Alcançar")</f>
        <v>Alcançar</v>
      </c>
      <c r="G592" s="69"/>
    </row>
    <row r="593" ht="22.5" customHeight="1">
      <c r="A593" s="66" t="s">
        <v>878</v>
      </c>
      <c r="B593" s="67" t="str">
        <f t="shared" si="11"/>
        <v>M: Admit</v>
      </c>
      <c r="C593" s="68"/>
      <c r="D593" s="68">
        <v>45810.0</v>
      </c>
      <c r="E593" s="66">
        <v>2.0</v>
      </c>
      <c r="F593" s="66" t="str">
        <f>IFERROR(__xludf.DUMMYFUNCTION("GOOGLETRANSLATE(A593,""en"",""pt"")"),"Admitir")</f>
        <v>Admitir</v>
      </c>
      <c r="G593" s="69"/>
    </row>
    <row r="594" ht="22.5" customHeight="1">
      <c r="A594" s="66" t="s">
        <v>879</v>
      </c>
      <c r="B594" s="67" t="str">
        <f t="shared" si="11"/>
        <v>M: Advise</v>
      </c>
      <c r="C594" s="68"/>
      <c r="D594" s="68">
        <v>45810.0</v>
      </c>
      <c r="E594" s="66">
        <v>3.0</v>
      </c>
      <c r="F594" s="66" t="str">
        <f>IFERROR(__xludf.DUMMYFUNCTION("GOOGLETRANSLATE(A594,""en"",""pt"")"),"Conselho")</f>
        <v>Conselho</v>
      </c>
      <c r="G594" s="69"/>
    </row>
    <row r="595" ht="22.5" customHeight="1">
      <c r="A595" s="66" t="s">
        <v>880</v>
      </c>
      <c r="B595" s="67" t="str">
        <f t="shared" si="11"/>
        <v>M: Affect</v>
      </c>
      <c r="C595" s="68"/>
      <c r="D595" s="68">
        <v>45810.0</v>
      </c>
      <c r="E595" s="66">
        <v>4.0</v>
      </c>
      <c r="F595" s="66" t="str">
        <f>IFERROR(__xludf.DUMMYFUNCTION("GOOGLETRANSLATE(A595,""en"",""pt"")"),"Afetar")</f>
        <v>Afetar</v>
      </c>
      <c r="G595" s="69"/>
    </row>
    <row r="596" ht="22.5" customHeight="1">
      <c r="A596" s="66" t="s">
        <v>881</v>
      </c>
      <c r="B596" s="67" t="str">
        <f t="shared" si="11"/>
        <v>M: Aim</v>
      </c>
      <c r="C596" s="68"/>
      <c r="D596" s="68">
        <v>45810.0</v>
      </c>
      <c r="E596" s="66">
        <v>5.0</v>
      </c>
      <c r="F596" s="66" t="str">
        <f>IFERROR(__xludf.DUMMYFUNCTION("GOOGLETRANSLATE(A596,""en"",""pt"")"),"Mirar")</f>
        <v>Mirar</v>
      </c>
      <c r="G596" s="69"/>
    </row>
    <row r="597" ht="22.5" customHeight="1">
      <c r="A597" s="66" t="s">
        <v>882</v>
      </c>
      <c r="B597" s="67" t="str">
        <f t="shared" si="11"/>
        <v>M: allow</v>
      </c>
      <c r="C597" s="68"/>
      <c r="D597" s="68">
        <v>45810.0</v>
      </c>
      <c r="E597" s="66">
        <v>6.0</v>
      </c>
      <c r="F597" s="66" t="str">
        <f>IFERROR(__xludf.DUMMYFUNCTION("GOOGLETRANSLATE(A597,""en"",""pt"")"),"permitir")</f>
        <v>permitir</v>
      </c>
      <c r="G597" s="69"/>
    </row>
    <row r="598" ht="22.5" customHeight="1">
      <c r="A598" s="66" t="s">
        <v>883</v>
      </c>
      <c r="B598" s="67" t="str">
        <f t="shared" si="11"/>
        <v>M: Announce</v>
      </c>
      <c r="C598" s="68"/>
      <c r="D598" s="68">
        <v>45810.0</v>
      </c>
      <c r="E598" s="66">
        <v>7.0</v>
      </c>
      <c r="F598" s="66" t="str">
        <f>IFERROR(__xludf.DUMMYFUNCTION("GOOGLETRANSLATE(A598,""en"",""pt"")"),"Anunciar")</f>
        <v>Anunciar</v>
      </c>
      <c r="G598" s="69"/>
    </row>
    <row r="599" ht="22.5" customHeight="1">
      <c r="A599" s="66" t="s">
        <v>884</v>
      </c>
      <c r="B599" s="67" t="str">
        <f t="shared" si="11"/>
        <v>M: Apologize</v>
      </c>
      <c r="C599" s="68"/>
      <c r="D599" s="68">
        <v>45810.0</v>
      </c>
      <c r="E599" s="66">
        <v>8.0</v>
      </c>
      <c r="F599" s="66" t="str">
        <f>IFERROR(__xludf.DUMMYFUNCTION("GOOGLETRANSLATE(A599,""en"",""pt"")"),"Desculpar-se")</f>
        <v>Desculpar-se</v>
      </c>
      <c r="G599" s="69"/>
    </row>
    <row r="600" ht="22.5" customHeight="1">
      <c r="A600" s="66" t="s">
        <v>885</v>
      </c>
      <c r="B600" s="67" t="str">
        <f t="shared" si="11"/>
        <v>M: Appear</v>
      </c>
      <c r="C600" s="68"/>
      <c r="D600" s="68">
        <v>45810.0</v>
      </c>
      <c r="E600" s="66">
        <v>9.0</v>
      </c>
      <c r="F600" s="66" t="str">
        <f>IFERROR(__xludf.DUMMYFUNCTION("GOOGLETRANSLATE(A600,""en"",""pt"")"),"Aparecer")</f>
        <v>Aparecer</v>
      </c>
      <c r="G600" s="69"/>
    </row>
    <row r="601" ht="22.5" customHeight="1">
      <c r="A601" s="66" t="s">
        <v>886</v>
      </c>
      <c r="B601" s="67" t="str">
        <f t="shared" si="11"/>
        <v>M: Argue</v>
      </c>
      <c r="C601" s="68"/>
      <c r="D601" s="68">
        <v>45810.0</v>
      </c>
      <c r="E601" s="66">
        <v>10.0</v>
      </c>
      <c r="F601" s="66" t="str">
        <f>IFERROR(__xludf.DUMMYFUNCTION("GOOGLETRANSLATE(A601,""en"",""pt"")"),"Discutir")</f>
        <v>Discutir</v>
      </c>
      <c r="G601" s="69"/>
    </row>
    <row r="602" ht="22.5" customHeight="1">
      <c r="A602" s="66" t="s">
        <v>887</v>
      </c>
      <c r="B602" s="67" t="str">
        <f t="shared" si="11"/>
        <v>M: uncle</v>
      </c>
      <c r="C602" s="68"/>
      <c r="D602" s="68">
        <v>45811.0</v>
      </c>
      <c r="E602" s="66">
        <v>1.0</v>
      </c>
      <c r="F602" s="66" t="str">
        <f>IFERROR(__xludf.DUMMYFUNCTION("GOOGLETRANSLATE(A602,""en"",""pt"")"),"tio")</f>
        <v>tio</v>
      </c>
      <c r="G602" s="69"/>
    </row>
    <row r="603" ht="22.5" customHeight="1">
      <c r="A603" s="66" t="s">
        <v>888</v>
      </c>
      <c r="B603" s="67" t="str">
        <f t="shared" si="11"/>
        <v>M: sitter</v>
      </c>
      <c r="C603" s="68"/>
      <c r="D603" s="68">
        <v>45811.0</v>
      </c>
      <c r="E603" s="66">
        <v>2.0</v>
      </c>
      <c r="F603" s="66" t="str">
        <f>IFERROR(__xludf.DUMMYFUNCTION("GOOGLETRANSLATE(A603,""en"",""pt"")"),"babá")</f>
        <v>babá</v>
      </c>
      <c r="G603" s="69"/>
    </row>
    <row r="604" ht="22.5" customHeight="1">
      <c r="A604" s="66" t="s">
        <v>889</v>
      </c>
      <c r="B604" s="67" t="str">
        <f t="shared" si="11"/>
        <v>M: ourselves</v>
      </c>
      <c r="C604" s="68"/>
      <c r="D604" s="68">
        <v>45811.0</v>
      </c>
      <c r="E604" s="66">
        <v>3.0</v>
      </c>
      <c r="F604" s="66" t="str">
        <f>IFERROR(__xludf.DUMMYFUNCTION("GOOGLETRANSLATE(A604,""en"",""pt"")"),"nós mesmos")</f>
        <v>nós mesmos</v>
      </c>
      <c r="G604" s="69"/>
    </row>
    <row r="605" ht="22.5" customHeight="1">
      <c r="A605" s="66" t="s">
        <v>890</v>
      </c>
      <c r="B605" s="67" t="str">
        <f t="shared" si="11"/>
        <v>M: shred</v>
      </c>
      <c r="C605" s="66">
        <v>1.0</v>
      </c>
      <c r="D605" s="68">
        <v>45811.0</v>
      </c>
      <c r="E605" s="66">
        <v>4.0</v>
      </c>
      <c r="F605" s="71" t="s">
        <v>891</v>
      </c>
      <c r="G605" s="66" t="s">
        <v>247</v>
      </c>
    </row>
    <row r="606" ht="22.5" customHeight="1">
      <c r="A606" s="66" t="s">
        <v>892</v>
      </c>
      <c r="B606" s="67" t="str">
        <f t="shared" si="11"/>
        <v>M: swamped</v>
      </c>
      <c r="C606" s="68"/>
      <c r="D606" s="68">
        <v>45811.0</v>
      </c>
      <c r="E606" s="66">
        <v>5.0</v>
      </c>
      <c r="F606" s="66" t="str">
        <f>IFERROR(__xludf.DUMMYFUNCTION("GOOGLETRANSLATE(A606,""en"",""pt"")"),"inundado")</f>
        <v>inundado</v>
      </c>
      <c r="G606" s="69"/>
    </row>
    <row r="607" ht="22.5" customHeight="1">
      <c r="A607" s="66" t="s">
        <v>893</v>
      </c>
      <c r="B607" s="67" t="str">
        <f t="shared" si="11"/>
        <v>M: promise</v>
      </c>
      <c r="C607" s="68"/>
      <c r="D607" s="68">
        <v>45811.0</v>
      </c>
      <c r="E607" s="66">
        <v>6.0</v>
      </c>
      <c r="F607" s="66" t="str">
        <f>IFERROR(__xludf.DUMMYFUNCTION("GOOGLETRANSLATE(A607,""en"",""pt"")"),"promessa")</f>
        <v>promessa</v>
      </c>
      <c r="G607" s="69"/>
    </row>
    <row r="608" ht="22.5" customHeight="1">
      <c r="A608" s="66" t="s">
        <v>894</v>
      </c>
      <c r="B608" s="67" t="str">
        <f t="shared" si="11"/>
        <v>M: lame</v>
      </c>
      <c r="C608" s="68"/>
      <c r="D608" s="68">
        <v>45811.0</v>
      </c>
      <c r="E608" s="66">
        <v>7.0</v>
      </c>
      <c r="F608" s="66" t="str">
        <f>IFERROR(__xludf.DUMMYFUNCTION("GOOGLETRANSLATE(A608,""en"",""pt"")"),"muito ruim")</f>
        <v>muito ruim</v>
      </c>
      <c r="G608" s="69"/>
    </row>
    <row r="609" ht="22.5" customHeight="1">
      <c r="A609" s="66" t="s">
        <v>895</v>
      </c>
      <c r="B609" s="67" t="str">
        <f t="shared" si="11"/>
        <v>M: dorky</v>
      </c>
      <c r="C609" s="68"/>
      <c r="D609" s="68">
        <v>45811.0</v>
      </c>
      <c r="E609" s="66">
        <v>8.0</v>
      </c>
      <c r="F609" s="66" t="str">
        <f>IFERROR(__xludf.DUMMYFUNCTION("GOOGLETRANSLATE(A609,""en"",""pt"")"),"bobo")</f>
        <v>bobo</v>
      </c>
      <c r="G609" s="69"/>
    </row>
    <row r="610" ht="22.5" customHeight="1">
      <c r="A610" s="66" t="s">
        <v>896</v>
      </c>
      <c r="B610" s="67" t="str">
        <f t="shared" si="11"/>
        <v>M: sniffing</v>
      </c>
      <c r="C610" s="66">
        <v>1.0</v>
      </c>
      <c r="D610" s="68">
        <v>45811.0</v>
      </c>
      <c r="E610" s="66">
        <v>9.0</v>
      </c>
      <c r="F610" s="66" t="s">
        <v>897</v>
      </c>
      <c r="G610" s="66" t="s">
        <v>247</v>
      </c>
    </row>
    <row r="611" ht="22.5" customHeight="1">
      <c r="A611" s="66" t="s">
        <v>898</v>
      </c>
      <c r="B611" s="67" t="str">
        <f t="shared" si="11"/>
        <v>M: treat</v>
      </c>
      <c r="C611" s="68"/>
      <c r="D611" s="68">
        <v>45811.0</v>
      </c>
      <c r="E611" s="66">
        <v>10.0</v>
      </c>
      <c r="F611" s="66" t="str">
        <f>IFERROR(__xludf.DUMMYFUNCTION("GOOGLETRANSLATE(A611,""en"",""pt"")"),"tratar")</f>
        <v>tratar</v>
      </c>
      <c r="G611" s="69"/>
    </row>
    <row r="612" ht="22.5" customHeight="1">
      <c r="A612" s="66" t="s">
        <v>899</v>
      </c>
      <c r="B612" s="67" t="str">
        <f t="shared" si="11"/>
        <v>M: tie</v>
      </c>
      <c r="C612" s="68"/>
      <c r="D612" s="68">
        <v>45812.0</v>
      </c>
      <c r="E612" s="66">
        <v>1.0</v>
      </c>
      <c r="F612" s="66" t="str">
        <f>IFERROR(__xludf.DUMMYFUNCTION("GOOGLETRANSLATE(A612,""en"",""pt"")"),"gravata")</f>
        <v>gravata</v>
      </c>
      <c r="G612" s="69"/>
    </row>
    <row r="613" ht="22.5" customHeight="1">
      <c r="A613" s="66" t="s">
        <v>900</v>
      </c>
      <c r="B613" s="67" t="str">
        <f t="shared" si="11"/>
        <v>M: gotta</v>
      </c>
      <c r="C613" s="68"/>
      <c r="D613" s="68">
        <v>45812.0</v>
      </c>
      <c r="E613" s="66">
        <v>2.0</v>
      </c>
      <c r="F613" s="66" t="str">
        <f>IFERROR(__xludf.DUMMYFUNCTION("GOOGLETRANSLATE(A613,""en"",""pt"")"),"preciso")</f>
        <v>preciso</v>
      </c>
      <c r="G613" s="69"/>
    </row>
    <row r="614" ht="22.5" customHeight="1">
      <c r="A614" s="66" t="s">
        <v>901</v>
      </c>
      <c r="B614" s="67" t="str">
        <f t="shared" si="11"/>
        <v>M: spat</v>
      </c>
      <c r="C614" s="66">
        <v>1.0</v>
      </c>
      <c r="D614" s="68">
        <v>45812.0</v>
      </c>
      <c r="E614" s="66">
        <v>3.0</v>
      </c>
      <c r="F614" s="71" t="s">
        <v>902</v>
      </c>
      <c r="G614" s="66" t="s">
        <v>247</v>
      </c>
    </row>
    <row r="615" ht="22.5" customHeight="1">
      <c r="A615" s="66" t="s">
        <v>903</v>
      </c>
      <c r="B615" s="67" t="str">
        <f t="shared" si="11"/>
        <v>M: themselves</v>
      </c>
      <c r="C615" s="68"/>
      <c r="D615" s="68">
        <v>45812.0</v>
      </c>
      <c r="E615" s="66">
        <v>4.0</v>
      </c>
      <c r="F615" s="66" t="str">
        <f>IFERROR(__xludf.DUMMYFUNCTION("GOOGLETRANSLATE(A615,""en"",""pt"")"),"eles mesmos")</f>
        <v>eles mesmos</v>
      </c>
      <c r="G615" s="69"/>
    </row>
    <row r="616" ht="22.5" customHeight="1">
      <c r="A616" s="66" t="s">
        <v>904</v>
      </c>
      <c r="B616" s="67" t="str">
        <f t="shared" si="11"/>
        <v>M: hold on</v>
      </c>
      <c r="C616" s="68"/>
      <c r="D616" s="68">
        <v>45812.0</v>
      </c>
      <c r="E616" s="66">
        <v>5.0</v>
      </c>
      <c r="F616" s="66" t="str">
        <f>IFERROR(__xludf.DUMMYFUNCTION("GOOGLETRANSLATE(A616,""en"",""pt"")"),"aguentar")</f>
        <v>aguentar</v>
      </c>
      <c r="G616" s="69"/>
    </row>
    <row r="617" ht="22.5" customHeight="1">
      <c r="A617" s="66" t="s">
        <v>905</v>
      </c>
      <c r="B617" s="67" t="str">
        <f t="shared" si="11"/>
        <v>M: statements</v>
      </c>
      <c r="C617" s="68"/>
      <c r="D617" s="68">
        <v>45812.0</v>
      </c>
      <c r="E617" s="66">
        <v>6.0</v>
      </c>
      <c r="F617" s="66" t="str">
        <f>IFERROR(__xludf.DUMMYFUNCTION("GOOGLETRANSLATE(A617,""en"",""pt"")"),"declarações")</f>
        <v>declarações</v>
      </c>
      <c r="G617" s="69"/>
    </row>
    <row r="618" ht="22.5" customHeight="1">
      <c r="A618" s="66" t="s">
        <v>906</v>
      </c>
      <c r="B618" s="67" t="str">
        <f t="shared" si="11"/>
        <v>M: kitschy</v>
      </c>
      <c r="C618" s="68"/>
      <c r="D618" s="68">
        <v>45812.0</v>
      </c>
      <c r="E618" s="66">
        <v>7.0</v>
      </c>
      <c r="F618" s="66" t="str">
        <f>IFERROR(__xludf.DUMMYFUNCTION("GOOGLETRANSLATE(A618,""en"",""pt"")"),"kitsch")</f>
        <v>kitsch</v>
      </c>
      <c r="G618" s="69"/>
    </row>
    <row r="619" ht="22.5" customHeight="1">
      <c r="A619" s="66" t="s">
        <v>907</v>
      </c>
      <c r="B619" s="67" t="str">
        <f t="shared" si="11"/>
        <v>M: leave it up</v>
      </c>
      <c r="C619" s="66">
        <v>1.0</v>
      </c>
      <c r="D619" s="68">
        <v>45812.0</v>
      </c>
      <c r="E619" s="66">
        <v>8.0</v>
      </c>
      <c r="F619" s="71" t="s">
        <v>908</v>
      </c>
      <c r="G619" s="66" t="s">
        <v>247</v>
      </c>
    </row>
    <row r="620" ht="22.5" customHeight="1">
      <c r="A620" s="66" t="s">
        <v>909</v>
      </c>
      <c r="B620" s="67" t="str">
        <f t="shared" si="11"/>
        <v>M: complains</v>
      </c>
      <c r="C620" s="66">
        <v>1.0</v>
      </c>
      <c r="D620" s="68">
        <v>45812.0</v>
      </c>
      <c r="E620" s="66">
        <v>9.0</v>
      </c>
      <c r="F620" s="66" t="s">
        <v>910</v>
      </c>
      <c r="G620" s="66" t="s">
        <v>247</v>
      </c>
    </row>
    <row r="621" ht="22.5" customHeight="1">
      <c r="A621" s="66" t="s">
        <v>911</v>
      </c>
      <c r="B621" s="67" t="str">
        <f t="shared" si="11"/>
        <v>M: outrageous</v>
      </c>
      <c r="C621" s="68"/>
      <c r="D621" s="68">
        <v>45812.0</v>
      </c>
      <c r="E621" s="66">
        <v>10.0</v>
      </c>
      <c r="F621" s="66" t="str">
        <f>IFERROR(__xludf.DUMMYFUNCTION("GOOGLETRANSLATE(A621,""en"",""pt"")"),"ultrajante")</f>
        <v>ultrajante</v>
      </c>
      <c r="G621" s="69"/>
    </row>
    <row r="622" ht="22.5" customHeight="1">
      <c r="A622" s="66" t="s">
        <v>912</v>
      </c>
      <c r="B622" s="67" t="str">
        <f t="shared" si="11"/>
        <v>M: fostering</v>
      </c>
      <c r="C622" s="68"/>
      <c r="D622" s="68">
        <f t="array" ref="D622:D10621">DATE(2025,6,4) + INT(SEQUENCE(10000,1,0,1)/10)</f>
        <v>45812</v>
      </c>
      <c r="E622" s="66">
        <v>1.0</v>
      </c>
      <c r="F622" s="66" t="str">
        <f>IFERROR(__xludf.DUMMYFUNCTION("GOOGLETRANSLATE(A622,""en"",""pt"")"),"fomento")</f>
        <v>fomento</v>
      </c>
      <c r="G622" s="69"/>
    </row>
    <row r="623" ht="22.5" customHeight="1">
      <c r="A623" s="66" t="s">
        <v>913</v>
      </c>
      <c r="B623" s="67" t="str">
        <f t="shared" si="11"/>
        <v>M: condo</v>
      </c>
      <c r="C623" s="68"/>
      <c r="D623" s="68">
        <v>45812.0</v>
      </c>
      <c r="E623" s="66">
        <v>2.0</v>
      </c>
      <c r="F623" s="66" t="str">
        <f>IFERROR(__xludf.DUMMYFUNCTION("GOOGLETRANSLATE(A623,""en"",""pt"")"),"condomínio")</f>
        <v>condomínio</v>
      </c>
      <c r="G623" s="69"/>
    </row>
    <row r="624" ht="22.5" customHeight="1">
      <c r="A624" s="66" t="s">
        <v>914</v>
      </c>
      <c r="B624" s="67" t="str">
        <f t="shared" si="11"/>
        <v>M: slut</v>
      </c>
      <c r="C624" s="68"/>
      <c r="D624" s="68">
        <v>45812.0</v>
      </c>
      <c r="E624" s="66">
        <v>3.0</v>
      </c>
      <c r="F624" s="66" t="str">
        <f>IFERROR(__xludf.DUMMYFUNCTION("GOOGLETRANSLATE(A624,""en"",""pt"")"),"puta")</f>
        <v>puta</v>
      </c>
      <c r="G624" s="69"/>
    </row>
    <row r="625" ht="22.5" customHeight="1">
      <c r="A625" s="66" t="s">
        <v>915</v>
      </c>
      <c r="B625" s="67" t="str">
        <f t="shared" si="11"/>
        <v>M: veil</v>
      </c>
      <c r="C625" s="68"/>
      <c r="D625" s="68">
        <v>45812.0</v>
      </c>
      <c r="E625" s="66">
        <v>4.0</v>
      </c>
      <c r="F625" s="66" t="str">
        <f>IFERROR(__xludf.DUMMYFUNCTION("GOOGLETRANSLATE(A625,""en"",""pt"")"),"véu")</f>
        <v>véu</v>
      </c>
      <c r="G625" s="69"/>
    </row>
    <row r="626" ht="22.5" customHeight="1">
      <c r="A626" s="66" t="s">
        <v>916</v>
      </c>
      <c r="B626" s="67" t="str">
        <f t="shared" si="11"/>
        <v>M: branch</v>
      </c>
      <c r="C626" s="68"/>
      <c r="D626" s="68">
        <v>45812.0</v>
      </c>
      <c r="E626" s="66">
        <v>5.0</v>
      </c>
      <c r="F626" s="66" t="str">
        <f>IFERROR(__xludf.DUMMYFUNCTION("GOOGLETRANSLATE(A626,""en"",""pt"")"),"filial")</f>
        <v>filial</v>
      </c>
      <c r="G626" s="69"/>
    </row>
    <row r="627" ht="22.5" customHeight="1">
      <c r="A627" s="66" t="s">
        <v>917</v>
      </c>
      <c r="B627" s="67" t="str">
        <f t="shared" si="11"/>
        <v>M: dump</v>
      </c>
      <c r="C627" s="68"/>
      <c r="D627" s="68">
        <v>45812.0</v>
      </c>
      <c r="E627" s="66">
        <v>6.0</v>
      </c>
      <c r="F627" s="66" t="str">
        <f>IFERROR(__xludf.DUMMYFUNCTION("GOOGLETRANSLATE(A627,""en"",""pt"")"),"jogar fora")</f>
        <v>jogar fora</v>
      </c>
      <c r="G627" s="69"/>
    </row>
    <row r="628" ht="22.5" customHeight="1">
      <c r="A628" s="66" t="s">
        <v>918</v>
      </c>
      <c r="B628" s="67" t="str">
        <f t="shared" si="11"/>
        <v>M: ground</v>
      </c>
      <c r="C628" s="66">
        <v>1.0</v>
      </c>
      <c r="D628" s="68">
        <v>45812.0</v>
      </c>
      <c r="E628" s="66">
        <v>7.0</v>
      </c>
      <c r="F628" s="66" t="s">
        <v>919</v>
      </c>
      <c r="G628" s="66" t="s">
        <v>247</v>
      </c>
    </row>
    <row r="629" ht="22.5" customHeight="1">
      <c r="A629" s="66" t="s">
        <v>920</v>
      </c>
      <c r="B629" s="67" t="str">
        <f t="shared" si="11"/>
        <v>M: dartboard</v>
      </c>
      <c r="C629" s="68"/>
      <c r="D629" s="68">
        <v>45812.0</v>
      </c>
      <c r="E629" s="66">
        <v>8.0</v>
      </c>
      <c r="F629" s="66" t="str">
        <f>IFERROR(__xludf.DUMMYFUNCTION("GOOGLETRANSLATE(A629,""en"",""pt"")"),"alvo de dardos")</f>
        <v>alvo de dardos</v>
      </c>
      <c r="G629" s="69"/>
    </row>
    <row r="630" ht="22.5" customHeight="1">
      <c r="A630" s="66" t="s">
        <v>921</v>
      </c>
      <c r="B630" s="67" t="str">
        <f t="shared" si="11"/>
        <v>M: stuff</v>
      </c>
      <c r="C630" s="68"/>
      <c r="D630" s="68">
        <v>45812.0</v>
      </c>
      <c r="E630" s="66">
        <v>9.0</v>
      </c>
      <c r="F630" s="66" t="str">
        <f>IFERROR(__xludf.DUMMYFUNCTION("GOOGLETRANSLATE(A630,""en"",""pt"")"),"coisa")</f>
        <v>coisa</v>
      </c>
      <c r="G630" s="69"/>
    </row>
    <row r="631" ht="22.5" customHeight="1">
      <c r="A631" s="66" t="s">
        <v>922</v>
      </c>
      <c r="B631" s="67" t="str">
        <f t="shared" si="11"/>
        <v>M: weird</v>
      </c>
      <c r="C631" s="68"/>
      <c r="D631" s="68">
        <v>45812.0</v>
      </c>
      <c r="E631" s="66">
        <v>10.0</v>
      </c>
      <c r="F631" s="66" t="str">
        <f>IFERROR(__xludf.DUMMYFUNCTION("GOOGLETRANSLATE(A631,""en"",""pt"")"),"esquisito")</f>
        <v>esquisito</v>
      </c>
      <c r="G631" s="69"/>
    </row>
    <row r="632" ht="22.5" customHeight="1">
      <c r="A632" s="66" t="s">
        <v>923</v>
      </c>
      <c r="B632" s="67" t="str">
        <f t="shared" si="11"/>
        <v>M: teaser</v>
      </c>
      <c r="C632" s="68"/>
      <c r="D632" s="68">
        <v>45813.0</v>
      </c>
      <c r="E632" s="66">
        <v>1.0</v>
      </c>
      <c r="F632" s="66" t="str">
        <f>IFERROR(__xludf.DUMMYFUNCTION("GOOGLETRANSLATE(A632,""en"",""pt"")"),"teaser")</f>
        <v>teaser</v>
      </c>
      <c r="G632" s="69"/>
    </row>
    <row r="633" ht="22.5" customHeight="1">
      <c r="A633" s="66" t="s">
        <v>924</v>
      </c>
      <c r="B633" s="67" t="str">
        <f t="shared" si="11"/>
        <v>M: dime</v>
      </c>
      <c r="C633" s="68"/>
      <c r="D633" s="68">
        <v>45813.0</v>
      </c>
      <c r="E633" s="66">
        <v>2.0</v>
      </c>
      <c r="F633" s="66" t="str">
        <f>IFERROR(__xludf.DUMMYFUNCTION("GOOGLETRANSLATE(A633,""en"",""pt"")"),"dez centavos")</f>
        <v>dez centavos</v>
      </c>
      <c r="G633" s="69"/>
    </row>
    <row r="634" ht="22.5" customHeight="1">
      <c r="A634" s="66" t="s">
        <v>925</v>
      </c>
      <c r="B634" s="67" t="str">
        <f t="shared" si="11"/>
        <v>M: hanging</v>
      </c>
      <c r="C634" s="68"/>
      <c r="D634" s="68">
        <v>45813.0</v>
      </c>
      <c r="E634" s="66">
        <v>3.0</v>
      </c>
      <c r="F634" s="66" t="str">
        <f>IFERROR(__xludf.DUMMYFUNCTION("GOOGLETRANSLATE(A634,""en"",""pt"")"),"pendurado")</f>
        <v>pendurado</v>
      </c>
      <c r="G634" s="69"/>
    </row>
    <row r="635" ht="22.5" customHeight="1">
      <c r="A635" s="66" t="s">
        <v>926</v>
      </c>
      <c r="B635" s="67" t="str">
        <f t="shared" si="11"/>
        <v>M: commit</v>
      </c>
      <c r="C635" s="68"/>
      <c r="D635" s="68">
        <v>45813.0</v>
      </c>
      <c r="E635" s="66">
        <v>4.0</v>
      </c>
      <c r="F635" s="66" t="str">
        <f>IFERROR(__xludf.DUMMYFUNCTION("GOOGLETRANSLATE(A635,""en"",""pt"")"),"comprometer-se")</f>
        <v>comprometer-se</v>
      </c>
      <c r="G635" s="69"/>
    </row>
    <row r="636" ht="22.5" customHeight="1">
      <c r="A636" s="66" t="s">
        <v>927</v>
      </c>
      <c r="B636" s="67" t="str">
        <f t="shared" si="11"/>
        <v>M: beet</v>
      </c>
      <c r="C636" s="68"/>
      <c r="D636" s="68">
        <v>45813.0</v>
      </c>
      <c r="E636" s="66">
        <v>5.0</v>
      </c>
      <c r="F636" s="66" t="str">
        <f>IFERROR(__xludf.DUMMYFUNCTION("GOOGLETRANSLATE(A636,""en"",""pt"")"),"beterraba")</f>
        <v>beterraba</v>
      </c>
      <c r="G636" s="69"/>
    </row>
    <row r="637" ht="22.5" customHeight="1">
      <c r="A637" s="66" t="s">
        <v>928</v>
      </c>
      <c r="B637" s="67" t="str">
        <f t="shared" si="11"/>
        <v>M: damn</v>
      </c>
      <c r="C637" s="68"/>
      <c r="D637" s="68">
        <v>45813.0</v>
      </c>
      <c r="E637" s="66">
        <v>6.0</v>
      </c>
      <c r="F637" s="66" t="str">
        <f>IFERROR(__xludf.DUMMYFUNCTION("GOOGLETRANSLATE(A637,""en"",""pt"")"),"droga")</f>
        <v>droga</v>
      </c>
      <c r="G637" s="69"/>
    </row>
    <row r="638" ht="22.5" customHeight="1">
      <c r="A638" s="66" t="s">
        <v>929</v>
      </c>
      <c r="B638" s="67" t="str">
        <f t="shared" si="11"/>
        <v>M: tenants</v>
      </c>
      <c r="C638" s="68"/>
      <c r="D638" s="68">
        <v>45813.0</v>
      </c>
      <c r="E638" s="66">
        <v>7.0</v>
      </c>
      <c r="F638" s="66" t="str">
        <f>IFERROR(__xludf.DUMMYFUNCTION("GOOGLETRANSLATE(A638,""en"",""pt"")"),"inquilinos")</f>
        <v>inquilinos</v>
      </c>
      <c r="G638" s="69"/>
    </row>
    <row r="639" ht="22.5" customHeight="1">
      <c r="A639" s="66" t="s">
        <v>930</v>
      </c>
      <c r="B639" s="67" t="str">
        <f t="shared" si="11"/>
        <v>M: rapping</v>
      </c>
      <c r="C639" s="68"/>
      <c r="D639" s="68">
        <v>45813.0</v>
      </c>
      <c r="E639" s="66">
        <v>8.0</v>
      </c>
      <c r="F639" s="66" t="str">
        <f>IFERROR(__xludf.DUMMYFUNCTION("GOOGLETRANSLATE(A639,""en"",""pt"")"),"rap")</f>
        <v>rap</v>
      </c>
      <c r="G639" s="69"/>
    </row>
    <row r="640" ht="22.5" customHeight="1">
      <c r="A640" s="66" t="s">
        <v>931</v>
      </c>
      <c r="B640" s="67" t="str">
        <f t="shared" si="11"/>
        <v>M: loneliness</v>
      </c>
      <c r="C640" s="68"/>
      <c r="D640" s="68">
        <v>45813.0</v>
      </c>
      <c r="E640" s="66">
        <v>9.0</v>
      </c>
      <c r="F640" s="66" t="str">
        <f>IFERROR(__xludf.DUMMYFUNCTION("GOOGLETRANSLATE(A640,""en"",""pt"")"),"solidão")</f>
        <v>solidão</v>
      </c>
      <c r="G640" s="69"/>
    </row>
    <row r="641" ht="22.5" customHeight="1">
      <c r="A641" s="66" t="s">
        <v>932</v>
      </c>
      <c r="B641" s="67" t="str">
        <f t="shared" si="11"/>
        <v>M: resourceful</v>
      </c>
      <c r="C641" s="68"/>
      <c r="D641" s="68">
        <v>45813.0</v>
      </c>
      <c r="E641" s="66">
        <v>10.0</v>
      </c>
      <c r="F641" s="66" t="str">
        <f>IFERROR(__xludf.DUMMYFUNCTION("GOOGLETRANSLATE(A641,""en"",""pt"")"),"engenhoso")</f>
        <v>engenhoso</v>
      </c>
      <c r="G641" s="69"/>
    </row>
    <row r="642" ht="22.5" customHeight="1">
      <c r="A642" s="66" t="s">
        <v>933</v>
      </c>
      <c r="B642" s="67" t="str">
        <f t="shared" si="11"/>
        <v>M: severance</v>
      </c>
      <c r="C642" s="68"/>
      <c r="D642" s="68">
        <v>45814.0</v>
      </c>
      <c r="E642" s="66">
        <v>1.0</v>
      </c>
      <c r="F642" s="66" t="str">
        <f>IFERROR(__xludf.DUMMYFUNCTION("GOOGLETRANSLATE(A642,""en"",""pt"")"),"rescisão")</f>
        <v>rescisão</v>
      </c>
      <c r="G642" s="69"/>
    </row>
    <row r="643" ht="22.5" customHeight="1">
      <c r="A643" s="66" t="s">
        <v>934</v>
      </c>
      <c r="B643" s="67" t="str">
        <f t="shared" si="11"/>
        <v>M: listen up</v>
      </c>
      <c r="C643" s="68"/>
      <c r="D643" s="68">
        <v>45814.0</v>
      </c>
      <c r="E643" s="66">
        <v>2.0</v>
      </c>
      <c r="F643" s="66" t="str">
        <f>IFERROR(__xludf.DUMMYFUNCTION("GOOGLETRANSLATE(A643,""en"",""pt"")"),"Escutem bem")</f>
        <v>Escutem bem</v>
      </c>
      <c r="G643" s="69"/>
    </row>
    <row r="644" ht="22.5" customHeight="1">
      <c r="A644" s="66" t="s">
        <v>935</v>
      </c>
      <c r="B644" s="67" t="str">
        <f t="shared" si="11"/>
        <v>M: hang in there</v>
      </c>
      <c r="C644" s="68"/>
      <c r="D644" s="68">
        <v>45814.0</v>
      </c>
      <c r="E644" s="66">
        <v>3.0</v>
      </c>
      <c r="F644" s="66" t="str">
        <f>IFERROR(__xludf.DUMMYFUNCTION("GOOGLETRANSLATE(A644,""en"",""pt"")"),"aguente firme")</f>
        <v>aguente firme</v>
      </c>
      <c r="G644" s="69"/>
    </row>
    <row r="645" ht="22.5" customHeight="1">
      <c r="A645" s="66" t="s">
        <v>936</v>
      </c>
      <c r="B645" s="67" t="str">
        <f t="shared" si="11"/>
        <v>M: what's up</v>
      </c>
      <c r="C645" s="68"/>
      <c r="D645" s="68">
        <v>45814.0</v>
      </c>
      <c r="E645" s="66">
        <v>4.0</v>
      </c>
      <c r="F645" s="66" t="str">
        <f>IFERROR(__xludf.DUMMYFUNCTION("GOOGLETRANSLATE(A645,""en"",""pt"")"),"e aí")</f>
        <v>e aí</v>
      </c>
      <c r="G645" s="69"/>
    </row>
    <row r="646" ht="22.5" customHeight="1">
      <c r="A646" s="66" t="s">
        <v>937</v>
      </c>
      <c r="B646" s="67" t="str">
        <f t="shared" si="11"/>
        <v>M: accountants</v>
      </c>
      <c r="C646" s="68"/>
      <c r="D646" s="68">
        <v>45814.0</v>
      </c>
      <c r="E646" s="66">
        <v>5.0</v>
      </c>
      <c r="F646" s="66" t="str">
        <f>IFERROR(__xludf.DUMMYFUNCTION("GOOGLETRANSLATE(A646,""en"",""pt"")"),"contadores")</f>
        <v>contadores</v>
      </c>
      <c r="G646" s="69"/>
    </row>
    <row r="647" ht="22.5" customHeight="1">
      <c r="A647" s="66" t="s">
        <v>938</v>
      </c>
      <c r="B647" s="67" t="str">
        <f t="shared" si="11"/>
        <v>M: someplace</v>
      </c>
      <c r="C647" s="68"/>
      <c r="D647" s="68">
        <v>45814.0</v>
      </c>
      <c r="E647" s="66">
        <v>6.0</v>
      </c>
      <c r="F647" s="66" t="str">
        <f>IFERROR(__xludf.DUMMYFUNCTION("GOOGLETRANSLATE(A647,""en"",""pt"")"),"algum lugar")</f>
        <v>algum lugar</v>
      </c>
      <c r="G647" s="69"/>
    </row>
    <row r="648" ht="22.5" customHeight="1">
      <c r="A648" s="66" t="s">
        <v>939</v>
      </c>
      <c r="B648" s="67" t="str">
        <f t="shared" si="11"/>
        <v>M: goes</v>
      </c>
      <c r="C648" s="68"/>
      <c r="D648" s="68">
        <v>45814.0</v>
      </c>
      <c r="E648" s="66">
        <v>7.0</v>
      </c>
      <c r="F648" s="66" t="str">
        <f>IFERROR(__xludf.DUMMYFUNCTION("GOOGLETRANSLATE(A648,""en"",""pt"")"),"vai")</f>
        <v>vai</v>
      </c>
      <c r="G648" s="69"/>
    </row>
    <row r="649" ht="22.5" customHeight="1">
      <c r="A649" s="66" t="s">
        <v>940</v>
      </c>
      <c r="B649" s="67" t="str">
        <f t="shared" si="11"/>
        <v>M: leverage</v>
      </c>
      <c r="C649" s="68"/>
      <c r="D649" s="68">
        <v>45814.0</v>
      </c>
      <c r="E649" s="66">
        <v>8.0</v>
      </c>
      <c r="F649" s="66" t="str">
        <f>IFERROR(__xludf.DUMMYFUNCTION("GOOGLETRANSLATE(A649,""en"",""pt"")"),"aproveitar")</f>
        <v>aproveitar</v>
      </c>
      <c r="G649" s="69"/>
    </row>
    <row r="650" ht="22.5" customHeight="1">
      <c r="A650" s="66" t="s">
        <v>941</v>
      </c>
      <c r="B650" s="67" t="str">
        <f t="shared" si="11"/>
        <v>M: no longer</v>
      </c>
      <c r="C650" s="68"/>
      <c r="D650" s="68">
        <v>45814.0</v>
      </c>
      <c r="E650" s="66">
        <v>9.0</v>
      </c>
      <c r="F650" s="66" t="str">
        <f>IFERROR(__xludf.DUMMYFUNCTION("GOOGLETRANSLATE(A650,""en"",""pt"")"),"não mais")</f>
        <v>não mais</v>
      </c>
      <c r="G650" s="69"/>
    </row>
    <row r="651" ht="22.5" customHeight="1">
      <c r="A651" s="66" t="s">
        <v>942</v>
      </c>
      <c r="B651" s="67" t="str">
        <f t="shared" si="11"/>
        <v>M: scrambling</v>
      </c>
      <c r="C651" s="68"/>
      <c r="D651" s="68">
        <v>45814.0</v>
      </c>
      <c r="E651" s="66">
        <v>10.0</v>
      </c>
      <c r="F651" s="66" t="str">
        <f>IFERROR(__xludf.DUMMYFUNCTION("GOOGLETRANSLATE(A651,""en"",""pt"")"),"correndo")</f>
        <v>correndo</v>
      </c>
      <c r="G651" s="69"/>
    </row>
    <row r="652" ht="22.5" customHeight="1">
      <c r="A652" s="66" t="s">
        <v>943</v>
      </c>
      <c r="B652" s="67" t="str">
        <f t="shared" si="11"/>
        <v>M: unpleasant</v>
      </c>
      <c r="C652" s="68"/>
      <c r="D652" s="68">
        <v>45815.0</v>
      </c>
      <c r="E652" s="66">
        <v>1.0</v>
      </c>
      <c r="F652" s="66" t="str">
        <f>IFERROR(__xludf.DUMMYFUNCTION("GOOGLETRANSLATE(A652,""en"",""pt"")"),"desagradável")</f>
        <v>desagradável</v>
      </c>
      <c r="G652" s="69"/>
    </row>
    <row r="653" ht="22.5" customHeight="1">
      <c r="A653" s="66" t="s">
        <v>944</v>
      </c>
      <c r="B653" s="67" t="str">
        <f t="shared" si="11"/>
        <v>M: forgot</v>
      </c>
      <c r="C653" s="68"/>
      <c r="D653" s="68">
        <v>45815.0</v>
      </c>
      <c r="E653" s="66">
        <v>2.0</v>
      </c>
      <c r="F653" s="66" t="str">
        <f>IFERROR(__xludf.DUMMYFUNCTION("GOOGLETRANSLATE(A653,""en"",""pt"")"),"esquecido")</f>
        <v>esquecido</v>
      </c>
      <c r="G653" s="69"/>
    </row>
    <row r="654" ht="22.5" customHeight="1">
      <c r="A654" s="66" t="s">
        <v>945</v>
      </c>
      <c r="B654" s="67" t="str">
        <f t="shared" si="11"/>
        <v>M: headquarters</v>
      </c>
      <c r="C654" s="68"/>
      <c r="D654" s="68">
        <v>45815.0</v>
      </c>
      <c r="E654" s="66">
        <v>3.0</v>
      </c>
      <c r="F654" s="66" t="str">
        <f>IFERROR(__xludf.DUMMYFUNCTION("GOOGLETRANSLATE(A654,""en"",""pt"")"),"sede")</f>
        <v>sede</v>
      </c>
      <c r="G654" s="69"/>
    </row>
    <row r="655" ht="22.5" customHeight="1">
      <c r="A655" s="66" t="s">
        <v>946</v>
      </c>
      <c r="B655" s="67" t="str">
        <f t="shared" si="11"/>
        <v>M: get started</v>
      </c>
      <c r="C655" s="68"/>
      <c r="D655" s="68">
        <v>45815.0</v>
      </c>
      <c r="E655" s="66">
        <v>4.0</v>
      </c>
      <c r="F655" s="66" t="str">
        <f>IFERROR(__xludf.DUMMYFUNCTION("GOOGLETRANSLATE(A655,""en"",""pt"")"),"Comece agora")</f>
        <v>Comece agora</v>
      </c>
      <c r="G655" s="69"/>
    </row>
    <row r="656" ht="22.5" customHeight="1">
      <c r="A656" s="66" t="s">
        <v>947</v>
      </c>
      <c r="B656" s="67" t="str">
        <f t="shared" si="11"/>
        <v>M: tape</v>
      </c>
      <c r="C656" s="68"/>
      <c r="D656" s="68">
        <v>45815.0</v>
      </c>
      <c r="E656" s="66">
        <v>5.0</v>
      </c>
      <c r="F656" s="66" t="str">
        <f>IFERROR(__xludf.DUMMYFUNCTION("GOOGLETRANSLATE(A656,""en"",""pt"")"),"fita")</f>
        <v>fita</v>
      </c>
      <c r="G656" s="69"/>
    </row>
    <row r="657" ht="22.5" customHeight="1">
      <c r="A657" s="66" t="s">
        <v>948</v>
      </c>
      <c r="B657" s="67" t="str">
        <f t="shared" si="11"/>
        <v>M: harassment</v>
      </c>
      <c r="C657" s="66">
        <v>1.0</v>
      </c>
      <c r="D657" s="68">
        <v>45815.0</v>
      </c>
      <c r="E657" s="66">
        <v>6.0</v>
      </c>
      <c r="F657" s="71" t="s">
        <v>949</v>
      </c>
      <c r="G657" s="66" t="s">
        <v>247</v>
      </c>
    </row>
    <row r="658" ht="22.5" customHeight="1">
      <c r="A658" s="66" t="s">
        <v>950</v>
      </c>
      <c r="B658" s="67" t="str">
        <f t="shared" si="11"/>
        <v>M: chopping off</v>
      </c>
      <c r="C658" s="68"/>
      <c r="D658" s="68">
        <v>45815.0</v>
      </c>
      <c r="E658" s="66">
        <v>7.0</v>
      </c>
      <c r="F658" s="66" t="str">
        <f>IFERROR(__xludf.DUMMYFUNCTION("GOOGLETRANSLATE(A658,""en"",""pt"")"),"cortando")</f>
        <v>cortando</v>
      </c>
      <c r="G658" s="69"/>
    </row>
    <row r="659" ht="22.5" customHeight="1">
      <c r="A659" s="66" t="s">
        <v>951</v>
      </c>
      <c r="B659" s="67" t="str">
        <f t="shared" si="11"/>
        <v>M: payroll</v>
      </c>
      <c r="C659" s="68"/>
      <c r="D659" s="68">
        <v>45815.0</v>
      </c>
      <c r="E659" s="66">
        <v>8.0</v>
      </c>
      <c r="F659" s="66" t="str">
        <f>IFERROR(__xludf.DUMMYFUNCTION("GOOGLETRANSLATE(A659,""en"",""pt"")"),"folha de pagamento")</f>
        <v>folha de pagamento</v>
      </c>
      <c r="G659" s="69"/>
    </row>
    <row r="660" ht="22.5" customHeight="1">
      <c r="A660" s="66" t="s">
        <v>952</v>
      </c>
      <c r="B660" s="67" t="str">
        <f t="shared" si="11"/>
        <v>M: postponed</v>
      </c>
      <c r="C660" s="68"/>
      <c r="D660" s="68">
        <v>45815.0</v>
      </c>
      <c r="E660" s="66">
        <v>9.0</v>
      </c>
      <c r="F660" s="66" t="str">
        <f>IFERROR(__xludf.DUMMYFUNCTION("GOOGLETRANSLATE(A660,""en"",""pt"")"),"postergado")</f>
        <v>postergado</v>
      </c>
      <c r="G660" s="69"/>
    </row>
    <row r="661" ht="22.5" customHeight="1">
      <c r="A661" s="66" t="s">
        <v>953</v>
      </c>
      <c r="B661" s="67" t="str">
        <f t="shared" si="11"/>
        <v>M: warehouse</v>
      </c>
      <c r="C661" s="66">
        <v>1.0</v>
      </c>
      <c r="D661" s="68">
        <v>45815.0</v>
      </c>
      <c r="E661" s="66">
        <v>10.0</v>
      </c>
      <c r="F661" s="71" t="s">
        <v>954</v>
      </c>
      <c r="G661" s="66" t="s">
        <v>247</v>
      </c>
    </row>
    <row r="662" ht="22.5" customHeight="1">
      <c r="A662" s="66" t="s">
        <v>955</v>
      </c>
      <c r="B662" s="67" t="str">
        <f t="shared" si="11"/>
        <v>M: grocery</v>
      </c>
      <c r="C662" s="68"/>
      <c r="D662" s="68">
        <v>45816.0</v>
      </c>
      <c r="E662" s="66">
        <v>1.0</v>
      </c>
      <c r="F662" s="66" t="str">
        <f>IFERROR(__xludf.DUMMYFUNCTION("GOOGLETRANSLATE(A662,""en"",""pt"")"),"mercado")</f>
        <v>mercado</v>
      </c>
      <c r="G662" s="69"/>
    </row>
    <row r="663" ht="22.5" customHeight="1">
      <c r="A663" s="66" t="s">
        <v>956</v>
      </c>
      <c r="B663" s="67" t="str">
        <f t="shared" si="11"/>
        <v>M: booty</v>
      </c>
      <c r="C663" s="68"/>
      <c r="D663" s="68">
        <v>45816.0</v>
      </c>
      <c r="E663" s="66">
        <v>2.0</v>
      </c>
      <c r="F663" s="66" t="str">
        <f>IFERROR(__xludf.DUMMYFUNCTION("GOOGLETRANSLATE(A663,""en"",""pt"")"),"saque")</f>
        <v>saque</v>
      </c>
      <c r="G663" s="69"/>
    </row>
    <row r="664" ht="22.5" customHeight="1">
      <c r="A664" s="66" t="s">
        <v>957</v>
      </c>
      <c r="B664" s="67" t="str">
        <f t="shared" si="11"/>
        <v>M: unseen</v>
      </c>
      <c r="C664" s="68"/>
      <c r="D664" s="68">
        <v>45816.0</v>
      </c>
      <c r="E664" s="66">
        <v>3.0</v>
      </c>
      <c r="F664" s="66" t="str">
        <f>IFERROR(__xludf.DUMMYFUNCTION("GOOGLETRANSLATE(A664,""en"",""pt"")"),"invisível")</f>
        <v>invisível</v>
      </c>
      <c r="G664" s="69"/>
    </row>
    <row r="665" ht="22.5" customHeight="1">
      <c r="A665" s="66" t="s">
        <v>958</v>
      </c>
      <c r="B665" s="67" t="str">
        <f t="shared" si="11"/>
        <v>M: dropped</v>
      </c>
      <c r="C665" s="68"/>
      <c r="D665" s="68">
        <v>45816.0</v>
      </c>
      <c r="E665" s="66">
        <v>4.0</v>
      </c>
      <c r="F665" s="66" t="str">
        <f>IFERROR(__xludf.DUMMYFUNCTION("GOOGLETRANSLATE(A665,""en"",""pt"")"),"derrubado")</f>
        <v>derrubado</v>
      </c>
      <c r="G665" s="69"/>
    </row>
    <row r="666" ht="22.5" customHeight="1">
      <c r="A666" s="66" t="s">
        <v>959</v>
      </c>
      <c r="B666" s="67" t="str">
        <f t="shared" si="11"/>
        <v>M: owe</v>
      </c>
      <c r="C666" s="68"/>
      <c r="D666" s="68">
        <v>45816.0</v>
      </c>
      <c r="E666" s="66">
        <v>5.0</v>
      </c>
      <c r="F666" s="66" t="str">
        <f>IFERROR(__xludf.DUMMYFUNCTION("GOOGLETRANSLATE(A666,""en"",""pt"")"),"dever")</f>
        <v>dever</v>
      </c>
      <c r="G666" s="69"/>
    </row>
    <row r="667" ht="22.5" customHeight="1">
      <c r="A667" s="66" t="s">
        <v>960</v>
      </c>
      <c r="B667" s="67" t="str">
        <f t="shared" si="11"/>
        <v>M: seriously</v>
      </c>
      <c r="C667" s="68"/>
      <c r="D667" s="68">
        <v>45816.0</v>
      </c>
      <c r="E667" s="66">
        <v>6.0</v>
      </c>
      <c r="F667" s="66" t="str">
        <f>IFERROR(__xludf.DUMMYFUNCTION("GOOGLETRANSLATE(A667,""en"",""pt"")"),"seriamente")</f>
        <v>seriamente</v>
      </c>
      <c r="G667" s="69"/>
    </row>
    <row r="668" ht="22.5" customHeight="1">
      <c r="A668" s="66" t="s">
        <v>961</v>
      </c>
      <c r="B668" s="67" t="str">
        <f t="shared" si="11"/>
        <v>M: sunny</v>
      </c>
      <c r="C668" s="68"/>
      <c r="D668" s="68">
        <v>45816.0</v>
      </c>
      <c r="E668" s="66">
        <v>7.0</v>
      </c>
      <c r="F668" s="66" t="str">
        <f>IFERROR(__xludf.DUMMYFUNCTION("GOOGLETRANSLATE(A668,""en"",""pt"")"),"ensolarado")</f>
        <v>ensolarado</v>
      </c>
      <c r="G668" s="69"/>
    </row>
    <row r="669" ht="22.5" customHeight="1">
      <c r="A669" s="66" t="s">
        <v>962</v>
      </c>
      <c r="B669" s="67" t="str">
        <f t="shared" si="11"/>
        <v>M: lowering</v>
      </c>
      <c r="C669" s="68"/>
      <c r="D669" s="68">
        <v>45816.0</v>
      </c>
      <c r="E669" s="66">
        <v>8.0</v>
      </c>
      <c r="F669" s="66" t="str">
        <f>IFERROR(__xludf.DUMMYFUNCTION("GOOGLETRANSLATE(A669,""en"",""pt"")"),"abaixando")</f>
        <v>abaixando</v>
      </c>
      <c r="G669" s="69"/>
    </row>
    <row r="670" ht="22.5" customHeight="1">
      <c r="A670" s="66" t="s">
        <v>963</v>
      </c>
      <c r="B670" s="67" t="str">
        <f t="shared" si="11"/>
        <v>M: attracted</v>
      </c>
      <c r="C670" s="68"/>
      <c r="D670" s="68">
        <v>45816.0</v>
      </c>
      <c r="E670" s="66">
        <v>9.0</v>
      </c>
      <c r="F670" s="66" t="str">
        <f>IFERROR(__xludf.DUMMYFUNCTION("GOOGLETRANSLATE(A670,""en"",""pt"")"),"atraído")</f>
        <v>atraído</v>
      </c>
      <c r="G670" s="69"/>
    </row>
    <row r="671" ht="22.5" customHeight="1">
      <c r="A671" s="66" t="s">
        <v>964</v>
      </c>
      <c r="B671" s="67" t="str">
        <f t="shared" si="11"/>
        <v>M: honeymoon</v>
      </c>
      <c r="C671" s="68"/>
      <c r="D671" s="68">
        <v>45816.0</v>
      </c>
      <c r="E671" s="66">
        <v>10.0</v>
      </c>
      <c r="F671" s="66" t="str">
        <f>IFERROR(__xludf.DUMMYFUNCTION("GOOGLETRANSLATE(A671,""en"",""pt"")"),"lua de mel")</f>
        <v>lua de mel</v>
      </c>
      <c r="G671" s="69"/>
    </row>
    <row r="672" ht="22.5" customHeight="1">
      <c r="A672" s="66" t="s">
        <v>965</v>
      </c>
      <c r="B672" s="67" t="str">
        <f t="shared" si="11"/>
        <v>M: fart</v>
      </c>
      <c r="C672" s="68"/>
      <c r="D672" s="68">
        <v>45817.0</v>
      </c>
      <c r="E672" s="66">
        <v>1.0</v>
      </c>
      <c r="F672" s="66" t="str">
        <f>IFERROR(__xludf.DUMMYFUNCTION("GOOGLETRANSLATE(A672,""en"",""pt"")"),"peido")</f>
        <v>peido</v>
      </c>
      <c r="G672" s="69"/>
    </row>
    <row r="673" ht="22.5" customHeight="1">
      <c r="A673" s="66" t="s">
        <v>966</v>
      </c>
      <c r="B673" s="67" t="str">
        <f t="shared" si="11"/>
        <v>M: sucks</v>
      </c>
      <c r="C673" s="68"/>
      <c r="D673" s="68">
        <v>45817.0</v>
      </c>
      <c r="E673" s="66">
        <v>2.0</v>
      </c>
      <c r="F673" s="66" t="str">
        <f>IFERROR(__xludf.DUMMYFUNCTION("GOOGLETRANSLATE(A673,""en"",""pt"")"),"é uma droga")</f>
        <v>é uma droga</v>
      </c>
      <c r="G673" s="69"/>
    </row>
    <row r="674" ht="22.5" customHeight="1">
      <c r="A674" s="66" t="s">
        <v>967</v>
      </c>
      <c r="B674" s="67" t="str">
        <f t="shared" si="11"/>
        <v>M: dropping off</v>
      </c>
      <c r="C674" s="68"/>
      <c r="D674" s="68">
        <v>45817.0</v>
      </c>
      <c r="E674" s="66">
        <v>3.0</v>
      </c>
      <c r="F674" s="66" t="str">
        <f>IFERROR(__xludf.DUMMYFUNCTION("GOOGLETRANSLATE(A674,""en"",""pt"")"),"deixando")</f>
        <v>deixando</v>
      </c>
      <c r="G674" s="69"/>
    </row>
    <row r="675" ht="22.5" customHeight="1">
      <c r="A675" s="66" t="s">
        <v>968</v>
      </c>
      <c r="B675" s="67" t="str">
        <f t="shared" si="11"/>
        <v>M: next up</v>
      </c>
      <c r="C675" s="68"/>
      <c r="D675" s="68">
        <v>45817.0</v>
      </c>
      <c r="E675" s="66">
        <v>4.0</v>
      </c>
      <c r="F675" s="66" t="str">
        <f>IFERROR(__xludf.DUMMYFUNCTION("GOOGLETRANSLATE(A675,""en"",""pt"")"),"a seguir")</f>
        <v>a seguir</v>
      </c>
      <c r="G675" s="69"/>
    </row>
    <row r="676" ht="22.5" customHeight="1">
      <c r="A676" s="66" t="s">
        <v>969</v>
      </c>
      <c r="B676" s="67" t="str">
        <f t="shared" si="11"/>
        <v>M: treating</v>
      </c>
      <c r="C676" s="68"/>
      <c r="D676" s="68">
        <v>45817.0</v>
      </c>
      <c r="E676" s="66">
        <v>5.0</v>
      </c>
      <c r="F676" s="66" t="str">
        <f>IFERROR(__xludf.DUMMYFUNCTION("GOOGLETRANSLATE(A676,""en"",""pt"")"),"tratamento")</f>
        <v>tratamento</v>
      </c>
      <c r="G676" s="69"/>
    </row>
    <row r="677" ht="22.5" customHeight="1">
      <c r="A677" s="66" t="s">
        <v>970</v>
      </c>
      <c r="B677" s="67" t="str">
        <f t="shared" si="11"/>
        <v>M: hangers</v>
      </c>
      <c r="C677" s="66">
        <v>1.0</v>
      </c>
      <c r="D677" s="68">
        <v>45817.0</v>
      </c>
      <c r="E677" s="66">
        <v>6.0</v>
      </c>
      <c r="F677" s="66" t="s">
        <v>971</v>
      </c>
      <c r="G677" s="66" t="s">
        <v>247</v>
      </c>
    </row>
    <row r="678" ht="22.5" customHeight="1">
      <c r="A678" s="66" t="s">
        <v>972</v>
      </c>
      <c r="B678" s="67" t="str">
        <f t="shared" si="11"/>
        <v>M: firefighter</v>
      </c>
      <c r="C678" s="68"/>
      <c r="D678" s="68">
        <v>45817.0</v>
      </c>
      <c r="E678" s="66">
        <v>7.0</v>
      </c>
      <c r="F678" s="66" t="str">
        <f>IFERROR(__xludf.DUMMYFUNCTION("GOOGLETRANSLATE(A678,""en"",""pt"")"),"bombeiro")</f>
        <v>bombeiro</v>
      </c>
      <c r="G678" s="69"/>
    </row>
    <row r="679" ht="22.5" customHeight="1">
      <c r="A679" s="66" t="s">
        <v>973</v>
      </c>
      <c r="B679" s="67" t="str">
        <f t="shared" si="11"/>
        <v>M: bragging</v>
      </c>
      <c r="C679" s="66">
        <v>1.0</v>
      </c>
      <c r="D679" s="68">
        <v>45817.0</v>
      </c>
      <c r="E679" s="66">
        <v>8.0</v>
      </c>
      <c r="F679" s="66" t="s">
        <v>974</v>
      </c>
      <c r="G679" s="66" t="s">
        <v>247</v>
      </c>
    </row>
    <row r="680" ht="22.5" customHeight="1">
      <c r="A680" s="66" t="s">
        <v>975</v>
      </c>
      <c r="B680" s="67" t="str">
        <f t="shared" si="11"/>
        <v>M: get set</v>
      </c>
      <c r="C680" s="68"/>
      <c r="D680" s="68">
        <v>45817.0</v>
      </c>
      <c r="E680" s="66">
        <v>9.0</v>
      </c>
      <c r="F680" s="66" t="str">
        <f>IFERROR(__xludf.DUMMYFUNCTION("GOOGLETRANSLATE(A680,""en"",""pt"")"),"prepare-se")</f>
        <v>prepare-se</v>
      </c>
      <c r="G680" s="69"/>
    </row>
    <row r="681" ht="22.5" customHeight="1">
      <c r="A681" s="66" t="s">
        <v>976</v>
      </c>
      <c r="B681" s="67" t="str">
        <f t="shared" si="11"/>
        <v>M: folk</v>
      </c>
      <c r="C681" s="68"/>
      <c r="D681" s="68">
        <v>45817.0</v>
      </c>
      <c r="E681" s="66">
        <v>10.0</v>
      </c>
      <c r="F681" s="66" t="str">
        <f>IFERROR(__xludf.DUMMYFUNCTION("GOOGLETRANSLATE(A681,""en"",""pt"")"),"povo")</f>
        <v>povo</v>
      </c>
      <c r="G681" s="69"/>
    </row>
    <row r="682" ht="22.5" customHeight="1">
      <c r="A682" s="66" t="s">
        <v>977</v>
      </c>
      <c r="B682" s="67" t="str">
        <f t="shared" si="11"/>
        <v>M: delight</v>
      </c>
      <c r="C682" s="68"/>
      <c r="D682" s="68">
        <v>45818.0</v>
      </c>
      <c r="E682" s="66">
        <v>1.0</v>
      </c>
      <c r="F682" s="66" t="str">
        <f>IFERROR(__xludf.DUMMYFUNCTION("GOOGLETRANSLATE(A682,""en"",""pt"")"),"prazer")</f>
        <v>prazer</v>
      </c>
      <c r="G682" s="69"/>
    </row>
    <row r="683" ht="22.5" customHeight="1">
      <c r="A683" s="66" t="s">
        <v>978</v>
      </c>
      <c r="B683" s="67" t="str">
        <f t="shared" si="11"/>
        <v>M: disgusting</v>
      </c>
      <c r="C683" s="68"/>
      <c r="D683" s="68">
        <v>45818.0</v>
      </c>
      <c r="E683" s="66">
        <v>2.0</v>
      </c>
      <c r="F683" s="66" t="str">
        <f>IFERROR(__xludf.DUMMYFUNCTION("GOOGLETRANSLATE(A683,""en"",""pt"")"),"nojento")</f>
        <v>nojento</v>
      </c>
      <c r="G683" s="69"/>
    </row>
    <row r="684" ht="22.5" customHeight="1">
      <c r="A684" s="66" t="s">
        <v>979</v>
      </c>
      <c r="B684" s="67" t="str">
        <f t="shared" si="11"/>
        <v>M: stepdad</v>
      </c>
      <c r="C684" s="68"/>
      <c r="D684" s="68">
        <v>45818.0</v>
      </c>
      <c r="E684" s="66">
        <v>3.0</v>
      </c>
      <c r="F684" s="66" t="str">
        <f>IFERROR(__xludf.DUMMYFUNCTION("GOOGLETRANSLATE(A684,""en"",""pt"")"),"padrasto")</f>
        <v>padrasto</v>
      </c>
      <c r="G684" s="69"/>
    </row>
    <row r="685" ht="22.5" customHeight="1">
      <c r="A685" s="66" t="s">
        <v>980</v>
      </c>
      <c r="B685" s="67" t="str">
        <f t="shared" si="11"/>
        <v>M: undersell</v>
      </c>
      <c r="C685" s="66">
        <v>1.0</v>
      </c>
      <c r="D685" s="68">
        <v>45818.0</v>
      </c>
      <c r="E685" s="66">
        <v>4.0</v>
      </c>
      <c r="F685" s="66" t="s">
        <v>981</v>
      </c>
      <c r="G685" s="66" t="s">
        <v>247</v>
      </c>
    </row>
    <row r="686" ht="22.5" customHeight="1">
      <c r="A686" s="66" t="s">
        <v>982</v>
      </c>
      <c r="B686" s="67" t="str">
        <f t="shared" si="11"/>
        <v>M: poetry</v>
      </c>
      <c r="C686" s="68"/>
      <c r="D686" s="68">
        <v>45818.0</v>
      </c>
      <c r="E686" s="66">
        <v>5.0</v>
      </c>
      <c r="F686" s="66" t="str">
        <f>IFERROR(__xludf.DUMMYFUNCTION("GOOGLETRANSLATE(A686,""en"",""pt"")"),"poesia")</f>
        <v>poesia</v>
      </c>
      <c r="G686" s="69"/>
    </row>
    <row r="687" ht="22.5" customHeight="1">
      <c r="A687" s="66" t="s">
        <v>983</v>
      </c>
      <c r="B687" s="67" t="str">
        <f t="shared" si="11"/>
        <v>M: deadline</v>
      </c>
      <c r="C687" s="66">
        <v>1.0</v>
      </c>
      <c r="D687" s="68">
        <v>45818.0</v>
      </c>
      <c r="E687" s="66">
        <v>6.0</v>
      </c>
      <c r="F687" s="71" t="s">
        <v>984</v>
      </c>
      <c r="G687" s="66" t="s">
        <v>247</v>
      </c>
    </row>
    <row r="688" ht="22.5" customHeight="1">
      <c r="A688" s="66" t="s">
        <v>985</v>
      </c>
      <c r="B688" s="67" t="str">
        <f t="shared" si="11"/>
        <v>M: screwed</v>
      </c>
      <c r="C688" s="66">
        <v>1.0</v>
      </c>
      <c r="D688" s="68">
        <v>45818.0</v>
      </c>
      <c r="E688" s="66">
        <v>7.0</v>
      </c>
      <c r="F688" s="66" t="s">
        <v>986</v>
      </c>
      <c r="G688" s="66" t="s">
        <v>247</v>
      </c>
    </row>
    <row r="689" ht="22.5" customHeight="1">
      <c r="A689" s="66" t="s">
        <v>987</v>
      </c>
      <c r="B689" s="67" t="str">
        <f t="shared" si="11"/>
        <v>M: namely</v>
      </c>
      <c r="C689" s="68"/>
      <c r="D689" s="68">
        <v>45818.0</v>
      </c>
      <c r="E689" s="66">
        <v>8.0</v>
      </c>
      <c r="F689" s="66" t="str">
        <f>IFERROR(__xludf.DUMMYFUNCTION("GOOGLETRANSLATE(A689,""en"",""pt"")"),"nomeadamente")</f>
        <v>nomeadamente</v>
      </c>
      <c r="G689" s="69"/>
    </row>
    <row r="690" ht="22.5" customHeight="1">
      <c r="A690" s="66" t="s">
        <v>988</v>
      </c>
      <c r="B690" s="67" t="str">
        <f t="shared" si="11"/>
        <v>M: niece</v>
      </c>
      <c r="C690" s="68"/>
      <c r="D690" s="68">
        <v>45818.0</v>
      </c>
      <c r="E690" s="66">
        <v>9.0</v>
      </c>
      <c r="F690" s="66" t="str">
        <f>IFERROR(__xludf.DUMMYFUNCTION("GOOGLETRANSLATE(A690,""en"",""pt"")"),"sobrinha")</f>
        <v>sobrinha</v>
      </c>
      <c r="G690" s="69"/>
    </row>
    <row r="691" ht="22.5" customHeight="1">
      <c r="A691" s="66" t="s">
        <v>989</v>
      </c>
      <c r="B691" s="67" t="str">
        <f t="shared" si="11"/>
        <v>M: betrayal</v>
      </c>
      <c r="C691" s="68"/>
      <c r="D691" s="68">
        <v>45818.0</v>
      </c>
      <c r="E691" s="66">
        <v>10.0</v>
      </c>
      <c r="F691" s="66" t="str">
        <f>IFERROR(__xludf.DUMMYFUNCTION("GOOGLETRANSLATE(A691,""en"",""pt"")"),"traição")</f>
        <v>traição</v>
      </c>
      <c r="G691" s="69"/>
    </row>
    <row r="692" ht="22.5" customHeight="1">
      <c r="A692" s="66" t="s">
        <v>990</v>
      </c>
      <c r="B692" s="67" t="str">
        <f t="shared" si="11"/>
        <v>M: douche</v>
      </c>
      <c r="C692" s="66">
        <v>1.0</v>
      </c>
      <c r="D692" s="68">
        <v>45819.0</v>
      </c>
      <c r="E692" s="66">
        <v>1.0</v>
      </c>
      <c r="F692" s="66" t="s">
        <v>991</v>
      </c>
      <c r="G692" s="69"/>
    </row>
    <row r="693" ht="22.5" customHeight="1">
      <c r="A693" s="66" t="s">
        <v>992</v>
      </c>
      <c r="B693" s="67" t="str">
        <f t="shared" si="11"/>
        <v>M: shattered</v>
      </c>
      <c r="C693" s="68"/>
      <c r="D693" s="68">
        <v>45819.0</v>
      </c>
      <c r="E693" s="66">
        <v>2.0</v>
      </c>
      <c r="F693" s="66" t="str">
        <f>IFERROR(__xludf.DUMMYFUNCTION("GOOGLETRANSLATE(A693,""en"",""pt"")"),"estilhaçado")</f>
        <v>estilhaçado</v>
      </c>
      <c r="G693" s="69"/>
    </row>
    <row r="694" ht="22.5" customHeight="1">
      <c r="A694" s="66" t="s">
        <v>993</v>
      </c>
      <c r="B694" s="67" t="str">
        <f t="shared" si="11"/>
        <v>M: thrilled</v>
      </c>
      <c r="C694" s="68"/>
      <c r="D694" s="68">
        <v>45819.0</v>
      </c>
      <c r="E694" s="66">
        <v>3.0</v>
      </c>
      <c r="F694" s="66" t="str">
        <f>IFERROR(__xludf.DUMMYFUNCTION("GOOGLETRANSLATE(A694,""en"",""pt"")"),"entusiasmado")</f>
        <v>entusiasmado</v>
      </c>
      <c r="G694" s="69"/>
    </row>
    <row r="695" ht="22.5" customHeight="1">
      <c r="A695" s="66" t="s">
        <v>994</v>
      </c>
      <c r="B695" s="67" t="str">
        <f t="shared" si="11"/>
        <v>M: merciless</v>
      </c>
      <c r="C695" s="68"/>
      <c r="D695" s="68">
        <v>45819.0</v>
      </c>
      <c r="E695" s="66">
        <v>4.0</v>
      </c>
      <c r="F695" s="66" t="str">
        <f>IFERROR(__xludf.DUMMYFUNCTION("GOOGLETRANSLATE(A695,""en"",""pt"")"),"impiedoso")</f>
        <v>impiedoso</v>
      </c>
      <c r="G695" s="69"/>
    </row>
    <row r="696" ht="22.5" customHeight="1">
      <c r="A696" s="66" t="s">
        <v>995</v>
      </c>
      <c r="B696" s="67" t="str">
        <f t="shared" si="11"/>
        <v>M: muchly</v>
      </c>
      <c r="C696" s="68"/>
      <c r="D696" s="68">
        <v>45819.0</v>
      </c>
      <c r="E696" s="66">
        <v>5.0</v>
      </c>
      <c r="F696" s="66" t="str">
        <f>IFERROR(__xludf.DUMMYFUNCTION("GOOGLETRANSLATE(A696,""en"",""pt"")"),"muito")</f>
        <v>muito</v>
      </c>
      <c r="G696" s="69"/>
    </row>
    <row r="697" ht="22.5" customHeight="1">
      <c r="A697" s="66" t="s">
        <v>996</v>
      </c>
      <c r="B697" s="67" t="str">
        <f t="shared" si="11"/>
        <v>M: personnel</v>
      </c>
      <c r="C697" s="68"/>
      <c r="D697" s="68">
        <v>45819.0</v>
      </c>
      <c r="E697" s="66">
        <v>6.0</v>
      </c>
      <c r="F697" s="66" t="str">
        <f>IFERROR(__xludf.DUMMYFUNCTION("GOOGLETRANSLATE(A697,""en"",""pt"")"),"pessoal")</f>
        <v>pessoal</v>
      </c>
      <c r="G697" s="69"/>
    </row>
    <row r="698" ht="22.5" customHeight="1">
      <c r="A698" s="66" t="s">
        <v>997</v>
      </c>
      <c r="B698" s="67" t="str">
        <f t="shared" si="11"/>
        <v>M: turnover</v>
      </c>
      <c r="C698" s="68"/>
      <c r="D698" s="68">
        <v>45819.0</v>
      </c>
      <c r="E698" s="66">
        <v>7.0</v>
      </c>
      <c r="F698" s="66" t="str">
        <f>IFERROR(__xludf.DUMMYFUNCTION("GOOGLETRANSLATE(A698,""en"",""pt"")"),"faturamento")</f>
        <v>faturamento</v>
      </c>
      <c r="G698" s="69"/>
    </row>
    <row r="699" ht="22.5" customHeight="1">
      <c r="A699" s="66" t="s">
        <v>998</v>
      </c>
      <c r="B699" s="67" t="str">
        <f t="shared" si="11"/>
        <v>M: west</v>
      </c>
      <c r="C699" s="66">
        <v>1.0</v>
      </c>
      <c r="D699" s="68">
        <v>45819.0</v>
      </c>
      <c r="E699" s="66">
        <v>8.0</v>
      </c>
      <c r="F699" s="71" t="s">
        <v>999</v>
      </c>
      <c r="G699" s="66" t="s">
        <v>247</v>
      </c>
    </row>
    <row r="700" ht="22.5" customHeight="1">
      <c r="A700" s="66" t="s">
        <v>1000</v>
      </c>
      <c r="B700" s="67" t="str">
        <f t="shared" si="11"/>
        <v>M: east</v>
      </c>
      <c r="C700" s="66">
        <v>1.0</v>
      </c>
      <c r="D700" s="68">
        <v>45819.0</v>
      </c>
      <c r="E700" s="66">
        <v>9.0</v>
      </c>
      <c r="F700" s="71" t="s">
        <v>1001</v>
      </c>
      <c r="G700" s="66" t="s">
        <v>247</v>
      </c>
    </row>
    <row r="701" ht="22.5" customHeight="1">
      <c r="A701" s="66" t="s">
        <v>1002</v>
      </c>
      <c r="B701" s="67" t="str">
        <f t="shared" si="11"/>
        <v>M: nailed it</v>
      </c>
      <c r="C701" s="68"/>
      <c r="D701" s="68">
        <v>45819.0</v>
      </c>
      <c r="E701" s="66">
        <v>10.0</v>
      </c>
      <c r="F701" s="66" t="str">
        <f>IFERROR(__xludf.DUMMYFUNCTION("GOOGLETRANSLATE(A701,""en"",""pt"")"),"Acertou em cheio!")</f>
        <v>Acertou em cheio!</v>
      </c>
      <c r="G701" s="69"/>
    </row>
    <row r="702" ht="22.5" customHeight="1">
      <c r="A702" s="66" t="s">
        <v>1003</v>
      </c>
      <c r="B702" s="67" t="str">
        <f t="shared" si="11"/>
        <v>M: weirdo</v>
      </c>
      <c r="C702" s="68"/>
      <c r="D702" s="68">
        <v>45820.0</v>
      </c>
      <c r="E702" s="66">
        <v>1.0</v>
      </c>
      <c r="F702" s="66" t="str">
        <f>IFERROR(__xludf.DUMMYFUNCTION("GOOGLETRANSLATE(A702,""en"",""pt"")"),"esquisito")</f>
        <v>esquisito</v>
      </c>
      <c r="G702" s="69"/>
    </row>
    <row r="703" ht="22.5" customHeight="1">
      <c r="A703" s="66" t="s">
        <v>1004</v>
      </c>
      <c r="B703" s="67" t="str">
        <f t="shared" si="11"/>
        <v>M: creeps me out</v>
      </c>
      <c r="C703" s="68"/>
      <c r="D703" s="68">
        <v>45820.0</v>
      </c>
      <c r="E703" s="66">
        <v>2.0</v>
      </c>
      <c r="F703" s="66" t="str">
        <f>IFERROR(__xludf.DUMMYFUNCTION("GOOGLETRANSLATE(A703,""en"",""pt"")"),"me dá arrepios")</f>
        <v>me dá arrepios</v>
      </c>
      <c r="G703" s="69"/>
    </row>
    <row r="704" ht="22.5" customHeight="1">
      <c r="A704" s="66" t="s">
        <v>1005</v>
      </c>
      <c r="B704" s="67" t="str">
        <f t="shared" si="11"/>
        <v>M: temp</v>
      </c>
      <c r="C704" s="68"/>
      <c r="D704" s="68">
        <v>45820.0</v>
      </c>
      <c r="E704" s="66">
        <v>3.0</v>
      </c>
      <c r="F704" s="66" t="str">
        <f>IFERROR(__xludf.DUMMYFUNCTION("GOOGLETRANSLATE(A704,""en"",""pt"")"),"temperatura")</f>
        <v>temperatura</v>
      </c>
      <c r="G704" s="69"/>
    </row>
    <row r="705" ht="22.5" customHeight="1">
      <c r="A705" s="66" t="s">
        <v>1006</v>
      </c>
      <c r="B705" s="67" t="str">
        <f t="shared" si="11"/>
        <v>M: handling</v>
      </c>
      <c r="C705" s="68"/>
      <c r="D705" s="68">
        <v>45820.0</v>
      </c>
      <c r="E705" s="66">
        <v>4.0</v>
      </c>
      <c r="F705" s="66" t="str">
        <f>IFERROR(__xludf.DUMMYFUNCTION("GOOGLETRANSLATE(A705,""en"",""pt"")"),"manuseio")</f>
        <v>manuseio</v>
      </c>
      <c r="G705" s="69"/>
    </row>
    <row r="706" ht="22.5" customHeight="1">
      <c r="A706" s="66" t="s">
        <v>1007</v>
      </c>
      <c r="B706" s="67" t="str">
        <f t="shared" si="11"/>
        <v>M: chains</v>
      </c>
      <c r="C706" s="68"/>
      <c r="D706" s="68">
        <v>45820.0</v>
      </c>
      <c r="E706" s="66">
        <v>5.0</v>
      </c>
      <c r="F706" s="66" t="str">
        <f>IFERROR(__xludf.DUMMYFUNCTION("GOOGLETRANSLATE(A706,""en"",""pt"")"),"correntes")</f>
        <v>correntes</v>
      </c>
      <c r="G706" s="69"/>
    </row>
    <row r="707" ht="22.5" customHeight="1">
      <c r="A707" s="66" t="s">
        <v>1008</v>
      </c>
      <c r="B707" s="67" t="str">
        <f t="shared" si="11"/>
        <v>M: beady</v>
      </c>
      <c r="C707" s="68"/>
      <c r="D707" s="68">
        <v>45820.0</v>
      </c>
      <c r="E707" s="66">
        <v>6.0</v>
      </c>
      <c r="F707" s="66" t="str">
        <f>IFERROR(__xludf.DUMMYFUNCTION("GOOGLETRANSLATE(A707,""en"",""pt"")"),"contas")</f>
        <v>contas</v>
      </c>
      <c r="G707" s="69"/>
    </row>
    <row r="708" ht="22.5" customHeight="1">
      <c r="A708" s="66" t="s">
        <v>1009</v>
      </c>
      <c r="B708" s="67" t="str">
        <f t="shared" si="11"/>
        <v>M: freaking</v>
      </c>
      <c r="C708" s="68"/>
      <c r="D708" s="68">
        <v>45820.0</v>
      </c>
      <c r="E708" s="66">
        <v>7.0</v>
      </c>
      <c r="F708" s="66" t="str">
        <f>IFERROR(__xludf.DUMMYFUNCTION("GOOGLETRANSLATE(A708,""en"",""pt"")"),"caralho")</f>
        <v>caralho</v>
      </c>
      <c r="G708" s="69"/>
    </row>
    <row r="709" ht="22.5" customHeight="1">
      <c r="A709" s="66" t="s">
        <v>1010</v>
      </c>
      <c r="B709" s="67" t="str">
        <f t="shared" si="11"/>
        <v>M: accomplish</v>
      </c>
      <c r="C709" s="68"/>
      <c r="D709" s="68">
        <v>45820.0</v>
      </c>
      <c r="E709" s="66">
        <v>8.0</v>
      </c>
      <c r="F709" s="66" t="str">
        <f>IFERROR(__xludf.DUMMYFUNCTION("GOOGLETRANSLATE(A709,""en"",""pt"")"),"concluir")</f>
        <v>concluir</v>
      </c>
      <c r="G709" s="69"/>
    </row>
    <row r="710" ht="22.5" customHeight="1">
      <c r="A710" s="66" t="s">
        <v>1011</v>
      </c>
      <c r="B710" s="67" t="str">
        <f t="shared" si="11"/>
        <v>M: waitress</v>
      </c>
      <c r="C710" s="68"/>
      <c r="D710" s="68">
        <v>45820.0</v>
      </c>
      <c r="E710" s="66">
        <v>9.0</v>
      </c>
      <c r="F710" s="66" t="str">
        <f>IFERROR(__xludf.DUMMYFUNCTION("GOOGLETRANSLATE(A710,""en"",""pt"")"),"garçonete")</f>
        <v>garçonete</v>
      </c>
      <c r="G710" s="69"/>
    </row>
    <row r="711" ht="22.5" customHeight="1">
      <c r="A711" s="66" t="s">
        <v>1012</v>
      </c>
      <c r="B711" s="67" t="str">
        <f t="shared" si="11"/>
        <v>M: overreaction</v>
      </c>
      <c r="C711" s="68"/>
      <c r="D711" s="68">
        <v>45820.0</v>
      </c>
      <c r="E711" s="66">
        <v>10.0</v>
      </c>
      <c r="F711" s="66" t="str">
        <f>IFERROR(__xludf.DUMMYFUNCTION("GOOGLETRANSLATE(A711,""en"",""pt"")"),"reação exagerada")</f>
        <v>reação exagerada</v>
      </c>
      <c r="G711" s="69"/>
    </row>
    <row r="712" ht="22.5" customHeight="1">
      <c r="A712" s="66" t="s">
        <v>1013</v>
      </c>
      <c r="B712" s="67" t="str">
        <f t="shared" si="11"/>
        <v>M: misjudged</v>
      </c>
      <c r="C712" s="68"/>
      <c r="D712" s="68">
        <v>45821.0</v>
      </c>
      <c r="E712" s="66">
        <v>1.0</v>
      </c>
      <c r="F712" s="66" t="str">
        <f>IFERROR(__xludf.DUMMYFUNCTION("GOOGLETRANSLATE(A712,""en"",""pt"")"),"mal avaliado")</f>
        <v>mal avaliado</v>
      </c>
      <c r="G712" s="69"/>
    </row>
    <row r="713" ht="22.5" customHeight="1">
      <c r="A713" s="66" t="s">
        <v>1014</v>
      </c>
      <c r="B713" s="67" t="str">
        <f t="shared" si="11"/>
        <v>M: sucking up</v>
      </c>
      <c r="C713" s="68"/>
      <c r="D713" s="68">
        <v>45821.0</v>
      </c>
      <c r="E713" s="66">
        <v>2.0</v>
      </c>
      <c r="F713" s="66" t="str">
        <f>IFERROR(__xludf.DUMMYFUNCTION("GOOGLETRANSLATE(A713,""en"",""pt"")"),"puxa-saquismo")</f>
        <v>puxa-saquismo</v>
      </c>
      <c r="G713" s="69"/>
    </row>
    <row r="714" ht="22.5" customHeight="1">
      <c r="A714" s="66" t="s">
        <v>1015</v>
      </c>
      <c r="B714" s="67" t="str">
        <f t="shared" si="11"/>
        <v>M: tardiness</v>
      </c>
      <c r="C714" s="68"/>
      <c r="D714" s="68">
        <v>45821.0</v>
      </c>
      <c r="E714" s="66">
        <v>3.0</v>
      </c>
      <c r="F714" s="66" t="str">
        <f>IFERROR(__xludf.DUMMYFUNCTION("GOOGLETRANSLATE(A714,""en"",""pt"")"),"atraso")</f>
        <v>atraso</v>
      </c>
      <c r="G714" s="69"/>
    </row>
    <row r="715" ht="22.5" customHeight="1">
      <c r="A715" s="66" t="s">
        <v>1016</v>
      </c>
      <c r="B715" s="67" t="str">
        <f t="shared" si="11"/>
        <v>M: flashed</v>
      </c>
      <c r="C715" s="68"/>
      <c r="D715" s="68">
        <v>45821.0</v>
      </c>
      <c r="E715" s="66">
        <v>4.0</v>
      </c>
      <c r="F715" s="66" t="str">
        <f>IFERROR(__xludf.DUMMYFUNCTION("GOOGLETRANSLATE(A715,""en"",""pt"")"),"brilhou")</f>
        <v>brilhou</v>
      </c>
      <c r="G715" s="69"/>
    </row>
    <row r="716" ht="22.5" customHeight="1">
      <c r="A716" s="66" t="s">
        <v>1017</v>
      </c>
      <c r="B716" s="67" t="str">
        <f t="shared" si="11"/>
        <v>M: excitement</v>
      </c>
      <c r="C716" s="68"/>
      <c r="D716" s="68">
        <v>45821.0</v>
      </c>
      <c r="E716" s="66">
        <v>5.0</v>
      </c>
      <c r="F716" s="66" t="str">
        <f>IFERROR(__xludf.DUMMYFUNCTION("GOOGLETRANSLATE(A716,""en"",""pt"")"),"excitação")</f>
        <v>excitação</v>
      </c>
      <c r="G716" s="69"/>
    </row>
    <row r="717" ht="22.5" customHeight="1">
      <c r="A717" s="66" t="s">
        <v>1018</v>
      </c>
      <c r="B717" s="67" t="str">
        <f t="shared" si="11"/>
        <v>M: foliage</v>
      </c>
      <c r="C717" s="68"/>
      <c r="D717" s="68">
        <v>45821.0</v>
      </c>
      <c r="E717" s="66">
        <v>6.0</v>
      </c>
      <c r="F717" s="66" t="str">
        <f>IFERROR(__xludf.DUMMYFUNCTION("GOOGLETRANSLATE(A717,""en"",""pt"")"),"folhagem")</f>
        <v>folhagem</v>
      </c>
      <c r="G717" s="69"/>
    </row>
    <row r="718" ht="22.5" customHeight="1">
      <c r="A718" s="66" t="s">
        <v>1019</v>
      </c>
      <c r="B718" s="67" t="str">
        <f t="shared" si="11"/>
        <v>M: floodlight</v>
      </c>
      <c r="C718" s="68"/>
      <c r="D718" s="68">
        <v>45821.0</v>
      </c>
      <c r="E718" s="66">
        <v>7.0</v>
      </c>
      <c r="F718" s="66" t="str">
        <f>IFERROR(__xludf.DUMMYFUNCTION("GOOGLETRANSLATE(A718,""en"",""pt"")"),"holofote")</f>
        <v>holofote</v>
      </c>
      <c r="G718" s="69"/>
    </row>
    <row r="719" ht="22.5" customHeight="1">
      <c r="A719" s="66" t="s">
        <v>1020</v>
      </c>
      <c r="B719" s="67" t="str">
        <f t="shared" si="11"/>
        <v>M: burlap</v>
      </c>
      <c r="C719" s="68"/>
      <c r="D719" s="68">
        <v>45821.0</v>
      </c>
      <c r="E719" s="66">
        <v>8.0</v>
      </c>
      <c r="F719" s="66" t="str">
        <f>IFERROR(__xludf.DUMMYFUNCTION("GOOGLETRANSLATE(A719,""en"",""pt"")"),"juta")</f>
        <v>juta</v>
      </c>
      <c r="G719" s="69"/>
    </row>
    <row r="720" ht="22.5" customHeight="1">
      <c r="A720" s="66" t="s">
        <v>1021</v>
      </c>
      <c r="B720" s="67" t="str">
        <f t="shared" si="11"/>
        <v>M: portray</v>
      </c>
      <c r="C720" s="68"/>
      <c r="D720" s="68">
        <v>45821.0</v>
      </c>
      <c r="E720" s="66">
        <v>9.0</v>
      </c>
      <c r="F720" s="66" t="str">
        <f>IFERROR(__xludf.DUMMYFUNCTION("GOOGLETRANSLATE(A720,""en"",""pt"")"),"retratar")</f>
        <v>retratar</v>
      </c>
      <c r="G720" s="69"/>
    </row>
    <row r="721" ht="22.5" customHeight="1">
      <c r="A721" s="66" t="s">
        <v>1022</v>
      </c>
      <c r="B721" s="67" t="str">
        <f t="shared" si="11"/>
        <v>M: fuss</v>
      </c>
      <c r="C721" s="68"/>
      <c r="D721" s="68">
        <v>45821.0</v>
      </c>
      <c r="E721" s="66">
        <v>10.0</v>
      </c>
      <c r="F721" s="66" t="str">
        <f>IFERROR(__xludf.DUMMYFUNCTION("GOOGLETRANSLATE(A721,""en"",""pt"")"),"alvoroço")</f>
        <v>alvoroço</v>
      </c>
      <c r="G721" s="69"/>
    </row>
    <row r="722" ht="22.5" customHeight="1">
      <c r="A722" s="66" t="s">
        <v>1023</v>
      </c>
      <c r="B722" s="67" t="str">
        <f t="shared" si="11"/>
        <v>M: sketch</v>
      </c>
      <c r="C722" s="68"/>
      <c r="D722" s="68">
        <v>45822.0</v>
      </c>
      <c r="E722" s="66">
        <v>1.0</v>
      </c>
      <c r="F722" s="66" t="str">
        <f>IFERROR(__xludf.DUMMYFUNCTION("GOOGLETRANSLATE(A722,""en"",""pt"")"),"esboço")</f>
        <v>esboço</v>
      </c>
      <c r="G722" s="69"/>
    </row>
    <row r="723" ht="22.5" customHeight="1">
      <c r="A723" s="66" t="s">
        <v>1024</v>
      </c>
      <c r="B723" s="67" t="str">
        <f t="shared" si="11"/>
        <v>M: alongside</v>
      </c>
      <c r="C723" s="68"/>
      <c r="D723" s="68">
        <v>45822.0</v>
      </c>
      <c r="E723" s="66">
        <v>2.0</v>
      </c>
      <c r="F723" s="66" t="str">
        <f>IFERROR(__xludf.DUMMYFUNCTION("GOOGLETRANSLATE(A723,""en"",""pt"")"),"ao lado")</f>
        <v>ao lado</v>
      </c>
      <c r="G723" s="69"/>
    </row>
    <row r="724" ht="22.5" customHeight="1">
      <c r="A724" s="66" t="s">
        <v>1025</v>
      </c>
      <c r="B724" s="67" t="str">
        <f t="shared" si="11"/>
        <v>M: deviant</v>
      </c>
      <c r="C724" s="68"/>
      <c r="D724" s="68">
        <v>45822.0</v>
      </c>
      <c r="E724" s="66">
        <v>3.0</v>
      </c>
      <c r="F724" s="66" t="str">
        <f>IFERROR(__xludf.DUMMYFUNCTION("GOOGLETRANSLATE(A724,""en"",""pt"")"),"desviante")</f>
        <v>desviante</v>
      </c>
      <c r="G724" s="69"/>
    </row>
    <row r="725" ht="22.5" customHeight="1">
      <c r="A725" s="66" t="s">
        <v>1026</v>
      </c>
      <c r="B725" s="67" t="str">
        <f t="shared" si="11"/>
        <v>M: figured</v>
      </c>
      <c r="C725" s="66">
        <v>1.0</v>
      </c>
      <c r="D725" s="68">
        <v>45822.0</v>
      </c>
      <c r="E725" s="66">
        <v>4.0</v>
      </c>
      <c r="F725" s="71" t="s">
        <v>1027</v>
      </c>
      <c r="G725" s="66" t="s">
        <v>247</v>
      </c>
    </row>
    <row r="726" ht="22.5" customHeight="1">
      <c r="A726" s="66" t="s">
        <v>1028</v>
      </c>
      <c r="B726" s="67" t="str">
        <f t="shared" si="11"/>
        <v>M: dish</v>
      </c>
      <c r="C726" s="68"/>
      <c r="D726" s="68">
        <v>45822.0</v>
      </c>
      <c r="E726" s="66">
        <v>5.0</v>
      </c>
      <c r="F726" s="66" t="str">
        <f>IFERROR(__xludf.DUMMYFUNCTION("GOOGLETRANSLATE(A726,""en"",""pt"")"),"prato")</f>
        <v>prato</v>
      </c>
      <c r="G726" s="69"/>
    </row>
    <row r="727" ht="22.5" customHeight="1">
      <c r="A727" s="66" t="s">
        <v>1029</v>
      </c>
      <c r="B727" s="67" t="str">
        <f t="shared" si="11"/>
        <v>M: smear</v>
      </c>
      <c r="C727" s="68"/>
      <c r="D727" s="68">
        <v>45822.0</v>
      </c>
      <c r="E727" s="66">
        <v>6.0</v>
      </c>
      <c r="F727" s="66" t="str">
        <f>IFERROR(__xludf.DUMMYFUNCTION("GOOGLETRANSLATE(A727,""en"",""pt"")"),"esfregaço")</f>
        <v>esfregaço</v>
      </c>
      <c r="G727" s="69"/>
    </row>
    <row r="728" ht="22.5" customHeight="1">
      <c r="A728" s="66" t="s">
        <v>1030</v>
      </c>
      <c r="B728" s="67" t="str">
        <f t="shared" si="11"/>
        <v>M: worth</v>
      </c>
      <c r="C728" s="68"/>
      <c r="D728" s="68">
        <v>45822.0</v>
      </c>
      <c r="E728" s="66">
        <v>7.0</v>
      </c>
      <c r="F728" s="66" t="str">
        <f>IFERROR(__xludf.DUMMYFUNCTION("GOOGLETRANSLATE(A728,""en"",""pt"")"),"valor")</f>
        <v>valor</v>
      </c>
      <c r="G728" s="69"/>
    </row>
    <row r="729" ht="22.5" customHeight="1">
      <c r="A729" s="66" t="s">
        <v>1031</v>
      </c>
      <c r="B729" s="67" t="str">
        <f t="shared" si="11"/>
        <v>M: healthy</v>
      </c>
      <c r="C729" s="68"/>
      <c r="D729" s="68">
        <v>45822.0</v>
      </c>
      <c r="E729" s="66">
        <v>8.0</v>
      </c>
      <c r="F729" s="66" t="str">
        <f>IFERROR(__xludf.DUMMYFUNCTION("GOOGLETRANSLATE(A729,""en"",""pt"")"),"saudável")</f>
        <v>saudável</v>
      </c>
      <c r="G729" s="69"/>
    </row>
    <row r="730" ht="22.5" customHeight="1">
      <c r="A730" s="66" t="s">
        <v>1032</v>
      </c>
      <c r="B730" s="67" t="str">
        <f t="shared" si="11"/>
        <v>M: fooling around</v>
      </c>
      <c r="C730" s="68"/>
      <c r="D730" s="68">
        <v>45822.0</v>
      </c>
      <c r="E730" s="66">
        <v>9.0</v>
      </c>
      <c r="F730" s="66" t="str">
        <f>IFERROR(__xludf.DUMMYFUNCTION("GOOGLETRANSLATE(A730,""en"",""pt"")"),"brincando")</f>
        <v>brincando</v>
      </c>
      <c r="G730" s="69"/>
    </row>
    <row r="731" ht="22.5" customHeight="1">
      <c r="A731" s="66" t="s">
        <v>1033</v>
      </c>
      <c r="B731" s="67" t="str">
        <f t="shared" si="11"/>
        <v>M: breasts</v>
      </c>
      <c r="C731" s="68"/>
      <c r="D731" s="68">
        <v>45822.0</v>
      </c>
      <c r="E731" s="66">
        <v>10.0</v>
      </c>
      <c r="F731" s="66" t="str">
        <f>IFERROR(__xludf.DUMMYFUNCTION("GOOGLETRANSLATE(A731,""en"",""pt"")"),"seios")</f>
        <v>seios</v>
      </c>
      <c r="G731" s="69"/>
    </row>
    <row r="732" ht="22.5" customHeight="1">
      <c r="A732" s="66" t="s">
        <v>1034</v>
      </c>
      <c r="B732" s="67" t="str">
        <f t="shared" si="11"/>
        <v>M: cleavage</v>
      </c>
      <c r="C732" s="68"/>
      <c r="D732" s="68">
        <v>45823.0</v>
      </c>
      <c r="E732" s="66">
        <v>1.0</v>
      </c>
      <c r="F732" s="66" t="str">
        <f>IFERROR(__xludf.DUMMYFUNCTION("GOOGLETRANSLATE(A732,""en"",""pt"")"),"clivagem")</f>
        <v>clivagem</v>
      </c>
      <c r="G732" s="69"/>
    </row>
    <row r="733" ht="22.5" customHeight="1">
      <c r="A733" s="66" t="s">
        <v>1035</v>
      </c>
      <c r="B733" s="67" t="str">
        <f t="shared" si="11"/>
        <v>M: hazards</v>
      </c>
      <c r="C733" s="68"/>
      <c r="D733" s="68">
        <v>45823.0</v>
      </c>
      <c r="E733" s="66">
        <v>2.0</v>
      </c>
      <c r="F733" s="66" t="str">
        <f>IFERROR(__xludf.DUMMYFUNCTION("GOOGLETRANSLATE(A733,""en"",""pt"")"),"perigos")</f>
        <v>perigos</v>
      </c>
      <c r="G733" s="69"/>
    </row>
    <row r="734" ht="22.5" customHeight="1">
      <c r="A734" s="66" t="s">
        <v>1036</v>
      </c>
      <c r="B734" s="67" t="str">
        <f t="shared" si="11"/>
        <v>M: cought</v>
      </c>
      <c r="C734" s="68"/>
      <c r="D734" s="68">
        <v>45823.0</v>
      </c>
      <c r="E734" s="66">
        <v>3.0</v>
      </c>
      <c r="F734" s="66" t="str">
        <f>IFERROR(__xludf.DUMMYFUNCTION("GOOGLETRANSLATE(A734,""en"",""pt"")"),"pego")</f>
        <v>pego</v>
      </c>
      <c r="G734" s="69"/>
    </row>
    <row r="735" ht="22.5" customHeight="1">
      <c r="A735" s="66" t="s">
        <v>1037</v>
      </c>
      <c r="B735" s="67" t="str">
        <f t="shared" si="11"/>
        <v>M: undergo</v>
      </c>
      <c r="C735" s="66">
        <v>1.0</v>
      </c>
      <c r="D735" s="68">
        <v>45823.0</v>
      </c>
      <c r="E735" s="66">
        <v>4.0</v>
      </c>
      <c r="F735" s="71" t="s">
        <v>1038</v>
      </c>
      <c r="G735" s="66" t="s">
        <v>247</v>
      </c>
    </row>
    <row r="736" ht="22.5" customHeight="1">
      <c r="A736" s="66" t="s">
        <v>1039</v>
      </c>
      <c r="B736" s="67" t="str">
        <f t="shared" si="11"/>
        <v>M: contender</v>
      </c>
      <c r="C736" s="68"/>
      <c r="D736" s="68">
        <v>45823.0</v>
      </c>
      <c r="E736" s="66">
        <v>5.0</v>
      </c>
      <c r="F736" s="66" t="str">
        <f>IFERROR(__xludf.DUMMYFUNCTION("GOOGLETRANSLATE(A736,""en"",""pt"")"),"contendor")</f>
        <v>contendor</v>
      </c>
      <c r="G736" s="69"/>
    </row>
    <row r="737" ht="22.5" customHeight="1">
      <c r="A737" s="66" t="s">
        <v>1040</v>
      </c>
      <c r="B737" s="67" t="str">
        <f t="shared" si="11"/>
        <v>M: cons</v>
      </c>
      <c r="C737" s="68"/>
      <c r="D737" s="68">
        <v>45823.0</v>
      </c>
      <c r="E737" s="66">
        <v>6.0</v>
      </c>
      <c r="F737" s="66" t="str">
        <f>IFERROR(__xludf.DUMMYFUNCTION("GOOGLETRANSLATE(A737,""en"",""pt"")"),"contras")</f>
        <v>contras</v>
      </c>
      <c r="G737" s="69"/>
    </row>
    <row r="738" ht="22.5" customHeight="1">
      <c r="A738" s="66" t="s">
        <v>1041</v>
      </c>
      <c r="B738" s="67" t="str">
        <f t="shared" si="11"/>
        <v>M: blindfold</v>
      </c>
      <c r="C738" s="68"/>
      <c r="D738" s="68">
        <v>45823.0</v>
      </c>
      <c r="E738" s="66">
        <v>7.0</v>
      </c>
      <c r="F738" s="66" t="str">
        <f>IFERROR(__xludf.DUMMYFUNCTION("GOOGLETRANSLATE(A738,""en"",""pt"")"),"venda")</f>
        <v>venda</v>
      </c>
      <c r="G738" s="69"/>
    </row>
    <row r="739" ht="22.5" customHeight="1">
      <c r="A739" s="66" t="s">
        <v>1042</v>
      </c>
      <c r="B739" s="67" t="str">
        <f t="shared" si="11"/>
        <v>M: pail</v>
      </c>
      <c r="C739" s="68"/>
      <c r="D739" s="68">
        <v>45823.0</v>
      </c>
      <c r="E739" s="66">
        <v>8.0</v>
      </c>
      <c r="F739" s="66" t="str">
        <f>IFERROR(__xludf.DUMMYFUNCTION("GOOGLETRANSLATE(A739,""en"",""pt"")"),"balde")</f>
        <v>balde</v>
      </c>
      <c r="G739" s="69"/>
    </row>
    <row r="740" ht="22.5" customHeight="1">
      <c r="A740" s="66" t="s">
        <v>1043</v>
      </c>
      <c r="B740" s="67" t="str">
        <f t="shared" si="11"/>
        <v>M: supposed</v>
      </c>
      <c r="C740" s="68"/>
      <c r="D740" s="68">
        <v>45823.0</v>
      </c>
      <c r="E740" s="66">
        <v>9.0</v>
      </c>
      <c r="F740" s="66" t="str">
        <f>IFERROR(__xludf.DUMMYFUNCTION("GOOGLETRANSLATE(A740,""en"",""pt"")"),"suposto")</f>
        <v>suposto</v>
      </c>
      <c r="G740" s="69"/>
    </row>
    <row r="741" ht="22.5" customHeight="1">
      <c r="A741" s="66" t="s">
        <v>1044</v>
      </c>
      <c r="B741" s="67" t="str">
        <f t="shared" si="11"/>
        <v>M: claimed</v>
      </c>
      <c r="C741" s="66">
        <v>1.0</v>
      </c>
      <c r="D741" s="68">
        <v>45823.0</v>
      </c>
      <c r="E741" s="66">
        <v>10.0</v>
      </c>
      <c r="F741" s="66" t="s">
        <v>1045</v>
      </c>
      <c r="G741" s="66" t="s">
        <v>247</v>
      </c>
    </row>
    <row r="742" ht="22.5" customHeight="1">
      <c r="A742" s="66" t="s">
        <v>1046</v>
      </c>
      <c r="B742" s="67" t="str">
        <f t="shared" si="11"/>
        <v>M: mustard</v>
      </c>
      <c r="C742" s="68"/>
      <c r="D742" s="68">
        <v>45824.0</v>
      </c>
      <c r="E742" s="66">
        <v>1.0</v>
      </c>
      <c r="F742" s="66" t="str">
        <f>IFERROR(__xludf.DUMMYFUNCTION("GOOGLETRANSLATE(A742,""en"",""pt"")"),"mostarda")</f>
        <v>mostarda</v>
      </c>
      <c r="G742" s="69"/>
    </row>
    <row r="743" ht="22.5" customHeight="1">
      <c r="A743" s="66" t="s">
        <v>1047</v>
      </c>
      <c r="B743" s="67" t="str">
        <f t="shared" si="11"/>
        <v>M: gullet</v>
      </c>
      <c r="C743" s="68"/>
      <c r="D743" s="68">
        <v>45824.0</v>
      </c>
      <c r="E743" s="66">
        <v>2.0</v>
      </c>
      <c r="F743" s="66" t="str">
        <f>IFERROR(__xludf.DUMMYFUNCTION("GOOGLETRANSLATE(A743,""en"",""pt"")"),"esôfago")</f>
        <v>esôfago</v>
      </c>
      <c r="G743" s="69"/>
    </row>
    <row r="744" ht="22.5" customHeight="1">
      <c r="A744" s="66" t="s">
        <v>1048</v>
      </c>
      <c r="B744" s="67" t="str">
        <f t="shared" si="11"/>
        <v>M: handful</v>
      </c>
      <c r="C744" s="68"/>
      <c r="D744" s="68">
        <v>45824.0</v>
      </c>
      <c r="E744" s="66">
        <v>3.0</v>
      </c>
      <c r="F744" s="66" t="str">
        <f>IFERROR(__xludf.DUMMYFUNCTION("GOOGLETRANSLATE(A744,""en"",""pt"")"),"punhado")</f>
        <v>punhado</v>
      </c>
      <c r="G744" s="69"/>
    </row>
    <row r="745" ht="22.5" customHeight="1">
      <c r="A745" s="66" t="s">
        <v>1049</v>
      </c>
      <c r="B745" s="67" t="str">
        <f t="shared" si="11"/>
        <v>M: pall</v>
      </c>
      <c r="C745" s="68"/>
      <c r="D745" s="68">
        <v>45824.0</v>
      </c>
      <c r="E745" s="66">
        <v>4.0</v>
      </c>
      <c r="F745" s="66" t="str">
        <f>IFERROR(__xludf.DUMMYFUNCTION("GOOGLETRANSLATE(A745,""en"",""pt"")"),"mortalha")</f>
        <v>mortalha</v>
      </c>
      <c r="G745" s="69"/>
    </row>
    <row r="746" ht="22.5" customHeight="1">
      <c r="A746" s="66" t="s">
        <v>1050</v>
      </c>
      <c r="B746" s="67" t="str">
        <f t="shared" si="11"/>
        <v>M: stepping</v>
      </c>
      <c r="C746" s="66">
        <v>1.0</v>
      </c>
      <c r="D746" s="68">
        <v>45824.0</v>
      </c>
      <c r="E746" s="66">
        <v>5.0</v>
      </c>
      <c r="F746" s="66" t="s">
        <v>1051</v>
      </c>
      <c r="G746" s="66" t="s">
        <v>247</v>
      </c>
    </row>
    <row r="747" ht="22.5" customHeight="1">
      <c r="A747" s="66" t="s">
        <v>1052</v>
      </c>
      <c r="B747" s="67" t="str">
        <f t="shared" si="11"/>
        <v>M: upturned</v>
      </c>
      <c r="C747" s="68"/>
      <c r="D747" s="68">
        <v>45824.0</v>
      </c>
      <c r="E747" s="66">
        <v>6.0</v>
      </c>
      <c r="F747" s="66" t="str">
        <f>IFERROR(__xludf.DUMMYFUNCTION("GOOGLETRANSLATE(A747,""en"",""pt"")"),"virado para cima")</f>
        <v>virado para cima</v>
      </c>
      <c r="G747" s="69"/>
    </row>
    <row r="748" ht="22.5" customHeight="1">
      <c r="A748" s="66" t="s">
        <v>1053</v>
      </c>
      <c r="B748" s="67" t="str">
        <f t="shared" si="11"/>
        <v>M: misunderstand</v>
      </c>
      <c r="C748" s="68"/>
      <c r="D748" s="68">
        <v>45824.0</v>
      </c>
      <c r="E748" s="66">
        <v>7.0</v>
      </c>
      <c r="F748" s="66" t="str">
        <f>IFERROR(__xludf.DUMMYFUNCTION("GOOGLETRANSLATE(A748,""en"",""pt"")"),"mal-entendido")</f>
        <v>mal-entendido</v>
      </c>
      <c r="G748" s="69"/>
    </row>
    <row r="749" ht="22.5" customHeight="1">
      <c r="A749" s="66" t="s">
        <v>1054</v>
      </c>
      <c r="B749" s="67" t="str">
        <f t="shared" si="11"/>
        <v>M: mittens</v>
      </c>
      <c r="C749" s="68"/>
      <c r="D749" s="68">
        <v>45824.0</v>
      </c>
      <c r="E749" s="66">
        <v>8.0</v>
      </c>
      <c r="F749" s="66" t="str">
        <f>IFERROR(__xludf.DUMMYFUNCTION("GOOGLETRANSLATE(A749,""en"",""pt"")"),"luvas")</f>
        <v>luvas</v>
      </c>
      <c r="G749" s="69"/>
    </row>
    <row r="750" ht="22.5" customHeight="1">
      <c r="A750" s="66" t="s">
        <v>1055</v>
      </c>
      <c r="B750" s="67" t="str">
        <f t="shared" si="11"/>
        <v>M: thumbs up</v>
      </c>
      <c r="C750" s="68"/>
      <c r="D750" s="68">
        <v>45824.0</v>
      </c>
      <c r="E750" s="66">
        <v>9.0</v>
      </c>
      <c r="F750" s="66" t="str">
        <f>IFERROR(__xludf.DUMMYFUNCTION("GOOGLETRANSLATE(A750,""en"",""pt"")"),"afirmativo")</f>
        <v>afirmativo</v>
      </c>
      <c r="G750" s="69"/>
    </row>
    <row r="751" ht="22.5" customHeight="1">
      <c r="A751" s="66" t="s">
        <v>1056</v>
      </c>
      <c r="B751" s="67" t="str">
        <f t="shared" si="11"/>
        <v>M: pointless</v>
      </c>
      <c r="C751" s="68"/>
      <c r="D751" s="68">
        <v>45824.0</v>
      </c>
      <c r="E751" s="66">
        <v>10.0</v>
      </c>
      <c r="F751" s="66" t="str">
        <f>IFERROR(__xludf.DUMMYFUNCTION("GOOGLETRANSLATE(A751,""en"",""pt"")"),"inútil")</f>
        <v>inútil</v>
      </c>
      <c r="G751" s="69"/>
    </row>
    <row r="752" ht="22.5" customHeight="1">
      <c r="A752" s="66" t="s">
        <v>1057</v>
      </c>
      <c r="B752" s="67" t="str">
        <f t="shared" si="11"/>
        <v>M: laughter</v>
      </c>
      <c r="C752" s="68"/>
      <c r="D752" s="68">
        <v>45825.0</v>
      </c>
      <c r="E752" s="66">
        <v>1.0</v>
      </c>
      <c r="F752" s="66" t="str">
        <f>IFERROR(__xludf.DUMMYFUNCTION("GOOGLETRANSLATE(A752,""en"",""pt"")"),"risada")</f>
        <v>risada</v>
      </c>
      <c r="G752" s="69"/>
    </row>
    <row r="753" ht="22.5" customHeight="1">
      <c r="A753" s="66" t="s">
        <v>1058</v>
      </c>
      <c r="B753" s="67" t="str">
        <f t="shared" si="11"/>
        <v>M: pleasure</v>
      </c>
      <c r="C753" s="68"/>
      <c r="D753" s="68">
        <v>45825.0</v>
      </c>
      <c r="E753" s="66">
        <v>2.0</v>
      </c>
      <c r="F753" s="66" t="str">
        <f>IFERROR(__xludf.DUMMYFUNCTION("GOOGLETRANSLATE(A753,""en"",""pt"")"),"prazer")</f>
        <v>prazer</v>
      </c>
      <c r="G753" s="69"/>
    </row>
    <row r="754" ht="22.5" customHeight="1">
      <c r="A754" s="66" t="s">
        <v>1059</v>
      </c>
      <c r="B754" s="67" t="str">
        <f t="shared" si="11"/>
        <v>M: singling</v>
      </c>
      <c r="C754" s="68"/>
      <c r="D754" s="68">
        <v>45825.0</v>
      </c>
      <c r="E754" s="66">
        <v>3.0</v>
      </c>
      <c r="F754" s="66" t="s">
        <v>1060</v>
      </c>
      <c r="G754" s="69"/>
    </row>
    <row r="755" ht="22.5" customHeight="1">
      <c r="A755" s="66" t="s">
        <v>1061</v>
      </c>
      <c r="B755" s="67" t="str">
        <f t="shared" si="11"/>
        <v>M: earthlings</v>
      </c>
      <c r="C755" s="68"/>
      <c r="D755" s="68">
        <v>45825.0</v>
      </c>
      <c r="E755" s="66">
        <v>4.0</v>
      </c>
      <c r="F755" s="66" t="str">
        <f>IFERROR(__xludf.DUMMYFUNCTION("GOOGLETRANSLATE(A755,""en"",""pt"")"),"terráqueos")</f>
        <v>terráqueos</v>
      </c>
      <c r="G755" s="69"/>
    </row>
    <row r="756" ht="22.5" customHeight="1">
      <c r="A756" s="66" t="s">
        <v>1062</v>
      </c>
      <c r="B756" s="67" t="str">
        <f t="shared" si="11"/>
        <v>M: attend</v>
      </c>
      <c r="C756" s="66">
        <v>1.0</v>
      </c>
      <c r="D756" s="68">
        <v>45825.0</v>
      </c>
      <c r="E756" s="66">
        <v>5.0</v>
      </c>
      <c r="F756" s="71" t="s">
        <v>1063</v>
      </c>
      <c r="G756" s="66" t="s">
        <v>247</v>
      </c>
    </row>
    <row r="757" ht="22.5" customHeight="1">
      <c r="A757" s="66" t="s">
        <v>1064</v>
      </c>
      <c r="B757" s="67" t="str">
        <f t="shared" si="11"/>
        <v>M: anecdote</v>
      </c>
      <c r="C757" s="68"/>
      <c r="D757" s="68">
        <v>45825.0</v>
      </c>
      <c r="E757" s="66">
        <v>6.0</v>
      </c>
      <c r="F757" s="66" t="str">
        <f>IFERROR(__xludf.DUMMYFUNCTION("GOOGLETRANSLATE(A757,""en"",""pt"")"),"anedota")</f>
        <v>anedota</v>
      </c>
      <c r="G757" s="69"/>
    </row>
    <row r="758" ht="22.5" customHeight="1">
      <c r="A758" s="66" t="s">
        <v>1065</v>
      </c>
      <c r="B758" s="67" t="str">
        <f t="shared" si="11"/>
        <v>M: brainchild</v>
      </c>
      <c r="C758" s="68"/>
      <c r="D758" s="68">
        <v>45825.0</v>
      </c>
      <c r="E758" s="66">
        <v>7.0</v>
      </c>
      <c r="F758" s="66" t="s">
        <v>1066</v>
      </c>
      <c r="G758" s="66" t="s">
        <v>247</v>
      </c>
    </row>
    <row r="759" ht="22.5" customHeight="1">
      <c r="A759" s="66" t="s">
        <v>1067</v>
      </c>
      <c r="B759" s="67" t="str">
        <f t="shared" si="11"/>
        <v>M: beaten</v>
      </c>
      <c r="C759" s="68"/>
      <c r="D759" s="68">
        <v>45825.0</v>
      </c>
      <c r="E759" s="66">
        <v>8.0</v>
      </c>
      <c r="F759" s="66" t="str">
        <f>IFERROR(__xludf.DUMMYFUNCTION("GOOGLETRANSLATE(A759,""en"",""pt"")"),"espancado")</f>
        <v>espancado</v>
      </c>
      <c r="G759" s="69"/>
    </row>
    <row r="760" ht="22.5" customHeight="1">
      <c r="A760" s="66" t="s">
        <v>1068</v>
      </c>
      <c r="B760" s="67" t="str">
        <f t="shared" si="11"/>
        <v>M: pipsqueak</v>
      </c>
      <c r="C760" s="68"/>
      <c r="D760" s="68">
        <v>45825.0</v>
      </c>
      <c r="E760" s="66">
        <v>9.0</v>
      </c>
      <c r="F760" s="66" t="str">
        <f>IFERROR(__xludf.DUMMYFUNCTION("GOOGLETRANSLATE(A760,""en"",""pt"")"),"pirralho")</f>
        <v>pirralho</v>
      </c>
      <c r="G760" s="69"/>
    </row>
    <row r="761" ht="22.5" customHeight="1">
      <c r="A761" s="66" t="s">
        <v>1069</v>
      </c>
      <c r="B761" s="67" t="str">
        <f t="shared" si="11"/>
        <v>M: prone</v>
      </c>
      <c r="C761" s="68"/>
      <c r="D761" s="68">
        <v>45825.0</v>
      </c>
      <c r="E761" s="66">
        <v>10.0</v>
      </c>
      <c r="F761" s="66" t="str">
        <f>IFERROR(__xludf.DUMMYFUNCTION("GOOGLETRANSLATE(A761,""en"",""pt"")"),"propenso")</f>
        <v>propenso</v>
      </c>
      <c r="G761" s="69"/>
    </row>
    <row r="762" ht="22.5" customHeight="1">
      <c r="A762" s="66" t="s">
        <v>1070</v>
      </c>
      <c r="B762" s="67" t="str">
        <f t="shared" si="11"/>
        <v>M: mocking</v>
      </c>
      <c r="C762" s="68"/>
      <c r="D762" s="68">
        <v>45826.0</v>
      </c>
      <c r="E762" s="66">
        <v>1.0</v>
      </c>
      <c r="F762" s="66" t="str">
        <f>IFERROR(__xludf.DUMMYFUNCTION("GOOGLETRANSLATE(A762,""en"",""pt"")"),"zombaria")</f>
        <v>zombaria</v>
      </c>
      <c r="G762" s="69"/>
    </row>
    <row r="763" ht="22.5" customHeight="1">
      <c r="A763" s="66" t="s">
        <v>1071</v>
      </c>
      <c r="B763" s="67" t="str">
        <f t="shared" si="11"/>
        <v>M: pelts</v>
      </c>
      <c r="C763" s="68"/>
      <c r="D763" s="68">
        <v>45826.0</v>
      </c>
      <c r="E763" s="66">
        <v>2.0</v>
      </c>
      <c r="F763" s="66" t="str">
        <f>IFERROR(__xludf.DUMMYFUNCTION("GOOGLETRANSLATE(A763,""en"",""pt"")"),"peles")</f>
        <v>peles</v>
      </c>
      <c r="G763" s="69"/>
    </row>
    <row r="764" ht="22.5" customHeight="1">
      <c r="A764" s="66" t="s">
        <v>1072</v>
      </c>
      <c r="B764" s="67" t="str">
        <f t="shared" si="11"/>
        <v>M: lieu</v>
      </c>
      <c r="C764" s="68"/>
      <c r="D764" s="68">
        <v>45826.0</v>
      </c>
      <c r="E764" s="66">
        <v>3.0</v>
      </c>
      <c r="F764" s="66" t="str">
        <f>IFERROR(__xludf.DUMMYFUNCTION("GOOGLETRANSLATE(A764,""en"",""pt"")"),"lugar")</f>
        <v>lugar</v>
      </c>
      <c r="G764" s="69"/>
    </row>
    <row r="765" ht="22.5" customHeight="1">
      <c r="A765" s="66" t="s">
        <v>1073</v>
      </c>
      <c r="B765" s="67" t="str">
        <f t="shared" si="11"/>
        <v>M: terminated</v>
      </c>
      <c r="C765" s="68"/>
      <c r="D765" s="68">
        <v>45826.0</v>
      </c>
      <c r="E765" s="66">
        <v>4.0</v>
      </c>
      <c r="F765" s="66" t="str">
        <f>IFERROR(__xludf.DUMMYFUNCTION("GOOGLETRANSLATE(A765,""en"",""pt"")"),"encerrado")</f>
        <v>encerrado</v>
      </c>
      <c r="G765" s="69"/>
    </row>
    <row r="766" ht="22.5" customHeight="1">
      <c r="A766" s="66" t="s">
        <v>1074</v>
      </c>
      <c r="B766" s="67" t="str">
        <f t="shared" si="11"/>
        <v>M: popped</v>
      </c>
      <c r="C766" s="68"/>
      <c r="D766" s="68">
        <v>45826.0</v>
      </c>
      <c r="E766" s="66">
        <v>5.0</v>
      </c>
      <c r="F766" s="66" t="str">
        <f>IFERROR(__xludf.DUMMYFUNCTION("GOOGLETRANSLATE(A766,""en"",""pt"")"),"estourou")</f>
        <v>estourou</v>
      </c>
      <c r="G766" s="69"/>
    </row>
    <row r="767" ht="22.5" customHeight="1">
      <c r="A767" s="66" t="s">
        <v>1075</v>
      </c>
      <c r="B767" s="67" t="str">
        <f t="shared" si="11"/>
        <v>M: dealio</v>
      </c>
      <c r="C767" s="68"/>
      <c r="D767" s="68">
        <v>45826.0</v>
      </c>
      <c r="E767" s="66">
        <v>6.0</v>
      </c>
      <c r="F767" s="66" t="str">
        <f>IFERROR(__xludf.DUMMYFUNCTION("GOOGLETRANSLATE(A767,""en"",""pt"")"),"negócio")</f>
        <v>negócio</v>
      </c>
      <c r="G767" s="69"/>
    </row>
    <row r="768" ht="22.5" customHeight="1">
      <c r="A768" s="66" t="s">
        <v>1076</v>
      </c>
      <c r="B768" s="67" t="str">
        <f t="shared" si="11"/>
        <v>M: amongst</v>
      </c>
      <c r="C768" s="68"/>
      <c r="D768" s="68">
        <v>45826.0</v>
      </c>
      <c r="E768" s="66">
        <v>7.0</v>
      </c>
      <c r="F768" s="66" t="str">
        <f>IFERROR(__xludf.DUMMYFUNCTION("GOOGLETRANSLATE(A768,""en"",""pt"")"),"entre")</f>
        <v>entre</v>
      </c>
      <c r="G768" s="69"/>
    </row>
    <row r="769" ht="22.5" customHeight="1">
      <c r="A769" s="66" t="s">
        <v>1077</v>
      </c>
      <c r="B769" s="67" t="str">
        <f t="shared" si="11"/>
        <v>M: assorted</v>
      </c>
      <c r="C769" s="68"/>
      <c r="D769" s="68">
        <v>45826.0</v>
      </c>
      <c r="E769" s="66">
        <v>8.0</v>
      </c>
      <c r="F769" s="66" t="str">
        <f>IFERROR(__xludf.DUMMYFUNCTION("GOOGLETRANSLATE(A769,""en"",""pt"")"),"variados")</f>
        <v>variados</v>
      </c>
      <c r="G769" s="69"/>
    </row>
    <row r="770" ht="22.5" customHeight="1">
      <c r="A770" s="66" t="s">
        <v>1078</v>
      </c>
      <c r="B770" s="67" t="str">
        <f t="shared" si="11"/>
        <v>M: cutlery</v>
      </c>
      <c r="C770" s="68"/>
      <c r="D770" s="68">
        <v>45826.0</v>
      </c>
      <c r="E770" s="66">
        <v>9.0</v>
      </c>
      <c r="F770" s="66" t="str">
        <f>IFERROR(__xludf.DUMMYFUNCTION("GOOGLETRANSLATE(A770,""en"",""pt"")"),"talheres")</f>
        <v>talheres</v>
      </c>
      <c r="G770" s="69"/>
    </row>
    <row r="771" ht="22.5" customHeight="1">
      <c r="A771" s="66" t="s">
        <v>1079</v>
      </c>
      <c r="B771" s="67" t="str">
        <f t="shared" si="11"/>
        <v>M: worhless</v>
      </c>
      <c r="C771" s="68"/>
      <c r="D771" s="68">
        <v>45826.0</v>
      </c>
      <c r="E771" s="66">
        <v>10.0</v>
      </c>
      <c r="F771" s="66" t="str">
        <f>IFERROR(__xludf.DUMMYFUNCTION("GOOGLETRANSLATE(A771,""en"",""pt"")"),"inútil")</f>
        <v>inútil</v>
      </c>
      <c r="G771" s="69"/>
    </row>
    <row r="772" ht="22.5" customHeight="1">
      <c r="A772" s="66" t="s">
        <v>1080</v>
      </c>
      <c r="B772" s="67" t="str">
        <f t="shared" si="11"/>
        <v>M: prongs</v>
      </c>
      <c r="C772" s="68"/>
      <c r="D772" s="68">
        <v>45827.0</v>
      </c>
      <c r="E772" s="66">
        <v>1.0</v>
      </c>
      <c r="F772" s="66" t="str">
        <f>IFERROR(__xludf.DUMMYFUNCTION("GOOGLETRANSLATE(A772,""en"",""pt"")"),"dentes")</f>
        <v>dentes</v>
      </c>
      <c r="G772" s="69"/>
    </row>
    <row r="773" ht="22.5" customHeight="1">
      <c r="A773" s="66" t="s">
        <v>1081</v>
      </c>
      <c r="B773" s="67" t="str">
        <f t="shared" si="11"/>
        <v>M: reams</v>
      </c>
      <c r="C773" s="66">
        <v>1.0</v>
      </c>
      <c r="D773" s="68">
        <v>45827.0</v>
      </c>
      <c r="E773" s="66">
        <v>2.0</v>
      </c>
      <c r="F773" s="66" t="s">
        <v>1082</v>
      </c>
      <c r="G773" s="66" t="s">
        <v>247</v>
      </c>
    </row>
    <row r="774" ht="22.5" customHeight="1">
      <c r="A774" s="66" t="s">
        <v>1083</v>
      </c>
      <c r="B774" s="67" t="str">
        <f t="shared" si="11"/>
        <v>M: throw up</v>
      </c>
      <c r="C774" s="68"/>
      <c r="D774" s="68">
        <v>45827.0</v>
      </c>
      <c r="E774" s="66">
        <v>3.0</v>
      </c>
      <c r="F774" s="66" t="str">
        <f>IFERROR(__xludf.DUMMYFUNCTION("GOOGLETRANSLATE(A774,""en"",""pt"")"),"vomitar")</f>
        <v>vomitar</v>
      </c>
      <c r="G774" s="69"/>
    </row>
    <row r="775" ht="22.5" customHeight="1">
      <c r="A775" s="66" t="s">
        <v>1084</v>
      </c>
      <c r="B775" s="67" t="str">
        <f t="shared" si="11"/>
        <v>M: notary</v>
      </c>
      <c r="C775" s="68"/>
      <c r="D775" s="68">
        <v>45827.0</v>
      </c>
      <c r="E775" s="66">
        <v>4.0</v>
      </c>
      <c r="F775" s="66" t="str">
        <f>IFERROR(__xludf.DUMMYFUNCTION("GOOGLETRANSLATE(A775,""en"",""pt"")"),"notário")</f>
        <v>notário</v>
      </c>
      <c r="G775" s="69"/>
    </row>
    <row r="776" ht="22.5" customHeight="1">
      <c r="A776" s="66" t="s">
        <v>1085</v>
      </c>
      <c r="B776" s="67" t="str">
        <f t="shared" si="11"/>
        <v>M: straightfoward</v>
      </c>
      <c r="C776" s="68"/>
      <c r="D776" s="68">
        <v>45827.0</v>
      </c>
      <c r="E776" s="66">
        <v>5.0</v>
      </c>
      <c r="F776" s="66" t="str">
        <f>IFERROR(__xludf.DUMMYFUNCTION("GOOGLETRANSLATE(A776,""en"",""pt"")"),"direto")</f>
        <v>direto</v>
      </c>
      <c r="G776" s="69"/>
    </row>
    <row r="777" ht="22.5" customHeight="1">
      <c r="A777" s="66" t="s">
        <v>1086</v>
      </c>
      <c r="B777" s="67" t="str">
        <f t="shared" si="11"/>
        <v>M: kidnapping</v>
      </c>
      <c r="C777" s="68"/>
      <c r="D777" s="68">
        <v>45827.0</v>
      </c>
      <c r="E777" s="66">
        <v>6.0</v>
      </c>
      <c r="F777" s="66" t="str">
        <f>IFERROR(__xludf.DUMMYFUNCTION("GOOGLETRANSLATE(A777,""en"",""pt"")"),"sequestro")</f>
        <v>sequestro</v>
      </c>
      <c r="G777" s="69"/>
    </row>
    <row r="778" ht="22.5" customHeight="1">
      <c r="A778" s="66" t="s">
        <v>1087</v>
      </c>
      <c r="B778" s="67" t="str">
        <f t="shared" si="11"/>
        <v>M: hemp</v>
      </c>
      <c r="C778" s="68"/>
      <c r="D778" s="68">
        <v>45827.0</v>
      </c>
      <c r="E778" s="66">
        <v>7.0</v>
      </c>
      <c r="F778" s="66" t="str">
        <f>IFERROR(__xludf.DUMMYFUNCTION("GOOGLETRANSLATE(A778,""en"",""pt"")"),"cânhamo")</f>
        <v>cânhamo</v>
      </c>
      <c r="G778" s="69"/>
    </row>
    <row r="779" ht="22.5" customHeight="1">
      <c r="A779" s="66" t="s">
        <v>1088</v>
      </c>
      <c r="B779" s="67" t="str">
        <f t="shared" si="11"/>
        <v>M: snot-nose</v>
      </c>
      <c r="C779" s="68"/>
      <c r="D779" s="68">
        <v>45827.0</v>
      </c>
      <c r="E779" s="66">
        <v>8.0</v>
      </c>
      <c r="F779" s="66" t="str">
        <f>IFERROR(__xludf.DUMMYFUNCTION("GOOGLETRANSLATE(A779,""en"",""pt"")"),"nariz escorrendo")</f>
        <v>nariz escorrendo</v>
      </c>
      <c r="G779" s="69"/>
    </row>
    <row r="780" ht="22.5" customHeight="1">
      <c r="A780" s="66" t="s">
        <v>1089</v>
      </c>
      <c r="B780" s="67" t="str">
        <f t="shared" si="11"/>
        <v>M: hostage</v>
      </c>
      <c r="C780" s="68"/>
      <c r="D780" s="68">
        <v>45827.0</v>
      </c>
      <c r="E780" s="66">
        <v>9.0</v>
      </c>
      <c r="F780" s="66" t="str">
        <f>IFERROR(__xludf.DUMMYFUNCTION("GOOGLETRANSLATE(A780,""en"",""pt"")"),"refém")</f>
        <v>refém</v>
      </c>
      <c r="G780" s="69"/>
    </row>
    <row r="781" ht="22.5" customHeight="1">
      <c r="A781" s="66" t="s">
        <v>1090</v>
      </c>
      <c r="B781" s="67" t="str">
        <f t="shared" si="11"/>
        <v>M: stole</v>
      </c>
      <c r="C781" s="68"/>
      <c r="D781" s="68">
        <v>45827.0</v>
      </c>
      <c r="E781" s="66">
        <v>10.0</v>
      </c>
      <c r="F781" s="66" t="str">
        <f>IFERROR(__xludf.DUMMYFUNCTION("GOOGLETRANSLATE(A781,""en"",""pt"")"),"roubou")</f>
        <v>roubou</v>
      </c>
      <c r="G781" s="69"/>
    </row>
    <row r="782" ht="22.5" customHeight="1">
      <c r="A782" s="66" t="s">
        <v>1091</v>
      </c>
      <c r="B782" s="67" t="str">
        <f t="shared" si="11"/>
        <v>M: napkins</v>
      </c>
      <c r="C782" s="68"/>
      <c r="D782" s="68">
        <v>45828.0</v>
      </c>
      <c r="E782" s="66">
        <v>1.0</v>
      </c>
      <c r="F782" s="71" t="s">
        <v>1092</v>
      </c>
      <c r="G782" s="66" t="s">
        <v>247</v>
      </c>
    </row>
    <row r="783" ht="22.5" customHeight="1">
      <c r="A783" s="66" t="s">
        <v>1093</v>
      </c>
      <c r="B783" s="67" t="str">
        <f t="shared" si="11"/>
        <v>M: stubborn</v>
      </c>
      <c r="C783" s="68"/>
      <c r="D783" s="68">
        <v>45828.0</v>
      </c>
      <c r="E783" s="66">
        <v>2.0</v>
      </c>
      <c r="F783" s="66" t="str">
        <f>IFERROR(__xludf.DUMMYFUNCTION("GOOGLETRANSLATE(A783,""en"",""pt"")"),"teimoso")</f>
        <v>teimoso</v>
      </c>
      <c r="G783" s="69"/>
    </row>
    <row r="784" ht="22.5" customHeight="1">
      <c r="A784" s="66" t="s">
        <v>1094</v>
      </c>
      <c r="B784" s="67" t="str">
        <f t="shared" si="11"/>
        <v>M: felony</v>
      </c>
      <c r="C784" s="68"/>
      <c r="D784" s="68">
        <v>45828.0</v>
      </c>
      <c r="E784" s="66">
        <v>3.0</v>
      </c>
      <c r="F784" s="66" t="str">
        <f>IFERROR(__xludf.DUMMYFUNCTION("GOOGLETRANSLATE(A784,""en"",""pt"")"),"crime")</f>
        <v>crime</v>
      </c>
      <c r="G784" s="69"/>
    </row>
    <row r="785" ht="22.5" customHeight="1">
      <c r="A785" s="66" t="s">
        <v>1095</v>
      </c>
      <c r="B785" s="67" t="str">
        <f t="shared" si="11"/>
        <v>M: bitterness</v>
      </c>
      <c r="C785" s="68"/>
      <c r="D785" s="68">
        <v>45828.0</v>
      </c>
      <c r="E785" s="66">
        <v>4.0</v>
      </c>
      <c r="F785" s="66" t="str">
        <f>IFERROR(__xludf.DUMMYFUNCTION("GOOGLETRANSLATE(A785,""en"",""pt"")"),"amargura")</f>
        <v>amargura</v>
      </c>
      <c r="G785" s="69"/>
    </row>
    <row r="786" ht="22.5" customHeight="1">
      <c r="A786" s="66" t="s">
        <v>1096</v>
      </c>
      <c r="B786" s="67" t="str">
        <f t="shared" si="11"/>
        <v>M: creaminess</v>
      </c>
      <c r="C786" s="68"/>
      <c r="D786" s="68">
        <v>45828.0</v>
      </c>
      <c r="E786" s="66">
        <v>5.0</v>
      </c>
      <c r="F786" s="66" t="str">
        <f>IFERROR(__xludf.DUMMYFUNCTION("GOOGLETRANSLATE(A786,""en"",""pt"")"),"cremosidade")</f>
        <v>cremosidade</v>
      </c>
      <c r="G786" s="69"/>
    </row>
    <row r="787" ht="22.5" customHeight="1">
      <c r="A787" s="66" t="s">
        <v>1097</v>
      </c>
      <c r="B787" s="67" t="str">
        <f t="shared" si="11"/>
        <v>M: float</v>
      </c>
      <c r="C787" s="68"/>
      <c r="D787" s="68">
        <v>45828.0</v>
      </c>
      <c r="E787" s="66">
        <v>6.0</v>
      </c>
      <c r="F787" s="66" t="str">
        <f>IFERROR(__xludf.DUMMYFUNCTION("GOOGLETRANSLATE(A787,""en"",""pt"")"),"flutuador")</f>
        <v>flutuador</v>
      </c>
      <c r="G787" s="69"/>
    </row>
    <row r="788" ht="22.5" customHeight="1">
      <c r="A788" s="66" t="s">
        <v>1098</v>
      </c>
      <c r="B788" s="67" t="str">
        <f t="shared" si="11"/>
        <v>M: indoor</v>
      </c>
      <c r="C788" s="68"/>
      <c r="D788" s="68">
        <v>45828.0</v>
      </c>
      <c r="E788" s="66">
        <v>7.0</v>
      </c>
      <c r="F788" s="66" t="str">
        <f>IFERROR(__xludf.DUMMYFUNCTION("GOOGLETRANSLATE(A788,""en"",""pt"")"),"interior")</f>
        <v>interior</v>
      </c>
      <c r="G788" s="69"/>
    </row>
    <row r="789" ht="22.5" customHeight="1">
      <c r="A789" s="66" t="s">
        <v>1099</v>
      </c>
      <c r="B789" s="67" t="str">
        <f t="shared" si="11"/>
        <v>M: baptized</v>
      </c>
      <c r="C789" s="68"/>
      <c r="D789" s="68">
        <v>45828.0</v>
      </c>
      <c r="E789" s="66">
        <v>8.0</v>
      </c>
      <c r="F789" s="66" t="str">
        <f>IFERROR(__xludf.DUMMYFUNCTION("GOOGLETRANSLATE(A789,""en"",""pt"")"),"batizado")</f>
        <v>batizado</v>
      </c>
      <c r="G789" s="69"/>
    </row>
    <row r="790" ht="22.5" customHeight="1">
      <c r="A790" s="66" t="s">
        <v>1100</v>
      </c>
      <c r="B790" s="67" t="str">
        <f t="shared" si="11"/>
        <v>M: bun</v>
      </c>
      <c r="C790" s="68"/>
      <c r="D790" s="68">
        <v>45828.0</v>
      </c>
      <c r="E790" s="66">
        <v>9.0</v>
      </c>
      <c r="F790" s="66" t="str">
        <f>IFERROR(__xludf.DUMMYFUNCTION("GOOGLETRANSLATE(A790,""en"",""pt"")"),"pão")</f>
        <v>pão</v>
      </c>
      <c r="G790" s="69"/>
    </row>
    <row r="791" ht="22.5" customHeight="1">
      <c r="A791" s="66" t="s">
        <v>1101</v>
      </c>
      <c r="B791" s="67" t="str">
        <f t="shared" si="11"/>
        <v>M: sprinkle</v>
      </c>
      <c r="C791" s="68"/>
      <c r="D791" s="68">
        <v>45828.0</v>
      </c>
      <c r="E791" s="66">
        <v>10.0</v>
      </c>
      <c r="F791" s="66" t="str">
        <f>IFERROR(__xludf.DUMMYFUNCTION("GOOGLETRANSLATE(A791,""en"",""pt"")"),"polvilhar")</f>
        <v>polvilhar</v>
      </c>
      <c r="G791" s="69"/>
    </row>
    <row r="792" ht="22.5" customHeight="1">
      <c r="A792" s="66" t="s">
        <v>1102</v>
      </c>
      <c r="B792" s="67" t="str">
        <f t="shared" si="11"/>
        <v>M: suit</v>
      </c>
      <c r="C792" s="68"/>
      <c r="D792" s="68">
        <v>45829.0</v>
      </c>
      <c r="E792" s="66">
        <v>1.0</v>
      </c>
      <c r="F792" s="66" t="str">
        <f>IFERROR(__xludf.DUMMYFUNCTION("GOOGLETRANSLATE(A792,""en"",""pt"")"),"terno")</f>
        <v>terno</v>
      </c>
      <c r="G792" s="69"/>
    </row>
    <row r="793" ht="22.5" customHeight="1">
      <c r="A793" s="66" t="s">
        <v>1103</v>
      </c>
      <c r="B793" s="67" t="str">
        <f t="shared" si="11"/>
        <v>M: stifling</v>
      </c>
      <c r="C793" s="68"/>
      <c r="D793" s="68">
        <v>45829.0</v>
      </c>
      <c r="E793" s="66">
        <v>2.0</v>
      </c>
      <c r="F793" s="66" t="str">
        <f>IFERROR(__xludf.DUMMYFUNCTION("GOOGLETRANSLATE(A793,""en"",""pt"")"),"sufocante")</f>
        <v>sufocante</v>
      </c>
      <c r="G793" s="69"/>
    </row>
    <row r="794" ht="22.5" customHeight="1">
      <c r="A794" s="66" t="s">
        <v>1104</v>
      </c>
      <c r="B794" s="67" t="str">
        <f t="shared" si="11"/>
        <v>M: go ahead</v>
      </c>
      <c r="C794" s="68"/>
      <c r="D794" s="68">
        <v>45829.0</v>
      </c>
      <c r="E794" s="66">
        <v>3.0</v>
      </c>
      <c r="F794" s="66" t="str">
        <f>IFERROR(__xludf.DUMMYFUNCTION("GOOGLETRANSLATE(A794,""en"",""pt"")"),"vá em frente")</f>
        <v>vá em frente</v>
      </c>
      <c r="G794" s="69"/>
    </row>
    <row r="795" ht="22.5" customHeight="1">
      <c r="A795" s="66" t="s">
        <v>1105</v>
      </c>
      <c r="B795" s="67" t="str">
        <f t="shared" si="11"/>
        <v>M: lately</v>
      </c>
      <c r="C795" s="68"/>
      <c r="D795" s="68">
        <v>45829.0</v>
      </c>
      <c r="E795" s="66">
        <v>4.0</v>
      </c>
      <c r="F795" s="66" t="str">
        <f>IFERROR(__xludf.DUMMYFUNCTION("GOOGLETRANSLATE(A795,""en"",""pt"")"),"ultimamente")</f>
        <v>ultimamente</v>
      </c>
      <c r="G795" s="69"/>
    </row>
    <row r="796" ht="22.5" customHeight="1">
      <c r="A796" s="66" t="s">
        <v>1106</v>
      </c>
      <c r="B796" s="67" t="str">
        <f t="shared" si="11"/>
        <v>M: yacht</v>
      </c>
      <c r="C796" s="68"/>
      <c r="D796" s="68">
        <v>45829.0</v>
      </c>
      <c r="E796" s="66">
        <v>5.0</v>
      </c>
      <c r="F796" s="66" t="str">
        <f>IFERROR(__xludf.DUMMYFUNCTION("GOOGLETRANSLATE(A796,""en"",""pt"")"),"iate")</f>
        <v>iate</v>
      </c>
      <c r="G796" s="69"/>
    </row>
    <row r="797" ht="22.5" customHeight="1">
      <c r="A797" s="66" t="s">
        <v>1107</v>
      </c>
      <c r="B797" s="67" t="str">
        <f t="shared" si="11"/>
        <v>M: messed up</v>
      </c>
      <c r="C797" s="66">
        <v>1.0</v>
      </c>
      <c r="D797" s="68">
        <v>45829.0</v>
      </c>
      <c r="E797" s="66">
        <v>6.0</v>
      </c>
      <c r="F797" s="71" t="s">
        <v>1108</v>
      </c>
      <c r="G797" s="66" t="s">
        <v>247</v>
      </c>
    </row>
    <row r="798" ht="22.5" customHeight="1">
      <c r="A798" s="66" t="s">
        <v>1109</v>
      </c>
      <c r="B798" s="67" t="str">
        <f t="shared" si="11"/>
        <v>M: matresses</v>
      </c>
      <c r="C798" s="68"/>
      <c r="D798" s="68">
        <v>45829.0</v>
      </c>
      <c r="E798" s="66">
        <v>7.0</v>
      </c>
      <c r="F798" s="66" t="str">
        <f>IFERROR(__xludf.DUMMYFUNCTION("GOOGLETRANSLATE(A798,""en"",""pt"")"),"colchões")</f>
        <v>colchões</v>
      </c>
      <c r="G798" s="69"/>
    </row>
    <row r="799" ht="22.5" customHeight="1">
      <c r="A799" s="66" t="s">
        <v>1110</v>
      </c>
      <c r="B799" s="67" t="str">
        <f t="shared" si="11"/>
        <v>M: cater</v>
      </c>
      <c r="C799" s="68"/>
      <c r="D799" s="68">
        <v>45829.0</v>
      </c>
      <c r="E799" s="66">
        <v>8.0</v>
      </c>
      <c r="F799" s="66" t="str">
        <f>IFERROR(__xludf.DUMMYFUNCTION("GOOGLETRANSLATE(A799,""en"",""pt"")"),"fornecer")</f>
        <v>fornecer</v>
      </c>
      <c r="G799" s="69"/>
    </row>
    <row r="800" ht="22.5" customHeight="1">
      <c r="A800" s="66" t="s">
        <v>1111</v>
      </c>
      <c r="B800" s="67" t="str">
        <f t="shared" si="11"/>
        <v>M: misuse</v>
      </c>
      <c r="C800" s="68"/>
      <c r="D800" s="68">
        <v>45829.0</v>
      </c>
      <c r="E800" s="66">
        <v>9.0</v>
      </c>
      <c r="F800" s="66" t="str">
        <f>IFERROR(__xludf.DUMMYFUNCTION("GOOGLETRANSLATE(A800,""en"",""pt"")"),"uso indevido")</f>
        <v>uso indevido</v>
      </c>
      <c r="G800" s="69"/>
    </row>
    <row r="801" ht="22.5" customHeight="1">
      <c r="A801" s="66" t="s">
        <v>1112</v>
      </c>
      <c r="B801" s="67" t="str">
        <f t="shared" si="11"/>
        <v>M: elderly</v>
      </c>
      <c r="C801" s="68"/>
      <c r="D801" s="68">
        <v>45829.0</v>
      </c>
      <c r="E801" s="66">
        <v>10.0</v>
      </c>
      <c r="F801" s="66" t="str">
        <f>IFERROR(__xludf.DUMMYFUNCTION("GOOGLETRANSLATE(A801,""en"",""pt"")"),"idoso")</f>
        <v>idoso</v>
      </c>
      <c r="G801" s="69"/>
    </row>
    <row r="802" ht="22.5" customHeight="1">
      <c r="A802" s="66" t="s">
        <v>1113</v>
      </c>
      <c r="B802" s="67" t="str">
        <f t="shared" si="11"/>
        <v>M: lifeblood</v>
      </c>
      <c r="C802" s="68"/>
      <c r="D802" s="68">
        <v>45830.0</v>
      </c>
      <c r="E802" s="66">
        <v>1.0</v>
      </c>
      <c r="F802" s="66" t="str">
        <f>IFERROR(__xludf.DUMMYFUNCTION("GOOGLETRANSLATE(A802,""en"",""pt"")"),"sangue vital")</f>
        <v>sangue vital</v>
      </c>
      <c r="G802" s="69"/>
    </row>
    <row r="803" ht="22.5" customHeight="1">
      <c r="A803" s="66" t="s">
        <v>1114</v>
      </c>
      <c r="B803" s="67" t="str">
        <f t="shared" si="11"/>
        <v>M: cutest</v>
      </c>
      <c r="C803" s="68"/>
      <c r="D803" s="68">
        <v>45830.0</v>
      </c>
      <c r="E803" s="66">
        <v>2.0</v>
      </c>
      <c r="F803" s="66" t="str">
        <f>IFERROR(__xludf.DUMMYFUNCTION("GOOGLETRANSLATE(A803,""en"",""pt"")"),"mais fofo")</f>
        <v>mais fofo</v>
      </c>
      <c r="G803" s="69"/>
    </row>
    <row r="804" ht="22.5" customHeight="1">
      <c r="A804" s="66" t="s">
        <v>1115</v>
      </c>
      <c r="B804" s="67" t="str">
        <f t="shared" si="11"/>
        <v>M: table-making</v>
      </c>
      <c r="C804" s="68"/>
      <c r="D804" s="68">
        <v>45830.0</v>
      </c>
      <c r="E804" s="66">
        <v>3.0</v>
      </c>
      <c r="F804" s="66" t="str">
        <f>IFERROR(__xludf.DUMMYFUNCTION("GOOGLETRANSLATE(A804,""en"",""pt"")"),"fabricação de mesas")</f>
        <v>fabricação de mesas</v>
      </c>
      <c r="G804" s="69"/>
    </row>
    <row r="805" ht="22.5" customHeight="1">
      <c r="A805" s="66" t="s">
        <v>1116</v>
      </c>
      <c r="B805" s="67" t="str">
        <f t="shared" si="11"/>
        <v>M: improv</v>
      </c>
      <c r="C805" s="68"/>
      <c r="D805" s="68">
        <v>45830.0</v>
      </c>
      <c r="E805" s="66">
        <v>4.0</v>
      </c>
      <c r="F805" s="66" t="str">
        <f>IFERROR(__xludf.DUMMYFUNCTION("GOOGLETRANSLATE(A805,""en"",""pt"")"),"improvisação")</f>
        <v>improvisação</v>
      </c>
      <c r="G805" s="69"/>
    </row>
    <row r="806" ht="22.5" customHeight="1">
      <c r="A806" s="66" t="s">
        <v>1117</v>
      </c>
      <c r="B806" s="67" t="str">
        <f t="shared" si="11"/>
        <v>M: pretend</v>
      </c>
      <c r="C806" s="68"/>
      <c r="D806" s="68">
        <v>45830.0</v>
      </c>
      <c r="E806" s="66">
        <v>5.0</v>
      </c>
      <c r="F806" s="66" t="str">
        <f>IFERROR(__xludf.DUMMYFUNCTION("GOOGLETRANSLATE(A806,""en"",""pt"")"),"fingir")</f>
        <v>fingir</v>
      </c>
      <c r="G806" s="69"/>
    </row>
    <row r="807" ht="22.5" customHeight="1">
      <c r="A807" s="66" t="s">
        <v>1118</v>
      </c>
      <c r="B807" s="67" t="str">
        <f t="shared" si="11"/>
        <v>M: spices</v>
      </c>
      <c r="C807" s="68"/>
      <c r="D807" s="68">
        <v>45830.0</v>
      </c>
      <c r="E807" s="66">
        <v>6.0</v>
      </c>
      <c r="F807" s="66" t="str">
        <f>IFERROR(__xludf.DUMMYFUNCTION("GOOGLETRANSLATE(A807,""en"",""pt"")"),"especiarias")</f>
        <v>especiarias</v>
      </c>
      <c r="G807" s="69"/>
    </row>
    <row r="808" ht="22.5" customHeight="1">
      <c r="A808" s="66" t="s">
        <v>1119</v>
      </c>
      <c r="B808" s="67" t="str">
        <f t="shared" si="11"/>
        <v>M: cherub</v>
      </c>
      <c r="C808" s="68"/>
      <c r="D808" s="68">
        <v>45830.0</v>
      </c>
      <c r="E808" s="66">
        <v>7.0</v>
      </c>
      <c r="F808" s="66" t="str">
        <f>IFERROR(__xludf.DUMMYFUNCTION("GOOGLETRANSLATE(A808,""en"",""pt"")"),"querubim")</f>
        <v>querubim</v>
      </c>
      <c r="G808" s="69"/>
    </row>
    <row r="809" ht="22.5" customHeight="1">
      <c r="A809" s="66" t="s">
        <v>1120</v>
      </c>
      <c r="B809" s="67" t="str">
        <f t="shared" si="11"/>
        <v>M: scrubbing</v>
      </c>
      <c r="C809" s="68"/>
      <c r="D809" s="68">
        <v>45830.0</v>
      </c>
      <c r="E809" s="66">
        <v>8.0</v>
      </c>
      <c r="F809" s="66" t="str">
        <f>IFERROR(__xludf.DUMMYFUNCTION("GOOGLETRANSLATE(A809,""en"",""pt"")"),"esfregando")</f>
        <v>esfregando</v>
      </c>
      <c r="G809" s="69"/>
    </row>
    <row r="810" ht="22.5" customHeight="1">
      <c r="A810" s="66" t="s">
        <v>1121</v>
      </c>
      <c r="B810" s="67" t="str">
        <f t="shared" si="11"/>
        <v>M: relieved</v>
      </c>
      <c r="C810" s="68"/>
      <c r="D810" s="68">
        <v>45830.0</v>
      </c>
      <c r="E810" s="66">
        <v>9.0</v>
      </c>
      <c r="F810" s="66" t="str">
        <f>IFERROR(__xludf.DUMMYFUNCTION("GOOGLETRANSLATE(A810,""en"",""pt"")"),"aliviado")</f>
        <v>aliviado</v>
      </c>
      <c r="G810" s="69"/>
    </row>
    <row r="811" ht="22.5" customHeight="1">
      <c r="A811" s="66" t="s">
        <v>1122</v>
      </c>
      <c r="B811" s="67" t="str">
        <f t="shared" si="11"/>
        <v>M: oats</v>
      </c>
      <c r="C811" s="68"/>
      <c r="D811" s="68">
        <v>45830.0</v>
      </c>
      <c r="E811" s="66">
        <v>10.0</v>
      </c>
      <c r="F811" s="66" t="str">
        <f>IFERROR(__xludf.DUMMYFUNCTION("GOOGLETRANSLATE(A811,""en"",""pt"")"),"aveia")</f>
        <v>aveia</v>
      </c>
      <c r="G811" s="69"/>
    </row>
    <row r="812" ht="22.5" customHeight="1">
      <c r="A812" s="66" t="s">
        <v>1123</v>
      </c>
      <c r="B812" s="67" t="str">
        <f t="shared" si="11"/>
        <v>M: doorstep</v>
      </c>
      <c r="C812" s="68"/>
      <c r="D812" s="68">
        <v>45831.0</v>
      </c>
      <c r="E812" s="66">
        <v>1.0</v>
      </c>
      <c r="F812" s="66" t="str">
        <f>IFERROR(__xludf.DUMMYFUNCTION("GOOGLETRANSLATE(A812,""en"",""pt"")"),"porta de entrada")</f>
        <v>porta de entrada</v>
      </c>
      <c r="G812" s="69"/>
    </row>
    <row r="813" ht="22.5" customHeight="1">
      <c r="A813" s="66" t="s">
        <v>1124</v>
      </c>
      <c r="B813" s="67" t="str">
        <f t="shared" si="11"/>
        <v>M: oatmeal</v>
      </c>
      <c r="C813" s="68"/>
      <c r="D813" s="68">
        <v>45831.0</v>
      </c>
      <c r="E813" s="66">
        <v>2.0</v>
      </c>
      <c r="F813" s="66" t="str">
        <f>IFERROR(__xludf.DUMMYFUNCTION("GOOGLETRANSLATE(A813,""en"",""pt"")"),"aveia")</f>
        <v>aveia</v>
      </c>
      <c r="G813" s="69"/>
    </row>
    <row r="814" ht="22.5" customHeight="1">
      <c r="A814" s="66" t="s">
        <v>1125</v>
      </c>
      <c r="B814" s="67" t="str">
        <f t="shared" si="11"/>
        <v>M: stinks</v>
      </c>
      <c r="C814" s="68"/>
      <c r="D814" s="68">
        <v>45831.0</v>
      </c>
      <c r="E814" s="66">
        <v>3.0</v>
      </c>
      <c r="F814" s="66" t="str">
        <f>IFERROR(__xludf.DUMMYFUNCTION("GOOGLETRANSLATE(A814,""en"",""pt"")"),"fede")</f>
        <v>fede</v>
      </c>
      <c r="G814" s="69"/>
    </row>
    <row r="815" ht="22.5" customHeight="1">
      <c r="A815" s="66" t="s">
        <v>1126</v>
      </c>
      <c r="B815" s="67" t="str">
        <f t="shared" si="11"/>
        <v>M: nightime</v>
      </c>
      <c r="C815" s="68"/>
      <c r="D815" s="68">
        <v>45831.0</v>
      </c>
      <c r="E815" s="66">
        <v>4.0</v>
      </c>
      <c r="F815" s="66" t="str">
        <f>IFERROR(__xludf.DUMMYFUNCTION("GOOGLETRANSLATE(A815,""en"",""pt"")"),"noite")</f>
        <v>noite</v>
      </c>
      <c r="G815" s="69"/>
    </row>
    <row r="816" ht="22.5" customHeight="1">
      <c r="A816" s="66" t="s">
        <v>1127</v>
      </c>
      <c r="B816" s="67" t="str">
        <f t="shared" si="11"/>
        <v>M: wireless</v>
      </c>
      <c r="C816" s="68"/>
      <c r="D816" s="68">
        <v>45831.0</v>
      </c>
      <c r="E816" s="66">
        <v>5.0</v>
      </c>
      <c r="F816" s="66" t="str">
        <f>IFERROR(__xludf.DUMMYFUNCTION("GOOGLETRANSLATE(A816,""en"",""pt"")"),"sem fio")</f>
        <v>sem fio</v>
      </c>
      <c r="G816" s="69"/>
    </row>
    <row r="817" ht="22.5" customHeight="1">
      <c r="A817" s="66" t="s">
        <v>1128</v>
      </c>
      <c r="B817" s="67" t="str">
        <f t="shared" si="11"/>
        <v>M: chattering</v>
      </c>
      <c r="C817" s="68"/>
      <c r="D817" s="68">
        <v>45831.0</v>
      </c>
      <c r="E817" s="66">
        <v>6.0</v>
      </c>
      <c r="F817" s="66" t="str">
        <f>IFERROR(__xludf.DUMMYFUNCTION("GOOGLETRANSLATE(A817,""en"",""pt"")"),"tagarela")</f>
        <v>tagarela</v>
      </c>
      <c r="G817" s="69"/>
    </row>
    <row r="818" ht="22.5" customHeight="1">
      <c r="A818" s="66" t="s">
        <v>1129</v>
      </c>
      <c r="B818" s="67" t="str">
        <f t="shared" si="11"/>
        <v>M: useless</v>
      </c>
      <c r="C818" s="68"/>
      <c r="D818" s="68">
        <v>45831.0</v>
      </c>
      <c r="E818" s="66">
        <v>7.0</v>
      </c>
      <c r="F818" s="66" t="str">
        <f>IFERROR(__xludf.DUMMYFUNCTION("GOOGLETRANSLATE(A818,""en"",""pt"")"),"inútil")</f>
        <v>inútil</v>
      </c>
      <c r="G818" s="69"/>
    </row>
    <row r="819" ht="22.5" customHeight="1">
      <c r="A819" s="66" t="s">
        <v>1130</v>
      </c>
      <c r="B819" s="67" t="str">
        <f t="shared" si="11"/>
        <v>M: proven</v>
      </c>
      <c r="C819" s="66">
        <v>1.0</v>
      </c>
      <c r="D819" s="68">
        <v>45831.0</v>
      </c>
      <c r="E819" s="66">
        <v>8.0</v>
      </c>
      <c r="F819" s="71" t="s">
        <v>1131</v>
      </c>
      <c r="G819" s="66" t="s">
        <v>247</v>
      </c>
    </row>
    <row r="820" ht="22.5" customHeight="1">
      <c r="A820" s="66" t="s">
        <v>1132</v>
      </c>
      <c r="B820" s="67" t="str">
        <f t="shared" si="11"/>
        <v>M: seal</v>
      </c>
      <c r="C820" s="66">
        <v>1.0</v>
      </c>
      <c r="D820" s="68">
        <v>45831.0</v>
      </c>
      <c r="E820" s="66">
        <v>9.0</v>
      </c>
      <c r="F820" s="66" t="s">
        <v>1133</v>
      </c>
      <c r="G820" s="66" t="s">
        <v>247</v>
      </c>
    </row>
    <row r="821" ht="22.5" customHeight="1">
      <c r="A821" s="66" t="s">
        <v>1134</v>
      </c>
      <c r="B821" s="67" t="str">
        <f t="shared" si="11"/>
        <v>M: clunking</v>
      </c>
      <c r="C821" s="68"/>
      <c r="D821" s="68">
        <v>45831.0</v>
      </c>
      <c r="E821" s="66">
        <v>10.0</v>
      </c>
      <c r="F821" s="66" t="str">
        <f>IFERROR(__xludf.DUMMYFUNCTION("GOOGLETRANSLATE(A821,""en"",""pt"")"),"barulho de batida")</f>
        <v>barulho de batida</v>
      </c>
      <c r="G821" s="69"/>
    </row>
    <row r="822" ht="22.5" customHeight="1">
      <c r="A822" s="66" t="s">
        <v>1135</v>
      </c>
      <c r="B822" s="67" t="str">
        <f t="shared" si="11"/>
        <v>M: fail</v>
      </c>
      <c r="C822" s="68"/>
      <c r="D822" s="68">
        <v>45832.0</v>
      </c>
      <c r="E822" s="66">
        <v>1.0</v>
      </c>
      <c r="F822" s="66" t="str">
        <f>IFERROR(__xludf.DUMMYFUNCTION("GOOGLETRANSLATE(A822,""en"",""pt"")"),"falhar")</f>
        <v>falhar</v>
      </c>
      <c r="G822" s="69"/>
    </row>
    <row r="823" ht="22.5" customHeight="1">
      <c r="A823" s="66" t="s">
        <v>1136</v>
      </c>
      <c r="B823" s="67" t="str">
        <f t="shared" si="11"/>
        <v>M: writhe</v>
      </c>
      <c r="C823" s="66">
        <v>1.0</v>
      </c>
      <c r="D823" s="68">
        <v>45832.0</v>
      </c>
      <c r="E823" s="66">
        <v>2.0</v>
      </c>
      <c r="F823" s="66" t="s">
        <v>1137</v>
      </c>
      <c r="G823" s="66" t="s">
        <v>247</v>
      </c>
    </row>
    <row r="824" ht="22.5" customHeight="1">
      <c r="A824" s="66" t="s">
        <v>1138</v>
      </c>
      <c r="B824" s="67" t="str">
        <f t="shared" si="11"/>
        <v>M: clutching</v>
      </c>
      <c r="C824" s="68"/>
      <c r="D824" s="68">
        <v>45832.0</v>
      </c>
      <c r="E824" s="66">
        <v>3.0</v>
      </c>
      <c r="F824" s="66" t="str">
        <f>IFERROR(__xludf.DUMMYFUNCTION("GOOGLETRANSLATE(A824,""en"",""pt"")"),"agarrando")</f>
        <v>agarrando</v>
      </c>
      <c r="G824" s="69"/>
    </row>
    <row r="825" ht="22.5" customHeight="1">
      <c r="A825" s="66" t="s">
        <v>1139</v>
      </c>
      <c r="B825" s="67" t="str">
        <f t="shared" si="11"/>
        <v>M: donkey</v>
      </c>
      <c r="C825" s="68"/>
      <c r="D825" s="68">
        <v>45832.0</v>
      </c>
      <c r="E825" s="66">
        <v>4.0</v>
      </c>
      <c r="F825" s="66" t="str">
        <f>IFERROR(__xludf.DUMMYFUNCTION("GOOGLETRANSLATE(A825,""en"",""pt"")"),"burro")</f>
        <v>burro</v>
      </c>
      <c r="G825" s="69"/>
    </row>
    <row r="826" ht="22.5" customHeight="1">
      <c r="A826" s="66" t="s">
        <v>1140</v>
      </c>
      <c r="B826" s="67" t="str">
        <f t="shared" si="11"/>
        <v>M: clunk</v>
      </c>
      <c r="C826" s="68"/>
      <c r="D826" s="68">
        <v>45832.0</v>
      </c>
      <c r="E826" s="66">
        <v>5.0</v>
      </c>
      <c r="F826" s="66" t="str">
        <f>IFERROR(__xludf.DUMMYFUNCTION("GOOGLETRANSLATE(A826,""en"",""pt"")"),"estalo")</f>
        <v>estalo</v>
      </c>
      <c r="G826" s="69"/>
    </row>
    <row r="827" ht="22.5" customHeight="1">
      <c r="A827" s="66" t="s">
        <v>1141</v>
      </c>
      <c r="B827" s="67" t="str">
        <f t="shared" si="11"/>
        <v>M: cop</v>
      </c>
      <c r="C827" s="68"/>
      <c r="D827" s="68">
        <v>45832.0</v>
      </c>
      <c r="E827" s="66">
        <v>6.0</v>
      </c>
      <c r="F827" s="66" t="str">
        <f>IFERROR(__xludf.DUMMYFUNCTION("GOOGLETRANSLATE(A827,""en"",""pt"")"),"policial")</f>
        <v>policial</v>
      </c>
      <c r="G827" s="69"/>
    </row>
    <row r="828" ht="22.5" customHeight="1">
      <c r="A828" s="66" t="s">
        <v>1142</v>
      </c>
      <c r="B828" s="67" t="str">
        <f t="shared" si="11"/>
        <v>M: captivating</v>
      </c>
      <c r="C828" s="68"/>
      <c r="D828" s="68">
        <v>45832.0</v>
      </c>
      <c r="E828" s="66">
        <v>7.0</v>
      </c>
      <c r="F828" s="66" t="str">
        <f>IFERROR(__xludf.DUMMYFUNCTION("GOOGLETRANSLATE(A828,""en"",""pt"")"),"cativante")</f>
        <v>cativante</v>
      </c>
      <c r="G828" s="69"/>
    </row>
    <row r="829" ht="22.5" customHeight="1">
      <c r="A829" s="66" t="s">
        <v>1143</v>
      </c>
      <c r="B829" s="67" t="str">
        <f t="shared" si="11"/>
        <v>M: relentless </v>
      </c>
      <c r="C829" s="66">
        <v>1.0</v>
      </c>
      <c r="D829" s="68">
        <v>45832.0</v>
      </c>
      <c r="E829" s="66">
        <v>8.0</v>
      </c>
      <c r="F829" s="71" t="s">
        <v>1144</v>
      </c>
      <c r="G829" s="66" t="s">
        <v>247</v>
      </c>
    </row>
    <row r="830" ht="22.5" customHeight="1">
      <c r="A830" s="66" t="s">
        <v>1145</v>
      </c>
      <c r="B830" s="67" t="str">
        <f t="shared" si="11"/>
        <v>M: moaning</v>
      </c>
      <c r="C830" s="66">
        <v>1.0</v>
      </c>
      <c r="D830" s="68">
        <v>45832.0</v>
      </c>
      <c r="E830" s="66">
        <v>9.0</v>
      </c>
      <c r="F830" s="71" t="s">
        <v>1146</v>
      </c>
      <c r="G830" s="66" t="s">
        <v>247</v>
      </c>
    </row>
    <row r="831" ht="22.5" customHeight="1">
      <c r="A831" s="66" t="s">
        <v>1147</v>
      </c>
      <c r="B831" s="67" t="str">
        <f t="shared" si="11"/>
        <v>M: bringing</v>
      </c>
      <c r="C831" s="68"/>
      <c r="D831" s="68">
        <v>45832.0</v>
      </c>
      <c r="E831" s="66">
        <v>10.0</v>
      </c>
      <c r="F831" s="66" t="str">
        <f>IFERROR(__xludf.DUMMYFUNCTION("GOOGLETRANSLATE(A831,""en"",""pt"")"),"trazendo")</f>
        <v>trazendo</v>
      </c>
      <c r="G831" s="69"/>
    </row>
    <row r="832" ht="22.5" customHeight="1">
      <c r="A832" s="66" t="s">
        <v>1148</v>
      </c>
      <c r="B832" s="67" t="str">
        <f t="shared" si="11"/>
        <v>M: nab</v>
      </c>
      <c r="C832" s="68"/>
      <c r="D832" s="68">
        <v>45833.0</v>
      </c>
      <c r="E832" s="66">
        <v>1.0</v>
      </c>
      <c r="F832" s="66" t="str">
        <f>IFERROR(__xludf.DUMMYFUNCTION("GOOGLETRANSLATE(A832,""en"",""pt"")"),"pegar")</f>
        <v>pegar</v>
      </c>
      <c r="G832" s="69"/>
    </row>
    <row r="833" ht="22.5" customHeight="1">
      <c r="A833" s="66" t="s">
        <v>1149</v>
      </c>
      <c r="B833" s="67" t="str">
        <f t="shared" si="11"/>
        <v>M: yawning</v>
      </c>
      <c r="C833" s="66">
        <v>1.0</v>
      </c>
      <c r="D833" s="68">
        <v>45833.0</v>
      </c>
      <c r="E833" s="66">
        <v>2.0</v>
      </c>
      <c r="F833" s="71" t="s">
        <v>1150</v>
      </c>
      <c r="G833" s="66" t="s">
        <v>247</v>
      </c>
    </row>
    <row r="834" ht="22.5" customHeight="1">
      <c r="A834" s="66" t="s">
        <v>1151</v>
      </c>
      <c r="B834" s="67" t="str">
        <f t="shared" si="11"/>
        <v>M: up comes</v>
      </c>
      <c r="C834" s="68"/>
      <c r="D834" s="68">
        <v>45833.0</v>
      </c>
      <c r="E834" s="66">
        <v>3.0</v>
      </c>
      <c r="F834" s="66" t="str">
        <f>IFERROR(__xludf.DUMMYFUNCTION("GOOGLETRANSLATE(A834,""en"",""pt"")"),"surge")</f>
        <v>surge</v>
      </c>
      <c r="G834" s="69"/>
    </row>
    <row r="835" ht="22.5" customHeight="1">
      <c r="A835" s="66" t="s">
        <v>1152</v>
      </c>
      <c r="B835" s="67" t="str">
        <f t="shared" si="11"/>
        <v>M: at all</v>
      </c>
      <c r="C835" s="68"/>
      <c r="D835" s="68">
        <v>45833.0</v>
      </c>
      <c r="E835" s="66">
        <v>4.0</v>
      </c>
      <c r="F835" s="66" t="str">
        <f>IFERROR(__xludf.DUMMYFUNCTION("GOOGLETRANSLATE(A835,""en"",""pt"")"),"de forma alguma")</f>
        <v>de forma alguma</v>
      </c>
      <c r="G835" s="69"/>
    </row>
    <row r="836" ht="22.5" customHeight="1">
      <c r="A836" s="66" t="s">
        <v>1153</v>
      </c>
      <c r="B836" s="67" t="str">
        <f t="shared" si="11"/>
        <v>M: cocktail</v>
      </c>
      <c r="C836" s="68"/>
      <c r="D836" s="68">
        <v>45833.0</v>
      </c>
      <c r="E836" s="66">
        <v>5.0</v>
      </c>
      <c r="F836" s="66" t="str">
        <f>IFERROR(__xludf.DUMMYFUNCTION("GOOGLETRANSLATE(A836,""en"",""pt"")"),"coquetel")</f>
        <v>coquetel</v>
      </c>
      <c r="G836" s="69"/>
    </row>
    <row r="837" ht="22.5" customHeight="1">
      <c r="A837" s="66" t="s">
        <v>1154</v>
      </c>
      <c r="B837" s="67" t="str">
        <f t="shared" si="11"/>
        <v>M: smooches</v>
      </c>
      <c r="C837" s="68"/>
      <c r="D837" s="68">
        <v>45833.0</v>
      </c>
      <c r="E837" s="66">
        <v>6.0</v>
      </c>
      <c r="F837" s="66" t="str">
        <f>IFERROR(__xludf.DUMMYFUNCTION("GOOGLETRANSLATE(A837,""en"",""pt"")"),"beijinhos")</f>
        <v>beijinhos</v>
      </c>
      <c r="G837" s="69"/>
    </row>
    <row r="838" ht="22.5" customHeight="1">
      <c r="A838" s="66" t="s">
        <v>1155</v>
      </c>
      <c r="B838" s="67" t="str">
        <f t="shared" si="11"/>
        <v>M: whomever</v>
      </c>
      <c r="C838" s="68"/>
      <c r="D838" s="68">
        <v>45833.0</v>
      </c>
      <c r="E838" s="66">
        <v>7.0</v>
      </c>
      <c r="F838" s="66" t="str">
        <f>IFERROR(__xludf.DUMMYFUNCTION("GOOGLETRANSLATE(A838,""en"",""pt"")"),"quem quer que seja")</f>
        <v>quem quer que seja</v>
      </c>
      <c r="G838" s="69"/>
    </row>
    <row r="839" ht="22.5" customHeight="1">
      <c r="A839" s="66" t="s">
        <v>1156</v>
      </c>
      <c r="B839" s="67" t="str">
        <f t="shared" si="11"/>
        <v>M: jerks</v>
      </c>
      <c r="C839" s="68"/>
      <c r="D839" s="68">
        <v>45833.0</v>
      </c>
      <c r="E839" s="66">
        <v>8.0</v>
      </c>
      <c r="F839" s="66" t="str">
        <f>IFERROR(__xludf.DUMMYFUNCTION("GOOGLETRANSLATE(A839,""en"",""pt"")"),"idiotas")</f>
        <v>idiotas</v>
      </c>
      <c r="G839" s="69"/>
    </row>
    <row r="840" ht="22.5" customHeight="1">
      <c r="A840" s="66" t="s">
        <v>1157</v>
      </c>
      <c r="B840" s="67" t="str">
        <f t="shared" si="11"/>
        <v>M: disinfect</v>
      </c>
      <c r="C840" s="68"/>
      <c r="D840" s="68">
        <v>45833.0</v>
      </c>
      <c r="E840" s="66">
        <v>9.0</v>
      </c>
      <c r="F840" s="66" t="str">
        <f>IFERROR(__xludf.DUMMYFUNCTION("GOOGLETRANSLATE(A840,""en"",""pt"")"),"desinfetar")</f>
        <v>desinfetar</v>
      </c>
      <c r="G840" s="69"/>
    </row>
    <row r="841" ht="22.5" customHeight="1">
      <c r="A841" s="66" t="s">
        <v>1158</v>
      </c>
      <c r="B841" s="67" t="str">
        <f t="shared" si="11"/>
        <v>M: turns out</v>
      </c>
      <c r="C841" s="68"/>
      <c r="D841" s="68">
        <v>45833.0</v>
      </c>
      <c r="E841" s="66">
        <v>10.0</v>
      </c>
      <c r="F841" s="66" t="str">
        <f>IFERROR(__xludf.DUMMYFUNCTION("GOOGLETRANSLATE(A841,""en"",""pt"")"),"acontece que")</f>
        <v>acontece que</v>
      </c>
      <c r="G841" s="69"/>
    </row>
    <row r="842" ht="22.5" customHeight="1">
      <c r="A842" s="66" t="s">
        <v>1159</v>
      </c>
      <c r="B842" s="67" t="str">
        <f t="shared" si="11"/>
        <v>M: gambler</v>
      </c>
      <c r="C842" s="68"/>
      <c r="D842" s="68">
        <v>45834.0</v>
      </c>
      <c r="E842" s="66">
        <v>1.0</v>
      </c>
      <c r="F842" s="66" t="str">
        <f>IFERROR(__xludf.DUMMYFUNCTION("GOOGLETRANSLATE(A842,""en"",""pt"")"),"jogador")</f>
        <v>jogador</v>
      </c>
      <c r="G842" s="69"/>
    </row>
    <row r="843" ht="22.5" customHeight="1">
      <c r="A843" s="66" t="s">
        <v>1160</v>
      </c>
      <c r="B843" s="67" t="str">
        <f t="shared" si="11"/>
        <v>M: doubling</v>
      </c>
      <c r="C843" s="68"/>
      <c r="D843" s="68">
        <v>45834.0</v>
      </c>
      <c r="E843" s="66">
        <v>2.0</v>
      </c>
      <c r="F843" s="66" t="str">
        <f>IFERROR(__xludf.DUMMYFUNCTION("GOOGLETRANSLATE(A843,""en"",""pt"")"),"duplicação")</f>
        <v>duplicação</v>
      </c>
      <c r="G843" s="69"/>
    </row>
    <row r="844" ht="22.5" customHeight="1">
      <c r="A844" s="66" t="s">
        <v>1161</v>
      </c>
      <c r="B844" s="67" t="str">
        <f t="shared" si="11"/>
        <v>M: tied</v>
      </c>
      <c r="C844" s="68"/>
      <c r="D844" s="68">
        <v>45834.0</v>
      </c>
      <c r="E844" s="66">
        <v>3.0</v>
      </c>
      <c r="F844" s="66" t="str">
        <f>IFERROR(__xludf.DUMMYFUNCTION("GOOGLETRANSLATE(A844,""en"",""pt"")"),"ligado")</f>
        <v>ligado</v>
      </c>
      <c r="G844" s="69"/>
    </row>
    <row r="845" ht="22.5" customHeight="1">
      <c r="A845" s="66" t="s">
        <v>1162</v>
      </c>
      <c r="B845" s="67" t="str">
        <f t="shared" si="11"/>
        <v>M: mob</v>
      </c>
      <c r="C845" s="68"/>
      <c r="D845" s="68">
        <v>45834.0</v>
      </c>
      <c r="E845" s="66">
        <v>4.0</v>
      </c>
      <c r="F845" s="66" t="str">
        <f>IFERROR(__xludf.DUMMYFUNCTION("GOOGLETRANSLATE(A845,""en"",""pt"")"),"multidão")</f>
        <v>multidão</v>
      </c>
      <c r="G845" s="69"/>
    </row>
    <row r="846" ht="22.5" customHeight="1">
      <c r="A846" s="66" t="s">
        <v>1163</v>
      </c>
      <c r="B846" s="67" t="str">
        <f t="shared" si="11"/>
        <v>M: uncrazy</v>
      </c>
      <c r="C846" s="68"/>
      <c r="D846" s="68">
        <v>45834.0</v>
      </c>
      <c r="E846" s="66">
        <v>5.0</v>
      </c>
      <c r="F846" s="66" t="str">
        <f>IFERROR(__xludf.DUMMYFUNCTION("GOOGLETRANSLATE(A846,""en"",""pt"")"),"não louco")</f>
        <v>não louco</v>
      </c>
      <c r="G846" s="69"/>
    </row>
    <row r="847" ht="22.5" customHeight="1">
      <c r="A847" s="66" t="s">
        <v>1164</v>
      </c>
      <c r="B847" s="67" t="str">
        <f t="shared" si="11"/>
        <v>M: selfish</v>
      </c>
      <c r="C847" s="68"/>
      <c r="D847" s="68">
        <v>45834.0</v>
      </c>
      <c r="E847" s="66">
        <v>6.0</v>
      </c>
      <c r="F847" s="66" t="str">
        <f>IFERROR(__xludf.DUMMYFUNCTION("GOOGLETRANSLATE(A847,""en"",""pt"")"),"egoísta")</f>
        <v>egoísta</v>
      </c>
      <c r="G847" s="69"/>
    </row>
    <row r="848" ht="22.5" customHeight="1">
      <c r="A848" s="66" t="s">
        <v>1165</v>
      </c>
      <c r="B848" s="67" t="str">
        <f t="shared" si="11"/>
        <v>M: bankruptcy</v>
      </c>
      <c r="C848" s="68"/>
      <c r="D848" s="68">
        <v>45834.0</v>
      </c>
      <c r="E848" s="66">
        <v>7.0</v>
      </c>
      <c r="F848" s="66" t="s">
        <v>1166</v>
      </c>
      <c r="G848" s="66" t="s">
        <v>247</v>
      </c>
    </row>
    <row r="849" ht="22.5" customHeight="1">
      <c r="A849" s="66" t="s">
        <v>1167</v>
      </c>
      <c r="B849" s="67" t="str">
        <f t="shared" si="11"/>
        <v>M: do-over</v>
      </c>
      <c r="C849" s="68"/>
      <c r="D849" s="68">
        <v>45834.0</v>
      </c>
      <c r="E849" s="66">
        <v>8.0</v>
      </c>
      <c r="F849" s="66" t="str">
        <f>IFERROR(__xludf.DUMMYFUNCTION("GOOGLETRANSLATE(A849,""en"",""pt"")"),"recomeçar")</f>
        <v>recomeçar</v>
      </c>
      <c r="G849" s="69"/>
    </row>
    <row r="850" ht="22.5" customHeight="1">
      <c r="A850" s="66" t="s">
        <v>1168</v>
      </c>
      <c r="B850" s="67" t="str">
        <f t="shared" si="11"/>
        <v>M: witness</v>
      </c>
      <c r="C850" s="68"/>
      <c r="D850" s="68">
        <v>45834.0</v>
      </c>
      <c r="E850" s="66">
        <v>9.0</v>
      </c>
      <c r="F850" s="66" t="str">
        <f>IFERROR(__xludf.DUMMYFUNCTION("GOOGLETRANSLATE(A850,""en"",""pt"")"),"testemunha")</f>
        <v>testemunha</v>
      </c>
      <c r="G850" s="69"/>
    </row>
    <row r="851" ht="22.5" customHeight="1">
      <c r="A851" s="66" t="s">
        <v>1169</v>
      </c>
      <c r="B851" s="67" t="str">
        <f t="shared" si="11"/>
        <v>M: baggage</v>
      </c>
      <c r="C851" s="68"/>
      <c r="D851" s="68">
        <v>45834.0</v>
      </c>
      <c r="E851" s="66">
        <v>10.0</v>
      </c>
      <c r="F851" s="66" t="str">
        <f>IFERROR(__xludf.DUMMYFUNCTION("GOOGLETRANSLATE(A851,""en"",""pt"")"),"Bagagem")</f>
        <v>Bagagem</v>
      </c>
      <c r="G851" s="69"/>
    </row>
    <row r="852" ht="22.5" customHeight="1">
      <c r="A852" s="66" t="s">
        <v>1170</v>
      </c>
      <c r="B852" s="67" t="str">
        <f t="shared" si="11"/>
        <v>M: fancy</v>
      </c>
      <c r="C852" s="68"/>
      <c r="D852" s="68">
        <v>45835.0</v>
      </c>
      <c r="E852" s="66">
        <v>1.0</v>
      </c>
      <c r="F852" s="66" t="str">
        <f>IFERROR(__xludf.DUMMYFUNCTION("GOOGLETRANSLATE(A852,""en"",""pt"")"),"chique")</f>
        <v>chique</v>
      </c>
      <c r="G852" s="69"/>
    </row>
    <row r="853" ht="22.5" customHeight="1">
      <c r="A853" s="66" t="s">
        <v>1171</v>
      </c>
      <c r="B853" s="67" t="str">
        <f t="shared" si="11"/>
        <v>M: strengthens</v>
      </c>
      <c r="C853" s="68"/>
      <c r="D853" s="68">
        <v>45835.0</v>
      </c>
      <c r="E853" s="66">
        <v>2.0</v>
      </c>
      <c r="F853" s="66" t="str">
        <f>IFERROR(__xludf.DUMMYFUNCTION("GOOGLETRANSLATE(A853,""en"",""pt"")"),"fortalece")</f>
        <v>fortalece</v>
      </c>
      <c r="G853" s="69"/>
    </row>
    <row r="854" ht="22.5" customHeight="1">
      <c r="A854" s="66" t="s">
        <v>1172</v>
      </c>
      <c r="B854" s="67" t="str">
        <f t="shared" si="11"/>
        <v>M: somber</v>
      </c>
      <c r="C854" s="68"/>
      <c r="D854" s="68">
        <v>45835.0</v>
      </c>
      <c r="E854" s="66">
        <v>3.0</v>
      </c>
      <c r="F854" s="66" t="str">
        <f>IFERROR(__xludf.DUMMYFUNCTION("GOOGLETRANSLATE(A854,""en"",""pt"")"),"sombrio")</f>
        <v>sombrio</v>
      </c>
      <c r="G854" s="69"/>
    </row>
    <row r="855" ht="22.5" customHeight="1">
      <c r="A855" s="66" t="s">
        <v>1173</v>
      </c>
      <c r="B855" s="67" t="str">
        <f t="shared" si="11"/>
        <v>M: footwork</v>
      </c>
      <c r="C855" s="68"/>
      <c r="D855" s="68">
        <v>45835.0</v>
      </c>
      <c r="E855" s="66">
        <v>4.0</v>
      </c>
      <c r="F855" s="66" t="str">
        <f>IFERROR(__xludf.DUMMYFUNCTION("GOOGLETRANSLATE(A855,""en"",""pt"")"),"trabalho de pés")</f>
        <v>trabalho de pés</v>
      </c>
      <c r="G855" s="69"/>
    </row>
    <row r="856" ht="22.5" customHeight="1">
      <c r="A856" s="66" t="s">
        <v>1174</v>
      </c>
      <c r="B856" s="67" t="str">
        <f t="shared" si="11"/>
        <v>M: poses</v>
      </c>
      <c r="C856" s="66">
        <v>1.0</v>
      </c>
      <c r="D856" s="68">
        <v>45835.0</v>
      </c>
      <c r="E856" s="66">
        <v>5.0</v>
      </c>
      <c r="F856" s="66" t="s">
        <v>1175</v>
      </c>
      <c r="G856" s="66" t="s">
        <v>247</v>
      </c>
    </row>
    <row r="857" ht="22.5" customHeight="1">
      <c r="A857" s="66" t="s">
        <v>1176</v>
      </c>
      <c r="B857" s="67" t="str">
        <f t="shared" si="11"/>
        <v>M: heartstrings</v>
      </c>
      <c r="C857" s="68"/>
      <c r="D857" s="68">
        <v>45835.0</v>
      </c>
      <c r="E857" s="66">
        <v>6.0</v>
      </c>
      <c r="F857" s="66" t="str">
        <f>IFERROR(__xludf.DUMMYFUNCTION("GOOGLETRANSLATE(A857,""en"",""pt"")"),"cordas do coração")</f>
        <v>cordas do coração</v>
      </c>
      <c r="G857" s="69"/>
    </row>
    <row r="858" ht="22.5" customHeight="1">
      <c r="A858" s="66" t="s">
        <v>1177</v>
      </c>
      <c r="B858" s="67" t="str">
        <f t="shared" si="11"/>
        <v>M: quaint</v>
      </c>
      <c r="C858" s="68"/>
      <c r="D858" s="68">
        <v>45835.0</v>
      </c>
      <c r="E858" s="66">
        <v>7.0</v>
      </c>
      <c r="F858" s="66" t="str">
        <f>IFERROR(__xludf.DUMMYFUNCTION("GOOGLETRANSLATE(A858,""en"",""pt"")"),"pitoresco")</f>
        <v>pitoresco</v>
      </c>
      <c r="G858" s="69"/>
    </row>
    <row r="859" ht="22.5" customHeight="1">
      <c r="A859" s="66" t="s">
        <v>1178</v>
      </c>
      <c r="B859" s="67" t="str">
        <f t="shared" si="11"/>
        <v>M: clever</v>
      </c>
      <c r="C859" s="66">
        <v>1.0</v>
      </c>
      <c r="D859" s="68">
        <v>45835.0</v>
      </c>
      <c r="E859" s="66">
        <v>8.0</v>
      </c>
      <c r="F859" s="66" t="s">
        <v>1179</v>
      </c>
      <c r="G859" s="66" t="s">
        <v>247</v>
      </c>
    </row>
    <row r="860" ht="22.5" customHeight="1">
      <c r="A860" s="66" t="s">
        <v>1180</v>
      </c>
      <c r="B860" s="67" t="str">
        <f t="shared" si="11"/>
        <v>M: maneuvering</v>
      </c>
      <c r="C860" s="68"/>
      <c r="D860" s="68">
        <v>45835.0</v>
      </c>
      <c r="E860" s="66">
        <v>9.0</v>
      </c>
      <c r="F860" s="66" t="str">
        <f>IFERROR(__xludf.DUMMYFUNCTION("GOOGLETRANSLATE(A860,""en"",""pt"")"),"manobrando")</f>
        <v>manobrando</v>
      </c>
      <c r="G860" s="69"/>
    </row>
    <row r="861" ht="22.5" customHeight="1">
      <c r="A861" s="66" t="s">
        <v>1181</v>
      </c>
      <c r="B861" s="67" t="str">
        <f t="shared" si="11"/>
        <v>M: astounding</v>
      </c>
      <c r="C861" s="68"/>
      <c r="D861" s="68">
        <v>45835.0</v>
      </c>
      <c r="E861" s="66">
        <v>10.0</v>
      </c>
      <c r="F861" s="66" t="str">
        <f>IFERROR(__xludf.DUMMYFUNCTION("GOOGLETRANSLATE(A861,""en"",""pt"")"),"impressionante")</f>
        <v>impressionante</v>
      </c>
      <c r="G861" s="69"/>
    </row>
    <row r="862" ht="22.5" customHeight="1">
      <c r="A862" s="66" t="s">
        <v>1182</v>
      </c>
      <c r="B862" s="67" t="str">
        <f t="shared" si="11"/>
        <v>M: mumbles</v>
      </c>
      <c r="C862" s="68"/>
      <c r="D862" s="68">
        <v>45836.0</v>
      </c>
      <c r="E862" s="66">
        <v>1.0</v>
      </c>
      <c r="F862" s="66" t="str">
        <f>IFERROR(__xludf.DUMMYFUNCTION("GOOGLETRANSLATE(A862,""en"",""pt"")"),"resmungos")</f>
        <v>resmungos</v>
      </c>
      <c r="G862" s="69"/>
    </row>
    <row r="863" ht="22.5" customHeight="1">
      <c r="A863" s="66" t="s">
        <v>1183</v>
      </c>
      <c r="B863" s="67" t="str">
        <f t="shared" si="11"/>
        <v>M: move away</v>
      </c>
      <c r="C863" s="68"/>
      <c r="D863" s="68">
        <v>45836.0</v>
      </c>
      <c r="E863" s="66">
        <v>2.0</v>
      </c>
      <c r="F863" s="66" t="str">
        <f>IFERROR(__xludf.DUMMYFUNCTION("GOOGLETRANSLATE(A863,""en"",""pt"")"),"afaste-se")</f>
        <v>afaste-se</v>
      </c>
      <c r="G863" s="69"/>
    </row>
    <row r="864" ht="22.5" customHeight="1">
      <c r="A864" s="66" t="s">
        <v>1184</v>
      </c>
      <c r="B864" s="67" t="str">
        <f t="shared" si="11"/>
        <v>M: worst</v>
      </c>
      <c r="C864" s="68"/>
      <c r="D864" s="68">
        <v>45836.0</v>
      </c>
      <c r="E864" s="66">
        <v>3.0</v>
      </c>
      <c r="F864" s="66" t="str">
        <f>IFERROR(__xludf.DUMMYFUNCTION("GOOGLETRANSLATE(A864,""en"",""pt"")"),"pior")</f>
        <v>pior</v>
      </c>
      <c r="G864" s="69"/>
    </row>
    <row r="865" ht="22.5" customHeight="1">
      <c r="A865" s="66" t="s">
        <v>1185</v>
      </c>
      <c r="B865" s="67" t="str">
        <f t="shared" si="11"/>
        <v>M: sobs</v>
      </c>
      <c r="C865" s="68"/>
      <c r="D865" s="68">
        <v>45836.0</v>
      </c>
      <c r="E865" s="66">
        <v>4.0</v>
      </c>
      <c r="F865" s="66" t="str">
        <f>IFERROR(__xludf.DUMMYFUNCTION("GOOGLETRANSLATE(A865,""en"",""pt"")"),"soluços")</f>
        <v>soluços</v>
      </c>
      <c r="G865" s="69"/>
    </row>
    <row r="866" ht="22.5" customHeight="1">
      <c r="A866" s="66" t="s">
        <v>1186</v>
      </c>
      <c r="B866" s="67" t="str">
        <f t="shared" si="11"/>
        <v>M: passionate</v>
      </c>
      <c r="C866" s="68"/>
      <c r="D866" s="68">
        <v>45836.0</v>
      </c>
      <c r="E866" s="66">
        <v>5.0</v>
      </c>
      <c r="F866" s="66" t="str">
        <f>IFERROR(__xludf.DUMMYFUNCTION("GOOGLETRANSLATE(A866,""en"",""pt"")"),"apaixonado")</f>
        <v>apaixonado</v>
      </c>
      <c r="G866" s="69"/>
    </row>
    <row r="867" ht="22.5" customHeight="1">
      <c r="A867" s="66" t="s">
        <v>1187</v>
      </c>
      <c r="B867" s="67" t="str">
        <f t="shared" si="11"/>
        <v>M: runaway</v>
      </c>
      <c r="C867" s="68"/>
      <c r="D867" s="68">
        <v>45836.0</v>
      </c>
      <c r="E867" s="66">
        <v>6.0</v>
      </c>
      <c r="F867" s="66" t="str">
        <f>IFERROR(__xludf.DUMMYFUNCTION("GOOGLETRANSLATE(A867,""en"",""pt"")"),"fugitivo")</f>
        <v>fugitivo</v>
      </c>
      <c r="G867" s="69"/>
    </row>
    <row r="868" ht="22.5" customHeight="1">
      <c r="A868" s="66" t="s">
        <v>1188</v>
      </c>
      <c r="B868" s="67" t="str">
        <f t="shared" si="11"/>
        <v>M: creditors</v>
      </c>
      <c r="C868" s="68"/>
      <c r="D868" s="68">
        <v>45836.0</v>
      </c>
      <c r="E868" s="66">
        <v>7.0</v>
      </c>
      <c r="F868" s="66" t="str">
        <f>IFERROR(__xludf.DUMMYFUNCTION("GOOGLETRANSLATE(A868,""en"",""pt"")"),"credores")</f>
        <v>credores</v>
      </c>
      <c r="G868" s="69"/>
    </row>
    <row r="869" ht="22.5" customHeight="1">
      <c r="A869" s="66" t="s">
        <v>1189</v>
      </c>
      <c r="B869" s="67" t="str">
        <f t="shared" si="11"/>
        <v>M: counsel</v>
      </c>
      <c r="C869" s="68"/>
      <c r="D869" s="68">
        <v>45836.0</v>
      </c>
      <c r="E869" s="66">
        <v>8.0</v>
      </c>
      <c r="F869" s="66" t="str">
        <f>IFERROR(__xludf.DUMMYFUNCTION("GOOGLETRANSLATE(A869,""en"",""pt"")"),"conselho")</f>
        <v>conselho</v>
      </c>
      <c r="G869" s="69"/>
    </row>
    <row r="870" ht="22.5" customHeight="1">
      <c r="A870" s="66" t="s">
        <v>1190</v>
      </c>
      <c r="B870" s="67" t="str">
        <f t="shared" si="11"/>
        <v>M: acidic</v>
      </c>
      <c r="C870" s="68"/>
      <c r="D870" s="68">
        <v>45836.0</v>
      </c>
      <c r="E870" s="66">
        <v>9.0</v>
      </c>
      <c r="F870" s="66" t="str">
        <f>IFERROR(__xludf.DUMMYFUNCTION("GOOGLETRANSLATE(A870,""en"",""pt"")"),"ácido")</f>
        <v>ácido</v>
      </c>
      <c r="G870" s="69"/>
    </row>
    <row r="871" ht="22.5" customHeight="1">
      <c r="A871" s="66" t="s">
        <v>1191</v>
      </c>
      <c r="B871" s="67" t="str">
        <f t="shared" si="11"/>
        <v>M: chewy</v>
      </c>
      <c r="C871" s="68"/>
      <c r="D871" s="68">
        <v>45836.0</v>
      </c>
      <c r="E871" s="66">
        <v>10.0</v>
      </c>
      <c r="F871" s="66" t="str">
        <f>IFERROR(__xludf.DUMMYFUNCTION("GOOGLETRANSLATE(A871,""en"",""pt"")"),"mastigável")</f>
        <v>mastigável</v>
      </c>
      <c r="G871" s="69"/>
    </row>
    <row r="872" ht="22.5" customHeight="1">
      <c r="A872" s="66" t="s">
        <v>1192</v>
      </c>
      <c r="B872" s="67" t="str">
        <f t="shared" si="11"/>
        <v>M: airtime</v>
      </c>
      <c r="C872" s="68"/>
      <c r="D872" s="68">
        <v>45837.0</v>
      </c>
      <c r="E872" s="66">
        <v>1.0</v>
      </c>
      <c r="F872" s="66" t="str">
        <f>IFERROR(__xludf.DUMMYFUNCTION("GOOGLETRANSLATE(A872,""en"",""pt"")"),"tempo de transmissão")</f>
        <v>tempo de transmissão</v>
      </c>
      <c r="G872" s="69"/>
    </row>
    <row r="873" ht="22.5" customHeight="1">
      <c r="A873" s="66" t="s">
        <v>1193</v>
      </c>
      <c r="B873" s="67" t="str">
        <f t="shared" si="11"/>
        <v>M: shabby</v>
      </c>
      <c r="C873" s="68"/>
      <c r="D873" s="68">
        <v>45837.0</v>
      </c>
      <c r="E873" s="66">
        <v>2.0</v>
      </c>
      <c r="F873" s="66" t="str">
        <f>IFERROR(__xludf.DUMMYFUNCTION("GOOGLETRANSLATE(A873,""en"",""pt"")"),"gasto")</f>
        <v>gasto</v>
      </c>
      <c r="G873" s="69"/>
    </row>
    <row r="874" ht="22.5" customHeight="1">
      <c r="A874" s="66" t="s">
        <v>1194</v>
      </c>
      <c r="B874" s="67" t="str">
        <f t="shared" si="11"/>
        <v>M: blanking</v>
      </c>
      <c r="C874" s="68"/>
      <c r="D874" s="68">
        <v>45837.0</v>
      </c>
      <c r="E874" s="66">
        <v>3.0</v>
      </c>
      <c r="F874" s="66" t="str">
        <f>IFERROR(__xludf.DUMMYFUNCTION("GOOGLETRANSLATE(A874,""en"",""pt"")"),"em branco")</f>
        <v>em branco</v>
      </c>
      <c r="G874" s="69"/>
    </row>
    <row r="875" ht="22.5" customHeight="1">
      <c r="A875" s="66" t="s">
        <v>1195</v>
      </c>
      <c r="B875" s="67" t="str">
        <f t="shared" si="11"/>
        <v>M: cutting edge</v>
      </c>
      <c r="C875" s="68"/>
      <c r="D875" s="68">
        <v>45837.0</v>
      </c>
      <c r="E875" s="66">
        <v>4.0</v>
      </c>
      <c r="F875" s="66" t="str">
        <f>IFERROR(__xludf.DUMMYFUNCTION("GOOGLETRANSLATE(A875,""en"",""pt"")"),"ponta")</f>
        <v>ponta</v>
      </c>
      <c r="G875" s="69"/>
    </row>
    <row r="876" ht="22.5" customHeight="1">
      <c r="A876" s="66" t="s">
        <v>1196</v>
      </c>
      <c r="B876" s="67" t="str">
        <f t="shared" si="11"/>
        <v>M: necking</v>
      </c>
      <c r="C876" s="68"/>
      <c r="D876" s="68">
        <v>45837.0</v>
      </c>
      <c r="E876" s="66">
        <v>5.0</v>
      </c>
      <c r="F876" s="66" t="str">
        <f>IFERROR(__xludf.DUMMYFUNCTION("GOOGLETRANSLATE(A876,""en"",""pt"")"),"beijando")</f>
        <v>beijando</v>
      </c>
      <c r="G876" s="69"/>
    </row>
    <row r="877" ht="22.5" customHeight="1">
      <c r="A877" s="66" t="s">
        <v>1197</v>
      </c>
      <c r="B877" s="67" t="str">
        <f t="shared" si="11"/>
        <v>M: nuzzling</v>
      </c>
      <c r="C877" s="68"/>
      <c r="D877" s="68">
        <v>45837.0</v>
      </c>
      <c r="E877" s="66">
        <v>6.0</v>
      </c>
      <c r="F877" s="66" t="str">
        <f>IFERROR(__xludf.DUMMYFUNCTION("GOOGLETRANSLATE(A877,""en"",""pt"")"),"aconchegando-se")</f>
        <v>aconchegando-se</v>
      </c>
      <c r="G877" s="69"/>
    </row>
    <row r="878" ht="22.5" customHeight="1">
      <c r="A878" s="66" t="s">
        <v>1198</v>
      </c>
      <c r="B878" s="67" t="str">
        <f t="shared" si="11"/>
        <v>M: kiddo</v>
      </c>
      <c r="C878" s="68"/>
      <c r="D878" s="68">
        <v>45837.0</v>
      </c>
      <c r="E878" s="66">
        <v>7.0</v>
      </c>
      <c r="F878" s="66" t="str">
        <f>IFERROR(__xludf.DUMMYFUNCTION("GOOGLETRANSLATE(A878,""en"",""pt"")"),"criança")</f>
        <v>criança</v>
      </c>
      <c r="G878" s="69"/>
    </row>
    <row r="879" ht="22.5" customHeight="1">
      <c r="A879" s="66" t="s">
        <v>1199</v>
      </c>
      <c r="B879" s="67" t="str">
        <f t="shared" si="11"/>
        <v>M: cracking</v>
      </c>
      <c r="C879" s="68"/>
      <c r="D879" s="68">
        <v>45837.0</v>
      </c>
      <c r="E879" s="66">
        <v>8.0</v>
      </c>
      <c r="F879" s="66" t="str">
        <f>IFERROR(__xludf.DUMMYFUNCTION("GOOGLETRANSLATE(A879,""en"",""pt"")"),"estalando")</f>
        <v>estalando</v>
      </c>
      <c r="G879" s="69"/>
    </row>
    <row r="880" ht="22.5" customHeight="1">
      <c r="A880" s="66" t="s">
        <v>1200</v>
      </c>
      <c r="B880" s="67" t="str">
        <f t="shared" si="11"/>
        <v>M: morons</v>
      </c>
      <c r="C880" s="66">
        <v>1.0</v>
      </c>
      <c r="D880" s="68">
        <v>45837.0</v>
      </c>
      <c r="E880" s="66">
        <v>9.0</v>
      </c>
      <c r="F880" s="71" t="s">
        <v>1201</v>
      </c>
      <c r="G880" s="66" t="s">
        <v>247</v>
      </c>
    </row>
    <row r="881" ht="22.5" customHeight="1">
      <c r="A881" s="66" t="s">
        <v>1202</v>
      </c>
      <c r="B881" s="67" t="str">
        <f t="shared" si="11"/>
        <v>M: titillated</v>
      </c>
      <c r="C881" s="68"/>
      <c r="D881" s="68">
        <v>45837.0</v>
      </c>
      <c r="E881" s="66">
        <v>10.0</v>
      </c>
      <c r="F881" s="66" t="str">
        <f>IFERROR(__xludf.DUMMYFUNCTION("GOOGLETRANSLATE(A881,""en"",""pt"")"),"excitado")</f>
        <v>excitado</v>
      </c>
      <c r="G881" s="69"/>
    </row>
    <row r="882" ht="22.5" customHeight="1">
      <c r="A882" s="66" t="s">
        <v>1203</v>
      </c>
      <c r="B882" s="67" t="str">
        <f t="shared" si="11"/>
        <v>M: slung</v>
      </c>
      <c r="C882" s="68"/>
      <c r="D882" s="68">
        <v>45838.0</v>
      </c>
      <c r="E882" s="66">
        <v>1.0</v>
      </c>
      <c r="F882" s="66" t="str">
        <f>IFERROR(__xludf.DUMMYFUNCTION("GOOGLETRANSLATE(A882,""en"",""pt"")"),"pendurado")</f>
        <v>pendurado</v>
      </c>
      <c r="G882" s="69"/>
    </row>
    <row r="883" ht="22.5" customHeight="1">
      <c r="A883" s="66" t="s">
        <v>1204</v>
      </c>
      <c r="B883" s="67" t="str">
        <f t="shared" si="11"/>
        <v>M: lumber</v>
      </c>
      <c r="C883" s="68"/>
      <c r="D883" s="68">
        <v>45838.0</v>
      </c>
      <c r="E883" s="66">
        <v>2.0</v>
      </c>
      <c r="F883" s="66" t="str">
        <f>IFERROR(__xludf.DUMMYFUNCTION("GOOGLETRANSLATE(A883,""en"",""pt"")"),"madeira")</f>
        <v>madeira</v>
      </c>
      <c r="G883" s="69"/>
    </row>
    <row r="884" ht="22.5" customHeight="1">
      <c r="A884" s="66" t="s">
        <v>1205</v>
      </c>
      <c r="B884" s="67" t="str">
        <f t="shared" si="11"/>
        <v>M: pivotal</v>
      </c>
      <c r="C884" s="68"/>
      <c r="D884" s="68">
        <v>45838.0</v>
      </c>
      <c r="E884" s="66">
        <v>3.0</v>
      </c>
      <c r="F884" s="66" t="str">
        <f>IFERROR(__xludf.DUMMYFUNCTION("GOOGLETRANSLATE(A884,""en"",""pt"")"),"crucial")</f>
        <v>crucial</v>
      </c>
      <c r="G884" s="69"/>
    </row>
    <row r="885" ht="22.5" customHeight="1">
      <c r="A885" s="66" t="s">
        <v>1206</v>
      </c>
      <c r="B885" s="67" t="str">
        <f t="shared" si="11"/>
        <v>M: piss</v>
      </c>
      <c r="C885" s="68"/>
      <c r="D885" s="68">
        <v>45838.0</v>
      </c>
      <c r="E885" s="66">
        <v>4.0</v>
      </c>
      <c r="F885" s="66" t="str">
        <f>IFERROR(__xludf.DUMMYFUNCTION("GOOGLETRANSLATE(A885,""en"",""pt"")"),"mijo")</f>
        <v>mijo</v>
      </c>
      <c r="G885" s="69"/>
    </row>
    <row r="886" ht="22.5" customHeight="1">
      <c r="A886" s="66" t="s">
        <v>1207</v>
      </c>
      <c r="B886" s="67" t="str">
        <f t="shared" si="11"/>
        <v>M: hashbrowns</v>
      </c>
      <c r="C886" s="68"/>
      <c r="D886" s="68">
        <v>45838.0</v>
      </c>
      <c r="E886" s="66">
        <v>5.0</v>
      </c>
      <c r="F886" s="66" t="str">
        <f>IFERROR(__xludf.DUMMYFUNCTION("GOOGLETRANSLATE(A886,""en"",""pt"")"),"batatas fritas")</f>
        <v>batatas fritas</v>
      </c>
      <c r="G886" s="69"/>
    </row>
    <row r="887" ht="22.5" customHeight="1">
      <c r="A887" s="66" t="s">
        <v>1208</v>
      </c>
      <c r="B887" s="67" t="str">
        <f t="shared" si="11"/>
        <v>M: fiery</v>
      </c>
      <c r="C887" s="68"/>
      <c r="D887" s="68">
        <v>45838.0</v>
      </c>
      <c r="E887" s="66">
        <v>6.0</v>
      </c>
      <c r="F887" s="66" t="str">
        <f>IFERROR(__xludf.DUMMYFUNCTION("GOOGLETRANSLATE(A887,""en"",""pt"")"),"ardente")</f>
        <v>ardente</v>
      </c>
      <c r="G887" s="69"/>
    </row>
    <row r="888" ht="22.5" customHeight="1">
      <c r="A888" s="66" t="s">
        <v>1209</v>
      </c>
      <c r="B888" s="67" t="str">
        <f t="shared" si="11"/>
        <v>M: bubbly</v>
      </c>
      <c r="C888" s="68"/>
      <c r="D888" s="68">
        <v>45838.0</v>
      </c>
      <c r="E888" s="66">
        <v>7.0</v>
      </c>
      <c r="F888" s="66" t="str">
        <f>IFERROR(__xludf.DUMMYFUNCTION("GOOGLETRANSLATE(A888,""en"",""pt"")"),"borbulhante")</f>
        <v>borbulhante</v>
      </c>
      <c r="G888" s="69"/>
    </row>
    <row r="889" ht="22.5" customHeight="1">
      <c r="A889" s="66" t="s">
        <v>1210</v>
      </c>
      <c r="B889" s="67" t="str">
        <f t="shared" si="11"/>
        <v>M: cheek</v>
      </c>
      <c r="C889" s="68"/>
      <c r="D889" s="68">
        <v>45838.0</v>
      </c>
      <c r="E889" s="66">
        <v>8.0</v>
      </c>
      <c r="F889" s="66" t="str">
        <f>IFERROR(__xludf.DUMMYFUNCTION("GOOGLETRANSLATE(A889,""en"",""pt"")"),"bochecha")</f>
        <v>bochecha</v>
      </c>
      <c r="G889" s="69"/>
    </row>
    <row r="890" ht="22.5" customHeight="1">
      <c r="A890" s="66" t="s">
        <v>1211</v>
      </c>
      <c r="B890" s="67" t="str">
        <f t="shared" si="11"/>
        <v>M: earlobe</v>
      </c>
      <c r="C890" s="68"/>
      <c r="D890" s="68">
        <v>45838.0</v>
      </c>
      <c r="E890" s="66">
        <v>9.0</v>
      </c>
      <c r="F890" s="66" t="str">
        <f>IFERROR(__xludf.DUMMYFUNCTION("GOOGLETRANSLATE(A890,""en"",""pt"")"),"lóbulo da orelha")</f>
        <v>lóbulo da orelha</v>
      </c>
      <c r="G890" s="69"/>
    </row>
    <row r="891" ht="22.5" customHeight="1">
      <c r="A891" s="66" t="s">
        <v>1212</v>
      </c>
      <c r="B891" s="67" t="str">
        <f t="shared" si="11"/>
        <v>M: crap-fest</v>
      </c>
      <c r="C891" s="68"/>
      <c r="D891" s="68">
        <v>45838.0</v>
      </c>
      <c r="E891" s="66">
        <v>10.0</v>
      </c>
      <c r="F891" s="66" t="str">
        <f>IFERROR(__xludf.DUMMYFUNCTION("GOOGLETRANSLATE(A891,""en"",""pt"")"),"festa de merda")</f>
        <v>festa de merda</v>
      </c>
      <c r="G891" s="69"/>
    </row>
    <row r="892" ht="22.5" customHeight="1">
      <c r="A892" s="66" t="s">
        <v>1213</v>
      </c>
      <c r="B892" s="67" t="str">
        <f t="shared" si="11"/>
        <v>M: depth</v>
      </c>
      <c r="C892" s="68"/>
      <c r="D892" s="68">
        <v>45839.0</v>
      </c>
      <c r="E892" s="66">
        <v>1.0</v>
      </c>
      <c r="F892" s="66" t="str">
        <f>IFERROR(__xludf.DUMMYFUNCTION("GOOGLETRANSLATE(A892,""en"",""pt"")"),"profundidade")</f>
        <v>profundidade</v>
      </c>
      <c r="G892" s="69"/>
    </row>
    <row r="893" ht="22.5" customHeight="1">
      <c r="A893" s="66" t="s">
        <v>1214</v>
      </c>
      <c r="B893" s="67" t="str">
        <f t="shared" si="11"/>
        <v>M: chariots</v>
      </c>
      <c r="C893" s="68"/>
      <c r="D893" s="68">
        <v>45839.0</v>
      </c>
      <c r="E893" s="66">
        <v>2.0</v>
      </c>
      <c r="F893" s="66" t="str">
        <f>IFERROR(__xludf.DUMMYFUNCTION("GOOGLETRANSLATE(A893,""en"",""pt"")"),"carruagens")</f>
        <v>carruagens</v>
      </c>
      <c r="G893" s="69"/>
    </row>
    <row r="894" ht="22.5" customHeight="1">
      <c r="A894" s="66" t="s">
        <v>1215</v>
      </c>
      <c r="B894" s="67" t="str">
        <f t="shared" si="11"/>
        <v>M: mouthing</v>
      </c>
      <c r="C894" s="66">
        <v>1.0</v>
      </c>
      <c r="D894" s="68">
        <v>45839.0</v>
      </c>
      <c r="E894" s="66">
        <v>3.0</v>
      </c>
      <c r="F894" s="66" t="s">
        <v>1216</v>
      </c>
      <c r="G894" s="66" t="s">
        <v>247</v>
      </c>
    </row>
    <row r="895" ht="22.5" customHeight="1">
      <c r="A895" s="66" t="s">
        <v>1217</v>
      </c>
      <c r="B895" s="67" t="str">
        <f t="shared" si="11"/>
        <v>M: hiting</v>
      </c>
      <c r="C895" s="68"/>
      <c r="D895" s="68">
        <v>45839.0</v>
      </c>
      <c r="E895" s="66">
        <v>4.0</v>
      </c>
      <c r="F895" s="66" t="str">
        <f>IFERROR(__xludf.DUMMYFUNCTION("GOOGLETRANSLATE(A895,""en"",""pt"")"),"batendo")</f>
        <v>batendo</v>
      </c>
      <c r="G895" s="69"/>
    </row>
    <row r="896" ht="22.5" customHeight="1">
      <c r="A896" s="66" t="s">
        <v>1218</v>
      </c>
      <c r="B896" s="67" t="str">
        <f t="shared" si="11"/>
        <v>M: limitless</v>
      </c>
      <c r="C896" s="68"/>
      <c r="D896" s="68">
        <v>45839.0</v>
      </c>
      <c r="E896" s="66">
        <v>5.0</v>
      </c>
      <c r="F896" s="66" t="str">
        <f>IFERROR(__xludf.DUMMYFUNCTION("GOOGLETRANSLATE(A896,""en"",""pt"")"),"ilimitado")</f>
        <v>ilimitado</v>
      </c>
      <c r="G896" s="69"/>
    </row>
    <row r="897" ht="22.5" customHeight="1">
      <c r="A897" s="66" t="s">
        <v>1219</v>
      </c>
      <c r="B897" s="67" t="str">
        <f t="shared" si="11"/>
        <v>M: feast</v>
      </c>
      <c r="C897" s="68"/>
      <c r="D897" s="68">
        <v>45839.0</v>
      </c>
      <c r="E897" s="66">
        <v>6.0</v>
      </c>
      <c r="F897" s="66" t="str">
        <f>IFERROR(__xludf.DUMMYFUNCTION("GOOGLETRANSLATE(A897,""en"",""pt"")"),"celebração")</f>
        <v>celebração</v>
      </c>
      <c r="G897" s="69"/>
    </row>
    <row r="898" ht="22.5" customHeight="1">
      <c r="A898" s="66" t="s">
        <v>1220</v>
      </c>
      <c r="B898" s="67" t="str">
        <f t="shared" si="11"/>
        <v>M: aboard</v>
      </c>
      <c r="C898" s="68"/>
      <c r="D898" s="68">
        <v>45839.0</v>
      </c>
      <c r="E898" s="66">
        <v>7.0</v>
      </c>
      <c r="F898" s="66" t="str">
        <f>IFERROR(__xludf.DUMMYFUNCTION("GOOGLETRANSLATE(A898,""en"",""pt"")"),"a bordo")</f>
        <v>a bordo</v>
      </c>
      <c r="G898" s="69"/>
    </row>
    <row r="899" ht="22.5" customHeight="1">
      <c r="A899" s="66" t="s">
        <v>1221</v>
      </c>
      <c r="B899" s="67" t="str">
        <f t="shared" si="11"/>
        <v>M: approached</v>
      </c>
      <c r="C899" s="68"/>
      <c r="D899" s="68">
        <v>45839.0</v>
      </c>
      <c r="E899" s="66">
        <v>8.0</v>
      </c>
      <c r="F899" s="66" t="str">
        <f>IFERROR(__xludf.DUMMYFUNCTION("GOOGLETRANSLATE(A899,""en"",""pt"")"),"abordado")</f>
        <v>abordado</v>
      </c>
      <c r="G899" s="69"/>
    </row>
    <row r="900" ht="22.5" customHeight="1">
      <c r="A900" s="66" t="s">
        <v>1222</v>
      </c>
      <c r="B900" s="67" t="str">
        <f t="shared" si="11"/>
        <v>M: dummy</v>
      </c>
      <c r="C900" s="66">
        <v>1.0</v>
      </c>
      <c r="D900" s="68">
        <v>45839.0</v>
      </c>
      <c r="E900" s="66">
        <v>9.0</v>
      </c>
      <c r="F900" s="66" t="s">
        <v>1223</v>
      </c>
      <c r="G900" s="66" t="s">
        <v>247</v>
      </c>
    </row>
    <row r="901" ht="22.5" customHeight="1">
      <c r="A901" s="66" t="s">
        <v>1224</v>
      </c>
      <c r="B901" s="67" t="str">
        <f t="shared" si="11"/>
        <v>M: wrist</v>
      </c>
      <c r="C901" s="68"/>
      <c r="D901" s="68">
        <v>45839.0</v>
      </c>
      <c r="E901" s="66">
        <v>10.0</v>
      </c>
      <c r="F901" s="66" t="str">
        <f>IFERROR(__xludf.DUMMYFUNCTION("GOOGLETRANSLATE(A901,""en"",""pt"")"),"pulso")</f>
        <v>pulso</v>
      </c>
      <c r="G901" s="69"/>
    </row>
    <row r="902" ht="22.5" customHeight="1">
      <c r="A902" s="66" t="s">
        <v>1225</v>
      </c>
      <c r="B902" s="67" t="str">
        <f t="shared" si="11"/>
        <v>M: chapel</v>
      </c>
      <c r="C902" s="68"/>
      <c r="D902" s="68">
        <v>45840.0</v>
      </c>
      <c r="E902" s="66">
        <v>1.0</v>
      </c>
      <c r="F902" s="66" t="str">
        <f>IFERROR(__xludf.DUMMYFUNCTION("GOOGLETRANSLATE(A902,""en"",""pt"")"),"capela")</f>
        <v>capela</v>
      </c>
      <c r="G902" s="69"/>
    </row>
    <row r="903" ht="22.5" customHeight="1">
      <c r="A903" s="66" t="s">
        <v>1226</v>
      </c>
      <c r="B903" s="67" t="str">
        <f t="shared" si="11"/>
        <v>M: prayers</v>
      </c>
      <c r="C903" s="68"/>
      <c r="D903" s="68">
        <v>45840.0</v>
      </c>
      <c r="E903" s="66">
        <v>2.0</v>
      </c>
      <c r="F903" s="66" t="str">
        <f>IFERROR(__xludf.DUMMYFUNCTION("GOOGLETRANSLATE(A903,""en"",""pt"")"),"orações")</f>
        <v>orações</v>
      </c>
      <c r="G903" s="69"/>
    </row>
    <row r="904" ht="22.5" customHeight="1">
      <c r="A904" s="66" t="s">
        <v>1227</v>
      </c>
      <c r="B904" s="67" t="str">
        <f t="shared" si="11"/>
        <v>M: meant</v>
      </c>
      <c r="C904" s="68"/>
      <c r="D904" s="68">
        <v>45840.0</v>
      </c>
      <c r="E904" s="66">
        <v>3.0</v>
      </c>
      <c r="F904" s="66" t="str">
        <f>IFERROR(__xludf.DUMMYFUNCTION("GOOGLETRANSLATE(A904,""en"",""pt"")"),"significou")</f>
        <v>significou</v>
      </c>
      <c r="G904" s="69"/>
    </row>
    <row r="905" ht="22.5" customHeight="1">
      <c r="A905" s="66" t="s">
        <v>1228</v>
      </c>
      <c r="B905" s="67" t="str">
        <f t="shared" si="11"/>
        <v>M: tithes</v>
      </c>
      <c r="C905" s="68"/>
      <c r="D905" s="68">
        <v>45840.0</v>
      </c>
      <c r="E905" s="66">
        <v>4.0</v>
      </c>
      <c r="F905" s="66" t="str">
        <f>IFERROR(__xludf.DUMMYFUNCTION("GOOGLETRANSLATE(A905,""en"",""pt"")"),"dízimos")</f>
        <v>dízimos</v>
      </c>
      <c r="G905" s="69"/>
    </row>
    <row r="906" ht="22.5" customHeight="1">
      <c r="A906" s="66" t="s">
        <v>1229</v>
      </c>
      <c r="B906" s="67" t="str">
        <f t="shared" si="11"/>
        <v>M: neared</v>
      </c>
      <c r="C906" s="68"/>
      <c r="D906" s="68">
        <v>45840.0</v>
      </c>
      <c r="E906" s="66">
        <v>5.0</v>
      </c>
      <c r="F906" s="66" t="str">
        <f>IFERROR(__xludf.DUMMYFUNCTION("GOOGLETRANSLATE(A906,""en"",""pt"")"),"aproximado")</f>
        <v>aproximado</v>
      </c>
      <c r="G906" s="69"/>
    </row>
    <row r="907" ht="22.5" customHeight="1">
      <c r="A907" s="66" t="s">
        <v>1230</v>
      </c>
      <c r="B907" s="67" t="str">
        <f t="shared" si="11"/>
        <v>M: sensed</v>
      </c>
      <c r="C907" s="68"/>
      <c r="D907" s="68">
        <v>45840.0</v>
      </c>
      <c r="E907" s="66">
        <v>6.0</v>
      </c>
      <c r="F907" s="66" t="str">
        <f>IFERROR(__xludf.DUMMYFUNCTION("GOOGLETRANSLATE(A907,""en"",""pt"")"),"pressentiu")</f>
        <v>pressentiu</v>
      </c>
      <c r="G907" s="69"/>
    </row>
    <row r="908" ht="22.5" customHeight="1">
      <c r="A908" s="66" t="s">
        <v>1231</v>
      </c>
      <c r="B908" s="67" t="str">
        <f t="shared" si="11"/>
        <v>M: foolishly</v>
      </c>
      <c r="C908" s="68"/>
      <c r="D908" s="68">
        <v>45840.0</v>
      </c>
      <c r="E908" s="66">
        <v>7.0</v>
      </c>
      <c r="F908" s="66" t="str">
        <f>IFERROR(__xludf.DUMMYFUNCTION("GOOGLETRANSLATE(A908,""en"",""pt"")"),"tolamente")</f>
        <v>tolamente</v>
      </c>
      <c r="G908" s="69"/>
    </row>
    <row r="909" ht="22.5" customHeight="1">
      <c r="A909" s="66" t="s">
        <v>1232</v>
      </c>
      <c r="B909" s="67" t="str">
        <f t="shared" si="11"/>
        <v>M: collapsed</v>
      </c>
      <c r="C909" s="68"/>
      <c r="D909" s="68">
        <v>45840.0</v>
      </c>
      <c r="E909" s="66">
        <v>8.0</v>
      </c>
      <c r="F909" s="66" t="str">
        <f>IFERROR(__xludf.DUMMYFUNCTION("GOOGLETRANSLATE(A909,""en"",""pt"")"),"desabou")</f>
        <v>desabou</v>
      </c>
      <c r="G909" s="69"/>
    </row>
    <row r="910" ht="22.5" customHeight="1">
      <c r="A910" s="66" t="s">
        <v>1233</v>
      </c>
      <c r="B910" s="67" t="str">
        <f t="shared" si="11"/>
        <v>M: dragged</v>
      </c>
      <c r="C910" s="68"/>
      <c r="D910" s="68">
        <v>45840.0</v>
      </c>
      <c r="E910" s="66">
        <v>9.0</v>
      </c>
      <c r="F910" s="66" t="str">
        <f>IFERROR(__xludf.DUMMYFUNCTION("GOOGLETRANSLATE(A910,""en"",""pt"")"),"arrastado")</f>
        <v>arrastado</v>
      </c>
      <c r="G910" s="69"/>
    </row>
    <row r="911" ht="22.5" customHeight="1">
      <c r="A911" s="66" t="s">
        <v>1234</v>
      </c>
      <c r="B911" s="67" t="str">
        <f t="shared" si="11"/>
        <v>M: horned</v>
      </c>
      <c r="C911" s="68"/>
      <c r="D911" s="68">
        <v>45840.0</v>
      </c>
      <c r="E911" s="66">
        <v>10.0</v>
      </c>
      <c r="F911" s="66" t="str">
        <f>IFERROR(__xludf.DUMMYFUNCTION("GOOGLETRANSLATE(A911,""en"",""pt"")"),"com chifres")</f>
        <v>com chifres</v>
      </c>
      <c r="G911" s="69"/>
    </row>
    <row r="912" ht="22.5" customHeight="1">
      <c r="A912" s="66" t="s">
        <v>1235</v>
      </c>
      <c r="B912" s="67" t="str">
        <f t="shared" si="11"/>
        <v>M: cannot</v>
      </c>
      <c r="C912" s="68"/>
      <c r="D912" s="68">
        <v>45841.0</v>
      </c>
      <c r="E912" s="66">
        <v>1.0</v>
      </c>
      <c r="F912" s="66" t="str">
        <f>IFERROR(__xludf.DUMMYFUNCTION("GOOGLETRANSLATE(A912,""en"",""pt"")"),"não pode")</f>
        <v>não pode</v>
      </c>
      <c r="G912" s="69"/>
    </row>
    <row r="913" ht="22.5" customHeight="1">
      <c r="A913" s="66" t="s">
        <v>1236</v>
      </c>
      <c r="B913" s="67" t="str">
        <f t="shared" si="11"/>
        <v>M: hermit</v>
      </c>
      <c r="C913" s="68"/>
      <c r="D913" s="68">
        <v>45841.0</v>
      </c>
      <c r="E913" s="66">
        <v>2.0</v>
      </c>
      <c r="F913" s="66" t="str">
        <f>IFERROR(__xludf.DUMMYFUNCTION("GOOGLETRANSLATE(A913,""en"",""pt"")"),"eremita")</f>
        <v>eremita</v>
      </c>
      <c r="G913" s="69"/>
    </row>
    <row r="914" ht="22.5" customHeight="1">
      <c r="A914" s="66" t="s">
        <v>1237</v>
      </c>
      <c r="B914" s="67" t="str">
        <f t="shared" si="11"/>
        <v>M: northeast</v>
      </c>
      <c r="C914" s="66">
        <v>1.0</v>
      </c>
      <c r="D914" s="68">
        <v>45841.0</v>
      </c>
      <c r="E914" s="66">
        <v>3.0</v>
      </c>
      <c r="F914" s="71" t="s">
        <v>1238</v>
      </c>
      <c r="G914" s="66" t="s">
        <v>247</v>
      </c>
    </row>
    <row r="915" ht="22.5" customHeight="1">
      <c r="A915" s="66" t="s">
        <v>1239</v>
      </c>
      <c r="B915" s="67" t="str">
        <f t="shared" si="11"/>
        <v>M: gospel</v>
      </c>
      <c r="C915" s="68"/>
      <c r="D915" s="68">
        <v>45841.0</v>
      </c>
      <c r="E915" s="66">
        <v>4.0</v>
      </c>
      <c r="F915" s="66" t="str">
        <f>IFERROR(__xludf.DUMMYFUNCTION("GOOGLETRANSLATE(A915,""en"",""pt"")"),"evangelho")</f>
        <v>evangelho</v>
      </c>
      <c r="G915" s="69"/>
    </row>
    <row r="916" ht="22.5" customHeight="1">
      <c r="A916" s="66" t="s">
        <v>1240</v>
      </c>
      <c r="B916" s="67" t="str">
        <f t="shared" si="11"/>
        <v>M: posing</v>
      </c>
      <c r="C916" s="68"/>
      <c r="D916" s="68">
        <v>45841.0</v>
      </c>
      <c r="E916" s="66">
        <v>5.0</v>
      </c>
      <c r="F916" s="66" t="str">
        <f>IFERROR(__xludf.DUMMYFUNCTION("GOOGLETRANSLATE(A916,""en"",""pt"")"),"posando")</f>
        <v>posando</v>
      </c>
      <c r="G916" s="69"/>
    </row>
    <row r="917" ht="22.5" customHeight="1">
      <c r="A917" s="66" t="s">
        <v>1241</v>
      </c>
      <c r="B917" s="67" t="str">
        <f t="shared" si="11"/>
        <v>M: humankind</v>
      </c>
      <c r="C917" s="68"/>
      <c r="D917" s="68">
        <v>45841.0</v>
      </c>
      <c r="E917" s="66">
        <v>6.0</v>
      </c>
      <c r="F917" s="66" t="str">
        <f>IFERROR(__xludf.DUMMYFUNCTION("GOOGLETRANSLATE(A917,""en"",""pt"")"),"humanidade")</f>
        <v>humanidade</v>
      </c>
      <c r="G917" s="69"/>
    </row>
    <row r="918" ht="22.5" customHeight="1">
      <c r="A918" s="66" t="s">
        <v>1242</v>
      </c>
      <c r="B918" s="67" t="str">
        <f t="shared" si="11"/>
        <v>M: sin</v>
      </c>
      <c r="C918" s="68"/>
      <c r="D918" s="68">
        <v>45841.0</v>
      </c>
      <c r="E918" s="66">
        <v>7.0</v>
      </c>
      <c r="F918" s="66" t="str">
        <f>IFERROR(__xludf.DUMMYFUNCTION("GOOGLETRANSLATE(A918,""en"",""pt"")"),"pecado")</f>
        <v>pecado</v>
      </c>
      <c r="G918" s="69"/>
    </row>
    <row r="919" ht="22.5" customHeight="1">
      <c r="A919" s="66" t="s">
        <v>1243</v>
      </c>
      <c r="B919" s="67" t="str">
        <f t="shared" si="11"/>
        <v>M: tread</v>
      </c>
      <c r="C919" s="66">
        <v>1.0</v>
      </c>
      <c r="D919" s="68">
        <v>45841.0</v>
      </c>
      <c r="E919" s="66">
        <v>8.0</v>
      </c>
      <c r="F919" s="71" t="s">
        <v>1244</v>
      </c>
      <c r="G919" s="66" t="s">
        <v>247</v>
      </c>
    </row>
    <row r="920" ht="22.5" customHeight="1">
      <c r="A920" s="66" t="s">
        <v>1245</v>
      </c>
      <c r="B920" s="67" t="str">
        <f t="shared" si="11"/>
        <v>M: bundled</v>
      </c>
      <c r="C920" s="68"/>
      <c r="D920" s="68">
        <v>45841.0</v>
      </c>
      <c r="E920" s="66">
        <v>9.0</v>
      </c>
      <c r="F920" s="66" t="str">
        <f>IFERROR(__xludf.DUMMYFUNCTION("GOOGLETRANSLATE(A920,""en"",""pt"")"),"agrupados")</f>
        <v>agrupados</v>
      </c>
      <c r="G920" s="69"/>
    </row>
    <row r="921" ht="22.5" customHeight="1">
      <c r="A921" s="66" t="s">
        <v>1246</v>
      </c>
      <c r="B921" s="67" t="str">
        <f t="shared" si="11"/>
        <v>M: brewing</v>
      </c>
      <c r="C921" s="68"/>
      <c r="D921" s="68">
        <v>45841.0</v>
      </c>
      <c r="E921" s="66">
        <v>10.0</v>
      </c>
      <c r="F921" s="66" t="str">
        <f>IFERROR(__xludf.DUMMYFUNCTION("GOOGLETRANSLATE(A921,""en"",""pt"")"),"fabricação")</f>
        <v>fabricação</v>
      </c>
      <c r="G921" s="69"/>
    </row>
    <row r="922" ht="22.5" customHeight="1">
      <c r="A922" s="66" t="s">
        <v>1247</v>
      </c>
      <c r="B922" s="67" t="str">
        <f t="shared" si="11"/>
        <v>M: freshly</v>
      </c>
      <c r="C922" s="68"/>
      <c r="D922" s="68">
        <v>45842.0</v>
      </c>
      <c r="E922" s="66">
        <v>1.0</v>
      </c>
      <c r="F922" s="66" t="str">
        <f>IFERROR(__xludf.DUMMYFUNCTION("GOOGLETRANSLATE(A922,""en"",""pt"")"),"recentemente")</f>
        <v>recentemente</v>
      </c>
      <c r="G922" s="69"/>
    </row>
    <row r="923" ht="22.5" customHeight="1">
      <c r="A923" s="66" t="s">
        <v>1248</v>
      </c>
      <c r="B923" s="67" t="str">
        <f t="shared" si="11"/>
        <v>M: coated</v>
      </c>
      <c r="C923" s="68"/>
      <c r="D923" s="68">
        <v>45842.0</v>
      </c>
      <c r="E923" s="66">
        <v>2.0</v>
      </c>
      <c r="F923" s="66" t="str">
        <f>IFERROR(__xludf.DUMMYFUNCTION("GOOGLETRANSLATE(A923,""en"",""pt"")"),"revestido")</f>
        <v>revestido</v>
      </c>
      <c r="G923" s="69"/>
    </row>
    <row r="924" ht="22.5" customHeight="1">
      <c r="A924" s="66" t="s">
        <v>1249</v>
      </c>
      <c r="B924" s="67" t="str">
        <f t="shared" si="11"/>
        <v>M: dried</v>
      </c>
      <c r="C924" s="68"/>
      <c r="D924" s="68">
        <v>45842.0</v>
      </c>
      <c r="E924" s="66">
        <v>3.0</v>
      </c>
      <c r="F924" s="66" t="str">
        <f>IFERROR(__xludf.DUMMYFUNCTION("GOOGLETRANSLATE(A924,""en"",""pt"")"),"seco")</f>
        <v>seco</v>
      </c>
      <c r="G924" s="69"/>
    </row>
    <row r="925" ht="22.5" customHeight="1">
      <c r="A925" s="66" t="s">
        <v>1250</v>
      </c>
      <c r="B925" s="67" t="str">
        <f t="shared" si="11"/>
        <v>M: prophesied</v>
      </c>
      <c r="C925" s="68"/>
      <c r="D925" s="68">
        <v>45842.0</v>
      </c>
      <c r="E925" s="66">
        <v>4.0</v>
      </c>
      <c r="F925" s="66" t="str">
        <f>IFERROR(__xludf.DUMMYFUNCTION("GOOGLETRANSLATE(A925,""en"",""pt"")"),"profetizou")</f>
        <v>profetizou</v>
      </c>
      <c r="G925" s="69"/>
    </row>
    <row r="926" ht="22.5" customHeight="1">
      <c r="A926" s="66" t="s">
        <v>1251</v>
      </c>
      <c r="B926" s="67" t="str">
        <f t="shared" si="11"/>
        <v>M: amid</v>
      </c>
      <c r="C926" s="68"/>
      <c r="D926" s="68">
        <v>45842.0</v>
      </c>
      <c r="E926" s="66">
        <v>5.0</v>
      </c>
      <c r="F926" s="66" t="str">
        <f>IFERROR(__xludf.DUMMYFUNCTION("GOOGLETRANSLATE(A926,""en"",""pt"")"),"entre")</f>
        <v>entre</v>
      </c>
      <c r="G926" s="69"/>
    </row>
    <row r="927" ht="22.5" customHeight="1">
      <c r="A927" s="66" t="s">
        <v>1252</v>
      </c>
      <c r="B927" s="67" t="str">
        <f t="shared" si="11"/>
        <v>M: damned</v>
      </c>
      <c r="C927" s="66">
        <v>1.0</v>
      </c>
      <c r="D927" s="68">
        <v>45842.0</v>
      </c>
      <c r="E927" s="66">
        <v>6.0</v>
      </c>
      <c r="F927" s="66" t="s">
        <v>1253</v>
      </c>
      <c r="G927" s="66" t="s">
        <v>247</v>
      </c>
    </row>
    <row r="928" ht="22.5" customHeight="1">
      <c r="A928" s="66" t="s">
        <v>1254</v>
      </c>
      <c r="B928" s="67" t="str">
        <f t="shared" si="11"/>
        <v>M: chunk</v>
      </c>
      <c r="C928" s="68"/>
      <c r="D928" s="68">
        <v>45842.0</v>
      </c>
      <c r="E928" s="66">
        <v>7.0</v>
      </c>
      <c r="F928" s="66" t="str">
        <f>IFERROR(__xludf.DUMMYFUNCTION("GOOGLETRANSLATE(A928,""en"",""pt"")"),"pedaço")</f>
        <v>pedaço</v>
      </c>
      <c r="G928" s="69"/>
    </row>
    <row r="929" ht="22.5" customHeight="1">
      <c r="A929" s="66" t="s">
        <v>1255</v>
      </c>
      <c r="B929" s="67" t="str">
        <f t="shared" si="11"/>
        <v>M: fallen</v>
      </c>
      <c r="C929" s="68"/>
      <c r="D929" s="68">
        <v>45842.0</v>
      </c>
      <c r="E929" s="66">
        <v>8.0</v>
      </c>
      <c r="F929" s="66" t="str">
        <f>IFERROR(__xludf.DUMMYFUNCTION("GOOGLETRANSLATE(A929,""en"",""pt"")"),"caído")</f>
        <v>caído</v>
      </c>
      <c r="G929" s="69"/>
    </row>
    <row r="930" ht="22.5" customHeight="1">
      <c r="A930" s="66" t="s">
        <v>1256</v>
      </c>
      <c r="B930" s="67" t="str">
        <f t="shared" si="11"/>
        <v>M: mirroring</v>
      </c>
      <c r="C930" s="68"/>
      <c r="D930" s="68">
        <v>45842.0</v>
      </c>
      <c r="E930" s="66">
        <v>9.0</v>
      </c>
      <c r="F930" s="66" t="str">
        <f>IFERROR(__xludf.DUMMYFUNCTION("GOOGLETRANSLATE(A930,""en"",""pt"")"),"espelhamento")</f>
        <v>espelhamento</v>
      </c>
      <c r="G930" s="69"/>
    </row>
    <row r="931" ht="22.5" customHeight="1">
      <c r="A931" s="66" t="s">
        <v>1257</v>
      </c>
      <c r="B931" s="67" t="str">
        <f t="shared" si="11"/>
        <v>M: vein</v>
      </c>
      <c r="C931" s="68"/>
      <c r="D931" s="68">
        <v>45842.0</v>
      </c>
      <c r="E931" s="66">
        <v>10.0</v>
      </c>
      <c r="F931" s="66" t="str">
        <f>IFERROR(__xludf.DUMMYFUNCTION("GOOGLETRANSLATE(A931,""en"",""pt"")"),"veia")</f>
        <v>veia</v>
      </c>
      <c r="G931" s="69"/>
    </row>
    <row r="932" ht="22.5" customHeight="1">
      <c r="A932" s="66" t="s">
        <v>1258</v>
      </c>
      <c r="B932" s="67" t="str">
        <f t="shared" si="11"/>
        <v>M: babbling</v>
      </c>
      <c r="C932" s="68"/>
      <c r="D932" s="68">
        <v>45843.0</v>
      </c>
      <c r="E932" s="66">
        <v>1.0</v>
      </c>
      <c r="F932" s="66" t="str">
        <f>IFERROR(__xludf.DUMMYFUNCTION("GOOGLETRANSLATE(A932,""en"",""pt"")"),"balbuciando")</f>
        <v>balbuciando</v>
      </c>
      <c r="G932" s="69"/>
    </row>
    <row r="933" ht="22.5" customHeight="1">
      <c r="A933" s="66" t="s">
        <v>1259</v>
      </c>
      <c r="B933" s="67" t="str">
        <f t="shared" si="11"/>
        <v>M: feud</v>
      </c>
      <c r="C933" s="68"/>
      <c r="D933" s="68">
        <v>45843.0</v>
      </c>
      <c r="E933" s="66">
        <v>2.0</v>
      </c>
      <c r="F933" s="66" t="str">
        <f>IFERROR(__xludf.DUMMYFUNCTION("GOOGLETRANSLATE(A933,""en"",""pt"")"),"contenda")</f>
        <v>contenda</v>
      </c>
      <c r="G933" s="69"/>
    </row>
    <row r="934" ht="22.5" customHeight="1">
      <c r="A934" s="66" t="s">
        <v>1260</v>
      </c>
      <c r="B934" s="67" t="str">
        <f t="shared" si="11"/>
        <v>M: linger</v>
      </c>
      <c r="C934" s="66">
        <v>1.0</v>
      </c>
      <c r="D934" s="68">
        <v>45843.0</v>
      </c>
      <c r="E934" s="66">
        <v>3.0</v>
      </c>
      <c r="F934" s="66" t="s">
        <v>1261</v>
      </c>
      <c r="G934" s="69"/>
    </row>
    <row r="935" ht="22.5" customHeight="1">
      <c r="A935" s="66" t="s">
        <v>1262</v>
      </c>
      <c r="B935" s="67" t="str">
        <f t="shared" si="11"/>
        <v>M: gatehouse</v>
      </c>
      <c r="C935" s="68"/>
      <c r="D935" s="68">
        <v>45843.0</v>
      </c>
      <c r="E935" s="66">
        <v>4.0</v>
      </c>
      <c r="F935" s="66" t="str">
        <f>IFERROR(__xludf.DUMMYFUNCTION("GOOGLETRANSLATE(A935,""en"",""pt"")"),"guarita")</f>
        <v>guarita</v>
      </c>
      <c r="G935" s="69"/>
    </row>
    <row r="936" ht="22.5" customHeight="1">
      <c r="A936" s="66" t="s">
        <v>1263</v>
      </c>
      <c r="B936" s="67" t="str">
        <f t="shared" si="11"/>
        <v>M: cleansing</v>
      </c>
      <c r="C936" s="68"/>
      <c r="D936" s="68">
        <v>45843.0</v>
      </c>
      <c r="E936" s="66">
        <v>5.0</v>
      </c>
      <c r="F936" s="66" t="str">
        <f>IFERROR(__xludf.DUMMYFUNCTION("GOOGLETRANSLATE(A936,""en"",""pt"")"),"limpeza")</f>
        <v>limpeza</v>
      </c>
      <c r="G936" s="69"/>
    </row>
    <row r="937" ht="22.5" customHeight="1">
      <c r="A937" s="66" t="s">
        <v>1264</v>
      </c>
      <c r="B937" s="67" t="str">
        <f t="shared" si="11"/>
        <v>M: meaningless</v>
      </c>
      <c r="C937" s="68"/>
      <c r="D937" s="68">
        <v>45843.0</v>
      </c>
      <c r="E937" s="66">
        <v>6.0</v>
      </c>
      <c r="F937" s="66" t="str">
        <f>IFERROR(__xludf.DUMMYFUNCTION("GOOGLETRANSLATE(A937,""en"",""pt"")"),"sem sentido")</f>
        <v>sem sentido</v>
      </c>
      <c r="G937" s="69"/>
    </row>
    <row r="938" ht="22.5" customHeight="1">
      <c r="A938" s="66" t="s">
        <v>1265</v>
      </c>
      <c r="B938" s="67" t="str">
        <f t="shared" si="11"/>
        <v>M: dare</v>
      </c>
      <c r="C938" s="68"/>
      <c r="D938" s="68">
        <v>45843.0</v>
      </c>
      <c r="E938" s="66">
        <v>7.0</v>
      </c>
      <c r="F938" s="66" t="str">
        <f>IFERROR(__xludf.DUMMYFUNCTION("GOOGLETRANSLATE(A938,""en"",""pt"")"),"ousar")</f>
        <v>ousar</v>
      </c>
      <c r="G938" s="69"/>
    </row>
    <row r="939" ht="22.5" customHeight="1">
      <c r="A939" s="66" t="s">
        <v>1266</v>
      </c>
      <c r="B939" s="67" t="str">
        <f t="shared" si="11"/>
        <v>M: lad</v>
      </c>
      <c r="C939" s="68"/>
      <c r="D939" s="68">
        <v>45843.0</v>
      </c>
      <c r="E939" s="66">
        <v>8.0</v>
      </c>
      <c r="F939" s="66" t="str">
        <f>IFERROR(__xludf.DUMMYFUNCTION("GOOGLETRANSLATE(A939,""en"",""pt"")"),"rapaz")</f>
        <v>rapaz</v>
      </c>
      <c r="G939" s="69"/>
    </row>
    <row r="940" ht="22.5" customHeight="1">
      <c r="A940" s="66" t="s">
        <v>1267</v>
      </c>
      <c r="B940" s="67" t="str">
        <f t="shared" si="11"/>
        <v>M: cedarwood</v>
      </c>
      <c r="C940" s="68"/>
      <c r="D940" s="68">
        <v>45843.0</v>
      </c>
      <c r="E940" s="66">
        <v>9.0</v>
      </c>
      <c r="F940" s="66" t="str">
        <f>IFERROR(__xludf.DUMMYFUNCTION("GOOGLETRANSLATE(A940,""en"",""pt"")"),"madeira de cedro")</f>
        <v>madeira de cedro</v>
      </c>
      <c r="G940" s="69"/>
    </row>
    <row r="941" ht="22.5" customHeight="1">
      <c r="A941" s="66" t="s">
        <v>1268</v>
      </c>
      <c r="B941" s="67" t="str">
        <f t="shared" si="11"/>
        <v>M: shrine</v>
      </c>
      <c r="C941" s="68"/>
      <c r="D941" s="68">
        <v>45843.0</v>
      </c>
      <c r="E941" s="66">
        <v>10.0</v>
      </c>
      <c r="F941" s="66" t="str">
        <f>IFERROR(__xludf.DUMMYFUNCTION("GOOGLETRANSLATE(A941,""en"",""pt"")"),"santuário")</f>
        <v>santuário</v>
      </c>
      <c r="G941" s="69"/>
    </row>
    <row r="942" ht="22.5" customHeight="1">
      <c r="A942" s="66" t="s">
        <v>1269</v>
      </c>
      <c r="B942" s="67" t="str">
        <f t="shared" si="11"/>
        <v>M: inscribe</v>
      </c>
      <c r="C942" s="68"/>
      <c r="D942" s="68">
        <v>45844.0</v>
      </c>
      <c r="E942" s="66">
        <v>1.0</v>
      </c>
      <c r="F942" s="66" t="str">
        <f>IFERROR(__xludf.DUMMYFUNCTION("GOOGLETRANSLATE(A942,""en"",""pt"")"),"inscrever")</f>
        <v>inscrever</v>
      </c>
      <c r="G942" s="69"/>
    </row>
    <row r="943" ht="22.5" customHeight="1">
      <c r="A943" s="66" t="s">
        <v>1270</v>
      </c>
      <c r="B943" s="67" t="str">
        <f t="shared" si="11"/>
        <v>M: troubles</v>
      </c>
      <c r="C943" s="68"/>
      <c r="D943" s="68">
        <v>45844.0</v>
      </c>
      <c r="E943" s="66">
        <v>2.0</v>
      </c>
      <c r="F943" s="66" t="str">
        <f>IFERROR(__xludf.DUMMYFUNCTION("GOOGLETRANSLATE(A943,""en"",""pt"")"),"problemas")</f>
        <v>problemas</v>
      </c>
      <c r="G943" s="69"/>
    </row>
    <row r="944" ht="22.5" customHeight="1">
      <c r="A944" s="66" t="s">
        <v>1271</v>
      </c>
      <c r="B944" s="67" t="str">
        <f t="shared" si="11"/>
        <v>M: brazier</v>
      </c>
      <c r="C944" s="68"/>
      <c r="D944" s="68">
        <v>45844.0</v>
      </c>
      <c r="E944" s="66">
        <v>3.0</v>
      </c>
      <c r="F944" s="66" t="str">
        <f>IFERROR(__xludf.DUMMYFUNCTION("GOOGLETRANSLATE(A944,""en"",""pt"")"),"braseiro")</f>
        <v>braseiro</v>
      </c>
      <c r="G944" s="69"/>
    </row>
    <row r="945" ht="22.5" customHeight="1">
      <c r="A945" s="66" t="s">
        <v>1272</v>
      </c>
      <c r="B945" s="67" t="str">
        <f t="shared" si="11"/>
        <v>M: greed</v>
      </c>
      <c r="C945" s="68"/>
      <c r="D945" s="68">
        <v>45844.0</v>
      </c>
      <c r="E945" s="66">
        <v>4.0</v>
      </c>
      <c r="F945" s="66" t="str">
        <f>IFERROR(__xludf.DUMMYFUNCTION("GOOGLETRANSLATE(A945,""en"",""pt"")"),"ambição")</f>
        <v>ambição</v>
      </c>
      <c r="G945" s="69"/>
    </row>
    <row r="946" ht="22.5" customHeight="1">
      <c r="A946" s="66" t="s">
        <v>1273</v>
      </c>
      <c r="B946" s="67" t="str">
        <f t="shared" si="11"/>
        <v>M: honing</v>
      </c>
      <c r="C946" s="68"/>
      <c r="D946" s="68">
        <v>45844.0</v>
      </c>
      <c r="E946" s="66">
        <v>5.0</v>
      </c>
      <c r="F946" s="66" t="str">
        <f>IFERROR(__xludf.DUMMYFUNCTION("GOOGLETRANSLATE(A946,""en"",""pt"")"),"afiar")</f>
        <v>afiar</v>
      </c>
      <c r="G946" s="69"/>
    </row>
    <row r="947" ht="22.5" customHeight="1">
      <c r="A947" s="66" t="s">
        <v>1274</v>
      </c>
      <c r="B947" s="67" t="str">
        <f t="shared" si="11"/>
        <v>M: imprisonment</v>
      </c>
      <c r="C947" s="68"/>
      <c r="D947" s="68">
        <v>45844.0</v>
      </c>
      <c r="E947" s="66">
        <v>6.0</v>
      </c>
      <c r="F947" s="66" t="str">
        <f>IFERROR(__xludf.DUMMYFUNCTION("GOOGLETRANSLATE(A947,""en"",""pt"")"),"prisão")</f>
        <v>prisão</v>
      </c>
      <c r="G947" s="69"/>
    </row>
    <row r="948" ht="22.5" customHeight="1">
      <c r="A948" s="66" t="s">
        <v>1275</v>
      </c>
      <c r="B948" s="67" t="str">
        <f t="shared" si="11"/>
        <v>M: valiant</v>
      </c>
      <c r="C948" s="68"/>
      <c r="D948" s="68">
        <v>45844.0</v>
      </c>
      <c r="E948" s="66">
        <v>7.0</v>
      </c>
      <c r="F948" s="66" t="str">
        <f>IFERROR(__xludf.DUMMYFUNCTION("GOOGLETRANSLATE(A948,""en"",""pt"")"),"valente")</f>
        <v>valente</v>
      </c>
      <c r="G948" s="69"/>
    </row>
    <row r="949" ht="22.5" customHeight="1">
      <c r="A949" s="66" t="s">
        <v>1276</v>
      </c>
      <c r="B949" s="67" t="str">
        <f t="shared" si="11"/>
        <v>M: foretold</v>
      </c>
      <c r="C949" s="68"/>
      <c r="D949" s="68">
        <v>45844.0</v>
      </c>
      <c r="E949" s="66">
        <v>8.0</v>
      </c>
      <c r="F949" s="66" t="str">
        <f>IFERROR(__xludf.DUMMYFUNCTION("GOOGLETRANSLATE(A949,""en"",""pt"")"),"previsto")</f>
        <v>previsto</v>
      </c>
      <c r="G949" s="69"/>
    </row>
    <row r="950" ht="22.5" customHeight="1">
      <c r="A950" s="66" t="s">
        <v>1277</v>
      </c>
      <c r="B950" s="67" t="str">
        <f t="shared" si="11"/>
        <v>M: cascos</v>
      </c>
      <c r="C950" s="68"/>
      <c r="D950" s="68">
        <v>45844.0</v>
      </c>
      <c r="E950" s="66">
        <v>9.0</v>
      </c>
      <c r="F950" s="66" t="str">
        <f>IFERROR(__xludf.DUMMYFUNCTION("GOOGLETRANSLATE(A950,""en"",""pt"")"),"cascos")</f>
        <v>cascos</v>
      </c>
      <c r="G950" s="69"/>
    </row>
    <row r="951" ht="22.5" customHeight="1">
      <c r="A951" s="66" t="s">
        <v>1278</v>
      </c>
      <c r="B951" s="67" t="str">
        <f t="shared" si="11"/>
        <v>M: swayback</v>
      </c>
      <c r="C951" s="68"/>
      <c r="D951" s="68">
        <v>45844.0</v>
      </c>
      <c r="E951" s="66">
        <v>10.0</v>
      </c>
      <c r="F951" s="66" t="str">
        <f>IFERROR(__xludf.DUMMYFUNCTION("GOOGLETRANSLATE(A951,""en"",""pt"")"),"lordose")</f>
        <v>lordose</v>
      </c>
      <c r="G951" s="69"/>
    </row>
    <row r="952" ht="22.5" customHeight="1">
      <c r="A952" s="66" t="s">
        <v>1279</v>
      </c>
      <c r="B952" s="67" t="str">
        <f t="shared" si="11"/>
        <v>M: cloudy</v>
      </c>
      <c r="C952" s="68"/>
      <c r="D952" s="68">
        <v>45845.0</v>
      </c>
      <c r="E952" s="66">
        <v>1.0</v>
      </c>
      <c r="F952" s="66" t="str">
        <f>IFERROR(__xludf.DUMMYFUNCTION("GOOGLETRANSLATE(A952,""en"",""pt"")"),"nublado")</f>
        <v>nublado</v>
      </c>
      <c r="G952" s="69"/>
    </row>
    <row r="953" ht="22.5" customHeight="1">
      <c r="A953" s="66" t="s">
        <v>1280</v>
      </c>
      <c r="B953" s="67" t="str">
        <f t="shared" si="11"/>
        <v>M: crow</v>
      </c>
      <c r="C953" s="66">
        <v>1.0</v>
      </c>
      <c r="D953" s="68">
        <v>45845.0</v>
      </c>
      <c r="E953" s="66">
        <v>2.0</v>
      </c>
      <c r="F953" s="66" t="s">
        <v>1281</v>
      </c>
      <c r="G953" s="66" t="s">
        <v>247</v>
      </c>
    </row>
    <row r="954" ht="22.5" customHeight="1">
      <c r="A954" s="66" t="s">
        <v>1282</v>
      </c>
      <c r="B954" s="67" t="str">
        <f t="shared" si="11"/>
        <v>M: bait</v>
      </c>
      <c r="C954" s="68"/>
      <c r="D954" s="68">
        <v>45845.0</v>
      </c>
      <c r="E954" s="66">
        <v>3.0</v>
      </c>
      <c r="F954" s="66" t="str">
        <f>IFERROR(__xludf.DUMMYFUNCTION("GOOGLETRANSLATE(A954,""en"",""pt"")"),"isca")</f>
        <v>isca</v>
      </c>
      <c r="G954" s="69"/>
    </row>
    <row r="955" ht="22.5" customHeight="1">
      <c r="A955" s="66" t="s">
        <v>1283</v>
      </c>
      <c r="B955" s="67" t="str">
        <f t="shared" si="11"/>
        <v>M: sworn</v>
      </c>
      <c r="C955" s="68"/>
      <c r="D955" s="68">
        <v>45845.0</v>
      </c>
      <c r="E955" s="66">
        <v>4.0</v>
      </c>
      <c r="F955" s="66" t="str">
        <f>IFERROR(__xludf.DUMMYFUNCTION("GOOGLETRANSLATE(A955,""en"",""pt"")"),"jurado")</f>
        <v>jurado</v>
      </c>
      <c r="G955" s="69"/>
    </row>
    <row r="956" ht="22.5" customHeight="1">
      <c r="A956" s="66" t="s">
        <v>1284</v>
      </c>
      <c r="B956" s="67" t="str">
        <f t="shared" si="11"/>
        <v>M: hubris</v>
      </c>
      <c r="C956" s="68"/>
      <c r="D956" s="68">
        <v>45845.0</v>
      </c>
      <c r="E956" s="66">
        <v>5.0</v>
      </c>
      <c r="F956" s="66" t="str">
        <f>IFERROR(__xludf.DUMMYFUNCTION("GOOGLETRANSLATE(A956,""en"",""pt"")"),"arrogância")</f>
        <v>arrogância</v>
      </c>
      <c r="G956" s="69"/>
    </row>
    <row r="957" ht="22.5" customHeight="1">
      <c r="A957" s="66" t="s">
        <v>1285</v>
      </c>
      <c r="B957" s="67" t="str">
        <f t="shared" si="11"/>
        <v>M: steeds</v>
      </c>
      <c r="C957" s="68"/>
      <c r="D957" s="68">
        <v>45845.0</v>
      </c>
      <c r="E957" s="66">
        <v>6.0</v>
      </c>
      <c r="F957" s="66" t="str">
        <f>IFERROR(__xludf.DUMMYFUNCTION("GOOGLETRANSLATE(A957,""en"",""pt"")"),"corcéis")</f>
        <v>corcéis</v>
      </c>
      <c r="G957" s="69"/>
    </row>
    <row r="958" ht="22.5" customHeight="1">
      <c r="A958" s="66" t="s">
        <v>1286</v>
      </c>
      <c r="B958" s="67" t="str">
        <f t="shared" si="11"/>
        <v>M: tithing</v>
      </c>
      <c r="C958" s="68"/>
      <c r="D958" s="68">
        <v>45845.0</v>
      </c>
      <c r="E958" s="66">
        <v>7.0</v>
      </c>
      <c r="F958" s="66" t="str">
        <f>IFERROR(__xludf.DUMMYFUNCTION("GOOGLETRANSLATE(A958,""en"",""pt"")"),"dízimo")</f>
        <v>dízimo</v>
      </c>
      <c r="G958" s="69"/>
    </row>
    <row r="959" ht="22.5" customHeight="1">
      <c r="A959" s="66" t="s">
        <v>1287</v>
      </c>
      <c r="B959" s="67" t="str">
        <f t="shared" si="11"/>
        <v>M: sweep</v>
      </c>
      <c r="C959" s="68"/>
      <c r="D959" s="68">
        <v>45845.0</v>
      </c>
      <c r="E959" s="66">
        <v>8.0</v>
      </c>
      <c r="F959" s="66" t="str">
        <f>IFERROR(__xludf.DUMMYFUNCTION("GOOGLETRANSLATE(A959,""en"",""pt"")"),"varrer")</f>
        <v>varrer</v>
      </c>
      <c r="G959" s="69"/>
    </row>
    <row r="960" ht="22.5" customHeight="1">
      <c r="A960" s="66" t="s">
        <v>1288</v>
      </c>
      <c r="B960" s="67" t="str">
        <f t="shared" si="11"/>
        <v>M: dues</v>
      </c>
      <c r="C960" s="68"/>
      <c r="D960" s="68">
        <v>45845.0</v>
      </c>
      <c r="E960" s="66">
        <v>9.0</v>
      </c>
      <c r="F960" s="66" t="str">
        <f>IFERROR(__xludf.DUMMYFUNCTION("GOOGLETRANSLATE(A960,""en"",""pt"")"),"taxas")</f>
        <v>taxas</v>
      </c>
      <c r="G960" s="69"/>
    </row>
    <row r="961" ht="22.5" customHeight="1">
      <c r="A961" s="66" t="s">
        <v>1289</v>
      </c>
      <c r="B961" s="67" t="str">
        <f t="shared" si="11"/>
        <v>M: consciousness</v>
      </c>
      <c r="C961" s="68"/>
      <c r="D961" s="68">
        <v>45845.0</v>
      </c>
      <c r="E961" s="66">
        <v>10.0</v>
      </c>
      <c r="F961" s="66" t="str">
        <f>IFERROR(__xludf.DUMMYFUNCTION("GOOGLETRANSLATE(A961,""en"",""pt"")"),"consciência")</f>
        <v>consciência</v>
      </c>
      <c r="G961" s="69"/>
    </row>
    <row r="962" ht="22.5" customHeight="1">
      <c r="A962" s="66" t="s">
        <v>1290</v>
      </c>
      <c r="B962" s="67" t="str">
        <f t="shared" si="11"/>
        <v>M: escort</v>
      </c>
      <c r="C962" s="68"/>
      <c r="D962" s="68">
        <v>45846.0</v>
      </c>
      <c r="E962" s="66">
        <v>1.0</v>
      </c>
      <c r="F962" s="66" t="str">
        <f>IFERROR(__xludf.DUMMYFUNCTION("GOOGLETRANSLATE(A962,""en"",""pt"")"),"escolta")</f>
        <v>escolta</v>
      </c>
      <c r="G962" s="69"/>
    </row>
    <row r="963" ht="22.5" customHeight="1">
      <c r="A963" s="66" t="s">
        <v>1291</v>
      </c>
      <c r="B963" s="67" t="str">
        <f t="shared" si="11"/>
        <v>M: arrangements</v>
      </c>
      <c r="C963" s="68"/>
      <c r="D963" s="68">
        <v>45846.0</v>
      </c>
      <c r="E963" s="66">
        <v>2.0</v>
      </c>
      <c r="F963" s="66" t="str">
        <f>IFERROR(__xludf.DUMMYFUNCTION("GOOGLETRANSLATE(A963,""en"",""pt"")"),"arranjos")</f>
        <v>arranjos</v>
      </c>
      <c r="G963" s="69"/>
    </row>
    <row r="964" ht="22.5" customHeight="1">
      <c r="A964" s="66" t="s">
        <v>1292</v>
      </c>
      <c r="B964" s="67" t="str">
        <f t="shared" si="11"/>
        <v>M: restraint</v>
      </c>
      <c r="C964" s="66">
        <v>1.0</v>
      </c>
      <c r="D964" s="68">
        <v>45846.0</v>
      </c>
      <c r="E964" s="66">
        <v>3.0</v>
      </c>
      <c r="F964" s="71" t="s">
        <v>1293</v>
      </c>
      <c r="G964" s="66" t="s">
        <v>247</v>
      </c>
    </row>
    <row r="965" ht="22.5" customHeight="1">
      <c r="A965" s="66" t="s">
        <v>1294</v>
      </c>
      <c r="B965" s="67" t="str">
        <f t="shared" si="11"/>
        <v>M: carry on</v>
      </c>
      <c r="C965" s="68"/>
      <c r="D965" s="68">
        <v>45846.0</v>
      </c>
      <c r="E965" s="66">
        <v>4.0</v>
      </c>
      <c r="F965" s="66" t="str">
        <f>IFERROR(__xludf.DUMMYFUNCTION("GOOGLETRANSLATE(A965,""en"",""pt"")"),"continuar")</f>
        <v>continuar</v>
      </c>
      <c r="G965" s="69"/>
    </row>
    <row r="966" ht="22.5" customHeight="1">
      <c r="A966" s="66" t="s">
        <v>1295</v>
      </c>
      <c r="B966" s="67" t="str">
        <f t="shared" si="11"/>
        <v>M: reigns</v>
      </c>
      <c r="C966" s="66">
        <v>1.0</v>
      </c>
      <c r="D966" s="68">
        <v>45846.0</v>
      </c>
      <c r="E966" s="66">
        <v>5.0</v>
      </c>
      <c r="F966" s="66" t="s">
        <v>1296</v>
      </c>
      <c r="G966" s="66" t="s">
        <v>247</v>
      </c>
    </row>
    <row r="967" ht="22.5" customHeight="1">
      <c r="A967" s="66" t="s">
        <v>1297</v>
      </c>
      <c r="B967" s="67" t="str">
        <f t="shared" si="11"/>
        <v>M: deserve</v>
      </c>
      <c r="C967" s="68"/>
      <c r="D967" s="68">
        <v>45846.0</v>
      </c>
      <c r="E967" s="66">
        <v>6.0</v>
      </c>
      <c r="F967" s="66" t="str">
        <f>IFERROR(__xludf.DUMMYFUNCTION("GOOGLETRANSLATE(A967,""en"",""pt"")"),"merecer")</f>
        <v>merecer</v>
      </c>
      <c r="G967" s="69"/>
    </row>
    <row r="968" ht="22.5" customHeight="1">
      <c r="A968" s="66" t="s">
        <v>1298</v>
      </c>
      <c r="B968" s="67" t="str">
        <f t="shared" si="11"/>
        <v>M: militia</v>
      </c>
      <c r="C968" s="68"/>
      <c r="D968" s="68">
        <v>45846.0</v>
      </c>
      <c r="E968" s="66">
        <v>7.0</v>
      </c>
      <c r="F968" s="66" t="str">
        <f>IFERROR(__xludf.DUMMYFUNCTION("GOOGLETRANSLATE(A968,""en"",""pt"")"),"milícia")</f>
        <v>milícia</v>
      </c>
      <c r="G968" s="69"/>
    </row>
    <row r="969" ht="22.5" customHeight="1">
      <c r="A969" s="66" t="s">
        <v>1299</v>
      </c>
      <c r="B969" s="67" t="str">
        <f t="shared" si="11"/>
        <v>M: hard-ass</v>
      </c>
      <c r="C969" s="68"/>
      <c r="D969" s="68">
        <v>45846.0</v>
      </c>
      <c r="E969" s="66">
        <v>8.0</v>
      </c>
      <c r="F969" s="66" t="str">
        <f>IFERROR(__xludf.DUMMYFUNCTION("GOOGLETRANSLATE(A969,""en"",""pt"")"),"durão")</f>
        <v>durão</v>
      </c>
      <c r="G969" s="69"/>
    </row>
    <row r="970" ht="22.5" customHeight="1">
      <c r="A970" s="66" t="s">
        <v>1300</v>
      </c>
      <c r="B970" s="67" t="str">
        <f t="shared" si="11"/>
        <v>M: raising</v>
      </c>
      <c r="C970" s="68"/>
      <c r="D970" s="68">
        <v>45846.0</v>
      </c>
      <c r="E970" s="66">
        <v>9.0</v>
      </c>
      <c r="F970" s="66" t="str">
        <f>IFERROR(__xludf.DUMMYFUNCTION("GOOGLETRANSLATE(A970,""en"",""pt"")"),"subindo")</f>
        <v>subindo</v>
      </c>
      <c r="G970" s="69"/>
    </row>
    <row r="971" ht="22.5" customHeight="1">
      <c r="A971" s="66" t="s">
        <v>1301</v>
      </c>
      <c r="B971" s="67" t="str">
        <f t="shared" si="11"/>
        <v>M: tidings</v>
      </c>
      <c r="C971" s="68"/>
      <c r="D971" s="68">
        <v>45846.0</v>
      </c>
      <c r="E971" s="66">
        <v>10.0</v>
      </c>
      <c r="F971" s="66" t="s">
        <v>1302</v>
      </c>
      <c r="G971" s="66" t="s">
        <v>247</v>
      </c>
    </row>
    <row r="972" ht="22.5" customHeight="1">
      <c r="A972" s="66" t="s">
        <v>1303</v>
      </c>
      <c r="B972" s="67" t="str">
        <f t="shared" si="11"/>
        <v>M: wickedness</v>
      </c>
      <c r="C972" s="68"/>
      <c r="D972" s="68">
        <v>45847.0</v>
      </c>
      <c r="E972" s="66">
        <v>1.0</v>
      </c>
      <c r="F972" s="66" t="str">
        <f>IFERROR(__xludf.DUMMYFUNCTION("GOOGLETRANSLATE(A972,""en"",""pt"")"),"maldade")</f>
        <v>maldade</v>
      </c>
      <c r="G972" s="69"/>
    </row>
    <row r="973" ht="22.5" customHeight="1">
      <c r="A973" s="66" t="s">
        <v>1304</v>
      </c>
      <c r="B973" s="67" t="str">
        <f t="shared" si="11"/>
        <v>M: temptation</v>
      </c>
      <c r="C973" s="68"/>
      <c r="D973" s="68">
        <v>45847.0</v>
      </c>
      <c r="E973" s="66">
        <v>2.0</v>
      </c>
      <c r="F973" s="66" t="str">
        <f>IFERROR(__xludf.DUMMYFUNCTION("GOOGLETRANSLATE(A973,""en"",""pt"")"),"tentação")</f>
        <v>tentação</v>
      </c>
      <c r="G973" s="69"/>
    </row>
    <row r="974" ht="22.5" customHeight="1">
      <c r="A974" s="66" t="s">
        <v>1305</v>
      </c>
      <c r="B974" s="67" t="str">
        <f t="shared" si="11"/>
        <v>M: radiance</v>
      </c>
      <c r="C974" s="68"/>
      <c r="D974" s="68">
        <v>45847.0</v>
      </c>
      <c r="E974" s="66">
        <v>3.0</v>
      </c>
      <c r="F974" s="66" t="str">
        <f>IFERROR(__xludf.DUMMYFUNCTION("GOOGLETRANSLATE(A974,""en"",""pt"")"),"radiância")</f>
        <v>radiância</v>
      </c>
      <c r="G974" s="69"/>
    </row>
    <row r="975" ht="22.5" customHeight="1">
      <c r="A975" s="66" t="s">
        <v>1306</v>
      </c>
      <c r="B975" s="67" t="str">
        <f t="shared" si="11"/>
        <v>M: righteousness</v>
      </c>
      <c r="C975" s="68"/>
      <c r="D975" s="68">
        <v>45847.0</v>
      </c>
      <c r="E975" s="66">
        <v>4.0</v>
      </c>
      <c r="F975" s="66" t="str">
        <f>IFERROR(__xludf.DUMMYFUNCTION("GOOGLETRANSLATE(A975,""en"",""pt"")"),"justiça")</f>
        <v>justiça</v>
      </c>
      <c r="G975" s="69"/>
    </row>
    <row r="976" ht="22.5" customHeight="1">
      <c r="A976" s="66" t="s">
        <v>1307</v>
      </c>
      <c r="B976" s="67" t="str">
        <f t="shared" si="11"/>
        <v>M: sear</v>
      </c>
      <c r="C976" s="68"/>
      <c r="D976" s="68">
        <v>45847.0</v>
      </c>
      <c r="E976" s="66">
        <v>5.0</v>
      </c>
      <c r="F976" s="66" t="str">
        <f>IFERROR(__xludf.DUMMYFUNCTION("GOOGLETRANSLATE(A976,""en"",""pt"")"),"selar")</f>
        <v>selar</v>
      </c>
      <c r="G976" s="69"/>
    </row>
    <row r="977" ht="22.5" customHeight="1">
      <c r="A977" s="66" t="s">
        <v>1308</v>
      </c>
      <c r="B977" s="67" t="str">
        <f t="shared" si="11"/>
        <v>M: thy</v>
      </c>
      <c r="C977" s="68"/>
      <c r="D977" s="68">
        <v>45847.0</v>
      </c>
      <c r="E977" s="66">
        <v>6.0</v>
      </c>
      <c r="F977" s="66" t="str">
        <f>IFERROR(__xludf.DUMMYFUNCTION("GOOGLETRANSLATE(A977,""en"",""pt"")"),"teus")</f>
        <v>teus</v>
      </c>
      <c r="G977" s="69"/>
    </row>
    <row r="978" ht="22.5" customHeight="1">
      <c r="A978" s="66" t="s">
        <v>1309</v>
      </c>
      <c r="B978" s="67" t="str">
        <f t="shared" si="11"/>
        <v>M: thine</v>
      </c>
      <c r="C978" s="66">
        <v>1.0</v>
      </c>
      <c r="D978" s="68">
        <v>45847.0</v>
      </c>
      <c r="E978" s="66">
        <v>7.0</v>
      </c>
      <c r="F978" s="66" t="s">
        <v>1310</v>
      </c>
      <c r="G978" s="66" t="s">
        <v>247</v>
      </c>
    </row>
    <row r="979" ht="22.5" customHeight="1">
      <c r="A979" s="66" t="s">
        <v>1311</v>
      </c>
      <c r="B979" s="67" t="str">
        <f t="shared" si="11"/>
        <v>M: sighting</v>
      </c>
      <c r="C979" s="68"/>
      <c r="D979" s="68">
        <v>45847.0</v>
      </c>
      <c r="E979" s="66">
        <v>8.0</v>
      </c>
      <c r="F979" s="66" t="str">
        <f>IFERROR(__xludf.DUMMYFUNCTION("GOOGLETRANSLATE(A979,""en"",""pt"")"),"avistamento")</f>
        <v>avistamento</v>
      </c>
      <c r="G979" s="69"/>
    </row>
    <row r="980" ht="22.5" customHeight="1">
      <c r="A980" s="66" t="s">
        <v>1312</v>
      </c>
      <c r="B980" s="67" t="str">
        <f t="shared" si="11"/>
        <v>M: stock</v>
      </c>
      <c r="C980" s="68"/>
      <c r="D980" s="68">
        <v>45847.0</v>
      </c>
      <c r="E980" s="66">
        <v>9.0</v>
      </c>
      <c r="F980" s="66" t="str">
        <f>IFERROR(__xludf.DUMMYFUNCTION("GOOGLETRANSLATE(A980,""en"",""pt"")"),"estoque")</f>
        <v>estoque</v>
      </c>
      <c r="G980" s="69"/>
    </row>
    <row r="981" ht="22.5" customHeight="1">
      <c r="A981" s="66" t="s">
        <v>1313</v>
      </c>
      <c r="B981" s="67" t="str">
        <f t="shared" si="11"/>
        <v>M: gratitude</v>
      </c>
      <c r="C981" s="68"/>
      <c r="D981" s="68">
        <v>45847.0</v>
      </c>
      <c r="E981" s="66">
        <v>10.0</v>
      </c>
      <c r="F981" s="66" t="str">
        <f>IFERROR(__xludf.DUMMYFUNCTION("GOOGLETRANSLATE(A981,""en"",""pt"")"),"gratidão")</f>
        <v>gratidão</v>
      </c>
      <c r="G981" s="69"/>
    </row>
    <row r="982" ht="22.5" customHeight="1">
      <c r="A982" s="66" t="s">
        <v>1314</v>
      </c>
      <c r="B982" s="67" t="str">
        <f t="shared" si="11"/>
        <v>M: unmatched</v>
      </c>
      <c r="C982" s="68"/>
      <c r="D982" s="68">
        <v>45848.0</v>
      </c>
      <c r="E982" s="66">
        <v>1.0</v>
      </c>
      <c r="F982" s="66" t="str">
        <f>IFERROR(__xludf.DUMMYFUNCTION("GOOGLETRANSLATE(A982,""en"",""pt"")"),"incomparável")</f>
        <v>incomparável</v>
      </c>
      <c r="G982" s="69"/>
    </row>
    <row r="983" ht="22.5" customHeight="1">
      <c r="A983" s="66" t="s">
        <v>1315</v>
      </c>
      <c r="B983" s="67" t="str">
        <f t="shared" si="11"/>
        <v>M: reliable</v>
      </c>
      <c r="C983" s="68"/>
      <c r="D983" s="68">
        <v>45848.0</v>
      </c>
      <c r="E983" s="66">
        <v>2.0</v>
      </c>
      <c r="F983" s="66" t="str">
        <f>IFERROR(__xludf.DUMMYFUNCTION("GOOGLETRANSLATE(A983,""en"",""pt"")"),"confiável")</f>
        <v>confiável</v>
      </c>
      <c r="G983" s="69"/>
    </row>
    <row r="984" ht="22.5" customHeight="1">
      <c r="A984" s="66" t="s">
        <v>1316</v>
      </c>
      <c r="B984" s="67" t="str">
        <f t="shared" si="11"/>
        <v>M: Seek him out</v>
      </c>
      <c r="C984" s="68"/>
      <c r="D984" s="68">
        <v>45848.0</v>
      </c>
      <c r="E984" s="66">
        <v>3.0</v>
      </c>
      <c r="F984" s="66" t="str">
        <f>IFERROR(__xludf.DUMMYFUNCTION("GOOGLETRANSLATE(A984,""en"",""pt"")"),"Procure por ele.")</f>
        <v>Procure por ele.</v>
      </c>
      <c r="G984" s="69"/>
    </row>
    <row r="985" ht="22.5" customHeight="1">
      <c r="A985" s="66" t="s">
        <v>1317</v>
      </c>
      <c r="B985" s="67" t="str">
        <f t="shared" si="11"/>
        <v>M: flock</v>
      </c>
      <c r="C985" s="68"/>
      <c r="D985" s="68">
        <v>45848.0</v>
      </c>
      <c r="E985" s="66">
        <v>4.0</v>
      </c>
      <c r="F985" s="66" t="str">
        <f>IFERROR(__xludf.DUMMYFUNCTION("GOOGLETRANSLATE(A985,""en"",""pt"")"),"rebanho")</f>
        <v>rebanho</v>
      </c>
      <c r="G985" s="69"/>
    </row>
    <row r="986" ht="22.5" customHeight="1">
      <c r="A986" s="66" t="s">
        <v>1318</v>
      </c>
      <c r="B986" s="67" t="str">
        <f t="shared" si="11"/>
        <v>M: carver</v>
      </c>
      <c r="C986" s="68"/>
      <c r="D986" s="68">
        <v>45848.0</v>
      </c>
      <c r="E986" s="66">
        <v>5.0</v>
      </c>
      <c r="F986" s="66" t="str">
        <f>IFERROR(__xludf.DUMMYFUNCTION("GOOGLETRANSLATE(A986,""en"",""pt"")"),"entalhador")</f>
        <v>entalhador</v>
      </c>
      <c r="G986" s="69"/>
    </row>
    <row r="987" ht="22.5" customHeight="1">
      <c r="A987" s="66" t="s">
        <v>1319</v>
      </c>
      <c r="B987" s="67" t="str">
        <f t="shared" si="11"/>
        <v>M: overseer</v>
      </c>
      <c r="C987" s="68"/>
      <c r="D987" s="68">
        <v>45848.0</v>
      </c>
      <c r="E987" s="66">
        <v>6.0</v>
      </c>
      <c r="F987" s="66" t="str">
        <f>IFERROR(__xludf.DUMMYFUNCTION("GOOGLETRANSLATE(A987,""en"",""pt"")"),"supervisor")</f>
        <v>supervisor</v>
      </c>
      <c r="G987" s="69"/>
    </row>
    <row r="988" ht="22.5" customHeight="1">
      <c r="A988" s="66" t="s">
        <v>1320</v>
      </c>
      <c r="B988" s="67" t="str">
        <f t="shared" si="11"/>
        <v>M: boulder</v>
      </c>
      <c r="C988" s="68"/>
      <c r="D988" s="68">
        <v>45848.0</v>
      </c>
      <c r="E988" s="66">
        <v>7.0</v>
      </c>
      <c r="F988" s="66" t="str">
        <f>IFERROR(__xludf.DUMMYFUNCTION("GOOGLETRANSLATE(A988,""en"",""pt"")"),"pedregulho")</f>
        <v>pedregulho</v>
      </c>
      <c r="G988" s="69"/>
    </row>
    <row r="989" ht="22.5" customHeight="1">
      <c r="A989" s="66" t="s">
        <v>1321</v>
      </c>
      <c r="B989" s="67" t="str">
        <f t="shared" si="11"/>
        <v>M: renown</v>
      </c>
      <c r="C989" s="68"/>
      <c r="D989" s="68">
        <v>45848.0</v>
      </c>
      <c r="E989" s="66">
        <v>8.0</v>
      </c>
      <c r="F989" s="66" t="str">
        <f>IFERROR(__xludf.DUMMYFUNCTION("GOOGLETRANSLATE(A989,""en"",""pt"")"),"renome")</f>
        <v>renome</v>
      </c>
      <c r="G989" s="69"/>
    </row>
    <row r="990" ht="22.5" customHeight="1">
      <c r="A990" s="66" t="s">
        <v>1322</v>
      </c>
      <c r="B990" s="67" t="str">
        <f t="shared" si="11"/>
        <v>M: reached</v>
      </c>
      <c r="C990" s="68"/>
      <c r="D990" s="68">
        <v>45848.0</v>
      </c>
      <c r="E990" s="66">
        <v>9.0</v>
      </c>
      <c r="F990" s="66" t="str">
        <f>IFERROR(__xludf.DUMMYFUNCTION("GOOGLETRANSLATE(A990,""en"",""pt"")"),"alcançado")</f>
        <v>alcançado</v>
      </c>
      <c r="G990" s="69"/>
    </row>
    <row r="991" ht="22.5" customHeight="1">
      <c r="A991" s="66" t="s">
        <v>1323</v>
      </c>
      <c r="B991" s="67" t="str">
        <f t="shared" si="11"/>
        <v>M: burnt</v>
      </c>
      <c r="C991" s="68"/>
      <c r="D991" s="68">
        <v>45848.0</v>
      </c>
      <c r="E991" s="66">
        <v>10.0</v>
      </c>
      <c r="F991" s="66" t="str">
        <f>IFERROR(__xludf.DUMMYFUNCTION("GOOGLETRANSLATE(A991,""en"",""pt"")"),"queimado")</f>
        <v>queimado</v>
      </c>
      <c r="G991" s="69"/>
    </row>
    <row r="992" ht="22.5" customHeight="1">
      <c r="A992" s="66" t="s">
        <v>1324</v>
      </c>
      <c r="B992" s="67" t="str">
        <f t="shared" si="11"/>
        <v>M: faithless</v>
      </c>
      <c r="C992" s="68"/>
      <c r="D992" s="68">
        <v>45849.0</v>
      </c>
      <c r="E992" s="66">
        <v>1.0</v>
      </c>
      <c r="F992" s="66" t="str">
        <f>IFERROR(__xludf.DUMMYFUNCTION("GOOGLETRANSLATE(A992,""en"",""pt"")"),"infiel")</f>
        <v>infiel</v>
      </c>
      <c r="G992" s="69"/>
    </row>
    <row r="993" ht="22.5" customHeight="1">
      <c r="A993" s="66" t="s">
        <v>1325</v>
      </c>
      <c r="B993" s="67" t="str">
        <f t="shared" si="11"/>
        <v>M: favored</v>
      </c>
      <c r="C993" s="68"/>
      <c r="D993" s="68">
        <v>45849.0</v>
      </c>
      <c r="E993" s="66">
        <v>3.0</v>
      </c>
      <c r="F993" s="66" t="str">
        <f>IFERROR(__xludf.DUMMYFUNCTION("GOOGLETRANSLATE(A993,""en"",""pt"")"),"favorecido")</f>
        <v>favorecido</v>
      </c>
      <c r="G993" s="69"/>
    </row>
    <row r="994" ht="22.5" customHeight="1">
      <c r="A994" s="66" t="s">
        <v>1326</v>
      </c>
      <c r="B994" s="67" t="str">
        <f t="shared" si="11"/>
        <v>M: priest</v>
      </c>
      <c r="C994" s="68"/>
      <c r="D994" s="68">
        <v>45849.0</v>
      </c>
      <c r="E994" s="66">
        <v>4.0</v>
      </c>
      <c r="F994" s="66" t="str">
        <f>IFERROR(__xludf.DUMMYFUNCTION("GOOGLETRANSLATE(A994,""en"",""pt"")"),"padre")</f>
        <v>padre</v>
      </c>
      <c r="G994" s="69"/>
    </row>
    <row r="995" ht="22.5" customHeight="1">
      <c r="A995" s="66" t="s">
        <v>1327</v>
      </c>
      <c r="B995" s="67" t="str">
        <f t="shared" si="11"/>
        <v>M: dung-slick</v>
      </c>
      <c r="C995" s="68"/>
      <c r="D995" s="68">
        <v>45849.0</v>
      </c>
      <c r="E995" s="66">
        <v>5.0</v>
      </c>
      <c r="F995" s="66" t="str">
        <f>IFERROR(__xludf.DUMMYFUNCTION("GOOGLETRANSLATE(A995,""en"",""pt"")"),"escorregadio de esterco")</f>
        <v>escorregadio de esterco</v>
      </c>
      <c r="G995" s="69"/>
    </row>
    <row r="996" ht="22.5" customHeight="1">
      <c r="A996" s="66" t="s">
        <v>1328</v>
      </c>
      <c r="B996" s="67" t="str">
        <f t="shared" si="11"/>
        <v>M: newcomers</v>
      </c>
      <c r="C996" s="68"/>
      <c r="D996" s="68">
        <v>45849.0</v>
      </c>
      <c r="E996" s="66">
        <v>6.0</v>
      </c>
      <c r="F996" s="66" t="str">
        <f>IFERROR(__xludf.DUMMYFUNCTION("GOOGLETRANSLATE(A996,""en"",""pt"")"),"recém-chegados")</f>
        <v>recém-chegados</v>
      </c>
      <c r="G996" s="69"/>
    </row>
    <row r="997" ht="22.5" customHeight="1">
      <c r="A997" s="66" t="s">
        <v>1329</v>
      </c>
      <c r="B997" s="67" t="str">
        <f t="shared" si="11"/>
        <v>M: shithole</v>
      </c>
      <c r="C997" s="68"/>
      <c r="D997" s="68">
        <v>45849.0</v>
      </c>
      <c r="E997" s="66">
        <v>7.0</v>
      </c>
      <c r="F997" s="66" t="str">
        <f>IFERROR(__xludf.DUMMYFUNCTION("GOOGLETRANSLATE(A997,""en"",""pt"")"),"buraco de merda")</f>
        <v>buraco de merda</v>
      </c>
      <c r="G997" s="69"/>
    </row>
    <row r="998" ht="22.5" customHeight="1">
      <c r="A998" s="66" t="s">
        <v>1330</v>
      </c>
      <c r="B998" s="67" t="str">
        <f t="shared" si="11"/>
        <v>M: dung</v>
      </c>
      <c r="C998" s="68"/>
      <c r="D998" s="68">
        <v>45849.0</v>
      </c>
      <c r="E998" s="66">
        <v>8.0</v>
      </c>
      <c r="F998" s="66" t="str">
        <f>IFERROR(__xludf.DUMMYFUNCTION("GOOGLETRANSLATE(A998,""en"",""pt"")"),"estrume")</f>
        <v>estrume</v>
      </c>
      <c r="G998" s="69"/>
    </row>
    <row r="999" ht="22.5" customHeight="1">
      <c r="A999" s="66" t="s">
        <v>1331</v>
      </c>
      <c r="B999" s="67" t="str">
        <f t="shared" si="11"/>
        <v>M: slick</v>
      </c>
      <c r="C999" s="68"/>
      <c r="D999" s="68">
        <v>45849.0</v>
      </c>
      <c r="E999" s="66">
        <v>9.0</v>
      </c>
      <c r="F999" s="66" t="str">
        <f>IFERROR(__xludf.DUMMYFUNCTION("GOOGLETRANSLATE(A999,""en"",""pt"")"),"liso")</f>
        <v>liso</v>
      </c>
      <c r="G999" s="69"/>
    </row>
    <row r="1000" ht="22.5" customHeight="1">
      <c r="A1000" s="66" t="s">
        <v>1332</v>
      </c>
      <c r="B1000" s="67" t="str">
        <f t="shared" si="11"/>
        <v>M: birth</v>
      </c>
      <c r="C1000" s="66">
        <v>1.0</v>
      </c>
      <c r="D1000" s="68">
        <v>45849.0</v>
      </c>
      <c r="E1000" s="66">
        <v>10.0</v>
      </c>
      <c r="F1000" s="71" t="s">
        <v>1333</v>
      </c>
      <c r="G1000" s="66" t="s">
        <v>247</v>
      </c>
    </row>
    <row r="1001" ht="22.5" customHeight="1">
      <c r="A1001" s="66" t="s">
        <v>1334</v>
      </c>
      <c r="B1001" s="67" t="str">
        <f t="shared" si="11"/>
        <v>M: petal</v>
      </c>
      <c r="C1001" s="68"/>
      <c r="D1001" s="68">
        <v>45849.0</v>
      </c>
      <c r="E1001" s="66">
        <v>1.0</v>
      </c>
      <c r="F1001" s="66" t="str">
        <f>IFERROR(__xludf.DUMMYFUNCTION("GOOGLETRANSLATE(A1001,""en"",""pt"")"),"pétala")</f>
        <v>pétala</v>
      </c>
      <c r="G1001" s="69"/>
    </row>
    <row r="1002" ht="22.5" customHeight="1">
      <c r="A1002" s="66" t="s">
        <v>1335</v>
      </c>
      <c r="B1002" s="67" t="str">
        <f t="shared" si="11"/>
        <v>M: pulses</v>
      </c>
      <c r="C1002" s="68"/>
      <c r="D1002" s="68">
        <v>45850.0</v>
      </c>
      <c r="E1002" s="66">
        <v>2.0</v>
      </c>
      <c r="F1002" s="66" t="str">
        <f>IFERROR(__xludf.DUMMYFUNCTION("GOOGLETRANSLATE(A1002,""en"",""pt"")"),"pulsos")</f>
        <v>pulsos</v>
      </c>
      <c r="G1002" s="69"/>
    </row>
    <row r="1003" ht="22.5" customHeight="1">
      <c r="A1003" s="66" t="s">
        <v>1336</v>
      </c>
      <c r="B1003" s="67" t="str">
        <f t="shared" si="11"/>
        <v>M: touches</v>
      </c>
      <c r="C1003" s="66">
        <v>1.0</v>
      </c>
      <c r="D1003" s="68">
        <v>45850.0</v>
      </c>
      <c r="E1003" s="66">
        <v>3.0</v>
      </c>
      <c r="F1003" s="66" t="s">
        <v>1337</v>
      </c>
      <c r="G1003" s="66" t="s">
        <v>247</v>
      </c>
    </row>
    <row r="1004" ht="22.5" customHeight="1">
      <c r="A1004" s="66" t="s">
        <v>1338</v>
      </c>
      <c r="B1004" s="67" t="str">
        <f t="shared" si="11"/>
        <v>M: sullied</v>
      </c>
      <c r="C1004" s="68"/>
      <c r="D1004" s="68">
        <v>45850.0</v>
      </c>
      <c r="E1004" s="66">
        <v>4.0</v>
      </c>
      <c r="F1004" s="66" t="str">
        <f>IFERROR(__xludf.DUMMYFUNCTION("GOOGLETRANSLATE(A1004,""en"",""pt"")"),"maculado")</f>
        <v>maculado</v>
      </c>
      <c r="G1004" s="69"/>
    </row>
    <row r="1005" ht="22.5" customHeight="1">
      <c r="A1005" s="66" t="s">
        <v>1339</v>
      </c>
      <c r="B1005" s="67" t="str">
        <f t="shared" si="11"/>
        <v>M: burrows</v>
      </c>
      <c r="C1005" s="66">
        <v>1.0</v>
      </c>
      <c r="D1005" s="68">
        <v>45850.0</v>
      </c>
      <c r="E1005" s="66">
        <v>5.0</v>
      </c>
      <c r="F1005" s="71" t="s">
        <v>1340</v>
      </c>
      <c r="G1005" s="66" t="s">
        <v>247</v>
      </c>
    </row>
    <row r="1006" ht="22.5" customHeight="1">
      <c r="A1006" s="66" t="s">
        <v>1341</v>
      </c>
      <c r="B1006" s="67" t="str">
        <f t="shared" si="11"/>
        <v>M: purge</v>
      </c>
      <c r="C1006" s="68"/>
      <c r="D1006" s="68">
        <v>45850.0</v>
      </c>
      <c r="E1006" s="66">
        <v>6.0</v>
      </c>
      <c r="F1006" s="66" t="str">
        <f>IFERROR(__xludf.DUMMYFUNCTION("GOOGLETRANSLATE(A1006,""en"",""pt"")"),"purga")</f>
        <v>purga</v>
      </c>
      <c r="G1006" s="69"/>
    </row>
    <row r="1007" ht="22.5" customHeight="1">
      <c r="A1007" s="66" t="s">
        <v>1342</v>
      </c>
      <c r="B1007" s="67" t="str">
        <f t="shared" si="11"/>
        <v>M: shroud</v>
      </c>
      <c r="C1007" s="68"/>
      <c r="D1007" s="68">
        <v>45850.0</v>
      </c>
      <c r="E1007" s="66">
        <v>7.0</v>
      </c>
      <c r="F1007" s="66" t="str">
        <f>IFERROR(__xludf.DUMMYFUNCTION("GOOGLETRANSLATE(A1007,""en"",""pt"")"),"sudário")</f>
        <v>sudário</v>
      </c>
      <c r="G1007" s="69"/>
    </row>
    <row r="1008" ht="22.5" customHeight="1">
      <c r="A1008" s="66" t="s">
        <v>1343</v>
      </c>
      <c r="B1008" s="67" t="str">
        <f t="shared" si="11"/>
        <v>M: caul</v>
      </c>
      <c r="C1008" s="68"/>
      <c r="D1008" s="68">
        <v>45850.0</v>
      </c>
      <c r="E1008" s="66">
        <v>8.0</v>
      </c>
      <c r="F1008" s="66" t="str">
        <f>IFERROR(__xludf.DUMMYFUNCTION("GOOGLETRANSLATE(A1008,""en"",""pt"")"),"membrana")</f>
        <v>membrana</v>
      </c>
      <c r="G1008" s="69"/>
    </row>
    <row r="1009" ht="22.5" customHeight="1">
      <c r="A1009" s="66" t="s">
        <v>1344</v>
      </c>
      <c r="B1009" s="67" t="str">
        <f t="shared" si="11"/>
        <v>M: western</v>
      </c>
      <c r="C1009" s="68"/>
      <c r="D1009" s="68">
        <v>45850.0</v>
      </c>
      <c r="E1009" s="66">
        <v>9.0</v>
      </c>
      <c r="F1009" s="66" t="str">
        <f>IFERROR(__xludf.DUMMYFUNCTION("GOOGLETRANSLATE(A1009,""en"",""pt"")"),"ocidental")</f>
        <v>ocidental</v>
      </c>
      <c r="G1009" s="69"/>
    </row>
    <row r="1010" ht="22.5" customHeight="1">
      <c r="A1010" s="66" t="s">
        <v>1345</v>
      </c>
      <c r="B1010" s="67" t="str">
        <f t="shared" si="11"/>
        <v>M: silvered</v>
      </c>
      <c r="C1010" s="68"/>
      <c r="D1010" s="68">
        <v>45850.0</v>
      </c>
      <c r="E1010" s="66">
        <v>10.0</v>
      </c>
      <c r="F1010" s="66" t="str">
        <f>IFERROR(__xludf.DUMMYFUNCTION("GOOGLETRANSLATE(A1010,""en"",""pt"")"),"prateado")</f>
        <v>prateado</v>
      </c>
      <c r="G1010" s="69"/>
    </row>
    <row r="1011" ht="22.5" customHeight="1">
      <c r="A1011" s="66" t="s">
        <v>1346</v>
      </c>
      <c r="B1011" s="67" t="str">
        <f t="shared" si="11"/>
        <v>M: crude</v>
      </c>
      <c r="C1011" s="68"/>
      <c r="D1011" s="68">
        <v>45850.0</v>
      </c>
      <c r="E1011" s="66">
        <v>1.0</v>
      </c>
      <c r="F1011" s="66" t="str">
        <f>IFERROR(__xludf.DUMMYFUNCTION("GOOGLETRANSLATE(A1011,""en"",""pt"")"),"bruto")</f>
        <v>bruto</v>
      </c>
      <c r="G1011" s="69"/>
    </row>
    <row r="1012" ht="22.5" customHeight="1">
      <c r="A1012" s="66" t="s">
        <v>1347</v>
      </c>
      <c r="B1012" s="67" t="str">
        <f t="shared" si="11"/>
        <v>M: vacant</v>
      </c>
      <c r="C1012" s="68"/>
      <c r="D1012" s="68">
        <v>45851.0</v>
      </c>
      <c r="E1012" s="66">
        <v>2.0</v>
      </c>
      <c r="F1012" s="66" t="str">
        <f>IFERROR(__xludf.DUMMYFUNCTION("GOOGLETRANSLATE(A1012,""en"",""pt"")"),"vago")</f>
        <v>vago</v>
      </c>
      <c r="G1012" s="69"/>
    </row>
    <row r="1013" ht="22.5" customHeight="1">
      <c r="A1013" s="66" t="s">
        <v>1348</v>
      </c>
      <c r="B1013" s="67" t="str">
        <f t="shared" si="11"/>
        <v>M: halls</v>
      </c>
      <c r="C1013" s="68"/>
      <c r="D1013" s="68">
        <v>45851.0</v>
      </c>
      <c r="E1013" s="66">
        <v>3.0</v>
      </c>
      <c r="F1013" s="66" t="str">
        <f>IFERROR(__xludf.DUMMYFUNCTION("GOOGLETRANSLATE(A1013,""en"",""pt"")"),"salões")</f>
        <v>salões</v>
      </c>
      <c r="G1013" s="69"/>
    </row>
    <row r="1014" ht="22.5" customHeight="1">
      <c r="A1014" s="66" t="s">
        <v>1349</v>
      </c>
      <c r="B1014" s="67" t="str">
        <f t="shared" si="11"/>
        <v>M: slay</v>
      </c>
      <c r="C1014" s="68"/>
      <c r="D1014" s="68">
        <v>45851.0</v>
      </c>
      <c r="E1014" s="66">
        <v>4.0</v>
      </c>
      <c r="F1014" s="66" t="str">
        <f>IFERROR(__xludf.DUMMYFUNCTION("GOOGLETRANSLATE(A1014,""en"",""pt"")"),"matar")</f>
        <v>matar</v>
      </c>
      <c r="G1014" s="69"/>
    </row>
    <row r="1015" ht="22.5" customHeight="1">
      <c r="A1015" s="66" t="s">
        <v>1350</v>
      </c>
      <c r="B1015" s="67" t="str">
        <f t="shared" si="11"/>
        <v>M: mindbreaker</v>
      </c>
      <c r="C1015" s="68"/>
      <c r="D1015" s="68">
        <v>45851.0</v>
      </c>
      <c r="E1015" s="66">
        <v>5.0</v>
      </c>
      <c r="F1015" s="66" t="str">
        <f>IFERROR(__xludf.DUMMYFUNCTION("GOOGLETRANSLATE(A1015,""en"",""pt"")"),"quebra-cabeças")</f>
        <v>quebra-cabeças</v>
      </c>
      <c r="G1015" s="69"/>
    </row>
    <row r="1016" ht="22.5" customHeight="1">
      <c r="A1016" s="66" t="s">
        <v>1351</v>
      </c>
      <c r="B1016" s="67" t="str">
        <f t="shared" si="11"/>
        <v>M: source</v>
      </c>
      <c r="C1016" s="68"/>
      <c r="D1016" s="68">
        <v>45851.0</v>
      </c>
      <c r="E1016" s="66">
        <v>6.0</v>
      </c>
      <c r="F1016" s="66" t="str">
        <f>IFERROR(__xludf.DUMMYFUNCTION("GOOGLETRANSLATE(A1016,""en"",""pt"")"),"fonte")</f>
        <v>fonte</v>
      </c>
      <c r="G1016" s="69"/>
    </row>
    <row r="1017" ht="22.5" customHeight="1">
      <c r="A1017" s="66" t="s">
        <v>1352</v>
      </c>
      <c r="B1017" s="67" t="str">
        <f t="shared" si="11"/>
        <v>M: mauler</v>
      </c>
      <c r="C1017" s="68"/>
      <c r="D1017" s="68">
        <v>45851.0</v>
      </c>
      <c r="E1017" s="66">
        <v>7.0</v>
      </c>
      <c r="F1017" s="66" t="str">
        <f>IFERROR(__xludf.DUMMYFUNCTION("GOOGLETRANSLATE(A1017,""en"",""pt"")"),"malhador")</f>
        <v>malhador</v>
      </c>
      <c r="G1017" s="69"/>
    </row>
    <row r="1018" ht="22.5" customHeight="1">
      <c r="A1018" s="66" t="s">
        <v>1353</v>
      </c>
      <c r="B1018" s="67" t="str">
        <f t="shared" si="11"/>
        <v>M: sickbed</v>
      </c>
      <c r="C1018" s="68"/>
      <c r="D1018" s="68">
        <v>45851.0</v>
      </c>
      <c r="E1018" s="66">
        <v>8.0</v>
      </c>
      <c r="F1018" s="66" t="str">
        <f>IFERROR(__xludf.DUMMYFUNCTION("GOOGLETRANSLATE(A1018,""en"",""pt"")"),"leito de doente")</f>
        <v>leito de doente</v>
      </c>
      <c r="G1018" s="69"/>
    </row>
    <row r="1019" ht="22.5" customHeight="1">
      <c r="A1019" s="66" t="s">
        <v>1354</v>
      </c>
      <c r="B1019" s="67" t="str">
        <f t="shared" si="11"/>
        <v>M: void</v>
      </c>
      <c r="C1019" s="68"/>
      <c r="D1019" s="68">
        <v>45851.0</v>
      </c>
      <c r="E1019" s="66">
        <v>9.0</v>
      </c>
      <c r="F1019" s="66" t="str">
        <f>IFERROR(__xludf.DUMMYFUNCTION("GOOGLETRANSLATE(A1019,""en"",""pt"")"),"vazio")</f>
        <v>vazio</v>
      </c>
      <c r="G1019" s="69"/>
    </row>
    <row r="1020" ht="22.5" customHeight="1">
      <c r="A1020" s="66" t="s">
        <v>1355</v>
      </c>
      <c r="B1020" s="67" t="str">
        <f t="shared" si="11"/>
        <v>M: chandelier</v>
      </c>
      <c r="C1020" s="68"/>
      <c r="D1020" s="68">
        <v>45851.0</v>
      </c>
      <c r="E1020" s="66">
        <v>10.0</v>
      </c>
      <c r="F1020" s="66" t="str">
        <f>IFERROR(__xludf.DUMMYFUNCTION("GOOGLETRANSLATE(A1020,""en"",""pt"")"),"lustre")</f>
        <v>lustre</v>
      </c>
      <c r="G1020" s="69"/>
    </row>
    <row r="1021" ht="22.5" customHeight="1">
      <c r="A1021" s="66" t="s">
        <v>1356</v>
      </c>
      <c r="B1021" s="67" t="str">
        <f t="shared" si="11"/>
        <v>M: severing</v>
      </c>
      <c r="C1021" s="66">
        <v>1.0</v>
      </c>
      <c r="D1021" s="68">
        <v>45851.0</v>
      </c>
      <c r="E1021" s="66">
        <v>1.0</v>
      </c>
      <c r="F1021" s="66" t="s">
        <v>984</v>
      </c>
      <c r="G1021" s="66" t="s">
        <v>247</v>
      </c>
    </row>
    <row r="1022" ht="22.5" customHeight="1">
      <c r="A1022" s="66" t="s">
        <v>1357</v>
      </c>
      <c r="B1022" s="67" t="str">
        <f t="shared" si="11"/>
        <v>M: bond</v>
      </c>
      <c r="C1022" s="68"/>
      <c r="D1022" s="68">
        <v>45852.0</v>
      </c>
      <c r="E1022" s="66">
        <v>2.0</v>
      </c>
      <c r="F1022" s="66" t="str">
        <f>IFERROR(__xludf.DUMMYFUNCTION("GOOGLETRANSLATE(A1022,""en"",""pt"")"),"ligação")</f>
        <v>ligação</v>
      </c>
      <c r="G1022" s="69"/>
    </row>
    <row r="1023" ht="22.5" customHeight="1">
      <c r="A1023" s="66" t="s">
        <v>1358</v>
      </c>
      <c r="B1023" s="67" t="str">
        <f t="shared" si="11"/>
        <v>M: blacksmith</v>
      </c>
      <c r="C1023" s="68"/>
      <c r="D1023" s="68">
        <v>45852.0</v>
      </c>
      <c r="E1023" s="66">
        <v>3.0</v>
      </c>
      <c r="F1023" s="66" t="str">
        <f>IFERROR(__xludf.DUMMYFUNCTION("GOOGLETRANSLATE(A1023,""en"",""pt"")"),"ferreiro")</f>
        <v>ferreiro</v>
      </c>
      <c r="G1023" s="69"/>
    </row>
    <row r="1024" ht="22.5" customHeight="1">
      <c r="A1024" s="66" t="s">
        <v>1359</v>
      </c>
      <c r="B1024" s="67" t="str">
        <f t="shared" si="11"/>
        <v>M: stash</v>
      </c>
      <c r="C1024" s="68"/>
      <c r="D1024" s="68">
        <v>45852.0</v>
      </c>
      <c r="E1024" s="66">
        <v>4.0</v>
      </c>
      <c r="F1024" s="66" t="str">
        <f>IFERROR(__xludf.DUMMYFUNCTION("GOOGLETRANSLATE(A1024,""en"",""pt"")"),"esconderijo")</f>
        <v>esconderijo</v>
      </c>
      <c r="G1024" s="69"/>
    </row>
    <row r="1025" ht="22.5" customHeight="1">
      <c r="A1025" s="66" t="s">
        <v>1360</v>
      </c>
      <c r="B1025" s="67" t="str">
        <f t="shared" si="11"/>
        <v>M: jeweler</v>
      </c>
      <c r="C1025" s="68"/>
      <c r="D1025" s="68">
        <v>45852.0</v>
      </c>
      <c r="E1025" s="66">
        <v>5.0</v>
      </c>
      <c r="F1025" s="66" t="str">
        <f>IFERROR(__xludf.DUMMYFUNCTION("GOOGLETRANSLATE(A1025,""en"",""pt"")"),"joalheiro")</f>
        <v>joalheiro</v>
      </c>
      <c r="G1025" s="69"/>
    </row>
    <row r="1026" ht="22.5" customHeight="1">
      <c r="A1026" s="66" t="s">
        <v>1361</v>
      </c>
      <c r="B1026" s="67" t="str">
        <f t="shared" si="11"/>
        <v>M: purveyor</v>
      </c>
      <c r="C1026" s="68"/>
      <c r="D1026" s="68">
        <v>45852.0</v>
      </c>
      <c r="E1026" s="66">
        <v>6.0</v>
      </c>
      <c r="F1026" s="66" t="str">
        <f>IFERROR(__xludf.DUMMYFUNCTION("GOOGLETRANSLATE(A1026,""en"",""pt"")"),"fornecedor")</f>
        <v>fornecedor</v>
      </c>
      <c r="G1026" s="69"/>
    </row>
    <row r="1027" ht="22.5" customHeight="1">
      <c r="A1027" s="66" t="s">
        <v>1362</v>
      </c>
      <c r="B1027" s="67" t="str">
        <f t="shared" si="11"/>
        <v>M: stable</v>
      </c>
      <c r="C1027" s="68"/>
      <c r="D1027" s="68">
        <v>45852.0</v>
      </c>
      <c r="E1027" s="66">
        <v>7.0</v>
      </c>
      <c r="F1027" s="66" t="str">
        <f>IFERROR(__xludf.DUMMYFUNCTION("GOOGLETRANSLATE(A1027,""en"",""pt"")"),"estável")</f>
        <v>estável</v>
      </c>
      <c r="G1027" s="69"/>
    </row>
    <row r="1028" ht="22.5" customHeight="1">
      <c r="A1028" s="66" t="s">
        <v>1363</v>
      </c>
      <c r="B1028" s="67" t="str">
        <f t="shared" si="11"/>
        <v>M: don</v>
      </c>
      <c r="C1028" s="68"/>
      <c r="D1028" s="68">
        <v>45852.0</v>
      </c>
      <c r="E1028" s="66">
        <v>8.0</v>
      </c>
      <c r="F1028" s="66" t="str">
        <f>IFERROR(__xludf.DUMMYFUNCTION("GOOGLETRANSLATE(A1028,""en"",""pt"")"),"vestir")</f>
        <v>vestir</v>
      </c>
      <c r="G1028" s="69"/>
    </row>
    <row r="1029" ht="22.5" customHeight="1">
      <c r="A1029" s="66" t="s">
        <v>1364</v>
      </c>
      <c r="B1029" s="67" t="str">
        <f t="shared" si="11"/>
        <v>M: anew</v>
      </c>
      <c r="C1029" s="66">
        <v>1.0</v>
      </c>
      <c r="D1029" s="68">
        <v>45852.0</v>
      </c>
      <c r="E1029" s="66">
        <v>9.0</v>
      </c>
      <c r="F1029" s="71" t="s">
        <v>1365</v>
      </c>
      <c r="G1029" s="66" t="s">
        <v>247</v>
      </c>
    </row>
    <row r="1030" ht="22.5" customHeight="1">
      <c r="A1030" s="66" t="s">
        <v>1366</v>
      </c>
      <c r="B1030" s="67" t="str">
        <f t="shared" si="11"/>
        <v>M: riddled</v>
      </c>
      <c r="C1030" s="68"/>
      <c r="D1030" s="68">
        <v>45852.0</v>
      </c>
      <c r="E1030" s="66">
        <v>10.0</v>
      </c>
      <c r="F1030" s="66" t="str">
        <f>IFERROR(__xludf.DUMMYFUNCTION("GOOGLETRANSLATE(A1030,""en"",""pt"")"),"crivado")</f>
        <v>crivado</v>
      </c>
      <c r="G1030" s="69"/>
    </row>
    <row r="1031" ht="22.5" customHeight="1">
      <c r="A1031" s="66" t="s">
        <v>1367</v>
      </c>
      <c r="B1031" s="67" t="str">
        <f t="shared" si="11"/>
        <v>M: sacred</v>
      </c>
      <c r="C1031" s="68"/>
      <c r="D1031" s="68">
        <v>45852.0</v>
      </c>
      <c r="E1031" s="66">
        <v>1.0</v>
      </c>
      <c r="F1031" s="66" t="str">
        <f>IFERROR(__xludf.DUMMYFUNCTION("GOOGLETRANSLATE(A1031,""en"",""pt"")"),"sagrado")</f>
        <v>sagrado</v>
      </c>
      <c r="G1031" s="69"/>
    </row>
    <row r="1032" ht="22.5" customHeight="1">
      <c r="A1032" s="66" t="s">
        <v>1368</v>
      </c>
      <c r="B1032" s="67" t="str">
        <f t="shared" si="11"/>
        <v>M: attempt</v>
      </c>
      <c r="C1032" s="66">
        <v>1.0</v>
      </c>
      <c r="D1032" s="68">
        <v>45853.0</v>
      </c>
      <c r="E1032" s="66">
        <v>2.0</v>
      </c>
      <c r="F1032" s="66" t="s">
        <v>1369</v>
      </c>
      <c r="G1032" s="66" t="s">
        <v>247</v>
      </c>
    </row>
    <row r="1033" ht="22.5" customHeight="1">
      <c r="A1033" s="66" t="s">
        <v>1370</v>
      </c>
      <c r="B1033" s="67" t="str">
        <f t="shared" si="11"/>
        <v>M: chalk</v>
      </c>
      <c r="C1033" s="68"/>
      <c r="D1033" s="68">
        <v>45853.0</v>
      </c>
      <c r="E1033" s="66">
        <v>3.0</v>
      </c>
      <c r="F1033" s="66" t="str">
        <f>IFERROR(__xludf.DUMMYFUNCTION("GOOGLETRANSLATE(A1033,""en"",""pt"")"),"giz")</f>
        <v>giz</v>
      </c>
      <c r="G1033" s="69"/>
    </row>
    <row r="1034" ht="22.5" customHeight="1">
      <c r="A1034" s="66" t="s">
        <v>1371</v>
      </c>
      <c r="B1034" s="67" t="str">
        <f t="shared" si="11"/>
        <v>M: dammnation</v>
      </c>
      <c r="C1034" s="68"/>
      <c r="D1034" s="68">
        <v>45853.0</v>
      </c>
      <c r="E1034" s="66">
        <v>4.0</v>
      </c>
      <c r="F1034" s="66" t="s">
        <v>1372</v>
      </c>
      <c r="G1034" s="66" t="s">
        <v>247</v>
      </c>
    </row>
    <row r="1035" ht="22.5" customHeight="1">
      <c r="A1035" s="66" t="s">
        <v>1373</v>
      </c>
      <c r="B1035" s="67" t="str">
        <f t="shared" si="11"/>
        <v>M: filth</v>
      </c>
      <c r="C1035" s="68"/>
      <c r="D1035" s="68">
        <v>45853.0</v>
      </c>
      <c r="E1035" s="66">
        <v>5.0</v>
      </c>
      <c r="F1035" s="66" t="str">
        <f>IFERROR(__xludf.DUMMYFUNCTION("GOOGLETRANSLATE(A1035,""en"",""pt"")"),"sujeira")</f>
        <v>sujeira</v>
      </c>
      <c r="G1035" s="69"/>
    </row>
    <row r="1036" ht="22.5" customHeight="1">
      <c r="A1036" s="66" t="s">
        <v>1374</v>
      </c>
      <c r="B1036" s="67" t="str">
        <f t="shared" si="11"/>
        <v>M: begone</v>
      </c>
      <c r="C1036" s="68"/>
      <c r="D1036" s="68">
        <v>45853.0</v>
      </c>
      <c r="E1036" s="66">
        <v>6.0</v>
      </c>
      <c r="F1036" s="66" t="str">
        <f>IFERROR(__xludf.DUMMYFUNCTION("GOOGLETRANSLATE(A1036,""en"",""pt"")"),"vá embora")</f>
        <v>vá embora</v>
      </c>
      <c r="G1036" s="69"/>
    </row>
    <row r="1037" ht="22.5" customHeight="1">
      <c r="A1037" s="66" t="s">
        <v>1375</v>
      </c>
      <c r="B1037" s="67" t="str">
        <f t="shared" si="11"/>
        <v>M: woodsman</v>
      </c>
      <c r="C1037" s="68"/>
      <c r="D1037" s="68">
        <v>45853.0</v>
      </c>
      <c r="E1037" s="66">
        <v>7.0</v>
      </c>
      <c r="F1037" s="66" t="str">
        <f>IFERROR(__xludf.DUMMYFUNCTION("GOOGLETRANSLATE(A1037,""en"",""pt"")"),"lenhador")</f>
        <v>lenhador</v>
      </c>
      <c r="G1037" s="69"/>
    </row>
    <row r="1038" ht="22.5" customHeight="1">
      <c r="A1038" s="66" t="s">
        <v>1376</v>
      </c>
      <c r="B1038" s="67" t="str">
        <f t="shared" si="11"/>
        <v>M: stalked</v>
      </c>
      <c r="C1038" s="68"/>
      <c r="D1038" s="68">
        <v>45853.0</v>
      </c>
      <c r="E1038" s="66">
        <v>8.0</v>
      </c>
      <c r="F1038" s="66" t="str">
        <f>IFERROR(__xludf.DUMMYFUNCTION("GOOGLETRANSLATE(A1038,""en"",""pt"")"),"perseguido")</f>
        <v>perseguido</v>
      </c>
      <c r="G1038" s="69"/>
    </row>
    <row r="1039" ht="22.5" customHeight="1">
      <c r="A1039" s="66" t="s">
        <v>1377</v>
      </c>
      <c r="B1039" s="67" t="str">
        <f t="shared" si="11"/>
        <v>M: disappeared</v>
      </c>
      <c r="C1039" s="68"/>
      <c r="D1039" s="68">
        <v>45853.0</v>
      </c>
      <c r="E1039" s="66">
        <v>9.0</v>
      </c>
      <c r="F1039" s="66" t="str">
        <f>IFERROR(__xludf.DUMMYFUNCTION("GOOGLETRANSLATE(A1039,""en"",""pt"")"),"desaparecido")</f>
        <v>desaparecido</v>
      </c>
      <c r="G1039" s="69"/>
    </row>
    <row r="1040" ht="22.5" customHeight="1">
      <c r="A1040" s="66" t="s">
        <v>1378</v>
      </c>
      <c r="B1040" s="67" t="str">
        <f t="shared" si="11"/>
        <v>M: go on</v>
      </c>
      <c r="C1040" s="68"/>
      <c r="D1040" s="68">
        <v>45853.0</v>
      </c>
      <c r="E1040" s="66">
        <v>10.0</v>
      </c>
      <c r="F1040" s="71" t="s">
        <v>1379</v>
      </c>
      <c r="G1040" s="66" t="s">
        <v>247</v>
      </c>
    </row>
    <row r="1041" ht="22.5" customHeight="1">
      <c r="A1041" s="66" t="s">
        <v>1380</v>
      </c>
      <c r="B1041" s="67" t="str">
        <f t="shared" si="11"/>
        <v>M: rate</v>
      </c>
      <c r="C1041" s="68"/>
      <c r="D1041" s="68">
        <v>45853.0</v>
      </c>
      <c r="E1041" s="66">
        <v>1.0</v>
      </c>
      <c r="F1041" s="66" t="str">
        <f>IFERROR(__xludf.DUMMYFUNCTION("GOOGLETRANSLATE(A1041,""en"",""pt"")"),"avaliar")</f>
        <v>avaliar</v>
      </c>
      <c r="G1041" s="69"/>
    </row>
    <row r="1042" ht="22.5" customHeight="1">
      <c r="A1042" s="66" t="s">
        <v>1381</v>
      </c>
      <c r="B1042" s="67" t="str">
        <f t="shared" si="11"/>
        <v>M: wilderness</v>
      </c>
      <c r="C1042" s="68"/>
      <c r="D1042" s="68">
        <v>45854.0</v>
      </c>
      <c r="E1042" s="66">
        <v>2.0</v>
      </c>
      <c r="F1042" s="66" t="str">
        <f>IFERROR(__xludf.DUMMYFUNCTION("GOOGLETRANSLATE(A1042,""en"",""pt"")"),"deserto")</f>
        <v>deserto</v>
      </c>
      <c r="G1042" s="69"/>
    </row>
    <row r="1043" ht="22.5" customHeight="1">
      <c r="A1043" s="66" t="s">
        <v>1382</v>
      </c>
      <c r="B1043" s="67" t="str">
        <f t="shared" si="11"/>
        <v>M: wrenching</v>
      </c>
      <c r="C1043" s="66">
        <v>1.0</v>
      </c>
      <c r="D1043" s="68">
        <v>45854.0</v>
      </c>
      <c r="E1043" s="66">
        <v>3.0</v>
      </c>
      <c r="F1043" s="71" t="s">
        <v>1383</v>
      </c>
      <c r="G1043" s="66" t="s">
        <v>247</v>
      </c>
    </row>
    <row r="1044" ht="22.5" customHeight="1">
      <c r="A1044" s="66" t="s">
        <v>1384</v>
      </c>
      <c r="B1044" s="67" t="str">
        <f t="shared" si="11"/>
        <v>M: grim</v>
      </c>
      <c r="C1044" s="66">
        <v>1.0</v>
      </c>
      <c r="D1044" s="68">
        <v>45854.0</v>
      </c>
      <c r="E1044" s="66">
        <v>4.0</v>
      </c>
      <c r="F1044" s="71" t="s">
        <v>1385</v>
      </c>
      <c r="G1044" s="66" t="s">
        <v>247</v>
      </c>
    </row>
    <row r="1045" ht="22.5" customHeight="1">
      <c r="A1045" s="66" t="s">
        <v>1386</v>
      </c>
      <c r="B1045" s="67" t="str">
        <f t="shared" si="11"/>
        <v>M: judging</v>
      </c>
      <c r="C1045" s="68"/>
      <c r="D1045" s="68">
        <v>45854.0</v>
      </c>
      <c r="E1045" s="66">
        <v>5.0</v>
      </c>
      <c r="F1045" s="66" t="str">
        <f>IFERROR(__xludf.DUMMYFUNCTION("GOOGLETRANSLATE(A1045,""en"",""pt"")"),"julgamento")</f>
        <v>julgamento</v>
      </c>
      <c r="G1045" s="69"/>
    </row>
    <row r="1046" ht="22.5" customHeight="1">
      <c r="A1046" s="66" t="s">
        <v>1387</v>
      </c>
      <c r="B1046" s="67" t="str">
        <f t="shared" si="11"/>
        <v>M: my due</v>
      </c>
      <c r="C1046" s="68"/>
      <c r="D1046" s="68">
        <v>45854.0</v>
      </c>
      <c r="E1046" s="66">
        <v>6.0</v>
      </c>
      <c r="F1046" s="66" t="str">
        <f>IFERROR(__xludf.DUMMYFUNCTION("GOOGLETRANSLATE(A1046,""en"",""pt"")"),"meu devido")</f>
        <v>meu devido</v>
      </c>
      <c r="G1046" s="69"/>
    </row>
    <row r="1047" ht="22.5" customHeight="1">
      <c r="A1047" s="66" t="s">
        <v>1388</v>
      </c>
      <c r="B1047" s="67" t="str">
        <f t="shared" si="11"/>
        <v>M: bolder</v>
      </c>
      <c r="C1047" s="66">
        <v>1.0</v>
      </c>
      <c r="D1047" s="68">
        <v>45854.0</v>
      </c>
      <c r="E1047" s="66">
        <v>7.0</v>
      </c>
      <c r="F1047" s="66" t="s">
        <v>1389</v>
      </c>
      <c r="G1047" s="66" t="s">
        <v>247</v>
      </c>
    </row>
    <row r="1048" ht="22.5" customHeight="1">
      <c r="A1048" s="66" t="s">
        <v>1390</v>
      </c>
      <c r="B1048" s="67" t="str">
        <f t="shared" si="11"/>
        <v>M: cross</v>
      </c>
      <c r="C1048" s="68"/>
      <c r="D1048" s="68">
        <v>45854.0</v>
      </c>
      <c r="E1048" s="66">
        <v>8.0</v>
      </c>
      <c r="F1048" s="66" t="str">
        <f>IFERROR(__xludf.DUMMYFUNCTION("GOOGLETRANSLATE(A1048,""en"",""pt"")"),"cruzar")</f>
        <v>cruzar</v>
      </c>
      <c r="G1048" s="69"/>
    </row>
    <row r="1049" ht="22.5" customHeight="1">
      <c r="A1049" s="66" t="s">
        <v>1391</v>
      </c>
      <c r="B1049" s="67" t="str">
        <f t="shared" si="11"/>
        <v>M: foothills</v>
      </c>
      <c r="C1049" s="68"/>
      <c r="D1049" s="68">
        <v>45854.0</v>
      </c>
      <c r="E1049" s="66">
        <v>9.0</v>
      </c>
      <c r="F1049" s="66" t="str">
        <f>IFERROR(__xludf.DUMMYFUNCTION("GOOGLETRANSLATE(A1049,""en"",""pt"")"),"sopés")</f>
        <v>sopés</v>
      </c>
      <c r="G1049" s="69"/>
    </row>
    <row r="1050" ht="22.5" customHeight="1">
      <c r="A1050" s="66" t="s">
        <v>1392</v>
      </c>
      <c r="B1050" s="67" t="str">
        <f t="shared" si="11"/>
        <v>M: tearing</v>
      </c>
      <c r="C1050" s="68"/>
      <c r="D1050" s="68">
        <v>45854.0</v>
      </c>
      <c r="E1050" s="66">
        <v>10.0</v>
      </c>
      <c r="F1050" s="66" t="str">
        <f>IFERROR(__xludf.DUMMYFUNCTION("GOOGLETRANSLATE(A1050,""en"",""pt"")"),"rasgando")</f>
        <v>rasgando</v>
      </c>
      <c r="G1050" s="69"/>
    </row>
    <row r="1051" ht="22.5" customHeight="1">
      <c r="A1051" s="66" t="s">
        <v>1393</v>
      </c>
      <c r="B1051" s="67" t="str">
        <f t="shared" si="11"/>
        <v>M: atop</v>
      </c>
      <c r="C1051" s="68"/>
      <c r="D1051" s="68">
        <v>45854.0</v>
      </c>
      <c r="E1051" s="66">
        <v>1.0</v>
      </c>
      <c r="F1051" s="66" t="str">
        <f>IFERROR(__xludf.DUMMYFUNCTION("GOOGLETRANSLATE(A1051,""en"",""pt"")"),"topo")</f>
        <v>topo</v>
      </c>
      <c r="G1051" s="69"/>
    </row>
    <row r="1052" ht="22.5" customHeight="1">
      <c r="A1052" s="66" t="s">
        <v>1394</v>
      </c>
      <c r="B1052" s="67" t="str">
        <f t="shared" si="11"/>
        <v>M: injured</v>
      </c>
      <c r="C1052" s="68"/>
      <c r="D1052" s="68">
        <v>45855.0</v>
      </c>
      <c r="E1052" s="66">
        <v>2.0</v>
      </c>
      <c r="F1052" s="66" t="str">
        <f>IFERROR(__xludf.DUMMYFUNCTION("GOOGLETRANSLATE(A1052,""en"",""pt"")"),"ferido")</f>
        <v>ferido</v>
      </c>
      <c r="G1052" s="69"/>
    </row>
    <row r="1053" ht="22.5" customHeight="1">
      <c r="A1053" s="66" t="s">
        <v>1395</v>
      </c>
      <c r="B1053" s="67" t="str">
        <f t="shared" si="11"/>
        <v>M: outpost</v>
      </c>
      <c r="C1053" s="68"/>
      <c r="D1053" s="68">
        <v>45855.0</v>
      </c>
      <c r="E1053" s="66">
        <v>3.0</v>
      </c>
      <c r="F1053" s="66" t="str">
        <f>IFERROR(__xludf.DUMMYFUNCTION("GOOGLETRANSLATE(A1053,""en"",""pt"")"),"posto avançado")</f>
        <v>posto avançado</v>
      </c>
      <c r="G1053" s="69"/>
    </row>
    <row r="1054" ht="22.5" customHeight="1">
      <c r="A1054" s="66" t="s">
        <v>1396</v>
      </c>
      <c r="B1054" s="67" t="str">
        <f t="shared" si="11"/>
        <v>M: overrun</v>
      </c>
      <c r="C1054" s="68"/>
      <c r="D1054" s="68">
        <v>45855.0</v>
      </c>
      <c r="E1054" s="66">
        <v>4.0</v>
      </c>
      <c r="F1054" s="66" t="str">
        <f>IFERROR(__xludf.DUMMYFUNCTION("GOOGLETRANSLATE(A1054,""en"",""pt"")"),"sobrecarga")</f>
        <v>sobrecarga</v>
      </c>
      <c r="G1054" s="69"/>
    </row>
    <row r="1055" ht="22.5" customHeight="1">
      <c r="A1055" s="66" t="s">
        <v>1397</v>
      </c>
      <c r="B1055" s="67" t="str">
        <f t="shared" si="11"/>
        <v>M: fiends</v>
      </c>
      <c r="C1055" s="68"/>
      <c r="D1055" s="68">
        <v>45855.0</v>
      </c>
      <c r="E1055" s="66">
        <v>5.0</v>
      </c>
      <c r="F1055" s="66" t="str">
        <f>IFERROR(__xludf.DUMMYFUNCTION("GOOGLETRANSLATE(A1055,""en"",""pt"")"),"demônios")</f>
        <v>demônios</v>
      </c>
      <c r="G1055" s="69"/>
    </row>
    <row r="1056" ht="22.5" customHeight="1">
      <c r="A1056" s="66" t="s">
        <v>1398</v>
      </c>
      <c r="B1056" s="67" t="str">
        <f t="shared" si="11"/>
        <v>M: stationed</v>
      </c>
      <c r="C1056" s="68"/>
      <c r="D1056" s="68">
        <v>45855.0</v>
      </c>
      <c r="E1056" s="66">
        <v>6.0</v>
      </c>
      <c r="F1056" s="66" t="str">
        <f>IFERROR(__xludf.DUMMYFUNCTION("GOOGLETRANSLATE(A1056,""en"",""pt"")"),"estacionado")</f>
        <v>estacionado</v>
      </c>
      <c r="G1056" s="69"/>
    </row>
    <row r="1057" ht="22.5" customHeight="1">
      <c r="A1057" s="66" t="s">
        <v>1399</v>
      </c>
      <c r="B1057" s="67" t="str">
        <f t="shared" si="11"/>
        <v>M: drove</v>
      </c>
      <c r="C1057" s="68"/>
      <c r="D1057" s="68">
        <v>45855.0</v>
      </c>
      <c r="E1057" s="66">
        <v>7.0</v>
      </c>
      <c r="F1057" s="66" t="str">
        <f>IFERROR(__xludf.DUMMYFUNCTION("GOOGLETRANSLATE(A1057,""en"",""pt"")"),"dirigiu")</f>
        <v>dirigiu</v>
      </c>
      <c r="G1057" s="69"/>
    </row>
    <row r="1058" ht="22.5" customHeight="1">
      <c r="A1058" s="66" t="s">
        <v>1400</v>
      </c>
      <c r="B1058" s="67" t="str">
        <f t="shared" si="11"/>
        <v>M: watchmen</v>
      </c>
      <c r="C1058" s="68"/>
      <c r="D1058" s="68">
        <v>45855.0</v>
      </c>
      <c r="E1058" s="66">
        <v>8.0</v>
      </c>
      <c r="F1058" s="66" t="str">
        <f>IFERROR(__xludf.DUMMYFUNCTION("GOOGLETRANSLATE(A1058,""en"",""pt"")"),"vigias")</f>
        <v>vigias</v>
      </c>
      <c r="G1058" s="69"/>
    </row>
    <row r="1059" ht="22.5" customHeight="1">
      <c r="A1059" s="66" t="s">
        <v>1401</v>
      </c>
      <c r="B1059" s="67" t="str">
        <f t="shared" si="11"/>
        <v>M: fond</v>
      </c>
      <c r="C1059" s="68"/>
      <c r="D1059" s="68">
        <v>45855.0</v>
      </c>
      <c r="E1059" s="66">
        <v>9.0</v>
      </c>
      <c r="F1059" s="66" t="str">
        <f>IFERROR(__xludf.DUMMYFUNCTION("GOOGLETRANSLATE(A1059,""en"",""pt"")"),"carinhoso")</f>
        <v>carinhoso</v>
      </c>
      <c r="G1059" s="69"/>
    </row>
    <row r="1060" ht="22.5" customHeight="1">
      <c r="A1060" s="66" t="s">
        <v>1402</v>
      </c>
      <c r="B1060" s="67" t="str">
        <f t="shared" si="11"/>
        <v>M: arsonist</v>
      </c>
      <c r="C1060" s="68"/>
      <c r="D1060" s="68">
        <v>45855.0</v>
      </c>
      <c r="E1060" s="66">
        <v>10.0</v>
      </c>
      <c r="F1060" s="66" t="str">
        <f>IFERROR(__xludf.DUMMYFUNCTION("GOOGLETRANSLATE(A1060,""en"",""pt"")"),"incendiário")</f>
        <v>incendiário</v>
      </c>
      <c r="G1060" s="69"/>
    </row>
    <row r="1061" ht="22.5" customHeight="1">
      <c r="A1061" s="66" t="s">
        <v>1403</v>
      </c>
      <c r="B1061" s="67" t="str">
        <f t="shared" si="11"/>
        <v>M: marauder</v>
      </c>
      <c r="C1061" s="68"/>
      <c r="D1061" s="68">
        <v>45855.0</v>
      </c>
      <c r="E1061" s="66">
        <v>1.0</v>
      </c>
      <c r="F1061" s="66" t="str">
        <f>IFERROR(__xludf.DUMMYFUNCTION("GOOGLETRANSLATE(A1061,""en"",""pt"")"),"saqueador")</f>
        <v>saqueador</v>
      </c>
      <c r="G1061" s="69"/>
    </row>
    <row r="1062" ht="22.5" customHeight="1">
      <c r="A1062" s="66" t="s">
        <v>1404</v>
      </c>
      <c r="B1062" s="67" t="str">
        <f t="shared" si="11"/>
        <v>M: firebrand</v>
      </c>
      <c r="C1062" s="68"/>
      <c r="D1062" s="68">
        <v>45856.0</v>
      </c>
      <c r="E1062" s="66">
        <v>2.0</v>
      </c>
      <c r="F1062" s="66" t="str">
        <f>IFERROR(__xludf.DUMMYFUNCTION("GOOGLETRANSLATE(A1062,""en"",""pt"")"),"incendiário")</f>
        <v>incendiário</v>
      </c>
      <c r="G1062" s="69"/>
    </row>
    <row r="1063" ht="22.5" customHeight="1">
      <c r="A1063" s="66" t="s">
        <v>1405</v>
      </c>
      <c r="B1063" s="67" t="str">
        <f t="shared" si="11"/>
        <v>M: prowler</v>
      </c>
      <c r="C1063" s="68"/>
      <c r="D1063" s="68">
        <v>45856.0</v>
      </c>
      <c r="E1063" s="66">
        <v>3.0</v>
      </c>
      <c r="F1063" s="66" t="str">
        <f>IFERROR(__xludf.DUMMYFUNCTION("GOOGLETRANSLATE(A1063,""en"",""pt"")"),"espreitador")</f>
        <v>espreitador</v>
      </c>
      <c r="G1063" s="69"/>
    </row>
    <row r="1064" ht="22.5" customHeight="1">
      <c r="A1064" s="66" t="s">
        <v>1406</v>
      </c>
      <c r="B1064" s="67" t="str">
        <f t="shared" si="11"/>
        <v>M: ghoul</v>
      </c>
      <c r="C1064" s="68"/>
      <c r="D1064" s="68">
        <v>45856.0</v>
      </c>
      <c r="E1064" s="66">
        <v>4.0</v>
      </c>
      <c r="F1064" s="66" t="str">
        <f>IFERROR(__xludf.DUMMYFUNCTION("GOOGLETRANSLATE(A1064,""en"",""pt"")"),"carniçal")</f>
        <v>carniçal</v>
      </c>
      <c r="G1064" s="69"/>
    </row>
    <row r="1065" ht="22.5" customHeight="1">
      <c r="A1065" s="66" t="s">
        <v>1407</v>
      </c>
      <c r="B1065" s="67" t="str">
        <f t="shared" si="11"/>
        <v>M: villager</v>
      </c>
      <c r="C1065" s="68"/>
      <c r="D1065" s="68">
        <v>45856.0</v>
      </c>
      <c r="E1065" s="66">
        <v>5.0</v>
      </c>
      <c r="F1065" s="66" t="str">
        <f>IFERROR(__xludf.DUMMYFUNCTION("GOOGLETRANSLATE(A1065,""en"",""pt"")"),"aldeão")</f>
        <v>aldeão</v>
      </c>
      <c r="G1065" s="69"/>
    </row>
    <row r="1066" ht="22.5" customHeight="1">
      <c r="A1066" s="66" t="s">
        <v>1408</v>
      </c>
      <c r="B1066" s="67" t="str">
        <f t="shared" si="11"/>
        <v>M: wasteland</v>
      </c>
      <c r="C1066" s="68"/>
      <c r="D1066" s="68">
        <v>45856.0</v>
      </c>
      <c r="E1066" s="66">
        <v>6.0</v>
      </c>
      <c r="F1066" s="66" t="str">
        <f>IFERROR(__xludf.DUMMYFUNCTION("GOOGLETRANSLATE(A1066,""en"",""pt"")"),"terra devastada")</f>
        <v>terra devastada</v>
      </c>
      <c r="G1066" s="69"/>
    </row>
    <row r="1067" ht="22.5" customHeight="1">
      <c r="A1067" s="66" t="s">
        <v>1409</v>
      </c>
      <c r="B1067" s="67" t="str">
        <f t="shared" si="11"/>
        <v>M: revenant</v>
      </c>
      <c r="C1067" s="68"/>
      <c r="D1067" s="68">
        <v>45856.0</v>
      </c>
      <c r="E1067" s="66">
        <v>7.0</v>
      </c>
      <c r="F1067" s="66" t="str">
        <f>IFERROR(__xludf.DUMMYFUNCTION("GOOGLETRANSLATE(A1067,""en"",""pt"")"),"revenant")</f>
        <v>revenant</v>
      </c>
      <c r="G1067" s="69"/>
    </row>
    <row r="1068" ht="22.5" customHeight="1">
      <c r="A1068" s="66" t="s">
        <v>1410</v>
      </c>
      <c r="B1068" s="67" t="str">
        <f t="shared" si="11"/>
        <v>M: marred</v>
      </c>
      <c r="C1068" s="68"/>
      <c r="D1068" s="68">
        <v>45856.0</v>
      </c>
      <c r="E1068" s="66">
        <v>8.0</v>
      </c>
      <c r="F1068" s="66" t="str">
        <f>IFERROR(__xludf.DUMMYFUNCTION("GOOGLETRANSLATE(A1068,""en"",""pt"")"),"marcado")</f>
        <v>marcado</v>
      </c>
      <c r="G1068" s="69"/>
    </row>
    <row r="1069" ht="22.5" customHeight="1">
      <c r="A1069" s="66" t="s">
        <v>1411</v>
      </c>
      <c r="B1069" s="67" t="str">
        <f t="shared" si="11"/>
        <v>M: set them up</v>
      </c>
      <c r="C1069" s="66">
        <v>1.0</v>
      </c>
      <c r="D1069" s="68">
        <v>45856.0</v>
      </c>
      <c r="E1069" s="66">
        <v>9.0</v>
      </c>
      <c r="F1069" s="71" t="s">
        <v>1412</v>
      </c>
      <c r="G1069" s="66" t="s">
        <v>247</v>
      </c>
    </row>
    <row r="1070" ht="22.5" customHeight="1">
      <c r="A1070" s="66" t="s">
        <v>1413</v>
      </c>
      <c r="B1070" s="67" t="str">
        <f t="shared" si="11"/>
        <v>M: bodyguard</v>
      </c>
      <c r="C1070" s="68"/>
      <c r="D1070" s="68">
        <v>45856.0</v>
      </c>
      <c r="E1070" s="66">
        <v>10.0</v>
      </c>
      <c r="F1070" s="66" t="str">
        <f>IFERROR(__xludf.DUMMYFUNCTION("GOOGLETRANSLATE(A1070,""en"",""pt"")"),"escolta")</f>
        <v>escolta</v>
      </c>
      <c r="G1070" s="69"/>
    </row>
    <row r="1071" ht="22.5" customHeight="1">
      <c r="A1071" s="66" t="s">
        <v>1414</v>
      </c>
      <c r="B1071" s="67" t="str">
        <f t="shared" si="11"/>
        <v>M: deserving</v>
      </c>
      <c r="C1071" s="66">
        <v>1.0</v>
      </c>
      <c r="D1071" s="68">
        <v>45856.0</v>
      </c>
      <c r="E1071" s="66">
        <v>1.0</v>
      </c>
      <c r="F1071" s="71" t="s">
        <v>1415</v>
      </c>
      <c r="G1071" s="66" t="s">
        <v>247</v>
      </c>
    </row>
    <row r="1072" ht="22.5" customHeight="1">
      <c r="A1072" s="66" t="s">
        <v>1416</v>
      </c>
      <c r="B1072" s="67" t="str">
        <f t="shared" si="11"/>
        <v>M: pilgrims</v>
      </c>
      <c r="C1072" s="68"/>
      <c r="D1072" s="68">
        <v>45857.0</v>
      </c>
      <c r="E1072" s="66">
        <v>2.0</v>
      </c>
      <c r="F1072" s="66" t="str">
        <f>IFERROR(__xludf.DUMMYFUNCTION("GOOGLETRANSLATE(A1072,""en"",""pt"")"),"peregrinos")</f>
        <v>peregrinos</v>
      </c>
      <c r="G1072" s="69"/>
    </row>
    <row r="1073" ht="22.5" customHeight="1">
      <c r="A1073" s="66" t="s">
        <v>1417</v>
      </c>
      <c r="B1073" s="67" t="str">
        <f t="shared" si="11"/>
        <v>M: toll</v>
      </c>
      <c r="C1073" s="66">
        <v>1.0</v>
      </c>
      <c r="D1073" s="68">
        <v>45857.0</v>
      </c>
      <c r="E1073" s="66">
        <v>3.0</v>
      </c>
      <c r="F1073" s="66" t="s">
        <v>1418</v>
      </c>
      <c r="G1073" s="66" t="s">
        <v>247</v>
      </c>
    </row>
    <row r="1074" ht="22.5" customHeight="1">
      <c r="A1074" s="66" t="s">
        <v>1419</v>
      </c>
      <c r="B1074" s="67" t="str">
        <f t="shared" si="11"/>
        <v>M: assemble</v>
      </c>
      <c r="C1074" s="68"/>
      <c r="D1074" s="68">
        <v>45857.0</v>
      </c>
      <c r="E1074" s="66">
        <v>4.0</v>
      </c>
      <c r="F1074" s="66" t="str">
        <f>IFERROR(__xludf.DUMMYFUNCTION("GOOGLETRANSLATE(A1074,""en"",""pt"")"),"montar")</f>
        <v>montar</v>
      </c>
      <c r="G1074" s="69"/>
    </row>
    <row r="1075" ht="22.5" customHeight="1">
      <c r="A1075" s="66" t="s">
        <v>1420</v>
      </c>
      <c r="B1075" s="67" t="str">
        <f t="shared" si="11"/>
        <v>M: bear</v>
      </c>
      <c r="C1075" s="68"/>
      <c r="D1075" s="68">
        <v>45857.0</v>
      </c>
      <c r="E1075" s="66">
        <v>5.0</v>
      </c>
      <c r="F1075" s="66" t="str">
        <f>IFERROR(__xludf.DUMMYFUNCTION("GOOGLETRANSLATE(A1075,""en"",""pt"")"),"urso")</f>
        <v>urso</v>
      </c>
      <c r="G1075" s="69"/>
    </row>
    <row r="1076" ht="22.5" customHeight="1">
      <c r="A1076" s="66" t="s">
        <v>1421</v>
      </c>
      <c r="B1076" s="67" t="str">
        <f t="shared" si="11"/>
        <v>M: arrest</v>
      </c>
      <c r="C1076" s="68"/>
      <c r="D1076" s="68">
        <v>45857.0</v>
      </c>
      <c r="E1076" s="66">
        <v>6.0</v>
      </c>
      <c r="F1076" s="66" t="str">
        <f>IFERROR(__xludf.DUMMYFUNCTION("GOOGLETRANSLATE(A1076,""en"",""pt"")"),"prender prisão")</f>
        <v>prender prisão</v>
      </c>
      <c r="G1076" s="69"/>
    </row>
    <row r="1077" ht="22.5" customHeight="1">
      <c r="A1077" s="66" t="s">
        <v>1422</v>
      </c>
      <c r="B1077" s="67" t="str">
        <f t="shared" si="11"/>
        <v>M: menace</v>
      </c>
      <c r="C1077" s="68"/>
      <c r="D1077" s="68">
        <v>45857.0</v>
      </c>
      <c r="E1077" s="66">
        <v>7.0</v>
      </c>
      <c r="F1077" s="66" t="str">
        <f>IFERROR(__xludf.DUMMYFUNCTION("GOOGLETRANSLATE(A1077,""en"",""pt"")"),"ameaça")</f>
        <v>ameaça</v>
      </c>
      <c r="G1077" s="69"/>
    </row>
    <row r="1078" ht="22.5" customHeight="1">
      <c r="A1078" s="66" t="s">
        <v>1423</v>
      </c>
      <c r="B1078" s="67" t="str">
        <f t="shared" si="11"/>
        <v>M: heathen</v>
      </c>
      <c r="C1078" s="68"/>
      <c r="D1078" s="68">
        <v>45857.0</v>
      </c>
      <c r="E1078" s="66">
        <v>8.0</v>
      </c>
      <c r="F1078" s="66" t="str">
        <f>IFERROR(__xludf.DUMMYFUNCTION("GOOGLETRANSLATE(A1078,""en"",""pt"")"),"pagão")</f>
        <v>pagão</v>
      </c>
      <c r="G1078" s="69"/>
    </row>
    <row r="1079" ht="22.5" customHeight="1">
      <c r="A1079" s="66" t="s">
        <v>1424</v>
      </c>
      <c r="B1079" s="67" t="str">
        <f t="shared" si="11"/>
        <v>M: hoping</v>
      </c>
      <c r="C1079" s="68"/>
      <c r="D1079" s="68">
        <v>45857.0</v>
      </c>
      <c r="E1079" s="66">
        <v>9.0</v>
      </c>
      <c r="F1079" s="66" t="str">
        <f>IFERROR(__xludf.DUMMYFUNCTION("GOOGLETRANSLATE(A1079,""en"",""pt"")"),"esperançoso")</f>
        <v>esperançoso</v>
      </c>
      <c r="G1079" s="69"/>
    </row>
    <row r="1080" ht="22.5" customHeight="1">
      <c r="A1080" s="66" t="s">
        <v>1425</v>
      </c>
      <c r="B1080" s="67" t="str">
        <f t="shared" si="11"/>
        <v>M: ambushed</v>
      </c>
      <c r="C1080" s="68"/>
      <c r="D1080" s="68">
        <v>45857.0</v>
      </c>
      <c r="E1080" s="66">
        <v>10.0</v>
      </c>
      <c r="F1080" s="66" t="str">
        <f>IFERROR(__xludf.DUMMYFUNCTION("GOOGLETRANSLATE(A1080,""en"",""pt"")"),"emboscado")</f>
        <v>emboscado</v>
      </c>
      <c r="G1080" s="69"/>
    </row>
    <row r="1081" ht="22.5" customHeight="1">
      <c r="A1081" s="66" t="s">
        <v>1426</v>
      </c>
      <c r="B1081" s="67" t="str">
        <f t="shared" si="11"/>
        <v>M: wound</v>
      </c>
      <c r="C1081" s="68"/>
      <c r="D1081" s="68">
        <v>45857.0</v>
      </c>
      <c r="E1081" s="66">
        <v>1.0</v>
      </c>
      <c r="F1081" s="66" t="str">
        <f>IFERROR(__xludf.DUMMYFUNCTION("GOOGLETRANSLATE(A1081,""en"",""pt"")"),"ferimento")</f>
        <v>ferimento</v>
      </c>
      <c r="G1081" s="69"/>
    </row>
    <row r="1082" ht="22.5" customHeight="1">
      <c r="A1082" s="66" t="s">
        <v>1427</v>
      </c>
      <c r="B1082" s="67" t="str">
        <f t="shared" si="11"/>
        <v>M: neck</v>
      </c>
      <c r="C1082" s="68"/>
      <c r="D1082" s="68">
        <v>45858.0</v>
      </c>
      <c r="E1082" s="66">
        <v>2.0</v>
      </c>
      <c r="F1082" s="66" t="str">
        <f>IFERROR(__xludf.DUMMYFUNCTION("GOOGLETRANSLATE(A1082,""en"",""pt"")"),"pescoço")</f>
        <v>pescoço</v>
      </c>
      <c r="G1082" s="69"/>
    </row>
    <row r="1083" ht="22.5" customHeight="1">
      <c r="A1083" s="66" t="s">
        <v>1428</v>
      </c>
      <c r="B1083" s="67" t="str">
        <f t="shared" si="11"/>
        <v>M: handiwork</v>
      </c>
      <c r="C1083" s="68"/>
      <c r="D1083" s="68">
        <v>45858.0</v>
      </c>
      <c r="E1083" s="66">
        <v>3.0</v>
      </c>
      <c r="F1083" s="66" t="str">
        <f>IFERROR(__xludf.DUMMYFUNCTION("GOOGLETRANSLATE(A1083,""en"",""pt"")"),"trabalho manual")</f>
        <v>trabalho manual</v>
      </c>
      <c r="G1083" s="69"/>
    </row>
    <row r="1084" ht="22.5" customHeight="1">
      <c r="A1084" s="66" t="s">
        <v>1429</v>
      </c>
      <c r="B1084" s="67" t="str">
        <f t="shared" si="11"/>
        <v>M: thick</v>
      </c>
      <c r="C1084" s="66">
        <v>1.0</v>
      </c>
      <c r="D1084" s="68">
        <v>45858.0</v>
      </c>
      <c r="E1084" s="66">
        <v>4.0</v>
      </c>
      <c r="F1084" s="66" t="s">
        <v>1430</v>
      </c>
      <c r="G1084" s="66" t="s">
        <v>247</v>
      </c>
    </row>
    <row r="1085" ht="22.5" customHeight="1">
      <c r="A1085" s="66" t="s">
        <v>1431</v>
      </c>
      <c r="B1085" s="67" t="str">
        <f t="shared" si="11"/>
        <v>M: forearm</v>
      </c>
      <c r="C1085" s="68"/>
      <c r="D1085" s="68">
        <v>45858.0</v>
      </c>
      <c r="E1085" s="66">
        <v>5.0</v>
      </c>
      <c r="F1085" s="66" t="str">
        <f>IFERROR(__xludf.DUMMYFUNCTION("GOOGLETRANSLATE(A1085,""en"",""pt"")"),"antebraço")</f>
        <v>antebraço</v>
      </c>
      <c r="G1085" s="69"/>
    </row>
    <row r="1086" ht="22.5" customHeight="1">
      <c r="A1086" s="66" t="s">
        <v>1432</v>
      </c>
      <c r="B1086" s="67" t="str">
        <f t="shared" si="11"/>
        <v>M: stripped</v>
      </c>
      <c r="C1086" s="68"/>
      <c r="D1086" s="68">
        <v>45858.0</v>
      </c>
      <c r="E1086" s="66">
        <v>6.0</v>
      </c>
      <c r="F1086" s="66" t="str">
        <f>IFERROR(__xludf.DUMMYFUNCTION("GOOGLETRANSLATE(A1086,""en"",""pt"")"),"despido")</f>
        <v>despido</v>
      </c>
      <c r="G1086" s="69"/>
    </row>
    <row r="1087" ht="22.5" customHeight="1">
      <c r="A1087" s="66" t="s">
        <v>1433</v>
      </c>
      <c r="B1087" s="67" t="str">
        <f t="shared" si="11"/>
        <v>M: goods</v>
      </c>
      <c r="C1087" s="68"/>
      <c r="D1087" s="68">
        <v>45858.0</v>
      </c>
      <c r="E1087" s="66">
        <v>7.0</v>
      </c>
      <c r="F1087" s="66" t="str">
        <f>IFERROR(__xludf.DUMMYFUNCTION("GOOGLETRANSLATE(A1087,""en"",""pt"")"),"bens")</f>
        <v>bens</v>
      </c>
      <c r="G1087" s="69"/>
    </row>
    <row r="1088" ht="22.5" customHeight="1">
      <c r="A1088" s="66" t="s">
        <v>1434</v>
      </c>
      <c r="B1088" s="67" t="str">
        <f t="shared" si="11"/>
        <v>M: broken</v>
      </c>
      <c r="C1088" s="68"/>
      <c r="D1088" s="68">
        <v>45858.0</v>
      </c>
      <c r="E1088" s="66">
        <v>8.0</v>
      </c>
      <c r="F1088" s="66" t="str">
        <f>IFERROR(__xludf.DUMMYFUNCTION("GOOGLETRANSLATE(A1088,""en"",""pt"")"),"quebrado")</f>
        <v>quebrado</v>
      </c>
      <c r="G1088" s="69"/>
    </row>
    <row r="1089" ht="22.5" customHeight="1">
      <c r="A1089" s="66" t="s">
        <v>1435</v>
      </c>
      <c r="B1089" s="67" t="str">
        <f t="shared" si="11"/>
        <v>M: thoroughly</v>
      </c>
      <c r="C1089" s="68"/>
      <c r="D1089" s="68">
        <v>45858.0</v>
      </c>
      <c r="E1089" s="66">
        <v>9.0</v>
      </c>
      <c r="F1089" s="66" t="str">
        <f>IFERROR(__xludf.DUMMYFUNCTION("GOOGLETRANSLATE(A1089,""en"",""pt"")"),"completamente")</f>
        <v>completamente</v>
      </c>
      <c r="G1089" s="69"/>
    </row>
    <row r="1090" ht="22.5" customHeight="1">
      <c r="A1090" s="66" t="s">
        <v>1436</v>
      </c>
      <c r="B1090" s="67" t="str">
        <f t="shared" si="11"/>
        <v>M: ransacked</v>
      </c>
      <c r="C1090" s="68"/>
      <c r="D1090" s="68">
        <v>45858.0</v>
      </c>
      <c r="E1090" s="66">
        <v>10.0</v>
      </c>
      <c r="F1090" s="66" t="str">
        <f>IFERROR(__xludf.DUMMYFUNCTION("GOOGLETRANSLATE(A1090,""en"",""pt"")"),"saqueado")</f>
        <v>saqueado</v>
      </c>
      <c r="G1090" s="69"/>
    </row>
    <row r="1091" ht="22.5" customHeight="1">
      <c r="A1091" s="66" t="s">
        <v>1437</v>
      </c>
      <c r="B1091" s="67" t="str">
        <f t="shared" si="11"/>
        <v>M: unsavory</v>
      </c>
      <c r="C1091" s="66">
        <v>1.0</v>
      </c>
      <c r="D1091" s="68">
        <v>45858.0</v>
      </c>
      <c r="E1091" s="66">
        <v>1.0</v>
      </c>
      <c r="F1091" s="71" t="s">
        <v>1438</v>
      </c>
      <c r="G1091" s="66" t="s">
        <v>247</v>
      </c>
    </row>
    <row r="1092" ht="22.5" customHeight="1">
      <c r="A1092" s="66" t="s">
        <v>1439</v>
      </c>
      <c r="B1092" s="67" t="str">
        <f t="shared" si="11"/>
        <v>M: sinner</v>
      </c>
      <c r="C1092" s="68"/>
      <c r="D1092" s="68">
        <v>45859.0</v>
      </c>
      <c r="E1092" s="66">
        <v>2.0</v>
      </c>
      <c r="F1092" s="66" t="str">
        <f>IFERROR(__xludf.DUMMYFUNCTION("GOOGLETRANSLATE(A1092,""en"",""pt"")"),"pecador")</f>
        <v>pecador</v>
      </c>
      <c r="G1092" s="69"/>
    </row>
    <row r="1093" ht="22.5" customHeight="1">
      <c r="A1093" s="66" t="s">
        <v>1440</v>
      </c>
      <c r="B1093" s="67" t="str">
        <f t="shared" si="11"/>
        <v>M: hideout</v>
      </c>
      <c r="C1093" s="68"/>
      <c r="D1093" s="68">
        <v>45859.0</v>
      </c>
      <c r="E1093" s="66">
        <v>3.0</v>
      </c>
      <c r="F1093" s="66" t="str">
        <f>IFERROR(__xludf.DUMMYFUNCTION("GOOGLETRANSLATE(A1093,""en"",""pt"")"),"esconderijo")</f>
        <v>esconderijo</v>
      </c>
      <c r="G1093" s="69"/>
    </row>
    <row r="1094" ht="22.5" customHeight="1">
      <c r="A1094" s="66" t="s">
        <v>1441</v>
      </c>
      <c r="B1094" s="67" t="str">
        <f t="shared" si="11"/>
        <v>M: conniving</v>
      </c>
      <c r="C1094" s="68"/>
      <c r="D1094" s="68">
        <v>45859.0</v>
      </c>
      <c r="E1094" s="66">
        <v>4.0</v>
      </c>
      <c r="F1094" s="66" t="str">
        <f>IFERROR(__xludf.DUMMYFUNCTION("GOOGLETRANSLATE(A1094,""en"",""pt"")"),"ardiloso")</f>
        <v>ardiloso</v>
      </c>
      <c r="G1094" s="69"/>
    </row>
    <row r="1095" ht="22.5" customHeight="1">
      <c r="A1095" s="66" t="s">
        <v>1442</v>
      </c>
      <c r="B1095" s="67" t="str">
        <f t="shared" si="11"/>
        <v>M: bound</v>
      </c>
      <c r="C1095" s="66">
        <v>1.0</v>
      </c>
      <c r="D1095" s="68">
        <v>45859.0</v>
      </c>
      <c r="E1095" s="66">
        <v>5.0</v>
      </c>
      <c r="F1095" s="71" t="s">
        <v>1443</v>
      </c>
      <c r="G1095" s="66" t="s">
        <v>247</v>
      </c>
    </row>
    <row r="1096" ht="22.5" customHeight="1">
      <c r="A1096" s="66" t="s">
        <v>1444</v>
      </c>
      <c r="B1096" s="67" t="str">
        <f t="shared" si="11"/>
        <v>M: overlook</v>
      </c>
      <c r="C1096" s="68"/>
      <c r="D1096" s="68">
        <v>45859.0</v>
      </c>
      <c r="E1096" s="66">
        <v>6.0</v>
      </c>
      <c r="F1096" s="66" t="str">
        <f>IFERROR(__xludf.DUMMYFUNCTION("GOOGLETRANSLATE(A1096,""en"",""pt"")"),"vista")</f>
        <v>vista</v>
      </c>
      <c r="G1096" s="69"/>
    </row>
    <row r="1097" ht="22.5" customHeight="1">
      <c r="A1097" s="66" t="s">
        <v>1445</v>
      </c>
      <c r="B1097" s="67" t="str">
        <f t="shared" si="11"/>
        <v>M: foul</v>
      </c>
      <c r="C1097" s="68"/>
      <c r="D1097" s="68">
        <v>45859.0</v>
      </c>
      <c r="E1097" s="66">
        <v>7.0</v>
      </c>
      <c r="F1097" s="66" t="str">
        <f>IFERROR(__xludf.DUMMYFUNCTION("GOOGLETRANSLATE(A1097,""en"",""pt"")"),"falta")</f>
        <v>falta</v>
      </c>
      <c r="G1097" s="69"/>
    </row>
    <row r="1098" ht="22.5" customHeight="1">
      <c r="A1098" s="66" t="s">
        <v>1446</v>
      </c>
      <c r="B1098" s="67" t="str">
        <f t="shared" si="11"/>
        <v>M: deeds</v>
      </c>
      <c r="C1098" s="68"/>
      <c r="D1098" s="68">
        <v>45859.0</v>
      </c>
      <c r="E1098" s="66">
        <v>8.0</v>
      </c>
      <c r="F1098" s="66" t="str">
        <f>IFERROR(__xludf.DUMMYFUNCTION("GOOGLETRANSLATE(A1098,""en"",""pt"")"),"escrituras")</f>
        <v>escrituras</v>
      </c>
      <c r="G1098" s="69"/>
    </row>
    <row r="1099" ht="22.5" customHeight="1">
      <c r="A1099" s="66" t="s">
        <v>1447</v>
      </c>
      <c r="B1099" s="67" t="str">
        <f t="shared" si="11"/>
        <v>M: shattering</v>
      </c>
      <c r="C1099" s="66">
        <v>1.0</v>
      </c>
      <c r="D1099" s="68">
        <v>45859.0</v>
      </c>
      <c r="E1099" s="66">
        <v>9.0</v>
      </c>
      <c r="F1099" s="66" t="str">
        <f>IFERROR(__xludf.DUMMYFUNCTION("GOOGLETRANSLATE(A1099,""en"",""pt"")"),"quebrando")</f>
        <v>quebrando</v>
      </c>
      <c r="G1099" s="66" t="s">
        <v>1448</v>
      </c>
    </row>
    <row r="1100" ht="22.5" customHeight="1">
      <c r="A1100" s="66" t="s">
        <v>1449</v>
      </c>
      <c r="B1100" s="67" t="str">
        <f t="shared" si="11"/>
        <v>M: dealing</v>
      </c>
      <c r="C1100" s="68"/>
      <c r="D1100" s="68">
        <v>45859.0</v>
      </c>
      <c r="E1100" s="66">
        <v>10.0</v>
      </c>
      <c r="F1100" s="66" t="str">
        <f>IFERROR(__xludf.DUMMYFUNCTION("GOOGLETRANSLATE(A1100,""en"",""pt"")"),"tratativa")</f>
        <v>tratativa</v>
      </c>
      <c r="G1100" s="69"/>
    </row>
    <row r="1101" ht="22.5" customHeight="1">
      <c r="A1101" s="66" t="s">
        <v>1450</v>
      </c>
      <c r="B1101" s="67" t="str">
        <f t="shared" si="11"/>
        <v>M: smugglers</v>
      </c>
      <c r="C1101" s="68"/>
      <c r="D1101" s="68">
        <v>45859.0</v>
      </c>
      <c r="E1101" s="66">
        <v>1.0</v>
      </c>
      <c r="F1101" s="66" t="str">
        <f>IFERROR(__xludf.DUMMYFUNCTION("GOOGLETRANSLATE(A1101,""en"",""pt"")"),"contrabandistas")</f>
        <v>contrabandistas</v>
      </c>
      <c r="G1101" s="69"/>
    </row>
    <row r="1102" ht="22.5" customHeight="1">
      <c r="A1102" s="66" t="s">
        <v>1451</v>
      </c>
      <c r="B1102" s="67" t="str">
        <f t="shared" si="11"/>
        <v>M: hoard</v>
      </c>
      <c r="C1102" s="68"/>
      <c r="D1102" s="68">
        <v>45860.0</v>
      </c>
      <c r="E1102" s="66">
        <v>2.0</v>
      </c>
      <c r="F1102" s="66" t="str">
        <f>IFERROR(__xludf.DUMMYFUNCTION("GOOGLETRANSLATE(A1102,""en"",""pt"")"),"acumular")</f>
        <v>acumular</v>
      </c>
      <c r="G1102" s="69"/>
    </row>
    <row r="1103" ht="22.5" customHeight="1">
      <c r="A1103" s="66" t="s">
        <v>1452</v>
      </c>
      <c r="B1103" s="67" t="str">
        <f t="shared" si="11"/>
        <v>M: damnit</v>
      </c>
      <c r="C1103" s="68"/>
      <c r="D1103" s="68">
        <v>45860.0</v>
      </c>
      <c r="E1103" s="66">
        <v>3.0</v>
      </c>
      <c r="F1103" s="66" t="str">
        <f>IFERROR(__xludf.DUMMYFUNCTION("GOOGLETRANSLATE(A1103,""en"",""pt"")"),"caramba")</f>
        <v>caramba</v>
      </c>
      <c r="G1103" s="69"/>
    </row>
    <row r="1104" ht="22.5" customHeight="1">
      <c r="A1104" s="66" t="s">
        <v>1453</v>
      </c>
      <c r="B1104" s="67" t="str">
        <f t="shared" si="11"/>
        <v>M: start over</v>
      </c>
      <c r="C1104" s="68"/>
      <c r="D1104" s="68">
        <v>45860.0</v>
      </c>
      <c r="E1104" s="66">
        <v>4.0</v>
      </c>
      <c r="F1104" s="66" t="str">
        <f>IFERROR(__xludf.DUMMYFUNCTION("GOOGLETRANSLATE(A1104,""en"",""pt"")"),"recomeçar")</f>
        <v>recomeçar</v>
      </c>
      <c r="G1104" s="69"/>
    </row>
    <row r="1105" ht="22.5" customHeight="1">
      <c r="A1105" s="66" t="s">
        <v>1454</v>
      </c>
      <c r="B1105" s="67" t="str">
        <f t="shared" si="11"/>
        <v>M: frostbite</v>
      </c>
      <c r="C1105" s="68"/>
      <c r="D1105" s="68">
        <v>45860.0</v>
      </c>
      <c r="E1105" s="66">
        <v>5.0</v>
      </c>
      <c r="F1105" s="66" t="str">
        <f>IFERROR(__xludf.DUMMYFUNCTION("GOOGLETRANSLATE(A1105,""en"",""pt"")"),"congelamento")</f>
        <v>congelamento</v>
      </c>
      <c r="G1105" s="69"/>
    </row>
    <row r="1106" ht="22.5" customHeight="1">
      <c r="A1106" s="66" t="s">
        <v>1455</v>
      </c>
      <c r="B1106" s="67" t="str">
        <f t="shared" si="11"/>
        <v>M: stray</v>
      </c>
      <c r="C1106" s="68"/>
      <c r="D1106" s="68">
        <v>45860.0</v>
      </c>
      <c r="E1106" s="66">
        <v>6.0</v>
      </c>
      <c r="F1106" s="66" t="str">
        <f>IFERROR(__xludf.DUMMYFUNCTION("GOOGLETRANSLATE(A1106,""en"",""pt"")"),"vira-latas")</f>
        <v>vira-latas</v>
      </c>
      <c r="G1106" s="69"/>
    </row>
    <row r="1107" ht="22.5" customHeight="1">
      <c r="A1107" s="66" t="s">
        <v>1456</v>
      </c>
      <c r="B1107" s="67" t="str">
        <f t="shared" si="11"/>
        <v>M: crest</v>
      </c>
      <c r="C1107" s="68"/>
      <c r="D1107" s="68">
        <v>45860.0</v>
      </c>
      <c r="E1107" s="66">
        <v>7.0</v>
      </c>
      <c r="F1107" s="66" t="str">
        <f>IFERROR(__xludf.DUMMYFUNCTION("GOOGLETRANSLATE(A1107,""en"",""pt"")"),"crista")</f>
        <v>crista</v>
      </c>
      <c r="G1107" s="69"/>
    </row>
    <row r="1108" ht="22.5" customHeight="1">
      <c r="A1108" s="66" t="s">
        <v>1457</v>
      </c>
      <c r="B1108" s="67" t="str">
        <f t="shared" si="11"/>
        <v>M: scattered</v>
      </c>
      <c r="C1108" s="68"/>
      <c r="D1108" s="68">
        <v>45860.0</v>
      </c>
      <c r="E1108" s="66">
        <v>8.0</v>
      </c>
      <c r="F1108" s="66" t="str">
        <f>IFERROR(__xludf.DUMMYFUNCTION("GOOGLETRANSLATE(A1108,""en"",""pt"")"),"espalhado")</f>
        <v>espalhado</v>
      </c>
      <c r="G1108" s="69"/>
    </row>
    <row r="1109" ht="22.5" customHeight="1">
      <c r="A1109" s="66" t="s">
        <v>1458</v>
      </c>
      <c r="B1109" s="67" t="str">
        <f t="shared" si="11"/>
        <v>M: shoddy</v>
      </c>
      <c r="C1109" s="68"/>
      <c r="D1109" s="68">
        <v>45860.0</v>
      </c>
      <c r="E1109" s="66">
        <v>9.0</v>
      </c>
      <c r="F1109" s="66" t="str">
        <f>IFERROR(__xludf.DUMMYFUNCTION("GOOGLETRANSLATE(A1109,""en"",""pt"")"),"malfeito")</f>
        <v>malfeito</v>
      </c>
      <c r="G1109" s="69"/>
    </row>
    <row r="1110" ht="22.5" customHeight="1">
      <c r="A1110" s="66" t="s">
        <v>1459</v>
      </c>
      <c r="B1110" s="67" t="str">
        <f t="shared" si="11"/>
        <v>M: telling</v>
      </c>
      <c r="C1110" s="68"/>
      <c r="D1110" s="68">
        <v>45860.0</v>
      </c>
      <c r="E1110" s="66">
        <v>10.0</v>
      </c>
      <c r="F1110" s="66" t="str">
        <f>IFERROR(__xludf.DUMMYFUNCTION("GOOGLETRANSLATE(A1110,""en"",""pt"")"),"contando")</f>
        <v>contando</v>
      </c>
      <c r="G1110" s="69"/>
    </row>
    <row r="1111" ht="22.5" customHeight="1">
      <c r="A1111" s="66" t="s">
        <v>1460</v>
      </c>
      <c r="B1111" s="67" t="str">
        <f t="shared" si="11"/>
        <v>M: sly</v>
      </c>
      <c r="C1111" s="68"/>
      <c r="D1111" s="68">
        <v>45860.0</v>
      </c>
      <c r="E1111" s="66">
        <v>1.0</v>
      </c>
      <c r="F1111" s="66" t="str">
        <f>IFERROR(__xludf.DUMMYFUNCTION("GOOGLETRANSLATE(A1111,""en"",""pt"")"),"astuto")</f>
        <v>astuto</v>
      </c>
      <c r="G1111" s="69"/>
    </row>
    <row r="1112" ht="22.5" customHeight="1">
      <c r="A1112" s="66" t="s">
        <v>1461</v>
      </c>
      <c r="B1112" s="67" t="str">
        <f t="shared" si="11"/>
        <v>M: brigands</v>
      </c>
      <c r="C1112" s="68"/>
      <c r="D1112" s="68">
        <v>45861.0</v>
      </c>
      <c r="E1112" s="66">
        <v>2.0</v>
      </c>
      <c r="F1112" s="66" t="str">
        <f>IFERROR(__xludf.DUMMYFUNCTION("GOOGLETRANSLATE(A1112,""en"",""pt"")"),"bandidos")</f>
        <v>bandidos</v>
      </c>
      <c r="G1112" s="69"/>
    </row>
    <row r="1113" ht="22.5" customHeight="1">
      <c r="A1113" s="66" t="s">
        <v>1462</v>
      </c>
      <c r="B1113" s="67" t="str">
        <f t="shared" si="11"/>
        <v>M: plundered</v>
      </c>
      <c r="C1113" s="68"/>
      <c r="D1113" s="68">
        <v>45861.0</v>
      </c>
      <c r="E1113" s="66">
        <v>3.0</v>
      </c>
      <c r="F1113" s="66" t="str">
        <f>IFERROR(__xludf.DUMMYFUNCTION("GOOGLETRANSLATE(A1113,""en"",""pt"")"),"saqueado")</f>
        <v>saqueado</v>
      </c>
      <c r="G1113" s="69"/>
    </row>
    <row r="1114" ht="22.5" customHeight="1">
      <c r="A1114" s="66" t="s">
        <v>1463</v>
      </c>
      <c r="B1114" s="67" t="str">
        <f t="shared" si="11"/>
        <v>M: Wanderers</v>
      </c>
      <c r="C1114" s="68"/>
      <c r="D1114" s="68">
        <v>45861.0</v>
      </c>
      <c r="E1114" s="66">
        <v>4.0</v>
      </c>
      <c r="F1114" s="66" t="str">
        <f>IFERROR(__xludf.DUMMYFUNCTION("GOOGLETRANSLATE(A1114,""en"",""pt"")"),"Andarilhos")</f>
        <v>Andarilhos</v>
      </c>
      <c r="G1114" s="69"/>
    </row>
    <row r="1115" ht="22.5" customHeight="1">
      <c r="A1115" s="66" t="s">
        <v>1464</v>
      </c>
      <c r="B1115" s="67" t="str">
        <f t="shared" si="11"/>
        <v>M: suited</v>
      </c>
      <c r="C1115" s="66">
        <v>1.0</v>
      </c>
      <c r="D1115" s="68">
        <v>45861.0</v>
      </c>
      <c r="E1115" s="66">
        <v>5.0</v>
      </c>
      <c r="F1115" s="66" t="s">
        <v>1465</v>
      </c>
      <c r="G1115" s="66" t="s">
        <v>247</v>
      </c>
    </row>
    <row r="1116" ht="22.5" customHeight="1">
      <c r="A1116" s="66" t="s">
        <v>1466</v>
      </c>
      <c r="B1116" s="67" t="str">
        <f t="shared" si="11"/>
        <v>M: Crumbled</v>
      </c>
      <c r="C1116" s="68"/>
      <c r="D1116" s="68">
        <v>45861.0</v>
      </c>
      <c r="E1116" s="66">
        <v>6.0</v>
      </c>
      <c r="F1116" s="66" t="str">
        <f>IFERROR(__xludf.DUMMYFUNCTION("GOOGLETRANSLATE(A1116,""en"",""pt"")"),"Desmoronou")</f>
        <v>Desmoronou</v>
      </c>
      <c r="G1116" s="69"/>
    </row>
    <row r="1117" ht="22.5" customHeight="1">
      <c r="A1117" s="66" t="s">
        <v>1467</v>
      </c>
      <c r="B1117" s="67" t="str">
        <f t="shared" si="11"/>
        <v>M: Whiteout</v>
      </c>
      <c r="C1117" s="68"/>
      <c r="D1117" s="68">
        <v>45861.0</v>
      </c>
      <c r="E1117" s="66">
        <v>7.0</v>
      </c>
      <c r="F1117" s="66" t="str">
        <f>IFERROR(__xludf.DUMMYFUNCTION("GOOGLETRANSLATE(A1117,""en"",""pt"")"),"Whiteout")</f>
        <v>Whiteout</v>
      </c>
      <c r="G1117" s="69"/>
    </row>
    <row r="1118" ht="22.5" customHeight="1">
      <c r="A1118" s="66" t="s">
        <v>1468</v>
      </c>
      <c r="B1118" s="67" t="str">
        <f t="shared" si="11"/>
        <v>M: rely</v>
      </c>
      <c r="C1118" s="66">
        <v>1.0</v>
      </c>
      <c r="D1118" s="68">
        <v>45861.0</v>
      </c>
      <c r="E1118" s="66">
        <v>8.0</v>
      </c>
      <c r="F1118" s="66" t="str">
        <f>IFERROR(__xludf.DUMMYFUNCTION("GOOGLETRANSLATE(A1118,""en"",""pt"")"),"confiar")</f>
        <v>confiar</v>
      </c>
      <c r="G1118" s="66" t="s">
        <v>247</v>
      </c>
    </row>
    <row r="1119" ht="22.5" customHeight="1">
      <c r="A1119" s="66" t="s">
        <v>1469</v>
      </c>
      <c r="B1119" s="67" t="str">
        <f t="shared" si="11"/>
        <v>M: oozes</v>
      </c>
      <c r="C1119" s="68"/>
      <c r="D1119" s="68">
        <v>45861.0</v>
      </c>
      <c r="E1119" s="66">
        <v>9.0</v>
      </c>
      <c r="F1119" s="66" t="str">
        <f>IFERROR(__xludf.DUMMYFUNCTION("GOOGLETRANSLATE(A1119,""en"",""pt"")"),"exsuda")</f>
        <v>exsuda</v>
      </c>
      <c r="G1119" s="69"/>
    </row>
    <row r="1120" ht="22.5" customHeight="1">
      <c r="A1120" s="66" t="s">
        <v>1470</v>
      </c>
      <c r="B1120" s="67" t="str">
        <f t="shared" si="11"/>
        <v>M: rejoice</v>
      </c>
      <c r="C1120" s="68"/>
      <c r="D1120" s="68">
        <v>45861.0</v>
      </c>
      <c r="E1120" s="66">
        <v>10.0</v>
      </c>
      <c r="F1120" s="66" t="str">
        <f>IFERROR(__xludf.DUMMYFUNCTION("GOOGLETRANSLATE(A1120,""en"",""pt"")"),"alegrar")</f>
        <v>alegrar</v>
      </c>
      <c r="G1120" s="69"/>
    </row>
    <row r="1121" ht="22.5" customHeight="1">
      <c r="A1121" s="66" t="s">
        <v>1471</v>
      </c>
      <c r="B1121" s="67" t="str">
        <f t="shared" si="11"/>
        <v>M: hardships</v>
      </c>
      <c r="C1121" s="66">
        <v>1.0</v>
      </c>
      <c r="D1121" s="68">
        <v>45861.0</v>
      </c>
      <c r="E1121" s="66">
        <v>1.0</v>
      </c>
      <c r="F1121" s="66" t="s">
        <v>1472</v>
      </c>
      <c r="G1121" s="66" t="s">
        <v>247</v>
      </c>
    </row>
    <row r="1122" ht="22.5" customHeight="1">
      <c r="A1122" s="66" t="s">
        <v>1473</v>
      </c>
      <c r="B1122" s="67" t="str">
        <f t="shared" si="11"/>
        <v>M: frigid</v>
      </c>
      <c r="C1122" s="68"/>
      <c r="D1122" s="68">
        <v>45862.0</v>
      </c>
      <c r="E1122" s="66">
        <v>2.0</v>
      </c>
      <c r="F1122" s="66" t="str">
        <f>IFERROR(__xludf.DUMMYFUNCTION("GOOGLETRANSLATE(A1122,""en"",""pt"")"),"gélido")</f>
        <v>gélido</v>
      </c>
      <c r="G1122" s="69"/>
    </row>
    <row r="1123" ht="22.5" customHeight="1">
      <c r="A1123" s="66" t="s">
        <v>1474</v>
      </c>
      <c r="B1123" s="67" t="str">
        <f t="shared" si="11"/>
        <v>M: disease</v>
      </c>
      <c r="C1123" s="68"/>
      <c r="D1123" s="68">
        <v>45862.0</v>
      </c>
      <c r="E1123" s="66">
        <v>3.0</v>
      </c>
      <c r="F1123" s="66" t="str">
        <f>IFERROR(__xludf.DUMMYFUNCTION("GOOGLETRANSLATE(A1123,""en"",""pt"")"),"doença")</f>
        <v>doença</v>
      </c>
      <c r="G1123" s="69"/>
    </row>
    <row r="1124" ht="22.5" customHeight="1">
      <c r="A1124" s="66" t="s">
        <v>1475</v>
      </c>
      <c r="B1124" s="67" t="str">
        <f t="shared" si="11"/>
        <v>M: suitable</v>
      </c>
      <c r="C1124" s="68"/>
      <c r="D1124" s="68">
        <v>45862.0</v>
      </c>
      <c r="E1124" s="66">
        <v>4.0</v>
      </c>
      <c r="F1124" s="66" t="str">
        <f>IFERROR(__xludf.DUMMYFUNCTION("GOOGLETRANSLATE(A1124,""en"",""pt"")"),"adequado")</f>
        <v>adequado</v>
      </c>
      <c r="G1124" s="69"/>
    </row>
    <row r="1125" ht="22.5" customHeight="1">
      <c r="A1125" s="66" t="s">
        <v>1476</v>
      </c>
      <c r="B1125" s="67" t="str">
        <f t="shared" si="11"/>
        <v>M: sick</v>
      </c>
      <c r="C1125" s="68"/>
      <c r="D1125" s="68">
        <v>45862.0</v>
      </c>
      <c r="E1125" s="66">
        <v>5.0</v>
      </c>
      <c r="F1125" s="66" t="str">
        <f>IFERROR(__xludf.DUMMYFUNCTION("GOOGLETRANSLATE(A1125,""en"",""pt"")"),"doente")</f>
        <v>doente</v>
      </c>
      <c r="G1125" s="69"/>
    </row>
    <row r="1126" ht="22.5" customHeight="1">
      <c r="A1126" s="66" t="s">
        <v>1477</v>
      </c>
      <c r="B1126" s="67" t="str">
        <f t="shared" si="11"/>
        <v>M: we must store</v>
      </c>
      <c r="C1126" s="66">
        <v>1.0</v>
      </c>
      <c r="D1126" s="68">
        <v>45862.0</v>
      </c>
      <c r="E1126" s="66">
        <v>6.0</v>
      </c>
      <c r="F1126" s="66" t="s">
        <v>1478</v>
      </c>
      <c r="G1126" s="66" t="s">
        <v>247</v>
      </c>
    </row>
    <row r="1127" ht="22.5" customHeight="1">
      <c r="A1127" s="66" t="s">
        <v>1479</v>
      </c>
      <c r="B1127" s="67" t="str">
        <f t="shared" si="11"/>
        <v>M: weakened</v>
      </c>
      <c r="C1127" s="68"/>
      <c r="D1127" s="68">
        <v>45862.0</v>
      </c>
      <c r="E1127" s="66">
        <v>7.0</v>
      </c>
      <c r="F1127" s="66" t="str">
        <f>IFERROR(__xludf.DUMMYFUNCTION("GOOGLETRANSLATE(A1127,""en"",""pt"")"),"enfraquecido")</f>
        <v>enfraquecido</v>
      </c>
      <c r="G1127" s="69"/>
    </row>
    <row r="1128" ht="22.5" customHeight="1">
      <c r="A1128" s="66" t="s">
        <v>1480</v>
      </c>
      <c r="B1128" s="67" t="str">
        <f t="shared" si="11"/>
        <v>M: workforce</v>
      </c>
      <c r="C1128" s="68"/>
      <c r="D1128" s="68">
        <v>45862.0</v>
      </c>
      <c r="E1128" s="66">
        <v>8.0</v>
      </c>
      <c r="F1128" s="66" t="str">
        <f>IFERROR(__xludf.DUMMYFUNCTION("GOOGLETRANSLATE(A1128,""en"",""pt"")"),"força de trabalho")</f>
        <v>força de trabalho</v>
      </c>
      <c r="G1128" s="69"/>
    </row>
    <row r="1129" ht="22.5" customHeight="1">
      <c r="A1129" s="66" t="s">
        <v>1481</v>
      </c>
      <c r="B1129" s="67" t="str">
        <f t="shared" si="11"/>
        <v>M: absentees</v>
      </c>
      <c r="C1129" s="68"/>
      <c r="D1129" s="68">
        <v>45862.0</v>
      </c>
      <c r="E1129" s="66">
        <v>9.0</v>
      </c>
      <c r="F1129" s="66" t="str">
        <f>IFERROR(__xludf.DUMMYFUNCTION("GOOGLETRANSLATE(A1129,""en"",""pt"")"),"ausentes")</f>
        <v>ausentes</v>
      </c>
      <c r="G1129" s="69"/>
    </row>
    <row r="1130" ht="22.5" customHeight="1">
      <c r="A1130" s="66" t="s">
        <v>1482</v>
      </c>
      <c r="B1130" s="67" t="str">
        <f t="shared" si="11"/>
        <v>M: harsh</v>
      </c>
      <c r="C1130" s="68"/>
      <c r="D1130" s="68">
        <v>45862.0</v>
      </c>
      <c r="E1130" s="66">
        <v>10.0</v>
      </c>
      <c r="F1130" s="66" t="str">
        <f>IFERROR(__xludf.DUMMYFUNCTION("GOOGLETRANSLATE(A1130,""en"",""pt"")"),"severo")</f>
        <v>severo</v>
      </c>
      <c r="G1130" s="69"/>
    </row>
    <row r="1131" ht="22.5" customHeight="1">
      <c r="A1131" s="66" t="s">
        <v>1483</v>
      </c>
      <c r="B1131" s="67" t="str">
        <f t="shared" si="11"/>
        <v>M: our</v>
      </c>
      <c r="C1131" s="68"/>
      <c r="D1131" s="68">
        <v>45862.0</v>
      </c>
      <c r="E1131" s="66">
        <v>1.0</v>
      </c>
      <c r="F1131" s="66" t="str">
        <f>IFERROR(__xludf.DUMMYFUNCTION("GOOGLETRANSLATE(A1131,""en"",""pt"")"),"nosso")</f>
        <v>nosso</v>
      </c>
      <c r="G1131" s="69"/>
    </row>
    <row r="1132" ht="22.5" customHeight="1">
      <c r="A1132" s="66" t="s">
        <v>1484</v>
      </c>
      <c r="B1132" s="67" t="str">
        <f t="shared" si="11"/>
        <v>M: illness</v>
      </c>
      <c r="C1132" s="68"/>
      <c r="D1132" s="68">
        <v>45863.0</v>
      </c>
      <c r="E1132" s="66">
        <v>2.0</v>
      </c>
      <c r="F1132" s="66" t="str">
        <f>IFERROR(__xludf.DUMMYFUNCTION("GOOGLETRANSLATE(A1132,""en"",""pt"")"),"doença")</f>
        <v>doença</v>
      </c>
      <c r="G1132" s="69"/>
    </row>
    <row r="1133" ht="22.5" customHeight="1">
      <c r="A1133" s="66" t="s">
        <v>1485</v>
      </c>
      <c r="B1133" s="67" t="str">
        <f t="shared" si="11"/>
        <v>M: dwindle</v>
      </c>
      <c r="C1133" s="68"/>
      <c r="D1133" s="68">
        <v>45863.0</v>
      </c>
      <c r="E1133" s="66">
        <v>3.0</v>
      </c>
      <c r="F1133" s="66" t="str">
        <f>IFERROR(__xludf.DUMMYFUNCTION("GOOGLETRANSLATE(A1133,""en"",""pt"")"),"diminuir")</f>
        <v>diminuir</v>
      </c>
      <c r="G1133" s="69"/>
    </row>
    <row r="1134" ht="22.5" customHeight="1">
      <c r="A1134" s="66" t="s">
        <v>1486</v>
      </c>
      <c r="B1134" s="67" t="str">
        <f t="shared" si="11"/>
        <v>M: endangering</v>
      </c>
      <c r="C1134" s="68"/>
      <c r="D1134" s="68">
        <v>45863.0</v>
      </c>
      <c r="E1134" s="66">
        <v>4.0</v>
      </c>
      <c r="F1134" s="66" t="str">
        <f>IFERROR(__xludf.DUMMYFUNCTION("GOOGLETRANSLATE(A1134,""en"",""pt"")"),"colocando em risco")</f>
        <v>colocando em risco</v>
      </c>
      <c r="G1134" s="69"/>
    </row>
    <row r="1135" ht="22.5" customHeight="1">
      <c r="A1135" s="66" t="s">
        <v>1487</v>
      </c>
      <c r="B1135" s="67" t="str">
        <f t="shared" si="11"/>
        <v>M: liveable</v>
      </c>
      <c r="C1135" s="68"/>
      <c r="D1135" s="68">
        <v>45863.0</v>
      </c>
      <c r="E1135" s="66">
        <v>5.0</v>
      </c>
      <c r="F1135" s="66" t="str">
        <f>IFERROR(__xludf.DUMMYFUNCTION("GOOGLETRANSLATE(A1135,""en"",""pt"")"),"habitável")</f>
        <v>habitável</v>
      </c>
      <c r="G1135" s="69"/>
    </row>
    <row r="1136" ht="22.5" customHeight="1">
      <c r="A1136" s="66" t="s">
        <v>1488</v>
      </c>
      <c r="B1136" s="67" t="str">
        <f t="shared" si="11"/>
        <v>M: urges</v>
      </c>
      <c r="C1136" s="68"/>
      <c r="D1136" s="68">
        <v>45863.0</v>
      </c>
      <c r="E1136" s="66">
        <v>6.0</v>
      </c>
      <c r="F1136" s="66" t="str">
        <f>IFERROR(__xludf.DUMMYFUNCTION("GOOGLETRANSLATE(A1136,""en"",""pt"")"),"instam")</f>
        <v>instam</v>
      </c>
      <c r="G1136" s="69"/>
    </row>
    <row r="1137" ht="22.5" customHeight="1">
      <c r="A1137" s="66" t="s">
        <v>1489</v>
      </c>
      <c r="B1137" s="67" t="str">
        <f t="shared" si="11"/>
        <v>M: portents</v>
      </c>
      <c r="C1137" s="68"/>
      <c r="D1137" s="68">
        <v>45863.0</v>
      </c>
      <c r="E1137" s="66">
        <v>7.0</v>
      </c>
      <c r="F1137" s="66" t="str">
        <f>IFERROR(__xludf.DUMMYFUNCTION("GOOGLETRANSLATE(A1137,""en"",""pt"")"),"presságios")</f>
        <v>presságios</v>
      </c>
      <c r="G1137" s="69"/>
    </row>
    <row r="1138" ht="22.5" customHeight="1">
      <c r="A1138" s="66" t="s">
        <v>1490</v>
      </c>
      <c r="B1138" s="67" t="str">
        <f t="shared" si="11"/>
        <v>M: heels</v>
      </c>
      <c r="C1138" s="68"/>
      <c r="D1138" s="68">
        <v>45863.0</v>
      </c>
      <c r="E1138" s="66">
        <v>8.0</v>
      </c>
      <c r="F1138" s="66" t="str">
        <f>IFERROR(__xludf.DUMMYFUNCTION("GOOGLETRANSLATE(A1138,""en"",""pt"")"),"salto")</f>
        <v>salto</v>
      </c>
      <c r="G1138" s="69"/>
    </row>
    <row r="1139" ht="22.5" customHeight="1">
      <c r="A1139" s="66" t="s">
        <v>1491</v>
      </c>
      <c r="B1139" s="67" t="str">
        <f t="shared" si="11"/>
        <v>M: gather</v>
      </c>
      <c r="C1139" s="68"/>
      <c r="D1139" s="68">
        <v>45863.0</v>
      </c>
      <c r="E1139" s="66">
        <v>9.0</v>
      </c>
      <c r="F1139" s="66" t="str">
        <f>IFERROR(__xludf.DUMMYFUNCTION("GOOGLETRANSLATE(A1139,""en"",""pt"")"),"juntar")</f>
        <v>juntar</v>
      </c>
      <c r="G1139" s="69"/>
    </row>
    <row r="1140" ht="22.5" customHeight="1">
      <c r="A1140" s="66" t="s">
        <v>1492</v>
      </c>
      <c r="B1140" s="67" t="str">
        <f t="shared" si="11"/>
        <v>M: stockpile</v>
      </c>
      <c r="C1140" s="66">
        <v>1.0</v>
      </c>
      <c r="D1140" s="68">
        <v>45863.0</v>
      </c>
      <c r="E1140" s="66">
        <v>10.0</v>
      </c>
      <c r="F1140" s="66" t="s">
        <v>1493</v>
      </c>
      <c r="G1140" s="66" t="s">
        <v>247</v>
      </c>
    </row>
    <row r="1141" ht="22.5" customHeight="1">
      <c r="A1141" s="66" t="s">
        <v>1494</v>
      </c>
      <c r="B1141" s="67" t="str">
        <f t="shared" si="11"/>
        <v>M: Gathered</v>
      </c>
      <c r="C1141" s="68"/>
      <c r="D1141" s="68">
        <v>45863.0</v>
      </c>
      <c r="E1141" s="66">
        <v>1.0</v>
      </c>
      <c r="F1141" s="66" t="str">
        <f>IFERROR(__xludf.DUMMYFUNCTION("GOOGLETRANSLATE(A1141,""en"",""pt"")"),"Coletado")</f>
        <v>Coletado</v>
      </c>
      <c r="G1141" s="69"/>
    </row>
    <row r="1142" ht="22.5" customHeight="1">
      <c r="A1142" s="66" t="s">
        <v>1495</v>
      </c>
      <c r="B1142" s="67" t="str">
        <f t="shared" si="11"/>
        <v>M: prequel</v>
      </c>
      <c r="C1142" s="68"/>
      <c r="D1142" s="68">
        <v>45864.0</v>
      </c>
      <c r="E1142" s="66">
        <v>2.0</v>
      </c>
      <c r="F1142" s="66" t="str">
        <f>IFERROR(__xludf.DUMMYFUNCTION("GOOGLETRANSLATE(A1142,""en"",""pt"")"),"prequel")</f>
        <v>prequel</v>
      </c>
      <c r="G1142" s="69"/>
    </row>
    <row r="1143" ht="22.5" customHeight="1">
      <c r="A1143" s="66" t="s">
        <v>1496</v>
      </c>
      <c r="B1143" s="67" t="str">
        <f t="shared" si="11"/>
        <v>M: uncover</v>
      </c>
      <c r="C1143" s="68"/>
      <c r="D1143" s="68">
        <v>45864.0</v>
      </c>
      <c r="E1143" s="66">
        <v>3.0</v>
      </c>
      <c r="F1143" s="66" t="str">
        <f>IFERROR(__xludf.DUMMYFUNCTION("GOOGLETRANSLATE(A1143,""en"",""pt"")"),"descobrir")</f>
        <v>descobrir</v>
      </c>
      <c r="G1143" s="69"/>
    </row>
    <row r="1144" ht="22.5" customHeight="1">
      <c r="A1144" s="66" t="s">
        <v>1497</v>
      </c>
      <c r="B1144" s="67" t="str">
        <f t="shared" si="11"/>
        <v>M: past</v>
      </c>
      <c r="C1144" s="68"/>
      <c r="D1144" s="68">
        <v>45864.0</v>
      </c>
      <c r="E1144" s="66">
        <v>4.0</v>
      </c>
      <c r="F1144" s="66" t="str">
        <f>IFERROR(__xludf.DUMMYFUNCTION("GOOGLETRANSLATE(A1144,""en"",""pt"")"),"passado")</f>
        <v>passado</v>
      </c>
      <c r="G1144" s="69"/>
    </row>
    <row r="1145" ht="22.5" customHeight="1">
      <c r="A1145" s="66" t="s">
        <v>1498</v>
      </c>
      <c r="B1145" s="67" t="str">
        <f t="shared" si="11"/>
        <v>M: ward</v>
      </c>
      <c r="C1145" s="66">
        <v>1.0</v>
      </c>
      <c r="D1145" s="68">
        <v>45864.0</v>
      </c>
      <c r="E1145" s="66">
        <v>5.0</v>
      </c>
      <c r="F1145" s="66" t="s">
        <v>1499</v>
      </c>
      <c r="G1145" s="69"/>
    </row>
    <row r="1146" ht="22.5" customHeight="1">
      <c r="A1146" s="66" t="s">
        <v>1500</v>
      </c>
      <c r="B1146" s="67" t="str">
        <f t="shared" si="11"/>
        <v>M: thin</v>
      </c>
      <c r="C1146" s="68"/>
      <c r="D1146" s="68">
        <v>45864.0</v>
      </c>
      <c r="E1146" s="66">
        <v>6.0</v>
      </c>
      <c r="F1146" s="66" t="str">
        <f>IFERROR(__xludf.DUMMYFUNCTION("GOOGLETRANSLATE(A1146,""en"",""pt"")"),"afinar")</f>
        <v>afinar</v>
      </c>
      <c r="G1146" s="69"/>
    </row>
    <row r="1147" ht="22.5" customHeight="1">
      <c r="A1147" s="66" t="s">
        <v>1501</v>
      </c>
      <c r="B1147" s="67" t="str">
        <f t="shared" si="11"/>
        <v>M: knowledge</v>
      </c>
      <c r="C1147" s="68"/>
      <c r="D1147" s="68">
        <v>45864.0</v>
      </c>
      <c r="E1147" s="66">
        <v>7.0</v>
      </c>
      <c r="F1147" s="66" t="str">
        <f>IFERROR(__xludf.DUMMYFUNCTION("GOOGLETRANSLATE(A1147,""en"",""pt"")"),"conhecimento")</f>
        <v>conhecimento</v>
      </c>
      <c r="G1147" s="69"/>
    </row>
    <row r="1148" ht="22.5" customHeight="1">
      <c r="A1148" s="66" t="s">
        <v>1502</v>
      </c>
      <c r="B1148" s="67" t="str">
        <f t="shared" si="11"/>
        <v>M: wayward</v>
      </c>
      <c r="C1148" s="66">
        <v>1.0</v>
      </c>
      <c r="D1148" s="68">
        <v>45864.0</v>
      </c>
      <c r="E1148" s="66">
        <v>8.0</v>
      </c>
      <c r="F1148" s="66" t="s">
        <v>1503</v>
      </c>
      <c r="G1148" s="66" t="s">
        <v>247</v>
      </c>
    </row>
    <row r="1149" ht="22.5" customHeight="1">
      <c r="A1149" s="66" t="s">
        <v>1504</v>
      </c>
      <c r="B1149" s="67" t="str">
        <f t="shared" si="11"/>
        <v>M: worthy</v>
      </c>
      <c r="C1149" s="68"/>
      <c r="D1149" s="68">
        <v>45864.0</v>
      </c>
      <c r="E1149" s="66">
        <v>9.0</v>
      </c>
      <c r="F1149" s="66" t="str">
        <f>IFERROR(__xludf.DUMMYFUNCTION("GOOGLETRANSLATE(A1149,""en"",""pt"")"),"valioso")</f>
        <v>valioso</v>
      </c>
      <c r="G1149" s="69"/>
    </row>
    <row r="1150" ht="22.5" customHeight="1">
      <c r="A1150" s="66" t="s">
        <v>1505</v>
      </c>
      <c r="B1150" s="67" t="str">
        <f t="shared" si="11"/>
        <v>M: bled</v>
      </c>
      <c r="C1150" s="68"/>
      <c r="D1150" s="68">
        <v>45864.0</v>
      </c>
      <c r="E1150" s="66">
        <v>10.0</v>
      </c>
      <c r="F1150" s="66" t="str">
        <f>IFERROR(__xludf.DUMMYFUNCTION("GOOGLETRANSLATE(A1150,""en"",""pt"")"),"sangrou")</f>
        <v>sangrou</v>
      </c>
      <c r="G1150" s="69"/>
    </row>
    <row r="1151" ht="22.5" customHeight="1">
      <c r="A1151" s="66" t="s">
        <v>1506</v>
      </c>
      <c r="B1151" s="67" t="str">
        <f t="shared" si="11"/>
        <v>M: set out</v>
      </c>
      <c r="C1151" s="66">
        <v>1.0</v>
      </c>
      <c r="D1151" s="68">
        <v>45864.0</v>
      </c>
      <c r="E1151" s="66">
        <v>1.0</v>
      </c>
      <c r="F1151" s="66" t="s">
        <v>1507</v>
      </c>
      <c r="G1151" s="66" t="s">
        <v>247</v>
      </c>
    </row>
    <row r="1152" ht="22.5" customHeight="1">
      <c r="A1152" s="66" t="s">
        <v>1508</v>
      </c>
      <c r="B1152" s="67" t="str">
        <f t="shared" si="11"/>
        <v>M: avenge</v>
      </c>
      <c r="C1152" s="68"/>
      <c r="D1152" s="68">
        <v>45865.0</v>
      </c>
      <c r="E1152" s="66">
        <v>2.0</v>
      </c>
      <c r="F1152" s="66" t="str">
        <f>IFERROR(__xludf.DUMMYFUNCTION("GOOGLETRANSLATE(A1152,""en"",""pt"")"),"vingar")</f>
        <v>vingar</v>
      </c>
      <c r="G1152" s="69"/>
    </row>
    <row r="1153" ht="22.5" customHeight="1">
      <c r="A1153" s="66" t="s">
        <v>1509</v>
      </c>
      <c r="B1153" s="67" t="str">
        <f t="shared" si="11"/>
        <v>M: laying</v>
      </c>
      <c r="C1153" s="68"/>
      <c r="D1153" s="68">
        <v>45865.0</v>
      </c>
      <c r="E1153" s="66">
        <v>3.0</v>
      </c>
      <c r="F1153" s="66" t="str">
        <f>IFERROR(__xludf.DUMMYFUNCTION("GOOGLETRANSLATE(A1153,""en"",""pt"")"),"colocando")</f>
        <v>colocando</v>
      </c>
      <c r="G1153" s="69"/>
    </row>
    <row r="1154" ht="22.5" customHeight="1">
      <c r="A1154" s="66" t="s">
        <v>1510</v>
      </c>
      <c r="B1154" s="67" t="str">
        <f t="shared" si="11"/>
        <v>M: crops</v>
      </c>
      <c r="C1154" s="68"/>
      <c r="D1154" s="68">
        <v>45865.0</v>
      </c>
      <c r="E1154" s="66">
        <v>4.0</v>
      </c>
      <c r="F1154" s="66" t="str">
        <f>IFERROR(__xludf.DUMMYFUNCTION("GOOGLETRANSLATE(A1154,""en"",""pt"")"),"plantações")</f>
        <v>plantações</v>
      </c>
      <c r="G1154" s="69"/>
    </row>
    <row r="1155" ht="22.5" customHeight="1">
      <c r="A1155" s="66" t="s">
        <v>1511</v>
      </c>
      <c r="B1155" s="67" t="str">
        <f t="shared" si="11"/>
        <v>M: pitched</v>
      </c>
      <c r="C1155" s="68"/>
      <c r="D1155" s="68">
        <v>45865.0</v>
      </c>
      <c r="E1155" s="66">
        <v>5.0</v>
      </c>
      <c r="F1155" s="66" t="str">
        <f>IFERROR(__xludf.DUMMYFUNCTION("GOOGLETRANSLATE(A1155,""en"",""pt"")"),"lançado")</f>
        <v>lançado</v>
      </c>
      <c r="G1155" s="69"/>
    </row>
    <row r="1156" ht="22.5" customHeight="1">
      <c r="A1156" s="66" t="s">
        <v>1512</v>
      </c>
      <c r="B1156" s="67" t="str">
        <f t="shared" si="11"/>
        <v>M: scronged up</v>
      </c>
      <c r="C1156" s="68"/>
      <c r="D1156" s="68">
        <v>45865.0</v>
      </c>
      <c r="E1156" s="66">
        <v>6.0</v>
      </c>
      <c r="F1156" s="66" t="str">
        <f>IFERROR(__xludf.DUMMYFUNCTION("GOOGLETRANSLATE(A1156,""en"",""pt"")"),"remendado")</f>
        <v>remendado</v>
      </c>
      <c r="G1156" s="69"/>
    </row>
    <row r="1157" ht="22.5" customHeight="1">
      <c r="A1157" s="66" t="s">
        <v>1513</v>
      </c>
      <c r="B1157" s="67" t="str">
        <f t="shared" si="11"/>
        <v>M: exaggerate</v>
      </c>
      <c r="C1157" s="68"/>
      <c r="D1157" s="68">
        <v>45865.0</v>
      </c>
      <c r="E1157" s="66">
        <v>7.0</v>
      </c>
      <c r="F1157" s="66" t="str">
        <f>IFERROR(__xludf.DUMMYFUNCTION("GOOGLETRANSLATE(A1157,""en"",""pt"")"),"exagerar")</f>
        <v>exagerar</v>
      </c>
      <c r="G1157" s="69"/>
    </row>
    <row r="1158" ht="22.5" customHeight="1">
      <c r="A1158" s="66" t="s">
        <v>1514</v>
      </c>
      <c r="B1158" s="67" t="str">
        <f t="shared" si="11"/>
        <v>M: after your money</v>
      </c>
      <c r="C1158" s="68"/>
      <c r="D1158" s="68">
        <v>45865.0</v>
      </c>
      <c r="E1158" s="66">
        <v>8.0</v>
      </c>
      <c r="F1158" s="66" t="str">
        <f>IFERROR(__xludf.DUMMYFUNCTION("GOOGLETRANSLATE(A1158,""en"",""pt"")"),"depois do seu dinheiro")</f>
        <v>depois do seu dinheiro</v>
      </c>
      <c r="G1158" s="69"/>
    </row>
    <row r="1159" ht="22.5" customHeight="1">
      <c r="A1159" s="66" t="s">
        <v>1515</v>
      </c>
      <c r="B1159" s="67" t="str">
        <f t="shared" si="11"/>
        <v>M: unfold</v>
      </c>
      <c r="C1159" s="68"/>
      <c r="D1159" s="68">
        <v>45865.0</v>
      </c>
      <c r="E1159" s="66">
        <v>9.0</v>
      </c>
      <c r="F1159" s="66" t="str">
        <f>IFERROR(__xludf.DUMMYFUNCTION("GOOGLETRANSLATE(A1159,""en"",""pt"")"),"desdobrar")</f>
        <v>desdobrar</v>
      </c>
      <c r="G1159" s="69"/>
    </row>
    <row r="1160" ht="22.5" customHeight="1">
      <c r="A1160" s="66" t="s">
        <v>1516</v>
      </c>
      <c r="B1160" s="67" t="str">
        <f t="shared" si="11"/>
        <v>M: northern</v>
      </c>
      <c r="C1160" s="66">
        <v>1.0</v>
      </c>
      <c r="D1160" s="68">
        <v>45865.0</v>
      </c>
      <c r="E1160" s="66">
        <v>10.0</v>
      </c>
      <c r="F1160" s="66" t="s">
        <v>1517</v>
      </c>
      <c r="G1160" s="66" t="s">
        <v>247</v>
      </c>
    </row>
    <row r="1161" ht="22.5" customHeight="1">
      <c r="A1161" s="66" t="s">
        <v>1518</v>
      </c>
      <c r="B1161" s="67" t="str">
        <f t="shared" si="11"/>
        <v>M: suppose</v>
      </c>
      <c r="C1161" s="68"/>
      <c r="D1161" s="68">
        <v>45865.0</v>
      </c>
      <c r="E1161" s="66">
        <v>1.0</v>
      </c>
      <c r="F1161" s="66" t="str">
        <f>IFERROR(__xludf.DUMMYFUNCTION("GOOGLETRANSLATE(A1161,""en"",""pt"")"),"suponha")</f>
        <v>suponha</v>
      </c>
      <c r="G1161" s="69"/>
    </row>
    <row r="1162" ht="22.5" customHeight="1">
      <c r="A1162" s="66" t="s">
        <v>1519</v>
      </c>
      <c r="B1162" s="67" t="str">
        <f t="shared" si="11"/>
        <v>M: wrathful</v>
      </c>
      <c r="C1162" s="68"/>
      <c r="D1162" s="68">
        <v>45866.0</v>
      </c>
      <c r="E1162" s="66">
        <v>2.0</v>
      </c>
      <c r="F1162" s="66" t="str">
        <f>IFERROR(__xludf.DUMMYFUNCTION("GOOGLETRANSLATE(A1162,""en"",""pt"")"),"irado")</f>
        <v>irado</v>
      </c>
      <c r="G1162" s="69"/>
    </row>
    <row r="1163" ht="22.5" customHeight="1">
      <c r="A1163" s="66" t="s">
        <v>1520</v>
      </c>
      <c r="B1163" s="67" t="str">
        <f t="shared" si="11"/>
        <v>M: wrath</v>
      </c>
      <c r="C1163" s="68"/>
      <c r="D1163" s="68">
        <v>45866.0</v>
      </c>
      <c r="E1163" s="66">
        <v>3.0</v>
      </c>
      <c r="F1163" s="66" t="str">
        <f>IFERROR(__xludf.DUMMYFUNCTION("GOOGLETRANSLATE(A1163,""en"",""pt"")"),"fúria")</f>
        <v>fúria</v>
      </c>
      <c r="G1163" s="69"/>
    </row>
    <row r="1164" ht="22.5" customHeight="1">
      <c r="A1164" s="66" t="s">
        <v>1521</v>
      </c>
      <c r="B1164" s="67" t="str">
        <f t="shared" si="11"/>
        <v>M: bloodthirsty</v>
      </c>
      <c r="C1164" s="68"/>
      <c r="D1164" s="68">
        <v>45866.0</v>
      </c>
      <c r="E1164" s="66">
        <v>4.0</v>
      </c>
      <c r="F1164" s="66" t="str">
        <f>IFERROR(__xludf.DUMMYFUNCTION("GOOGLETRANSLATE(A1164,""en"",""pt"")"),"sanguinário")</f>
        <v>sanguinário</v>
      </c>
      <c r="G1164" s="69"/>
    </row>
    <row r="1165" ht="22.5" customHeight="1">
      <c r="A1165" s="66" t="s">
        <v>1522</v>
      </c>
      <c r="B1165" s="67" t="str">
        <f t="shared" si="11"/>
        <v>M: worry not</v>
      </c>
      <c r="C1165" s="68"/>
      <c r="D1165" s="68">
        <v>45866.0</v>
      </c>
      <c r="E1165" s="66">
        <v>5.0</v>
      </c>
      <c r="F1165" s="66" t="str">
        <f>IFERROR(__xludf.DUMMYFUNCTION("GOOGLETRANSLATE(A1165,""en"",""pt"")"),"não se preocupe")</f>
        <v>não se preocupe</v>
      </c>
      <c r="G1165" s="69"/>
    </row>
    <row r="1166" ht="22.5" customHeight="1">
      <c r="A1166" s="66" t="s">
        <v>1523</v>
      </c>
      <c r="B1166" s="67" t="str">
        <f t="shared" si="11"/>
        <v>M: seized</v>
      </c>
      <c r="C1166" s="68"/>
      <c r="D1166" s="68">
        <v>45866.0</v>
      </c>
      <c r="E1166" s="66">
        <v>6.0</v>
      </c>
      <c r="F1166" s="66" t="str">
        <f>IFERROR(__xludf.DUMMYFUNCTION("GOOGLETRANSLATE(A1166,""en"",""pt"")"),"apreendido")</f>
        <v>apreendido</v>
      </c>
      <c r="G1166" s="69"/>
    </row>
    <row r="1167" ht="22.5" customHeight="1">
      <c r="A1167" s="66" t="s">
        <v>1524</v>
      </c>
      <c r="B1167" s="67" t="str">
        <f t="shared" si="11"/>
        <v>M: miracle</v>
      </c>
      <c r="C1167" s="68"/>
      <c r="D1167" s="68">
        <v>45866.0</v>
      </c>
      <c r="E1167" s="66">
        <v>7.0</v>
      </c>
      <c r="F1167" s="66" t="str">
        <f>IFERROR(__xludf.DUMMYFUNCTION("GOOGLETRANSLATE(A1167,""en"",""pt"")"),"milagre")</f>
        <v>milagre</v>
      </c>
      <c r="G1167" s="69"/>
    </row>
    <row r="1168" ht="22.5" customHeight="1">
      <c r="A1168" s="66" t="s">
        <v>1525</v>
      </c>
      <c r="B1168" s="67" t="str">
        <f t="shared" si="11"/>
        <v>M: cellar</v>
      </c>
      <c r="C1168" s="68"/>
      <c r="D1168" s="68">
        <v>45866.0</v>
      </c>
      <c r="E1168" s="66">
        <v>8.0</v>
      </c>
      <c r="F1168" s="66" t="str">
        <f>IFERROR(__xludf.DUMMYFUNCTION("GOOGLETRANSLATE(A1168,""en"",""pt"")"),"adega")</f>
        <v>adega</v>
      </c>
      <c r="G1168" s="69"/>
    </row>
    <row r="1169" ht="22.5" customHeight="1">
      <c r="A1169" s="66" t="s">
        <v>1526</v>
      </c>
      <c r="B1169" s="67" t="str">
        <f t="shared" si="11"/>
        <v>M: chalice</v>
      </c>
      <c r="C1169" s="68"/>
      <c r="D1169" s="68">
        <v>45866.0</v>
      </c>
      <c r="E1169" s="66">
        <v>9.0</v>
      </c>
      <c r="F1169" s="66" t="str">
        <f>IFERROR(__xludf.DUMMYFUNCTION("GOOGLETRANSLATE(A1169,""en"",""pt"")"),"cálice")</f>
        <v>cálice</v>
      </c>
      <c r="G1169" s="69"/>
    </row>
    <row r="1170" ht="22.5" customHeight="1">
      <c r="A1170" s="66" t="s">
        <v>1527</v>
      </c>
      <c r="B1170" s="67" t="str">
        <f t="shared" si="11"/>
        <v>M: cleargy</v>
      </c>
      <c r="C1170" s="68"/>
      <c r="D1170" s="68">
        <v>45866.0</v>
      </c>
      <c r="E1170" s="66">
        <v>10.0</v>
      </c>
      <c r="F1170" s="66" t="str">
        <f>IFERROR(__xludf.DUMMYFUNCTION("GOOGLETRANSLATE(A1170,""en"",""pt"")"),"clareza")</f>
        <v>clareza</v>
      </c>
      <c r="G1170" s="69"/>
    </row>
    <row r="1171" ht="22.5" customHeight="1">
      <c r="A1171" s="66" t="s">
        <v>1528</v>
      </c>
      <c r="B1171" s="67" t="str">
        <f t="shared" si="11"/>
        <v>M: mewling</v>
      </c>
      <c r="C1171" s="68"/>
      <c r="D1171" s="68">
        <v>45866.0</v>
      </c>
      <c r="E1171" s="66">
        <v>1.0</v>
      </c>
      <c r="F1171" s="66" t="str">
        <f>IFERROR(__xludf.DUMMYFUNCTION("GOOGLETRANSLATE(A1171,""en"",""pt"")"),"miando")</f>
        <v>miando</v>
      </c>
      <c r="G1171" s="69"/>
    </row>
    <row r="1172" ht="22.5" customHeight="1">
      <c r="A1172" s="66" t="s">
        <v>1529</v>
      </c>
      <c r="B1172" s="67" t="str">
        <f t="shared" si="11"/>
        <v>M: flee</v>
      </c>
      <c r="C1172" s="68"/>
      <c r="D1172" s="68">
        <v>45867.0</v>
      </c>
      <c r="E1172" s="66">
        <v>2.0</v>
      </c>
      <c r="F1172" s="66" t="str">
        <f>IFERROR(__xludf.DUMMYFUNCTION("GOOGLETRANSLATE(A1172,""en"",""pt"")"),"fugir")</f>
        <v>fugir</v>
      </c>
      <c r="G1172" s="69"/>
    </row>
    <row r="1173" ht="22.5" customHeight="1">
      <c r="A1173" s="66" t="s">
        <v>1530</v>
      </c>
      <c r="B1173" s="67" t="str">
        <f t="shared" si="11"/>
        <v>M: wore</v>
      </c>
      <c r="C1173" s="66">
        <v>1.0</v>
      </c>
      <c r="D1173" s="68">
        <v>45867.0</v>
      </c>
      <c r="E1173" s="66">
        <v>3.0</v>
      </c>
      <c r="F1173" s="66" t="s">
        <v>1531</v>
      </c>
      <c r="G1173" s="66" t="s">
        <v>247</v>
      </c>
    </row>
    <row r="1174" ht="22.5" customHeight="1">
      <c r="A1174" s="66" t="s">
        <v>1532</v>
      </c>
      <c r="B1174" s="67" t="str">
        <f t="shared" si="11"/>
        <v>M: soared</v>
      </c>
      <c r="C1174" s="68"/>
      <c r="D1174" s="68">
        <v>45867.0</v>
      </c>
      <c r="E1174" s="66">
        <v>4.0</v>
      </c>
      <c r="F1174" s="66" t="str">
        <f>IFERROR(__xludf.DUMMYFUNCTION("GOOGLETRANSLATE(A1174,""en"",""pt"")"),"disparou")</f>
        <v>disparou</v>
      </c>
      <c r="G1174" s="69"/>
    </row>
    <row r="1175" ht="22.5" customHeight="1">
      <c r="A1175" s="66" t="s">
        <v>1533</v>
      </c>
      <c r="B1175" s="67" t="str">
        <f t="shared" si="11"/>
        <v>M: hisses</v>
      </c>
      <c r="C1175" s="68"/>
      <c r="D1175" s="68">
        <v>45867.0</v>
      </c>
      <c r="E1175" s="66">
        <v>5.0</v>
      </c>
      <c r="F1175" s="66" t="str">
        <f>IFERROR(__xludf.DUMMYFUNCTION("GOOGLETRANSLATE(A1175,""en"",""pt"")"),"assobios")</f>
        <v>assobios</v>
      </c>
      <c r="G1175" s="69"/>
    </row>
    <row r="1176" ht="22.5" customHeight="1">
      <c r="A1176" s="66" t="s">
        <v>1534</v>
      </c>
      <c r="B1176" s="67" t="str">
        <f t="shared" si="11"/>
        <v>M: sudden</v>
      </c>
      <c r="C1176" s="68"/>
      <c r="D1176" s="68">
        <v>45867.0</v>
      </c>
      <c r="E1176" s="66">
        <v>6.0</v>
      </c>
      <c r="F1176" s="66" t="str">
        <f>IFERROR(__xludf.DUMMYFUNCTION("GOOGLETRANSLATE(A1176,""en"",""pt"")"),"repentino")</f>
        <v>repentino</v>
      </c>
      <c r="G1176" s="69"/>
    </row>
    <row r="1177" ht="22.5" customHeight="1">
      <c r="A1177" s="66" t="s">
        <v>1535</v>
      </c>
      <c r="B1177" s="67" t="str">
        <f t="shared" si="11"/>
        <v>M: joke</v>
      </c>
      <c r="C1177" s="68"/>
      <c r="D1177" s="68">
        <v>45867.0</v>
      </c>
      <c r="E1177" s="66">
        <v>7.0</v>
      </c>
      <c r="F1177" s="66" t="str">
        <f>IFERROR(__xludf.DUMMYFUNCTION("GOOGLETRANSLATE(A1177,""en"",""pt"")"),"piada")</f>
        <v>piada</v>
      </c>
      <c r="G1177" s="69"/>
    </row>
    <row r="1178" ht="22.5" customHeight="1">
      <c r="A1178" s="66" t="s">
        <v>1536</v>
      </c>
      <c r="B1178" s="67" t="str">
        <f t="shared" si="11"/>
        <v>M: washed</v>
      </c>
      <c r="C1178" s="68"/>
      <c r="D1178" s="68">
        <v>45867.0</v>
      </c>
      <c r="E1178" s="66">
        <v>8.0</v>
      </c>
      <c r="F1178" s="66" t="str">
        <f>IFERROR(__xludf.DUMMYFUNCTION("GOOGLETRANSLATE(A1178,""en"",""pt"")"),"lavado")</f>
        <v>lavado</v>
      </c>
      <c r="G1178" s="69"/>
    </row>
    <row r="1179" ht="22.5" customHeight="1">
      <c r="A1179" s="66" t="s">
        <v>1537</v>
      </c>
      <c r="B1179" s="67" t="str">
        <f t="shared" si="11"/>
        <v>M: toast</v>
      </c>
      <c r="C1179" s="68"/>
      <c r="D1179" s="68">
        <v>45867.0</v>
      </c>
      <c r="E1179" s="66">
        <v>9.0</v>
      </c>
      <c r="F1179" s="66" t="str">
        <f>IFERROR(__xludf.DUMMYFUNCTION("GOOGLETRANSLATE(A1179,""en"",""pt"")"),"brinde")</f>
        <v>brinde</v>
      </c>
      <c r="G1179" s="69"/>
    </row>
    <row r="1180" ht="22.5" customHeight="1">
      <c r="A1180" s="66" t="s">
        <v>1538</v>
      </c>
      <c r="B1180" s="67" t="str">
        <f t="shared" si="11"/>
        <v>M: damm it</v>
      </c>
      <c r="C1180" s="68"/>
      <c r="D1180" s="68">
        <v>45867.0</v>
      </c>
      <c r="E1180" s="66">
        <v>10.0</v>
      </c>
      <c r="F1180" s="66" t="str">
        <f>IFERROR(__xludf.DUMMYFUNCTION("GOOGLETRANSLATE(A1180,""en"",""pt"")"),"droga")</f>
        <v>droga</v>
      </c>
      <c r="G1180" s="69"/>
    </row>
    <row r="1181" ht="22.5" customHeight="1">
      <c r="A1181" s="66" t="s">
        <v>1539</v>
      </c>
      <c r="B1181" s="67" t="str">
        <f t="shared" si="11"/>
        <v>M: steady</v>
      </c>
      <c r="C1181" s="68"/>
      <c r="D1181" s="68">
        <v>45867.0</v>
      </c>
      <c r="E1181" s="66">
        <v>1.0</v>
      </c>
      <c r="F1181" s="66" t="str">
        <f>IFERROR(__xludf.DUMMYFUNCTION("GOOGLETRANSLATE(A1181,""en"",""pt"")"),"estável")</f>
        <v>estável</v>
      </c>
      <c r="G1181" s="69"/>
    </row>
    <row r="1182" ht="22.5" customHeight="1">
      <c r="A1182" s="66" t="s">
        <v>1540</v>
      </c>
      <c r="B1182" s="67" t="str">
        <f t="shared" si="11"/>
        <v>M: easier</v>
      </c>
      <c r="C1182" s="66">
        <v>1.0</v>
      </c>
      <c r="D1182" s="68">
        <v>45868.0</v>
      </c>
      <c r="E1182" s="66">
        <v>2.0</v>
      </c>
      <c r="F1182" s="66" t="s">
        <v>1541</v>
      </c>
      <c r="G1182" s="66" t="s">
        <v>247</v>
      </c>
    </row>
    <row r="1183" ht="22.5" customHeight="1">
      <c r="A1183" s="66" t="s">
        <v>1542</v>
      </c>
      <c r="B1183" s="67" t="str">
        <f t="shared" si="11"/>
        <v>M: gone</v>
      </c>
      <c r="C1183" s="66">
        <v>1.0</v>
      </c>
      <c r="D1183" s="68">
        <v>45868.0</v>
      </c>
      <c r="E1183" s="66">
        <v>3.0</v>
      </c>
      <c r="F1183" s="66" t="s">
        <v>1543</v>
      </c>
      <c r="G1183" s="66" t="s">
        <v>247</v>
      </c>
    </row>
    <row r="1184" ht="22.5" customHeight="1">
      <c r="A1184" s="66" t="s">
        <v>1544</v>
      </c>
      <c r="B1184" s="67" t="str">
        <f t="shared" si="11"/>
        <v>M: mild</v>
      </c>
      <c r="C1184" s="66">
        <v>1.0</v>
      </c>
      <c r="D1184" s="68">
        <v>45868.0</v>
      </c>
      <c r="E1184" s="66">
        <v>4.0</v>
      </c>
      <c r="F1184" s="66" t="s">
        <v>247</v>
      </c>
      <c r="G1184" s="66" t="s">
        <v>1545</v>
      </c>
    </row>
    <row r="1185" ht="22.5" customHeight="1">
      <c r="A1185" s="66" t="s">
        <v>1546</v>
      </c>
      <c r="B1185" s="67" t="str">
        <f t="shared" si="11"/>
        <v>M: overstressed</v>
      </c>
      <c r="C1185" s="68"/>
      <c r="D1185" s="68">
        <v>45868.0</v>
      </c>
      <c r="E1185" s="66">
        <v>5.0</v>
      </c>
      <c r="F1185" s="66" t="str">
        <f>IFERROR(__xludf.DUMMYFUNCTION("GOOGLETRANSLATE(A1185,""en"",""pt"")"),"sobrecarregado")</f>
        <v>sobrecarregado</v>
      </c>
      <c r="G1185" s="69"/>
    </row>
    <row r="1186" ht="22.5" customHeight="1">
      <c r="A1186" s="66" t="s">
        <v>1547</v>
      </c>
      <c r="B1186" s="67" t="str">
        <f t="shared" si="11"/>
        <v>M: gasps</v>
      </c>
      <c r="C1186" s="68"/>
      <c r="D1186" s="68">
        <v>45868.0</v>
      </c>
      <c r="E1186" s="66">
        <v>6.0</v>
      </c>
      <c r="F1186" s="66" t="str">
        <f>IFERROR(__xludf.DUMMYFUNCTION("GOOGLETRANSLATE(A1186,""en"",""pt"")"),"suspiros")</f>
        <v>suspiros</v>
      </c>
      <c r="G1186" s="69"/>
    </row>
    <row r="1187" ht="22.5" customHeight="1">
      <c r="A1187" s="66" t="s">
        <v>1548</v>
      </c>
      <c r="B1187" s="67" t="str">
        <f t="shared" si="11"/>
        <v>M: cotton</v>
      </c>
      <c r="C1187" s="68"/>
      <c r="D1187" s="68">
        <v>45868.0</v>
      </c>
      <c r="E1187" s="66">
        <v>7.0</v>
      </c>
      <c r="F1187" s="66" t="str">
        <f>IFERROR(__xludf.DUMMYFUNCTION("GOOGLETRANSLATE(A1187,""en"",""pt"")"),"algodão")</f>
        <v>algodão</v>
      </c>
      <c r="G1187" s="69"/>
    </row>
    <row r="1188" ht="22.5" customHeight="1">
      <c r="A1188" s="66" t="s">
        <v>1549</v>
      </c>
      <c r="B1188" s="67" t="str">
        <f t="shared" si="11"/>
        <v>M: ally</v>
      </c>
      <c r="C1188" s="68"/>
      <c r="D1188" s="68">
        <v>45868.0</v>
      </c>
      <c r="E1188" s="66">
        <v>8.0</v>
      </c>
      <c r="F1188" s="66" t="str">
        <f>IFERROR(__xludf.DUMMYFUNCTION("GOOGLETRANSLATE(A1188,""en"",""pt"")"),"aliado")</f>
        <v>aliado</v>
      </c>
      <c r="G1188" s="69"/>
    </row>
    <row r="1189" ht="22.5" customHeight="1">
      <c r="A1189" s="66" t="s">
        <v>1550</v>
      </c>
      <c r="B1189" s="67" t="str">
        <f t="shared" si="11"/>
        <v>M: pendant</v>
      </c>
      <c r="C1189" s="68"/>
      <c r="D1189" s="68">
        <v>45868.0</v>
      </c>
      <c r="E1189" s="66">
        <v>9.0</v>
      </c>
      <c r="F1189" s="66" t="str">
        <f>IFERROR(__xludf.DUMMYFUNCTION("GOOGLETRANSLATE(A1189,""en"",""pt"")"),"pingente")</f>
        <v>pingente</v>
      </c>
      <c r="G1189" s="69"/>
    </row>
    <row r="1190" ht="22.5" customHeight="1">
      <c r="A1190" s="66" t="s">
        <v>1551</v>
      </c>
      <c r="B1190" s="67" t="str">
        <f t="shared" si="11"/>
        <v>M: sighs</v>
      </c>
      <c r="C1190" s="68"/>
      <c r="D1190" s="68">
        <v>45868.0</v>
      </c>
      <c r="E1190" s="66">
        <v>10.0</v>
      </c>
      <c r="F1190" s="66" t="str">
        <f>IFERROR(__xludf.DUMMYFUNCTION("GOOGLETRANSLATE(A1190,""en"",""pt"")"),"suspiros")</f>
        <v>suspiros</v>
      </c>
      <c r="G1190" s="69"/>
    </row>
    <row r="1191" ht="22.5" customHeight="1">
      <c r="A1191" s="66" t="s">
        <v>1552</v>
      </c>
      <c r="B1191" s="67" t="str">
        <f t="shared" si="11"/>
        <v>M: mispronounce</v>
      </c>
      <c r="C1191" s="68"/>
      <c r="D1191" s="68">
        <v>45868.0</v>
      </c>
      <c r="E1191" s="66">
        <v>1.0</v>
      </c>
      <c r="F1191" s="66" t="str">
        <f>IFERROR(__xludf.DUMMYFUNCTION("GOOGLETRANSLATE(A1191,""en"",""pt"")"),"pronúncia incorreta")</f>
        <v>pronúncia incorreta</v>
      </c>
      <c r="G1191" s="69"/>
    </row>
    <row r="1192" ht="22.5" customHeight="1">
      <c r="A1192" s="66" t="s">
        <v>1553</v>
      </c>
      <c r="B1192" s="67" t="str">
        <f t="shared" si="11"/>
        <v>M: broad</v>
      </c>
      <c r="C1192" s="68"/>
      <c r="D1192" s="68">
        <v>45869.0</v>
      </c>
      <c r="E1192" s="66">
        <v>2.0</v>
      </c>
      <c r="F1192" s="66" t="str">
        <f>IFERROR(__xludf.DUMMYFUNCTION("GOOGLETRANSLATE(A1192,""en"",""pt"")"),"largo")</f>
        <v>largo</v>
      </c>
      <c r="G1192" s="69"/>
    </row>
    <row r="1193" ht="22.5" customHeight="1">
      <c r="A1193" s="66" t="s">
        <v>1554</v>
      </c>
      <c r="B1193" s="67" t="str">
        <f t="shared" si="11"/>
        <v>M: overthinking</v>
      </c>
      <c r="C1193" s="68"/>
      <c r="D1193" s="68">
        <v>45869.0</v>
      </c>
      <c r="E1193" s="66">
        <v>3.0</v>
      </c>
      <c r="F1193" s="66" t="str">
        <f>IFERROR(__xludf.DUMMYFUNCTION("GOOGLETRANSLATE(A1193,""en"",""pt"")"),"pensar demasiado")</f>
        <v>pensar demasiado</v>
      </c>
      <c r="G1193" s="69"/>
    </row>
    <row r="1194" ht="22.5" customHeight="1">
      <c r="A1194" s="66" t="s">
        <v>1555</v>
      </c>
      <c r="B1194" s="67" t="str">
        <f t="shared" si="11"/>
        <v>M: compliment</v>
      </c>
      <c r="C1194" s="66">
        <v>1.0</v>
      </c>
      <c r="D1194" s="68">
        <v>45869.0</v>
      </c>
      <c r="E1194" s="66">
        <v>4.0</v>
      </c>
      <c r="F1194" s="71" t="s">
        <v>1556</v>
      </c>
      <c r="G1194" s="66" t="s">
        <v>247</v>
      </c>
    </row>
    <row r="1195" ht="22.5" customHeight="1">
      <c r="A1195" s="66" t="s">
        <v>1557</v>
      </c>
      <c r="B1195" s="67" t="str">
        <f t="shared" si="11"/>
        <v>M: kidding around</v>
      </c>
      <c r="C1195" s="68"/>
      <c r="D1195" s="68">
        <v>45869.0</v>
      </c>
      <c r="E1195" s="66">
        <v>5.0</v>
      </c>
      <c r="F1195" s="66" t="s">
        <v>1558</v>
      </c>
      <c r="G1195" s="66" t="s">
        <v>233</v>
      </c>
    </row>
    <row r="1196" ht="22.5" customHeight="1">
      <c r="A1196" s="66" t="s">
        <v>1559</v>
      </c>
      <c r="B1196" s="67" t="str">
        <f t="shared" si="11"/>
        <v>M: dumb</v>
      </c>
      <c r="C1196" s="68"/>
      <c r="D1196" s="68">
        <v>45869.0</v>
      </c>
      <c r="E1196" s="66">
        <v>6.0</v>
      </c>
      <c r="F1196" s="66" t="str">
        <f>IFERROR(__xludf.DUMMYFUNCTION("GOOGLETRANSLATE(A1196,""en"",""pt"")"),"burro")</f>
        <v>burro</v>
      </c>
      <c r="G1196" s="69"/>
    </row>
    <row r="1197" ht="22.5" customHeight="1">
      <c r="A1197" s="66" t="s">
        <v>1560</v>
      </c>
      <c r="B1197" s="67" t="str">
        <f t="shared" si="11"/>
        <v>M: envy</v>
      </c>
      <c r="C1197" s="68"/>
      <c r="D1197" s="68">
        <v>45869.0</v>
      </c>
      <c r="E1197" s="66">
        <v>7.0</v>
      </c>
      <c r="F1197" s="66" t="str">
        <f>IFERROR(__xludf.DUMMYFUNCTION("GOOGLETRANSLATE(A1197,""en"",""pt"")"),"inveja")</f>
        <v>inveja</v>
      </c>
      <c r="G1197" s="69"/>
    </row>
    <row r="1198" ht="22.5" customHeight="1">
      <c r="A1198" s="66" t="s">
        <v>1561</v>
      </c>
      <c r="B1198" s="67" t="str">
        <f t="shared" si="11"/>
        <v>M: recall</v>
      </c>
      <c r="C1198" s="68"/>
      <c r="D1198" s="68">
        <v>45869.0</v>
      </c>
      <c r="E1198" s="66">
        <v>8.0</v>
      </c>
      <c r="F1198" s="66" t="str">
        <f>IFERROR(__xludf.DUMMYFUNCTION("GOOGLETRANSLATE(A1198,""en"",""pt"")"),"lembrar")</f>
        <v>lembrar</v>
      </c>
      <c r="G1198" s="69"/>
    </row>
    <row r="1199" ht="22.5" customHeight="1">
      <c r="A1199" s="66" t="s">
        <v>1562</v>
      </c>
      <c r="B1199" s="67" t="str">
        <f t="shared" si="11"/>
        <v>M: profoundly</v>
      </c>
      <c r="C1199" s="68"/>
      <c r="D1199" s="68">
        <v>45869.0</v>
      </c>
      <c r="E1199" s="66">
        <v>9.0</v>
      </c>
      <c r="F1199" s="66" t="str">
        <f>IFERROR(__xludf.DUMMYFUNCTION("GOOGLETRANSLATE(A1199,""en"",""pt"")"),"profundamente")</f>
        <v>profundamente</v>
      </c>
      <c r="G1199" s="69"/>
    </row>
    <row r="1200" ht="22.5" customHeight="1">
      <c r="A1200" s="66" t="s">
        <v>1563</v>
      </c>
      <c r="B1200" s="67" t="str">
        <f t="shared" si="11"/>
        <v>M: humph</v>
      </c>
      <c r="C1200" s="68"/>
      <c r="D1200" s="68">
        <v>45869.0</v>
      </c>
      <c r="E1200" s="66">
        <v>10.0</v>
      </c>
      <c r="F1200" s="66" t="str">
        <f>IFERROR(__xludf.DUMMYFUNCTION("GOOGLETRANSLATE(A1200,""en"",""pt"")"),"humph")</f>
        <v>humph</v>
      </c>
      <c r="G1200" s="69"/>
    </row>
    <row r="1201" ht="22.5" customHeight="1">
      <c r="A1201" s="66" t="s">
        <v>1564</v>
      </c>
      <c r="B1201" s="67" t="str">
        <f t="shared" si="11"/>
        <v>M: count</v>
      </c>
      <c r="C1201" s="68"/>
      <c r="D1201" s="68">
        <v>45869.0</v>
      </c>
      <c r="E1201" s="66">
        <v>1.0</v>
      </c>
      <c r="F1201" s="66" t="str">
        <f>IFERROR(__xludf.DUMMYFUNCTION("GOOGLETRANSLATE(A1201,""en"",""pt"")"),"contar")</f>
        <v>contar</v>
      </c>
      <c r="G1201" s="69"/>
    </row>
    <row r="1202" ht="22.5" customHeight="1">
      <c r="A1202" s="66" t="s">
        <v>1565</v>
      </c>
      <c r="B1202" s="67" t="str">
        <f t="shared" si="11"/>
        <v>M: retching</v>
      </c>
      <c r="C1202" s="68"/>
      <c r="D1202" s="68">
        <v>45870.0</v>
      </c>
      <c r="E1202" s="66">
        <v>2.0</v>
      </c>
      <c r="F1202" s="66" t="str">
        <f>IFERROR(__xludf.DUMMYFUNCTION("GOOGLETRANSLATE(A1202,""en"",""pt"")"),"ânsia de vômito")</f>
        <v>ânsia de vômito</v>
      </c>
      <c r="G1202" s="69"/>
    </row>
    <row r="1203" ht="22.5" customHeight="1">
      <c r="A1203" s="66" t="s">
        <v>1566</v>
      </c>
      <c r="B1203" s="67" t="str">
        <f t="shared" si="11"/>
        <v>M: starring</v>
      </c>
      <c r="C1203" s="68"/>
      <c r="D1203" s="68">
        <v>45870.0</v>
      </c>
      <c r="E1203" s="66">
        <v>3.0</v>
      </c>
      <c r="F1203" s="66" t="str">
        <f>IFERROR(__xludf.DUMMYFUNCTION("GOOGLETRANSLATE(A1203,""en"",""pt"")"),"estrelando")</f>
        <v>estrelando</v>
      </c>
      <c r="G1203" s="69"/>
    </row>
    <row r="1204" ht="22.5" customHeight="1">
      <c r="A1204" s="66" t="s">
        <v>1567</v>
      </c>
      <c r="B1204" s="67" t="str">
        <f t="shared" si="11"/>
        <v>M: fatter</v>
      </c>
      <c r="C1204" s="68"/>
      <c r="D1204" s="68">
        <v>45870.0</v>
      </c>
      <c r="E1204" s="66">
        <v>4.0</v>
      </c>
      <c r="F1204" s="66" t="str">
        <f>IFERROR(__xludf.DUMMYFUNCTION("GOOGLETRANSLATE(A1204,""en"",""pt"")"),"mais gordo")</f>
        <v>mais gordo</v>
      </c>
      <c r="G1204" s="69"/>
    </row>
    <row r="1205" ht="22.5" customHeight="1">
      <c r="A1205" s="66" t="s">
        <v>1568</v>
      </c>
      <c r="B1205" s="67" t="str">
        <f t="shared" si="11"/>
        <v>M: get over here</v>
      </c>
      <c r="C1205" s="68"/>
      <c r="D1205" s="68">
        <v>45870.0</v>
      </c>
      <c r="E1205" s="66">
        <v>5.0</v>
      </c>
      <c r="F1205" s="66" t="str">
        <f>IFERROR(__xludf.DUMMYFUNCTION("GOOGLETRANSLATE(A1205,""en"",""pt"")"),"Venha para cá!")</f>
        <v>Venha para cá!</v>
      </c>
      <c r="G1205" s="69"/>
    </row>
    <row r="1206" ht="22.5" customHeight="1">
      <c r="A1206" s="66" t="s">
        <v>1569</v>
      </c>
      <c r="B1206" s="67" t="str">
        <f t="shared" si="11"/>
        <v>M: bunch</v>
      </c>
      <c r="C1206" s="68"/>
      <c r="D1206" s="68">
        <v>45870.0</v>
      </c>
      <c r="E1206" s="66">
        <v>6.0</v>
      </c>
      <c r="F1206" s="66" t="str">
        <f>IFERROR(__xludf.DUMMYFUNCTION("GOOGLETRANSLATE(A1206,""en"",""pt"")"),"monte")</f>
        <v>monte</v>
      </c>
      <c r="G1206" s="69"/>
    </row>
    <row r="1207" ht="22.5" customHeight="1">
      <c r="A1207" s="66" t="s">
        <v>1570</v>
      </c>
      <c r="B1207" s="67" t="str">
        <f t="shared" si="11"/>
        <v>M: gonna</v>
      </c>
      <c r="C1207" s="68"/>
      <c r="D1207" s="68">
        <v>45870.0</v>
      </c>
      <c r="E1207" s="66">
        <v>7.0</v>
      </c>
      <c r="F1207" s="66" t="str">
        <f>IFERROR(__xludf.DUMMYFUNCTION("GOOGLETRANSLATE(A1207,""en"",""pt"")"),"vai")</f>
        <v>vai</v>
      </c>
      <c r="G1207" s="69"/>
    </row>
    <row r="1208" ht="22.5" customHeight="1">
      <c r="A1208" s="66" t="s">
        <v>1571</v>
      </c>
      <c r="B1208" s="67" t="str">
        <f t="shared" si="11"/>
        <v>M: shatter</v>
      </c>
      <c r="C1208" s="68"/>
      <c r="D1208" s="68">
        <v>45870.0</v>
      </c>
      <c r="E1208" s="66">
        <v>8.0</v>
      </c>
      <c r="F1208" s="66" t="str">
        <f>IFERROR(__xludf.DUMMYFUNCTION("GOOGLETRANSLATE(A1208,""en"",""pt"")"),"estilhaçar")</f>
        <v>estilhaçar</v>
      </c>
      <c r="G1208" s="69"/>
    </row>
    <row r="1209" ht="22.5" customHeight="1">
      <c r="A1209" s="66" t="s">
        <v>1572</v>
      </c>
      <c r="B1209" s="67" t="str">
        <f t="shared" si="11"/>
        <v>M: ruined</v>
      </c>
      <c r="C1209" s="68"/>
      <c r="D1209" s="68">
        <v>45870.0</v>
      </c>
      <c r="E1209" s="66">
        <v>9.0</v>
      </c>
      <c r="F1209" s="66" t="str">
        <f>IFERROR(__xludf.DUMMYFUNCTION("GOOGLETRANSLATE(A1209,""en"",""pt"")"),"arruinado")</f>
        <v>arruinado</v>
      </c>
      <c r="G1209" s="69"/>
    </row>
    <row r="1210" ht="22.5" customHeight="1">
      <c r="A1210" s="66" t="s">
        <v>1573</v>
      </c>
      <c r="B1210" s="67" t="str">
        <f t="shared" si="11"/>
        <v>M: decency</v>
      </c>
      <c r="C1210" s="66">
        <v>1.0</v>
      </c>
      <c r="D1210" s="68">
        <v>45870.0</v>
      </c>
      <c r="E1210" s="66">
        <v>10.0</v>
      </c>
      <c r="F1210" s="71" t="s">
        <v>1574</v>
      </c>
      <c r="G1210" s="66" t="s">
        <v>247</v>
      </c>
    </row>
    <row r="1211" ht="22.5" customHeight="1">
      <c r="A1211" s="66" t="s">
        <v>1575</v>
      </c>
      <c r="B1211" s="67" t="str">
        <f t="shared" si="11"/>
        <v>M: crappy</v>
      </c>
      <c r="C1211" s="68"/>
      <c r="D1211" s="68">
        <v>45870.0</v>
      </c>
      <c r="E1211" s="66">
        <v>1.0</v>
      </c>
      <c r="F1211" s="66" t="str">
        <f>IFERROR(__xludf.DUMMYFUNCTION("GOOGLETRANSLATE(A1211,""en"",""pt"")"),"porcaria")</f>
        <v>porcaria</v>
      </c>
      <c r="G1211" s="69"/>
    </row>
    <row r="1212" ht="22.5" customHeight="1">
      <c r="A1212" s="66" t="s">
        <v>1576</v>
      </c>
      <c r="B1212" s="67" t="str">
        <f t="shared" si="11"/>
        <v>M: bothering</v>
      </c>
      <c r="C1212" s="66">
        <v>1.0</v>
      </c>
      <c r="D1212" s="68">
        <v>45871.0</v>
      </c>
      <c r="E1212" s="66">
        <v>2.0</v>
      </c>
      <c r="F1212" s="66" t="s">
        <v>1577</v>
      </c>
      <c r="G1212" s="66" t="s">
        <v>247</v>
      </c>
    </row>
    <row r="1213" ht="22.5" customHeight="1">
      <c r="A1213" s="66" t="s">
        <v>1578</v>
      </c>
      <c r="B1213" s="67" t="str">
        <f t="shared" si="11"/>
        <v>M: skinny</v>
      </c>
      <c r="C1213" s="66">
        <v>1.0</v>
      </c>
      <c r="D1213" s="68">
        <v>45871.0</v>
      </c>
      <c r="E1213" s="66">
        <v>3.0</v>
      </c>
      <c r="F1213" s="66" t="s">
        <v>1579</v>
      </c>
      <c r="G1213" s="66" t="s">
        <v>247</v>
      </c>
    </row>
    <row r="1214" ht="22.5" customHeight="1">
      <c r="A1214" s="66" t="s">
        <v>1580</v>
      </c>
      <c r="B1214" s="67" t="str">
        <f t="shared" si="11"/>
        <v>M: regrettable</v>
      </c>
      <c r="C1214" s="68"/>
      <c r="D1214" s="68">
        <v>45871.0</v>
      </c>
      <c r="E1214" s="66">
        <v>4.0</v>
      </c>
      <c r="F1214" s="66" t="str">
        <f>IFERROR(__xludf.DUMMYFUNCTION("GOOGLETRANSLATE(A1214,""en"",""pt"")"),"lamentável")</f>
        <v>lamentável</v>
      </c>
      <c r="G1214" s="69"/>
    </row>
    <row r="1215" ht="22.5" customHeight="1">
      <c r="A1215" s="66" t="s">
        <v>1581</v>
      </c>
      <c r="B1215" s="67" t="str">
        <f t="shared" si="11"/>
        <v>M: hates</v>
      </c>
      <c r="C1215" s="68"/>
      <c r="D1215" s="68">
        <v>45871.0</v>
      </c>
      <c r="E1215" s="66">
        <v>5.0</v>
      </c>
      <c r="F1215" s="66" t="str">
        <f>IFERROR(__xludf.DUMMYFUNCTION("GOOGLETRANSLATE(A1215,""en"",""pt"")"),"odeia")</f>
        <v>odeia</v>
      </c>
      <c r="G1215" s="69"/>
    </row>
    <row r="1216" ht="22.5" customHeight="1">
      <c r="A1216" s="66" t="s">
        <v>1582</v>
      </c>
      <c r="B1216" s="67" t="str">
        <f t="shared" si="11"/>
        <v>M: slept</v>
      </c>
      <c r="C1216" s="68"/>
      <c r="D1216" s="68">
        <v>45871.0</v>
      </c>
      <c r="E1216" s="66">
        <v>6.0</v>
      </c>
      <c r="F1216" s="66" t="str">
        <f>IFERROR(__xludf.DUMMYFUNCTION("GOOGLETRANSLATE(A1216,""en"",""pt"")"),"dormiu")</f>
        <v>dormiu</v>
      </c>
      <c r="G1216" s="69"/>
    </row>
    <row r="1217" ht="22.5" customHeight="1">
      <c r="A1217" s="66" t="s">
        <v>1583</v>
      </c>
      <c r="B1217" s="67" t="str">
        <f t="shared" si="11"/>
        <v>M: memoirist</v>
      </c>
      <c r="C1217" s="68"/>
      <c r="D1217" s="68">
        <v>45871.0</v>
      </c>
      <c r="E1217" s="66">
        <v>7.0</v>
      </c>
      <c r="F1217" s="66" t="str">
        <f>IFERROR(__xludf.DUMMYFUNCTION("GOOGLETRANSLATE(A1217,""en"",""pt"")"),"memorialista")</f>
        <v>memorialista</v>
      </c>
      <c r="G1217" s="69"/>
    </row>
    <row r="1218" ht="22.5" customHeight="1">
      <c r="A1218" s="66" t="s">
        <v>1584</v>
      </c>
      <c r="B1218" s="67" t="str">
        <f t="shared" si="11"/>
        <v>M: tranquilizer</v>
      </c>
      <c r="C1218" s="68"/>
      <c r="D1218" s="68">
        <v>45871.0</v>
      </c>
      <c r="E1218" s="66">
        <v>8.0</v>
      </c>
      <c r="F1218" s="66" t="str">
        <f>IFERROR(__xludf.DUMMYFUNCTION("GOOGLETRANSLATE(A1218,""en"",""pt"")"),"tranquilizante")</f>
        <v>tranquilizante</v>
      </c>
      <c r="G1218" s="69"/>
    </row>
    <row r="1219" ht="22.5" customHeight="1">
      <c r="A1219" s="66" t="s">
        <v>1585</v>
      </c>
      <c r="B1219" s="67" t="str">
        <f t="shared" si="11"/>
        <v>M: businessperson</v>
      </c>
      <c r="C1219" s="68"/>
      <c r="D1219" s="68">
        <v>45871.0</v>
      </c>
      <c r="E1219" s="66">
        <v>9.0</v>
      </c>
      <c r="F1219" s="66" t="str">
        <f>IFERROR(__xludf.DUMMYFUNCTION("GOOGLETRANSLATE(A1219,""en"",""pt"")"),"empresário")</f>
        <v>empresário</v>
      </c>
      <c r="G1219" s="69"/>
    </row>
    <row r="1220" ht="22.5" customHeight="1">
      <c r="A1220" s="66" t="s">
        <v>1586</v>
      </c>
      <c r="B1220" s="67" t="str">
        <f t="shared" si="11"/>
        <v>M: drop by</v>
      </c>
      <c r="C1220" s="68"/>
      <c r="D1220" s="68">
        <v>45871.0</v>
      </c>
      <c r="E1220" s="66">
        <v>10.0</v>
      </c>
      <c r="F1220" s="66" t="str">
        <f>IFERROR(__xludf.DUMMYFUNCTION("GOOGLETRANSLATE(A1220,""en"",""pt"")"),"Apareça por aqui")</f>
        <v>Apareça por aqui</v>
      </c>
      <c r="G1220" s="69"/>
    </row>
    <row r="1221" ht="22.5" customHeight="1">
      <c r="A1221" s="66" t="s">
        <v>1587</v>
      </c>
      <c r="B1221" s="67" t="str">
        <f t="shared" si="11"/>
        <v>M: get it</v>
      </c>
      <c r="C1221" s="68"/>
      <c r="D1221" s="68">
        <v>45871.0</v>
      </c>
      <c r="E1221" s="66">
        <v>1.0</v>
      </c>
      <c r="F1221" s="66" t="str">
        <f>IFERROR(__xludf.DUMMYFUNCTION("GOOGLETRANSLATE(A1221,""en"",""pt"")"),"pegue")</f>
        <v>pegue</v>
      </c>
      <c r="G1221" s="69"/>
    </row>
    <row r="1222" ht="22.5" customHeight="1">
      <c r="A1222" s="66" t="s">
        <v>1588</v>
      </c>
      <c r="B1222" s="67" t="str">
        <f t="shared" si="11"/>
        <v>M: roommate</v>
      </c>
      <c r="C1222" s="68"/>
      <c r="D1222" s="68">
        <v>45872.0</v>
      </c>
      <c r="E1222" s="66">
        <v>2.0</v>
      </c>
      <c r="F1222" s="66" t="str">
        <f>IFERROR(__xludf.DUMMYFUNCTION("GOOGLETRANSLATE(A1222,""en"",""pt"")"),"colega de quarto")</f>
        <v>colega de quarto</v>
      </c>
      <c r="G1222" s="69"/>
    </row>
    <row r="1223" ht="22.5" customHeight="1">
      <c r="A1223" s="66" t="s">
        <v>1589</v>
      </c>
      <c r="B1223" s="67" t="str">
        <f t="shared" si="11"/>
        <v>M: keep down</v>
      </c>
      <c r="C1223" s="66">
        <v>1.0</v>
      </c>
      <c r="D1223" s="68">
        <v>45872.0</v>
      </c>
      <c r="E1223" s="66">
        <v>3.0</v>
      </c>
      <c r="F1223" s="66" t="s">
        <v>1590</v>
      </c>
      <c r="G1223" s="66" t="s">
        <v>247</v>
      </c>
    </row>
    <row r="1224" ht="22.5" customHeight="1">
      <c r="A1224" s="66" t="s">
        <v>1591</v>
      </c>
      <c r="B1224" s="67" t="str">
        <f t="shared" si="11"/>
        <v>M: handsome</v>
      </c>
      <c r="C1224" s="68"/>
      <c r="D1224" s="68">
        <v>45872.0</v>
      </c>
      <c r="E1224" s="66">
        <v>4.0</v>
      </c>
      <c r="F1224" s="66" t="str">
        <f>IFERROR(__xludf.DUMMYFUNCTION("GOOGLETRANSLATE(A1224,""en"",""pt"")"),"bonito")</f>
        <v>bonito</v>
      </c>
      <c r="G1224" s="69"/>
    </row>
    <row r="1225" ht="22.5" customHeight="1">
      <c r="A1225" s="66" t="s">
        <v>1592</v>
      </c>
      <c r="B1225" s="67" t="str">
        <f t="shared" si="11"/>
        <v>M: routing</v>
      </c>
      <c r="C1225" s="68"/>
      <c r="D1225" s="68">
        <v>45872.0</v>
      </c>
      <c r="E1225" s="66">
        <v>5.0</v>
      </c>
      <c r="F1225" s="66" t="str">
        <f>IFERROR(__xludf.DUMMYFUNCTION("GOOGLETRANSLATE(A1225,""en"",""pt"")"),"roteamento")</f>
        <v>roteamento</v>
      </c>
      <c r="G1225" s="69"/>
    </row>
    <row r="1226" ht="22.5" customHeight="1">
      <c r="A1226" s="66" t="s">
        <v>1593</v>
      </c>
      <c r="B1226" s="67" t="str">
        <f t="shared" si="11"/>
        <v>M: produce</v>
      </c>
      <c r="C1226" s="68"/>
      <c r="D1226" s="68">
        <v>45872.0</v>
      </c>
      <c r="E1226" s="66">
        <v>6.0</v>
      </c>
      <c r="F1226" s="66" t="str">
        <f>IFERROR(__xludf.DUMMYFUNCTION("GOOGLETRANSLATE(A1226,""en"",""pt"")"),"produzir")</f>
        <v>produzir</v>
      </c>
      <c r="G1226" s="69"/>
    </row>
    <row r="1227" ht="22.5" customHeight="1">
      <c r="A1227" s="66" t="s">
        <v>1594</v>
      </c>
      <c r="B1227" s="67" t="str">
        <f t="shared" si="11"/>
        <v>M: rough</v>
      </c>
      <c r="C1227" s="68"/>
      <c r="D1227" s="68">
        <v>45872.0</v>
      </c>
      <c r="E1227" s="66">
        <v>7.0</v>
      </c>
      <c r="F1227" s="66" t="str">
        <f>IFERROR(__xludf.DUMMYFUNCTION("GOOGLETRANSLATE(A1227,""en"",""pt"")"),"duro")</f>
        <v>duro</v>
      </c>
      <c r="G1227" s="69"/>
    </row>
    <row r="1228" ht="22.5" customHeight="1">
      <c r="A1228" s="66" t="s">
        <v>1595</v>
      </c>
      <c r="B1228" s="67" t="str">
        <f t="shared" si="11"/>
        <v>M: regret</v>
      </c>
      <c r="C1228" s="68"/>
      <c r="D1228" s="68">
        <v>45872.0</v>
      </c>
      <c r="E1228" s="66">
        <v>8.0</v>
      </c>
      <c r="F1228" s="66" t="str">
        <f>IFERROR(__xludf.DUMMYFUNCTION("GOOGLETRANSLATE(A1228,""en"",""pt"")"),"arrependimento")</f>
        <v>arrependimento</v>
      </c>
      <c r="G1228" s="69"/>
    </row>
    <row r="1229" ht="22.5" customHeight="1">
      <c r="A1229" s="66" t="s">
        <v>1596</v>
      </c>
      <c r="B1229" s="67" t="str">
        <f t="shared" si="11"/>
        <v>M: saturated</v>
      </c>
      <c r="C1229" s="68"/>
      <c r="D1229" s="68">
        <v>45872.0</v>
      </c>
      <c r="E1229" s="66">
        <v>9.0</v>
      </c>
      <c r="F1229" s="66" t="str">
        <f>IFERROR(__xludf.DUMMYFUNCTION("GOOGLETRANSLATE(A1229,""en"",""pt"")"),"saturado")</f>
        <v>saturado</v>
      </c>
      <c r="G1229" s="69"/>
    </row>
    <row r="1230" ht="22.5" customHeight="1">
      <c r="A1230" s="66" t="s">
        <v>1597</v>
      </c>
      <c r="B1230" s="67" t="str">
        <f t="shared" si="11"/>
        <v>M: childhood</v>
      </c>
      <c r="C1230" s="68"/>
      <c r="D1230" s="68">
        <v>45872.0</v>
      </c>
      <c r="E1230" s="66">
        <v>10.0</v>
      </c>
      <c r="F1230" s="66" t="str">
        <f>IFERROR(__xludf.DUMMYFUNCTION("GOOGLETRANSLATE(A1230,""en"",""pt"")"),"infância")</f>
        <v>infância</v>
      </c>
      <c r="G1230" s="69"/>
    </row>
    <row r="1231" ht="22.5" customHeight="1">
      <c r="A1231" s="66" t="s">
        <v>1598</v>
      </c>
      <c r="B1231" s="67" t="str">
        <f t="shared" si="11"/>
        <v>M: parents</v>
      </c>
      <c r="C1231" s="68"/>
      <c r="D1231" s="68">
        <v>45872.0</v>
      </c>
      <c r="E1231" s="66">
        <v>1.0</v>
      </c>
      <c r="F1231" s="66" t="str">
        <f>IFERROR(__xludf.DUMMYFUNCTION("GOOGLETRANSLATE(A1231,""en"",""pt"")"),"pais")</f>
        <v>pais</v>
      </c>
      <c r="G1231" s="69"/>
    </row>
    <row r="1232" ht="22.5" customHeight="1">
      <c r="A1232" s="66" t="s">
        <v>1599</v>
      </c>
      <c r="B1232" s="67" t="str">
        <f t="shared" si="11"/>
        <v>M: simultaneously</v>
      </c>
      <c r="C1232" s="68"/>
      <c r="D1232" s="68">
        <v>45873.0</v>
      </c>
      <c r="E1232" s="66">
        <v>2.0</v>
      </c>
      <c r="F1232" s="66" t="str">
        <f>IFERROR(__xludf.DUMMYFUNCTION("GOOGLETRANSLATE(A1232,""en"",""pt"")"),"simultaneamente")</f>
        <v>simultaneamente</v>
      </c>
      <c r="G1232" s="69"/>
    </row>
    <row r="1233" ht="22.5" customHeight="1">
      <c r="A1233" s="66" t="s">
        <v>1600</v>
      </c>
      <c r="B1233" s="67" t="str">
        <f t="shared" si="11"/>
        <v>M: guest</v>
      </c>
      <c r="C1233" s="68"/>
      <c r="D1233" s="68">
        <v>45873.0</v>
      </c>
      <c r="E1233" s="66">
        <v>3.0</v>
      </c>
      <c r="F1233" s="66" t="str">
        <f>IFERROR(__xludf.DUMMYFUNCTION("GOOGLETRANSLATE(A1233,""en"",""pt"")"),"convidado")</f>
        <v>convidado</v>
      </c>
      <c r="G1233" s="69"/>
    </row>
    <row r="1234" ht="22.5" customHeight="1">
      <c r="A1234" s="66" t="s">
        <v>1601</v>
      </c>
      <c r="B1234" s="67" t="str">
        <f t="shared" si="11"/>
        <v>M: emphasize</v>
      </c>
      <c r="C1234" s="68"/>
      <c r="D1234" s="68">
        <v>45873.0</v>
      </c>
      <c r="E1234" s="66">
        <v>4.0</v>
      </c>
      <c r="F1234" s="66" t="str">
        <f>IFERROR(__xludf.DUMMYFUNCTION("GOOGLETRANSLATE(A1234,""en"",""pt"")"),"enfatizar")</f>
        <v>enfatizar</v>
      </c>
      <c r="G1234" s="69"/>
    </row>
    <row r="1235" ht="22.5" customHeight="1">
      <c r="A1235" s="66" t="s">
        <v>1602</v>
      </c>
      <c r="B1235" s="67" t="str">
        <f t="shared" si="11"/>
        <v>M: shame</v>
      </c>
      <c r="C1235" s="68"/>
      <c r="D1235" s="68">
        <v>45873.0</v>
      </c>
      <c r="E1235" s="66">
        <v>5.0</v>
      </c>
      <c r="F1235" s="66" t="str">
        <f>IFERROR(__xludf.DUMMYFUNCTION("GOOGLETRANSLATE(A1235,""en"",""pt"")"),"vergonha")</f>
        <v>vergonha</v>
      </c>
      <c r="G1235" s="69"/>
    </row>
    <row r="1236" ht="22.5" customHeight="1">
      <c r="A1236" s="66" t="s">
        <v>1603</v>
      </c>
      <c r="B1236" s="67" t="str">
        <f t="shared" si="11"/>
        <v>M: sneezing</v>
      </c>
      <c r="C1236" s="68"/>
      <c r="D1236" s="68">
        <v>45873.0</v>
      </c>
      <c r="E1236" s="66">
        <v>6.0</v>
      </c>
      <c r="F1236" s="66" t="str">
        <f>IFERROR(__xludf.DUMMYFUNCTION("GOOGLETRANSLATE(A1236,""en"",""pt"")"),"espirros")</f>
        <v>espirros</v>
      </c>
      <c r="G1236" s="69"/>
    </row>
    <row r="1237" ht="22.5" customHeight="1">
      <c r="A1237" s="66" t="s">
        <v>1604</v>
      </c>
      <c r="B1237" s="67" t="str">
        <f t="shared" si="11"/>
        <v>M: frontline</v>
      </c>
      <c r="C1237" s="68"/>
      <c r="D1237" s="68">
        <v>45873.0</v>
      </c>
      <c r="E1237" s="66">
        <v>7.0</v>
      </c>
      <c r="F1237" s="66" t="str">
        <f>IFERROR(__xludf.DUMMYFUNCTION("GOOGLETRANSLATE(A1237,""en"",""pt"")"),"linha de frente")</f>
        <v>linha de frente</v>
      </c>
      <c r="G1237" s="69"/>
    </row>
    <row r="1238" ht="22.5" customHeight="1">
      <c r="A1238" s="66" t="s">
        <v>1605</v>
      </c>
      <c r="B1238" s="67" t="str">
        <f t="shared" si="11"/>
        <v>M: chrotle</v>
      </c>
      <c r="C1238" s="68"/>
      <c r="D1238" s="68">
        <v>45873.0</v>
      </c>
      <c r="E1238" s="66">
        <v>8.0</v>
      </c>
      <c r="F1238" s="66" t="str">
        <f>IFERROR(__xludf.DUMMYFUNCTION("GOOGLETRANSLATE(A1238,""en"",""pt"")"),"chrotle")</f>
        <v>chrotle</v>
      </c>
      <c r="G1238" s="69"/>
    </row>
    <row r="1239" ht="22.5" customHeight="1">
      <c r="A1239" s="66" t="s">
        <v>1606</v>
      </c>
      <c r="B1239" s="67" t="str">
        <f t="shared" si="11"/>
        <v>M: grunting</v>
      </c>
      <c r="C1239" s="68"/>
      <c r="D1239" s="68">
        <v>45873.0</v>
      </c>
      <c r="E1239" s="66">
        <v>9.0</v>
      </c>
      <c r="F1239" s="66" t="str">
        <f>IFERROR(__xludf.DUMMYFUNCTION("GOOGLETRANSLATE(A1239,""en"",""pt"")"),"grunhindo")</f>
        <v>grunhindo</v>
      </c>
      <c r="G1239" s="69"/>
    </row>
    <row r="1240" ht="22.5" customHeight="1">
      <c r="A1240" s="66" t="s">
        <v>1607</v>
      </c>
      <c r="B1240" s="67" t="str">
        <f t="shared" si="11"/>
        <v>M: elitism</v>
      </c>
      <c r="C1240" s="68"/>
      <c r="D1240" s="68">
        <v>45873.0</v>
      </c>
      <c r="E1240" s="66">
        <v>10.0</v>
      </c>
      <c r="F1240" s="66" t="str">
        <f>IFERROR(__xludf.DUMMYFUNCTION("GOOGLETRANSLATE(A1240,""en"",""pt"")"),"elitismo")</f>
        <v>elitismo</v>
      </c>
      <c r="G1240" s="69"/>
    </row>
    <row r="1241" ht="22.5" customHeight="1">
      <c r="A1241" s="66" t="s">
        <v>1608</v>
      </c>
      <c r="B1241" s="67" t="str">
        <f t="shared" si="11"/>
        <v>M: straight</v>
      </c>
      <c r="C1241" s="68"/>
      <c r="D1241" s="68">
        <v>45873.0</v>
      </c>
      <c r="E1241" s="66">
        <v>1.0</v>
      </c>
      <c r="F1241" s="66" t="str">
        <f>IFERROR(__xludf.DUMMYFUNCTION("GOOGLETRANSLATE(A1241,""en"",""pt"")"),"direto")</f>
        <v>direto</v>
      </c>
      <c r="G1241" s="69"/>
    </row>
    <row r="1242" ht="22.5" customHeight="1">
      <c r="A1242" s="66" t="s">
        <v>1609</v>
      </c>
      <c r="B1242" s="67" t="str">
        <f t="shared" si="11"/>
        <v>M: receiving</v>
      </c>
      <c r="C1242" s="68"/>
      <c r="D1242" s="68">
        <v>45874.0</v>
      </c>
      <c r="E1242" s="66">
        <v>2.0</v>
      </c>
      <c r="F1242" s="66" t="str">
        <f>IFERROR(__xludf.DUMMYFUNCTION("GOOGLETRANSLATE(A1242,""en"",""pt"")"),"recebendo")</f>
        <v>recebendo</v>
      </c>
      <c r="G1242" s="69"/>
    </row>
    <row r="1243" ht="22.5" customHeight="1">
      <c r="A1243" s="66" t="s">
        <v>1610</v>
      </c>
      <c r="B1243" s="67" t="str">
        <f t="shared" si="11"/>
        <v>M: slap</v>
      </c>
      <c r="C1243" s="68"/>
      <c r="D1243" s="68">
        <v>45874.0</v>
      </c>
      <c r="E1243" s="66">
        <v>3.0</v>
      </c>
      <c r="F1243" s="66" t="str">
        <f>IFERROR(__xludf.DUMMYFUNCTION("GOOGLETRANSLATE(A1243,""en"",""pt"")"),"tapa")</f>
        <v>tapa</v>
      </c>
      <c r="G1243" s="69"/>
    </row>
    <row r="1244" ht="22.5" customHeight="1">
      <c r="A1244" s="66" t="s">
        <v>1611</v>
      </c>
      <c r="B1244" s="67" t="str">
        <f t="shared" si="11"/>
        <v>M: nails</v>
      </c>
      <c r="C1244" s="68"/>
      <c r="D1244" s="68">
        <v>45874.0</v>
      </c>
      <c r="E1244" s="66">
        <v>4.0</v>
      </c>
      <c r="F1244" s="66" t="str">
        <f>IFERROR(__xludf.DUMMYFUNCTION("GOOGLETRANSLATE(A1244,""en"",""pt"")"),"unhas")</f>
        <v>unhas</v>
      </c>
      <c r="G1244" s="69"/>
    </row>
    <row r="1245" ht="22.5" customHeight="1">
      <c r="A1245" s="66" t="s">
        <v>1612</v>
      </c>
      <c r="B1245" s="67" t="str">
        <f t="shared" si="11"/>
        <v>M: sitting</v>
      </c>
      <c r="C1245" s="66">
        <v>1.0</v>
      </c>
      <c r="D1245" s="68">
        <v>45874.0</v>
      </c>
      <c r="E1245" s="66">
        <v>5.0</v>
      </c>
      <c r="F1245" s="66" t="s">
        <v>1613</v>
      </c>
      <c r="G1245" s="66" t="s">
        <v>247</v>
      </c>
    </row>
    <row r="1246" ht="22.5" customHeight="1">
      <c r="A1246" s="66" t="s">
        <v>1614</v>
      </c>
      <c r="B1246" s="67" t="str">
        <f t="shared" si="11"/>
        <v>M: goddamn</v>
      </c>
      <c r="C1246" s="68"/>
      <c r="D1246" s="68">
        <v>45874.0</v>
      </c>
      <c r="E1246" s="66">
        <v>6.0</v>
      </c>
      <c r="F1246" s="66" t="str">
        <f>IFERROR(__xludf.DUMMYFUNCTION("GOOGLETRANSLATE(A1246,""en"",""pt"")"),"caralho")</f>
        <v>caralho</v>
      </c>
      <c r="G1246" s="69"/>
    </row>
    <row r="1247" ht="22.5" customHeight="1">
      <c r="A1247" s="66" t="s">
        <v>1615</v>
      </c>
      <c r="B1247" s="67" t="str">
        <f t="shared" si="11"/>
        <v>M: slightly</v>
      </c>
      <c r="C1247" s="68"/>
      <c r="D1247" s="68">
        <v>45874.0</v>
      </c>
      <c r="E1247" s="66">
        <v>7.0</v>
      </c>
      <c r="F1247" s="66" t="str">
        <f>IFERROR(__xludf.DUMMYFUNCTION("GOOGLETRANSLATE(A1247,""en"",""pt"")"),"um pouco")</f>
        <v>um pouco</v>
      </c>
      <c r="G1247" s="69"/>
    </row>
    <row r="1248" ht="22.5" customHeight="1">
      <c r="A1248" s="66" t="s">
        <v>1616</v>
      </c>
      <c r="B1248" s="67" t="str">
        <f t="shared" si="11"/>
        <v>M: hooray</v>
      </c>
      <c r="C1248" s="68"/>
      <c r="D1248" s="68">
        <v>45874.0</v>
      </c>
      <c r="E1248" s="66">
        <v>8.0</v>
      </c>
      <c r="F1248" s="66" t="str">
        <f>IFERROR(__xludf.DUMMYFUNCTION("GOOGLETRANSLATE(A1248,""en"",""pt"")"),"Viva!")</f>
        <v>Viva!</v>
      </c>
      <c r="G1248" s="69"/>
    </row>
    <row r="1249" ht="22.5" customHeight="1">
      <c r="A1249" s="66" t="s">
        <v>1617</v>
      </c>
      <c r="B1249" s="67" t="str">
        <f t="shared" si="11"/>
        <v>M: roof</v>
      </c>
      <c r="C1249" s="66">
        <v>1.0</v>
      </c>
      <c r="D1249" s="68">
        <v>45874.0</v>
      </c>
      <c r="E1249" s="66">
        <v>9.0</v>
      </c>
      <c r="F1249" s="66" t="s">
        <v>1618</v>
      </c>
      <c r="G1249" s="66" t="s">
        <v>247</v>
      </c>
    </row>
    <row r="1250" ht="22.5" customHeight="1">
      <c r="A1250" s="66" t="s">
        <v>1619</v>
      </c>
      <c r="B1250" s="67" t="str">
        <f t="shared" si="11"/>
        <v>M: uneventful</v>
      </c>
      <c r="C1250" s="68"/>
      <c r="D1250" s="68">
        <v>45874.0</v>
      </c>
      <c r="E1250" s="66">
        <v>10.0</v>
      </c>
      <c r="F1250" s="66" t="str">
        <f>IFERROR(__xludf.DUMMYFUNCTION("GOOGLETRANSLATE(A1250,""en"",""pt"")"),"sem incidentes")</f>
        <v>sem incidentes</v>
      </c>
      <c r="G1250" s="69"/>
    </row>
    <row r="1251" ht="22.5" customHeight="1">
      <c r="A1251" s="66" t="s">
        <v>1620</v>
      </c>
      <c r="B1251" s="67" t="str">
        <f t="shared" si="11"/>
        <v>M: craftsmanship</v>
      </c>
      <c r="C1251" s="68"/>
      <c r="D1251" s="68">
        <v>45874.0</v>
      </c>
      <c r="E1251" s="66">
        <v>1.0</v>
      </c>
      <c r="F1251" s="66" t="str">
        <f>IFERROR(__xludf.DUMMYFUNCTION("GOOGLETRANSLATE(A1251,""en"",""pt"")"),"artesanato")</f>
        <v>artesanato</v>
      </c>
      <c r="G1251" s="69"/>
    </row>
    <row r="1252" ht="22.5" customHeight="1">
      <c r="A1252" s="66" t="s">
        <v>1621</v>
      </c>
      <c r="B1252" s="67" t="str">
        <f t="shared" si="11"/>
        <v>M: slacked</v>
      </c>
      <c r="C1252" s="66">
        <v>1.0</v>
      </c>
      <c r="D1252" s="68">
        <v>45875.0</v>
      </c>
      <c r="E1252" s="66">
        <v>2.0</v>
      </c>
      <c r="F1252" s="71" t="s">
        <v>1622</v>
      </c>
      <c r="G1252" s="66" t="s">
        <v>247</v>
      </c>
    </row>
    <row r="1253" ht="22.5" customHeight="1">
      <c r="A1253" s="66" t="s">
        <v>1623</v>
      </c>
      <c r="B1253" s="67" t="str">
        <f t="shared" si="11"/>
        <v>M: horn</v>
      </c>
      <c r="C1253" s="68"/>
      <c r="D1253" s="68">
        <v>45875.0</v>
      </c>
      <c r="E1253" s="66">
        <v>3.0</v>
      </c>
      <c r="F1253" s="66" t="str">
        <f>IFERROR(__xludf.DUMMYFUNCTION("GOOGLETRANSLATE(A1253,""en"",""pt"")"),"buzina")</f>
        <v>buzina</v>
      </c>
      <c r="G1253" s="69"/>
    </row>
    <row r="1254" ht="22.5" customHeight="1">
      <c r="A1254" s="66" t="s">
        <v>1624</v>
      </c>
      <c r="B1254" s="67" t="str">
        <f t="shared" si="11"/>
        <v>M: pin</v>
      </c>
      <c r="C1254" s="68"/>
      <c r="D1254" s="68">
        <v>45875.0</v>
      </c>
      <c r="E1254" s="66">
        <v>4.0</v>
      </c>
      <c r="F1254" s="66" t="str">
        <f>IFERROR(__xludf.DUMMYFUNCTION("GOOGLETRANSLATE(A1254,""en"",""pt"")"),"alfinete")</f>
        <v>alfinete</v>
      </c>
      <c r="G1254" s="69"/>
    </row>
    <row r="1255" ht="22.5" customHeight="1">
      <c r="A1255" s="66" t="s">
        <v>1625</v>
      </c>
      <c r="B1255" s="67" t="str">
        <f t="shared" si="11"/>
        <v>M: deconstruction</v>
      </c>
      <c r="C1255" s="68"/>
      <c r="D1255" s="68">
        <v>45875.0</v>
      </c>
      <c r="E1255" s="66">
        <v>5.0</v>
      </c>
      <c r="F1255" s="66" t="str">
        <f>IFERROR(__xludf.DUMMYFUNCTION("GOOGLETRANSLATE(A1255,""en"",""pt"")"),"desconstrução")</f>
        <v>desconstrução</v>
      </c>
      <c r="G1255" s="69"/>
    </row>
    <row r="1256" ht="22.5" customHeight="1">
      <c r="A1256" s="66" t="s">
        <v>1626</v>
      </c>
      <c r="B1256" s="67" t="str">
        <f t="shared" si="11"/>
        <v>M: specifically</v>
      </c>
      <c r="C1256" s="68"/>
      <c r="D1256" s="68">
        <v>45875.0</v>
      </c>
      <c r="E1256" s="66">
        <v>6.0</v>
      </c>
      <c r="F1256" s="66" t="str">
        <f>IFERROR(__xludf.DUMMYFUNCTION("GOOGLETRANSLATE(A1256,""en"",""pt"")"),"especificamente")</f>
        <v>especificamente</v>
      </c>
      <c r="G1256" s="69"/>
    </row>
    <row r="1257" ht="22.5" customHeight="1">
      <c r="A1257" s="66" t="s">
        <v>1627</v>
      </c>
      <c r="B1257" s="67" t="str">
        <f t="shared" si="11"/>
        <v>M: troops</v>
      </c>
      <c r="C1257" s="68"/>
      <c r="D1257" s="68">
        <v>45875.0</v>
      </c>
      <c r="E1257" s="66">
        <v>7.0</v>
      </c>
      <c r="F1257" s="66" t="str">
        <f>IFERROR(__xludf.DUMMYFUNCTION("GOOGLETRANSLATE(A1257,""en"",""pt"")"),"tropas")</f>
        <v>tropas</v>
      </c>
      <c r="G1257" s="69"/>
    </row>
    <row r="1258" ht="22.5" customHeight="1">
      <c r="A1258" s="66" t="s">
        <v>1628</v>
      </c>
      <c r="B1258" s="67" t="str">
        <f t="shared" si="11"/>
        <v>M: jerk</v>
      </c>
      <c r="C1258" s="68"/>
      <c r="D1258" s="68">
        <v>45875.0</v>
      </c>
      <c r="E1258" s="66">
        <v>8.0</v>
      </c>
      <c r="F1258" s="66" t="str">
        <f>IFERROR(__xludf.DUMMYFUNCTION("GOOGLETRANSLATE(A1258,""en"",""pt"")"),"idiota")</f>
        <v>idiota</v>
      </c>
      <c r="G1258" s="69"/>
    </row>
    <row r="1259" ht="22.5" customHeight="1">
      <c r="A1259" s="66" t="s">
        <v>1629</v>
      </c>
      <c r="B1259" s="67" t="str">
        <f t="shared" si="11"/>
        <v>M: swallow</v>
      </c>
      <c r="C1259" s="68"/>
      <c r="D1259" s="68">
        <v>45875.0</v>
      </c>
      <c r="E1259" s="66">
        <v>9.0</v>
      </c>
      <c r="F1259" s="66" t="str">
        <f>IFERROR(__xludf.DUMMYFUNCTION("GOOGLETRANSLATE(A1259,""en"",""pt"")"),"engolir")</f>
        <v>engolir</v>
      </c>
      <c r="G1259" s="69"/>
    </row>
    <row r="1260" ht="22.5" customHeight="1">
      <c r="A1260" s="66" t="s">
        <v>1630</v>
      </c>
      <c r="B1260" s="67" t="str">
        <f t="shared" si="11"/>
        <v>M: distinction</v>
      </c>
      <c r="C1260" s="68"/>
      <c r="D1260" s="68">
        <v>45875.0</v>
      </c>
      <c r="E1260" s="66">
        <v>10.0</v>
      </c>
      <c r="F1260" s="66" t="str">
        <f>IFERROR(__xludf.DUMMYFUNCTION("GOOGLETRANSLATE(A1260,""en"",""pt"")"),"distinção")</f>
        <v>distinção</v>
      </c>
      <c r="G1260" s="69"/>
    </row>
    <row r="1261" ht="22.5" customHeight="1">
      <c r="A1261" s="66" t="s">
        <v>1631</v>
      </c>
      <c r="B1261" s="67" t="str">
        <f t="shared" si="11"/>
        <v>M: divergent</v>
      </c>
      <c r="C1261" s="68"/>
      <c r="D1261" s="68">
        <v>45875.0</v>
      </c>
      <c r="E1261" s="66">
        <v>1.0</v>
      </c>
      <c r="F1261" s="66" t="str">
        <f>IFERROR(__xludf.DUMMYFUNCTION("GOOGLETRANSLATE(A1261,""en"",""pt"")"),"divergente")</f>
        <v>divergente</v>
      </c>
      <c r="G1261" s="69"/>
    </row>
    <row r="1262" ht="22.5" customHeight="1">
      <c r="A1262" s="66" t="s">
        <v>1632</v>
      </c>
      <c r="B1262" s="67" t="str">
        <f t="shared" si="11"/>
        <v>M: insurgent</v>
      </c>
      <c r="C1262" s="68"/>
      <c r="D1262" s="68">
        <v>45876.0</v>
      </c>
      <c r="E1262" s="66">
        <v>2.0</v>
      </c>
      <c r="F1262" s="66" t="str">
        <f>IFERROR(__xludf.DUMMYFUNCTION("GOOGLETRANSLATE(A1262,""en"",""pt"")"),"insurgente")</f>
        <v>insurgente</v>
      </c>
      <c r="G1262" s="69"/>
    </row>
    <row r="1263" ht="22.5" customHeight="1">
      <c r="A1263" s="66" t="s">
        <v>1633</v>
      </c>
      <c r="B1263" s="67" t="str">
        <f t="shared" si="11"/>
        <v>M: hunger</v>
      </c>
      <c r="C1263" s="66">
        <v>1.0</v>
      </c>
      <c r="D1263" s="68">
        <v>45876.0</v>
      </c>
      <c r="E1263" s="66">
        <v>3.0</v>
      </c>
      <c r="F1263" s="66" t="s">
        <v>1634</v>
      </c>
      <c r="G1263" s="66" t="s">
        <v>247</v>
      </c>
    </row>
    <row r="1264" ht="22.5" customHeight="1">
      <c r="A1264" s="66" t="s">
        <v>1635</v>
      </c>
      <c r="B1264" s="67" t="str">
        <f t="shared" si="11"/>
        <v>M: covered</v>
      </c>
      <c r="C1264" s="68"/>
      <c r="D1264" s="68">
        <v>45876.0</v>
      </c>
      <c r="E1264" s="66">
        <v>4.0</v>
      </c>
      <c r="F1264" s="66" t="str">
        <f>IFERROR(__xludf.DUMMYFUNCTION("GOOGLETRANSLATE(A1264,""en"",""pt"")"),"abordado")</f>
        <v>abordado</v>
      </c>
      <c r="G1264" s="69"/>
    </row>
    <row r="1265" ht="22.5" customHeight="1">
      <c r="A1265" s="66" t="s">
        <v>1636</v>
      </c>
      <c r="B1265" s="67" t="str">
        <f t="shared" si="11"/>
        <v>M: controversial</v>
      </c>
      <c r="C1265" s="68"/>
      <c r="D1265" s="68">
        <v>45876.0</v>
      </c>
      <c r="E1265" s="66">
        <v>5.0</v>
      </c>
      <c r="F1265" s="66" t="str">
        <f>IFERROR(__xludf.DUMMYFUNCTION("GOOGLETRANSLATE(A1265,""en"",""pt"")"),"controverso")</f>
        <v>controverso</v>
      </c>
      <c r="G1265" s="69"/>
    </row>
    <row r="1266" ht="22.5" customHeight="1">
      <c r="A1266" s="66" t="s">
        <v>1637</v>
      </c>
      <c r="B1266" s="67" t="str">
        <f t="shared" si="11"/>
        <v>M: cowardly</v>
      </c>
      <c r="C1266" s="66">
        <v>1.0</v>
      </c>
      <c r="D1266" s="68">
        <v>45876.0</v>
      </c>
      <c r="E1266" s="66">
        <v>6.0</v>
      </c>
      <c r="F1266" s="66" t="s">
        <v>1638</v>
      </c>
      <c r="G1266" s="66" t="s">
        <v>247</v>
      </c>
    </row>
    <row r="1267" ht="22.5" customHeight="1">
      <c r="A1267" s="66" t="s">
        <v>1639</v>
      </c>
      <c r="B1267" s="67" t="str">
        <f t="shared" si="11"/>
        <v>M: remarks</v>
      </c>
      <c r="C1267" s="66">
        <v>1.0</v>
      </c>
      <c r="D1267" s="68">
        <v>45876.0</v>
      </c>
      <c r="E1267" s="66">
        <v>7.0</v>
      </c>
      <c r="F1267" s="71" t="s">
        <v>1640</v>
      </c>
      <c r="G1267" s="66" t="s">
        <v>247</v>
      </c>
    </row>
    <row r="1268" ht="22.5" customHeight="1">
      <c r="A1268" s="66" t="s">
        <v>1641</v>
      </c>
      <c r="B1268" s="67" t="str">
        <f t="shared" si="11"/>
        <v>M: entrepreneur</v>
      </c>
      <c r="C1268" s="68"/>
      <c r="D1268" s="68">
        <v>45876.0</v>
      </c>
      <c r="E1268" s="66">
        <v>8.0</v>
      </c>
      <c r="F1268" s="66" t="str">
        <f>IFERROR(__xludf.DUMMYFUNCTION("GOOGLETRANSLATE(A1268,""en"",""pt"")"),"empreendedor")</f>
        <v>empreendedor</v>
      </c>
      <c r="G1268" s="69"/>
    </row>
    <row r="1269" ht="22.5" customHeight="1">
      <c r="A1269" s="66" t="s">
        <v>1642</v>
      </c>
      <c r="B1269" s="67" t="str">
        <f t="shared" si="11"/>
        <v>M: scamming</v>
      </c>
      <c r="C1269" s="68"/>
      <c r="D1269" s="68">
        <v>45876.0</v>
      </c>
      <c r="E1269" s="66">
        <v>9.0</v>
      </c>
      <c r="F1269" s="66" t="str">
        <f>IFERROR(__xludf.DUMMYFUNCTION("GOOGLETRANSLATE(A1269,""en"",""pt"")"),"golpes")</f>
        <v>golpes</v>
      </c>
      <c r="G1269" s="69"/>
    </row>
    <row r="1270" ht="22.5" customHeight="1">
      <c r="A1270" s="66" t="s">
        <v>1643</v>
      </c>
      <c r="B1270" s="67" t="str">
        <f t="shared" si="11"/>
        <v>M: get me away</v>
      </c>
      <c r="C1270" s="68"/>
      <c r="D1270" s="68">
        <v>45876.0</v>
      </c>
      <c r="E1270" s="66">
        <v>10.0</v>
      </c>
      <c r="F1270" s="66" t="str">
        <f>IFERROR(__xludf.DUMMYFUNCTION("GOOGLETRANSLATE(A1270,""en"",""pt"")"),"me tire daqui")</f>
        <v>me tire daqui</v>
      </c>
      <c r="G1270" s="69"/>
    </row>
    <row r="1271" ht="22.5" customHeight="1">
      <c r="A1271" s="66" t="s">
        <v>1644</v>
      </c>
      <c r="B1271" s="67" t="str">
        <f t="shared" si="11"/>
        <v>M: be nice</v>
      </c>
      <c r="C1271" s="68"/>
      <c r="D1271" s="68">
        <v>45876.0</v>
      </c>
      <c r="E1271" s="66">
        <v>1.0</v>
      </c>
      <c r="F1271" s="66" t="str">
        <f>IFERROR(__xludf.DUMMYFUNCTION("GOOGLETRANSLATE(A1271,""en"",""pt"")"),"Seja legal")</f>
        <v>Seja legal</v>
      </c>
      <c r="G1271" s="69"/>
    </row>
    <row r="1272" ht="22.5" customHeight="1">
      <c r="A1272" s="66" t="s">
        <v>1645</v>
      </c>
      <c r="B1272" s="67" t="str">
        <f t="shared" si="11"/>
        <v>M: quickly</v>
      </c>
      <c r="C1272" s="68"/>
      <c r="D1272" s="68">
        <v>45877.0</v>
      </c>
      <c r="E1272" s="66">
        <v>2.0</v>
      </c>
      <c r="F1272" s="66" t="str">
        <f>IFERROR(__xludf.DUMMYFUNCTION("GOOGLETRANSLATE(A1272,""en"",""pt"")"),"rapidamente")</f>
        <v>rapidamente</v>
      </c>
      <c r="G1272" s="69"/>
    </row>
    <row r="1273" ht="22.5" customHeight="1">
      <c r="A1273" s="66" t="s">
        <v>1646</v>
      </c>
      <c r="B1273" s="67" t="str">
        <f t="shared" si="11"/>
        <v>M: cupboard</v>
      </c>
      <c r="C1273" s="66">
        <v>1.0</v>
      </c>
      <c r="D1273" s="68">
        <v>45877.0</v>
      </c>
      <c r="E1273" s="66">
        <v>3.0</v>
      </c>
      <c r="F1273" s="66" t="s">
        <v>1647</v>
      </c>
      <c r="G1273" s="66" t="s">
        <v>247</v>
      </c>
    </row>
    <row r="1274" ht="22.5" customHeight="1">
      <c r="A1274" s="66" t="s">
        <v>1648</v>
      </c>
      <c r="B1274" s="67" t="str">
        <f t="shared" si="11"/>
        <v>M: forgive</v>
      </c>
      <c r="C1274" s="66">
        <v>1.0</v>
      </c>
      <c r="D1274" s="68">
        <v>45877.0</v>
      </c>
      <c r="E1274" s="66">
        <v>4.0</v>
      </c>
      <c r="F1274" s="66" t="s">
        <v>1649</v>
      </c>
      <c r="G1274" s="66" t="s">
        <v>247</v>
      </c>
    </row>
    <row r="1275" ht="22.5" customHeight="1">
      <c r="A1275" s="66" t="s">
        <v>1650</v>
      </c>
      <c r="B1275" s="67" t="str">
        <f t="shared" si="11"/>
        <v>M: smart</v>
      </c>
      <c r="C1275" s="68"/>
      <c r="D1275" s="68">
        <v>45877.0</v>
      </c>
      <c r="E1275" s="66">
        <v>5.0</v>
      </c>
      <c r="F1275" s="66" t="str">
        <f>IFERROR(__xludf.DUMMYFUNCTION("GOOGLETRANSLATE(A1275,""en"",""pt"")"),"inteligente")</f>
        <v>inteligente</v>
      </c>
      <c r="G1275" s="69"/>
    </row>
    <row r="1276" ht="22.5" customHeight="1">
      <c r="A1276" s="66" t="s">
        <v>1651</v>
      </c>
      <c r="B1276" s="67" t="str">
        <f t="shared" si="11"/>
        <v>M: marker</v>
      </c>
      <c r="C1276" s="66">
        <v>1.0</v>
      </c>
      <c r="D1276" s="68">
        <v>45877.0</v>
      </c>
      <c r="E1276" s="66">
        <v>6.0</v>
      </c>
      <c r="F1276" s="66" t="s">
        <v>1652</v>
      </c>
      <c r="G1276" s="66" t="s">
        <v>247</v>
      </c>
    </row>
    <row r="1277" ht="22.5" customHeight="1">
      <c r="A1277" s="66" t="s">
        <v>1653</v>
      </c>
      <c r="B1277" s="67" t="str">
        <f t="shared" si="11"/>
        <v>M: hanging out</v>
      </c>
      <c r="C1277" s="66">
        <v>1.0</v>
      </c>
      <c r="D1277" s="68">
        <v>45877.0</v>
      </c>
      <c r="E1277" s="66">
        <v>7.0</v>
      </c>
      <c r="F1277" s="66" t="s">
        <v>1654</v>
      </c>
      <c r="G1277" s="66" t="s">
        <v>247</v>
      </c>
    </row>
    <row r="1278" ht="22.5" customHeight="1">
      <c r="A1278" s="66" t="s">
        <v>1655</v>
      </c>
      <c r="B1278" s="67" t="str">
        <f t="shared" si="11"/>
        <v>M: doorbell</v>
      </c>
      <c r="C1278" s="68"/>
      <c r="D1278" s="68">
        <v>45877.0</v>
      </c>
      <c r="E1278" s="66">
        <v>8.0</v>
      </c>
      <c r="F1278" s="66" t="str">
        <f>IFERROR(__xludf.DUMMYFUNCTION("GOOGLETRANSLATE(A1278,""en"",""pt"")"),"campainha")</f>
        <v>campainha</v>
      </c>
      <c r="G1278" s="69"/>
    </row>
    <row r="1279" ht="22.5" customHeight="1">
      <c r="A1279" s="66" t="s">
        <v>1656</v>
      </c>
      <c r="B1279" s="67" t="str">
        <f t="shared" si="11"/>
        <v>M: token</v>
      </c>
      <c r="C1279" s="68"/>
      <c r="D1279" s="68">
        <v>45877.0</v>
      </c>
      <c r="E1279" s="66">
        <v>9.0</v>
      </c>
      <c r="F1279" s="66" t="str">
        <f>IFERROR(__xludf.DUMMYFUNCTION("GOOGLETRANSLATE(A1279,""en"",""pt"")"),"token")</f>
        <v>token</v>
      </c>
      <c r="G1279" s="69"/>
    </row>
    <row r="1280" ht="22.5" customHeight="1">
      <c r="A1280" s="66" t="s">
        <v>1657</v>
      </c>
      <c r="B1280" s="67" t="str">
        <f t="shared" si="11"/>
        <v>M: stale</v>
      </c>
      <c r="C1280" s="68"/>
      <c r="D1280" s="68">
        <v>45877.0</v>
      </c>
      <c r="E1280" s="66">
        <v>10.0</v>
      </c>
      <c r="F1280" s="66" t="str">
        <f>IFERROR(__xludf.DUMMYFUNCTION("GOOGLETRANSLATE(A1280,""en"",""pt"")"),"estagnado")</f>
        <v>estagnado</v>
      </c>
      <c r="G1280" s="69"/>
    </row>
    <row r="1281" ht="22.5" customHeight="1">
      <c r="A1281" s="66" t="s">
        <v>1658</v>
      </c>
      <c r="B1281" s="67" t="str">
        <f t="shared" si="11"/>
        <v>M: sadly</v>
      </c>
      <c r="C1281" s="68"/>
      <c r="D1281" s="68">
        <v>45877.0</v>
      </c>
      <c r="E1281" s="66">
        <v>1.0</v>
      </c>
      <c r="F1281" s="66" t="str">
        <f>IFERROR(__xludf.DUMMYFUNCTION("GOOGLETRANSLATE(A1281,""en"",""pt"")"),"tristemente")</f>
        <v>tristemente</v>
      </c>
      <c r="G1281" s="69"/>
    </row>
    <row r="1282" ht="22.5" customHeight="1">
      <c r="A1282" s="66" t="s">
        <v>1659</v>
      </c>
      <c r="B1282" s="67" t="str">
        <f t="shared" si="11"/>
        <v>M: say it</v>
      </c>
      <c r="C1282" s="68"/>
      <c r="D1282" s="68">
        <v>45878.0</v>
      </c>
      <c r="E1282" s="66">
        <v>2.0</v>
      </c>
      <c r="F1282" s="66" t="str">
        <f>IFERROR(__xludf.DUMMYFUNCTION("GOOGLETRANSLATE(A1282,""en"",""pt"")"),"diga isso")</f>
        <v>diga isso</v>
      </c>
      <c r="G1282" s="69"/>
    </row>
    <row r="1283" ht="22.5" customHeight="1">
      <c r="A1283" s="66" t="s">
        <v>1660</v>
      </c>
      <c r="B1283" s="67" t="str">
        <f t="shared" si="11"/>
        <v>M: single one</v>
      </c>
      <c r="C1283" s="68"/>
      <c r="D1283" s="68">
        <v>45878.0</v>
      </c>
      <c r="E1283" s="66">
        <v>3.0</v>
      </c>
      <c r="F1283" s="66" t="str">
        <f>IFERROR(__xludf.DUMMYFUNCTION("GOOGLETRANSLATE(A1283,""en"",""pt"")"),"único")</f>
        <v>único</v>
      </c>
      <c r="G1283" s="69"/>
    </row>
    <row r="1284" ht="22.5" customHeight="1">
      <c r="A1284" s="66" t="s">
        <v>1661</v>
      </c>
      <c r="B1284" s="67" t="str">
        <f t="shared" si="11"/>
        <v>M: pawn</v>
      </c>
      <c r="C1284" s="68"/>
      <c r="D1284" s="68">
        <v>45878.0</v>
      </c>
      <c r="E1284" s="66">
        <v>4.0</v>
      </c>
      <c r="F1284" s="66" t="str">
        <f>IFERROR(__xludf.DUMMYFUNCTION("GOOGLETRANSLATE(A1284,""en"",""pt"")"),"penhor")</f>
        <v>penhor</v>
      </c>
      <c r="G1284" s="69"/>
    </row>
    <row r="1285" ht="22.5" customHeight="1">
      <c r="A1285" s="66" t="s">
        <v>1662</v>
      </c>
      <c r="B1285" s="67" t="str">
        <f t="shared" si="11"/>
        <v>M: deeply</v>
      </c>
      <c r="C1285" s="68"/>
      <c r="D1285" s="68">
        <v>45878.0</v>
      </c>
      <c r="E1285" s="66">
        <v>5.0</v>
      </c>
      <c r="F1285" s="66" t="str">
        <f>IFERROR(__xludf.DUMMYFUNCTION("GOOGLETRANSLATE(A1285,""en"",""pt"")"),"profundamente")</f>
        <v>profundamente</v>
      </c>
      <c r="G1285" s="69"/>
    </row>
    <row r="1286" ht="22.5" customHeight="1">
      <c r="A1286" s="66" t="s">
        <v>1663</v>
      </c>
      <c r="B1286" s="67" t="str">
        <f t="shared" si="11"/>
        <v>M: ambivalent</v>
      </c>
      <c r="C1286" s="68"/>
      <c r="D1286" s="68">
        <v>45878.0</v>
      </c>
      <c r="E1286" s="66">
        <v>6.0</v>
      </c>
      <c r="F1286" s="66" t="str">
        <f>IFERROR(__xludf.DUMMYFUNCTION("GOOGLETRANSLATE(A1286,""en"",""pt"")"),"ambivalente")</f>
        <v>ambivalente</v>
      </c>
      <c r="G1286" s="69"/>
    </row>
    <row r="1287" ht="22.5" customHeight="1">
      <c r="A1287" s="66" t="s">
        <v>1664</v>
      </c>
      <c r="B1287" s="67" t="str">
        <f t="shared" si="11"/>
        <v>M: digestible</v>
      </c>
      <c r="C1287" s="66">
        <v>1.0</v>
      </c>
      <c r="D1287" s="68">
        <v>45878.0</v>
      </c>
      <c r="E1287" s="66">
        <v>7.0</v>
      </c>
      <c r="F1287" s="66" t="s">
        <v>1665</v>
      </c>
      <c r="G1287" s="66" t="s">
        <v>247</v>
      </c>
    </row>
    <row r="1288" ht="22.5" customHeight="1">
      <c r="A1288" s="66" t="s">
        <v>1666</v>
      </c>
      <c r="B1288" s="67" t="str">
        <f t="shared" si="11"/>
        <v>M: thrives</v>
      </c>
      <c r="C1288" s="66">
        <v>1.0</v>
      </c>
      <c r="D1288" s="68">
        <v>45878.0</v>
      </c>
      <c r="E1288" s="66">
        <v>8.0</v>
      </c>
      <c r="F1288" s="66" t="s">
        <v>1667</v>
      </c>
      <c r="G1288" s="66" t="s">
        <v>247</v>
      </c>
    </row>
    <row r="1289" ht="22.5" customHeight="1">
      <c r="A1289" s="66" t="s">
        <v>1668</v>
      </c>
      <c r="B1289" s="67" t="str">
        <f t="shared" si="11"/>
        <v>M: crowd</v>
      </c>
      <c r="C1289" s="68"/>
      <c r="D1289" s="68">
        <v>45878.0</v>
      </c>
      <c r="E1289" s="66">
        <v>9.0</v>
      </c>
      <c r="F1289" s="66" t="str">
        <f>IFERROR(__xludf.DUMMYFUNCTION("GOOGLETRANSLATE(A1289,""en"",""pt"")"),"multidão")</f>
        <v>multidão</v>
      </c>
      <c r="G1289" s="69"/>
    </row>
    <row r="1290" ht="22.5" customHeight="1">
      <c r="A1290" s="66" t="s">
        <v>1669</v>
      </c>
      <c r="B1290" s="67" t="str">
        <f t="shared" si="11"/>
        <v>M: handle</v>
      </c>
      <c r="C1290" s="68"/>
      <c r="D1290" s="68">
        <v>45878.0</v>
      </c>
      <c r="E1290" s="66">
        <v>10.0</v>
      </c>
      <c r="F1290" s="66" t="str">
        <f>IFERROR(__xludf.DUMMYFUNCTION("GOOGLETRANSLATE(A1290,""en"",""pt"")"),"lidar")</f>
        <v>lidar</v>
      </c>
      <c r="G1290" s="69"/>
    </row>
    <row r="1291" ht="22.5" customHeight="1">
      <c r="A1291" s="66" t="s">
        <v>1670</v>
      </c>
      <c r="B1291" s="67" t="str">
        <f t="shared" si="11"/>
        <v>M: unbelievable</v>
      </c>
      <c r="C1291" s="68"/>
      <c r="D1291" s="68">
        <v>45878.0</v>
      </c>
      <c r="E1291" s="66">
        <v>1.0</v>
      </c>
      <c r="F1291" s="66" t="s">
        <v>1671</v>
      </c>
      <c r="G1291" s="66" t="s">
        <v>247</v>
      </c>
    </row>
    <row r="1292" ht="22.5" customHeight="1">
      <c r="A1292" s="66" t="s">
        <v>1672</v>
      </c>
      <c r="B1292" s="67" t="str">
        <f t="shared" si="11"/>
        <v>M: open up</v>
      </c>
      <c r="C1292" s="68"/>
      <c r="D1292" s="68">
        <v>45879.0</v>
      </c>
      <c r="E1292" s="66">
        <v>2.0</v>
      </c>
      <c r="F1292" s="66" t="str">
        <f>IFERROR(__xludf.DUMMYFUNCTION("GOOGLETRANSLATE(A1292,""en"",""pt"")"),"abrir")</f>
        <v>abrir</v>
      </c>
      <c r="G1292" s="69"/>
    </row>
    <row r="1293" ht="22.5" customHeight="1">
      <c r="A1293" s="66" t="s">
        <v>1673</v>
      </c>
      <c r="B1293" s="67" t="str">
        <f t="shared" si="11"/>
        <v>M: warts</v>
      </c>
      <c r="C1293" s="68"/>
      <c r="D1293" s="68">
        <v>45879.0</v>
      </c>
      <c r="E1293" s="66">
        <v>3.0</v>
      </c>
      <c r="F1293" s="66" t="str">
        <f>IFERROR(__xludf.DUMMYFUNCTION("GOOGLETRANSLATE(A1293,""en"",""pt"")"),"verrugas")</f>
        <v>verrugas</v>
      </c>
      <c r="G1293" s="69"/>
    </row>
    <row r="1294" ht="22.5" customHeight="1">
      <c r="A1294" s="66" t="s">
        <v>1674</v>
      </c>
      <c r="B1294" s="67" t="str">
        <f t="shared" si="11"/>
        <v>M: heiress</v>
      </c>
      <c r="C1294" s="68"/>
      <c r="D1294" s="68">
        <v>45879.0</v>
      </c>
      <c r="E1294" s="66">
        <v>4.0</v>
      </c>
      <c r="F1294" s="66" t="str">
        <f>IFERROR(__xludf.DUMMYFUNCTION("GOOGLETRANSLATE(A1294,""en"",""pt"")"),"herdeira")</f>
        <v>herdeira</v>
      </c>
      <c r="G1294" s="69"/>
    </row>
    <row r="1295" ht="22.5" customHeight="1">
      <c r="A1295" s="66" t="s">
        <v>1675</v>
      </c>
      <c r="B1295" s="67" t="str">
        <f t="shared" si="11"/>
        <v>M: waxing</v>
      </c>
      <c r="C1295" s="66">
        <v>1.0</v>
      </c>
      <c r="D1295" s="68">
        <v>45879.0</v>
      </c>
      <c r="E1295" s="66">
        <v>5.0</v>
      </c>
      <c r="F1295" s="66" t="s">
        <v>1676</v>
      </c>
      <c r="G1295" s="66" t="s">
        <v>247</v>
      </c>
    </row>
    <row r="1296" ht="22.5" customHeight="1">
      <c r="A1296" s="66" t="s">
        <v>1677</v>
      </c>
      <c r="B1296" s="67" t="str">
        <f t="shared" si="11"/>
        <v>M: knew it</v>
      </c>
      <c r="C1296" s="68"/>
      <c r="D1296" s="68">
        <v>45879.0</v>
      </c>
      <c r="E1296" s="66">
        <v>6.0</v>
      </c>
      <c r="F1296" s="66" t="str">
        <f>IFERROR(__xludf.DUMMYFUNCTION("GOOGLETRANSLATE(A1296,""en"",""pt"")"),"sabia disso")</f>
        <v>sabia disso</v>
      </c>
      <c r="G1296" s="69"/>
    </row>
    <row r="1297" ht="22.5" customHeight="1">
      <c r="A1297" s="66" t="s">
        <v>1678</v>
      </c>
      <c r="B1297" s="67" t="str">
        <f t="shared" si="11"/>
        <v>M: hang up</v>
      </c>
      <c r="C1297" s="66">
        <v>1.0</v>
      </c>
      <c r="D1297" s="68">
        <v>45879.0</v>
      </c>
      <c r="E1297" s="66">
        <v>7.0</v>
      </c>
      <c r="F1297" s="66" t="s">
        <v>1679</v>
      </c>
      <c r="G1297" s="66" t="s">
        <v>247</v>
      </c>
    </row>
    <row r="1298" ht="22.5" customHeight="1">
      <c r="A1298" s="66" t="s">
        <v>1680</v>
      </c>
      <c r="B1298" s="67" t="str">
        <f t="shared" si="11"/>
        <v>M: dipwad</v>
      </c>
      <c r="C1298" s="68"/>
      <c r="D1298" s="68">
        <v>45879.0</v>
      </c>
      <c r="E1298" s="66">
        <v>8.0</v>
      </c>
      <c r="F1298" s="66" t="str">
        <f>IFERROR(__xludf.DUMMYFUNCTION("GOOGLETRANSLATE(A1298,""en"",""pt"")"),"dipwad")</f>
        <v>dipwad</v>
      </c>
      <c r="G1298" s="69"/>
    </row>
    <row r="1299" ht="22.5" customHeight="1">
      <c r="A1299" s="66" t="s">
        <v>1681</v>
      </c>
      <c r="B1299" s="67" t="str">
        <f t="shared" si="11"/>
        <v>M: clattering</v>
      </c>
      <c r="C1299" s="68"/>
      <c r="D1299" s="68">
        <v>45879.0</v>
      </c>
      <c r="E1299" s="66">
        <v>9.0</v>
      </c>
      <c r="F1299" s="66" t="str">
        <f>IFERROR(__xludf.DUMMYFUNCTION("GOOGLETRANSLATE(A1299,""en"",""pt"")"),"barulho")</f>
        <v>barulho</v>
      </c>
      <c r="G1299" s="69"/>
    </row>
    <row r="1300" ht="22.5" customHeight="1">
      <c r="A1300" s="66" t="s">
        <v>1682</v>
      </c>
      <c r="B1300" s="67" t="str">
        <f t="shared" si="11"/>
        <v>M: besides</v>
      </c>
      <c r="C1300" s="66">
        <v>1.0</v>
      </c>
      <c r="D1300" s="68">
        <v>45879.0</v>
      </c>
      <c r="E1300" s="66">
        <v>10.0</v>
      </c>
      <c r="F1300" s="71" t="s">
        <v>1683</v>
      </c>
      <c r="G1300" s="66" t="s">
        <v>247</v>
      </c>
    </row>
    <row r="1301" ht="22.5" customHeight="1">
      <c r="A1301" s="66" t="s">
        <v>1684</v>
      </c>
      <c r="B1301" s="67" t="str">
        <f t="shared" si="11"/>
        <v>M: better</v>
      </c>
      <c r="C1301" s="68"/>
      <c r="D1301" s="68">
        <v>45879.0</v>
      </c>
      <c r="E1301" s="66">
        <v>1.0</v>
      </c>
      <c r="F1301" s="66" t="str">
        <f>IFERROR(__xludf.DUMMYFUNCTION("GOOGLETRANSLATE(A1301,""en"",""pt"")"),"melhorar")</f>
        <v>melhorar</v>
      </c>
      <c r="G1301" s="69"/>
    </row>
    <row r="1302" ht="22.5" customHeight="1">
      <c r="A1302" s="66" t="s">
        <v>1685</v>
      </c>
      <c r="B1302" s="67" t="str">
        <f t="shared" si="11"/>
        <v>M: served</v>
      </c>
      <c r="C1302" s="66">
        <v>1.0</v>
      </c>
      <c r="D1302" s="68">
        <v>45880.0</v>
      </c>
      <c r="E1302" s="66">
        <v>2.0</v>
      </c>
      <c r="F1302" s="71" t="s">
        <v>1686</v>
      </c>
      <c r="G1302" s="66" t="s">
        <v>247</v>
      </c>
    </row>
    <row r="1303" ht="22.5" customHeight="1">
      <c r="A1303" s="66" t="s">
        <v>1687</v>
      </c>
      <c r="B1303" s="67" t="str">
        <f t="shared" si="11"/>
        <v>M: counseling </v>
      </c>
      <c r="C1303" s="68"/>
      <c r="D1303" s="68">
        <v>45880.0</v>
      </c>
      <c r="E1303" s="66">
        <v>3.0</v>
      </c>
      <c r="F1303" s="66" t="str">
        <f>IFERROR(__xludf.DUMMYFUNCTION("GOOGLETRANSLATE(A1303,""en"",""pt"")"),"aconselhamento")</f>
        <v>aconselhamento</v>
      </c>
      <c r="G1303" s="69"/>
    </row>
    <row r="1304" ht="22.5" customHeight="1">
      <c r="A1304" s="66" t="s">
        <v>1688</v>
      </c>
      <c r="B1304" s="67" t="str">
        <f t="shared" si="11"/>
        <v>M: captive</v>
      </c>
      <c r="C1304" s="68"/>
      <c r="D1304" s="68">
        <v>45880.0</v>
      </c>
      <c r="E1304" s="66">
        <v>4.0</v>
      </c>
      <c r="F1304" s="66" t="str">
        <f>IFERROR(__xludf.DUMMYFUNCTION("GOOGLETRANSLATE(A1304,""en"",""pt"")"),"cativo")</f>
        <v>cativo</v>
      </c>
      <c r="G1304" s="69"/>
    </row>
    <row r="1305" ht="22.5" customHeight="1">
      <c r="A1305" s="66" t="s">
        <v>1689</v>
      </c>
      <c r="B1305" s="67" t="str">
        <f t="shared" si="11"/>
        <v>M: cashier</v>
      </c>
      <c r="C1305" s="68"/>
      <c r="D1305" s="68">
        <v>45880.0</v>
      </c>
      <c r="E1305" s="66">
        <v>5.0</v>
      </c>
      <c r="F1305" s="66" t="str">
        <f>IFERROR(__xludf.DUMMYFUNCTION("GOOGLETRANSLATE(A1305,""en"",""pt"")"),"caixa")</f>
        <v>caixa</v>
      </c>
      <c r="G1305" s="69"/>
    </row>
    <row r="1306" ht="22.5" customHeight="1">
      <c r="A1306" s="66" t="s">
        <v>1690</v>
      </c>
      <c r="B1306" s="67" t="str">
        <f t="shared" si="11"/>
        <v>M: busting</v>
      </c>
      <c r="C1306" s="68"/>
      <c r="D1306" s="68">
        <v>45880.0</v>
      </c>
      <c r="E1306" s="66">
        <v>6.0</v>
      </c>
      <c r="F1306" s="66" t="str">
        <f>IFERROR(__xludf.DUMMYFUNCTION("GOOGLETRANSLATE(A1306,""en"",""pt"")"),"quebrando")</f>
        <v>quebrando</v>
      </c>
      <c r="G1306" s="69"/>
    </row>
    <row r="1307" ht="22.5" customHeight="1">
      <c r="A1307" s="66" t="s">
        <v>1691</v>
      </c>
      <c r="B1307" s="67" t="str">
        <f t="shared" si="11"/>
        <v>M: inhaling</v>
      </c>
      <c r="C1307" s="68"/>
      <c r="D1307" s="68">
        <v>45880.0</v>
      </c>
      <c r="E1307" s="66">
        <v>7.0</v>
      </c>
      <c r="F1307" s="66" t="str">
        <f>IFERROR(__xludf.DUMMYFUNCTION("GOOGLETRANSLATE(A1307,""en"",""pt"")"),"inalando")</f>
        <v>inalando</v>
      </c>
      <c r="G1307" s="69"/>
    </row>
    <row r="1308" ht="22.5" customHeight="1">
      <c r="A1308" s="66" t="s">
        <v>1692</v>
      </c>
      <c r="B1308" s="67" t="str">
        <f t="shared" si="11"/>
        <v>M: drill</v>
      </c>
      <c r="C1308" s="68"/>
      <c r="D1308" s="68">
        <v>45880.0</v>
      </c>
      <c r="E1308" s="66">
        <v>8.0</v>
      </c>
      <c r="F1308" s="66" t="str">
        <f>IFERROR(__xludf.DUMMYFUNCTION("GOOGLETRANSLATE(A1308,""en"",""pt"")"),"furar")</f>
        <v>furar</v>
      </c>
      <c r="G1308" s="69"/>
    </row>
    <row r="1309" ht="22.5" customHeight="1">
      <c r="A1309" s="66" t="s">
        <v>1693</v>
      </c>
      <c r="B1309" s="67" t="str">
        <f t="shared" si="11"/>
        <v>M: forefather</v>
      </c>
      <c r="C1309" s="66">
        <v>1.0</v>
      </c>
      <c r="D1309" s="68">
        <v>45880.0</v>
      </c>
      <c r="E1309" s="66">
        <v>9.0</v>
      </c>
      <c r="F1309" s="66" t="s">
        <v>1694</v>
      </c>
      <c r="G1309" s="69"/>
    </row>
    <row r="1310" ht="22.5" customHeight="1">
      <c r="A1310" s="66" t="s">
        <v>1695</v>
      </c>
      <c r="B1310" s="67" t="str">
        <f t="shared" si="11"/>
        <v>M: screw you</v>
      </c>
      <c r="C1310" s="68"/>
      <c r="D1310" s="68">
        <v>45880.0</v>
      </c>
      <c r="E1310" s="66">
        <v>10.0</v>
      </c>
      <c r="F1310" s="66" t="str">
        <f>IFERROR(__xludf.DUMMYFUNCTION("GOOGLETRANSLATE(A1310,""en"",""pt"")"),"dane-se")</f>
        <v>dane-se</v>
      </c>
      <c r="G1310" s="69"/>
    </row>
    <row r="1311" ht="22.5" customHeight="1">
      <c r="A1311" s="66" t="s">
        <v>1696</v>
      </c>
      <c r="B1311" s="67" t="str">
        <f t="shared" si="11"/>
        <v>M: gazer</v>
      </c>
      <c r="C1311" s="68"/>
      <c r="D1311" s="68">
        <v>45880.0</v>
      </c>
      <c r="E1311" s="66">
        <v>1.0</v>
      </c>
      <c r="F1311" s="66" t="str">
        <f>IFERROR(__xludf.DUMMYFUNCTION("GOOGLETRANSLATE(A1311,""en"",""pt"")"),"observador")</f>
        <v>observador</v>
      </c>
      <c r="G1311" s="69"/>
    </row>
    <row r="1312" ht="22.5" customHeight="1">
      <c r="A1312" s="66" t="s">
        <v>1697</v>
      </c>
      <c r="B1312" s="67" t="str">
        <f t="shared" si="11"/>
        <v>M: dispatch</v>
      </c>
      <c r="C1312" s="66">
        <v>1.0</v>
      </c>
      <c r="D1312" s="68">
        <v>45881.0</v>
      </c>
      <c r="E1312" s="66">
        <v>2.0</v>
      </c>
      <c r="F1312" s="66" t="s">
        <v>1698</v>
      </c>
      <c r="G1312" s="66" t="s">
        <v>247</v>
      </c>
    </row>
    <row r="1313" ht="22.5" customHeight="1">
      <c r="A1313" s="66" t="s">
        <v>1699</v>
      </c>
      <c r="B1313" s="67" t="str">
        <f t="shared" si="11"/>
        <v>M: dept</v>
      </c>
      <c r="C1313" s="68"/>
      <c r="D1313" s="68">
        <v>45881.0</v>
      </c>
      <c r="E1313" s="66">
        <v>3.0</v>
      </c>
      <c r="F1313" s="66" t="str">
        <f>IFERROR(__xludf.DUMMYFUNCTION("GOOGLETRANSLATE(A1313,""en"",""pt"")"),"departamento")</f>
        <v>departamento</v>
      </c>
      <c r="G1313" s="69"/>
    </row>
    <row r="1314" ht="22.5" customHeight="1">
      <c r="A1314" s="66" t="s">
        <v>1700</v>
      </c>
      <c r="B1314" s="67" t="str">
        <f t="shared" si="11"/>
        <v>M: surfing</v>
      </c>
      <c r="C1314" s="68"/>
      <c r="D1314" s="68">
        <v>45881.0</v>
      </c>
      <c r="E1314" s="66">
        <v>4.0</v>
      </c>
      <c r="F1314" s="66" t="str">
        <f>IFERROR(__xludf.DUMMYFUNCTION("GOOGLETRANSLATE(A1314,""en"",""pt"")"),"surfe")</f>
        <v>surfe</v>
      </c>
      <c r="G1314" s="69"/>
    </row>
    <row r="1315" ht="22.5" customHeight="1">
      <c r="A1315" s="66" t="s">
        <v>1701</v>
      </c>
      <c r="B1315" s="67" t="str">
        <f t="shared" si="11"/>
        <v>M: supportive</v>
      </c>
      <c r="C1315" s="68"/>
      <c r="D1315" s="68">
        <v>45881.0</v>
      </c>
      <c r="E1315" s="66">
        <v>5.0</v>
      </c>
      <c r="F1315" s="66" t="str">
        <f>IFERROR(__xludf.DUMMYFUNCTION("GOOGLETRANSLATE(A1315,""en"",""pt"")"),"solidário")</f>
        <v>solidário</v>
      </c>
      <c r="G1315" s="69"/>
    </row>
    <row r="1316" ht="22.5" customHeight="1">
      <c r="A1316" s="66" t="s">
        <v>1702</v>
      </c>
      <c r="B1316" s="67" t="str">
        <f t="shared" si="11"/>
        <v>M: soon</v>
      </c>
      <c r="C1316" s="68"/>
      <c r="D1316" s="68">
        <v>45881.0</v>
      </c>
      <c r="E1316" s="66">
        <v>6.0</v>
      </c>
      <c r="F1316" s="66" t="str">
        <f>IFERROR(__xludf.DUMMYFUNCTION("GOOGLETRANSLATE(A1316,""en"",""pt"")"),"breve")</f>
        <v>breve</v>
      </c>
      <c r="G1316" s="69"/>
    </row>
    <row r="1317" ht="22.5" customHeight="1">
      <c r="A1317" s="66" t="s">
        <v>1703</v>
      </c>
      <c r="B1317" s="67" t="str">
        <f t="shared" si="11"/>
        <v>M: keypad</v>
      </c>
      <c r="C1317" s="68"/>
      <c r="D1317" s="68">
        <v>45881.0</v>
      </c>
      <c r="E1317" s="66">
        <v>7.0</v>
      </c>
      <c r="F1317" s="66" t="str">
        <f>IFERROR(__xludf.DUMMYFUNCTION("GOOGLETRANSLATE(A1317,""en"",""pt"")"),"teclado")</f>
        <v>teclado</v>
      </c>
      <c r="G1317" s="69"/>
    </row>
    <row r="1318" ht="22.5" customHeight="1">
      <c r="A1318" s="66" t="s">
        <v>1704</v>
      </c>
      <c r="B1318" s="67" t="str">
        <f t="shared" si="11"/>
        <v>M: sake</v>
      </c>
      <c r="C1318" s="68"/>
      <c r="D1318" s="68">
        <v>45881.0</v>
      </c>
      <c r="E1318" s="66">
        <v>8.0</v>
      </c>
      <c r="F1318" s="66" t="str">
        <f>IFERROR(__xludf.DUMMYFUNCTION("GOOGLETRANSLATE(A1318,""en"",""pt"")"),"interesse")</f>
        <v>interesse</v>
      </c>
      <c r="G1318" s="69"/>
    </row>
    <row r="1319" ht="22.5" customHeight="1">
      <c r="A1319" s="66" t="s">
        <v>1705</v>
      </c>
      <c r="B1319" s="67" t="str">
        <f t="shared" si="11"/>
        <v>M: sharply</v>
      </c>
      <c r="C1319" s="68"/>
      <c r="D1319" s="68">
        <v>45881.0</v>
      </c>
      <c r="E1319" s="66">
        <v>9.0</v>
      </c>
      <c r="F1319" s="66" t="str">
        <f>IFERROR(__xludf.DUMMYFUNCTION("GOOGLETRANSLATE(A1319,""en"",""pt"")"),"bruscamente")</f>
        <v>bruscamente</v>
      </c>
      <c r="G1319" s="69"/>
    </row>
    <row r="1320" ht="22.5" customHeight="1">
      <c r="A1320" s="66" t="s">
        <v>1706</v>
      </c>
      <c r="B1320" s="67" t="str">
        <f t="shared" si="11"/>
        <v>M: siren</v>
      </c>
      <c r="C1320" s="68"/>
      <c r="D1320" s="68">
        <v>45881.0</v>
      </c>
      <c r="E1320" s="66">
        <v>10.0</v>
      </c>
      <c r="F1320" s="66" t="str">
        <f>IFERROR(__xludf.DUMMYFUNCTION("GOOGLETRANSLATE(A1320,""en"",""pt"")"),"sirene")</f>
        <v>sirene</v>
      </c>
      <c r="G1320" s="69"/>
    </row>
    <row r="1321" ht="22.5" customHeight="1">
      <c r="A1321" s="66" t="s">
        <v>1707</v>
      </c>
      <c r="B1321" s="67" t="str">
        <f t="shared" si="11"/>
        <v>M: attorney</v>
      </c>
      <c r="C1321" s="66">
        <v>1.0</v>
      </c>
      <c r="D1321" s="68">
        <v>45881.0</v>
      </c>
      <c r="E1321" s="66">
        <v>1.0</v>
      </c>
      <c r="F1321" s="66" t="s">
        <v>1708</v>
      </c>
      <c r="G1321" s="66" t="s">
        <v>247</v>
      </c>
    </row>
    <row r="1322" ht="22.5" customHeight="1">
      <c r="A1322" s="66" t="s">
        <v>1709</v>
      </c>
      <c r="B1322" s="67" t="str">
        <f t="shared" si="11"/>
        <v>M: asked for me</v>
      </c>
      <c r="C1322" s="68"/>
      <c r="D1322" s="68">
        <v>45882.0</v>
      </c>
      <c r="E1322" s="66">
        <v>2.0</v>
      </c>
      <c r="F1322" s="66" t="str">
        <f>IFERROR(__xludf.DUMMYFUNCTION("GOOGLETRANSLATE(A1322,""en"",""pt"")"),"perguntou por mim")</f>
        <v>perguntou por mim</v>
      </c>
      <c r="G1322" s="69"/>
    </row>
    <row r="1323" ht="22.5" customHeight="1">
      <c r="A1323" s="66" t="s">
        <v>1710</v>
      </c>
      <c r="B1323" s="67" t="str">
        <f t="shared" si="11"/>
        <v>M: wise</v>
      </c>
      <c r="C1323" s="68"/>
      <c r="D1323" s="68">
        <v>45882.0</v>
      </c>
      <c r="E1323" s="66">
        <v>3.0</v>
      </c>
      <c r="F1323" s="66" t="str">
        <f>IFERROR(__xludf.DUMMYFUNCTION("GOOGLETRANSLATE(A1323,""en"",""pt"")"),"sábio")</f>
        <v>sábio</v>
      </c>
      <c r="G1323" s="69"/>
    </row>
    <row r="1324" ht="22.5" customHeight="1">
      <c r="A1324" s="66" t="s">
        <v>1711</v>
      </c>
      <c r="B1324" s="67" t="str">
        <f t="shared" si="11"/>
        <v>M: pitch it</v>
      </c>
      <c r="C1324" s="68"/>
      <c r="D1324" s="68">
        <v>45882.0</v>
      </c>
      <c r="E1324" s="66">
        <v>4.0</v>
      </c>
      <c r="F1324" s="66" t="str">
        <f>IFERROR(__xludf.DUMMYFUNCTION("GOOGLETRANSLATE(A1324,""en"",""pt"")"),"arremesse")</f>
        <v>arremesse</v>
      </c>
      <c r="G1324" s="69"/>
    </row>
    <row r="1325" ht="22.5" customHeight="1">
      <c r="A1325" s="66" t="s">
        <v>1712</v>
      </c>
      <c r="B1325" s="67" t="str">
        <f t="shared" si="11"/>
        <v>M: earful</v>
      </c>
      <c r="C1325" s="68"/>
      <c r="D1325" s="68">
        <v>45882.0</v>
      </c>
      <c r="E1325" s="66">
        <v>5.0</v>
      </c>
      <c r="F1325" s="66" t="str">
        <f>IFERROR(__xludf.DUMMYFUNCTION("GOOGLETRANSLATE(A1325,""en"",""pt"")"),"ouvido")</f>
        <v>ouvido</v>
      </c>
      <c r="G1325" s="69"/>
    </row>
    <row r="1326" ht="22.5" customHeight="1">
      <c r="A1326" s="66" t="s">
        <v>1713</v>
      </c>
      <c r="B1326" s="67" t="str">
        <f t="shared" si="11"/>
        <v>M: wrote down</v>
      </c>
      <c r="C1326" s="66">
        <v>1.0</v>
      </c>
      <c r="D1326" s="68">
        <v>45882.0</v>
      </c>
      <c r="E1326" s="66">
        <v>6.0</v>
      </c>
      <c r="F1326" s="66" t="s">
        <v>1714</v>
      </c>
      <c r="G1326" s="66" t="s">
        <v>247</v>
      </c>
    </row>
    <row r="1327" ht="22.5" customHeight="1">
      <c r="A1327" s="66" t="s">
        <v>1715</v>
      </c>
      <c r="B1327" s="67" t="str">
        <f t="shared" si="11"/>
        <v>M: sarched</v>
      </c>
      <c r="C1327" s="68"/>
      <c r="D1327" s="68">
        <v>45882.0</v>
      </c>
      <c r="E1327" s="66">
        <v>7.0</v>
      </c>
      <c r="F1327" s="66" t="str">
        <f>IFERROR(__xludf.DUMMYFUNCTION("GOOGLETRANSLATE(A1327,""en"",""pt"")"),"vasculhado")</f>
        <v>vasculhado</v>
      </c>
      <c r="G1327" s="69"/>
    </row>
    <row r="1328" ht="22.5" customHeight="1">
      <c r="A1328" s="66" t="s">
        <v>1716</v>
      </c>
      <c r="B1328" s="67" t="str">
        <f t="shared" si="11"/>
        <v>M: remorse</v>
      </c>
      <c r="C1328" s="68"/>
      <c r="D1328" s="68">
        <v>45882.0</v>
      </c>
      <c r="E1328" s="66">
        <v>8.0</v>
      </c>
      <c r="F1328" s="66" t="str">
        <f>IFERROR(__xludf.DUMMYFUNCTION("GOOGLETRANSLATE(A1328,""en"",""pt"")"),"remorso")</f>
        <v>remorso</v>
      </c>
      <c r="G1328" s="69"/>
    </row>
    <row r="1329" ht="22.5" customHeight="1">
      <c r="A1329" s="66" t="s">
        <v>1717</v>
      </c>
      <c r="B1329" s="67" t="str">
        <f t="shared" si="11"/>
        <v>M: weigh</v>
      </c>
      <c r="C1329" s="66">
        <v>1.0</v>
      </c>
      <c r="D1329" s="68">
        <v>45882.0</v>
      </c>
      <c r="E1329" s="66">
        <v>9.0</v>
      </c>
      <c r="F1329" s="66" t="s">
        <v>1718</v>
      </c>
      <c r="G1329" s="66" t="s">
        <v>247</v>
      </c>
    </row>
    <row r="1330" ht="22.5" customHeight="1">
      <c r="A1330" s="66" t="s">
        <v>1719</v>
      </c>
      <c r="B1330" s="67" t="str">
        <f t="shared" si="11"/>
        <v>M: set me up</v>
      </c>
      <c r="C1330" s="68"/>
      <c r="D1330" s="68">
        <v>45882.0</v>
      </c>
      <c r="E1330" s="66">
        <v>10.0</v>
      </c>
      <c r="F1330" s="66" t="str">
        <f>IFERROR(__xludf.DUMMYFUNCTION("GOOGLETRANSLATE(A1330,""en"",""pt"")"),"me arrumou uma")</f>
        <v>me arrumou uma</v>
      </c>
      <c r="G1330" s="69"/>
    </row>
    <row r="1331" ht="22.5" customHeight="1">
      <c r="A1331" s="66" t="s">
        <v>1720</v>
      </c>
      <c r="B1331" s="67" t="str">
        <f t="shared" si="11"/>
        <v>M: casing</v>
      </c>
      <c r="C1331" s="66">
        <v>1.0</v>
      </c>
      <c r="D1331" s="68">
        <v>45882.0</v>
      </c>
      <c r="E1331" s="66">
        <v>1.0</v>
      </c>
      <c r="F1331" s="66" t="s">
        <v>1721</v>
      </c>
      <c r="G1331" s="66" t="s">
        <v>247</v>
      </c>
    </row>
    <row r="1332" ht="22.5" customHeight="1">
      <c r="A1332" s="66" t="s">
        <v>1722</v>
      </c>
      <c r="B1332" s="67" t="str">
        <f t="shared" si="11"/>
        <v>M: go figure</v>
      </c>
      <c r="C1332" s="68"/>
      <c r="D1332" s="68">
        <v>45883.0</v>
      </c>
      <c r="E1332" s="66">
        <v>2.0</v>
      </c>
      <c r="F1332" s="66" t="str">
        <f>IFERROR(__xludf.DUMMYFUNCTION("GOOGLETRANSLATE(A1332,""en"",""pt"")"),"Vai entender")</f>
        <v>Vai entender</v>
      </c>
      <c r="G1332" s="69"/>
    </row>
    <row r="1333" ht="22.5" customHeight="1">
      <c r="A1333" s="66" t="s">
        <v>1723</v>
      </c>
      <c r="B1333" s="67" t="str">
        <f t="shared" si="11"/>
        <v>M: poking</v>
      </c>
      <c r="C1333" s="66">
        <v>1.0</v>
      </c>
      <c r="D1333" s="68">
        <v>45883.0</v>
      </c>
      <c r="E1333" s="66">
        <v>3.0</v>
      </c>
      <c r="F1333" s="66" t="s">
        <v>1724</v>
      </c>
      <c r="G1333" s="66" t="s">
        <v>247</v>
      </c>
    </row>
    <row r="1334" ht="22.5" customHeight="1">
      <c r="A1334" s="66" t="s">
        <v>1725</v>
      </c>
      <c r="B1334" s="67" t="str">
        <f t="shared" si="11"/>
        <v>M: crack</v>
      </c>
      <c r="C1334" s="68"/>
      <c r="D1334" s="68">
        <v>45883.0</v>
      </c>
      <c r="E1334" s="66">
        <v>5.0</v>
      </c>
      <c r="F1334" s="66" t="str">
        <f>IFERROR(__xludf.DUMMYFUNCTION("GOOGLETRANSLATE(A1334,""en"",""pt"")"),"rachadura")</f>
        <v>rachadura</v>
      </c>
      <c r="G1334" s="69"/>
    </row>
    <row r="1335" ht="22.5" customHeight="1">
      <c r="A1335" s="66" t="s">
        <v>1726</v>
      </c>
      <c r="B1335" s="67" t="str">
        <f t="shared" si="11"/>
        <v>M: meantime</v>
      </c>
      <c r="C1335" s="68"/>
      <c r="D1335" s="68">
        <v>45883.0</v>
      </c>
      <c r="E1335" s="66">
        <v>6.0</v>
      </c>
      <c r="F1335" s="66" t="str">
        <f>IFERROR(__xludf.DUMMYFUNCTION("GOOGLETRANSLATE(A1335,""en"",""pt"")"),"enquanto isso")</f>
        <v>enquanto isso</v>
      </c>
      <c r="G1335" s="69"/>
    </row>
    <row r="1336" ht="22.5" customHeight="1">
      <c r="A1336" s="66" t="s">
        <v>1727</v>
      </c>
      <c r="B1336" s="67" t="str">
        <f t="shared" si="11"/>
        <v>M: clout</v>
      </c>
      <c r="C1336" s="68"/>
      <c r="D1336" s="68">
        <v>45883.0</v>
      </c>
      <c r="E1336" s="66">
        <v>7.0</v>
      </c>
      <c r="F1336" s="66" t="str">
        <f>IFERROR(__xludf.DUMMYFUNCTION("GOOGLETRANSLATE(A1336,""en"",""pt"")"),"influência")</f>
        <v>influência</v>
      </c>
      <c r="G1336" s="69"/>
    </row>
    <row r="1337" ht="22.5" customHeight="1">
      <c r="A1337" s="66" t="s">
        <v>1728</v>
      </c>
      <c r="B1337" s="67" t="str">
        <f t="shared" si="11"/>
        <v>M: kidnapped</v>
      </c>
      <c r="C1337" s="68"/>
      <c r="D1337" s="68">
        <v>45883.0</v>
      </c>
      <c r="E1337" s="66">
        <v>8.0</v>
      </c>
      <c r="F1337" s="66" t="str">
        <f>IFERROR(__xludf.DUMMYFUNCTION("GOOGLETRANSLATE(A1337,""en"",""pt"")"),"sequestrado")</f>
        <v>sequestrado</v>
      </c>
      <c r="G1337" s="69"/>
    </row>
    <row r="1338" ht="22.5" customHeight="1">
      <c r="A1338" s="66" t="s">
        <v>1729</v>
      </c>
      <c r="B1338" s="67" t="str">
        <f t="shared" si="11"/>
        <v>M: put the word out</v>
      </c>
      <c r="C1338" s="68"/>
      <c r="D1338" s="68">
        <v>45883.0</v>
      </c>
      <c r="E1338" s="66">
        <v>9.0</v>
      </c>
      <c r="F1338" s="66" t="str">
        <f>IFERROR(__xludf.DUMMYFUNCTION("GOOGLETRANSLATE(A1338,""en"",""pt"")"),"divulgue a notícia")</f>
        <v>divulgue a notícia</v>
      </c>
      <c r="G1338" s="69"/>
    </row>
    <row r="1339" ht="22.5" customHeight="1">
      <c r="A1339" s="66" t="s">
        <v>1730</v>
      </c>
      <c r="B1339" s="67" t="str">
        <f t="shared" si="11"/>
        <v>M: shut her up</v>
      </c>
      <c r="C1339" s="68"/>
      <c r="D1339" s="68">
        <v>45883.0</v>
      </c>
      <c r="E1339" s="66">
        <v>10.0</v>
      </c>
      <c r="F1339" s="66" t="str">
        <f>IFERROR(__xludf.DUMMYFUNCTION("GOOGLETRANSLATE(A1339,""en"",""pt"")"),"cale-a")</f>
        <v>cale-a</v>
      </c>
      <c r="G1339" s="69"/>
    </row>
    <row r="1340" ht="22.5" customHeight="1">
      <c r="A1340" s="66" t="s">
        <v>1731</v>
      </c>
      <c r="B1340" s="67" t="str">
        <f t="shared" si="11"/>
        <v>M: warn</v>
      </c>
      <c r="C1340" s="68"/>
      <c r="D1340" s="68">
        <v>45883.0</v>
      </c>
      <c r="E1340" s="66">
        <v>1.0</v>
      </c>
      <c r="F1340" s="66" t="str">
        <f>IFERROR(__xludf.DUMMYFUNCTION("GOOGLETRANSLATE(A1340,""en"",""pt"")"),"avisar")</f>
        <v>avisar</v>
      </c>
      <c r="G1340" s="69"/>
    </row>
    <row r="1341" ht="22.5" customHeight="1">
      <c r="A1341" s="66" t="s">
        <v>1732</v>
      </c>
      <c r="B1341" s="67" t="str">
        <f t="shared" si="11"/>
        <v>M: unintended</v>
      </c>
      <c r="C1341" s="68"/>
      <c r="D1341" s="68">
        <v>45883.0</v>
      </c>
      <c r="E1341" s="66">
        <v>2.0</v>
      </c>
      <c r="F1341" s="66" t="str">
        <f>IFERROR(__xludf.DUMMYFUNCTION("GOOGLETRANSLATE(A1341,""en"",""pt"")"),"não intencional")</f>
        <v>não intencional</v>
      </c>
      <c r="G1341" s="69"/>
    </row>
    <row r="1342" ht="22.5" customHeight="1">
      <c r="A1342" s="66" t="s">
        <v>1733</v>
      </c>
      <c r="B1342" s="67" t="str">
        <f t="shared" si="11"/>
        <v>M: mastermind</v>
      </c>
      <c r="C1342" s="68"/>
      <c r="D1342" s="68">
        <v>45884.0</v>
      </c>
      <c r="E1342" s="66">
        <v>3.0</v>
      </c>
      <c r="F1342" s="66" t="str">
        <f>IFERROR(__xludf.DUMMYFUNCTION("GOOGLETRANSLATE(A1342,""en"",""pt"")"),"mente brilhante")</f>
        <v>mente brilhante</v>
      </c>
      <c r="G1342" s="69"/>
    </row>
    <row r="1343" ht="22.5" customHeight="1">
      <c r="A1343" s="66" t="s">
        <v>1734</v>
      </c>
      <c r="B1343" s="67" t="str">
        <f t="shared" si="11"/>
        <v>M: incriminating</v>
      </c>
      <c r="C1343" s="68"/>
      <c r="D1343" s="68">
        <v>45884.0</v>
      </c>
      <c r="E1343" s="66">
        <v>4.0</v>
      </c>
      <c r="F1343" s="66" t="str">
        <f>IFERROR(__xludf.DUMMYFUNCTION("GOOGLETRANSLATE(A1343,""en"",""pt"")"),"incriminatório")</f>
        <v>incriminatório</v>
      </c>
      <c r="G1343" s="69"/>
    </row>
    <row r="1344" ht="22.5" customHeight="1">
      <c r="A1344" s="66" t="s">
        <v>1735</v>
      </c>
      <c r="B1344" s="67" t="str">
        <f t="shared" si="11"/>
        <v>M: beg</v>
      </c>
      <c r="C1344" s="68"/>
      <c r="D1344" s="68">
        <v>45884.0</v>
      </c>
      <c r="E1344" s="66">
        <v>5.0</v>
      </c>
      <c r="F1344" s="66" t="str">
        <f>IFERROR(__xludf.DUMMYFUNCTION("GOOGLETRANSLATE(A1344,""en"",""pt"")"),"implorar")</f>
        <v>implorar</v>
      </c>
      <c r="G1344" s="69"/>
    </row>
    <row r="1345" ht="22.5" customHeight="1">
      <c r="A1345" s="66" t="s">
        <v>1736</v>
      </c>
      <c r="B1345" s="67" t="str">
        <f t="shared" si="11"/>
        <v>M: groaning</v>
      </c>
      <c r="C1345" s="68"/>
      <c r="D1345" s="68">
        <v>45884.0</v>
      </c>
      <c r="E1345" s="66">
        <v>6.0</v>
      </c>
      <c r="F1345" s="66" t="str">
        <f>IFERROR(__xludf.DUMMYFUNCTION("GOOGLETRANSLATE(A1345,""en"",""pt"")"),"gemendo")</f>
        <v>gemendo</v>
      </c>
      <c r="G1345" s="69"/>
    </row>
    <row r="1346" ht="22.5" customHeight="1">
      <c r="A1346" s="66" t="s">
        <v>1737</v>
      </c>
      <c r="B1346" s="67" t="str">
        <f t="shared" si="11"/>
        <v>M: bullshit</v>
      </c>
      <c r="C1346" s="66">
        <v>1.0</v>
      </c>
      <c r="D1346" s="68">
        <v>45884.0</v>
      </c>
      <c r="E1346" s="66">
        <v>7.0</v>
      </c>
      <c r="F1346" s="66" t="s">
        <v>1738</v>
      </c>
      <c r="G1346" s="66" t="s">
        <v>247</v>
      </c>
    </row>
    <row r="1347" ht="22.5" customHeight="1">
      <c r="A1347" s="66" t="s">
        <v>1739</v>
      </c>
      <c r="B1347" s="67" t="str">
        <f t="shared" si="11"/>
        <v>M: embezzled</v>
      </c>
      <c r="C1347" s="68"/>
      <c r="D1347" s="68">
        <v>45884.0</v>
      </c>
      <c r="E1347" s="66">
        <v>8.0</v>
      </c>
      <c r="F1347" s="66" t="str">
        <f>IFERROR(__xludf.DUMMYFUNCTION("GOOGLETRANSLATE(A1347,""en"",""pt"")"),"desviado")</f>
        <v>desviado</v>
      </c>
      <c r="G1347" s="69"/>
    </row>
    <row r="1348" ht="22.5" customHeight="1">
      <c r="A1348" s="66" t="s">
        <v>1740</v>
      </c>
      <c r="B1348" s="67" t="str">
        <f t="shared" si="11"/>
        <v>M: scumbag</v>
      </c>
      <c r="C1348" s="68"/>
      <c r="D1348" s="68">
        <v>45884.0</v>
      </c>
      <c r="E1348" s="66">
        <v>9.0</v>
      </c>
      <c r="F1348" s="66" t="str">
        <f>IFERROR(__xludf.DUMMYFUNCTION("GOOGLETRANSLATE(A1348,""en"",""pt"")"),"escroto")</f>
        <v>escroto</v>
      </c>
      <c r="G1348" s="69"/>
    </row>
    <row r="1349" ht="22.5" customHeight="1">
      <c r="A1349" s="66" t="s">
        <v>1741</v>
      </c>
      <c r="B1349" s="67" t="str">
        <f t="shared" si="11"/>
        <v>M: stashed</v>
      </c>
      <c r="C1349" s="66">
        <v>1.0</v>
      </c>
      <c r="D1349" s="68">
        <v>45884.0</v>
      </c>
      <c r="E1349" s="66">
        <v>10.0</v>
      </c>
      <c r="F1349" s="66" t="s">
        <v>1742</v>
      </c>
      <c r="G1349" s="66" t="s">
        <v>247</v>
      </c>
    </row>
    <row r="1350" ht="22.5" customHeight="1">
      <c r="A1350" s="66" t="s">
        <v>1743</v>
      </c>
      <c r="B1350" s="67" t="str">
        <f t="shared" si="11"/>
        <v>M: booking</v>
      </c>
      <c r="C1350" s="68"/>
      <c r="D1350" s="68">
        <v>45884.0</v>
      </c>
      <c r="E1350" s="66">
        <v>1.0</v>
      </c>
      <c r="F1350" s="66" t="str">
        <f>IFERROR(__xludf.DUMMYFUNCTION("GOOGLETRANSLATE(A1350,""en"",""pt"")"),"reserva")</f>
        <v>reserva</v>
      </c>
      <c r="G1350" s="69"/>
    </row>
    <row r="1351" ht="22.5" customHeight="1">
      <c r="A1351" s="66" t="s">
        <v>1744</v>
      </c>
      <c r="B1351" s="67" t="str">
        <f t="shared" si="11"/>
        <v>M: puss out</v>
      </c>
      <c r="C1351" s="68"/>
      <c r="D1351" s="68">
        <v>45884.0</v>
      </c>
      <c r="E1351" s="66">
        <v>2.0</v>
      </c>
      <c r="F1351" s="66" t="str">
        <f>IFERROR(__xludf.DUMMYFUNCTION("GOOGLETRANSLATE(A1351,""en"",""pt"")"),"pum fora")</f>
        <v>pum fora</v>
      </c>
      <c r="G1351" s="69"/>
    </row>
    <row r="1352" ht="22.5" customHeight="1">
      <c r="A1352" s="66" t="s">
        <v>1745</v>
      </c>
      <c r="B1352" s="67" t="str">
        <f t="shared" si="11"/>
        <v>M: edible</v>
      </c>
      <c r="C1352" s="68"/>
      <c r="D1352" s="68">
        <v>45885.0</v>
      </c>
      <c r="E1352" s="66">
        <v>3.0</v>
      </c>
      <c r="F1352" s="66" t="str">
        <f>IFERROR(__xludf.DUMMYFUNCTION("GOOGLETRANSLATE(A1352,""en"",""pt"")"),"comestível")</f>
        <v>comestível</v>
      </c>
      <c r="G1352" s="69"/>
    </row>
    <row r="1353" ht="22.5" customHeight="1">
      <c r="A1353" s="66" t="s">
        <v>1746</v>
      </c>
      <c r="B1353" s="67" t="str">
        <f t="shared" si="11"/>
        <v>M: resembling</v>
      </c>
      <c r="C1353" s="68"/>
      <c r="D1353" s="68">
        <v>45885.0</v>
      </c>
      <c r="E1353" s="66">
        <v>4.0</v>
      </c>
      <c r="F1353" s="66" t="str">
        <f>IFERROR(__xludf.DUMMYFUNCTION("GOOGLETRANSLATE(A1353,""en"",""pt"")"),"semelhante a")</f>
        <v>semelhante a</v>
      </c>
      <c r="G1353" s="69"/>
    </row>
    <row r="1354" ht="22.5" customHeight="1">
      <c r="A1354" s="66" t="s">
        <v>1747</v>
      </c>
      <c r="B1354" s="67" t="str">
        <f t="shared" si="11"/>
        <v>M: bookie</v>
      </c>
      <c r="C1354" s="68"/>
      <c r="D1354" s="68">
        <v>45885.0</v>
      </c>
      <c r="E1354" s="66">
        <v>5.0</v>
      </c>
      <c r="F1354" s="66" t="str">
        <f>IFERROR(__xludf.DUMMYFUNCTION("GOOGLETRANSLATE(A1354,""en"",""pt"")"),"apostador")</f>
        <v>apostador</v>
      </c>
      <c r="G1354" s="69"/>
    </row>
    <row r="1355" ht="22.5" customHeight="1">
      <c r="A1355" s="66" t="s">
        <v>1748</v>
      </c>
      <c r="B1355" s="67" t="str">
        <f t="shared" si="11"/>
        <v>M: foreclosed</v>
      </c>
      <c r="C1355" s="68"/>
      <c r="D1355" s="68">
        <v>45885.0</v>
      </c>
      <c r="E1355" s="66">
        <v>6.0</v>
      </c>
      <c r="F1355" s="66" t="str">
        <f>IFERROR(__xludf.DUMMYFUNCTION("GOOGLETRANSLATE(A1355,""en"",""pt"")"),"executado")</f>
        <v>executado</v>
      </c>
      <c r="G1355" s="69"/>
    </row>
    <row r="1356" ht="22.5" customHeight="1">
      <c r="A1356" s="66" t="s">
        <v>1749</v>
      </c>
      <c r="B1356" s="67" t="str">
        <f t="shared" si="11"/>
        <v>M: wants</v>
      </c>
      <c r="C1356" s="68"/>
      <c r="D1356" s="68">
        <v>45885.0</v>
      </c>
      <c r="E1356" s="66">
        <v>7.0</v>
      </c>
      <c r="F1356" s="66" t="str">
        <f>IFERROR(__xludf.DUMMYFUNCTION("GOOGLETRANSLATE(A1356,""en"",""pt"")"),"quer")</f>
        <v>quer</v>
      </c>
      <c r="G1356" s="69"/>
    </row>
    <row r="1357" ht="22.5" customHeight="1">
      <c r="A1357" s="66" t="s">
        <v>1750</v>
      </c>
      <c r="B1357" s="67" t="str">
        <f t="shared" si="11"/>
        <v>M: happening</v>
      </c>
      <c r="C1357" s="68"/>
      <c r="D1357" s="68">
        <v>45885.0</v>
      </c>
      <c r="E1357" s="66">
        <v>8.0</v>
      </c>
      <c r="F1357" s="66" t="str">
        <f>IFERROR(__xludf.DUMMYFUNCTION("GOOGLETRANSLATE(A1357,""en"",""pt"")"),"acontecendo")</f>
        <v>acontecendo</v>
      </c>
      <c r="G1357" s="69"/>
    </row>
    <row r="1358" ht="22.5" customHeight="1">
      <c r="A1358" s="66" t="s">
        <v>1751</v>
      </c>
      <c r="B1358" s="67" t="str">
        <f t="shared" si="11"/>
        <v>M: awaits</v>
      </c>
      <c r="C1358" s="66">
        <v>1.0</v>
      </c>
      <c r="D1358" s="68">
        <v>45885.0</v>
      </c>
      <c r="E1358" s="66">
        <v>9.0</v>
      </c>
      <c r="F1358" s="66" t="s">
        <v>1752</v>
      </c>
      <c r="G1358" s="66" t="s">
        <v>247</v>
      </c>
    </row>
    <row r="1359" ht="22.5" customHeight="1">
      <c r="A1359" s="66" t="s">
        <v>1753</v>
      </c>
      <c r="B1359" s="67" t="str">
        <f t="shared" si="11"/>
        <v>M: check it out</v>
      </c>
      <c r="C1359" s="68"/>
      <c r="D1359" s="68">
        <v>45885.0</v>
      </c>
      <c r="E1359" s="66">
        <v>10.0</v>
      </c>
      <c r="F1359" s="66" t="str">
        <f>IFERROR(__xludf.DUMMYFUNCTION("GOOGLETRANSLATE(A1359,""en"",""pt"")"),"Confira")</f>
        <v>Confira</v>
      </c>
      <c r="G1359" s="69"/>
    </row>
    <row r="1360" ht="22.5" customHeight="1">
      <c r="A1360" s="66" t="s">
        <v>1754</v>
      </c>
      <c r="B1360" s="67" t="str">
        <f t="shared" si="11"/>
        <v>M: possession</v>
      </c>
      <c r="C1360" s="68"/>
      <c r="D1360" s="68">
        <v>45885.0</v>
      </c>
      <c r="E1360" s="66">
        <v>1.0</v>
      </c>
      <c r="F1360" s="66" t="str">
        <f>IFERROR(__xludf.DUMMYFUNCTION("GOOGLETRANSLATE(A1360,""en"",""pt"")"),"posse")</f>
        <v>posse</v>
      </c>
      <c r="G1360" s="69"/>
    </row>
    <row r="1361" ht="22.5" customHeight="1">
      <c r="A1361" s="66" t="s">
        <v>1755</v>
      </c>
      <c r="B1361" s="67" t="str">
        <f t="shared" si="11"/>
        <v>M: mops</v>
      </c>
      <c r="C1361" s="68"/>
      <c r="D1361" s="68">
        <v>45885.0</v>
      </c>
      <c r="E1361" s="66">
        <v>2.0</v>
      </c>
      <c r="F1361" s="66" t="str">
        <f>IFERROR(__xludf.DUMMYFUNCTION("GOOGLETRANSLATE(A1361,""en"",""pt"")"),"esfregões")</f>
        <v>esfregões</v>
      </c>
      <c r="G1361" s="69"/>
    </row>
    <row r="1362" ht="22.5" customHeight="1">
      <c r="A1362" s="66" t="s">
        <v>1756</v>
      </c>
      <c r="B1362" s="67" t="str">
        <f t="shared" si="11"/>
        <v>M: snoring</v>
      </c>
      <c r="C1362" s="68"/>
      <c r="D1362" s="68">
        <v>45886.0</v>
      </c>
      <c r="E1362" s="66">
        <v>3.0</v>
      </c>
      <c r="F1362" s="66" t="str">
        <f>IFERROR(__xludf.DUMMYFUNCTION("GOOGLETRANSLATE(A1362,""en"",""pt"")"),"ronco")</f>
        <v>ronco</v>
      </c>
      <c r="G1362" s="69"/>
    </row>
    <row r="1363" ht="22.5" customHeight="1">
      <c r="A1363" s="66" t="s">
        <v>1757</v>
      </c>
      <c r="B1363" s="67" t="str">
        <f t="shared" si="11"/>
        <v>M: billboard</v>
      </c>
      <c r="C1363" s="68"/>
      <c r="D1363" s="68">
        <v>45886.0</v>
      </c>
      <c r="E1363" s="66">
        <v>4.0</v>
      </c>
      <c r="F1363" s="66" t="str">
        <f>IFERROR(__xludf.DUMMYFUNCTION("GOOGLETRANSLATE(A1363,""en"",""pt"")"),"outdoor")</f>
        <v>outdoor</v>
      </c>
      <c r="G1363" s="69"/>
    </row>
    <row r="1364" ht="22.5" customHeight="1">
      <c r="A1364" s="66" t="s">
        <v>1758</v>
      </c>
      <c r="B1364" s="67" t="str">
        <f t="shared" si="11"/>
        <v>M: greedy</v>
      </c>
      <c r="C1364" s="66">
        <v>1.0</v>
      </c>
      <c r="D1364" s="68">
        <v>45886.0</v>
      </c>
      <c r="E1364" s="66">
        <v>5.0</v>
      </c>
      <c r="F1364" s="66" t="s">
        <v>1759</v>
      </c>
      <c r="G1364" s="66" t="s">
        <v>247</v>
      </c>
    </row>
    <row r="1365" ht="22.5" customHeight="1">
      <c r="A1365" s="66" t="s">
        <v>1760</v>
      </c>
      <c r="B1365" s="67" t="str">
        <f t="shared" si="11"/>
        <v>M: rounded up</v>
      </c>
      <c r="C1365" s="68"/>
      <c r="D1365" s="68">
        <v>45886.0</v>
      </c>
      <c r="E1365" s="66">
        <v>6.0</v>
      </c>
      <c r="F1365" s="66" t="str">
        <f>IFERROR(__xludf.DUMMYFUNCTION("GOOGLETRANSLATE(A1365,""en"",""pt"")"),"arredondado para cima")</f>
        <v>arredondado para cima</v>
      </c>
      <c r="G1365" s="69"/>
    </row>
    <row r="1366" ht="22.5" customHeight="1">
      <c r="A1366" s="66" t="s">
        <v>1761</v>
      </c>
      <c r="B1366" s="67" t="str">
        <f t="shared" si="11"/>
        <v>M: warned</v>
      </c>
      <c r="C1366" s="68"/>
      <c r="D1366" s="68">
        <v>45886.0</v>
      </c>
      <c r="E1366" s="66">
        <v>7.0</v>
      </c>
      <c r="F1366" s="66" t="str">
        <f>IFERROR(__xludf.DUMMYFUNCTION("GOOGLETRANSLATE(A1366,""en"",""pt"")"),"avisou")</f>
        <v>avisou</v>
      </c>
      <c r="G1366" s="69"/>
    </row>
    <row r="1367" ht="22.5" customHeight="1">
      <c r="A1367" s="66" t="s">
        <v>1762</v>
      </c>
      <c r="B1367" s="67" t="str">
        <f t="shared" si="11"/>
        <v>M: assure</v>
      </c>
      <c r="C1367" s="68"/>
      <c r="D1367" s="68">
        <v>45886.0</v>
      </c>
      <c r="E1367" s="66">
        <v>8.0</v>
      </c>
      <c r="F1367" s="66" t="str">
        <f>IFERROR(__xludf.DUMMYFUNCTION("GOOGLETRANSLATE(A1367,""en"",""pt"")"),"assegurar")</f>
        <v>assegurar</v>
      </c>
      <c r="G1367" s="69"/>
    </row>
    <row r="1368" ht="22.5" customHeight="1">
      <c r="A1368" s="66" t="s">
        <v>1763</v>
      </c>
      <c r="B1368" s="67" t="str">
        <f t="shared" si="11"/>
        <v>M: teensy</v>
      </c>
      <c r="C1368" s="68"/>
      <c r="D1368" s="68">
        <v>45886.0</v>
      </c>
      <c r="E1368" s="66">
        <v>9.0</v>
      </c>
      <c r="F1368" s="66" t="str">
        <f>IFERROR(__xludf.DUMMYFUNCTION("GOOGLETRANSLATE(A1368,""en"",""pt"")"),"minúsculo")</f>
        <v>minúsculo</v>
      </c>
      <c r="G1368" s="69"/>
    </row>
    <row r="1369" ht="22.5" customHeight="1">
      <c r="A1369" s="66" t="s">
        <v>1764</v>
      </c>
      <c r="B1369" s="67" t="str">
        <f t="shared" si="11"/>
        <v>M: bargaining</v>
      </c>
      <c r="C1369" s="66">
        <v>1.0</v>
      </c>
      <c r="D1369" s="68">
        <v>45886.0</v>
      </c>
      <c r="E1369" s="66">
        <v>10.0</v>
      </c>
      <c r="F1369" s="71" t="s">
        <v>1765</v>
      </c>
      <c r="G1369" s="66" t="s">
        <v>247</v>
      </c>
    </row>
    <row r="1370" ht="22.5" customHeight="1">
      <c r="A1370" s="66" t="s">
        <v>1766</v>
      </c>
      <c r="B1370" s="67" t="str">
        <f t="shared" si="11"/>
        <v>M: maneuverability</v>
      </c>
      <c r="C1370" s="68"/>
      <c r="D1370" s="68">
        <v>45886.0</v>
      </c>
      <c r="E1370" s="66">
        <v>1.0</v>
      </c>
      <c r="F1370" s="66" t="str">
        <f>IFERROR(__xludf.DUMMYFUNCTION("GOOGLETRANSLATE(A1370,""en"",""pt"")"),"manobrabilidade")</f>
        <v>manobrabilidade</v>
      </c>
      <c r="G1370" s="69"/>
    </row>
    <row r="1371" ht="22.5" customHeight="1">
      <c r="A1371" s="66" t="s">
        <v>1767</v>
      </c>
      <c r="B1371" s="67" t="str">
        <f t="shared" si="11"/>
        <v>M: earned</v>
      </c>
      <c r="C1371" s="68"/>
      <c r="D1371" s="68">
        <v>45886.0</v>
      </c>
      <c r="E1371" s="66">
        <v>2.0</v>
      </c>
      <c r="F1371" s="66" t="str">
        <f>IFERROR(__xludf.DUMMYFUNCTION("GOOGLETRANSLATE(A1371,""en"",""pt"")"),"merecido")</f>
        <v>merecido</v>
      </c>
      <c r="G1371" s="69"/>
    </row>
    <row r="1372" ht="22.5" customHeight="1">
      <c r="A1372" s="66" t="s">
        <v>1768</v>
      </c>
      <c r="B1372" s="67" t="str">
        <f t="shared" si="11"/>
        <v>M: pissed</v>
      </c>
      <c r="C1372" s="68"/>
      <c r="D1372" s="68">
        <v>45887.0</v>
      </c>
      <c r="E1372" s="66">
        <v>3.0</v>
      </c>
      <c r="F1372" s="66" t="str">
        <f>IFERROR(__xludf.DUMMYFUNCTION("GOOGLETRANSLATE(A1372,""en"",""pt"")"),"puto")</f>
        <v>puto</v>
      </c>
      <c r="G1372" s="69"/>
    </row>
    <row r="1373" ht="22.5" customHeight="1">
      <c r="A1373" s="66" t="s">
        <v>1769</v>
      </c>
      <c r="B1373" s="67" t="str">
        <f t="shared" si="11"/>
        <v>M: fairness</v>
      </c>
      <c r="C1373" s="68"/>
      <c r="D1373" s="68">
        <v>45887.0</v>
      </c>
      <c r="E1373" s="66">
        <v>4.0</v>
      </c>
      <c r="F1373" s="66" t="str">
        <f>IFERROR(__xludf.DUMMYFUNCTION("GOOGLETRANSLATE(A1373,""en"",""pt"")"),"justiça")</f>
        <v>justiça</v>
      </c>
      <c r="G1373" s="69"/>
    </row>
    <row r="1374" ht="22.5" customHeight="1">
      <c r="A1374" s="66" t="s">
        <v>1770</v>
      </c>
      <c r="B1374" s="67" t="str">
        <f t="shared" si="11"/>
        <v>M: bribe</v>
      </c>
      <c r="C1374" s="68"/>
      <c r="D1374" s="68">
        <v>45887.0</v>
      </c>
      <c r="E1374" s="66">
        <v>5.0</v>
      </c>
      <c r="F1374" s="66" t="str">
        <f>IFERROR(__xludf.DUMMYFUNCTION("GOOGLETRANSLATE(A1374,""en"",""pt"")"),"suborno")</f>
        <v>suborno</v>
      </c>
      <c r="G1374" s="69"/>
    </row>
    <row r="1375" ht="22.5" customHeight="1">
      <c r="A1375" s="66" t="s">
        <v>1771</v>
      </c>
      <c r="B1375" s="67" t="str">
        <f t="shared" si="11"/>
        <v>M: retainer</v>
      </c>
      <c r="C1375" s="68"/>
      <c r="D1375" s="68">
        <v>45887.0</v>
      </c>
      <c r="E1375" s="66">
        <v>6.0</v>
      </c>
      <c r="F1375" s="66" t="str">
        <f>IFERROR(__xludf.DUMMYFUNCTION("GOOGLETRANSLATE(A1375,""en"",""pt"")"),"retentor")</f>
        <v>retentor</v>
      </c>
      <c r="G1375" s="69"/>
    </row>
    <row r="1376" ht="22.5" customHeight="1">
      <c r="A1376" s="66" t="s">
        <v>1772</v>
      </c>
      <c r="B1376" s="67" t="str">
        <f t="shared" si="11"/>
        <v>M: shiny</v>
      </c>
      <c r="C1376" s="66">
        <v>1.0</v>
      </c>
      <c r="D1376" s="68">
        <v>45887.0</v>
      </c>
      <c r="E1376" s="66">
        <v>7.0</v>
      </c>
      <c r="F1376" s="71" t="s">
        <v>1773</v>
      </c>
      <c r="G1376" s="66" t="s">
        <v>247</v>
      </c>
    </row>
    <row r="1377" ht="22.5" customHeight="1">
      <c r="A1377" s="66" t="s">
        <v>1774</v>
      </c>
      <c r="B1377" s="67" t="str">
        <f t="shared" si="11"/>
        <v>M: kiddie</v>
      </c>
      <c r="C1377" s="68"/>
      <c r="D1377" s="68">
        <v>45887.0</v>
      </c>
      <c r="E1377" s="66">
        <v>8.0</v>
      </c>
      <c r="F1377" s="66" t="str">
        <f>IFERROR(__xludf.DUMMYFUNCTION("GOOGLETRANSLATE(A1377,""en"",""pt"")"),"criança")</f>
        <v>criança</v>
      </c>
      <c r="G1377" s="69"/>
    </row>
    <row r="1378" ht="22.5" customHeight="1">
      <c r="A1378" s="66" t="s">
        <v>1775</v>
      </c>
      <c r="B1378" s="67" t="str">
        <f t="shared" si="11"/>
        <v>M: commitment</v>
      </c>
      <c r="C1378" s="66">
        <v>1.0</v>
      </c>
      <c r="D1378" s="68">
        <v>45887.0</v>
      </c>
      <c r="E1378" s="66">
        <v>9.0</v>
      </c>
      <c r="F1378" s="66" t="s">
        <v>1776</v>
      </c>
      <c r="G1378" s="66" t="s">
        <v>247</v>
      </c>
    </row>
    <row r="1379" ht="22.5" customHeight="1">
      <c r="A1379" s="66" t="s">
        <v>1777</v>
      </c>
      <c r="B1379" s="67" t="str">
        <f t="shared" si="11"/>
        <v>M: loafers</v>
      </c>
      <c r="C1379" s="66">
        <v>1.0</v>
      </c>
      <c r="D1379" s="68">
        <v>45887.0</v>
      </c>
      <c r="E1379" s="66">
        <v>10.0</v>
      </c>
      <c r="F1379" s="71" t="s">
        <v>1778</v>
      </c>
      <c r="G1379" s="66" t="s">
        <v>247</v>
      </c>
    </row>
    <row r="1380" ht="22.5" customHeight="1">
      <c r="A1380" s="66" t="s">
        <v>1779</v>
      </c>
      <c r="B1380" s="67" t="str">
        <f t="shared" si="11"/>
        <v>M: guilty</v>
      </c>
      <c r="C1380" s="68"/>
      <c r="D1380" s="68">
        <v>45887.0</v>
      </c>
      <c r="E1380" s="66">
        <v>1.0</v>
      </c>
      <c r="F1380" s="66" t="str">
        <f>IFERROR(__xludf.DUMMYFUNCTION("GOOGLETRANSLATE(A1380,""en"",""pt"")"),"culpado")</f>
        <v>culpado</v>
      </c>
      <c r="G1380" s="69"/>
    </row>
    <row r="1381" ht="22.5" customHeight="1">
      <c r="A1381" s="66" t="s">
        <v>1780</v>
      </c>
      <c r="B1381" s="67" t="str">
        <f t="shared" si="11"/>
        <v>M: backyard</v>
      </c>
      <c r="C1381" s="68"/>
      <c r="D1381" s="68">
        <v>45887.0</v>
      </c>
      <c r="E1381" s="66">
        <v>2.0</v>
      </c>
      <c r="F1381" s="66" t="str">
        <f>IFERROR(__xludf.DUMMYFUNCTION("GOOGLETRANSLATE(A1381,""en"",""pt"")"),"quintal")</f>
        <v>quintal</v>
      </c>
      <c r="G1381" s="69"/>
    </row>
    <row r="1382" ht="22.5" customHeight="1">
      <c r="A1382" s="66" t="s">
        <v>1781</v>
      </c>
      <c r="B1382" s="67" t="str">
        <f t="shared" si="11"/>
        <v>M: loquacious</v>
      </c>
      <c r="C1382" s="68"/>
      <c r="D1382" s="68">
        <v>45888.0</v>
      </c>
      <c r="E1382" s="66">
        <v>3.0</v>
      </c>
      <c r="F1382" s="66" t="str">
        <f>IFERROR(__xludf.DUMMYFUNCTION("GOOGLETRANSLATE(A1382,""en"",""pt"")"),"loquaz")</f>
        <v>loquaz</v>
      </c>
      <c r="G1382" s="69"/>
    </row>
    <row r="1383" ht="22.5" customHeight="1">
      <c r="A1383" s="66" t="s">
        <v>1782</v>
      </c>
      <c r="B1383" s="67" t="str">
        <f t="shared" si="11"/>
        <v>M: cuffed</v>
      </c>
      <c r="C1383" s="68"/>
      <c r="D1383" s="68">
        <v>45888.0</v>
      </c>
      <c r="E1383" s="66">
        <v>4.0</v>
      </c>
      <c r="F1383" s="66" t="str">
        <f>IFERROR(__xludf.DUMMYFUNCTION("GOOGLETRANSLATE(A1383,""en"",""pt"")"),"algemado")</f>
        <v>algemado</v>
      </c>
      <c r="G1383" s="69"/>
    </row>
    <row r="1384" ht="22.5" customHeight="1">
      <c r="A1384" s="66" t="s">
        <v>1783</v>
      </c>
      <c r="B1384" s="67" t="str">
        <f t="shared" si="11"/>
        <v>M: argued</v>
      </c>
      <c r="C1384" s="68"/>
      <c r="D1384" s="68">
        <v>45888.0</v>
      </c>
      <c r="E1384" s="66">
        <v>5.0</v>
      </c>
      <c r="F1384" s="66" t="str">
        <f>IFERROR(__xludf.DUMMYFUNCTION("GOOGLETRANSLATE(A1384,""en"",""pt"")"),"argumentou")</f>
        <v>argumentou</v>
      </c>
      <c r="G1384" s="69"/>
    </row>
    <row r="1385" ht="22.5" customHeight="1">
      <c r="A1385" s="66" t="s">
        <v>1784</v>
      </c>
      <c r="B1385" s="67" t="str">
        <f t="shared" si="11"/>
        <v>M: woodsy</v>
      </c>
      <c r="C1385" s="68"/>
      <c r="D1385" s="68">
        <v>45888.0</v>
      </c>
      <c r="E1385" s="66">
        <v>6.0</v>
      </c>
      <c r="F1385" s="66" t="str">
        <f>IFERROR(__xludf.DUMMYFUNCTION("GOOGLETRANSLATE(A1385,""en"",""pt"")"),"florestal")</f>
        <v>florestal</v>
      </c>
      <c r="G1385" s="69"/>
    </row>
    <row r="1386" ht="22.5" customHeight="1">
      <c r="A1386" s="66" t="s">
        <v>1785</v>
      </c>
      <c r="B1386" s="67" t="str">
        <f t="shared" si="11"/>
        <v>M: ratted</v>
      </c>
      <c r="C1386" s="66">
        <v>1.0</v>
      </c>
      <c r="D1386" s="68">
        <v>45888.0</v>
      </c>
      <c r="E1386" s="66">
        <v>7.0</v>
      </c>
      <c r="F1386" s="66" t="s">
        <v>1786</v>
      </c>
      <c r="G1386" s="69"/>
    </row>
    <row r="1387" ht="22.5" customHeight="1">
      <c r="A1387" s="66" t="s">
        <v>1787</v>
      </c>
      <c r="B1387" s="67" t="str">
        <f t="shared" si="11"/>
        <v>M: wazoo</v>
      </c>
      <c r="C1387" s="68"/>
      <c r="D1387" s="68">
        <v>45888.0</v>
      </c>
      <c r="E1387" s="66">
        <v>8.0</v>
      </c>
      <c r="F1387" s="66" t="str">
        <f>IFERROR(__xludf.DUMMYFUNCTION("GOOGLETRANSLATE(A1387,""en"",""pt"")"),"wazoo")</f>
        <v>wazoo</v>
      </c>
      <c r="G1387" s="69"/>
    </row>
    <row r="1388" ht="22.5" customHeight="1">
      <c r="A1388" s="66" t="s">
        <v>1788</v>
      </c>
      <c r="B1388" s="67" t="str">
        <f t="shared" si="11"/>
        <v>M: hourly</v>
      </c>
      <c r="C1388" s="68"/>
      <c r="D1388" s="68">
        <v>45888.0</v>
      </c>
      <c r="E1388" s="66">
        <v>9.0</v>
      </c>
      <c r="F1388" s="66" t="str">
        <f>IFERROR(__xludf.DUMMYFUNCTION("GOOGLETRANSLATE(A1388,""en"",""pt"")"),"por hora")</f>
        <v>por hora</v>
      </c>
      <c r="G1388" s="69"/>
    </row>
    <row r="1389" ht="22.5" customHeight="1">
      <c r="A1389" s="66" t="s">
        <v>1789</v>
      </c>
      <c r="B1389" s="67" t="str">
        <f t="shared" si="11"/>
        <v>M: research</v>
      </c>
      <c r="C1389" s="68"/>
      <c r="D1389" s="68">
        <v>45888.0</v>
      </c>
      <c r="E1389" s="66">
        <v>10.0</v>
      </c>
      <c r="F1389" s="66" t="str">
        <f>IFERROR(__xludf.DUMMYFUNCTION("GOOGLETRANSLATE(A1389,""en"",""pt"")"),"pesquisar")</f>
        <v>pesquisar</v>
      </c>
      <c r="G1389" s="69"/>
    </row>
    <row r="1390" ht="22.5" customHeight="1">
      <c r="A1390" s="66" t="s">
        <v>1790</v>
      </c>
      <c r="B1390" s="67" t="str">
        <f t="shared" si="11"/>
        <v>M: filing</v>
      </c>
      <c r="C1390" s="66">
        <v>1.0</v>
      </c>
      <c r="D1390" s="68">
        <v>45888.0</v>
      </c>
      <c r="E1390" s="66">
        <v>1.0</v>
      </c>
      <c r="F1390" s="66" t="s">
        <v>1791</v>
      </c>
      <c r="G1390" s="66" t="s">
        <v>247</v>
      </c>
    </row>
    <row r="1391" ht="22.5" customHeight="1">
      <c r="A1391" s="66" t="s">
        <v>1792</v>
      </c>
      <c r="B1391" s="67" t="str">
        <f t="shared" si="11"/>
        <v>M: cloth</v>
      </c>
      <c r="C1391" s="68"/>
      <c r="D1391" s="68">
        <v>45888.0</v>
      </c>
      <c r="E1391" s="66">
        <v>2.0</v>
      </c>
      <c r="F1391" s="66" t="str">
        <f>IFERROR(__xludf.DUMMYFUNCTION("GOOGLETRANSLATE(A1391,""en"",""pt"")"),"pano")</f>
        <v>pano</v>
      </c>
      <c r="G1391" s="69"/>
    </row>
    <row r="1392" ht="22.5" customHeight="1">
      <c r="A1392" s="66" t="s">
        <v>1793</v>
      </c>
      <c r="B1392" s="67" t="str">
        <f t="shared" si="11"/>
        <v>M: bleach</v>
      </c>
      <c r="C1392" s="68"/>
      <c r="D1392" s="68">
        <v>45889.0</v>
      </c>
      <c r="E1392" s="66">
        <v>3.0</v>
      </c>
      <c r="F1392" s="66" t="str">
        <f>IFERROR(__xludf.DUMMYFUNCTION("GOOGLETRANSLATE(A1392,""en"",""pt"")"),"água sanitária")</f>
        <v>água sanitária</v>
      </c>
      <c r="G1392" s="69"/>
    </row>
    <row r="1393" ht="22.5" customHeight="1">
      <c r="A1393" s="66" t="s">
        <v>1794</v>
      </c>
      <c r="B1393" s="67" t="str">
        <f t="shared" si="11"/>
        <v>M: curling</v>
      </c>
      <c r="C1393" s="66">
        <v>1.0</v>
      </c>
      <c r="D1393" s="68">
        <v>45889.0</v>
      </c>
      <c r="E1393" s="66">
        <v>4.0</v>
      </c>
      <c r="F1393" s="66" t="s">
        <v>1795</v>
      </c>
      <c r="G1393" s="66" t="s">
        <v>247</v>
      </c>
    </row>
    <row r="1394" ht="22.5" customHeight="1">
      <c r="A1394" s="66" t="s">
        <v>1796</v>
      </c>
      <c r="B1394" s="67" t="str">
        <f t="shared" si="11"/>
        <v>M: ringlets</v>
      </c>
      <c r="C1394" s="68"/>
      <c r="D1394" s="68">
        <v>45889.0</v>
      </c>
      <c r="E1394" s="66">
        <v>5.0</v>
      </c>
      <c r="F1394" s="66" t="str">
        <f>IFERROR(__xludf.DUMMYFUNCTION("GOOGLETRANSLATE(A1394,""en"",""pt"")"),"cachos")</f>
        <v>cachos</v>
      </c>
      <c r="G1394" s="69"/>
    </row>
    <row r="1395" ht="22.5" customHeight="1">
      <c r="A1395" s="66" t="s">
        <v>1797</v>
      </c>
      <c r="B1395" s="67" t="str">
        <f t="shared" si="11"/>
        <v>M: tricky</v>
      </c>
      <c r="C1395" s="66">
        <v>1.0</v>
      </c>
      <c r="D1395" s="68">
        <v>45889.0</v>
      </c>
      <c r="E1395" s="66">
        <v>6.0</v>
      </c>
      <c r="F1395" s="71" t="s">
        <v>1798</v>
      </c>
      <c r="G1395" s="66" t="s">
        <v>247</v>
      </c>
    </row>
    <row r="1396" ht="22.5" customHeight="1">
      <c r="A1396" s="66" t="s">
        <v>1799</v>
      </c>
      <c r="B1396" s="67" t="str">
        <f t="shared" si="11"/>
        <v>M: interrupting</v>
      </c>
      <c r="C1396" s="66">
        <v>1.0</v>
      </c>
      <c r="D1396" s="68">
        <v>45889.0</v>
      </c>
      <c r="E1396" s="66">
        <v>7.0</v>
      </c>
      <c r="F1396" s="66" t="s">
        <v>1800</v>
      </c>
      <c r="G1396" s="66" t="s">
        <v>247</v>
      </c>
    </row>
    <row r="1397" ht="22.5" customHeight="1">
      <c r="A1397" s="66" t="s">
        <v>1801</v>
      </c>
      <c r="B1397" s="67" t="str">
        <f t="shared" si="11"/>
        <v>M: perks</v>
      </c>
      <c r="C1397" s="68"/>
      <c r="D1397" s="68">
        <v>45889.0</v>
      </c>
      <c r="E1397" s="66">
        <v>8.0</v>
      </c>
      <c r="F1397" s="66" t="str">
        <f>IFERROR(__xludf.DUMMYFUNCTION("GOOGLETRANSLATE(A1397,""en"",""pt"")"),"vantagens")</f>
        <v>vantagens</v>
      </c>
      <c r="G1397" s="69"/>
    </row>
    <row r="1398" ht="22.5" customHeight="1">
      <c r="A1398" s="66" t="s">
        <v>1802</v>
      </c>
      <c r="B1398" s="67" t="str">
        <f t="shared" si="11"/>
        <v>M: cease</v>
      </c>
      <c r="C1398" s="68"/>
      <c r="D1398" s="68">
        <v>45889.0</v>
      </c>
      <c r="E1398" s="66">
        <v>9.0</v>
      </c>
      <c r="F1398" s="66" t="str">
        <f>IFERROR(__xludf.DUMMYFUNCTION("GOOGLETRANSLATE(A1398,""en"",""pt"")"),"cessar")</f>
        <v>cessar</v>
      </c>
      <c r="G1398" s="69"/>
    </row>
    <row r="1399" ht="22.5" customHeight="1">
      <c r="A1399" s="66" t="s">
        <v>1803</v>
      </c>
      <c r="B1399" s="67" t="str">
        <f t="shared" si="11"/>
        <v>M: mortuary</v>
      </c>
      <c r="C1399" s="68"/>
      <c r="D1399" s="68">
        <v>45889.0</v>
      </c>
      <c r="E1399" s="66">
        <v>10.0</v>
      </c>
      <c r="F1399" s="66" t="str">
        <f>IFERROR(__xludf.DUMMYFUNCTION("GOOGLETRANSLATE(A1399,""en"",""pt"")"),"necrotério")</f>
        <v>necrotério</v>
      </c>
      <c r="G1399" s="69"/>
    </row>
    <row r="1400" ht="22.5" customHeight="1">
      <c r="A1400" s="66" t="s">
        <v>1804</v>
      </c>
      <c r="B1400" s="67" t="str">
        <f t="shared" si="11"/>
        <v>M: degree</v>
      </c>
      <c r="C1400" s="66">
        <v>1.0</v>
      </c>
      <c r="D1400" s="68">
        <v>45889.0</v>
      </c>
      <c r="E1400" s="66">
        <v>1.0</v>
      </c>
      <c r="F1400" s="66" t="s">
        <v>1805</v>
      </c>
      <c r="G1400" s="66" t="s">
        <v>247</v>
      </c>
    </row>
    <row r="1401" ht="22.5" customHeight="1">
      <c r="A1401" s="66" t="s">
        <v>1806</v>
      </c>
      <c r="B1401" s="67" t="str">
        <f t="shared" si="11"/>
        <v>M: sciences</v>
      </c>
      <c r="C1401" s="68"/>
      <c r="D1401" s="68">
        <v>45889.0</v>
      </c>
      <c r="E1401" s="66">
        <v>2.0</v>
      </c>
      <c r="F1401" s="66" t="str">
        <f>IFERROR(__xludf.DUMMYFUNCTION("GOOGLETRANSLATE(A1401,""en"",""pt"")"),"ciências")</f>
        <v>ciências</v>
      </c>
      <c r="G1401" s="69"/>
    </row>
    <row r="1402" ht="22.5" customHeight="1">
      <c r="A1402" s="66" t="s">
        <v>1807</v>
      </c>
      <c r="B1402" s="67" t="str">
        <f t="shared" si="11"/>
        <v>M: taken</v>
      </c>
      <c r="C1402" s="68"/>
      <c r="D1402" s="68">
        <v>45890.0</v>
      </c>
      <c r="E1402" s="66">
        <v>3.0</v>
      </c>
      <c r="F1402" s="66" t="str">
        <f>IFERROR(__xludf.DUMMYFUNCTION("GOOGLETRANSLATE(A1402,""en"",""pt"")"),"levado")</f>
        <v>levado</v>
      </c>
      <c r="G1402" s="69"/>
    </row>
    <row r="1403" ht="22.5" customHeight="1">
      <c r="A1403" s="66" t="s">
        <v>1808</v>
      </c>
      <c r="B1403" s="67" t="str">
        <f t="shared" si="11"/>
        <v>M: apprenticeship</v>
      </c>
      <c r="C1403" s="66">
        <v>1.0</v>
      </c>
      <c r="D1403" s="68">
        <v>45890.0</v>
      </c>
      <c r="E1403" s="66">
        <v>4.0</v>
      </c>
      <c r="F1403" s="66" t="s">
        <v>1809</v>
      </c>
      <c r="G1403" s="66" t="s">
        <v>247</v>
      </c>
    </row>
    <row r="1404" ht="22.5" customHeight="1">
      <c r="A1404" s="66" t="s">
        <v>1810</v>
      </c>
      <c r="B1404" s="67" t="str">
        <f t="shared" si="11"/>
        <v>M: logged</v>
      </c>
      <c r="C1404" s="66">
        <v>1.0</v>
      </c>
      <c r="D1404" s="68">
        <v>45890.0</v>
      </c>
      <c r="E1404" s="66">
        <v>5.0</v>
      </c>
      <c r="F1404" s="71" t="s">
        <v>1811</v>
      </c>
      <c r="G1404" s="66" t="s">
        <v>247</v>
      </c>
    </row>
    <row r="1405" ht="22.5" customHeight="1">
      <c r="A1405" s="66" t="s">
        <v>1812</v>
      </c>
      <c r="B1405" s="67" t="str">
        <f t="shared" si="11"/>
        <v>M: aiding</v>
      </c>
      <c r="C1405" s="68"/>
      <c r="D1405" s="68">
        <v>45890.0</v>
      </c>
      <c r="E1405" s="66">
        <v>6.0</v>
      </c>
      <c r="F1405" s="66" t="str">
        <f>IFERROR(__xludf.DUMMYFUNCTION("GOOGLETRANSLATE(A1405,""en"",""pt"")"),"auxiliando")</f>
        <v>auxiliando</v>
      </c>
      <c r="G1405" s="69"/>
    </row>
    <row r="1406" ht="22.5" customHeight="1">
      <c r="A1406" s="66" t="s">
        <v>1813</v>
      </c>
      <c r="B1406" s="67" t="str">
        <f t="shared" si="11"/>
        <v>M: ins</v>
      </c>
      <c r="C1406" s="68"/>
      <c r="D1406" s="68">
        <v>45890.0</v>
      </c>
      <c r="E1406" s="66">
        <v>7.0</v>
      </c>
      <c r="F1406" s="66" t="str">
        <f>IFERROR(__xludf.DUMMYFUNCTION("GOOGLETRANSLATE(A1406,""en"",""pt"")"),"ins")</f>
        <v>ins</v>
      </c>
      <c r="G1406" s="69"/>
    </row>
    <row r="1407" ht="22.5" customHeight="1">
      <c r="A1407" s="66" t="s">
        <v>1814</v>
      </c>
      <c r="B1407" s="67" t="str">
        <f t="shared" si="11"/>
        <v>M: embalming</v>
      </c>
      <c r="C1407" s="68"/>
      <c r="D1407" s="68">
        <v>45890.0</v>
      </c>
      <c r="E1407" s="66">
        <v>8.0</v>
      </c>
      <c r="F1407" s="66" t="str">
        <f>IFERROR(__xludf.DUMMYFUNCTION("GOOGLETRANSLATE(A1407,""en"",""pt"")"),"embalsamamento")</f>
        <v>embalsamamento</v>
      </c>
      <c r="G1407" s="69"/>
    </row>
    <row r="1408" ht="22.5" customHeight="1">
      <c r="A1408" s="66" t="s">
        <v>1815</v>
      </c>
      <c r="B1408" s="67" t="str">
        <f t="shared" si="11"/>
        <v>M: properly</v>
      </c>
      <c r="C1408" s="68"/>
      <c r="D1408" s="68">
        <v>45890.0</v>
      </c>
      <c r="E1408" s="66">
        <v>9.0</v>
      </c>
      <c r="F1408" s="66" t="str">
        <f>IFERROR(__xludf.DUMMYFUNCTION("GOOGLETRANSLATE(A1408,""en"",""pt"")"),"apropriadamente")</f>
        <v>apropriadamente</v>
      </c>
      <c r="G1408" s="69"/>
    </row>
    <row r="1409" ht="22.5" customHeight="1">
      <c r="A1409" s="66" t="s">
        <v>1816</v>
      </c>
      <c r="B1409" s="67" t="str">
        <f t="shared" si="11"/>
        <v>M: deceased</v>
      </c>
      <c r="C1409" s="68"/>
      <c r="D1409" s="68">
        <v>45890.0</v>
      </c>
      <c r="E1409" s="66">
        <v>10.0</v>
      </c>
      <c r="F1409" s="66" t="str">
        <f>IFERROR(__xludf.DUMMYFUNCTION("GOOGLETRANSLATE(A1409,""en"",""pt"")"),"morto")</f>
        <v>morto</v>
      </c>
      <c r="G1409" s="69"/>
    </row>
    <row r="1410" ht="22.5" customHeight="1">
      <c r="A1410" s="66" t="s">
        <v>1817</v>
      </c>
      <c r="B1410" s="67" t="str">
        <f t="shared" si="11"/>
        <v>M: avenue</v>
      </c>
      <c r="C1410" s="66">
        <v>1.0</v>
      </c>
      <c r="D1410" s="68">
        <v>45890.0</v>
      </c>
      <c r="E1410" s="66">
        <v>1.0</v>
      </c>
      <c r="F1410" s="71" t="s">
        <v>1818</v>
      </c>
      <c r="G1410" s="66" t="s">
        <v>247</v>
      </c>
    </row>
    <row r="1411" ht="22.5" customHeight="1">
      <c r="A1411" s="66" t="s">
        <v>1819</v>
      </c>
      <c r="B1411" s="67" t="str">
        <f t="shared" si="11"/>
        <v>M: attracts</v>
      </c>
      <c r="C1411" s="68"/>
      <c r="D1411" s="68">
        <v>45890.0</v>
      </c>
      <c r="E1411" s="66">
        <v>2.0</v>
      </c>
      <c r="F1411" s="66" t="str">
        <f>IFERROR(__xludf.DUMMYFUNCTION("GOOGLETRANSLATE(A1411,""en"",""pt"")"),"atrai")</f>
        <v>atrai</v>
      </c>
      <c r="G1411" s="69"/>
    </row>
    <row r="1412" ht="22.5" customHeight="1">
      <c r="A1412" s="66" t="s">
        <v>1820</v>
      </c>
      <c r="B1412" s="67" t="str">
        <f t="shared" si="11"/>
        <v>M: called</v>
      </c>
      <c r="C1412" s="66">
        <v>1.0</v>
      </c>
      <c r="D1412" s="68">
        <v>45891.0</v>
      </c>
      <c r="E1412" s="66">
        <v>3.0</v>
      </c>
      <c r="F1412" s="66" t="s">
        <v>1821</v>
      </c>
      <c r="G1412" s="66" t="s">
        <v>247</v>
      </c>
    </row>
    <row r="1413" ht="22.5" customHeight="1">
      <c r="A1413" s="66" t="s">
        <v>1822</v>
      </c>
      <c r="B1413" s="67" t="str">
        <f t="shared" si="11"/>
        <v>M: honorees</v>
      </c>
      <c r="C1413" s="68"/>
      <c r="D1413" s="68">
        <v>45891.0</v>
      </c>
      <c r="E1413" s="66">
        <v>4.0</v>
      </c>
      <c r="F1413" s="66" t="str">
        <f>IFERROR(__xludf.DUMMYFUNCTION("GOOGLETRANSLATE(A1413,""en"",""pt"")"),"homenageados")</f>
        <v>homenageados</v>
      </c>
      <c r="G1413" s="69"/>
    </row>
    <row r="1414" ht="22.5" customHeight="1">
      <c r="A1414" s="66" t="s">
        <v>1823</v>
      </c>
      <c r="B1414" s="67" t="str">
        <f t="shared" si="11"/>
        <v>M: allowing</v>
      </c>
      <c r="C1414" s="68"/>
      <c r="D1414" s="68">
        <v>45891.0</v>
      </c>
      <c r="E1414" s="66">
        <v>5.0</v>
      </c>
      <c r="F1414" s="66" t="str">
        <f>IFERROR(__xludf.DUMMYFUNCTION("GOOGLETRANSLATE(A1414,""en"",""pt"")"),"permitindo")</f>
        <v>permitindo</v>
      </c>
      <c r="G1414" s="69"/>
    </row>
    <row r="1415" ht="22.5" customHeight="1">
      <c r="A1415" s="66" t="s">
        <v>1824</v>
      </c>
      <c r="B1415" s="67" t="str">
        <f t="shared" si="11"/>
        <v>M: has been</v>
      </c>
      <c r="C1415" s="66">
        <v>1.0</v>
      </c>
      <c r="D1415" s="68">
        <v>45891.0</v>
      </c>
      <c r="E1415" s="66">
        <v>6.0</v>
      </c>
      <c r="F1415" s="66" t="s">
        <v>1825</v>
      </c>
      <c r="G1415" s="66" t="s">
        <v>247</v>
      </c>
    </row>
    <row r="1416" ht="22.5" customHeight="1">
      <c r="A1416" s="66" t="s">
        <v>1826</v>
      </c>
      <c r="B1416" s="67" t="str">
        <f t="shared" si="11"/>
        <v>M: adopting</v>
      </c>
      <c r="C1416" s="68"/>
      <c r="D1416" s="68">
        <v>45891.0</v>
      </c>
      <c r="E1416" s="66">
        <v>7.0</v>
      </c>
      <c r="F1416" s="66" t="str">
        <f>IFERROR(__xludf.DUMMYFUNCTION("GOOGLETRANSLATE(A1416,""en"",""pt"")"),"adotando")</f>
        <v>adotando</v>
      </c>
      <c r="G1416" s="69"/>
    </row>
    <row r="1417" ht="22.5" customHeight="1">
      <c r="A1417" s="66" t="s">
        <v>1827</v>
      </c>
      <c r="B1417" s="67" t="str">
        <f t="shared" si="11"/>
        <v>M: unusual</v>
      </c>
      <c r="C1417" s="68"/>
      <c r="D1417" s="68">
        <v>45891.0</v>
      </c>
      <c r="E1417" s="66">
        <v>8.0</v>
      </c>
      <c r="F1417" s="66" t="str">
        <f>IFERROR(__xludf.DUMMYFUNCTION("GOOGLETRANSLATE(A1417,""en"",""pt"")"),"incomum")</f>
        <v>incomum</v>
      </c>
      <c r="G1417" s="69"/>
    </row>
    <row r="1418" ht="22.5" customHeight="1">
      <c r="A1418" s="66" t="s">
        <v>1828</v>
      </c>
      <c r="B1418" s="67" t="str">
        <f t="shared" si="11"/>
        <v>M: hoody</v>
      </c>
      <c r="C1418" s="68"/>
      <c r="D1418" s="68">
        <v>45891.0</v>
      </c>
      <c r="E1418" s="66">
        <v>9.0</v>
      </c>
      <c r="F1418" s="66" t="str">
        <f>IFERROR(__xludf.DUMMYFUNCTION("GOOGLETRANSLATE(A1418,""en"",""pt"")"),"moletom")</f>
        <v>moletom</v>
      </c>
      <c r="G1418" s="69"/>
    </row>
    <row r="1419" ht="22.5" customHeight="1">
      <c r="A1419" s="66" t="s">
        <v>1829</v>
      </c>
      <c r="B1419" s="67" t="str">
        <f t="shared" si="11"/>
        <v>M: aloof</v>
      </c>
      <c r="C1419" s="68"/>
      <c r="D1419" s="68">
        <v>45891.0</v>
      </c>
      <c r="E1419" s="66">
        <v>10.0</v>
      </c>
      <c r="F1419" s="66" t="str">
        <f>IFERROR(__xludf.DUMMYFUNCTION("GOOGLETRANSLATE(A1419,""en"",""pt"")"),"distante")</f>
        <v>distante</v>
      </c>
      <c r="G1419" s="69"/>
    </row>
    <row r="1420" ht="22.5" customHeight="1">
      <c r="A1420" s="66" t="s">
        <v>1830</v>
      </c>
      <c r="B1420" s="67" t="str">
        <f t="shared" si="11"/>
        <v>M: amiss</v>
      </c>
      <c r="C1420" s="68"/>
      <c r="D1420" s="68">
        <v>45891.0</v>
      </c>
      <c r="E1420" s="66">
        <v>1.0</v>
      </c>
      <c r="F1420" s="66" t="str">
        <f>IFERROR(__xludf.DUMMYFUNCTION("GOOGLETRANSLATE(A1420,""en"",""pt"")"),"errado")</f>
        <v>errado</v>
      </c>
      <c r="G1420" s="69"/>
    </row>
    <row r="1421" ht="22.5" customHeight="1">
      <c r="A1421" s="66" t="s">
        <v>1831</v>
      </c>
      <c r="B1421" s="67" t="str">
        <f t="shared" si="11"/>
        <v>M: hallway's</v>
      </c>
      <c r="C1421" s="66">
        <v>1.0</v>
      </c>
      <c r="D1421" s="68">
        <v>45891.0</v>
      </c>
      <c r="E1421" s="66">
        <v>2.0</v>
      </c>
      <c r="F1421" s="66" t="s">
        <v>1832</v>
      </c>
      <c r="G1421" s="66" t="s">
        <v>247</v>
      </c>
    </row>
    <row r="1422" ht="22.5" customHeight="1">
      <c r="A1422" s="66" t="s">
        <v>1833</v>
      </c>
      <c r="B1422" s="67" t="str">
        <f t="shared" si="11"/>
        <v>M: painted</v>
      </c>
      <c r="C1422" s="68"/>
      <c r="D1422" s="68">
        <v>45892.0</v>
      </c>
      <c r="E1422" s="66">
        <v>3.0</v>
      </c>
      <c r="F1422" s="66" t="str">
        <f>IFERROR(__xludf.DUMMYFUNCTION("GOOGLETRANSLATE(A1422,""en"",""pt"")"),"pintado")</f>
        <v>pintado</v>
      </c>
      <c r="G1422" s="69"/>
    </row>
    <row r="1423" ht="22.5" customHeight="1">
      <c r="A1423" s="66" t="s">
        <v>1834</v>
      </c>
      <c r="B1423" s="67" t="str">
        <f t="shared" si="11"/>
        <v>M: strangers</v>
      </c>
      <c r="C1423" s="68"/>
      <c r="D1423" s="68">
        <v>45892.0</v>
      </c>
      <c r="E1423" s="66">
        <v>4.0</v>
      </c>
      <c r="F1423" s="66" t="str">
        <f>IFERROR(__xludf.DUMMYFUNCTION("GOOGLETRANSLATE(A1423,""en"",""pt"")"),"estranhos")</f>
        <v>estranhos</v>
      </c>
      <c r="G1423" s="69"/>
    </row>
    <row r="1424" ht="22.5" customHeight="1">
      <c r="A1424" s="66" t="s">
        <v>1835</v>
      </c>
      <c r="B1424" s="67" t="str">
        <f t="shared" si="11"/>
        <v>M: cause</v>
      </c>
      <c r="C1424" s="68"/>
      <c r="D1424" s="68">
        <v>45892.0</v>
      </c>
      <c r="E1424" s="66">
        <v>5.0</v>
      </c>
      <c r="F1424" s="66" t="str">
        <f>IFERROR(__xludf.DUMMYFUNCTION("GOOGLETRANSLATE(A1424,""en"",""pt"")"),"causa")</f>
        <v>causa</v>
      </c>
      <c r="G1424" s="69"/>
    </row>
    <row r="1425" ht="22.5" customHeight="1">
      <c r="A1425" s="66" t="s">
        <v>1836</v>
      </c>
      <c r="B1425" s="67" t="str">
        <f t="shared" si="11"/>
        <v>M: hiding</v>
      </c>
      <c r="C1425" s="66">
        <v>1.0</v>
      </c>
      <c r="D1425" s="68">
        <v>45892.0</v>
      </c>
      <c r="E1425" s="66">
        <v>6.0</v>
      </c>
      <c r="F1425" s="66" t="s">
        <v>1837</v>
      </c>
      <c r="G1425" s="66" t="s">
        <v>247</v>
      </c>
    </row>
    <row r="1426" ht="22.5" customHeight="1">
      <c r="A1426" s="66" t="s">
        <v>1838</v>
      </c>
      <c r="B1426" s="67" t="str">
        <f t="shared" si="11"/>
        <v>M: pills</v>
      </c>
      <c r="C1426" s="68"/>
      <c r="D1426" s="68">
        <v>45892.0</v>
      </c>
      <c r="E1426" s="66">
        <v>7.0</v>
      </c>
      <c r="F1426" s="66" t="str">
        <f>IFERROR(__xludf.DUMMYFUNCTION("GOOGLETRANSLATE(A1426,""en"",""pt"")"),"comprimidos")</f>
        <v>comprimidos</v>
      </c>
      <c r="G1426" s="69"/>
    </row>
    <row r="1427" ht="22.5" customHeight="1">
      <c r="A1427" s="66" t="s">
        <v>1839</v>
      </c>
      <c r="B1427" s="67" t="str">
        <f t="shared" si="11"/>
        <v>M: inside</v>
      </c>
      <c r="C1427" s="66">
        <v>1.0</v>
      </c>
      <c r="D1427" s="68">
        <v>45892.0</v>
      </c>
      <c r="E1427" s="66">
        <v>8.0</v>
      </c>
      <c r="F1427" s="66" t="s">
        <v>1840</v>
      </c>
      <c r="G1427" s="66" t="s">
        <v>247</v>
      </c>
    </row>
    <row r="1428" ht="22.5" customHeight="1">
      <c r="A1428" s="66" t="s">
        <v>1841</v>
      </c>
      <c r="B1428" s="67" t="str">
        <f t="shared" si="11"/>
        <v>M: spit</v>
      </c>
      <c r="C1428" s="66">
        <v>1.0</v>
      </c>
      <c r="D1428" s="68">
        <v>45892.0</v>
      </c>
      <c r="E1428" s="66">
        <v>9.0</v>
      </c>
      <c r="F1428" s="66" t="s">
        <v>1842</v>
      </c>
      <c r="G1428" s="69"/>
    </row>
    <row r="1429" ht="22.5" customHeight="1">
      <c r="A1429" s="66" t="s">
        <v>1843</v>
      </c>
      <c r="B1429" s="67" t="str">
        <f t="shared" si="11"/>
        <v>M: tomorrow</v>
      </c>
      <c r="C1429" s="68"/>
      <c r="D1429" s="68">
        <v>45892.0</v>
      </c>
      <c r="E1429" s="66">
        <v>10.0</v>
      </c>
      <c r="F1429" s="66" t="str">
        <f>IFERROR(__xludf.DUMMYFUNCTION("GOOGLETRANSLATE(A1429,""en"",""pt"")"),"amanhã")</f>
        <v>amanhã</v>
      </c>
      <c r="G1429" s="69"/>
    </row>
    <row r="1430" ht="22.5" customHeight="1">
      <c r="A1430" s="66" t="s">
        <v>1844</v>
      </c>
      <c r="B1430" s="67" t="str">
        <f t="shared" si="11"/>
        <v>M: scream</v>
      </c>
      <c r="C1430" s="66">
        <v>1.0</v>
      </c>
      <c r="D1430" s="68">
        <v>45892.0</v>
      </c>
      <c r="E1430" s="66">
        <v>1.0</v>
      </c>
      <c r="F1430" s="66" t="s">
        <v>1845</v>
      </c>
      <c r="G1430" s="66" t="s">
        <v>247</v>
      </c>
    </row>
    <row r="1431" ht="22.5" customHeight="1">
      <c r="A1431" s="66" t="s">
        <v>1846</v>
      </c>
      <c r="B1431" s="67" t="str">
        <f t="shared" si="11"/>
        <v>M: shout</v>
      </c>
      <c r="C1431" s="68"/>
      <c r="D1431" s="68">
        <v>45892.0</v>
      </c>
      <c r="E1431" s="66">
        <v>2.0</v>
      </c>
      <c r="F1431" s="66" t="str">
        <f>IFERROR(__xludf.DUMMYFUNCTION("GOOGLETRANSLATE(A1431,""en"",""pt"")"),"gritar")</f>
        <v>gritar</v>
      </c>
      <c r="G1431" s="69"/>
    </row>
    <row r="1432" ht="22.5" customHeight="1">
      <c r="A1432" s="66" t="s">
        <v>1847</v>
      </c>
      <c r="B1432" s="67" t="str">
        <f t="shared" si="11"/>
        <v>M: their</v>
      </c>
      <c r="C1432" s="68"/>
      <c r="D1432" s="68">
        <v>45893.0</v>
      </c>
      <c r="E1432" s="66">
        <v>3.0</v>
      </c>
      <c r="F1432" s="66" t="str">
        <f>IFERROR(__xludf.DUMMYFUNCTION("GOOGLETRANSLATE(A1432,""en"",""pt"")"),"deles")</f>
        <v>deles</v>
      </c>
      <c r="G1432" s="69"/>
    </row>
    <row r="1433" ht="22.5" customHeight="1">
      <c r="A1433" s="66" t="s">
        <v>1848</v>
      </c>
      <c r="B1433" s="67" t="str">
        <f t="shared" si="11"/>
        <v>M: lies</v>
      </c>
      <c r="C1433" s="66">
        <v>1.0</v>
      </c>
      <c r="D1433" s="68">
        <v>45893.0</v>
      </c>
      <c r="E1433" s="66">
        <v>4.0</v>
      </c>
      <c r="F1433" s="66" t="s">
        <v>1849</v>
      </c>
      <c r="G1433" s="66" t="s">
        <v>247</v>
      </c>
    </row>
    <row r="1434" ht="22.5" customHeight="1">
      <c r="A1434" s="66" t="s">
        <v>1850</v>
      </c>
      <c r="B1434" s="67" t="str">
        <f t="shared" si="11"/>
        <v>M: getting</v>
      </c>
      <c r="C1434" s="68"/>
      <c r="D1434" s="68">
        <v>45893.0</v>
      </c>
      <c r="E1434" s="66">
        <v>5.0</v>
      </c>
      <c r="F1434" s="66" t="str">
        <f>IFERROR(__xludf.DUMMYFUNCTION("GOOGLETRANSLATE(A1434,""en"",""pt"")"),"recebendo")</f>
        <v>recebendo</v>
      </c>
      <c r="G1434" s="69"/>
    </row>
    <row r="1435" ht="22.5" customHeight="1">
      <c r="A1435" s="66" t="s">
        <v>1851</v>
      </c>
      <c r="B1435" s="67" t="str">
        <f t="shared" si="11"/>
        <v>M: alive</v>
      </c>
      <c r="C1435" s="68"/>
      <c r="D1435" s="68">
        <v>45893.0</v>
      </c>
      <c r="E1435" s="66">
        <v>6.0</v>
      </c>
      <c r="F1435" s="66" t="str">
        <f>IFERROR(__xludf.DUMMYFUNCTION("GOOGLETRANSLATE(A1435,""en"",""pt"")"),"vivo")</f>
        <v>vivo</v>
      </c>
      <c r="G1435" s="69"/>
    </row>
    <row r="1436" ht="22.5" customHeight="1">
      <c r="A1436" s="66" t="s">
        <v>1852</v>
      </c>
      <c r="B1436" s="67" t="str">
        <f t="shared" si="11"/>
        <v>M: geting out</v>
      </c>
      <c r="C1436" s="68"/>
      <c r="D1436" s="68">
        <v>45893.0</v>
      </c>
      <c r="E1436" s="66">
        <v>7.0</v>
      </c>
      <c r="F1436" s="66" t="str">
        <f>IFERROR(__xludf.DUMMYFUNCTION("GOOGLETRANSLATE(A1436,""en"",""pt"")"),"saindo")</f>
        <v>saindo</v>
      </c>
      <c r="G1436" s="69"/>
    </row>
    <row r="1437" ht="22.5" customHeight="1">
      <c r="A1437" s="66" t="s">
        <v>1853</v>
      </c>
      <c r="B1437" s="67" t="str">
        <f t="shared" si="11"/>
        <v>M: forget</v>
      </c>
      <c r="C1437" s="68"/>
      <c r="D1437" s="68">
        <v>45893.0</v>
      </c>
      <c r="E1437" s="66">
        <v>8.0</v>
      </c>
      <c r="F1437" s="66" t="str">
        <f>IFERROR(__xludf.DUMMYFUNCTION("GOOGLETRANSLATE(A1437,""en"",""pt"")"),"esquecer")</f>
        <v>esquecer</v>
      </c>
      <c r="G1437" s="69"/>
    </row>
    <row r="1438" ht="22.5" customHeight="1">
      <c r="A1438" s="66" t="s">
        <v>1854</v>
      </c>
      <c r="B1438" s="67" t="str">
        <f t="shared" si="11"/>
        <v>M: padded</v>
      </c>
      <c r="C1438" s="68"/>
      <c r="D1438" s="68">
        <v>45893.0</v>
      </c>
      <c r="E1438" s="66">
        <v>9.0</v>
      </c>
      <c r="F1438" s="66" t="str">
        <f>IFERROR(__xludf.DUMMYFUNCTION("GOOGLETRANSLATE(A1438,""en"",""pt"")"),"acolchoado")</f>
        <v>acolchoado</v>
      </c>
      <c r="G1438" s="69"/>
    </row>
    <row r="1439" ht="22.5" customHeight="1">
      <c r="A1439" s="66" t="s">
        <v>1855</v>
      </c>
      <c r="B1439" s="67" t="str">
        <f t="shared" si="11"/>
        <v>M: till</v>
      </c>
      <c r="C1439" s="68"/>
      <c r="D1439" s="68">
        <v>45893.0</v>
      </c>
      <c r="E1439" s="66">
        <v>10.0</v>
      </c>
      <c r="F1439" s="66" t="str">
        <f>IFERROR(__xludf.DUMMYFUNCTION("GOOGLETRANSLATE(A1439,""en"",""pt"")"),"até")</f>
        <v>até</v>
      </c>
      <c r="G1439" s="69"/>
    </row>
    <row r="1440" ht="22.5" customHeight="1">
      <c r="A1440" s="66" t="s">
        <v>1856</v>
      </c>
      <c r="B1440" s="67" t="str">
        <f t="shared" si="11"/>
        <v>M: why'd</v>
      </c>
      <c r="C1440" s="68"/>
      <c r="D1440" s="68">
        <v>45893.0</v>
      </c>
      <c r="E1440" s="66">
        <v>1.0</v>
      </c>
      <c r="F1440" s="66" t="str">
        <f>IFERROR(__xludf.DUMMYFUNCTION("GOOGLETRANSLATE(A1440,""en"",""pt"")"),"por que")</f>
        <v>por que</v>
      </c>
      <c r="G1440" s="69"/>
    </row>
    <row r="1441" ht="22.5" customHeight="1">
      <c r="A1441" s="66" t="s">
        <v>1857</v>
      </c>
      <c r="B1441" s="67" t="str">
        <f t="shared" si="11"/>
        <v>M: gone by</v>
      </c>
      <c r="C1441" s="68"/>
      <c r="D1441" s="68">
        <v>45893.0</v>
      </c>
      <c r="E1441" s="66">
        <v>2.0</v>
      </c>
      <c r="F1441" s="66" t="str">
        <f>IFERROR(__xludf.DUMMYFUNCTION("GOOGLETRANSLATE(A1441,""en"",""pt"")"),"passado")</f>
        <v>passado</v>
      </c>
      <c r="G1441" s="69"/>
    </row>
    <row r="1442" ht="22.5" customHeight="1">
      <c r="A1442" s="66" t="s">
        <v>1858</v>
      </c>
      <c r="B1442" s="67" t="str">
        <f t="shared" si="11"/>
        <v>M: selfish love</v>
      </c>
      <c r="C1442" s="68"/>
      <c r="D1442" s="68">
        <v>45894.0</v>
      </c>
      <c r="E1442" s="66">
        <v>3.0</v>
      </c>
      <c r="F1442" s="66" t="str">
        <f>IFERROR(__xludf.DUMMYFUNCTION("GOOGLETRANSLATE(A1442,""en"",""pt"")"),"amor egoísta")</f>
        <v>amor egoísta</v>
      </c>
      <c r="G1442" s="69"/>
    </row>
    <row r="1443" ht="22.5" customHeight="1">
      <c r="A1443" s="66" t="s">
        <v>1859</v>
      </c>
      <c r="B1443" s="67" t="str">
        <f t="shared" si="11"/>
        <v>M: heart</v>
      </c>
      <c r="C1443" s="68"/>
      <c r="D1443" s="68">
        <v>45894.0</v>
      </c>
      <c r="E1443" s="66">
        <v>4.0</v>
      </c>
      <c r="F1443" s="66" t="str">
        <f>IFERROR(__xludf.DUMMYFUNCTION("GOOGLETRANSLATE(A1443,""en"",""pt"")"),"coração")</f>
        <v>coração</v>
      </c>
      <c r="G1443" s="69"/>
    </row>
    <row r="1444" ht="22.5" customHeight="1">
      <c r="A1444" s="66" t="s">
        <v>1860</v>
      </c>
      <c r="B1444" s="67" t="str">
        <f t="shared" si="11"/>
        <v>M: sunshine</v>
      </c>
      <c r="C1444" s="66">
        <v>1.0</v>
      </c>
      <c r="D1444" s="68">
        <v>45894.0</v>
      </c>
      <c r="E1444" s="66">
        <v>5.0</v>
      </c>
      <c r="F1444" s="66" t="s">
        <v>1861</v>
      </c>
      <c r="G1444" s="66" t="s">
        <v>247</v>
      </c>
    </row>
    <row r="1445" ht="22.5" customHeight="1">
      <c r="A1445" s="66" t="s">
        <v>1862</v>
      </c>
      <c r="B1445" s="67" t="str">
        <f t="shared" si="11"/>
        <v>M: masses</v>
      </c>
      <c r="C1445" s="66">
        <v>1.0</v>
      </c>
      <c r="D1445" s="68">
        <v>45894.0</v>
      </c>
      <c r="E1445" s="66">
        <v>6.0</v>
      </c>
      <c r="F1445" s="71" t="s">
        <v>1863</v>
      </c>
      <c r="G1445" s="66" t="s">
        <v>247</v>
      </c>
    </row>
    <row r="1446" ht="22.5" customHeight="1">
      <c r="A1446" s="66" t="s">
        <v>1864</v>
      </c>
      <c r="B1446" s="67" t="str">
        <f t="shared" si="11"/>
        <v>M: plot</v>
      </c>
      <c r="C1446" s="68"/>
      <c r="D1446" s="68">
        <v>45894.0</v>
      </c>
      <c r="E1446" s="66">
        <v>7.0</v>
      </c>
      <c r="F1446" s="66" t="str">
        <f>IFERROR(__xludf.DUMMYFUNCTION("GOOGLETRANSLATE(A1446,""en"",""pt"")"),"trama")</f>
        <v>trama</v>
      </c>
      <c r="G1446" s="69"/>
    </row>
    <row r="1447" ht="22.5" customHeight="1">
      <c r="A1447" s="66" t="s">
        <v>1865</v>
      </c>
      <c r="B1447" s="67" t="str">
        <f t="shared" si="11"/>
        <v>M: construction</v>
      </c>
      <c r="C1447" s="68"/>
      <c r="D1447" s="68">
        <v>45894.0</v>
      </c>
      <c r="E1447" s="66">
        <v>8.0</v>
      </c>
      <c r="F1447" s="66" t="str">
        <f>IFERROR(__xludf.DUMMYFUNCTION("GOOGLETRANSLATE(A1447,""en"",""pt"")"),"construção")</f>
        <v>construção</v>
      </c>
      <c r="G1447" s="69"/>
    </row>
    <row r="1448" ht="22.5" customHeight="1">
      <c r="A1448" s="66" t="s">
        <v>1866</v>
      </c>
      <c r="B1448" s="67" t="str">
        <f t="shared" si="11"/>
        <v>M: bodies</v>
      </c>
      <c r="C1448" s="68"/>
      <c r="D1448" s="68">
        <v>45894.0</v>
      </c>
      <c r="E1448" s="66">
        <v>9.0</v>
      </c>
      <c r="F1448" s="66" t="str">
        <f>IFERROR(__xludf.DUMMYFUNCTION("GOOGLETRANSLATE(A1448,""en"",""pt"")"),"corpos")</f>
        <v>corpos</v>
      </c>
      <c r="G1448" s="69"/>
    </row>
    <row r="1449" ht="22.5" customHeight="1">
      <c r="A1449" s="66" t="s">
        <v>1867</v>
      </c>
      <c r="B1449" s="67" t="str">
        <f t="shared" si="11"/>
        <v>M: hatred</v>
      </c>
      <c r="C1449" s="68"/>
      <c r="D1449" s="68">
        <v>45894.0</v>
      </c>
      <c r="E1449" s="66">
        <v>10.0</v>
      </c>
      <c r="F1449" s="66" t="str">
        <f>IFERROR(__xludf.DUMMYFUNCTION("GOOGLETRANSLATE(A1449,""en"",""pt"")"),"ódio")</f>
        <v>ódio</v>
      </c>
      <c r="G1449" s="69"/>
    </row>
    <row r="1450" ht="22.5" customHeight="1">
      <c r="A1450" s="66" t="s">
        <v>1868</v>
      </c>
      <c r="B1450" s="67" t="str">
        <f t="shared" si="11"/>
        <v>M: mankind</v>
      </c>
      <c r="C1450" s="68"/>
      <c r="D1450" s="68">
        <v>45894.0</v>
      </c>
      <c r="E1450" s="66">
        <v>1.0</v>
      </c>
      <c r="F1450" s="66" t="str">
        <f>IFERROR(__xludf.DUMMYFUNCTION("GOOGLETRANSLATE(A1450,""en"",""pt"")"),"humanidade")</f>
        <v>humanidade</v>
      </c>
      <c r="G1450" s="69"/>
    </row>
    <row r="1451" ht="22.5" customHeight="1">
      <c r="A1451" s="66" t="s">
        <v>1869</v>
      </c>
      <c r="B1451" s="67" t="str">
        <f t="shared" si="11"/>
        <v>M: brainwashed</v>
      </c>
      <c r="C1451" s="68"/>
      <c r="D1451" s="68">
        <v>45894.0</v>
      </c>
      <c r="E1451" s="66">
        <v>2.0</v>
      </c>
      <c r="F1451" s="66" t="str">
        <f>IFERROR(__xludf.DUMMYFUNCTION("GOOGLETRANSLATE(A1451,""en"",""pt"")"),"lavagem cerebral")</f>
        <v>lavagem cerebral</v>
      </c>
      <c r="G1451" s="69"/>
    </row>
    <row r="1452" ht="22.5" customHeight="1">
      <c r="A1452" s="66" t="s">
        <v>1870</v>
      </c>
      <c r="B1452" s="67" t="str">
        <f t="shared" si="11"/>
        <v>M: pawns</v>
      </c>
      <c r="C1452" s="68"/>
      <c r="D1452" s="68">
        <v>45895.0</v>
      </c>
      <c r="E1452" s="66">
        <v>3.0</v>
      </c>
      <c r="F1452" s="66" t="str">
        <f>IFERROR(__xludf.DUMMYFUNCTION("GOOGLETRANSLATE(A1452,""en"",""pt"")"),"peões")</f>
        <v>peões</v>
      </c>
      <c r="G1452" s="69"/>
    </row>
    <row r="1453" ht="22.5" customHeight="1">
      <c r="A1453" s="66" t="s">
        <v>1871</v>
      </c>
      <c r="B1453" s="67" t="str">
        <f t="shared" si="11"/>
        <v>M: struck</v>
      </c>
      <c r="C1453" s="66">
        <v>1.0</v>
      </c>
      <c r="D1453" s="68">
        <v>45895.0</v>
      </c>
      <c r="E1453" s="66">
        <v>4.0</v>
      </c>
      <c r="F1453" s="66" t="s">
        <v>1872</v>
      </c>
      <c r="G1453" s="66" t="s">
        <v>247</v>
      </c>
    </row>
    <row r="1454" ht="22.5" customHeight="1">
      <c r="A1454" s="66" t="s">
        <v>1873</v>
      </c>
      <c r="B1454" s="67" t="str">
        <f t="shared" si="11"/>
        <v>M: knees</v>
      </c>
      <c r="C1454" s="68"/>
      <c r="D1454" s="68">
        <v>45895.0</v>
      </c>
      <c r="E1454" s="66">
        <v>5.0</v>
      </c>
      <c r="F1454" s="66" t="str">
        <f>IFERROR(__xludf.DUMMYFUNCTION("GOOGLETRANSLATE(A1454,""en"",""pt"")"),"joelhos")</f>
        <v>joelhos</v>
      </c>
      <c r="G1454" s="69"/>
    </row>
    <row r="1455" ht="22.5" customHeight="1">
      <c r="A1455" s="66" t="s">
        <v>1874</v>
      </c>
      <c r="B1455" s="67" t="str">
        <f t="shared" si="11"/>
        <v>M: crawling</v>
      </c>
      <c r="C1455" s="66">
        <v>1.0</v>
      </c>
      <c r="D1455" s="68">
        <v>45895.0</v>
      </c>
      <c r="E1455" s="66">
        <v>6.0</v>
      </c>
      <c r="F1455" s="71" t="s">
        <v>1875</v>
      </c>
      <c r="G1455" s="66" t="s">
        <v>247</v>
      </c>
    </row>
    <row r="1456" ht="22.5" customHeight="1">
      <c r="A1456" s="66" t="s">
        <v>1876</v>
      </c>
      <c r="B1456" s="67" t="str">
        <f t="shared" si="11"/>
        <v>M: begging</v>
      </c>
      <c r="C1456" s="68"/>
      <c r="D1456" s="68">
        <v>45895.0</v>
      </c>
      <c r="E1456" s="66">
        <v>7.0</v>
      </c>
      <c r="F1456" s="66" t="str">
        <f>IFERROR(__xludf.DUMMYFUNCTION("GOOGLETRANSLATE(A1456,""en"",""pt"")"),"implorando")</f>
        <v>implorando</v>
      </c>
      <c r="G1456" s="69"/>
    </row>
    <row r="1457" ht="22.5" customHeight="1">
      <c r="A1457" s="66" t="s">
        <v>1877</v>
      </c>
      <c r="B1457" s="67" t="str">
        <f t="shared" si="11"/>
        <v>M: mercies</v>
      </c>
      <c r="C1457" s="68"/>
      <c r="D1457" s="68">
        <v>45895.0</v>
      </c>
      <c r="E1457" s="66">
        <v>8.0</v>
      </c>
      <c r="F1457" s="66" t="str">
        <f>IFERROR(__xludf.DUMMYFUNCTION("GOOGLETRANSLATE(A1457,""en"",""pt"")"),"misericórdias")</f>
        <v>misericórdias</v>
      </c>
      <c r="G1457" s="69"/>
    </row>
    <row r="1458" ht="22.5" customHeight="1">
      <c r="A1458" s="66" t="s">
        <v>1878</v>
      </c>
      <c r="B1458" s="67" t="str">
        <f t="shared" si="11"/>
        <v>M: sins</v>
      </c>
      <c r="C1458" s="66">
        <v>1.0</v>
      </c>
      <c r="D1458" s="68">
        <v>45895.0</v>
      </c>
      <c r="E1458" s="66">
        <v>9.0</v>
      </c>
      <c r="F1458" s="66" t="s">
        <v>1879</v>
      </c>
      <c r="G1458" s="66" t="s">
        <v>247</v>
      </c>
    </row>
    <row r="1459" ht="22.5" customHeight="1">
      <c r="A1459" s="66" t="s">
        <v>1880</v>
      </c>
      <c r="B1459" s="67" t="str">
        <f t="shared" si="11"/>
        <v>M: spreads</v>
      </c>
      <c r="C1459" s="66">
        <v>1.0</v>
      </c>
      <c r="D1459" s="68">
        <v>45895.0</v>
      </c>
      <c r="E1459" s="66">
        <v>10.0</v>
      </c>
      <c r="F1459" s="66" t="s">
        <v>1881</v>
      </c>
      <c r="G1459" s="66" t="s">
        <v>247</v>
      </c>
    </row>
    <row r="1460" ht="22.5" customHeight="1">
      <c r="A1460" s="66" t="s">
        <v>1882</v>
      </c>
      <c r="B1460" s="67" t="str">
        <f t="shared" si="11"/>
        <v>M: tragic</v>
      </c>
      <c r="C1460" s="68"/>
      <c r="D1460" s="68">
        <v>45895.0</v>
      </c>
      <c r="E1460" s="66">
        <v>1.0</v>
      </c>
      <c r="F1460" s="66" t="str">
        <f>IFERROR(__xludf.DUMMYFUNCTION("GOOGLETRANSLATE(A1460,""en"",""pt"")"),"trágico")</f>
        <v>trágico</v>
      </c>
      <c r="G1460" s="69"/>
    </row>
    <row r="1461" ht="22.5" customHeight="1">
      <c r="A1461" s="66" t="s">
        <v>1883</v>
      </c>
      <c r="B1461" s="67" t="str">
        <f t="shared" si="11"/>
        <v>M: fooled</v>
      </c>
      <c r="C1461" s="66">
        <v>1.0</v>
      </c>
      <c r="D1461" s="68">
        <v>45895.0</v>
      </c>
      <c r="E1461" s="66">
        <v>2.0</v>
      </c>
      <c r="F1461" s="66" t="s">
        <v>1884</v>
      </c>
      <c r="G1461" s="66" t="s">
        <v>247</v>
      </c>
    </row>
    <row r="1462" ht="22.5" customHeight="1">
      <c r="A1462" s="66" t="s">
        <v>1885</v>
      </c>
      <c r="B1462" s="67" t="str">
        <f t="shared" si="11"/>
        <v>M: alarming</v>
      </c>
      <c r="C1462" s="68"/>
      <c r="D1462" s="68">
        <v>45896.0</v>
      </c>
      <c r="E1462" s="66">
        <v>3.0</v>
      </c>
      <c r="F1462" s="66" t="str">
        <f>IFERROR(__xludf.DUMMYFUNCTION("GOOGLETRANSLATE(A1462,""en"",""pt"")"),"alarmante")</f>
        <v>alarmante</v>
      </c>
      <c r="G1462" s="69"/>
    </row>
    <row r="1463" ht="22.5" customHeight="1">
      <c r="A1463" s="66" t="s">
        <v>1886</v>
      </c>
      <c r="B1463" s="67" t="str">
        <f t="shared" si="11"/>
        <v>M: charming</v>
      </c>
      <c r="C1463" s="68"/>
      <c r="D1463" s="68">
        <v>45896.0</v>
      </c>
      <c r="E1463" s="66">
        <v>4.0</v>
      </c>
      <c r="F1463" s="66" t="str">
        <f>IFERROR(__xludf.DUMMYFUNCTION("GOOGLETRANSLATE(A1463,""en"",""pt"")"),"encantador")</f>
        <v>encantador</v>
      </c>
      <c r="G1463" s="69"/>
    </row>
    <row r="1464" ht="22.5" customHeight="1">
      <c r="A1464" s="66" t="s">
        <v>1887</v>
      </c>
      <c r="B1464" s="67" t="str">
        <f t="shared" si="11"/>
        <v>M: rapport</v>
      </c>
      <c r="C1464" s="68"/>
      <c r="D1464" s="68">
        <v>45896.0</v>
      </c>
      <c r="E1464" s="66">
        <v>5.0</v>
      </c>
      <c r="F1464" s="66" t="str">
        <f>IFERROR(__xludf.DUMMYFUNCTION("GOOGLETRANSLATE(A1464,""en"",""pt"")"),"relacionamento")</f>
        <v>relacionamento</v>
      </c>
      <c r="G1464" s="69"/>
    </row>
    <row r="1465" ht="22.5" customHeight="1">
      <c r="A1465" s="66" t="s">
        <v>1888</v>
      </c>
      <c r="B1465" s="67" t="str">
        <f t="shared" si="11"/>
        <v>M: uncovering</v>
      </c>
      <c r="C1465" s="66">
        <v>1.0</v>
      </c>
      <c r="D1465" s="68">
        <v>45896.0</v>
      </c>
      <c r="E1465" s="66">
        <v>6.0</v>
      </c>
      <c r="F1465" s="66" t="s">
        <v>1889</v>
      </c>
      <c r="G1465" s="66" t="s">
        <v>247</v>
      </c>
    </row>
    <row r="1466" ht="22.5" customHeight="1">
      <c r="A1466" s="66" t="s">
        <v>1890</v>
      </c>
      <c r="B1466" s="67" t="str">
        <f t="shared" si="11"/>
        <v>M: manifest</v>
      </c>
      <c r="C1466" s="68"/>
      <c r="D1466" s="68">
        <v>45896.0</v>
      </c>
      <c r="E1466" s="66">
        <v>7.0</v>
      </c>
      <c r="F1466" s="66" t="str">
        <f>IFERROR(__xludf.DUMMYFUNCTION("GOOGLETRANSLATE(A1466,""en"",""pt"")"),"manifesto")</f>
        <v>manifesto</v>
      </c>
      <c r="G1466" s="69"/>
    </row>
    <row r="1467" ht="22.5" customHeight="1">
      <c r="A1467" s="66" t="s">
        <v>1891</v>
      </c>
      <c r="B1467" s="67" t="str">
        <f t="shared" si="11"/>
        <v>M: approaching</v>
      </c>
      <c r="C1467" s="68"/>
      <c r="D1467" s="68">
        <v>45896.0</v>
      </c>
      <c r="E1467" s="66">
        <v>8.0</v>
      </c>
      <c r="F1467" s="66" t="str">
        <f>IFERROR(__xludf.DUMMYFUNCTION("GOOGLETRANSLATE(A1467,""en"",""pt"")"),"aproximando")</f>
        <v>aproximando</v>
      </c>
      <c r="G1467" s="69"/>
    </row>
    <row r="1468" ht="22.5" customHeight="1">
      <c r="A1468" s="66" t="s">
        <v>1892</v>
      </c>
      <c r="B1468" s="67" t="str">
        <f t="shared" si="11"/>
        <v>M: afterbirth</v>
      </c>
      <c r="C1468" s="68"/>
      <c r="D1468" s="68">
        <v>45896.0</v>
      </c>
      <c r="E1468" s="66">
        <v>9.0</v>
      </c>
      <c r="F1468" s="66" t="str">
        <f>IFERROR(__xludf.DUMMYFUNCTION("GOOGLETRANSLATE(A1468,""en"",""pt"")"),"placenta")</f>
        <v>placenta</v>
      </c>
      <c r="G1468" s="69"/>
    </row>
    <row r="1469" ht="22.5" customHeight="1">
      <c r="A1469" s="66" t="s">
        <v>1893</v>
      </c>
      <c r="B1469" s="67" t="str">
        <f t="shared" si="11"/>
        <v>M: maiden</v>
      </c>
      <c r="C1469" s="66">
        <v>1.0</v>
      </c>
      <c r="D1469" s="68">
        <v>45896.0</v>
      </c>
      <c r="E1469" s="66">
        <v>10.0</v>
      </c>
      <c r="F1469" s="71" t="s">
        <v>1894</v>
      </c>
      <c r="G1469" s="66" t="s">
        <v>247</v>
      </c>
    </row>
    <row r="1470" ht="22.5" customHeight="1">
      <c r="A1470" s="66" t="s">
        <v>1895</v>
      </c>
      <c r="B1470" s="67" t="str">
        <f t="shared" si="11"/>
        <v>M: backs</v>
      </c>
      <c r="C1470" s="66">
        <v>1.0</v>
      </c>
      <c r="D1470" s="68">
        <v>45896.0</v>
      </c>
      <c r="E1470" s="66">
        <v>1.0</v>
      </c>
      <c r="F1470" s="66" t="s">
        <v>1896</v>
      </c>
      <c r="G1470" s="66" t="s">
        <v>247</v>
      </c>
    </row>
    <row r="1471" ht="22.5" customHeight="1">
      <c r="A1471" s="66" t="s">
        <v>1897</v>
      </c>
      <c r="B1471" s="67" t="str">
        <f t="shared" si="11"/>
        <v>M: polemically</v>
      </c>
      <c r="C1471" s="68"/>
      <c r="D1471" s="68">
        <v>45896.0</v>
      </c>
      <c r="E1471" s="66">
        <v>2.0</v>
      </c>
      <c r="F1471" s="66" t="str">
        <f>IFERROR(__xludf.DUMMYFUNCTION("GOOGLETRANSLATE(A1471,""en"",""pt"")"),"polemicamente")</f>
        <v>polemicamente</v>
      </c>
      <c r="G1471" s="69"/>
    </row>
    <row r="1472" ht="22.5" customHeight="1">
      <c r="A1472" s="66" t="s">
        <v>1898</v>
      </c>
      <c r="B1472" s="67" t="str">
        <f t="shared" si="11"/>
        <v>M: foes</v>
      </c>
      <c r="C1472" s="68"/>
      <c r="D1472" s="68">
        <v>45897.0</v>
      </c>
      <c r="E1472" s="66">
        <v>3.0</v>
      </c>
      <c r="F1472" s="66" t="str">
        <f>IFERROR(__xludf.DUMMYFUNCTION("GOOGLETRANSLATE(A1472,""en"",""pt"")"),"inimigos")</f>
        <v>inimigos</v>
      </c>
      <c r="G1472" s="69"/>
    </row>
    <row r="1473" ht="22.5" customHeight="1">
      <c r="A1473" s="66" t="s">
        <v>1899</v>
      </c>
      <c r="B1473" s="67" t="str">
        <f t="shared" si="11"/>
        <v>M: hate</v>
      </c>
      <c r="C1473" s="68"/>
      <c r="D1473" s="68">
        <v>45897.0</v>
      </c>
      <c r="E1473" s="66">
        <v>4.0</v>
      </c>
      <c r="F1473" s="66" t="str">
        <f>IFERROR(__xludf.DUMMYFUNCTION("GOOGLETRANSLATE(A1473,""en"",""pt"")"),"odiar")</f>
        <v>odiar</v>
      </c>
      <c r="G1473" s="69"/>
    </row>
    <row r="1474" ht="22.5" customHeight="1">
      <c r="A1474" s="66" t="s">
        <v>1900</v>
      </c>
      <c r="B1474" s="67" t="str">
        <f t="shared" si="11"/>
        <v>M: wounds</v>
      </c>
      <c r="C1474" s="66">
        <v>1.0</v>
      </c>
      <c r="D1474" s="68">
        <v>45897.0</v>
      </c>
      <c r="E1474" s="66">
        <v>5.0</v>
      </c>
      <c r="F1474" s="66" t="s">
        <v>1901</v>
      </c>
      <c r="G1474" s="66" t="s">
        <v>247</v>
      </c>
    </row>
    <row r="1475" ht="22.5" customHeight="1">
      <c r="A1475" s="66" t="s">
        <v>1902</v>
      </c>
      <c r="B1475" s="67" t="str">
        <f t="shared" si="11"/>
        <v>M: preachers</v>
      </c>
      <c r="C1475" s="68"/>
      <c r="D1475" s="68">
        <v>45897.0</v>
      </c>
      <c r="E1475" s="66">
        <v>6.0</v>
      </c>
      <c r="F1475" s="66" t="str">
        <f>IFERROR(__xludf.DUMMYFUNCTION("GOOGLETRANSLATE(A1475,""en"",""pt"")"),"pregadores")</f>
        <v>pregadores</v>
      </c>
      <c r="G1475" s="69"/>
    </row>
    <row r="1476" ht="22.5" customHeight="1">
      <c r="A1476" s="66" t="s">
        <v>1903</v>
      </c>
      <c r="B1476" s="67" t="str">
        <f t="shared" si="11"/>
        <v>M: listened</v>
      </c>
      <c r="C1476" s="68"/>
      <c r="D1476" s="68">
        <v>45897.0</v>
      </c>
      <c r="E1476" s="66">
        <v>7.0</v>
      </c>
      <c r="F1476" s="66" t="str">
        <f>IFERROR(__xludf.DUMMYFUNCTION("GOOGLETRANSLATE(A1476,""en"",""pt"")"),"ouviu")</f>
        <v>ouviu</v>
      </c>
      <c r="G1476" s="69"/>
    </row>
    <row r="1477" ht="22.5" customHeight="1">
      <c r="A1477" s="66" t="s">
        <v>1904</v>
      </c>
      <c r="B1477" s="67" t="str">
        <f t="shared" si="11"/>
        <v>M: dropouts</v>
      </c>
      <c r="C1477" s="68"/>
      <c r="D1477" s="68">
        <v>45897.0</v>
      </c>
      <c r="E1477" s="66">
        <v>8.0</v>
      </c>
      <c r="F1477" s="66" t="str">
        <f>IFERROR(__xludf.DUMMYFUNCTION("GOOGLETRANSLATE(A1477,""en"",""pt"")"),"desistentes")</f>
        <v>desistentes</v>
      </c>
      <c r="G1477" s="69"/>
    </row>
    <row r="1478" ht="22.5" customHeight="1">
      <c r="A1478" s="66" t="s">
        <v>1905</v>
      </c>
      <c r="B1478" s="67" t="str">
        <f t="shared" si="11"/>
        <v>M: conditioned</v>
      </c>
      <c r="C1478" s="68"/>
      <c r="D1478" s="68">
        <v>45897.0</v>
      </c>
      <c r="E1478" s="66">
        <v>9.0</v>
      </c>
      <c r="F1478" s="66" t="str">
        <f>IFERROR(__xludf.DUMMYFUNCTION("GOOGLETRANSLATE(A1478,""en"",""pt"")"),"condicionado")</f>
        <v>condicionado</v>
      </c>
      <c r="G1478" s="69"/>
    </row>
    <row r="1479" ht="22.5" customHeight="1">
      <c r="A1479" s="66" t="s">
        <v>1906</v>
      </c>
      <c r="B1479" s="67" t="str">
        <f t="shared" si="11"/>
        <v>M: driving</v>
      </c>
      <c r="C1479" s="68"/>
      <c r="D1479" s="68">
        <v>45897.0</v>
      </c>
      <c r="E1479" s="66">
        <v>10.0</v>
      </c>
      <c r="F1479" s="66" t="str">
        <f>IFERROR(__xludf.DUMMYFUNCTION("GOOGLETRANSLATE(A1479,""en"",""pt"")"),"condução")</f>
        <v>condução</v>
      </c>
      <c r="G1479" s="69"/>
    </row>
    <row r="1480" ht="22.5" customHeight="1">
      <c r="A1480" s="66" t="s">
        <v>1907</v>
      </c>
      <c r="B1480" s="67" t="str">
        <f t="shared" si="11"/>
        <v>M: heirs</v>
      </c>
      <c r="C1480" s="68"/>
      <c r="D1480" s="68">
        <v>45897.0</v>
      </c>
      <c r="E1480" s="66">
        <v>1.0</v>
      </c>
      <c r="F1480" s="66" t="str">
        <f>IFERROR(__xludf.DUMMYFUNCTION("GOOGLETRANSLATE(A1480,""en"",""pt"")"),"herdeiros")</f>
        <v>herdeiros</v>
      </c>
      <c r="G1480" s="69"/>
    </row>
    <row r="1481" ht="22.5" customHeight="1">
      <c r="A1481" s="66" t="s">
        <v>1908</v>
      </c>
      <c r="B1481" s="67" t="str">
        <f t="shared" si="11"/>
        <v>M: inheriting</v>
      </c>
      <c r="C1481" s="68"/>
      <c r="D1481" s="68">
        <v>45897.0</v>
      </c>
      <c r="E1481" s="66">
        <v>2.0</v>
      </c>
      <c r="F1481" s="66" t="str">
        <f>IFERROR(__xludf.DUMMYFUNCTION("GOOGLETRANSLATE(A1481,""en"",""pt"")"),"herdando")</f>
        <v>herdando</v>
      </c>
      <c r="G1481" s="69"/>
    </row>
    <row r="1482" ht="22.5" customHeight="1">
      <c r="A1482" s="66" t="s">
        <v>1909</v>
      </c>
      <c r="B1482" s="67" t="str">
        <f t="shared" si="11"/>
        <v>M: numb</v>
      </c>
      <c r="C1482" s="68"/>
      <c r="D1482" s="68">
        <v>45898.0</v>
      </c>
      <c r="E1482" s="66">
        <v>3.0</v>
      </c>
      <c r="F1482" s="66" t="str">
        <f>IFERROR(__xludf.DUMMYFUNCTION("GOOGLETRANSLATE(A1482,""en"",""pt"")"),"dormente")</f>
        <v>dormente</v>
      </c>
      <c r="G1482" s="69"/>
    </row>
    <row r="1483" ht="22.5" customHeight="1">
      <c r="A1483" s="66" t="s">
        <v>1910</v>
      </c>
      <c r="B1483" s="67" t="str">
        <f t="shared" si="11"/>
        <v>M: blame</v>
      </c>
      <c r="C1483" s="66">
        <v>1.0</v>
      </c>
      <c r="D1483" s="68">
        <v>45898.0</v>
      </c>
      <c r="E1483" s="66">
        <v>4.0</v>
      </c>
      <c r="F1483" s="66" t="s">
        <v>1911</v>
      </c>
      <c r="G1483" s="66" t="s">
        <v>247</v>
      </c>
    </row>
    <row r="1484" ht="22.5" customHeight="1">
      <c r="A1484" s="66" t="s">
        <v>1912</v>
      </c>
      <c r="B1484" s="67" t="str">
        <f t="shared" si="11"/>
        <v>M: ledge</v>
      </c>
      <c r="C1484" s="66">
        <v>1.0</v>
      </c>
      <c r="D1484" s="68">
        <v>45898.0</v>
      </c>
      <c r="E1484" s="66">
        <v>5.0</v>
      </c>
      <c r="F1484" s="66" t="s">
        <v>1913</v>
      </c>
      <c r="G1484" s="66" t="s">
        <v>247</v>
      </c>
    </row>
    <row r="1485" ht="22.5" customHeight="1">
      <c r="A1485" s="66" t="s">
        <v>1914</v>
      </c>
      <c r="B1485" s="67" t="str">
        <f t="shared" si="11"/>
        <v>M: unhappy</v>
      </c>
      <c r="C1485" s="68"/>
      <c r="D1485" s="68">
        <v>45898.0</v>
      </c>
      <c r="E1485" s="66">
        <v>6.0</v>
      </c>
      <c r="F1485" s="66" t="str">
        <f>IFERROR(__xludf.DUMMYFUNCTION("GOOGLETRANSLATE(A1485,""en"",""pt"")"),"infeliz")</f>
        <v>infeliz</v>
      </c>
      <c r="G1485" s="69"/>
    </row>
    <row r="1486" ht="22.5" customHeight="1">
      <c r="A1486" s="66" t="s">
        <v>1915</v>
      </c>
      <c r="B1486" s="67" t="str">
        <f t="shared" si="11"/>
        <v>M: ever had</v>
      </c>
      <c r="C1486" s="68"/>
      <c r="D1486" s="68">
        <v>45898.0</v>
      </c>
      <c r="E1486" s="66">
        <v>7.0</v>
      </c>
      <c r="F1486" s="66" t="str">
        <f>IFERROR(__xludf.DUMMYFUNCTION("GOOGLETRANSLATE(A1486,""en"",""pt"")"),"já teve")</f>
        <v>já teve</v>
      </c>
      <c r="G1486" s="69"/>
    </row>
    <row r="1487" ht="22.5" customHeight="1">
      <c r="A1487" s="66" t="s">
        <v>1916</v>
      </c>
      <c r="B1487" s="67" t="str">
        <f t="shared" si="11"/>
        <v>M: shared</v>
      </c>
      <c r="C1487" s="68"/>
      <c r="D1487" s="68">
        <v>45898.0</v>
      </c>
      <c r="E1487" s="66">
        <v>8.0</v>
      </c>
      <c r="F1487" s="66" t="str">
        <f>IFERROR(__xludf.DUMMYFUNCTION("GOOGLETRANSLATE(A1487,""en"",""pt"")"),"compartilhado")</f>
        <v>compartilhado</v>
      </c>
      <c r="G1487" s="69"/>
    </row>
    <row r="1488" ht="22.5" customHeight="1">
      <c r="A1488" s="66" t="s">
        <v>1917</v>
      </c>
      <c r="B1488" s="67" t="str">
        <f t="shared" si="11"/>
        <v>M: astray</v>
      </c>
      <c r="C1488" s="68"/>
      <c r="D1488" s="68">
        <v>45898.0</v>
      </c>
      <c r="E1488" s="66">
        <v>9.0</v>
      </c>
      <c r="F1488" s="66" t="str">
        <f>IFERROR(__xludf.DUMMYFUNCTION("GOOGLETRANSLATE(A1488,""en"",""pt"")"),"perdido")</f>
        <v>perdido</v>
      </c>
      <c r="G1488" s="69"/>
    </row>
    <row r="1489" ht="22.5" customHeight="1">
      <c r="A1489" s="66" t="s">
        <v>1918</v>
      </c>
      <c r="B1489" s="67" t="str">
        <f t="shared" si="11"/>
        <v>M: unreal</v>
      </c>
      <c r="C1489" s="68"/>
      <c r="D1489" s="68">
        <v>45898.0</v>
      </c>
      <c r="E1489" s="66">
        <v>10.0</v>
      </c>
      <c r="F1489" s="66" t="s">
        <v>1919</v>
      </c>
      <c r="G1489" s="66">
        <v>1.0</v>
      </c>
    </row>
    <row r="1490" ht="22.5" customHeight="1">
      <c r="A1490" s="66" t="s">
        <v>1920</v>
      </c>
      <c r="B1490" s="67" t="str">
        <f t="shared" si="11"/>
        <v>M: focused</v>
      </c>
      <c r="C1490" s="66">
        <v>1.0</v>
      </c>
      <c r="D1490" s="68">
        <v>45898.0</v>
      </c>
      <c r="E1490" s="66">
        <v>1.0</v>
      </c>
      <c r="F1490" s="66" t="s">
        <v>1921</v>
      </c>
      <c r="G1490" s="66" t="s">
        <v>247</v>
      </c>
    </row>
    <row r="1491" ht="22.5" customHeight="1">
      <c r="A1491" s="66" t="s">
        <v>1922</v>
      </c>
      <c r="B1491" s="67" t="str">
        <f t="shared" si="11"/>
        <v>M: unique</v>
      </c>
      <c r="C1491" s="68"/>
      <c r="D1491" s="68">
        <v>45898.0</v>
      </c>
      <c r="E1491" s="66">
        <v>2.0</v>
      </c>
      <c r="F1491" s="66" t="str">
        <f>IFERROR(__xludf.DUMMYFUNCTION("GOOGLETRANSLATE(A1491,""en"",""pt"")"),"exclusivo")</f>
        <v>exclusivo</v>
      </c>
      <c r="G1491" s="69"/>
    </row>
    <row r="1492" ht="22.5" customHeight="1">
      <c r="A1492" s="66" t="s">
        <v>1923</v>
      </c>
      <c r="B1492" s="67" t="str">
        <f t="shared" si="11"/>
        <v>M: glance</v>
      </c>
      <c r="C1492" s="68"/>
      <c r="D1492" s="68">
        <v>45899.0</v>
      </c>
      <c r="E1492" s="66">
        <v>3.0</v>
      </c>
      <c r="F1492" s="66" t="str">
        <f>IFERROR(__xludf.DUMMYFUNCTION("GOOGLETRANSLATE(A1492,""en"",""pt"")"),"olhar")</f>
        <v>olhar</v>
      </c>
      <c r="G1492" s="69"/>
    </row>
    <row r="1493" ht="22.5" customHeight="1">
      <c r="A1493" s="66" t="s">
        <v>1924</v>
      </c>
      <c r="B1493" s="67" t="str">
        <f t="shared" si="11"/>
        <v>M: fully</v>
      </c>
      <c r="C1493" s="68"/>
      <c r="D1493" s="68">
        <v>45899.0</v>
      </c>
      <c r="E1493" s="66">
        <v>4.0</v>
      </c>
      <c r="F1493" s="66" t="str">
        <f>IFERROR(__xludf.DUMMYFUNCTION("GOOGLETRANSLATE(A1493,""en"",""pt"")"),"completamente")</f>
        <v>completamente</v>
      </c>
      <c r="G1493" s="69"/>
    </row>
    <row r="1494" ht="22.5" customHeight="1">
      <c r="A1494" s="66" t="s">
        <v>1925</v>
      </c>
      <c r="B1494" s="67" t="str">
        <f t="shared" si="11"/>
        <v>M: kinda</v>
      </c>
      <c r="C1494" s="68"/>
      <c r="D1494" s="68">
        <v>45899.0</v>
      </c>
      <c r="E1494" s="66">
        <v>5.0</v>
      </c>
      <c r="F1494" s="66" t="str">
        <f>IFERROR(__xludf.DUMMYFUNCTION("GOOGLETRANSLATE(A1494,""en"",""pt"")"),"tipo")</f>
        <v>tipo</v>
      </c>
      <c r="G1494" s="69"/>
    </row>
    <row r="1495" ht="22.5" customHeight="1">
      <c r="A1495" s="66" t="s">
        <v>1926</v>
      </c>
      <c r="B1495" s="67" t="str">
        <f t="shared" si="11"/>
        <v>M: next one</v>
      </c>
      <c r="C1495" s="68"/>
      <c r="D1495" s="68">
        <v>45899.0</v>
      </c>
      <c r="E1495" s="66">
        <v>6.0</v>
      </c>
      <c r="F1495" s="66" t="str">
        <f>IFERROR(__xludf.DUMMYFUNCTION("GOOGLETRANSLATE(A1495,""en"",""pt"")"),"próximo")</f>
        <v>próximo</v>
      </c>
      <c r="G1495" s="69"/>
    </row>
    <row r="1496" ht="22.5" customHeight="1">
      <c r="A1496" s="66" t="s">
        <v>1927</v>
      </c>
      <c r="B1496" s="67" t="str">
        <f t="shared" si="11"/>
        <v>M: fairly</v>
      </c>
      <c r="C1496" s="66">
        <v>1.0</v>
      </c>
      <c r="D1496" s="68">
        <v>45899.0</v>
      </c>
      <c r="E1496" s="66">
        <v>7.0</v>
      </c>
      <c r="F1496" s="71" t="s">
        <v>1928</v>
      </c>
      <c r="G1496" s="66" t="s">
        <v>247</v>
      </c>
    </row>
    <row r="1497" ht="22.5" customHeight="1">
      <c r="A1497" s="66" t="s">
        <v>1929</v>
      </c>
      <c r="B1497" s="67" t="str">
        <f t="shared" si="11"/>
        <v>M: catalyst</v>
      </c>
      <c r="C1497" s="68"/>
      <c r="D1497" s="68">
        <v>45899.0</v>
      </c>
      <c r="E1497" s="66">
        <v>8.0</v>
      </c>
      <c r="F1497" s="66" t="str">
        <f>IFERROR(__xludf.DUMMYFUNCTION("GOOGLETRANSLATE(A1497,""en"",""pt"")"),"catalisador")</f>
        <v>catalisador</v>
      </c>
      <c r="G1497" s="69"/>
    </row>
    <row r="1498" ht="22.5" customHeight="1">
      <c r="A1498" s="66" t="s">
        <v>1930</v>
      </c>
      <c r="B1498" s="67" t="str">
        <f t="shared" si="11"/>
        <v>M: infusion</v>
      </c>
      <c r="C1498" s="68"/>
      <c r="D1498" s="68">
        <v>45899.0</v>
      </c>
      <c r="E1498" s="66">
        <v>9.0</v>
      </c>
      <c r="F1498" s="66" t="str">
        <f>IFERROR(__xludf.DUMMYFUNCTION("GOOGLETRANSLATE(A1498,""en"",""pt"")"),"infusão")</f>
        <v>infusão</v>
      </c>
      <c r="G1498" s="69"/>
    </row>
    <row r="1499" ht="22.5" customHeight="1">
      <c r="A1499" s="66" t="s">
        <v>1931</v>
      </c>
      <c r="B1499" s="67" t="str">
        <f t="shared" si="11"/>
        <v>M: applies</v>
      </c>
      <c r="C1499" s="68"/>
      <c r="D1499" s="68">
        <v>45899.0</v>
      </c>
      <c r="E1499" s="66">
        <v>10.0</v>
      </c>
      <c r="F1499" s="66" t="str">
        <f>IFERROR(__xludf.DUMMYFUNCTION("GOOGLETRANSLATE(A1499,""en"",""pt"")"),"aplica")</f>
        <v>aplica</v>
      </c>
      <c r="G1499" s="69"/>
    </row>
    <row r="1500" ht="22.5" customHeight="1">
      <c r="A1500" s="66" t="s">
        <v>1932</v>
      </c>
      <c r="B1500" s="67" t="str">
        <f t="shared" si="11"/>
        <v>M: trigger</v>
      </c>
      <c r="C1500" s="66">
        <v>1.0</v>
      </c>
      <c r="D1500" s="68">
        <v>45899.0</v>
      </c>
      <c r="E1500" s="66">
        <v>1.0</v>
      </c>
      <c r="F1500" s="71" t="s">
        <v>1933</v>
      </c>
      <c r="G1500" s="66" t="s">
        <v>247</v>
      </c>
    </row>
    <row r="1501" ht="22.5" customHeight="1">
      <c r="A1501" s="66" t="s">
        <v>1934</v>
      </c>
      <c r="B1501" s="67" t="str">
        <f t="shared" si="11"/>
        <v>M: smoldering</v>
      </c>
      <c r="C1501" s="68"/>
      <c r="D1501" s="68">
        <v>45899.0</v>
      </c>
      <c r="E1501" s="66">
        <v>2.0</v>
      </c>
      <c r="F1501" s="66" t="str">
        <f>IFERROR(__xludf.DUMMYFUNCTION("GOOGLETRANSLATE(A1501,""en"",""pt"")"),"fumegando")</f>
        <v>fumegando</v>
      </c>
      <c r="G1501" s="69"/>
    </row>
    <row r="1502" ht="22.5" customHeight="1">
      <c r="A1502" s="66" t="s">
        <v>1935</v>
      </c>
      <c r="B1502" s="67" t="str">
        <f t="shared" si="11"/>
        <v>M: lens</v>
      </c>
      <c r="C1502" s="68"/>
      <c r="D1502" s="68">
        <v>45900.0</v>
      </c>
      <c r="E1502" s="66">
        <v>3.0</v>
      </c>
      <c r="F1502" s="66" t="str">
        <f>IFERROR(__xludf.DUMMYFUNCTION("GOOGLETRANSLATE(A1502,""en"",""pt"")"),"lente")</f>
        <v>lente</v>
      </c>
      <c r="G1502" s="69"/>
    </row>
    <row r="1503" ht="22.5" customHeight="1">
      <c r="A1503" s="66" t="s">
        <v>1936</v>
      </c>
      <c r="B1503" s="67" t="str">
        <f t="shared" si="11"/>
        <v>M: behalf</v>
      </c>
      <c r="C1503" s="68"/>
      <c r="D1503" s="68">
        <v>45900.0</v>
      </c>
      <c r="E1503" s="66">
        <v>4.0</v>
      </c>
      <c r="F1503" s="66" t="str">
        <f>IFERROR(__xludf.DUMMYFUNCTION("GOOGLETRANSLATE(A1503,""en"",""pt"")"),"em nome de")</f>
        <v>em nome de</v>
      </c>
      <c r="G1503" s="69"/>
    </row>
    <row r="1504" ht="22.5" customHeight="1">
      <c r="A1504" s="66" t="s">
        <v>1937</v>
      </c>
      <c r="B1504" s="67" t="str">
        <f t="shared" si="11"/>
        <v>M: prawn</v>
      </c>
      <c r="C1504" s="68"/>
      <c r="D1504" s="68">
        <v>45900.0</v>
      </c>
      <c r="E1504" s="66">
        <v>5.0</v>
      </c>
      <c r="F1504" s="66" t="str">
        <f>IFERROR(__xludf.DUMMYFUNCTION("GOOGLETRANSLATE(A1504,""en"",""pt"")"),"camarão")</f>
        <v>camarão</v>
      </c>
      <c r="G1504" s="69"/>
    </row>
    <row r="1505" ht="22.5" customHeight="1">
      <c r="A1505" s="66" t="s">
        <v>1938</v>
      </c>
      <c r="B1505" s="67" t="str">
        <f t="shared" si="11"/>
        <v>M: coasted</v>
      </c>
      <c r="C1505" s="66">
        <v>1.0</v>
      </c>
      <c r="D1505" s="68">
        <v>45900.0</v>
      </c>
      <c r="E1505" s="66">
        <v>6.0</v>
      </c>
      <c r="F1505" s="66" t="s">
        <v>1939</v>
      </c>
      <c r="G1505" s="66" t="s">
        <v>247</v>
      </c>
    </row>
    <row r="1506" ht="22.5" customHeight="1">
      <c r="A1506" s="66" t="s">
        <v>1940</v>
      </c>
      <c r="B1506" s="67" t="str">
        <f t="shared" si="11"/>
        <v>M: wailing</v>
      </c>
      <c r="C1506" s="68"/>
      <c r="D1506" s="68">
        <v>45900.0</v>
      </c>
      <c r="E1506" s="66">
        <v>7.0</v>
      </c>
      <c r="F1506" s="66" t="str">
        <f>IFERROR(__xludf.DUMMYFUNCTION("GOOGLETRANSLATE(A1506,""en"",""pt"")"),"lamentos")</f>
        <v>lamentos</v>
      </c>
      <c r="G1506" s="69"/>
    </row>
    <row r="1507" ht="22.5" customHeight="1">
      <c r="A1507" s="66" t="s">
        <v>1941</v>
      </c>
      <c r="B1507" s="67" t="str">
        <f t="shared" si="11"/>
        <v>M: hovered</v>
      </c>
      <c r="C1507" s="66">
        <v>1.0</v>
      </c>
      <c r="D1507" s="68">
        <v>45900.0</v>
      </c>
      <c r="E1507" s="66">
        <v>8.0</v>
      </c>
      <c r="F1507" s="66" t="s">
        <v>1942</v>
      </c>
      <c r="G1507" s="66" t="s">
        <v>247</v>
      </c>
    </row>
    <row r="1508" ht="22.5" customHeight="1">
      <c r="A1508" s="66" t="s">
        <v>1943</v>
      </c>
      <c r="B1508" s="67" t="str">
        <f t="shared" si="11"/>
        <v>M: deliberate</v>
      </c>
      <c r="C1508" s="68"/>
      <c r="D1508" s="68">
        <v>45900.0</v>
      </c>
      <c r="E1508" s="66">
        <v>9.0</v>
      </c>
      <c r="F1508" s="66" t="str">
        <f>IFERROR(__xludf.DUMMYFUNCTION("GOOGLETRANSLATE(A1508,""en"",""pt"")"),"deliberar")</f>
        <v>deliberar</v>
      </c>
      <c r="G1508" s="69"/>
    </row>
    <row r="1509" ht="22.5" customHeight="1">
      <c r="A1509" s="66" t="s">
        <v>1944</v>
      </c>
      <c r="B1509" s="67" t="str">
        <f t="shared" si="11"/>
        <v>M: verge</v>
      </c>
      <c r="C1509" s="66">
        <v>1.0</v>
      </c>
      <c r="D1509" s="68">
        <v>45900.0</v>
      </c>
      <c r="E1509" s="66">
        <v>10.0</v>
      </c>
      <c r="F1509" s="66" t="s">
        <v>1945</v>
      </c>
      <c r="G1509" s="66" t="s">
        <v>247</v>
      </c>
    </row>
    <row r="1510" ht="22.5" customHeight="1">
      <c r="A1510" s="66" t="s">
        <v>1946</v>
      </c>
      <c r="B1510" s="67" t="str">
        <f t="shared" si="11"/>
        <v>M: shining</v>
      </c>
      <c r="C1510" s="68"/>
      <c r="D1510" s="68">
        <v>45900.0</v>
      </c>
      <c r="E1510" s="66">
        <v>1.0</v>
      </c>
      <c r="F1510" s="66" t="str">
        <f>IFERROR(__xludf.DUMMYFUNCTION("GOOGLETRANSLATE(A1510,""en"",""pt"")"),"brilhante")</f>
        <v>brilhante</v>
      </c>
      <c r="G1510" s="69"/>
    </row>
    <row r="1511" ht="22.5" customHeight="1">
      <c r="A1511" s="66" t="s">
        <v>1947</v>
      </c>
      <c r="B1511" s="67" t="str">
        <f t="shared" si="11"/>
        <v>M: established</v>
      </c>
      <c r="C1511" s="68"/>
      <c r="D1511" s="68">
        <v>45900.0</v>
      </c>
      <c r="E1511" s="66">
        <v>2.0</v>
      </c>
      <c r="F1511" s="66" t="str">
        <f>IFERROR(__xludf.DUMMYFUNCTION("GOOGLETRANSLATE(A1511,""en"",""pt"")"),"estabelecido")</f>
        <v>estabelecido</v>
      </c>
      <c r="G1511" s="69"/>
    </row>
    <row r="1512" ht="22.5" customHeight="1">
      <c r="A1512" s="66" t="s">
        <v>1948</v>
      </c>
      <c r="B1512" s="67" t="str">
        <f t="shared" si="11"/>
        <v>M: growling</v>
      </c>
      <c r="C1512" s="68"/>
      <c r="D1512" s="68">
        <v>45901.0</v>
      </c>
      <c r="E1512" s="66">
        <v>3.0</v>
      </c>
      <c r="F1512" s="66" t="str">
        <f>IFERROR(__xludf.DUMMYFUNCTION("GOOGLETRANSLATE(A1512,""en"",""pt"")"),"rosnando")</f>
        <v>rosnando</v>
      </c>
      <c r="G1512" s="69"/>
    </row>
    <row r="1513" ht="22.5" customHeight="1">
      <c r="A1513" s="66" t="s">
        <v>1949</v>
      </c>
      <c r="B1513" s="67" t="str">
        <f t="shared" si="11"/>
        <v>M: fenced</v>
      </c>
      <c r="C1513" s="66">
        <v>1.0</v>
      </c>
      <c r="D1513" s="68">
        <v>45901.0</v>
      </c>
      <c r="E1513" s="66">
        <v>4.0</v>
      </c>
      <c r="F1513" s="66" t="s">
        <v>1950</v>
      </c>
      <c r="G1513" s="66" t="s">
        <v>247</v>
      </c>
    </row>
    <row r="1514" ht="22.5" customHeight="1">
      <c r="A1514" s="66" t="s">
        <v>1951</v>
      </c>
      <c r="B1514" s="67" t="str">
        <f t="shared" si="11"/>
        <v>M: scum</v>
      </c>
      <c r="C1514" s="68"/>
      <c r="D1514" s="68">
        <v>45901.0</v>
      </c>
      <c r="E1514" s="66">
        <v>5.0</v>
      </c>
      <c r="F1514" s="66" t="str">
        <f>IFERROR(__xludf.DUMMYFUNCTION("GOOGLETRANSLATE(A1514,""en"",""pt"")"),"escumalha")</f>
        <v>escumalha</v>
      </c>
      <c r="G1514" s="69"/>
    </row>
    <row r="1515" ht="22.5" customHeight="1">
      <c r="A1515" s="66" t="s">
        <v>1952</v>
      </c>
      <c r="B1515" s="67" t="str">
        <f t="shared" si="11"/>
        <v>M: detached</v>
      </c>
      <c r="C1515" s="66">
        <v>1.0</v>
      </c>
      <c r="D1515" s="68">
        <v>45901.0</v>
      </c>
      <c r="E1515" s="66">
        <v>6.0</v>
      </c>
      <c r="F1515" s="66" t="s">
        <v>1953</v>
      </c>
      <c r="G1515" s="66" t="s">
        <v>247</v>
      </c>
    </row>
    <row r="1516" ht="22.5" customHeight="1">
      <c r="A1516" s="66" t="s">
        <v>1954</v>
      </c>
      <c r="B1516" s="67" t="str">
        <f t="shared" si="11"/>
        <v>M: tensions rose</v>
      </c>
      <c r="C1516" s="68"/>
      <c r="D1516" s="68">
        <v>45901.0</v>
      </c>
      <c r="E1516" s="66">
        <v>7.0</v>
      </c>
      <c r="F1516" s="66" t="str">
        <f>IFERROR(__xludf.DUMMYFUNCTION("GOOGLETRANSLATE(A1516,""en"",""pt"")"),"As tensões aumentaram.")</f>
        <v>As tensões aumentaram.</v>
      </c>
      <c r="G1516" s="69"/>
    </row>
    <row r="1517" ht="22.5" customHeight="1">
      <c r="A1517" s="66" t="s">
        <v>1955</v>
      </c>
      <c r="B1517" s="67" t="str">
        <f t="shared" si="11"/>
        <v>M: footage</v>
      </c>
      <c r="C1517" s="66">
        <v>1.0</v>
      </c>
      <c r="D1517" s="68">
        <v>45901.0</v>
      </c>
      <c r="E1517" s="66">
        <v>8.0</v>
      </c>
      <c r="F1517" s="66" t="str">
        <f>IFERROR(__xludf.DUMMYFUNCTION("GOOGLETRANSLATE(A1517,""en"",""pt"")"),"imagens de vídeo")</f>
        <v>imagens de vídeo</v>
      </c>
      <c r="G1517" s="66" t="s">
        <v>1956</v>
      </c>
    </row>
    <row r="1518" ht="22.5" customHeight="1">
      <c r="A1518" s="66" t="s">
        <v>1957</v>
      </c>
      <c r="B1518" s="67" t="str">
        <f t="shared" si="11"/>
        <v>M: township</v>
      </c>
      <c r="C1518" s="68"/>
      <c r="D1518" s="68">
        <v>45901.0</v>
      </c>
      <c r="E1518" s="66">
        <v>9.0</v>
      </c>
      <c r="F1518" s="66" t="str">
        <f>IFERROR(__xludf.DUMMYFUNCTION("GOOGLETRANSLATE(A1518,""en"",""pt"")"),"município")</f>
        <v>município</v>
      </c>
      <c r="G1518" s="69"/>
    </row>
    <row r="1519" ht="22.5" customHeight="1">
      <c r="A1519" s="66" t="s">
        <v>1958</v>
      </c>
      <c r="B1519" s="67" t="str">
        <f t="shared" si="11"/>
        <v>M: nationwide </v>
      </c>
      <c r="C1519" s="68"/>
      <c r="D1519" s="68">
        <v>45901.0</v>
      </c>
      <c r="E1519" s="66">
        <v>10.0</v>
      </c>
      <c r="F1519" s="66" t="str">
        <f>IFERROR(__xludf.DUMMYFUNCTION("GOOGLETRANSLATE(A1519,""en"",""pt"")"),"em todo o país")</f>
        <v>em todo o país</v>
      </c>
      <c r="G1519" s="69"/>
    </row>
    <row r="1520" ht="22.5" customHeight="1">
      <c r="A1520" s="66" t="s">
        <v>1959</v>
      </c>
      <c r="B1520" s="67" t="str">
        <f t="shared" si="11"/>
        <v>M: leftover</v>
      </c>
      <c r="C1520" s="66">
        <v>1.0</v>
      </c>
      <c r="D1520" s="68">
        <v>45901.0</v>
      </c>
      <c r="E1520" s="66">
        <v>1.0</v>
      </c>
      <c r="F1520" s="71" t="s">
        <v>1960</v>
      </c>
      <c r="G1520" s="66" t="s">
        <v>247</v>
      </c>
    </row>
    <row r="1521" ht="22.5" customHeight="1">
      <c r="A1521" s="66" t="s">
        <v>1961</v>
      </c>
      <c r="B1521" s="67" t="str">
        <f t="shared" si="11"/>
        <v>M: briefing</v>
      </c>
      <c r="C1521" s="68"/>
      <c r="D1521" s="68">
        <v>45901.0</v>
      </c>
      <c r="E1521" s="66">
        <v>2.0</v>
      </c>
      <c r="F1521" s="66" t="str">
        <f>IFERROR(__xludf.DUMMYFUNCTION("GOOGLETRANSLATE(A1521,""en"",""pt"")"),"resumo")</f>
        <v>resumo</v>
      </c>
      <c r="G1521" s="69"/>
    </row>
    <row r="1522" ht="22.5" customHeight="1">
      <c r="A1522" s="66" t="s">
        <v>1962</v>
      </c>
      <c r="B1522" s="67" t="str">
        <f t="shared" si="11"/>
        <v>M: undertaken</v>
      </c>
      <c r="C1522" s="68"/>
      <c r="D1522" s="68">
        <v>45902.0</v>
      </c>
      <c r="E1522" s="66">
        <v>3.0</v>
      </c>
      <c r="F1522" s="66" t="str">
        <f>IFERROR(__xludf.DUMMYFUNCTION("GOOGLETRANSLATE(A1522,""en"",""pt"")"),"realizado")</f>
        <v>realizado</v>
      </c>
      <c r="G1522" s="69"/>
    </row>
    <row r="1523" ht="22.5" customHeight="1">
      <c r="A1523" s="66" t="s">
        <v>1963</v>
      </c>
      <c r="B1523" s="67" t="str">
        <f t="shared" si="11"/>
        <v>M: undertaker</v>
      </c>
      <c r="C1523" s="66">
        <v>1.0</v>
      </c>
      <c r="D1523" s="68">
        <v>45902.0</v>
      </c>
      <c r="E1523" s="66">
        <v>4.0</v>
      </c>
      <c r="F1523" s="71" t="s">
        <v>1964</v>
      </c>
      <c r="G1523" s="66" t="s">
        <v>247</v>
      </c>
    </row>
    <row r="1524" ht="22.5" customHeight="1">
      <c r="A1524" s="66" t="s">
        <v>1965</v>
      </c>
      <c r="B1524" s="67" t="str">
        <f t="shared" si="11"/>
        <v>M: shake</v>
      </c>
      <c r="C1524" s="68"/>
      <c r="D1524" s="68">
        <v>45902.0</v>
      </c>
      <c r="E1524" s="66">
        <v>5.0</v>
      </c>
      <c r="F1524" s="66" t="str">
        <f>IFERROR(__xludf.DUMMYFUNCTION("GOOGLETRANSLATE(A1524,""en"",""pt"")"),"sacudir")</f>
        <v>sacudir</v>
      </c>
      <c r="G1524" s="69"/>
    </row>
    <row r="1525" ht="22.5" customHeight="1">
      <c r="A1525" s="66" t="s">
        <v>1966</v>
      </c>
      <c r="B1525" s="67" t="str">
        <f t="shared" si="11"/>
        <v>M: disgusted</v>
      </c>
      <c r="C1525" s="68"/>
      <c r="D1525" s="68">
        <v>45902.0</v>
      </c>
      <c r="E1525" s="66">
        <v>6.0</v>
      </c>
      <c r="F1525" s="66" t="str">
        <f>IFERROR(__xludf.DUMMYFUNCTION("GOOGLETRANSLATE(A1525,""en"",""pt"")"),"enojado")</f>
        <v>enojado</v>
      </c>
      <c r="G1525" s="69"/>
    </row>
    <row r="1526" ht="22.5" customHeight="1">
      <c r="A1526" s="66" t="s">
        <v>1967</v>
      </c>
      <c r="B1526" s="67" t="str">
        <f t="shared" si="11"/>
        <v>M: ammunition</v>
      </c>
      <c r="C1526" s="68"/>
      <c r="D1526" s="68">
        <v>45902.0</v>
      </c>
      <c r="E1526" s="66">
        <v>7.0</v>
      </c>
      <c r="F1526" s="66" t="str">
        <f>IFERROR(__xludf.DUMMYFUNCTION("GOOGLETRANSLATE(A1526,""en"",""pt"")"),"munição")</f>
        <v>munição</v>
      </c>
      <c r="G1526" s="69"/>
    </row>
    <row r="1527" ht="22.5" customHeight="1">
      <c r="A1527" s="66" t="s">
        <v>1968</v>
      </c>
      <c r="B1527" s="67" t="str">
        <f t="shared" si="11"/>
        <v>M: forgiven</v>
      </c>
      <c r="C1527" s="68"/>
      <c r="D1527" s="68">
        <v>45902.0</v>
      </c>
      <c r="E1527" s="66">
        <v>8.0</v>
      </c>
      <c r="F1527" s="66" t="str">
        <f>IFERROR(__xludf.DUMMYFUNCTION("GOOGLETRANSLATE(A1527,""en"",""pt"")"),"perdoado")</f>
        <v>perdoado</v>
      </c>
      <c r="G1527" s="69"/>
    </row>
    <row r="1528" ht="22.5" customHeight="1">
      <c r="A1528" s="66" t="s">
        <v>1969</v>
      </c>
      <c r="B1528" s="67" t="str">
        <f t="shared" si="11"/>
        <v>M: vest</v>
      </c>
      <c r="C1528" s="66">
        <v>1.0</v>
      </c>
      <c r="D1528" s="68">
        <v>45902.0</v>
      </c>
      <c r="E1528" s="66">
        <v>9.0</v>
      </c>
      <c r="F1528" s="71" t="s">
        <v>1970</v>
      </c>
      <c r="G1528" s="66" t="s">
        <v>247</v>
      </c>
    </row>
    <row r="1529" ht="22.5" customHeight="1">
      <c r="A1529" s="66" t="s">
        <v>1971</v>
      </c>
      <c r="B1529" s="67" t="str">
        <f t="shared" si="11"/>
        <v>M: comply</v>
      </c>
      <c r="C1529" s="68"/>
      <c r="D1529" s="68">
        <v>45902.0</v>
      </c>
      <c r="E1529" s="66">
        <v>10.0</v>
      </c>
      <c r="F1529" s="66" t="str">
        <f>IFERROR(__xludf.DUMMYFUNCTION("GOOGLETRANSLATE(A1529,""en"",""pt"")"),"cumprir")</f>
        <v>cumprir</v>
      </c>
      <c r="G1529" s="69"/>
    </row>
    <row r="1530" ht="22.5" customHeight="1">
      <c r="A1530" s="66" t="s">
        <v>1972</v>
      </c>
      <c r="B1530" s="67" t="str">
        <f t="shared" si="11"/>
        <v>M: sets out</v>
      </c>
      <c r="C1530" s="66">
        <v>1.0</v>
      </c>
      <c r="D1530" s="68">
        <v>45902.0</v>
      </c>
      <c r="E1530" s="66">
        <v>1.0</v>
      </c>
      <c r="F1530" s="66" t="str">
        <f>IFERROR(__xludf.DUMMYFUNCTION("GOOGLETRANSLATE(A1530,""en"",""pt"")"),"parte")</f>
        <v>parte</v>
      </c>
      <c r="G1530" s="66" t="s">
        <v>247</v>
      </c>
    </row>
    <row r="1531" ht="22.5" customHeight="1">
      <c r="A1531" s="66" t="s">
        <v>1973</v>
      </c>
      <c r="B1531" s="67" t="str">
        <f t="shared" si="11"/>
        <v>M: human-rights</v>
      </c>
      <c r="C1531" s="68"/>
      <c r="D1531" s="68">
        <v>45902.0</v>
      </c>
      <c r="E1531" s="66">
        <v>2.0</v>
      </c>
      <c r="F1531" s="66" t="str">
        <f>IFERROR(__xludf.DUMMYFUNCTION("GOOGLETRANSLATE(A1531,""en"",""pt"")"),"direitos humanos")</f>
        <v>direitos humanos</v>
      </c>
      <c r="G1531" s="69"/>
    </row>
    <row r="1532" ht="22.5" customHeight="1">
      <c r="A1532" s="66" t="s">
        <v>1974</v>
      </c>
      <c r="B1532" s="67" t="str">
        <f t="shared" si="11"/>
        <v>M: banging</v>
      </c>
      <c r="C1532" s="68"/>
      <c r="D1532" s="68">
        <v>45903.0</v>
      </c>
      <c r="E1532" s="66">
        <v>3.0</v>
      </c>
      <c r="F1532" s="66" t="str">
        <f>IFERROR(__xludf.DUMMYFUNCTION("GOOGLETRANSLATE(A1532,""en"",""pt"")"),"batendo")</f>
        <v>batendo</v>
      </c>
      <c r="G1532" s="69"/>
    </row>
    <row r="1533" ht="22.5" customHeight="1">
      <c r="A1533" s="66" t="s">
        <v>1975</v>
      </c>
      <c r="B1533" s="67" t="str">
        <f t="shared" si="11"/>
        <v>M: backed</v>
      </c>
      <c r="C1533" s="68"/>
      <c r="D1533" s="68">
        <v>45903.0</v>
      </c>
      <c r="E1533" s="66">
        <v>4.0</v>
      </c>
      <c r="F1533" s="66" t="str">
        <f>IFERROR(__xludf.DUMMYFUNCTION("GOOGLETRANSLATE(A1533,""en"",""pt"")"),"apoiado")</f>
        <v>apoiado</v>
      </c>
      <c r="G1533" s="69"/>
    </row>
    <row r="1534" ht="22.5" customHeight="1">
      <c r="A1534" s="66" t="s">
        <v>1976</v>
      </c>
      <c r="B1534" s="67" t="str">
        <f t="shared" si="11"/>
        <v>M: heavily </v>
      </c>
      <c r="C1534" s="68"/>
      <c r="D1534" s="68">
        <v>45903.0</v>
      </c>
      <c r="E1534" s="66">
        <v>5.0</v>
      </c>
      <c r="F1534" s="66" t="str">
        <f>IFERROR(__xludf.DUMMYFUNCTION("GOOGLETRANSLATE(A1534,""en"",""pt"")"),"fortemente")</f>
        <v>fortemente</v>
      </c>
      <c r="G1534" s="69"/>
    </row>
    <row r="1535" ht="22.5" customHeight="1">
      <c r="A1535" s="66" t="s">
        <v>1977</v>
      </c>
      <c r="B1535" s="67" t="str">
        <f t="shared" si="11"/>
        <v>M: shack</v>
      </c>
      <c r="C1535" s="68"/>
      <c r="D1535" s="68">
        <v>45903.0</v>
      </c>
      <c r="E1535" s="66">
        <v>6.0</v>
      </c>
      <c r="F1535" s="66" t="str">
        <f>IFERROR(__xludf.DUMMYFUNCTION("GOOGLETRANSLATE(A1535,""en"",""pt"")"),"barraco")</f>
        <v>barraco</v>
      </c>
      <c r="G1535" s="69"/>
    </row>
    <row r="1536" ht="22.5" customHeight="1">
      <c r="A1536" s="66" t="s">
        <v>1978</v>
      </c>
      <c r="B1536" s="67" t="str">
        <f t="shared" si="11"/>
        <v>M: convoy</v>
      </c>
      <c r="C1536" s="66">
        <v>1.0</v>
      </c>
      <c r="D1536" s="68">
        <v>45903.0</v>
      </c>
      <c r="E1536" s="66">
        <v>7.0</v>
      </c>
      <c r="F1536" s="66" t="s">
        <v>1979</v>
      </c>
      <c r="G1536" s="66" t="s">
        <v>247</v>
      </c>
    </row>
    <row r="1537" ht="22.5" customHeight="1">
      <c r="A1537" s="66" t="s">
        <v>1980</v>
      </c>
      <c r="B1537" s="67" t="str">
        <f t="shared" si="11"/>
        <v>M: clampdown</v>
      </c>
      <c r="C1537" s="66">
        <v>1.0</v>
      </c>
      <c r="D1537" s="68">
        <v>45903.0</v>
      </c>
      <c r="E1537" s="66">
        <v>8.0</v>
      </c>
      <c r="F1537" s="66" t="s">
        <v>1981</v>
      </c>
      <c r="G1537" s="66" t="s">
        <v>247</v>
      </c>
    </row>
    <row r="1538" ht="22.5" customHeight="1">
      <c r="A1538" s="66" t="s">
        <v>1982</v>
      </c>
      <c r="B1538" s="67" t="str">
        <f t="shared" si="11"/>
        <v>M: sack</v>
      </c>
      <c r="C1538" s="68"/>
      <c r="D1538" s="68">
        <v>45903.0</v>
      </c>
      <c r="E1538" s="66">
        <v>9.0</v>
      </c>
      <c r="F1538" s="66" t="str">
        <f>IFERROR(__xludf.DUMMYFUNCTION("GOOGLETRANSLATE(A1538,""en"",""pt"")"),"saco")</f>
        <v>saco</v>
      </c>
      <c r="G1538" s="69"/>
    </row>
    <row r="1539" ht="22.5" customHeight="1">
      <c r="A1539" s="66" t="s">
        <v>1983</v>
      </c>
      <c r="B1539" s="67" t="str">
        <f t="shared" si="11"/>
        <v>M: prod</v>
      </c>
      <c r="C1539" s="68"/>
      <c r="D1539" s="68">
        <v>45903.0</v>
      </c>
      <c r="E1539" s="66">
        <v>10.0</v>
      </c>
      <c r="F1539" s="66" t="str">
        <f>IFERROR(__xludf.DUMMYFUNCTION("GOOGLETRANSLATE(A1539,""en"",""pt"")"),"produção")</f>
        <v>produção</v>
      </c>
      <c r="G1539" s="69"/>
    </row>
    <row r="1540" ht="22.5" customHeight="1">
      <c r="A1540" s="66" t="s">
        <v>1984</v>
      </c>
      <c r="B1540" s="67" t="str">
        <f t="shared" si="11"/>
        <v>M: prodding</v>
      </c>
      <c r="C1540" s="66">
        <v>1.0</v>
      </c>
      <c r="D1540" s="68">
        <v>45903.0</v>
      </c>
      <c r="E1540" s="66">
        <v>1.0</v>
      </c>
      <c r="F1540" s="66" t="s">
        <v>1985</v>
      </c>
      <c r="G1540" s="66" t="s">
        <v>247</v>
      </c>
    </row>
    <row r="1541" ht="22.5" customHeight="1">
      <c r="A1541" s="66" t="s">
        <v>1986</v>
      </c>
      <c r="B1541" s="67" t="str">
        <f t="shared" si="11"/>
        <v>M: straightway</v>
      </c>
      <c r="C1541" s="68"/>
      <c r="D1541" s="68">
        <v>45903.0</v>
      </c>
      <c r="E1541" s="66">
        <v>2.0</v>
      </c>
      <c r="F1541" s="71" t="s">
        <v>1987</v>
      </c>
      <c r="G1541" s="66" t="s">
        <v>247</v>
      </c>
    </row>
    <row r="1542" ht="22.5" customHeight="1">
      <c r="A1542" s="66" t="s">
        <v>1988</v>
      </c>
      <c r="B1542" s="67" t="str">
        <f t="shared" si="11"/>
        <v>M: catnip</v>
      </c>
      <c r="C1542" s="68"/>
      <c r="D1542" s="68">
        <v>45904.0</v>
      </c>
      <c r="E1542" s="66">
        <v>3.0</v>
      </c>
      <c r="F1542" s="66" t="str">
        <f>IFERROR(__xludf.DUMMYFUNCTION("GOOGLETRANSLATE(A1542,""en"",""pt"")"),"erva-de-gato")</f>
        <v>erva-de-gato</v>
      </c>
      <c r="G1542" s="69"/>
    </row>
    <row r="1543" ht="22.5" customHeight="1">
      <c r="A1543" s="66" t="s">
        <v>1989</v>
      </c>
      <c r="B1543" s="67" t="str">
        <f t="shared" si="11"/>
        <v>M: eviction</v>
      </c>
      <c r="C1543" s="68"/>
      <c r="D1543" s="68">
        <v>45904.0</v>
      </c>
      <c r="E1543" s="66">
        <v>4.0</v>
      </c>
      <c r="F1543" s="66" t="str">
        <f>IFERROR(__xludf.DUMMYFUNCTION("GOOGLETRANSLATE(A1543,""en"",""pt"")"),"despejo")</f>
        <v>despejo</v>
      </c>
      <c r="G1543" s="69"/>
    </row>
    <row r="1544" ht="22.5" customHeight="1">
      <c r="A1544" s="66" t="s">
        <v>1990</v>
      </c>
      <c r="B1544" s="67" t="str">
        <f t="shared" si="11"/>
        <v>M: slum</v>
      </c>
      <c r="C1544" s="68"/>
      <c r="D1544" s="68">
        <v>45904.0</v>
      </c>
      <c r="E1544" s="66">
        <v>5.0</v>
      </c>
      <c r="F1544" s="66" t="str">
        <f>IFERROR(__xludf.DUMMYFUNCTION("GOOGLETRANSLATE(A1544,""en"",""pt"")"),"favela")</f>
        <v>favela</v>
      </c>
      <c r="G1544" s="69"/>
    </row>
    <row r="1545" ht="22.5" customHeight="1">
      <c r="A1545" s="66" t="s">
        <v>1991</v>
      </c>
      <c r="B1545" s="67" t="str">
        <f t="shared" si="11"/>
        <v>M: hijacking</v>
      </c>
      <c r="C1545" s="66">
        <v>1.0</v>
      </c>
      <c r="D1545" s="68">
        <v>45904.0</v>
      </c>
      <c r="E1545" s="66">
        <v>6.0</v>
      </c>
      <c r="F1545" s="71" t="s">
        <v>1992</v>
      </c>
      <c r="G1545" s="66" t="s">
        <v>247</v>
      </c>
    </row>
    <row r="1546" ht="22.5" customHeight="1">
      <c r="A1546" s="66" t="s">
        <v>1993</v>
      </c>
      <c r="B1546" s="67" t="str">
        <f t="shared" si="11"/>
        <v>M: pipes</v>
      </c>
      <c r="C1546" s="68"/>
      <c r="D1546" s="68">
        <v>45904.0</v>
      </c>
      <c r="E1546" s="66">
        <v>7.0</v>
      </c>
      <c r="F1546" s="66" t="str">
        <f>IFERROR(__xludf.DUMMYFUNCTION("GOOGLETRANSLATE(A1546,""en"",""pt"")"),"tubos")</f>
        <v>tubos</v>
      </c>
      <c r="G1546" s="69"/>
    </row>
    <row r="1547" ht="22.5" customHeight="1">
      <c r="A1547" s="66" t="s">
        <v>1994</v>
      </c>
      <c r="B1547" s="67" t="str">
        <f t="shared" si="11"/>
        <v>M: popping</v>
      </c>
      <c r="C1547" s="68"/>
      <c r="D1547" s="68">
        <v>45904.0</v>
      </c>
      <c r="E1547" s="66">
        <v>8.0</v>
      </c>
      <c r="F1547" s="66" t="str">
        <f>IFERROR(__xludf.DUMMYFUNCTION("GOOGLETRANSLATE(A1547,""en"",""pt"")"),"estalando")</f>
        <v>estalando</v>
      </c>
      <c r="G1547" s="69"/>
    </row>
    <row r="1548" ht="22.5" customHeight="1">
      <c r="A1548" s="66" t="s">
        <v>1995</v>
      </c>
      <c r="B1548" s="67" t="str">
        <f t="shared" si="11"/>
        <v>M: pops out</v>
      </c>
      <c r="C1548" s="68"/>
      <c r="D1548" s="68">
        <v>45904.0</v>
      </c>
      <c r="E1548" s="66">
        <v>9.0</v>
      </c>
      <c r="F1548" s="66" t="str">
        <f>IFERROR(__xludf.DUMMYFUNCTION("GOOGLETRANSLATE(A1548,""en"",""pt"")"),"aparece")</f>
        <v>aparece</v>
      </c>
      <c r="G1548" s="69"/>
    </row>
    <row r="1549" ht="22.5" customHeight="1">
      <c r="A1549" s="66" t="s">
        <v>1996</v>
      </c>
      <c r="B1549" s="67" t="str">
        <f t="shared" si="11"/>
        <v>M: sissies</v>
      </c>
      <c r="C1549" s="68"/>
      <c r="D1549" s="68">
        <v>45904.0</v>
      </c>
      <c r="E1549" s="66">
        <v>10.0</v>
      </c>
      <c r="F1549" s="66" t="str">
        <f>IFERROR(__xludf.DUMMYFUNCTION("GOOGLETRANSLATE(A1549,""en"",""pt"")"),"maricas")</f>
        <v>maricas</v>
      </c>
      <c r="G1549" s="69"/>
    </row>
    <row r="1550" ht="22.5" customHeight="1">
      <c r="A1550" s="66" t="s">
        <v>1997</v>
      </c>
      <c r="B1550" s="67" t="str">
        <f t="shared" si="11"/>
        <v>M: assumed</v>
      </c>
      <c r="C1550" s="68"/>
      <c r="D1550" s="68">
        <v>45904.0</v>
      </c>
      <c r="E1550" s="66">
        <v>1.0</v>
      </c>
      <c r="F1550" s="66" t="str">
        <f>IFERROR(__xludf.DUMMYFUNCTION("GOOGLETRANSLATE(A1550,""en"",""pt"")"),"assumido")</f>
        <v>assumido</v>
      </c>
      <c r="G1550" s="69"/>
    </row>
    <row r="1551" ht="22.5" customHeight="1">
      <c r="A1551" s="66" t="s">
        <v>1998</v>
      </c>
      <c r="B1551" s="67" t="str">
        <f t="shared" si="11"/>
        <v>M: manner</v>
      </c>
      <c r="C1551" s="68"/>
      <c r="D1551" s="68">
        <v>45904.0</v>
      </c>
      <c r="E1551" s="66">
        <v>2.0</v>
      </c>
      <c r="F1551" s="66" t="str">
        <f>IFERROR(__xludf.DUMMYFUNCTION("GOOGLETRANSLATE(A1551,""en"",""pt"")"),"maneiras")</f>
        <v>maneiras</v>
      </c>
      <c r="G1551" s="69"/>
    </row>
    <row r="1552" ht="22.5" customHeight="1">
      <c r="A1552" s="66" t="s">
        <v>1999</v>
      </c>
      <c r="B1552" s="67" t="str">
        <f t="shared" si="11"/>
        <v>M: spade</v>
      </c>
      <c r="C1552" s="68"/>
      <c r="D1552" s="68">
        <v>45905.0</v>
      </c>
      <c r="E1552" s="66">
        <v>3.0</v>
      </c>
      <c r="F1552" s="66" t="str">
        <f>IFERROR(__xludf.DUMMYFUNCTION("GOOGLETRANSLATE(A1552,""en"",""pt"")"),"pá")</f>
        <v>pá</v>
      </c>
      <c r="G1552" s="69"/>
    </row>
    <row r="1553" ht="22.5" customHeight="1">
      <c r="A1553" s="66" t="s">
        <v>2000</v>
      </c>
      <c r="B1553" s="67" t="str">
        <f t="shared" si="11"/>
        <v>M: screeching</v>
      </c>
      <c r="C1553" s="66">
        <v>1.0</v>
      </c>
      <c r="D1553" s="68">
        <v>45905.0</v>
      </c>
      <c r="E1553" s="66">
        <v>4.0</v>
      </c>
      <c r="F1553" s="66" t="s">
        <v>2001</v>
      </c>
      <c r="G1553" s="66" t="s">
        <v>247</v>
      </c>
    </row>
    <row r="1554" ht="22.5" customHeight="1">
      <c r="A1554" s="66" t="s">
        <v>2002</v>
      </c>
      <c r="B1554" s="67" t="str">
        <f t="shared" si="11"/>
        <v>M: look sharp</v>
      </c>
      <c r="C1554" s="66">
        <v>1.0</v>
      </c>
      <c r="D1554" s="68">
        <v>45905.0</v>
      </c>
      <c r="E1554" s="66">
        <v>5.0</v>
      </c>
      <c r="F1554" s="66" t="s">
        <v>2003</v>
      </c>
      <c r="G1554" s="66" t="s">
        <v>247</v>
      </c>
    </row>
    <row r="1555" ht="22.5" customHeight="1">
      <c r="A1555" s="66" t="s">
        <v>2004</v>
      </c>
      <c r="B1555" s="67" t="str">
        <f t="shared" si="11"/>
        <v>M: hollow</v>
      </c>
      <c r="C1555" s="68"/>
      <c r="D1555" s="68">
        <v>45905.0</v>
      </c>
      <c r="E1555" s="66">
        <v>6.0</v>
      </c>
      <c r="F1555" s="66" t="str">
        <f>IFERROR(__xludf.DUMMYFUNCTION("GOOGLETRANSLATE(A1555,""en"",""pt"")"),"oco")</f>
        <v>oco</v>
      </c>
      <c r="G1555" s="69"/>
    </row>
    <row r="1556" ht="22.5" customHeight="1">
      <c r="A1556" s="66" t="s">
        <v>2005</v>
      </c>
      <c r="B1556" s="67" t="str">
        <f t="shared" si="11"/>
        <v>M: amassed</v>
      </c>
      <c r="C1556" s="66">
        <v>1.0</v>
      </c>
      <c r="D1556" s="68">
        <v>45905.0</v>
      </c>
      <c r="E1556" s="66">
        <v>7.0</v>
      </c>
      <c r="F1556" s="66" t="s">
        <v>2006</v>
      </c>
      <c r="G1556" s="66" t="s">
        <v>247</v>
      </c>
    </row>
    <row r="1557" ht="22.5" customHeight="1">
      <c r="A1557" s="66" t="s">
        <v>2007</v>
      </c>
      <c r="B1557" s="67" t="str">
        <f t="shared" si="11"/>
        <v>M: stand by</v>
      </c>
      <c r="C1557" s="68"/>
      <c r="D1557" s="68">
        <v>45905.0</v>
      </c>
      <c r="E1557" s="66">
        <v>8.0</v>
      </c>
      <c r="F1557" s="66" t="str">
        <f>IFERROR(__xludf.DUMMYFUNCTION("GOOGLETRANSLATE(A1557,""en"",""pt"")"),"espera")</f>
        <v>espera</v>
      </c>
      <c r="G1557" s="69"/>
    </row>
    <row r="1558" ht="22.5" customHeight="1">
      <c r="A1558" s="66" t="s">
        <v>2008</v>
      </c>
      <c r="B1558" s="67" t="str">
        <f t="shared" si="11"/>
        <v>M: flaunting</v>
      </c>
      <c r="C1558" s="66">
        <v>1.0</v>
      </c>
      <c r="D1558" s="68">
        <v>45905.0</v>
      </c>
      <c r="E1558" s="66">
        <v>9.0</v>
      </c>
      <c r="F1558" s="71" t="s">
        <v>2009</v>
      </c>
      <c r="G1558" s="66" t="s">
        <v>247</v>
      </c>
    </row>
    <row r="1559" ht="22.5" customHeight="1">
      <c r="A1559" s="66" t="s">
        <v>2010</v>
      </c>
      <c r="B1559" s="67" t="str">
        <f t="shared" si="11"/>
        <v>M: medevac</v>
      </c>
      <c r="C1559" s="68"/>
      <c r="D1559" s="68">
        <v>45905.0</v>
      </c>
      <c r="E1559" s="66">
        <v>10.0</v>
      </c>
      <c r="F1559" s="66" t="str">
        <f>IFERROR(__xludf.DUMMYFUNCTION("GOOGLETRANSLATE(A1559,""en"",""pt"")"),"evacuação médica")</f>
        <v>evacuação médica</v>
      </c>
      <c r="G1559" s="69"/>
    </row>
    <row r="1560" ht="22.5" customHeight="1">
      <c r="A1560" s="66" t="s">
        <v>2011</v>
      </c>
      <c r="B1560" s="67" t="str">
        <f t="shared" si="11"/>
        <v>M: treat it</v>
      </c>
      <c r="C1560" s="68"/>
      <c r="D1560" s="68">
        <v>45905.0</v>
      </c>
      <c r="E1560" s="66">
        <v>1.0</v>
      </c>
      <c r="F1560" s="66" t="str">
        <f>IFERROR(__xludf.DUMMYFUNCTION("GOOGLETRANSLATE(A1560,""en"",""pt"")"),"trate-o")</f>
        <v>trate-o</v>
      </c>
      <c r="G1560" s="69"/>
    </row>
    <row r="1561" ht="22.5" customHeight="1">
      <c r="A1561" s="66" t="s">
        <v>2012</v>
      </c>
      <c r="B1561" s="67" t="str">
        <f t="shared" si="11"/>
        <v>M: poled</v>
      </c>
      <c r="C1561" s="66">
        <v>1.0</v>
      </c>
      <c r="D1561" s="68">
        <v>45905.0</v>
      </c>
      <c r="E1561" s="66">
        <v>2.0</v>
      </c>
      <c r="F1561" s="66" t="s">
        <v>2013</v>
      </c>
      <c r="G1561" s="66" t="s">
        <v>247</v>
      </c>
    </row>
    <row r="1562" ht="22.5" customHeight="1">
      <c r="A1562" s="66" t="s">
        <v>2014</v>
      </c>
      <c r="B1562" s="67" t="str">
        <f t="shared" si="11"/>
        <v>M: manners</v>
      </c>
      <c r="C1562" s="68"/>
      <c r="D1562" s="68">
        <v>45906.0</v>
      </c>
      <c r="E1562" s="66">
        <v>3.0</v>
      </c>
      <c r="F1562" s="66" t="str">
        <f>IFERROR(__xludf.DUMMYFUNCTION("GOOGLETRANSLATE(A1562,""en"",""pt"")"),"boas maneiras")</f>
        <v>boas maneiras</v>
      </c>
      <c r="G1562" s="69"/>
    </row>
    <row r="1563" ht="22.5" customHeight="1">
      <c r="A1563" s="66" t="s">
        <v>2015</v>
      </c>
      <c r="B1563" s="67" t="str">
        <f t="shared" si="11"/>
        <v>M: charge you</v>
      </c>
      <c r="C1563" s="68"/>
      <c r="D1563" s="68">
        <v>45906.0</v>
      </c>
      <c r="E1563" s="66">
        <v>4.0</v>
      </c>
      <c r="F1563" s="66" t="str">
        <f>IFERROR(__xludf.DUMMYFUNCTION("GOOGLETRANSLATE(A1563,""en"",""pt"")"),"cobrar de você")</f>
        <v>cobrar de você</v>
      </c>
      <c r="G1563" s="69"/>
    </row>
    <row r="1564" ht="22.5" customHeight="1">
      <c r="A1564" s="66" t="s">
        <v>2016</v>
      </c>
      <c r="B1564" s="67" t="str">
        <f t="shared" si="11"/>
        <v>M: sharper</v>
      </c>
      <c r="C1564" s="68"/>
      <c r="D1564" s="68">
        <v>45906.0</v>
      </c>
      <c r="E1564" s="66">
        <v>5.0</v>
      </c>
      <c r="F1564" s="66" t="str">
        <f>IFERROR(__xludf.DUMMYFUNCTION("GOOGLETRANSLATE(A1564,""en"",""pt"")"),"mais nítido")</f>
        <v>mais nítido</v>
      </c>
      <c r="G1564" s="69"/>
    </row>
    <row r="1565" ht="22.5" customHeight="1">
      <c r="A1565" s="66" t="s">
        <v>2017</v>
      </c>
      <c r="B1565" s="67" t="str">
        <f t="shared" si="11"/>
        <v>M: dizzy</v>
      </c>
      <c r="C1565" s="68"/>
      <c r="D1565" s="68">
        <v>45906.0</v>
      </c>
      <c r="E1565" s="66">
        <v>6.0</v>
      </c>
      <c r="F1565" s="66" t="str">
        <f>IFERROR(__xludf.DUMMYFUNCTION("GOOGLETRANSLATE(A1565,""en"",""pt"")"),"tonto")</f>
        <v>tonto</v>
      </c>
      <c r="G1565" s="69"/>
    </row>
    <row r="1566" ht="22.5" customHeight="1">
      <c r="A1566" s="66" t="s">
        <v>2018</v>
      </c>
      <c r="B1566" s="67" t="str">
        <f t="shared" si="11"/>
        <v>M: patrons</v>
      </c>
      <c r="C1566" s="68"/>
      <c r="D1566" s="68">
        <v>45906.0</v>
      </c>
      <c r="E1566" s="66">
        <v>7.0</v>
      </c>
      <c r="F1566" s="66" t="str">
        <f>IFERROR(__xludf.DUMMYFUNCTION("GOOGLETRANSLATE(A1566,""en"",""pt"")"),"clientes")</f>
        <v>clientes</v>
      </c>
      <c r="G1566" s="69"/>
    </row>
    <row r="1567" ht="22.5" customHeight="1">
      <c r="A1567" s="66" t="s">
        <v>2019</v>
      </c>
      <c r="B1567" s="67" t="str">
        <f t="shared" si="11"/>
        <v>M: puking</v>
      </c>
      <c r="C1567" s="68"/>
      <c r="D1567" s="68">
        <v>45906.0</v>
      </c>
      <c r="E1567" s="66">
        <v>8.0</v>
      </c>
      <c r="F1567" s="66" t="str">
        <f>IFERROR(__xludf.DUMMYFUNCTION("GOOGLETRANSLATE(A1567,""en"",""pt"")"),"vomitando")</f>
        <v>vomitando</v>
      </c>
      <c r="G1567" s="69"/>
    </row>
    <row r="1568" ht="22.5" customHeight="1">
      <c r="A1568" s="66" t="s">
        <v>2020</v>
      </c>
      <c r="B1568" s="67" t="str">
        <f t="shared" si="11"/>
        <v>M: black stuff</v>
      </c>
      <c r="C1568" s="68"/>
      <c r="D1568" s="68">
        <v>45906.0</v>
      </c>
      <c r="E1568" s="66">
        <v>9.0</v>
      </c>
      <c r="F1568" s="66" t="str">
        <f>IFERROR(__xludf.DUMMYFUNCTION("GOOGLETRANSLATE(A1568,""en"",""pt"")"),"coisa preta")</f>
        <v>coisa preta</v>
      </c>
      <c r="G1568" s="69"/>
    </row>
    <row r="1569" ht="22.5" customHeight="1">
      <c r="A1569" s="66" t="s">
        <v>2021</v>
      </c>
      <c r="B1569" s="67" t="str">
        <f t="shared" si="11"/>
        <v>M: get started </v>
      </c>
      <c r="C1569" s="68"/>
      <c r="D1569" s="68">
        <v>45906.0</v>
      </c>
      <c r="E1569" s="66">
        <v>10.0</v>
      </c>
      <c r="F1569" s="66" t="str">
        <f>IFERROR(__xludf.DUMMYFUNCTION("GOOGLETRANSLATE(A1569,""en"",""pt"")"),"Comece agora")</f>
        <v>Comece agora</v>
      </c>
      <c r="G1569" s="69"/>
    </row>
    <row r="1570" ht="22.5" customHeight="1">
      <c r="A1570" s="66" t="s">
        <v>2022</v>
      </c>
      <c r="B1570" s="67" t="str">
        <f t="shared" si="11"/>
        <v>M: alley</v>
      </c>
      <c r="C1570" s="68"/>
      <c r="D1570" s="68">
        <v>45906.0</v>
      </c>
      <c r="E1570" s="66">
        <v>1.0</v>
      </c>
      <c r="F1570" s="66" t="str">
        <f>IFERROR(__xludf.DUMMYFUNCTION("GOOGLETRANSLATE(A1570,""en"",""pt"")"),"aléia")</f>
        <v>aléia</v>
      </c>
      <c r="G1570" s="69"/>
    </row>
    <row r="1571" ht="22.5" customHeight="1">
      <c r="A1571" s="66" t="s">
        <v>2023</v>
      </c>
      <c r="B1571" s="67" t="str">
        <f t="shared" si="11"/>
        <v>M: stabbed</v>
      </c>
      <c r="C1571" s="66">
        <v>1.0</v>
      </c>
      <c r="D1571" s="68">
        <v>45906.0</v>
      </c>
      <c r="E1571" s="66">
        <v>2.0</v>
      </c>
      <c r="F1571" s="66" t="s">
        <v>2024</v>
      </c>
      <c r="G1571" s="66" t="s">
        <v>247</v>
      </c>
    </row>
    <row r="1572" ht="22.5" customHeight="1">
      <c r="A1572" s="66" t="s">
        <v>2025</v>
      </c>
      <c r="B1572" s="67" t="str">
        <f t="shared" si="11"/>
        <v>M: caller</v>
      </c>
      <c r="C1572" s="68"/>
      <c r="D1572" s="68">
        <v>45907.0</v>
      </c>
      <c r="E1572" s="66">
        <v>3.0</v>
      </c>
      <c r="F1572" s="66" t="str">
        <f>IFERROR(__xludf.DUMMYFUNCTION("GOOGLETRANSLATE(A1572,""en"",""pt"")"),"chamador")</f>
        <v>chamador</v>
      </c>
      <c r="G1572" s="69"/>
    </row>
    <row r="1573" ht="22.5" customHeight="1">
      <c r="A1573" s="66" t="s">
        <v>2026</v>
      </c>
      <c r="B1573" s="67" t="str">
        <f t="shared" si="11"/>
        <v>M: ran away</v>
      </c>
      <c r="C1573" s="68"/>
      <c r="D1573" s="68">
        <v>45907.0</v>
      </c>
      <c r="E1573" s="66">
        <v>4.0</v>
      </c>
      <c r="F1573" s="66" t="str">
        <f>IFERROR(__xludf.DUMMYFUNCTION("GOOGLETRANSLATE(A1573,""en"",""pt"")"),"fugiu")</f>
        <v>fugiu</v>
      </c>
      <c r="G1573" s="69"/>
    </row>
    <row r="1574" ht="22.5" customHeight="1">
      <c r="A1574" s="66" t="s">
        <v>2027</v>
      </c>
      <c r="B1574" s="67" t="str">
        <f t="shared" si="11"/>
        <v>M: upper</v>
      </c>
      <c r="C1574" s="68"/>
      <c r="D1574" s="68">
        <v>45907.0</v>
      </c>
      <c r="E1574" s="66">
        <v>5.0</v>
      </c>
      <c r="F1574" s="66" t="str">
        <f>IFERROR(__xludf.DUMMYFUNCTION("GOOGLETRANSLATE(A1574,""en"",""pt"")"),"superior")</f>
        <v>superior</v>
      </c>
      <c r="G1574" s="69"/>
    </row>
    <row r="1575" ht="22.5" customHeight="1">
      <c r="A1575" s="66" t="s">
        <v>2028</v>
      </c>
      <c r="B1575" s="67" t="str">
        <f t="shared" si="11"/>
        <v>M: assailant</v>
      </c>
      <c r="C1575" s="68"/>
      <c r="D1575" s="68">
        <v>45907.0</v>
      </c>
      <c r="E1575" s="66">
        <v>6.0</v>
      </c>
      <c r="F1575" s="66" t="str">
        <f>IFERROR(__xludf.DUMMYFUNCTION("GOOGLETRANSLATE(A1575,""en"",""pt"")"),"assaltante")</f>
        <v>assaltante</v>
      </c>
      <c r="G1575" s="69"/>
    </row>
    <row r="1576" ht="22.5" customHeight="1">
      <c r="A1576" s="66" t="s">
        <v>2029</v>
      </c>
      <c r="B1576" s="67" t="str">
        <f t="shared" si="11"/>
        <v>M: torso</v>
      </c>
      <c r="C1576" s="68"/>
      <c r="D1576" s="68">
        <v>45907.0</v>
      </c>
      <c r="E1576" s="66">
        <v>7.0</v>
      </c>
      <c r="F1576" s="66" t="str">
        <f>IFERROR(__xludf.DUMMYFUNCTION("GOOGLETRANSLATE(A1576,""en"",""pt"")"),"torso")</f>
        <v>torso</v>
      </c>
      <c r="G1576" s="69"/>
    </row>
    <row r="1577" ht="22.5" customHeight="1">
      <c r="A1577" s="66" t="s">
        <v>2030</v>
      </c>
      <c r="B1577" s="67" t="str">
        <f t="shared" si="11"/>
        <v>M: tangled</v>
      </c>
      <c r="C1577" s="68"/>
      <c r="D1577" s="68">
        <v>45907.0</v>
      </c>
      <c r="E1577" s="66">
        <v>8.0</v>
      </c>
      <c r="F1577" s="66" t="str">
        <f>IFERROR(__xludf.DUMMYFUNCTION("GOOGLETRANSLATE(A1577,""en"",""pt"")"),"emaranhado")</f>
        <v>emaranhado</v>
      </c>
      <c r="G1577" s="69"/>
    </row>
    <row r="1578" ht="22.5" customHeight="1">
      <c r="A1578" s="66" t="s">
        <v>2031</v>
      </c>
      <c r="B1578" s="67" t="str">
        <f t="shared" si="11"/>
        <v>M: ex-spouse</v>
      </c>
      <c r="C1578" s="68"/>
      <c r="D1578" s="68">
        <v>45907.0</v>
      </c>
      <c r="E1578" s="66">
        <v>9.0</v>
      </c>
      <c r="F1578" s="66" t="str">
        <f>IFERROR(__xludf.DUMMYFUNCTION("GOOGLETRANSLATE(A1578,""en"",""pt"")"),"ex-cônjuge")</f>
        <v>ex-cônjuge</v>
      </c>
      <c r="G1578" s="69"/>
    </row>
    <row r="1579" ht="22.5" customHeight="1">
      <c r="A1579" s="66" t="s">
        <v>2032</v>
      </c>
      <c r="B1579" s="67" t="str">
        <f t="shared" si="11"/>
        <v>M: soaked</v>
      </c>
      <c r="C1579" s="66">
        <v>1.0</v>
      </c>
      <c r="D1579" s="68">
        <v>45907.0</v>
      </c>
      <c r="E1579" s="66">
        <v>10.0</v>
      </c>
      <c r="F1579" s="66" t="s">
        <v>2033</v>
      </c>
      <c r="G1579" s="66" t="s">
        <v>247</v>
      </c>
    </row>
    <row r="1580" ht="22.5" customHeight="1">
      <c r="A1580" s="66" t="s">
        <v>2034</v>
      </c>
      <c r="B1580" s="67" t="str">
        <f t="shared" si="11"/>
        <v>M: sobbing</v>
      </c>
      <c r="C1580" s="68"/>
      <c r="D1580" s="68">
        <v>45907.0</v>
      </c>
      <c r="E1580" s="66">
        <v>1.0</v>
      </c>
      <c r="F1580" s="66" t="str">
        <f>IFERROR(__xludf.DUMMYFUNCTION("GOOGLETRANSLATE(A1580,""en"",""pt"")"),"soluçando")</f>
        <v>soluçando</v>
      </c>
      <c r="G1580" s="69"/>
    </row>
    <row r="1581" ht="22.5" customHeight="1">
      <c r="A1581" s="66" t="s">
        <v>2035</v>
      </c>
      <c r="B1581" s="67" t="str">
        <f t="shared" si="11"/>
        <v>M: switching</v>
      </c>
      <c r="C1581" s="68"/>
      <c r="D1581" s="68">
        <v>45907.0</v>
      </c>
      <c r="E1581" s="66">
        <v>2.0</v>
      </c>
      <c r="F1581" s="66" t="str">
        <f>IFERROR(__xludf.DUMMYFUNCTION("GOOGLETRANSLATE(A1581,""en"",""pt"")"),"comutando")</f>
        <v>comutando</v>
      </c>
      <c r="G1581" s="69"/>
    </row>
    <row r="1582" ht="22.5" customHeight="1">
      <c r="A1582" s="66" t="s">
        <v>2036</v>
      </c>
      <c r="B1582" s="67" t="str">
        <f t="shared" si="11"/>
        <v>M: eastern</v>
      </c>
      <c r="C1582" s="68"/>
      <c r="D1582" s="68">
        <v>45908.0</v>
      </c>
      <c r="E1582" s="66">
        <v>3.0</v>
      </c>
      <c r="F1582" s="66" t="str">
        <f>IFERROR(__xludf.DUMMYFUNCTION("GOOGLETRANSLATE(A1582,""en"",""pt"")"),"oriental")</f>
        <v>oriental</v>
      </c>
      <c r="G1582" s="69"/>
    </row>
    <row r="1583" ht="22.5" customHeight="1">
      <c r="A1583" s="66" t="s">
        <v>2037</v>
      </c>
      <c r="B1583" s="67" t="str">
        <f t="shared" si="11"/>
        <v>M: kite</v>
      </c>
      <c r="C1583" s="68"/>
      <c r="D1583" s="68">
        <v>45908.0</v>
      </c>
      <c r="E1583" s="66">
        <v>4.0</v>
      </c>
      <c r="F1583" s="66" t="str">
        <f>IFERROR(__xludf.DUMMYFUNCTION("GOOGLETRANSLATE(A1583,""en"",""pt"")"),"pipa")</f>
        <v>pipa</v>
      </c>
      <c r="G1583" s="69"/>
    </row>
    <row r="1584" ht="22.5" customHeight="1">
      <c r="A1584" s="66" t="s">
        <v>2038</v>
      </c>
      <c r="B1584" s="67" t="str">
        <f t="shared" si="11"/>
        <v>M: deny</v>
      </c>
      <c r="C1584" s="68"/>
      <c r="D1584" s="68">
        <v>45908.0</v>
      </c>
      <c r="E1584" s="66">
        <v>5.0</v>
      </c>
      <c r="F1584" s="66" t="str">
        <f>IFERROR(__xludf.DUMMYFUNCTION("GOOGLETRANSLATE(A1584,""en"",""pt"")"),"negar")</f>
        <v>negar</v>
      </c>
      <c r="G1584" s="69"/>
    </row>
    <row r="1585" ht="22.5" customHeight="1">
      <c r="A1585" s="66" t="s">
        <v>2039</v>
      </c>
      <c r="B1585" s="67" t="str">
        <f t="shared" si="11"/>
        <v>M: questioning</v>
      </c>
      <c r="C1585" s="68"/>
      <c r="D1585" s="68">
        <v>45908.0</v>
      </c>
      <c r="E1585" s="66">
        <v>6.0</v>
      </c>
      <c r="F1585" s="66" t="str">
        <f>IFERROR(__xludf.DUMMYFUNCTION("GOOGLETRANSLATE(A1585,""en"",""pt"")"),"questionando")</f>
        <v>questionando</v>
      </c>
      <c r="G1585" s="69"/>
    </row>
    <row r="1586" ht="22.5" customHeight="1">
      <c r="A1586" s="66" t="s">
        <v>2040</v>
      </c>
      <c r="B1586" s="67" t="str">
        <f t="shared" si="11"/>
        <v>M: height</v>
      </c>
      <c r="C1586" s="66">
        <v>1.0</v>
      </c>
      <c r="D1586" s="68">
        <v>45908.0</v>
      </c>
      <c r="E1586" s="66">
        <v>7.0</v>
      </c>
      <c r="F1586" s="71" t="s">
        <v>2041</v>
      </c>
      <c r="G1586" s="66" t="s">
        <v>247</v>
      </c>
    </row>
    <row r="1587" ht="22.5" customHeight="1">
      <c r="A1587" s="66" t="s">
        <v>2042</v>
      </c>
      <c r="B1587" s="67" t="str">
        <f t="shared" si="11"/>
        <v>M: grunt</v>
      </c>
      <c r="C1587" s="68"/>
      <c r="D1587" s="68">
        <v>45908.0</v>
      </c>
      <c r="E1587" s="66">
        <v>8.0</v>
      </c>
      <c r="F1587" s="66" t="str">
        <f>IFERROR(__xludf.DUMMYFUNCTION("GOOGLETRANSLATE(A1587,""en"",""pt"")"),"grunhido")</f>
        <v>grunhido</v>
      </c>
      <c r="G1587" s="69"/>
    </row>
    <row r="1588" ht="22.5" customHeight="1">
      <c r="A1588" s="66" t="s">
        <v>2043</v>
      </c>
      <c r="B1588" s="67" t="str">
        <f t="shared" si="11"/>
        <v>M: nasty</v>
      </c>
      <c r="C1588" s="68"/>
      <c r="D1588" s="68">
        <v>45908.0</v>
      </c>
      <c r="E1588" s="66">
        <v>9.0</v>
      </c>
      <c r="F1588" s="66" t="str">
        <f>IFERROR(__xludf.DUMMYFUNCTION("GOOGLETRANSLATE(A1588,""en"",""pt"")"),"nojento")</f>
        <v>nojento</v>
      </c>
      <c r="G1588" s="69"/>
    </row>
    <row r="1589" ht="22.5" customHeight="1">
      <c r="A1589" s="66" t="s">
        <v>2044</v>
      </c>
      <c r="B1589" s="67" t="str">
        <f t="shared" si="11"/>
        <v>M: morphing</v>
      </c>
      <c r="C1589" s="68"/>
      <c r="D1589" s="68">
        <v>45908.0</v>
      </c>
      <c r="E1589" s="66">
        <v>10.0</v>
      </c>
      <c r="F1589" s="66" t="str">
        <f>IFERROR(__xludf.DUMMYFUNCTION("GOOGLETRANSLATE(A1589,""en"",""pt"")"),"transformação")</f>
        <v>transformação</v>
      </c>
      <c r="G1589" s="69"/>
    </row>
    <row r="1590" ht="22.5" customHeight="1">
      <c r="A1590" s="66" t="s">
        <v>2045</v>
      </c>
      <c r="B1590" s="67" t="str">
        <f t="shared" si="11"/>
        <v>M: groan</v>
      </c>
      <c r="C1590" s="68"/>
      <c r="D1590" s="68">
        <v>45908.0</v>
      </c>
      <c r="E1590" s="66">
        <v>1.0</v>
      </c>
      <c r="F1590" s="66" t="str">
        <f>IFERROR(__xludf.DUMMYFUNCTION("GOOGLETRANSLATE(A1590,""en"",""pt"")"),"gemido")</f>
        <v>gemido</v>
      </c>
      <c r="G1590" s="69"/>
    </row>
    <row r="1591" ht="22.5" customHeight="1">
      <c r="A1591" s="66" t="s">
        <v>2046</v>
      </c>
      <c r="B1591" s="67" t="str">
        <f t="shared" si="11"/>
        <v>M: boiled</v>
      </c>
      <c r="C1591" s="66">
        <v>1.0</v>
      </c>
      <c r="D1591" s="68">
        <v>45908.0</v>
      </c>
      <c r="E1591" s="66">
        <v>2.0</v>
      </c>
      <c r="F1591" s="66" t="s">
        <v>2047</v>
      </c>
      <c r="G1591" s="66" t="s">
        <v>247</v>
      </c>
    </row>
    <row r="1592" ht="22.5" customHeight="1">
      <c r="A1592" s="66" t="s">
        <v>2048</v>
      </c>
      <c r="B1592" s="67" t="str">
        <f t="shared" si="11"/>
        <v>M: coat</v>
      </c>
      <c r="C1592" s="66">
        <v>1.0</v>
      </c>
      <c r="D1592" s="68">
        <v>45909.0</v>
      </c>
      <c r="E1592" s="66">
        <v>3.0</v>
      </c>
      <c r="F1592" s="66" t="s">
        <v>2049</v>
      </c>
      <c r="G1592" s="66" t="s">
        <v>247</v>
      </c>
    </row>
    <row r="1593" ht="22.5" customHeight="1">
      <c r="A1593" s="66" t="s">
        <v>2050</v>
      </c>
      <c r="B1593" s="67" t="str">
        <f t="shared" si="11"/>
        <v>M: well-being</v>
      </c>
      <c r="C1593" s="68"/>
      <c r="D1593" s="68">
        <v>45909.0</v>
      </c>
      <c r="E1593" s="66">
        <v>4.0</v>
      </c>
      <c r="F1593" s="66" t="str">
        <f>IFERROR(__xludf.DUMMYFUNCTION("GOOGLETRANSLATE(A1593,""en"",""pt"")"),"bem-estar")</f>
        <v>bem-estar</v>
      </c>
      <c r="G1593" s="69"/>
    </row>
    <row r="1594" ht="22.5" customHeight="1">
      <c r="A1594" s="66" t="s">
        <v>2051</v>
      </c>
      <c r="B1594" s="67" t="str">
        <f t="shared" si="11"/>
        <v>M: runt</v>
      </c>
      <c r="C1594" s="66">
        <v>1.0</v>
      </c>
      <c r="D1594" s="68">
        <v>45909.0</v>
      </c>
      <c r="E1594" s="66">
        <v>5.0</v>
      </c>
      <c r="F1594" s="71" t="s">
        <v>2052</v>
      </c>
      <c r="G1594" s="66" t="s">
        <v>247</v>
      </c>
    </row>
    <row r="1595" ht="22.5" customHeight="1">
      <c r="A1595" s="66" t="s">
        <v>2053</v>
      </c>
      <c r="B1595" s="67" t="str">
        <f t="shared" si="11"/>
        <v>M: footsteps</v>
      </c>
      <c r="C1595" s="66">
        <v>1.0</v>
      </c>
      <c r="D1595" s="68">
        <v>45909.0</v>
      </c>
      <c r="E1595" s="66">
        <v>6.0</v>
      </c>
      <c r="F1595" s="66" t="s">
        <v>2054</v>
      </c>
      <c r="G1595" s="66" t="s">
        <v>247</v>
      </c>
    </row>
    <row r="1596" ht="22.5" customHeight="1">
      <c r="A1596" s="66" t="s">
        <v>2055</v>
      </c>
      <c r="B1596" s="67" t="str">
        <f t="shared" si="11"/>
        <v>M: steam</v>
      </c>
      <c r="C1596" s="68"/>
      <c r="D1596" s="68">
        <v>45909.0</v>
      </c>
      <c r="E1596" s="66">
        <v>7.0</v>
      </c>
      <c r="F1596" s="66" t="str">
        <f>IFERROR(__xludf.DUMMYFUNCTION("GOOGLETRANSLATE(A1596,""en"",""pt"")"),"vapor")</f>
        <v>vapor</v>
      </c>
      <c r="G1596" s="69"/>
    </row>
    <row r="1597" ht="22.5" customHeight="1">
      <c r="A1597" s="66" t="s">
        <v>2056</v>
      </c>
      <c r="B1597" s="67" t="str">
        <f t="shared" si="11"/>
        <v>M: pissed me off</v>
      </c>
      <c r="C1597" s="68"/>
      <c r="D1597" s="68">
        <v>45909.0</v>
      </c>
      <c r="E1597" s="66">
        <v>8.0</v>
      </c>
      <c r="F1597" s="66" t="str">
        <f>IFERROR(__xludf.DUMMYFUNCTION("GOOGLETRANSLATE(A1597,""en"",""pt"")"),"me irritou")</f>
        <v>me irritou</v>
      </c>
      <c r="G1597" s="69"/>
    </row>
    <row r="1598" ht="22.5" customHeight="1">
      <c r="A1598" s="66" t="s">
        <v>2057</v>
      </c>
      <c r="B1598" s="67" t="str">
        <f t="shared" si="11"/>
        <v>M: former</v>
      </c>
      <c r="C1598" s="68"/>
      <c r="D1598" s="68">
        <v>45909.0</v>
      </c>
      <c r="E1598" s="66">
        <v>9.0</v>
      </c>
      <c r="F1598" s="66" t="str">
        <f>IFERROR(__xludf.DUMMYFUNCTION("GOOGLETRANSLATE(A1598,""en"",""pt"")"),"antigo")</f>
        <v>antigo</v>
      </c>
      <c r="G1598" s="69"/>
    </row>
    <row r="1599" ht="22.5" customHeight="1">
      <c r="A1599" s="66" t="s">
        <v>2058</v>
      </c>
      <c r="B1599" s="67" t="str">
        <f t="shared" si="11"/>
        <v>M: itchy</v>
      </c>
      <c r="C1599" s="68"/>
      <c r="D1599" s="68">
        <v>45909.0</v>
      </c>
      <c r="E1599" s="66">
        <v>10.0</v>
      </c>
      <c r="F1599" s="66" t="str">
        <f>IFERROR(__xludf.DUMMYFUNCTION("GOOGLETRANSLATE(A1599,""en"",""pt"")"),"pruriginoso")</f>
        <v>pruriginoso</v>
      </c>
      <c r="G1599" s="69"/>
    </row>
    <row r="1600" ht="22.5" customHeight="1">
      <c r="A1600" s="66" t="s">
        <v>2059</v>
      </c>
      <c r="B1600" s="67" t="str">
        <f t="shared" si="11"/>
        <v>M: resigned</v>
      </c>
      <c r="C1600" s="66">
        <v>1.0</v>
      </c>
      <c r="D1600" s="68">
        <v>45909.0</v>
      </c>
      <c r="E1600" s="66">
        <v>1.0</v>
      </c>
      <c r="F1600" s="66" t="s">
        <v>2060</v>
      </c>
      <c r="G1600" s="66" t="s">
        <v>247</v>
      </c>
    </row>
    <row r="1601" ht="22.5" customHeight="1">
      <c r="A1601" s="66" t="s">
        <v>2061</v>
      </c>
      <c r="B1601" s="67" t="str">
        <f t="shared" si="11"/>
        <v>M: wholesome</v>
      </c>
      <c r="C1601" s="66">
        <v>1.0</v>
      </c>
      <c r="D1601" s="68">
        <v>45909.0</v>
      </c>
      <c r="E1601" s="66">
        <v>2.0</v>
      </c>
      <c r="F1601" s="66" t="s">
        <v>2062</v>
      </c>
      <c r="G1601" s="66" t="s">
        <v>247</v>
      </c>
    </row>
    <row r="1602" ht="22.5" customHeight="1">
      <c r="A1602" s="66" t="s">
        <v>2063</v>
      </c>
      <c r="B1602" s="67" t="str">
        <f t="shared" si="11"/>
        <v>M: younger</v>
      </c>
      <c r="C1602" s="68"/>
      <c r="D1602" s="68">
        <v>45910.0</v>
      </c>
      <c r="E1602" s="66">
        <v>3.0</v>
      </c>
      <c r="F1602" s="66" t="str">
        <f>IFERROR(__xludf.DUMMYFUNCTION("GOOGLETRANSLATE(A1602,""en"",""pt"")"),"mais jovem")</f>
        <v>mais jovem</v>
      </c>
      <c r="G1602" s="69"/>
    </row>
    <row r="1603" ht="22.5" customHeight="1">
      <c r="A1603" s="66" t="s">
        <v>2064</v>
      </c>
      <c r="B1603" s="67" t="str">
        <f t="shared" si="11"/>
        <v>M: eat up</v>
      </c>
      <c r="C1603" s="66">
        <v>1.0</v>
      </c>
      <c r="D1603" s="68">
        <v>45910.0</v>
      </c>
      <c r="E1603" s="66">
        <v>4.0</v>
      </c>
      <c r="F1603" s="66" t="s">
        <v>2065</v>
      </c>
      <c r="G1603" s="69"/>
    </row>
    <row r="1604" ht="22.5" customHeight="1">
      <c r="A1604" s="66" t="s">
        <v>2066</v>
      </c>
      <c r="B1604" s="67" t="str">
        <f t="shared" si="11"/>
        <v>M: shy</v>
      </c>
      <c r="C1604" s="68"/>
      <c r="D1604" s="68">
        <v>45910.0</v>
      </c>
      <c r="E1604" s="66">
        <v>5.0</v>
      </c>
      <c r="F1604" s="66" t="str">
        <f>IFERROR(__xludf.DUMMYFUNCTION("GOOGLETRANSLATE(A1604,""en"",""pt"")"),"tímido")</f>
        <v>tímido</v>
      </c>
      <c r="G1604" s="69"/>
    </row>
    <row r="1605" ht="22.5" customHeight="1">
      <c r="A1605" s="66" t="s">
        <v>2067</v>
      </c>
      <c r="B1605" s="67" t="str">
        <f t="shared" si="11"/>
        <v>M: blowing</v>
      </c>
      <c r="C1605" s="68"/>
      <c r="D1605" s="68">
        <v>45910.0</v>
      </c>
      <c r="E1605" s="66">
        <v>6.0</v>
      </c>
      <c r="F1605" s="66" t="str">
        <f>IFERROR(__xludf.DUMMYFUNCTION("GOOGLETRANSLATE(A1605,""en"",""pt"")"),"sopro")</f>
        <v>sopro</v>
      </c>
      <c r="G1605" s="69"/>
    </row>
    <row r="1606" ht="22.5" customHeight="1">
      <c r="A1606" s="66" t="s">
        <v>2068</v>
      </c>
      <c r="B1606" s="67" t="str">
        <f t="shared" si="11"/>
        <v>M: funniest</v>
      </c>
      <c r="C1606" s="68"/>
      <c r="D1606" s="68">
        <v>45910.0</v>
      </c>
      <c r="E1606" s="66">
        <v>7.0</v>
      </c>
      <c r="F1606" s="66" t="str">
        <f>IFERROR(__xludf.DUMMYFUNCTION("GOOGLETRANSLATE(A1606,""en"",""pt"")"),"mais engraçado")</f>
        <v>mais engraçado</v>
      </c>
      <c r="G1606" s="69"/>
    </row>
    <row r="1607" ht="22.5" customHeight="1">
      <c r="A1607" s="66" t="s">
        <v>2069</v>
      </c>
      <c r="B1607" s="67" t="str">
        <f t="shared" si="11"/>
        <v>M: crimson</v>
      </c>
      <c r="C1607" s="68"/>
      <c r="D1607" s="68">
        <v>45910.0</v>
      </c>
      <c r="E1607" s="66">
        <v>8.0</v>
      </c>
      <c r="F1607" s="66" t="str">
        <f>IFERROR(__xludf.DUMMYFUNCTION("GOOGLETRANSLATE(A1607,""en"",""pt"")"),"carmesim")</f>
        <v>carmesim</v>
      </c>
      <c r="G1607" s="69"/>
    </row>
    <row r="1608" ht="22.5" customHeight="1">
      <c r="A1608" s="66" t="s">
        <v>2070</v>
      </c>
      <c r="B1608" s="67" t="str">
        <f t="shared" si="11"/>
        <v>M: guess not</v>
      </c>
      <c r="C1608" s="68"/>
      <c r="D1608" s="68">
        <v>45910.0</v>
      </c>
      <c r="E1608" s="66">
        <v>9.0</v>
      </c>
      <c r="F1608" s="66" t="str">
        <f>IFERROR(__xludf.DUMMYFUNCTION("GOOGLETRANSLATE(A1608,""en"",""pt"")"),"Acho que não.")</f>
        <v>Acho que não.</v>
      </c>
      <c r="G1608" s="69"/>
    </row>
    <row r="1609" ht="22.5" customHeight="1">
      <c r="A1609" s="66" t="s">
        <v>2071</v>
      </c>
      <c r="B1609" s="67" t="str">
        <f t="shared" si="11"/>
        <v>M: worrying</v>
      </c>
      <c r="C1609" s="66">
        <v>1.0</v>
      </c>
      <c r="D1609" s="68">
        <v>45910.0</v>
      </c>
      <c r="E1609" s="66">
        <v>10.0</v>
      </c>
      <c r="F1609" s="71" t="s">
        <v>2072</v>
      </c>
      <c r="G1609" s="66" t="s">
        <v>247</v>
      </c>
    </row>
    <row r="1610" ht="22.5" customHeight="1">
      <c r="A1610" s="66" t="s">
        <v>2073</v>
      </c>
      <c r="B1610" s="67" t="str">
        <f t="shared" si="11"/>
        <v>M: enduring</v>
      </c>
      <c r="C1610" s="66">
        <v>1.0</v>
      </c>
      <c r="D1610" s="68">
        <v>45910.0</v>
      </c>
      <c r="E1610" s="66">
        <v>1.0</v>
      </c>
      <c r="F1610" s="66" t="s">
        <v>2074</v>
      </c>
      <c r="G1610" s="66" t="s">
        <v>247</v>
      </c>
    </row>
    <row r="1611" ht="22.5" customHeight="1">
      <c r="A1611" s="66" t="s">
        <v>2075</v>
      </c>
      <c r="B1611" s="67" t="str">
        <f t="shared" si="11"/>
        <v>M: adding it</v>
      </c>
      <c r="C1611" s="68"/>
      <c r="D1611" s="68">
        <v>45910.0</v>
      </c>
      <c r="E1611" s="66">
        <v>2.0</v>
      </c>
      <c r="F1611" s="66" t="str">
        <f>IFERROR(__xludf.DUMMYFUNCTION("GOOGLETRANSLATE(A1611,""en"",""pt"")"),"adicionando-o")</f>
        <v>adicionando-o</v>
      </c>
      <c r="G1611" s="69"/>
    </row>
    <row r="1612" ht="22.5" customHeight="1">
      <c r="A1612" s="66" t="s">
        <v>2076</v>
      </c>
      <c r="B1612" s="67" t="str">
        <f t="shared" si="11"/>
        <v>M: raise</v>
      </c>
      <c r="C1612" s="68"/>
      <c r="D1612" s="68">
        <v>45911.0</v>
      </c>
      <c r="E1612" s="66">
        <v>3.0</v>
      </c>
      <c r="F1612" s="66" t="str">
        <f>IFERROR(__xludf.DUMMYFUNCTION("GOOGLETRANSLATE(A1612,""en"",""pt"")"),"elevação")</f>
        <v>elevação</v>
      </c>
      <c r="G1612" s="69"/>
    </row>
    <row r="1613" ht="22.5" customHeight="1">
      <c r="A1613" s="66" t="s">
        <v>2077</v>
      </c>
      <c r="B1613" s="67" t="str">
        <f t="shared" si="11"/>
        <v>M: indeed</v>
      </c>
      <c r="C1613" s="66">
        <v>1.0</v>
      </c>
      <c r="D1613" s="68">
        <v>45911.0</v>
      </c>
      <c r="E1613" s="66">
        <v>4.0</v>
      </c>
      <c r="F1613" s="66" t="s">
        <v>2078</v>
      </c>
      <c r="G1613" s="66" t="s">
        <v>247</v>
      </c>
    </row>
    <row r="1614" ht="22.5" customHeight="1">
      <c r="A1614" s="66" t="s">
        <v>2079</v>
      </c>
      <c r="B1614" s="67" t="str">
        <f t="shared" si="11"/>
        <v>M: quench</v>
      </c>
      <c r="C1614" s="66">
        <v>1.0</v>
      </c>
      <c r="D1614" s="68">
        <v>45911.0</v>
      </c>
      <c r="E1614" s="66">
        <v>5.0</v>
      </c>
      <c r="F1614" s="71" t="s">
        <v>2080</v>
      </c>
      <c r="G1614" s="66" t="s">
        <v>247</v>
      </c>
    </row>
    <row r="1615" ht="22.5" customHeight="1">
      <c r="A1615" s="66" t="s">
        <v>2081</v>
      </c>
      <c r="B1615" s="67" t="str">
        <f t="shared" si="11"/>
        <v>M: flesh</v>
      </c>
      <c r="C1615" s="68"/>
      <c r="D1615" s="68">
        <v>45911.0</v>
      </c>
      <c r="E1615" s="66">
        <v>6.0</v>
      </c>
      <c r="F1615" s="66" t="str">
        <f>IFERROR(__xludf.DUMMYFUNCTION("GOOGLETRANSLATE(A1615,""en"",""pt"")"),"carne")</f>
        <v>carne</v>
      </c>
      <c r="G1615" s="69"/>
    </row>
    <row r="1616" ht="22.5" customHeight="1">
      <c r="A1616" s="66" t="s">
        <v>2082</v>
      </c>
      <c r="B1616" s="67" t="str">
        <f t="shared" si="11"/>
        <v>M: settling</v>
      </c>
      <c r="C1616" s="68"/>
      <c r="D1616" s="68">
        <v>45911.0</v>
      </c>
      <c r="E1616" s="66">
        <v>7.0</v>
      </c>
      <c r="F1616" s="66" t="str">
        <f>IFERROR(__xludf.DUMMYFUNCTION("GOOGLETRANSLATE(A1616,""en"",""pt"")"),"estabelecendo")</f>
        <v>estabelecendo</v>
      </c>
      <c r="G1616" s="69"/>
    </row>
    <row r="1617" ht="22.5" customHeight="1">
      <c r="A1617" s="66" t="s">
        <v>2083</v>
      </c>
      <c r="B1617" s="67" t="str">
        <f t="shared" si="11"/>
        <v>M: major</v>
      </c>
      <c r="C1617" s="68"/>
      <c r="D1617" s="68">
        <v>45911.0</v>
      </c>
      <c r="E1617" s="66">
        <v>8.0</v>
      </c>
      <c r="F1617" s="66" t="s">
        <v>2084</v>
      </c>
      <c r="G1617" s="69"/>
    </row>
    <row r="1618" ht="22.5" customHeight="1">
      <c r="A1618" s="66" t="s">
        <v>2085</v>
      </c>
      <c r="B1618" s="67" t="str">
        <f t="shared" si="11"/>
        <v>M: canteen</v>
      </c>
      <c r="C1618" s="66">
        <v>1.0</v>
      </c>
      <c r="D1618" s="68">
        <v>45911.0</v>
      </c>
      <c r="E1618" s="66">
        <v>9.0</v>
      </c>
      <c r="F1618" s="71" t="s">
        <v>2086</v>
      </c>
      <c r="G1618" s="66" t="s">
        <v>247</v>
      </c>
    </row>
    <row r="1619" ht="22.5" customHeight="1">
      <c r="A1619" s="66" t="s">
        <v>2087</v>
      </c>
      <c r="B1619" s="67" t="str">
        <f t="shared" si="11"/>
        <v>M: whistling</v>
      </c>
      <c r="C1619" s="68"/>
      <c r="D1619" s="68">
        <v>45911.0</v>
      </c>
      <c r="E1619" s="66">
        <v>10.0</v>
      </c>
      <c r="F1619" s="66" t="str">
        <f>IFERROR(__xludf.DUMMYFUNCTION("GOOGLETRANSLATE(A1619,""en"",""pt"")"),"assobio")</f>
        <v>assobio</v>
      </c>
      <c r="G1619" s="69"/>
    </row>
    <row r="1620" ht="22.5" customHeight="1">
      <c r="A1620" s="66" t="s">
        <v>2088</v>
      </c>
      <c r="B1620" s="67" t="str">
        <f t="shared" si="11"/>
        <v>M: it's been</v>
      </c>
      <c r="C1620" s="68"/>
      <c r="D1620" s="68">
        <v>45911.0</v>
      </c>
      <c r="E1620" s="66">
        <v>1.0</v>
      </c>
      <c r="F1620" s="66" t="str">
        <f>IFERROR(__xludf.DUMMYFUNCTION("GOOGLETRANSLATE(A1620,""en"",""pt"")"),"tem sido")</f>
        <v>tem sido</v>
      </c>
      <c r="G1620" s="69"/>
    </row>
    <row r="1621" ht="22.5" customHeight="1">
      <c r="A1621" s="66" t="s">
        <v>2089</v>
      </c>
      <c r="B1621" s="67" t="str">
        <f t="shared" si="11"/>
        <v>M: buddy</v>
      </c>
      <c r="C1621" s="68"/>
      <c r="D1621" s="68">
        <v>45911.0</v>
      </c>
      <c r="E1621" s="66">
        <v>2.0</v>
      </c>
      <c r="F1621" s="66" t="str">
        <f>IFERROR(__xludf.DUMMYFUNCTION("GOOGLETRANSLATE(A1621,""en"",""pt"")"),"companheiro")</f>
        <v>companheiro</v>
      </c>
      <c r="G1621" s="69"/>
    </row>
    <row r="1622" ht="22.5" customHeight="1">
      <c r="A1622" s="66" t="s">
        <v>2090</v>
      </c>
      <c r="B1622" s="67" t="str">
        <f t="shared" si="11"/>
        <v>M: clearly</v>
      </c>
      <c r="C1622" s="68"/>
      <c r="D1622" s="68">
        <v>45912.0</v>
      </c>
      <c r="E1622" s="66">
        <v>3.0</v>
      </c>
      <c r="F1622" s="66" t="str">
        <f>IFERROR(__xludf.DUMMYFUNCTION("GOOGLETRANSLATE(A1622,""en"",""pt"")"),"claramente")</f>
        <v>claramente</v>
      </c>
      <c r="G1622" s="69"/>
    </row>
    <row r="1623" ht="22.5" customHeight="1">
      <c r="A1623" s="66" t="s">
        <v>2091</v>
      </c>
      <c r="B1623" s="67" t="str">
        <f t="shared" si="11"/>
        <v>M: wind</v>
      </c>
      <c r="C1623" s="68"/>
      <c r="D1623" s="68">
        <v>45912.0</v>
      </c>
      <c r="E1623" s="66">
        <v>4.0</v>
      </c>
      <c r="F1623" s="66" t="str">
        <f>IFERROR(__xludf.DUMMYFUNCTION("GOOGLETRANSLATE(A1623,""en"",""pt"")"),"vento")</f>
        <v>vento</v>
      </c>
      <c r="G1623" s="69"/>
    </row>
    <row r="1624" ht="22.5" customHeight="1">
      <c r="A1624" s="66" t="s">
        <v>2092</v>
      </c>
      <c r="B1624" s="67" t="str">
        <f t="shared" si="11"/>
        <v>M: moisture</v>
      </c>
      <c r="C1624" s="66">
        <v>1.0</v>
      </c>
      <c r="D1624" s="68">
        <v>45912.0</v>
      </c>
      <c r="E1624" s="66">
        <v>5.0</v>
      </c>
      <c r="F1624" s="71" t="s">
        <v>2093</v>
      </c>
      <c r="G1624" s="66" t="s">
        <v>247</v>
      </c>
    </row>
    <row r="1625" ht="22.5" customHeight="1">
      <c r="A1625" s="66" t="s">
        <v>2094</v>
      </c>
      <c r="B1625" s="67" t="str">
        <f t="shared" si="11"/>
        <v>M: braking </v>
      </c>
      <c r="C1625" s="68"/>
      <c r="D1625" s="68">
        <v>45912.0</v>
      </c>
      <c r="E1625" s="66">
        <v>6.0</v>
      </c>
      <c r="F1625" s="66" t="str">
        <f>IFERROR(__xludf.DUMMYFUNCTION("GOOGLETRANSLATE(A1625,""en"",""pt"")"),"frenagem")</f>
        <v>frenagem</v>
      </c>
      <c r="G1625" s="69"/>
    </row>
    <row r="1626" ht="22.5" customHeight="1">
      <c r="A1626" s="66" t="s">
        <v>2095</v>
      </c>
      <c r="B1626" s="67" t="str">
        <f t="shared" si="11"/>
        <v>M: what the heck</v>
      </c>
      <c r="C1626" s="68"/>
      <c r="D1626" s="68">
        <v>45912.0</v>
      </c>
      <c r="E1626" s="66">
        <v>7.0</v>
      </c>
      <c r="F1626" s="66" t="str">
        <f>IFERROR(__xludf.DUMMYFUNCTION("GOOGLETRANSLATE(A1626,""en"",""pt"")"),"Que diabos?")</f>
        <v>Que diabos?</v>
      </c>
      <c r="G1626" s="69"/>
    </row>
    <row r="1627" ht="22.5" customHeight="1">
      <c r="A1627" s="66" t="s">
        <v>2096</v>
      </c>
      <c r="B1627" s="67" t="str">
        <f t="shared" si="11"/>
        <v>M: it over</v>
      </c>
      <c r="C1627" s="68"/>
      <c r="D1627" s="68">
        <v>45912.0</v>
      </c>
      <c r="E1627" s="66">
        <v>8.0</v>
      </c>
      <c r="F1627" s="66" t="str">
        <f>IFERROR(__xludf.DUMMYFUNCTION("GOOGLETRANSLATE(A1627,""en"",""pt"")"),"acabou")</f>
        <v>acabou</v>
      </c>
      <c r="G1627" s="66" t="s">
        <v>247</v>
      </c>
    </row>
    <row r="1628" ht="22.5" customHeight="1">
      <c r="A1628" s="66" t="s">
        <v>2097</v>
      </c>
      <c r="B1628" s="67" t="str">
        <f t="shared" si="11"/>
        <v>M: merging</v>
      </c>
      <c r="C1628" s="68"/>
      <c r="D1628" s="68">
        <v>45912.0</v>
      </c>
      <c r="E1628" s="66">
        <v>9.0</v>
      </c>
      <c r="F1628" s="66" t="str">
        <f>IFERROR(__xludf.DUMMYFUNCTION("GOOGLETRANSLATE(A1628,""en"",""pt"")"),"fusão")</f>
        <v>fusão</v>
      </c>
      <c r="G1628" s="69"/>
    </row>
    <row r="1629" ht="22.5" customHeight="1">
      <c r="A1629" s="66" t="s">
        <v>2098</v>
      </c>
      <c r="B1629" s="67" t="str">
        <f t="shared" si="11"/>
        <v>M: can you handle</v>
      </c>
      <c r="C1629" s="66">
        <v>1.0</v>
      </c>
      <c r="D1629" s="68">
        <v>45912.0</v>
      </c>
      <c r="E1629" s="66">
        <v>10.0</v>
      </c>
      <c r="F1629" s="66" t="s">
        <v>2099</v>
      </c>
      <c r="G1629" s="66" t="s">
        <v>247</v>
      </c>
    </row>
    <row r="1630" ht="22.5" customHeight="1">
      <c r="A1630" s="66" t="s">
        <v>2100</v>
      </c>
      <c r="B1630" s="67" t="str">
        <f t="shared" si="11"/>
        <v>M: Condemned</v>
      </c>
      <c r="C1630" s="66">
        <v>1.0</v>
      </c>
      <c r="D1630" s="68">
        <v>45912.0</v>
      </c>
      <c r="E1630" s="66">
        <v>1.0</v>
      </c>
      <c r="F1630" s="71" t="s">
        <v>2101</v>
      </c>
      <c r="G1630" s="66" t="s">
        <v>247</v>
      </c>
    </row>
    <row r="1631" ht="22.5" customHeight="1">
      <c r="A1631" s="66" t="s">
        <v>2102</v>
      </c>
      <c r="B1631" s="67" t="str">
        <f t="shared" si="11"/>
        <v>M: committed</v>
      </c>
      <c r="C1631" s="68"/>
      <c r="D1631" s="68">
        <v>45912.0</v>
      </c>
      <c r="E1631" s="66">
        <v>2.0</v>
      </c>
      <c r="F1631" s="66" t="str">
        <f>IFERROR(__xludf.DUMMYFUNCTION("GOOGLETRANSLATE(A1631,""en"",""pt"")"),"empenhado")</f>
        <v>empenhado</v>
      </c>
      <c r="G1631" s="69"/>
    </row>
    <row r="1632" ht="22.5" customHeight="1">
      <c r="A1632" s="66" t="s">
        <v>2103</v>
      </c>
      <c r="B1632" s="67" t="str">
        <f t="shared" si="11"/>
        <v>M: unforgivable</v>
      </c>
      <c r="C1632" s="68"/>
      <c r="D1632" s="68">
        <v>45913.0</v>
      </c>
      <c r="E1632" s="66">
        <v>3.0</v>
      </c>
      <c r="F1632" s="66" t="str">
        <f>IFERROR(__xludf.DUMMYFUNCTION("GOOGLETRANSLATE(A1632,""en"",""pt"")"),"imperdoável")</f>
        <v>imperdoável</v>
      </c>
      <c r="G1632" s="69"/>
    </row>
    <row r="1633" ht="22.5" customHeight="1">
      <c r="A1633" s="66" t="s">
        <v>2104</v>
      </c>
      <c r="B1633" s="67" t="str">
        <f t="shared" si="11"/>
        <v>M: shouldn't</v>
      </c>
      <c r="C1633" s="68"/>
      <c r="D1633" s="68">
        <v>45913.0</v>
      </c>
      <c r="E1633" s="66">
        <v>4.0</v>
      </c>
      <c r="F1633" s="66" t="str">
        <f>IFERROR(__xludf.DUMMYFUNCTION("GOOGLETRANSLATE(A1633,""en"",""pt"")"),"não deveria")</f>
        <v>não deveria</v>
      </c>
      <c r="G1633" s="69"/>
    </row>
    <row r="1634" ht="22.5" customHeight="1">
      <c r="A1634" s="66" t="s">
        <v>2105</v>
      </c>
      <c r="B1634" s="67" t="str">
        <f t="shared" si="11"/>
        <v>M: groans</v>
      </c>
      <c r="C1634" s="66">
        <v>1.0</v>
      </c>
      <c r="D1634" s="68">
        <v>45913.0</v>
      </c>
      <c r="E1634" s="66">
        <v>5.0</v>
      </c>
      <c r="F1634" s="71" t="s">
        <v>2106</v>
      </c>
      <c r="G1634" s="66" t="s">
        <v>247</v>
      </c>
    </row>
    <row r="1635" ht="22.5" customHeight="1">
      <c r="A1635" s="66" t="s">
        <v>2107</v>
      </c>
      <c r="B1635" s="67" t="str">
        <f t="shared" si="11"/>
        <v>M: not even close</v>
      </c>
      <c r="C1635" s="68"/>
      <c r="D1635" s="68">
        <v>45913.0</v>
      </c>
      <c r="E1635" s="66">
        <v>6.0</v>
      </c>
      <c r="F1635" s="66" t="str">
        <f>IFERROR(__xludf.DUMMYFUNCTION("GOOGLETRANSLATE(A1635,""en"",""pt"")"),"Nem perto disso")</f>
        <v>Nem perto disso</v>
      </c>
      <c r="G1635" s="69"/>
    </row>
    <row r="1636" ht="22.5" customHeight="1">
      <c r="A1636" s="66" t="s">
        <v>2108</v>
      </c>
      <c r="B1636" s="67" t="str">
        <f t="shared" si="11"/>
        <v>M: tongues</v>
      </c>
      <c r="C1636" s="68"/>
      <c r="D1636" s="68">
        <v>45913.0</v>
      </c>
      <c r="E1636" s="66">
        <v>7.0</v>
      </c>
      <c r="F1636" s="66" t="str">
        <f>IFERROR(__xludf.DUMMYFUNCTION("GOOGLETRANSLATE(A1636,""en"",""pt"")"),"línguas")</f>
        <v>línguas</v>
      </c>
      <c r="G1636" s="69"/>
    </row>
    <row r="1637" ht="22.5" customHeight="1">
      <c r="A1637" s="66" t="s">
        <v>2109</v>
      </c>
      <c r="B1637" s="67" t="str">
        <f t="shared" si="11"/>
        <v>M: stumbling</v>
      </c>
      <c r="C1637" s="68"/>
      <c r="D1637" s="68">
        <v>45913.0</v>
      </c>
      <c r="E1637" s="66">
        <v>8.0</v>
      </c>
      <c r="F1637" s="66" t="str">
        <f>IFERROR(__xludf.DUMMYFUNCTION("GOOGLETRANSLATE(A1637,""en"",""pt"")"),"tropeçando")</f>
        <v>tropeçando</v>
      </c>
      <c r="G1637" s="69"/>
    </row>
    <row r="1638" ht="22.5" customHeight="1">
      <c r="A1638" s="66" t="s">
        <v>2110</v>
      </c>
      <c r="B1638" s="67" t="str">
        <f t="shared" si="11"/>
        <v>M: rabid</v>
      </c>
      <c r="C1638" s="66">
        <v>1.0</v>
      </c>
      <c r="D1638" s="68">
        <v>45913.0</v>
      </c>
      <c r="E1638" s="66">
        <v>9.0</v>
      </c>
      <c r="F1638" s="71" t="s">
        <v>2111</v>
      </c>
      <c r="G1638" s="66" t="s">
        <v>247</v>
      </c>
    </row>
    <row r="1639" ht="22.5" customHeight="1">
      <c r="A1639" s="66" t="s">
        <v>2112</v>
      </c>
      <c r="B1639" s="67" t="str">
        <f t="shared" si="11"/>
        <v>M: yells</v>
      </c>
      <c r="C1639" s="68"/>
      <c r="D1639" s="68">
        <v>45913.0</v>
      </c>
      <c r="E1639" s="66">
        <v>10.0</v>
      </c>
      <c r="F1639" s="66" t="str">
        <f>IFERROR(__xludf.DUMMYFUNCTION("GOOGLETRANSLATE(A1639,""en"",""pt"")"),"gritos")</f>
        <v>gritos</v>
      </c>
      <c r="G1639" s="69"/>
    </row>
    <row r="1640" ht="22.5" customHeight="1">
      <c r="A1640" s="66" t="s">
        <v>2113</v>
      </c>
      <c r="B1640" s="67" t="str">
        <f t="shared" si="11"/>
        <v>M: lend</v>
      </c>
      <c r="C1640" s="68"/>
      <c r="D1640" s="68">
        <v>45913.0</v>
      </c>
      <c r="E1640" s="66">
        <v>1.0</v>
      </c>
      <c r="F1640" s="66" t="str">
        <f>IFERROR(__xludf.DUMMYFUNCTION("GOOGLETRANSLATE(A1640,""en"",""pt"")"),"emprestar")</f>
        <v>emprestar</v>
      </c>
      <c r="G1640" s="69"/>
    </row>
    <row r="1641" ht="22.5" customHeight="1">
      <c r="A1641" s="66" t="s">
        <v>2114</v>
      </c>
      <c r="B1641" s="67" t="str">
        <f t="shared" si="11"/>
        <v>M: suit yourself</v>
      </c>
      <c r="C1641" s="68"/>
      <c r="D1641" s="68">
        <v>45913.0</v>
      </c>
      <c r="E1641" s="66">
        <v>2.0</v>
      </c>
      <c r="F1641" s="66" t="str">
        <f>IFERROR(__xludf.DUMMYFUNCTION("GOOGLETRANSLATE(A1641,""en"",""pt"")"),"faça como quiser")</f>
        <v>faça como quiser</v>
      </c>
      <c r="G1641" s="69"/>
    </row>
    <row r="1642" ht="22.5" customHeight="1">
      <c r="A1642" s="66" t="s">
        <v>2115</v>
      </c>
      <c r="B1642" s="67" t="str">
        <f t="shared" si="11"/>
        <v>M: greetings</v>
      </c>
      <c r="C1642" s="68"/>
      <c r="D1642" s="68">
        <v>45914.0</v>
      </c>
      <c r="E1642" s="66">
        <v>3.0</v>
      </c>
      <c r="F1642" s="66" t="str">
        <f>IFERROR(__xludf.DUMMYFUNCTION("GOOGLETRANSLATE(A1642,""en"",""pt"")"),"saudações")</f>
        <v>saudações</v>
      </c>
      <c r="G1642" s="69"/>
    </row>
    <row r="1643" ht="22.5" customHeight="1">
      <c r="A1643" s="66" t="s">
        <v>2116</v>
      </c>
      <c r="B1643" s="67" t="str">
        <f t="shared" si="11"/>
        <v>M: livelier</v>
      </c>
      <c r="C1643" s="68"/>
      <c r="D1643" s="68">
        <v>45914.0</v>
      </c>
      <c r="E1643" s="66">
        <v>4.0</v>
      </c>
      <c r="F1643" s="66" t="str">
        <f>IFERROR(__xludf.DUMMYFUNCTION("GOOGLETRANSLATE(A1643,""en"",""pt"")"),"mais animado")</f>
        <v>mais animado</v>
      </c>
      <c r="G1643" s="69"/>
    </row>
    <row r="1644" ht="22.5" customHeight="1">
      <c r="A1644" s="66" t="s">
        <v>2117</v>
      </c>
      <c r="B1644" s="67" t="str">
        <f t="shared" si="11"/>
        <v>M: overused</v>
      </c>
      <c r="C1644" s="66">
        <v>1.0</v>
      </c>
      <c r="D1644" s="68">
        <v>45914.0</v>
      </c>
      <c r="E1644" s="66">
        <v>5.0</v>
      </c>
      <c r="F1644" s="66" t="s">
        <v>2118</v>
      </c>
      <c r="G1644" s="66" t="s">
        <v>247</v>
      </c>
    </row>
    <row r="1645" ht="22.5" customHeight="1">
      <c r="A1645" s="66" t="s">
        <v>2119</v>
      </c>
      <c r="B1645" s="67" t="str">
        <f t="shared" si="11"/>
        <v>M: chewling</v>
      </c>
      <c r="C1645" s="68"/>
      <c r="D1645" s="68">
        <v>45914.0</v>
      </c>
      <c r="E1645" s="66">
        <v>6.0</v>
      </c>
      <c r="F1645" s="66" t="str">
        <f>IFERROR(__xludf.DUMMYFUNCTION("GOOGLETRANSLATE(A1645,""en"",""pt"")"),"mastigação")</f>
        <v>mastigação</v>
      </c>
      <c r="G1645" s="69"/>
    </row>
    <row r="1646" ht="22.5" customHeight="1">
      <c r="A1646" s="66" t="s">
        <v>2120</v>
      </c>
      <c r="B1646" s="67" t="str">
        <f t="shared" si="11"/>
        <v>M: cheap</v>
      </c>
      <c r="C1646" s="68"/>
      <c r="D1646" s="68">
        <v>45914.0</v>
      </c>
      <c r="E1646" s="66">
        <v>7.0</v>
      </c>
      <c r="F1646" s="66" t="str">
        <f>IFERROR(__xludf.DUMMYFUNCTION("GOOGLETRANSLATE(A1646,""en"",""pt"")"),"barato")</f>
        <v>barato</v>
      </c>
      <c r="G1646" s="69"/>
    </row>
    <row r="1647" ht="22.5" customHeight="1">
      <c r="A1647" s="66" t="s">
        <v>2121</v>
      </c>
      <c r="B1647" s="67" t="str">
        <f t="shared" si="11"/>
        <v>M: hold up</v>
      </c>
      <c r="C1647" s="66">
        <v>1.0</v>
      </c>
      <c r="D1647" s="68">
        <v>45914.0</v>
      </c>
      <c r="E1647" s="66">
        <v>8.0</v>
      </c>
      <c r="F1647" s="66" t="s">
        <v>2122</v>
      </c>
      <c r="G1647" s="66" t="s">
        <v>247</v>
      </c>
    </row>
    <row r="1648" ht="22.5" customHeight="1">
      <c r="A1648" s="66" t="s">
        <v>2123</v>
      </c>
      <c r="B1648" s="67" t="str">
        <f t="shared" si="11"/>
        <v>M: stay short forever</v>
      </c>
      <c r="C1648" s="68"/>
      <c r="D1648" s="68">
        <v>45914.0</v>
      </c>
      <c r="E1648" s="66">
        <v>9.0</v>
      </c>
      <c r="F1648" s="66" t="str">
        <f>IFERROR(__xludf.DUMMYFUNCTION("GOOGLETRANSLATE(A1648,""en"",""pt"")"),"permanecer curto para sempre")</f>
        <v>permanecer curto para sempre</v>
      </c>
      <c r="G1648" s="69"/>
    </row>
    <row r="1649" ht="22.5" customHeight="1">
      <c r="A1649" s="66" t="s">
        <v>2124</v>
      </c>
      <c r="B1649" s="67" t="str">
        <f t="shared" si="11"/>
        <v>M: midget</v>
      </c>
      <c r="C1649" s="68"/>
      <c r="D1649" s="68">
        <v>45914.0</v>
      </c>
      <c r="E1649" s="66">
        <v>10.0</v>
      </c>
      <c r="F1649" s="66" t="str">
        <f>IFERROR(__xludf.DUMMYFUNCTION("GOOGLETRANSLATE(A1649,""en"",""pt"")"),"anão")</f>
        <v>anão</v>
      </c>
      <c r="G1649" s="69"/>
    </row>
    <row r="1650" ht="22.5" customHeight="1">
      <c r="A1650" s="66" t="s">
        <v>2125</v>
      </c>
      <c r="B1650" s="67" t="str">
        <f t="shared" si="11"/>
        <v>M: pay attention</v>
      </c>
      <c r="C1650" s="68"/>
      <c r="D1650" s="68">
        <v>45914.0</v>
      </c>
      <c r="E1650" s="66">
        <v>1.0</v>
      </c>
      <c r="F1650" s="66" t="str">
        <f>IFERROR(__xludf.DUMMYFUNCTION("GOOGLETRANSLATE(A1650,""en"",""pt"")"),"prestar atenção")</f>
        <v>prestar atenção</v>
      </c>
      <c r="G1650" s="69"/>
    </row>
    <row r="1651" ht="22.5" customHeight="1">
      <c r="A1651" s="66" t="s">
        <v>2126</v>
      </c>
      <c r="B1651" s="67" t="str">
        <f t="shared" si="11"/>
        <v>M: tastes</v>
      </c>
      <c r="C1651" s="68"/>
      <c r="D1651" s="68">
        <v>45914.0</v>
      </c>
      <c r="E1651" s="66">
        <v>2.0</v>
      </c>
      <c r="F1651" s="66" t="str">
        <f>IFERROR(__xludf.DUMMYFUNCTION("GOOGLETRANSLATE(A1651,""en"",""pt"")"),"gostos")</f>
        <v>gostos</v>
      </c>
      <c r="G1651" s="69"/>
    </row>
    <row r="1652" ht="22.5" customHeight="1">
      <c r="A1652" s="66" t="s">
        <v>2127</v>
      </c>
      <c r="B1652" s="67" t="str">
        <f t="shared" si="11"/>
        <v>M: pour</v>
      </c>
      <c r="C1652" s="68"/>
      <c r="D1652" s="68">
        <v>45915.0</v>
      </c>
      <c r="E1652" s="66">
        <v>3.0</v>
      </c>
      <c r="F1652" s="66" t="str">
        <f>IFERROR(__xludf.DUMMYFUNCTION("GOOGLETRANSLATE(A1652,""en"",""pt"")"),"derramar")</f>
        <v>derramar</v>
      </c>
      <c r="G1652" s="69"/>
    </row>
    <row r="1653" ht="22.5" customHeight="1">
      <c r="A1653" s="66" t="s">
        <v>2128</v>
      </c>
      <c r="B1653" s="67" t="str">
        <f t="shared" si="11"/>
        <v>M: dunno</v>
      </c>
      <c r="C1653" s="68"/>
      <c r="D1653" s="68">
        <v>45915.0</v>
      </c>
      <c r="E1653" s="66">
        <v>4.0</v>
      </c>
      <c r="F1653" s="66" t="str">
        <f>IFERROR(__xludf.DUMMYFUNCTION("GOOGLETRANSLATE(A1653,""en"",""pt"")"),"Não sei.")</f>
        <v>Não sei.</v>
      </c>
      <c r="G1653" s="69"/>
    </row>
    <row r="1654" ht="22.5" customHeight="1">
      <c r="A1654" s="66" t="s">
        <v>2129</v>
      </c>
      <c r="B1654" s="67" t="str">
        <f t="shared" si="11"/>
        <v>M: silocn</v>
      </c>
      <c r="C1654" s="68"/>
      <c r="D1654" s="68">
        <v>45915.0</v>
      </c>
      <c r="E1654" s="66">
        <v>5.0</v>
      </c>
      <c r="F1654" s="66" t="str">
        <f>IFERROR(__xludf.DUMMYFUNCTION("GOOGLETRANSLATE(A1654,""en"",""pt"")"),"silício")</f>
        <v>silício</v>
      </c>
      <c r="G1654" s="69"/>
    </row>
    <row r="1655" ht="22.5" customHeight="1">
      <c r="A1655" s="66" t="s">
        <v>2130</v>
      </c>
      <c r="B1655" s="67" t="str">
        <f t="shared" si="11"/>
        <v>M: rebound</v>
      </c>
      <c r="C1655" s="68"/>
      <c r="D1655" s="68">
        <v>45915.0</v>
      </c>
      <c r="E1655" s="66">
        <v>6.0</v>
      </c>
      <c r="F1655" s="66" t="str">
        <f>IFERROR(__xludf.DUMMYFUNCTION("GOOGLETRANSLATE(A1655,""en"",""pt"")"),"rebote")</f>
        <v>rebote</v>
      </c>
      <c r="G1655" s="69"/>
    </row>
    <row r="1656" ht="22.5" customHeight="1">
      <c r="A1656" s="66" t="s">
        <v>2131</v>
      </c>
      <c r="B1656" s="67" t="str">
        <f t="shared" si="11"/>
        <v>M: isn't it</v>
      </c>
      <c r="C1656" s="68"/>
      <c r="D1656" s="68">
        <v>45915.0</v>
      </c>
      <c r="E1656" s="66">
        <v>7.0</v>
      </c>
      <c r="F1656" s="66" t="str">
        <f>IFERROR(__xludf.DUMMYFUNCTION("GOOGLETRANSLATE(A1656,""en"",""pt"")"),"não é?")</f>
        <v>não é?</v>
      </c>
      <c r="G1656" s="69"/>
    </row>
    <row r="1657" ht="22.5" customHeight="1">
      <c r="A1657" s="66" t="s">
        <v>2132</v>
      </c>
      <c r="B1657" s="67" t="str">
        <f t="shared" si="11"/>
        <v>M: burst</v>
      </c>
      <c r="C1657" s="66">
        <v>1.0</v>
      </c>
      <c r="D1657" s="68">
        <v>45915.0</v>
      </c>
      <c r="E1657" s="66">
        <v>8.0</v>
      </c>
      <c r="F1657" s="66" t="s">
        <v>2133</v>
      </c>
      <c r="G1657" s="66" t="s">
        <v>247</v>
      </c>
    </row>
    <row r="1658" ht="22.5" customHeight="1">
      <c r="A1658" s="66" t="s">
        <v>2134</v>
      </c>
      <c r="B1658" s="67" t="str">
        <f t="shared" si="11"/>
        <v>M: became</v>
      </c>
      <c r="C1658" s="68"/>
      <c r="D1658" s="68">
        <v>45915.0</v>
      </c>
      <c r="E1658" s="66">
        <v>9.0</v>
      </c>
      <c r="F1658" s="66" t="str">
        <f>IFERROR(__xludf.DUMMYFUNCTION("GOOGLETRANSLATE(A1658,""en"",""pt"")"),"tornou-se")</f>
        <v>tornou-se</v>
      </c>
      <c r="G1658" s="69"/>
    </row>
    <row r="1659" ht="22.5" customHeight="1">
      <c r="A1659" s="66" t="s">
        <v>2135</v>
      </c>
      <c r="B1659" s="67" t="str">
        <f t="shared" si="11"/>
        <v>M: charge</v>
      </c>
      <c r="C1659" s="68"/>
      <c r="D1659" s="68">
        <v>45915.0</v>
      </c>
      <c r="E1659" s="66">
        <v>10.0</v>
      </c>
      <c r="F1659" s="66" t="str">
        <f>IFERROR(__xludf.DUMMYFUNCTION("GOOGLETRANSLATE(A1659,""en"",""pt"")"),"cobrar")</f>
        <v>cobrar</v>
      </c>
      <c r="G1659" s="69"/>
    </row>
    <row r="1660" ht="22.5" customHeight="1">
      <c r="A1660" s="66" t="s">
        <v>2136</v>
      </c>
      <c r="B1660" s="67" t="str">
        <f t="shared" si="11"/>
        <v>M: leap up</v>
      </c>
      <c r="C1660" s="68"/>
      <c r="D1660" s="68">
        <v>45915.0</v>
      </c>
      <c r="E1660" s="66">
        <v>1.0</v>
      </c>
      <c r="F1660" s="66" t="str">
        <f>IFERROR(__xludf.DUMMYFUNCTION("GOOGLETRANSLATE(A1660,""en"",""pt"")"),"pular para cima")</f>
        <v>pular para cima</v>
      </c>
      <c r="G1660" s="69"/>
    </row>
    <row r="1661" ht="22.5" customHeight="1">
      <c r="A1661" s="66" t="s">
        <v>2137</v>
      </c>
      <c r="B1661" s="67" t="str">
        <f t="shared" si="11"/>
        <v>M: bypasses</v>
      </c>
      <c r="C1661" s="68"/>
      <c r="D1661" s="68">
        <v>45915.0</v>
      </c>
      <c r="E1661" s="66">
        <v>2.0</v>
      </c>
      <c r="F1661" s="66" t="str">
        <f>IFERROR(__xludf.DUMMYFUNCTION("GOOGLETRANSLATE(A1661,""en"",""pt"")"),"desvios")</f>
        <v>desvios</v>
      </c>
      <c r="G1661" s="69"/>
    </row>
    <row r="1662" ht="22.5" customHeight="1">
      <c r="A1662" s="66" t="s">
        <v>2138</v>
      </c>
      <c r="B1662" s="67" t="str">
        <f t="shared" si="11"/>
        <v>M: aggravated</v>
      </c>
      <c r="C1662" s="68"/>
      <c r="D1662" s="68">
        <v>45916.0</v>
      </c>
      <c r="E1662" s="66">
        <v>3.0</v>
      </c>
      <c r="F1662" s="66" t="str">
        <f>IFERROR(__xludf.DUMMYFUNCTION("GOOGLETRANSLATE(A1662,""en"",""pt"")"),"agravado")</f>
        <v>agravado</v>
      </c>
      <c r="G1662" s="69"/>
    </row>
    <row r="1663" ht="22.5" customHeight="1">
      <c r="A1663" s="66" t="s">
        <v>2139</v>
      </c>
      <c r="B1663" s="67" t="str">
        <f t="shared" si="11"/>
        <v>M: inflicted</v>
      </c>
      <c r="C1663" s="68"/>
      <c r="D1663" s="68">
        <v>45916.0</v>
      </c>
      <c r="E1663" s="66">
        <v>4.0</v>
      </c>
      <c r="F1663" s="66" t="str">
        <f>IFERROR(__xludf.DUMMYFUNCTION("GOOGLETRANSLATE(A1663,""en"",""pt"")"),"infligido")</f>
        <v>infligido</v>
      </c>
      <c r="G1663" s="69"/>
    </row>
    <row r="1664" ht="22.5" customHeight="1">
      <c r="A1664" s="66" t="s">
        <v>2140</v>
      </c>
      <c r="B1664" s="67" t="str">
        <f t="shared" si="11"/>
        <v>M: fought</v>
      </c>
      <c r="C1664" s="68"/>
      <c r="D1664" s="68">
        <v>45916.0</v>
      </c>
      <c r="E1664" s="66">
        <v>5.0</v>
      </c>
      <c r="F1664" s="66" t="str">
        <f>IFERROR(__xludf.DUMMYFUNCTION("GOOGLETRANSLATE(A1664,""en"",""pt"")"),"disputado")</f>
        <v>disputado</v>
      </c>
      <c r="G1664" s="69"/>
    </row>
    <row r="1665" ht="22.5" customHeight="1">
      <c r="A1665" s="66" t="s">
        <v>2141</v>
      </c>
      <c r="B1665" s="67" t="str">
        <f t="shared" si="11"/>
        <v>M: perched</v>
      </c>
      <c r="C1665" s="66">
        <v>1.0</v>
      </c>
      <c r="D1665" s="68">
        <v>45916.0</v>
      </c>
      <c r="E1665" s="66">
        <v>6.0</v>
      </c>
      <c r="F1665" s="66" t="s">
        <v>2142</v>
      </c>
      <c r="G1665" s="66" t="s">
        <v>247</v>
      </c>
    </row>
    <row r="1666" ht="22.5" customHeight="1">
      <c r="A1666" s="66" t="s">
        <v>2143</v>
      </c>
      <c r="B1666" s="67" t="str">
        <f t="shared" si="11"/>
        <v>M: dressed</v>
      </c>
      <c r="C1666" s="68"/>
      <c r="D1666" s="68">
        <v>45916.0</v>
      </c>
      <c r="E1666" s="66">
        <v>7.0</v>
      </c>
      <c r="F1666" s="66" t="str">
        <f>IFERROR(__xludf.DUMMYFUNCTION("GOOGLETRANSLATE(A1666,""en"",""pt"")"),"vestido")</f>
        <v>vestido</v>
      </c>
      <c r="G1666" s="69"/>
    </row>
    <row r="1667" ht="22.5" customHeight="1">
      <c r="A1667" s="66" t="s">
        <v>2144</v>
      </c>
      <c r="B1667" s="67" t="str">
        <f t="shared" si="11"/>
        <v>M: aside</v>
      </c>
      <c r="C1667" s="68"/>
      <c r="D1667" s="68">
        <v>45916.0</v>
      </c>
      <c r="E1667" s="66">
        <v>8.0</v>
      </c>
      <c r="F1667" s="66" t="str">
        <f>IFERROR(__xludf.DUMMYFUNCTION("GOOGLETRANSLATE(A1667,""en"",""pt"")"),"aparte")</f>
        <v>aparte</v>
      </c>
      <c r="G1667" s="69"/>
    </row>
    <row r="1668" ht="22.5" customHeight="1">
      <c r="A1668" s="66" t="s">
        <v>2145</v>
      </c>
      <c r="B1668" s="67" t="str">
        <f t="shared" si="11"/>
        <v>M: counted</v>
      </c>
      <c r="C1668" s="66">
        <v>1.0</v>
      </c>
      <c r="D1668" s="68">
        <v>45916.0</v>
      </c>
      <c r="E1668" s="66">
        <v>9.0</v>
      </c>
      <c r="F1668" s="71" t="s">
        <v>2146</v>
      </c>
      <c r="G1668" s="66" t="s">
        <v>247</v>
      </c>
    </row>
    <row r="1669" ht="22.5" customHeight="1">
      <c r="A1669" s="66" t="s">
        <v>2147</v>
      </c>
      <c r="B1669" s="67" t="str">
        <f t="shared" si="11"/>
        <v>M: trafficking</v>
      </c>
      <c r="C1669" s="68"/>
      <c r="D1669" s="68">
        <v>45916.0</v>
      </c>
      <c r="E1669" s="66">
        <v>10.0</v>
      </c>
      <c r="F1669" s="66" t="str">
        <f>IFERROR(__xludf.DUMMYFUNCTION("GOOGLETRANSLATE(A1669,""en"",""pt"")"),"tráfico")</f>
        <v>tráfico</v>
      </c>
      <c r="G1669" s="69"/>
    </row>
    <row r="1670" ht="22.5" customHeight="1">
      <c r="A1670" s="66" t="s">
        <v>2148</v>
      </c>
      <c r="B1670" s="67" t="str">
        <f t="shared" si="11"/>
        <v>M: sign</v>
      </c>
      <c r="C1670" s="68"/>
      <c r="D1670" s="68">
        <v>45916.0</v>
      </c>
      <c r="E1670" s="66">
        <v>1.0</v>
      </c>
      <c r="F1670" s="66" t="str">
        <f>IFERROR(__xludf.DUMMYFUNCTION("GOOGLETRANSLATE(A1670,""en"",""pt"")"),"sinal")</f>
        <v>sinal</v>
      </c>
      <c r="G1670" s="69"/>
    </row>
    <row r="1671" ht="22.5" customHeight="1">
      <c r="A1671" s="66" t="s">
        <v>2149</v>
      </c>
      <c r="B1671" s="67" t="str">
        <f t="shared" si="11"/>
        <v>M: gave</v>
      </c>
      <c r="C1671" s="68"/>
      <c r="D1671" s="68">
        <v>45916.0</v>
      </c>
      <c r="E1671" s="66">
        <v>2.0</v>
      </c>
      <c r="F1671" s="66" t="str">
        <f>IFERROR(__xludf.DUMMYFUNCTION("GOOGLETRANSLATE(A1671,""en"",""pt"")"),"deu")</f>
        <v>deu</v>
      </c>
      <c r="G1671" s="69"/>
    </row>
    <row r="1672" ht="22.5" customHeight="1">
      <c r="A1672" s="66" t="s">
        <v>2150</v>
      </c>
      <c r="B1672" s="67" t="str">
        <f t="shared" si="11"/>
        <v>M: stood</v>
      </c>
      <c r="C1672" s="66">
        <v>1.0</v>
      </c>
      <c r="D1672" s="68">
        <v>45917.0</v>
      </c>
      <c r="E1672" s="66">
        <v>3.0</v>
      </c>
      <c r="F1672" s="66" t="s">
        <v>2151</v>
      </c>
      <c r="G1672" s="66" t="s">
        <v>247</v>
      </c>
    </row>
    <row r="1673" ht="22.5" customHeight="1">
      <c r="A1673" s="66" t="s">
        <v>2152</v>
      </c>
      <c r="B1673" s="67" t="str">
        <f t="shared" si="11"/>
        <v>M: cliff</v>
      </c>
      <c r="C1673" s="68"/>
      <c r="D1673" s="68">
        <v>45917.0</v>
      </c>
      <c r="E1673" s="66">
        <v>4.0</v>
      </c>
      <c r="F1673" s="66" t="str">
        <f>IFERROR(__xludf.DUMMYFUNCTION("GOOGLETRANSLATE(A1673,""en"",""pt"")"),"penhasco")</f>
        <v>penhasco</v>
      </c>
      <c r="G1673" s="69"/>
    </row>
    <row r="1674" ht="22.5" customHeight="1">
      <c r="A1674" s="66" t="s">
        <v>2153</v>
      </c>
      <c r="B1674" s="67" t="str">
        <f t="shared" si="11"/>
        <v>M: let it out</v>
      </c>
      <c r="C1674" s="66">
        <v>1.0</v>
      </c>
      <c r="D1674" s="68">
        <v>45917.0</v>
      </c>
      <c r="E1674" s="66">
        <v>5.0</v>
      </c>
      <c r="F1674" s="71" t="s">
        <v>2154</v>
      </c>
      <c r="G1674" s="66" t="s">
        <v>247</v>
      </c>
    </row>
    <row r="1675" ht="22.5" customHeight="1">
      <c r="A1675" s="66" t="s">
        <v>2155</v>
      </c>
      <c r="B1675" s="67" t="str">
        <f t="shared" si="11"/>
        <v>M: skeletal</v>
      </c>
      <c r="C1675" s="66">
        <v>1.0</v>
      </c>
      <c r="D1675" s="68">
        <v>45917.0</v>
      </c>
      <c r="E1675" s="66">
        <v>6.0</v>
      </c>
      <c r="F1675" s="71" t="s">
        <v>2156</v>
      </c>
      <c r="G1675" s="66" t="s">
        <v>247</v>
      </c>
    </row>
    <row r="1676" ht="22.5" customHeight="1">
      <c r="A1676" s="66" t="s">
        <v>2157</v>
      </c>
      <c r="B1676" s="67" t="str">
        <f t="shared" si="11"/>
        <v>M: ignited</v>
      </c>
      <c r="C1676" s="68"/>
      <c r="D1676" s="68">
        <v>45917.0</v>
      </c>
      <c r="E1676" s="66">
        <v>7.0</v>
      </c>
      <c r="F1676" s="66" t="str">
        <f>IFERROR(__xludf.DUMMYFUNCTION("GOOGLETRANSLATE(A1676,""en"",""pt"")"),"acendeu")</f>
        <v>acendeu</v>
      </c>
      <c r="G1676" s="69"/>
    </row>
    <row r="1677" ht="22.5" customHeight="1">
      <c r="A1677" s="66" t="s">
        <v>2158</v>
      </c>
      <c r="B1677" s="67" t="str">
        <f t="shared" si="11"/>
        <v>M: raging</v>
      </c>
      <c r="C1677" s="68"/>
      <c r="D1677" s="68">
        <v>45917.0</v>
      </c>
      <c r="E1677" s="66">
        <v>8.0</v>
      </c>
      <c r="F1677" s="66" t="str">
        <f>IFERROR(__xludf.DUMMYFUNCTION("GOOGLETRANSLATE(A1677,""en"",""pt"")"),"furioso")</f>
        <v>furioso</v>
      </c>
      <c r="G1677" s="69"/>
    </row>
    <row r="1678" ht="22.5" customHeight="1">
      <c r="A1678" s="66" t="s">
        <v>2159</v>
      </c>
      <c r="B1678" s="67" t="str">
        <f t="shared" si="11"/>
        <v>M: gasp</v>
      </c>
      <c r="C1678" s="68"/>
      <c r="D1678" s="68">
        <v>45917.0</v>
      </c>
      <c r="E1678" s="66">
        <v>9.0</v>
      </c>
      <c r="F1678" s="66" t="str">
        <f>IFERROR(__xludf.DUMMYFUNCTION("GOOGLETRANSLATE(A1678,""en"",""pt"")"),"suspiro")</f>
        <v>suspiro</v>
      </c>
      <c r="G1678" s="69"/>
    </row>
    <row r="1679" ht="22.5" customHeight="1">
      <c r="A1679" s="66" t="s">
        <v>2160</v>
      </c>
      <c r="B1679" s="67" t="str">
        <f t="shared" si="11"/>
        <v>M: attunement</v>
      </c>
      <c r="C1679" s="68"/>
      <c r="D1679" s="68">
        <v>45917.0</v>
      </c>
      <c r="E1679" s="66">
        <v>10.0</v>
      </c>
      <c r="F1679" s="66" t="str">
        <f>IFERROR(__xludf.DUMMYFUNCTION("GOOGLETRANSLATE(A1679,""en"",""pt"")"),"sintonia")</f>
        <v>sintonia</v>
      </c>
      <c r="G1679" s="66" t="s">
        <v>2161</v>
      </c>
    </row>
    <row r="1680" ht="22.5" customHeight="1">
      <c r="A1680" s="66" t="s">
        <v>2162</v>
      </c>
      <c r="B1680" s="67" t="str">
        <f t="shared" si="11"/>
        <v>M: spark</v>
      </c>
      <c r="C1680" s="68"/>
      <c r="D1680" s="68">
        <v>45917.0</v>
      </c>
      <c r="E1680" s="66">
        <v>1.0</v>
      </c>
      <c r="F1680" s="66" t="str">
        <f>IFERROR(__xludf.DUMMYFUNCTION("GOOGLETRANSLATE(A1680,""en"",""pt"")"),"fagulha")</f>
        <v>fagulha</v>
      </c>
      <c r="G1680" s="66" t="s">
        <v>2163</v>
      </c>
    </row>
    <row r="1681" ht="22.5" customHeight="1">
      <c r="A1681" s="66" t="s">
        <v>2164</v>
      </c>
      <c r="B1681" s="67" t="str">
        <f t="shared" si="11"/>
        <v>M: well</v>
      </c>
      <c r="C1681" s="68"/>
      <c r="D1681" s="68">
        <v>45917.0</v>
      </c>
      <c r="E1681" s="66">
        <v>2.0</v>
      </c>
      <c r="F1681" s="66" t="str">
        <f>IFERROR(__xludf.DUMMYFUNCTION("GOOGLETRANSLATE(A1681,""en"",""pt"")"),"bem")</f>
        <v>bem</v>
      </c>
      <c r="G1681" s="66" t="s">
        <v>2165</v>
      </c>
    </row>
    <row r="1682" ht="22.5" customHeight="1">
      <c r="A1682" s="66" t="s">
        <v>2166</v>
      </c>
      <c r="B1682" s="67" t="str">
        <f t="shared" si="11"/>
        <v>M: salvage</v>
      </c>
      <c r="C1682" s="68"/>
      <c r="D1682" s="68">
        <v>45918.0</v>
      </c>
      <c r="E1682" s="66">
        <v>3.0</v>
      </c>
      <c r="F1682" s="66" t="str">
        <f>IFERROR(__xludf.DUMMYFUNCTION("GOOGLETRANSLATE(A1682,""en"",""pt"")"),"salvamento")</f>
        <v>salvamento</v>
      </c>
      <c r="G1682" s="66" t="s">
        <v>2167</v>
      </c>
    </row>
    <row r="1683" ht="22.5" customHeight="1">
      <c r="A1683" s="66" t="s">
        <v>2168</v>
      </c>
      <c r="B1683" s="67" t="str">
        <f t="shared" si="11"/>
        <v>M: hooded</v>
      </c>
      <c r="C1683" s="68"/>
      <c r="D1683" s="68">
        <v>45918.0</v>
      </c>
      <c r="E1683" s="66">
        <v>4.0</v>
      </c>
      <c r="F1683" s="66" t="str">
        <f>IFERROR(__xludf.DUMMYFUNCTION("GOOGLETRANSLATE(A1683,""en"",""pt"")"),"encapuzado")</f>
        <v>encapuzado</v>
      </c>
      <c r="G1683" s="66" t="s">
        <v>2169</v>
      </c>
    </row>
    <row r="1684" ht="22.5" customHeight="1">
      <c r="A1684" s="66" t="s">
        <v>2170</v>
      </c>
      <c r="B1684" s="67" t="str">
        <f t="shared" si="11"/>
        <v>M: bench</v>
      </c>
      <c r="C1684" s="68"/>
      <c r="D1684" s="68">
        <v>45918.0</v>
      </c>
      <c r="E1684" s="66">
        <v>5.0</v>
      </c>
      <c r="F1684" s="66" t="str">
        <f>IFERROR(__xludf.DUMMYFUNCTION("GOOGLETRANSLATE(A1684,""en"",""pt"")"),"banco")</f>
        <v>banco</v>
      </c>
      <c r="G1684" s="66" t="s">
        <v>2171</v>
      </c>
    </row>
    <row r="1685" ht="22.5" customHeight="1">
      <c r="A1685" s="66" t="s">
        <v>2172</v>
      </c>
      <c r="B1685" s="67" t="str">
        <f t="shared" si="11"/>
        <v>M: weakness</v>
      </c>
      <c r="C1685" s="66">
        <v>1.0</v>
      </c>
      <c r="D1685" s="68">
        <v>45918.0</v>
      </c>
      <c r="E1685" s="66">
        <v>6.0</v>
      </c>
      <c r="F1685" s="71" t="s">
        <v>2173</v>
      </c>
      <c r="G1685" s="66" t="s">
        <v>247</v>
      </c>
    </row>
    <row r="1686" ht="22.5" customHeight="1">
      <c r="A1686" s="66" t="s">
        <v>2174</v>
      </c>
      <c r="B1686" s="67" t="str">
        <f t="shared" si="11"/>
        <v>M: soulless</v>
      </c>
      <c r="C1686" s="68"/>
      <c r="D1686" s="68">
        <v>45918.0</v>
      </c>
      <c r="E1686" s="66">
        <v>7.0</v>
      </c>
      <c r="F1686" s="66" t="str">
        <f>IFERROR(__xludf.DUMMYFUNCTION("GOOGLETRANSLATE(A1686,""en"",""pt"")"),"sem alma")</f>
        <v>sem alma</v>
      </c>
      <c r="G1686" s="66" t="s">
        <v>2175</v>
      </c>
    </row>
    <row r="1687" ht="22.5" customHeight="1">
      <c r="A1687" s="66" t="s">
        <v>2176</v>
      </c>
      <c r="B1687" s="67" t="str">
        <f t="shared" si="11"/>
        <v>M: cascade</v>
      </c>
      <c r="C1687" s="68"/>
      <c r="D1687" s="68">
        <v>45918.0</v>
      </c>
      <c r="E1687" s="66">
        <v>8.0</v>
      </c>
      <c r="F1687" s="66" t="str">
        <f>IFERROR(__xludf.DUMMYFUNCTION("GOOGLETRANSLATE(A1687,""en"",""pt"")"),"cascata")</f>
        <v>cascata</v>
      </c>
      <c r="G1687" s="66" t="s">
        <v>2177</v>
      </c>
    </row>
    <row r="1688" ht="22.5" customHeight="1">
      <c r="A1688" s="66" t="s">
        <v>2178</v>
      </c>
      <c r="B1688" s="67" t="str">
        <f t="shared" si="11"/>
        <v>M: just like</v>
      </c>
      <c r="C1688" s="68"/>
      <c r="D1688" s="68">
        <v>45918.0</v>
      </c>
      <c r="E1688" s="66">
        <v>9.0</v>
      </c>
      <c r="F1688" s="66" t="str">
        <f>IFERROR(__xludf.DUMMYFUNCTION("GOOGLETRANSLATE(A1688,""en"",""pt"")"),"assim como")</f>
        <v>assim como</v>
      </c>
      <c r="G1688" s="66" t="s">
        <v>2179</v>
      </c>
    </row>
    <row r="1689" ht="22.5" customHeight="1">
      <c r="A1689" s="66" t="s">
        <v>2180</v>
      </c>
      <c r="B1689" s="67" t="str">
        <f t="shared" si="11"/>
        <v>M: enfolding</v>
      </c>
      <c r="C1689" s="66">
        <v>1.0</v>
      </c>
      <c r="D1689" s="68">
        <v>45918.0</v>
      </c>
      <c r="E1689" s="66">
        <v>10.0</v>
      </c>
      <c r="F1689" s="66" t="s">
        <v>2181</v>
      </c>
      <c r="G1689" s="66" t="s">
        <v>247</v>
      </c>
    </row>
    <row r="1690" ht="22.5" customHeight="1">
      <c r="A1690" s="66" t="s">
        <v>2182</v>
      </c>
      <c r="B1690" s="67" t="str">
        <f t="shared" si="11"/>
        <v>M: swap</v>
      </c>
      <c r="C1690" s="68"/>
      <c r="D1690" s="68">
        <v>45918.0</v>
      </c>
      <c r="E1690" s="66">
        <v>1.0</v>
      </c>
      <c r="F1690" s="66" t="str">
        <f>IFERROR(__xludf.DUMMYFUNCTION("GOOGLETRANSLATE(A1690,""en"",""pt"")"),"trocar")</f>
        <v>trocar</v>
      </c>
      <c r="G1690" s="66" t="s">
        <v>2183</v>
      </c>
    </row>
    <row r="1691" ht="22.5" customHeight="1">
      <c r="A1691" s="66" t="s">
        <v>2184</v>
      </c>
      <c r="B1691" s="67" t="str">
        <f t="shared" si="11"/>
        <v>M: your</v>
      </c>
      <c r="C1691" s="68"/>
      <c r="D1691" s="68">
        <v>45918.0</v>
      </c>
      <c r="E1691" s="66">
        <v>2.0</v>
      </c>
      <c r="F1691" s="66" t="str">
        <f>IFERROR(__xludf.DUMMYFUNCTION("GOOGLETRANSLATE(A1691,""en"",""pt"")"),"seu")</f>
        <v>seu</v>
      </c>
      <c r="G1691" s="66" t="s">
        <v>2185</v>
      </c>
    </row>
    <row r="1692" ht="22.5" customHeight="1">
      <c r="A1692" s="66" t="s">
        <v>2186</v>
      </c>
      <c r="B1692" s="67" t="str">
        <f t="shared" si="11"/>
        <v>M: according</v>
      </c>
      <c r="C1692" s="68"/>
      <c r="D1692" s="68">
        <v>45919.0</v>
      </c>
      <c r="E1692" s="66">
        <v>3.0</v>
      </c>
      <c r="F1692" s="66" t="str">
        <f>IFERROR(__xludf.DUMMYFUNCTION("GOOGLETRANSLATE(A1692,""en"",""pt"")"),"de acordo com")</f>
        <v>de acordo com</v>
      </c>
      <c r="G1692" s="66" t="s">
        <v>2187</v>
      </c>
    </row>
    <row r="1693" ht="22.5" customHeight="1">
      <c r="A1693" s="66" t="s">
        <v>2188</v>
      </c>
      <c r="B1693" s="67" t="str">
        <f t="shared" si="11"/>
        <v>M: make sure</v>
      </c>
      <c r="C1693" s="68"/>
      <c r="D1693" s="68">
        <v>45919.0</v>
      </c>
      <c r="E1693" s="66">
        <v>4.0</v>
      </c>
      <c r="F1693" s="66" t="str">
        <f>IFERROR(__xludf.DUMMYFUNCTION("GOOGLETRANSLATE(A1693,""en"",""pt"")"),"certificar-se")</f>
        <v>certificar-se</v>
      </c>
      <c r="G1693" s="66" t="s">
        <v>2189</v>
      </c>
    </row>
    <row r="1694" ht="22.5" customHeight="1">
      <c r="A1694" s="66" t="s">
        <v>2190</v>
      </c>
      <c r="B1694" s="67" t="str">
        <f t="shared" si="11"/>
        <v>M: uncut</v>
      </c>
      <c r="C1694" s="68"/>
      <c r="D1694" s="68">
        <v>45919.0</v>
      </c>
      <c r="E1694" s="66">
        <v>5.0</v>
      </c>
      <c r="F1694" s="66" t="str">
        <f>IFERROR(__xludf.DUMMYFUNCTION("GOOGLETRANSLATE(A1694,""en"",""pt"")"),"sem cortes")</f>
        <v>sem cortes</v>
      </c>
      <c r="G1694" s="66" t="s">
        <v>2191</v>
      </c>
    </row>
    <row r="1695" ht="22.5" customHeight="1">
      <c r="A1695" s="66" t="s">
        <v>2192</v>
      </c>
      <c r="B1695" s="67" t="str">
        <f t="shared" si="11"/>
        <v>M: tomb</v>
      </c>
      <c r="C1695" s="68"/>
      <c r="D1695" s="68">
        <v>45919.0</v>
      </c>
      <c r="E1695" s="66">
        <v>6.0</v>
      </c>
      <c r="F1695" s="66" t="str">
        <f>IFERROR(__xludf.DUMMYFUNCTION("GOOGLETRANSLATE(A1695,""en"",""pt"")"),"túmulo")</f>
        <v>túmulo</v>
      </c>
      <c r="G1695" s="66" t="s">
        <v>2193</v>
      </c>
    </row>
    <row r="1696" ht="22.5" customHeight="1">
      <c r="A1696" s="66" t="s">
        <v>2194</v>
      </c>
      <c r="B1696" s="67" t="str">
        <f t="shared" si="11"/>
        <v>M: side</v>
      </c>
      <c r="C1696" s="68"/>
      <c r="D1696" s="68">
        <v>45919.0</v>
      </c>
      <c r="E1696" s="66">
        <v>7.0</v>
      </c>
      <c r="F1696" s="66" t="str">
        <f>IFERROR(__xludf.DUMMYFUNCTION("GOOGLETRANSLATE(A1696,""en"",""pt"")"),"lado")</f>
        <v>lado</v>
      </c>
      <c r="G1696" s="66" t="s">
        <v>2195</v>
      </c>
    </row>
    <row r="1697" ht="22.5" customHeight="1">
      <c r="A1697" s="66" t="s">
        <v>2196</v>
      </c>
      <c r="B1697" s="67" t="str">
        <f t="shared" si="11"/>
        <v>M: so that</v>
      </c>
      <c r="C1697" s="66">
        <v>1.0</v>
      </c>
      <c r="D1697" s="68">
        <v>45919.0</v>
      </c>
      <c r="E1697" s="66">
        <v>8.0</v>
      </c>
      <c r="F1697" s="66" t="s">
        <v>2197</v>
      </c>
      <c r="G1697" s="66" t="s">
        <v>247</v>
      </c>
    </row>
    <row r="1698" ht="22.5" customHeight="1">
      <c r="A1698" s="66" t="s">
        <v>2198</v>
      </c>
      <c r="B1698" s="67" t="str">
        <f t="shared" si="11"/>
        <v>M: deal</v>
      </c>
      <c r="C1698" s="68"/>
      <c r="D1698" s="68">
        <v>45919.0</v>
      </c>
      <c r="E1698" s="66">
        <v>9.0</v>
      </c>
      <c r="F1698" s="66" t="str">
        <f>IFERROR(__xludf.DUMMYFUNCTION("GOOGLETRANSLATE(A1698,""en"",""pt"")"),"negócio")</f>
        <v>negócio</v>
      </c>
      <c r="G1698" s="66" t="s">
        <v>2199</v>
      </c>
    </row>
    <row r="1699" ht="22.5" customHeight="1">
      <c r="A1699" s="66" t="s">
        <v>2200</v>
      </c>
      <c r="B1699" s="67" t="str">
        <f t="shared" si="11"/>
        <v>M: exposure</v>
      </c>
      <c r="C1699" s="68"/>
      <c r="D1699" s="68">
        <v>45919.0</v>
      </c>
      <c r="E1699" s="66">
        <v>10.0</v>
      </c>
      <c r="F1699" s="66" t="str">
        <f>IFERROR(__xludf.DUMMYFUNCTION("GOOGLETRANSLATE(A1699,""en"",""pt"")"),"exposição")</f>
        <v>exposição</v>
      </c>
      <c r="G1699" s="66" t="s">
        <v>2201</v>
      </c>
    </row>
    <row r="1700" ht="22.5" customHeight="1">
      <c r="A1700" s="66" t="s">
        <v>2202</v>
      </c>
      <c r="B1700" s="67" t="str">
        <f t="shared" si="11"/>
        <v>M: hitting</v>
      </c>
      <c r="C1700" s="66">
        <v>1.0</v>
      </c>
      <c r="D1700" s="68">
        <v>45919.0</v>
      </c>
      <c r="E1700" s="66">
        <v>1.0</v>
      </c>
      <c r="F1700" s="66" t="str">
        <f>IFERROR(__xludf.DUMMYFUNCTION("GOOGLETRANSLATE(A1700,""en"",""pt"")"),"batendo")</f>
        <v>batendo</v>
      </c>
      <c r="G1700" s="66" t="s">
        <v>247</v>
      </c>
    </row>
    <row r="1701" ht="22.5" customHeight="1">
      <c r="A1701" s="66" t="s">
        <v>2203</v>
      </c>
      <c r="B1701" s="67" t="str">
        <f t="shared" si="11"/>
        <v>M: unearth</v>
      </c>
      <c r="C1701" s="68"/>
      <c r="D1701" s="68">
        <v>45919.0</v>
      </c>
      <c r="E1701" s="66">
        <v>2.0</v>
      </c>
      <c r="F1701" s="66" t="str">
        <f>IFERROR(__xludf.DUMMYFUNCTION("GOOGLETRANSLATE(A1701,""en"",""pt"")"),"desenterrar")</f>
        <v>desenterrar</v>
      </c>
      <c r="G1701" s="66" t="s">
        <v>2204</v>
      </c>
    </row>
    <row r="1702" ht="22.5" customHeight="1">
      <c r="A1702" s="66" t="s">
        <v>2205</v>
      </c>
      <c r="B1702" s="67" t="str">
        <f t="shared" si="11"/>
        <v>M: as your</v>
      </c>
      <c r="C1702" s="68"/>
      <c r="D1702" s="68">
        <v>45920.0</v>
      </c>
      <c r="E1702" s="66">
        <v>3.0</v>
      </c>
      <c r="F1702" s="66" t="str">
        <f>IFERROR(__xludf.DUMMYFUNCTION("GOOGLETRANSLATE(A1702,""en"",""pt"")"),"como seu")</f>
        <v>como seu</v>
      </c>
      <c r="G1702" s="66" t="s">
        <v>2206</v>
      </c>
    </row>
    <row r="1703" ht="22.5" customHeight="1">
      <c r="A1703" s="66" t="s">
        <v>2207</v>
      </c>
      <c r="B1703" s="67" t="str">
        <f t="shared" si="11"/>
        <v>M: it is taken</v>
      </c>
      <c r="C1703" s="68"/>
      <c r="D1703" s="68">
        <v>45920.0</v>
      </c>
      <c r="E1703" s="66">
        <v>4.0</v>
      </c>
      <c r="F1703" s="66" t="str">
        <f>IFERROR(__xludf.DUMMYFUNCTION("GOOGLETRANSLATE(A1703,""en"",""pt"")"),"é tomado")</f>
        <v>é tomado</v>
      </c>
      <c r="G1703" s="66" t="s">
        <v>2208</v>
      </c>
    </row>
    <row r="1704" ht="22.5" customHeight="1">
      <c r="A1704" s="66" t="s">
        <v>2209</v>
      </c>
      <c r="B1704" s="67" t="str">
        <f t="shared" si="11"/>
        <v>M: conduit</v>
      </c>
      <c r="C1704" s="68"/>
      <c r="D1704" s="68">
        <v>45920.0</v>
      </c>
      <c r="E1704" s="66">
        <v>5.0</v>
      </c>
      <c r="F1704" s="66" t="str">
        <f>IFERROR(__xludf.DUMMYFUNCTION("GOOGLETRANSLATE(A1704,""en"",""pt"")"),"conduto")</f>
        <v>conduto</v>
      </c>
      <c r="G1704" s="66" t="s">
        <v>2210</v>
      </c>
    </row>
    <row r="1705" ht="22.5" customHeight="1">
      <c r="A1705" s="66" t="s">
        <v>2211</v>
      </c>
      <c r="B1705" s="67" t="str">
        <f t="shared" si="11"/>
        <v>M: it also</v>
      </c>
      <c r="C1705" s="68"/>
      <c r="D1705" s="68">
        <v>45920.0</v>
      </c>
      <c r="E1705" s="66">
        <v>6.0</v>
      </c>
      <c r="F1705" s="66" t="str">
        <f>IFERROR(__xludf.DUMMYFUNCTION("GOOGLETRANSLATE(A1705,""en"",""pt"")"),"também")</f>
        <v>também</v>
      </c>
      <c r="G1705" s="66" t="s">
        <v>2212</v>
      </c>
    </row>
    <row r="1706" ht="22.5" customHeight="1">
      <c r="A1706" s="66" t="s">
        <v>2213</v>
      </c>
      <c r="B1706" s="67" t="str">
        <f t="shared" si="11"/>
        <v>M: mitigate</v>
      </c>
      <c r="C1706" s="68"/>
      <c r="D1706" s="68">
        <v>45920.0</v>
      </c>
      <c r="E1706" s="66">
        <v>7.0</v>
      </c>
      <c r="F1706" s="66" t="str">
        <f>IFERROR(__xludf.DUMMYFUNCTION("GOOGLETRANSLATE(A1706,""en"",""pt"")"),"mitigar")</f>
        <v>mitigar</v>
      </c>
      <c r="G1706" s="66" t="s">
        <v>2214</v>
      </c>
    </row>
    <row r="1707" ht="22.5" customHeight="1">
      <c r="A1707" s="66" t="s">
        <v>2215</v>
      </c>
      <c r="B1707" s="67" t="str">
        <f t="shared" si="11"/>
        <v>M: unholy</v>
      </c>
      <c r="C1707" s="68"/>
      <c r="D1707" s="68">
        <v>45920.0</v>
      </c>
      <c r="E1707" s="66">
        <v>8.0</v>
      </c>
      <c r="F1707" s="66" t="str">
        <f>IFERROR(__xludf.DUMMYFUNCTION("GOOGLETRANSLATE(A1707,""en"",""pt"")"),"profano")</f>
        <v>profano</v>
      </c>
      <c r="G1707" s="66" t="s">
        <v>2216</v>
      </c>
    </row>
    <row r="1708" ht="22.5" customHeight="1">
      <c r="A1708" s="66" t="s">
        <v>2217</v>
      </c>
      <c r="B1708" s="67" t="str">
        <f t="shared" si="11"/>
        <v>M: presence</v>
      </c>
      <c r="C1708" s="68"/>
      <c r="D1708" s="68">
        <v>45920.0</v>
      </c>
      <c r="E1708" s="66">
        <v>9.0</v>
      </c>
      <c r="F1708" s="66" t="str">
        <f>IFERROR(__xludf.DUMMYFUNCTION("GOOGLETRANSLATE(A1708,""en"",""pt"")"),"presença")</f>
        <v>presença</v>
      </c>
      <c r="G1708" s="66" t="s">
        <v>2218</v>
      </c>
    </row>
    <row r="1709" ht="22.5" customHeight="1">
      <c r="A1709" s="66" t="s">
        <v>2219</v>
      </c>
      <c r="B1709" s="67" t="str">
        <f t="shared" si="11"/>
        <v>M: radius</v>
      </c>
      <c r="C1709" s="68"/>
      <c r="D1709" s="68">
        <v>45920.0</v>
      </c>
      <c r="E1709" s="66">
        <v>10.0</v>
      </c>
      <c r="F1709" s="66" t="str">
        <f>IFERROR(__xludf.DUMMYFUNCTION("GOOGLETRANSLATE(A1709,""en"",""pt"")"),"raio")</f>
        <v>raio</v>
      </c>
      <c r="G1709" s="66" t="s">
        <v>2220</v>
      </c>
    </row>
    <row r="1710" ht="22.5" customHeight="1">
      <c r="A1710" s="66" t="s">
        <v>2221</v>
      </c>
      <c r="B1710" s="67" t="str">
        <f t="shared" si="11"/>
        <v>M: ensure</v>
      </c>
      <c r="C1710" s="68"/>
      <c r="D1710" s="68">
        <v>45920.0</v>
      </c>
      <c r="E1710" s="66">
        <v>1.0</v>
      </c>
      <c r="F1710" s="66" t="str">
        <f>IFERROR(__xludf.DUMMYFUNCTION("GOOGLETRANSLATE(A1710,""en"",""pt"")"),"garantir")</f>
        <v>garantir</v>
      </c>
      <c r="G1710" s="66" t="s">
        <v>2222</v>
      </c>
    </row>
    <row r="1711" ht="22.5" customHeight="1">
      <c r="A1711" s="66" t="s">
        <v>2223</v>
      </c>
      <c r="B1711" s="67" t="str">
        <f t="shared" si="11"/>
        <v>M: downside</v>
      </c>
      <c r="C1711" s="66">
        <v>1.0</v>
      </c>
      <c r="D1711" s="68">
        <v>45920.0</v>
      </c>
      <c r="E1711" s="66">
        <v>2.0</v>
      </c>
      <c r="F1711" s="66" t="s">
        <v>2224</v>
      </c>
      <c r="G1711" s="66" t="s">
        <v>247</v>
      </c>
    </row>
    <row r="1712" ht="22.5" customHeight="1">
      <c r="A1712" s="66" t="s">
        <v>2225</v>
      </c>
      <c r="B1712" s="67" t="str">
        <f t="shared" si="11"/>
        <v>M: is that</v>
      </c>
      <c r="C1712" s="68"/>
      <c r="D1712" s="68">
        <v>45921.0</v>
      </c>
      <c r="E1712" s="66">
        <v>3.0</v>
      </c>
      <c r="F1712" s="66" t="str">
        <f>IFERROR(__xludf.DUMMYFUNCTION("GOOGLETRANSLATE(A1712,""en"",""pt"")"),"é isso")</f>
        <v>é isso</v>
      </c>
      <c r="G1712" s="66" t="s">
        <v>2226</v>
      </c>
    </row>
    <row r="1713" ht="22.5" customHeight="1">
      <c r="A1713" s="66" t="s">
        <v>2227</v>
      </c>
      <c r="B1713" s="67" t="str">
        <f t="shared" si="11"/>
        <v>M: augments</v>
      </c>
      <c r="C1713" s="66">
        <v>1.0</v>
      </c>
      <c r="D1713" s="68">
        <v>45921.0</v>
      </c>
      <c r="E1713" s="66">
        <v>4.0</v>
      </c>
      <c r="F1713" s="66" t="s">
        <v>2228</v>
      </c>
      <c r="G1713" s="66" t="s">
        <v>247</v>
      </c>
    </row>
    <row r="1714" ht="22.5" customHeight="1">
      <c r="A1714" s="66" t="s">
        <v>2229</v>
      </c>
      <c r="B1714" s="67" t="str">
        <f t="shared" si="11"/>
        <v>M: gigantic</v>
      </c>
      <c r="C1714" s="68"/>
      <c r="D1714" s="68">
        <v>45921.0</v>
      </c>
      <c r="E1714" s="66">
        <v>5.0</v>
      </c>
      <c r="F1714" s="66" t="str">
        <f>IFERROR(__xludf.DUMMYFUNCTION("GOOGLETRANSLATE(A1714,""en"",""pt"")"),"gigantesco")</f>
        <v>gigantesco</v>
      </c>
      <c r="G1714" s="66" t="s">
        <v>2230</v>
      </c>
    </row>
    <row r="1715" ht="22.5" customHeight="1">
      <c r="A1715" s="66" t="s">
        <v>2231</v>
      </c>
      <c r="B1715" s="67" t="str">
        <f t="shared" si="11"/>
        <v>M: gamma</v>
      </c>
      <c r="C1715" s="68"/>
      <c r="D1715" s="68">
        <v>45921.0</v>
      </c>
      <c r="E1715" s="66">
        <v>6.0</v>
      </c>
      <c r="F1715" s="66" t="str">
        <f>IFERROR(__xludf.DUMMYFUNCTION("GOOGLETRANSLATE(A1715,""en"",""pt"")"),"gama")</f>
        <v>gama</v>
      </c>
      <c r="G1715" s="66" t="s">
        <v>2232</v>
      </c>
    </row>
    <row r="1716" ht="22.5" customHeight="1">
      <c r="A1716" s="66" t="s">
        <v>2233</v>
      </c>
      <c r="B1716" s="67" t="str">
        <f t="shared" si="11"/>
        <v>M: core</v>
      </c>
      <c r="C1716" s="68"/>
      <c r="D1716" s="68">
        <v>45921.0</v>
      </c>
      <c r="E1716" s="66">
        <v>7.0</v>
      </c>
      <c r="F1716" s="66" t="str">
        <f>IFERROR(__xludf.DUMMYFUNCTION("GOOGLETRANSLATE(A1716,""en"",""pt"")"),"essencial")</f>
        <v>essencial</v>
      </c>
      <c r="G1716" s="66" t="s">
        <v>2234</v>
      </c>
    </row>
    <row r="1717" ht="22.5" customHeight="1">
      <c r="A1717" s="66" t="s">
        <v>2235</v>
      </c>
      <c r="B1717" s="67" t="str">
        <f t="shared" si="11"/>
        <v>M: skidrow</v>
      </c>
      <c r="C1717" s="68"/>
      <c r="D1717" s="68">
        <v>45921.0</v>
      </c>
      <c r="E1717" s="66">
        <v>8.0</v>
      </c>
      <c r="F1717" s="66" t="str">
        <f>IFERROR(__xludf.DUMMYFUNCTION("GOOGLETRANSLATE(A1717,""en"",""pt"")"),"skidrow")</f>
        <v>skidrow</v>
      </c>
      <c r="G1717" s="66" t="s">
        <v>2236</v>
      </c>
    </row>
    <row r="1718" ht="22.5" customHeight="1">
      <c r="A1718" s="66" t="s">
        <v>2237</v>
      </c>
      <c r="B1718" s="67" t="str">
        <f t="shared" si="11"/>
        <v>M: reloaded</v>
      </c>
      <c r="C1718" s="68"/>
      <c r="D1718" s="68">
        <v>45921.0</v>
      </c>
      <c r="E1718" s="66">
        <v>9.0</v>
      </c>
      <c r="F1718" s="66" t="str">
        <f>IFERROR(__xludf.DUMMYFUNCTION("GOOGLETRANSLATE(A1718,""en"",""pt"")"),"recarregado")</f>
        <v>recarregado</v>
      </c>
      <c r="G1718" s="66" t="s">
        <v>2238</v>
      </c>
    </row>
    <row r="1719" ht="22.5" customHeight="1">
      <c r="A1719" s="66" t="s">
        <v>2239</v>
      </c>
      <c r="B1719" s="67" t="str">
        <f t="shared" si="11"/>
        <v>M: needed</v>
      </c>
      <c r="C1719" s="68"/>
      <c r="D1719" s="68">
        <v>45921.0</v>
      </c>
      <c r="E1719" s="66">
        <v>10.0</v>
      </c>
      <c r="F1719" s="66" t="str">
        <f>IFERROR(__xludf.DUMMYFUNCTION("GOOGLETRANSLATE(A1719,""en"",""pt"")"),"necessário")</f>
        <v>necessário</v>
      </c>
      <c r="G1719" s="66" t="s">
        <v>2240</v>
      </c>
    </row>
    <row r="1720" ht="22.5" customHeight="1">
      <c r="A1720" s="66" t="s">
        <v>2241</v>
      </c>
      <c r="B1720" s="67" t="str">
        <f t="shared" si="11"/>
        <v>M: pleasent</v>
      </c>
      <c r="C1720" s="68"/>
      <c r="D1720" s="68">
        <v>45921.0</v>
      </c>
      <c r="E1720" s="66">
        <v>1.0</v>
      </c>
      <c r="F1720" s="66" t="str">
        <f>IFERROR(__xludf.DUMMYFUNCTION("GOOGLETRANSLATE(A1720,""en"",""pt"")"),"agradável")</f>
        <v>agradável</v>
      </c>
      <c r="G1720" s="66" t="s">
        <v>2242</v>
      </c>
    </row>
    <row r="1721" ht="22.5" customHeight="1">
      <c r="A1721" s="66" t="s">
        <v>2243</v>
      </c>
      <c r="B1721" s="67" t="str">
        <f t="shared" si="11"/>
        <v>M: treated</v>
      </c>
      <c r="C1721" s="68"/>
      <c r="D1721" s="68">
        <v>45921.0</v>
      </c>
      <c r="E1721" s="66">
        <v>2.0</v>
      </c>
      <c r="F1721" s="66" t="str">
        <f>IFERROR(__xludf.DUMMYFUNCTION("GOOGLETRANSLATE(A1721,""en"",""pt"")"),"tratado")</f>
        <v>tratado</v>
      </c>
      <c r="G1721" s="66" t="s">
        <v>2244</v>
      </c>
    </row>
    <row r="1722" ht="22.5" customHeight="1">
      <c r="A1722" s="66" t="s">
        <v>2245</v>
      </c>
      <c r="B1722" s="67" t="str">
        <f t="shared" si="11"/>
        <v>M: freezing</v>
      </c>
      <c r="C1722" s="68"/>
      <c r="D1722" s="68">
        <v>45922.0</v>
      </c>
      <c r="E1722" s="66">
        <v>3.0</v>
      </c>
      <c r="F1722" s="66" t="str">
        <f>IFERROR(__xludf.DUMMYFUNCTION("GOOGLETRANSLATE(A1722,""en"",""pt"")"),"congelamento")</f>
        <v>congelamento</v>
      </c>
      <c r="G1722" s="66" t="s">
        <v>2246</v>
      </c>
    </row>
    <row r="1723" ht="22.5" customHeight="1">
      <c r="A1723" s="66" t="s">
        <v>2247</v>
      </c>
      <c r="B1723" s="67" t="str">
        <f t="shared" si="11"/>
        <v>M: gut</v>
      </c>
      <c r="C1723" s="68"/>
      <c r="D1723" s="68">
        <v>45922.0</v>
      </c>
      <c r="E1723" s="66">
        <v>4.0</v>
      </c>
      <c r="F1723" s="66" t="str">
        <f>IFERROR(__xludf.DUMMYFUNCTION("GOOGLETRANSLATE(A1723,""en"",""pt"")"),"intestino")</f>
        <v>intestino</v>
      </c>
      <c r="G1723" s="66" t="s">
        <v>2248</v>
      </c>
    </row>
    <row r="1724" ht="22.5" customHeight="1">
      <c r="A1724" s="66" t="s">
        <v>2249</v>
      </c>
      <c r="B1724" s="67" t="str">
        <f t="shared" si="11"/>
        <v>M: mistake</v>
      </c>
      <c r="C1724" s="68"/>
      <c r="D1724" s="68">
        <v>45922.0</v>
      </c>
      <c r="E1724" s="66">
        <v>5.0</v>
      </c>
      <c r="F1724" s="66" t="str">
        <f>IFERROR(__xludf.DUMMYFUNCTION("GOOGLETRANSLATE(A1724,""en"",""pt"")"),"erro")</f>
        <v>erro</v>
      </c>
      <c r="G1724" s="66" t="s">
        <v>2250</v>
      </c>
    </row>
    <row r="1725" ht="22.5" customHeight="1">
      <c r="A1725" s="66" t="s">
        <v>2251</v>
      </c>
      <c r="B1725" s="67" t="str">
        <f t="shared" si="11"/>
        <v>M: slots</v>
      </c>
      <c r="C1725" s="68"/>
      <c r="D1725" s="68">
        <v>45922.0</v>
      </c>
      <c r="E1725" s="66">
        <v>6.0</v>
      </c>
      <c r="F1725" s="66" t="str">
        <f>IFERROR(__xludf.DUMMYFUNCTION("GOOGLETRANSLATE(A1725,""en"",""pt"")"),"caça-níqueis")</f>
        <v>caça-níqueis</v>
      </c>
      <c r="G1725" s="66" t="s">
        <v>2252</v>
      </c>
    </row>
    <row r="1726" ht="22.5" customHeight="1">
      <c r="A1726" s="66" t="s">
        <v>2253</v>
      </c>
      <c r="B1726" s="67" t="str">
        <f t="shared" si="11"/>
        <v>M: effigy</v>
      </c>
      <c r="C1726" s="68"/>
      <c r="D1726" s="68">
        <v>45922.0</v>
      </c>
      <c r="E1726" s="66">
        <v>7.0</v>
      </c>
      <c r="F1726" s="66" t="str">
        <f>IFERROR(__xludf.DUMMYFUNCTION("GOOGLETRANSLATE(A1726,""en"",""pt"")"),"efígie")</f>
        <v>efígie</v>
      </c>
      <c r="G1726" s="66" t="s">
        <v>2254</v>
      </c>
    </row>
    <row r="1727" ht="22.5" customHeight="1">
      <c r="A1727" s="66" t="s">
        <v>2255</v>
      </c>
      <c r="B1727" s="67" t="str">
        <f t="shared" si="11"/>
        <v>M: zealot</v>
      </c>
      <c r="C1727" s="68"/>
      <c r="D1727" s="68">
        <v>45922.0</v>
      </c>
      <c r="E1727" s="66">
        <v>8.0</v>
      </c>
      <c r="F1727" s="66" t="str">
        <f>IFERROR(__xludf.DUMMYFUNCTION("GOOGLETRANSLATE(A1727,""en"",""pt"")"),"fanático")</f>
        <v>fanático</v>
      </c>
      <c r="G1727" s="66" t="s">
        <v>2256</v>
      </c>
    </row>
    <row r="1728" ht="22.5" customHeight="1">
      <c r="A1728" s="66" t="s">
        <v>2257</v>
      </c>
      <c r="B1728" s="67" t="str">
        <f t="shared" si="11"/>
        <v>M: breach</v>
      </c>
      <c r="C1728" s="68"/>
      <c r="D1728" s="68">
        <v>45922.0</v>
      </c>
      <c r="E1728" s="66">
        <v>9.0</v>
      </c>
      <c r="F1728" s="66" t="str">
        <f>IFERROR(__xludf.DUMMYFUNCTION("GOOGLETRANSLATE(A1728,""en"",""pt"")"),"violação")</f>
        <v>violação</v>
      </c>
      <c r="G1728" s="66" t="s">
        <v>2258</v>
      </c>
    </row>
    <row r="1729" ht="22.5" customHeight="1">
      <c r="A1729" s="66" t="s">
        <v>2259</v>
      </c>
      <c r="B1729" s="67" t="str">
        <f t="shared" si="11"/>
        <v>M: grandpa</v>
      </c>
      <c r="C1729" s="68"/>
      <c r="D1729" s="68">
        <v>45922.0</v>
      </c>
      <c r="E1729" s="66">
        <v>10.0</v>
      </c>
      <c r="F1729" s="66" t="str">
        <f>IFERROR(__xludf.DUMMYFUNCTION("GOOGLETRANSLATE(A1729,""en"",""pt"")"),"avô")</f>
        <v>avô</v>
      </c>
      <c r="G1729" s="66" t="s">
        <v>2260</v>
      </c>
    </row>
    <row r="1730" ht="22.5" customHeight="1">
      <c r="A1730" s="66" t="s">
        <v>2261</v>
      </c>
      <c r="B1730" s="67" t="str">
        <f t="shared" si="11"/>
        <v>M: stringer</v>
      </c>
      <c r="C1730" s="66">
        <v>1.0</v>
      </c>
      <c r="D1730" s="68">
        <v>45922.0</v>
      </c>
      <c r="E1730" s="66">
        <v>1.0</v>
      </c>
      <c r="F1730" s="71" t="s">
        <v>2262</v>
      </c>
      <c r="G1730" s="66" t="s">
        <v>247</v>
      </c>
    </row>
    <row r="1731" ht="22.5" customHeight="1">
      <c r="A1731" s="66" t="s">
        <v>2263</v>
      </c>
      <c r="B1731" s="67" t="str">
        <f t="shared" si="11"/>
        <v>M: bonded</v>
      </c>
      <c r="C1731" s="68"/>
      <c r="D1731" s="68">
        <v>45922.0</v>
      </c>
      <c r="E1731" s="66">
        <v>2.0</v>
      </c>
      <c r="F1731" s="66" t="str">
        <f>IFERROR(__xludf.DUMMYFUNCTION("GOOGLETRANSLATE(A1731,""en"",""pt"")"),"ligado")</f>
        <v>ligado</v>
      </c>
      <c r="G1731" s="66" t="s">
        <v>2264</v>
      </c>
    </row>
    <row r="1732" ht="22.5" customHeight="1">
      <c r="A1732" s="66" t="s">
        <v>2265</v>
      </c>
      <c r="B1732" s="67" t="str">
        <f t="shared" si="11"/>
        <v>M: adress</v>
      </c>
      <c r="C1732" s="68"/>
      <c r="D1732" s="68">
        <v>45923.0</v>
      </c>
      <c r="E1732" s="66">
        <v>3.0</v>
      </c>
      <c r="F1732" s="66" t="str">
        <f>IFERROR(__xludf.DUMMYFUNCTION("GOOGLETRANSLATE(A1732,""en"",""pt"")"),"endereço")</f>
        <v>endereço</v>
      </c>
      <c r="G1732" s="66" t="s">
        <v>2266</v>
      </c>
    </row>
    <row r="1733" ht="22.5" customHeight="1">
      <c r="A1733" s="66" t="s">
        <v>2267</v>
      </c>
      <c r="B1733" s="67" t="str">
        <f t="shared" si="11"/>
        <v>M: coming up</v>
      </c>
      <c r="C1733" s="68"/>
      <c r="D1733" s="68">
        <v>45923.0</v>
      </c>
      <c r="E1733" s="66">
        <v>4.0</v>
      </c>
      <c r="F1733" s="66" t="str">
        <f>IFERROR(__xludf.DUMMYFUNCTION("GOOGLETRANSLATE(A1733,""en"",""pt"")"),"em breve")</f>
        <v>em breve</v>
      </c>
      <c r="G1733" s="66" t="s">
        <v>2268</v>
      </c>
    </row>
    <row r="1734" ht="22.5" customHeight="1">
      <c r="A1734" s="66" t="s">
        <v>2269</v>
      </c>
      <c r="B1734" s="67" t="str">
        <f t="shared" si="11"/>
        <v>M: days ago</v>
      </c>
      <c r="C1734" s="68"/>
      <c r="D1734" s="68">
        <v>45923.0</v>
      </c>
      <c r="E1734" s="66">
        <v>5.0</v>
      </c>
      <c r="F1734" s="66" t="str">
        <f>IFERROR(__xludf.DUMMYFUNCTION("GOOGLETRANSLATE(A1734,""en"",""pt"")"),"dias atrás")</f>
        <v>dias atrás</v>
      </c>
      <c r="G1734" s="66" t="s">
        <v>2270</v>
      </c>
    </row>
    <row r="1735" ht="22.5" customHeight="1">
      <c r="A1735" s="66" t="s">
        <v>2271</v>
      </c>
      <c r="B1735" s="67" t="str">
        <f t="shared" si="11"/>
        <v>M: riding</v>
      </c>
      <c r="C1735" s="68"/>
      <c r="D1735" s="68">
        <v>45923.0</v>
      </c>
      <c r="E1735" s="66">
        <v>6.0</v>
      </c>
      <c r="F1735" s="66" t="str">
        <f>IFERROR(__xludf.DUMMYFUNCTION("GOOGLETRANSLATE(A1735,""en"",""pt"")"),"cavalgando")</f>
        <v>cavalgando</v>
      </c>
      <c r="G1735" s="66" t="s">
        <v>2272</v>
      </c>
    </row>
    <row r="1736" ht="22.5" customHeight="1">
      <c r="A1736" s="66" t="s">
        <v>2273</v>
      </c>
      <c r="B1736" s="67" t="str">
        <f t="shared" si="11"/>
        <v>M: could've</v>
      </c>
      <c r="C1736" s="68"/>
      <c r="D1736" s="68">
        <v>45923.0</v>
      </c>
      <c r="E1736" s="66">
        <v>7.0</v>
      </c>
      <c r="F1736" s="66" t="str">
        <f>IFERROR(__xludf.DUMMYFUNCTION("GOOGLETRANSLATE(A1736,""en"",""pt"")"),"poderia ter")</f>
        <v>poderia ter</v>
      </c>
      <c r="G1736" s="66" t="s">
        <v>2274</v>
      </c>
    </row>
    <row r="1737" ht="22.5" customHeight="1">
      <c r="A1737" s="66" t="s">
        <v>2275</v>
      </c>
      <c r="B1737" s="67" t="str">
        <f t="shared" si="11"/>
        <v>M: curious</v>
      </c>
      <c r="C1737" s="68"/>
      <c r="D1737" s="68">
        <v>45923.0</v>
      </c>
      <c r="E1737" s="66">
        <v>8.0</v>
      </c>
      <c r="F1737" s="66" t="str">
        <f>IFERROR(__xludf.DUMMYFUNCTION("GOOGLETRANSLATE(A1737,""en"",""pt"")"),"curioso")</f>
        <v>curioso</v>
      </c>
      <c r="G1737" s="66" t="s">
        <v>2276</v>
      </c>
    </row>
    <row r="1738" ht="22.5" customHeight="1">
      <c r="A1738" s="66" t="s">
        <v>2277</v>
      </c>
      <c r="B1738" s="67" t="str">
        <f t="shared" si="11"/>
        <v>M: staring</v>
      </c>
      <c r="C1738" s="68"/>
      <c r="D1738" s="68">
        <v>45923.0</v>
      </c>
      <c r="E1738" s="66">
        <v>9.0</v>
      </c>
      <c r="F1738" s="66" t="str">
        <f>IFERROR(__xludf.DUMMYFUNCTION("GOOGLETRANSLATE(A1738,""en"",""pt"")"),"olhando fixamente")</f>
        <v>olhando fixamente</v>
      </c>
      <c r="G1738" s="66" t="s">
        <v>2278</v>
      </c>
    </row>
    <row r="1739" ht="22.5" customHeight="1">
      <c r="A1739" s="66" t="s">
        <v>2279</v>
      </c>
      <c r="B1739" s="67" t="str">
        <f t="shared" si="11"/>
        <v>M: overlooking</v>
      </c>
      <c r="C1739" s="68"/>
      <c r="D1739" s="68">
        <v>45923.0</v>
      </c>
      <c r="E1739" s="66">
        <v>10.0</v>
      </c>
      <c r="F1739" s="66" t="s">
        <v>2280</v>
      </c>
      <c r="G1739" s="66" t="s">
        <v>247</v>
      </c>
    </row>
    <row r="1740" ht="22.5" customHeight="1">
      <c r="A1740" s="66" t="s">
        <v>2281</v>
      </c>
      <c r="B1740" s="67" t="str">
        <f t="shared" si="11"/>
        <v>M: nap</v>
      </c>
      <c r="C1740" s="68"/>
      <c r="D1740" s="68">
        <v>45923.0</v>
      </c>
      <c r="E1740" s="66">
        <v>1.0</v>
      </c>
      <c r="F1740" s="66" t="str">
        <f>IFERROR(__xludf.DUMMYFUNCTION("GOOGLETRANSLATE(A1740,""en"",""pt"")"),"sesta")</f>
        <v>sesta</v>
      </c>
      <c r="G1740" s="66" t="s">
        <v>2282</v>
      </c>
    </row>
    <row r="1741" ht="22.5" customHeight="1">
      <c r="A1741" s="66" t="s">
        <v>2283</v>
      </c>
      <c r="B1741" s="67" t="str">
        <f t="shared" si="11"/>
        <v>M: how come?</v>
      </c>
      <c r="C1741" s="68"/>
      <c r="D1741" s="68">
        <v>45923.0</v>
      </c>
      <c r="E1741" s="66">
        <v>2.0</v>
      </c>
      <c r="F1741" s="66" t="str">
        <f>IFERROR(__xludf.DUMMYFUNCTION("GOOGLETRANSLATE(A1741,""en"",""pt"")"),"Por quê?")</f>
        <v>Por quê?</v>
      </c>
      <c r="G1741" s="66" t="s">
        <v>2284</v>
      </c>
    </row>
    <row r="1742" ht="22.5" customHeight="1">
      <c r="A1742" s="66" t="s">
        <v>2285</v>
      </c>
      <c r="B1742" s="67" t="str">
        <f t="shared" si="11"/>
        <v>M: rephrase</v>
      </c>
      <c r="C1742" s="68"/>
      <c r="D1742" s="68">
        <v>45924.0</v>
      </c>
      <c r="E1742" s="66">
        <v>3.0</v>
      </c>
      <c r="F1742" s="66" t="str">
        <f>IFERROR(__xludf.DUMMYFUNCTION("GOOGLETRANSLATE(A1742,""en"",""pt"")"),"reformular")</f>
        <v>reformular</v>
      </c>
      <c r="G1742" s="66" t="s">
        <v>2286</v>
      </c>
    </row>
    <row r="1743" ht="22.5" customHeight="1">
      <c r="A1743" s="66" t="s">
        <v>2287</v>
      </c>
      <c r="B1743" s="67" t="str">
        <f t="shared" si="11"/>
        <v>M: dudes</v>
      </c>
      <c r="C1743" s="68"/>
      <c r="D1743" s="68">
        <v>45924.0</v>
      </c>
      <c r="E1743" s="66">
        <v>4.0</v>
      </c>
      <c r="F1743" s="66" t="str">
        <f>IFERROR(__xludf.DUMMYFUNCTION("GOOGLETRANSLATE(A1743,""en"",""pt"")"),"caras")</f>
        <v>caras</v>
      </c>
      <c r="G1743" s="66" t="s">
        <v>2288</v>
      </c>
    </row>
    <row r="1744" ht="22.5" customHeight="1">
      <c r="A1744" s="66" t="s">
        <v>2289</v>
      </c>
      <c r="B1744" s="67" t="str">
        <f t="shared" si="11"/>
        <v>M: lying</v>
      </c>
      <c r="C1744" s="68"/>
      <c r="D1744" s="68">
        <v>45924.0</v>
      </c>
      <c r="E1744" s="66">
        <v>5.0</v>
      </c>
      <c r="F1744" s="66" t="str">
        <f>IFERROR(__xludf.DUMMYFUNCTION("GOOGLETRANSLATE(A1744,""en"",""pt"")"),"mentindo")</f>
        <v>mentindo</v>
      </c>
      <c r="G1744" s="66" t="s">
        <v>2290</v>
      </c>
    </row>
    <row r="1745" ht="22.5" customHeight="1">
      <c r="A1745" s="66" t="s">
        <v>2291</v>
      </c>
      <c r="B1745" s="67" t="str">
        <f t="shared" si="11"/>
        <v>M: exploiting</v>
      </c>
      <c r="C1745" s="68"/>
      <c r="D1745" s="68">
        <v>45924.0</v>
      </c>
      <c r="E1745" s="66">
        <v>6.0</v>
      </c>
      <c r="F1745" s="66" t="str">
        <f>IFERROR(__xludf.DUMMYFUNCTION("GOOGLETRANSLATE(A1745,""en"",""pt"")"),"explorando")</f>
        <v>explorando</v>
      </c>
      <c r="G1745" s="66" t="s">
        <v>2292</v>
      </c>
    </row>
    <row r="1746" ht="22.5" customHeight="1">
      <c r="A1746" s="66" t="s">
        <v>2293</v>
      </c>
      <c r="B1746" s="67" t="str">
        <f t="shared" si="11"/>
        <v>M: compelling</v>
      </c>
      <c r="C1746" s="68"/>
      <c r="D1746" s="68">
        <v>45924.0</v>
      </c>
      <c r="E1746" s="66">
        <v>7.0</v>
      </c>
      <c r="F1746" s="66" t="str">
        <f>IFERROR(__xludf.DUMMYFUNCTION("GOOGLETRANSLATE(A1746,""en"",""pt"")"),"atraente")</f>
        <v>atraente</v>
      </c>
      <c r="G1746" s="66" t="s">
        <v>2294</v>
      </c>
    </row>
    <row r="1747" ht="22.5" customHeight="1">
      <c r="A1747" s="66" t="s">
        <v>2295</v>
      </c>
      <c r="B1747" s="67" t="str">
        <f t="shared" si="11"/>
        <v>M: i got a</v>
      </c>
      <c r="C1747" s="68"/>
      <c r="D1747" s="68">
        <v>45924.0</v>
      </c>
      <c r="E1747" s="66">
        <v>8.0</v>
      </c>
      <c r="F1747" s="66" t="str">
        <f>IFERROR(__xludf.DUMMYFUNCTION("GOOGLETRANSLATE(A1747,""en"",""pt"")"),"Eu consegui um")</f>
        <v>Eu consegui um</v>
      </c>
      <c r="G1747" s="66" t="s">
        <v>2296</v>
      </c>
    </row>
    <row r="1748" ht="22.5" customHeight="1">
      <c r="A1748" s="66" t="s">
        <v>2297</v>
      </c>
      <c r="B1748" s="67" t="str">
        <f t="shared" si="11"/>
        <v>M: i got all night</v>
      </c>
      <c r="C1748" s="68"/>
      <c r="D1748" s="68">
        <v>45924.0</v>
      </c>
      <c r="E1748" s="66">
        <v>9.0</v>
      </c>
      <c r="F1748" s="66" t="str">
        <f>IFERROR(__xludf.DUMMYFUNCTION("GOOGLETRANSLATE(A1748,""en"",""pt"")"),"Tenho a noite toda")</f>
        <v>Tenho a noite toda</v>
      </c>
      <c r="G1748" s="66" t="s">
        <v>2298</v>
      </c>
    </row>
    <row r="1749" ht="22.5" customHeight="1">
      <c r="A1749" s="66" t="s">
        <v>2299</v>
      </c>
      <c r="B1749" s="67" t="str">
        <f t="shared" si="11"/>
        <v>M: pointed out</v>
      </c>
      <c r="C1749" s="68"/>
      <c r="D1749" s="68">
        <v>45924.0</v>
      </c>
      <c r="E1749" s="66">
        <v>10.0</v>
      </c>
      <c r="F1749" s="66" t="str">
        <f>IFERROR(__xludf.DUMMYFUNCTION("GOOGLETRANSLATE(A1749,""en"",""pt"")"),"apontou")</f>
        <v>apontou</v>
      </c>
      <c r="G1749" s="66" t="s">
        <v>2300</v>
      </c>
    </row>
    <row r="1750" ht="22.5" customHeight="1">
      <c r="A1750" s="66" t="s">
        <v>2301</v>
      </c>
      <c r="B1750" s="67" t="str">
        <f t="shared" si="11"/>
        <v>M: corner</v>
      </c>
      <c r="C1750" s="68"/>
      <c r="D1750" s="68">
        <v>45924.0</v>
      </c>
      <c r="E1750" s="66">
        <v>1.0</v>
      </c>
      <c r="F1750" s="66" t="str">
        <f>IFERROR(__xludf.DUMMYFUNCTION("GOOGLETRANSLATE(A1750,""en"",""pt"")"),"canto")</f>
        <v>canto</v>
      </c>
      <c r="G1750" s="66" t="s">
        <v>2302</v>
      </c>
    </row>
    <row r="1751" ht="22.5" customHeight="1">
      <c r="A1751" s="66" t="s">
        <v>2303</v>
      </c>
      <c r="B1751" s="67" t="str">
        <f t="shared" si="11"/>
        <v>M: assaulted</v>
      </c>
      <c r="C1751" s="66">
        <v>1.0</v>
      </c>
      <c r="D1751" s="68">
        <v>45924.0</v>
      </c>
      <c r="E1751" s="66">
        <v>2.0</v>
      </c>
      <c r="F1751" s="66" t="s">
        <v>2304</v>
      </c>
      <c r="G1751" s="66" t="s">
        <v>247</v>
      </c>
    </row>
    <row r="1752" ht="22.5" customHeight="1">
      <c r="A1752" s="66" t="s">
        <v>2305</v>
      </c>
      <c r="B1752" s="67" t="str">
        <f t="shared" si="11"/>
        <v>M: dodge</v>
      </c>
      <c r="C1752" s="66">
        <v>1.0</v>
      </c>
      <c r="D1752" s="68">
        <v>45925.0</v>
      </c>
      <c r="E1752" s="66">
        <v>3.0</v>
      </c>
      <c r="F1752" s="66" t="s">
        <v>2306</v>
      </c>
      <c r="G1752" s="66" t="s">
        <v>247</v>
      </c>
    </row>
    <row r="1753" ht="22.5" customHeight="1">
      <c r="A1753" s="66" t="s">
        <v>2307</v>
      </c>
      <c r="B1753" s="67" t="str">
        <f t="shared" si="11"/>
        <v>M: worse</v>
      </c>
      <c r="C1753" s="66">
        <v>1.0</v>
      </c>
      <c r="D1753" s="68">
        <v>45925.0</v>
      </c>
      <c r="E1753" s="66">
        <v>4.0</v>
      </c>
      <c r="F1753" s="66" t="s">
        <v>2308</v>
      </c>
      <c r="G1753" s="66" t="s">
        <v>247</v>
      </c>
    </row>
    <row r="1754" ht="22.5" customHeight="1">
      <c r="A1754" s="66" t="s">
        <v>2309</v>
      </c>
      <c r="B1754" s="67" t="str">
        <f t="shared" si="11"/>
        <v>M: making this up</v>
      </c>
      <c r="C1754" s="66">
        <v>1.0</v>
      </c>
      <c r="D1754" s="68">
        <v>45925.0</v>
      </c>
      <c r="E1754" s="66">
        <v>5.0</v>
      </c>
      <c r="F1754" s="66" t="s">
        <v>2310</v>
      </c>
      <c r="G1754" s="66" t="s">
        <v>247</v>
      </c>
    </row>
    <row r="1755" ht="22.5" customHeight="1">
      <c r="A1755" s="66" t="s">
        <v>2311</v>
      </c>
      <c r="B1755" s="67" t="str">
        <f t="shared" si="11"/>
        <v>M: rethink</v>
      </c>
      <c r="C1755" s="68"/>
      <c r="D1755" s="68">
        <v>45925.0</v>
      </c>
      <c r="E1755" s="66">
        <v>6.0</v>
      </c>
      <c r="F1755" s="66" t="str">
        <f>IFERROR(__xludf.DUMMYFUNCTION("GOOGLETRANSLATE(A1755,""en"",""pt"")"),"repensar")</f>
        <v>repensar</v>
      </c>
      <c r="G1755" s="66" t="s">
        <v>2312</v>
      </c>
    </row>
    <row r="1756" ht="22.5" customHeight="1">
      <c r="A1756" s="66" t="s">
        <v>2313</v>
      </c>
      <c r="B1756" s="67" t="str">
        <f t="shared" si="11"/>
        <v>M: haunt</v>
      </c>
      <c r="C1756" s="68"/>
      <c r="D1756" s="68">
        <v>45925.0</v>
      </c>
      <c r="E1756" s="66">
        <v>7.0</v>
      </c>
      <c r="F1756" s="66" t="str">
        <f>IFERROR(__xludf.DUMMYFUNCTION("GOOGLETRANSLATE(A1756,""en"",""pt"")"),"assombrar")</f>
        <v>assombrar</v>
      </c>
      <c r="G1756" s="66" t="s">
        <v>2314</v>
      </c>
    </row>
    <row r="1757" ht="22.5" customHeight="1">
      <c r="A1757" s="66" t="s">
        <v>2315</v>
      </c>
      <c r="B1757" s="67" t="str">
        <f t="shared" si="11"/>
        <v>M: screw it</v>
      </c>
      <c r="C1757" s="68"/>
      <c r="D1757" s="68">
        <v>45925.0</v>
      </c>
      <c r="E1757" s="66">
        <v>8.0</v>
      </c>
      <c r="F1757" s="66" t="str">
        <f>IFERROR(__xludf.DUMMYFUNCTION("GOOGLETRANSLATE(A1757,""en"",""pt"")"),"que se dane")</f>
        <v>que se dane</v>
      </c>
      <c r="G1757" s="66" t="s">
        <v>2316</v>
      </c>
    </row>
    <row r="1758" ht="22.5" customHeight="1">
      <c r="A1758" s="66" t="s">
        <v>2317</v>
      </c>
      <c r="B1758" s="67" t="str">
        <f t="shared" si="11"/>
        <v>M: threatening</v>
      </c>
      <c r="C1758" s="68"/>
      <c r="D1758" s="68">
        <v>45925.0</v>
      </c>
      <c r="E1758" s="66">
        <v>9.0</v>
      </c>
      <c r="F1758" s="66" t="str">
        <f>IFERROR(__xludf.DUMMYFUNCTION("GOOGLETRANSLATE(A1758,""en"",""pt"")"),"ameaçador")</f>
        <v>ameaçador</v>
      </c>
      <c r="G1758" s="66" t="s">
        <v>2318</v>
      </c>
    </row>
    <row r="1759" ht="22.5" customHeight="1">
      <c r="A1759" s="66" t="s">
        <v>2319</v>
      </c>
      <c r="B1759" s="67" t="str">
        <f t="shared" si="11"/>
        <v>M: liars</v>
      </c>
      <c r="C1759" s="68"/>
      <c r="D1759" s="68">
        <v>45925.0</v>
      </c>
      <c r="E1759" s="66">
        <v>10.0</v>
      </c>
      <c r="F1759" s="66" t="str">
        <f>IFERROR(__xludf.DUMMYFUNCTION("GOOGLETRANSLATE(A1759,""en"",""pt"")"),"mentirosos")</f>
        <v>mentirosos</v>
      </c>
      <c r="G1759" s="66" t="s">
        <v>2320</v>
      </c>
    </row>
    <row r="1760" ht="22.5" customHeight="1">
      <c r="A1760" s="66" t="s">
        <v>2321</v>
      </c>
      <c r="B1760" s="67" t="str">
        <f t="shared" si="11"/>
        <v>M: cared</v>
      </c>
      <c r="C1760" s="68"/>
      <c r="D1760" s="68">
        <v>45925.0</v>
      </c>
      <c r="E1760" s="66">
        <v>1.0</v>
      </c>
      <c r="F1760" s="66" t="str">
        <f>IFERROR(__xludf.DUMMYFUNCTION("GOOGLETRANSLATE(A1760,""en"",""pt"")"),"se importava")</f>
        <v>se importava</v>
      </c>
      <c r="G1760" s="66" t="s">
        <v>2322</v>
      </c>
    </row>
    <row r="1761" ht="22.5" customHeight="1">
      <c r="A1761" s="66" t="s">
        <v>2323</v>
      </c>
      <c r="B1761" s="67" t="str">
        <f t="shared" si="11"/>
        <v>M: took care of it</v>
      </c>
      <c r="C1761" s="66">
        <v>1.0</v>
      </c>
      <c r="D1761" s="68">
        <v>45925.0</v>
      </c>
      <c r="E1761" s="66">
        <v>2.0</v>
      </c>
      <c r="F1761" s="66" t="s">
        <v>2324</v>
      </c>
      <c r="G1761" s="66" t="s">
        <v>247</v>
      </c>
    </row>
    <row r="1762" ht="22.5" customHeight="1">
      <c r="A1762" s="66" t="s">
        <v>2325</v>
      </c>
      <c r="B1762" s="67" t="str">
        <f t="shared" si="11"/>
        <v>M: get rid</v>
      </c>
      <c r="C1762" s="66">
        <v>1.0</v>
      </c>
      <c r="D1762" s="68">
        <v>45926.0</v>
      </c>
      <c r="E1762" s="66">
        <v>3.0</v>
      </c>
      <c r="F1762" s="71" t="s">
        <v>2326</v>
      </c>
      <c r="G1762" s="66" t="s">
        <v>247</v>
      </c>
    </row>
    <row r="1763" ht="22.5" customHeight="1">
      <c r="A1763" s="66" t="s">
        <v>2327</v>
      </c>
      <c r="B1763" s="67" t="str">
        <f t="shared" si="11"/>
        <v>M: afterwards</v>
      </c>
      <c r="C1763" s="66">
        <v>1.0</v>
      </c>
      <c r="D1763" s="68">
        <v>45926.0</v>
      </c>
      <c r="E1763" s="66">
        <v>4.0</v>
      </c>
      <c r="F1763" s="71" t="s">
        <v>2328</v>
      </c>
      <c r="G1763" s="66" t="s">
        <v>247</v>
      </c>
    </row>
    <row r="1764" ht="22.5" customHeight="1">
      <c r="A1764" s="66" t="s">
        <v>2329</v>
      </c>
      <c r="B1764" s="67" t="str">
        <f t="shared" si="11"/>
        <v>M: prosecutor</v>
      </c>
      <c r="C1764" s="68"/>
      <c r="D1764" s="68">
        <v>45926.0</v>
      </c>
      <c r="E1764" s="66">
        <v>5.0</v>
      </c>
      <c r="F1764" s="66" t="str">
        <f>IFERROR(__xludf.DUMMYFUNCTION("GOOGLETRANSLATE(A1764,""en"",""pt"")"),"promotor")</f>
        <v>promotor</v>
      </c>
      <c r="G1764" s="66" t="s">
        <v>2330</v>
      </c>
    </row>
    <row r="1765" ht="22.5" customHeight="1">
      <c r="A1765" s="66" t="s">
        <v>2331</v>
      </c>
      <c r="B1765" s="67" t="str">
        <f t="shared" si="11"/>
        <v>M: accomplice</v>
      </c>
      <c r="C1765" s="68"/>
      <c r="D1765" s="68">
        <v>45926.0</v>
      </c>
      <c r="E1765" s="66">
        <v>6.0</v>
      </c>
      <c r="F1765" s="66" t="str">
        <f>IFERROR(__xludf.DUMMYFUNCTION("GOOGLETRANSLATE(A1765,""en"",""pt"")"),"cúmplice")</f>
        <v>cúmplice</v>
      </c>
      <c r="G1765" s="66" t="s">
        <v>2332</v>
      </c>
    </row>
    <row r="1766" ht="22.5" customHeight="1">
      <c r="A1766" s="66" t="s">
        <v>2333</v>
      </c>
      <c r="B1766" s="67" t="str">
        <f t="shared" si="11"/>
        <v>M: warrant</v>
      </c>
      <c r="C1766" s="68"/>
      <c r="D1766" s="68">
        <v>45926.0</v>
      </c>
      <c r="E1766" s="66">
        <v>7.0</v>
      </c>
      <c r="F1766" s="66" t="str">
        <f>IFERROR(__xludf.DUMMYFUNCTION("GOOGLETRANSLATE(A1766,""en"",""pt"")"),"mandado")</f>
        <v>mandado</v>
      </c>
      <c r="G1766" s="66" t="s">
        <v>2334</v>
      </c>
    </row>
    <row r="1767" ht="22.5" customHeight="1">
      <c r="A1767" s="66" t="s">
        <v>2335</v>
      </c>
      <c r="B1767" s="67" t="str">
        <f t="shared" si="11"/>
        <v>M: locked up</v>
      </c>
      <c r="C1767" s="68"/>
      <c r="D1767" s="68">
        <v>45926.0</v>
      </c>
      <c r="E1767" s="66">
        <v>8.0</v>
      </c>
      <c r="F1767" s="66" t="str">
        <f>IFERROR(__xludf.DUMMYFUNCTION("GOOGLETRANSLATE(A1767,""en"",""pt"")"),"preso")</f>
        <v>preso</v>
      </c>
      <c r="G1767" s="66" t="s">
        <v>2336</v>
      </c>
    </row>
    <row r="1768" ht="22.5" customHeight="1">
      <c r="A1768" s="66" t="s">
        <v>2337</v>
      </c>
      <c r="B1768" s="67" t="str">
        <f t="shared" si="11"/>
        <v>M: capable</v>
      </c>
      <c r="C1768" s="68"/>
      <c r="D1768" s="68">
        <v>45926.0</v>
      </c>
      <c r="E1768" s="66">
        <v>9.0</v>
      </c>
      <c r="F1768" s="66" t="str">
        <f>IFERROR(__xludf.DUMMYFUNCTION("GOOGLETRANSLATE(A1768,""en"",""pt"")"),"capaz")</f>
        <v>capaz</v>
      </c>
      <c r="G1768" s="66" t="s">
        <v>2338</v>
      </c>
    </row>
    <row r="1769" ht="22.5" customHeight="1">
      <c r="A1769" s="66" t="s">
        <v>2339</v>
      </c>
      <c r="B1769" s="67" t="str">
        <f t="shared" si="11"/>
        <v>M: plea</v>
      </c>
      <c r="C1769" s="68"/>
      <c r="D1769" s="68">
        <v>45926.0</v>
      </c>
      <c r="E1769" s="66">
        <v>10.0</v>
      </c>
      <c r="F1769" s="66" t="str">
        <f>IFERROR(__xludf.DUMMYFUNCTION("GOOGLETRANSLATE(A1769,""en"",""pt"")"),"declarar")</f>
        <v>declarar</v>
      </c>
      <c r="G1769" s="66" t="s">
        <v>2340</v>
      </c>
    </row>
    <row r="1770" ht="22.5" customHeight="1">
      <c r="A1770" s="66" t="s">
        <v>2341</v>
      </c>
      <c r="B1770" s="67" t="str">
        <f t="shared" si="11"/>
        <v>M: psychiatrist</v>
      </c>
      <c r="C1770" s="68"/>
      <c r="D1770" s="68">
        <v>45926.0</v>
      </c>
      <c r="E1770" s="66">
        <v>1.0</v>
      </c>
      <c r="F1770" s="66" t="str">
        <f>IFERROR(__xludf.DUMMYFUNCTION("GOOGLETRANSLATE(A1770,""en"",""pt"")"),"psiquiatra")</f>
        <v>psiquiatra</v>
      </c>
      <c r="G1770" s="66" t="s">
        <v>2342</v>
      </c>
    </row>
    <row r="1771" ht="22.5" customHeight="1">
      <c r="A1771" s="66" t="s">
        <v>2343</v>
      </c>
      <c r="B1771" s="67" t="str">
        <f t="shared" si="11"/>
        <v>M: who've</v>
      </c>
      <c r="C1771" s="68"/>
      <c r="D1771" s="68">
        <v>45926.0</v>
      </c>
      <c r="E1771" s="66">
        <v>2.0</v>
      </c>
      <c r="F1771" s="66" t="str">
        <f>IFERROR(__xludf.DUMMYFUNCTION("GOOGLETRANSLATE(A1771,""en"",""pt"")"),"que têm")</f>
        <v>que têm</v>
      </c>
      <c r="G1771" s="66" t="s">
        <v>2344</v>
      </c>
    </row>
    <row r="1772" ht="22.5" customHeight="1">
      <c r="A1772" s="66" t="s">
        <v>2345</v>
      </c>
      <c r="B1772" s="67" t="str">
        <f t="shared" si="11"/>
        <v>M: unbleached </v>
      </c>
      <c r="C1772" s="66">
        <v>1.0</v>
      </c>
      <c r="D1772" s="68">
        <v>45927.0</v>
      </c>
      <c r="E1772" s="66">
        <v>3.0</v>
      </c>
      <c r="F1772" s="71" t="s">
        <v>2346</v>
      </c>
      <c r="G1772" s="66" t="s">
        <v>247</v>
      </c>
    </row>
    <row r="1773" ht="22.5" customHeight="1">
      <c r="A1773" s="66" t="s">
        <v>2347</v>
      </c>
      <c r="B1773" s="67" t="str">
        <f t="shared" si="11"/>
        <v>M: addiction</v>
      </c>
      <c r="C1773" s="68"/>
      <c r="D1773" s="68">
        <v>45927.0</v>
      </c>
      <c r="E1773" s="66">
        <v>4.0</v>
      </c>
      <c r="F1773" s="66" t="str">
        <f>IFERROR(__xludf.DUMMYFUNCTION("GOOGLETRANSLATE(A1773,""en"",""pt"")"),"vício")</f>
        <v>vício</v>
      </c>
      <c r="G1773" s="66" t="s">
        <v>2348</v>
      </c>
    </row>
    <row r="1774" ht="22.5" customHeight="1">
      <c r="A1774" s="66" t="s">
        <v>2349</v>
      </c>
      <c r="B1774" s="67" t="str">
        <f t="shared" si="11"/>
        <v>M: ravaged</v>
      </c>
      <c r="C1774" s="68"/>
      <c r="D1774" s="68">
        <v>45927.0</v>
      </c>
      <c r="E1774" s="66">
        <v>5.0</v>
      </c>
      <c r="F1774" s="66" t="str">
        <f>IFERROR(__xludf.DUMMYFUNCTION("GOOGLETRANSLATE(A1774,""en"",""pt"")"),"devastado")</f>
        <v>devastado</v>
      </c>
      <c r="G1774" s="66" t="s">
        <v>2350</v>
      </c>
    </row>
    <row r="1775" ht="22.5" customHeight="1">
      <c r="A1775" s="66" t="s">
        <v>2351</v>
      </c>
      <c r="B1775" s="67" t="str">
        <f t="shared" si="11"/>
        <v>M: cheaper</v>
      </c>
      <c r="C1775" s="68"/>
      <c r="D1775" s="68">
        <v>45927.0</v>
      </c>
      <c r="E1775" s="66">
        <v>6.0</v>
      </c>
      <c r="F1775" s="66" t="str">
        <f>IFERROR(__xludf.DUMMYFUNCTION("GOOGLETRANSLATE(A1775,""en"",""pt"")"),"mais barato")</f>
        <v>mais barato</v>
      </c>
      <c r="G1775" s="66" t="s">
        <v>2352</v>
      </c>
    </row>
    <row r="1776" ht="22.5" customHeight="1">
      <c r="A1776" s="66" t="s">
        <v>2353</v>
      </c>
      <c r="B1776" s="67" t="str">
        <f t="shared" si="11"/>
        <v>M: from then on</v>
      </c>
      <c r="C1776" s="68"/>
      <c r="D1776" s="68">
        <v>45927.0</v>
      </c>
      <c r="E1776" s="66">
        <v>7.0</v>
      </c>
      <c r="F1776" s="66" t="str">
        <f>IFERROR(__xludf.DUMMYFUNCTION("GOOGLETRANSLATE(A1776,""en"",""pt"")"),"a partir de então")</f>
        <v>a partir de então</v>
      </c>
      <c r="G1776" s="66" t="s">
        <v>2354</v>
      </c>
    </row>
    <row r="1777" ht="22.5" customHeight="1">
      <c r="A1777" s="66" t="s">
        <v>2355</v>
      </c>
      <c r="B1777" s="67" t="str">
        <f t="shared" si="11"/>
        <v>M: archetype</v>
      </c>
      <c r="C1777" s="68"/>
      <c r="D1777" s="68">
        <v>45927.0</v>
      </c>
      <c r="E1777" s="66">
        <v>8.0</v>
      </c>
      <c r="F1777" s="66" t="str">
        <f>IFERROR(__xludf.DUMMYFUNCTION("GOOGLETRANSLATE(A1777,""en"",""pt"")"),"arquétipo")</f>
        <v>arquétipo</v>
      </c>
      <c r="G1777" s="66" t="s">
        <v>2356</v>
      </c>
    </row>
    <row r="1778" ht="22.5" customHeight="1">
      <c r="A1778" s="66" t="s">
        <v>2357</v>
      </c>
      <c r="B1778" s="67" t="str">
        <f t="shared" si="11"/>
        <v>M: sober</v>
      </c>
      <c r="C1778" s="66">
        <v>1.0</v>
      </c>
      <c r="D1778" s="68">
        <v>45927.0</v>
      </c>
      <c r="E1778" s="66">
        <v>9.0</v>
      </c>
      <c r="F1778" s="66" t="s">
        <v>2358</v>
      </c>
      <c r="G1778" s="66" t="s">
        <v>247</v>
      </c>
    </row>
    <row r="1779" ht="22.5" customHeight="1">
      <c r="A1779" s="66" t="s">
        <v>2359</v>
      </c>
      <c r="B1779" s="67" t="str">
        <f t="shared" si="11"/>
        <v>M: pronged</v>
      </c>
      <c r="C1779" s="68"/>
      <c r="D1779" s="68">
        <v>45927.0</v>
      </c>
      <c r="E1779" s="66">
        <v>10.0</v>
      </c>
      <c r="F1779" s="66" t="str">
        <f>IFERROR(__xludf.DUMMYFUNCTION("GOOGLETRANSLATE(A1779,""en"",""pt"")"),"com pontas")</f>
        <v>com pontas</v>
      </c>
      <c r="G1779" s="66" t="s">
        <v>2360</v>
      </c>
    </row>
    <row r="1780" ht="22.5" customHeight="1">
      <c r="A1780" s="66" t="s">
        <v>2361</v>
      </c>
      <c r="B1780" s="67" t="str">
        <f t="shared" si="11"/>
        <v>M: approach</v>
      </c>
      <c r="C1780" s="68"/>
      <c r="D1780" s="68">
        <v>45927.0</v>
      </c>
      <c r="E1780" s="66">
        <v>1.0</v>
      </c>
      <c r="F1780" s="66" t="str">
        <f>IFERROR(__xludf.DUMMYFUNCTION("GOOGLETRANSLATE(A1780,""en"",""pt"")"),"abordagem")</f>
        <v>abordagem</v>
      </c>
      <c r="G1780" s="66" t="s">
        <v>2362</v>
      </c>
    </row>
    <row r="1781" ht="22.5" customHeight="1">
      <c r="A1781" s="66" t="s">
        <v>2363</v>
      </c>
      <c r="B1781" s="67" t="str">
        <f t="shared" si="11"/>
        <v>M: dealer</v>
      </c>
      <c r="C1781" s="68"/>
      <c r="D1781" s="68">
        <v>45927.0</v>
      </c>
      <c r="E1781" s="66">
        <v>2.0</v>
      </c>
      <c r="F1781" s="66" t="str">
        <f>IFERROR(__xludf.DUMMYFUNCTION("GOOGLETRANSLATE(A1781,""en"",""pt"")"),"distribuidor")</f>
        <v>distribuidor</v>
      </c>
      <c r="G1781" s="66" t="s">
        <v>2364</v>
      </c>
    </row>
    <row r="1782" ht="22.5" customHeight="1">
      <c r="A1782" s="66" t="s">
        <v>2365</v>
      </c>
      <c r="B1782" s="67" t="str">
        <f t="shared" si="11"/>
        <v>M: drum</v>
      </c>
      <c r="C1782" s="68"/>
      <c r="D1782" s="68">
        <v>45928.0</v>
      </c>
      <c r="E1782" s="66">
        <v>3.0</v>
      </c>
      <c r="F1782" s="66" t="str">
        <f>IFERROR(__xludf.DUMMYFUNCTION("GOOGLETRANSLATE(A1782,""en"",""pt"")"),"tambor")</f>
        <v>tambor</v>
      </c>
      <c r="G1782" s="66" t="s">
        <v>2366</v>
      </c>
    </row>
    <row r="1783" ht="22.5" customHeight="1">
      <c r="A1783" s="66" t="s">
        <v>2367</v>
      </c>
      <c r="B1783" s="67" t="str">
        <f t="shared" si="11"/>
        <v>M: contestant</v>
      </c>
      <c r="C1783" s="68"/>
      <c r="D1783" s="68">
        <v>45928.0</v>
      </c>
      <c r="E1783" s="66">
        <v>4.0</v>
      </c>
      <c r="F1783" s="66" t="str">
        <f>IFERROR(__xludf.DUMMYFUNCTION("GOOGLETRANSLATE(A1783,""en"",""pt"")"),"concorrente")</f>
        <v>concorrente</v>
      </c>
      <c r="G1783" s="66" t="s">
        <v>2368</v>
      </c>
    </row>
    <row r="1784" ht="22.5" customHeight="1">
      <c r="A1784" s="66" t="s">
        <v>2369</v>
      </c>
      <c r="B1784" s="67" t="str">
        <f t="shared" si="11"/>
        <v>M: contest</v>
      </c>
      <c r="C1784" s="66">
        <v>1.0</v>
      </c>
      <c r="D1784" s="68">
        <v>45928.0</v>
      </c>
      <c r="E1784" s="66">
        <v>5.0</v>
      </c>
      <c r="F1784" s="66" t="s">
        <v>2370</v>
      </c>
      <c r="G1784" s="66" t="s">
        <v>247</v>
      </c>
    </row>
    <row r="1785" ht="22.5" customHeight="1">
      <c r="A1785" s="66" t="s">
        <v>2371</v>
      </c>
      <c r="B1785" s="67" t="str">
        <f t="shared" si="11"/>
        <v>M: backdrop</v>
      </c>
      <c r="C1785" s="66">
        <v>1.0</v>
      </c>
      <c r="D1785" s="68">
        <v>45928.0</v>
      </c>
      <c r="E1785" s="66">
        <v>6.0</v>
      </c>
      <c r="F1785" s="71" t="s">
        <v>2372</v>
      </c>
      <c r="G1785" s="66" t="s">
        <v>247</v>
      </c>
    </row>
    <row r="1786" ht="22.5" customHeight="1">
      <c r="A1786" s="66" t="s">
        <v>2373</v>
      </c>
      <c r="B1786" s="67" t="str">
        <f t="shared" si="11"/>
        <v>M: he'll</v>
      </c>
      <c r="C1786" s="66">
        <v>1.0</v>
      </c>
      <c r="D1786" s="68">
        <v>45928.0</v>
      </c>
      <c r="E1786" s="66">
        <v>7.0</v>
      </c>
      <c r="F1786" s="66" t="s">
        <v>2374</v>
      </c>
      <c r="G1786" s="66" t="s">
        <v>247</v>
      </c>
    </row>
    <row r="1787" ht="22.5" customHeight="1">
      <c r="A1787" s="66" t="s">
        <v>2375</v>
      </c>
      <c r="B1787" s="67" t="str">
        <f t="shared" si="11"/>
        <v>M: coke</v>
      </c>
      <c r="C1787" s="66">
        <v>1.0</v>
      </c>
      <c r="D1787" s="68">
        <v>45928.0</v>
      </c>
      <c r="E1787" s="66">
        <v>8.0</v>
      </c>
      <c r="F1787" s="66" t="s">
        <v>2376</v>
      </c>
      <c r="G1787" s="66" t="s">
        <v>247</v>
      </c>
    </row>
    <row r="1788" ht="22.5" customHeight="1">
      <c r="A1788" s="66" t="s">
        <v>2377</v>
      </c>
      <c r="B1788" s="67" t="str">
        <f t="shared" si="11"/>
        <v>M: gnawing</v>
      </c>
      <c r="C1788" s="66">
        <v>1.0</v>
      </c>
      <c r="D1788" s="68">
        <v>45928.0</v>
      </c>
      <c r="E1788" s="66">
        <v>9.0</v>
      </c>
      <c r="F1788" s="66" t="s">
        <v>2378</v>
      </c>
      <c r="G1788" s="66" t="s">
        <v>247</v>
      </c>
    </row>
    <row r="1789" ht="22.5" customHeight="1">
      <c r="A1789" s="66" t="s">
        <v>2379</v>
      </c>
      <c r="B1789" s="67" t="str">
        <f t="shared" si="11"/>
        <v>M: kicked me out</v>
      </c>
      <c r="C1789" s="68"/>
      <c r="D1789" s="68">
        <v>45928.0</v>
      </c>
      <c r="E1789" s="66">
        <v>10.0</v>
      </c>
      <c r="F1789" s="66" t="str">
        <f>IFERROR(__xludf.DUMMYFUNCTION("GOOGLETRANSLATE(A1789,""en"",""pt"")"),"me expulsaram")</f>
        <v>me expulsaram</v>
      </c>
      <c r="G1789" s="66" t="s">
        <v>2380</v>
      </c>
    </row>
    <row r="1790" ht="22.5" customHeight="1">
      <c r="A1790" s="66" t="s">
        <v>2381</v>
      </c>
      <c r="B1790" s="67" t="str">
        <f t="shared" si="11"/>
        <v>M: digs</v>
      </c>
      <c r="C1790" s="66">
        <v>1.0</v>
      </c>
      <c r="D1790" s="68">
        <v>45928.0</v>
      </c>
      <c r="E1790" s="66">
        <v>1.0</v>
      </c>
      <c r="F1790" s="71" t="s">
        <v>2382</v>
      </c>
      <c r="G1790" s="66" t="s">
        <v>247</v>
      </c>
    </row>
    <row r="1791" ht="22.5" customHeight="1">
      <c r="A1791" s="66" t="s">
        <v>2383</v>
      </c>
      <c r="B1791" s="67" t="str">
        <f t="shared" si="11"/>
        <v>M: copper</v>
      </c>
      <c r="C1791" s="68"/>
      <c r="D1791" s="68">
        <v>45928.0</v>
      </c>
      <c r="E1791" s="66">
        <v>2.0</v>
      </c>
      <c r="F1791" s="66" t="str">
        <f>IFERROR(__xludf.DUMMYFUNCTION("GOOGLETRANSLATE(A1791,""en"",""pt"")"),"cobre")</f>
        <v>cobre</v>
      </c>
      <c r="G1791" s="66" t="s">
        <v>2384</v>
      </c>
    </row>
    <row r="1792" ht="22.5" customHeight="1">
      <c r="A1792" s="66" t="s">
        <v>2385</v>
      </c>
      <c r="B1792" s="67" t="str">
        <f t="shared" si="11"/>
        <v>M: swore</v>
      </c>
      <c r="C1792" s="68"/>
      <c r="D1792" s="68">
        <v>45929.0</v>
      </c>
      <c r="E1792" s="66">
        <v>3.0</v>
      </c>
      <c r="F1792" s="66" t="str">
        <f>IFERROR(__xludf.DUMMYFUNCTION("GOOGLETRANSLATE(A1792,""en"",""pt"")"),"jurou")</f>
        <v>jurou</v>
      </c>
      <c r="G1792" s="66" t="s">
        <v>2386</v>
      </c>
    </row>
    <row r="1793" ht="22.5" customHeight="1">
      <c r="A1793" s="66" t="s">
        <v>2387</v>
      </c>
      <c r="B1793" s="67" t="str">
        <f t="shared" si="11"/>
        <v>M: snowing</v>
      </c>
      <c r="C1793" s="68"/>
      <c r="D1793" s="68">
        <v>45929.0</v>
      </c>
      <c r="E1793" s="66">
        <v>4.0</v>
      </c>
      <c r="F1793" s="66" t="str">
        <f>IFERROR(__xludf.DUMMYFUNCTION("GOOGLETRANSLATE(A1793,""en"",""pt"")"),"nevando")</f>
        <v>nevando</v>
      </c>
      <c r="G1793" s="66" t="s">
        <v>2388</v>
      </c>
    </row>
    <row r="1794" ht="22.5" customHeight="1">
      <c r="A1794" s="66" t="s">
        <v>2389</v>
      </c>
      <c r="B1794" s="67" t="str">
        <f t="shared" si="11"/>
        <v>M: homeless</v>
      </c>
      <c r="C1794" s="68"/>
      <c r="D1794" s="68">
        <v>45929.0</v>
      </c>
      <c r="E1794" s="66">
        <v>5.0</v>
      </c>
      <c r="F1794" s="66" t="str">
        <f>IFERROR(__xludf.DUMMYFUNCTION("GOOGLETRANSLATE(A1794,""en"",""pt"")"),"morador de rua")</f>
        <v>morador de rua</v>
      </c>
      <c r="G1794" s="66" t="s">
        <v>2390</v>
      </c>
    </row>
    <row r="1795" ht="22.5" customHeight="1">
      <c r="A1795" s="66" t="s">
        <v>2391</v>
      </c>
      <c r="B1795" s="67" t="str">
        <f t="shared" si="11"/>
        <v>M: stressed</v>
      </c>
      <c r="C1795" s="66">
        <v>1.0</v>
      </c>
      <c r="D1795" s="68">
        <v>45929.0</v>
      </c>
      <c r="E1795" s="66">
        <v>6.0</v>
      </c>
      <c r="F1795" s="66" t="s">
        <v>2392</v>
      </c>
      <c r="G1795" s="66" t="s">
        <v>247</v>
      </c>
    </row>
    <row r="1796" ht="22.5" customHeight="1">
      <c r="A1796" s="66" t="s">
        <v>2393</v>
      </c>
      <c r="B1796" s="67" t="str">
        <f t="shared" si="11"/>
        <v>M: loot at</v>
      </c>
      <c r="C1796" s="68"/>
      <c r="D1796" s="68">
        <v>45929.0</v>
      </c>
      <c r="E1796" s="66">
        <v>7.0</v>
      </c>
      <c r="F1796" s="66" t="str">
        <f>IFERROR(__xludf.DUMMYFUNCTION("GOOGLETRANSLATE(A1796,""en"",""pt"")"),"saquear em")</f>
        <v>saquear em</v>
      </c>
      <c r="G1796" s="66" t="s">
        <v>2394</v>
      </c>
    </row>
    <row r="1797" ht="22.5" customHeight="1">
      <c r="A1797" s="66" t="s">
        <v>2395</v>
      </c>
      <c r="B1797" s="67" t="str">
        <f t="shared" si="11"/>
        <v>M: cut back</v>
      </c>
      <c r="C1797" s="66">
        <v>1.0</v>
      </c>
      <c r="D1797" s="68">
        <v>45929.0</v>
      </c>
      <c r="E1797" s="66">
        <v>8.0</v>
      </c>
      <c r="F1797" s="66" t="s">
        <v>2396</v>
      </c>
      <c r="G1797" s="66" t="s">
        <v>247</v>
      </c>
    </row>
    <row r="1798" ht="22.5" customHeight="1">
      <c r="A1798" s="66" t="s">
        <v>2397</v>
      </c>
      <c r="B1798" s="67" t="str">
        <f t="shared" si="11"/>
        <v>M: failing</v>
      </c>
      <c r="C1798" s="66">
        <v>1.0</v>
      </c>
      <c r="D1798" s="68">
        <v>45929.0</v>
      </c>
      <c r="E1798" s="66">
        <v>9.0</v>
      </c>
      <c r="F1798" s="71" t="s">
        <v>2398</v>
      </c>
      <c r="G1798" s="66" t="s">
        <v>247</v>
      </c>
    </row>
    <row r="1799" ht="22.5" customHeight="1">
      <c r="A1799" s="66" t="s">
        <v>2399</v>
      </c>
      <c r="B1799" s="67" t="str">
        <f t="shared" si="11"/>
        <v>M: has found</v>
      </c>
      <c r="C1799" s="68"/>
      <c r="D1799" s="68">
        <v>45929.0</v>
      </c>
      <c r="E1799" s="66">
        <v>10.0</v>
      </c>
      <c r="F1799" s="66" t="str">
        <f>IFERROR(__xludf.DUMMYFUNCTION("GOOGLETRANSLATE(A1799,""en"",""pt"")"),"descobriu")</f>
        <v>descobriu</v>
      </c>
      <c r="G1799" s="66" t="s">
        <v>2400</v>
      </c>
    </row>
    <row r="1800" ht="22.5" customHeight="1">
      <c r="A1800" s="66" t="s">
        <v>2401</v>
      </c>
      <c r="B1800" s="67" t="str">
        <f t="shared" si="11"/>
        <v>M: sinks</v>
      </c>
      <c r="C1800" s="68"/>
      <c r="D1800" s="68">
        <v>45929.0</v>
      </c>
      <c r="E1800" s="66">
        <v>1.0</v>
      </c>
      <c r="F1800" s="66" t="str">
        <f>IFERROR(__xludf.DUMMYFUNCTION("GOOGLETRANSLATE(A1800,""en"",""pt"")"),"pias")</f>
        <v>pias</v>
      </c>
      <c r="G1800" s="66" t="s">
        <v>2402</v>
      </c>
    </row>
    <row r="1801" ht="22.5" customHeight="1">
      <c r="A1801" s="66" t="s">
        <v>2403</v>
      </c>
      <c r="B1801" s="67" t="str">
        <f t="shared" si="11"/>
        <v>M: drift away</v>
      </c>
      <c r="C1801" s="68"/>
      <c r="D1801" s="68">
        <v>45929.0</v>
      </c>
      <c r="E1801" s="66">
        <v>2.0</v>
      </c>
      <c r="F1801" s="66" t="str">
        <f>IFERROR(__xludf.DUMMYFUNCTION("GOOGLETRANSLATE(A1801,""en"",""pt"")"),"à deriva")</f>
        <v>à deriva</v>
      </c>
      <c r="G1801" s="66" t="s">
        <v>2404</v>
      </c>
    </row>
    <row r="1802" ht="22.5" customHeight="1">
      <c r="A1802" s="66" t="s">
        <v>2405</v>
      </c>
      <c r="B1802" s="67" t="str">
        <f t="shared" si="11"/>
        <v>M: mastering</v>
      </c>
      <c r="C1802" s="68"/>
      <c r="D1802" s="68">
        <v>45930.0</v>
      </c>
      <c r="E1802" s="66">
        <v>3.0</v>
      </c>
      <c r="F1802" s="66" t="str">
        <f>IFERROR(__xludf.DUMMYFUNCTION("GOOGLETRANSLATE(A1802,""en"",""pt"")"),"dominar")</f>
        <v>dominar</v>
      </c>
      <c r="G1802" s="66" t="s">
        <v>2406</v>
      </c>
    </row>
    <row r="1803" ht="22.5" customHeight="1">
      <c r="A1803" s="66" t="s">
        <v>2407</v>
      </c>
      <c r="B1803" s="67" t="str">
        <f t="shared" si="11"/>
        <v>M: faltering</v>
      </c>
      <c r="C1803" s="68"/>
      <c r="D1803" s="68">
        <v>45930.0</v>
      </c>
      <c r="E1803" s="66">
        <v>4.0</v>
      </c>
      <c r="F1803" s="66" t="str">
        <f>IFERROR(__xludf.DUMMYFUNCTION("GOOGLETRANSLATE(A1803,""en"",""pt"")"),"vacilando")</f>
        <v>vacilando</v>
      </c>
      <c r="G1803" s="66" t="s">
        <v>2408</v>
      </c>
    </row>
    <row r="1804" ht="22.5" customHeight="1">
      <c r="A1804" s="66" t="s">
        <v>2409</v>
      </c>
      <c r="B1804" s="67" t="str">
        <f t="shared" si="11"/>
        <v>M: cherishes </v>
      </c>
      <c r="C1804" s="66">
        <v>1.0</v>
      </c>
      <c r="D1804" s="68">
        <v>45930.0</v>
      </c>
      <c r="E1804" s="66">
        <v>5.0</v>
      </c>
      <c r="F1804" s="66" t="s">
        <v>2410</v>
      </c>
      <c r="G1804" s="66" t="s">
        <v>247</v>
      </c>
    </row>
    <row r="1805" ht="22.5" customHeight="1">
      <c r="A1805" s="66" t="s">
        <v>2411</v>
      </c>
      <c r="B1805" s="67" t="str">
        <f t="shared" si="11"/>
        <v>M: rediscovering </v>
      </c>
      <c r="C1805" s="68"/>
      <c r="D1805" s="68">
        <v>45930.0</v>
      </c>
      <c r="E1805" s="66">
        <v>6.0</v>
      </c>
      <c r="F1805" s="66" t="str">
        <f>IFERROR(__xludf.DUMMYFUNCTION("GOOGLETRANSLATE(A1805,""en"",""pt"")"),"redescobrindo")</f>
        <v>redescobrindo</v>
      </c>
      <c r="G1805" s="66" t="s">
        <v>2412</v>
      </c>
    </row>
    <row r="1806" ht="22.5" customHeight="1">
      <c r="A1806" s="66" t="s">
        <v>2413</v>
      </c>
      <c r="B1806" s="67" t="str">
        <f t="shared" si="11"/>
        <v>M: triumph</v>
      </c>
      <c r="C1806" s="66">
        <v>1.0</v>
      </c>
      <c r="D1806" s="68">
        <v>45930.0</v>
      </c>
      <c r="E1806" s="66">
        <v>7.0</v>
      </c>
      <c r="F1806" s="66" t="s">
        <v>2414</v>
      </c>
      <c r="G1806" s="66" t="s">
        <v>247</v>
      </c>
    </row>
    <row r="1807" ht="22.5" customHeight="1">
      <c r="A1807" s="66" t="s">
        <v>2415</v>
      </c>
      <c r="B1807" s="67" t="str">
        <f t="shared" si="11"/>
        <v>M: pay off</v>
      </c>
      <c r="C1807" s="68"/>
      <c r="D1807" s="68">
        <v>45930.0</v>
      </c>
      <c r="E1807" s="66">
        <v>8.0</v>
      </c>
      <c r="F1807" s="66" t="str">
        <f>IFERROR(__xludf.DUMMYFUNCTION("GOOGLETRANSLATE(A1807,""en"",""pt"")"),"Pague")</f>
        <v>Pague</v>
      </c>
      <c r="G1807" s="66" t="s">
        <v>2416</v>
      </c>
    </row>
    <row r="1808" ht="22.5" customHeight="1">
      <c r="A1808" s="66" t="s">
        <v>2417</v>
      </c>
      <c r="B1808" s="67" t="str">
        <f t="shared" si="11"/>
        <v>M: breathing</v>
      </c>
      <c r="C1808" s="68"/>
      <c r="D1808" s="68">
        <v>45930.0</v>
      </c>
      <c r="E1808" s="66">
        <v>9.0</v>
      </c>
      <c r="F1808" s="66" t="str">
        <f>IFERROR(__xludf.DUMMYFUNCTION("GOOGLETRANSLATE(A1808,""en"",""pt"")"),"respirando")</f>
        <v>respirando</v>
      </c>
      <c r="G1808" s="66" t="s">
        <v>2418</v>
      </c>
    </row>
    <row r="1809" ht="22.5" customHeight="1">
      <c r="A1809" s="66" t="s">
        <v>2419</v>
      </c>
      <c r="B1809" s="67" t="str">
        <f t="shared" si="11"/>
        <v>M: borrowed</v>
      </c>
      <c r="C1809" s="68"/>
      <c r="D1809" s="68">
        <v>45930.0</v>
      </c>
      <c r="E1809" s="66">
        <v>10.0</v>
      </c>
      <c r="F1809" s="66" t="str">
        <f>IFERROR(__xludf.DUMMYFUNCTION("GOOGLETRANSLATE(A1809,""en"",""pt"")"),"emprestado")</f>
        <v>emprestado</v>
      </c>
      <c r="G1809" s="66" t="s">
        <v>2420</v>
      </c>
    </row>
    <row r="1810" ht="22.5" customHeight="1">
      <c r="A1810" s="66" t="s">
        <v>2421</v>
      </c>
      <c r="B1810" s="67" t="str">
        <f t="shared" si="11"/>
        <v>M: firing</v>
      </c>
      <c r="C1810" s="68"/>
      <c r="D1810" s="68">
        <v>45930.0</v>
      </c>
      <c r="E1810" s="66">
        <v>1.0</v>
      </c>
      <c r="F1810" s="66" t="str">
        <f>IFERROR(__xludf.DUMMYFUNCTION("GOOGLETRANSLATE(A1810,""en"",""pt"")"),"disparo")</f>
        <v>disparo</v>
      </c>
      <c r="G1810" s="66" t="s">
        <v>2422</v>
      </c>
    </row>
    <row r="1811" ht="22.5" customHeight="1">
      <c r="A1811" s="66" t="s">
        <v>2423</v>
      </c>
      <c r="B1811" s="67" t="str">
        <f t="shared" si="11"/>
        <v>M: kiln</v>
      </c>
      <c r="C1811" s="68"/>
      <c r="D1811" s="68">
        <v>45930.0</v>
      </c>
      <c r="E1811" s="66">
        <v>2.0</v>
      </c>
      <c r="F1811" s="66" t="str">
        <f>IFERROR(__xludf.DUMMYFUNCTION("GOOGLETRANSLATE(A1811,""en"",""pt"")"),"forno")</f>
        <v>forno</v>
      </c>
      <c r="G1811" s="66" t="s">
        <v>2424</v>
      </c>
    </row>
    <row r="1812" ht="22.5" customHeight="1">
      <c r="A1812" s="66" t="s">
        <v>2425</v>
      </c>
      <c r="B1812" s="67" t="str">
        <f t="shared" si="11"/>
        <v>M: thumbprint</v>
      </c>
      <c r="C1812" s="66">
        <v>1.0</v>
      </c>
      <c r="D1812" s="68">
        <v>45931.0</v>
      </c>
      <c r="E1812" s="66">
        <v>3.0</v>
      </c>
      <c r="F1812" s="71" t="s">
        <v>2426</v>
      </c>
      <c r="G1812" s="66" t="s">
        <v>247</v>
      </c>
    </row>
    <row r="1813" ht="22.5" customHeight="1">
      <c r="A1813" s="66" t="s">
        <v>2427</v>
      </c>
      <c r="B1813" s="67" t="str">
        <f t="shared" si="11"/>
        <v>M: debts</v>
      </c>
      <c r="C1813" s="68"/>
      <c r="D1813" s="68">
        <v>45931.0</v>
      </c>
      <c r="E1813" s="66">
        <v>4.0</v>
      </c>
      <c r="F1813" s="66" t="str">
        <f>IFERROR(__xludf.DUMMYFUNCTION("GOOGLETRANSLATE(A1813,""en"",""pt"")"),"dívidas")</f>
        <v>dívidas</v>
      </c>
      <c r="G1813" s="66" t="s">
        <v>2428</v>
      </c>
    </row>
    <row r="1814" ht="22.5" customHeight="1">
      <c r="A1814" s="66" t="s">
        <v>2429</v>
      </c>
      <c r="B1814" s="67" t="str">
        <f t="shared" si="11"/>
        <v>M: wealthy</v>
      </c>
      <c r="C1814" s="68"/>
      <c r="D1814" s="68">
        <v>45931.0</v>
      </c>
      <c r="E1814" s="66">
        <v>5.0</v>
      </c>
      <c r="F1814" s="66" t="str">
        <f>IFERROR(__xludf.DUMMYFUNCTION("GOOGLETRANSLATE(A1814,""en"",""pt"")"),"próspero")</f>
        <v>próspero</v>
      </c>
      <c r="G1814" s="66" t="s">
        <v>2430</v>
      </c>
    </row>
    <row r="1815" ht="22.5" customHeight="1">
      <c r="A1815" s="66" t="s">
        <v>2431</v>
      </c>
      <c r="B1815" s="67" t="str">
        <f t="shared" si="11"/>
        <v>M: borrowing</v>
      </c>
      <c r="C1815" s="68"/>
      <c r="D1815" s="68">
        <v>45931.0</v>
      </c>
      <c r="E1815" s="66">
        <v>6.0</v>
      </c>
      <c r="F1815" s="66" t="str">
        <f>IFERROR(__xludf.DUMMYFUNCTION("GOOGLETRANSLATE(A1815,""en"",""pt"")"),"empréstimo")</f>
        <v>empréstimo</v>
      </c>
      <c r="G1815" s="66" t="s">
        <v>2432</v>
      </c>
    </row>
    <row r="1816" ht="22.5" customHeight="1">
      <c r="A1816" s="66" t="s">
        <v>2433</v>
      </c>
      <c r="B1816" s="67" t="str">
        <f t="shared" si="11"/>
        <v>M: lawyers</v>
      </c>
      <c r="C1816" s="68"/>
      <c r="D1816" s="68">
        <v>45931.0</v>
      </c>
      <c r="E1816" s="66">
        <v>7.0</v>
      </c>
      <c r="F1816" s="66" t="str">
        <f>IFERROR(__xludf.DUMMYFUNCTION("GOOGLETRANSLATE(A1816,""en"",""pt"")"),"advogados")</f>
        <v>advogados</v>
      </c>
      <c r="G1816" s="66" t="s">
        <v>2434</v>
      </c>
    </row>
    <row r="1817" ht="22.5" customHeight="1">
      <c r="A1817" s="66" t="s">
        <v>2435</v>
      </c>
      <c r="B1817" s="67" t="str">
        <f t="shared" si="11"/>
        <v>M: endless</v>
      </c>
      <c r="C1817" s="68"/>
      <c r="D1817" s="68">
        <v>45931.0</v>
      </c>
      <c r="E1817" s="66">
        <v>8.0</v>
      </c>
      <c r="F1817" s="66" t="str">
        <f>IFERROR(__xludf.DUMMYFUNCTION("GOOGLETRANSLATE(A1817,""en"",""pt"")"),"sem fim")</f>
        <v>sem fim</v>
      </c>
      <c r="G1817" s="66" t="s">
        <v>2436</v>
      </c>
    </row>
    <row r="1818" ht="22.5" customHeight="1">
      <c r="A1818" s="66" t="s">
        <v>2437</v>
      </c>
      <c r="B1818" s="67" t="str">
        <f t="shared" si="11"/>
        <v>M: trapped</v>
      </c>
      <c r="C1818" s="68"/>
      <c r="D1818" s="68">
        <v>45931.0</v>
      </c>
      <c r="E1818" s="66">
        <v>9.0</v>
      </c>
      <c r="F1818" s="66" t="str">
        <f>IFERROR(__xludf.DUMMYFUNCTION("GOOGLETRANSLATE(A1818,""en"",""pt"")"),"encurralado")</f>
        <v>encurralado</v>
      </c>
      <c r="G1818" s="66" t="s">
        <v>2438</v>
      </c>
    </row>
    <row r="1819" ht="22.5" customHeight="1">
      <c r="A1819" s="66" t="s">
        <v>2439</v>
      </c>
      <c r="B1819" s="67" t="str">
        <f t="shared" si="11"/>
        <v>M: desirable</v>
      </c>
      <c r="C1819" s="68"/>
      <c r="D1819" s="68">
        <v>45931.0</v>
      </c>
      <c r="E1819" s="66">
        <v>10.0</v>
      </c>
      <c r="F1819" s="66" t="str">
        <f>IFERROR(__xludf.DUMMYFUNCTION("GOOGLETRANSLATE(A1819,""en"",""pt"")"),"desejável")</f>
        <v>desejável</v>
      </c>
      <c r="G1819" s="66" t="s">
        <v>2440</v>
      </c>
    </row>
    <row r="1820" ht="22.5" customHeight="1">
      <c r="A1820" s="66" t="s">
        <v>2441</v>
      </c>
      <c r="B1820" s="67" t="str">
        <f t="shared" si="11"/>
        <v>M: tent</v>
      </c>
      <c r="C1820" s="68"/>
      <c r="D1820" s="68">
        <v>45931.0</v>
      </c>
      <c r="E1820" s="66">
        <v>1.0</v>
      </c>
      <c r="F1820" s="66" t="str">
        <f>IFERROR(__xludf.DUMMYFUNCTION("GOOGLETRANSLATE(A1820,""en"",""pt"")"),"barraca")</f>
        <v>barraca</v>
      </c>
      <c r="G1820" s="66" t="s">
        <v>2442</v>
      </c>
    </row>
    <row r="1821" ht="22.5" customHeight="1">
      <c r="A1821" s="66" t="s">
        <v>2443</v>
      </c>
      <c r="B1821" s="67" t="str">
        <f t="shared" si="11"/>
        <v>M: hand over</v>
      </c>
      <c r="C1821" s="66">
        <v>1.0</v>
      </c>
      <c r="D1821" s="68">
        <v>45931.0</v>
      </c>
      <c r="E1821" s="66">
        <v>2.0</v>
      </c>
      <c r="F1821" s="66" t="s">
        <v>2444</v>
      </c>
      <c r="G1821" s="66" t="s">
        <v>247</v>
      </c>
    </row>
    <row r="1822" ht="22.5" customHeight="1">
      <c r="A1822" s="66" t="s">
        <v>2445</v>
      </c>
      <c r="B1822" s="67" t="str">
        <f t="shared" si="11"/>
        <v>M: interest</v>
      </c>
      <c r="C1822" s="66">
        <v>1.0</v>
      </c>
      <c r="D1822" s="68">
        <v>45932.0</v>
      </c>
      <c r="E1822" s="66">
        <v>3.0</v>
      </c>
      <c r="F1822" s="66" t="s">
        <v>2446</v>
      </c>
      <c r="G1822" s="66" t="s">
        <v>247</v>
      </c>
    </row>
    <row r="1823" ht="22.5" customHeight="1">
      <c r="A1823" s="66" t="s">
        <v>2447</v>
      </c>
      <c r="B1823" s="67" t="str">
        <f t="shared" si="11"/>
        <v>M: goes toward</v>
      </c>
      <c r="C1823" s="66">
        <v>1.0</v>
      </c>
      <c r="D1823" s="68">
        <v>45932.0</v>
      </c>
      <c r="E1823" s="66">
        <v>4.0</v>
      </c>
      <c r="F1823" s="66" t="str">
        <f>IFERROR(__xludf.DUMMYFUNCTION("GOOGLETRANSLATE(A1823,""en"",""pt"")"),"vai em direção a")</f>
        <v>vai em direção a</v>
      </c>
      <c r="G1823" s="66" t="s">
        <v>247</v>
      </c>
    </row>
    <row r="1824" ht="22.5" customHeight="1">
      <c r="A1824" s="66" t="s">
        <v>2448</v>
      </c>
      <c r="B1824" s="67" t="str">
        <f t="shared" si="11"/>
        <v>M: scheme</v>
      </c>
      <c r="C1824" s="68"/>
      <c r="D1824" s="68">
        <v>45932.0</v>
      </c>
      <c r="E1824" s="66">
        <v>5.0</v>
      </c>
      <c r="F1824" s="66" t="str">
        <f>IFERROR(__xludf.DUMMYFUNCTION("GOOGLETRANSLATE(A1824,""en"",""pt"")"),"esquema")</f>
        <v>esquema</v>
      </c>
      <c r="G1824" s="66" t="s">
        <v>2449</v>
      </c>
    </row>
    <row r="1825" ht="22.5" customHeight="1">
      <c r="A1825" s="66" t="s">
        <v>2450</v>
      </c>
      <c r="B1825" s="67" t="str">
        <f t="shared" si="11"/>
        <v>M: clay</v>
      </c>
      <c r="C1825" s="68"/>
      <c r="D1825" s="68">
        <v>45932.0</v>
      </c>
      <c r="E1825" s="66">
        <v>6.0</v>
      </c>
      <c r="F1825" s="66" t="str">
        <f>IFERROR(__xludf.DUMMYFUNCTION("GOOGLETRANSLATE(A1825,""en"",""pt"")"),"argila")</f>
        <v>argila</v>
      </c>
      <c r="G1825" s="66" t="s">
        <v>2451</v>
      </c>
    </row>
    <row r="1826" ht="22.5" customHeight="1">
      <c r="A1826" s="66" t="s">
        <v>2452</v>
      </c>
      <c r="B1826" s="67" t="str">
        <f t="shared" si="11"/>
        <v>M: quota</v>
      </c>
      <c r="C1826" s="66">
        <v>1.0</v>
      </c>
      <c r="D1826" s="68">
        <v>45932.0</v>
      </c>
      <c r="E1826" s="66">
        <v>7.0</v>
      </c>
      <c r="F1826" s="71" t="s">
        <v>2453</v>
      </c>
      <c r="G1826" s="66" t="s">
        <v>247</v>
      </c>
    </row>
    <row r="1827" ht="22.5" customHeight="1">
      <c r="A1827" s="66" t="s">
        <v>2454</v>
      </c>
      <c r="B1827" s="67" t="str">
        <f t="shared" si="11"/>
        <v>M: dig up</v>
      </c>
      <c r="C1827" s="68"/>
      <c r="D1827" s="68">
        <v>45932.0</v>
      </c>
      <c r="E1827" s="66">
        <v>8.0</v>
      </c>
      <c r="F1827" s="66" t="str">
        <f>IFERROR(__xludf.DUMMYFUNCTION("GOOGLETRANSLATE(A1827,""en"",""pt"")"),"desenterrar")</f>
        <v>desenterrar</v>
      </c>
      <c r="G1827" s="66" t="s">
        <v>2455</v>
      </c>
    </row>
    <row r="1828" ht="22.5" customHeight="1">
      <c r="A1828" s="66" t="s">
        <v>2456</v>
      </c>
      <c r="B1828" s="67" t="str">
        <f t="shared" si="11"/>
        <v>M: squatting</v>
      </c>
      <c r="C1828" s="66">
        <v>1.0</v>
      </c>
      <c r="D1828" s="68">
        <v>45932.0</v>
      </c>
      <c r="E1828" s="66">
        <v>9.0</v>
      </c>
      <c r="F1828" s="66" t="s">
        <v>2457</v>
      </c>
      <c r="G1828" s="66" t="s">
        <v>247</v>
      </c>
    </row>
    <row r="1829" ht="22.5" customHeight="1">
      <c r="A1829" s="66" t="s">
        <v>2458</v>
      </c>
      <c r="B1829" s="67" t="str">
        <f t="shared" si="11"/>
        <v>M: adds</v>
      </c>
      <c r="C1829" s="66">
        <v>1.0</v>
      </c>
      <c r="D1829" s="68">
        <v>45932.0</v>
      </c>
      <c r="E1829" s="66">
        <v>10.0</v>
      </c>
      <c r="F1829" s="66" t="s">
        <v>2459</v>
      </c>
      <c r="G1829" s="66" t="s">
        <v>247</v>
      </c>
    </row>
    <row r="1830" ht="22.5" customHeight="1">
      <c r="A1830" s="66" t="s">
        <v>2460</v>
      </c>
      <c r="B1830" s="67" t="str">
        <f t="shared" si="11"/>
        <v>M: mud</v>
      </c>
      <c r="C1830" s="66">
        <v>1.0</v>
      </c>
      <c r="D1830" s="68">
        <v>45932.0</v>
      </c>
      <c r="E1830" s="66">
        <v>1.0</v>
      </c>
      <c r="F1830" s="71" t="s">
        <v>2461</v>
      </c>
      <c r="G1830" s="66" t="s">
        <v>247</v>
      </c>
    </row>
    <row r="1831" ht="22.5" customHeight="1">
      <c r="A1831" s="66" t="s">
        <v>2462</v>
      </c>
      <c r="B1831" s="67" t="str">
        <f t="shared" si="11"/>
        <v>M: squat</v>
      </c>
      <c r="C1831" s="68"/>
      <c r="D1831" s="68">
        <v>45932.0</v>
      </c>
      <c r="E1831" s="66">
        <v>2.0</v>
      </c>
      <c r="F1831" s="66" t="str">
        <f>IFERROR(__xludf.DUMMYFUNCTION("GOOGLETRANSLATE(A1831,""en"",""pt"")"),"agachamento")</f>
        <v>agachamento</v>
      </c>
      <c r="G1831" s="66" t="s">
        <v>2463</v>
      </c>
    </row>
    <row r="1832" ht="22.5" customHeight="1">
      <c r="A1832" s="66" t="s">
        <v>2464</v>
      </c>
      <c r="B1832" s="67" t="str">
        <f t="shared" si="11"/>
        <v>M: proud</v>
      </c>
      <c r="C1832" s="68"/>
      <c r="D1832" s="68">
        <v>45933.0</v>
      </c>
      <c r="E1832" s="66">
        <v>3.0</v>
      </c>
      <c r="F1832" s="66" t="str">
        <f>IFERROR(__xludf.DUMMYFUNCTION("GOOGLETRANSLATE(A1832,""en"",""pt"")"),"orgulhoso")</f>
        <v>orgulhoso</v>
      </c>
      <c r="G1832" s="66" t="s">
        <v>2465</v>
      </c>
    </row>
    <row r="1833" ht="22.5" customHeight="1">
      <c r="A1833" s="66" t="s">
        <v>2466</v>
      </c>
      <c r="B1833" s="67" t="str">
        <f t="shared" si="11"/>
        <v>M: herd</v>
      </c>
      <c r="C1833" s="66">
        <v>1.0</v>
      </c>
      <c r="D1833" s="68">
        <v>45933.0</v>
      </c>
      <c r="E1833" s="66">
        <v>4.0</v>
      </c>
      <c r="F1833" s="71" t="s">
        <v>2467</v>
      </c>
      <c r="G1833" s="66" t="s">
        <v>247</v>
      </c>
    </row>
    <row r="1834" ht="22.5" customHeight="1">
      <c r="A1834" s="66" t="s">
        <v>2468</v>
      </c>
      <c r="B1834" s="67" t="str">
        <f t="shared" si="11"/>
        <v>M: sweating</v>
      </c>
      <c r="C1834" s="68"/>
      <c r="D1834" s="68">
        <v>45933.0</v>
      </c>
      <c r="E1834" s="66">
        <v>5.0</v>
      </c>
      <c r="F1834" s="66" t="str">
        <f>IFERROR(__xludf.DUMMYFUNCTION("GOOGLETRANSLATE(A1834,""en"",""pt"")"),"suando")</f>
        <v>suando</v>
      </c>
      <c r="G1834" s="66" t="s">
        <v>2469</v>
      </c>
    </row>
    <row r="1835" ht="22.5" customHeight="1">
      <c r="A1835" s="66" t="s">
        <v>2470</v>
      </c>
      <c r="B1835" s="67" t="str">
        <f t="shared" si="11"/>
        <v>M: shocked</v>
      </c>
      <c r="C1835" s="68"/>
      <c r="D1835" s="68">
        <v>45933.0</v>
      </c>
      <c r="E1835" s="66">
        <v>6.0</v>
      </c>
      <c r="F1835" s="66" t="str">
        <f>IFERROR(__xludf.DUMMYFUNCTION("GOOGLETRANSLATE(A1835,""en"",""pt"")"),"chocado")</f>
        <v>chocado</v>
      </c>
      <c r="G1835" s="66" t="s">
        <v>2471</v>
      </c>
    </row>
    <row r="1836" ht="22.5" customHeight="1">
      <c r="A1836" s="66" t="s">
        <v>2472</v>
      </c>
      <c r="B1836" s="67" t="str">
        <f t="shared" si="11"/>
        <v>M: bake</v>
      </c>
      <c r="C1836" s="68"/>
      <c r="D1836" s="68">
        <v>45933.0</v>
      </c>
      <c r="E1836" s="66">
        <v>7.0</v>
      </c>
      <c r="F1836" s="66" t="str">
        <f>IFERROR(__xludf.DUMMYFUNCTION("GOOGLETRANSLATE(A1836,""en"",""pt"")"),"assar")</f>
        <v>assar</v>
      </c>
      <c r="G1836" s="66" t="s">
        <v>2473</v>
      </c>
    </row>
    <row r="1837" ht="22.5" customHeight="1">
      <c r="A1837" s="66" t="s">
        <v>2474</v>
      </c>
      <c r="B1837" s="67" t="str">
        <f t="shared" si="11"/>
        <v>M: earn</v>
      </c>
      <c r="C1837" s="68"/>
      <c r="D1837" s="68">
        <v>45933.0</v>
      </c>
      <c r="E1837" s="66">
        <v>8.0</v>
      </c>
      <c r="F1837" s="66" t="str">
        <f>IFERROR(__xludf.DUMMYFUNCTION("GOOGLETRANSLATE(A1837,""en"",""pt"")"),"ganhar")</f>
        <v>ganhar</v>
      </c>
      <c r="G1837" s="66" t="s">
        <v>2475</v>
      </c>
    </row>
    <row r="1838" ht="22.5" customHeight="1">
      <c r="A1838" s="66" t="s">
        <v>2476</v>
      </c>
      <c r="B1838" s="67" t="str">
        <f t="shared" si="11"/>
        <v>M: affordable</v>
      </c>
      <c r="C1838" s="68"/>
      <c r="D1838" s="68">
        <v>45933.0</v>
      </c>
      <c r="E1838" s="66">
        <v>9.0</v>
      </c>
      <c r="F1838" s="66" t="str">
        <f>IFERROR(__xludf.DUMMYFUNCTION("GOOGLETRANSLATE(A1838,""en"",""pt"")"),"acessível")</f>
        <v>acessível</v>
      </c>
      <c r="G1838" s="66" t="s">
        <v>2477</v>
      </c>
    </row>
    <row r="1839" ht="22.5" customHeight="1">
      <c r="A1839" s="66" t="s">
        <v>2478</v>
      </c>
      <c r="B1839" s="67" t="str">
        <f t="shared" si="11"/>
        <v>M: plots</v>
      </c>
      <c r="C1839" s="68"/>
      <c r="D1839" s="68">
        <v>45933.0</v>
      </c>
      <c r="E1839" s="66">
        <v>10.0</v>
      </c>
      <c r="F1839" s="66" t="str">
        <f>IFERROR(__xludf.DUMMYFUNCTION("GOOGLETRANSLATE(A1839,""en"",""pt"")"),"tramas")</f>
        <v>tramas</v>
      </c>
      <c r="G1839" s="66" t="s">
        <v>2479</v>
      </c>
    </row>
    <row r="1840" ht="22.5" customHeight="1">
      <c r="A1840" s="66" t="s">
        <v>2480</v>
      </c>
      <c r="B1840" s="67" t="str">
        <f t="shared" si="11"/>
        <v>M: blisters</v>
      </c>
      <c r="C1840" s="66">
        <v>1.0</v>
      </c>
      <c r="D1840" s="68">
        <v>45933.0</v>
      </c>
      <c r="E1840" s="66">
        <v>1.0</v>
      </c>
      <c r="F1840" s="66" t="s">
        <v>2481</v>
      </c>
      <c r="G1840" s="66" t="s">
        <v>247</v>
      </c>
    </row>
    <row r="1841" ht="22.5" customHeight="1">
      <c r="A1841" s="66" t="s">
        <v>2482</v>
      </c>
      <c r="B1841" s="67" t="str">
        <f t="shared" si="11"/>
        <v>M: clearer</v>
      </c>
      <c r="C1841" s="68"/>
      <c r="D1841" s="68">
        <v>45933.0</v>
      </c>
      <c r="E1841" s="66">
        <v>2.0</v>
      </c>
      <c r="F1841" s="66" t="str">
        <f>IFERROR(__xludf.DUMMYFUNCTION("GOOGLETRANSLATE(A1841,""en"",""pt"")"),"mais claro")</f>
        <v>mais claro</v>
      </c>
      <c r="G1841" s="66" t="s">
        <v>2483</v>
      </c>
    </row>
    <row r="1842" ht="22.5" customHeight="1">
      <c r="A1842" s="66" t="s">
        <v>2484</v>
      </c>
      <c r="B1842" s="67" t="str">
        <f t="shared" si="11"/>
        <v>M: stabl.e</v>
      </c>
      <c r="C1842" s="68"/>
      <c r="D1842" s="68">
        <v>45934.0</v>
      </c>
      <c r="E1842" s="66">
        <v>3.0</v>
      </c>
      <c r="F1842" s="66" t="str">
        <f>IFERROR(__xludf.DUMMYFUNCTION("GOOGLETRANSLATE(A1842,""en"",""pt"")"),"estável")</f>
        <v>estável</v>
      </c>
      <c r="G1842" s="66" t="s">
        <v>2485</v>
      </c>
    </row>
    <row r="1843" ht="22.5" customHeight="1">
      <c r="A1843" s="66" t="s">
        <v>2486</v>
      </c>
      <c r="B1843" s="67" t="str">
        <f t="shared" si="11"/>
        <v>M: concert</v>
      </c>
      <c r="C1843" s="66">
        <v>1.0</v>
      </c>
      <c r="D1843" s="68">
        <v>45934.0</v>
      </c>
      <c r="E1843" s="66">
        <v>4.0</v>
      </c>
      <c r="F1843" s="66" t="s">
        <v>2487</v>
      </c>
      <c r="G1843" s="66" t="s">
        <v>247</v>
      </c>
    </row>
    <row r="1844" ht="22.5" customHeight="1">
      <c r="A1844" s="66" t="s">
        <v>2488</v>
      </c>
      <c r="B1844" s="67" t="str">
        <f t="shared" si="11"/>
        <v>M: domain</v>
      </c>
      <c r="C1844" s="68"/>
      <c r="D1844" s="68">
        <v>45934.0</v>
      </c>
      <c r="E1844" s="66">
        <v>5.0</v>
      </c>
      <c r="F1844" s="66" t="str">
        <f>IFERROR(__xludf.DUMMYFUNCTION("GOOGLETRANSLATE(A1844,""en"",""pt"")"),"domínio")</f>
        <v>domínio</v>
      </c>
      <c r="G1844" s="66" t="s">
        <v>2489</v>
      </c>
    </row>
    <row r="1845" ht="22.5" customHeight="1">
      <c r="A1845" s="66" t="s">
        <v>2490</v>
      </c>
      <c r="B1845" s="67" t="str">
        <f t="shared" si="11"/>
        <v>M: sounds</v>
      </c>
      <c r="C1845" s="66">
        <v>1.0</v>
      </c>
      <c r="D1845" s="68">
        <v>45934.0</v>
      </c>
      <c r="E1845" s="66">
        <v>6.0</v>
      </c>
      <c r="F1845" s="71" t="s">
        <v>2491</v>
      </c>
      <c r="G1845" s="66" t="s">
        <v>247</v>
      </c>
    </row>
    <row r="1846" ht="22.5" customHeight="1">
      <c r="A1846" s="66" t="s">
        <v>2492</v>
      </c>
      <c r="B1846" s="67" t="str">
        <f t="shared" si="11"/>
        <v>M: maintains</v>
      </c>
      <c r="C1846" s="66">
        <v>1.0</v>
      </c>
      <c r="D1846" s="68">
        <v>45934.0</v>
      </c>
      <c r="E1846" s="66">
        <v>7.0</v>
      </c>
      <c r="F1846" s="66" t="s">
        <v>2493</v>
      </c>
      <c r="G1846" s="66" t="s">
        <v>247</v>
      </c>
    </row>
    <row r="1847" ht="22.5" customHeight="1">
      <c r="A1847" s="66" t="s">
        <v>2494</v>
      </c>
      <c r="B1847" s="67" t="str">
        <f t="shared" si="11"/>
        <v>M: turns</v>
      </c>
      <c r="C1847" s="66">
        <v>1.0</v>
      </c>
      <c r="D1847" s="68">
        <v>45934.0</v>
      </c>
      <c r="E1847" s="66">
        <v>8.0</v>
      </c>
      <c r="F1847" s="66" t="s">
        <v>2495</v>
      </c>
      <c r="G1847" s="66" t="s">
        <v>247</v>
      </c>
    </row>
    <row r="1848" ht="22.5" customHeight="1">
      <c r="A1848" s="66" t="s">
        <v>2496</v>
      </c>
      <c r="B1848" s="67" t="str">
        <f t="shared" si="11"/>
        <v>M: refresher</v>
      </c>
      <c r="C1848" s="66">
        <v>1.0</v>
      </c>
      <c r="D1848" s="68">
        <v>45934.0</v>
      </c>
      <c r="E1848" s="66">
        <v>9.0</v>
      </c>
      <c r="F1848" s="66" t="s">
        <v>2497</v>
      </c>
      <c r="G1848" s="66" t="s">
        <v>247</v>
      </c>
    </row>
    <row r="1849" ht="22.5" customHeight="1">
      <c r="A1849" s="66" t="s">
        <v>2498</v>
      </c>
      <c r="B1849" s="67" t="str">
        <f t="shared" si="11"/>
        <v>M: in order</v>
      </c>
      <c r="C1849" s="66">
        <v>1.0</v>
      </c>
      <c r="D1849" s="68">
        <v>45934.0</v>
      </c>
      <c r="E1849" s="66">
        <v>10.0</v>
      </c>
      <c r="F1849" s="66" t="s">
        <v>2499</v>
      </c>
      <c r="G1849" s="66" t="s">
        <v>247</v>
      </c>
    </row>
    <row r="1850" ht="22.5" customHeight="1">
      <c r="A1850" s="66" t="s">
        <v>2500</v>
      </c>
      <c r="B1850" s="67" t="str">
        <f t="shared" si="11"/>
        <v>M: best to first</v>
      </c>
      <c r="C1850" s="68"/>
      <c r="D1850" s="68">
        <v>45934.0</v>
      </c>
      <c r="E1850" s="66">
        <v>1.0</v>
      </c>
      <c r="F1850" s="66" t="str">
        <f>IFERROR(__xludf.DUMMYFUNCTION("GOOGLETRANSLATE(A1850,""en"",""pt"")"),"melhor para primeiro")</f>
        <v>melhor para primeiro</v>
      </c>
      <c r="G1850" s="66" t="s">
        <v>2501</v>
      </c>
    </row>
    <row r="1851" ht="22.5" customHeight="1">
      <c r="A1851" s="66" t="s">
        <v>2502</v>
      </c>
      <c r="B1851" s="67" t="str">
        <f t="shared" si="11"/>
        <v>M: primitive</v>
      </c>
      <c r="C1851" s="66">
        <v>1.0</v>
      </c>
      <c r="D1851" s="68">
        <v>45934.0</v>
      </c>
      <c r="E1851" s="66">
        <v>2.0</v>
      </c>
      <c r="F1851" s="66" t="s">
        <v>2503</v>
      </c>
      <c r="G1851" s="66" t="s">
        <v>247</v>
      </c>
    </row>
    <row r="1852" ht="22.5" customHeight="1">
      <c r="A1852" s="66" t="s">
        <v>2504</v>
      </c>
      <c r="B1852" s="67" t="str">
        <f t="shared" si="11"/>
        <v>M: for a while</v>
      </c>
      <c r="C1852" s="68"/>
      <c r="D1852" s="68">
        <v>45935.0</v>
      </c>
      <c r="E1852" s="66">
        <v>3.0</v>
      </c>
      <c r="F1852" s="66" t="str">
        <f>IFERROR(__xludf.DUMMYFUNCTION("GOOGLETRANSLATE(A1852,""en"",""pt"")"),"por um tempo")</f>
        <v>por um tempo</v>
      </c>
      <c r="G1852" s="66" t="s">
        <v>2505</v>
      </c>
    </row>
    <row r="1853" ht="22.5" customHeight="1">
      <c r="A1853" s="66" t="s">
        <v>2506</v>
      </c>
      <c r="B1853" s="67" t="str">
        <f t="shared" si="11"/>
        <v>M: written</v>
      </c>
      <c r="C1853" s="68"/>
      <c r="D1853" s="68">
        <v>45935.0</v>
      </c>
      <c r="E1853" s="66">
        <v>4.0</v>
      </c>
      <c r="F1853" s="66" t="str">
        <f>IFERROR(__xludf.DUMMYFUNCTION("GOOGLETRANSLATE(A1853,""en"",""pt"")"),"escrito")</f>
        <v>escrito</v>
      </c>
      <c r="G1853" s="66" t="s">
        <v>2507</v>
      </c>
    </row>
    <row r="1854" ht="22.5" customHeight="1">
      <c r="A1854" s="66" t="s">
        <v>2508</v>
      </c>
      <c r="B1854" s="67" t="str">
        <f t="shared" si="11"/>
        <v>M: larger</v>
      </c>
      <c r="C1854" s="68"/>
      <c r="D1854" s="68">
        <v>45935.0</v>
      </c>
      <c r="E1854" s="66">
        <v>5.0</v>
      </c>
      <c r="F1854" s="66" t="str">
        <f>IFERROR(__xludf.DUMMYFUNCTION("GOOGLETRANSLATE(A1854,""en"",""pt"")"),"maior")</f>
        <v>maior</v>
      </c>
      <c r="G1854" s="66" t="s">
        <v>2509</v>
      </c>
    </row>
    <row r="1855" ht="22.5" customHeight="1">
      <c r="A1855" s="66" t="s">
        <v>2510</v>
      </c>
      <c r="B1855" s="67" t="str">
        <f t="shared" si="11"/>
        <v>M: entity</v>
      </c>
      <c r="C1855" s="68"/>
      <c r="D1855" s="68">
        <v>45935.0</v>
      </c>
      <c r="E1855" s="66">
        <v>6.0</v>
      </c>
      <c r="F1855" s="66" t="str">
        <f>IFERROR(__xludf.DUMMYFUNCTION("GOOGLETRANSLATE(A1855,""en"",""pt"")"),"entidade")</f>
        <v>entidade</v>
      </c>
      <c r="G1855" s="66" t="s">
        <v>2511</v>
      </c>
    </row>
    <row r="1856" ht="22.5" customHeight="1">
      <c r="A1856" s="66" t="s">
        <v>2512</v>
      </c>
      <c r="B1856" s="67" t="str">
        <f t="shared" si="11"/>
        <v>M: array</v>
      </c>
      <c r="C1856" s="66">
        <v>1.0</v>
      </c>
      <c r="D1856" s="68">
        <v>45935.0</v>
      </c>
      <c r="E1856" s="66">
        <v>7.0</v>
      </c>
      <c r="F1856" s="66" t="s">
        <v>2513</v>
      </c>
      <c r="G1856" s="66" t="s">
        <v>247</v>
      </c>
    </row>
    <row r="1857" ht="22.5" customHeight="1">
      <c r="A1857" s="66" t="s">
        <v>2514</v>
      </c>
      <c r="B1857" s="67" t="str">
        <f t="shared" si="11"/>
        <v>M: almost</v>
      </c>
      <c r="C1857" s="68"/>
      <c r="D1857" s="68">
        <v>45935.0</v>
      </c>
      <c r="E1857" s="66">
        <v>8.0</v>
      </c>
      <c r="F1857" s="66" t="str">
        <f>IFERROR(__xludf.DUMMYFUNCTION("GOOGLETRANSLATE(A1857,""en"",""pt"")"),"quase")</f>
        <v>quase</v>
      </c>
      <c r="G1857" s="66" t="s">
        <v>2515</v>
      </c>
    </row>
    <row r="1858" ht="22.5" customHeight="1">
      <c r="A1858" s="66" t="s">
        <v>2516</v>
      </c>
      <c r="B1858" s="67" t="str">
        <f t="shared" si="11"/>
        <v>M: sctruct</v>
      </c>
      <c r="C1858" s="68"/>
      <c r="D1858" s="68">
        <v>45935.0</v>
      </c>
      <c r="E1858" s="66">
        <v>9.0</v>
      </c>
      <c r="F1858" s="66" t="str">
        <f>IFERROR(__xludf.DUMMYFUNCTION("GOOGLETRANSLATE(A1858,""en"",""pt"")"),"estrutura")</f>
        <v>estrutura</v>
      </c>
      <c r="G1858" s="66" t="s">
        <v>2517</v>
      </c>
    </row>
    <row r="1859" ht="22.5" customHeight="1">
      <c r="A1859" s="66" t="s">
        <v>2518</v>
      </c>
      <c r="B1859" s="67" t="str">
        <f t="shared" si="11"/>
        <v>M: overview</v>
      </c>
      <c r="C1859" s="68"/>
      <c r="D1859" s="68">
        <v>45935.0</v>
      </c>
      <c r="E1859" s="66">
        <v>10.0</v>
      </c>
      <c r="F1859" s="66" t="str">
        <f>IFERROR(__xludf.DUMMYFUNCTION("GOOGLETRANSLATE(A1859,""en"",""pt"")"),"visão geral")</f>
        <v>visão geral</v>
      </c>
      <c r="G1859" s="66" t="s">
        <v>2519</v>
      </c>
    </row>
    <row r="1860" ht="22.5" customHeight="1">
      <c r="A1860" s="66" t="s">
        <v>2520</v>
      </c>
      <c r="B1860" s="67" t="str">
        <f t="shared" si="11"/>
        <v>M: instance</v>
      </c>
      <c r="C1860" s="66">
        <v>1.0</v>
      </c>
      <c r="D1860" s="68">
        <v>45935.0</v>
      </c>
      <c r="E1860" s="66">
        <v>1.0</v>
      </c>
      <c r="F1860" s="71" t="s">
        <v>2521</v>
      </c>
      <c r="G1860" s="66" t="s">
        <v>247</v>
      </c>
    </row>
    <row r="1861" ht="22.5" customHeight="1">
      <c r="A1861" s="66" t="s">
        <v>2522</v>
      </c>
      <c r="B1861" s="67" t="str">
        <f t="shared" si="11"/>
        <v>M: whereas</v>
      </c>
      <c r="C1861" s="66">
        <v>1.0</v>
      </c>
      <c r="D1861" s="68">
        <v>45935.0</v>
      </c>
      <c r="E1861" s="66">
        <v>2.0</v>
      </c>
      <c r="F1861" s="66" t="s">
        <v>2523</v>
      </c>
      <c r="G1861" s="66" t="s">
        <v>247</v>
      </c>
    </row>
    <row r="1862" ht="22.5" customHeight="1">
      <c r="A1862" s="66" t="s">
        <v>2524</v>
      </c>
      <c r="B1862" s="67" t="str">
        <f t="shared" si="11"/>
        <v>M: common</v>
      </c>
      <c r="C1862" s="66">
        <v>1.0</v>
      </c>
      <c r="D1862" s="68">
        <v>45936.0</v>
      </c>
      <c r="E1862" s="66">
        <v>3.0</v>
      </c>
      <c r="F1862" s="66" t="s">
        <v>2525</v>
      </c>
      <c r="G1862" s="66" t="s">
        <v>247</v>
      </c>
    </row>
    <row r="1863" ht="22.5" customHeight="1">
      <c r="A1863" s="66" t="s">
        <v>2526</v>
      </c>
      <c r="B1863" s="67" t="str">
        <f t="shared" si="11"/>
        <v>M: precursor</v>
      </c>
      <c r="C1863" s="66">
        <v>1.0</v>
      </c>
      <c r="D1863" s="68">
        <v>45936.0</v>
      </c>
      <c r="E1863" s="66">
        <v>4.0</v>
      </c>
      <c r="F1863" s="66" t="s">
        <v>2527</v>
      </c>
      <c r="G1863" s="66" t="s">
        <v>247</v>
      </c>
    </row>
    <row r="1864" ht="22.5" customHeight="1">
      <c r="A1864" s="66" t="s">
        <v>2528</v>
      </c>
      <c r="B1864" s="67" t="str">
        <f t="shared" si="11"/>
        <v>M: initialize</v>
      </c>
      <c r="C1864" s="68"/>
      <c r="D1864" s="68">
        <v>45936.0</v>
      </c>
      <c r="E1864" s="66">
        <v>5.0</v>
      </c>
      <c r="F1864" s="66" t="str">
        <f>IFERROR(__xludf.DUMMYFUNCTION("GOOGLETRANSLATE(A1864,""en"",""pt"")"),"inicializar")</f>
        <v>inicializar</v>
      </c>
      <c r="G1864" s="66" t="s">
        <v>2529</v>
      </c>
    </row>
    <row r="1865" ht="22.5" customHeight="1">
      <c r="A1865" s="66" t="s">
        <v>2530</v>
      </c>
      <c r="B1865" s="67" t="str">
        <f t="shared" si="11"/>
        <v>M: current</v>
      </c>
      <c r="C1865" s="68"/>
      <c r="D1865" s="68">
        <v>45936.0</v>
      </c>
      <c r="E1865" s="66">
        <v>6.0</v>
      </c>
      <c r="F1865" s="66" t="str">
        <f>IFERROR(__xludf.DUMMYFUNCTION("GOOGLETRANSLATE(A1865,""en"",""pt"")"),"atual")</f>
        <v>atual</v>
      </c>
      <c r="G1865" s="66" t="s">
        <v>2531</v>
      </c>
    </row>
    <row r="1866" ht="22.5" customHeight="1">
      <c r="A1866" s="66" t="s">
        <v>2532</v>
      </c>
      <c r="B1866" s="67" t="str">
        <f t="shared" si="11"/>
        <v>M: imply</v>
      </c>
      <c r="C1866" s="66">
        <v>1.0</v>
      </c>
      <c r="D1866" s="68">
        <v>45936.0</v>
      </c>
      <c r="E1866" s="66">
        <v>7.0</v>
      </c>
      <c r="F1866" s="66" t="s">
        <v>2533</v>
      </c>
      <c r="G1866" s="66" t="s">
        <v>247</v>
      </c>
    </row>
    <row r="1867" ht="22.5" customHeight="1">
      <c r="A1867" s="66" t="s">
        <v>2534</v>
      </c>
      <c r="B1867" s="67" t="str">
        <f t="shared" si="11"/>
        <v>M: squares</v>
      </c>
      <c r="C1867" s="66">
        <v>1.0</v>
      </c>
      <c r="D1867" s="68">
        <v>45936.0</v>
      </c>
      <c r="E1867" s="66">
        <v>8.0</v>
      </c>
      <c r="F1867" s="66" t="s">
        <v>2535</v>
      </c>
      <c r="G1867" s="66" t="s">
        <v>247</v>
      </c>
    </row>
    <row r="1868" ht="22.5" customHeight="1">
      <c r="A1868" s="66" t="s">
        <v>2536</v>
      </c>
      <c r="B1868" s="67" t="str">
        <f t="shared" si="11"/>
        <v>M: definition</v>
      </c>
      <c r="C1868" s="68"/>
      <c r="D1868" s="68">
        <v>45936.0</v>
      </c>
      <c r="E1868" s="66">
        <v>9.0</v>
      </c>
      <c r="F1868" s="66" t="str">
        <f>IFERROR(__xludf.DUMMYFUNCTION("GOOGLETRANSLATE(A1868,""en"",""pt"")"),"definição")</f>
        <v>definição</v>
      </c>
      <c r="G1868" s="66" t="s">
        <v>2537</v>
      </c>
    </row>
    <row r="1869" ht="22.5" customHeight="1">
      <c r="A1869" s="66" t="s">
        <v>2538</v>
      </c>
      <c r="B1869" s="67" t="str">
        <f t="shared" si="11"/>
        <v>M: contain</v>
      </c>
      <c r="C1869" s="66">
        <v>1.0</v>
      </c>
      <c r="D1869" s="68">
        <v>45936.0</v>
      </c>
      <c r="E1869" s="66">
        <v>10.0</v>
      </c>
      <c r="F1869" s="66" t="s">
        <v>2539</v>
      </c>
      <c r="G1869" s="66" t="s">
        <v>247</v>
      </c>
    </row>
    <row r="1870" ht="22.5" customHeight="1">
      <c r="A1870" s="66" t="s">
        <v>2540</v>
      </c>
      <c r="B1870" s="67" t="str">
        <f t="shared" si="11"/>
        <v>M: encapsulation</v>
      </c>
      <c r="C1870" s="66">
        <v>1.0</v>
      </c>
      <c r="D1870" s="68">
        <v>45936.0</v>
      </c>
      <c r="E1870" s="66">
        <v>1.0</v>
      </c>
      <c r="F1870" s="66" t="s">
        <v>2541</v>
      </c>
      <c r="G1870" s="66" t="s">
        <v>247</v>
      </c>
    </row>
    <row r="1871" ht="22.5" customHeight="1">
      <c r="A1871" s="66" t="s">
        <v>2542</v>
      </c>
      <c r="B1871" s="67" t="str">
        <f t="shared" si="11"/>
        <v>M: inherit</v>
      </c>
      <c r="C1871" s="68"/>
      <c r="D1871" s="68">
        <v>45936.0</v>
      </c>
      <c r="E1871" s="66">
        <v>2.0</v>
      </c>
      <c r="F1871" s="66" t="str">
        <f>IFERROR(__xludf.DUMMYFUNCTION("GOOGLETRANSLATE(A1871,""en"",""pt"")"),"herdar")</f>
        <v>herdar</v>
      </c>
      <c r="G1871" s="66" t="s">
        <v>2543</v>
      </c>
    </row>
    <row r="1872" ht="22.5" customHeight="1">
      <c r="A1872" s="66" t="s">
        <v>2544</v>
      </c>
      <c r="B1872" s="67" t="str">
        <f t="shared" si="11"/>
        <v>M: abstraction</v>
      </c>
      <c r="C1872" s="66">
        <v>1.0</v>
      </c>
      <c r="D1872" s="68">
        <v>45937.0</v>
      </c>
      <c r="E1872" s="66">
        <v>3.0</v>
      </c>
      <c r="F1872" s="66" t="s">
        <v>2545</v>
      </c>
      <c r="G1872" s="66" t="s">
        <v>247</v>
      </c>
    </row>
    <row r="1873" ht="22.5" customHeight="1">
      <c r="A1873" s="66" t="s">
        <v>2546</v>
      </c>
      <c r="B1873" s="67" t="str">
        <f t="shared" si="11"/>
        <v>M: polymorphism</v>
      </c>
      <c r="C1873" s="68"/>
      <c r="D1873" s="68">
        <v>45937.0</v>
      </c>
      <c r="E1873" s="66">
        <v>4.0</v>
      </c>
      <c r="F1873" s="66" t="str">
        <f>IFERROR(__xludf.DUMMYFUNCTION("GOOGLETRANSLATE(A1873,""en"",""pt"")"),"polimorfismo")</f>
        <v>polimorfismo</v>
      </c>
      <c r="G1873" s="66" t="s">
        <v>2547</v>
      </c>
    </row>
    <row r="1874" ht="22.5" customHeight="1">
      <c r="A1874" s="66" t="s">
        <v>2548</v>
      </c>
      <c r="B1874" s="67" t="str">
        <f t="shared" si="11"/>
        <v>M: bundling</v>
      </c>
      <c r="C1874" s="66">
        <v>1.0</v>
      </c>
      <c r="D1874" s="68">
        <v>45937.0</v>
      </c>
      <c r="E1874" s="66">
        <v>5.0</v>
      </c>
      <c r="F1874" s="66" t="s">
        <v>2549</v>
      </c>
      <c r="G1874" s="66" t="s">
        <v>247</v>
      </c>
    </row>
    <row r="1875" ht="22.5" customHeight="1">
      <c r="A1875" s="66" t="s">
        <v>2550</v>
      </c>
      <c r="B1875" s="67" t="str">
        <f t="shared" si="11"/>
        <v>M: in practice</v>
      </c>
      <c r="C1875" s="68"/>
      <c r="D1875" s="68">
        <v>45937.0</v>
      </c>
      <c r="E1875" s="66">
        <v>6.0</v>
      </c>
      <c r="F1875" s="66" t="str">
        <f>IFERROR(__xludf.DUMMYFUNCTION("GOOGLETRANSLATE(A1875,""en"",""pt"")"),"na prática")</f>
        <v>na prática</v>
      </c>
      <c r="G1875" s="66" t="s">
        <v>2551</v>
      </c>
    </row>
    <row r="1876" ht="22.5" customHeight="1">
      <c r="A1876" s="66" t="s">
        <v>2552</v>
      </c>
      <c r="B1876" s="67" t="str">
        <f t="shared" si="11"/>
        <v>M: these</v>
      </c>
      <c r="C1876" s="66">
        <v>1.0</v>
      </c>
      <c r="D1876" s="68">
        <v>45937.0</v>
      </c>
      <c r="E1876" s="66">
        <v>7.0</v>
      </c>
      <c r="F1876" s="71" t="s">
        <v>2553</v>
      </c>
      <c r="G1876" s="66" t="s">
        <v>247</v>
      </c>
    </row>
    <row r="1877" ht="22.5" customHeight="1">
      <c r="A1877" s="66" t="s">
        <v>2554</v>
      </c>
      <c r="B1877" s="67" t="str">
        <f t="shared" si="11"/>
        <v>M: retrieve</v>
      </c>
      <c r="C1877" s="66">
        <v>1.0</v>
      </c>
      <c r="D1877" s="68">
        <v>45937.0</v>
      </c>
      <c r="E1877" s="66">
        <v>8.0</v>
      </c>
      <c r="F1877" s="71" t="s">
        <v>2555</v>
      </c>
      <c r="G1877" s="66" t="s">
        <v>247</v>
      </c>
    </row>
    <row r="1878" ht="22.5" customHeight="1">
      <c r="A1878" s="66" t="s">
        <v>2556</v>
      </c>
      <c r="B1878" s="67" t="str">
        <f t="shared" si="11"/>
        <v>M: easiest</v>
      </c>
      <c r="C1878" s="68"/>
      <c r="D1878" s="68">
        <v>45937.0</v>
      </c>
      <c r="E1878" s="66">
        <v>9.0</v>
      </c>
      <c r="F1878" s="66" t="str">
        <f>IFERROR(__xludf.DUMMYFUNCTION("GOOGLETRANSLATE(A1878,""en"",""pt"")"),"mais fácil")</f>
        <v>mais fácil</v>
      </c>
      <c r="G1878" s="66" t="s">
        <v>2557</v>
      </c>
    </row>
    <row r="1879" ht="22.5" customHeight="1">
      <c r="A1879" s="66" t="s">
        <v>2558</v>
      </c>
      <c r="B1879" s="67" t="str">
        <f t="shared" si="11"/>
        <v>M: depend</v>
      </c>
      <c r="C1879" s="66">
        <v>1.0</v>
      </c>
      <c r="D1879" s="68">
        <v>45937.0</v>
      </c>
      <c r="E1879" s="66">
        <v>10.0</v>
      </c>
      <c r="F1879" s="66" t="s">
        <v>2559</v>
      </c>
      <c r="G1879" s="66" t="s">
        <v>247</v>
      </c>
    </row>
    <row r="1880" ht="22.5" customHeight="1">
      <c r="A1880" s="66" t="s">
        <v>2560</v>
      </c>
      <c r="B1880" s="67" t="str">
        <f t="shared" si="11"/>
        <v>M: levels</v>
      </c>
      <c r="C1880" s="66">
        <v>1.0</v>
      </c>
      <c r="D1880" s="68">
        <v>45937.0</v>
      </c>
      <c r="E1880" s="66">
        <v>1.0</v>
      </c>
      <c r="F1880" s="66" t="s">
        <v>2561</v>
      </c>
      <c r="G1880" s="66" t="s">
        <v>247</v>
      </c>
    </row>
    <row r="1881" ht="22.5" customHeight="1">
      <c r="A1881" s="66" t="s">
        <v>2562</v>
      </c>
      <c r="B1881" s="67" t="str">
        <f t="shared" si="11"/>
        <v>M: getter</v>
      </c>
      <c r="C1881" s="68"/>
      <c r="D1881" s="68">
        <v>45937.0</v>
      </c>
      <c r="E1881" s="66">
        <v>2.0</v>
      </c>
      <c r="F1881" s="66" t="str">
        <f>IFERROR(__xludf.DUMMYFUNCTION("GOOGLETRANSLATE(A1881,""en"",""pt"")"),"getter")</f>
        <v>getter</v>
      </c>
      <c r="G1881" s="66" t="s">
        <v>2563</v>
      </c>
    </row>
    <row r="1882" ht="22.5" customHeight="1">
      <c r="A1882" s="66" t="s">
        <v>2564</v>
      </c>
      <c r="B1882" s="67" t="str">
        <f t="shared" si="11"/>
        <v>M: discussed</v>
      </c>
      <c r="C1882" s="66">
        <v>1.0</v>
      </c>
      <c r="D1882" s="68">
        <v>45938.0</v>
      </c>
      <c r="E1882" s="66">
        <v>3.0</v>
      </c>
      <c r="F1882" s="71" t="s">
        <v>2565</v>
      </c>
      <c r="G1882" s="66" t="s">
        <v>247</v>
      </c>
    </row>
    <row r="1883" ht="22.5" customHeight="1">
      <c r="A1883" s="66" t="s">
        <v>2566</v>
      </c>
      <c r="B1883" s="67" t="str">
        <f t="shared" si="11"/>
        <v>M: column</v>
      </c>
      <c r="C1883" s="66">
        <v>1.0</v>
      </c>
      <c r="D1883" s="68">
        <v>45938.0</v>
      </c>
      <c r="E1883" s="66">
        <v>4.0</v>
      </c>
      <c r="F1883" s="66" t="s">
        <v>2567</v>
      </c>
      <c r="G1883" s="66" t="s">
        <v>247</v>
      </c>
    </row>
    <row r="1884" ht="22.5" customHeight="1">
      <c r="A1884" s="66" t="s">
        <v>2568</v>
      </c>
      <c r="B1884" s="67" t="str">
        <f t="shared" si="11"/>
        <v>M: may be</v>
      </c>
      <c r="C1884" s="68"/>
      <c r="D1884" s="68">
        <v>45938.0</v>
      </c>
      <c r="E1884" s="66">
        <v>5.0</v>
      </c>
      <c r="F1884" s="66" t="str">
        <f>IFERROR(__xludf.DUMMYFUNCTION("GOOGLETRANSLATE(A1884,""en"",""pt"")"),"talvez")</f>
        <v>talvez</v>
      </c>
      <c r="G1884" s="66" t="s">
        <v>2569</v>
      </c>
    </row>
    <row r="1885" ht="22.5" customHeight="1">
      <c r="A1885" s="66" t="s">
        <v>2570</v>
      </c>
      <c r="B1885" s="67" t="str">
        <f t="shared" si="11"/>
        <v>M: end up</v>
      </c>
      <c r="C1885" s="66">
        <v>1.0</v>
      </c>
      <c r="D1885" s="68">
        <v>45938.0</v>
      </c>
      <c r="E1885" s="66">
        <v>6.0</v>
      </c>
      <c r="F1885" s="66" t="s">
        <v>2571</v>
      </c>
      <c r="G1885" s="66" t="s">
        <v>247</v>
      </c>
    </row>
    <row r="1886" ht="22.5" customHeight="1">
      <c r="A1886" s="66" t="s">
        <v>2572</v>
      </c>
      <c r="B1886" s="67" t="str">
        <f t="shared" si="11"/>
        <v>M: occupy</v>
      </c>
      <c r="C1886" s="68"/>
      <c r="D1886" s="68">
        <v>45938.0</v>
      </c>
      <c r="E1886" s="66">
        <v>7.0</v>
      </c>
      <c r="F1886" s="66" t="str">
        <f>IFERROR(__xludf.DUMMYFUNCTION("GOOGLETRANSLATE(A1886,""en"",""pt"")"),"ocupar")</f>
        <v>ocupar</v>
      </c>
      <c r="G1886" s="66" t="s">
        <v>2573</v>
      </c>
    </row>
    <row r="1887" ht="22.5" customHeight="1">
      <c r="A1887" s="66" t="s">
        <v>2574</v>
      </c>
      <c r="B1887" s="67" t="str">
        <f t="shared" si="11"/>
        <v>M: went over</v>
      </c>
      <c r="C1887" s="66">
        <v>1.0</v>
      </c>
      <c r="D1887" s="68">
        <v>45938.0</v>
      </c>
      <c r="E1887" s="66">
        <v>8.0</v>
      </c>
      <c r="F1887" s="71" t="s">
        <v>2575</v>
      </c>
      <c r="G1887" s="66" t="s">
        <v>247</v>
      </c>
    </row>
    <row r="1888" ht="22.5" customHeight="1">
      <c r="A1888" s="66" t="s">
        <v>2576</v>
      </c>
      <c r="B1888" s="67" t="str">
        <f t="shared" si="11"/>
        <v>M: knowledgeable</v>
      </c>
      <c r="C1888" s="68"/>
      <c r="D1888" s="68">
        <v>45938.0</v>
      </c>
      <c r="E1888" s="66">
        <v>9.0</v>
      </c>
      <c r="F1888" s="66" t="str">
        <f>IFERROR(__xludf.DUMMYFUNCTION("GOOGLETRANSLATE(A1888,""en"",""pt"")"),"conhecedor")</f>
        <v>conhecedor</v>
      </c>
      <c r="G1888" s="66" t="s">
        <v>2577</v>
      </c>
    </row>
    <row r="1889" ht="22.5" customHeight="1">
      <c r="A1889" s="66" t="s">
        <v>2578</v>
      </c>
      <c r="B1889" s="67" t="str">
        <f t="shared" si="11"/>
        <v>M: sections</v>
      </c>
      <c r="C1889" s="68"/>
      <c r="D1889" s="68">
        <v>45938.0</v>
      </c>
      <c r="E1889" s="66">
        <v>10.0</v>
      </c>
      <c r="F1889" s="66" t="str">
        <f>IFERROR(__xludf.DUMMYFUNCTION("GOOGLETRANSLATE(A1889,""en"",""pt"")"),"seções")</f>
        <v>seções</v>
      </c>
      <c r="G1889" s="66" t="s">
        <v>2579</v>
      </c>
    </row>
    <row r="1890" ht="22.5" customHeight="1">
      <c r="A1890" s="66" t="s">
        <v>2580</v>
      </c>
      <c r="B1890" s="67" t="str">
        <f t="shared" si="11"/>
        <v>M: overall</v>
      </c>
      <c r="C1890" s="68"/>
      <c r="D1890" s="68">
        <v>45938.0</v>
      </c>
      <c r="E1890" s="66">
        <v>1.0</v>
      </c>
      <c r="F1890" s="66" t="str">
        <f>IFERROR(__xludf.DUMMYFUNCTION("GOOGLETRANSLATE(A1890,""en"",""pt"")"),"geral")</f>
        <v>geral</v>
      </c>
      <c r="G1890" s="66" t="s">
        <v>2581</v>
      </c>
    </row>
    <row r="1891" ht="22.5" customHeight="1">
      <c r="A1891" s="66" t="s">
        <v>2582</v>
      </c>
      <c r="B1891" s="67" t="str">
        <f t="shared" si="11"/>
        <v>M: vital</v>
      </c>
      <c r="C1891" s="66">
        <v>1.0</v>
      </c>
      <c r="D1891" s="68">
        <v>45938.0</v>
      </c>
      <c r="E1891" s="66">
        <v>2.0</v>
      </c>
      <c r="F1891" s="71" t="s">
        <v>2583</v>
      </c>
      <c r="G1891" s="66" t="s">
        <v>247</v>
      </c>
    </row>
    <row r="1892" ht="22.5" customHeight="1">
      <c r="A1892" s="66" t="s">
        <v>2584</v>
      </c>
      <c r="B1892" s="67" t="str">
        <f t="shared" si="11"/>
        <v>M: unwanted</v>
      </c>
      <c r="C1892" s="68"/>
      <c r="D1892" s="68">
        <v>45939.0</v>
      </c>
      <c r="E1892" s="66">
        <v>3.0</v>
      </c>
      <c r="F1892" s="66" t="s">
        <v>2585</v>
      </c>
      <c r="G1892" s="66" t="s">
        <v>247</v>
      </c>
    </row>
    <row r="1893" ht="22.5" customHeight="1">
      <c r="A1893" s="66" t="s">
        <v>2586</v>
      </c>
      <c r="B1893" s="67" t="str">
        <f t="shared" si="11"/>
        <v>M: refers</v>
      </c>
      <c r="C1893" s="68"/>
      <c r="D1893" s="68">
        <v>45939.0</v>
      </c>
      <c r="E1893" s="66">
        <v>4.0</v>
      </c>
      <c r="F1893" s="66" t="str">
        <f>IFERROR(__xludf.DUMMYFUNCTION("GOOGLETRANSLATE(A1893,""en"",""pt"")"),"refere-se")</f>
        <v>refere-se</v>
      </c>
      <c r="G1893" s="66" t="s">
        <v>2587</v>
      </c>
    </row>
    <row r="1894" ht="22.5" customHeight="1">
      <c r="A1894" s="66" t="s">
        <v>2588</v>
      </c>
      <c r="B1894" s="67" t="str">
        <f t="shared" si="11"/>
        <v>M: brake</v>
      </c>
      <c r="C1894" s="66">
        <v>1.0</v>
      </c>
      <c r="D1894" s="68">
        <v>45939.0</v>
      </c>
      <c r="E1894" s="66">
        <v>5.0</v>
      </c>
      <c r="F1894" s="71" t="s">
        <v>2589</v>
      </c>
      <c r="G1894" s="66" t="s">
        <v>247</v>
      </c>
    </row>
    <row r="1895" ht="22.5" customHeight="1">
      <c r="A1895" s="66" t="s">
        <v>2590</v>
      </c>
      <c r="B1895" s="67" t="str">
        <f t="shared" si="11"/>
        <v>M: especially</v>
      </c>
      <c r="C1895" s="68"/>
      <c r="D1895" s="68">
        <v>45939.0</v>
      </c>
      <c r="E1895" s="66">
        <v>6.0</v>
      </c>
      <c r="F1895" s="66" t="str">
        <f>IFERROR(__xludf.DUMMYFUNCTION("GOOGLETRANSLATE(A1895,""en"",""pt"")"),"especialmente")</f>
        <v>especialmente</v>
      </c>
      <c r="G1895" s="66" t="s">
        <v>2591</v>
      </c>
    </row>
    <row r="1896" ht="22.5" customHeight="1">
      <c r="A1896" s="66" t="s">
        <v>2592</v>
      </c>
      <c r="B1896" s="67" t="str">
        <f t="shared" si="11"/>
        <v>M: concerned</v>
      </c>
      <c r="C1896" s="68"/>
      <c r="D1896" s="68">
        <v>45939.0</v>
      </c>
      <c r="E1896" s="66">
        <v>7.0</v>
      </c>
      <c r="F1896" s="66" t="str">
        <f>IFERROR(__xludf.DUMMYFUNCTION("GOOGLETRANSLATE(A1896,""en"",""pt"")"),"preocupado")</f>
        <v>preocupado</v>
      </c>
      <c r="G1896" s="66" t="s">
        <v>2593</v>
      </c>
    </row>
    <row r="1897" ht="22.5" customHeight="1">
      <c r="A1897" s="66" t="s">
        <v>2594</v>
      </c>
      <c r="B1897" s="67" t="str">
        <f t="shared" si="11"/>
        <v>M: tend</v>
      </c>
      <c r="C1897" s="66">
        <v>1.0</v>
      </c>
      <c r="D1897" s="68">
        <v>45939.0</v>
      </c>
      <c r="E1897" s="66">
        <v>8.0</v>
      </c>
      <c r="F1897" s="66" t="s">
        <v>2595</v>
      </c>
      <c r="G1897" s="66" t="s">
        <v>247</v>
      </c>
    </row>
    <row r="1898" ht="22.5" customHeight="1">
      <c r="A1898" s="66" t="s">
        <v>2596</v>
      </c>
      <c r="B1898" s="67" t="str">
        <f t="shared" si="11"/>
        <v>M: manageable</v>
      </c>
      <c r="C1898" s="66">
        <v>1.0</v>
      </c>
      <c r="D1898" s="68">
        <v>45939.0</v>
      </c>
      <c r="E1898" s="66">
        <v>9.0</v>
      </c>
      <c r="F1898" s="66" t="s">
        <v>2597</v>
      </c>
      <c r="G1898" s="66" t="s">
        <v>247</v>
      </c>
    </row>
    <row r="1899" ht="22.5" customHeight="1">
      <c r="A1899" s="66" t="s">
        <v>2598</v>
      </c>
      <c r="B1899" s="67" t="str">
        <f t="shared" si="11"/>
        <v>M: chunks</v>
      </c>
      <c r="C1899" s="66">
        <v>1.0</v>
      </c>
      <c r="D1899" s="68">
        <v>45939.0</v>
      </c>
      <c r="E1899" s="66">
        <v>10.0</v>
      </c>
      <c r="F1899" s="66" t="str">
        <f>IFERROR(__xludf.DUMMYFUNCTION("GOOGLETRANSLATE(A1899,""en"",""pt"")"),"pedaços")</f>
        <v>pedaços</v>
      </c>
      <c r="G1899" s="66" t="s">
        <v>247</v>
      </c>
    </row>
    <row r="1900" ht="22.5" customHeight="1">
      <c r="A1900" s="66" t="s">
        <v>2599</v>
      </c>
      <c r="B1900" s="67" t="str">
        <f t="shared" si="11"/>
        <v>M: wheels</v>
      </c>
      <c r="C1900" s="68"/>
      <c r="D1900" s="68">
        <v>45939.0</v>
      </c>
      <c r="E1900" s="66">
        <v>1.0</v>
      </c>
      <c r="F1900" s="66" t="str">
        <f>IFERROR(__xludf.DUMMYFUNCTION("GOOGLETRANSLATE(A1900,""en"",""pt"")"),"rodas")</f>
        <v>rodas</v>
      </c>
      <c r="G1900" s="66" t="s">
        <v>2600</v>
      </c>
    </row>
    <row r="1901" ht="22.5" customHeight="1">
      <c r="A1901" s="66" t="s">
        <v>2601</v>
      </c>
      <c r="B1901" s="67" t="str">
        <f t="shared" si="11"/>
        <v>M: to achieve</v>
      </c>
      <c r="C1901" s="66">
        <v>1.0</v>
      </c>
      <c r="D1901" s="68">
        <v>45939.0</v>
      </c>
      <c r="E1901" s="66">
        <v>2.0</v>
      </c>
      <c r="F1901" s="66" t="s">
        <v>2602</v>
      </c>
      <c r="G1901" s="66" t="s">
        <v>247</v>
      </c>
    </row>
    <row r="1902" ht="22.5" customHeight="1">
      <c r="A1902" s="66" t="s">
        <v>2603</v>
      </c>
      <c r="B1902" s="67" t="str">
        <f t="shared" si="11"/>
        <v>M: typically</v>
      </c>
      <c r="C1902" s="66">
        <v>1.0</v>
      </c>
      <c r="D1902" s="68">
        <v>45940.0</v>
      </c>
      <c r="E1902" s="66">
        <v>3.0</v>
      </c>
      <c r="F1902" s="66" t="s">
        <v>2604</v>
      </c>
      <c r="G1902" s="66" t="s">
        <v>247</v>
      </c>
    </row>
    <row r="1903" ht="22.5" customHeight="1">
      <c r="A1903" s="66" t="s">
        <v>2605</v>
      </c>
      <c r="B1903" s="67" t="str">
        <f t="shared" si="11"/>
        <v>M: should be</v>
      </c>
      <c r="C1903" s="66">
        <v>1.0</v>
      </c>
      <c r="D1903" s="68">
        <v>45940.0</v>
      </c>
      <c r="E1903" s="66">
        <v>4.0</v>
      </c>
      <c r="F1903" s="71" t="s">
        <v>2606</v>
      </c>
      <c r="G1903" s="66" t="s">
        <v>247</v>
      </c>
    </row>
    <row r="1904" ht="22.5" customHeight="1">
      <c r="A1904" s="66" t="s">
        <v>2607</v>
      </c>
      <c r="B1904" s="67" t="str">
        <f t="shared" si="11"/>
        <v>M: as it should</v>
      </c>
      <c r="C1904" s="68"/>
      <c r="D1904" s="68">
        <v>45940.0</v>
      </c>
      <c r="E1904" s="66">
        <v>5.0</v>
      </c>
      <c r="F1904" s="66" t="str">
        <f>IFERROR(__xludf.DUMMYFUNCTION("GOOGLETRANSLATE(A1904,""en"",""pt"")"),"como deveria ser")</f>
        <v>como deveria ser</v>
      </c>
      <c r="G1904" s="66" t="s">
        <v>2608</v>
      </c>
    </row>
    <row r="1905" ht="22.5" customHeight="1">
      <c r="A1905" s="66" t="s">
        <v>2609</v>
      </c>
      <c r="B1905" s="67" t="str">
        <f t="shared" si="11"/>
        <v>M: reliant</v>
      </c>
      <c r="C1905" s="68"/>
      <c r="D1905" s="68">
        <v>45940.0</v>
      </c>
      <c r="E1905" s="66">
        <v>6.0</v>
      </c>
      <c r="F1905" s="66" t="str">
        <f>IFERROR(__xludf.DUMMYFUNCTION("GOOGLETRANSLATE(A1905,""en"",""pt"")"),"dependente")</f>
        <v>dependente</v>
      </c>
      <c r="G1905" s="66" t="s">
        <v>2610</v>
      </c>
    </row>
    <row r="1906" ht="22.5" customHeight="1">
      <c r="A1906" s="66" t="s">
        <v>2611</v>
      </c>
      <c r="B1906" s="67" t="str">
        <f t="shared" si="11"/>
        <v>M: coupled</v>
      </c>
      <c r="C1906" s="66">
        <v>1.0</v>
      </c>
      <c r="D1906" s="68">
        <v>45940.0</v>
      </c>
      <c r="E1906" s="66">
        <v>7.0</v>
      </c>
      <c r="F1906" s="71" t="s">
        <v>2612</v>
      </c>
      <c r="G1906" s="66" t="s">
        <v>247</v>
      </c>
    </row>
    <row r="1907" ht="22.5" customHeight="1">
      <c r="A1907" s="66" t="s">
        <v>2613</v>
      </c>
      <c r="B1907" s="67" t="str">
        <f t="shared" si="11"/>
        <v>M: clash</v>
      </c>
      <c r="C1907" s="66">
        <v>1.0</v>
      </c>
      <c r="D1907" s="68">
        <v>45940.0</v>
      </c>
      <c r="E1907" s="66">
        <v>8.0</v>
      </c>
      <c r="F1907" s="66" t="s">
        <v>2614</v>
      </c>
      <c r="G1907" s="66" t="s">
        <v>247</v>
      </c>
    </row>
    <row r="1908" ht="22.5" customHeight="1">
      <c r="A1908" s="66" t="s">
        <v>2615</v>
      </c>
      <c r="B1908" s="67" t="str">
        <f t="shared" si="11"/>
        <v>M: subclass</v>
      </c>
      <c r="C1908" s="68"/>
      <c r="D1908" s="68">
        <v>45940.0</v>
      </c>
      <c r="E1908" s="66">
        <v>9.0</v>
      </c>
      <c r="F1908" s="66" t="str">
        <f>IFERROR(__xludf.DUMMYFUNCTION("GOOGLETRANSLATE(A1908,""en"",""pt"")"),"subclass")</f>
        <v>subclass</v>
      </c>
      <c r="G1908" s="66" t="s">
        <v>2616</v>
      </c>
    </row>
    <row r="1909" ht="22.5" customHeight="1">
      <c r="A1909" s="66" t="s">
        <v>2617</v>
      </c>
      <c r="B1909" s="67" t="str">
        <f t="shared" si="11"/>
        <v>M: incrementally</v>
      </c>
      <c r="C1909" s="68"/>
      <c r="D1909" s="68">
        <v>45940.0</v>
      </c>
      <c r="E1909" s="66">
        <v>10.0</v>
      </c>
      <c r="F1909" s="66" t="str">
        <f>IFERROR(__xludf.DUMMYFUNCTION("GOOGLETRANSLATE(A1909,""en"",""pt"")"),"incrementalmente")</f>
        <v>incrementalmente</v>
      </c>
      <c r="G1909" s="66" t="s">
        <v>2618</v>
      </c>
    </row>
    <row r="1910" ht="22.5" customHeight="1">
      <c r="A1910" s="66" t="s">
        <v>2619</v>
      </c>
      <c r="B1910" s="67" t="str">
        <f t="shared" si="11"/>
        <v>M: inheritance</v>
      </c>
      <c r="C1910" s="68"/>
      <c r="D1910" s="68">
        <v>45940.0</v>
      </c>
      <c r="E1910" s="66">
        <v>1.0</v>
      </c>
      <c r="F1910" s="66" t="str">
        <f>IFERROR(__xludf.DUMMYFUNCTION("GOOGLETRANSLATE(A1910,""en"",""pt"")"),"herança")</f>
        <v>herança</v>
      </c>
      <c r="G1910" s="66" t="s">
        <v>2620</v>
      </c>
    </row>
    <row r="1911" ht="22.5" customHeight="1">
      <c r="A1911" s="66" t="s">
        <v>2621</v>
      </c>
      <c r="B1911" s="67" t="str">
        <f t="shared" si="11"/>
        <v>M: broader</v>
      </c>
      <c r="C1911" s="68"/>
      <c r="D1911" s="68">
        <v>45940.0</v>
      </c>
      <c r="E1911" s="66">
        <v>2.0</v>
      </c>
      <c r="F1911" s="66" t="str">
        <f>IFERROR(__xludf.DUMMYFUNCTION("GOOGLETRANSLATE(A1911,""en"",""pt"")"),"mais amplo")</f>
        <v>mais amplo</v>
      </c>
      <c r="G1911" s="66" t="s">
        <v>2622</v>
      </c>
    </row>
    <row r="1912" ht="22.5" customHeight="1">
      <c r="A1912" s="66" t="s">
        <v>2623</v>
      </c>
      <c r="B1912" s="67" t="str">
        <f t="shared" si="11"/>
        <v>M: hierarchy</v>
      </c>
      <c r="C1912" s="68"/>
      <c r="D1912" s="68">
        <v>45941.0</v>
      </c>
      <c r="E1912" s="66">
        <v>3.0</v>
      </c>
      <c r="F1912" s="66" t="str">
        <f>IFERROR(__xludf.DUMMYFUNCTION("GOOGLETRANSLATE(A1912,""en"",""pt"")"),"hierarquia")</f>
        <v>hierarquia</v>
      </c>
      <c r="G1912" s="66" t="s">
        <v>2624</v>
      </c>
    </row>
    <row r="1913" ht="22.5" customHeight="1">
      <c r="A1913" s="66" t="s">
        <v>2625</v>
      </c>
      <c r="B1913" s="67" t="str">
        <f t="shared" si="11"/>
        <v>M: their on</v>
      </c>
      <c r="C1913" s="68"/>
      <c r="D1913" s="68">
        <v>45941.0</v>
      </c>
      <c r="E1913" s="66">
        <v>4.0</v>
      </c>
      <c r="F1913" s="66" t="str">
        <f>IFERROR(__xludf.DUMMYFUNCTION("GOOGLETRANSLATE(A1913,""en"",""pt"")"),"deles")</f>
        <v>deles</v>
      </c>
      <c r="G1913" s="66" t="s">
        <v>2626</v>
      </c>
    </row>
    <row r="1914" ht="22.5" customHeight="1">
      <c r="A1914" s="66" t="s">
        <v>2627</v>
      </c>
      <c r="B1914" s="67" t="str">
        <f t="shared" si="11"/>
        <v>M: somewhere</v>
      </c>
      <c r="C1914" s="68"/>
      <c r="D1914" s="68">
        <v>45941.0</v>
      </c>
      <c r="E1914" s="66">
        <v>5.0</v>
      </c>
      <c r="F1914" s="66" t="str">
        <f>IFERROR(__xludf.DUMMYFUNCTION("GOOGLETRANSLATE(A1914,""en"",""pt"")"),"em algum lugar")</f>
        <v>em algum lugar</v>
      </c>
      <c r="G1914" s="66" t="s">
        <v>2628</v>
      </c>
    </row>
    <row r="1915" ht="22.5" customHeight="1">
      <c r="A1915" s="66" t="s">
        <v>2629</v>
      </c>
      <c r="B1915" s="67" t="str">
        <f t="shared" si="11"/>
        <v>M: as a whole</v>
      </c>
      <c r="C1915" s="68"/>
      <c r="D1915" s="68">
        <v>45941.0</v>
      </c>
      <c r="E1915" s="66">
        <v>6.0</v>
      </c>
      <c r="F1915" s="66" t="str">
        <f>IFERROR(__xludf.DUMMYFUNCTION("GOOGLETRANSLATE(A1915,""en"",""pt"")"),"como um todo")</f>
        <v>como um todo</v>
      </c>
      <c r="G1915" s="66" t="s">
        <v>2630</v>
      </c>
    </row>
    <row r="1916" ht="22.5" customHeight="1">
      <c r="A1916" s="66" t="s">
        <v>2631</v>
      </c>
      <c r="B1916" s="67" t="str">
        <f t="shared" si="11"/>
        <v>M: modifier</v>
      </c>
      <c r="C1916" s="66">
        <v>1.0</v>
      </c>
      <c r="D1916" s="68">
        <v>45941.0</v>
      </c>
      <c r="E1916" s="66">
        <v>7.0</v>
      </c>
      <c r="F1916" s="71" t="s">
        <v>2632</v>
      </c>
      <c r="G1916" s="66" t="s">
        <v>247</v>
      </c>
    </row>
    <row r="1917" ht="22.5" customHeight="1">
      <c r="A1917" s="66" t="s">
        <v>2633</v>
      </c>
      <c r="B1917" s="67" t="str">
        <f t="shared" si="11"/>
        <v>M: defined</v>
      </c>
      <c r="C1917" s="68"/>
      <c r="D1917" s="68">
        <v>45941.0</v>
      </c>
      <c r="E1917" s="66">
        <v>8.0</v>
      </c>
      <c r="F1917" s="66" t="str">
        <f>IFERROR(__xludf.DUMMYFUNCTION("GOOGLETRANSLATE(A1917,""en"",""pt"")"),"definido")</f>
        <v>definido</v>
      </c>
      <c r="G1917" s="66" t="s">
        <v>2634</v>
      </c>
    </row>
    <row r="1918" ht="22.5" customHeight="1">
      <c r="A1918" s="66" t="s">
        <v>2635</v>
      </c>
      <c r="B1918" s="67" t="str">
        <f t="shared" si="11"/>
        <v>M: private</v>
      </c>
      <c r="C1918" s="66">
        <v>1.0</v>
      </c>
      <c r="D1918" s="68">
        <v>45941.0</v>
      </c>
      <c r="E1918" s="66">
        <v>9.0</v>
      </c>
      <c r="F1918" s="66" t="s">
        <v>2636</v>
      </c>
      <c r="G1918" s="66" t="s">
        <v>247</v>
      </c>
    </row>
    <row r="1919" ht="22.5" customHeight="1">
      <c r="A1919" s="66" t="s">
        <v>2637</v>
      </c>
      <c r="B1919" s="67" t="str">
        <f t="shared" si="11"/>
        <v>M: conflict</v>
      </c>
      <c r="C1919" s="66">
        <v>1.0</v>
      </c>
      <c r="D1919" s="68">
        <v>45941.0</v>
      </c>
      <c r="E1919" s="66">
        <v>10.0</v>
      </c>
      <c r="F1919" s="71" t="s">
        <v>2638</v>
      </c>
      <c r="G1919" s="66" t="s">
        <v>247</v>
      </c>
    </row>
    <row r="1920" ht="22.5" customHeight="1">
      <c r="A1920" s="66" t="s">
        <v>2639</v>
      </c>
      <c r="B1920" s="67" t="str">
        <f t="shared" si="11"/>
        <v>M: dynamic</v>
      </c>
      <c r="C1920" s="66">
        <v>1.0</v>
      </c>
      <c r="D1920" s="68">
        <v>45941.0</v>
      </c>
      <c r="E1920" s="66">
        <v>1.0</v>
      </c>
      <c r="F1920" s="71" t="s">
        <v>2640</v>
      </c>
      <c r="G1920" s="66" t="s">
        <v>247</v>
      </c>
    </row>
    <row r="1921" ht="22.5" customHeight="1">
      <c r="A1921" s="66" t="s">
        <v>2641</v>
      </c>
      <c r="B1921" s="67" t="str">
        <f t="shared" si="11"/>
        <v>M: occurs</v>
      </c>
      <c r="C1921" s="66">
        <v>1.0</v>
      </c>
      <c r="D1921" s="68">
        <v>45941.0</v>
      </c>
      <c r="E1921" s="66">
        <v>2.0</v>
      </c>
      <c r="F1921" s="66" t="s">
        <v>2642</v>
      </c>
      <c r="G1921" s="66" t="s">
        <v>247</v>
      </c>
    </row>
    <row r="1922" ht="22.5" customHeight="1">
      <c r="A1922" s="66" t="s">
        <v>2643</v>
      </c>
      <c r="B1922" s="67" t="str">
        <f t="shared" si="11"/>
        <v>M: describes</v>
      </c>
      <c r="C1922" s="66">
        <v>1.0</v>
      </c>
      <c r="D1922" s="68">
        <v>45942.0</v>
      </c>
      <c r="E1922" s="66">
        <v>3.0</v>
      </c>
      <c r="F1922" s="66" t="s">
        <v>2644</v>
      </c>
      <c r="G1922" s="66" t="s">
        <v>247</v>
      </c>
    </row>
    <row r="1923" ht="22.5" customHeight="1">
      <c r="A1923" s="66" t="s">
        <v>2645</v>
      </c>
      <c r="B1923" s="67" t="str">
        <f t="shared" si="11"/>
        <v>M: go over</v>
      </c>
      <c r="C1923" s="66">
        <v>1.0</v>
      </c>
      <c r="D1923" s="68">
        <v>45942.0</v>
      </c>
      <c r="E1923" s="66">
        <v>4.0</v>
      </c>
      <c r="F1923" s="71" t="s">
        <v>2646</v>
      </c>
      <c r="G1923" s="66" t="s">
        <v>247</v>
      </c>
    </row>
    <row r="1924" ht="22.5" customHeight="1">
      <c r="A1924" s="66" t="s">
        <v>2647</v>
      </c>
      <c r="B1924" s="67" t="str">
        <f t="shared" si="11"/>
        <v>M: pertinent </v>
      </c>
      <c r="C1924" s="68"/>
      <c r="D1924" s="68">
        <v>45942.0</v>
      </c>
      <c r="E1924" s="66">
        <v>5.0</v>
      </c>
      <c r="F1924" s="66" t="str">
        <f>IFERROR(__xludf.DUMMYFUNCTION("GOOGLETRANSLATE(A1924,""en"",""pt"")"),"pertinente")</f>
        <v>pertinente</v>
      </c>
      <c r="G1924" s="66" t="s">
        <v>2648</v>
      </c>
    </row>
    <row r="1925" ht="22.5" customHeight="1">
      <c r="A1925" s="66" t="s">
        <v>2649</v>
      </c>
      <c r="B1925" s="67" t="str">
        <f t="shared" si="11"/>
        <v>M: gallon</v>
      </c>
      <c r="C1925" s="66">
        <v>1.0</v>
      </c>
      <c r="D1925" s="68">
        <v>45942.0</v>
      </c>
      <c r="E1925" s="66">
        <v>6.0</v>
      </c>
      <c r="F1925" s="66" t="s">
        <v>2650</v>
      </c>
      <c r="G1925" s="66" t="s">
        <v>247</v>
      </c>
    </row>
    <row r="1926" ht="22.5" customHeight="1">
      <c r="A1926" s="66" t="s">
        <v>2651</v>
      </c>
      <c r="B1926" s="67" t="str">
        <f t="shared" si="11"/>
        <v>M: override</v>
      </c>
      <c r="C1926" s="66">
        <v>1.0</v>
      </c>
      <c r="D1926" s="68">
        <v>45942.0</v>
      </c>
      <c r="E1926" s="66">
        <v>7.0</v>
      </c>
      <c r="F1926" s="66" t="s">
        <v>2652</v>
      </c>
      <c r="G1926" s="66" t="s">
        <v>247</v>
      </c>
    </row>
    <row r="1927" ht="22.5" customHeight="1">
      <c r="A1927" s="66" t="s">
        <v>2653</v>
      </c>
      <c r="B1927" s="67" t="str">
        <f t="shared" si="11"/>
        <v>M: decrease</v>
      </c>
      <c r="C1927" s="68"/>
      <c r="D1927" s="68">
        <v>45942.0</v>
      </c>
      <c r="E1927" s="66">
        <v>8.0</v>
      </c>
      <c r="F1927" s="66" t="str">
        <f>IFERROR(__xludf.DUMMYFUNCTION("GOOGLETRANSLATE(A1927,""en"",""pt"")"),"diminuir")</f>
        <v>diminuir</v>
      </c>
      <c r="G1927" s="66" t="s">
        <v>2654</v>
      </c>
    </row>
    <row r="1928" ht="22.5" customHeight="1">
      <c r="A1928" s="66" t="s">
        <v>2655</v>
      </c>
      <c r="B1928" s="67" t="str">
        <f t="shared" si="11"/>
        <v>M: signature</v>
      </c>
      <c r="C1928" s="66">
        <v>1.0</v>
      </c>
      <c r="D1928" s="68">
        <v>45942.0</v>
      </c>
      <c r="E1928" s="66">
        <v>9.0</v>
      </c>
      <c r="F1928" s="71" t="s">
        <v>2656</v>
      </c>
      <c r="G1928" s="66" t="s">
        <v>247</v>
      </c>
    </row>
    <row r="1929" ht="22.5" customHeight="1">
      <c r="A1929" s="66" t="s">
        <v>2657</v>
      </c>
      <c r="B1929" s="67" t="str">
        <f t="shared" si="11"/>
        <v>M: shift</v>
      </c>
      <c r="C1929" s="66">
        <v>1.0</v>
      </c>
      <c r="D1929" s="68">
        <v>45942.0</v>
      </c>
      <c r="E1929" s="66">
        <v>10.0</v>
      </c>
      <c r="F1929" s="66" t="s">
        <v>2658</v>
      </c>
      <c r="G1929" s="66" t="s">
        <v>247</v>
      </c>
    </row>
    <row r="1930" ht="22.5" customHeight="1">
      <c r="A1930" s="66" t="s">
        <v>2659</v>
      </c>
      <c r="B1930" s="67" t="str">
        <f t="shared" si="11"/>
        <v>M: differentiated</v>
      </c>
      <c r="C1930" s="68"/>
      <c r="D1930" s="68">
        <v>45942.0</v>
      </c>
      <c r="E1930" s="66">
        <v>1.0</v>
      </c>
      <c r="F1930" s="66" t="str">
        <f>IFERROR(__xludf.DUMMYFUNCTION("GOOGLETRANSLATE(A1930,""en"",""pt"")"),"diferenciado")</f>
        <v>diferenciado</v>
      </c>
      <c r="G1930" s="66" t="s">
        <v>2660</v>
      </c>
    </row>
    <row r="1931" ht="22.5" customHeight="1">
      <c r="A1931" s="66" t="s">
        <v>2661</v>
      </c>
      <c r="B1931" s="67" t="str">
        <f t="shared" si="11"/>
        <v>M: known</v>
      </c>
      <c r="C1931" s="66">
        <v>1.0</v>
      </c>
      <c r="D1931" s="68">
        <v>45942.0</v>
      </c>
      <c r="E1931" s="66">
        <v>2.0</v>
      </c>
      <c r="F1931" s="66" t="s">
        <v>2662</v>
      </c>
      <c r="G1931" s="66" t="s">
        <v>247</v>
      </c>
    </row>
    <row r="1932" ht="22.5" customHeight="1">
      <c r="A1932" s="66" t="s">
        <v>2663</v>
      </c>
      <c r="B1932" s="67" t="str">
        <f t="shared" si="11"/>
        <v>M: accepts</v>
      </c>
      <c r="C1932" s="66">
        <v>1.0</v>
      </c>
      <c r="D1932" s="68">
        <v>45943.0</v>
      </c>
      <c r="E1932" s="66">
        <v>3.0</v>
      </c>
      <c r="F1932" s="66" t="s">
        <v>2664</v>
      </c>
      <c r="G1932" s="66" t="s">
        <v>247</v>
      </c>
    </row>
    <row r="1933" ht="22.5" customHeight="1">
      <c r="A1933" s="66" t="s">
        <v>2665</v>
      </c>
      <c r="B1933" s="67" t="str">
        <f t="shared" si="11"/>
        <v>M: to better</v>
      </c>
      <c r="C1933" s="68"/>
      <c r="D1933" s="68">
        <v>45943.0</v>
      </c>
      <c r="E1933" s="66">
        <v>4.0</v>
      </c>
      <c r="F1933" s="66" t="str">
        <f>IFERROR(__xludf.DUMMYFUNCTION("GOOGLETRANSLATE(A1933,""en"",""pt"")"),"para melhor")</f>
        <v>para melhor</v>
      </c>
      <c r="G1933" s="66" t="s">
        <v>2666</v>
      </c>
    </row>
    <row r="1934" ht="22.5" customHeight="1">
      <c r="A1934" s="66" t="s">
        <v>2667</v>
      </c>
      <c r="B1934" s="67" t="str">
        <f t="shared" si="11"/>
        <v>M: indicates</v>
      </c>
      <c r="C1934" s="66">
        <v>1.0</v>
      </c>
      <c r="D1934" s="68">
        <v>45943.0</v>
      </c>
      <c r="E1934" s="66">
        <v>5.0</v>
      </c>
      <c r="F1934" s="66" t="s">
        <v>2668</v>
      </c>
      <c r="G1934" s="66" t="s">
        <v>247</v>
      </c>
    </row>
    <row r="1935" ht="22.5" customHeight="1">
      <c r="A1935" s="66" t="s">
        <v>2669</v>
      </c>
      <c r="B1935" s="67" t="str">
        <f t="shared" si="11"/>
        <v>M: given</v>
      </c>
      <c r="C1935" s="66">
        <v>1.0</v>
      </c>
      <c r="D1935" s="68">
        <v>45943.0</v>
      </c>
      <c r="E1935" s="66">
        <v>6.0</v>
      </c>
      <c r="F1935" s="66" t="s">
        <v>2670</v>
      </c>
      <c r="G1935" s="66" t="s">
        <v>247</v>
      </c>
    </row>
    <row r="1936" ht="22.5" customHeight="1">
      <c r="A1936" s="66" t="s">
        <v>2671</v>
      </c>
      <c r="B1936" s="67" t="str">
        <f t="shared" si="11"/>
        <v>M: dear</v>
      </c>
      <c r="C1936" s="66">
        <v>1.0</v>
      </c>
      <c r="D1936" s="68">
        <v>45943.0</v>
      </c>
      <c r="E1936" s="66">
        <v>7.0</v>
      </c>
      <c r="F1936" s="71" t="s">
        <v>2672</v>
      </c>
      <c r="G1936" s="66" t="s">
        <v>247</v>
      </c>
    </row>
    <row r="1937" ht="22.5" customHeight="1">
      <c r="A1937" s="66" t="s">
        <v>2673</v>
      </c>
      <c r="B1937" s="67" t="str">
        <f t="shared" si="11"/>
        <v>M: overloading</v>
      </c>
      <c r="C1937" s="68"/>
      <c r="D1937" s="68">
        <v>45943.0</v>
      </c>
      <c r="E1937" s="66">
        <v>8.0</v>
      </c>
      <c r="F1937" s="66" t="str">
        <f>IFERROR(__xludf.DUMMYFUNCTION("GOOGLETRANSLATE(A1937,""en"",""pt"")"),"sobrecarga")</f>
        <v>sobrecarga</v>
      </c>
      <c r="G1937" s="66" t="s">
        <v>2674</v>
      </c>
    </row>
    <row r="1938" ht="22.5" customHeight="1">
      <c r="A1938" s="66" t="s">
        <v>2675</v>
      </c>
      <c r="B1938" s="67" t="str">
        <f t="shared" si="11"/>
        <v>M: to do so</v>
      </c>
      <c r="C1938" s="68"/>
      <c r="D1938" s="68">
        <v>45943.0</v>
      </c>
      <c r="E1938" s="66">
        <v>9.0</v>
      </c>
      <c r="F1938" s="66" t="str">
        <f>IFERROR(__xludf.DUMMYFUNCTION("GOOGLETRANSLATE(A1938,""en"",""pt"")"),"para fazer isso")</f>
        <v>para fazer isso</v>
      </c>
      <c r="G1938" s="66" t="s">
        <v>2676</v>
      </c>
    </row>
    <row r="1939" ht="22.5" customHeight="1">
      <c r="A1939" s="66" t="s">
        <v>2677</v>
      </c>
      <c r="B1939" s="67" t="str">
        <f t="shared" si="11"/>
        <v>M: in such a way</v>
      </c>
      <c r="C1939" s="68"/>
      <c r="D1939" s="68">
        <v>45943.0</v>
      </c>
      <c r="E1939" s="66">
        <v>10.0</v>
      </c>
      <c r="F1939" s="66" t="str">
        <f>IFERROR(__xludf.DUMMYFUNCTION("GOOGLETRANSLATE(A1939,""en"",""pt"")"),"dessa maneira")</f>
        <v>dessa maneira</v>
      </c>
      <c r="G1939" s="66" t="s">
        <v>2678</v>
      </c>
    </row>
    <row r="1940" ht="22.5" customHeight="1">
      <c r="A1940" s="66" t="s">
        <v>2679</v>
      </c>
      <c r="B1940" s="67" t="str">
        <f t="shared" si="11"/>
        <v>M: it can be</v>
      </c>
      <c r="C1940" s="68"/>
      <c r="D1940" s="68">
        <v>45943.0</v>
      </c>
      <c r="E1940" s="66">
        <v>1.0</v>
      </c>
      <c r="F1940" s="66" t="str">
        <f>IFERROR(__xludf.DUMMYFUNCTION("GOOGLETRANSLATE(A1940,""en"",""pt"")"),"pode ser")</f>
        <v>pode ser</v>
      </c>
      <c r="G1940" s="66" t="s">
        <v>2680</v>
      </c>
    </row>
    <row r="1941" ht="22.5" customHeight="1">
      <c r="A1941" s="66" t="s">
        <v>2681</v>
      </c>
      <c r="B1941" s="67" t="str">
        <f t="shared" si="11"/>
        <v>M: reusable</v>
      </c>
      <c r="C1941" s="66">
        <v>1.0</v>
      </c>
      <c r="D1941" s="68">
        <v>45943.0</v>
      </c>
      <c r="E1941" s="66">
        <v>2.0</v>
      </c>
      <c r="F1941" s="66" t="s">
        <v>2682</v>
      </c>
      <c r="G1941" s="66" t="s">
        <v>247</v>
      </c>
    </row>
    <row r="1942" ht="22.5" customHeight="1">
      <c r="A1942" s="66" t="s">
        <v>2683</v>
      </c>
      <c r="B1942" s="67" t="str">
        <f t="shared" si="11"/>
        <v>M: principle</v>
      </c>
      <c r="C1942" s="68"/>
      <c r="D1942" s="68">
        <v>45944.0</v>
      </c>
      <c r="E1942" s="66">
        <v>3.0</v>
      </c>
      <c r="F1942" s="66" t="s">
        <v>2684</v>
      </c>
      <c r="G1942" s="66" t="s">
        <v>247</v>
      </c>
    </row>
    <row r="1943" ht="22.5" customHeight="1">
      <c r="A1943" s="66" t="s">
        <v>2685</v>
      </c>
      <c r="B1943" s="67" t="str">
        <f t="shared" si="11"/>
        <v>M: descriptive</v>
      </c>
      <c r="C1943" s="66">
        <v>1.0</v>
      </c>
      <c r="D1943" s="68">
        <v>45944.0</v>
      </c>
      <c r="E1943" s="66">
        <v>4.0</v>
      </c>
      <c r="F1943" s="66" t="s">
        <v>2686</v>
      </c>
      <c r="G1943" s="66" t="s">
        <v>247</v>
      </c>
    </row>
    <row r="1944" ht="22.5" customHeight="1">
      <c r="A1944" s="66" t="s">
        <v>2687</v>
      </c>
      <c r="B1944" s="67" t="str">
        <f t="shared" si="11"/>
        <v>M: curly</v>
      </c>
      <c r="C1944" s="66">
        <v>1.0</v>
      </c>
      <c r="D1944" s="68">
        <v>45944.0</v>
      </c>
      <c r="E1944" s="66">
        <v>5.0</v>
      </c>
      <c r="F1944" s="71" t="s">
        <v>2688</v>
      </c>
      <c r="G1944" s="66" t="s">
        <v>247</v>
      </c>
    </row>
    <row r="1945" ht="22.5" customHeight="1">
      <c r="A1945" s="66" t="s">
        <v>2689</v>
      </c>
      <c r="B1945" s="67" t="str">
        <f t="shared" si="11"/>
        <v>M: static</v>
      </c>
      <c r="C1945" s="66">
        <v>1.0</v>
      </c>
      <c r="D1945" s="68">
        <v>45944.0</v>
      </c>
      <c r="E1945" s="66">
        <v>6.0</v>
      </c>
      <c r="F1945" s="71" t="s">
        <v>2690</v>
      </c>
      <c r="G1945" s="66" t="s">
        <v>247</v>
      </c>
    </row>
    <row r="1946" ht="22.5" customHeight="1">
      <c r="A1946" s="66" t="s">
        <v>2691</v>
      </c>
      <c r="B1946" s="67" t="str">
        <f t="shared" si="11"/>
        <v>M: needs</v>
      </c>
      <c r="C1946" s="68"/>
      <c r="D1946" s="68">
        <v>45944.0</v>
      </c>
      <c r="E1946" s="66">
        <v>7.0</v>
      </c>
      <c r="F1946" s="66" t="str">
        <f>IFERROR(__xludf.DUMMYFUNCTION("GOOGLETRANSLATE(A1946,""en"",""pt"")"),"precisa")</f>
        <v>precisa</v>
      </c>
      <c r="G1946" s="66" t="s">
        <v>2692</v>
      </c>
    </row>
    <row r="1947" ht="22.5" customHeight="1">
      <c r="A1947" s="66" t="s">
        <v>2693</v>
      </c>
      <c r="B1947" s="67" t="str">
        <f t="shared" si="11"/>
        <v>M: include</v>
      </c>
      <c r="C1947" s="66">
        <v>1.0</v>
      </c>
      <c r="D1947" s="68">
        <v>45944.0</v>
      </c>
      <c r="E1947" s="66">
        <v>8.0</v>
      </c>
      <c r="F1947" s="71" t="s">
        <v>2694</v>
      </c>
      <c r="G1947" s="66" t="s">
        <v>247</v>
      </c>
    </row>
    <row r="1948" ht="22.5" customHeight="1">
      <c r="A1948" s="66" t="s">
        <v>2695</v>
      </c>
      <c r="B1948" s="67" t="str">
        <f t="shared" si="11"/>
        <v>M: class</v>
      </c>
      <c r="C1948" s="68"/>
      <c r="D1948" s="68">
        <v>45944.0</v>
      </c>
      <c r="E1948" s="66">
        <v>9.0</v>
      </c>
      <c r="F1948" s="66" t="str">
        <f>IFERROR(__xludf.DUMMYFUNCTION("GOOGLETRANSLATE(A1948,""en"",""pt"")"),"aula")</f>
        <v>aula</v>
      </c>
      <c r="G1948" s="66" t="s">
        <v>2696</v>
      </c>
    </row>
    <row r="1949" ht="22.5" customHeight="1">
      <c r="A1949" s="66" t="s">
        <v>2697</v>
      </c>
      <c r="B1949" s="67" t="str">
        <f t="shared" si="11"/>
        <v>M: or even</v>
      </c>
      <c r="C1949" s="68"/>
      <c r="D1949" s="68">
        <v>45944.0</v>
      </c>
      <c r="E1949" s="66">
        <v>10.0</v>
      </c>
      <c r="F1949" s="66" t="str">
        <f>IFERROR(__xludf.DUMMYFUNCTION("GOOGLETRANSLATE(A1949,""en"",""pt"")"),"ou até mesmo")</f>
        <v>ou até mesmo</v>
      </c>
      <c r="G1949" s="66" t="s">
        <v>2698</v>
      </c>
    </row>
    <row r="1950" ht="22.5" customHeight="1">
      <c r="A1950" s="66" t="s">
        <v>2699</v>
      </c>
      <c r="B1950" s="67" t="str">
        <f t="shared" si="11"/>
        <v>M: string</v>
      </c>
      <c r="C1950" s="66">
        <v>1.0</v>
      </c>
      <c r="D1950" s="68">
        <v>45944.0</v>
      </c>
      <c r="E1950" s="66">
        <v>1.0</v>
      </c>
      <c r="F1950" s="71" t="s">
        <v>2700</v>
      </c>
      <c r="G1950" s="66" t="s">
        <v>247</v>
      </c>
    </row>
    <row r="1951" ht="22.5" customHeight="1">
      <c r="A1951" s="66" t="s">
        <v>2701</v>
      </c>
      <c r="B1951" s="67" t="str">
        <f t="shared" si="11"/>
        <v>M: integer</v>
      </c>
      <c r="C1951" s="68"/>
      <c r="D1951" s="68">
        <v>45944.0</v>
      </c>
      <c r="E1951" s="66">
        <v>2.0</v>
      </c>
      <c r="F1951" s="66" t="str">
        <f>IFERROR(__xludf.DUMMYFUNCTION("GOOGLETRANSLATE(A1951,""en"",""pt"")"),"inteiro")</f>
        <v>inteiro</v>
      </c>
      <c r="G1951" s="66" t="s">
        <v>2702</v>
      </c>
    </row>
    <row r="1952" ht="22.5" customHeight="1">
      <c r="A1952" s="66" t="s">
        <v>2703</v>
      </c>
      <c r="B1952" s="67" t="str">
        <f t="shared" si="11"/>
        <v>M: are known</v>
      </c>
      <c r="C1952" s="66">
        <v>1.0</v>
      </c>
      <c r="D1952" s="68">
        <v>45945.0</v>
      </c>
      <c r="E1952" s="66">
        <v>3.0</v>
      </c>
      <c r="F1952" s="71" t="s">
        <v>2704</v>
      </c>
      <c r="G1952" s="66" t="s">
        <v>247</v>
      </c>
    </row>
    <row r="1953" ht="22.5" customHeight="1">
      <c r="A1953" s="66" t="s">
        <v>2705</v>
      </c>
      <c r="B1953" s="67" t="str">
        <f t="shared" si="11"/>
        <v>M: double</v>
      </c>
      <c r="C1953" s="68"/>
      <c r="D1953" s="68">
        <v>45945.0</v>
      </c>
      <c r="E1953" s="66">
        <v>4.0</v>
      </c>
      <c r="F1953" s="66" t="str">
        <f>IFERROR(__xludf.DUMMYFUNCTION("GOOGLETRANSLATE(A1953,""en"",""pt"")"),"dobro")</f>
        <v>dobro</v>
      </c>
      <c r="G1953" s="66" t="s">
        <v>2706</v>
      </c>
    </row>
    <row r="1954" ht="22.5" customHeight="1">
      <c r="A1954" s="66" t="s">
        <v>2707</v>
      </c>
      <c r="B1954" s="67" t="str">
        <f t="shared" si="11"/>
        <v>M: long</v>
      </c>
      <c r="C1954" s="66">
        <v>1.0</v>
      </c>
      <c r="D1954" s="68">
        <v>45945.0</v>
      </c>
      <c r="E1954" s="66">
        <v>5.0</v>
      </c>
      <c r="F1954" s="71" t="s">
        <v>2708</v>
      </c>
      <c r="G1954" s="66" t="s">
        <v>247</v>
      </c>
    </row>
    <row r="1955" ht="22.5" customHeight="1">
      <c r="A1955" s="66" t="s">
        <v>2709</v>
      </c>
      <c r="B1955" s="67" t="str">
        <f t="shared" si="11"/>
        <v>M: isn't set up</v>
      </c>
      <c r="C1955" s="68"/>
      <c r="D1955" s="68">
        <v>45945.0</v>
      </c>
      <c r="E1955" s="66">
        <v>6.0</v>
      </c>
      <c r="F1955" s="66" t="str">
        <f>IFERROR(__xludf.DUMMYFUNCTION("GOOGLETRANSLATE(A1955,""en"",""pt"")"),"não está configurado")</f>
        <v>não está configurado</v>
      </c>
      <c r="G1955" s="66" t="s">
        <v>2710</v>
      </c>
    </row>
    <row r="1956" ht="22.5" customHeight="1">
      <c r="A1956" s="66" t="s">
        <v>2711</v>
      </c>
      <c r="B1956" s="67" t="str">
        <f t="shared" si="11"/>
        <v>M: debt</v>
      </c>
      <c r="C1956" s="68"/>
      <c r="D1956" s="68">
        <v>45945.0</v>
      </c>
      <c r="E1956" s="66">
        <v>7.0</v>
      </c>
      <c r="F1956" s="66" t="str">
        <f>IFERROR(__xludf.DUMMYFUNCTION("GOOGLETRANSLATE(A1956,""en"",""pt"")"),"dívida")</f>
        <v>dívida</v>
      </c>
      <c r="G1956" s="66" t="s">
        <v>2712</v>
      </c>
    </row>
    <row r="1957" ht="22.5" customHeight="1">
      <c r="A1957" s="66" t="s">
        <v>2713</v>
      </c>
      <c r="B1957" s="67" t="str">
        <f t="shared" si="11"/>
        <v>M: sponge</v>
      </c>
      <c r="C1957" s="66">
        <v>1.0</v>
      </c>
      <c r="D1957" s="68">
        <v>45945.0</v>
      </c>
      <c r="E1957" s="66">
        <v>8.0</v>
      </c>
      <c r="F1957" s="66" t="s">
        <v>2714</v>
      </c>
      <c r="G1957" s="66" t="s">
        <v>247</v>
      </c>
    </row>
    <row r="1958" ht="22.5" customHeight="1">
      <c r="A1958" s="66" t="s">
        <v>2715</v>
      </c>
      <c r="B1958" s="67" t="str">
        <f t="shared" si="11"/>
        <v>M: comma</v>
      </c>
      <c r="C1958" s="66">
        <v>1.0</v>
      </c>
      <c r="D1958" s="68">
        <v>45945.0</v>
      </c>
      <c r="E1958" s="66">
        <v>9.0</v>
      </c>
      <c r="F1958" s="71" t="s">
        <v>2716</v>
      </c>
      <c r="G1958" s="66" t="s">
        <v>247</v>
      </c>
    </row>
    <row r="1959" ht="22.5" customHeight="1">
      <c r="A1959" s="66" t="s">
        <v>2717</v>
      </c>
      <c r="B1959" s="67" t="str">
        <f t="shared" si="11"/>
        <v>M: matching</v>
      </c>
      <c r="C1959" s="66">
        <v>1.0</v>
      </c>
      <c r="D1959" s="68">
        <v>45945.0</v>
      </c>
      <c r="E1959" s="66">
        <v>10.0</v>
      </c>
      <c r="F1959" s="66" t="s">
        <v>2718</v>
      </c>
      <c r="G1959" s="66" t="s">
        <v>247</v>
      </c>
    </row>
    <row r="1960" ht="22.5" customHeight="1">
      <c r="A1960" s="66" t="s">
        <v>2719</v>
      </c>
      <c r="B1960" s="67" t="str">
        <f t="shared" si="11"/>
        <v>M: differ</v>
      </c>
      <c r="C1960" s="68"/>
      <c r="D1960" s="68">
        <v>45945.0</v>
      </c>
      <c r="E1960" s="66">
        <v>1.0</v>
      </c>
      <c r="F1960" s="66" t="str">
        <f>IFERROR(__xludf.DUMMYFUNCTION("GOOGLETRANSLATE(A1960,""en"",""pt"")"),"diferir")</f>
        <v>diferir</v>
      </c>
      <c r="G1960" s="66" t="s">
        <v>2720</v>
      </c>
    </row>
    <row r="1961" ht="22.5" customHeight="1">
      <c r="A1961" s="66" t="s">
        <v>2721</v>
      </c>
      <c r="B1961" s="67" t="str">
        <f t="shared" si="11"/>
        <v>M: lenght</v>
      </c>
      <c r="C1961" s="66">
        <v>1.0</v>
      </c>
      <c r="D1961" s="68">
        <v>45945.0</v>
      </c>
      <c r="E1961" s="66">
        <v>2.0</v>
      </c>
      <c r="F1961" s="66" t="s">
        <v>2722</v>
      </c>
      <c r="G1961" s="66" t="s">
        <v>247</v>
      </c>
    </row>
    <row r="1962" ht="22.5" customHeight="1">
      <c r="A1962" s="66" t="s">
        <v>2723</v>
      </c>
      <c r="B1962" s="67" t="str">
        <f t="shared" si="11"/>
        <v>M: with these</v>
      </c>
      <c r="C1962" s="68"/>
      <c r="D1962" s="68">
        <v>45946.0</v>
      </c>
      <c r="E1962" s="66">
        <v>3.0</v>
      </c>
      <c r="F1962" s="66" t="str">
        <f>IFERROR(__xludf.DUMMYFUNCTION("GOOGLETRANSLATE(A1962,""en"",""pt"")"),"com estes")</f>
        <v>com estes</v>
      </c>
      <c r="G1962" s="66" t="s">
        <v>2724</v>
      </c>
    </row>
    <row r="1963" ht="22.5" customHeight="1">
      <c r="A1963" s="66" t="s">
        <v>2725</v>
      </c>
      <c r="B1963" s="67" t="str">
        <f t="shared" si="11"/>
        <v>M: normally</v>
      </c>
      <c r="C1963" s="66">
        <v>1.0</v>
      </c>
      <c r="D1963" s="68">
        <v>45946.0</v>
      </c>
      <c r="E1963" s="66">
        <v>4.0</v>
      </c>
      <c r="F1963" s="66" t="s">
        <v>2726</v>
      </c>
      <c r="G1963" s="66" t="s">
        <v>247</v>
      </c>
    </row>
    <row r="1964" ht="22.5" customHeight="1">
      <c r="A1964" s="66" t="s">
        <v>2727</v>
      </c>
      <c r="B1964" s="67" t="str">
        <f t="shared" si="11"/>
        <v>M: usage</v>
      </c>
      <c r="C1964" s="66">
        <v>1.0</v>
      </c>
      <c r="D1964" s="68">
        <v>45946.0</v>
      </c>
      <c r="E1964" s="66">
        <v>5.0</v>
      </c>
      <c r="F1964" s="66" t="s">
        <v>2728</v>
      </c>
      <c r="G1964" s="66" t="s">
        <v>247</v>
      </c>
    </row>
    <row r="1965" ht="22.5" customHeight="1">
      <c r="A1965" s="66" t="s">
        <v>2729</v>
      </c>
      <c r="B1965" s="67" t="str">
        <f t="shared" si="11"/>
        <v>M: itself</v>
      </c>
      <c r="C1965" s="66">
        <v>1.0</v>
      </c>
      <c r="D1965" s="68">
        <v>45946.0</v>
      </c>
      <c r="E1965" s="66">
        <v>6.0</v>
      </c>
      <c r="F1965" s="66" t="s">
        <v>2730</v>
      </c>
      <c r="G1965" s="66" t="s">
        <v>247</v>
      </c>
    </row>
    <row r="1966" ht="22.5" customHeight="1">
      <c r="A1966" s="66" t="s">
        <v>2731</v>
      </c>
      <c r="B1966" s="67" t="str">
        <f t="shared" si="11"/>
        <v>M: directly</v>
      </c>
      <c r="C1966" s="66">
        <v>1.0</v>
      </c>
      <c r="D1966" s="68">
        <v>45946.0</v>
      </c>
      <c r="E1966" s="66">
        <v>7.0</v>
      </c>
      <c r="F1966" s="66" t="s">
        <v>2732</v>
      </c>
      <c r="G1966" s="66" t="s">
        <v>247</v>
      </c>
    </row>
    <row r="1967" ht="22.5" customHeight="1">
      <c r="A1967" s="66" t="s">
        <v>2733</v>
      </c>
      <c r="B1967" s="67" t="str">
        <f t="shared" si="11"/>
        <v>M: that way</v>
      </c>
      <c r="C1967" s="66">
        <v>1.0</v>
      </c>
      <c r="D1967" s="68">
        <v>45946.0</v>
      </c>
      <c r="E1967" s="66">
        <v>8.0</v>
      </c>
      <c r="F1967" s="66" t="s">
        <v>2734</v>
      </c>
      <c r="G1967" s="66" t="s">
        <v>247</v>
      </c>
    </row>
    <row r="1968" ht="22.5" customHeight="1">
      <c r="A1968" s="66" t="s">
        <v>2735</v>
      </c>
      <c r="B1968" s="67" t="str">
        <f t="shared" si="11"/>
        <v>M: cubed</v>
      </c>
      <c r="C1968" s="66">
        <v>1.0</v>
      </c>
      <c r="D1968" s="68">
        <v>45946.0</v>
      </c>
      <c r="E1968" s="66">
        <v>9.0</v>
      </c>
      <c r="F1968" s="66" t="s">
        <v>2736</v>
      </c>
      <c r="G1968" s="66" t="s">
        <v>247</v>
      </c>
    </row>
    <row r="1969" ht="22.5" customHeight="1">
      <c r="A1969" s="66" t="s">
        <v>2737</v>
      </c>
      <c r="B1969" s="67" t="str">
        <f t="shared" si="11"/>
        <v>M: declare</v>
      </c>
      <c r="C1969" s="68"/>
      <c r="D1969" s="68">
        <v>45946.0</v>
      </c>
      <c r="E1969" s="66">
        <v>10.0</v>
      </c>
      <c r="F1969" s="66" t="str">
        <f>IFERROR(__xludf.DUMMYFUNCTION("GOOGLETRANSLATE(A1969,""en"",""pt"")"),"declarar")</f>
        <v>declarar</v>
      </c>
      <c r="G1969" s="66" t="s">
        <v>2738</v>
      </c>
    </row>
    <row r="1970" ht="22.5" customHeight="1">
      <c r="A1970" s="66" t="s">
        <v>2739</v>
      </c>
      <c r="B1970" s="67" t="str">
        <f t="shared" si="11"/>
        <v>M: assigning</v>
      </c>
      <c r="C1970" s="68"/>
      <c r="D1970" s="68">
        <v>45946.0</v>
      </c>
      <c r="E1970" s="66">
        <v>1.0</v>
      </c>
      <c r="F1970" s="66" t="str">
        <f>IFERROR(__xludf.DUMMYFUNCTION("GOOGLETRANSLATE(A1970,""en"",""pt"")"),"atribuindo")</f>
        <v>atribuindo</v>
      </c>
      <c r="G1970" s="66" t="s">
        <v>2740</v>
      </c>
    </row>
    <row r="1971" ht="22.5" customHeight="1">
      <c r="A1971" s="66" t="s">
        <v>2741</v>
      </c>
      <c r="B1971" s="67" t="str">
        <f t="shared" si="11"/>
        <v>M: have to be</v>
      </c>
      <c r="C1971" s="66">
        <v>1.0</v>
      </c>
      <c r="D1971" s="68">
        <v>45946.0</v>
      </c>
      <c r="E1971" s="66">
        <v>2.0</v>
      </c>
      <c r="F1971" s="71" t="s">
        <v>2742</v>
      </c>
      <c r="G1971" s="66" t="s">
        <v>247</v>
      </c>
    </row>
    <row r="1972" ht="22.5" customHeight="1">
      <c r="A1972" s="66" t="s">
        <v>2743</v>
      </c>
      <c r="B1972" s="67" t="str">
        <f t="shared" si="11"/>
        <v>M: let me</v>
      </c>
      <c r="C1972" s="66">
        <v>1.0</v>
      </c>
      <c r="D1972" s="68">
        <v>45947.0</v>
      </c>
      <c r="E1972" s="66">
        <v>3.0</v>
      </c>
      <c r="F1972" s="66" t="s">
        <v>2744</v>
      </c>
      <c r="G1972" s="66" t="s">
        <v>247</v>
      </c>
    </row>
    <row r="1973" ht="22.5" customHeight="1">
      <c r="A1973" s="66" t="s">
        <v>2745</v>
      </c>
      <c r="B1973" s="67" t="str">
        <f t="shared" si="11"/>
        <v>M: let's</v>
      </c>
      <c r="C1973" s="68"/>
      <c r="D1973" s="68">
        <v>45947.0</v>
      </c>
      <c r="E1973" s="66">
        <v>4.0</v>
      </c>
      <c r="F1973" s="66" t="str">
        <f>IFERROR(__xludf.DUMMYFUNCTION("GOOGLETRANSLATE(A1973,""en"",""pt"")"),"vamos")</f>
        <v>vamos</v>
      </c>
      <c r="G1973" s="66" t="s">
        <v>2746</v>
      </c>
    </row>
    <row r="1974" ht="22.5" customHeight="1">
      <c r="A1974" s="66" t="s">
        <v>2747</v>
      </c>
      <c r="B1974" s="67" t="str">
        <f t="shared" si="11"/>
        <v>M: parakeet</v>
      </c>
      <c r="C1974" s="68"/>
      <c r="D1974" s="68">
        <v>45947.0</v>
      </c>
      <c r="E1974" s="66">
        <v>5.0</v>
      </c>
      <c r="F1974" s="66" t="str">
        <f>IFERROR(__xludf.DUMMYFUNCTION("GOOGLETRANSLATE(A1974,""en"",""pt"")"),"periquito")</f>
        <v>periquito</v>
      </c>
      <c r="G1974" s="66" t="s">
        <v>2748</v>
      </c>
    </row>
    <row r="1975" ht="22.5" customHeight="1">
      <c r="A1975" s="66" t="s">
        <v>2749</v>
      </c>
      <c r="B1975" s="67" t="str">
        <f t="shared" si="11"/>
        <v>M: parameter</v>
      </c>
      <c r="C1975" s="66">
        <v>1.0</v>
      </c>
      <c r="D1975" s="68">
        <v>45947.0</v>
      </c>
      <c r="E1975" s="66">
        <v>6.0</v>
      </c>
      <c r="F1975" s="71" t="s">
        <v>2750</v>
      </c>
      <c r="G1975" s="66" t="s">
        <v>247</v>
      </c>
    </row>
    <row r="1976" ht="22.5" customHeight="1">
      <c r="A1976" s="66" t="s">
        <v>2751</v>
      </c>
      <c r="B1976" s="67" t="str">
        <f t="shared" si="11"/>
        <v>M: equal</v>
      </c>
      <c r="C1976" s="66">
        <v>1.0</v>
      </c>
      <c r="D1976" s="68">
        <v>45947.0</v>
      </c>
      <c r="E1976" s="66">
        <v>7.0</v>
      </c>
      <c r="F1976" s="66" t="s">
        <v>2752</v>
      </c>
      <c r="G1976" s="66" t="s">
        <v>247</v>
      </c>
    </row>
    <row r="1977" ht="22.5" customHeight="1">
      <c r="A1977" s="66" t="s">
        <v>2753</v>
      </c>
      <c r="B1977" s="67" t="str">
        <f t="shared" si="11"/>
        <v>M: simplified</v>
      </c>
      <c r="C1977" s="66">
        <v>1.0</v>
      </c>
      <c r="D1977" s="68">
        <v>45947.0</v>
      </c>
      <c r="E1977" s="66">
        <v>8.0</v>
      </c>
      <c r="F1977" s="66" t="s">
        <v>2754</v>
      </c>
      <c r="G1977" s="66" t="s">
        <v>247</v>
      </c>
    </row>
    <row r="1978" ht="22.5" customHeight="1">
      <c r="A1978" s="66" t="s">
        <v>2755</v>
      </c>
      <c r="B1978" s="67" t="str">
        <f t="shared" si="11"/>
        <v>M: beginner</v>
      </c>
      <c r="C1978" s="66">
        <v>1.0</v>
      </c>
      <c r="D1978" s="68">
        <v>45947.0</v>
      </c>
      <c r="E1978" s="66">
        <v>9.0</v>
      </c>
      <c r="F1978" s="66" t="s">
        <v>2756</v>
      </c>
      <c r="G1978" s="66" t="s">
        <v>247</v>
      </c>
    </row>
    <row r="1979" ht="22.5" customHeight="1">
      <c r="A1979" s="66" t="s">
        <v>2757</v>
      </c>
      <c r="B1979" s="67" t="str">
        <f t="shared" si="11"/>
        <v>M: sign up</v>
      </c>
      <c r="C1979" s="66">
        <v>1.0</v>
      </c>
      <c r="D1979" s="68">
        <v>45947.0</v>
      </c>
      <c r="E1979" s="66">
        <v>10.0</v>
      </c>
      <c r="F1979" s="66" t="s">
        <v>2758</v>
      </c>
      <c r="G1979" s="66" t="s">
        <v>247</v>
      </c>
    </row>
    <row r="1980" ht="22.5" customHeight="1">
      <c r="A1980" s="66" t="s">
        <v>2759</v>
      </c>
      <c r="B1980" s="67" t="str">
        <f t="shared" si="11"/>
        <v>M: overloaded</v>
      </c>
      <c r="C1980" s="66">
        <v>1.0</v>
      </c>
      <c r="D1980" s="68">
        <v>45947.0</v>
      </c>
      <c r="E1980" s="66">
        <v>1.0</v>
      </c>
      <c r="F1980" s="66" t="s">
        <v>2760</v>
      </c>
      <c r="G1980" s="66" t="s">
        <v>247</v>
      </c>
    </row>
    <row r="1981" ht="22.5" customHeight="1">
      <c r="A1981" s="66" t="s">
        <v>2761</v>
      </c>
      <c r="B1981" s="67" t="str">
        <f t="shared" si="11"/>
        <v>M: method</v>
      </c>
      <c r="C1981" s="66">
        <v>1.0</v>
      </c>
      <c r="D1981" s="68">
        <v>45947.0</v>
      </c>
      <c r="E1981" s="66">
        <v>2.0</v>
      </c>
      <c r="F1981" s="71" t="s">
        <v>2762</v>
      </c>
      <c r="G1981" s="66" t="s">
        <v>247</v>
      </c>
    </row>
    <row r="1982" ht="22.5" customHeight="1">
      <c r="A1982" s="66" t="s">
        <v>2763</v>
      </c>
      <c r="B1982" s="67" t="str">
        <f t="shared" si="11"/>
        <v>M: fine</v>
      </c>
      <c r="C1982" s="66">
        <v>1.0</v>
      </c>
      <c r="D1982" s="68">
        <v>45948.0</v>
      </c>
      <c r="E1982" s="66">
        <v>3.0</v>
      </c>
      <c r="F1982" s="66" t="s">
        <v>2764</v>
      </c>
      <c r="G1982" s="66" t="s">
        <v>247</v>
      </c>
    </row>
    <row r="1983" ht="22.5" customHeight="1">
      <c r="A1983" s="66" t="s">
        <v>2765</v>
      </c>
      <c r="B1983" s="67" t="str">
        <f t="shared" si="11"/>
        <v>M: topping</v>
      </c>
      <c r="C1983" s="66">
        <v>1.0</v>
      </c>
      <c r="D1983" s="68">
        <v>45948.0</v>
      </c>
      <c r="E1983" s="66">
        <v>4.0</v>
      </c>
      <c r="F1983" s="71" t="s">
        <v>2766</v>
      </c>
      <c r="G1983" s="66" t="s">
        <v>247</v>
      </c>
    </row>
    <row r="1984" ht="22.5" customHeight="1">
      <c r="A1984" s="66" t="s">
        <v>2767</v>
      </c>
      <c r="B1984" s="67" t="str">
        <f t="shared" si="11"/>
        <v>M: plus</v>
      </c>
      <c r="C1984" s="66">
        <v>1.0</v>
      </c>
      <c r="D1984" s="68">
        <v>45948.0</v>
      </c>
      <c r="E1984" s="66">
        <v>5.0</v>
      </c>
      <c r="F1984" s="66" t="s">
        <v>2768</v>
      </c>
      <c r="G1984" s="66" t="s">
        <v>247</v>
      </c>
    </row>
    <row r="1985" ht="22.5" customHeight="1">
      <c r="A1985" s="66" t="s">
        <v>2769</v>
      </c>
      <c r="B1985" s="67" t="str">
        <f t="shared" si="11"/>
        <v>M: previously</v>
      </c>
      <c r="C1985" s="68"/>
      <c r="D1985" s="68">
        <v>45948.0</v>
      </c>
      <c r="E1985" s="66">
        <v>6.0</v>
      </c>
      <c r="F1985" s="66" t="str">
        <f>IFERROR(__xludf.DUMMYFUNCTION("GOOGLETRANSLATE(A1985,""en"",""pt"")"),"anteriormente")</f>
        <v>anteriormente</v>
      </c>
      <c r="G1985" s="66" t="s">
        <v>2770</v>
      </c>
    </row>
    <row r="1986" ht="22.5" customHeight="1">
      <c r="A1986" s="66" t="s">
        <v>2771</v>
      </c>
      <c r="B1986" s="67" t="str">
        <f t="shared" si="11"/>
        <v>M: spell</v>
      </c>
      <c r="C1986" s="66">
        <v>1.0</v>
      </c>
      <c r="D1986" s="68">
        <v>45948.0</v>
      </c>
      <c r="E1986" s="66">
        <v>7.0</v>
      </c>
      <c r="F1986" s="66" t="s">
        <v>2772</v>
      </c>
      <c r="G1986" s="66" t="s">
        <v>247</v>
      </c>
    </row>
    <row r="1987" ht="22.5" customHeight="1">
      <c r="A1987" s="66" t="s">
        <v>2773</v>
      </c>
      <c r="B1987" s="67" t="str">
        <f t="shared" si="11"/>
        <v>M: flat</v>
      </c>
      <c r="C1987" s="66">
        <v>1.0</v>
      </c>
      <c r="D1987" s="68">
        <v>45948.0</v>
      </c>
      <c r="E1987" s="66">
        <v>8.0</v>
      </c>
      <c r="F1987" s="66" t="s">
        <v>2774</v>
      </c>
      <c r="G1987" s="66" t="s">
        <v>247</v>
      </c>
    </row>
    <row r="1988" ht="22.5" customHeight="1">
      <c r="A1988" s="66" t="s">
        <v>2775</v>
      </c>
      <c r="B1988" s="67" t="str">
        <f t="shared" si="11"/>
        <v>M: scope</v>
      </c>
      <c r="C1988" s="66">
        <v>1.0</v>
      </c>
      <c r="D1988" s="68">
        <v>45948.0</v>
      </c>
      <c r="E1988" s="66">
        <v>9.0</v>
      </c>
      <c r="F1988" s="71" t="s">
        <v>2776</v>
      </c>
      <c r="G1988" s="66" t="s">
        <v>247</v>
      </c>
    </row>
    <row r="1989" ht="22.5" customHeight="1">
      <c r="A1989" s="66" t="s">
        <v>2777</v>
      </c>
      <c r="B1989" s="67" t="str">
        <f t="shared" si="11"/>
        <v>M: view</v>
      </c>
      <c r="C1989" s="66">
        <v>1.0</v>
      </c>
      <c r="D1989" s="68">
        <v>45948.0</v>
      </c>
      <c r="E1989" s="66">
        <v>10.0</v>
      </c>
      <c r="F1989" s="66" t="s">
        <v>2778</v>
      </c>
      <c r="G1989" s="66" t="s">
        <v>247</v>
      </c>
    </row>
    <row r="1990" ht="22.5" customHeight="1">
      <c r="A1990" s="66" t="s">
        <v>2779</v>
      </c>
      <c r="B1990" s="67" t="str">
        <f t="shared" si="11"/>
        <v>M: set up</v>
      </c>
      <c r="C1990" s="66">
        <v>1.0</v>
      </c>
      <c r="D1990" s="68">
        <v>45948.0</v>
      </c>
      <c r="E1990" s="66">
        <v>1.0</v>
      </c>
      <c r="F1990" s="71" t="s">
        <v>2780</v>
      </c>
      <c r="G1990" s="66" t="s">
        <v>247</v>
      </c>
    </row>
    <row r="1991" ht="22.5" customHeight="1">
      <c r="A1991" s="66" t="s">
        <v>2781</v>
      </c>
      <c r="B1991" s="67" t="str">
        <f t="shared" si="11"/>
        <v>M: outside</v>
      </c>
      <c r="C1991" s="66">
        <v>1.0</v>
      </c>
      <c r="D1991" s="68">
        <v>45948.0</v>
      </c>
      <c r="E1991" s="66">
        <v>2.0</v>
      </c>
      <c r="F1991" s="66" t="s">
        <v>2782</v>
      </c>
      <c r="G1991" s="66" t="s">
        <v>247</v>
      </c>
    </row>
    <row r="1992" ht="22.5" customHeight="1">
      <c r="A1992" s="66" t="s">
        <v>2783</v>
      </c>
      <c r="B1992" s="67" t="str">
        <f t="shared" si="11"/>
        <v>M: feature</v>
      </c>
      <c r="C1992" s="66">
        <v>1.0</v>
      </c>
      <c r="D1992" s="68">
        <v>45949.0</v>
      </c>
      <c r="E1992" s="66">
        <v>3.0</v>
      </c>
      <c r="F1992" s="66" t="s">
        <v>2784</v>
      </c>
      <c r="G1992" s="66" t="s">
        <v>247</v>
      </c>
    </row>
    <row r="1993" ht="22.5" customHeight="1">
      <c r="A1993" s="66" t="s">
        <v>2785</v>
      </c>
      <c r="B1993" s="67" t="str">
        <f t="shared" si="11"/>
        <v>M: golden</v>
      </c>
      <c r="C1993" s="66">
        <v>1.0</v>
      </c>
      <c r="D1993" s="68">
        <v>45949.0</v>
      </c>
      <c r="E1993" s="66">
        <v>4.0</v>
      </c>
      <c r="F1993" s="66" t="s">
        <v>2786</v>
      </c>
      <c r="G1993" s="66" t="s">
        <v>247</v>
      </c>
    </row>
    <row r="1994" ht="22.5" customHeight="1">
      <c r="A1994" s="66" t="s">
        <v>2787</v>
      </c>
      <c r="B1994" s="67" t="str">
        <f t="shared" si="11"/>
        <v>M: throne</v>
      </c>
      <c r="C1994" s="66">
        <v>1.0</v>
      </c>
      <c r="D1994" s="68">
        <v>45949.0</v>
      </c>
      <c r="E1994" s="66">
        <v>5.0</v>
      </c>
      <c r="F1994" s="66" t="s">
        <v>2788</v>
      </c>
      <c r="G1994" s="66" t="s">
        <v>247</v>
      </c>
    </row>
    <row r="1995" ht="22.5" customHeight="1">
      <c r="A1995" s="66" t="s">
        <v>2789</v>
      </c>
      <c r="B1995" s="67" t="str">
        <f t="shared" si="11"/>
        <v>M: born</v>
      </c>
      <c r="C1995" s="66">
        <v>1.0</v>
      </c>
      <c r="D1995" s="68">
        <v>45949.0</v>
      </c>
      <c r="E1995" s="66">
        <v>6.0</v>
      </c>
      <c r="F1995" s="71" t="s">
        <v>2790</v>
      </c>
      <c r="G1995" s="66" t="s">
        <v>247</v>
      </c>
    </row>
    <row r="1996" ht="22.5" customHeight="1">
      <c r="A1996" s="66" t="s">
        <v>2791</v>
      </c>
      <c r="B1996" s="67" t="str">
        <f t="shared" si="11"/>
        <v>M: patterns</v>
      </c>
      <c r="C1996" s="66">
        <v>1.0</v>
      </c>
      <c r="D1996" s="68">
        <v>45949.0</v>
      </c>
      <c r="E1996" s="66">
        <v>7.0</v>
      </c>
      <c r="F1996" s="71" t="s">
        <v>2792</v>
      </c>
      <c r="G1996" s="66" t="s">
        <v>247</v>
      </c>
    </row>
    <row r="1997" ht="22.5" customHeight="1">
      <c r="A1997" s="66" t="s">
        <v>2793</v>
      </c>
      <c r="B1997" s="67" t="str">
        <f t="shared" si="11"/>
        <v>M: gonna be</v>
      </c>
      <c r="C1997" s="66">
        <v>1.0</v>
      </c>
      <c r="D1997" s="68">
        <v>45949.0</v>
      </c>
      <c r="E1997" s="66">
        <v>8.0</v>
      </c>
      <c r="F1997" s="66" t="s">
        <v>2794</v>
      </c>
      <c r="G1997" s="66" t="s">
        <v>247</v>
      </c>
    </row>
    <row r="1998" ht="22.5" customHeight="1">
      <c r="A1998" s="66" t="s">
        <v>2795</v>
      </c>
      <c r="B1998" s="67" t="str">
        <f t="shared" si="11"/>
        <v>M: going up</v>
      </c>
      <c r="C1998" s="68"/>
      <c r="D1998" s="68">
        <v>45949.0</v>
      </c>
      <c r="E1998" s="66">
        <v>9.0</v>
      </c>
      <c r="F1998" s="66" t="s">
        <v>2796</v>
      </c>
      <c r="G1998" s="66" t="s">
        <v>247</v>
      </c>
    </row>
    <row r="1999" ht="22.5" customHeight="1">
      <c r="A1999" s="66" t="s">
        <v>2797</v>
      </c>
      <c r="B1999" s="67" t="str">
        <f t="shared" si="11"/>
        <v>M: glowing</v>
      </c>
      <c r="C1999" s="66">
        <v>1.0</v>
      </c>
      <c r="D1999" s="68">
        <v>45949.0</v>
      </c>
      <c r="E1999" s="66">
        <v>10.0</v>
      </c>
      <c r="F1999" s="66" t="s">
        <v>2798</v>
      </c>
      <c r="G1999" s="66" t="s">
        <v>247</v>
      </c>
    </row>
    <row r="2000" ht="22.5" customHeight="1">
      <c r="A2000" s="66" t="s">
        <v>2799</v>
      </c>
      <c r="B2000" s="67" t="str">
        <f t="shared" si="11"/>
        <v>M: looking for</v>
      </c>
      <c r="C2000" s="68"/>
      <c r="D2000" s="68">
        <v>45949.0</v>
      </c>
      <c r="E2000" s="66">
        <v>1.0</v>
      </c>
      <c r="F2000" s="66" t="s">
        <v>2800</v>
      </c>
      <c r="G2000" s="66" t="s">
        <v>2801</v>
      </c>
    </row>
    <row r="2001" ht="22.5" customHeight="1">
      <c r="A2001" s="66" t="s">
        <v>2802</v>
      </c>
      <c r="B2001" s="67" t="str">
        <f t="shared" si="11"/>
        <v>M: build</v>
      </c>
      <c r="C2001" s="66">
        <v>1.0</v>
      </c>
      <c r="D2001" s="68">
        <v>45949.0</v>
      </c>
      <c r="E2001" s="66">
        <v>2.0</v>
      </c>
      <c r="F2001" s="66" t="s">
        <v>2803</v>
      </c>
      <c r="G2001" s="66" t="s">
        <v>247</v>
      </c>
    </row>
    <row r="2002" ht="22.5" customHeight="1">
      <c r="A2002" s="66" t="s">
        <v>2804</v>
      </c>
      <c r="B2002" s="67" t="str">
        <f t="shared" si="11"/>
        <v>M: maintenance</v>
      </c>
      <c r="C2002" s="66">
        <v>1.0</v>
      </c>
      <c r="D2002" s="68">
        <v>45950.0</v>
      </c>
      <c r="E2002" s="66">
        <v>3.0</v>
      </c>
      <c r="F2002" s="66" t="s">
        <v>2805</v>
      </c>
      <c r="G2002" s="66" t="s">
        <v>247</v>
      </c>
    </row>
    <row r="2003" ht="22.5" customHeight="1">
      <c r="A2003" s="66" t="s">
        <v>2806</v>
      </c>
      <c r="B2003" s="67" t="str">
        <f t="shared" si="11"/>
        <v>M: practically</v>
      </c>
      <c r="C2003" s="66">
        <v>1.0</v>
      </c>
      <c r="D2003" s="68">
        <v>45950.0</v>
      </c>
      <c r="E2003" s="66">
        <v>4.0</v>
      </c>
      <c r="F2003" s="66" t="s">
        <v>2807</v>
      </c>
      <c r="G2003" s="66" t="s">
        <v>247</v>
      </c>
    </row>
    <row r="2004" ht="22.5" customHeight="1">
      <c r="A2004" s="66" t="s">
        <v>2808</v>
      </c>
      <c r="B2004" s="67" t="str">
        <f t="shared" si="11"/>
        <v>M: plays</v>
      </c>
      <c r="C2004" s="66">
        <v>1.0</v>
      </c>
      <c r="D2004" s="68">
        <v>45950.0</v>
      </c>
      <c r="E2004" s="66">
        <v>5.0</v>
      </c>
      <c r="F2004" s="71" t="s">
        <v>2809</v>
      </c>
      <c r="G2004" s="66" t="s">
        <v>247</v>
      </c>
    </row>
    <row r="2005" ht="22.5" customHeight="1">
      <c r="A2005" s="66" t="s">
        <v>2810</v>
      </c>
      <c r="B2005" s="67" t="str">
        <f t="shared" si="11"/>
        <v>M: army</v>
      </c>
      <c r="C2005" s="66">
        <v>1.0</v>
      </c>
      <c r="D2005" s="68">
        <v>45950.0</v>
      </c>
      <c r="E2005" s="66">
        <v>6.0</v>
      </c>
      <c r="F2005" s="66" t="s">
        <v>2811</v>
      </c>
      <c r="G2005" s="66" t="s">
        <v>247</v>
      </c>
    </row>
    <row r="2006" ht="22.5" customHeight="1">
      <c r="A2006" s="66" t="s">
        <v>2812</v>
      </c>
      <c r="B2006" s="67" t="str">
        <f t="shared" si="11"/>
        <v>M: undead</v>
      </c>
      <c r="C2006" s="68"/>
      <c r="D2006" s="68">
        <v>45950.0</v>
      </c>
      <c r="E2006" s="66">
        <v>7.0</v>
      </c>
      <c r="F2006" s="66" t="str">
        <f>IFERROR(__xludf.DUMMYFUNCTION("GOOGLETRANSLATE(A2006,""en"",""pt"")"),"mortos-vivos")</f>
        <v>mortos-vivos</v>
      </c>
      <c r="G2006" s="66" t="s">
        <v>2813</v>
      </c>
    </row>
    <row r="2007" ht="22.5" customHeight="1">
      <c r="A2007" s="66" t="s">
        <v>2814</v>
      </c>
      <c r="B2007" s="67" t="str">
        <f t="shared" si="11"/>
        <v>M: pamper</v>
      </c>
      <c r="C2007" s="68"/>
      <c r="D2007" s="68">
        <v>45950.0</v>
      </c>
      <c r="E2007" s="66">
        <v>8.0</v>
      </c>
      <c r="F2007" s="66" t="str">
        <f>IFERROR(__xludf.DUMMYFUNCTION("GOOGLETRANSLATE(A2007,""en"",""pt"")"),"mimar")</f>
        <v>mimar</v>
      </c>
      <c r="G2007" s="66" t="s">
        <v>2815</v>
      </c>
    </row>
    <row r="2008" ht="22.5" customHeight="1">
      <c r="A2008" s="66" t="s">
        <v>2816</v>
      </c>
      <c r="B2008" s="67" t="str">
        <f t="shared" si="11"/>
        <v>M: carrying</v>
      </c>
      <c r="C2008" s="66">
        <v>1.0</v>
      </c>
      <c r="D2008" s="68">
        <v>45950.0</v>
      </c>
      <c r="E2008" s="66">
        <v>9.0</v>
      </c>
      <c r="F2008" s="66" t="s">
        <v>2817</v>
      </c>
      <c r="G2008" s="66" t="s">
        <v>247</v>
      </c>
    </row>
    <row r="2009" ht="22.5" customHeight="1">
      <c r="A2009" s="66" t="s">
        <v>2818</v>
      </c>
      <c r="B2009" s="67" t="str">
        <f t="shared" si="11"/>
        <v>M: royal</v>
      </c>
      <c r="C2009" s="66">
        <v>1.0</v>
      </c>
      <c r="D2009" s="68">
        <v>45950.0</v>
      </c>
      <c r="E2009" s="66">
        <v>10.0</v>
      </c>
      <c r="F2009" s="71" t="s">
        <v>2819</v>
      </c>
      <c r="G2009" s="66" t="s">
        <v>247</v>
      </c>
    </row>
    <row r="2010" ht="22.5" customHeight="1">
      <c r="A2010" s="66" t="s">
        <v>2820</v>
      </c>
      <c r="B2010" s="67" t="str">
        <f t="shared" si="11"/>
        <v>M: deepest</v>
      </c>
      <c r="C2010" s="66">
        <v>1.0</v>
      </c>
      <c r="D2010" s="68">
        <v>45950.0</v>
      </c>
      <c r="E2010" s="66">
        <v>1.0</v>
      </c>
      <c r="F2010" s="66" t="s">
        <v>2821</v>
      </c>
      <c r="G2010" s="66" t="s">
        <v>247</v>
      </c>
    </row>
    <row r="2011" ht="22.5" customHeight="1">
      <c r="A2011" s="66" t="s">
        <v>2822</v>
      </c>
      <c r="B2011" s="67" t="str">
        <f t="shared" si="11"/>
        <v>M: darkest</v>
      </c>
      <c r="C2011" s="66">
        <v>1.0</v>
      </c>
      <c r="D2011" s="68">
        <v>45950.0</v>
      </c>
      <c r="E2011" s="66">
        <v>2.0</v>
      </c>
      <c r="F2011" s="66" t="s">
        <v>2823</v>
      </c>
      <c r="G2011" s="66" t="s">
        <v>247</v>
      </c>
    </row>
    <row r="2012" ht="22.5" customHeight="1">
      <c r="A2012" s="66" t="s">
        <v>2824</v>
      </c>
      <c r="B2012" s="67" t="str">
        <f t="shared" si="11"/>
        <v>M: pit</v>
      </c>
      <c r="C2012" s="66">
        <v>1.0</v>
      </c>
      <c r="D2012" s="68">
        <v>45951.0</v>
      </c>
      <c r="E2012" s="66">
        <v>3.0</v>
      </c>
      <c r="F2012" s="66" t="s">
        <v>2825</v>
      </c>
      <c r="G2012" s="66" t="s">
        <v>247</v>
      </c>
    </row>
    <row r="2013" ht="22.5" customHeight="1">
      <c r="A2013" s="66" t="s">
        <v>2826</v>
      </c>
      <c r="B2013" s="67" t="str">
        <f t="shared" si="11"/>
        <v>M: ditching</v>
      </c>
      <c r="C2013" s="66">
        <v>1.0</v>
      </c>
      <c r="D2013" s="68">
        <v>45951.0</v>
      </c>
      <c r="E2013" s="66">
        <v>4.0</v>
      </c>
      <c r="F2013" s="66" t="s">
        <v>2827</v>
      </c>
      <c r="G2013" s="66" t="s">
        <v>247</v>
      </c>
    </row>
    <row r="2014" ht="22.5" customHeight="1">
      <c r="A2014" s="66" t="s">
        <v>2828</v>
      </c>
      <c r="B2014" s="67" t="str">
        <f t="shared" si="11"/>
        <v>M: mid-battle</v>
      </c>
      <c r="C2014" s="68"/>
      <c r="D2014" s="68">
        <v>45951.0</v>
      </c>
      <c r="E2014" s="66">
        <v>5.0</v>
      </c>
      <c r="F2014" s="66" t="str">
        <f>IFERROR(__xludf.DUMMYFUNCTION("GOOGLETRANSLATE(A2014,""en"",""pt"")"),"em meio à batalha")</f>
        <v>em meio à batalha</v>
      </c>
      <c r="G2014" s="66" t="s">
        <v>2829</v>
      </c>
    </row>
    <row r="2015" ht="22.5" customHeight="1">
      <c r="A2015" s="66" t="s">
        <v>2830</v>
      </c>
      <c r="B2015" s="67" t="str">
        <f t="shared" si="11"/>
        <v>M: minion</v>
      </c>
      <c r="C2015" s="66">
        <v>1.0</v>
      </c>
      <c r="D2015" s="68">
        <v>45951.0</v>
      </c>
      <c r="E2015" s="66">
        <v>6.0</v>
      </c>
      <c r="F2015" s="66" t="s">
        <v>2831</v>
      </c>
      <c r="G2015" s="66" t="s">
        <v>247</v>
      </c>
    </row>
    <row r="2016" ht="22.5" customHeight="1">
      <c r="A2016" s="66" t="s">
        <v>2832</v>
      </c>
      <c r="B2016" s="67" t="str">
        <f t="shared" si="11"/>
        <v>M: tanky</v>
      </c>
      <c r="C2016" s="68"/>
      <c r="D2016" s="68">
        <v>45951.0</v>
      </c>
      <c r="E2016" s="66">
        <v>7.0</v>
      </c>
      <c r="F2016" s="66" t="str">
        <f>IFERROR(__xludf.DUMMYFUNCTION("GOOGLETRANSLATE(A2016,""en"",""pt"")"),"tanque")</f>
        <v>tanque</v>
      </c>
      <c r="G2016" s="66" t="s">
        <v>2833</v>
      </c>
    </row>
    <row r="2017" ht="22.5" customHeight="1">
      <c r="A2017" s="66" t="s">
        <v>2834</v>
      </c>
      <c r="B2017" s="67" t="str">
        <f t="shared" si="11"/>
        <v>M: stand up</v>
      </c>
      <c r="C2017" s="66">
        <v>1.0</v>
      </c>
      <c r="D2017" s="68">
        <v>45951.0</v>
      </c>
      <c r="E2017" s="66">
        <v>8.0</v>
      </c>
      <c r="F2017" s="66" t="s">
        <v>2835</v>
      </c>
      <c r="G2017" s="66" t="s">
        <v>247</v>
      </c>
    </row>
    <row r="2018" ht="22.5" customHeight="1">
      <c r="A2018" s="66" t="s">
        <v>2836</v>
      </c>
      <c r="B2018" s="67" t="str">
        <f t="shared" si="11"/>
        <v>M: denizens</v>
      </c>
      <c r="C2018" s="66">
        <v>1.0</v>
      </c>
      <c r="D2018" s="68">
        <v>45951.0</v>
      </c>
      <c r="E2018" s="66">
        <v>9.0</v>
      </c>
      <c r="F2018" s="66" t="s">
        <v>2837</v>
      </c>
      <c r="G2018" s="66" t="s">
        <v>247</v>
      </c>
    </row>
    <row r="2019" ht="22.5" customHeight="1">
      <c r="A2019" s="66" t="s">
        <v>2838</v>
      </c>
      <c r="B2019" s="67" t="str">
        <f t="shared" si="11"/>
        <v>M: relies</v>
      </c>
      <c r="C2019" s="66">
        <v>1.0</v>
      </c>
      <c r="D2019" s="68">
        <v>45951.0</v>
      </c>
      <c r="E2019" s="66">
        <v>10.0</v>
      </c>
      <c r="F2019" s="71" t="s">
        <v>2839</v>
      </c>
      <c r="G2019" s="66" t="s">
        <v>247</v>
      </c>
    </row>
    <row r="2020" ht="22.5" customHeight="1">
      <c r="A2020" s="66" t="s">
        <v>2840</v>
      </c>
      <c r="B2020" s="67" t="str">
        <f t="shared" si="11"/>
        <v>M: exclusively</v>
      </c>
      <c r="C2020" s="66">
        <v>1.0</v>
      </c>
      <c r="D2020" s="68">
        <v>45951.0</v>
      </c>
      <c r="E2020" s="66">
        <v>1.0</v>
      </c>
      <c r="F2020" s="66" t="s">
        <v>2841</v>
      </c>
      <c r="G2020" s="66" t="s">
        <v>247</v>
      </c>
    </row>
    <row r="2021" ht="22.5" customHeight="1">
      <c r="A2021" s="66" t="s">
        <v>2842</v>
      </c>
      <c r="B2021" s="67" t="str">
        <f t="shared" si="11"/>
        <v>M: fulfilling</v>
      </c>
      <c r="C2021" s="66">
        <v>1.0</v>
      </c>
      <c r="D2021" s="68">
        <v>45951.0</v>
      </c>
      <c r="E2021" s="66">
        <v>2.0</v>
      </c>
      <c r="F2021" s="71" t="s">
        <v>2843</v>
      </c>
      <c r="G2021" s="66" t="s">
        <v>247</v>
      </c>
    </row>
    <row r="2022" ht="22.5" customHeight="1">
      <c r="A2022" s="66" t="s">
        <v>2844</v>
      </c>
      <c r="B2022" s="67" t="str">
        <f t="shared" si="11"/>
        <v>M: completely</v>
      </c>
      <c r="C2022" s="66">
        <v>1.0</v>
      </c>
      <c r="D2022" s="68">
        <v>45952.0</v>
      </c>
      <c r="E2022" s="66">
        <v>3.0</v>
      </c>
      <c r="F2022" s="66" t="s">
        <v>2845</v>
      </c>
      <c r="G2022" s="66" t="s">
        <v>247</v>
      </c>
    </row>
    <row r="2023" ht="22.5" customHeight="1">
      <c r="A2023" s="66" t="s">
        <v>2846</v>
      </c>
      <c r="B2023" s="67" t="str">
        <f t="shared" si="11"/>
        <v>M: soul</v>
      </c>
      <c r="C2023" s="66">
        <v>1.0</v>
      </c>
      <c r="D2023" s="68">
        <v>45952.0</v>
      </c>
      <c r="E2023" s="66">
        <v>4.0</v>
      </c>
      <c r="F2023" s="66" t="s">
        <v>2847</v>
      </c>
      <c r="G2023" s="66" t="s">
        <v>247</v>
      </c>
    </row>
    <row r="2024" ht="22.5" customHeight="1">
      <c r="A2024" s="66" t="s">
        <v>2848</v>
      </c>
      <c r="B2024" s="67" t="str">
        <f t="shared" si="11"/>
        <v>M: multiplier</v>
      </c>
      <c r="C2024" s="66">
        <v>1.0</v>
      </c>
      <c r="D2024" s="68">
        <v>45952.0</v>
      </c>
      <c r="E2024" s="66">
        <v>5.0</v>
      </c>
      <c r="F2024" s="66" t="s">
        <v>2849</v>
      </c>
      <c r="G2024" s="66" t="s">
        <v>247</v>
      </c>
    </row>
    <row r="2025" ht="22.5" customHeight="1">
      <c r="A2025" s="66" t="s">
        <v>2850</v>
      </c>
      <c r="B2025" s="67" t="str">
        <f t="shared" si="11"/>
        <v>M: reap</v>
      </c>
      <c r="C2025" s="66">
        <v>1.0</v>
      </c>
      <c r="D2025" s="68">
        <v>45952.0</v>
      </c>
      <c r="E2025" s="66">
        <v>6.0</v>
      </c>
      <c r="F2025" s="71" t="s">
        <v>2851</v>
      </c>
      <c r="G2025" s="66" t="s">
        <v>247</v>
      </c>
    </row>
    <row r="2026" ht="22.5" customHeight="1">
      <c r="A2026" s="66" t="s">
        <v>2852</v>
      </c>
      <c r="B2026" s="67" t="str">
        <f t="shared" si="11"/>
        <v>M: plateau</v>
      </c>
      <c r="C2026" s="66">
        <v>1.0</v>
      </c>
      <c r="D2026" s="68">
        <v>45952.0</v>
      </c>
      <c r="E2026" s="66">
        <v>7.0</v>
      </c>
      <c r="F2026" s="66" t="s">
        <v>2853</v>
      </c>
      <c r="G2026" s="66" t="s">
        <v>247</v>
      </c>
    </row>
    <row r="2027" ht="22.5" customHeight="1">
      <c r="A2027" s="66" t="s">
        <v>2854</v>
      </c>
      <c r="B2027" s="67" t="str">
        <f t="shared" si="11"/>
        <v>M: guaranteed</v>
      </c>
      <c r="C2027" s="66">
        <v>1.0</v>
      </c>
      <c r="D2027" s="68">
        <v>45952.0</v>
      </c>
      <c r="E2027" s="66">
        <v>8.0</v>
      </c>
      <c r="F2027" s="71" t="s">
        <v>2855</v>
      </c>
      <c r="G2027" s="66" t="s">
        <v>247</v>
      </c>
    </row>
    <row r="2028" ht="22.5" customHeight="1">
      <c r="A2028" s="66" t="s">
        <v>2856</v>
      </c>
      <c r="B2028" s="67" t="str">
        <f t="shared" si="11"/>
        <v>M: overpowered</v>
      </c>
      <c r="C2028" s="66">
        <v>1.0</v>
      </c>
      <c r="D2028" s="68">
        <v>45952.0</v>
      </c>
      <c r="E2028" s="66">
        <v>9.0</v>
      </c>
      <c r="F2028" s="71" t="s">
        <v>2857</v>
      </c>
      <c r="G2028" s="66" t="s">
        <v>247</v>
      </c>
    </row>
    <row r="2029" ht="22.5" customHeight="1">
      <c r="A2029" s="66" t="s">
        <v>2858</v>
      </c>
      <c r="B2029" s="67" t="str">
        <f t="shared" si="11"/>
        <v>M: substantially</v>
      </c>
      <c r="C2029" s="66">
        <v>1.0</v>
      </c>
      <c r="D2029" s="68">
        <v>45952.0</v>
      </c>
      <c r="E2029" s="66">
        <v>10.0</v>
      </c>
      <c r="F2029" s="66" t="s">
        <v>2859</v>
      </c>
      <c r="G2029" s="66" t="s">
        <v>247</v>
      </c>
    </row>
    <row r="2030" ht="22.5" customHeight="1">
      <c r="A2030" s="66" t="s">
        <v>2860</v>
      </c>
      <c r="B2030" s="67" t="str">
        <f t="shared" si="11"/>
        <v>M: tapping</v>
      </c>
      <c r="C2030" s="68"/>
      <c r="D2030" s="68">
        <v>45952.0</v>
      </c>
      <c r="E2030" s="66">
        <v>1.0</v>
      </c>
      <c r="F2030" s="66" t="str">
        <f>IFERROR(__xludf.DUMMYFUNCTION("GOOGLETRANSLATE(A2030,""en"",""pt"")"),"batendo")</f>
        <v>batendo</v>
      </c>
      <c r="G2030" s="66" t="s">
        <v>2861</v>
      </c>
    </row>
    <row r="2031" ht="22.5" customHeight="1">
      <c r="A2031" s="72" t="s">
        <v>2862</v>
      </c>
      <c r="B2031" s="67" t="str">
        <f t="shared" si="11"/>
        <v>M: roughly</v>
      </c>
      <c r="C2031" s="68"/>
      <c r="D2031" s="68">
        <v>45952.0</v>
      </c>
      <c r="E2031" s="66">
        <v>2.0</v>
      </c>
      <c r="F2031" s="66" t="str">
        <f>IFERROR(__xludf.DUMMYFUNCTION("GOOGLETRANSLATE(A2031,""en"",""pt"")"),"aproximadamente")</f>
        <v>aproximadamente</v>
      </c>
    </row>
    <row r="2032" ht="22.5" customHeight="1">
      <c r="A2032" s="66" t="s">
        <v>2863</v>
      </c>
      <c r="B2032" s="67" t="str">
        <f t="shared" si="11"/>
        <v>M: cornered</v>
      </c>
      <c r="C2032" s="66">
        <v>1.0</v>
      </c>
      <c r="D2032" s="68">
        <v>45953.0</v>
      </c>
      <c r="E2032" s="66">
        <v>3.0</v>
      </c>
      <c r="F2032" s="71" t="s">
        <v>2864</v>
      </c>
      <c r="G2032" s="66" t="s">
        <v>247</v>
      </c>
    </row>
    <row r="2033" ht="22.5" customHeight="1">
      <c r="A2033" s="66" t="s">
        <v>2865</v>
      </c>
      <c r="B2033" s="67" t="str">
        <f t="shared" si="11"/>
        <v>M: reapers</v>
      </c>
      <c r="C2033" s="66">
        <v>1.0</v>
      </c>
      <c r="D2033" s="68">
        <v>45953.0</v>
      </c>
      <c r="E2033" s="66">
        <v>4.0</v>
      </c>
      <c r="F2033" s="66" t="s">
        <v>2866</v>
      </c>
      <c r="G2033" s="66" t="s">
        <v>247</v>
      </c>
    </row>
    <row r="2034" ht="22.5" customHeight="1">
      <c r="A2034" s="66" t="s">
        <v>2867</v>
      </c>
      <c r="B2034" s="67" t="str">
        <f t="shared" si="11"/>
        <v>M: brew</v>
      </c>
      <c r="C2034" s="68"/>
      <c r="D2034" s="68">
        <v>45953.0</v>
      </c>
      <c r="E2034" s="66">
        <v>5.0</v>
      </c>
      <c r="F2034" s="66" t="str">
        <f>IFERROR(__xludf.DUMMYFUNCTION("GOOGLETRANSLATE(A2034,""en"",""pt"")"),"cerveja")</f>
        <v>cerveja</v>
      </c>
      <c r="G2034" s="66" t="s">
        <v>2868</v>
      </c>
    </row>
    <row r="2035" ht="22.5" customHeight="1">
      <c r="A2035" s="66" t="s">
        <v>2869</v>
      </c>
      <c r="B2035" s="67" t="str">
        <f t="shared" si="11"/>
        <v>M: playability</v>
      </c>
      <c r="C2035" s="66">
        <v>1.0</v>
      </c>
      <c r="D2035" s="68">
        <v>45953.0</v>
      </c>
      <c r="E2035" s="66">
        <v>6.0</v>
      </c>
      <c r="F2035" s="66" t="s">
        <v>2870</v>
      </c>
      <c r="G2035" s="66" t="s">
        <v>247</v>
      </c>
    </row>
    <row r="2036" ht="22.5" customHeight="1">
      <c r="A2036" s="66" t="s">
        <v>2871</v>
      </c>
      <c r="B2036" s="67" t="str">
        <f t="shared" si="11"/>
        <v>M: assumes</v>
      </c>
      <c r="C2036" s="66">
        <v>1.0</v>
      </c>
      <c r="D2036" s="68">
        <v>45953.0</v>
      </c>
      <c r="E2036" s="66">
        <v>7.0</v>
      </c>
      <c r="F2036" s="66" t="s">
        <v>2872</v>
      </c>
      <c r="G2036" s="66" t="s">
        <v>247</v>
      </c>
    </row>
    <row r="2037" ht="22.5" customHeight="1">
      <c r="A2037" s="66" t="s">
        <v>2873</v>
      </c>
      <c r="B2037" s="67" t="str">
        <f t="shared" si="11"/>
        <v>M: torment</v>
      </c>
      <c r="C2037" s="66">
        <v>1.0</v>
      </c>
      <c r="D2037" s="68">
        <v>45953.0</v>
      </c>
      <c r="E2037" s="66">
        <v>8.0</v>
      </c>
      <c r="F2037" s="66" t="s">
        <v>2874</v>
      </c>
      <c r="G2037" s="66" t="s">
        <v>247</v>
      </c>
    </row>
    <row r="2038" ht="22.5" customHeight="1">
      <c r="A2038" s="66" t="s">
        <v>2875</v>
      </c>
      <c r="B2038" s="67" t="str">
        <f t="shared" si="11"/>
        <v>M: get there</v>
      </c>
      <c r="C2038" s="68"/>
      <c r="D2038" s="68">
        <v>45953.0</v>
      </c>
      <c r="E2038" s="66">
        <v>9.0</v>
      </c>
      <c r="F2038" s="66" t="str">
        <f>IFERROR(__xludf.DUMMYFUNCTION("GOOGLETRANSLATE(A2038,""en"",""pt"")"),"chegar lá")</f>
        <v>chegar lá</v>
      </c>
      <c r="G2038" s="66" t="s">
        <v>2876</v>
      </c>
    </row>
    <row r="2039" ht="22.5" customHeight="1">
      <c r="A2039" s="66" t="s">
        <v>2877</v>
      </c>
      <c r="B2039" s="67" t="str">
        <f t="shared" si="11"/>
        <v>M: compares</v>
      </c>
      <c r="C2039" s="66">
        <v>1.0</v>
      </c>
      <c r="D2039" s="68">
        <v>45953.0</v>
      </c>
      <c r="E2039" s="66">
        <v>10.0</v>
      </c>
      <c r="F2039" s="66" t="s">
        <v>2878</v>
      </c>
      <c r="G2039" s="66" t="s">
        <v>247</v>
      </c>
    </row>
    <row r="2040" ht="22.5" customHeight="1">
      <c r="A2040" s="66" t="s">
        <v>2879</v>
      </c>
      <c r="B2040" s="67" t="str">
        <f t="shared" si="11"/>
        <v>M: enhanced</v>
      </c>
      <c r="C2040" s="68"/>
      <c r="D2040" s="68">
        <v>45953.0</v>
      </c>
      <c r="E2040" s="66">
        <v>1.0</v>
      </c>
      <c r="F2040" s="66" t="str">
        <f>IFERROR(__xludf.DUMMYFUNCTION("GOOGLETRANSLATE(A2040,""en"",""pt"")"),"aprimorado")</f>
        <v>aprimorado</v>
      </c>
      <c r="G2040" s="66" t="s">
        <v>2880</v>
      </c>
    </row>
    <row r="2041" ht="22.5" customHeight="1">
      <c r="A2041" s="66" t="s">
        <v>2881</v>
      </c>
      <c r="B2041" s="67" t="str">
        <f t="shared" si="11"/>
        <v>M: blight</v>
      </c>
      <c r="C2041" s="66">
        <v>1.0</v>
      </c>
      <c r="D2041" s="68">
        <v>45953.0</v>
      </c>
      <c r="E2041" s="66">
        <v>2.0</v>
      </c>
      <c r="F2041" s="66" t="s">
        <v>2882</v>
      </c>
      <c r="G2041" s="66" t="s">
        <v>247</v>
      </c>
    </row>
    <row r="2042" ht="22.5" customHeight="1">
      <c r="A2042" s="66" t="s">
        <v>2883</v>
      </c>
      <c r="B2042" s="67" t="str">
        <f t="shared" si="11"/>
        <v>M: provides</v>
      </c>
      <c r="C2042" s="66">
        <v>1.0</v>
      </c>
      <c r="D2042" s="68">
        <v>45954.0</v>
      </c>
      <c r="E2042" s="66">
        <v>3.0</v>
      </c>
      <c r="F2042" s="71" t="s">
        <v>2884</v>
      </c>
      <c r="G2042" s="66" t="s">
        <v>247</v>
      </c>
    </row>
    <row r="2043" ht="22.5" customHeight="1">
      <c r="A2043" s="66" t="s">
        <v>2885</v>
      </c>
      <c r="B2043" s="67" t="str">
        <f t="shared" si="11"/>
        <v>M: enemies</v>
      </c>
      <c r="C2043" s="66">
        <v>1.0</v>
      </c>
      <c r="D2043" s="68">
        <v>45954.0</v>
      </c>
      <c r="E2043" s="66">
        <v>4.0</v>
      </c>
      <c r="F2043" s="66" t="s">
        <v>2886</v>
      </c>
      <c r="G2043" s="66" t="s">
        <v>247</v>
      </c>
    </row>
    <row r="2044" ht="22.5" customHeight="1">
      <c r="A2044" s="66" t="s">
        <v>2887</v>
      </c>
      <c r="B2044" s="67" t="str">
        <f t="shared" si="11"/>
        <v>M: eater</v>
      </c>
      <c r="C2044" s="68"/>
      <c r="D2044" s="68">
        <v>45954.0</v>
      </c>
      <c r="E2044" s="66">
        <v>5.0</v>
      </c>
      <c r="F2044" s="66" t="str">
        <f>IFERROR(__xludf.DUMMYFUNCTION("GOOGLETRANSLATE(A2044,""en"",""pt"")"),"comedor")</f>
        <v>comedor</v>
      </c>
      <c r="G2044" s="66" t="s">
        <v>2888</v>
      </c>
    </row>
    <row r="2045" ht="22.5" customHeight="1">
      <c r="A2045" s="66" t="s">
        <v>2889</v>
      </c>
      <c r="B2045" s="67" t="str">
        <f t="shared" si="11"/>
        <v>M: instantly</v>
      </c>
      <c r="C2045" s="68"/>
      <c r="D2045" s="68">
        <v>45954.0</v>
      </c>
      <c r="E2045" s="66">
        <v>6.0</v>
      </c>
      <c r="F2045" s="66" t="str">
        <f>IFERROR(__xludf.DUMMYFUNCTION("GOOGLETRANSLATE(A2045,""en"",""pt"")"),"imediatamente")</f>
        <v>imediatamente</v>
      </c>
      <c r="G2045" s="66" t="s">
        <v>2890</v>
      </c>
    </row>
    <row r="2046" ht="22.5" customHeight="1">
      <c r="A2046" s="66" t="s">
        <v>2891</v>
      </c>
      <c r="B2046" s="67" t="str">
        <f t="shared" si="11"/>
        <v>M: fuel</v>
      </c>
      <c r="C2046" s="66">
        <v>1.0</v>
      </c>
      <c r="D2046" s="68">
        <v>45954.0</v>
      </c>
      <c r="E2046" s="66">
        <v>7.0</v>
      </c>
      <c r="F2046" s="66" t="s">
        <v>2892</v>
      </c>
      <c r="G2046" s="66" t="s">
        <v>247</v>
      </c>
    </row>
    <row r="2047" ht="22.5" customHeight="1">
      <c r="A2047" s="66" t="s">
        <v>2893</v>
      </c>
      <c r="B2047" s="67" t="str">
        <f t="shared" si="11"/>
        <v>M: fueled</v>
      </c>
      <c r="C2047" s="66">
        <v>1.0</v>
      </c>
      <c r="D2047" s="68">
        <v>45954.0</v>
      </c>
      <c r="E2047" s="66">
        <v>8.0</v>
      </c>
      <c r="F2047" s="66" t="s">
        <v>2894</v>
      </c>
      <c r="G2047" s="66" t="s">
        <v>247</v>
      </c>
    </row>
    <row r="2048" ht="22.5" customHeight="1">
      <c r="A2048" s="66" t="s">
        <v>2895</v>
      </c>
      <c r="B2048" s="67" t="str">
        <f t="shared" si="11"/>
        <v>M: decrepify</v>
      </c>
      <c r="C2048" s="68"/>
      <c r="D2048" s="68">
        <v>45954.0</v>
      </c>
      <c r="E2048" s="66">
        <v>9.0</v>
      </c>
      <c r="F2048" s="66" t="str">
        <f>IFERROR(__xludf.DUMMYFUNCTION("GOOGLETRANSLATE(A2048,""en"",""pt"")"),"decrepificar")</f>
        <v>decrepificar</v>
      </c>
      <c r="G2048" s="66" t="s">
        <v>2896</v>
      </c>
    </row>
    <row r="2049" ht="22.5" customHeight="1">
      <c r="A2049" s="66" t="s">
        <v>2897</v>
      </c>
      <c r="B2049" s="67" t="str">
        <f t="shared" si="11"/>
        <v>M: procs</v>
      </c>
      <c r="C2049" s="66">
        <v>1.0</v>
      </c>
      <c r="D2049" s="68">
        <v>45954.0</v>
      </c>
      <c r="E2049" s="66">
        <v>10.0</v>
      </c>
      <c r="F2049" s="66" t="str">
        <f>IFERROR(__xludf.DUMMYFUNCTION("GOOGLETRANSLATE(A2049,""en"",""pt"")"),"processos")</f>
        <v>processos</v>
      </c>
      <c r="G2049" s="66" t="s">
        <v>247</v>
      </c>
    </row>
    <row r="2050" ht="22.5" customHeight="1">
      <c r="A2050" s="66" t="s">
        <v>2898</v>
      </c>
      <c r="B2050" s="67" t="str">
        <f t="shared" si="11"/>
        <v>M: triggered</v>
      </c>
      <c r="C2050" s="66">
        <v>1.0</v>
      </c>
      <c r="D2050" s="68">
        <v>45954.0</v>
      </c>
      <c r="E2050" s="66">
        <v>1.0</v>
      </c>
      <c r="F2050" s="66" t="s">
        <v>2899</v>
      </c>
      <c r="G2050" s="66" t="s">
        <v>247</v>
      </c>
    </row>
    <row r="2051" ht="22.5" customHeight="1">
      <c r="A2051" s="66" t="s">
        <v>2900</v>
      </c>
      <c r="B2051" s="67" t="str">
        <f t="shared" si="11"/>
        <v>M: breeches</v>
      </c>
      <c r="C2051" s="68"/>
      <c r="D2051" s="68">
        <v>45954.0</v>
      </c>
      <c r="E2051" s="66">
        <v>2.0</v>
      </c>
      <c r="F2051" s="66" t="str">
        <f>IFERROR(__xludf.DUMMYFUNCTION("GOOGLETRANSLATE(A2051,""en"",""pt"")"),"calças")</f>
        <v>calças</v>
      </c>
      <c r="G2051" s="66" t="s">
        <v>2901</v>
      </c>
    </row>
    <row r="2052" ht="22.5" customHeight="1">
      <c r="A2052" s="66" t="s">
        <v>2902</v>
      </c>
      <c r="B2052" s="67" t="str">
        <f t="shared" si="11"/>
        <v>M: solely</v>
      </c>
      <c r="C2052" s="68"/>
      <c r="D2052" s="68">
        <v>45955.0</v>
      </c>
      <c r="E2052" s="66">
        <v>3.0</v>
      </c>
      <c r="F2052" s="66" t="str">
        <f>IFERROR(__xludf.DUMMYFUNCTION("GOOGLETRANSLATE(A2052,""en"",""pt"")"),"somente")</f>
        <v>somente</v>
      </c>
      <c r="G2052" s="66" t="s">
        <v>2903</v>
      </c>
    </row>
    <row r="2053" ht="22.5" customHeight="1">
      <c r="A2053" s="66" t="s">
        <v>2904</v>
      </c>
      <c r="B2053" s="67" t="str">
        <f t="shared" si="11"/>
        <v>M: runs out</v>
      </c>
      <c r="C2053" s="66">
        <v>1.0</v>
      </c>
      <c r="D2053" s="68">
        <v>45955.0</v>
      </c>
      <c r="E2053" s="66">
        <v>4.0</v>
      </c>
      <c r="F2053" s="66" t="s">
        <v>2905</v>
      </c>
      <c r="G2053" s="66" t="s">
        <v>247</v>
      </c>
    </row>
    <row r="2054" ht="22.5" customHeight="1">
      <c r="A2054" s="66" t="s">
        <v>2906</v>
      </c>
      <c r="B2054" s="67" t="str">
        <f t="shared" si="11"/>
        <v>M: tendrils</v>
      </c>
      <c r="C2054" s="66">
        <v>1.0</v>
      </c>
      <c r="D2054" s="68">
        <v>45955.0</v>
      </c>
      <c r="E2054" s="66">
        <v>5.0</v>
      </c>
      <c r="F2054" s="71" t="s">
        <v>2907</v>
      </c>
      <c r="G2054" s="66" t="s">
        <v>247</v>
      </c>
    </row>
    <row r="2055" ht="22.5" customHeight="1">
      <c r="A2055" s="66" t="s">
        <v>2908</v>
      </c>
      <c r="B2055" s="67" t="str">
        <f t="shared" si="11"/>
        <v>M: pulls</v>
      </c>
      <c r="C2055" s="66">
        <v>1.0</v>
      </c>
      <c r="D2055" s="68">
        <v>45955.0</v>
      </c>
      <c r="E2055" s="66">
        <v>6.0</v>
      </c>
      <c r="F2055" s="71" t="s">
        <v>2909</v>
      </c>
      <c r="G2055" s="66" t="s">
        <v>247</v>
      </c>
    </row>
    <row r="2056" ht="22.5" customHeight="1">
      <c r="A2056" s="66" t="s">
        <v>2910</v>
      </c>
      <c r="B2056" s="67" t="str">
        <f t="shared" si="11"/>
        <v>M: tightly</v>
      </c>
      <c r="C2056" s="66">
        <v>1.0</v>
      </c>
      <c r="D2056" s="68">
        <v>45955.0</v>
      </c>
      <c r="E2056" s="66">
        <v>7.0</v>
      </c>
      <c r="F2056" s="66" t="s">
        <v>2911</v>
      </c>
      <c r="G2056" s="66" t="s">
        <v>247</v>
      </c>
    </row>
    <row r="2057" ht="22.5" customHeight="1">
      <c r="A2057" s="66" t="s">
        <v>2912</v>
      </c>
      <c r="B2057" s="67" t="str">
        <f t="shared" si="11"/>
        <v>M: off of you</v>
      </c>
      <c r="C2057" s="68"/>
      <c r="D2057" s="68">
        <v>45955.0</v>
      </c>
      <c r="E2057" s="66">
        <v>8.0</v>
      </c>
      <c r="F2057" s="66" t="str">
        <f>IFERROR(__xludf.DUMMYFUNCTION("GOOGLETRANSLATE(A2057,""en"",""pt"")"),"fora de você")</f>
        <v>fora de você</v>
      </c>
      <c r="G2057" s="66" t="s">
        <v>2913</v>
      </c>
    </row>
    <row r="2058" ht="22.5" customHeight="1">
      <c r="A2058" s="66" t="s">
        <v>2914</v>
      </c>
      <c r="B2058" s="67" t="str">
        <f t="shared" si="11"/>
        <v>M: this does</v>
      </c>
      <c r="C2058" s="68"/>
      <c r="D2058" s="68">
        <v>45955.0</v>
      </c>
      <c r="E2058" s="66">
        <v>9.0</v>
      </c>
      <c r="F2058" s="66" t="str">
        <f>IFERROR(__xludf.DUMMYFUNCTION("GOOGLETRANSLATE(A2058,""en"",""pt"")"),"isso faz")</f>
        <v>isso faz</v>
      </c>
      <c r="G2058" s="66" t="s">
        <v>2915</v>
      </c>
    </row>
    <row r="2059" ht="22.5" customHeight="1">
      <c r="A2059" s="66" t="s">
        <v>2916</v>
      </c>
      <c r="B2059" s="67" t="str">
        <f t="shared" si="11"/>
        <v>M: blessing</v>
      </c>
      <c r="C2059" s="66">
        <v>1.0</v>
      </c>
      <c r="D2059" s="68">
        <v>45955.0</v>
      </c>
      <c r="E2059" s="66">
        <v>10.0</v>
      </c>
      <c r="F2059" s="66" t="s">
        <v>2917</v>
      </c>
      <c r="G2059" s="66" t="s">
        <v>247</v>
      </c>
    </row>
    <row r="2060" ht="22.5" customHeight="1">
      <c r="A2060" s="66" t="s">
        <v>2918</v>
      </c>
      <c r="B2060" s="67" t="str">
        <f t="shared" si="11"/>
        <v>M: curse</v>
      </c>
      <c r="C2060" s="66">
        <v>1.0</v>
      </c>
      <c r="D2060" s="68">
        <v>45955.0</v>
      </c>
      <c r="E2060" s="66">
        <v>1.0</v>
      </c>
      <c r="F2060" s="66" t="s">
        <v>2919</v>
      </c>
      <c r="G2060" s="66" t="s">
        <v>247</v>
      </c>
    </row>
    <row r="2061" ht="22.5" customHeight="1">
      <c r="A2061" s="66" t="s">
        <v>2920</v>
      </c>
      <c r="B2061" s="67" t="str">
        <f t="shared" si="11"/>
        <v>M: clutch</v>
      </c>
      <c r="C2061" s="66">
        <v>1.0</v>
      </c>
      <c r="D2061" s="68">
        <v>45955.0</v>
      </c>
      <c r="E2061" s="66">
        <v>2.0</v>
      </c>
      <c r="F2061" s="71" t="s">
        <v>2921</v>
      </c>
      <c r="G2061" s="66" t="s">
        <v>247</v>
      </c>
    </row>
    <row r="2062" ht="22.5" customHeight="1">
      <c r="A2062" s="66" t="s">
        <v>2922</v>
      </c>
      <c r="B2062" s="67" t="str">
        <f t="shared" si="11"/>
        <v>M: density</v>
      </c>
      <c r="C2062" s="68"/>
      <c r="D2062" s="68">
        <v>45956.0</v>
      </c>
      <c r="E2062" s="66">
        <v>3.0</v>
      </c>
      <c r="F2062" s="71" t="s">
        <v>2923</v>
      </c>
      <c r="G2062" s="66" t="s">
        <v>247</v>
      </c>
    </row>
    <row r="2063" ht="22.5" customHeight="1">
      <c r="A2063" s="66" t="s">
        <v>2924</v>
      </c>
      <c r="B2063" s="67" t="str">
        <f t="shared" si="11"/>
        <v>M: stagger</v>
      </c>
      <c r="C2063" s="66">
        <v>1.0</v>
      </c>
      <c r="D2063" s="68">
        <v>45956.0</v>
      </c>
      <c r="E2063" s="66">
        <v>4.0</v>
      </c>
      <c r="F2063" s="66" t="s">
        <v>2925</v>
      </c>
      <c r="G2063" s="66" t="s">
        <v>247</v>
      </c>
    </row>
    <row r="2064" ht="22.5" customHeight="1">
      <c r="A2064" s="66" t="s">
        <v>2926</v>
      </c>
      <c r="B2064" s="67" t="str">
        <f t="shared" si="11"/>
        <v>M: glue</v>
      </c>
      <c r="C2064" s="66">
        <v>1.0</v>
      </c>
      <c r="D2064" s="68">
        <v>45956.0</v>
      </c>
      <c r="E2064" s="66">
        <v>5.0</v>
      </c>
      <c r="F2064" s="66" t="s">
        <v>2927</v>
      </c>
      <c r="G2064" s="66" t="s">
        <v>247</v>
      </c>
    </row>
    <row r="2065" ht="22.5" customHeight="1">
      <c r="A2065" s="66" t="s">
        <v>2928</v>
      </c>
      <c r="B2065" s="67" t="str">
        <f t="shared" si="11"/>
        <v>M: smooth</v>
      </c>
      <c r="C2065" s="66">
        <v>1.0</v>
      </c>
      <c r="D2065" s="68">
        <v>45956.0</v>
      </c>
      <c r="E2065" s="66">
        <v>6.0</v>
      </c>
      <c r="F2065" s="66" t="s">
        <v>2929</v>
      </c>
      <c r="G2065" s="66" t="s">
        <v>247</v>
      </c>
    </row>
    <row r="2066" ht="22.5" customHeight="1">
      <c r="A2066" s="66" t="s">
        <v>2930</v>
      </c>
      <c r="B2066" s="67" t="str">
        <f t="shared" si="11"/>
        <v>M: weather</v>
      </c>
      <c r="C2066" s="66">
        <v>1.0</v>
      </c>
      <c r="D2066" s="68">
        <v>45956.0</v>
      </c>
      <c r="E2066" s="66">
        <v>7.0</v>
      </c>
      <c r="F2066" s="71" t="s">
        <v>2931</v>
      </c>
      <c r="G2066" s="66" t="s">
        <v>247</v>
      </c>
    </row>
    <row r="2067" ht="22.5" customHeight="1">
      <c r="A2067" s="66" t="s">
        <v>2932</v>
      </c>
      <c r="B2067" s="67" t="str">
        <f t="shared" si="11"/>
        <v>M: perform</v>
      </c>
      <c r="C2067" s="66">
        <v>1.0</v>
      </c>
      <c r="D2067" s="68">
        <v>45956.0</v>
      </c>
      <c r="E2067" s="66">
        <v>8.0</v>
      </c>
      <c r="F2067" s="71" t="s">
        <v>2933</v>
      </c>
      <c r="G2067" s="66" t="s">
        <v>247</v>
      </c>
    </row>
    <row r="2068" ht="22.5" customHeight="1">
      <c r="A2068" s="66" t="s">
        <v>2934</v>
      </c>
      <c r="B2068" s="67" t="str">
        <f t="shared" si="11"/>
        <v>M: certain</v>
      </c>
      <c r="C2068" s="66">
        <v>1.0</v>
      </c>
      <c r="D2068" s="68">
        <v>45956.0</v>
      </c>
      <c r="E2068" s="66">
        <v>9.0</v>
      </c>
      <c r="F2068" s="71" t="s">
        <v>2935</v>
      </c>
      <c r="G2068" s="66" t="s">
        <v>247</v>
      </c>
    </row>
    <row r="2069" ht="22.5" customHeight="1">
      <c r="A2069" s="66" t="s">
        <v>2936</v>
      </c>
      <c r="B2069" s="67" t="str">
        <f t="shared" si="11"/>
        <v>M: define</v>
      </c>
      <c r="C2069" s="66">
        <v>1.0</v>
      </c>
      <c r="D2069" s="68">
        <v>45956.0</v>
      </c>
      <c r="E2069" s="66">
        <v>10.0</v>
      </c>
      <c r="F2069" s="71" t="s">
        <v>2937</v>
      </c>
      <c r="G2069" s="66" t="s">
        <v>247</v>
      </c>
    </row>
    <row r="2070" ht="22.5" customHeight="1">
      <c r="A2070" s="66" t="s">
        <v>2938</v>
      </c>
      <c r="B2070" s="67" t="str">
        <f t="shared" si="11"/>
        <v>M: chapter</v>
      </c>
      <c r="C2070" s="66">
        <v>1.0</v>
      </c>
      <c r="D2070" s="68">
        <v>45956.0</v>
      </c>
      <c r="E2070" s="66">
        <v>1.0</v>
      </c>
      <c r="F2070" s="71" t="s">
        <v>2939</v>
      </c>
      <c r="G2070" s="66" t="s">
        <v>247</v>
      </c>
    </row>
    <row r="2071" ht="22.5" customHeight="1">
      <c r="A2071" s="66" t="s">
        <v>2940</v>
      </c>
      <c r="B2071" s="67" t="str">
        <f t="shared" si="11"/>
        <v>M: followed</v>
      </c>
      <c r="C2071" s="66">
        <v>1.0</v>
      </c>
      <c r="D2071" s="68">
        <v>45956.0</v>
      </c>
      <c r="E2071" s="66">
        <v>2.0</v>
      </c>
      <c r="F2071" s="71" t="s">
        <v>2941</v>
      </c>
      <c r="G2071" s="66" t="s">
        <v>247</v>
      </c>
    </row>
    <row r="2072" ht="22.5" customHeight="1">
      <c r="A2072" s="66" t="s">
        <v>2942</v>
      </c>
      <c r="B2072" s="67" t="str">
        <f t="shared" si="11"/>
        <v>M: desktop</v>
      </c>
      <c r="C2072" s="66">
        <v>1.0</v>
      </c>
      <c r="D2072" s="68">
        <v>45957.0</v>
      </c>
      <c r="E2072" s="66">
        <v>3.0</v>
      </c>
      <c r="F2072" s="66" t="s">
        <v>2943</v>
      </c>
      <c r="G2072" s="66" t="s">
        <v>247</v>
      </c>
    </row>
    <row r="2073" ht="22.5" customHeight="1">
      <c r="A2073" s="66" t="s">
        <v>2944</v>
      </c>
      <c r="B2073" s="67" t="str">
        <f t="shared" si="11"/>
        <v>M: i just got</v>
      </c>
      <c r="C2073" s="66">
        <v>1.0</v>
      </c>
      <c r="D2073" s="68">
        <v>45957.0</v>
      </c>
      <c r="E2073" s="66">
        <v>4.0</v>
      </c>
      <c r="F2073" s="66" t="s">
        <v>2945</v>
      </c>
      <c r="G2073" s="66" t="s">
        <v>247</v>
      </c>
    </row>
    <row r="2074" ht="22.5" customHeight="1">
      <c r="A2074" s="66" t="s">
        <v>2946</v>
      </c>
      <c r="B2074" s="67" t="str">
        <f t="shared" si="11"/>
        <v>M: listed</v>
      </c>
      <c r="C2074" s="66">
        <v>1.0</v>
      </c>
      <c r="D2074" s="68">
        <v>45957.0</v>
      </c>
      <c r="E2074" s="66">
        <v>5.0</v>
      </c>
      <c r="F2074" s="71" t="s">
        <v>2947</v>
      </c>
      <c r="G2074" s="66" t="s">
        <v>247</v>
      </c>
    </row>
    <row r="2075" ht="22.5" customHeight="1">
      <c r="A2075" s="66" t="s">
        <v>2948</v>
      </c>
      <c r="B2075" s="67" t="str">
        <f t="shared" si="11"/>
        <v>M: each</v>
      </c>
      <c r="C2075" s="66">
        <v>1.0</v>
      </c>
      <c r="D2075" s="68">
        <v>45957.0</v>
      </c>
      <c r="E2075" s="66">
        <v>6.0</v>
      </c>
      <c r="F2075" s="71" t="s">
        <v>2949</v>
      </c>
      <c r="G2075" s="66" t="s">
        <v>247</v>
      </c>
    </row>
    <row r="2076" ht="22.5" customHeight="1">
      <c r="A2076" s="66" t="s">
        <v>2950</v>
      </c>
      <c r="B2076" s="67" t="str">
        <f t="shared" si="11"/>
        <v>M: oriented</v>
      </c>
      <c r="C2076" s="66">
        <v>1.0</v>
      </c>
      <c r="D2076" s="68">
        <v>45957.0</v>
      </c>
      <c r="E2076" s="66">
        <v>7.0</v>
      </c>
      <c r="F2076" s="66" t="s">
        <v>2951</v>
      </c>
      <c r="G2076" s="66" t="s">
        <v>247</v>
      </c>
    </row>
    <row r="2077" ht="22.5" customHeight="1">
      <c r="A2077" s="66" t="s">
        <v>2952</v>
      </c>
      <c r="B2077" s="67" t="str">
        <f t="shared" si="11"/>
        <v>M: concepts</v>
      </c>
      <c r="C2077" s="66">
        <v>1.0</v>
      </c>
      <c r="D2077" s="68">
        <v>45957.0</v>
      </c>
      <c r="E2077" s="66">
        <v>8.0</v>
      </c>
      <c r="F2077" s="71" t="s">
        <v>2953</v>
      </c>
      <c r="G2077" s="66" t="s">
        <v>247</v>
      </c>
    </row>
    <row r="2078" ht="22.5" customHeight="1">
      <c r="A2078" s="66" t="s">
        <v>2954</v>
      </c>
      <c r="B2078" s="67" t="str">
        <f t="shared" si="11"/>
        <v>M: breaks</v>
      </c>
      <c r="C2078" s="66">
        <v>1.0</v>
      </c>
      <c r="D2078" s="68">
        <v>45957.0</v>
      </c>
      <c r="E2078" s="66">
        <v>9.0</v>
      </c>
      <c r="F2078" s="71" t="s">
        <v>2955</v>
      </c>
      <c r="G2078" s="66" t="s">
        <v>247</v>
      </c>
    </row>
    <row r="2079" ht="22.5" customHeight="1">
      <c r="A2079" s="66" t="s">
        <v>2956</v>
      </c>
      <c r="B2079" s="67" t="str">
        <f t="shared" si="11"/>
        <v>M: owned</v>
      </c>
      <c r="C2079" s="68"/>
      <c r="D2079" s="68">
        <v>45957.0</v>
      </c>
      <c r="E2079" s="66">
        <v>10.0</v>
      </c>
      <c r="F2079" s="71" t="s">
        <v>2957</v>
      </c>
      <c r="G2079" s="66" t="s">
        <v>247</v>
      </c>
    </row>
    <row r="2080" ht="22.5" customHeight="1">
      <c r="A2080" s="66" t="s">
        <v>2958</v>
      </c>
      <c r="B2080" s="67" t="str">
        <f t="shared" si="11"/>
        <v>M: demand</v>
      </c>
      <c r="C2080" s="66">
        <v>1.0</v>
      </c>
      <c r="D2080" s="68">
        <v>45957.0</v>
      </c>
      <c r="E2080" s="66">
        <v>1.0</v>
      </c>
      <c r="F2080" s="66" t="s">
        <v>2959</v>
      </c>
      <c r="G2080" s="66" t="s">
        <v>247</v>
      </c>
    </row>
    <row r="2081" ht="22.5" customHeight="1">
      <c r="A2081" s="66" t="s">
        <v>2960</v>
      </c>
      <c r="B2081" s="67" t="str">
        <f t="shared" si="11"/>
        <v>M: job</v>
      </c>
      <c r="C2081" s="66">
        <v>1.0</v>
      </c>
      <c r="D2081" s="68">
        <v>45957.0</v>
      </c>
      <c r="E2081" s="66">
        <v>2.0</v>
      </c>
      <c r="F2081" s="71" t="s">
        <v>2961</v>
      </c>
      <c r="G2081" s="66" t="s">
        <v>247</v>
      </c>
    </row>
    <row r="2082" ht="22.5" customHeight="1">
      <c r="A2082" s="66" t="s">
        <v>2962</v>
      </c>
      <c r="B2082" s="67" t="str">
        <f t="shared" si="11"/>
        <v>M: open-source</v>
      </c>
      <c r="C2082" s="68"/>
      <c r="D2082" s="68">
        <v>45958.0</v>
      </c>
      <c r="E2082" s="66">
        <v>3.0</v>
      </c>
      <c r="F2082" s="66" t="str">
        <f>IFERROR(__xludf.DUMMYFUNCTION("GOOGLETRANSLATE(A2082,""en"",""pt"")"),"código aberto")</f>
        <v>código aberto</v>
      </c>
      <c r="G2082" s="66" t="s">
        <v>2963</v>
      </c>
    </row>
    <row r="2083" ht="22.5" customHeight="1">
      <c r="A2083" s="66" t="s">
        <v>2964</v>
      </c>
      <c r="B2083" s="67" t="str">
        <f t="shared" si="11"/>
        <v>M: tens</v>
      </c>
      <c r="C2083" s="66">
        <v>1.0</v>
      </c>
      <c r="D2083" s="68">
        <v>45958.0</v>
      </c>
      <c r="E2083" s="66">
        <v>4.0</v>
      </c>
      <c r="F2083" s="66" t="s">
        <v>2965</v>
      </c>
      <c r="G2083" s="66" t="s">
        <v>247</v>
      </c>
    </row>
    <row r="2084" ht="22.5" customHeight="1">
      <c r="A2084" s="66" t="s">
        <v>2966</v>
      </c>
      <c r="B2084" s="67" t="str">
        <f t="shared" si="11"/>
        <v>M: permits</v>
      </c>
      <c r="C2084" s="66">
        <v>1.0</v>
      </c>
      <c r="D2084" s="68">
        <v>45958.0</v>
      </c>
      <c r="E2084" s="66">
        <v>5.0</v>
      </c>
      <c r="F2084" s="66" t="s">
        <v>2967</v>
      </c>
      <c r="G2084" s="66" t="s">
        <v>247</v>
      </c>
    </row>
    <row r="2085" ht="22.5" customHeight="1">
      <c r="A2085" s="66" t="s">
        <v>2968</v>
      </c>
      <c r="B2085" s="67" t="str">
        <f t="shared" si="11"/>
        <v>M: by the end</v>
      </c>
      <c r="C2085" s="66">
        <v>1.0</v>
      </c>
      <c r="D2085" s="68">
        <v>45958.0</v>
      </c>
      <c r="E2085" s="66">
        <v>6.0</v>
      </c>
      <c r="F2085" s="71" t="s">
        <v>2969</v>
      </c>
      <c r="G2085" s="66" t="s">
        <v>247</v>
      </c>
    </row>
    <row r="2086" ht="22.5" customHeight="1">
      <c r="A2086" s="66" t="s">
        <v>2970</v>
      </c>
      <c r="B2086" s="67" t="str">
        <f t="shared" si="11"/>
        <v>M: close to</v>
      </c>
      <c r="C2086" s="66">
        <v>1.0</v>
      </c>
      <c r="D2086" s="68">
        <v>45958.0</v>
      </c>
      <c r="E2086" s="66">
        <v>7.0</v>
      </c>
      <c r="F2086" s="66" t="s">
        <v>2971</v>
      </c>
      <c r="G2086" s="66" t="s">
        <v>247</v>
      </c>
    </row>
    <row r="2087" ht="22.5" customHeight="1">
      <c r="A2087" s="66" t="s">
        <v>2972</v>
      </c>
      <c r="B2087" s="67" t="str">
        <f t="shared" si="11"/>
        <v>M: prior</v>
      </c>
      <c r="C2087" s="66">
        <v>1.0</v>
      </c>
      <c r="D2087" s="68">
        <v>45958.0</v>
      </c>
      <c r="E2087" s="66">
        <v>8.0</v>
      </c>
      <c r="F2087" s="71" t="s">
        <v>2973</v>
      </c>
      <c r="G2087" s="66" t="s">
        <v>247</v>
      </c>
    </row>
    <row r="2088" ht="22.5" customHeight="1">
      <c r="A2088" s="66" t="s">
        <v>2974</v>
      </c>
      <c r="B2088" s="67" t="str">
        <f t="shared" si="11"/>
        <v>M: way back</v>
      </c>
      <c r="C2088" s="68"/>
      <c r="D2088" s="68">
        <v>45958.0</v>
      </c>
      <c r="E2088" s="66">
        <v>9.0</v>
      </c>
      <c r="F2088" s="66" t="str">
        <f>IFERROR(__xludf.DUMMYFUNCTION("GOOGLETRANSLATE(A2088,""en"",""pt"")"),"há muito tempo atrás")</f>
        <v>há muito tempo atrás</v>
      </c>
      <c r="G2088" s="66" t="s">
        <v>2975</v>
      </c>
    </row>
    <row r="2089" ht="22.5" customHeight="1">
      <c r="A2089" s="66" t="s">
        <v>2976</v>
      </c>
      <c r="B2089" s="67" t="str">
        <f t="shared" si="11"/>
        <v>M: and get this</v>
      </c>
      <c r="C2089" s="68"/>
      <c r="D2089" s="68">
        <v>45958.0</v>
      </c>
      <c r="E2089" s="66">
        <v>10.0</v>
      </c>
      <c r="F2089" s="66" t="str">
        <f>IFERROR(__xludf.DUMMYFUNCTION("GOOGLETRANSLATE(A2089,""en"",""pt"")"),"e entenda isso")</f>
        <v>e entenda isso</v>
      </c>
      <c r="G2089" s="66" t="s">
        <v>2977</v>
      </c>
    </row>
    <row r="2090" ht="22.5" customHeight="1">
      <c r="A2090" s="66" t="s">
        <v>2978</v>
      </c>
      <c r="B2090" s="67" t="str">
        <f t="shared" si="11"/>
        <v>M: pretty much</v>
      </c>
      <c r="C2090" s="68"/>
      <c r="D2090" s="68">
        <v>45958.0</v>
      </c>
      <c r="E2090" s="66">
        <v>1.0</v>
      </c>
      <c r="F2090" s="66" t="str">
        <f>IFERROR(__xludf.DUMMYFUNCTION("GOOGLETRANSLATE(A2090,""en"",""pt"")"),"praticamente")</f>
        <v>praticamente</v>
      </c>
      <c r="G2090" s="66" t="s">
        <v>2979</v>
      </c>
    </row>
    <row r="2091" ht="22.5" customHeight="1">
      <c r="A2091" s="66" t="s">
        <v>2980</v>
      </c>
      <c r="B2091" s="67" t="str">
        <f t="shared" si="11"/>
        <v>M: got it</v>
      </c>
      <c r="C2091" s="68"/>
      <c r="D2091" s="68">
        <v>45958.0</v>
      </c>
      <c r="E2091" s="66">
        <v>2.0</v>
      </c>
      <c r="F2091" s="66" t="str">
        <f>IFERROR(__xludf.DUMMYFUNCTION("GOOGLETRANSLATE(A2091,""en"",""pt"")"),"entendi")</f>
        <v>entendi</v>
      </c>
      <c r="G2091" s="66" t="s">
        <v>2981</v>
      </c>
    </row>
    <row r="2092" ht="22.5" customHeight="1">
      <c r="A2092" s="66" t="s">
        <v>2982</v>
      </c>
      <c r="B2092" s="67" t="str">
        <f t="shared" si="11"/>
        <v>M: address</v>
      </c>
      <c r="C2092" s="66">
        <v>1.0</v>
      </c>
      <c r="D2092" s="68">
        <v>45959.0</v>
      </c>
      <c r="E2092" s="66">
        <v>3.0</v>
      </c>
      <c r="F2092" s="66" t="s">
        <v>2983</v>
      </c>
      <c r="G2092" s="66" t="s">
        <v>247</v>
      </c>
    </row>
    <row r="2093" ht="22.5" customHeight="1">
      <c r="A2093" s="66" t="s">
        <v>2984</v>
      </c>
      <c r="B2093" s="67" t="str">
        <f t="shared" si="11"/>
        <v>M: checkout</v>
      </c>
      <c r="C2093" s="66">
        <v>1.0</v>
      </c>
      <c r="D2093" s="68">
        <v>45959.0</v>
      </c>
      <c r="E2093" s="66">
        <v>4.0</v>
      </c>
      <c r="F2093" s="66" t="s">
        <v>2985</v>
      </c>
      <c r="G2093" s="66" t="s">
        <v>247</v>
      </c>
    </row>
    <row r="2094" ht="22.5" customHeight="1">
      <c r="A2094" s="66" t="s">
        <v>2986</v>
      </c>
      <c r="B2094" s="67" t="str">
        <f t="shared" si="11"/>
        <v>M: breeze</v>
      </c>
      <c r="C2094" s="66">
        <v>1.0</v>
      </c>
      <c r="D2094" s="68">
        <v>45959.0</v>
      </c>
      <c r="E2094" s="66">
        <v>5.0</v>
      </c>
      <c r="F2094" s="66" t="s">
        <v>2987</v>
      </c>
      <c r="G2094" s="66" t="s">
        <v>247</v>
      </c>
    </row>
    <row r="2095" ht="22.5" customHeight="1">
      <c r="A2095" s="66" t="s">
        <v>2988</v>
      </c>
      <c r="B2095" s="67" t="str">
        <f t="shared" si="11"/>
        <v>M: demonstrate</v>
      </c>
      <c r="C2095" s="66">
        <v>1.0</v>
      </c>
      <c r="D2095" s="68">
        <v>45959.0</v>
      </c>
      <c r="E2095" s="66">
        <v>6.0</v>
      </c>
      <c r="F2095" s="71" t="s">
        <v>2989</v>
      </c>
      <c r="G2095" s="66" t="s">
        <v>247</v>
      </c>
    </row>
    <row r="2096" ht="22.5" customHeight="1">
      <c r="A2096" s="66" t="s">
        <v>2990</v>
      </c>
      <c r="B2096" s="67" t="str">
        <f t="shared" si="11"/>
        <v>M: managing</v>
      </c>
      <c r="C2096" s="68"/>
      <c r="D2096" s="68">
        <v>45959.0</v>
      </c>
      <c r="E2096" s="66">
        <v>7.0</v>
      </c>
      <c r="F2096" s="71" t="s">
        <v>2991</v>
      </c>
      <c r="G2096" s="66" t="s">
        <v>247</v>
      </c>
    </row>
    <row r="2097" ht="22.5" customHeight="1">
      <c r="A2097" s="66" t="s">
        <v>2992</v>
      </c>
      <c r="B2097" s="67" t="str">
        <f t="shared" si="11"/>
        <v>M: collections</v>
      </c>
      <c r="C2097" s="66">
        <v>1.0</v>
      </c>
      <c r="D2097" s="68">
        <v>45959.0</v>
      </c>
      <c r="E2097" s="66">
        <v>8.0</v>
      </c>
      <c r="F2097" s="66" t="s">
        <v>2993</v>
      </c>
      <c r="G2097" s="66" t="s">
        <v>247</v>
      </c>
    </row>
    <row r="2098" ht="22.5" customHeight="1">
      <c r="A2098" s="66" t="s">
        <v>2994</v>
      </c>
      <c r="B2098" s="67" t="str">
        <f t="shared" si="11"/>
        <v>M: uppercase</v>
      </c>
      <c r="C2098" s="66">
        <v>1.0</v>
      </c>
      <c r="D2098" s="68">
        <v>45959.0</v>
      </c>
      <c r="E2098" s="66">
        <v>9.0</v>
      </c>
      <c r="F2098" s="71" t="s">
        <v>2995</v>
      </c>
      <c r="G2098" s="66" t="s">
        <v>247</v>
      </c>
    </row>
    <row r="2099" ht="22.5" customHeight="1">
      <c r="A2099" s="66" t="s">
        <v>2996</v>
      </c>
      <c r="B2099" s="67" t="str">
        <f t="shared" si="11"/>
        <v>M: letter</v>
      </c>
      <c r="C2099" s="66">
        <v>1.0</v>
      </c>
      <c r="D2099" s="68">
        <v>45959.0</v>
      </c>
      <c r="E2099" s="66">
        <v>10.0</v>
      </c>
      <c r="F2099" s="66" t="s">
        <v>2997</v>
      </c>
      <c r="G2099" s="66" t="s">
        <v>247</v>
      </c>
    </row>
    <row r="2100" ht="22.5" customHeight="1">
      <c r="A2100" s="66" t="s">
        <v>2998</v>
      </c>
      <c r="B2100" s="67" t="str">
        <f t="shared" si="11"/>
        <v>M: leather</v>
      </c>
      <c r="C2100" s="68"/>
      <c r="D2100" s="68">
        <v>45959.0</v>
      </c>
      <c r="E2100" s="66">
        <v>1.0</v>
      </c>
      <c r="F2100" s="66" t="str">
        <f>IFERROR(__xludf.DUMMYFUNCTION("GOOGLETRANSLATE(A2100,""en"",""pt"")"),"couro")</f>
        <v>couro</v>
      </c>
      <c r="G2100" s="66" t="s">
        <v>2999</v>
      </c>
    </row>
    <row r="2101" ht="22.5" customHeight="1">
      <c r="A2101" s="66" t="s">
        <v>3000</v>
      </c>
      <c r="B2101" s="67" t="str">
        <f t="shared" si="11"/>
        <v>M: named</v>
      </c>
      <c r="C2101" s="66">
        <v>1.0</v>
      </c>
      <c r="D2101" s="68">
        <v>45959.0</v>
      </c>
      <c r="E2101" s="66">
        <v>2.0</v>
      </c>
      <c r="F2101" s="66" t="s">
        <v>3001</v>
      </c>
      <c r="G2101" s="66" t="s">
        <v>247</v>
      </c>
    </row>
    <row r="2102" ht="22.5" customHeight="1">
      <c r="A2102" s="66" t="s">
        <v>3002</v>
      </c>
      <c r="B2102" s="67" t="str">
        <f t="shared" si="11"/>
        <v>M: main</v>
      </c>
      <c r="C2102" s="66">
        <v>1.0</v>
      </c>
      <c r="D2102" s="68">
        <v>45960.0</v>
      </c>
      <c r="E2102" s="66">
        <v>3.0</v>
      </c>
      <c r="F2102" s="66" t="s">
        <v>3003</v>
      </c>
      <c r="G2102" s="66" t="s">
        <v>247</v>
      </c>
    </row>
    <row r="2103" ht="22.5" customHeight="1">
      <c r="A2103" s="66" t="s">
        <v>3004</v>
      </c>
      <c r="B2103" s="67" t="str">
        <f t="shared" si="11"/>
        <v>M: sensitive</v>
      </c>
      <c r="C2103" s="66">
        <v>1.0</v>
      </c>
      <c r="D2103" s="68">
        <v>45960.0</v>
      </c>
      <c r="E2103" s="66">
        <v>4.0</v>
      </c>
      <c r="F2103" s="66" t="s">
        <v>3005</v>
      </c>
      <c r="G2103" s="66" t="s">
        <v>247</v>
      </c>
    </row>
    <row r="2104" ht="22.5" customHeight="1">
      <c r="A2104" s="72" t="s">
        <v>3006</v>
      </c>
      <c r="B2104" s="67" t="str">
        <f t="shared" si="11"/>
        <v>M: into</v>
      </c>
      <c r="C2104" s="68"/>
      <c r="D2104" s="68">
        <v>45960.0</v>
      </c>
      <c r="E2104" s="66">
        <v>5.0</v>
      </c>
      <c r="F2104" s="66" t="str">
        <f>IFERROR(__xludf.DUMMYFUNCTION("GOOGLETRANSLATE(A2104,""en"",""pt"")"),"em")</f>
        <v>em</v>
      </c>
    </row>
    <row r="2105" ht="22.5" customHeight="1">
      <c r="A2105" s="66" t="s">
        <v>3007</v>
      </c>
      <c r="B2105" s="67" t="str">
        <f t="shared" si="11"/>
        <v>M: starting</v>
      </c>
      <c r="C2105" s="68"/>
      <c r="D2105" s="68">
        <v>45960.0</v>
      </c>
      <c r="E2105" s="66">
        <v>6.0</v>
      </c>
      <c r="F2105" s="66" t="str">
        <f>IFERROR(__xludf.DUMMYFUNCTION("GOOGLETRANSLATE(A2105,""en"",""pt"")"),"começando")</f>
        <v>começando</v>
      </c>
      <c r="G2105" s="66" t="s">
        <v>3008</v>
      </c>
    </row>
    <row r="2106" ht="22.5" customHeight="1">
      <c r="A2106" s="66" t="s">
        <v>3009</v>
      </c>
      <c r="B2106" s="67" t="str">
        <f t="shared" si="11"/>
        <v>M: point</v>
      </c>
      <c r="C2106" s="68"/>
      <c r="D2106" s="68">
        <v>45960.0</v>
      </c>
      <c r="E2106" s="66">
        <v>7.0</v>
      </c>
      <c r="F2106" s="66" t="str">
        <f>IFERROR(__xludf.DUMMYFUNCTION("GOOGLETRANSLATE(A2106,""en"",""pt"")"),"apontar")</f>
        <v>apontar</v>
      </c>
    </row>
    <row r="2107" ht="22.5" customHeight="1">
      <c r="A2107" s="66" t="s">
        <v>3010</v>
      </c>
      <c r="B2107" s="67" t="str">
        <f t="shared" si="11"/>
        <v>M: built-in</v>
      </c>
      <c r="C2107" s="68"/>
      <c r="D2107" s="68">
        <v>45960.0</v>
      </c>
      <c r="E2107" s="66">
        <v>8.0</v>
      </c>
      <c r="F2107" s="66" t="str">
        <f>IFERROR(__xludf.DUMMYFUNCTION("GOOGLETRANSLATE(A2107,""en"",""pt"")"),"embutido")</f>
        <v>embutido</v>
      </c>
      <c r="G2107" s="66" t="s">
        <v>3011</v>
      </c>
    </row>
    <row r="2108" ht="22.5" customHeight="1">
      <c r="A2108" s="66" t="s">
        <v>3012</v>
      </c>
      <c r="B2108" s="67" t="str">
        <f t="shared" si="11"/>
        <v>M: curly braces</v>
      </c>
      <c r="C2108" s="68"/>
      <c r="D2108" s="68">
        <v>45960.0</v>
      </c>
      <c r="E2108" s="66">
        <v>9.0</v>
      </c>
      <c r="F2108" s="66" t="str">
        <f>IFERROR(__xludf.DUMMYFUNCTION("GOOGLETRANSLATE(A2108,""en"",""pt"")"),"chaves")</f>
        <v>chaves</v>
      </c>
      <c r="G2108" s="66" t="s">
        <v>3013</v>
      </c>
    </row>
    <row r="2109" ht="22.5" customHeight="1">
      <c r="A2109" s="66" t="s">
        <v>3014</v>
      </c>
      <c r="B2109" s="67" t="str">
        <f t="shared" si="11"/>
        <v>M: statement</v>
      </c>
      <c r="C2109" s="66">
        <v>1.0</v>
      </c>
      <c r="D2109" s="68">
        <v>45960.0</v>
      </c>
      <c r="E2109" s="66">
        <v>10.0</v>
      </c>
      <c r="F2109" s="66" t="s">
        <v>3015</v>
      </c>
      <c r="G2109" s="66" t="s">
        <v>3016</v>
      </c>
    </row>
    <row r="2110" ht="22.5" customHeight="1">
      <c r="A2110" s="66" t="s">
        <v>3017</v>
      </c>
      <c r="B2110" s="67" t="str">
        <f t="shared" si="11"/>
        <v>M: semicolon</v>
      </c>
      <c r="C2110" s="66">
        <v>1.0</v>
      </c>
      <c r="D2110" s="68">
        <v>45960.0</v>
      </c>
      <c r="E2110" s="66">
        <v>1.0</v>
      </c>
      <c r="F2110" s="66" t="s">
        <v>3018</v>
      </c>
      <c r="G2110" s="66" t="s">
        <v>247</v>
      </c>
    </row>
    <row r="2111" ht="22.5" customHeight="1">
      <c r="A2111" s="66" t="s">
        <v>3019</v>
      </c>
      <c r="B2111" s="67" t="str">
        <f t="shared" si="11"/>
        <v>M: colon</v>
      </c>
      <c r="C2111" s="66">
        <v>1.0</v>
      </c>
      <c r="D2111" s="68">
        <v>45960.0</v>
      </c>
      <c r="E2111" s="66">
        <v>2.0</v>
      </c>
      <c r="F2111" s="66" t="s">
        <v>3020</v>
      </c>
      <c r="G2111" s="66" t="s">
        <v>247</v>
      </c>
    </row>
    <row r="2112" ht="22.5" customHeight="1">
      <c r="A2112" s="66" t="s">
        <v>3021</v>
      </c>
      <c r="B2112" s="67" t="str">
        <f t="shared" si="11"/>
        <v>M: syntax</v>
      </c>
      <c r="C2112" s="66">
        <v>1.0</v>
      </c>
      <c r="D2112" s="68">
        <v>45961.0</v>
      </c>
      <c r="E2112" s="66">
        <v>3.0</v>
      </c>
      <c r="F2112" s="66" t="s">
        <v>3022</v>
      </c>
      <c r="G2112" s="66" t="s">
        <v>247</v>
      </c>
    </row>
    <row r="2113" ht="22.5" customHeight="1">
      <c r="A2113" s="66" t="s">
        <v>3023</v>
      </c>
      <c r="B2113" s="67" t="str">
        <f t="shared" si="11"/>
        <v>M: compiler</v>
      </c>
      <c r="C2113" s="66">
        <v>1.0</v>
      </c>
      <c r="D2113" s="68">
        <v>45961.0</v>
      </c>
      <c r="E2113" s="66">
        <v>4.0</v>
      </c>
      <c r="F2113" s="71" t="s">
        <v>3024</v>
      </c>
      <c r="G2113" s="66" t="s">
        <v>247</v>
      </c>
    </row>
    <row r="2114" ht="22.5" customHeight="1">
      <c r="A2114" s="66" t="s">
        <v>3025</v>
      </c>
      <c r="B2114" s="67" t="str">
        <f t="shared" si="11"/>
        <v>M: expected</v>
      </c>
      <c r="C2114" s="66">
        <v>1.0</v>
      </c>
      <c r="D2114" s="68">
        <v>45961.0</v>
      </c>
      <c r="E2114" s="66">
        <v>5.0</v>
      </c>
      <c r="F2114" s="66" t="s">
        <v>3026</v>
      </c>
      <c r="G2114" s="66" t="s">
        <v>247</v>
      </c>
    </row>
    <row r="2115" ht="22.5" customHeight="1">
      <c r="A2115" s="66" t="s">
        <v>3027</v>
      </c>
      <c r="B2115" s="67" t="str">
        <f t="shared" si="11"/>
        <v>M: one by one</v>
      </c>
      <c r="C2115" s="68"/>
      <c r="D2115" s="68">
        <v>45961.0</v>
      </c>
      <c r="E2115" s="66">
        <v>6.0</v>
      </c>
      <c r="F2115" s="66" t="str">
        <f>IFERROR(__xludf.DUMMYFUNCTION("GOOGLETRANSLATE(A2115,""en"",""pt"")"),"um por um")</f>
        <v>um por um</v>
      </c>
      <c r="G2115" s="66" t="s">
        <v>3028</v>
      </c>
    </row>
    <row r="2116" ht="22.5" customHeight="1">
      <c r="A2116" s="66" t="s">
        <v>3029</v>
      </c>
      <c r="B2116" s="67" t="str">
        <f t="shared" si="11"/>
        <v>M: executed</v>
      </c>
      <c r="C2116" s="66">
        <v>1.0</v>
      </c>
      <c r="D2116" s="68">
        <v>45961.0</v>
      </c>
      <c r="E2116" s="66">
        <v>7.0</v>
      </c>
      <c r="F2116" s="66" t="s">
        <v>3030</v>
      </c>
      <c r="G2116" s="66" t="s">
        <v>247</v>
      </c>
    </row>
    <row r="2117" ht="22.5" customHeight="1">
      <c r="A2117" s="66" t="s">
        <v>3031</v>
      </c>
      <c r="B2117" s="67" t="str">
        <f t="shared" si="11"/>
        <v>M: as you</v>
      </c>
      <c r="C2117" s="68"/>
      <c r="D2117" s="68">
        <v>45961.0</v>
      </c>
      <c r="E2117" s="66">
        <v>8.0</v>
      </c>
      <c r="F2117" s="66" t="str">
        <f>IFERROR(__xludf.DUMMYFUNCTION("GOOGLETRANSLATE(A2117,""en"",""pt"")"),"como você")</f>
        <v>como você</v>
      </c>
      <c r="G2117" s="66" t="s">
        <v>3032</v>
      </c>
    </row>
    <row r="2118" ht="22.5" customHeight="1">
      <c r="A2118" s="66" t="s">
        <v>3033</v>
      </c>
      <c r="B2118" s="67" t="str">
        <f t="shared" si="11"/>
        <v>M: quotes</v>
      </c>
      <c r="C2118" s="66">
        <v>1.0</v>
      </c>
      <c r="D2118" s="68">
        <v>45961.0</v>
      </c>
      <c r="E2118" s="66">
        <v>9.0</v>
      </c>
      <c r="F2118" s="66" t="s">
        <v>3034</v>
      </c>
      <c r="G2118" s="66" t="s">
        <v>247</v>
      </c>
    </row>
    <row r="2119" ht="22.5" customHeight="1">
      <c r="A2119" s="66" t="s">
        <v>3035</v>
      </c>
      <c r="B2119" s="67" t="str">
        <f t="shared" si="11"/>
        <v>M: wrapped</v>
      </c>
      <c r="C2119" s="66">
        <v>1.0</v>
      </c>
      <c r="D2119" s="68">
        <v>45961.0</v>
      </c>
      <c r="E2119" s="66">
        <v>10.0</v>
      </c>
      <c r="F2119" s="71" t="s">
        <v>3034</v>
      </c>
      <c r="G2119" s="66" t="s">
        <v>247</v>
      </c>
    </row>
    <row r="2120" ht="22.5" customHeight="1">
      <c r="A2120" s="66" t="s">
        <v>3036</v>
      </c>
      <c r="B2120" s="67" t="str">
        <f t="shared" si="11"/>
        <v>M: sentence</v>
      </c>
      <c r="C2120" s="66">
        <v>1.0</v>
      </c>
      <c r="D2120" s="68">
        <v>45961.0</v>
      </c>
      <c r="E2120" s="66">
        <v>1.0</v>
      </c>
      <c r="F2120" s="66" t="s">
        <v>3037</v>
      </c>
      <c r="G2120" s="66" t="s">
        <v>247</v>
      </c>
    </row>
    <row r="2121" ht="22.5" customHeight="1">
      <c r="A2121" s="66" t="s">
        <v>3038</v>
      </c>
      <c r="B2121" s="67" t="str">
        <f t="shared" si="11"/>
        <v>M: insert</v>
      </c>
      <c r="C2121" s="66">
        <v>1.0</v>
      </c>
      <c r="D2121" s="68">
        <v>45961.0</v>
      </c>
      <c r="E2121" s="66">
        <v>2.0</v>
      </c>
      <c r="F2121" s="71" t="s">
        <v>3039</v>
      </c>
      <c r="G2121" s="66" t="s">
        <v>247</v>
      </c>
    </row>
    <row r="2122" ht="22.5" customHeight="1">
      <c r="A2122" s="66" t="s">
        <v>3040</v>
      </c>
      <c r="B2122" s="67" t="str">
        <f t="shared" si="11"/>
        <v>M: readability</v>
      </c>
      <c r="C2122" s="66">
        <v>1.0</v>
      </c>
      <c r="D2122" s="68">
        <v>45962.0</v>
      </c>
      <c r="E2122" s="66">
        <v>3.0</v>
      </c>
      <c r="F2122" s="71" t="s">
        <v>3041</v>
      </c>
      <c r="G2122" s="66" t="s">
        <v>247</v>
      </c>
    </row>
    <row r="2123" ht="22.5" customHeight="1">
      <c r="A2123" s="66" t="s">
        <v>3042</v>
      </c>
      <c r="B2123" s="67" t="str">
        <f t="shared" si="11"/>
        <v>M: unlike</v>
      </c>
      <c r="C2123" s="66">
        <v>1.0</v>
      </c>
      <c r="D2123" s="68">
        <v>45962.0</v>
      </c>
      <c r="E2123" s="66">
        <v>4.0</v>
      </c>
      <c r="F2123" s="66" t="s">
        <v>3043</v>
      </c>
      <c r="G2123" s="66" t="s">
        <v>247</v>
      </c>
    </row>
    <row r="2124" ht="22.5" customHeight="1">
      <c r="A2124" s="66" t="s">
        <v>3044</v>
      </c>
      <c r="B2124" s="67" t="str">
        <f t="shared" si="11"/>
        <v>M: calculations</v>
      </c>
      <c r="C2124" s="66">
        <v>1.0</v>
      </c>
      <c r="D2124" s="68">
        <v>45962.0</v>
      </c>
      <c r="E2124" s="66">
        <v>5.0</v>
      </c>
      <c r="F2124" s="71" t="s">
        <v>3045</v>
      </c>
      <c r="G2124" s="66" t="s">
        <v>247</v>
      </c>
    </row>
    <row r="2125" ht="22.5" customHeight="1">
      <c r="A2125" s="66" t="s">
        <v>3046</v>
      </c>
      <c r="B2125" s="67" t="str">
        <f t="shared" si="11"/>
        <v>M: comments</v>
      </c>
      <c r="C2125" s="66">
        <v>1.0</v>
      </c>
      <c r="D2125" s="68">
        <v>45962.0</v>
      </c>
      <c r="E2125" s="66">
        <v>6.0</v>
      </c>
      <c r="F2125" s="66" t="s">
        <v>3047</v>
      </c>
      <c r="G2125" s="66" t="s">
        <v>247</v>
      </c>
    </row>
    <row r="2126" ht="22.5" customHeight="1">
      <c r="A2126" s="66" t="s">
        <v>3048</v>
      </c>
      <c r="B2126" s="67" t="str">
        <f t="shared" si="11"/>
        <v>M: slashes</v>
      </c>
      <c r="C2126" s="66">
        <v>1.0</v>
      </c>
      <c r="D2126" s="68">
        <v>45962.0</v>
      </c>
      <c r="E2126" s="66">
        <v>7.0</v>
      </c>
      <c r="F2126" s="71" t="s">
        <v>3049</v>
      </c>
      <c r="G2126" s="66" t="s">
        <v>247</v>
      </c>
    </row>
    <row r="2127" ht="22.5" customHeight="1">
      <c r="A2127" s="66" t="s">
        <v>3050</v>
      </c>
      <c r="B2127" s="67" t="str">
        <f t="shared" si="11"/>
        <v>M: amazing</v>
      </c>
      <c r="C2127" s="66">
        <v>1.0</v>
      </c>
      <c r="D2127" s="68">
        <v>45962.0</v>
      </c>
      <c r="E2127" s="66">
        <v>8.0</v>
      </c>
      <c r="F2127" s="71" t="s">
        <v>3051</v>
      </c>
      <c r="G2127" s="66" t="s">
        <v>247</v>
      </c>
    </row>
    <row r="2128" ht="22.5" customHeight="1">
      <c r="A2128" s="66" t="s">
        <v>3052</v>
      </c>
      <c r="B2128" s="67" t="str">
        <f t="shared" si="11"/>
        <v>M: drag</v>
      </c>
      <c r="C2128" s="66">
        <v>1.0</v>
      </c>
      <c r="D2128" s="68">
        <v>45962.0</v>
      </c>
      <c r="E2128" s="66">
        <v>9.0</v>
      </c>
      <c r="F2128" s="71" t="s">
        <v>3053</v>
      </c>
      <c r="G2128" s="66" t="s">
        <v>247</v>
      </c>
    </row>
    <row r="2129" ht="22.5" customHeight="1">
      <c r="A2129" s="66" t="s">
        <v>3054</v>
      </c>
      <c r="B2129" s="67" t="str">
        <f t="shared" si="11"/>
        <v>M: containers</v>
      </c>
      <c r="C2129" s="66">
        <v>1.0</v>
      </c>
      <c r="D2129" s="68">
        <v>45962.0</v>
      </c>
      <c r="E2129" s="66">
        <v>10.0</v>
      </c>
      <c r="F2129" s="66" t="s">
        <v>3055</v>
      </c>
      <c r="G2129" s="66" t="s">
        <v>247</v>
      </c>
    </row>
    <row r="2130" ht="22.5" customHeight="1">
      <c r="A2130" s="66" t="s">
        <v>3056</v>
      </c>
      <c r="B2130" s="67" t="str">
        <f t="shared" si="11"/>
        <v>M: storing</v>
      </c>
      <c r="C2130" s="66">
        <v>1.0</v>
      </c>
      <c r="D2130" s="68">
        <v>45962.0</v>
      </c>
      <c r="E2130" s="66">
        <v>1.0</v>
      </c>
      <c r="F2130" s="66" t="s">
        <v>3057</v>
      </c>
      <c r="G2130" s="66" t="s">
        <v>247</v>
      </c>
    </row>
    <row r="2131" ht="22.5" customHeight="1">
      <c r="A2131" s="66" t="s">
        <v>3058</v>
      </c>
      <c r="B2131" s="67" t="str">
        <f t="shared" si="11"/>
        <v>M: types</v>
      </c>
      <c r="C2131" s="66">
        <v>1.0</v>
      </c>
      <c r="D2131" s="68">
        <v>45962.0</v>
      </c>
      <c r="E2131" s="66">
        <v>2.0</v>
      </c>
      <c r="F2131" s="71" t="s">
        <v>3059</v>
      </c>
      <c r="G2131" s="66" t="s">
        <v>247</v>
      </c>
    </row>
    <row r="2132" ht="22.5" customHeight="1">
      <c r="A2132" s="66" t="s">
        <v>3060</v>
      </c>
      <c r="B2132" s="67" t="str">
        <f t="shared" si="11"/>
        <v>M: surrounded</v>
      </c>
      <c r="C2132" s="66">
        <v>1.0</v>
      </c>
      <c r="D2132" s="68">
        <v>45963.0</v>
      </c>
      <c r="E2132" s="66">
        <v>3.0</v>
      </c>
      <c r="F2132" s="71" t="s">
        <v>3061</v>
      </c>
      <c r="G2132" s="66" t="s">
        <v>247</v>
      </c>
    </row>
    <row r="2133" ht="22.5" customHeight="1">
      <c r="A2133" s="66" t="s">
        <v>3062</v>
      </c>
      <c r="B2133" s="67" t="str">
        <f t="shared" si="11"/>
        <v>M: stores</v>
      </c>
      <c r="C2133" s="66">
        <v>1.0</v>
      </c>
      <c r="D2133" s="68">
        <v>45963.0</v>
      </c>
      <c r="E2133" s="66">
        <v>4.0</v>
      </c>
      <c r="F2133" s="66" t="s">
        <v>3063</v>
      </c>
      <c r="G2133" s="66" t="s">
        <v>247</v>
      </c>
    </row>
    <row r="2134" ht="22.5" customHeight="1">
      <c r="A2134" s="66" t="s">
        <v>3064</v>
      </c>
      <c r="B2134" s="67" t="str">
        <f t="shared" si="11"/>
        <v>M: integers</v>
      </c>
      <c r="C2134" s="68"/>
      <c r="D2134" s="68">
        <v>45963.0</v>
      </c>
      <c r="E2134" s="66">
        <v>5.0</v>
      </c>
      <c r="F2134" s="66" t="str">
        <f>IFERROR(__xludf.DUMMYFUNCTION("GOOGLETRANSLATE(A2134,""en"",""pt"")"),"números inteiros")</f>
        <v>números inteiros</v>
      </c>
      <c r="G2134" s="66" t="s">
        <v>3065</v>
      </c>
    </row>
    <row r="2135" ht="22.5" customHeight="1">
      <c r="A2135" s="66" t="s">
        <v>3066</v>
      </c>
      <c r="B2135" s="67" t="str">
        <f t="shared" si="11"/>
        <v>M: floating</v>
      </c>
      <c r="C2135" s="66">
        <v>1.0</v>
      </c>
      <c r="D2135" s="68">
        <v>45963.0</v>
      </c>
      <c r="E2135" s="66">
        <v>6.0</v>
      </c>
      <c r="F2135" s="66" t="s">
        <v>3067</v>
      </c>
      <c r="G2135" s="66" t="s">
        <v>247</v>
      </c>
    </row>
    <row r="2136" ht="22.5" customHeight="1">
      <c r="A2136" s="66" t="s">
        <v>3068</v>
      </c>
      <c r="B2136" s="67" t="str">
        <f t="shared" si="11"/>
        <v>M: characters</v>
      </c>
      <c r="C2136" s="66">
        <v>1.0</v>
      </c>
      <c r="D2136" s="68">
        <v>45963.0</v>
      </c>
      <c r="E2136" s="66">
        <v>7.0</v>
      </c>
      <c r="F2136" s="71" t="s">
        <v>3069</v>
      </c>
      <c r="G2136" s="66" t="s">
        <v>247</v>
      </c>
    </row>
    <row r="2137" ht="22.5" customHeight="1">
      <c r="A2137" s="66" t="s">
        <v>3070</v>
      </c>
      <c r="B2137" s="67" t="str">
        <f t="shared" si="11"/>
        <v>M: decimals</v>
      </c>
      <c r="C2137" s="66">
        <v>1.0</v>
      </c>
      <c r="D2137" s="68">
        <v>45963.0</v>
      </c>
      <c r="E2137" s="66">
        <v>8.0</v>
      </c>
      <c r="F2137" s="66" t="s">
        <v>3071</v>
      </c>
      <c r="G2137" s="66" t="s">
        <v>247</v>
      </c>
    </row>
    <row r="2138" ht="22.5" customHeight="1">
      <c r="A2138" s="66" t="s">
        <v>3072</v>
      </c>
      <c r="B2138" s="67" t="str">
        <f t="shared" si="11"/>
        <v>M: such as</v>
      </c>
      <c r="C2138" s="66">
        <v>1.0</v>
      </c>
      <c r="D2138" s="68">
        <v>45963.0</v>
      </c>
      <c r="E2138" s="66">
        <v>9.0</v>
      </c>
      <c r="F2138" s="71" t="s">
        <v>3073</v>
      </c>
      <c r="G2138" s="66" t="s">
        <v>247</v>
      </c>
    </row>
    <row r="2139" ht="22.5" customHeight="1">
      <c r="A2139" s="66" t="s">
        <v>3074</v>
      </c>
      <c r="B2139" s="67" t="str">
        <f t="shared" si="11"/>
        <v>M: bolean</v>
      </c>
      <c r="C2139" s="68"/>
      <c r="D2139" s="68">
        <v>45963.0</v>
      </c>
      <c r="E2139" s="66">
        <v>10.0</v>
      </c>
      <c r="F2139" s="66" t="str">
        <f>IFERROR(__xludf.DUMMYFUNCTION("GOOGLETRANSLATE(A2139,""en"",""pt"")"),"bolean")</f>
        <v>bolean</v>
      </c>
      <c r="G2139" s="66" t="s">
        <v>3075</v>
      </c>
    </row>
    <row r="2140" ht="22.5" customHeight="1">
      <c r="A2140" s="66" t="s">
        <v>3076</v>
      </c>
      <c r="B2140" s="67" t="str">
        <f t="shared" si="11"/>
        <v>M: declaring</v>
      </c>
      <c r="C2140" s="66">
        <v>1.0</v>
      </c>
      <c r="D2140" s="68">
        <v>45963.0</v>
      </c>
      <c r="E2140" s="66">
        <v>1.0</v>
      </c>
      <c r="F2140" s="66" t="s">
        <v>3077</v>
      </c>
      <c r="G2140" s="66" t="s">
        <v>247</v>
      </c>
    </row>
    <row r="2141" ht="22.5" customHeight="1">
      <c r="A2141" s="66" t="s">
        <v>3078</v>
      </c>
      <c r="B2141" s="67" t="str">
        <f t="shared" si="11"/>
        <v>M: choose</v>
      </c>
      <c r="C2141" s="66">
        <v>1.0</v>
      </c>
      <c r="D2141" s="68">
        <v>45963.0</v>
      </c>
      <c r="E2141" s="66">
        <v>2.0</v>
      </c>
      <c r="F2141" s="71" t="s">
        <v>3079</v>
      </c>
      <c r="G2141" s="66" t="s">
        <v>247</v>
      </c>
    </row>
    <row r="2142" ht="22.5" customHeight="1">
      <c r="A2142" s="66" t="s">
        <v>3080</v>
      </c>
      <c r="B2142" s="67" t="str">
        <f t="shared" si="11"/>
        <v>M: optionally</v>
      </c>
      <c r="C2142" s="68"/>
      <c r="D2142" s="68">
        <v>45964.0</v>
      </c>
      <c r="E2142" s="66">
        <v>3.0</v>
      </c>
      <c r="F2142" s="66" t="str">
        <f>IFERROR(__xludf.DUMMYFUNCTION("GOOGLETRANSLATE(A2142,""en"",""pt"")"),"opcionalmente")</f>
        <v>opcionalmente</v>
      </c>
      <c r="G2142" s="66" t="s">
        <v>3081</v>
      </c>
    </row>
    <row r="2143" ht="22.5" customHeight="1">
      <c r="A2143" s="66" t="s">
        <v>3082</v>
      </c>
      <c r="B2143" s="67" t="str">
        <f t="shared" si="11"/>
        <v>M: assign</v>
      </c>
      <c r="C2143" s="66">
        <v>1.0</v>
      </c>
      <c r="D2143" s="68">
        <v>45964.0</v>
      </c>
      <c r="E2143" s="66">
        <v>4.0</v>
      </c>
      <c r="F2143" s="66" t="s">
        <v>3083</v>
      </c>
      <c r="G2143" s="66" t="s">
        <v>247</v>
      </c>
    </row>
    <row r="2144" ht="22.5" customHeight="1">
      <c r="A2144" s="66" t="s">
        <v>3084</v>
      </c>
      <c r="B2144" s="67" t="str">
        <f t="shared" si="11"/>
        <v>M: overwrite</v>
      </c>
      <c r="C2144" s="66">
        <v>1.0</v>
      </c>
      <c r="D2144" s="68">
        <v>45964.0</v>
      </c>
      <c r="E2144" s="66">
        <v>5.0</v>
      </c>
      <c r="F2144" s="71" t="s">
        <v>3085</v>
      </c>
      <c r="G2144" s="66" t="s">
        <v>247</v>
      </c>
    </row>
    <row r="2145" ht="22.5" customHeight="1">
      <c r="A2145" s="66" t="s">
        <v>3086</v>
      </c>
      <c r="B2145" s="67" t="str">
        <f t="shared" si="11"/>
        <v>M: previous</v>
      </c>
      <c r="C2145" s="66">
        <v>1.0</v>
      </c>
      <c r="D2145" s="68">
        <v>45964.0</v>
      </c>
      <c r="E2145" s="66">
        <v>6.0</v>
      </c>
      <c r="F2145" s="71" t="s">
        <v>3087</v>
      </c>
      <c r="G2145" s="66" t="s">
        <v>247</v>
      </c>
    </row>
    <row r="2146" ht="22.5" customHeight="1">
      <c r="A2146" s="66" t="s">
        <v>3088</v>
      </c>
      <c r="B2146" s="67" t="str">
        <f t="shared" si="11"/>
        <v>M: keyword</v>
      </c>
      <c r="C2146" s="66">
        <v>1.0</v>
      </c>
      <c r="D2146" s="68">
        <v>45964.0</v>
      </c>
      <c r="E2146" s="66">
        <v>7.0</v>
      </c>
      <c r="F2146" s="66" t="s">
        <v>3089</v>
      </c>
      <c r="G2146" s="66" t="s">
        <v>247</v>
      </c>
    </row>
    <row r="2147" ht="22.5" customHeight="1">
      <c r="A2147" s="66" t="s">
        <v>3090</v>
      </c>
      <c r="B2147" s="67" t="str">
        <f t="shared" si="11"/>
        <v>M: constant</v>
      </c>
      <c r="C2147" s="66">
        <v>1.0</v>
      </c>
      <c r="D2147" s="68">
        <v>45964.0</v>
      </c>
      <c r="E2147" s="66">
        <v>8.0</v>
      </c>
      <c r="F2147" s="66" t="s">
        <v>3091</v>
      </c>
      <c r="G2147" s="66" t="s">
        <v>247</v>
      </c>
    </row>
    <row r="2148" ht="22.5" customHeight="1">
      <c r="A2148" s="66" t="s">
        <v>3092</v>
      </c>
      <c r="B2148" s="67" t="str">
        <f t="shared" si="11"/>
        <v>M: unchangeable</v>
      </c>
      <c r="C2148" s="66">
        <v>1.0</v>
      </c>
      <c r="D2148" s="68">
        <v>45964.0</v>
      </c>
      <c r="E2148" s="66">
        <v>9.0</v>
      </c>
      <c r="F2148" s="66" t="s">
        <v>3093</v>
      </c>
      <c r="G2148" s="66" t="s">
        <v>247</v>
      </c>
    </row>
    <row r="2149" ht="22.5" customHeight="1">
      <c r="A2149" s="66" t="s">
        <v>3094</v>
      </c>
      <c r="B2149" s="67" t="str">
        <f t="shared" si="11"/>
        <v>M: mixing</v>
      </c>
      <c r="C2149" s="66">
        <v>1.0</v>
      </c>
      <c r="D2149" s="68">
        <v>45964.0</v>
      </c>
      <c r="E2149" s="66">
        <v>10.0</v>
      </c>
      <c r="F2149" s="66" t="s">
        <v>3095</v>
      </c>
      <c r="G2149" s="66" t="s">
        <v>247</v>
      </c>
    </row>
    <row r="2150" ht="22.5" customHeight="1">
      <c r="A2150" s="66" t="s">
        <v>3096</v>
      </c>
      <c r="B2150" s="67" t="str">
        <f t="shared" si="11"/>
        <v>M: output</v>
      </c>
      <c r="C2150" s="66">
        <v>1.0</v>
      </c>
      <c r="D2150" s="68">
        <v>45964.0</v>
      </c>
      <c r="E2150" s="66">
        <v>1.0</v>
      </c>
      <c r="F2150" s="66" t="s">
        <v>3097</v>
      </c>
      <c r="G2150" s="66" t="s">
        <v>247</v>
      </c>
    </row>
    <row r="2151" ht="22.5" customHeight="1">
      <c r="A2151" s="66" t="s">
        <v>3098</v>
      </c>
      <c r="B2151" s="67" t="str">
        <f t="shared" si="11"/>
        <v>M: input</v>
      </c>
      <c r="C2151" s="66">
        <v>1.0</v>
      </c>
      <c r="D2151" s="68">
        <v>45964.0</v>
      </c>
      <c r="E2151" s="66">
        <v>2.0</v>
      </c>
      <c r="F2151" s="66" t="s">
        <v>3099</v>
      </c>
      <c r="G2151" s="66" t="s">
        <v>247</v>
      </c>
    </row>
    <row r="2152" ht="22.5" customHeight="1">
      <c r="A2152" s="66" t="s">
        <v>3100</v>
      </c>
      <c r="B2152" s="67" t="str">
        <f t="shared" si="11"/>
        <v>M: shorter</v>
      </c>
      <c r="C2152" s="66">
        <v>1.0</v>
      </c>
      <c r="D2152" s="68">
        <v>45965.0</v>
      </c>
      <c r="E2152" s="66">
        <v>3.0</v>
      </c>
      <c r="F2152" s="66" t="s">
        <v>3101</v>
      </c>
      <c r="G2152" s="66" t="s">
        <v>247</v>
      </c>
    </row>
    <row r="2153" ht="22.5" customHeight="1">
      <c r="A2153" s="66" t="s">
        <v>3102</v>
      </c>
      <c r="B2153" s="67" t="str">
        <f t="shared" si="11"/>
        <v>M: understandable</v>
      </c>
      <c r="C2153" s="68"/>
      <c r="D2153" s="68">
        <v>45965.0</v>
      </c>
      <c r="E2153" s="66">
        <v>4.0</v>
      </c>
      <c r="F2153" s="66" t="str">
        <f>IFERROR(__xludf.DUMMYFUNCTION("GOOGLETRANSLATE(A2153,""en"",""pt"")"),"compreensível")</f>
        <v>compreensível</v>
      </c>
      <c r="G2153" s="66" t="s">
        <v>3103</v>
      </c>
    </row>
    <row r="2154" ht="22.5" customHeight="1">
      <c r="A2154" s="66" t="s">
        <v>3104</v>
      </c>
      <c r="B2154" s="67" t="str">
        <f t="shared" si="11"/>
        <v>M: maintainable</v>
      </c>
      <c r="C2154" s="66">
        <v>1.0</v>
      </c>
      <c r="D2154" s="68">
        <v>45965.0</v>
      </c>
      <c r="E2154" s="66">
        <v>5.0</v>
      </c>
      <c r="F2154" s="66" t="s">
        <v>3105</v>
      </c>
      <c r="G2154" s="66" t="s">
        <v>247</v>
      </c>
    </row>
    <row r="2155" ht="22.5" customHeight="1">
      <c r="A2155" s="66" t="s">
        <v>3106</v>
      </c>
      <c r="B2155" s="67" t="str">
        <f t="shared" si="11"/>
        <v>M: case</v>
      </c>
      <c r="C2155" s="68"/>
      <c r="D2155" s="68">
        <v>45965.0</v>
      </c>
      <c r="E2155" s="66">
        <v>6.0</v>
      </c>
      <c r="F2155" s="66" t="str">
        <f>IFERROR(__xludf.DUMMYFUNCTION("GOOGLETRANSLATE(A2155,""en"",""pt"")"),"caso")</f>
        <v>caso</v>
      </c>
    </row>
    <row r="2156" ht="22.5" customHeight="1">
      <c r="A2156" s="66" t="s">
        <v>3107</v>
      </c>
      <c r="B2156" s="67" t="str">
        <f t="shared" si="11"/>
        <v>M: convention</v>
      </c>
      <c r="C2156" s="68"/>
      <c r="D2156" s="68">
        <v>45965.0</v>
      </c>
      <c r="E2156" s="66">
        <v>7.0</v>
      </c>
      <c r="F2156" s="66" t="str">
        <f>IFERROR(__xludf.DUMMYFUNCTION("GOOGLETRANSLATE(A2156,""en"",""pt"")"),"convenção")</f>
        <v>convenção</v>
      </c>
      <c r="G2156" s="66" t="s">
        <v>3108</v>
      </c>
    </row>
    <row r="2157" ht="22.5" customHeight="1">
      <c r="A2157" s="66" t="s">
        <v>3109</v>
      </c>
      <c r="B2157" s="67" t="str">
        <f t="shared" si="11"/>
        <v>M: so on</v>
      </c>
      <c r="C2157" s="66">
        <v>1.0</v>
      </c>
      <c r="D2157" s="68">
        <v>45965.0</v>
      </c>
      <c r="E2157" s="66">
        <v>8.0</v>
      </c>
      <c r="F2157" s="66" t="str">
        <f>IFERROR(__xludf.DUMMYFUNCTION("GOOGLETRANSLATE(A2157,""en"",""pt"")"),"breve")</f>
        <v>breve</v>
      </c>
      <c r="G2157" s="66" t="s">
        <v>247</v>
      </c>
    </row>
    <row r="2158" ht="22.5" customHeight="1">
      <c r="A2158" s="66" t="s">
        <v>3110</v>
      </c>
      <c r="B2158" s="67" t="str">
        <f t="shared" si="11"/>
        <v>M: avoid</v>
      </c>
      <c r="C2158" s="66">
        <v>1.0</v>
      </c>
      <c r="D2158" s="68">
        <v>45965.0</v>
      </c>
      <c r="E2158" s="66">
        <v>9.0</v>
      </c>
      <c r="F2158" s="71" t="s">
        <v>3111</v>
      </c>
      <c r="G2158" s="66" t="s">
        <v>247</v>
      </c>
    </row>
    <row r="2159" ht="22.5" customHeight="1">
      <c r="A2159" s="66" t="s">
        <v>3112</v>
      </c>
      <c r="B2159" s="67" t="str">
        <f t="shared" si="11"/>
        <v>M: fractional</v>
      </c>
      <c r="C2159" s="66">
        <v>1.0</v>
      </c>
      <c r="D2159" s="68">
        <v>45965.0</v>
      </c>
      <c r="E2159" s="66">
        <v>10.0</v>
      </c>
      <c r="F2159" s="66" t="s">
        <v>3113</v>
      </c>
      <c r="G2159" s="66" t="s">
        <v>233</v>
      </c>
    </row>
    <row r="2160" ht="22.5" customHeight="1">
      <c r="A2160" s="66" t="s">
        <v>3114</v>
      </c>
      <c r="B2160" s="67" t="str">
        <f t="shared" si="11"/>
        <v>M: even though</v>
      </c>
      <c r="C2160" s="68"/>
      <c r="D2160" s="68">
        <v>45965.0</v>
      </c>
      <c r="E2160" s="66">
        <v>1.0</v>
      </c>
      <c r="F2160" s="66" t="str">
        <f>IFERROR(__xludf.DUMMYFUNCTION("GOOGLETRANSLATE(A2160,""en"",""pt"")"),"embora")</f>
        <v>embora</v>
      </c>
      <c r="G2160" s="69"/>
    </row>
    <row r="2161" ht="22.5" customHeight="1">
      <c r="A2161" s="66" t="s">
        <v>3115</v>
      </c>
      <c r="B2161" s="67" t="str">
        <f t="shared" si="11"/>
        <v>M: byte</v>
      </c>
      <c r="C2161" s="68"/>
      <c r="D2161" s="68">
        <v>45965.0</v>
      </c>
      <c r="E2161" s="66">
        <v>2.0</v>
      </c>
      <c r="F2161" s="66" t="str">
        <f>IFERROR(__xludf.DUMMYFUNCTION("GOOGLETRANSLATE(A2161,""en"",""pt"")"),"byte")</f>
        <v>byte</v>
      </c>
      <c r="G2161" s="69"/>
    </row>
    <row r="2162" ht="22.5" customHeight="1">
      <c r="A2162" s="66" t="s">
        <v>3116</v>
      </c>
      <c r="B2162" s="67" t="str">
        <f t="shared" si="11"/>
        <v>M: ninth</v>
      </c>
      <c r="C2162" s="68"/>
      <c r="D2162" s="68">
        <v>45966.0</v>
      </c>
      <c r="E2162" s="66">
        <v>3.0</v>
      </c>
      <c r="F2162" s="66" t="str">
        <f>IFERROR(__xludf.DUMMYFUNCTION("GOOGLETRANSLATE(A2162,""en"",""pt"")"),"nono")</f>
        <v>nono</v>
      </c>
      <c r="G2162" s="69"/>
    </row>
    <row r="2163" ht="22.5" customHeight="1">
      <c r="A2163" s="66" t="s">
        <v>3117</v>
      </c>
      <c r="B2163" s="67" t="str">
        <f t="shared" si="11"/>
        <v>M: reference</v>
      </c>
      <c r="C2163" s="68"/>
      <c r="D2163" s="68">
        <v>45966.0</v>
      </c>
      <c r="E2163" s="66">
        <v>4.0</v>
      </c>
      <c r="F2163" s="66" t="str">
        <f>IFERROR(__xludf.DUMMYFUNCTION("GOOGLETRANSLATE(A2163,""en"",""pt"")"),"referência")</f>
        <v>referência</v>
      </c>
      <c r="G2163" s="69"/>
    </row>
    <row r="2164" ht="22.5" customHeight="1">
      <c r="A2164" s="66" t="s">
        <v>3118</v>
      </c>
      <c r="B2164" s="67" t="str">
        <f t="shared" si="11"/>
        <v>M: built</v>
      </c>
      <c r="C2164" s="68"/>
      <c r="D2164" s="68">
        <v>45966.0</v>
      </c>
      <c r="E2164" s="66">
        <v>5.0</v>
      </c>
      <c r="F2164" s="66" t="str">
        <f>IFERROR(__xludf.DUMMYFUNCTION("GOOGLETRANSLATE(A2164,""en"",""pt"")"),"construído")</f>
        <v>construído</v>
      </c>
      <c r="G2164" s="69"/>
    </row>
    <row r="2165" ht="22.5" customHeight="1">
      <c r="A2165" s="66" t="s">
        <v>3119</v>
      </c>
      <c r="B2165" s="67" t="str">
        <f t="shared" si="11"/>
        <v>M: chosen</v>
      </c>
      <c r="C2165" s="68"/>
      <c r="D2165" s="68">
        <v>45966.0</v>
      </c>
      <c r="E2165" s="66">
        <v>6.0</v>
      </c>
      <c r="F2165" s="66" t="str">
        <f>IFERROR(__xludf.DUMMYFUNCTION("GOOGLETRANSLATE(A2165,""en"",""pt"")"),"escolhido")</f>
        <v>escolhido</v>
      </c>
      <c r="G2165" s="69"/>
    </row>
    <row r="2166" ht="22.5" customHeight="1">
      <c r="A2166" s="66" t="s">
        <v>3120</v>
      </c>
      <c r="B2166" s="67" t="str">
        <f t="shared" si="11"/>
        <v>M: hash</v>
      </c>
      <c r="C2166" s="68"/>
      <c r="D2166" s="68">
        <v>45966.0</v>
      </c>
      <c r="E2166" s="66">
        <v>7.0</v>
      </c>
      <c r="F2166" s="66" t="str">
        <f>IFERROR(__xludf.DUMMYFUNCTION("GOOGLETRANSLATE(A2166,""en"",""pt"")"),"haxixe")</f>
        <v>haxixe</v>
      </c>
      <c r="G2166" s="69"/>
    </row>
    <row r="2167" ht="22.5" customHeight="1">
      <c r="A2167" s="66" t="s">
        <v>3121</v>
      </c>
      <c r="B2167" s="67" t="str">
        <f t="shared" si="11"/>
        <v>M: you got it</v>
      </c>
      <c r="C2167" s="68"/>
      <c r="D2167" s="68">
        <v>45966.0</v>
      </c>
      <c r="E2167" s="66">
        <v>8.0</v>
      </c>
      <c r="F2167" s="66" t="str">
        <f>IFERROR(__xludf.DUMMYFUNCTION("GOOGLETRANSLATE(A2167,""en"",""pt"")"),"Você entendeu.")</f>
        <v>Você entendeu.</v>
      </c>
      <c r="G2167" s="69"/>
    </row>
    <row r="2168" ht="22.5" customHeight="1">
      <c r="A2168" s="66" t="s">
        <v>3122</v>
      </c>
      <c r="B2168" s="67" t="str">
        <f t="shared" si="11"/>
        <v>M: figure all</v>
      </c>
      <c r="C2168" s="68"/>
      <c r="D2168" s="68">
        <v>45966.0</v>
      </c>
      <c r="E2168" s="66">
        <v>9.0</v>
      </c>
      <c r="F2168" s="66" t="str">
        <f>IFERROR(__xludf.DUMMYFUNCTION("GOOGLETRANSLATE(A2168,""en"",""pt"")"),"descobrir tudo")</f>
        <v>descobrir tudo</v>
      </c>
      <c r="G2168" s="69"/>
    </row>
    <row r="2169" ht="22.5" customHeight="1">
      <c r="A2169" s="66" t="s">
        <v>3123</v>
      </c>
      <c r="B2169" s="67" t="str">
        <f t="shared" si="11"/>
        <v>M: employees</v>
      </c>
      <c r="C2169" s="68"/>
      <c r="D2169" s="68">
        <v>45966.0</v>
      </c>
      <c r="E2169" s="66">
        <v>10.0</v>
      </c>
      <c r="F2169" s="66" t="str">
        <f>IFERROR(__xludf.DUMMYFUNCTION("GOOGLETRANSLATE(A2169,""en"",""pt"")"),"funcionários")</f>
        <v>funcionários</v>
      </c>
      <c r="G2169" s="69"/>
    </row>
    <row r="2170" ht="22.5" customHeight="1">
      <c r="A2170" s="66" t="s">
        <v>3124</v>
      </c>
      <c r="B2170" s="67" t="str">
        <f t="shared" si="11"/>
        <v>M: whiffed</v>
      </c>
      <c r="C2170" s="68"/>
      <c r="D2170" s="68">
        <v>45966.0</v>
      </c>
      <c r="E2170" s="66">
        <v>1.0</v>
      </c>
      <c r="F2170" s="66" t="str">
        <f>IFERROR(__xludf.DUMMYFUNCTION("GOOGLETRANSLATE(A2170,""en"",""pt"")"),"cheirou")</f>
        <v>cheirou</v>
      </c>
      <c r="G2170" s="69"/>
    </row>
    <row r="2171" ht="22.5" customHeight="1">
      <c r="A2171" s="66" t="s">
        <v>3125</v>
      </c>
      <c r="B2171" s="67" t="str">
        <f t="shared" si="11"/>
        <v>M: put</v>
      </c>
      <c r="C2171" s="68"/>
      <c r="D2171" s="68">
        <v>45966.0</v>
      </c>
      <c r="E2171" s="66">
        <v>2.0</v>
      </c>
      <c r="F2171" s="66" t="str">
        <f>IFERROR(__xludf.DUMMYFUNCTION("GOOGLETRANSLATE(A2171,""en"",""pt"")"),"colocar")</f>
        <v>colocar</v>
      </c>
      <c r="G2171" s="69"/>
    </row>
    <row r="2172" ht="22.5" customHeight="1">
      <c r="A2172" s="66" t="s">
        <v>3126</v>
      </c>
      <c r="B2172" s="67" t="str">
        <f t="shared" si="11"/>
        <v>M: misspelled</v>
      </c>
      <c r="C2172" s="68"/>
      <c r="D2172" s="68">
        <v>45967.0</v>
      </c>
      <c r="E2172" s="66">
        <v>3.0</v>
      </c>
      <c r="F2172" s="66" t="str">
        <f>IFERROR(__xludf.DUMMYFUNCTION("GOOGLETRANSLATE(A2172,""en"",""pt"")"),"erro ortográfico")</f>
        <v>erro ortográfico</v>
      </c>
      <c r="G2172" s="69"/>
    </row>
    <row r="2173" ht="22.5" customHeight="1">
      <c r="A2173" s="66" t="s">
        <v>3127</v>
      </c>
      <c r="B2173" s="67" t="str">
        <f t="shared" si="11"/>
        <v>M: my fault</v>
      </c>
      <c r="C2173" s="68"/>
      <c r="D2173" s="68">
        <v>45967.0</v>
      </c>
      <c r="E2173" s="66">
        <v>4.0</v>
      </c>
      <c r="F2173" s="66" t="str">
        <f>IFERROR(__xludf.DUMMYFUNCTION("GOOGLETRANSLATE(A2173,""en"",""pt"")"),"minha culpa")</f>
        <v>minha culpa</v>
      </c>
      <c r="G2173" s="69"/>
    </row>
    <row r="2174" ht="22.5" customHeight="1">
      <c r="A2174" s="66" t="s">
        <v>3128</v>
      </c>
      <c r="B2174" s="67" t="str">
        <f t="shared" si="11"/>
        <v>M: home run</v>
      </c>
      <c r="C2174" s="68"/>
      <c r="D2174" s="68">
        <v>45967.0</v>
      </c>
      <c r="E2174" s="66">
        <v>5.0</v>
      </c>
      <c r="F2174" s="66" t="str">
        <f>IFERROR(__xludf.DUMMYFUNCTION("GOOGLETRANSLATE(A2174,""en"",""pt"")"),"home run")</f>
        <v>home run</v>
      </c>
      <c r="G2174" s="69"/>
    </row>
    <row r="2175" ht="22.5" customHeight="1">
      <c r="A2175" s="66" t="s">
        <v>3129</v>
      </c>
      <c r="B2175" s="67" t="str">
        <f t="shared" si="11"/>
        <v>M: eye-catching</v>
      </c>
      <c r="C2175" s="68"/>
      <c r="D2175" s="68">
        <v>45967.0</v>
      </c>
      <c r="E2175" s="66">
        <v>6.0</v>
      </c>
      <c r="F2175" s="66" t="str">
        <f>IFERROR(__xludf.DUMMYFUNCTION("GOOGLETRANSLATE(A2175,""en"",""pt"")"),"chamativo")</f>
        <v>chamativo</v>
      </c>
      <c r="G2175" s="69"/>
    </row>
    <row r="2176" ht="22.5" customHeight="1">
      <c r="A2176" s="66" t="s">
        <v>3130</v>
      </c>
      <c r="B2176" s="67" t="str">
        <f t="shared" si="11"/>
        <v>M: sounds good</v>
      </c>
      <c r="C2176" s="68"/>
      <c r="D2176" s="68">
        <v>45967.0</v>
      </c>
      <c r="E2176" s="66">
        <v>7.0</v>
      </c>
      <c r="F2176" s="66" t="str">
        <f>IFERROR(__xludf.DUMMYFUNCTION("GOOGLETRANSLATE(A2176,""en"",""pt"")"),"parece bom")</f>
        <v>parece bom</v>
      </c>
      <c r="G2176" s="69"/>
    </row>
    <row r="2177" ht="22.5" customHeight="1">
      <c r="A2177" s="66" t="s">
        <v>3131</v>
      </c>
      <c r="B2177" s="67" t="str">
        <f t="shared" si="11"/>
        <v>M: redeeming</v>
      </c>
      <c r="C2177" s="68"/>
      <c r="D2177" s="68">
        <v>45967.0</v>
      </c>
      <c r="E2177" s="66">
        <v>8.0</v>
      </c>
      <c r="F2177" s="66" t="str">
        <f>IFERROR(__xludf.DUMMYFUNCTION("GOOGLETRANSLATE(A2177,""en"",""pt"")"),"resgatando")</f>
        <v>resgatando</v>
      </c>
      <c r="G2177" s="69"/>
    </row>
    <row r="2178" ht="22.5" customHeight="1">
      <c r="A2178" s="66" t="s">
        <v>3132</v>
      </c>
      <c r="B2178" s="67" t="str">
        <f t="shared" si="11"/>
        <v>M: rushed it</v>
      </c>
      <c r="C2178" s="68"/>
      <c r="D2178" s="68">
        <v>45967.0</v>
      </c>
      <c r="E2178" s="66">
        <v>9.0</v>
      </c>
      <c r="F2178" s="66" t="str">
        <f>IFERROR(__xludf.DUMMYFUNCTION("GOOGLETRANSLATE(A2178,""en"",""pt"")"),"apressou-se")</f>
        <v>apressou-se</v>
      </c>
      <c r="G2178" s="69"/>
    </row>
    <row r="2179" ht="22.5" customHeight="1">
      <c r="A2179" s="66" t="s">
        <v>3133</v>
      </c>
      <c r="B2179" s="67" t="str">
        <f t="shared" si="11"/>
        <v>M: strive</v>
      </c>
      <c r="C2179" s="68"/>
      <c r="D2179" s="68">
        <v>45967.0</v>
      </c>
      <c r="E2179" s="66">
        <v>10.0</v>
      </c>
      <c r="F2179" s="66" t="str">
        <f>IFERROR(__xludf.DUMMYFUNCTION("GOOGLETRANSLATE(A2179,""en"",""pt"")"),"esforço")</f>
        <v>esforço</v>
      </c>
      <c r="G2179" s="69"/>
    </row>
    <row r="2180" ht="22.5" customHeight="1">
      <c r="A2180" s="66" t="s">
        <v>3134</v>
      </c>
      <c r="B2180" s="67" t="str">
        <f t="shared" si="11"/>
        <v>M: every last</v>
      </c>
      <c r="C2180" s="68"/>
      <c r="D2180" s="68">
        <v>45967.0</v>
      </c>
      <c r="E2180" s="66">
        <v>1.0</v>
      </c>
      <c r="F2180" s="66" t="str">
        <f>IFERROR(__xludf.DUMMYFUNCTION("GOOGLETRANSLATE(A2180,""en"",""pt"")"),"cada último")</f>
        <v>cada último</v>
      </c>
      <c r="G2180" s="69"/>
    </row>
    <row r="2181" ht="22.5" customHeight="1">
      <c r="A2181" s="66" t="s">
        <v>3135</v>
      </c>
      <c r="B2181" s="67" t="str">
        <f t="shared" si="11"/>
        <v>M: good stuff</v>
      </c>
      <c r="C2181" s="68"/>
      <c r="D2181" s="68">
        <v>45967.0</v>
      </c>
      <c r="E2181" s="66">
        <v>2.0</v>
      </c>
      <c r="F2181" s="66" t="str">
        <f>IFERROR(__xludf.DUMMYFUNCTION("GOOGLETRANSLATE(A2181,""en"",""pt"")"),"Coisa boa")</f>
        <v>Coisa boa</v>
      </c>
      <c r="G2181" s="69"/>
    </row>
    <row r="2182" ht="22.5" customHeight="1">
      <c r="A2182" s="66" t="s">
        <v>3136</v>
      </c>
      <c r="B2182" s="67" t="str">
        <f t="shared" si="11"/>
        <v>M: cutting</v>
      </c>
      <c r="C2182" s="68"/>
      <c r="D2182" s="68">
        <v>45968.0</v>
      </c>
      <c r="E2182" s="66">
        <v>3.0</v>
      </c>
      <c r="F2182" s="66" t="str">
        <f>IFERROR(__xludf.DUMMYFUNCTION("GOOGLETRANSLATE(A2182,""en"",""pt"")"),"corte")</f>
        <v>corte</v>
      </c>
      <c r="G2182" s="69"/>
    </row>
    <row r="2183" ht="22.5" customHeight="1">
      <c r="A2183" s="66" t="s">
        <v>3137</v>
      </c>
      <c r="B2183" s="67" t="str">
        <f t="shared" si="11"/>
        <v>M: fingertips</v>
      </c>
      <c r="C2183" s="68"/>
      <c r="D2183" s="68">
        <v>45968.0</v>
      </c>
      <c r="E2183" s="66">
        <v>4.0</v>
      </c>
      <c r="F2183" s="66" t="str">
        <f>IFERROR(__xludf.DUMMYFUNCTION("GOOGLETRANSLATE(A2183,""en"",""pt"")"),"pontas dos dedos")</f>
        <v>pontas dos dedos</v>
      </c>
      <c r="G2183" s="69"/>
    </row>
    <row r="2184" ht="22.5" customHeight="1">
      <c r="A2184" s="66" t="s">
        <v>3138</v>
      </c>
      <c r="B2184" s="67" t="str">
        <f t="shared" si="11"/>
        <v>M: manufacturing</v>
      </c>
      <c r="C2184" s="68"/>
      <c r="D2184" s="68">
        <v>45968.0</v>
      </c>
      <c r="E2184" s="66">
        <v>5.0</v>
      </c>
      <c r="F2184" s="66" t="str">
        <f>IFERROR(__xludf.DUMMYFUNCTION("GOOGLETRANSLATE(A2184,""en"",""pt"")"),"fabricação")</f>
        <v>fabricação</v>
      </c>
      <c r="G2184" s="69"/>
    </row>
    <row r="2185" ht="22.5" customHeight="1">
      <c r="A2185" s="66" t="s">
        <v>3139</v>
      </c>
      <c r="B2185" s="67" t="str">
        <f t="shared" si="11"/>
        <v>M: being able</v>
      </c>
      <c r="C2185" s="68"/>
      <c r="D2185" s="68">
        <v>45968.0</v>
      </c>
      <c r="E2185" s="66">
        <v>6.0</v>
      </c>
      <c r="F2185" s="66" t="str">
        <f>IFERROR(__xludf.DUMMYFUNCTION("GOOGLETRANSLATE(A2185,""en"",""pt"")"),"sendo capaz")</f>
        <v>sendo capaz</v>
      </c>
      <c r="G2185" s="69"/>
    </row>
    <row r="2186" ht="22.5" customHeight="1">
      <c r="A2186" s="66" t="s">
        <v>3140</v>
      </c>
      <c r="B2186" s="67" t="str">
        <f t="shared" si="11"/>
        <v>M: maybe even</v>
      </c>
      <c r="C2186" s="68"/>
      <c r="D2186" s="68">
        <v>45968.0</v>
      </c>
      <c r="E2186" s="66">
        <v>7.0</v>
      </c>
      <c r="F2186" s="66" t="str">
        <f>IFERROR(__xludf.DUMMYFUNCTION("GOOGLETRANSLATE(A2186,""en"",""pt"")"),"talvez até")</f>
        <v>talvez até</v>
      </c>
      <c r="G2186" s="69"/>
    </row>
    <row r="2187" ht="22.5" customHeight="1">
      <c r="A2187" s="66" t="s">
        <v>3141</v>
      </c>
      <c r="B2187" s="67" t="str">
        <f t="shared" si="11"/>
        <v>M: elevated</v>
      </c>
      <c r="C2187" s="68"/>
      <c r="D2187" s="68">
        <v>45968.0</v>
      </c>
      <c r="E2187" s="66">
        <v>8.0</v>
      </c>
      <c r="F2187" s="66" t="str">
        <f>IFERROR(__xludf.DUMMYFUNCTION("GOOGLETRANSLATE(A2187,""en"",""pt"")"),"elevado")</f>
        <v>elevado</v>
      </c>
      <c r="G2187" s="69"/>
    </row>
    <row r="2188" ht="22.5" customHeight="1">
      <c r="A2188" s="66" t="s">
        <v>3142</v>
      </c>
      <c r="B2188" s="67" t="str">
        <f t="shared" si="11"/>
        <v>M: capturing</v>
      </c>
      <c r="C2188" s="68"/>
      <c r="D2188" s="68">
        <v>45968.0</v>
      </c>
      <c r="E2188" s="66">
        <v>9.0</v>
      </c>
      <c r="F2188" s="66" t="str">
        <f>IFERROR(__xludf.DUMMYFUNCTION("GOOGLETRANSLATE(A2188,""en"",""pt"")"),"capturando")</f>
        <v>capturando</v>
      </c>
      <c r="G2188" s="69"/>
    </row>
    <row r="2189" ht="22.5" customHeight="1">
      <c r="A2189" s="66" t="s">
        <v>3143</v>
      </c>
      <c r="B2189" s="67" t="str">
        <f t="shared" si="11"/>
        <v>M: available</v>
      </c>
      <c r="C2189" s="68"/>
      <c r="D2189" s="68">
        <v>45968.0</v>
      </c>
      <c r="E2189" s="66">
        <v>10.0</v>
      </c>
      <c r="F2189" s="66" t="str">
        <f>IFERROR(__xludf.DUMMYFUNCTION("GOOGLETRANSLATE(A2189,""en"",""pt"")"),"disponível")</f>
        <v>disponível</v>
      </c>
      <c r="G2189" s="69"/>
    </row>
    <row r="2190" ht="22.5" customHeight="1">
      <c r="A2190" s="66" t="s">
        <v>3144</v>
      </c>
      <c r="B2190" s="67" t="str">
        <f t="shared" si="11"/>
        <v>M: tankfarm</v>
      </c>
      <c r="C2190" s="68"/>
      <c r="D2190" s="68">
        <v>45968.0</v>
      </c>
      <c r="E2190" s="66">
        <v>1.0</v>
      </c>
      <c r="F2190" s="66" t="str">
        <f>IFERROR(__xludf.DUMMYFUNCTION("GOOGLETRANSLATE(A2190,""en"",""pt"")"),"parque de tanques")</f>
        <v>parque de tanques</v>
      </c>
      <c r="G2190" s="69"/>
    </row>
    <row r="2191" ht="22.5" customHeight="1">
      <c r="A2191" s="66" t="s">
        <v>3145</v>
      </c>
      <c r="B2191" s="67" t="str">
        <f t="shared" si="11"/>
        <v>M: grit</v>
      </c>
      <c r="C2191" s="68"/>
      <c r="D2191" s="68">
        <v>45968.0</v>
      </c>
      <c r="E2191" s="66">
        <v>2.0</v>
      </c>
      <c r="F2191" s="66" t="str">
        <f>IFERROR(__xludf.DUMMYFUNCTION("GOOGLETRANSLATE(A2191,""en"",""pt"")"),"coragem")</f>
        <v>coragem</v>
      </c>
      <c r="G2191" s="69"/>
    </row>
    <row r="2192" ht="22.5" customHeight="1">
      <c r="A2192" s="66" t="s">
        <v>3146</v>
      </c>
      <c r="B2192" s="67" t="str">
        <f t="shared" si="11"/>
        <v>M: hang on</v>
      </c>
      <c r="C2192" s="68"/>
      <c r="D2192" s="68">
        <v>45969.0</v>
      </c>
      <c r="E2192" s="66">
        <v>3.0</v>
      </c>
      <c r="F2192" s="66" t="str">
        <f>IFERROR(__xludf.DUMMYFUNCTION("GOOGLETRANSLATE(A2192,""en"",""pt"")"),"espere")</f>
        <v>espere</v>
      </c>
      <c r="G2192" s="69"/>
    </row>
    <row r="2193" ht="22.5" customHeight="1">
      <c r="A2193" s="66" t="s">
        <v>3147</v>
      </c>
      <c r="B2193" s="67" t="str">
        <f t="shared" si="11"/>
        <v>M: lazy</v>
      </c>
      <c r="C2193" s="68"/>
      <c r="D2193" s="68">
        <v>45969.0</v>
      </c>
      <c r="E2193" s="66">
        <v>4.0</v>
      </c>
      <c r="F2193" s="66" t="str">
        <f>IFERROR(__xludf.DUMMYFUNCTION("GOOGLETRANSLATE(A2193,""en"",""pt"")"),"preguiçoso")</f>
        <v>preguiçoso</v>
      </c>
      <c r="G2193" s="69"/>
    </row>
    <row r="2194" ht="22.5" customHeight="1">
      <c r="A2194" s="66" t="s">
        <v>3148</v>
      </c>
      <c r="B2194" s="67" t="str">
        <f t="shared" si="11"/>
        <v>M: mock</v>
      </c>
      <c r="C2194" s="68"/>
      <c r="D2194" s="68">
        <v>45969.0</v>
      </c>
      <c r="E2194" s="66">
        <v>5.0</v>
      </c>
      <c r="F2194" s="66" t="str">
        <f>IFERROR(__xludf.DUMMYFUNCTION("GOOGLETRANSLATE(A2194,""en"",""pt"")"),"zombar")</f>
        <v>zombar</v>
      </c>
      <c r="G2194" s="69"/>
    </row>
    <row r="2195" ht="22.5" customHeight="1">
      <c r="A2195" s="66" t="s">
        <v>3149</v>
      </c>
      <c r="B2195" s="67" t="str">
        <f t="shared" si="11"/>
        <v>M: involved</v>
      </c>
      <c r="C2195" s="68"/>
      <c r="D2195" s="68">
        <v>45969.0</v>
      </c>
      <c r="E2195" s="66">
        <v>6.0</v>
      </c>
      <c r="F2195" s="66" t="str">
        <f>IFERROR(__xludf.DUMMYFUNCTION("GOOGLETRANSLATE(A2195,""en"",""pt"")"),"envolvido")</f>
        <v>envolvido</v>
      </c>
      <c r="G2195" s="69"/>
    </row>
    <row r="2196" ht="22.5" customHeight="1">
      <c r="A2196" s="66" t="s">
        <v>3150</v>
      </c>
      <c r="B2196" s="67" t="str">
        <f t="shared" si="11"/>
        <v>M: my gosh</v>
      </c>
      <c r="C2196" s="68"/>
      <c r="D2196" s="68">
        <v>45969.0</v>
      </c>
      <c r="E2196" s="66">
        <v>7.0</v>
      </c>
      <c r="F2196" s="66" t="str">
        <f>IFERROR(__xludf.DUMMYFUNCTION("GOOGLETRANSLATE(A2196,""en"",""pt"")"),"Meu Deus!")</f>
        <v>Meu Deus!</v>
      </c>
      <c r="G2196" s="69"/>
    </row>
    <row r="2197" ht="22.5" customHeight="1">
      <c r="A2197" s="66" t="s">
        <v>3151</v>
      </c>
      <c r="B2197" s="67" t="str">
        <f t="shared" si="11"/>
        <v>M: bunkmates</v>
      </c>
      <c r="C2197" s="68"/>
      <c r="D2197" s="68">
        <v>45969.0</v>
      </c>
      <c r="E2197" s="66">
        <v>8.0</v>
      </c>
      <c r="F2197" s="66" t="str">
        <f>IFERROR(__xludf.DUMMYFUNCTION("GOOGLETRANSLATE(A2197,""en"",""pt"")"),"colegas de beliche")</f>
        <v>colegas de beliche</v>
      </c>
      <c r="G2197" s="69"/>
    </row>
    <row r="2198" ht="22.5" customHeight="1">
      <c r="A2198" s="66" t="s">
        <v>3152</v>
      </c>
      <c r="B2198" s="67" t="str">
        <f t="shared" si="11"/>
        <v>M: to head out</v>
      </c>
      <c r="C2198" s="68"/>
      <c r="D2198" s="68">
        <v>45969.0</v>
      </c>
      <c r="E2198" s="66">
        <v>9.0</v>
      </c>
      <c r="F2198" s="66" t="str">
        <f>IFERROR(__xludf.DUMMYFUNCTION("GOOGLETRANSLATE(A2198,""en"",""pt"")"),"sair")</f>
        <v>sair</v>
      </c>
      <c r="G2198" s="69"/>
    </row>
    <row r="2199" ht="22.5" customHeight="1">
      <c r="A2199" s="66" t="s">
        <v>3153</v>
      </c>
      <c r="B2199" s="67" t="str">
        <f t="shared" si="11"/>
        <v>M: earn your keep</v>
      </c>
      <c r="C2199" s="68"/>
      <c r="D2199" s="68">
        <v>45969.0</v>
      </c>
      <c r="E2199" s="66">
        <v>10.0</v>
      </c>
      <c r="F2199" s="66" t="str">
        <f>IFERROR(__xludf.DUMMYFUNCTION("GOOGLETRANSLATE(A2199,""en"",""pt"")"),"ganhe seu sustento")</f>
        <v>ganhe seu sustento</v>
      </c>
      <c r="G2199" s="69"/>
    </row>
    <row r="2200" ht="22.5" customHeight="1">
      <c r="A2200" s="66" t="s">
        <v>3154</v>
      </c>
      <c r="B2200" s="67" t="str">
        <f t="shared" si="11"/>
        <v>M: rindg our asses</v>
      </c>
      <c r="C2200" s="68"/>
      <c r="D2200" s="68">
        <v>45969.0</v>
      </c>
      <c r="E2200" s="66">
        <v>1.0</v>
      </c>
      <c r="F2200" s="66" t="str">
        <f>IFERROR(__xludf.DUMMYFUNCTION("GOOGLETRANSLATE(A2200,""en"",""pt"")"),"rindg nossos traseiros")</f>
        <v>rindg nossos traseiros</v>
      </c>
      <c r="G2200" s="69"/>
    </row>
    <row r="2201" ht="22.5" customHeight="1">
      <c r="A2201" s="66" t="s">
        <v>3155</v>
      </c>
      <c r="B2201" s="67" t="str">
        <f t="shared" si="11"/>
        <v>M: pummeled</v>
      </c>
      <c r="C2201" s="68"/>
      <c r="D2201" s="68">
        <v>45969.0</v>
      </c>
      <c r="E2201" s="66">
        <v>2.0</v>
      </c>
      <c r="F2201" s="66" t="str">
        <f>IFERROR(__xludf.DUMMYFUNCTION("GOOGLETRANSLATE(A2201,""en"",""pt"")"),"espancado")</f>
        <v>espancado</v>
      </c>
      <c r="G2201" s="69"/>
    </row>
    <row r="2202" ht="22.5" customHeight="1">
      <c r="A2202" s="66" t="s">
        <v>3156</v>
      </c>
      <c r="B2202" s="67" t="str">
        <f t="shared" si="11"/>
        <v>M: frank</v>
      </c>
      <c r="C2202" s="68"/>
      <c r="D2202" s="68">
        <v>45970.0</v>
      </c>
      <c r="E2202" s="66">
        <v>3.0</v>
      </c>
      <c r="F2202" s="66" t="str">
        <f>IFERROR(__xludf.DUMMYFUNCTION("GOOGLETRANSLATE(A2202,""en"",""pt"")"),"franco")</f>
        <v>franco</v>
      </c>
      <c r="G2202" s="69"/>
    </row>
    <row r="2203" ht="22.5" customHeight="1">
      <c r="A2203" s="66" t="s">
        <v>3157</v>
      </c>
      <c r="B2203" s="67" t="str">
        <f t="shared" si="11"/>
        <v>M: comes off</v>
      </c>
      <c r="C2203" s="68"/>
      <c r="D2203" s="68">
        <v>45970.0</v>
      </c>
      <c r="E2203" s="66">
        <v>4.0</v>
      </c>
      <c r="F2203" s="66" t="str">
        <f>IFERROR(__xludf.DUMMYFUNCTION("GOOGLETRANSLATE(A2203,""en"",""pt"")"),"sai")</f>
        <v>sai</v>
      </c>
      <c r="G2203" s="69"/>
    </row>
    <row r="2204" ht="22.5" customHeight="1">
      <c r="A2204" s="66" t="s">
        <v>3158</v>
      </c>
      <c r="B2204" s="67" t="str">
        <f t="shared" si="11"/>
        <v>M: blasted</v>
      </c>
      <c r="C2204" s="68"/>
      <c r="D2204" s="68">
        <v>45970.0</v>
      </c>
      <c r="E2204" s="66">
        <v>5.0</v>
      </c>
      <c r="F2204" s="66" t="str">
        <f>IFERROR(__xludf.DUMMYFUNCTION("GOOGLETRANSLATE(A2204,""en"",""pt"")"),"explodiu")</f>
        <v>explodiu</v>
      </c>
      <c r="G2204" s="69"/>
    </row>
    <row r="2205" ht="22.5" customHeight="1">
      <c r="A2205" s="66" t="s">
        <v>3159</v>
      </c>
      <c r="B2205" s="67" t="str">
        <f t="shared" si="11"/>
        <v>M: rude</v>
      </c>
      <c r="C2205" s="68"/>
      <c r="D2205" s="68">
        <v>45970.0</v>
      </c>
      <c r="E2205" s="66">
        <v>6.0</v>
      </c>
      <c r="F2205" s="66" t="str">
        <f>IFERROR(__xludf.DUMMYFUNCTION("GOOGLETRANSLATE(A2205,""en"",""pt"")"),"rude")</f>
        <v>rude</v>
      </c>
      <c r="G2205" s="69"/>
    </row>
    <row r="2206" ht="22.5" customHeight="1">
      <c r="A2206" s="66" t="s">
        <v>3160</v>
      </c>
      <c r="B2206" s="67" t="str">
        <f t="shared" si="11"/>
        <v>M: mind-blowing</v>
      </c>
      <c r="C2206" s="68"/>
      <c r="D2206" s="68">
        <v>45970.0</v>
      </c>
      <c r="E2206" s="66">
        <v>7.0</v>
      </c>
      <c r="F2206" s="66" t="str">
        <f>IFERROR(__xludf.DUMMYFUNCTION("GOOGLETRANSLATE(A2206,""en"",""pt"")"),"de tirar o fôlego")</f>
        <v>de tirar o fôlego</v>
      </c>
      <c r="G2206" s="69"/>
    </row>
    <row r="2207" ht="22.5" customHeight="1">
      <c r="A2207" s="66" t="s">
        <v>3161</v>
      </c>
      <c r="B2207" s="67" t="str">
        <f t="shared" si="11"/>
        <v>M: trated</v>
      </c>
      <c r="C2207" s="68"/>
      <c r="D2207" s="68">
        <v>45970.0</v>
      </c>
      <c r="E2207" s="66">
        <v>8.0</v>
      </c>
      <c r="F2207" s="66" t="str">
        <f>IFERROR(__xludf.DUMMYFUNCTION("GOOGLETRANSLATE(A2207,""en"",""pt"")"),"tratado")</f>
        <v>tratado</v>
      </c>
      <c r="G2207" s="69"/>
    </row>
    <row r="2208" ht="22.5" customHeight="1">
      <c r="A2208" s="66" t="s">
        <v>3162</v>
      </c>
      <c r="B2208" s="67" t="str">
        <f t="shared" si="11"/>
        <v>M: tact</v>
      </c>
      <c r="C2208" s="68"/>
      <c r="D2208" s="68">
        <v>45970.0</v>
      </c>
      <c r="E2208" s="66">
        <v>9.0</v>
      </c>
      <c r="F2208" s="66" t="str">
        <f>IFERROR(__xludf.DUMMYFUNCTION("GOOGLETRANSLATE(A2208,""en"",""pt"")"),"tato")</f>
        <v>tato</v>
      </c>
      <c r="G2208" s="69"/>
    </row>
    <row r="2209" ht="22.5" customHeight="1">
      <c r="A2209" s="66" t="s">
        <v>3163</v>
      </c>
      <c r="B2209" s="67" t="str">
        <f t="shared" si="11"/>
        <v>M: grace</v>
      </c>
      <c r="C2209" s="68"/>
      <c r="D2209" s="68">
        <v>45970.0</v>
      </c>
      <c r="E2209" s="66">
        <v>10.0</v>
      </c>
      <c r="F2209" s="66" t="str">
        <f>IFERROR(__xludf.DUMMYFUNCTION("GOOGLETRANSLATE(A2209,""en"",""pt"")"),"graça")</f>
        <v>graça</v>
      </c>
      <c r="G2209" s="69"/>
    </row>
    <row r="2210" ht="22.5" customHeight="1">
      <c r="A2210" s="66" t="s">
        <v>3164</v>
      </c>
      <c r="B2210" s="67" t="str">
        <f t="shared" si="11"/>
        <v>M: being off</v>
      </c>
      <c r="C2210" s="68"/>
      <c r="D2210" s="68">
        <v>45970.0</v>
      </c>
      <c r="E2210" s="66">
        <v>1.0</v>
      </c>
      <c r="F2210" s="66" t="str">
        <f>IFERROR(__xludf.DUMMYFUNCTION("GOOGLETRANSLATE(A2210,""en"",""pt"")"),"estando desligado")</f>
        <v>estando desligado</v>
      </c>
      <c r="G2210" s="69"/>
    </row>
    <row r="2211" ht="22.5" customHeight="1">
      <c r="A2211" s="66" t="s">
        <v>3165</v>
      </c>
      <c r="B2211" s="67" t="str">
        <f t="shared" si="11"/>
        <v>M: full drive</v>
      </c>
      <c r="C2211" s="68"/>
      <c r="D2211" s="68">
        <v>45970.0</v>
      </c>
      <c r="E2211" s="66">
        <v>2.0</v>
      </c>
      <c r="F2211" s="66" t="str">
        <f>IFERROR(__xludf.DUMMYFUNCTION("GOOGLETRANSLATE(A2211,""en"",""pt"")"),"condução completa")</f>
        <v>condução completa</v>
      </c>
      <c r="G2211" s="69"/>
    </row>
    <row r="2212" ht="22.5" customHeight="1">
      <c r="A2212" s="66" t="s">
        <v>3166</v>
      </c>
      <c r="B2212" s="67" t="str">
        <f t="shared" si="11"/>
        <v>M: crapped on</v>
      </c>
      <c r="C2212" s="68"/>
      <c r="D2212" s="68">
        <v>45971.0</v>
      </c>
      <c r="E2212" s="66">
        <v>3.0</v>
      </c>
      <c r="F2212" s="66" t="str">
        <f>IFERROR(__xludf.DUMMYFUNCTION("GOOGLETRANSLATE(A2212,""en"",""pt"")"),"cagado")</f>
        <v>cagado</v>
      </c>
      <c r="G2212" s="69"/>
    </row>
    <row r="2213" ht="22.5" customHeight="1">
      <c r="A2213" s="66" t="s">
        <v>3167</v>
      </c>
      <c r="B2213" s="67" t="str">
        <f t="shared" si="11"/>
        <v>M: rushed</v>
      </c>
      <c r="C2213" s="68"/>
      <c r="D2213" s="68">
        <v>45971.0</v>
      </c>
      <c r="E2213" s="66">
        <v>4.0</v>
      </c>
      <c r="F2213" s="66" t="str">
        <f>IFERROR(__xludf.DUMMYFUNCTION("GOOGLETRANSLATE(A2213,""en"",""pt"")"),"apressado")</f>
        <v>apressado</v>
      </c>
      <c r="G2213" s="69"/>
    </row>
    <row r="2214" ht="22.5" customHeight="1">
      <c r="A2214" s="66" t="s">
        <v>3168</v>
      </c>
      <c r="B2214" s="67" t="str">
        <f t="shared" si="11"/>
        <v>M: crusty</v>
      </c>
      <c r="C2214" s="68"/>
      <c r="D2214" s="68">
        <v>45971.0</v>
      </c>
      <c r="E2214" s="66">
        <v>5.0</v>
      </c>
      <c r="F2214" s="66" t="str">
        <f>IFERROR(__xludf.DUMMYFUNCTION("GOOGLETRANSLATE(A2214,""en"",""pt"")"),"duro")</f>
        <v>duro</v>
      </c>
      <c r="G2214" s="69"/>
    </row>
    <row r="2215" ht="22.5" customHeight="1">
      <c r="A2215" s="66" t="s">
        <v>3169</v>
      </c>
      <c r="B2215" s="67" t="str">
        <f t="shared" si="11"/>
        <v>M: for real</v>
      </c>
      <c r="C2215" s="68"/>
      <c r="D2215" s="68">
        <v>45971.0</v>
      </c>
      <c r="E2215" s="66">
        <v>6.0</v>
      </c>
      <c r="F2215" s="66" t="str">
        <f>IFERROR(__xludf.DUMMYFUNCTION("GOOGLETRANSLATE(A2215,""en"",""pt"")"),"sério")</f>
        <v>sério</v>
      </c>
      <c r="G2215" s="69"/>
    </row>
    <row r="2216" ht="22.5" customHeight="1">
      <c r="A2216" s="66" t="s">
        <v>3170</v>
      </c>
      <c r="B2216" s="67" t="str">
        <f t="shared" si="11"/>
        <v>M: turn into</v>
      </c>
      <c r="C2216" s="68"/>
      <c r="D2216" s="68">
        <v>45971.0</v>
      </c>
      <c r="E2216" s="66">
        <v>7.0</v>
      </c>
      <c r="F2216" s="66" t="str">
        <f>IFERROR(__xludf.DUMMYFUNCTION("GOOGLETRANSLATE(A2216,""en"",""pt"")"),"transformar em")</f>
        <v>transformar em</v>
      </c>
      <c r="G2216" s="69"/>
    </row>
    <row r="2217" ht="22.5" customHeight="1">
      <c r="A2217" s="66" t="s">
        <v>3171</v>
      </c>
      <c r="B2217" s="67" t="str">
        <f t="shared" si="11"/>
        <v>M: squawks</v>
      </c>
      <c r="C2217" s="68"/>
      <c r="D2217" s="68">
        <v>45971.0</v>
      </c>
      <c r="E2217" s="66">
        <v>8.0</v>
      </c>
      <c r="F2217" s="66" t="str">
        <f>IFERROR(__xludf.DUMMYFUNCTION("GOOGLETRANSLATE(A2217,""en"",""pt"")"),"guinchos")</f>
        <v>guinchos</v>
      </c>
      <c r="G2217" s="69"/>
    </row>
    <row r="2218" ht="22.5" customHeight="1">
      <c r="A2218" s="66" t="s">
        <v>3172</v>
      </c>
      <c r="B2218" s="67" t="str">
        <f t="shared" si="11"/>
        <v>M: calm down</v>
      </c>
      <c r="C2218" s="68"/>
      <c r="D2218" s="68">
        <v>45971.0</v>
      </c>
      <c r="E2218" s="66">
        <v>9.0</v>
      </c>
      <c r="F2218" s="66" t="str">
        <f>IFERROR(__xludf.DUMMYFUNCTION("GOOGLETRANSLATE(A2218,""en"",""pt"")"),"acalmar")</f>
        <v>acalmar</v>
      </c>
      <c r="G2218" s="69"/>
    </row>
    <row r="2219" ht="22.5" customHeight="1">
      <c r="A2219" s="66" t="s">
        <v>3173</v>
      </c>
      <c r="B2219" s="67" t="str">
        <f t="shared" si="11"/>
        <v>M: a bit</v>
      </c>
      <c r="C2219" s="68"/>
      <c r="D2219" s="68">
        <v>45971.0</v>
      </c>
      <c r="E2219" s="66">
        <v>10.0</v>
      </c>
      <c r="F2219" s="66" t="str">
        <f>IFERROR(__xludf.DUMMYFUNCTION("GOOGLETRANSLATE(A2219,""en"",""pt"")"),"um pouco")</f>
        <v>um pouco</v>
      </c>
      <c r="G2219" s="69"/>
    </row>
    <row r="2220" ht="22.5" customHeight="1">
      <c r="A2220" s="66" t="s">
        <v>3174</v>
      </c>
      <c r="B2220" s="67" t="str">
        <f t="shared" si="11"/>
        <v>M: looks</v>
      </c>
      <c r="C2220" s="68"/>
      <c r="D2220" s="68">
        <v>45971.0</v>
      </c>
      <c r="E2220" s="66">
        <v>1.0</v>
      </c>
      <c r="F2220" s="66" t="str">
        <f>IFERROR(__xludf.DUMMYFUNCTION("GOOGLETRANSLATE(A2220,""en"",""pt"")"),"visual")</f>
        <v>visual</v>
      </c>
      <c r="G2220" s="69"/>
    </row>
    <row r="2221" ht="22.5" customHeight="1">
      <c r="A2221" s="66" t="s">
        <v>3175</v>
      </c>
      <c r="B2221" s="67" t="str">
        <f t="shared" si="11"/>
        <v>M: pushing</v>
      </c>
      <c r="C2221" s="68"/>
      <c r="D2221" s="68">
        <v>45971.0</v>
      </c>
      <c r="E2221" s="66">
        <v>2.0</v>
      </c>
      <c r="F2221" s="66" t="str">
        <f>IFERROR(__xludf.DUMMYFUNCTION("GOOGLETRANSLATE(A2221,""en"",""pt"")"),"empurrando")</f>
        <v>empurrando</v>
      </c>
      <c r="G2221" s="69"/>
    </row>
    <row r="2222" ht="22.5" customHeight="1">
      <c r="A2222" s="66" t="s">
        <v>3176</v>
      </c>
      <c r="B2222" s="67" t="str">
        <f t="shared" si="11"/>
        <v>M: ended up</v>
      </c>
      <c r="C2222" s="68"/>
      <c r="D2222" s="68">
        <v>45972.0</v>
      </c>
      <c r="E2222" s="66">
        <v>3.0</v>
      </c>
      <c r="F2222" s="66" t="str">
        <f>IFERROR(__xludf.DUMMYFUNCTION("GOOGLETRANSLATE(A2222,""en"",""pt"")"),"acabou")</f>
        <v>acabou</v>
      </c>
      <c r="G2222" s="69"/>
    </row>
    <row r="2223" ht="22.5" customHeight="1">
      <c r="A2223" s="66" t="s">
        <v>3177</v>
      </c>
      <c r="B2223" s="67" t="str">
        <f t="shared" si="11"/>
        <v>M: proper</v>
      </c>
      <c r="C2223" s="68"/>
      <c r="D2223" s="68">
        <v>45972.0</v>
      </c>
      <c r="E2223" s="66">
        <v>4.0</v>
      </c>
      <c r="F2223" s="66" t="str">
        <f>IFERROR(__xludf.DUMMYFUNCTION("GOOGLETRANSLATE(A2223,""en"",""pt"")"),"apropriado")</f>
        <v>apropriado</v>
      </c>
      <c r="G2223" s="69"/>
    </row>
    <row r="2224" ht="22.5" customHeight="1">
      <c r="A2224" s="66" t="s">
        <v>3178</v>
      </c>
      <c r="B2224" s="67" t="str">
        <f t="shared" si="11"/>
        <v>M: t-shirt</v>
      </c>
      <c r="C2224" s="68"/>
      <c r="D2224" s="68">
        <v>45972.0</v>
      </c>
      <c r="E2224" s="66">
        <v>5.0</v>
      </c>
      <c r="F2224" s="66" t="str">
        <f>IFERROR(__xludf.DUMMYFUNCTION("GOOGLETRANSLATE(A2224,""en"",""pt"")"),"camiseta")</f>
        <v>camiseta</v>
      </c>
      <c r="G2224" s="69"/>
    </row>
    <row r="2225" ht="22.5" customHeight="1">
      <c r="A2225" s="66" t="s">
        <v>3179</v>
      </c>
      <c r="B2225" s="67" t="str">
        <f t="shared" si="11"/>
        <v>M: grit and gravel</v>
      </c>
      <c r="C2225" s="68"/>
      <c r="D2225" s="68">
        <v>45972.0</v>
      </c>
      <c r="E2225" s="66">
        <v>6.0</v>
      </c>
      <c r="F2225" s="66" t="str">
        <f>IFERROR(__xludf.DUMMYFUNCTION("GOOGLETRANSLATE(A2225,""en"",""pt"")"),"areia e cascalho")</f>
        <v>areia e cascalho</v>
      </c>
      <c r="G2225" s="69"/>
    </row>
    <row r="2226" ht="22.5" customHeight="1">
      <c r="A2226" s="66" t="s">
        <v>3180</v>
      </c>
      <c r="B2226" s="67" t="str">
        <f t="shared" si="11"/>
        <v>M: flannel</v>
      </c>
      <c r="C2226" s="68"/>
      <c r="D2226" s="68">
        <v>45972.0</v>
      </c>
      <c r="E2226" s="66">
        <v>7.0</v>
      </c>
      <c r="F2226" s="66" t="str">
        <f>IFERROR(__xludf.DUMMYFUNCTION("GOOGLETRANSLATE(A2226,""en"",""pt"")"),"flanela")</f>
        <v>flanela</v>
      </c>
      <c r="G2226" s="69"/>
    </row>
    <row r="2227" ht="22.5" customHeight="1">
      <c r="A2227" s="66" t="s">
        <v>3181</v>
      </c>
      <c r="B2227" s="67" t="str">
        <f t="shared" si="11"/>
        <v>M: fabric</v>
      </c>
      <c r="C2227" s="68"/>
      <c r="D2227" s="68">
        <v>45972.0</v>
      </c>
      <c r="E2227" s="66">
        <v>8.0</v>
      </c>
      <c r="F2227" s="66" t="str">
        <f>IFERROR(__xludf.DUMMYFUNCTION("GOOGLETRANSLATE(A2227,""en"",""pt"")"),"tecido")</f>
        <v>tecido</v>
      </c>
      <c r="G2227" s="69"/>
    </row>
    <row r="2228" ht="22.5" customHeight="1">
      <c r="A2228" s="66" t="s">
        <v>3182</v>
      </c>
      <c r="B2228" s="67" t="str">
        <f t="shared" si="11"/>
        <v>M: spot-on</v>
      </c>
      <c r="C2228" s="68"/>
      <c r="D2228" s="68">
        <v>45972.0</v>
      </c>
      <c r="E2228" s="66">
        <v>9.0</v>
      </c>
      <c r="F2228" s="66" t="str">
        <f>IFERROR(__xludf.DUMMYFUNCTION("GOOGLETRANSLATE(A2228,""en"",""pt"")"),"perfeito")</f>
        <v>perfeito</v>
      </c>
      <c r="G2228" s="69"/>
    </row>
    <row r="2229" ht="22.5" customHeight="1">
      <c r="A2229" s="66" t="s">
        <v>3183</v>
      </c>
      <c r="B2229" s="67" t="str">
        <f t="shared" si="11"/>
        <v>M: exclusives</v>
      </c>
      <c r="C2229" s="68"/>
      <c r="D2229" s="68">
        <v>45972.0</v>
      </c>
      <c r="E2229" s="66">
        <v>10.0</v>
      </c>
      <c r="F2229" s="66" t="str">
        <f>IFERROR(__xludf.DUMMYFUNCTION("GOOGLETRANSLATE(A2229,""en"",""pt"")"),"exclusivos")</f>
        <v>exclusivos</v>
      </c>
      <c r="G2229" s="69"/>
    </row>
    <row r="2230" ht="22.5" customHeight="1">
      <c r="A2230" s="66" t="s">
        <v>3184</v>
      </c>
      <c r="B2230" s="67" t="str">
        <f t="shared" si="11"/>
        <v>M: advice</v>
      </c>
      <c r="C2230" s="68"/>
      <c r="D2230" s="68">
        <v>45972.0</v>
      </c>
      <c r="E2230" s="66">
        <v>1.0</v>
      </c>
      <c r="F2230" s="66" t="str">
        <f>IFERROR(__xludf.DUMMYFUNCTION("GOOGLETRANSLATE(A2230,""en"",""pt"")"),"conselho")</f>
        <v>conselho</v>
      </c>
      <c r="G2230" s="69"/>
    </row>
    <row r="2231" ht="22.5" customHeight="1">
      <c r="A2231" s="66" t="s">
        <v>3185</v>
      </c>
      <c r="B2231" s="67" t="str">
        <f t="shared" si="11"/>
        <v>M: upcycled</v>
      </c>
      <c r="C2231" s="68"/>
      <c r="D2231" s="68">
        <v>45972.0</v>
      </c>
      <c r="E2231" s="66">
        <v>2.0</v>
      </c>
      <c r="F2231" s="66" t="str">
        <f>IFERROR(__xludf.DUMMYFUNCTION("GOOGLETRANSLATE(A2231,""en"",""pt"")"),"reciclado")</f>
        <v>reciclado</v>
      </c>
      <c r="G2231" s="69"/>
    </row>
    <row r="2232" ht="22.5" customHeight="1">
      <c r="A2232" s="66" t="s">
        <v>3186</v>
      </c>
      <c r="B2232" s="67" t="str">
        <f t="shared" si="11"/>
        <v>M: go for it</v>
      </c>
      <c r="C2232" s="68"/>
      <c r="D2232" s="68">
        <v>45973.0</v>
      </c>
      <c r="E2232" s="66">
        <v>3.0</v>
      </c>
      <c r="F2232" s="66" t="str">
        <f>IFERROR(__xludf.DUMMYFUNCTION("GOOGLETRANSLATE(A2232,""en"",""pt"")"),"Vá em frente")</f>
        <v>Vá em frente</v>
      </c>
      <c r="G2232" s="69"/>
    </row>
    <row r="2233" ht="22.5" customHeight="1">
      <c r="A2233" s="66" t="s">
        <v>3187</v>
      </c>
      <c r="B2233" s="67" t="str">
        <f t="shared" si="11"/>
        <v>M: brands</v>
      </c>
      <c r="C2233" s="68"/>
      <c r="D2233" s="68">
        <v>45973.0</v>
      </c>
      <c r="E2233" s="66">
        <v>4.0</v>
      </c>
      <c r="F2233" s="66" t="str">
        <f>IFERROR(__xludf.DUMMYFUNCTION("GOOGLETRANSLATE(A2233,""en"",""pt"")"),"marcas")</f>
        <v>marcas</v>
      </c>
      <c r="G2233" s="69"/>
    </row>
    <row r="2234" ht="22.5" customHeight="1">
      <c r="A2234" s="66" t="s">
        <v>3188</v>
      </c>
      <c r="B2234" s="67" t="str">
        <f t="shared" si="11"/>
        <v>M: come up with</v>
      </c>
      <c r="C2234" s="68"/>
      <c r="D2234" s="68">
        <v>45973.0</v>
      </c>
      <c r="E2234" s="66">
        <v>5.0</v>
      </c>
      <c r="F2234" s="66" t="str">
        <f>IFERROR(__xludf.DUMMYFUNCTION("GOOGLETRANSLATE(A2234,""en"",""pt"")"),"inventar")</f>
        <v>inventar</v>
      </c>
      <c r="G2234" s="69"/>
    </row>
    <row r="2235" ht="22.5" customHeight="1">
      <c r="A2235" s="66" t="s">
        <v>3189</v>
      </c>
      <c r="B2235" s="67" t="str">
        <f t="shared" si="11"/>
        <v>M: fourth</v>
      </c>
      <c r="C2235" s="68"/>
      <c r="D2235" s="68">
        <v>45973.0</v>
      </c>
      <c r="E2235" s="66">
        <v>6.0</v>
      </c>
      <c r="F2235" s="66" t="str">
        <f>IFERROR(__xludf.DUMMYFUNCTION("GOOGLETRANSLATE(A2235,""en"",""pt"")"),"quarto")</f>
        <v>quarto</v>
      </c>
      <c r="G2235" s="69"/>
    </row>
    <row r="2236" ht="22.5" customHeight="1">
      <c r="A2236" s="66" t="s">
        <v>3190</v>
      </c>
      <c r="B2236" s="67" t="str">
        <f t="shared" si="11"/>
        <v>M: awesome</v>
      </c>
      <c r="C2236" s="68"/>
      <c r="D2236" s="68">
        <v>45973.0</v>
      </c>
      <c r="E2236" s="66">
        <v>7.0</v>
      </c>
      <c r="F2236" s="66" t="str">
        <f>IFERROR(__xludf.DUMMYFUNCTION("GOOGLETRANSLATE(A2236,""en"",""pt"")"),"incrível")</f>
        <v>incrível</v>
      </c>
      <c r="G2236" s="69"/>
    </row>
    <row r="2237" ht="22.5" customHeight="1">
      <c r="A2237" s="66" t="s">
        <v>3191</v>
      </c>
      <c r="B2237" s="67" t="str">
        <f t="shared" si="11"/>
        <v>M: spend</v>
      </c>
      <c r="C2237" s="68"/>
      <c r="D2237" s="68">
        <v>45973.0</v>
      </c>
      <c r="E2237" s="66">
        <v>8.0</v>
      </c>
      <c r="F2237" s="66" t="str">
        <f>IFERROR(__xludf.DUMMYFUNCTION("GOOGLETRANSLATE(A2237,""en"",""pt"")"),"gastar")</f>
        <v>gastar</v>
      </c>
      <c r="G2237" s="69"/>
    </row>
    <row r="2238" ht="22.5" customHeight="1">
      <c r="A2238" s="66" t="s">
        <v>3192</v>
      </c>
      <c r="B2238" s="67" t="str">
        <f t="shared" si="11"/>
        <v>M: all-rounder</v>
      </c>
      <c r="C2238" s="68"/>
      <c r="D2238" s="68">
        <v>45973.0</v>
      </c>
      <c r="E2238" s="66">
        <v>9.0</v>
      </c>
      <c r="F2238" s="66" t="str">
        <f>IFERROR(__xludf.DUMMYFUNCTION("GOOGLETRANSLATE(A2238,""en"",""pt"")"),"versátil")</f>
        <v>versátil</v>
      </c>
      <c r="G2238" s="69"/>
    </row>
    <row r="2239" ht="22.5" customHeight="1">
      <c r="A2239" s="66" t="s">
        <v>3193</v>
      </c>
      <c r="B2239" s="67" t="str">
        <f t="shared" si="11"/>
        <v>M: wasting</v>
      </c>
      <c r="C2239" s="68"/>
      <c r="D2239" s="68">
        <v>45973.0</v>
      </c>
      <c r="E2239" s="66">
        <v>10.0</v>
      </c>
      <c r="F2239" s="66" t="str">
        <f>IFERROR(__xludf.DUMMYFUNCTION("GOOGLETRANSLATE(A2239,""en"",""pt"")"),"desperdiçando")</f>
        <v>desperdiçando</v>
      </c>
      <c r="G2239" s="69"/>
    </row>
    <row r="2240" ht="22.5" customHeight="1">
      <c r="A2240" s="66" t="s">
        <v>3194</v>
      </c>
      <c r="B2240" s="67" t="str">
        <f t="shared" si="11"/>
        <v>M: wisdom</v>
      </c>
      <c r="C2240" s="68"/>
      <c r="D2240" s="68">
        <v>45973.0</v>
      </c>
      <c r="E2240" s="66">
        <v>1.0</v>
      </c>
      <c r="F2240" s="66" t="str">
        <f>IFERROR(__xludf.DUMMYFUNCTION("GOOGLETRANSLATE(A2240,""en"",""pt"")"),"sabedoria")</f>
        <v>sabedoria</v>
      </c>
      <c r="G2240" s="69"/>
    </row>
    <row r="2241" ht="22.5" customHeight="1">
      <c r="A2241" s="66" t="s">
        <v>3195</v>
      </c>
      <c r="B2241" s="67" t="str">
        <f t="shared" si="11"/>
        <v>M: latest</v>
      </c>
      <c r="C2241" s="68"/>
      <c r="D2241" s="68">
        <v>45973.0</v>
      </c>
      <c r="E2241" s="66">
        <v>2.0</v>
      </c>
      <c r="F2241" s="66" t="str">
        <f>IFERROR(__xludf.DUMMYFUNCTION("GOOGLETRANSLATE(A2241,""en"",""pt"")"),"mais recente")</f>
        <v>mais recente</v>
      </c>
      <c r="G2241" s="69"/>
    </row>
    <row r="2242" ht="22.5" customHeight="1">
      <c r="A2242" s="66" t="s">
        <v>3196</v>
      </c>
      <c r="B2242" s="67" t="str">
        <f t="shared" si="11"/>
        <v>M: cheerful</v>
      </c>
      <c r="C2242" s="68"/>
      <c r="D2242" s="68">
        <v>45974.0</v>
      </c>
      <c r="E2242" s="66">
        <v>3.0</v>
      </c>
      <c r="F2242" s="66" t="str">
        <f>IFERROR(__xludf.DUMMYFUNCTION("GOOGLETRANSLATE(A2242,""en"",""pt"")"),"alegre")</f>
        <v>alegre</v>
      </c>
      <c r="G2242" s="69"/>
    </row>
    <row r="2243" ht="22.5" customHeight="1">
      <c r="A2243" s="66" t="s">
        <v>3197</v>
      </c>
      <c r="B2243" s="67" t="str">
        <f t="shared" si="11"/>
        <v>M: arguably</v>
      </c>
      <c r="C2243" s="68"/>
      <c r="D2243" s="68">
        <v>45974.0</v>
      </c>
      <c r="E2243" s="66">
        <v>4.0</v>
      </c>
      <c r="F2243" s="66" t="str">
        <f>IFERROR(__xludf.DUMMYFUNCTION("GOOGLETRANSLATE(A2243,""en"",""pt"")"),"sem dúvida")</f>
        <v>sem dúvida</v>
      </c>
      <c r="G2243" s="69"/>
    </row>
    <row r="2244" ht="22.5" customHeight="1">
      <c r="A2244" s="66" t="s">
        <v>3198</v>
      </c>
      <c r="B2244" s="67" t="str">
        <f t="shared" si="11"/>
        <v>M: waffly</v>
      </c>
      <c r="C2244" s="68"/>
      <c r="D2244" s="68">
        <v>45974.0</v>
      </c>
      <c r="E2244" s="66">
        <v>5.0</v>
      </c>
      <c r="F2244" s="66" t="str">
        <f>IFERROR(__xludf.DUMMYFUNCTION("GOOGLETRANSLATE(A2244,""en"",""pt"")"),"divagante")</f>
        <v>divagante</v>
      </c>
      <c r="G2244" s="69"/>
    </row>
    <row r="2245" ht="22.5" customHeight="1">
      <c r="A2245" s="66" t="s">
        <v>3199</v>
      </c>
      <c r="B2245" s="67" t="str">
        <f t="shared" si="11"/>
        <v>M: clamshell</v>
      </c>
      <c r="C2245" s="68"/>
      <c r="D2245" s="68">
        <v>45974.0</v>
      </c>
      <c r="E2245" s="66">
        <v>6.0</v>
      </c>
      <c r="F2245" s="66" t="str">
        <f>IFERROR(__xludf.DUMMYFUNCTION("GOOGLETRANSLATE(A2245,""en"",""pt"")"),"garra")</f>
        <v>garra</v>
      </c>
      <c r="G2245" s="69"/>
    </row>
    <row r="2246" ht="22.5" customHeight="1">
      <c r="A2246" s="66" t="s">
        <v>3200</v>
      </c>
      <c r="B2246" s="67" t="str">
        <f t="shared" si="11"/>
        <v>M: doodling</v>
      </c>
      <c r="C2246" s="68"/>
      <c r="D2246" s="68">
        <v>45974.0</v>
      </c>
      <c r="E2246" s="66">
        <v>7.0</v>
      </c>
      <c r="F2246" s="66" t="str">
        <f>IFERROR(__xludf.DUMMYFUNCTION("GOOGLETRANSLATE(A2246,""en"",""pt"")"),"rabiscando")</f>
        <v>rabiscando</v>
      </c>
      <c r="G2246" s="69"/>
    </row>
    <row r="2247" ht="22.5" customHeight="1">
      <c r="A2247" s="66" t="s">
        <v>3201</v>
      </c>
      <c r="B2247" s="67" t="str">
        <f t="shared" si="11"/>
        <v>M: inches</v>
      </c>
      <c r="C2247" s="68"/>
      <c r="D2247" s="68">
        <v>45974.0</v>
      </c>
      <c r="E2247" s="66">
        <v>8.0</v>
      </c>
      <c r="F2247" s="66" t="str">
        <f>IFERROR(__xludf.DUMMYFUNCTION("GOOGLETRANSLATE(A2247,""en"",""pt"")"),"polegadas")</f>
        <v>polegadas</v>
      </c>
      <c r="G2247" s="69"/>
    </row>
    <row r="2248" ht="22.5" customHeight="1">
      <c r="A2248" s="66" t="s">
        <v>3202</v>
      </c>
      <c r="B2248" s="67" t="str">
        <f t="shared" si="11"/>
        <v>M: mainly</v>
      </c>
      <c r="C2248" s="68"/>
      <c r="D2248" s="68">
        <v>45974.0</v>
      </c>
      <c r="E2248" s="66">
        <v>9.0</v>
      </c>
      <c r="F2248" s="66" t="str">
        <f>IFERROR(__xludf.DUMMYFUNCTION("GOOGLETRANSLATE(A2248,""en"",""pt"")"),"principalmente")</f>
        <v>principalmente</v>
      </c>
      <c r="G2248" s="69"/>
    </row>
    <row r="2249" ht="22.5" customHeight="1">
      <c r="A2249" s="66" t="s">
        <v>3203</v>
      </c>
      <c r="B2249" s="67" t="str">
        <f t="shared" si="11"/>
        <v>M: contained</v>
      </c>
      <c r="C2249" s="68"/>
      <c r="D2249" s="68">
        <v>45974.0</v>
      </c>
      <c r="E2249" s="66">
        <v>10.0</v>
      </c>
      <c r="F2249" s="66" t="str">
        <f>IFERROR(__xludf.DUMMYFUNCTION("GOOGLETRANSLATE(A2249,""en"",""pt"")"),"continha")</f>
        <v>continha</v>
      </c>
      <c r="G2249" s="69"/>
    </row>
    <row r="2250" ht="22.5" customHeight="1">
      <c r="A2250" s="66" t="s">
        <v>3204</v>
      </c>
      <c r="B2250" s="67" t="str">
        <f t="shared" si="11"/>
        <v>M: wary</v>
      </c>
      <c r="C2250" s="68"/>
      <c r="D2250" s="68">
        <v>45974.0</v>
      </c>
      <c r="E2250" s="66">
        <v>1.0</v>
      </c>
      <c r="F2250" s="66" t="str">
        <f>IFERROR(__xludf.DUMMYFUNCTION("GOOGLETRANSLATE(A2250,""en"",""pt"")"),"cauteloso")</f>
        <v>cauteloso</v>
      </c>
      <c r="G2250" s="69"/>
    </row>
    <row r="2251" ht="22.5" customHeight="1">
      <c r="A2251" s="66" t="s">
        <v>3205</v>
      </c>
      <c r="B2251" s="67" t="str">
        <f t="shared" si="11"/>
        <v>M: jarring</v>
      </c>
      <c r="C2251" s="68"/>
      <c r="D2251" s="68">
        <v>45974.0</v>
      </c>
      <c r="E2251" s="66">
        <v>2.0</v>
      </c>
      <c r="F2251" s="66" t="str">
        <f>IFERROR(__xludf.DUMMYFUNCTION("GOOGLETRANSLATE(A2251,""en"",""pt"")"),"chocante")</f>
        <v>chocante</v>
      </c>
      <c r="G2251" s="69"/>
    </row>
    <row r="2252" ht="22.5" customHeight="1">
      <c r="A2252" s="66" t="s">
        <v>3206</v>
      </c>
      <c r="B2252" s="67" t="str">
        <f t="shared" si="11"/>
        <v>M: sticking</v>
      </c>
      <c r="C2252" s="68"/>
      <c r="D2252" s="68">
        <v>45975.0</v>
      </c>
      <c r="E2252" s="66">
        <v>3.0</v>
      </c>
      <c r="F2252" s="66" t="str">
        <f>IFERROR(__xludf.DUMMYFUNCTION("GOOGLETRANSLATE(A2252,""en"",""pt"")"),"grudando")</f>
        <v>grudando</v>
      </c>
      <c r="G2252" s="69"/>
    </row>
    <row r="2253" ht="22.5" customHeight="1">
      <c r="A2253" s="66" t="s">
        <v>3207</v>
      </c>
      <c r="B2253" s="67" t="str">
        <f t="shared" si="11"/>
        <v>M: expensive</v>
      </c>
      <c r="C2253" s="68"/>
      <c r="D2253" s="68">
        <v>45975.0</v>
      </c>
      <c r="E2253" s="66">
        <v>4.0</v>
      </c>
      <c r="F2253" s="66" t="str">
        <f>IFERROR(__xludf.DUMMYFUNCTION("GOOGLETRANSLATE(A2253,""en"",""pt"")"),"caro")</f>
        <v>caro</v>
      </c>
      <c r="G2253" s="69"/>
    </row>
    <row r="2254" ht="22.5" customHeight="1">
      <c r="A2254" s="66" t="s">
        <v>3208</v>
      </c>
      <c r="B2254" s="67" t="str">
        <f t="shared" si="11"/>
        <v>M: taller</v>
      </c>
      <c r="C2254" s="68"/>
      <c r="D2254" s="68">
        <v>45975.0</v>
      </c>
      <c r="E2254" s="66">
        <v>5.0</v>
      </c>
      <c r="F2254" s="66" t="str">
        <f>IFERROR(__xludf.DUMMYFUNCTION("GOOGLETRANSLATE(A2254,""en"",""pt"")"),"mais alto")</f>
        <v>mais alto</v>
      </c>
      <c r="G2254" s="69"/>
    </row>
    <row r="2255" ht="22.5" customHeight="1">
      <c r="A2255" s="66" t="s">
        <v>3209</v>
      </c>
      <c r="B2255" s="67" t="str">
        <f t="shared" si="11"/>
        <v>M: aspect</v>
      </c>
      <c r="C2255" s="68"/>
      <c r="D2255" s="68">
        <v>45975.0</v>
      </c>
      <c r="E2255" s="66">
        <v>6.0</v>
      </c>
      <c r="F2255" s="66" t="str">
        <f>IFERROR(__xludf.DUMMYFUNCTION("GOOGLETRANSLATE(A2255,""en"",""pt"")"),"aspecto")</f>
        <v>aspecto</v>
      </c>
      <c r="G2255" s="69"/>
    </row>
    <row r="2256" ht="22.5" customHeight="1">
      <c r="A2256" s="66" t="s">
        <v>3210</v>
      </c>
      <c r="B2256" s="67" t="str">
        <f t="shared" si="11"/>
        <v>M: commonly</v>
      </c>
      <c r="C2256" s="68"/>
      <c r="D2256" s="68">
        <v>45975.0</v>
      </c>
      <c r="E2256" s="66">
        <v>7.0</v>
      </c>
      <c r="F2256" s="66" t="str">
        <f>IFERROR(__xludf.DUMMYFUNCTION("GOOGLETRANSLATE(A2256,""en"",""pt"")"),"geralmente")</f>
        <v>geralmente</v>
      </c>
      <c r="G2256" s="69"/>
    </row>
    <row r="2257" ht="22.5" customHeight="1">
      <c r="A2257" s="66" t="s">
        <v>3211</v>
      </c>
      <c r="B2257" s="67" t="str">
        <f t="shared" si="11"/>
        <v>M: halfway</v>
      </c>
      <c r="C2257" s="68"/>
      <c r="D2257" s="68">
        <v>45975.0</v>
      </c>
      <c r="E2257" s="66">
        <v>8.0</v>
      </c>
      <c r="F2257" s="66" t="str">
        <f>IFERROR(__xludf.DUMMYFUNCTION("GOOGLETRANSLATE(A2257,""en"",""pt"")"),"a meio caminho")</f>
        <v>a meio caminho</v>
      </c>
      <c r="G2257" s="69"/>
    </row>
    <row r="2258" ht="22.5" customHeight="1">
      <c r="A2258" s="66" t="s">
        <v>3212</v>
      </c>
      <c r="B2258" s="67" t="str">
        <f t="shared" si="11"/>
        <v>M: thats what</v>
      </c>
      <c r="C2258" s="68"/>
      <c r="D2258" s="68">
        <v>45975.0</v>
      </c>
      <c r="E2258" s="66">
        <v>9.0</v>
      </c>
      <c r="F2258" s="66" t="str">
        <f>IFERROR(__xludf.DUMMYFUNCTION("GOOGLETRANSLATE(A2258,""en"",""pt"")"),"é isso")</f>
        <v>é isso</v>
      </c>
      <c r="G2258" s="69"/>
    </row>
    <row r="2259" ht="22.5" customHeight="1">
      <c r="A2259" s="66" t="s">
        <v>3213</v>
      </c>
      <c r="B2259" s="67" t="str">
        <f t="shared" si="11"/>
        <v>M: tied to</v>
      </c>
      <c r="C2259" s="68"/>
      <c r="D2259" s="68">
        <v>45975.0</v>
      </c>
      <c r="E2259" s="66">
        <v>10.0</v>
      </c>
      <c r="F2259" s="66" t="str">
        <f>IFERROR(__xludf.DUMMYFUNCTION("GOOGLETRANSLATE(A2259,""en"",""pt"")"),"ligado a")</f>
        <v>ligado a</v>
      </c>
      <c r="G2259" s="69"/>
    </row>
    <row r="2260" ht="22.5" customHeight="1">
      <c r="A2260" s="66" t="s">
        <v>3214</v>
      </c>
      <c r="B2260" s="67" t="str">
        <f t="shared" si="11"/>
        <v>M: preferably</v>
      </c>
      <c r="C2260" s="68"/>
      <c r="D2260" s="68">
        <v>45975.0</v>
      </c>
      <c r="E2260" s="66">
        <v>1.0</v>
      </c>
      <c r="F2260" s="66" t="str">
        <f>IFERROR(__xludf.DUMMYFUNCTION("GOOGLETRANSLATE(A2260,""en"",""pt"")"),"de preferência")</f>
        <v>de preferência</v>
      </c>
      <c r="G2260" s="69"/>
    </row>
    <row r="2261" ht="22.5" customHeight="1">
      <c r="A2261" s="66" t="s">
        <v>3215</v>
      </c>
      <c r="B2261" s="67" t="str">
        <f t="shared" si="11"/>
        <v>M: lacking</v>
      </c>
      <c r="C2261" s="68"/>
      <c r="D2261" s="68">
        <v>45975.0</v>
      </c>
      <c r="E2261" s="66">
        <v>2.0</v>
      </c>
      <c r="F2261" s="66" t="str">
        <f>IFERROR(__xludf.DUMMYFUNCTION("GOOGLETRANSLATE(A2261,""en"",""pt"")"),"faltando")</f>
        <v>faltando</v>
      </c>
      <c r="G2261" s="69"/>
    </row>
    <row r="2262" ht="22.5" customHeight="1">
      <c r="A2262" s="66" t="s">
        <v>3216</v>
      </c>
      <c r="B2262" s="67" t="str">
        <f t="shared" si="11"/>
        <v>M: wildly</v>
      </c>
      <c r="C2262" s="68"/>
      <c r="D2262" s="68">
        <v>45976.0</v>
      </c>
      <c r="E2262" s="66">
        <v>3.0</v>
      </c>
      <c r="F2262" s="66" t="str">
        <f>IFERROR(__xludf.DUMMYFUNCTION("GOOGLETRANSLATE(A2262,""en"",""pt"")"),"descontroladamente")</f>
        <v>descontroladamente</v>
      </c>
      <c r="G2262" s="69"/>
    </row>
    <row r="2263" ht="22.5" customHeight="1">
      <c r="A2263" s="66" t="s">
        <v>3217</v>
      </c>
      <c r="B2263" s="67" t="str">
        <f>CONCATENATE("M: ",#REF!)</f>
        <v>#REF!</v>
      </c>
      <c r="C2263" s="68"/>
      <c r="D2263" s="68">
        <v>45976.0</v>
      </c>
      <c r="E2263" s="66">
        <v>4.0</v>
      </c>
      <c r="F2263" s="66" t="str">
        <f>IFERROR(__xludf.DUMMYFUNCTION("GOOGLETRANSLATE(A2263,""en"",""pt"")"),"nomeação")</f>
        <v>nomeação</v>
      </c>
      <c r="G2263" s="69"/>
    </row>
    <row r="2264" ht="22.5" customHeight="1">
      <c r="A2264" s="70" t="s">
        <v>3218</v>
      </c>
      <c r="B2264" s="67" t="str">
        <f>CONCATENATE("M: ",A2263)</f>
        <v>M: naming</v>
      </c>
      <c r="C2264" s="68"/>
      <c r="D2264" s="68">
        <v>45976.0</v>
      </c>
      <c r="E2264" s="66">
        <v>5.0</v>
      </c>
      <c r="F2264" s="66" t="str">
        <f>IFERROR(__xludf.DUMMYFUNCTION("GOOGLETRANSLATE(A2264,""en"",""pt"")"),"crise")</f>
        <v>crise</v>
      </c>
      <c r="G2264" s="69"/>
    </row>
    <row r="2265" ht="22.5" customHeight="1">
      <c r="A2265" s="66" t="s">
        <v>3219</v>
      </c>
      <c r="B2265" s="67" t="str">
        <f t="shared" ref="B2265:B2286" si="12">CONCATENATE("M: ",A2265)</f>
        <v>M: quantified</v>
      </c>
      <c r="C2265" s="68"/>
      <c r="D2265" s="68">
        <v>45976.0</v>
      </c>
      <c r="E2265" s="66">
        <v>6.0</v>
      </c>
      <c r="F2265" s="66" t="str">
        <f>IFERROR(__xludf.DUMMYFUNCTION("GOOGLETRANSLATE(A2265,""en"",""pt"")"),"quantificado")</f>
        <v>quantificado</v>
      </c>
      <c r="G2265" s="69"/>
    </row>
    <row r="2266" ht="22.5" customHeight="1">
      <c r="A2266" s="66" t="s">
        <v>3220</v>
      </c>
      <c r="B2266" s="67" t="str">
        <f t="shared" si="12"/>
        <v>M: forecast</v>
      </c>
      <c r="C2266" s="68"/>
      <c r="D2266" s="68">
        <v>45976.0</v>
      </c>
      <c r="E2266" s="66">
        <v>7.0</v>
      </c>
      <c r="F2266" s="66" t="str">
        <f>IFERROR(__xludf.DUMMYFUNCTION("GOOGLETRANSLATE(A2266,""en"",""pt"")"),"previsão")</f>
        <v>previsão</v>
      </c>
      <c r="G2266" s="69"/>
    </row>
    <row r="2267" ht="22.5" customHeight="1">
      <c r="A2267" s="66" t="s">
        <v>3221</v>
      </c>
      <c r="B2267" s="67" t="str">
        <f t="shared" si="12"/>
        <v>M: satori</v>
      </c>
      <c r="C2267" s="68"/>
      <c r="D2267" s="68">
        <v>45976.0</v>
      </c>
      <c r="E2267" s="66">
        <v>8.0</v>
      </c>
      <c r="F2267" s="66" t="str">
        <f>IFERROR(__xludf.DUMMYFUNCTION("GOOGLETRANSLATE(A2267,""en"",""pt"")"),"satori")</f>
        <v>satori</v>
      </c>
      <c r="G2267" s="69"/>
    </row>
    <row r="2268" ht="22.5" customHeight="1">
      <c r="A2268" s="66" t="s">
        <v>3222</v>
      </c>
      <c r="B2268" s="67" t="str">
        <f t="shared" si="12"/>
        <v>M: flatline</v>
      </c>
      <c r="C2268" s="68"/>
      <c r="D2268" s="68">
        <v>45976.0</v>
      </c>
      <c r="E2268" s="66">
        <v>9.0</v>
      </c>
      <c r="F2268" s="66" t="str">
        <f>IFERROR(__xludf.DUMMYFUNCTION("GOOGLETRANSLATE(A2268,""en"",""pt"")"),"linha reta")</f>
        <v>linha reta</v>
      </c>
      <c r="G2268" s="69"/>
    </row>
    <row r="2269" ht="22.5" customHeight="1">
      <c r="A2269" s="66" t="s">
        <v>3223</v>
      </c>
      <c r="B2269" s="67" t="str">
        <f t="shared" si="12"/>
        <v>M: techie</v>
      </c>
      <c r="C2269" s="68"/>
      <c r="D2269" s="68">
        <v>45976.0</v>
      </c>
      <c r="E2269" s="66">
        <v>10.0</v>
      </c>
      <c r="F2269" s="66" t="str">
        <f>IFERROR(__xludf.DUMMYFUNCTION("GOOGLETRANSLATE(A2269,""en"",""pt"")"),"técnico")</f>
        <v>técnico</v>
      </c>
      <c r="G2269" s="69"/>
    </row>
    <row r="2270" ht="22.5" customHeight="1">
      <c r="A2270" s="66" t="s">
        <v>3224</v>
      </c>
      <c r="B2270" s="67" t="str">
        <f t="shared" si="12"/>
        <v>M: ahead</v>
      </c>
      <c r="C2270" s="68"/>
      <c r="D2270" s="68">
        <v>45976.0</v>
      </c>
      <c r="E2270" s="66">
        <v>1.0</v>
      </c>
      <c r="F2270" s="66" t="str">
        <f>IFERROR(__xludf.DUMMYFUNCTION("GOOGLETRANSLATE(A2270,""en"",""pt"")"),"à frente")</f>
        <v>à frente</v>
      </c>
      <c r="G2270" s="69"/>
    </row>
    <row r="2271" ht="22.5" customHeight="1">
      <c r="A2271" s="66" t="s">
        <v>3225</v>
      </c>
      <c r="B2271" s="67" t="str">
        <f t="shared" si="12"/>
        <v>M: trust</v>
      </c>
      <c r="C2271" s="68"/>
      <c r="D2271" s="68">
        <v>45976.0</v>
      </c>
      <c r="E2271" s="66">
        <v>2.0</v>
      </c>
      <c r="F2271" s="66" t="str">
        <f>IFERROR(__xludf.DUMMYFUNCTION("GOOGLETRANSLATE(A2271,""en"",""pt"")"),"confiar")</f>
        <v>confiar</v>
      </c>
      <c r="G2271" s="69"/>
    </row>
    <row r="2272" ht="22.5" customHeight="1">
      <c r="A2272" s="66" t="s">
        <v>3226</v>
      </c>
      <c r="B2272" s="67" t="str">
        <f t="shared" si="12"/>
        <v>M: hitjob</v>
      </c>
      <c r="C2272" s="68"/>
      <c r="D2272" s="68">
        <v>45977.0</v>
      </c>
      <c r="E2272" s="66">
        <v>3.0</v>
      </c>
      <c r="F2272" s="66" t="str">
        <f>IFERROR(__xludf.DUMMYFUNCTION("GOOGLETRANSLATE(A2272,""en"",""pt"")"),"assassinato")</f>
        <v>assassinato</v>
      </c>
      <c r="G2272" s="69"/>
    </row>
    <row r="2273" ht="22.5" customHeight="1">
      <c r="A2273" s="66" t="s">
        <v>3227</v>
      </c>
      <c r="B2273" s="67" t="str">
        <f t="shared" si="12"/>
        <v>M: refuse</v>
      </c>
      <c r="C2273" s="68"/>
      <c r="D2273" s="68">
        <v>45977.0</v>
      </c>
      <c r="E2273" s="66">
        <v>4.0</v>
      </c>
      <c r="F2273" s="66" t="str">
        <f>IFERROR(__xludf.DUMMYFUNCTION("GOOGLETRANSLATE(A2273,""en"",""pt"")"),"recusar")</f>
        <v>recusar</v>
      </c>
      <c r="G2273" s="69"/>
    </row>
    <row r="2274" ht="22.5" customHeight="1">
      <c r="A2274" s="66" t="s">
        <v>3228</v>
      </c>
      <c r="B2274" s="67" t="str">
        <f t="shared" si="12"/>
        <v>M: grenadine</v>
      </c>
      <c r="C2274" s="68"/>
      <c r="D2274" s="68">
        <v>45977.0</v>
      </c>
      <c r="E2274" s="66">
        <v>5.0</v>
      </c>
      <c r="F2274" s="66" t="str">
        <f>IFERROR(__xludf.DUMMYFUNCTION("GOOGLETRANSLATE(A2274,""en"",""pt"")"),"granadina")</f>
        <v>granadina</v>
      </c>
      <c r="G2274" s="69"/>
    </row>
    <row r="2275" ht="22.5" customHeight="1">
      <c r="A2275" s="66" t="s">
        <v>3229</v>
      </c>
      <c r="B2275" s="67" t="str">
        <f t="shared" si="12"/>
        <v>M: lime</v>
      </c>
      <c r="C2275" s="68"/>
      <c r="D2275" s="68">
        <v>45977.0</v>
      </c>
      <c r="E2275" s="66">
        <v>6.0</v>
      </c>
      <c r="F2275" s="66" t="str">
        <f>IFERROR(__xludf.DUMMYFUNCTION("GOOGLETRANSLATE(A2275,""en"",""pt"")"),"Lima")</f>
        <v>Lima</v>
      </c>
      <c r="G2275" s="69"/>
    </row>
    <row r="2276" ht="22.5" customHeight="1">
      <c r="A2276" s="66" t="s">
        <v>3230</v>
      </c>
      <c r="B2276" s="67" t="str">
        <f t="shared" si="12"/>
        <v>M: nerves</v>
      </c>
      <c r="C2276" s="68"/>
      <c r="D2276" s="68">
        <v>45977.0</v>
      </c>
      <c r="E2276" s="66">
        <v>7.0</v>
      </c>
      <c r="F2276" s="66" t="str">
        <f>IFERROR(__xludf.DUMMYFUNCTION("GOOGLETRANSLATE(A2276,""en"",""pt"")"),"nervos")</f>
        <v>nervos</v>
      </c>
      <c r="G2276" s="69"/>
    </row>
    <row r="2277" ht="22.5" customHeight="1">
      <c r="A2277" s="66" t="s">
        <v>3231</v>
      </c>
      <c r="B2277" s="67" t="str">
        <f t="shared" si="12"/>
        <v>M: by the way</v>
      </c>
      <c r="C2277" s="68"/>
      <c r="D2277" s="68">
        <v>45977.0</v>
      </c>
      <c r="E2277" s="66">
        <v>8.0</v>
      </c>
      <c r="F2277" s="66" t="str">
        <f>IFERROR(__xludf.DUMMYFUNCTION("GOOGLETRANSLATE(A2277,""en"",""pt"")"),"por falar nisso")</f>
        <v>por falar nisso</v>
      </c>
      <c r="G2277" s="69"/>
    </row>
    <row r="2278" ht="22.5" customHeight="1">
      <c r="A2278" s="66" t="s">
        <v>3232</v>
      </c>
      <c r="B2278" s="67" t="str">
        <f t="shared" si="12"/>
        <v>M: diaper</v>
      </c>
      <c r="C2278" s="68"/>
      <c r="D2278" s="68">
        <v>45977.0</v>
      </c>
      <c r="E2278" s="66">
        <v>9.0</v>
      </c>
      <c r="F2278" s="66" t="str">
        <f>IFERROR(__xludf.DUMMYFUNCTION("GOOGLETRANSLATE(A2278,""en"",""pt"")"),"fralda")</f>
        <v>fralda</v>
      </c>
      <c r="G2278" s="69"/>
    </row>
    <row r="2279" ht="22.5" customHeight="1">
      <c r="A2279" s="66" t="s">
        <v>3233</v>
      </c>
      <c r="B2279" s="67" t="str">
        <f t="shared" si="12"/>
        <v>M: bounce off</v>
      </c>
      <c r="C2279" s="68"/>
      <c r="D2279" s="68">
        <v>45977.0</v>
      </c>
      <c r="E2279" s="66">
        <v>10.0</v>
      </c>
      <c r="F2279" s="66" t="str">
        <f>IFERROR(__xludf.DUMMYFUNCTION("GOOGLETRANSLATE(A2279,""en"",""pt"")"),"ricochetear")</f>
        <v>ricochetear</v>
      </c>
      <c r="G2279" s="69"/>
    </row>
    <row r="2280" ht="22.5" customHeight="1">
      <c r="A2280" s="66" t="s">
        <v>3234</v>
      </c>
      <c r="B2280" s="67" t="str">
        <f t="shared" si="12"/>
        <v>M: selling</v>
      </c>
      <c r="C2280" s="68"/>
      <c r="D2280" s="68">
        <v>45977.0</v>
      </c>
      <c r="E2280" s="66">
        <v>1.0</v>
      </c>
      <c r="F2280" s="66" t="str">
        <f>IFERROR(__xludf.DUMMYFUNCTION("GOOGLETRANSLATE(A2280,""en"",""pt"")"),"vendendo")</f>
        <v>vendendo</v>
      </c>
      <c r="G2280" s="69"/>
    </row>
    <row r="2281" ht="22.5" customHeight="1">
      <c r="A2281" s="66" t="s">
        <v>3235</v>
      </c>
      <c r="B2281" s="67" t="str">
        <f t="shared" si="12"/>
        <v>M: currently</v>
      </c>
      <c r="C2281" s="68"/>
      <c r="D2281" s="68">
        <v>45977.0</v>
      </c>
      <c r="E2281" s="66">
        <v>2.0</v>
      </c>
      <c r="F2281" s="66" t="str">
        <f>IFERROR(__xludf.DUMMYFUNCTION("GOOGLETRANSLATE(A2281,""en"",""pt"")"),"atualmente")</f>
        <v>atualmente</v>
      </c>
      <c r="G2281" s="69"/>
    </row>
    <row r="2282" ht="22.5" customHeight="1">
      <c r="A2282" s="66" t="s">
        <v>3236</v>
      </c>
      <c r="B2282" s="67" t="str">
        <f t="shared" si="12"/>
        <v>M: revenue</v>
      </c>
      <c r="C2282" s="68"/>
      <c r="D2282" s="68">
        <v>45978.0</v>
      </c>
      <c r="E2282" s="66">
        <v>3.0</v>
      </c>
      <c r="F2282" s="66" t="str">
        <f>IFERROR(__xludf.DUMMYFUNCTION("GOOGLETRANSLATE(A2282,""en"",""pt"")"),"receita")</f>
        <v>receita</v>
      </c>
      <c r="G2282" s="69"/>
    </row>
    <row r="2283" ht="22.5" customHeight="1">
      <c r="A2283" s="66" t="s">
        <v>3237</v>
      </c>
      <c r="B2283" s="67" t="str">
        <f t="shared" si="12"/>
        <v>M: at our</v>
      </c>
      <c r="C2283" s="68"/>
      <c r="D2283" s="68">
        <v>45978.0</v>
      </c>
      <c r="E2283" s="66">
        <v>4.0</v>
      </c>
      <c r="F2283" s="66" t="str">
        <f>IFERROR(__xludf.DUMMYFUNCTION("GOOGLETRANSLATE(A2283,""en"",""pt"")"),"em nosso")</f>
        <v>em nosso</v>
      </c>
      <c r="G2283" s="69"/>
    </row>
    <row r="2284" ht="22.5" customHeight="1">
      <c r="A2284" s="66" t="s">
        <v>3238</v>
      </c>
      <c r="B2284" s="67" t="str">
        <f t="shared" si="12"/>
        <v>M: dipped</v>
      </c>
      <c r="C2284" s="68"/>
      <c r="D2284" s="68">
        <v>45978.0</v>
      </c>
      <c r="E2284" s="66">
        <v>5.0</v>
      </c>
      <c r="F2284" s="66" t="str">
        <f>IFERROR(__xludf.DUMMYFUNCTION("GOOGLETRANSLATE(A2284,""en"",""pt"")"),"mergulhado")</f>
        <v>mergulhado</v>
      </c>
      <c r="G2284" s="69"/>
    </row>
    <row r="2285" ht="22.5" customHeight="1">
      <c r="A2285" s="66" t="s">
        <v>3239</v>
      </c>
      <c r="B2285" s="67" t="str">
        <f t="shared" si="12"/>
        <v>M: trendy</v>
      </c>
      <c r="C2285" s="68"/>
      <c r="D2285" s="68">
        <v>45978.0</v>
      </c>
      <c r="E2285" s="66">
        <v>6.0</v>
      </c>
      <c r="F2285" s="66" t="str">
        <f>IFERROR(__xludf.DUMMYFUNCTION("GOOGLETRANSLATE(A2285,""en"",""pt"")"),"moderno")</f>
        <v>moderno</v>
      </c>
      <c r="G2285" s="69"/>
    </row>
    <row r="2286" ht="22.5" customHeight="1">
      <c r="A2286" s="66" t="s">
        <v>3240</v>
      </c>
      <c r="B2286" s="67" t="str">
        <f t="shared" si="12"/>
        <v>M: hip</v>
      </c>
      <c r="C2286" s="68"/>
      <c r="D2286" s="68">
        <v>45978.0</v>
      </c>
      <c r="E2286" s="66">
        <v>7.0</v>
      </c>
      <c r="F2286" s="66" t="str">
        <f>IFERROR(__xludf.DUMMYFUNCTION("GOOGLETRANSLATE(A2286,""en"",""pt"")"),"quadril")</f>
        <v>quadril</v>
      </c>
      <c r="G2286" s="69"/>
    </row>
    <row r="2287" ht="22.5" customHeight="1">
      <c r="A2287" s="70" t="s">
        <v>3241</v>
      </c>
      <c r="B2287" s="67" t="str">
        <f>CONCATENATE("M: ",A2326)</f>
        <v>M: too hip</v>
      </c>
      <c r="C2287" s="68"/>
      <c r="D2287" s="68">
        <v>45978.0</v>
      </c>
      <c r="E2287" s="66">
        <v>8.0</v>
      </c>
      <c r="F2287" s="66" t="str">
        <f>IFERROR(__xludf.DUMMYFUNCTION("GOOGLETRANSLATE(A2326,""en"",""pt"")"),"muito moderno")</f>
        <v>muito moderno</v>
      </c>
      <c r="G2287" s="69"/>
    </row>
    <row r="2288" ht="22.5" customHeight="1">
      <c r="A2288" s="66" t="s">
        <v>3242</v>
      </c>
      <c r="B2288" s="67" t="str">
        <f t="shared" ref="B2288:B2325" si="13">CONCATENATE("M: ",A2288)</f>
        <v>M: lunched</v>
      </c>
      <c r="C2288" s="68"/>
      <c r="D2288" s="68">
        <v>45978.0</v>
      </c>
      <c r="E2288" s="66">
        <v>9.0</v>
      </c>
      <c r="F2288" s="66" t="str">
        <f>IFERROR(__xludf.DUMMYFUNCTION("GOOGLETRANSLATE(A2288,""en"",""pt"")"),"almoçou")</f>
        <v>almoçou</v>
      </c>
      <c r="G2288" s="69"/>
    </row>
    <row r="2289" ht="22.5" customHeight="1">
      <c r="A2289" s="66" t="s">
        <v>3243</v>
      </c>
      <c r="B2289" s="67" t="str">
        <f t="shared" si="13"/>
        <v>M: desperation</v>
      </c>
      <c r="C2289" s="68"/>
      <c r="D2289" s="68">
        <v>45978.0</v>
      </c>
      <c r="E2289" s="66">
        <v>10.0</v>
      </c>
      <c r="F2289" s="66" t="str">
        <f>IFERROR(__xludf.DUMMYFUNCTION("GOOGLETRANSLATE(A2289,""en"",""pt"")"),"desespero")</f>
        <v>desespero</v>
      </c>
      <c r="G2289" s="69"/>
    </row>
    <row r="2290" ht="22.5" customHeight="1">
      <c r="A2290" s="66" t="s">
        <v>3244</v>
      </c>
      <c r="B2290" s="67" t="str">
        <f t="shared" si="13"/>
        <v>M: campaign</v>
      </c>
      <c r="C2290" s="68"/>
      <c r="D2290" s="68">
        <v>45978.0</v>
      </c>
      <c r="E2290" s="66">
        <v>1.0</v>
      </c>
      <c r="F2290" s="66" t="str">
        <f>IFERROR(__xludf.DUMMYFUNCTION("GOOGLETRANSLATE(A2290,""en"",""pt"")"),"campanha")</f>
        <v>campanha</v>
      </c>
      <c r="G2290" s="69"/>
    </row>
    <row r="2291" ht="22.5" customHeight="1">
      <c r="A2291" s="66" t="s">
        <v>3245</v>
      </c>
      <c r="B2291" s="67" t="str">
        <f t="shared" si="13"/>
        <v>M: afforded</v>
      </c>
      <c r="C2291" s="68"/>
      <c r="D2291" s="68">
        <v>45978.0</v>
      </c>
      <c r="E2291" s="66">
        <v>2.0</v>
      </c>
      <c r="F2291" s="66" t="str">
        <f>IFERROR(__xludf.DUMMYFUNCTION("GOOGLETRANSLATE(A2291,""en"",""pt"")"),"proporcionado")</f>
        <v>proporcionado</v>
      </c>
      <c r="G2291" s="69"/>
    </row>
    <row r="2292" ht="22.5" customHeight="1">
      <c r="A2292" s="66" t="s">
        <v>3246</v>
      </c>
      <c r="B2292" s="67" t="str">
        <f t="shared" si="13"/>
        <v>M: frustrated</v>
      </c>
      <c r="C2292" s="68"/>
      <c r="D2292" s="68">
        <v>45979.0</v>
      </c>
      <c r="E2292" s="66">
        <v>3.0</v>
      </c>
      <c r="F2292" s="66" t="str">
        <f>IFERROR(__xludf.DUMMYFUNCTION("GOOGLETRANSLATE(A2292,""en"",""pt"")"),"frustrado")</f>
        <v>frustrado</v>
      </c>
      <c r="G2292" s="69"/>
    </row>
    <row r="2293" ht="22.5" customHeight="1">
      <c r="A2293" s="66" t="s">
        <v>3247</v>
      </c>
      <c r="B2293" s="67" t="str">
        <f t="shared" si="13"/>
        <v>M: locking up</v>
      </c>
      <c r="C2293" s="68"/>
      <c r="D2293" s="68">
        <v>45979.0</v>
      </c>
      <c r="E2293" s="66">
        <v>4.0</v>
      </c>
      <c r="F2293" s="66" t="str">
        <f>IFERROR(__xludf.DUMMYFUNCTION("GOOGLETRANSLATE(A2293,""en"",""pt"")"),"trancando")</f>
        <v>trancando</v>
      </c>
      <c r="G2293" s="69"/>
    </row>
    <row r="2294" ht="22.5" customHeight="1">
      <c r="A2294" s="66" t="s">
        <v>3248</v>
      </c>
      <c r="B2294" s="67" t="str">
        <f t="shared" si="13"/>
        <v>M: landline</v>
      </c>
      <c r="C2294" s="68"/>
      <c r="D2294" s="68">
        <v>45979.0</v>
      </c>
      <c r="E2294" s="66">
        <v>6.0</v>
      </c>
      <c r="F2294" s="66" t="str">
        <f>IFERROR(__xludf.DUMMYFUNCTION("GOOGLETRANSLATE(A2294,""en"",""pt"")"),"telefone fixo")</f>
        <v>telefone fixo</v>
      </c>
      <c r="G2294" s="69"/>
    </row>
    <row r="2295" ht="22.5" customHeight="1">
      <c r="A2295" s="66" t="s">
        <v>3249</v>
      </c>
      <c r="B2295" s="67" t="str">
        <f t="shared" si="13"/>
        <v>M: payables</v>
      </c>
      <c r="C2295" s="68"/>
      <c r="D2295" s="68">
        <v>45979.0</v>
      </c>
      <c r="E2295" s="66">
        <v>7.0</v>
      </c>
      <c r="F2295" s="66" t="str">
        <f>IFERROR(__xludf.DUMMYFUNCTION("GOOGLETRANSLATE(A2295,""en"",""pt"")"),"contas a pagar")</f>
        <v>contas a pagar</v>
      </c>
      <c r="G2295" s="69"/>
    </row>
    <row r="2296" ht="22.5" customHeight="1">
      <c r="A2296" s="66" t="s">
        <v>3250</v>
      </c>
      <c r="B2296" s="67" t="str">
        <f t="shared" si="13"/>
        <v>M: fulfilled</v>
      </c>
      <c r="C2296" s="68"/>
      <c r="D2296" s="68">
        <v>45979.0</v>
      </c>
      <c r="E2296" s="66">
        <v>8.0</v>
      </c>
      <c r="F2296" s="66" t="str">
        <f>IFERROR(__xludf.DUMMYFUNCTION("GOOGLETRANSLATE(A2296,""en"",""pt"")"),"cumprido")</f>
        <v>cumprido</v>
      </c>
      <c r="G2296" s="69"/>
    </row>
    <row r="2297" ht="22.5" customHeight="1">
      <c r="A2297" s="66" t="s">
        <v>3251</v>
      </c>
      <c r="B2297" s="67" t="str">
        <f t="shared" si="13"/>
        <v>M: it'd</v>
      </c>
      <c r="C2297" s="68"/>
      <c r="D2297" s="68">
        <v>45979.0</v>
      </c>
      <c r="E2297" s="66">
        <v>9.0</v>
      </c>
      <c r="F2297" s="66" t="str">
        <f>IFERROR(__xludf.DUMMYFUNCTION("GOOGLETRANSLATE(A2297,""en"",""pt"")"),"seria")</f>
        <v>seria</v>
      </c>
      <c r="G2297" s="69"/>
    </row>
    <row r="2298" ht="22.5" customHeight="1">
      <c r="A2298" s="66" t="s">
        <v>3252</v>
      </c>
      <c r="B2298" s="67" t="str">
        <f t="shared" si="13"/>
        <v>M: scratch</v>
      </c>
      <c r="C2298" s="68"/>
      <c r="D2298" s="68">
        <v>45979.0</v>
      </c>
      <c r="E2298" s="66">
        <v>10.0</v>
      </c>
      <c r="F2298" s="66" t="str">
        <f>IFERROR(__xludf.DUMMYFUNCTION("GOOGLETRANSLATE(A2298,""en"",""pt"")"),"arranhar")</f>
        <v>arranhar</v>
      </c>
      <c r="G2298" s="69"/>
    </row>
    <row r="2299" ht="22.5" customHeight="1">
      <c r="A2299" s="66" t="s">
        <v>3253</v>
      </c>
      <c r="B2299" s="67" t="str">
        <f t="shared" si="13"/>
        <v>M: guss what</v>
      </c>
      <c r="C2299" s="68"/>
      <c r="D2299" s="68">
        <v>45979.0</v>
      </c>
      <c r="E2299" s="66">
        <v>1.0</v>
      </c>
      <c r="F2299" s="66" t="str">
        <f>IFERROR(__xludf.DUMMYFUNCTION("GOOGLETRANSLATE(A2299,""en"",""pt"")"),"Adivinha o quê?")</f>
        <v>Adivinha o quê?</v>
      </c>
      <c r="G2299" s="69"/>
    </row>
    <row r="2300" ht="22.5" customHeight="1">
      <c r="A2300" s="66" t="s">
        <v>3254</v>
      </c>
      <c r="B2300" s="67" t="str">
        <f t="shared" si="13"/>
        <v>M: blocks</v>
      </c>
      <c r="C2300" s="68"/>
      <c r="D2300" s="68">
        <v>45979.0</v>
      </c>
      <c r="E2300" s="66">
        <v>2.0</v>
      </c>
      <c r="F2300" s="66" t="str">
        <f>IFERROR(__xludf.DUMMYFUNCTION("GOOGLETRANSLATE(A2300,""en"",""pt"")"),"blocos")</f>
        <v>blocos</v>
      </c>
      <c r="G2300" s="69"/>
    </row>
    <row r="2301" ht="22.5" customHeight="1">
      <c r="A2301" s="66" t="s">
        <v>3255</v>
      </c>
      <c r="B2301" s="67" t="str">
        <f t="shared" si="13"/>
        <v>M: packed up</v>
      </c>
      <c r="C2301" s="68"/>
      <c r="D2301" s="68">
        <v>45979.0</v>
      </c>
      <c r="E2301" s="66">
        <v>3.0</v>
      </c>
      <c r="F2301" s="66" t="str">
        <f>IFERROR(__xludf.DUMMYFUNCTION("GOOGLETRANSLATE(A2301,""en"",""pt"")"),"empacotado")</f>
        <v>empacotado</v>
      </c>
      <c r="G2301" s="69"/>
    </row>
    <row r="2302" ht="22.5" customHeight="1">
      <c r="A2302" s="66" t="s">
        <v>3256</v>
      </c>
      <c r="B2302" s="67" t="str">
        <f t="shared" si="13"/>
        <v>M: located</v>
      </c>
      <c r="C2302" s="68"/>
      <c r="D2302" s="68">
        <v>45980.0</v>
      </c>
      <c r="E2302" s="66">
        <v>4.0</v>
      </c>
      <c r="F2302" s="66" t="str">
        <f>IFERROR(__xludf.DUMMYFUNCTION("GOOGLETRANSLATE(A2302,""en"",""pt"")"),"localizado")</f>
        <v>localizado</v>
      </c>
      <c r="G2302" s="69"/>
    </row>
    <row r="2303" ht="22.5" customHeight="1">
      <c r="A2303" s="66" t="s">
        <v>3257</v>
      </c>
      <c r="B2303" s="67" t="str">
        <f t="shared" si="13"/>
        <v>M: brainy</v>
      </c>
      <c r="C2303" s="68"/>
      <c r="D2303" s="68">
        <v>45980.0</v>
      </c>
      <c r="E2303" s="66">
        <v>5.0</v>
      </c>
      <c r="F2303" s="66" t="str">
        <f>IFERROR(__xludf.DUMMYFUNCTION("GOOGLETRANSLATE(A2303,""en"",""pt"")"),"inteligente")</f>
        <v>inteligente</v>
      </c>
      <c r="G2303" s="69"/>
    </row>
    <row r="2304" ht="22.5" customHeight="1">
      <c r="A2304" s="66" t="s">
        <v>3258</v>
      </c>
      <c r="B2304" s="67" t="str">
        <f t="shared" si="13"/>
        <v>M: daycare</v>
      </c>
      <c r="C2304" s="68"/>
      <c r="D2304" s="68">
        <v>45980.0</v>
      </c>
      <c r="E2304" s="66">
        <v>6.0</v>
      </c>
      <c r="F2304" s="66" t="str">
        <f>IFERROR(__xludf.DUMMYFUNCTION("GOOGLETRANSLATE(A2304,""en"",""pt"")"),"creche")</f>
        <v>creche</v>
      </c>
      <c r="G2304" s="69"/>
    </row>
    <row r="2305" ht="22.5" customHeight="1">
      <c r="A2305" s="66" t="s">
        <v>3259</v>
      </c>
      <c r="B2305" s="67" t="str">
        <f t="shared" si="13"/>
        <v>M: incorporated</v>
      </c>
      <c r="C2305" s="68"/>
      <c r="D2305" s="68">
        <v>45980.0</v>
      </c>
      <c r="E2305" s="66">
        <v>7.0</v>
      </c>
      <c r="F2305" s="66" t="str">
        <f>IFERROR(__xludf.DUMMYFUNCTION("GOOGLETRANSLATE(A2305,""en"",""pt"")"),"incorporado")</f>
        <v>incorporado</v>
      </c>
      <c r="G2305" s="69"/>
    </row>
    <row r="2306" ht="22.5" customHeight="1">
      <c r="A2306" s="66" t="s">
        <v>3260</v>
      </c>
      <c r="B2306" s="67" t="str">
        <f t="shared" si="13"/>
        <v>M: fabrics</v>
      </c>
      <c r="C2306" s="68"/>
      <c r="D2306" s="68">
        <v>45980.0</v>
      </c>
      <c r="E2306" s="66">
        <v>8.0</v>
      </c>
      <c r="F2306" s="66" t="str">
        <f>IFERROR(__xludf.DUMMYFUNCTION("GOOGLETRANSLATE(A2306,""en"",""pt"")"),"tecidos")</f>
        <v>tecidos</v>
      </c>
      <c r="G2306" s="69"/>
    </row>
    <row r="2307" ht="22.5" customHeight="1">
      <c r="A2307" s="66" t="s">
        <v>3261</v>
      </c>
      <c r="B2307" s="67" t="str">
        <f t="shared" si="13"/>
        <v>M: accessorize</v>
      </c>
      <c r="C2307" s="68"/>
      <c r="D2307" s="68">
        <v>45980.0</v>
      </c>
      <c r="E2307" s="66">
        <v>9.0</v>
      </c>
      <c r="F2307" s="66" t="str">
        <f>IFERROR(__xludf.DUMMYFUNCTION("GOOGLETRANSLATE(A2307,""en"",""pt"")"),"acessórios")</f>
        <v>acessórios</v>
      </c>
      <c r="G2307" s="69"/>
    </row>
    <row r="2308" ht="22.5" customHeight="1">
      <c r="A2308" s="66" t="s">
        <v>3262</v>
      </c>
      <c r="B2308" s="67" t="str">
        <f t="shared" si="13"/>
        <v>M: portions</v>
      </c>
      <c r="C2308" s="68"/>
      <c r="D2308" s="68">
        <v>45980.0</v>
      </c>
      <c r="E2308" s="66">
        <v>10.0</v>
      </c>
      <c r="F2308" s="66" t="str">
        <f>IFERROR(__xludf.DUMMYFUNCTION("GOOGLETRANSLATE(A2308,""en"",""pt"")"),"porções")</f>
        <v>porções</v>
      </c>
      <c r="G2308" s="69"/>
    </row>
    <row r="2309" ht="22.5" customHeight="1">
      <c r="A2309" s="66" t="s">
        <v>3263</v>
      </c>
      <c r="B2309" s="67" t="str">
        <f t="shared" si="13"/>
        <v>M: not yet</v>
      </c>
      <c r="C2309" s="68"/>
      <c r="D2309" s="68">
        <v>45980.0</v>
      </c>
      <c r="E2309" s="66">
        <v>1.0</v>
      </c>
      <c r="F2309" s="66" t="str">
        <f>IFERROR(__xludf.DUMMYFUNCTION("GOOGLETRANSLATE(A2309,""en"",""pt"")"),"ainda não")</f>
        <v>ainda não</v>
      </c>
      <c r="G2309" s="69"/>
    </row>
    <row r="2310" ht="22.5" customHeight="1">
      <c r="A2310" s="66" t="s">
        <v>3264</v>
      </c>
      <c r="B2310" s="67" t="str">
        <f t="shared" si="13"/>
        <v>M: forgetting</v>
      </c>
      <c r="C2310" s="68"/>
      <c r="D2310" s="68">
        <v>45980.0</v>
      </c>
      <c r="E2310" s="66">
        <v>2.0</v>
      </c>
      <c r="F2310" s="66" t="str">
        <f>IFERROR(__xludf.DUMMYFUNCTION("GOOGLETRANSLATE(A2310,""en"",""pt"")"),"esquecendo")</f>
        <v>esquecendo</v>
      </c>
      <c r="G2310" s="69"/>
    </row>
    <row r="2311" ht="22.5" customHeight="1">
      <c r="A2311" s="66" t="s">
        <v>3265</v>
      </c>
      <c r="B2311" s="67" t="str">
        <f t="shared" si="13"/>
        <v>M: awkward</v>
      </c>
      <c r="C2311" s="68"/>
      <c r="D2311" s="68">
        <v>45980.0</v>
      </c>
      <c r="E2311" s="66">
        <v>3.0</v>
      </c>
      <c r="F2311" s="66" t="str">
        <f>IFERROR(__xludf.DUMMYFUNCTION("GOOGLETRANSLATE(A2311,""en"",""pt"")"),"estranho")</f>
        <v>estranho</v>
      </c>
      <c r="G2311" s="69"/>
    </row>
    <row r="2312" ht="22.5" customHeight="1">
      <c r="A2312" s="66" t="s">
        <v>3266</v>
      </c>
      <c r="B2312" s="67" t="str">
        <f t="shared" si="13"/>
        <v>M: bathing</v>
      </c>
      <c r="C2312" s="68"/>
      <c r="D2312" s="68">
        <v>45981.0</v>
      </c>
      <c r="E2312" s="66">
        <v>4.0</v>
      </c>
      <c r="F2312" s="66" t="str">
        <f>IFERROR(__xludf.DUMMYFUNCTION("GOOGLETRANSLATE(A2312,""en"",""pt"")"),"banho")</f>
        <v>banho</v>
      </c>
      <c r="G2312" s="69"/>
    </row>
    <row r="2313" ht="22.5" customHeight="1">
      <c r="A2313" s="66" t="s">
        <v>3267</v>
      </c>
      <c r="B2313" s="67" t="str">
        <f t="shared" si="13"/>
        <v>M: attachable</v>
      </c>
      <c r="C2313" s="68"/>
      <c r="D2313" s="68">
        <v>45981.0</v>
      </c>
      <c r="E2313" s="66">
        <v>5.0</v>
      </c>
      <c r="F2313" s="66" t="str">
        <f>IFERROR(__xludf.DUMMYFUNCTION("GOOGLETRANSLATE(A2313,""en"",""pt"")"),"acoplável")</f>
        <v>acoplável</v>
      </c>
      <c r="G2313" s="69"/>
    </row>
    <row r="2314" ht="22.5" customHeight="1">
      <c r="A2314" s="66" t="s">
        <v>3268</v>
      </c>
      <c r="B2314" s="67" t="str">
        <f t="shared" si="13"/>
        <v>M: blushing</v>
      </c>
      <c r="C2314" s="68"/>
      <c r="D2314" s="68">
        <v>45981.0</v>
      </c>
      <c r="E2314" s="66">
        <v>6.0</v>
      </c>
      <c r="F2314" s="66" t="str">
        <f>IFERROR(__xludf.DUMMYFUNCTION("GOOGLETRANSLATE(A2314,""en"",""pt"")"),"rubor")</f>
        <v>rubor</v>
      </c>
      <c r="G2314" s="69"/>
    </row>
    <row r="2315" ht="22.5" customHeight="1">
      <c r="A2315" s="66" t="s">
        <v>3269</v>
      </c>
      <c r="B2315" s="67" t="str">
        <f t="shared" si="13"/>
        <v>M: roll</v>
      </c>
      <c r="C2315" s="68"/>
      <c r="D2315" s="68">
        <v>45981.0</v>
      </c>
      <c r="E2315" s="66">
        <v>7.0</v>
      </c>
      <c r="F2315" s="66" t="str">
        <f>IFERROR(__xludf.DUMMYFUNCTION("GOOGLETRANSLATE(A2315,""en"",""pt"")"),"rolar")</f>
        <v>rolar</v>
      </c>
      <c r="G2315" s="69"/>
    </row>
    <row r="2316" ht="22.5" customHeight="1">
      <c r="A2316" s="66" t="s">
        <v>3270</v>
      </c>
      <c r="B2316" s="67" t="str">
        <f t="shared" si="13"/>
        <v>M: proved</v>
      </c>
      <c r="C2316" s="68"/>
      <c r="D2316" s="68">
        <v>45981.0</v>
      </c>
      <c r="E2316" s="66">
        <v>8.0</v>
      </c>
      <c r="F2316" s="66" t="str">
        <f>IFERROR(__xludf.DUMMYFUNCTION("GOOGLETRANSLATE(A2316,""en"",""pt"")"),"comprovado")</f>
        <v>comprovado</v>
      </c>
      <c r="G2316" s="69"/>
    </row>
    <row r="2317" ht="22.5" customHeight="1">
      <c r="A2317" s="66" t="s">
        <v>3271</v>
      </c>
      <c r="B2317" s="67" t="str">
        <f t="shared" si="13"/>
        <v>M: nervous</v>
      </c>
      <c r="C2317" s="68"/>
      <c r="D2317" s="68">
        <v>45981.0</v>
      </c>
      <c r="E2317" s="66">
        <v>9.0</v>
      </c>
      <c r="F2317" s="66" t="str">
        <f>IFERROR(__xludf.DUMMYFUNCTION("GOOGLETRANSLATE(A2317,""en"",""pt"")"),"nervoso")</f>
        <v>nervoso</v>
      </c>
      <c r="G2317" s="69"/>
    </row>
    <row r="2318" ht="22.5" customHeight="1">
      <c r="A2318" s="66" t="s">
        <v>3272</v>
      </c>
      <c r="B2318" s="67" t="str">
        <f t="shared" si="13"/>
        <v>M: messing up</v>
      </c>
      <c r="C2318" s="68"/>
      <c r="D2318" s="68">
        <v>45981.0</v>
      </c>
      <c r="E2318" s="66">
        <v>10.0</v>
      </c>
      <c r="F2318" s="66" t="str">
        <f>IFERROR(__xludf.DUMMYFUNCTION("GOOGLETRANSLATE(A2318,""en"",""pt"")"),"estragando tudo")</f>
        <v>estragando tudo</v>
      </c>
      <c r="G2318" s="69"/>
    </row>
    <row r="2319" ht="22.5" customHeight="1">
      <c r="A2319" s="66" t="s">
        <v>3273</v>
      </c>
      <c r="B2319" s="67" t="str">
        <f t="shared" si="13"/>
        <v>M: a little bit</v>
      </c>
      <c r="C2319" s="68"/>
      <c r="D2319" s="68">
        <v>45981.0</v>
      </c>
      <c r="E2319" s="66">
        <v>1.0</v>
      </c>
      <c r="F2319" s="66" t="str">
        <f>IFERROR(__xludf.DUMMYFUNCTION("GOOGLETRANSLATE(A2319,""en"",""pt"")"),"um pouco")</f>
        <v>um pouco</v>
      </c>
      <c r="G2319" s="69"/>
    </row>
    <row r="2320" ht="22.5" customHeight="1">
      <c r="A2320" s="66" t="s">
        <v>3274</v>
      </c>
      <c r="B2320" s="67" t="str">
        <f t="shared" si="13"/>
        <v>M: did that</v>
      </c>
      <c r="C2320" s="68"/>
      <c r="D2320" s="68">
        <v>45981.0</v>
      </c>
      <c r="E2320" s="66">
        <v>2.0</v>
      </c>
      <c r="F2320" s="66" t="str">
        <f>IFERROR(__xludf.DUMMYFUNCTION("GOOGLETRANSLATE(A2320,""en"",""pt"")"),"fez isso")</f>
        <v>fez isso</v>
      </c>
      <c r="G2320" s="69"/>
    </row>
    <row r="2321" ht="22.5" customHeight="1">
      <c r="A2321" s="66" t="s">
        <v>3275</v>
      </c>
      <c r="B2321" s="67" t="str">
        <f t="shared" si="13"/>
        <v>M: bullied</v>
      </c>
      <c r="C2321" s="68"/>
      <c r="D2321" s="68">
        <v>45981.0</v>
      </c>
      <c r="E2321" s="66">
        <v>3.0</v>
      </c>
      <c r="F2321" s="66" t="str">
        <f>IFERROR(__xludf.DUMMYFUNCTION("GOOGLETRANSLATE(A2321,""en"",""pt"")"),"bullying")</f>
        <v>bullying</v>
      </c>
      <c r="G2321" s="69"/>
    </row>
    <row r="2322" ht="22.5" customHeight="1">
      <c r="A2322" s="66" t="s">
        <v>3276</v>
      </c>
      <c r="B2322" s="67" t="str">
        <f t="shared" si="13"/>
        <v>M: court</v>
      </c>
      <c r="C2322" s="68"/>
      <c r="D2322" s="68">
        <v>45982.0</v>
      </c>
      <c r="E2322" s="66">
        <v>4.0</v>
      </c>
      <c r="F2322" s="66" t="str">
        <f>IFERROR(__xludf.DUMMYFUNCTION("GOOGLETRANSLATE(A2322,""en"",""pt"")"),"tribunal")</f>
        <v>tribunal</v>
      </c>
      <c r="G2322" s="69"/>
    </row>
    <row r="2323" ht="22.5" customHeight="1">
      <c r="A2323" s="66" t="s">
        <v>3277</v>
      </c>
      <c r="B2323" s="67" t="str">
        <f t="shared" si="13"/>
        <v>M: picking on</v>
      </c>
      <c r="C2323" s="68"/>
      <c r="D2323" s="68">
        <v>45982.0</v>
      </c>
      <c r="E2323" s="66">
        <v>5.0</v>
      </c>
      <c r="F2323" s="66" t="str">
        <f>IFERROR(__xludf.DUMMYFUNCTION("GOOGLETRANSLATE(A2323,""en"",""pt"")"),"escolhendo")</f>
        <v>escolhendo</v>
      </c>
      <c r="G2323" s="69"/>
    </row>
    <row r="2324" ht="22.5" customHeight="1">
      <c r="A2324" s="66" t="s">
        <v>3278</v>
      </c>
      <c r="B2324" s="67" t="str">
        <f t="shared" si="13"/>
        <v>M: believer</v>
      </c>
      <c r="C2324" s="68"/>
      <c r="D2324" s="68">
        <v>45982.0</v>
      </c>
      <c r="E2324" s="66">
        <v>6.0</v>
      </c>
      <c r="F2324" s="66" t="str">
        <f>IFERROR(__xludf.DUMMYFUNCTION("GOOGLETRANSLATE(A2324,""en"",""pt"")"),"crente")</f>
        <v>crente</v>
      </c>
      <c r="G2324" s="69"/>
    </row>
    <row r="2325" ht="22.5" customHeight="1">
      <c r="A2325" s="66" t="s">
        <v>3279</v>
      </c>
      <c r="B2325" s="67" t="str">
        <f t="shared" si="13"/>
        <v>M: closing down</v>
      </c>
      <c r="C2325" s="68"/>
      <c r="D2325" s="68">
        <v>45982.0</v>
      </c>
      <c r="E2325" s="66">
        <v>7.0</v>
      </c>
      <c r="F2325" s="66" t="str">
        <f>IFERROR(__xludf.DUMMYFUNCTION("GOOGLETRANSLATE(A2325,""en"",""pt"")"),"fechando")</f>
        <v>fechando</v>
      </c>
      <c r="G2325" s="69"/>
    </row>
    <row r="2326" ht="22.5" customHeight="1">
      <c r="A2326" s="66" t="s">
        <v>3280</v>
      </c>
      <c r="B2326" s="67" t="str">
        <f>CONCATENATE("M: ",#REF!)</f>
        <v>#REF!</v>
      </c>
      <c r="C2326" s="68"/>
      <c r="D2326" s="68">
        <v>45982.0</v>
      </c>
      <c r="E2326" s="66">
        <v>8.0</v>
      </c>
      <c r="F2326" s="66" t="str">
        <f>IFERROR(__xludf.DUMMYFUNCTION("GOOGLETRANSLATE(A2326,""en"",""pt"")"),"muito moderno")</f>
        <v>muito moderno</v>
      </c>
      <c r="G2326" s="69"/>
    </row>
    <row r="2327" ht="22.5" customHeight="1">
      <c r="A2327" s="66" t="s">
        <v>3281</v>
      </c>
      <c r="B2327" s="67" t="str">
        <f t="shared" ref="B2327:B2470" si="14">CONCATENATE("M: ",A2327)</f>
        <v>M: redesign</v>
      </c>
      <c r="C2327" s="68"/>
      <c r="D2327" s="68">
        <v>45982.0</v>
      </c>
      <c r="E2327" s="66">
        <v>9.0</v>
      </c>
      <c r="F2327" s="66" t="str">
        <f>IFERROR(__xludf.DUMMYFUNCTION("GOOGLETRANSLATE(A2327,""en"",""pt"")"),"redesenho")</f>
        <v>redesenho</v>
      </c>
      <c r="G2327" s="69"/>
    </row>
    <row r="2328" ht="22.5" customHeight="1">
      <c r="A2328" s="66" t="s">
        <v>3282</v>
      </c>
      <c r="B2328" s="67" t="str">
        <f t="shared" si="14"/>
        <v>M: proceeds</v>
      </c>
      <c r="C2328" s="68"/>
      <c r="D2328" s="68">
        <v>45982.0</v>
      </c>
      <c r="E2328" s="66">
        <v>10.0</v>
      </c>
      <c r="F2328" s="66" t="str">
        <f>IFERROR(__xludf.DUMMYFUNCTION("GOOGLETRANSLATE(A2328,""en"",""pt"")"),"rendimentos")</f>
        <v>rendimentos</v>
      </c>
      <c r="G2328" s="69"/>
    </row>
    <row r="2329" ht="22.5" customHeight="1">
      <c r="A2329" s="66" t="s">
        <v>3283</v>
      </c>
      <c r="B2329" s="67" t="str">
        <f t="shared" si="14"/>
        <v>M: resonate</v>
      </c>
      <c r="C2329" s="68"/>
      <c r="D2329" s="68">
        <v>45982.0</v>
      </c>
      <c r="E2329" s="66">
        <v>1.0</v>
      </c>
      <c r="F2329" s="66" t="str">
        <f>IFERROR(__xludf.DUMMYFUNCTION("GOOGLETRANSLATE(A2329,""en"",""pt"")"),"ressoar")</f>
        <v>ressoar</v>
      </c>
      <c r="G2329" s="69"/>
    </row>
    <row r="2330" ht="22.5" customHeight="1">
      <c r="A2330" s="66" t="s">
        <v>3284</v>
      </c>
      <c r="B2330" s="67" t="str">
        <f t="shared" si="14"/>
        <v>M: marketed</v>
      </c>
      <c r="C2330" s="68"/>
      <c r="D2330" s="68">
        <v>45982.0</v>
      </c>
      <c r="E2330" s="66">
        <v>2.0</v>
      </c>
      <c r="F2330" s="66" t="str">
        <f>IFERROR(__xludf.DUMMYFUNCTION("GOOGLETRANSLATE(A2330,""en"",""pt"")"),"comercializado")</f>
        <v>comercializado</v>
      </c>
      <c r="G2330" s="69"/>
    </row>
    <row r="2331" ht="22.5" customHeight="1">
      <c r="A2331" s="66" t="s">
        <v>3285</v>
      </c>
      <c r="B2331" s="67" t="str">
        <f t="shared" si="14"/>
        <v>M: halo</v>
      </c>
      <c r="C2331" s="68"/>
      <c r="D2331" s="68">
        <v>45982.0</v>
      </c>
      <c r="E2331" s="66">
        <v>3.0</v>
      </c>
      <c r="F2331" s="66" t="str">
        <f>IFERROR(__xludf.DUMMYFUNCTION("GOOGLETRANSLATE(A2331,""en"",""pt"")"),"halo")</f>
        <v>halo</v>
      </c>
      <c r="G2331" s="69"/>
    </row>
    <row r="2332" ht="22.5" customHeight="1">
      <c r="A2332" s="66" t="s">
        <v>3286</v>
      </c>
      <c r="B2332" s="67" t="str">
        <f t="shared" si="14"/>
        <v>M: head out</v>
      </c>
      <c r="C2332" s="68"/>
      <c r="D2332" s="68">
        <v>45983.0</v>
      </c>
      <c r="E2332" s="66">
        <v>4.0</v>
      </c>
      <c r="F2332" s="66" t="str">
        <f>IFERROR(__xludf.DUMMYFUNCTION("GOOGLETRANSLATE(A2332,""en"",""pt"")"),"sair")</f>
        <v>sair</v>
      </c>
      <c r="G2332" s="69"/>
    </row>
    <row r="2333" ht="22.5" customHeight="1">
      <c r="A2333" s="66" t="s">
        <v>3287</v>
      </c>
      <c r="B2333" s="67" t="str">
        <f t="shared" si="14"/>
        <v>M: let's roll</v>
      </c>
      <c r="C2333" s="68"/>
      <c r="D2333" s="68">
        <v>45983.0</v>
      </c>
      <c r="E2333" s="66">
        <v>5.0</v>
      </c>
      <c r="F2333" s="66" t="str">
        <f>IFERROR(__xludf.DUMMYFUNCTION("GOOGLETRANSLATE(A2333,""en"",""pt"")"),"Vamos nessa!")</f>
        <v>Vamos nessa!</v>
      </c>
      <c r="G2333" s="69"/>
    </row>
    <row r="2334" ht="22.5" customHeight="1">
      <c r="A2334" s="66" t="s">
        <v>3288</v>
      </c>
      <c r="B2334" s="67" t="str">
        <f t="shared" si="14"/>
        <v>M: i've gotten</v>
      </c>
      <c r="C2334" s="68"/>
      <c r="D2334" s="68">
        <v>45983.0</v>
      </c>
      <c r="E2334" s="66">
        <v>6.0</v>
      </c>
      <c r="F2334" s="66" t="str">
        <f>IFERROR(__xludf.DUMMYFUNCTION("GOOGLETRANSLATE(A2334,""en"",""pt"")"),"eu consegui")</f>
        <v>eu consegui</v>
      </c>
      <c r="G2334" s="69"/>
    </row>
    <row r="2335" ht="22.5" customHeight="1">
      <c r="A2335" s="66" t="s">
        <v>3289</v>
      </c>
      <c r="B2335" s="67" t="str">
        <f t="shared" si="14"/>
        <v>M: mesh</v>
      </c>
      <c r="C2335" s="68"/>
      <c r="D2335" s="68">
        <v>45983.0</v>
      </c>
      <c r="E2335" s="66">
        <v>7.0</v>
      </c>
      <c r="F2335" s="66" t="str">
        <f>IFERROR(__xludf.DUMMYFUNCTION("GOOGLETRANSLATE(A2335,""en"",""pt"")"),"malha")</f>
        <v>malha</v>
      </c>
      <c r="G2335" s="69"/>
    </row>
    <row r="2336" ht="22.5" customHeight="1">
      <c r="A2336" s="66" t="s">
        <v>3290</v>
      </c>
      <c r="B2336" s="67" t="str">
        <f t="shared" si="14"/>
        <v>M: waist</v>
      </c>
      <c r="C2336" s="68"/>
      <c r="D2336" s="68">
        <v>45983.0</v>
      </c>
      <c r="E2336" s="66">
        <v>8.0</v>
      </c>
      <c r="F2336" s="66" t="str">
        <f>IFERROR(__xludf.DUMMYFUNCTION("GOOGLETRANSLATE(A2336,""en"",""pt"")"),"cintura")</f>
        <v>cintura</v>
      </c>
      <c r="G2336" s="69"/>
    </row>
    <row r="2337" ht="22.5" customHeight="1">
      <c r="A2337" s="66" t="s">
        <v>3291</v>
      </c>
      <c r="B2337" s="67" t="str">
        <f t="shared" si="14"/>
        <v>M: belt</v>
      </c>
      <c r="C2337" s="68"/>
      <c r="D2337" s="68">
        <v>45983.0</v>
      </c>
      <c r="E2337" s="66">
        <v>9.0</v>
      </c>
      <c r="F2337" s="66" t="str">
        <f>IFERROR(__xludf.DUMMYFUNCTION("GOOGLETRANSLATE(A2337,""en"",""pt"")"),"cinto")</f>
        <v>cinto</v>
      </c>
      <c r="G2337" s="69"/>
    </row>
    <row r="2338" ht="22.5" customHeight="1">
      <c r="A2338" s="66" t="s">
        <v>3292</v>
      </c>
      <c r="B2338" s="67" t="str">
        <f t="shared" si="14"/>
        <v>M: hike</v>
      </c>
      <c r="C2338" s="68"/>
      <c r="D2338" s="68">
        <v>45983.0</v>
      </c>
      <c r="E2338" s="66">
        <v>10.0</v>
      </c>
      <c r="F2338" s="66" t="str">
        <f>IFERROR(__xludf.DUMMYFUNCTION("GOOGLETRANSLATE(A2338,""en"",""pt"")"),"caminhada")</f>
        <v>caminhada</v>
      </c>
      <c r="G2338" s="69"/>
    </row>
    <row r="2339" ht="22.5" customHeight="1">
      <c r="A2339" s="66" t="s">
        <v>3293</v>
      </c>
      <c r="B2339" s="67" t="str">
        <f t="shared" si="14"/>
        <v>M: amusement</v>
      </c>
      <c r="C2339" s="68"/>
      <c r="D2339" s="68">
        <v>45983.0</v>
      </c>
      <c r="E2339" s="66">
        <v>1.0</v>
      </c>
      <c r="F2339" s="66" t="str">
        <f>IFERROR(__xludf.DUMMYFUNCTION("GOOGLETRANSLATE(A2339,""en"",""pt"")"),"diversão")</f>
        <v>diversão</v>
      </c>
      <c r="G2339" s="69"/>
    </row>
    <row r="2340" ht="22.5" customHeight="1">
      <c r="A2340" s="66" t="s">
        <v>3294</v>
      </c>
      <c r="B2340" s="67" t="str">
        <f t="shared" si="14"/>
        <v>M: elevates</v>
      </c>
      <c r="C2340" s="68"/>
      <c r="D2340" s="68">
        <v>45983.0</v>
      </c>
      <c r="E2340" s="66">
        <v>2.0</v>
      </c>
      <c r="F2340" s="66" t="str">
        <f>IFERROR(__xludf.DUMMYFUNCTION("GOOGLETRANSLATE(A2340,""en"",""pt"")"),"eleva")</f>
        <v>eleva</v>
      </c>
      <c r="G2340" s="69"/>
    </row>
    <row r="2341" ht="22.5" customHeight="1">
      <c r="A2341" s="66" t="s">
        <v>3295</v>
      </c>
      <c r="B2341" s="67" t="str">
        <f t="shared" si="14"/>
        <v>M: enlisted</v>
      </c>
      <c r="C2341" s="68"/>
      <c r="D2341" s="68">
        <v>45983.0</v>
      </c>
      <c r="E2341" s="66">
        <v>3.0</v>
      </c>
      <c r="F2341" s="66" t="str">
        <f>IFERROR(__xludf.DUMMYFUNCTION("GOOGLETRANSLATE(A2341,""en"",""pt"")"),"alistou-se")</f>
        <v>alistou-se</v>
      </c>
      <c r="G2341" s="69"/>
    </row>
    <row r="2342" ht="22.5" customHeight="1">
      <c r="A2342" s="66" t="s">
        <v>3296</v>
      </c>
      <c r="B2342" s="67" t="str">
        <f t="shared" si="14"/>
        <v>M: when it</v>
      </c>
      <c r="C2342" s="68"/>
      <c r="D2342" s="68">
        <v>45984.0</v>
      </c>
      <c r="E2342" s="66">
        <v>4.0</v>
      </c>
      <c r="F2342" s="66" t="str">
        <f>IFERROR(__xludf.DUMMYFUNCTION("GOOGLETRANSLATE(A2342,""en"",""pt"")"),"quando")</f>
        <v>quando</v>
      </c>
      <c r="G2342" s="69"/>
    </row>
    <row r="2343" ht="22.5" customHeight="1">
      <c r="A2343" s="66" t="s">
        <v>3297</v>
      </c>
      <c r="B2343" s="67" t="str">
        <f t="shared" si="14"/>
        <v>M: self-confidence</v>
      </c>
      <c r="C2343" s="68"/>
      <c r="D2343" s="68">
        <v>45984.0</v>
      </c>
      <c r="E2343" s="66">
        <v>5.0</v>
      </c>
      <c r="F2343" s="66" t="str">
        <f>IFERROR(__xludf.DUMMYFUNCTION("GOOGLETRANSLATE(A2343,""en"",""pt"")"),"autoconfiança")</f>
        <v>autoconfiança</v>
      </c>
      <c r="G2343" s="69"/>
    </row>
    <row r="2344" ht="22.5" customHeight="1">
      <c r="A2344" s="66" t="s">
        <v>3298</v>
      </c>
      <c r="B2344" s="67" t="str">
        <f t="shared" si="14"/>
        <v>M: hug</v>
      </c>
      <c r="C2344" s="68"/>
      <c r="D2344" s="68">
        <v>45984.0</v>
      </c>
      <c r="E2344" s="66">
        <v>6.0</v>
      </c>
      <c r="F2344" s="66" t="str">
        <f>IFERROR(__xludf.DUMMYFUNCTION("GOOGLETRANSLATE(A2344,""en"",""pt"")"),"abraço")</f>
        <v>abraço</v>
      </c>
      <c r="G2344" s="69"/>
    </row>
    <row r="2345" ht="22.5" customHeight="1">
      <c r="A2345" s="66" t="s">
        <v>3299</v>
      </c>
      <c r="B2345" s="67" t="str">
        <f t="shared" si="14"/>
        <v>M: tremendous</v>
      </c>
      <c r="C2345" s="68"/>
      <c r="D2345" s="68">
        <v>45984.0</v>
      </c>
      <c r="E2345" s="66">
        <v>7.0</v>
      </c>
      <c r="F2345" s="66" t="str">
        <f>IFERROR(__xludf.DUMMYFUNCTION("GOOGLETRANSLATE(A2345,""en"",""pt"")"),"tremendo")</f>
        <v>tremendo</v>
      </c>
      <c r="G2345" s="69"/>
    </row>
    <row r="2346" ht="22.5" customHeight="1">
      <c r="A2346" s="66" t="s">
        <v>3300</v>
      </c>
      <c r="B2346" s="67" t="str">
        <f t="shared" si="14"/>
        <v>M: gotcha</v>
      </c>
      <c r="C2346" s="68"/>
      <c r="D2346" s="68">
        <v>45984.0</v>
      </c>
      <c r="E2346" s="66">
        <v>8.0</v>
      </c>
      <c r="F2346" s="66" t="str">
        <f>IFERROR(__xludf.DUMMYFUNCTION("GOOGLETRANSLATE(A2346,""en"",""pt"")"),"entendi")</f>
        <v>entendi</v>
      </c>
      <c r="G2346" s="69"/>
    </row>
    <row r="2347" ht="22.5" customHeight="1">
      <c r="A2347" s="66" t="s">
        <v>3301</v>
      </c>
      <c r="B2347" s="67" t="str">
        <f t="shared" si="14"/>
        <v>M: dissimilar</v>
      </c>
      <c r="C2347" s="68"/>
      <c r="D2347" s="68">
        <v>45984.0</v>
      </c>
      <c r="E2347" s="66">
        <v>9.0</v>
      </c>
      <c r="F2347" s="66" t="str">
        <f>IFERROR(__xludf.DUMMYFUNCTION("GOOGLETRANSLATE(A2347,""en"",""pt"")"),"diferente")</f>
        <v>diferente</v>
      </c>
      <c r="G2347" s="69"/>
    </row>
    <row r="2348" ht="22.5" customHeight="1">
      <c r="A2348" s="66" t="s">
        <v>3302</v>
      </c>
      <c r="B2348" s="67" t="str">
        <f t="shared" si="14"/>
        <v>M: wet</v>
      </c>
      <c r="C2348" s="68"/>
      <c r="D2348" s="68">
        <v>45984.0</v>
      </c>
      <c r="E2348" s="66">
        <v>10.0</v>
      </c>
      <c r="F2348" s="66" t="str">
        <f>IFERROR(__xludf.DUMMYFUNCTION("GOOGLETRANSLATE(A2348,""en"",""pt"")"),"molhado")</f>
        <v>molhado</v>
      </c>
      <c r="G2348" s="69"/>
    </row>
    <row r="2349" ht="22.5" customHeight="1">
      <c r="A2349" s="66" t="s">
        <v>3303</v>
      </c>
      <c r="B2349" s="67" t="str">
        <f t="shared" si="14"/>
        <v>M: wipes</v>
      </c>
      <c r="C2349" s="68"/>
      <c r="D2349" s="68">
        <v>45984.0</v>
      </c>
      <c r="E2349" s="66">
        <v>1.0</v>
      </c>
      <c r="F2349" s="66" t="str">
        <f>IFERROR(__xludf.DUMMYFUNCTION("GOOGLETRANSLATE(A2349,""en"",""pt"")"),"lenços umedecidos")</f>
        <v>lenços umedecidos</v>
      </c>
      <c r="G2349" s="69"/>
    </row>
    <row r="2350" ht="22.5" customHeight="1">
      <c r="A2350" s="66" t="s">
        <v>3304</v>
      </c>
      <c r="B2350" s="67" t="str">
        <f t="shared" si="14"/>
        <v>M: pouch</v>
      </c>
      <c r="C2350" s="68"/>
      <c r="D2350" s="68">
        <v>45984.0</v>
      </c>
      <c r="E2350" s="66">
        <v>2.0</v>
      </c>
      <c r="F2350" s="66" t="str">
        <f>IFERROR(__xludf.DUMMYFUNCTION("GOOGLETRANSLATE(A2350,""en"",""pt"")"),"bolsa")</f>
        <v>bolsa</v>
      </c>
      <c r="G2350" s="69"/>
    </row>
    <row r="2351" ht="22.5" customHeight="1">
      <c r="A2351" s="66" t="s">
        <v>3305</v>
      </c>
      <c r="B2351" s="67" t="str">
        <f t="shared" si="14"/>
        <v>M: fledged</v>
      </c>
      <c r="C2351" s="68"/>
      <c r="D2351" s="68">
        <v>45984.0</v>
      </c>
      <c r="E2351" s="66">
        <v>3.0</v>
      </c>
      <c r="F2351" s="66" t="str">
        <f>IFERROR(__xludf.DUMMYFUNCTION("GOOGLETRANSLATE(A2351,""en"",""pt"")"),"emplumado")</f>
        <v>emplumado</v>
      </c>
      <c r="G2351" s="69"/>
    </row>
    <row r="2352" ht="22.5" customHeight="1">
      <c r="A2352" s="66" t="s">
        <v>3306</v>
      </c>
      <c r="B2352" s="67" t="str">
        <f t="shared" si="14"/>
        <v>M: stylish</v>
      </c>
      <c r="C2352" s="68"/>
      <c r="D2352" s="68">
        <v>45985.0</v>
      </c>
      <c r="E2352" s="66">
        <v>4.0</v>
      </c>
      <c r="F2352" s="66" t="str">
        <f>IFERROR(__xludf.DUMMYFUNCTION("GOOGLETRANSLATE(A2352,""en"",""pt"")"),"à moda")</f>
        <v>à moda</v>
      </c>
      <c r="G2352" s="69"/>
    </row>
    <row r="2353" ht="22.5" customHeight="1">
      <c r="A2353" s="66" t="s">
        <v>3307</v>
      </c>
      <c r="B2353" s="67" t="str">
        <f t="shared" si="14"/>
        <v>M: i get</v>
      </c>
      <c r="C2353" s="68"/>
      <c r="D2353" s="68">
        <v>45985.0</v>
      </c>
      <c r="E2353" s="66">
        <v>5.0</v>
      </c>
      <c r="F2353" s="66" t="str">
        <f>IFERROR(__xludf.DUMMYFUNCTION("GOOGLETRANSLATE(A2353,""en"",""pt"")"),"eu recebo")</f>
        <v>eu recebo</v>
      </c>
      <c r="G2353" s="69"/>
    </row>
    <row r="2354" ht="22.5" customHeight="1">
      <c r="A2354" s="66" t="s">
        <v>3308</v>
      </c>
      <c r="B2354" s="67" t="str">
        <f t="shared" si="14"/>
        <v>M: imaginary</v>
      </c>
      <c r="C2354" s="68"/>
      <c r="D2354" s="68">
        <v>45985.0</v>
      </c>
      <c r="E2354" s="66">
        <v>6.0</v>
      </c>
      <c r="F2354" s="66" t="str">
        <f>IFERROR(__xludf.DUMMYFUNCTION("GOOGLETRANSLATE(A2354,""en"",""pt"")"),"imaginário")</f>
        <v>imaginário</v>
      </c>
      <c r="G2354" s="69"/>
    </row>
    <row r="2355" ht="22.5" customHeight="1">
      <c r="A2355" s="66" t="s">
        <v>3309</v>
      </c>
      <c r="B2355" s="67" t="str">
        <f t="shared" si="14"/>
        <v>M: upset</v>
      </c>
      <c r="C2355" s="68"/>
      <c r="D2355" s="68">
        <v>45985.0</v>
      </c>
      <c r="E2355" s="66">
        <v>7.0</v>
      </c>
      <c r="F2355" s="66" t="str">
        <f>IFERROR(__xludf.DUMMYFUNCTION("GOOGLETRANSLATE(A2355,""en"",""pt"")"),"chateado")</f>
        <v>chateado</v>
      </c>
      <c r="G2355" s="69"/>
    </row>
    <row r="2356" ht="22.5" customHeight="1">
      <c r="A2356" s="66" t="s">
        <v>3310</v>
      </c>
      <c r="B2356" s="67" t="str">
        <f t="shared" si="14"/>
        <v>M: leading</v>
      </c>
      <c r="C2356" s="68"/>
      <c r="D2356" s="68">
        <v>45985.0</v>
      </c>
      <c r="E2356" s="66">
        <v>8.0</v>
      </c>
      <c r="F2356" s="66" t="str">
        <f>IFERROR(__xludf.DUMMYFUNCTION("GOOGLETRANSLATE(A2356,""en"",""pt"")"),"principal")</f>
        <v>principal</v>
      </c>
      <c r="G2356" s="69"/>
    </row>
    <row r="2357" ht="22.5" customHeight="1">
      <c r="A2357" s="66" t="s">
        <v>3311</v>
      </c>
      <c r="B2357" s="67" t="str">
        <f t="shared" si="14"/>
        <v>M: tagging</v>
      </c>
      <c r="C2357" s="68"/>
      <c r="D2357" s="68">
        <v>45985.0</v>
      </c>
      <c r="E2357" s="66">
        <v>9.0</v>
      </c>
      <c r="F2357" s="66" t="str">
        <f>IFERROR(__xludf.DUMMYFUNCTION("GOOGLETRANSLATE(A2357,""en"",""pt"")"),"etiquetagem")</f>
        <v>etiquetagem</v>
      </c>
      <c r="G2357" s="69"/>
    </row>
    <row r="2358" ht="22.5" customHeight="1">
      <c r="A2358" s="66" t="s">
        <v>3312</v>
      </c>
      <c r="B2358" s="67" t="str">
        <f t="shared" si="14"/>
        <v>M: tripped up</v>
      </c>
      <c r="C2358" s="68"/>
      <c r="D2358" s="68">
        <v>45985.0</v>
      </c>
      <c r="E2358" s="66">
        <v>10.0</v>
      </c>
      <c r="F2358" s="66" t="str">
        <f>IFERROR(__xludf.DUMMYFUNCTION("GOOGLETRANSLATE(A2358,""en"",""pt"")"),"tropeçou")</f>
        <v>tropeçou</v>
      </c>
      <c r="G2358" s="69"/>
    </row>
    <row r="2359" ht="22.5" customHeight="1">
      <c r="A2359" s="66" t="s">
        <v>3313</v>
      </c>
      <c r="B2359" s="67" t="str">
        <f t="shared" si="14"/>
        <v>M: discouraged</v>
      </c>
      <c r="C2359" s="68"/>
      <c r="D2359" s="68">
        <v>45985.0</v>
      </c>
      <c r="E2359" s="66">
        <v>1.0</v>
      </c>
      <c r="F2359" s="66" t="str">
        <f>IFERROR(__xludf.DUMMYFUNCTION("GOOGLETRANSLATE(A2359,""en"",""pt"")"),"desencorajado")</f>
        <v>desencorajado</v>
      </c>
      <c r="G2359" s="69"/>
    </row>
    <row r="2360" ht="22.5" customHeight="1">
      <c r="A2360" s="66" t="s">
        <v>3314</v>
      </c>
      <c r="B2360" s="67" t="str">
        <f t="shared" si="14"/>
        <v>M: just as well</v>
      </c>
      <c r="C2360" s="68"/>
      <c r="D2360" s="68">
        <v>45985.0</v>
      </c>
      <c r="E2360" s="66">
        <v>2.0</v>
      </c>
      <c r="F2360" s="66" t="str">
        <f>IFERROR(__xludf.DUMMYFUNCTION("GOOGLETRANSLATE(A2360,""en"",""pt"")"),"também")</f>
        <v>também</v>
      </c>
      <c r="G2360" s="69"/>
    </row>
    <row r="2361" ht="22.5" customHeight="1">
      <c r="A2361" s="66" t="s">
        <v>3315</v>
      </c>
      <c r="B2361" s="67" t="str">
        <f t="shared" si="14"/>
        <v>M: overtook</v>
      </c>
      <c r="C2361" s="68"/>
      <c r="D2361" s="68">
        <v>45985.0</v>
      </c>
      <c r="E2361" s="66">
        <v>3.0</v>
      </c>
      <c r="F2361" s="66" t="str">
        <f>IFERROR(__xludf.DUMMYFUNCTION("GOOGLETRANSLATE(A2361,""en"",""pt"")"),"ultrapassou")</f>
        <v>ultrapassou</v>
      </c>
      <c r="G2361" s="69"/>
    </row>
    <row r="2362" ht="22.5" customHeight="1">
      <c r="A2362" s="66" t="s">
        <v>3316</v>
      </c>
      <c r="B2362" s="67" t="str">
        <f t="shared" si="14"/>
        <v>M: cleared</v>
      </c>
      <c r="C2362" s="68"/>
      <c r="D2362" s="68">
        <v>45986.0</v>
      </c>
      <c r="E2362" s="66">
        <v>4.0</v>
      </c>
      <c r="F2362" s="66" t="str">
        <f>IFERROR(__xludf.DUMMYFUNCTION("GOOGLETRANSLATE(A2362,""en"",""pt"")"),"limpo")</f>
        <v>limpo</v>
      </c>
      <c r="G2362" s="69"/>
    </row>
    <row r="2363" ht="22.5" customHeight="1">
      <c r="A2363" s="66" t="s">
        <v>3317</v>
      </c>
      <c r="B2363" s="67" t="str">
        <f t="shared" si="14"/>
        <v>M: flap</v>
      </c>
      <c r="C2363" s="68"/>
      <c r="D2363" s="68">
        <v>45986.0</v>
      </c>
      <c r="E2363" s="66">
        <v>5.0</v>
      </c>
      <c r="F2363" s="66" t="str">
        <f>IFERROR(__xludf.DUMMYFUNCTION("GOOGLETRANSLATE(A2363,""en"",""pt"")"),"aba")</f>
        <v>aba</v>
      </c>
      <c r="G2363" s="69"/>
    </row>
    <row r="2364" ht="22.5" customHeight="1">
      <c r="A2364" s="66" t="s">
        <v>3318</v>
      </c>
      <c r="B2364" s="67" t="str">
        <f t="shared" si="14"/>
        <v>M: this one</v>
      </c>
      <c r="C2364" s="68"/>
      <c r="D2364" s="68">
        <v>45986.0</v>
      </c>
      <c r="E2364" s="66">
        <v>6.0</v>
      </c>
      <c r="F2364" s="66" t="str">
        <f>IFERROR(__xludf.DUMMYFUNCTION("GOOGLETRANSLATE(A2364,""en"",""pt"")"),"Este")</f>
        <v>Este</v>
      </c>
      <c r="G2364" s="69"/>
    </row>
    <row r="2365" ht="22.5" customHeight="1">
      <c r="A2365" s="66" t="s">
        <v>3319</v>
      </c>
      <c r="B2365" s="67" t="str">
        <f t="shared" si="14"/>
        <v>M: faux</v>
      </c>
      <c r="C2365" s="68"/>
      <c r="D2365" s="68">
        <v>45986.0</v>
      </c>
      <c r="E2365" s="66">
        <v>7.0</v>
      </c>
      <c r="F2365" s="66" t="str">
        <f>IFERROR(__xludf.DUMMYFUNCTION("GOOGLETRANSLATE(A2365,""en"",""pt"")"),"falso")</f>
        <v>falso</v>
      </c>
      <c r="G2365" s="69"/>
    </row>
    <row r="2366" ht="22.5" customHeight="1">
      <c r="A2366" s="66" t="s">
        <v>3320</v>
      </c>
      <c r="B2366" s="67" t="str">
        <f t="shared" si="14"/>
        <v>M: stands out</v>
      </c>
      <c r="C2366" s="68"/>
      <c r="D2366" s="68">
        <v>45986.0</v>
      </c>
      <c r="E2366" s="66">
        <v>8.0</v>
      </c>
      <c r="F2366" s="66" t="str">
        <f>IFERROR(__xludf.DUMMYFUNCTION("GOOGLETRANSLATE(A2366,""en"",""pt"")"),"destaca")</f>
        <v>destaca</v>
      </c>
      <c r="G2366" s="69"/>
    </row>
    <row r="2367" ht="22.5" customHeight="1">
      <c r="A2367" s="66" t="s">
        <v>3321</v>
      </c>
      <c r="B2367" s="67" t="str">
        <f t="shared" si="14"/>
        <v>M: numerous</v>
      </c>
      <c r="C2367" s="68"/>
      <c r="D2367" s="68">
        <v>45986.0</v>
      </c>
      <c r="E2367" s="66">
        <v>9.0</v>
      </c>
      <c r="F2367" s="66" t="str">
        <f>IFERROR(__xludf.DUMMYFUNCTION("GOOGLETRANSLATE(A2367,""en"",""pt"")"),"numerosos")</f>
        <v>numerosos</v>
      </c>
      <c r="G2367" s="69"/>
    </row>
    <row r="2368" ht="22.5" customHeight="1">
      <c r="A2368" s="66" t="s">
        <v>3322</v>
      </c>
      <c r="B2368" s="67" t="str">
        <f t="shared" si="14"/>
        <v>M: drooping</v>
      </c>
      <c r="C2368" s="68"/>
      <c r="D2368" s="68">
        <v>45986.0</v>
      </c>
      <c r="E2368" s="66">
        <v>10.0</v>
      </c>
      <c r="F2368" s="66" t="str">
        <f>IFERROR(__xludf.DUMMYFUNCTION("GOOGLETRANSLATE(A2368,""en"",""pt"")"),"caído")</f>
        <v>caído</v>
      </c>
      <c r="G2368" s="69"/>
    </row>
    <row r="2369" ht="22.5" customHeight="1">
      <c r="A2369" s="66" t="s">
        <v>3323</v>
      </c>
      <c r="B2369" s="67" t="str">
        <f t="shared" si="14"/>
        <v>M: great</v>
      </c>
      <c r="C2369" s="68"/>
      <c r="D2369" s="68">
        <v>45986.0</v>
      </c>
      <c r="E2369" s="66">
        <v>1.0</v>
      </c>
      <c r="F2369" s="66" t="str">
        <f>IFERROR(__xludf.DUMMYFUNCTION("GOOGLETRANSLATE(A2369,""en"",""pt"")"),"ótimo")</f>
        <v>ótimo</v>
      </c>
      <c r="G2369" s="69"/>
    </row>
    <row r="2370" ht="22.5" customHeight="1">
      <c r="A2370" s="66" t="s">
        <v>3324</v>
      </c>
      <c r="B2370" s="67" t="str">
        <f t="shared" si="14"/>
        <v>M: outsell</v>
      </c>
      <c r="C2370" s="68"/>
      <c r="D2370" s="68">
        <v>45986.0</v>
      </c>
      <c r="E2370" s="66">
        <v>2.0</v>
      </c>
      <c r="F2370" s="66" t="str">
        <f>IFERROR(__xludf.DUMMYFUNCTION("GOOGLETRANSLATE(A2370,""en"",""pt"")"),"vender mais")</f>
        <v>vender mais</v>
      </c>
      <c r="G2370" s="69"/>
    </row>
    <row r="2371" ht="22.5" customHeight="1">
      <c r="A2371" s="66" t="s">
        <v>3325</v>
      </c>
      <c r="B2371" s="67" t="str">
        <f t="shared" si="14"/>
        <v>M: sat</v>
      </c>
      <c r="C2371" s="68"/>
      <c r="D2371" s="68">
        <v>45986.0</v>
      </c>
      <c r="E2371" s="66">
        <v>3.0</v>
      </c>
      <c r="F2371" s="66" t="str">
        <f>IFERROR(__xludf.DUMMYFUNCTION("GOOGLETRANSLATE(A2371,""en"",""pt"")"),"sentado")</f>
        <v>sentado</v>
      </c>
      <c r="G2371" s="69"/>
    </row>
    <row r="2372" ht="22.5" customHeight="1">
      <c r="A2372" s="66" t="s">
        <v>3326</v>
      </c>
      <c r="B2372" s="67" t="str">
        <f t="shared" si="14"/>
        <v>M: tane</v>
      </c>
      <c r="C2372" s="68"/>
      <c r="D2372" s="68">
        <v>45987.0</v>
      </c>
      <c r="E2372" s="66">
        <v>4.0</v>
      </c>
      <c r="F2372" s="66" t="str">
        <f>IFERROR(__xludf.DUMMYFUNCTION("GOOGLETRANSLATE(A2372,""en"",""pt"")"),"tane")</f>
        <v>tane</v>
      </c>
      <c r="G2372" s="69"/>
    </row>
    <row r="2373" ht="22.5" customHeight="1">
      <c r="A2373" s="66" t="s">
        <v>3327</v>
      </c>
      <c r="B2373" s="67" t="str">
        <f t="shared" si="14"/>
        <v>M: witnessed</v>
      </c>
      <c r="C2373" s="68"/>
      <c r="D2373" s="68">
        <v>45987.0</v>
      </c>
      <c r="E2373" s="66">
        <v>5.0</v>
      </c>
      <c r="F2373" s="66" t="str">
        <f>IFERROR(__xludf.DUMMYFUNCTION("GOOGLETRANSLATE(A2373,""en"",""pt"")"),"testemunhado")</f>
        <v>testemunhado</v>
      </c>
      <c r="G2373" s="69"/>
    </row>
    <row r="2374" ht="22.5" customHeight="1">
      <c r="A2374" s="66" t="s">
        <v>3328</v>
      </c>
      <c r="B2374" s="67" t="str">
        <f t="shared" si="14"/>
        <v>M: into it</v>
      </c>
      <c r="C2374" s="68"/>
      <c r="D2374" s="68">
        <v>45987.0</v>
      </c>
      <c r="E2374" s="66">
        <v>6.0</v>
      </c>
      <c r="F2374" s="66" t="str">
        <f>IFERROR(__xludf.DUMMYFUNCTION("GOOGLETRANSLATE(A2374,""en"",""pt"")"),"nele")</f>
        <v>nele</v>
      </c>
      <c r="G2374" s="69"/>
    </row>
    <row r="2375" ht="22.5" customHeight="1">
      <c r="A2375" s="66" t="s">
        <v>3329</v>
      </c>
      <c r="B2375" s="67" t="str">
        <f t="shared" si="14"/>
        <v>M: by showing</v>
      </c>
      <c r="C2375" s="68"/>
      <c r="D2375" s="68">
        <v>45987.0</v>
      </c>
      <c r="E2375" s="66">
        <v>7.0</v>
      </c>
      <c r="F2375" s="66" t="str">
        <f>IFERROR(__xludf.DUMMYFUNCTION("GOOGLETRANSLATE(A2375,""en"",""pt"")"),"mostrando")</f>
        <v>mostrando</v>
      </c>
      <c r="G2375" s="69"/>
    </row>
    <row r="2376" ht="22.5" customHeight="1">
      <c r="A2376" s="66" t="s">
        <v>3330</v>
      </c>
      <c r="B2376" s="67" t="str">
        <f t="shared" si="14"/>
        <v>M: he got</v>
      </c>
      <c r="C2376" s="68"/>
      <c r="D2376" s="68">
        <v>45987.0</v>
      </c>
      <c r="E2376" s="66">
        <v>8.0</v>
      </c>
      <c r="F2376" s="66" t="str">
        <f>IFERROR(__xludf.DUMMYFUNCTION("GOOGLETRANSLATE(A2376,""en"",""pt"")"),"ele conseguiu")</f>
        <v>ele conseguiu</v>
      </c>
      <c r="G2376" s="69"/>
    </row>
    <row r="2377" ht="22.5" customHeight="1">
      <c r="A2377" s="66" t="s">
        <v>3331</v>
      </c>
      <c r="B2377" s="67" t="str">
        <f t="shared" si="14"/>
        <v>M: patriarch</v>
      </c>
      <c r="C2377" s="68"/>
      <c r="D2377" s="68">
        <v>45987.0</v>
      </c>
      <c r="E2377" s="66">
        <v>9.0</v>
      </c>
      <c r="F2377" s="66" t="str">
        <f>IFERROR(__xludf.DUMMYFUNCTION("GOOGLETRANSLATE(A2377,""en"",""pt"")"),"patriarca")</f>
        <v>patriarca</v>
      </c>
      <c r="G2377" s="69"/>
    </row>
    <row r="2378" ht="22.5" customHeight="1">
      <c r="A2378" s="66" t="s">
        <v>3332</v>
      </c>
      <c r="B2378" s="67" t="str">
        <f t="shared" si="14"/>
        <v>M: tight</v>
      </c>
      <c r="C2378" s="68"/>
      <c r="D2378" s="68">
        <v>45987.0</v>
      </c>
      <c r="E2378" s="66">
        <v>10.0</v>
      </c>
      <c r="F2378" s="66" t="str">
        <f>IFERROR(__xludf.DUMMYFUNCTION("GOOGLETRANSLATE(A2378,""en"",""pt"")"),"apertado")</f>
        <v>apertado</v>
      </c>
      <c r="G2378" s="69"/>
    </row>
    <row r="2379" ht="22.5" customHeight="1">
      <c r="A2379" s="66" t="s">
        <v>3333</v>
      </c>
      <c r="B2379" s="67" t="str">
        <f t="shared" si="14"/>
        <v>M: tremendously</v>
      </c>
      <c r="C2379" s="68"/>
      <c r="D2379" s="68">
        <v>45987.0</v>
      </c>
      <c r="E2379" s="66">
        <v>1.0</v>
      </c>
      <c r="F2379" s="66" t="str">
        <f>IFERROR(__xludf.DUMMYFUNCTION("GOOGLETRANSLATE(A2379,""en"",""pt"")"),"tremendamente")</f>
        <v>tremendamente</v>
      </c>
      <c r="G2379" s="69"/>
    </row>
    <row r="2380" ht="22.5" customHeight="1">
      <c r="A2380" s="66" t="s">
        <v>3334</v>
      </c>
      <c r="B2380" s="67" t="str">
        <f t="shared" si="14"/>
        <v>M: squeezing</v>
      </c>
      <c r="C2380" s="68"/>
      <c r="D2380" s="68">
        <v>45987.0</v>
      </c>
      <c r="E2380" s="66">
        <v>2.0</v>
      </c>
      <c r="F2380" s="66" t="str">
        <f>IFERROR(__xludf.DUMMYFUNCTION("GOOGLETRANSLATE(A2380,""en"",""pt"")"),"apertando")</f>
        <v>apertando</v>
      </c>
      <c r="G2380" s="69"/>
    </row>
    <row r="2381" ht="22.5" customHeight="1">
      <c r="A2381" s="66" t="s">
        <v>3335</v>
      </c>
      <c r="B2381" s="67" t="str">
        <f t="shared" si="14"/>
        <v>M: acting</v>
      </c>
      <c r="C2381" s="68"/>
      <c r="D2381" s="68">
        <v>45987.0</v>
      </c>
      <c r="E2381" s="66">
        <v>3.0</v>
      </c>
      <c r="F2381" s="66" t="str">
        <f>IFERROR(__xludf.DUMMYFUNCTION("GOOGLETRANSLATE(A2381,""en"",""pt"")"),"atuando")</f>
        <v>atuando</v>
      </c>
      <c r="G2381" s="69"/>
    </row>
    <row r="2382" ht="22.5" customHeight="1">
      <c r="A2382" s="66" t="s">
        <v>3336</v>
      </c>
      <c r="B2382" s="67" t="str">
        <f t="shared" si="14"/>
        <v>M: struggling</v>
      </c>
      <c r="C2382" s="68"/>
      <c r="D2382" s="68">
        <v>45988.0</v>
      </c>
      <c r="E2382" s="66">
        <v>4.0</v>
      </c>
      <c r="F2382" s="66" t="str">
        <f>IFERROR(__xludf.DUMMYFUNCTION("GOOGLETRANSLATE(A2382,""en"",""pt"")"),"lutando")</f>
        <v>lutando</v>
      </c>
      <c r="G2382" s="69"/>
    </row>
    <row r="2383" ht="22.5" customHeight="1">
      <c r="A2383" s="66" t="s">
        <v>3337</v>
      </c>
      <c r="B2383" s="67" t="str">
        <f t="shared" si="14"/>
        <v>M: wondering</v>
      </c>
      <c r="C2383" s="68"/>
      <c r="D2383" s="68">
        <v>45988.0</v>
      </c>
      <c r="E2383" s="66">
        <v>5.0</v>
      </c>
      <c r="F2383" s="66" t="str">
        <f>IFERROR(__xludf.DUMMYFUNCTION("GOOGLETRANSLATE(A2383,""en"",""pt"")"),"imaginando")</f>
        <v>imaginando</v>
      </c>
      <c r="G2383" s="69"/>
    </row>
    <row r="2384" ht="22.5" customHeight="1">
      <c r="A2384" s="66" t="s">
        <v>3338</v>
      </c>
      <c r="B2384" s="67" t="str">
        <f t="shared" si="14"/>
        <v>M: profit</v>
      </c>
      <c r="C2384" s="68"/>
      <c r="D2384" s="68">
        <v>45988.0</v>
      </c>
      <c r="E2384" s="66">
        <v>6.0</v>
      </c>
      <c r="F2384" s="66" t="str">
        <f>IFERROR(__xludf.DUMMYFUNCTION("GOOGLETRANSLATE(A2384,""en"",""pt"")"),"lucro")</f>
        <v>lucro</v>
      </c>
      <c r="G2384" s="69"/>
    </row>
    <row r="2385" ht="22.5" customHeight="1">
      <c r="A2385" s="66" t="s">
        <v>3339</v>
      </c>
      <c r="B2385" s="67" t="str">
        <f t="shared" si="14"/>
        <v>M: on my way</v>
      </c>
      <c r="C2385" s="68"/>
      <c r="D2385" s="68">
        <v>45988.0</v>
      </c>
      <c r="E2385" s="66">
        <v>7.0</v>
      </c>
      <c r="F2385" s="66" t="str">
        <f>IFERROR(__xludf.DUMMYFUNCTION("GOOGLETRANSLATE(A2385,""en"",""pt"")"),"estou a caminho")</f>
        <v>estou a caminho</v>
      </c>
      <c r="G2385" s="69"/>
    </row>
    <row r="2386" ht="22.5" customHeight="1">
      <c r="A2386" s="66" t="s">
        <v>3340</v>
      </c>
      <c r="B2386" s="67" t="str">
        <f t="shared" si="14"/>
        <v>M: successful</v>
      </c>
      <c r="C2386" s="68"/>
      <c r="D2386" s="68">
        <v>45988.0</v>
      </c>
      <c r="E2386" s="66">
        <v>8.0</v>
      </c>
      <c r="F2386" s="66" t="str">
        <f>IFERROR(__xludf.DUMMYFUNCTION("GOOGLETRANSLATE(A2386,""en"",""pt"")"),"bem-sucedido")</f>
        <v>bem-sucedido</v>
      </c>
      <c r="G2386" s="69"/>
    </row>
    <row r="2387" ht="22.5" customHeight="1">
      <c r="A2387" s="66" t="s">
        <v>3341</v>
      </c>
      <c r="B2387" s="67" t="str">
        <f t="shared" si="14"/>
        <v>M: it could be</v>
      </c>
      <c r="C2387" s="68"/>
      <c r="D2387" s="68">
        <v>45988.0</v>
      </c>
      <c r="E2387" s="66">
        <v>9.0</v>
      </c>
      <c r="F2387" s="66" t="str">
        <f>IFERROR(__xludf.DUMMYFUNCTION("GOOGLETRANSLATE(A2387,""en"",""pt"")"),"pode ser")</f>
        <v>pode ser</v>
      </c>
      <c r="G2387" s="69"/>
    </row>
    <row r="2388" ht="22.5" customHeight="1">
      <c r="A2388" s="66" t="s">
        <v>3342</v>
      </c>
      <c r="B2388" s="67" t="str">
        <f t="shared" si="14"/>
        <v>M: tasted</v>
      </c>
      <c r="C2388" s="68"/>
      <c r="D2388" s="68">
        <v>45988.0</v>
      </c>
      <c r="E2388" s="66">
        <v>10.0</v>
      </c>
      <c r="F2388" s="66" t="str">
        <f>IFERROR(__xludf.DUMMYFUNCTION("GOOGLETRANSLATE(A2388,""en"",""pt"")"),"provado")</f>
        <v>provado</v>
      </c>
      <c r="G2388" s="69"/>
    </row>
    <row r="2389" ht="22.5" customHeight="1">
      <c r="A2389" s="66" t="s">
        <v>3343</v>
      </c>
      <c r="B2389" s="67" t="str">
        <f t="shared" si="14"/>
        <v>M: viability</v>
      </c>
      <c r="C2389" s="68"/>
      <c r="D2389" s="68">
        <v>45988.0</v>
      </c>
      <c r="E2389" s="66">
        <v>1.0</v>
      </c>
      <c r="F2389" s="66" t="str">
        <f>IFERROR(__xludf.DUMMYFUNCTION("GOOGLETRANSLATE(A2389,""en"",""pt"")"),"viabilidade")</f>
        <v>viabilidade</v>
      </c>
      <c r="G2389" s="69"/>
    </row>
    <row r="2390" ht="22.5" customHeight="1">
      <c r="A2390" s="66" t="s">
        <v>3344</v>
      </c>
      <c r="B2390" s="67" t="str">
        <f t="shared" si="14"/>
        <v>M: slice</v>
      </c>
      <c r="C2390" s="68"/>
      <c r="D2390" s="68">
        <v>45988.0</v>
      </c>
      <c r="E2390" s="66">
        <v>2.0</v>
      </c>
      <c r="F2390" s="66" t="str">
        <f>IFERROR(__xludf.DUMMYFUNCTION("GOOGLETRANSLATE(A2390,""en"",""pt"")"),"fatiar")</f>
        <v>fatiar</v>
      </c>
      <c r="G2390" s="69"/>
    </row>
    <row r="2391" ht="22.5" customHeight="1">
      <c r="A2391" s="66" t="s">
        <v>3345</v>
      </c>
      <c r="B2391" s="67" t="str">
        <f t="shared" si="14"/>
        <v>M: discourages</v>
      </c>
      <c r="C2391" s="68"/>
      <c r="D2391" s="68">
        <v>45988.0</v>
      </c>
      <c r="E2391" s="66">
        <v>3.0</v>
      </c>
      <c r="F2391" s="66" t="str">
        <f>IFERROR(__xludf.DUMMYFUNCTION("GOOGLETRANSLATE(A2391,""en"",""pt"")"),"desencoraja")</f>
        <v>desencoraja</v>
      </c>
      <c r="G2391" s="69"/>
    </row>
    <row r="2392" ht="22.5" customHeight="1">
      <c r="A2392" s="66" t="s">
        <v>3346</v>
      </c>
      <c r="B2392" s="67" t="str">
        <f t="shared" si="14"/>
        <v>M: how's</v>
      </c>
      <c r="C2392" s="68"/>
      <c r="D2392" s="68">
        <v>45989.0</v>
      </c>
      <c r="E2392" s="66">
        <v>4.0</v>
      </c>
      <c r="F2392" s="66" t="str">
        <f>IFERROR(__xludf.DUMMYFUNCTION("GOOGLETRANSLATE(A2392,""en"",""pt"")"),"como é")</f>
        <v>como é</v>
      </c>
      <c r="G2392" s="69"/>
    </row>
    <row r="2393" ht="22.5" customHeight="1">
      <c r="A2393" s="66" t="s">
        <v>3347</v>
      </c>
      <c r="B2393" s="67" t="str">
        <f t="shared" si="14"/>
        <v>M: revolutionize</v>
      </c>
      <c r="C2393" s="68"/>
      <c r="D2393" s="68">
        <v>45989.0</v>
      </c>
      <c r="E2393" s="66">
        <v>5.0</v>
      </c>
      <c r="F2393" s="66" t="str">
        <f>IFERROR(__xludf.DUMMYFUNCTION("GOOGLETRANSLATE(A2393,""en"",""pt"")"),"revolucionar")</f>
        <v>revolucionar</v>
      </c>
      <c r="G2393" s="69"/>
    </row>
    <row r="2394" ht="22.5" customHeight="1">
      <c r="A2394" s="66" t="s">
        <v>3348</v>
      </c>
      <c r="B2394" s="67" t="str">
        <f t="shared" si="14"/>
        <v>M: let you</v>
      </c>
      <c r="C2394" s="68"/>
      <c r="D2394" s="68">
        <v>45989.0</v>
      </c>
      <c r="E2394" s="66">
        <v>6.0</v>
      </c>
      <c r="F2394" s="66" t="str">
        <f>IFERROR(__xludf.DUMMYFUNCTION("GOOGLETRANSLATE(A2394,""en"",""pt"")"),"permitir que você")</f>
        <v>permitir que você</v>
      </c>
      <c r="G2394" s="69"/>
    </row>
    <row r="2395" ht="22.5" customHeight="1">
      <c r="A2395" s="66" t="s">
        <v>3349</v>
      </c>
      <c r="B2395" s="67" t="str">
        <f t="shared" si="14"/>
        <v>M: lecture</v>
      </c>
      <c r="C2395" s="68"/>
      <c r="D2395" s="68">
        <v>45989.0</v>
      </c>
      <c r="E2395" s="66">
        <v>7.0</v>
      </c>
      <c r="F2395" s="66" t="str">
        <f>IFERROR(__xludf.DUMMYFUNCTION("GOOGLETRANSLATE(A2395,""en"",""pt"")"),"palestra")</f>
        <v>palestra</v>
      </c>
      <c r="G2395" s="69"/>
    </row>
    <row r="2396" ht="22.5" customHeight="1">
      <c r="A2396" s="66" t="s">
        <v>3350</v>
      </c>
      <c r="B2396" s="67" t="str">
        <f t="shared" si="14"/>
        <v>M: inaudible</v>
      </c>
      <c r="C2396" s="68"/>
      <c r="D2396" s="68">
        <v>45989.0</v>
      </c>
      <c r="E2396" s="66">
        <v>8.0</v>
      </c>
      <c r="F2396" s="66" t="str">
        <f>IFERROR(__xludf.DUMMYFUNCTION("GOOGLETRANSLATE(A2396,""en"",""pt"")"),"inaudível")</f>
        <v>inaudível</v>
      </c>
      <c r="G2396" s="69"/>
    </row>
    <row r="2397" ht="22.5" customHeight="1">
      <c r="A2397" s="66" t="s">
        <v>3351</v>
      </c>
      <c r="B2397" s="67" t="str">
        <f t="shared" si="14"/>
        <v>M: founder</v>
      </c>
      <c r="C2397" s="68"/>
      <c r="D2397" s="68">
        <v>45989.0</v>
      </c>
      <c r="E2397" s="66">
        <v>9.0</v>
      </c>
      <c r="F2397" s="66" t="str">
        <f>IFERROR(__xludf.DUMMYFUNCTION("GOOGLETRANSLATE(A2397,""en"",""pt"")"),"fundador")</f>
        <v>fundador</v>
      </c>
      <c r="G2397" s="69"/>
    </row>
    <row r="2398" ht="22.5" customHeight="1">
      <c r="A2398" s="66" t="s">
        <v>3352</v>
      </c>
      <c r="B2398" s="67" t="str">
        <f t="shared" si="14"/>
        <v>M: semester</v>
      </c>
      <c r="C2398" s="68"/>
      <c r="D2398" s="68">
        <v>45989.0</v>
      </c>
      <c r="E2398" s="66">
        <v>10.0</v>
      </c>
      <c r="F2398" s="66" t="str">
        <f>IFERROR(__xludf.DUMMYFUNCTION("GOOGLETRANSLATE(A2398,""en"",""pt"")"),"semestre")</f>
        <v>semestre</v>
      </c>
      <c r="G2398" s="69"/>
    </row>
    <row r="2399" ht="22.5" customHeight="1">
      <c r="A2399" s="66" t="s">
        <v>3353</v>
      </c>
      <c r="B2399" s="67" t="str">
        <f t="shared" si="14"/>
        <v>M: forth</v>
      </c>
      <c r="C2399" s="68"/>
      <c r="D2399" s="68">
        <v>45989.0</v>
      </c>
      <c r="E2399" s="66">
        <v>1.0</v>
      </c>
      <c r="F2399" s="66" t="str">
        <f>IFERROR(__xludf.DUMMYFUNCTION("GOOGLETRANSLATE(A2399,""en"",""pt"")"),"adiante")</f>
        <v>adiante</v>
      </c>
      <c r="G2399" s="69"/>
    </row>
    <row r="2400" ht="22.5" customHeight="1">
      <c r="A2400" s="66" t="s">
        <v>3354</v>
      </c>
      <c r="B2400" s="67" t="str">
        <f t="shared" si="14"/>
        <v>M: attach</v>
      </c>
      <c r="C2400" s="68"/>
      <c r="D2400" s="68">
        <v>45989.0</v>
      </c>
      <c r="E2400" s="66">
        <v>2.0</v>
      </c>
      <c r="F2400" s="66" t="str">
        <f>IFERROR(__xludf.DUMMYFUNCTION("GOOGLETRANSLATE(A2400,""en"",""pt"")"),"anexar")</f>
        <v>anexar</v>
      </c>
      <c r="G2400" s="69"/>
    </row>
    <row r="2401" ht="22.5" customHeight="1">
      <c r="A2401" s="66" t="s">
        <v>3355</v>
      </c>
      <c r="B2401" s="67" t="str">
        <f t="shared" si="14"/>
        <v>M: amplified</v>
      </c>
      <c r="C2401" s="68"/>
      <c r="D2401" s="68">
        <v>45989.0</v>
      </c>
      <c r="E2401" s="66">
        <v>3.0</v>
      </c>
      <c r="F2401" s="66" t="str">
        <f>IFERROR(__xludf.DUMMYFUNCTION("GOOGLETRANSLATE(A2401,""en"",""pt"")"),"amplificado")</f>
        <v>amplificado</v>
      </c>
      <c r="G2401" s="69"/>
    </row>
    <row r="2402" ht="22.5" customHeight="1">
      <c r="A2402" s="66" t="s">
        <v>3356</v>
      </c>
      <c r="B2402" s="67" t="str">
        <f t="shared" si="14"/>
        <v>M: dissimilarities</v>
      </c>
      <c r="C2402" s="68"/>
      <c r="D2402" s="68">
        <v>45990.0</v>
      </c>
      <c r="E2402" s="66">
        <v>4.0</v>
      </c>
      <c r="F2402" s="66" t="str">
        <f>IFERROR(__xludf.DUMMYFUNCTION("GOOGLETRANSLATE(A2402,""en"",""pt"")"),"diferenças")</f>
        <v>diferenças</v>
      </c>
      <c r="G2402" s="69"/>
    </row>
    <row r="2403" ht="22.5" customHeight="1">
      <c r="A2403" s="66" t="s">
        <v>3357</v>
      </c>
      <c r="B2403" s="67" t="str">
        <f t="shared" si="14"/>
        <v>M: slotted</v>
      </c>
      <c r="C2403" s="68"/>
      <c r="D2403" s="68">
        <v>45990.0</v>
      </c>
      <c r="E2403" s="66">
        <v>5.0</v>
      </c>
      <c r="F2403" s="66" t="str">
        <f>IFERROR(__xludf.DUMMYFUNCTION("GOOGLETRANSLATE(A2403,""en"",""pt"")"),"ranhurado")</f>
        <v>ranhurado</v>
      </c>
      <c r="G2403" s="69"/>
    </row>
    <row r="2404" ht="22.5" customHeight="1">
      <c r="A2404" s="66" t="s">
        <v>3358</v>
      </c>
      <c r="B2404" s="67" t="str">
        <f t="shared" si="14"/>
        <v>M: embodied</v>
      </c>
      <c r="C2404" s="68"/>
      <c r="D2404" s="68">
        <v>45990.0</v>
      </c>
      <c r="E2404" s="66">
        <v>6.0</v>
      </c>
      <c r="F2404" s="66" t="str">
        <f>IFERROR(__xludf.DUMMYFUNCTION("GOOGLETRANSLATE(A2404,""en"",""pt"")"),"incorporado")</f>
        <v>incorporado</v>
      </c>
      <c r="G2404" s="69"/>
    </row>
    <row r="2405" ht="22.5" customHeight="1">
      <c r="A2405" s="66" t="s">
        <v>3359</v>
      </c>
      <c r="B2405" s="67" t="str">
        <f t="shared" si="14"/>
        <v>M: duck</v>
      </c>
      <c r="C2405" s="68"/>
      <c r="D2405" s="68">
        <v>45990.0</v>
      </c>
      <c r="E2405" s="66">
        <v>7.0</v>
      </c>
      <c r="F2405" s="66" t="str">
        <f>IFERROR(__xludf.DUMMYFUNCTION("GOOGLETRANSLATE(A2405,""en"",""pt"")"),"pato")</f>
        <v>pato</v>
      </c>
      <c r="G2405" s="69"/>
    </row>
    <row r="2406" ht="22.5" customHeight="1">
      <c r="A2406" s="66" t="s">
        <v>3360</v>
      </c>
      <c r="B2406" s="67" t="str">
        <f t="shared" si="14"/>
        <v>M: you know</v>
      </c>
      <c r="C2406" s="68"/>
      <c r="D2406" s="68">
        <v>45990.0</v>
      </c>
      <c r="E2406" s="66">
        <v>8.0</v>
      </c>
      <c r="F2406" s="66" t="str">
        <f>IFERROR(__xludf.DUMMYFUNCTION("GOOGLETRANSLATE(A2406,""en"",""pt"")"),"você sabe")</f>
        <v>você sabe</v>
      </c>
      <c r="G2406" s="69"/>
    </row>
    <row r="2407" ht="22.5" customHeight="1">
      <c r="A2407" s="66" t="s">
        <v>3361</v>
      </c>
      <c r="B2407" s="67" t="str">
        <f t="shared" si="14"/>
        <v>M: perry</v>
      </c>
      <c r="C2407" s="68"/>
      <c r="D2407" s="68">
        <v>45990.0</v>
      </c>
      <c r="E2407" s="66">
        <v>9.0</v>
      </c>
      <c r="F2407" s="66" t="str">
        <f>IFERROR(__xludf.DUMMYFUNCTION("GOOGLETRANSLATE(A2407,""en"",""pt"")"),"perada")</f>
        <v>perada</v>
      </c>
      <c r="G2407" s="69"/>
    </row>
    <row r="2408" ht="22.5" customHeight="1">
      <c r="A2408" s="66" t="s">
        <v>3362</v>
      </c>
      <c r="B2408" s="67" t="str">
        <f t="shared" si="14"/>
        <v>M: beacon</v>
      </c>
      <c r="C2408" s="68"/>
      <c r="D2408" s="68">
        <v>45990.0</v>
      </c>
      <c r="E2408" s="66">
        <v>10.0</v>
      </c>
      <c r="F2408" s="66" t="str">
        <f>IFERROR(__xludf.DUMMYFUNCTION("GOOGLETRANSLATE(A2408,""en"",""pt"")"),"baliza")</f>
        <v>baliza</v>
      </c>
      <c r="G2408" s="69"/>
    </row>
    <row r="2409" ht="22.5" customHeight="1">
      <c r="A2409" s="66" t="s">
        <v>3363</v>
      </c>
      <c r="B2409" s="67" t="str">
        <f t="shared" si="14"/>
        <v>M: seared</v>
      </c>
      <c r="C2409" s="68"/>
      <c r="D2409" s="68">
        <v>45990.0</v>
      </c>
      <c r="E2409" s="66">
        <v>1.0</v>
      </c>
      <c r="F2409" s="66" t="str">
        <f>IFERROR(__xludf.DUMMYFUNCTION("GOOGLETRANSLATE(A2409,""en"",""pt"")"),"grelhado")</f>
        <v>grelhado</v>
      </c>
      <c r="G2409" s="69"/>
    </row>
    <row r="2410" ht="22.5" customHeight="1">
      <c r="A2410" s="66" t="s">
        <v>3364</v>
      </c>
      <c r="B2410" s="67" t="str">
        <f t="shared" si="14"/>
        <v>M: it came</v>
      </c>
      <c r="C2410" s="68"/>
      <c r="D2410" s="68">
        <v>45990.0</v>
      </c>
      <c r="E2410" s="66">
        <v>2.0</v>
      </c>
      <c r="F2410" s="66" t="str">
        <f>IFERROR(__xludf.DUMMYFUNCTION("GOOGLETRANSLATE(A2410,""en"",""pt"")"),"veio")</f>
        <v>veio</v>
      </c>
      <c r="G2410" s="69"/>
    </row>
    <row r="2411" ht="22.5" customHeight="1">
      <c r="A2411" s="66" t="s">
        <v>3365</v>
      </c>
      <c r="B2411" s="67" t="str">
        <f t="shared" si="14"/>
        <v>M: captivity</v>
      </c>
      <c r="C2411" s="68"/>
      <c r="D2411" s="68">
        <v>45990.0</v>
      </c>
      <c r="E2411" s="66">
        <v>3.0</v>
      </c>
      <c r="F2411" s="66" t="str">
        <f>IFERROR(__xludf.DUMMYFUNCTION("GOOGLETRANSLATE(A2411,""en"",""pt"")"),"cativeiro")</f>
        <v>cativeiro</v>
      </c>
      <c r="G2411" s="69"/>
    </row>
    <row r="2412" ht="22.5" customHeight="1">
      <c r="A2412" s="66" t="s">
        <v>3366</v>
      </c>
      <c r="B2412" s="67" t="str">
        <f t="shared" si="14"/>
        <v>M: crippled</v>
      </c>
      <c r="C2412" s="68"/>
      <c r="D2412" s="68">
        <v>45991.0</v>
      </c>
      <c r="E2412" s="66">
        <v>4.0</v>
      </c>
      <c r="F2412" s="66" t="str">
        <f>IFERROR(__xludf.DUMMYFUNCTION("GOOGLETRANSLATE(A2412,""en"",""pt"")"),"aleijado")</f>
        <v>aleijado</v>
      </c>
      <c r="G2412" s="69"/>
    </row>
    <row r="2413" ht="22.5" customHeight="1">
      <c r="A2413" s="66" t="s">
        <v>3367</v>
      </c>
      <c r="B2413" s="67" t="str">
        <f t="shared" si="14"/>
        <v>M: midst</v>
      </c>
      <c r="C2413" s="68"/>
      <c r="D2413" s="68">
        <v>45991.0</v>
      </c>
      <c r="E2413" s="66">
        <v>5.0</v>
      </c>
      <c r="F2413" s="66" t="str">
        <f>IFERROR(__xludf.DUMMYFUNCTION("GOOGLETRANSLATE(A2413,""en"",""pt"")"),"meio")</f>
        <v>meio</v>
      </c>
      <c r="G2413" s="69"/>
    </row>
    <row r="2414" ht="22.5" customHeight="1">
      <c r="A2414" s="66" t="s">
        <v>3368</v>
      </c>
      <c r="B2414" s="67" t="str">
        <f t="shared" si="14"/>
        <v>M: rise up</v>
      </c>
      <c r="C2414" s="68"/>
      <c r="D2414" s="68">
        <v>45991.0</v>
      </c>
      <c r="E2414" s="66">
        <v>6.0</v>
      </c>
      <c r="F2414" s="66" t="str">
        <f>IFERROR(__xludf.DUMMYFUNCTION("GOOGLETRANSLATE(A2414,""en"",""pt"")"),"erguer")</f>
        <v>erguer</v>
      </c>
      <c r="G2414" s="69"/>
    </row>
    <row r="2415" ht="22.5" customHeight="1">
      <c r="A2415" s="66" t="s">
        <v>3369</v>
      </c>
      <c r="B2415" s="67" t="str">
        <f t="shared" si="14"/>
        <v>M: sweltering</v>
      </c>
      <c r="C2415" s="68"/>
      <c r="D2415" s="68">
        <v>45991.0</v>
      </c>
      <c r="E2415" s="66">
        <v>7.0</v>
      </c>
      <c r="F2415" s="66" t="str">
        <f>IFERROR(__xludf.DUMMYFUNCTION("GOOGLETRANSLATE(A2415,""en"",""pt"")"),"sufocante")</f>
        <v>sufocante</v>
      </c>
      <c r="G2415" s="69"/>
    </row>
    <row r="2416" ht="22.5" customHeight="1">
      <c r="A2416" s="66" t="s">
        <v>3370</v>
      </c>
      <c r="B2416" s="67" t="str">
        <f t="shared" si="14"/>
        <v>M: slave</v>
      </c>
      <c r="C2416" s="68"/>
      <c r="D2416" s="68">
        <v>45991.0</v>
      </c>
      <c r="E2416" s="66">
        <v>8.0</v>
      </c>
      <c r="F2416" s="66" t="str">
        <f>IFERROR(__xludf.DUMMYFUNCTION("GOOGLETRANSLATE(A2416,""en"",""pt"")"),"escravo")</f>
        <v>escravo</v>
      </c>
      <c r="G2416" s="69"/>
    </row>
    <row r="2417" ht="22.5" customHeight="1">
      <c r="A2417" s="66" t="s">
        <v>3371</v>
      </c>
      <c r="B2417" s="67" t="str">
        <f t="shared" si="14"/>
        <v>M: brotherhood</v>
      </c>
      <c r="C2417" s="68"/>
      <c r="D2417" s="68">
        <v>45991.0</v>
      </c>
      <c r="E2417" s="66">
        <v>9.0</v>
      </c>
      <c r="F2417" s="66" t="str">
        <f>IFERROR(__xludf.DUMMYFUNCTION("GOOGLETRANSLATE(A2417,""en"",""pt"")"),"fraternidade")</f>
        <v>fraternidade</v>
      </c>
      <c r="G2417" s="69"/>
    </row>
    <row r="2418" ht="22.5" customHeight="1">
      <c r="A2418" s="66" t="s">
        <v>3372</v>
      </c>
      <c r="B2418" s="67" t="str">
        <f t="shared" si="14"/>
        <v>M: heat</v>
      </c>
      <c r="C2418" s="68"/>
      <c r="D2418" s="68">
        <v>45991.0</v>
      </c>
      <c r="E2418" s="66">
        <v>10.0</v>
      </c>
      <c r="F2418" s="66" t="str">
        <f>IFERROR(__xludf.DUMMYFUNCTION("GOOGLETRANSLATE(A2418,""en"",""pt"")"),"aquecer")</f>
        <v>aquecer</v>
      </c>
      <c r="G2418" s="69"/>
    </row>
    <row r="2419" ht="22.5" customHeight="1">
      <c r="A2419" s="66" t="s">
        <v>3373</v>
      </c>
      <c r="B2419" s="67" t="str">
        <f t="shared" si="14"/>
        <v>M: discourage</v>
      </c>
      <c r="C2419" s="68"/>
      <c r="D2419" s="68">
        <v>45991.0</v>
      </c>
      <c r="E2419" s="66">
        <v>1.0</v>
      </c>
      <c r="F2419" s="66" t="str">
        <f>IFERROR(__xludf.DUMMYFUNCTION("GOOGLETRANSLATE(A2419,""en"",""pt"")"),"desencorajar")</f>
        <v>desencorajar</v>
      </c>
      <c r="G2419" s="69"/>
    </row>
    <row r="2420" ht="22.5" customHeight="1">
      <c r="A2420" s="66" t="s">
        <v>3374</v>
      </c>
      <c r="B2420" s="67" t="str">
        <f t="shared" si="14"/>
        <v>M: into a</v>
      </c>
      <c r="C2420" s="68"/>
      <c r="D2420" s="68">
        <v>45991.0</v>
      </c>
      <c r="E2420" s="66">
        <v>2.0</v>
      </c>
      <c r="F2420" s="66" t="str">
        <f>IFERROR(__xludf.DUMMYFUNCTION("GOOGLETRANSLATE(A2420,""en"",""pt"")"),"em um")</f>
        <v>em um</v>
      </c>
      <c r="G2420" s="69"/>
    </row>
    <row r="2421" ht="22.5" customHeight="1">
      <c r="A2421" s="66" t="s">
        <v>3375</v>
      </c>
      <c r="B2421" s="67" t="str">
        <f t="shared" si="14"/>
        <v>M: down in</v>
      </c>
      <c r="C2421" s="68"/>
      <c r="D2421" s="68">
        <v>45991.0</v>
      </c>
      <c r="E2421" s="66">
        <v>3.0</v>
      </c>
      <c r="F2421" s="66" t="str">
        <f>IFERROR(__xludf.DUMMYFUNCTION("GOOGLETRANSLATE(A2421,""en"",""pt"")"),"lá embaixo")</f>
        <v>lá embaixo</v>
      </c>
      <c r="G2421" s="69"/>
    </row>
    <row r="2422" ht="22.5" customHeight="1">
      <c r="A2422" s="66" t="s">
        <v>3376</v>
      </c>
      <c r="B2422" s="67" t="str">
        <f t="shared" si="14"/>
        <v>M: dripping</v>
      </c>
      <c r="C2422" s="68"/>
      <c r="D2422" s="68">
        <v>45992.0</v>
      </c>
      <c r="E2422" s="66">
        <v>4.0</v>
      </c>
      <c r="F2422" s="66" t="str">
        <f>IFERROR(__xludf.DUMMYFUNCTION("GOOGLETRANSLATE(A2422,""en"",""pt"")"),"gotejamento")</f>
        <v>gotejamento</v>
      </c>
      <c r="G2422" s="69"/>
    </row>
    <row r="2423" ht="22.5" customHeight="1">
      <c r="A2423" s="66" t="s">
        <v>3377</v>
      </c>
      <c r="B2423" s="67" t="str">
        <f t="shared" si="14"/>
        <v>M: exalted</v>
      </c>
      <c r="C2423" s="68"/>
      <c r="D2423" s="68">
        <v>45992.0</v>
      </c>
      <c r="E2423" s="66">
        <v>5.0</v>
      </c>
      <c r="F2423" s="66" t="str">
        <f>IFERROR(__xludf.DUMMYFUNCTION("GOOGLETRANSLATE(A2423,""en"",""pt"")"),"exaltado")</f>
        <v>exaltado</v>
      </c>
      <c r="G2423" s="69"/>
    </row>
    <row r="2424" ht="22.5" customHeight="1">
      <c r="A2424" s="66" t="s">
        <v>3378</v>
      </c>
      <c r="B2424" s="67" t="str">
        <f t="shared" si="14"/>
        <v>M: hew</v>
      </c>
      <c r="C2424" s="68"/>
      <c r="D2424" s="68">
        <v>45992.0</v>
      </c>
      <c r="E2424" s="66">
        <v>6.0</v>
      </c>
      <c r="F2424" s="66" t="str">
        <f>IFERROR(__xludf.DUMMYFUNCTION("GOOGLETRANSLATE(A2424,""en"",""pt"")"),"afiar")</f>
        <v>afiar</v>
      </c>
      <c r="G2424" s="69"/>
    </row>
    <row r="2425" ht="22.5" customHeight="1">
      <c r="A2425" s="66" t="s">
        <v>3379</v>
      </c>
      <c r="B2425" s="67" t="str">
        <f t="shared" si="14"/>
        <v>M: crooked</v>
      </c>
      <c r="C2425" s="68"/>
      <c r="D2425" s="68">
        <v>45992.0</v>
      </c>
      <c r="E2425" s="66">
        <v>7.0</v>
      </c>
      <c r="F2425" s="66" t="str">
        <f>IFERROR(__xludf.DUMMYFUNCTION("GOOGLETRANSLATE(A2425,""en"",""pt"")"),"torto")</f>
        <v>torto</v>
      </c>
      <c r="G2425" s="69"/>
    </row>
    <row r="2426" ht="22.5" customHeight="1">
      <c r="A2426" s="66" t="s">
        <v>3380</v>
      </c>
      <c r="B2426" s="67" t="str">
        <f t="shared" si="14"/>
        <v>M: faith</v>
      </c>
      <c r="C2426" s="68"/>
      <c r="D2426" s="68">
        <v>45992.0</v>
      </c>
      <c r="E2426" s="66">
        <v>8.0</v>
      </c>
      <c r="F2426" s="66" t="str">
        <f>IFERROR(__xludf.DUMMYFUNCTION("GOOGLETRANSLATE(A2426,""en"",""pt"")"),"fé")</f>
        <v>fé</v>
      </c>
      <c r="G2426" s="69"/>
    </row>
    <row r="2427" ht="22.5" customHeight="1">
      <c r="A2427" s="66" t="s">
        <v>3381</v>
      </c>
      <c r="B2427" s="67" t="str">
        <f t="shared" si="14"/>
        <v>M: jangling</v>
      </c>
      <c r="C2427" s="68"/>
      <c r="D2427" s="68">
        <v>45992.0</v>
      </c>
      <c r="E2427" s="66">
        <v>9.0</v>
      </c>
      <c r="F2427" s="66" t="str">
        <f>IFERROR(__xludf.DUMMYFUNCTION("GOOGLETRANSLATE(A2427,""en"",""pt"")"),"tilintando")</f>
        <v>tilintando</v>
      </c>
      <c r="G2427" s="69"/>
    </row>
    <row r="2428" ht="22.5" customHeight="1">
      <c r="A2428" s="66" t="s">
        <v>3382</v>
      </c>
      <c r="B2428" s="67" t="str">
        <f t="shared" si="14"/>
        <v>M: pilgrim</v>
      </c>
      <c r="C2428" s="68"/>
      <c r="D2428" s="68">
        <v>45992.0</v>
      </c>
      <c r="E2428" s="66">
        <v>10.0</v>
      </c>
      <c r="F2428" s="66" t="str">
        <f>IFERROR(__xludf.DUMMYFUNCTION("GOOGLETRANSLATE(A2428,""en"",""pt"")"),"peregrino")</f>
        <v>peregrino</v>
      </c>
      <c r="G2428" s="69"/>
    </row>
    <row r="2429" ht="22.5" customHeight="1">
      <c r="A2429" s="66" t="s">
        <v>3383</v>
      </c>
      <c r="B2429" s="67" t="str">
        <f t="shared" si="14"/>
        <v>M: freedom</v>
      </c>
      <c r="C2429" s="68"/>
      <c r="D2429" s="68">
        <v>45992.0</v>
      </c>
      <c r="E2429" s="66">
        <v>1.0</v>
      </c>
      <c r="F2429" s="66" t="str">
        <f>IFERROR(__xludf.DUMMYFUNCTION("GOOGLETRANSLATE(A2429,""en"",""pt"")"),"liberdade")</f>
        <v>liberdade</v>
      </c>
      <c r="G2429" s="69"/>
    </row>
    <row r="2430" ht="22.5" customHeight="1">
      <c r="A2430" s="66" t="s">
        <v>3384</v>
      </c>
      <c r="B2430" s="67" t="str">
        <f t="shared" si="14"/>
        <v>M: prodigious</v>
      </c>
      <c r="C2430" s="68"/>
      <c r="D2430" s="68">
        <v>45992.0</v>
      </c>
      <c r="E2430" s="66">
        <v>2.0</v>
      </c>
      <c r="F2430" s="66" t="str">
        <f>IFERROR(__xludf.DUMMYFUNCTION("GOOGLETRANSLATE(A2430,""en"",""pt"")"),"prodigioso")</f>
        <v>prodigioso</v>
      </c>
      <c r="G2430" s="69"/>
    </row>
    <row r="2431" ht="22.5" customHeight="1">
      <c r="A2431" s="66" t="s">
        <v>3385</v>
      </c>
      <c r="B2431" s="67" t="str">
        <f t="shared" si="14"/>
        <v>M: molehill</v>
      </c>
      <c r="C2431" s="68"/>
      <c r="D2431" s="68">
        <v>45992.0</v>
      </c>
      <c r="E2431" s="66">
        <v>3.0</v>
      </c>
      <c r="F2431" s="66" t="str">
        <f>IFERROR(__xludf.DUMMYFUNCTION("GOOGLETRANSLATE(A2431,""en"",""pt"")"),"montículo")</f>
        <v>montículo</v>
      </c>
      <c r="G2431" s="69"/>
    </row>
    <row r="2432" ht="22.5" customHeight="1">
      <c r="A2432" s="66" t="s">
        <v>3386</v>
      </c>
      <c r="B2432" s="67" t="str">
        <f t="shared" si="14"/>
        <v>M: hamlet</v>
      </c>
      <c r="C2432" s="68"/>
      <c r="D2432" s="68">
        <v>45993.0</v>
      </c>
      <c r="E2432" s="66">
        <v>4.0</v>
      </c>
      <c r="F2432" s="66" t="str">
        <f>IFERROR(__xludf.DUMMYFUNCTION("GOOGLETRANSLATE(A2432,""en"",""pt"")"),"aldeia")</f>
        <v>aldeia</v>
      </c>
      <c r="G2432" s="69"/>
    </row>
    <row r="2433" ht="22.5" customHeight="1">
      <c r="A2433" s="66" t="s">
        <v>3387</v>
      </c>
      <c r="B2433" s="67" t="str">
        <f t="shared" si="14"/>
        <v>M: hang</v>
      </c>
      <c r="C2433" s="68"/>
      <c r="D2433" s="68">
        <v>45993.0</v>
      </c>
      <c r="E2433" s="66">
        <v>5.0</v>
      </c>
      <c r="F2433" s="66" t="str">
        <f>IFERROR(__xludf.DUMMYFUNCTION("GOOGLETRANSLATE(A2433,""en"",""pt"")"),"pendurar")</f>
        <v>pendurar</v>
      </c>
      <c r="G2433" s="69"/>
    </row>
    <row r="2434" ht="22.5" customHeight="1">
      <c r="A2434" s="66" t="s">
        <v>3388</v>
      </c>
      <c r="B2434" s="67" t="str">
        <f t="shared" si="14"/>
        <v>M: ham</v>
      </c>
      <c r="C2434" s="68"/>
      <c r="D2434" s="68">
        <v>45993.0</v>
      </c>
      <c r="E2434" s="66">
        <v>6.0</v>
      </c>
      <c r="F2434" s="66" t="str">
        <f>IFERROR(__xludf.DUMMYFUNCTION("GOOGLETRANSLATE(A2434,""en"",""pt"")"),"presunto")</f>
        <v>presunto</v>
      </c>
      <c r="G2434" s="69"/>
    </row>
    <row r="2435" ht="22.5" customHeight="1">
      <c r="A2435" s="66" t="s">
        <v>3389</v>
      </c>
      <c r="B2435" s="67" t="str">
        <f t="shared" si="14"/>
        <v>M: jets</v>
      </c>
      <c r="C2435" s="68"/>
      <c r="D2435" s="68">
        <v>45993.0</v>
      </c>
      <c r="E2435" s="66">
        <v>7.0</v>
      </c>
      <c r="F2435" s="66" t="str">
        <f>IFERROR(__xludf.DUMMYFUNCTION("GOOGLETRANSLATE(A2435,""en"",""pt"")"),"jatos")</f>
        <v>jatos</v>
      </c>
      <c r="G2435" s="69"/>
    </row>
    <row r="2436" ht="22.5" customHeight="1">
      <c r="A2436" s="66" t="s">
        <v>3390</v>
      </c>
      <c r="B2436" s="67" t="str">
        <f t="shared" si="14"/>
        <v>M: dissimilarity</v>
      </c>
      <c r="C2436" s="68"/>
      <c r="D2436" s="68">
        <v>45993.0</v>
      </c>
      <c r="E2436" s="66">
        <v>8.0</v>
      </c>
      <c r="F2436" s="66" t="str">
        <f>IFERROR(__xludf.DUMMYFUNCTION("GOOGLETRANSLATE(A2436,""en"",""pt"")"),"dissimilaridade")</f>
        <v>dissimilaridade</v>
      </c>
      <c r="G2436" s="69"/>
    </row>
    <row r="2437" ht="22.5" customHeight="1">
      <c r="A2437" s="66" t="s">
        <v>3391</v>
      </c>
      <c r="B2437" s="67" t="str">
        <f t="shared" si="14"/>
        <v>M: jaws</v>
      </c>
      <c r="C2437" s="68"/>
      <c r="D2437" s="68">
        <v>45993.0</v>
      </c>
      <c r="E2437" s="66">
        <v>9.0</v>
      </c>
      <c r="F2437" s="66" t="str">
        <f>IFERROR(__xludf.DUMMYFUNCTION("GOOGLETRANSLATE(A2437,""en"",""pt"")"),"maxilas")</f>
        <v>maxilas</v>
      </c>
      <c r="G2437" s="69"/>
    </row>
    <row r="2438" ht="22.5" customHeight="1">
      <c r="A2438" s="66" t="s">
        <v>3392</v>
      </c>
      <c r="B2438" s="67" t="str">
        <f t="shared" si="14"/>
        <v>M: soundtrack</v>
      </c>
      <c r="C2438" s="68"/>
      <c r="D2438" s="68">
        <v>45993.0</v>
      </c>
      <c r="E2438" s="66">
        <v>10.0</v>
      </c>
      <c r="F2438" s="66" t="str">
        <f>IFERROR(__xludf.DUMMYFUNCTION("GOOGLETRANSLATE(A2438,""en"",""pt"")"),"trilha sonora")</f>
        <v>trilha sonora</v>
      </c>
      <c r="G2438" s="69"/>
    </row>
    <row r="2439" ht="22.5" customHeight="1">
      <c r="A2439" s="66" t="s">
        <v>3393</v>
      </c>
      <c r="B2439" s="67" t="str">
        <f t="shared" si="14"/>
        <v>M: sunder</v>
      </c>
      <c r="C2439" s="68"/>
      <c r="D2439" s="68">
        <v>45993.0</v>
      </c>
      <c r="E2439" s="66">
        <v>1.0</v>
      </c>
      <c r="F2439" s="66" t="str">
        <f>IFERROR(__xludf.DUMMYFUNCTION("GOOGLETRANSLATE(A2439,""en"",""pt"")"),"separar")</f>
        <v>separar</v>
      </c>
      <c r="G2439" s="69"/>
    </row>
    <row r="2440" ht="22.5" customHeight="1">
      <c r="A2440" s="66" t="s">
        <v>3394</v>
      </c>
      <c r="B2440" s="67" t="str">
        <f t="shared" si="14"/>
        <v>M: sounded</v>
      </c>
      <c r="C2440" s="68"/>
      <c r="D2440" s="68">
        <v>45993.0</v>
      </c>
      <c r="E2440" s="66">
        <v>2.0</v>
      </c>
      <c r="F2440" s="66" t="str">
        <f>IFERROR(__xludf.DUMMYFUNCTION("GOOGLETRANSLATE(A2440,""en"",""pt"")"),"soou")</f>
        <v>soou</v>
      </c>
      <c r="G2440" s="69"/>
    </row>
    <row r="2441" ht="22.5" customHeight="1">
      <c r="A2441" s="66" t="s">
        <v>3395</v>
      </c>
      <c r="B2441" s="67" t="str">
        <f t="shared" si="14"/>
        <v>M: spoof</v>
      </c>
      <c r="C2441" s="68"/>
      <c r="D2441" s="68">
        <v>45993.0</v>
      </c>
      <c r="E2441" s="66">
        <v>3.0</v>
      </c>
      <c r="F2441" s="66" t="str">
        <f>IFERROR(__xludf.DUMMYFUNCTION("GOOGLETRANSLATE(A2441,""en"",""pt"")"),"paródia")</f>
        <v>paródia</v>
      </c>
      <c r="G2441" s="69"/>
    </row>
    <row r="2442" ht="22.5" customHeight="1">
      <c r="A2442" s="66" t="s">
        <v>3396</v>
      </c>
      <c r="B2442" s="67" t="str">
        <f t="shared" si="14"/>
        <v>M: spoke</v>
      </c>
      <c r="C2442" s="68"/>
      <c r="D2442" s="68">
        <v>45994.0</v>
      </c>
      <c r="E2442" s="66">
        <v>4.0</v>
      </c>
      <c r="F2442" s="66" t="str">
        <f>IFERROR(__xludf.DUMMYFUNCTION("GOOGLETRANSLATE(A2442,""en"",""pt"")"),"falou")</f>
        <v>falou</v>
      </c>
      <c r="G2442" s="69"/>
    </row>
    <row r="2443" ht="22.5" customHeight="1">
      <c r="A2443" s="66" t="s">
        <v>3397</v>
      </c>
      <c r="B2443" s="67" t="str">
        <f t="shared" si="14"/>
        <v>M: spot</v>
      </c>
      <c r="C2443" s="68"/>
      <c r="D2443" s="68">
        <v>45994.0</v>
      </c>
      <c r="E2443" s="66">
        <v>5.0</v>
      </c>
      <c r="F2443" s="66" t="str">
        <f>IFERROR(__xludf.DUMMYFUNCTION("GOOGLETRANSLATE(A2443,""en"",""pt"")"),"ver")</f>
        <v>ver</v>
      </c>
      <c r="G2443" s="69"/>
    </row>
    <row r="2444" ht="22.5" customHeight="1">
      <c r="A2444" s="66" t="s">
        <v>3398</v>
      </c>
      <c r="B2444" s="67" t="str">
        <f t="shared" si="14"/>
        <v>M: dolls</v>
      </c>
      <c r="C2444" s="68"/>
      <c r="D2444" s="68">
        <v>45994.0</v>
      </c>
      <c r="E2444" s="66">
        <v>6.0</v>
      </c>
      <c r="F2444" s="66" t="str">
        <f>IFERROR(__xludf.DUMMYFUNCTION("GOOGLETRANSLATE(A2444,""en"",""pt"")"),"bonecas")</f>
        <v>bonecas</v>
      </c>
      <c r="G2444" s="69"/>
    </row>
    <row r="2445" ht="22.5" customHeight="1">
      <c r="A2445" s="66" t="s">
        <v>3399</v>
      </c>
      <c r="B2445" s="67" t="str">
        <f t="shared" si="14"/>
        <v>M: so long</v>
      </c>
      <c r="C2445" s="68"/>
      <c r="D2445" s="68">
        <v>45994.0</v>
      </c>
      <c r="E2445" s="66">
        <v>7.0</v>
      </c>
      <c r="F2445" s="66" t="str">
        <f>IFERROR(__xludf.DUMMYFUNCTION("GOOGLETRANSLATE(A2445,""en"",""pt"")"),"contanto")</f>
        <v>contanto</v>
      </c>
      <c r="G2445" s="69"/>
    </row>
    <row r="2446" ht="22.5" customHeight="1">
      <c r="A2446" s="66" t="s">
        <v>3400</v>
      </c>
      <c r="B2446" s="67" t="str">
        <f t="shared" si="14"/>
        <v>M: tonight</v>
      </c>
      <c r="C2446" s="68"/>
      <c r="D2446" s="68">
        <v>45994.0</v>
      </c>
      <c r="E2446" s="66">
        <v>8.0</v>
      </c>
      <c r="F2446" s="66" t="str">
        <f>IFERROR(__xludf.DUMMYFUNCTION("GOOGLETRANSLATE(A2446,""en"",""pt"")"),"essa noite")</f>
        <v>essa noite</v>
      </c>
      <c r="G2446" s="69"/>
    </row>
    <row r="2447" ht="22.5" customHeight="1">
      <c r="A2447" s="66" t="s">
        <v>3401</v>
      </c>
      <c r="B2447" s="67" t="str">
        <f t="shared" si="14"/>
        <v>M: speech</v>
      </c>
      <c r="C2447" s="68"/>
      <c r="D2447" s="68">
        <v>45994.0</v>
      </c>
      <c r="E2447" s="66">
        <v>9.0</v>
      </c>
      <c r="F2447" s="66" t="str">
        <f>IFERROR(__xludf.DUMMYFUNCTION("GOOGLETRANSLATE(A2447,""en"",""pt"")"),"discurso")</f>
        <v>discurso</v>
      </c>
      <c r="G2447" s="69"/>
    </row>
    <row r="2448" ht="22.5" customHeight="1">
      <c r="A2448" s="66" t="s">
        <v>3402</v>
      </c>
      <c r="B2448" s="67" t="str">
        <f t="shared" si="14"/>
        <v>M: cheering</v>
      </c>
      <c r="C2448" s="68"/>
      <c r="D2448" s="68">
        <v>45994.0</v>
      </c>
      <c r="E2448" s="66">
        <v>10.0</v>
      </c>
      <c r="F2448" s="66" t="str">
        <f>IFERROR(__xludf.DUMMYFUNCTION("GOOGLETRANSLATE(A2448,""en"",""pt"")"),"aplaudindo")</f>
        <v>aplaudindo</v>
      </c>
      <c r="G2448" s="69"/>
    </row>
    <row r="2449" ht="22.5" customHeight="1">
      <c r="A2449" s="66" t="s">
        <v>3403</v>
      </c>
      <c r="B2449" s="67" t="str">
        <f t="shared" si="14"/>
        <v>M: workout</v>
      </c>
      <c r="C2449" s="68"/>
      <c r="D2449" s="68">
        <v>45994.0</v>
      </c>
      <c r="E2449" s="66">
        <v>1.0</v>
      </c>
      <c r="F2449" s="66" t="str">
        <f>IFERROR(__xludf.DUMMYFUNCTION("GOOGLETRANSLATE(A2449,""en"",""pt"")"),"dar certo")</f>
        <v>dar certo</v>
      </c>
      <c r="G2449" s="69"/>
    </row>
    <row r="2450" ht="22.5" customHeight="1">
      <c r="A2450" s="66" t="s">
        <v>3404</v>
      </c>
      <c r="B2450" s="67" t="str">
        <f t="shared" si="14"/>
        <v>M: which one</v>
      </c>
      <c r="C2450" s="68"/>
      <c r="D2450" s="68">
        <v>45994.0</v>
      </c>
      <c r="E2450" s="66">
        <v>2.0</v>
      </c>
      <c r="F2450" s="66" t="str">
        <f>IFERROR(__xludf.DUMMYFUNCTION("GOOGLETRANSLATE(A2450,""en"",""pt"")"),"qual deles")</f>
        <v>qual deles</v>
      </c>
      <c r="G2450" s="69"/>
    </row>
    <row r="2451" ht="22.5" customHeight="1">
      <c r="A2451" s="66" t="s">
        <v>3405</v>
      </c>
      <c r="B2451" s="67" t="str">
        <f t="shared" si="14"/>
        <v>M: as i look</v>
      </c>
      <c r="C2451" s="68"/>
      <c r="D2451" s="68">
        <v>45994.0</v>
      </c>
      <c r="E2451" s="66">
        <v>3.0</v>
      </c>
      <c r="F2451" s="66" t="str">
        <f>IFERROR(__xludf.DUMMYFUNCTION("GOOGLETRANSLATE(A2451,""en"",""pt"")"),"enquanto eu olho")</f>
        <v>enquanto eu olho</v>
      </c>
      <c r="G2451" s="69"/>
    </row>
    <row r="2452" ht="22.5" customHeight="1">
      <c r="A2452" s="66" t="s">
        <v>3406</v>
      </c>
      <c r="B2452" s="67" t="str">
        <f t="shared" si="14"/>
        <v>M: plain</v>
      </c>
      <c r="C2452" s="68"/>
      <c r="D2452" s="68">
        <v>45995.0</v>
      </c>
      <c r="E2452" s="66">
        <v>4.0</v>
      </c>
      <c r="F2452" s="66" t="str">
        <f>IFERROR(__xludf.DUMMYFUNCTION("GOOGLETRANSLATE(A2452,""en"",""pt"")"),"simples")</f>
        <v>simples</v>
      </c>
      <c r="G2452" s="69"/>
    </row>
    <row r="2453" ht="22.5" customHeight="1">
      <c r="A2453" s="66" t="s">
        <v>3407</v>
      </c>
      <c r="B2453" s="67" t="str">
        <f t="shared" si="14"/>
        <v>M: handicap</v>
      </c>
      <c r="C2453" s="68"/>
      <c r="D2453" s="68">
        <v>45995.0</v>
      </c>
      <c r="E2453" s="66">
        <v>5.0</v>
      </c>
      <c r="F2453" s="66" t="str">
        <f>IFERROR(__xludf.DUMMYFUNCTION("GOOGLETRANSLATE(A2453,""en"",""pt"")"),"handicap")</f>
        <v>handicap</v>
      </c>
      <c r="G2453" s="69"/>
    </row>
    <row r="2454" ht="22.5" customHeight="1">
      <c r="A2454" s="66" t="s">
        <v>3408</v>
      </c>
      <c r="B2454" s="67" t="str">
        <f t="shared" si="14"/>
        <v>M: tuesday</v>
      </c>
      <c r="C2454" s="68"/>
      <c r="D2454" s="68">
        <v>45995.0</v>
      </c>
      <c r="E2454" s="66">
        <v>6.0</v>
      </c>
      <c r="F2454" s="66" t="str">
        <f>IFERROR(__xludf.DUMMYFUNCTION("GOOGLETRANSLATE(A2454,""en"",""pt"")"),"terça-feira")</f>
        <v>terça-feira</v>
      </c>
      <c r="G2454" s="69"/>
    </row>
    <row r="2455" ht="22.5" customHeight="1">
      <c r="A2455" s="66" t="s">
        <v>3409</v>
      </c>
      <c r="B2455" s="67" t="str">
        <f t="shared" si="14"/>
        <v>M: sealed</v>
      </c>
      <c r="C2455" s="68"/>
      <c r="D2455" s="68">
        <v>45995.0</v>
      </c>
      <c r="E2455" s="66">
        <v>7.0</v>
      </c>
      <c r="F2455" s="66" t="str">
        <f>IFERROR(__xludf.DUMMYFUNCTION("GOOGLETRANSLATE(A2455,""en"",""pt"")"),"selado")</f>
        <v>selado</v>
      </c>
      <c r="G2455" s="69"/>
    </row>
    <row r="2456" ht="22.5" customHeight="1">
      <c r="A2456" s="66" t="s">
        <v>3410</v>
      </c>
      <c r="B2456" s="67" t="str">
        <f t="shared" si="14"/>
        <v>M: as much</v>
      </c>
      <c r="C2456" s="68"/>
      <c r="D2456" s="68">
        <v>45995.0</v>
      </c>
      <c r="E2456" s="66">
        <v>8.0</v>
      </c>
      <c r="F2456" s="66" t="str">
        <f>IFERROR(__xludf.DUMMYFUNCTION("GOOGLETRANSLATE(A2456,""en"",""pt"")"),"tanto quanto")</f>
        <v>tanto quanto</v>
      </c>
      <c r="G2456" s="69"/>
    </row>
    <row r="2457" ht="22.5" customHeight="1">
      <c r="A2457" s="66" t="s">
        <v>3411</v>
      </c>
      <c r="B2457" s="67" t="str">
        <f t="shared" si="14"/>
        <v>M: fact</v>
      </c>
      <c r="C2457" s="68"/>
      <c r="D2457" s="68">
        <v>45995.0</v>
      </c>
      <c r="E2457" s="66">
        <v>9.0</v>
      </c>
      <c r="F2457" s="66" t="str">
        <f>IFERROR(__xludf.DUMMYFUNCTION("GOOGLETRANSLATE(A2457,""en"",""pt"")"),"fato")</f>
        <v>fato</v>
      </c>
      <c r="G2457" s="69"/>
    </row>
    <row r="2458" ht="22.5" customHeight="1">
      <c r="A2458" s="66" t="s">
        <v>3412</v>
      </c>
      <c r="B2458" s="67" t="str">
        <f t="shared" si="14"/>
        <v>M: capitol</v>
      </c>
      <c r="C2458" s="68"/>
      <c r="D2458" s="68">
        <v>45995.0</v>
      </c>
      <c r="E2458" s="66">
        <v>10.0</v>
      </c>
      <c r="F2458" s="66" t="str">
        <f>IFERROR(__xludf.DUMMYFUNCTION("GOOGLETRANSLATE(A2458,""en"",""pt"")"),"capitólio")</f>
        <v>capitólio</v>
      </c>
      <c r="G2458" s="69"/>
    </row>
    <row r="2459" ht="22.5" customHeight="1">
      <c r="A2459" s="66" t="s">
        <v>3413</v>
      </c>
      <c r="B2459" s="67" t="str">
        <f t="shared" si="14"/>
        <v>M: route</v>
      </c>
      <c r="C2459" s="68"/>
      <c r="D2459" s="68">
        <v>45995.0</v>
      </c>
      <c r="E2459" s="66">
        <v>1.0</v>
      </c>
      <c r="F2459" s="66" t="str">
        <f>IFERROR(__xludf.DUMMYFUNCTION("GOOGLETRANSLATE(A2459,""en"",""pt"")"),"rota")</f>
        <v>rota</v>
      </c>
      <c r="G2459" s="69"/>
    </row>
    <row r="2460" ht="22.5" customHeight="1">
      <c r="A2460" s="66" t="s">
        <v>3414</v>
      </c>
      <c r="B2460" s="67" t="str">
        <f t="shared" si="14"/>
        <v>M: in fact</v>
      </c>
      <c r="C2460" s="68"/>
      <c r="D2460" s="68">
        <v>45995.0</v>
      </c>
      <c r="E2460" s="66">
        <v>2.0</v>
      </c>
      <c r="F2460" s="66" t="str">
        <f>IFERROR(__xludf.DUMMYFUNCTION("GOOGLETRANSLATE(A2460,""en"",""pt"")"),"na verdade")</f>
        <v>na verdade</v>
      </c>
      <c r="G2460" s="69"/>
    </row>
    <row r="2461" ht="22.5" customHeight="1">
      <c r="A2461" s="66" t="s">
        <v>3415</v>
      </c>
      <c r="B2461" s="67" t="str">
        <f t="shared" si="14"/>
        <v>M: regardless</v>
      </c>
      <c r="C2461" s="68"/>
      <c r="D2461" s="68">
        <v>45995.0</v>
      </c>
      <c r="E2461" s="66">
        <v>3.0</v>
      </c>
      <c r="F2461" s="66" t="str">
        <f>IFERROR(__xludf.DUMMYFUNCTION("GOOGLETRANSLATE(A2461,""en"",""pt"")"),"sem considerar")</f>
        <v>sem considerar</v>
      </c>
      <c r="G2461" s="69"/>
    </row>
    <row r="2462" ht="22.5" customHeight="1">
      <c r="A2462" s="66" t="s">
        <v>1158</v>
      </c>
      <c r="B2462" s="67" t="str">
        <f t="shared" si="14"/>
        <v>M: turns out</v>
      </c>
      <c r="C2462" s="68"/>
      <c r="D2462" s="68">
        <v>45996.0</v>
      </c>
      <c r="E2462" s="66">
        <v>4.0</v>
      </c>
      <c r="F2462" s="66" t="str">
        <f>IFERROR(__xludf.DUMMYFUNCTION("GOOGLETRANSLATE(A2462,""en"",""pt"")"),"acontece que")</f>
        <v>acontece que</v>
      </c>
      <c r="G2462" s="66" t="s">
        <v>247</v>
      </c>
    </row>
    <row r="2463" ht="22.5" customHeight="1">
      <c r="A2463" s="66" t="s">
        <v>2456</v>
      </c>
      <c r="B2463" s="67" t="str">
        <f t="shared" si="14"/>
        <v>M: squatting</v>
      </c>
      <c r="C2463" s="66">
        <v>2.0</v>
      </c>
      <c r="D2463" s="68">
        <v>45996.0</v>
      </c>
      <c r="E2463" s="66">
        <v>5.0</v>
      </c>
      <c r="F2463" s="66" t="s">
        <v>3416</v>
      </c>
      <c r="G2463" s="66" t="s">
        <v>247</v>
      </c>
    </row>
    <row r="2464" ht="22.5" customHeight="1">
      <c r="A2464" s="66" t="s">
        <v>2871</v>
      </c>
      <c r="B2464" s="67" t="str">
        <f t="shared" si="14"/>
        <v>M: assumes</v>
      </c>
      <c r="C2464" s="66">
        <v>2.0</v>
      </c>
      <c r="D2464" s="68">
        <v>45996.0</v>
      </c>
      <c r="E2464" s="66">
        <v>6.0</v>
      </c>
      <c r="F2464" s="66" t="s">
        <v>3417</v>
      </c>
      <c r="G2464" s="66" t="s">
        <v>247</v>
      </c>
    </row>
    <row r="2465" ht="22.5" customHeight="1">
      <c r="A2465" s="66" t="s">
        <v>2871</v>
      </c>
      <c r="B2465" s="67" t="str">
        <f t="shared" si="14"/>
        <v>M: assumes</v>
      </c>
      <c r="C2465" s="66">
        <v>3.0</v>
      </c>
      <c r="D2465" s="68">
        <v>45996.0</v>
      </c>
      <c r="E2465" s="66">
        <v>7.0</v>
      </c>
      <c r="F2465" s="66" t="s">
        <v>3418</v>
      </c>
      <c r="G2465" s="66" t="s">
        <v>247</v>
      </c>
    </row>
    <row r="2466" ht="22.5" customHeight="1">
      <c r="A2466" s="66" t="s">
        <v>3419</v>
      </c>
      <c r="B2466" s="67" t="str">
        <f t="shared" si="14"/>
        <v>M: perk up</v>
      </c>
      <c r="C2466" s="68"/>
      <c r="D2466" s="68">
        <v>45996.0</v>
      </c>
      <c r="E2466" s="66">
        <v>8.0</v>
      </c>
      <c r="F2466" s="66" t="str">
        <f>IFERROR(__xludf.DUMMYFUNCTION("GOOGLETRANSLATE(A2466,""en"",""pt"")"),"animar-se")</f>
        <v>animar-se</v>
      </c>
      <c r="G2466" s="66" t="s">
        <v>247</v>
      </c>
    </row>
    <row r="2467" ht="22.5" customHeight="1">
      <c r="A2467" s="66" t="s">
        <v>1506</v>
      </c>
      <c r="B2467" s="67" t="str">
        <f t="shared" si="14"/>
        <v>M: set out</v>
      </c>
      <c r="C2467" s="66">
        <v>2.0</v>
      </c>
      <c r="D2467" s="68">
        <v>45996.0</v>
      </c>
      <c r="E2467" s="66">
        <v>9.0</v>
      </c>
      <c r="F2467" s="66" t="s">
        <v>3420</v>
      </c>
      <c r="G2467" s="66" t="s">
        <v>247</v>
      </c>
    </row>
    <row r="2468" ht="22.5" customHeight="1">
      <c r="A2468" s="73" t="s">
        <v>1506</v>
      </c>
      <c r="B2468" s="74" t="str">
        <f t="shared" si="14"/>
        <v>M: set out</v>
      </c>
      <c r="C2468" s="66">
        <v>3.0</v>
      </c>
      <c r="D2468" s="68">
        <v>45996.0</v>
      </c>
      <c r="E2468" s="66">
        <v>10.0</v>
      </c>
      <c r="F2468" s="66" t="s">
        <v>3421</v>
      </c>
      <c r="G2468" s="66" t="s">
        <v>247</v>
      </c>
    </row>
    <row r="2469" ht="22.5" customHeight="1">
      <c r="A2469" s="66" t="s">
        <v>2458</v>
      </c>
      <c r="B2469" s="67" t="str">
        <f t="shared" si="14"/>
        <v>M: adds</v>
      </c>
      <c r="C2469" s="66">
        <v>2.0</v>
      </c>
      <c r="D2469" s="68">
        <v>45996.0</v>
      </c>
      <c r="E2469" s="66">
        <v>1.0</v>
      </c>
      <c r="F2469" s="66" t="s">
        <v>3422</v>
      </c>
      <c r="G2469" s="66" t="s">
        <v>247</v>
      </c>
    </row>
    <row r="2470" ht="22.5" customHeight="1">
      <c r="A2470" s="66" t="s">
        <v>2458</v>
      </c>
      <c r="B2470" s="67" t="str">
        <f t="shared" si="14"/>
        <v>M: adds</v>
      </c>
      <c r="C2470" s="66">
        <v>3.0</v>
      </c>
      <c r="D2470" s="68">
        <v>45996.0</v>
      </c>
      <c r="E2470" s="66">
        <v>2.0</v>
      </c>
      <c r="F2470" s="66" t="s">
        <v>3423</v>
      </c>
      <c r="G2470" s="66" t="s">
        <v>247</v>
      </c>
    </row>
    <row r="2471" ht="22.5" customHeight="1">
      <c r="A2471" s="66" t="s">
        <v>3424</v>
      </c>
      <c r="B2471" s="66" t="s">
        <v>3425</v>
      </c>
      <c r="C2471" s="68"/>
      <c r="D2471" s="68">
        <v>45996.0</v>
      </c>
      <c r="E2471" s="66">
        <v>3.0</v>
      </c>
      <c r="F2471" s="66" t="s">
        <v>3426</v>
      </c>
      <c r="G2471" s="66" t="s">
        <v>247</v>
      </c>
    </row>
    <row r="2472" ht="22.5" customHeight="1">
      <c r="A2472" s="66" t="s">
        <v>3427</v>
      </c>
      <c r="B2472" s="66" t="s">
        <v>3425</v>
      </c>
      <c r="C2472" s="68"/>
      <c r="D2472" s="68">
        <v>45997.0</v>
      </c>
      <c r="E2472" s="66">
        <v>4.0</v>
      </c>
      <c r="F2472" s="66" t="s">
        <v>3428</v>
      </c>
      <c r="G2472" s="66" t="s">
        <v>247</v>
      </c>
    </row>
    <row r="2473" ht="22.5" customHeight="1">
      <c r="A2473" s="66" t="s">
        <v>1639</v>
      </c>
      <c r="B2473" s="67" t="str">
        <f>CONCATENATE("M: ",A2473)</f>
        <v>M: remarks</v>
      </c>
      <c r="C2473" s="66">
        <v>2.0</v>
      </c>
      <c r="D2473" s="68">
        <v>45997.0</v>
      </c>
      <c r="E2473" s="66">
        <v>5.0</v>
      </c>
      <c r="F2473" s="71" t="s">
        <v>3429</v>
      </c>
      <c r="G2473" s="66" t="s">
        <v>247</v>
      </c>
    </row>
    <row r="2474" ht="22.5" customHeight="1">
      <c r="A2474" s="66" t="s">
        <v>2524</v>
      </c>
      <c r="B2474" s="66" t="s">
        <v>2524</v>
      </c>
      <c r="C2474" s="66">
        <v>2.0</v>
      </c>
      <c r="D2474" s="68">
        <v>45997.0</v>
      </c>
      <c r="E2474" s="66">
        <v>6.0</v>
      </c>
      <c r="F2474" s="71" t="s">
        <v>3430</v>
      </c>
      <c r="G2474" s="66" t="s">
        <v>247</v>
      </c>
    </row>
    <row r="2475" ht="22.5" customHeight="1">
      <c r="A2475" s="66" t="s">
        <v>2524</v>
      </c>
      <c r="B2475" s="66" t="s">
        <v>2524</v>
      </c>
      <c r="C2475" s="66">
        <v>3.0</v>
      </c>
      <c r="D2475" s="68">
        <v>45997.0</v>
      </c>
      <c r="E2475" s="66">
        <v>7.0</v>
      </c>
      <c r="F2475" s="66" t="s">
        <v>3431</v>
      </c>
      <c r="G2475" s="66" t="s">
        <v>247</v>
      </c>
    </row>
    <row r="2476" ht="22.5" customHeight="1">
      <c r="A2476" s="66" t="s">
        <v>3432</v>
      </c>
      <c r="B2476" s="67" t="str">
        <f t="shared" ref="B2476:B3534" si="15">CONCATENATE("M: ",A2476)</f>
        <v>M: The wealthy</v>
      </c>
      <c r="C2476" s="68"/>
      <c r="D2476" s="68">
        <v>45997.0</v>
      </c>
      <c r="E2476" s="66">
        <v>8.0</v>
      </c>
      <c r="F2476" s="66" t="s">
        <v>3433</v>
      </c>
      <c r="G2476" s="66" t="s">
        <v>247</v>
      </c>
    </row>
    <row r="2477" ht="22.5" customHeight="1">
      <c r="A2477" s="66" t="s">
        <v>550</v>
      </c>
      <c r="B2477" s="67" t="str">
        <f t="shared" si="15"/>
        <v>M: upended</v>
      </c>
      <c r="C2477" s="66">
        <v>2.0</v>
      </c>
      <c r="D2477" s="68">
        <v>45997.0</v>
      </c>
      <c r="E2477" s="66">
        <v>9.0</v>
      </c>
      <c r="F2477" s="66" t="s">
        <v>3434</v>
      </c>
      <c r="G2477" s="66" t="s">
        <v>247</v>
      </c>
    </row>
    <row r="2478" ht="22.5" customHeight="1">
      <c r="A2478" s="66" t="s">
        <v>2522</v>
      </c>
      <c r="B2478" s="67" t="str">
        <f t="shared" si="15"/>
        <v>M: whereas</v>
      </c>
      <c r="C2478" s="66">
        <v>2.0</v>
      </c>
      <c r="D2478" s="68">
        <v>45997.0</v>
      </c>
      <c r="E2478" s="66">
        <v>10.0</v>
      </c>
      <c r="F2478" s="66" t="s">
        <v>3435</v>
      </c>
      <c r="G2478" s="66" t="s">
        <v>247</v>
      </c>
    </row>
    <row r="2479" ht="22.5" customHeight="1">
      <c r="A2479" s="66" t="s">
        <v>1332</v>
      </c>
      <c r="B2479" s="67" t="str">
        <f t="shared" si="15"/>
        <v>M: birth</v>
      </c>
      <c r="C2479" s="66">
        <v>2.0</v>
      </c>
      <c r="D2479" s="68">
        <v>45997.0</v>
      </c>
      <c r="E2479" s="66">
        <v>1.0</v>
      </c>
      <c r="F2479" s="71" t="s">
        <v>3436</v>
      </c>
      <c r="G2479" s="66" t="s">
        <v>247</v>
      </c>
    </row>
    <row r="2480" ht="22.5" customHeight="1">
      <c r="A2480" s="66" t="s">
        <v>1332</v>
      </c>
      <c r="B2480" s="67" t="str">
        <f t="shared" si="15"/>
        <v>M: birth</v>
      </c>
      <c r="C2480" s="66">
        <v>3.0</v>
      </c>
      <c r="D2480" s="68">
        <v>45997.0</v>
      </c>
      <c r="E2480" s="66">
        <v>2.0</v>
      </c>
      <c r="F2480" s="66" t="s">
        <v>3437</v>
      </c>
      <c r="G2480" s="66" t="s">
        <v>247</v>
      </c>
    </row>
    <row r="2481" ht="22.5" customHeight="1">
      <c r="A2481" s="66" t="s">
        <v>1808</v>
      </c>
      <c r="B2481" s="67" t="str">
        <f t="shared" si="15"/>
        <v>M: apprenticeship</v>
      </c>
      <c r="C2481" s="66">
        <v>2.0</v>
      </c>
      <c r="D2481" s="68">
        <v>45997.0</v>
      </c>
      <c r="E2481" s="66">
        <v>3.0</v>
      </c>
      <c r="F2481" s="66" t="s">
        <v>3438</v>
      </c>
      <c r="G2481" s="66" t="s">
        <v>247</v>
      </c>
    </row>
    <row r="2482" ht="22.5" customHeight="1">
      <c r="A2482" s="66" t="s">
        <v>2984</v>
      </c>
      <c r="B2482" s="67" t="str">
        <f t="shared" si="15"/>
        <v>M: checkout</v>
      </c>
      <c r="C2482" s="66">
        <v>2.0</v>
      </c>
      <c r="D2482" s="68">
        <v>45998.0</v>
      </c>
      <c r="E2482" s="66">
        <v>4.0</v>
      </c>
      <c r="F2482" s="66" t="s">
        <v>3439</v>
      </c>
      <c r="G2482" s="66" t="s">
        <v>247</v>
      </c>
    </row>
    <row r="2483" ht="22.5" customHeight="1">
      <c r="A2483" s="66" t="s">
        <v>2984</v>
      </c>
      <c r="B2483" s="67" t="str">
        <f t="shared" si="15"/>
        <v>M: checkout</v>
      </c>
      <c r="C2483" s="66">
        <v>3.0</v>
      </c>
      <c r="D2483" s="68">
        <v>45998.0</v>
      </c>
      <c r="E2483" s="66">
        <v>5.0</v>
      </c>
      <c r="F2483" s="71" t="s">
        <v>3440</v>
      </c>
      <c r="G2483" s="66" t="s">
        <v>247</v>
      </c>
    </row>
    <row r="2484" ht="22.5" customHeight="1">
      <c r="A2484" s="66" t="s">
        <v>2785</v>
      </c>
      <c r="B2484" s="67" t="str">
        <f t="shared" si="15"/>
        <v>M: golden</v>
      </c>
      <c r="C2484" s="66">
        <v>2.0</v>
      </c>
      <c r="D2484" s="68">
        <v>45998.0</v>
      </c>
      <c r="E2484" s="66">
        <v>6.0</v>
      </c>
      <c r="F2484" s="71" t="s">
        <v>3441</v>
      </c>
      <c r="G2484" s="66" t="s">
        <v>247</v>
      </c>
    </row>
    <row r="2485" ht="22.5" customHeight="1">
      <c r="A2485" s="66" t="s">
        <v>2785</v>
      </c>
      <c r="B2485" s="67" t="str">
        <f t="shared" si="15"/>
        <v>M: golden</v>
      </c>
      <c r="C2485" s="66">
        <v>3.0</v>
      </c>
      <c r="D2485" s="68">
        <v>45998.0</v>
      </c>
      <c r="E2485" s="66">
        <v>7.0</v>
      </c>
      <c r="F2485" s="71" t="s">
        <v>3442</v>
      </c>
      <c r="G2485" s="66" t="s">
        <v>247</v>
      </c>
    </row>
    <row r="2486" ht="22.5" customHeight="1">
      <c r="A2486" s="66" t="s">
        <v>2083</v>
      </c>
      <c r="B2486" s="67" t="str">
        <f t="shared" si="15"/>
        <v>M: major</v>
      </c>
      <c r="C2486" s="68"/>
      <c r="D2486" s="68">
        <v>45998.0</v>
      </c>
      <c r="E2486" s="66">
        <v>8.0</v>
      </c>
      <c r="F2486" s="71" t="s">
        <v>3443</v>
      </c>
      <c r="G2486" s="69"/>
    </row>
    <row r="2487" ht="22.5" customHeight="1">
      <c r="A2487" s="66" t="s">
        <v>2834</v>
      </c>
      <c r="B2487" s="67" t="str">
        <f t="shared" si="15"/>
        <v>M: stand up</v>
      </c>
      <c r="C2487" s="66">
        <v>2.0</v>
      </c>
      <c r="D2487" s="68">
        <v>45998.0</v>
      </c>
      <c r="E2487" s="66">
        <v>9.0</v>
      </c>
      <c r="F2487" s="66" t="s">
        <v>3444</v>
      </c>
      <c r="G2487" s="66" t="s">
        <v>247</v>
      </c>
    </row>
    <row r="2488" ht="22.5" customHeight="1">
      <c r="A2488" s="66" t="s">
        <v>2834</v>
      </c>
      <c r="B2488" s="67" t="str">
        <f t="shared" si="15"/>
        <v>M: stand up</v>
      </c>
      <c r="C2488" s="66">
        <v>3.0</v>
      </c>
      <c r="D2488" s="68">
        <v>45998.0</v>
      </c>
      <c r="E2488" s="66">
        <v>10.0</v>
      </c>
      <c r="F2488" s="66" t="s">
        <v>3445</v>
      </c>
      <c r="G2488" s="66" t="s">
        <v>247</v>
      </c>
    </row>
    <row r="2489" ht="22.5" customHeight="1">
      <c r="A2489" s="66" t="s">
        <v>2836</v>
      </c>
      <c r="B2489" s="67" t="str">
        <f t="shared" si="15"/>
        <v>M: denizens</v>
      </c>
      <c r="C2489" s="66">
        <v>2.0</v>
      </c>
      <c r="D2489" s="68">
        <v>45998.0</v>
      </c>
      <c r="E2489" s="66">
        <v>1.0</v>
      </c>
      <c r="F2489" s="66" t="s">
        <v>3446</v>
      </c>
      <c r="G2489" s="66" t="s">
        <v>247</v>
      </c>
    </row>
    <row r="2490" ht="22.5" customHeight="1">
      <c r="A2490" s="66" t="s">
        <v>1621</v>
      </c>
      <c r="B2490" s="67" t="str">
        <f t="shared" si="15"/>
        <v>M: slacked</v>
      </c>
      <c r="C2490" s="66">
        <v>2.0</v>
      </c>
      <c r="D2490" s="68">
        <v>45998.0</v>
      </c>
      <c r="E2490" s="66">
        <v>2.0</v>
      </c>
      <c r="F2490" s="66" t="s">
        <v>3447</v>
      </c>
      <c r="G2490" s="66" t="s">
        <v>247</v>
      </c>
    </row>
    <row r="2491" ht="22.5" customHeight="1">
      <c r="A2491" s="66" t="s">
        <v>2153</v>
      </c>
      <c r="B2491" s="67" t="str">
        <f t="shared" si="15"/>
        <v>M: let it out</v>
      </c>
      <c r="C2491" s="66">
        <v>2.0</v>
      </c>
      <c r="D2491" s="68">
        <v>45998.0</v>
      </c>
      <c r="E2491" s="66">
        <v>3.0</v>
      </c>
      <c r="F2491" s="66" t="s">
        <v>3448</v>
      </c>
      <c r="G2491" s="66" t="s">
        <v>247</v>
      </c>
    </row>
    <row r="2492" ht="22.5" customHeight="1">
      <c r="A2492" s="66" t="s">
        <v>2153</v>
      </c>
      <c r="B2492" s="67" t="str">
        <f t="shared" si="15"/>
        <v>M: let it out</v>
      </c>
      <c r="C2492" s="66">
        <v>3.0</v>
      </c>
      <c r="D2492" s="68">
        <v>45999.0</v>
      </c>
      <c r="E2492" s="66">
        <v>4.0</v>
      </c>
      <c r="F2492" s="66" t="s">
        <v>3449</v>
      </c>
      <c r="G2492" s="66" t="s">
        <v>247</v>
      </c>
    </row>
    <row r="2493" ht="22.5" customHeight="1">
      <c r="A2493" s="66" t="s">
        <v>1280</v>
      </c>
      <c r="B2493" s="67" t="str">
        <f t="shared" si="15"/>
        <v>M: crow</v>
      </c>
      <c r="C2493" s="66">
        <v>2.0</v>
      </c>
      <c r="D2493" s="68">
        <v>45999.0</v>
      </c>
      <c r="E2493" s="66">
        <v>5.0</v>
      </c>
      <c r="F2493" s="66" t="s">
        <v>3450</v>
      </c>
      <c r="G2493" s="66" t="s">
        <v>247</v>
      </c>
    </row>
    <row r="2494" ht="22.5" customHeight="1">
      <c r="A2494" s="66" t="s">
        <v>1280</v>
      </c>
      <c r="B2494" s="67" t="str">
        <f t="shared" si="15"/>
        <v>M: crow</v>
      </c>
      <c r="C2494" s="66">
        <v>3.0</v>
      </c>
      <c r="D2494" s="68">
        <v>45999.0</v>
      </c>
      <c r="E2494" s="66">
        <v>6.0</v>
      </c>
      <c r="F2494" s="71" t="s">
        <v>3451</v>
      </c>
      <c r="G2494" s="66" t="s">
        <v>247</v>
      </c>
    </row>
    <row r="2495" ht="22.5" customHeight="1">
      <c r="A2495" s="66" t="s">
        <v>622</v>
      </c>
      <c r="B2495" s="67" t="str">
        <f t="shared" si="15"/>
        <v>M: went on</v>
      </c>
      <c r="C2495" s="66">
        <v>2.0</v>
      </c>
      <c r="D2495" s="68">
        <v>45999.0</v>
      </c>
      <c r="E2495" s="66">
        <v>7.0</v>
      </c>
      <c r="F2495" s="71" t="s">
        <v>3452</v>
      </c>
      <c r="G2495" s="66" t="s">
        <v>247</v>
      </c>
    </row>
    <row r="2496" ht="22.5" customHeight="1">
      <c r="A2496" s="66" t="s">
        <v>622</v>
      </c>
      <c r="B2496" s="67" t="str">
        <f t="shared" si="15"/>
        <v>M: went on</v>
      </c>
      <c r="C2496" s="66">
        <v>3.0</v>
      </c>
      <c r="D2496" s="68">
        <v>45999.0</v>
      </c>
      <c r="E2496" s="66">
        <v>8.0</v>
      </c>
      <c r="F2496" s="71" t="s">
        <v>3453</v>
      </c>
      <c r="G2496" s="66" t="s">
        <v>247</v>
      </c>
    </row>
    <row r="2497" ht="22.5" customHeight="1">
      <c r="A2497" s="66" t="s">
        <v>1464</v>
      </c>
      <c r="B2497" s="67" t="str">
        <f t="shared" si="15"/>
        <v>M: suited</v>
      </c>
      <c r="C2497" s="66">
        <v>2.0</v>
      </c>
      <c r="D2497" s="68">
        <v>45999.0</v>
      </c>
      <c r="E2497" s="66">
        <v>9.0</v>
      </c>
      <c r="F2497" s="66" t="s">
        <v>3454</v>
      </c>
      <c r="G2497" s="66" t="s">
        <v>247</v>
      </c>
    </row>
    <row r="2498" ht="22.5" customHeight="1">
      <c r="A2498" s="66" t="s">
        <v>1464</v>
      </c>
      <c r="B2498" s="67" t="str">
        <f t="shared" si="15"/>
        <v>M: suited</v>
      </c>
      <c r="C2498" s="66">
        <v>3.0</v>
      </c>
      <c r="D2498" s="68">
        <v>45999.0</v>
      </c>
      <c r="E2498" s="66">
        <v>10.0</v>
      </c>
      <c r="F2498" s="66" t="s">
        <v>3455</v>
      </c>
      <c r="G2498" s="66" t="s">
        <v>247</v>
      </c>
    </row>
    <row r="2499" ht="22.5" customHeight="1">
      <c r="A2499" s="66" t="s">
        <v>2721</v>
      </c>
      <c r="B2499" s="67" t="str">
        <f t="shared" si="15"/>
        <v>M: lenght</v>
      </c>
      <c r="C2499" s="66">
        <v>2.0</v>
      </c>
      <c r="D2499" s="68">
        <v>45999.0</v>
      </c>
      <c r="E2499" s="66">
        <v>1.0</v>
      </c>
      <c r="F2499" s="66" t="s">
        <v>3456</v>
      </c>
      <c r="G2499" s="66" t="s">
        <v>247</v>
      </c>
    </row>
    <row r="2500" ht="22.5" customHeight="1">
      <c r="A2500" s="66" t="s">
        <v>2721</v>
      </c>
      <c r="B2500" s="67" t="str">
        <f t="shared" si="15"/>
        <v>M: lenght</v>
      </c>
      <c r="C2500" s="66">
        <v>3.0</v>
      </c>
      <c r="D2500" s="68">
        <v>45999.0</v>
      </c>
      <c r="E2500" s="66">
        <v>2.0</v>
      </c>
      <c r="F2500" s="66" t="s">
        <v>3457</v>
      </c>
      <c r="G2500" s="66" t="s">
        <v>247</v>
      </c>
    </row>
    <row r="2501" ht="22.5" customHeight="1">
      <c r="A2501" s="66" t="s">
        <v>284</v>
      </c>
      <c r="B2501" s="67" t="str">
        <f t="shared" si="15"/>
        <v>M: landmarks</v>
      </c>
      <c r="C2501" s="66">
        <v>2.0</v>
      </c>
      <c r="D2501" s="68">
        <v>45999.0</v>
      </c>
      <c r="E2501" s="66">
        <v>3.0</v>
      </c>
      <c r="F2501" s="71" t="s">
        <v>3458</v>
      </c>
      <c r="G2501" s="66" t="s">
        <v>247</v>
      </c>
    </row>
    <row r="2502" ht="22.5" customHeight="1">
      <c r="A2502" s="66" t="s">
        <v>1589</v>
      </c>
      <c r="B2502" s="67" t="str">
        <f t="shared" si="15"/>
        <v>M: keep down</v>
      </c>
      <c r="C2502" s="66">
        <v>2.0</v>
      </c>
      <c r="D2502" s="68">
        <v>46000.0</v>
      </c>
      <c r="E2502" s="66">
        <v>4.0</v>
      </c>
      <c r="F2502" s="71" t="s">
        <v>3459</v>
      </c>
      <c r="G2502" s="66" t="s">
        <v>247</v>
      </c>
    </row>
    <row r="2503" ht="22.5" customHeight="1">
      <c r="A2503" s="66" t="s">
        <v>1589</v>
      </c>
      <c r="B2503" s="67" t="str">
        <f t="shared" si="15"/>
        <v>M: keep down</v>
      </c>
      <c r="C2503" s="66">
        <v>3.0</v>
      </c>
      <c r="D2503" s="68">
        <v>46000.0</v>
      </c>
      <c r="E2503" s="66">
        <v>5.0</v>
      </c>
      <c r="F2503" s="71" t="s">
        <v>3460</v>
      </c>
      <c r="G2503" s="66" t="s">
        <v>247</v>
      </c>
    </row>
    <row r="2504" ht="22.5" customHeight="1">
      <c r="A2504" s="66" t="s">
        <v>3461</v>
      </c>
      <c r="B2504" s="67" t="str">
        <f t="shared" si="15"/>
        <v>M: regarding</v>
      </c>
      <c r="C2504" s="68"/>
      <c r="D2504" s="68">
        <v>46000.0</v>
      </c>
      <c r="E2504" s="66">
        <v>6.0</v>
      </c>
      <c r="F2504" s="66" t="str">
        <f>IFERROR(__xludf.DUMMYFUNCTION("GOOGLETRANSLATE(A2504,""en"",""pt"")"),"a respeito de")</f>
        <v>a respeito de</v>
      </c>
      <c r="G2504" s="69"/>
    </row>
    <row r="2505" ht="22.5" customHeight="1">
      <c r="A2505" s="66" t="s">
        <v>674</v>
      </c>
      <c r="B2505" s="67" t="str">
        <f t="shared" si="15"/>
        <v>M: serve</v>
      </c>
      <c r="C2505" s="66">
        <v>2.0</v>
      </c>
      <c r="D2505" s="68">
        <v>46000.0</v>
      </c>
      <c r="E2505" s="66">
        <v>7.0</v>
      </c>
      <c r="F2505" s="66" t="s">
        <v>3462</v>
      </c>
      <c r="G2505" s="66" t="s">
        <v>247</v>
      </c>
    </row>
    <row r="2506" ht="22.5" customHeight="1">
      <c r="A2506" s="66" t="s">
        <v>674</v>
      </c>
      <c r="B2506" s="67" t="str">
        <f t="shared" si="15"/>
        <v>M: serve</v>
      </c>
      <c r="C2506" s="66">
        <v>3.0</v>
      </c>
      <c r="D2506" s="68">
        <v>46000.0</v>
      </c>
      <c r="E2506" s="66">
        <v>8.0</v>
      </c>
      <c r="F2506" s="71" t="s">
        <v>3463</v>
      </c>
      <c r="G2506" s="66" t="s">
        <v>247</v>
      </c>
    </row>
    <row r="2507" ht="22.5" customHeight="1">
      <c r="A2507" s="66" t="s">
        <v>674</v>
      </c>
      <c r="B2507" s="67" t="str">
        <f t="shared" si="15"/>
        <v>M: serve</v>
      </c>
      <c r="C2507" s="66">
        <v>4.0</v>
      </c>
      <c r="D2507" s="68">
        <v>46000.0</v>
      </c>
      <c r="E2507" s="66">
        <v>9.0</v>
      </c>
      <c r="F2507" s="66" t="s">
        <v>3464</v>
      </c>
      <c r="G2507" s="66" t="s">
        <v>247</v>
      </c>
    </row>
    <row r="2508" ht="22.5" customHeight="1">
      <c r="A2508" s="66" t="s">
        <v>1794</v>
      </c>
      <c r="B2508" s="67" t="str">
        <f t="shared" si="15"/>
        <v>M: curling</v>
      </c>
      <c r="C2508" s="66">
        <v>2.0</v>
      </c>
      <c r="D2508" s="68">
        <v>46000.0</v>
      </c>
      <c r="E2508" s="66">
        <v>10.0</v>
      </c>
      <c r="F2508" s="71" t="s">
        <v>3465</v>
      </c>
      <c r="G2508" s="66" t="s">
        <v>247</v>
      </c>
    </row>
    <row r="2509" ht="22.5" customHeight="1">
      <c r="A2509" s="66" t="s">
        <v>2856</v>
      </c>
      <c r="B2509" s="67" t="str">
        <f t="shared" si="15"/>
        <v>M: overpowered</v>
      </c>
      <c r="C2509" s="66">
        <v>2.0</v>
      </c>
      <c r="D2509" s="68">
        <v>46000.0</v>
      </c>
      <c r="E2509" s="66">
        <v>1.0</v>
      </c>
      <c r="F2509" s="66" t="s">
        <v>3466</v>
      </c>
      <c r="G2509" s="66" t="s">
        <v>247</v>
      </c>
    </row>
    <row r="2510" ht="22.5" customHeight="1">
      <c r="A2510" s="66" t="s">
        <v>1949</v>
      </c>
      <c r="B2510" s="67" t="str">
        <f t="shared" si="15"/>
        <v>M: fenced</v>
      </c>
      <c r="C2510" s="66">
        <v>2.0</v>
      </c>
      <c r="D2510" s="68">
        <v>46000.0</v>
      </c>
      <c r="E2510" s="66">
        <v>2.0</v>
      </c>
      <c r="F2510" s="71" t="s">
        <v>3467</v>
      </c>
      <c r="G2510" s="66" t="s">
        <v>247</v>
      </c>
    </row>
    <row r="2511" ht="22.5" customHeight="1">
      <c r="A2511" s="66" t="s">
        <v>1949</v>
      </c>
      <c r="B2511" s="67" t="str">
        <f t="shared" si="15"/>
        <v>M: fenced</v>
      </c>
      <c r="C2511" s="66">
        <v>3.0</v>
      </c>
      <c r="D2511" s="68">
        <v>46000.0</v>
      </c>
      <c r="E2511" s="66">
        <v>3.0</v>
      </c>
      <c r="F2511" s="66" t="s">
        <v>3468</v>
      </c>
      <c r="G2511" s="66" t="s">
        <v>247</v>
      </c>
    </row>
    <row r="2512" ht="22.5" customHeight="1">
      <c r="A2512" s="66" t="s">
        <v>2261</v>
      </c>
      <c r="B2512" s="67" t="str">
        <f t="shared" si="15"/>
        <v>M: stringer</v>
      </c>
      <c r="C2512" s="66">
        <v>2.0</v>
      </c>
      <c r="D2512" s="68">
        <v>46001.0</v>
      </c>
      <c r="E2512" s="66">
        <v>4.0</v>
      </c>
      <c r="F2512" s="71" t="s">
        <v>3469</v>
      </c>
      <c r="G2512" s="66" t="s">
        <v>247</v>
      </c>
    </row>
    <row r="2513" ht="22.5" customHeight="1">
      <c r="A2513" s="66" t="s">
        <v>901</v>
      </c>
      <c r="B2513" s="67" t="str">
        <f t="shared" si="15"/>
        <v>M: spat</v>
      </c>
      <c r="C2513" s="66">
        <v>2.0</v>
      </c>
      <c r="D2513" s="68">
        <v>46001.0</v>
      </c>
      <c r="E2513" s="66">
        <v>5.0</v>
      </c>
      <c r="F2513" s="71" t="s">
        <v>3470</v>
      </c>
      <c r="G2513" s="66" t="s">
        <v>247</v>
      </c>
    </row>
    <row r="2514" ht="22.5" customHeight="1">
      <c r="A2514" s="66" t="s">
        <v>990</v>
      </c>
      <c r="B2514" s="67" t="str">
        <f t="shared" si="15"/>
        <v>M: douche</v>
      </c>
      <c r="C2514" s="66">
        <v>2.0</v>
      </c>
      <c r="D2514" s="68">
        <v>46001.0</v>
      </c>
      <c r="E2514" s="66">
        <v>6.0</v>
      </c>
      <c r="F2514" s="71" t="s">
        <v>3471</v>
      </c>
      <c r="G2514" s="66"/>
    </row>
    <row r="2515" ht="22.5" customHeight="1">
      <c r="A2515" s="66" t="s">
        <v>2842</v>
      </c>
      <c r="B2515" s="67" t="str">
        <f t="shared" si="15"/>
        <v>M: fulfilling</v>
      </c>
      <c r="C2515" s="66">
        <v>2.0</v>
      </c>
      <c r="D2515" s="68">
        <v>46001.0</v>
      </c>
      <c r="E2515" s="66">
        <v>7.0</v>
      </c>
      <c r="F2515" s="66" t="s">
        <v>3472</v>
      </c>
      <c r="G2515" s="66" t="s">
        <v>247</v>
      </c>
    </row>
    <row r="2516" ht="22.5" customHeight="1">
      <c r="A2516" s="66" t="s">
        <v>2982</v>
      </c>
      <c r="B2516" s="67" t="str">
        <f t="shared" si="15"/>
        <v>M: address</v>
      </c>
      <c r="C2516" s="66">
        <v>2.0</v>
      </c>
      <c r="D2516" s="68">
        <v>46001.0</v>
      </c>
      <c r="E2516" s="66">
        <v>8.0</v>
      </c>
      <c r="F2516" s="71" t="s">
        <v>3473</v>
      </c>
      <c r="G2516" s="66" t="s">
        <v>247</v>
      </c>
    </row>
    <row r="2517" ht="22.5" customHeight="1">
      <c r="A2517" s="66" t="s">
        <v>2982</v>
      </c>
      <c r="B2517" s="67" t="str">
        <f t="shared" si="15"/>
        <v>M: address</v>
      </c>
      <c r="C2517" s="66">
        <v>3.0</v>
      </c>
      <c r="D2517" s="68">
        <v>46001.0</v>
      </c>
      <c r="E2517" s="66">
        <v>9.0</v>
      </c>
      <c r="F2517" s="66" t="s">
        <v>3474</v>
      </c>
      <c r="G2517" s="66" t="s">
        <v>247</v>
      </c>
    </row>
    <row r="2518" ht="22.5" customHeight="1">
      <c r="A2518" s="66" t="s">
        <v>2838</v>
      </c>
      <c r="B2518" s="67" t="str">
        <f t="shared" si="15"/>
        <v>M: relies</v>
      </c>
      <c r="C2518" s="66">
        <v>2.0</v>
      </c>
      <c r="D2518" s="68">
        <v>46001.0</v>
      </c>
      <c r="E2518" s="66">
        <v>10.0</v>
      </c>
      <c r="F2518" s="66" t="s">
        <v>3475</v>
      </c>
      <c r="G2518" s="66" t="s">
        <v>247</v>
      </c>
    </row>
    <row r="2519" ht="22.5" customHeight="1">
      <c r="A2519" s="66" t="s">
        <v>2132</v>
      </c>
      <c r="B2519" s="67" t="str">
        <f t="shared" si="15"/>
        <v>M: burst</v>
      </c>
      <c r="C2519" s="66">
        <v>2.0</v>
      </c>
      <c r="D2519" s="68">
        <v>46001.0</v>
      </c>
      <c r="E2519" s="66">
        <v>1.0</v>
      </c>
      <c r="F2519" s="66" t="s">
        <v>3476</v>
      </c>
      <c r="G2519" s="66" t="s">
        <v>247</v>
      </c>
    </row>
    <row r="2520" ht="22.5" customHeight="1">
      <c r="A2520" s="66" t="s">
        <v>2132</v>
      </c>
      <c r="B2520" s="67" t="str">
        <f t="shared" si="15"/>
        <v>M: burst</v>
      </c>
      <c r="C2520" s="66">
        <v>3.0</v>
      </c>
      <c r="D2520" s="68">
        <v>46001.0</v>
      </c>
      <c r="E2520" s="66">
        <v>2.0</v>
      </c>
      <c r="F2520" s="66" t="s">
        <v>3477</v>
      </c>
      <c r="G2520" s="66" t="s">
        <v>247</v>
      </c>
    </row>
    <row r="2521" ht="22.5" customHeight="1">
      <c r="A2521" s="66" t="s">
        <v>1174</v>
      </c>
      <c r="B2521" s="67" t="str">
        <f t="shared" si="15"/>
        <v>M: poses</v>
      </c>
      <c r="C2521" s="66">
        <v>2.0</v>
      </c>
      <c r="D2521" s="68">
        <v>46001.0</v>
      </c>
      <c r="E2521" s="66">
        <v>3.0</v>
      </c>
      <c r="F2521" s="66" t="s">
        <v>3478</v>
      </c>
      <c r="G2521" s="66" t="s">
        <v>247</v>
      </c>
    </row>
    <row r="2522" ht="22.5" customHeight="1">
      <c r="A2522" s="66" t="s">
        <v>1174</v>
      </c>
      <c r="B2522" s="67" t="str">
        <f t="shared" si="15"/>
        <v>M: poses</v>
      </c>
      <c r="C2522" s="66">
        <v>3.0</v>
      </c>
      <c r="D2522" s="68">
        <v>46002.0</v>
      </c>
      <c r="E2522" s="66">
        <v>4.0</v>
      </c>
      <c r="F2522" s="71" t="s">
        <v>3479</v>
      </c>
      <c r="G2522" s="66" t="s">
        <v>247</v>
      </c>
    </row>
    <row r="2523" ht="22.5" customHeight="1">
      <c r="A2523" s="66" t="s">
        <v>2767</v>
      </c>
      <c r="B2523" s="67" t="str">
        <f t="shared" si="15"/>
        <v>M: plus</v>
      </c>
      <c r="C2523" s="66">
        <v>2.0</v>
      </c>
      <c r="D2523" s="68">
        <v>46002.0</v>
      </c>
      <c r="E2523" s="66">
        <v>5.0</v>
      </c>
      <c r="F2523" s="71" t="s">
        <v>3480</v>
      </c>
      <c r="G2523" s="66" t="s">
        <v>247</v>
      </c>
    </row>
    <row r="2524" ht="22.5" customHeight="1">
      <c r="A2524" s="66" t="s">
        <v>2767</v>
      </c>
      <c r="B2524" s="67" t="str">
        <f t="shared" si="15"/>
        <v>M: plus</v>
      </c>
      <c r="C2524" s="66">
        <v>3.0</v>
      </c>
      <c r="D2524" s="68">
        <v>46002.0</v>
      </c>
      <c r="E2524" s="66">
        <v>6.0</v>
      </c>
      <c r="F2524" s="71" t="s">
        <v>3481</v>
      </c>
      <c r="G2524" s="66" t="s">
        <v>247</v>
      </c>
    </row>
    <row r="2525" ht="22.5" customHeight="1">
      <c r="A2525" s="66" t="s">
        <v>3482</v>
      </c>
      <c r="B2525" s="67" t="str">
        <f t="shared" si="15"/>
        <v>M: drowned</v>
      </c>
      <c r="C2525" s="66">
        <v>1.0</v>
      </c>
      <c r="D2525" s="68">
        <v>46002.0</v>
      </c>
      <c r="E2525" s="66">
        <v>7.0</v>
      </c>
      <c r="F2525" s="66" t="s">
        <v>3483</v>
      </c>
      <c r="G2525" s="69"/>
    </row>
    <row r="2526" ht="22.5" customHeight="1">
      <c r="A2526" s="66" t="s">
        <v>3482</v>
      </c>
      <c r="B2526" s="67" t="str">
        <f t="shared" si="15"/>
        <v>M: drowned</v>
      </c>
      <c r="C2526" s="66">
        <v>2.0</v>
      </c>
      <c r="D2526" s="68">
        <v>46002.0</v>
      </c>
      <c r="E2526" s="66">
        <v>8.0</v>
      </c>
      <c r="F2526" s="66" t="s">
        <v>3484</v>
      </c>
      <c r="G2526" s="69"/>
    </row>
    <row r="2527" ht="22.5" customHeight="1">
      <c r="A2527" s="67" t="s">
        <v>780</v>
      </c>
      <c r="B2527" s="67" t="str">
        <f t="shared" si="15"/>
        <v>M: shires</v>
      </c>
      <c r="C2527" s="66">
        <v>2.0</v>
      </c>
      <c r="D2527" s="68">
        <v>46002.0</v>
      </c>
      <c r="E2527" s="66">
        <v>9.0</v>
      </c>
      <c r="F2527" s="66" t="s">
        <v>3485</v>
      </c>
      <c r="G2527" s="69"/>
    </row>
    <row r="2528" ht="22.5" customHeight="1">
      <c r="A2528" s="66" t="s">
        <v>1542</v>
      </c>
      <c r="B2528" s="67" t="str">
        <f t="shared" si="15"/>
        <v>M: gone</v>
      </c>
      <c r="C2528" s="66">
        <v>2.0</v>
      </c>
      <c r="D2528" s="68">
        <v>46002.0</v>
      </c>
      <c r="E2528" s="66">
        <v>10.0</v>
      </c>
      <c r="F2528" s="66" t="s">
        <v>3486</v>
      </c>
      <c r="G2528" s="66" t="s">
        <v>247</v>
      </c>
    </row>
    <row r="2529" ht="22.5" customHeight="1">
      <c r="A2529" s="66" t="s">
        <v>1542</v>
      </c>
      <c r="B2529" s="67" t="str">
        <f t="shared" si="15"/>
        <v>M: gone</v>
      </c>
      <c r="C2529" s="66">
        <v>3.0</v>
      </c>
      <c r="D2529" s="68">
        <v>46002.0</v>
      </c>
      <c r="E2529" s="66">
        <v>1.0</v>
      </c>
      <c r="F2529" s="66" t="s">
        <v>3487</v>
      </c>
      <c r="G2529" s="66" t="s">
        <v>247</v>
      </c>
    </row>
    <row r="2530" ht="22.5" customHeight="1">
      <c r="A2530" s="66" t="s">
        <v>1785</v>
      </c>
      <c r="B2530" s="67" t="str">
        <f t="shared" si="15"/>
        <v>M: ratted</v>
      </c>
      <c r="C2530" s="66">
        <v>2.0</v>
      </c>
      <c r="D2530" s="68">
        <v>46002.0</v>
      </c>
      <c r="E2530" s="66">
        <v>2.0</v>
      </c>
      <c r="F2530" s="66" t="s">
        <v>3488</v>
      </c>
      <c r="G2530" s="69"/>
    </row>
    <row r="2531" ht="22.5" customHeight="1">
      <c r="A2531" s="66" t="s">
        <v>3014</v>
      </c>
      <c r="B2531" s="67" t="str">
        <f t="shared" si="15"/>
        <v>M: statement</v>
      </c>
      <c r="C2531" s="66">
        <v>2.0</v>
      </c>
      <c r="D2531" s="68">
        <v>46002.0</v>
      </c>
      <c r="E2531" s="66">
        <v>3.0</v>
      </c>
      <c r="F2531" s="66" t="s">
        <v>3489</v>
      </c>
      <c r="G2531" s="69"/>
    </row>
    <row r="2532" ht="22.5" customHeight="1">
      <c r="A2532" s="66" t="s">
        <v>3014</v>
      </c>
      <c r="B2532" s="67" t="str">
        <f t="shared" si="15"/>
        <v>M: statement</v>
      </c>
      <c r="C2532" s="66">
        <v>3.0</v>
      </c>
      <c r="D2532" s="68">
        <v>46003.0</v>
      </c>
      <c r="E2532" s="66">
        <v>4.0</v>
      </c>
      <c r="F2532" s="66" t="s">
        <v>3490</v>
      </c>
      <c r="G2532" s="69"/>
    </row>
    <row r="2533" ht="22.5" customHeight="1">
      <c r="A2533" s="66" t="s">
        <v>1824</v>
      </c>
      <c r="B2533" s="67" t="str">
        <f t="shared" si="15"/>
        <v>M: has been</v>
      </c>
      <c r="C2533" s="66">
        <v>2.0</v>
      </c>
      <c r="D2533" s="68">
        <v>46003.0</v>
      </c>
      <c r="E2533" s="66">
        <v>5.0</v>
      </c>
      <c r="F2533" s="66" t="s">
        <v>3491</v>
      </c>
      <c r="G2533" s="66" t="s">
        <v>247</v>
      </c>
    </row>
    <row r="2534" ht="22.5" customHeight="1">
      <c r="A2534" s="66" t="s">
        <v>1824</v>
      </c>
      <c r="B2534" s="67" t="str">
        <f t="shared" si="15"/>
        <v>M: has been</v>
      </c>
      <c r="C2534" s="66">
        <v>3.0</v>
      </c>
      <c r="D2534" s="68">
        <v>46003.0</v>
      </c>
      <c r="E2534" s="66">
        <v>6.0</v>
      </c>
      <c r="F2534" s="66" t="s">
        <v>3492</v>
      </c>
      <c r="G2534" s="66" t="s">
        <v>247</v>
      </c>
    </row>
    <row r="2535" ht="22.5" customHeight="1">
      <c r="A2535" s="66" t="s">
        <v>2873</v>
      </c>
      <c r="B2535" s="67" t="str">
        <f t="shared" si="15"/>
        <v>M: torment</v>
      </c>
      <c r="C2535" s="66">
        <v>2.0</v>
      </c>
      <c r="D2535" s="68">
        <v>46003.0</v>
      </c>
      <c r="E2535" s="66">
        <v>7.0</v>
      </c>
      <c r="F2535" s="66" t="s">
        <v>3493</v>
      </c>
      <c r="G2535" s="66" t="s">
        <v>247</v>
      </c>
    </row>
    <row r="2536" ht="22.5" customHeight="1">
      <c r="A2536" s="66" t="s">
        <v>2061</v>
      </c>
      <c r="B2536" s="67" t="str">
        <f t="shared" si="15"/>
        <v>M: wholesome</v>
      </c>
      <c r="C2536" s="66">
        <v>2.0</v>
      </c>
      <c r="D2536" s="68">
        <v>46003.0</v>
      </c>
      <c r="E2536" s="66">
        <v>8.0</v>
      </c>
      <c r="F2536" s="66" t="s">
        <v>3494</v>
      </c>
      <c r="G2536" s="66" t="s">
        <v>247</v>
      </c>
    </row>
    <row r="2537" ht="22.5" customHeight="1">
      <c r="A2537" s="66" t="s">
        <v>2061</v>
      </c>
      <c r="B2537" s="67" t="str">
        <f t="shared" si="15"/>
        <v>M: wholesome</v>
      </c>
      <c r="C2537" s="66">
        <v>3.0</v>
      </c>
      <c r="D2537" s="68">
        <v>46003.0</v>
      </c>
      <c r="E2537" s="66">
        <v>9.0</v>
      </c>
      <c r="F2537" s="66" t="s">
        <v>3495</v>
      </c>
      <c r="G2537" s="66" t="s">
        <v>247</v>
      </c>
    </row>
    <row r="2538" ht="22.5" customHeight="1">
      <c r="A2538" s="66" t="s">
        <v>1804</v>
      </c>
      <c r="B2538" s="67" t="str">
        <f t="shared" si="15"/>
        <v>M: degree</v>
      </c>
      <c r="C2538" s="66">
        <v>2.0</v>
      </c>
      <c r="D2538" s="68">
        <v>46003.0</v>
      </c>
      <c r="E2538" s="66">
        <v>10.0</v>
      </c>
      <c r="F2538" s="66" t="s">
        <v>3496</v>
      </c>
      <c r="G2538" s="66" t="s">
        <v>247</v>
      </c>
    </row>
    <row r="2539" ht="22.5" customHeight="1">
      <c r="A2539" s="66" t="s">
        <v>1804</v>
      </c>
      <c r="B2539" s="67" t="str">
        <f t="shared" si="15"/>
        <v>M: degree</v>
      </c>
      <c r="C2539" s="66">
        <v>3.0</v>
      </c>
      <c r="D2539" s="68">
        <v>46003.0</v>
      </c>
      <c r="E2539" s="66">
        <v>1.0</v>
      </c>
      <c r="F2539" s="71" t="s">
        <v>3497</v>
      </c>
      <c r="G2539" s="66" t="s">
        <v>247</v>
      </c>
    </row>
    <row r="2540" ht="22.5" customHeight="1">
      <c r="A2540" s="66" t="s">
        <v>2804</v>
      </c>
      <c r="B2540" s="67" t="str">
        <f t="shared" si="15"/>
        <v>M: maintenance</v>
      </c>
      <c r="C2540" s="66">
        <v>2.0</v>
      </c>
      <c r="D2540" s="68">
        <v>46003.0</v>
      </c>
      <c r="E2540" s="66">
        <v>2.0</v>
      </c>
      <c r="F2540" s="66" t="str">
        <f>IFERROR(__xludf.DUMMYFUNCTION("GOOGLETRANSLATE(A2540,""en"",""pt"")"),"manutenção")</f>
        <v>manutenção</v>
      </c>
      <c r="G2540" s="66" t="s">
        <v>247</v>
      </c>
    </row>
    <row r="2541" ht="22.5" customHeight="1">
      <c r="A2541" s="66" t="s">
        <v>2830</v>
      </c>
      <c r="B2541" s="67" t="str">
        <f t="shared" si="15"/>
        <v>M: minion</v>
      </c>
      <c r="C2541" s="66">
        <v>2.0</v>
      </c>
      <c r="D2541" s="68">
        <v>46003.0</v>
      </c>
      <c r="E2541" s="66">
        <v>3.0</v>
      </c>
      <c r="F2541" s="66" t="s">
        <v>3498</v>
      </c>
      <c r="G2541" s="66" t="s">
        <v>247</v>
      </c>
    </row>
    <row r="2542" ht="22.5" customHeight="1">
      <c r="A2542" s="66" t="s">
        <v>1693</v>
      </c>
      <c r="B2542" s="67" t="str">
        <f t="shared" si="15"/>
        <v>M: forefather</v>
      </c>
      <c r="C2542" s="66">
        <v>2.0</v>
      </c>
      <c r="D2542" s="68">
        <v>46004.0</v>
      </c>
      <c r="E2542" s="66">
        <v>4.0</v>
      </c>
      <c r="F2542" s="66" t="s">
        <v>3499</v>
      </c>
      <c r="G2542" s="69"/>
    </row>
    <row r="2543" ht="22.5" customHeight="1">
      <c r="A2543" s="66" t="s">
        <v>3000</v>
      </c>
      <c r="B2543" s="67" t="str">
        <f t="shared" si="15"/>
        <v>M: named</v>
      </c>
      <c r="C2543" s="66">
        <v>2.0</v>
      </c>
      <c r="D2543" s="68">
        <v>46004.0</v>
      </c>
      <c r="E2543" s="66">
        <v>5.0</v>
      </c>
      <c r="F2543" s="66" t="s">
        <v>3500</v>
      </c>
      <c r="G2543" s="66" t="s">
        <v>247</v>
      </c>
    </row>
    <row r="2544" ht="22.5" customHeight="1">
      <c r="A2544" s="66" t="s">
        <v>3000</v>
      </c>
      <c r="B2544" s="67" t="str">
        <f t="shared" si="15"/>
        <v>M: named</v>
      </c>
      <c r="C2544" s="66">
        <v>3.0</v>
      </c>
      <c r="D2544" s="68">
        <v>46004.0</v>
      </c>
      <c r="E2544" s="66">
        <v>6.0</v>
      </c>
      <c r="F2544" s="71" t="s">
        <v>3501</v>
      </c>
      <c r="G2544" s="66" t="s">
        <v>247</v>
      </c>
    </row>
    <row r="2545" ht="22.5" customHeight="1">
      <c r="A2545" s="66" t="s">
        <v>2492</v>
      </c>
      <c r="B2545" s="67" t="str">
        <f t="shared" si="15"/>
        <v>M: maintains</v>
      </c>
      <c r="C2545" s="66">
        <v>2.0</v>
      </c>
      <c r="D2545" s="68">
        <v>46004.0</v>
      </c>
      <c r="E2545" s="66">
        <v>7.0</v>
      </c>
      <c r="F2545" s="71" t="s">
        <v>3502</v>
      </c>
      <c r="G2545" s="66" t="s">
        <v>247</v>
      </c>
    </row>
    <row r="2546" ht="22.5" customHeight="1">
      <c r="A2546" s="66" t="s">
        <v>2492</v>
      </c>
      <c r="B2546" s="67" t="str">
        <f t="shared" si="15"/>
        <v>M: maintains</v>
      </c>
      <c r="C2546" s="66">
        <v>3.0</v>
      </c>
      <c r="D2546" s="68">
        <v>46004.0</v>
      </c>
      <c r="E2546" s="66">
        <v>8.0</v>
      </c>
      <c r="F2546" s="66" t="s">
        <v>3503</v>
      </c>
      <c r="G2546" s="66" t="s">
        <v>247</v>
      </c>
    </row>
    <row r="2547" ht="22.5" customHeight="1">
      <c r="A2547" s="66" t="s">
        <v>2512</v>
      </c>
      <c r="B2547" s="67" t="str">
        <f t="shared" si="15"/>
        <v>M: array</v>
      </c>
      <c r="C2547" s="66">
        <v>2.0</v>
      </c>
      <c r="D2547" s="68">
        <v>46004.0</v>
      </c>
      <c r="E2547" s="66">
        <v>9.0</v>
      </c>
      <c r="F2547" s="71" t="s">
        <v>3504</v>
      </c>
      <c r="G2547" s="66" t="s">
        <v>247</v>
      </c>
    </row>
    <row r="2548" ht="22.5" customHeight="1">
      <c r="A2548" s="66" t="s">
        <v>1339</v>
      </c>
      <c r="B2548" s="67" t="str">
        <f t="shared" si="15"/>
        <v>M: burrows</v>
      </c>
      <c r="C2548" s="66">
        <v>2.0</v>
      </c>
      <c r="D2548" s="68">
        <v>46004.0</v>
      </c>
      <c r="E2548" s="66">
        <v>10.0</v>
      </c>
      <c r="F2548" s="66" t="s">
        <v>3505</v>
      </c>
      <c r="G2548" s="66" t="s">
        <v>247</v>
      </c>
    </row>
    <row r="2549" ht="22.5" customHeight="1">
      <c r="A2549" s="66" t="s">
        <v>2918</v>
      </c>
      <c r="B2549" s="67" t="str">
        <f t="shared" si="15"/>
        <v>M: curse</v>
      </c>
      <c r="C2549" s="66">
        <v>2.0</v>
      </c>
      <c r="D2549" s="68">
        <v>46004.0</v>
      </c>
      <c r="E2549" s="66">
        <v>1.0</v>
      </c>
      <c r="F2549" s="66" t="s">
        <v>3506</v>
      </c>
      <c r="G2549" s="66" t="s">
        <v>247</v>
      </c>
    </row>
    <row r="2550" ht="22.5" customHeight="1">
      <c r="A2550" s="66" t="s">
        <v>2918</v>
      </c>
      <c r="B2550" s="67" t="str">
        <f t="shared" si="15"/>
        <v>M: curse</v>
      </c>
      <c r="C2550" s="66">
        <v>3.0</v>
      </c>
      <c r="D2550" s="68">
        <v>46004.0</v>
      </c>
      <c r="E2550" s="66">
        <v>2.0</v>
      </c>
      <c r="F2550" s="66" t="s">
        <v>3507</v>
      </c>
      <c r="G2550" s="66" t="s">
        <v>247</v>
      </c>
    </row>
    <row r="2551" ht="22.5" customHeight="1">
      <c r="A2551" s="66" t="s">
        <v>2783</v>
      </c>
      <c r="B2551" s="67" t="str">
        <f t="shared" si="15"/>
        <v>M: feature</v>
      </c>
      <c r="C2551" s="66">
        <v>2.0</v>
      </c>
      <c r="D2551" s="68">
        <v>46004.0</v>
      </c>
      <c r="E2551" s="66">
        <v>3.0</v>
      </c>
      <c r="F2551" s="71" t="s">
        <v>3508</v>
      </c>
      <c r="G2551" s="66" t="s">
        <v>247</v>
      </c>
    </row>
    <row r="2552" ht="22.5" customHeight="1">
      <c r="A2552" s="66" t="s">
        <v>2783</v>
      </c>
      <c r="B2552" s="67" t="str">
        <f t="shared" si="15"/>
        <v>M: feature</v>
      </c>
      <c r="C2552" s="66">
        <v>3.0</v>
      </c>
      <c r="D2552" s="68">
        <v>46005.0</v>
      </c>
      <c r="E2552" s="66">
        <v>4.0</v>
      </c>
      <c r="F2552" s="66" t="s">
        <v>3509</v>
      </c>
      <c r="G2552" s="66" t="s">
        <v>247</v>
      </c>
    </row>
    <row r="2553" ht="22.5" customHeight="1">
      <c r="A2553" s="66" t="s">
        <v>2064</v>
      </c>
      <c r="B2553" s="67" t="str">
        <f t="shared" si="15"/>
        <v>M: eat up</v>
      </c>
      <c r="C2553" s="66">
        <v>2.0</v>
      </c>
      <c r="D2553" s="68">
        <v>46005.0</v>
      </c>
      <c r="E2553" s="66">
        <v>5.0</v>
      </c>
      <c r="F2553" s="66" t="s">
        <v>3510</v>
      </c>
      <c r="G2553" s="69"/>
    </row>
    <row r="2554" ht="22.5" customHeight="1">
      <c r="A2554" s="66" t="s">
        <v>1841</v>
      </c>
      <c r="B2554" s="67" t="str">
        <f t="shared" si="15"/>
        <v>M: spit</v>
      </c>
      <c r="C2554" s="66">
        <v>2.0</v>
      </c>
      <c r="D2554" s="68">
        <v>46005.0</v>
      </c>
      <c r="E2554" s="66">
        <v>6.0</v>
      </c>
      <c r="F2554" s="66" t="s">
        <v>3511</v>
      </c>
      <c r="G2554" s="69"/>
    </row>
    <row r="2555" ht="22.5" customHeight="1">
      <c r="A2555" s="66" t="s">
        <v>1841</v>
      </c>
      <c r="B2555" s="67" t="str">
        <f t="shared" si="15"/>
        <v>M: spit</v>
      </c>
      <c r="C2555" s="66">
        <v>3.0</v>
      </c>
      <c r="D2555" s="68">
        <v>46005.0</v>
      </c>
      <c r="E2555" s="66">
        <v>7.0</v>
      </c>
      <c r="F2555" s="66" t="s">
        <v>3512</v>
      </c>
      <c r="G2555" s="69"/>
    </row>
    <row r="2556" ht="22.5" customHeight="1">
      <c r="A2556" s="66" t="s">
        <v>2121</v>
      </c>
      <c r="B2556" s="67" t="str">
        <f t="shared" si="15"/>
        <v>M: hold up</v>
      </c>
      <c r="C2556" s="66">
        <v>2.0</v>
      </c>
      <c r="D2556" s="68">
        <v>46005.0</v>
      </c>
      <c r="E2556" s="66">
        <v>8.0</v>
      </c>
      <c r="F2556" s="66" t="s">
        <v>3513</v>
      </c>
      <c r="G2556" s="66" t="s">
        <v>247</v>
      </c>
    </row>
    <row r="2557" ht="22.5" customHeight="1">
      <c r="A2557" s="66" t="s">
        <v>2121</v>
      </c>
      <c r="B2557" s="67" t="str">
        <f t="shared" si="15"/>
        <v>M: hold up</v>
      </c>
      <c r="C2557" s="66">
        <v>3.0</v>
      </c>
      <c r="D2557" s="68">
        <v>46005.0</v>
      </c>
      <c r="E2557" s="66">
        <v>9.0</v>
      </c>
      <c r="F2557" s="66" t="s">
        <v>3514</v>
      </c>
      <c r="G2557" s="66" t="s">
        <v>247</v>
      </c>
    </row>
    <row r="2558" ht="22.5" customHeight="1">
      <c r="A2558" s="66" t="s">
        <v>570</v>
      </c>
      <c r="B2558" s="67" t="str">
        <f t="shared" si="15"/>
        <v>M: cravings</v>
      </c>
      <c r="C2558" s="66">
        <v>2.0</v>
      </c>
      <c r="D2558" s="68">
        <v>46005.0</v>
      </c>
      <c r="E2558" s="66">
        <v>10.0</v>
      </c>
      <c r="F2558" s="66" t="s">
        <v>3515</v>
      </c>
      <c r="G2558" s="66" t="s">
        <v>247</v>
      </c>
    </row>
    <row r="2559" ht="22.5" customHeight="1">
      <c r="A2559" s="66" t="s">
        <v>3029</v>
      </c>
      <c r="B2559" s="67" t="str">
        <f t="shared" si="15"/>
        <v>M: executed</v>
      </c>
      <c r="C2559" s="66">
        <v>2.0</v>
      </c>
      <c r="D2559" s="68">
        <v>46005.0</v>
      </c>
      <c r="E2559" s="66">
        <v>1.0</v>
      </c>
      <c r="F2559" s="66" t="s">
        <v>3516</v>
      </c>
      <c r="G2559" s="66" t="s">
        <v>247</v>
      </c>
    </row>
    <row r="2560" ht="22.5" customHeight="1">
      <c r="A2560" s="66" t="s">
        <v>3029</v>
      </c>
      <c r="B2560" s="67" t="str">
        <f t="shared" si="15"/>
        <v>M: executed</v>
      </c>
      <c r="C2560" s="66">
        <v>3.0</v>
      </c>
      <c r="D2560" s="68">
        <v>46005.0</v>
      </c>
      <c r="E2560" s="66">
        <v>2.0</v>
      </c>
      <c r="F2560" s="66" t="s">
        <v>3517</v>
      </c>
      <c r="G2560" s="66" t="s">
        <v>247</v>
      </c>
    </row>
    <row r="2561" ht="22.5" customHeight="1">
      <c r="A2561" s="66" t="s">
        <v>1492</v>
      </c>
      <c r="B2561" s="67" t="str">
        <f t="shared" si="15"/>
        <v>M: stockpile</v>
      </c>
      <c r="C2561" s="66">
        <v>2.0</v>
      </c>
      <c r="D2561" s="68">
        <v>46005.0</v>
      </c>
      <c r="E2561" s="66">
        <v>3.0</v>
      </c>
      <c r="F2561" s="66" t="s">
        <v>3518</v>
      </c>
      <c r="G2561" s="66" t="s">
        <v>247</v>
      </c>
    </row>
    <row r="2562" ht="22.5" customHeight="1">
      <c r="A2562" s="66" t="s">
        <v>1498</v>
      </c>
      <c r="B2562" s="67" t="str">
        <f t="shared" si="15"/>
        <v>M: ward</v>
      </c>
      <c r="C2562" s="66">
        <v>2.0</v>
      </c>
      <c r="D2562" s="68">
        <v>46006.0</v>
      </c>
      <c r="E2562" s="66">
        <v>4.0</v>
      </c>
      <c r="F2562" s="66" t="s">
        <v>3519</v>
      </c>
      <c r="G2562" s="69"/>
    </row>
    <row r="2563" ht="22.5" customHeight="1">
      <c r="A2563" s="66" t="s">
        <v>1498</v>
      </c>
      <c r="B2563" s="67" t="str">
        <f t="shared" si="15"/>
        <v>M: ward</v>
      </c>
      <c r="C2563" s="66">
        <v>3.0</v>
      </c>
      <c r="D2563" s="68">
        <v>46006.0</v>
      </c>
      <c r="E2563" s="66">
        <v>5.0</v>
      </c>
      <c r="F2563" s="71" t="s">
        <v>3520</v>
      </c>
      <c r="G2563" s="69"/>
    </row>
    <row r="2564" ht="22.5" customHeight="1">
      <c r="A2564" s="66" t="s">
        <v>3025</v>
      </c>
      <c r="B2564" s="67" t="str">
        <f t="shared" si="15"/>
        <v>M: expected</v>
      </c>
      <c r="C2564" s="66">
        <v>2.0</v>
      </c>
      <c r="D2564" s="68">
        <v>46006.0</v>
      </c>
      <c r="E2564" s="66">
        <v>6.0</v>
      </c>
      <c r="F2564" s="66" t="s">
        <v>3521</v>
      </c>
      <c r="G2564" s="66" t="s">
        <v>247</v>
      </c>
    </row>
    <row r="2565" ht="22.5" customHeight="1">
      <c r="A2565" s="66" t="s">
        <v>1260</v>
      </c>
      <c r="B2565" s="67" t="str">
        <f t="shared" si="15"/>
        <v>M: linger</v>
      </c>
      <c r="C2565" s="66">
        <v>2.0</v>
      </c>
      <c r="D2565" s="68">
        <v>46006.0</v>
      </c>
      <c r="E2565" s="66">
        <v>7.0</v>
      </c>
      <c r="F2565" s="66" t="s">
        <v>3522</v>
      </c>
      <c r="G2565" s="69"/>
    </row>
    <row r="2566" ht="22.5" customHeight="1">
      <c r="A2566" s="66" t="s">
        <v>3036</v>
      </c>
      <c r="B2566" s="67" t="str">
        <f t="shared" si="15"/>
        <v>M: sentence</v>
      </c>
      <c r="C2566" s="66">
        <v>2.0</v>
      </c>
      <c r="D2566" s="68">
        <v>46006.0</v>
      </c>
      <c r="E2566" s="66">
        <v>8.0</v>
      </c>
      <c r="F2566" s="66" t="s">
        <v>3523</v>
      </c>
      <c r="G2566" s="66" t="s">
        <v>247</v>
      </c>
    </row>
    <row r="2567" ht="22.5" customHeight="1">
      <c r="A2567" s="66" t="s">
        <v>2409</v>
      </c>
      <c r="B2567" s="67" t="str">
        <f t="shared" si="15"/>
        <v>M: cherishes </v>
      </c>
      <c r="C2567" s="66">
        <v>2.0</v>
      </c>
      <c r="D2567" s="68">
        <v>46006.0</v>
      </c>
      <c r="E2567" s="66">
        <v>9.0</v>
      </c>
      <c r="F2567" s="66" t="s">
        <v>3524</v>
      </c>
      <c r="G2567" s="66" t="s">
        <v>247</v>
      </c>
    </row>
    <row r="2568" ht="22.5" customHeight="1">
      <c r="A2568" s="66" t="s">
        <v>1952</v>
      </c>
      <c r="B2568" s="67" t="str">
        <f t="shared" si="15"/>
        <v>M: detached</v>
      </c>
      <c r="C2568" s="66">
        <v>2.0</v>
      </c>
      <c r="D2568" s="68">
        <v>46006.0</v>
      </c>
      <c r="E2568" s="66">
        <v>10.0</v>
      </c>
      <c r="F2568" s="66" t="s">
        <v>3525</v>
      </c>
      <c r="G2568" s="66" t="s">
        <v>247</v>
      </c>
    </row>
    <row r="2569" ht="22.5" customHeight="1">
      <c r="A2569" s="66" t="s">
        <v>1952</v>
      </c>
      <c r="B2569" s="67" t="str">
        <f t="shared" si="15"/>
        <v>M: detached</v>
      </c>
      <c r="C2569" s="66">
        <v>3.0</v>
      </c>
      <c r="D2569" s="68">
        <v>46006.0</v>
      </c>
      <c r="E2569" s="66">
        <v>1.0</v>
      </c>
      <c r="F2569" s="71" t="s">
        <v>3526</v>
      </c>
      <c r="G2569" s="66" t="s">
        <v>247</v>
      </c>
    </row>
    <row r="2570" ht="22.5" customHeight="1">
      <c r="A2570" s="66" t="s">
        <v>1578</v>
      </c>
      <c r="B2570" s="67" t="str">
        <f t="shared" si="15"/>
        <v>M: skinny</v>
      </c>
      <c r="C2570" s="66">
        <v>2.0</v>
      </c>
      <c r="D2570" s="68">
        <v>46006.0</v>
      </c>
      <c r="E2570" s="66">
        <v>2.0</v>
      </c>
      <c r="F2570" s="66" t="s">
        <v>3527</v>
      </c>
      <c r="G2570" s="66" t="s">
        <v>247</v>
      </c>
    </row>
    <row r="2571" ht="22.5" customHeight="1">
      <c r="A2571" s="66" t="s">
        <v>2906</v>
      </c>
      <c r="B2571" s="67" t="str">
        <f t="shared" si="15"/>
        <v>M: tendrils</v>
      </c>
      <c r="C2571" s="66">
        <v>2.0</v>
      </c>
      <c r="D2571" s="68">
        <v>46006.0</v>
      </c>
      <c r="E2571" s="66">
        <v>3.0</v>
      </c>
      <c r="F2571" s="66" t="s">
        <v>3528</v>
      </c>
      <c r="G2571" s="66" t="s">
        <v>247</v>
      </c>
    </row>
    <row r="2572" ht="22.5" customHeight="1">
      <c r="A2572" s="66" t="s">
        <v>430</v>
      </c>
      <c r="B2572" s="67" t="str">
        <f t="shared" si="15"/>
        <v>M: naked</v>
      </c>
      <c r="C2572" s="66">
        <v>2.0</v>
      </c>
      <c r="D2572" s="68">
        <v>46007.0</v>
      </c>
      <c r="E2572" s="66">
        <v>4.0</v>
      </c>
      <c r="F2572" s="66" t="s">
        <v>3529</v>
      </c>
      <c r="G2572" s="66" t="s">
        <v>247</v>
      </c>
    </row>
    <row r="2573" ht="22.5" customHeight="1">
      <c r="A2573" s="66" t="s">
        <v>3052</v>
      </c>
      <c r="B2573" s="67" t="str">
        <f t="shared" si="15"/>
        <v>M: drag</v>
      </c>
      <c r="C2573" s="66">
        <v>2.0</v>
      </c>
      <c r="D2573" s="68">
        <v>46007.0</v>
      </c>
      <c r="E2573" s="66">
        <v>5.0</v>
      </c>
      <c r="F2573" s="66" t="s">
        <v>3530</v>
      </c>
      <c r="G2573" s="66" t="s">
        <v>247</v>
      </c>
    </row>
    <row r="2574" ht="22.5" customHeight="1">
      <c r="A2574" s="66" t="s">
        <v>2502</v>
      </c>
      <c r="B2574" s="67" t="str">
        <f t="shared" si="15"/>
        <v>M: primitive</v>
      </c>
      <c r="C2574" s="66">
        <v>2.0</v>
      </c>
      <c r="D2574" s="68">
        <v>46007.0</v>
      </c>
      <c r="E2574" s="66">
        <v>6.0</v>
      </c>
      <c r="F2574" s="66" t="s">
        <v>3531</v>
      </c>
      <c r="G2574" s="66" t="s">
        <v>247</v>
      </c>
    </row>
    <row r="2575" ht="22.5" customHeight="1">
      <c r="A2575" s="66" t="s">
        <v>1932</v>
      </c>
      <c r="B2575" s="67" t="str">
        <f t="shared" si="15"/>
        <v>M: trigger</v>
      </c>
      <c r="C2575" s="66">
        <v>2.0</v>
      </c>
      <c r="D2575" s="68">
        <v>46007.0</v>
      </c>
      <c r="E2575" s="66">
        <v>7.0</v>
      </c>
      <c r="F2575" s="71" t="s">
        <v>3532</v>
      </c>
      <c r="G2575" s="66" t="s">
        <v>247</v>
      </c>
    </row>
    <row r="2576" ht="22.5" customHeight="1">
      <c r="A2576" s="66" t="s">
        <v>1932</v>
      </c>
      <c r="B2576" s="67" t="str">
        <f t="shared" si="15"/>
        <v>M: trigger</v>
      </c>
      <c r="C2576" s="66">
        <v>3.0</v>
      </c>
      <c r="D2576" s="68">
        <v>46007.0</v>
      </c>
      <c r="E2576" s="66">
        <v>8.0</v>
      </c>
      <c r="F2576" s="71" t="s">
        <v>3533</v>
      </c>
      <c r="G2576" s="66" t="s">
        <v>247</v>
      </c>
    </row>
    <row r="2577" ht="22.5" customHeight="1">
      <c r="A2577" s="66" t="s">
        <v>2924</v>
      </c>
      <c r="B2577" s="67" t="str">
        <f t="shared" si="15"/>
        <v>M: stagger</v>
      </c>
      <c r="C2577" s="66">
        <v>2.0</v>
      </c>
      <c r="D2577" s="68">
        <v>46007.0</v>
      </c>
      <c r="E2577" s="66">
        <v>9.0</v>
      </c>
      <c r="F2577" s="66" t="s">
        <v>3534</v>
      </c>
      <c r="G2577" s="66" t="s">
        <v>247</v>
      </c>
    </row>
    <row r="2578" ht="22.5" customHeight="1">
      <c r="A2578" s="66" t="s">
        <v>2924</v>
      </c>
      <c r="B2578" s="67" t="str">
        <f t="shared" si="15"/>
        <v>M: stagger</v>
      </c>
      <c r="C2578" s="66">
        <v>3.0</v>
      </c>
      <c r="D2578" s="68">
        <v>46007.0</v>
      </c>
      <c r="E2578" s="66">
        <v>10.0</v>
      </c>
      <c r="F2578" s="66" t="s">
        <v>3535</v>
      </c>
      <c r="G2578" s="66" t="s">
        <v>247</v>
      </c>
    </row>
    <row r="2579" ht="22.5" customHeight="1">
      <c r="A2579" s="66" t="s">
        <v>1862</v>
      </c>
      <c r="B2579" s="67" t="str">
        <f t="shared" si="15"/>
        <v>M: masses</v>
      </c>
      <c r="C2579" s="66">
        <v>2.0</v>
      </c>
      <c r="D2579" s="68">
        <v>46007.0</v>
      </c>
      <c r="E2579" s="66">
        <v>1.0</v>
      </c>
      <c r="F2579" s="66" t="s">
        <v>3536</v>
      </c>
      <c r="G2579" s="66" t="s">
        <v>247</v>
      </c>
    </row>
    <row r="2580" ht="22.5" customHeight="1">
      <c r="A2580" s="66" t="s">
        <v>1862</v>
      </c>
      <c r="B2580" s="67" t="str">
        <f t="shared" si="15"/>
        <v>M: masses</v>
      </c>
      <c r="C2580" s="66">
        <v>3.0</v>
      </c>
      <c r="D2580" s="68">
        <v>46007.0</v>
      </c>
      <c r="E2580" s="66">
        <v>2.0</v>
      </c>
      <c r="F2580" s="66" t="s">
        <v>3537</v>
      </c>
      <c r="G2580" s="66" t="s">
        <v>247</v>
      </c>
    </row>
    <row r="2581" ht="22.5" customHeight="1">
      <c r="A2581" s="66" t="s">
        <v>3042</v>
      </c>
      <c r="B2581" s="67" t="str">
        <f t="shared" si="15"/>
        <v>M: unlike</v>
      </c>
      <c r="C2581" s="66">
        <v>2.0</v>
      </c>
      <c r="D2581" s="68">
        <v>46007.0</v>
      </c>
      <c r="E2581" s="66">
        <v>3.0</v>
      </c>
      <c r="F2581" s="66" t="s">
        <v>3538</v>
      </c>
      <c r="G2581" s="66" t="s">
        <v>247</v>
      </c>
    </row>
    <row r="2582" ht="22.5" customHeight="1">
      <c r="A2582" s="66" t="s">
        <v>2883</v>
      </c>
      <c r="B2582" s="67" t="str">
        <f t="shared" si="15"/>
        <v>M: provides</v>
      </c>
      <c r="C2582" s="66">
        <v>2.0</v>
      </c>
      <c r="D2582" s="68">
        <v>46008.0</v>
      </c>
      <c r="E2582" s="66">
        <v>4.0</v>
      </c>
      <c r="F2582" s="66" t="s">
        <v>3539</v>
      </c>
      <c r="G2582" s="66" t="s">
        <v>247</v>
      </c>
    </row>
    <row r="2583" ht="22.5" customHeight="1">
      <c r="A2583" s="66" t="s">
        <v>2771</v>
      </c>
      <c r="B2583" s="67" t="str">
        <f t="shared" si="15"/>
        <v>M: spell</v>
      </c>
      <c r="C2583" s="66">
        <v>2.0</v>
      </c>
      <c r="D2583" s="68">
        <v>46008.0</v>
      </c>
      <c r="E2583" s="66">
        <v>5.0</v>
      </c>
      <c r="F2583" s="66" t="s">
        <v>3540</v>
      </c>
      <c r="G2583" s="66" t="s">
        <v>247</v>
      </c>
    </row>
    <row r="2584" ht="22.5" customHeight="1">
      <c r="A2584" s="66" t="s">
        <v>2771</v>
      </c>
      <c r="B2584" s="67" t="str">
        <f t="shared" si="15"/>
        <v>M: spell</v>
      </c>
      <c r="C2584" s="66">
        <v>3.0</v>
      </c>
      <c r="D2584" s="68">
        <v>46008.0</v>
      </c>
      <c r="E2584" s="66">
        <v>6.0</v>
      </c>
      <c r="F2584" s="66" t="s">
        <v>3541</v>
      </c>
      <c r="G2584" s="66" t="s">
        <v>247</v>
      </c>
    </row>
    <row r="2585" ht="22.5" customHeight="1">
      <c r="A2585" s="66" t="s">
        <v>3054</v>
      </c>
      <c r="B2585" s="67" t="str">
        <f t="shared" si="15"/>
        <v>M: containers</v>
      </c>
      <c r="C2585" s="66">
        <v>2.0</v>
      </c>
      <c r="D2585" s="68">
        <v>46008.0</v>
      </c>
      <c r="E2585" s="66">
        <v>7.0</v>
      </c>
      <c r="F2585" s="66" t="s">
        <v>3542</v>
      </c>
      <c r="G2585" s="66" t="s">
        <v>247</v>
      </c>
    </row>
    <row r="2586" ht="22.5" customHeight="1">
      <c r="A2586" s="66" t="s">
        <v>2375</v>
      </c>
      <c r="B2586" s="67" t="str">
        <f t="shared" si="15"/>
        <v>M: coke</v>
      </c>
      <c r="C2586" s="66">
        <v>2.0</v>
      </c>
      <c r="D2586" s="68">
        <v>46008.0</v>
      </c>
      <c r="E2586" s="66">
        <v>8.0</v>
      </c>
      <c r="F2586" s="71" t="s">
        <v>3543</v>
      </c>
      <c r="G2586" s="66" t="s">
        <v>247</v>
      </c>
    </row>
    <row r="2587" ht="22.5" customHeight="1">
      <c r="A2587" s="66" t="s">
        <v>532</v>
      </c>
      <c r="B2587" s="67" t="str">
        <f t="shared" si="15"/>
        <v>M: wagging</v>
      </c>
      <c r="C2587" s="66">
        <v>2.0</v>
      </c>
      <c r="D2587" s="68">
        <v>46008.0</v>
      </c>
      <c r="E2587" s="66">
        <v>9.0</v>
      </c>
      <c r="F2587" s="71" t="s">
        <v>3544</v>
      </c>
      <c r="G2587" s="66" t="s">
        <v>247</v>
      </c>
    </row>
    <row r="2588" ht="22.5" customHeight="1">
      <c r="A2588" s="66" t="s">
        <v>491</v>
      </c>
      <c r="B2588" s="67" t="str">
        <f t="shared" si="15"/>
        <v>M: break out</v>
      </c>
      <c r="C2588" s="66">
        <v>2.0</v>
      </c>
      <c r="D2588" s="68">
        <v>46008.0</v>
      </c>
      <c r="E2588" s="66">
        <v>10.0</v>
      </c>
      <c r="F2588" s="71" t="s">
        <v>3545</v>
      </c>
      <c r="G2588" s="66" t="s">
        <v>247</v>
      </c>
    </row>
    <row r="2589" ht="22.5" customHeight="1">
      <c r="A2589" s="66" t="s">
        <v>491</v>
      </c>
      <c r="B2589" s="67" t="str">
        <f t="shared" si="15"/>
        <v>M: break out</v>
      </c>
      <c r="C2589" s="66">
        <v>3.0</v>
      </c>
      <c r="D2589" s="68">
        <v>46008.0</v>
      </c>
      <c r="E2589" s="66">
        <v>1.0</v>
      </c>
      <c r="F2589" s="66" t="s">
        <v>3546</v>
      </c>
      <c r="G2589" s="66" t="s">
        <v>247</v>
      </c>
    </row>
    <row r="2590" ht="22.5" customHeight="1">
      <c r="A2590" s="66" t="s">
        <v>1309</v>
      </c>
      <c r="B2590" s="67" t="str">
        <f t="shared" si="15"/>
        <v>M: thine</v>
      </c>
      <c r="C2590" s="66">
        <v>2.0</v>
      </c>
      <c r="D2590" s="68">
        <v>46008.0</v>
      </c>
      <c r="E2590" s="66">
        <v>2.0</v>
      </c>
      <c r="F2590" s="66" t="s">
        <v>3547</v>
      </c>
      <c r="G2590" s="66" t="s">
        <v>247</v>
      </c>
    </row>
    <row r="2591" ht="22.5" customHeight="1">
      <c r="A2591" s="66" t="s">
        <v>557</v>
      </c>
      <c r="B2591" s="67" t="str">
        <f t="shared" si="15"/>
        <v>M: ducking</v>
      </c>
      <c r="C2591" s="66">
        <v>2.0</v>
      </c>
      <c r="D2591" s="68">
        <v>46008.0</v>
      </c>
      <c r="E2591" s="66">
        <v>3.0</v>
      </c>
      <c r="F2591" s="66" t="s">
        <v>3548</v>
      </c>
      <c r="G2591" s="66" t="s">
        <v>247</v>
      </c>
    </row>
    <row r="2592" ht="22.5" customHeight="1">
      <c r="A2592" s="66" t="s">
        <v>557</v>
      </c>
      <c r="B2592" s="67" t="str">
        <f t="shared" si="15"/>
        <v>M: ducking</v>
      </c>
      <c r="C2592" s="66">
        <v>3.0</v>
      </c>
      <c r="D2592" s="68">
        <v>46009.0</v>
      </c>
      <c r="E2592" s="66">
        <v>4.0</v>
      </c>
      <c r="F2592" s="66" t="s">
        <v>3549</v>
      </c>
      <c r="G2592" s="66" t="s">
        <v>247</v>
      </c>
    </row>
    <row r="2593" ht="22.5" customHeight="1">
      <c r="A2593" s="66" t="s">
        <v>563</v>
      </c>
      <c r="B2593" s="67" t="str">
        <f t="shared" si="15"/>
        <v>M: kennel</v>
      </c>
      <c r="C2593" s="66">
        <v>2.0</v>
      </c>
      <c r="D2593" s="68">
        <v>46009.0</v>
      </c>
      <c r="E2593" s="66">
        <v>5.0</v>
      </c>
      <c r="F2593" s="66" t="s">
        <v>3550</v>
      </c>
      <c r="G2593" s="66" t="s">
        <v>247</v>
      </c>
    </row>
    <row r="2594" ht="22.5" customHeight="1">
      <c r="A2594" s="66" t="s">
        <v>2611</v>
      </c>
      <c r="B2594" s="67" t="str">
        <f t="shared" si="15"/>
        <v>M: coupled</v>
      </c>
      <c r="C2594" s="66">
        <v>2.0</v>
      </c>
      <c r="D2594" s="68">
        <v>46009.0</v>
      </c>
      <c r="E2594" s="66">
        <v>6.0</v>
      </c>
      <c r="F2594" s="66" t="s">
        <v>3551</v>
      </c>
      <c r="G2594" s="66" t="s">
        <v>247</v>
      </c>
    </row>
    <row r="2595" ht="22.5" customHeight="1">
      <c r="A2595" s="66" t="s">
        <v>2611</v>
      </c>
      <c r="B2595" s="67" t="str">
        <f t="shared" si="15"/>
        <v>M: coupled</v>
      </c>
      <c r="C2595" s="66">
        <v>3.0</v>
      </c>
      <c r="D2595" s="68">
        <v>46009.0</v>
      </c>
      <c r="E2595" s="66">
        <v>7.0</v>
      </c>
      <c r="F2595" s="66" t="s">
        <v>3552</v>
      </c>
      <c r="G2595" s="66" t="s">
        <v>247</v>
      </c>
    </row>
    <row r="2596" ht="22.5" customHeight="1">
      <c r="A2596" s="66" t="s">
        <v>1817</v>
      </c>
      <c r="B2596" s="67" t="str">
        <f t="shared" si="15"/>
        <v>M: avenue</v>
      </c>
      <c r="C2596" s="66">
        <v>2.0</v>
      </c>
      <c r="D2596" s="68">
        <v>46009.0</v>
      </c>
      <c r="E2596" s="66">
        <v>8.0</v>
      </c>
      <c r="F2596" s="71" t="s">
        <v>3553</v>
      </c>
      <c r="G2596" s="66" t="s">
        <v>247</v>
      </c>
    </row>
    <row r="2597" ht="22.5" customHeight="1">
      <c r="A2597" s="66" t="s">
        <v>568</v>
      </c>
      <c r="B2597" s="67" t="str">
        <f t="shared" si="15"/>
        <v>M: wasted</v>
      </c>
      <c r="C2597" s="66">
        <v>2.0</v>
      </c>
      <c r="D2597" s="68">
        <v>46009.0</v>
      </c>
      <c r="E2597" s="66">
        <v>9.0</v>
      </c>
      <c r="F2597" s="71" t="s">
        <v>3554</v>
      </c>
      <c r="G2597" s="66" t="s">
        <v>247</v>
      </c>
    </row>
    <row r="2598" ht="22.5" customHeight="1">
      <c r="A2598" s="66" t="s">
        <v>568</v>
      </c>
      <c r="B2598" s="67" t="str">
        <f t="shared" si="15"/>
        <v>M: wasted</v>
      </c>
      <c r="C2598" s="66">
        <v>3.0</v>
      </c>
      <c r="D2598" s="68">
        <v>46009.0</v>
      </c>
      <c r="E2598" s="66">
        <v>10.0</v>
      </c>
      <c r="F2598" s="66" t="s">
        <v>3555</v>
      </c>
      <c r="G2598" s="66" t="s">
        <v>247</v>
      </c>
    </row>
    <row r="2599" ht="22.5" customHeight="1">
      <c r="A2599" s="66" t="s">
        <v>2904</v>
      </c>
      <c r="B2599" s="67" t="str">
        <f t="shared" si="15"/>
        <v>M: runs out</v>
      </c>
      <c r="C2599" s="66">
        <v>2.0</v>
      </c>
      <c r="D2599" s="68">
        <v>46009.0</v>
      </c>
      <c r="E2599" s="66">
        <v>1.0</v>
      </c>
      <c r="F2599" s="71" t="s">
        <v>3556</v>
      </c>
      <c r="G2599" s="66" t="s">
        <v>247</v>
      </c>
    </row>
    <row r="2600" ht="22.5" customHeight="1">
      <c r="A2600" s="66" t="s">
        <v>2520</v>
      </c>
      <c r="B2600" s="67" t="str">
        <f t="shared" si="15"/>
        <v>M: instance</v>
      </c>
      <c r="C2600" s="66">
        <v>2.0</v>
      </c>
      <c r="D2600" s="68">
        <v>46009.0</v>
      </c>
      <c r="E2600" s="66">
        <v>2.0</v>
      </c>
      <c r="F2600" s="66" t="s">
        <v>3557</v>
      </c>
      <c r="G2600" s="66" t="s">
        <v>247</v>
      </c>
    </row>
    <row r="2601" ht="22.5" customHeight="1">
      <c r="A2601" s="66" t="s">
        <v>2098</v>
      </c>
      <c r="B2601" s="67" t="str">
        <f t="shared" si="15"/>
        <v>M: can you handle</v>
      </c>
      <c r="C2601" s="66">
        <v>2.0</v>
      </c>
      <c r="D2601" s="68">
        <v>46009.0</v>
      </c>
      <c r="E2601" s="66">
        <v>3.0</v>
      </c>
      <c r="F2601" s="66" t="s">
        <v>3558</v>
      </c>
      <c r="G2601" s="66" t="s">
        <v>247</v>
      </c>
    </row>
    <row r="2602" ht="22.5" customHeight="1">
      <c r="A2602" s="66" t="s">
        <v>2085</v>
      </c>
      <c r="B2602" s="67" t="str">
        <f t="shared" si="15"/>
        <v>M: canteen</v>
      </c>
      <c r="C2602" s="66">
        <v>2.0</v>
      </c>
      <c r="D2602" s="68">
        <v>46010.0</v>
      </c>
      <c r="E2602" s="66">
        <v>4.0</v>
      </c>
      <c r="F2602" s="66" t="s">
        <v>3559</v>
      </c>
      <c r="G2602" s="66" t="s">
        <v>247</v>
      </c>
    </row>
    <row r="2603" ht="22.5" customHeight="1">
      <c r="A2603" s="66" t="s">
        <v>2085</v>
      </c>
      <c r="B2603" s="67" t="str">
        <f t="shared" si="15"/>
        <v>M: canteen</v>
      </c>
      <c r="C2603" s="66">
        <v>3.0</v>
      </c>
      <c r="D2603" s="68">
        <v>46010.0</v>
      </c>
      <c r="E2603" s="66">
        <v>5.0</v>
      </c>
      <c r="F2603" s="66" t="s">
        <v>3560</v>
      </c>
      <c r="G2603" s="66" t="s">
        <v>247</v>
      </c>
    </row>
    <row r="2604" ht="22.5" customHeight="1">
      <c r="A2604" s="66" t="s">
        <v>1860</v>
      </c>
      <c r="B2604" s="67" t="str">
        <f t="shared" si="15"/>
        <v>M: sunshine</v>
      </c>
      <c r="C2604" s="66">
        <v>2.0</v>
      </c>
      <c r="D2604" s="68">
        <v>46010.0</v>
      </c>
      <c r="E2604" s="66">
        <v>6.0</v>
      </c>
      <c r="F2604" s="75" t="s">
        <v>3561</v>
      </c>
      <c r="G2604" s="66" t="s">
        <v>247</v>
      </c>
    </row>
    <row r="2605" ht="22.5" customHeight="1">
      <c r="A2605" s="66" t="s">
        <v>1790</v>
      </c>
      <c r="B2605" s="67" t="str">
        <f t="shared" si="15"/>
        <v>M: filing</v>
      </c>
      <c r="C2605" s="66">
        <v>2.0</v>
      </c>
      <c r="D2605" s="68">
        <v>46010.0</v>
      </c>
      <c r="E2605" s="66">
        <v>7.0</v>
      </c>
      <c r="F2605" s="66" t="s">
        <v>3562</v>
      </c>
      <c r="G2605" s="66" t="s">
        <v>247</v>
      </c>
    </row>
    <row r="2606" ht="22.5" customHeight="1">
      <c r="A2606" s="66" t="s">
        <v>1790</v>
      </c>
      <c r="B2606" s="67" t="str">
        <f t="shared" si="15"/>
        <v>M: filing</v>
      </c>
      <c r="C2606" s="66">
        <v>3.0</v>
      </c>
      <c r="D2606" s="68">
        <v>46010.0</v>
      </c>
      <c r="E2606" s="66">
        <v>8.0</v>
      </c>
      <c r="F2606" s="71" t="s">
        <v>3563</v>
      </c>
      <c r="G2606" s="66" t="s">
        <v>247</v>
      </c>
    </row>
    <row r="2607" ht="22.5" customHeight="1">
      <c r="A2607" s="66" t="s">
        <v>1653</v>
      </c>
      <c r="B2607" s="67" t="str">
        <f t="shared" si="15"/>
        <v>M: hanging out</v>
      </c>
      <c r="C2607" s="66">
        <v>2.0</v>
      </c>
      <c r="D2607" s="68">
        <v>46010.0</v>
      </c>
      <c r="E2607" s="66">
        <v>9.0</v>
      </c>
      <c r="F2607" s="66" t="s">
        <v>3564</v>
      </c>
      <c r="G2607" s="66" t="s">
        <v>247</v>
      </c>
    </row>
    <row r="2608" ht="22.5" customHeight="1">
      <c r="A2608" s="66" t="s">
        <v>1653</v>
      </c>
      <c r="B2608" s="67" t="str">
        <f t="shared" si="15"/>
        <v>M: hanging out</v>
      </c>
      <c r="C2608" s="66">
        <v>3.0</v>
      </c>
      <c r="D2608" s="68">
        <v>46010.0</v>
      </c>
      <c r="E2608" s="66">
        <v>10.0</v>
      </c>
      <c r="F2608" s="66" t="s">
        <v>3565</v>
      </c>
      <c r="G2608" s="66" t="s">
        <v>247</v>
      </c>
    </row>
    <row r="2609" ht="22.5" customHeight="1">
      <c r="A2609" s="66" t="s">
        <v>1651</v>
      </c>
      <c r="B2609" s="67" t="str">
        <f t="shared" si="15"/>
        <v>M: marker</v>
      </c>
      <c r="C2609" s="66">
        <v>2.0</v>
      </c>
      <c r="D2609" s="68">
        <v>46010.0</v>
      </c>
      <c r="E2609" s="66">
        <v>1.0</v>
      </c>
      <c r="F2609" s="66" t="s">
        <v>3566</v>
      </c>
      <c r="G2609" s="66" t="s">
        <v>247</v>
      </c>
    </row>
    <row r="2610" ht="22.5" customHeight="1">
      <c r="A2610" s="66" t="s">
        <v>1651</v>
      </c>
      <c r="B2610" s="67" t="str">
        <f t="shared" si="15"/>
        <v>M: marker</v>
      </c>
      <c r="C2610" s="66">
        <v>3.0</v>
      </c>
      <c r="D2610" s="68">
        <v>46010.0</v>
      </c>
      <c r="E2610" s="66">
        <v>2.0</v>
      </c>
      <c r="F2610" s="66" t="s">
        <v>3567</v>
      </c>
      <c r="G2610" s="66" t="s">
        <v>247</v>
      </c>
    </row>
    <row r="2611" ht="22.5" customHeight="1">
      <c r="A2611" s="66" t="s">
        <v>1252</v>
      </c>
      <c r="B2611" s="67" t="str">
        <f t="shared" si="15"/>
        <v>M: damned</v>
      </c>
      <c r="C2611" s="66">
        <v>2.0</v>
      </c>
      <c r="D2611" s="68">
        <v>46010.0</v>
      </c>
      <c r="E2611" s="66">
        <v>3.0</v>
      </c>
      <c r="F2611" s="71" t="s">
        <v>3568</v>
      </c>
      <c r="G2611" s="66" t="s">
        <v>247</v>
      </c>
    </row>
    <row r="2612" ht="22.5" customHeight="1">
      <c r="A2612" s="66" t="s">
        <v>1252</v>
      </c>
      <c r="B2612" s="67" t="str">
        <f t="shared" si="15"/>
        <v>M: damned</v>
      </c>
      <c r="C2612" s="66">
        <v>3.0</v>
      </c>
      <c r="D2612" s="68">
        <v>46011.0</v>
      </c>
      <c r="E2612" s="66">
        <v>4.0</v>
      </c>
      <c r="F2612" s="71" t="s">
        <v>3569</v>
      </c>
      <c r="G2612" s="66" t="s">
        <v>247</v>
      </c>
    </row>
    <row r="2613" ht="22.5" customHeight="1">
      <c r="A2613" s="66" t="s">
        <v>890</v>
      </c>
      <c r="B2613" s="67" t="str">
        <f t="shared" si="15"/>
        <v>M: shred</v>
      </c>
      <c r="C2613" s="66">
        <v>2.0</v>
      </c>
      <c r="D2613" s="68">
        <v>46011.0</v>
      </c>
      <c r="E2613" s="66">
        <v>5.0</v>
      </c>
      <c r="F2613" s="71" t="s">
        <v>3570</v>
      </c>
      <c r="G2613" s="66" t="s">
        <v>247</v>
      </c>
    </row>
    <row r="2614" ht="22.5" customHeight="1">
      <c r="A2614" s="66" t="s">
        <v>890</v>
      </c>
      <c r="B2614" s="67" t="str">
        <f t="shared" si="15"/>
        <v>M: shred</v>
      </c>
      <c r="C2614" s="66">
        <v>3.0</v>
      </c>
      <c r="D2614" s="68">
        <v>46011.0</v>
      </c>
      <c r="E2614" s="66">
        <v>6.0</v>
      </c>
      <c r="F2614" s="66" t="s">
        <v>3571</v>
      </c>
      <c r="G2614" s="66" t="s">
        <v>247</v>
      </c>
    </row>
    <row r="2615" ht="22.5" customHeight="1">
      <c r="A2615" s="66" t="s">
        <v>1991</v>
      </c>
      <c r="B2615" s="67" t="str">
        <f t="shared" si="15"/>
        <v>M: hijacking</v>
      </c>
      <c r="C2615" s="66">
        <v>2.0</v>
      </c>
      <c r="D2615" s="68">
        <v>46011.0</v>
      </c>
      <c r="E2615" s="66">
        <v>7.0</v>
      </c>
      <c r="F2615" s="66" t="s">
        <v>3572</v>
      </c>
      <c r="G2615" s="66" t="s">
        <v>247</v>
      </c>
    </row>
    <row r="2616" ht="22.5" customHeight="1">
      <c r="A2616" s="66" t="s">
        <v>2891</v>
      </c>
      <c r="B2616" s="67" t="str">
        <f t="shared" si="15"/>
        <v>M: fuel</v>
      </c>
      <c r="C2616" s="66">
        <v>2.0</v>
      </c>
      <c r="D2616" s="68">
        <v>46011.0</v>
      </c>
      <c r="E2616" s="66">
        <v>8.0</v>
      </c>
      <c r="F2616" s="66" t="s">
        <v>3573</v>
      </c>
      <c r="G2616" s="66" t="s">
        <v>247</v>
      </c>
    </row>
    <row r="2617" ht="22.5" customHeight="1">
      <c r="A2617" s="66" t="s">
        <v>1447</v>
      </c>
      <c r="B2617" s="67" t="str">
        <f t="shared" si="15"/>
        <v>M: shattering</v>
      </c>
      <c r="C2617" s="66">
        <v>2.0</v>
      </c>
      <c r="D2617" s="68">
        <v>46011.0</v>
      </c>
      <c r="E2617" s="66">
        <v>9.0</v>
      </c>
      <c r="F2617" s="66" t="str">
        <f>IFERROR(__xludf.DUMMYFUNCTION("GOOGLETRANSLATE(A2617,""en"",""pt"")"),"quebrando")</f>
        <v>quebrando</v>
      </c>
      <c r="G2617" s="66" t="s">
        <v>3574</v>
      </c>
    </row>
    <row r="2618" ht="22.5" customHeight="1">
      <c r="A2618" s="66" t="s">
        <v>509</v>
      </c>
      <c r="B2618" s="67" t="str">
        <f t="shared" si="15"/>
        <v>M: couch</v>
      </c>
      <c r="C2618" s="66">
        <v>2.0</v>
      </c>
      <c r="D2618" s="68">
        <v>46011.0</v>
      </c>
      <c r="E2618" s="66">
        <v>10.0</v>
      </c>
      <c r="F2618" s="66" t="s">
        <v>3575</v>
      </c>
      <c r="G2618" s="66" t="s">
        <v>247</v>
      </c>
    </row>
    <row r="2619" ht="22.5" customHeight="1">
      <c r="A2619" s="66" t="s">
        <v>647</v>
      </c>
      <c r="B2619" s="67" t="str">
        <f t="shared" si="15"/>
        <v>M: anything</v>
      </c>
      <c r="C2619" s="66">
        <v>2.0</v>
      </c>
      <c r="D2619" s="68">
        <v>46011.0</v>
      </c>
      <c r="E2619" s="66">
        <v>1.0</v>
      </c>
      <c r="F2619" s="71" t="s">
        <v>3576</v>
      </c>
      <c r="G2619" s="66" t="s">
        <v>247</v>
      </c>
    </row>
    <row r="2620" ht="22.5" customHeight="1">
      <c r="A2620" s="66" t="s">
        <v>647</v>
      </c>
      <c r="B2620" s="67" t="str">
        <f t="shared" si="15"/>
        <v>M: anything</v>
      </c>
      <c r="C2620" s="66">
        <v>3.0</v>
      </c>
      <c r="D2620" s="68">
        <v>46011.0</v>
      </c>
      <c r="E2620" s="66">
        <v>2.0</v>
      </c>
      <c r="F2620" s="66" t="s">
        <v>3577</v>
      </c>
      <c r="G2620" s="66" t="s">
        <v>247</v>
      </c>
    </row>
    <row r="2621" ht="22.5" customHeight="1">
      <c r="A2621" s="66" t="s">
        <v>2558</v>
      </c>
      <c r="B2621" s="67" t="str">
        <f t="shared" si="15"/>
        <v>M: depend</v>
      </c>
      <c r="C2621" s="66">
        <v>2.0</v>
      </c>
      <c r="D2621" s="68">
        <v>46011.0</v>
      </c>
      <c r="E2621" s="66">
        <v>3.0</v>
      </c>
      <c r="F2621" s="66" t="s">
        <v>3578</v>
      </c>
      <c r="G2621" s="66" t="s">
        <v>247</v>
      </c>
    </row>
    <row r="2622" ht="22.5" customHeight="1">
      <c r="A2622" s="66" t="s">
        <v>2558</v>
      </c>
      <c r="B2622" s="67" t="str">
        <f t="shared" si="15"/>
        <v>M: depend</v>
      </c>
      <c r="C2622" s="66">
        <v>3.0</v>
      </c>
      <c r="D2622" s="68">
        <v>46012.0</v>
      </c>
      <c r="E2622" s="66">
        <v>4.0</v>
      </c>
      <c r="F2622" s="66" t="s">
        <v>3579</v>
      </c>
      <c r="G2622" s="66" t="s">
        <v>247</v>
      </c>
    </row>
    <row r="2623" ht="22.5" customHeight="1">
      <c r="A2623" s="66" t="s">
        <v>1836</v>
      </c>
      <c r="B2623" s="67" t="str">
        <f t="shared" si="15"/>
        <v>M: hiding</v>
      </c>
      <c r="C2623" s="66">
        <v>2.0</v>
      </c>
      <c r="D2623" s="68">
        <v>46012.0</v>
      </c>
      <c r="E2623" s="66">
        <v>5.0</v>
      </c>
      <c r="F2623" s="66" t="s">
        <v>3580</v>
      </c>
      <c r="G2623" s="66" t="s">
        <v>247</v>
      </c>
    </row>
    <row r="2624" ht="22.5" customHeight="1">
      <c r="A2624" s="66" t="s">
        <v>1836</v>
      </c>
      <c r="B2624" s="67" t="str">
        <f t="shared" si="15"/>
        <v>M: hiding</v>
      </c>
      <c r="C2624" s="66">
        <v>3.0</v>
      </c>
      <c r="D2624" s="68">
        <v>46012.0</v>
      </c>
      <c r="E2624" s="66">
        <v>6.0</v>
      </c>
      <c r="F2624" s="66" t="s">
        <v>3581</v>
      </c>
      <c r="G2624" s="66" t="s">
        <v>247</v>
      </c>
    </row>
    <row r="2625" ht="22.5" customHeight="1">
      <c r="A2625" s="66" t="s">
        <v>2954</v>
      </c>
      <c r="B2625" s="67" t="str">
        <f t="shared" si="15"/>
        <v>M: breaks</v>
      </c>
      <c r="C2625" s="66">
        <v>2.0</v>
      </c>
      <c r="D2625" s="68">
        <v>46012.0</v>
      </c>
      <c r="E2625" s="66">
        <v>7.0</v>
      </c>
      <c r="F2625" s="71" t="s">
        <v>3582</v>
      </c>
      <c r="G2625" s="66" t="s">
        <v>247</v>
      </c>
    </row>
    <row r="2626" ht="22.5" customHeight="1">
      <c r="A2626" s="66" t="s">
        <v>2954</v>
      </c>
      <c r="B2626" s="67" t="str">
        <f t="shared" si="15"/>
        <v>M: breaks</v>
      </c>
      <c r="C2626" s="66">
        <v>3.0</v>
      </c>
      <c r="D2626" s="68">
        <v>46012.0</v>
      </c>
      <c r="E2626" s="66">
        <v>8.0</v>
      </c>
      <c r="F2626" s="66" t="s">
        <v>3583</v>
      </c>
      <c r="G2626" s="66" t="s">
        <v>247</v>
      </c>
    </row>
    <row r="2627" ht="22.5" customHeight="1">
      <c r="A2627" s="66" t="s">
        <v>1912</v>
      </c>
      <c r="B2627" s="67" t="str">
        <f t="shared" si="15"/>
        <v>M: ledge</v>
      </c>
      <c r="C2627" s="66">
        <v>2.0</v>
      </c>
      <c r="D2627" s="68">
        <v>46012.0</v>
      </c>
      <c r="E2627" s="66">
        <v>9.0</v>
      </c>
      <c r="F2627" s="71" t="s">
        <v>3584</v>
      </c>
      <c r="G2627" s="66" t="s">
        <v>247</v>
      </c>
    </row>
    <row r="2628" ht="22.5" customHeight="1">
      <c r="A2628" s="66" t="s">
        <v>2826</v>
      </c>
      <c r="B2628" s="67" t="str">
        <f t="shared" si="15"/>
        <v>M: ditching</v>
      </c>
      <c r="C2628" s="66">
        <v>2.0</v>
      </c>
      <c r="D2628" s="68">
        <v>46012.0</v>
      </c>
      <c r="E2628" s="66">
        <v>1.0</v>
      </c>
      <c r="F2628" s="71" t="s">
        <v>3585</v>
      </c>
      <c r="G2628" s="66" t="s">
        <v>247</v>
      </c>
    </row>
    <row r="2629" ht="22.5" customHeight="1">
      <c r="A2629" s="66" t="s">
        <v>2826</v>
      </c>
      <c r="B2629" s="67" t="str">
        <f t="shared" si="15"/>
        <v>M: ditching</v>
      </c>
      <c r="C2629" s="66">
        <v>3.0</v>
      </c>
      <c r="D2629" s="68">
        <v>46012.0</v>
      </c>
      <c r="E2629" s="66">
        <v>2.0</v>
      </c>
      <c r="F2629" s="66" t="s">
        <v>3586</v>
      </c>
      <c r="G2629" s="66" t="s">
        <v>247</v>
      </c>
    </row>
    <row r="2630" ht="22.5" customHeight="1">
      <c r="A2630" s="66" t="s">
        <v>2494</v>
      </c>
      <c r="B2630" s="67" t="str">
        <f t="shared" si="15"/>
        <v>M: turns</v>
      </c>
      <c r="C2630" s="66">
        <v>2.0</v>
      </c>
      <c r="D2630" s="68">
        <v>46012.0</v>
      </c>
      <c r="E2630" s="66">
        <v>3.0</v>
      </c>
      <c r="F2630" s="66" t="s">
        <v>3587</v>
      </c>
      <c r="G2630" s="66" t="s">
        <v>247</v>
      </c>
    </row>
    <row r="2631" ht="22.5" customHeight="1">
      <c r="A2631" s="66" t="s">
        <v>2494</v>
      </c>
      <c r="B2631" s="67" t="str">
        <f t="shared" si="15"/>
        <v>M: turns</v>
      </c>
      <c r="C2631" s="66">
        <v>3.0</v>
      </c>
      <c r="D2631" s="68">
        <v>46012.0</v>
      </c>
      <c r="E2631" s="66">
        <v>4.0</v>
      </c>
      <c r="F2631" s="66" t="s">
        <v>3588</v>
      </c>
      <c r="G2631" s="66" t="s">
        <v>247</v>
      </c>
    </row>
    <row r="2632" ht="22.5" customHeight="1">
      <c r="A2632" s="66" t="s">
        <v>1437</v>
      </c>
      <c r="B2632" s="67" t="str">
        <f t="shared" si="15"/>
        <v>M: unsavory</v>
      </c>
      <c r="C2632" s="66">
        <v>2.0</v>
      </c>
      <c r="D2632" s="68">
        <v>46013.0</v>
      </c>
      <c r="E2632" s="66">
        <v>5.0</v>
      </c>
      <c r="F2632" s="66" t="s">
        <v>3589</v>
      </c>
      <c r="G2632" s="66" t="s">
        <v>247</v>
      </c>
    </row>
    <row r="2633" ht="22.5" customHeight="1">
      <c r="A2633" s="66" t="s">
        <v>2040</v>
      </c>
      <c r="B2633" s="67" t="str">
        <f t="shared" si="15"/>
        <v>M: height</v>
      </c>
      <c r="C2633" s="66">
        <v>2.0</v>
      </c>
      <c r="D2633" s="68">
        <v>46013.0</v>
      </c>
      <c r="E2633" s="66">
        <v>6.0</v>
      </c>
      <c r="F2633" s="71" t="s">
        <v>3590</v>
      </c>
      <c r="G2633" s="66" t="s">
        <v>247</v>
      </c>
    </row>
    <row r="2634" ht="22.5" customHeight="1">
      <c r="A2634" s="66" t="s">
        <v>2972</v>
      </c>
      <c r="B2634" s="67" t="str">
        <f t="shared" si="15"/>
        <v>M: prior</v>
      </c>
      <c r="C2634" s="66">
        <v>2.0</v>
      </c>
      <c r="D2634" s="68">
        <v>46013.0</v>
      </c>
      <c r="E2634" s="66">
        <v>7.0</v>
      </c>
      <c r="F2634" s="66" t="s">
        <v>3591</v>
      </c>
      <c r="G2634" s="66" t="s">
        <v>247</v>
      </c>
    </row>
    <row r="2635" ht="22.5" customHeight="1">
      <c r="A2635" s="66" t="s">
        <v>3592</v>
      </c>
      <c r="B2635" s="67" t="str">
        <f t="shared" si="15"/>
        <v>M: look at</v>
      </c>
      <c r="C2635" s="66">
        <v>1.0</v>
      </c>
      <c r="D2635" s="68">
        <v>46013.0</v>
      </c>
      <c r="E2635" s="66">
        <v>8.0</v>
      </c>
      <c r="F2635" s="66" t="s">
        <v>3593</v>
      </c>
      <c r="G2635" s="66" t="s">
        <v>247</v>
      </c>
    </row>
    <row r="2636" ht="22.5" customHeight="1">
      <c r="A2636" s="66" t="s">
        <v>3592</v>
      </c>
      <c r="B2636" s="67" t="str">
        <f t="shared" si="15"/>
        <v>M: look at</v>
      </c>
      <c r="C2636" s="66">
        <v>2.0</v>
      </c>
      <c r="D2636" s="68">
        <v>46013.0</v>
      </c>
      <c r="E2636" s="66">
        <v>9.0</v>
      </c>
      <c r="F2636" s="66" t="s">
        <v>3594</v>
      </c>
      <c r="G2636" s="66" t="s">
        <v>247</v>
      </c>
    </row>
    <row r="2637" ht="22.5" customHeight="1">
      <c r="A2637" s="66" t="s">
        <v>2651</v>
      </c>
      <c r="B2637" s="67" t="str">
        <f t="shared" si="15"/>
        <v>M: override</v>
      </c>
      <c r="C2637" s="66">
        <v>2.0</v>
      </c>
      <c r="D2637" s="68">
        <v>46013.0</v>
      </c>
      <c r="E2637" s="66">
        <v>10.0</v>
      </c>
      <c r="F2637" s="71" t="s">
        <v>3595</v>
      </c>
      <c r="G2637" s="66" t="s">
        <v>247</v>
      </c>
    </row>
    <row r="2638" ht="22.5" customHeight="1">
      <c r="A2638" s="66" t="s">
        <v>2958</v>
      </c>
      <c r="B2638" s="67" t="str">
        <f t="shared" si="15"/>
        <v>M: demand</v>
      </c>
      <c r="C2638" s="66">
        <v>2.0</v>
      </c>
      <c r="D2638" s="68">
        <v>46013.0</v>
      </c>
      <c r="E2638" s="66">
        <v>1.0</v>
      </c>
      <c r="F2638" s="66" t="s">
        <v>3596</v>
      </c>
      <c r="G2638" s="66" t="s">
        <v>247</v>
      </c>
    </row>
    <row r="2639" ht="22.5" customHeight="1">
      <c r="A2639" s="66" t="s">
        <v>2958</v>
      </c>
      <c r="B2639" s="67" t="str">
        <f t="shared" si="15"/>
        <v>M: demand</v>
      </c>
      <c r="C2639" s="66">
        <v>3.0</v>
      </c>
      <c r="D2639" s="68">
        <v>46013.0</v>
      </c>
      <c r="E2639" s="66">
        <v>2.0</v>
      </c>
      <c r="F2639" s="66" t="s">
        <v>3597</v>
      </c>
      <c r="G2639" s="66" t="s">
        <v>247</v>
      </c>
    </row>
    <row r="2640" ht="22.5" customHeight="1">
      <c r="A2640" s="66" t="s">
        <v>2554</v>
      </c>
      <c r="B2640" s="67" t="str">
        <f t="shared" si="15"/>
        <v>M: retrieve</v>
      </c>
      <c r="C2640" s="66">
        <v>2.0</v>
      </c>
      <c r="D2640" s="68">
        <v>46013.0</v>
      </c>
      <c r="E2640" s="66">
        <v>3.0</v>
      </c>
      <c r="F2640" s="66" t="s">
        <v>3598</v>
      </c>
      <c r="G2640" s="66" t="s">
        <v>247</v>
      </c>
    </row>
    <row r="2641" ht="22.5" customHeight="1">
      <c r="A2641" s="67" t="s">
        <v>786</v>
      </c>
      <c r="B2641" s="67" t="str">
        <f t="shared" si="15"/>
        <v>M: shed</v>
      </c>
      <c r="C2641" s="66">
        <v>2.0</v>
      </c>
      <c r="D2641" s="68">
        <v>46013.0</v>
      </c>
      <c r="E2641" s="66">
        <v>4.0</v>
      </c>
      <c r="F2641" s="66" t="s">
        <v>3599</v>
      </c>
      <c r="G2641" s="66" t="s">
        <v>247</v>
      </c>
    </row>
    <row r="2642" ht="22.5" customHeight="1">
      <c r="A2642" s="67" t="s">
        <v>786</v>
      </c>
      <c r="B2642" s="67" t="str">
        <f t="shared" si="15"/>
        <v>M: shed</v>
      </c>
      <c r="C2642" s="66">
        <v>3.0</v>
      </c>
      <c r="D2642" s="68">
        <v>46014.0</v>
      </c>
      <c r="E2642" s="66">
        <v>5.0</v>
      </c>
      <c r="F2642" s="71" t="s">
        <v>3600</v>
      </c>
      <c r="G2642" s="66" t="s">
        <v>247</v>
      </c>
    </row>
    <row r="2643" ht="22.5" customHeight="1">
      <c r="A2643" s="70" t="s">
        <v>744</v>
      </c>
      <c r="B2643" s="67" t="str">
        <f t="shared" si="15"/>
        <v>M: folks</v>
      </c>
      <c r="C2643" s="66">
        <v>2.0</v>
      </c>
      <c r="D2643" s="68">
        <v>46014.0</v>
      </c>
      <c r="E2643" s="66">
        <v>6.0</v>
      </c>
      <c r="F2643" s="71" t="s">
        <v>3601</v>
      </c>
      <c r="G2643" s="66" t="s">
        <v>247</v>
      </c>
    </row>
    <row r="2644" ht="22.5" customHeight="1">
      <c r="A2644" s="66" t="s">
        <v>2667</v>
      </c>
      <c r="B2644" s="67" t="str">
        <f t="shared" si="15"/>
        <v>M: indicates</v>
      </c>
      <c r="C2644" s="66">
        <v>2.0</v>
      </c>
      <c r="D2644" s="68">
        <v>46014.0</v>
      </c>
      <c r="E2644" s="66">
        <v>7.0</v>
      </c>
      <c r="F2644" s="66" t="s">
        <v>3602</v>
      </c>
      <c r="G2644" s="66" t="s">
        <v>247</v>
      </c>
    </row>
    <row r="2645" ht="22.5" customHeight="1">
      <c r="A2645" s="66" t="s">
        <v>985</v>
      </c>
      <c r="B2645" s="67" t="str">
        <f t="shared" si="15"/>
        <v>M: screwed</v>
      </c>
      <c r="C2645" s="66">
        <v>2.0</v>
      </c>
      <c r="D2645" s="68">
        <v>46014.0</v>
      </c>
      <c r="E2645" s="66">
        <v>8.0</v>
      </c>
      <c r="F2645" s="71" t="s">
        <v>3603</v>
      </c>
      <c r="G2645" s="66" t="s">
        <v>247</v>
      </c>
    </row>
    <row r="2646" ht="22.5" customHeight="1">
      <c r="A2646" s="66" t="s">
        <v>985</v>
      </c>
      <c r="B2646" s="67" t="str">
        <f t="shared" si="15"/>
        <v>M: screwed</v>
      </c>
      <c r="C2646" s="66">
        <v>3.0</v>
      </c>
      <c r="D2646" s="68">
        <v>46014.0</v>
      </c>
      <c r="E2646" s="66">
        <v>9.0</v>
      </c>
      <c r="F2646" s="66" t="s">
        <v>3604</v>
      </c>
      <c r="G2646" s="66" t="s">
        <v>247</v>
      </c>
    </row>
    <row r="2647" ht="22.5" customHeight="1">
      <c r="A2647" s="66" t="s">
        <v>1132</v>
      </c>
      <c r="B2647" s="67" t="str">
        <f t="shared" si="15"/>
        <v>M: seal</v>
      </c>
      <c r="C2647" s="66">
        <v>2.0</v>
      </c>
      <c r="D2647" s="68">
        <v>46014.0</v>
      </c>
      <c r="E2647" s="66">
        <v>10.0</v>
      </c>
      <c r="F2647" s="71" t="s">
        <v>3605</v>
      </c>
      <c r="G2647" s="66" t="s">
        <v>247</v>
      </c>
    </row>
    <row r="2648" ht="22.5" customHeight="1">
      <c r="A2648" s="66" t="s">
        <v>1132</v>
      </c>
      <c r="B2648" s="67" t="str">
        <f t="shared" si="15"/>
        <v>M: seal</v>
      </c>
      <c r="C2648" s="66">
        <v>3.0</v>
      </c>
      <c r="D2648" s="68">
        <v>46014.0</v>
      </c>
      <c r="E2648" s="66">
        <v>1.0</v>
      </c>
      <c r="F2648" s="66" t="s">
        <v>3606</v>
      </c>
      <c r="G2648" s="66" t="s">
        <v>247</v>
      </c>
    </row>
    <row r="2649" ht="22.5" customHeight="1">
      <c r="A2649" s="66" t="s">
        <v>1336</v>
      </c>
      <c r="B2649" s="67" t="str">
        <f t="shared" si="15"/>
        <v>M: touches</v>
      </c>
      <c r="C2649" s="66">
        <v>2.0</v>
      </c>
      <c r="D2649" s="68">
        <v>46014.0</v>
      </c>
      <c r="E2649" s="66">
        <v>2.0</v>
      </c>
      <c r="F2649" s="66" t="s">
        <v>3607</v>
      </c>
      <c r="G2649" s="66" t="s">
        <v>247</v>
      </c>
    </row>
    <row r="2650" ht="22.5" customHeight="1">
      <c r="A2650" s="66" t="s">
        <v>1336</v>
      </c>
      <c r="B2650" s="67" t="str">
        <f t="shared" si="15"/>
        <v>M: touches</v>
      </c>
      <c r="C2650" s="66">
        <v>3.0</v>
      </c>
      <c r="D2650" s="68">
        <v>46014.0</v>
      </c>
      <c r="E2650" s="66">
        <v>3.0</v>
      </c>
      <c r="F2650" s="66" t="s">
        <v>3608</v>
      </c>
      <c r="G2650" s="66" t="s">
        <v>247</v>
      </c>
    </row>
    <row r="2651" ht="22.5" customHeight="1">
      <c r="A2651" s="66" t="s">
        <v>2727</v>
      </c>
      <c r="B2651" s="67" t="str">
        <f t="shared" si="15"/>
        <v>M: usage</v>
      </c>
      <c r="C2651" s="66">
        <v>2.0</v>
      </c>
      <c r="D2651" s="68">
        <v>46014.0</v>
      </c>
      <c r="E2651" s="66">
        <v>4.0</v>
      </c>
      <c r="F2651" s="66" t="s">
        <v>3609</v>
      </c>
      <c r="G2651" s="66" t="s">
        <v>247</v>
      </c>
    </row>
    <row r="2652" ht="22.5" customHeight="1">
      <c r="A2652" s="66" t="s">
        <v>1969</v>
      </c>
      <c r="B2652" s="67" t="str">
        <f t="shared" si="15"/>
        <v>M: vest</v>
      </c>
      <c r="C2652" s="66">
        <v>2.0</v>
      </c>
      <c r="D2652" s="68">
        <v>46015.0</v>
      </c>
      <c r="E2652" s="66">
        <v>5.0</v>
      </c>
      <c r="F2652" s="66" t="s">
        <v>3610</v>
      </c>
      <c r="G2652" s="66" t="s">
        <v>247</v>
      </c>
    </row>
    <row r="2653" ht="22.5" customHeight="1">
      <c r="A2653" s="66" t="s">
        <v>1969</v>
      </c>
      <c r="B2653" s="67" t="str">
        <f t="shared" si="15"/>
        <v>M: vest</v>
      </c>
      <c r="C2653" s="66">
        <v>3.0</v>
      </c>
      <c r="D2653" s="68">
        <v>46015.0</v>
      </c>
      <c r="E2653" s="66">
        <v>6.0</v>
      </c>
      <c r="F2653" s="66" t="str">
        <f>IFERROR(__xludf.DUMMYFUNCTION("GOOGLETRANSLATE(A2653,""en"",""pt"")"),"colete")</f>
        <v>colete</v>
      </c>
      <c r="G2653" s="66" t="s">
        <v>247</v>
      </c>
    </row>
    <row r="2654" ht="22.5" customHeight="1">
      <c r="A2654" s="66" t="s">
        <v>953</v>
      </c>
      <c r="B2654" s="67" t="str">
        <f t="shared" si="15"/>
        <v>M: warehouse</v>
      </c>
      <c r="C2654" s="66">
        <v>2.0</v>
      </c>
      <c r="D2654" s="68">
        <v>46015.0</v>
      </c>
      <c r="E2654" s="66">
        <v>7.0</v>
      </c>
      <c r="F2654" s="71" t="s">
        <v>3611</v>
      </c>
      <c r="G2654" s="66" t="s">
        <v>247</v>
      </c>
    </row>
    <row r="2655" ht="22.5" customHeight="1">
      <c r="A2655" s="66" t="s">
        <v>2180</v>
      </c>
      <c r="B2655" s="67" t="str">
        <f t="shared" si="15"/>
        <v>M: enfolding</v>
      </c>
      <c r="C2655" s="66">
        <v>2.0</v>
      </c>
      <c r="D2655" s="68">
        <v>46015.0</v>
      </c>
      <c r="E2655" s="66">
        <v>8.0</v>
      </c>
      <c r="F2655" s="66" t="s">
        <v>3612</v>
      </c>
      <c r="G2655" s="66" t="s">
        <v>247</v>
      </c>
    </row>
    <row r="2656" ht="22.5" customHeight="1">
      <c r="A2656" s="66" t="s">
        <v>1900</v>
      </c>
      <c r="B2656" s="67" t="str">
        <f t="shared" si="15"/>
        <v>M: wounds</v>
      </c>
      <c r="C2656" s="66">
        <v>2.0</v>
      </c>
      <c r="D2656" s="68">
        <v>46015.0</v>
      </c>
      <c r="E2656" s="66">
        <v>9.0</v>
      </c>
      <c r="F2656" s="66" t="s">
        <v>3613</v>
      </c>
      <c r="G2656" s="66" t="s">
        <v>247</v>
      </c>
    </row>
    <row r="2657" ht="22.5" customHeight="1">
      <c r="A2657" s="66" t="s">
        <v>3019</v>
      </c>
      <c r="B2657" s="67" t="str">
        <f t="shared" si="15"/>
        <v>M: colon</v>
      </c>
      <c r="C2657" s="66">
        <v>2.0</v>
      </c>
      <c r="D2657" s="68">
        <v>46015.0</v>
      </c>
      <c r="E2657" s="66">
        <v>10.0</v>
      </c>
      <c r="F2657" s="66" t="s">
        <v>3614</v>
      </c>
      <c r="G2657" s="66" t="s">
        <v>247</v>
      </c>
    </row>
    <row r="2658" ht="22.5" customHeight="1">
      <c r="A2658" s="66" t="s">
        <v>2908</v>
      </c>
      <c r="B2658" s="67" t="str">
        <f t="shared" si="15"/>
        <v>M: pulls</v>
      </c>
      <c r="C2658" s="66">
        <v>2.0</v>
      </c>
      <c r="D2658" s="68">
        <v>46015.0</v>
      </c>
      <c r="E2658" s="66">
        <v>1.0</v>
      </c>
      <c r="F2658" s="66" t="s">
        <v>3615</v>
      </c>
      <c r="G2658" s="66" t="s">
        <v>247</v>
      </c>
    </row>
    <row r="2659" ht="22.5" customHeight="1">
      <c r="A2659" s="66" t="s">
        <v>2908</v>
      </c>
      <c r="B2659" s="67" t="str">
        <f t="shared" si="15"/>
        <v>M: pulls</v>
      </c>
      <c r="C2659" s="66">
        <v>3.0</v>
      </c>
      <c r="D2659" s="68">
        <v>46015.0</v>
      </c>
      <c r="E2659" s="66">
        <v>2.0</v>
      </c>
      <c r="F2659" s="66" t="s">
        <v>3616</v>
      </c>
      <c r="G2659" s="66" t="s">
        <v>247</v>
      </c>
    </row>
    <row r="2660" ht="22.5" customHeight="1">
      <c r="A2660" s="66" t="s">
        <v>2683</v>
      </c>
      <c r="B2660" s="67" t="str">
        <f t="shared" si="15"/>
        <v>M: principle</v>
      </c>
      <c r="C2660" s="68"/>
      <c r="D2660" s="68">
        <v>46015.0</v>
      </c>
      <c r="E2660" s="66">
        <v>3.0</v>
      </c>
      <c r="F2660" s="66" t="s">
        <v>3617</v>
      </c>
      <c r="G2660" s="66" t="s">
        <v>247</v>
      </c>
    </row>
    <row r="2661" ht="22.5" customHeight="1">
      <c r="A2661" s="66" t="s">
        <v>2643</v>
      </c>
      <c r="B2661" s="67" t="str">
        <f t="shared" si="15"/>
        <v>M: describes</v>
      </c>
      <c r="C2661" s="66">
        <v>2.0</v>
      </c>
      <c r="D2661" s="68">
        <v>46015.0</v>
      </c>
      <c r="E2661" s="66">
        <v>4.0</v>
      </c>
      <c r="F2661" s="66" t="s">
        <v>3618</v>
      </c>
      <c r="G2661" s="66" t="s">
        <v>247</v>
      </c>
    </row>
    <row r="2662" ht="22.5" customHeight="1">
      <c r="A2662" s="66" t="s">
        <v>1799</v>
      </c>
      <c r="B2662" s="67" t="str">
        <f t="shared" si="15"/>
        <v>M: interrupting</v>
      </c>
      <c r="C2662" s="66">
        <v>2.0</v>
      </c>
      <c r="D2662" s="68">
        <v>46016.0</v>
      </c>
      <c r="E2662" s="66">
        <v>5.0</v>
      </c>
      <c r="F2662" s="66" t="s">
        <v>3619</v>
      </c>
      <c r="G2662" s="66" t="s">
        <v>247</v>
      </c>
    </row>
    <row r="2663" ht="22.5" customHeight="1">
      <c r="A2663" s="66" t="s">
        <v>1820</v>
      </c>
      <c r="B2663" s="67" t="str">
        <f t="shared" si="15"/>
        <v>M: called</v>
      </c>
      <c r="C2663" s="66">
        <v>2.0</v>
      </c>
      <c r="D2663" s="68">
        <v>46016.0</v>
      </c>
      <c r="E2663" s="66">
        <v>6.0</v>
      </c>
      <c r="F2663" s="66" t="s">
        <v>3620</v>
      </c>
      <c r="G2663" s="66" t="s">
        <v>247</v>
      </c>
    </row>
    <row r="2664" ht="22.5" customHeight="1">
      <c r="A2664" s="66" t="s">
        <v>1820</v>
      </c>
      <c r="B2664" s="67" t="str">
        <f t="shared" si="15"/>
        <v>M: called</v>
      </c>
      <c r="C2664" s="66">
        <v>3.0</v>
      </c>
      <c r="D2664" s="68">
        <v>46016.0</v>
      </c>
      <c r="E2664" s="66">
        <v>7.0</v>
      </c>
      <c r="F2664" s="66" t="s">
        <v>3621</v>
      </c>
      <c r="G2664" s="66" t="s">
        <v>247</v>
      </c>
    </row>
    <row r="2665" ht="22.5" customHeight="1">
      <c r="A2665" s="66" t="s">
        <v>1468</v>
      </c>
      <c r="B2665" s="67" t="str">
        <f t="shared" si="15"/>
        <v>M: rely</v>
      </c>
      <c r="C2665" s="66">
        <v>2.0</v>
      </c>
      <c r="D2665" s="68">
        <v>46016.0</v>
      </c>
      <c r="E2665" s="66">
        <v>8.0</v>
      </c>
      <c r="F2665" s="66" t="str">
        <f>IFERROR(__xludf.DUMMYFUNCTION("GOOGLETRANSLATE(A2665,""en"",""pt"")"),"confiar")</f>
        <v>confiar</v>
      </c>
      <c r="G2665" s="66" t="s">
        <v>247</v>
      </c>
    </row>
    <row r="2666" ht="22.5" customHeight="1">
      <c r="A2666" s="66" t="s">
        <v>2893</v>
      </c>
      <c r="B2666" s="67" t="str">
        <f t="shared" si="15"/>
        <v>M: fueled</v>
      </c>
      <c r="C2666" s="66">
        <v>2.0</v>
      </c>
      <c r="D2666" s="68">
        <v>46016.0</v>
      </c>
      <c r="E2666" s="66">
        <v>9.0</v>
      </c>
      <c r="F2666" s="66" t="s">
        <v>3622</v>
      </c>
      <c r="G2666" s="66" t="s">
        <v>247</v>
      </c>
    </row>
    <row r="2667" ht="22.5" customHeight="1">
      <c r="A2667" s="66" t="s">
        <v>2534</v>
      </c>
      <c r="B2667" s="67" t="str">
        <f t="shared" si="15"/>
        <v>M: squares</v>
      </c>
      <c r="C2667" s="66">
        <v>2.0</v>
      </c>
      <c r="D2667" s="68">
        <v>46016.0</v>
      </c>
      <c r="E2667" s="66">
        <v>10.0</v>
      </c>
      <c r="F2667" s="66" t="s">
        <v>3623</v>
      </c>
      <c r="G2667" s="66" t="s">
        <v>247</v>
      </c>
    </row>
    <row r="2668" ht="22.5" customHeight="1">
      <c r="A2668" s="66" t="s">
        <v>2534</v>
      </c>
      <c r="B2668" s="67" t="str">
        <f t="shared" si="15"/>
        <v>M: squares</v>
      </c>
      <c r="C2668" s="66">
        <v>3.0</v>
      </c>
      <c r="D2668" s="68">
        <v>46016.0</v>
      </c>
      <c r="E2668" s="66">
        <v>1.0</v>
      </c>
      <c r="F2668" s="66" t="s">
        <v>3624</v>
      </c>
      <c r="G2668" s="66" t="s">
        <v>247</v>
      </c>
    </row>
    <row r="2669" ht="22.5" customHeight="1">
      <c r="A2669" s="66" t="s">
        <v>2966</v>
      </c>
      <c r="B2669" s="67" t="str">
        <f t="shared" si="15"/>
        <v>M: permits</v>
      </c>
      <c r="C2669" s="66">
        <v>2.0</v>
      </c>
      <c r="D2669" s="68">
        <v>46016.0</v>
      </c>
      <c r="E2669" s="66">
        <v>2.0</v>
      </c>
      <c r="F2669" s="66" t="s">
        <v>3625</v>
      </c>
      <c r="G2669" s="66" t="s">
        <v>247</v>
      </c>
    </row>
    <row r="2670" ht="22.5" customHeight="1">
      <c r="A2670" s="66" t="s">
        <v>2966</v>
      </c>
      <c r="B2670" s="67" t="str">
        <f t="shared" si="15"/>
        <v>M: permits</v>
      </c>
      <c r="C2670" s="66">
        <v>3.0</v>
      </c>
      <c r="D2670" s="68">
        <v>46016.0</v>
      </c>
      <c r="E2670" s="66">
        <v>3.0</v>
      </c>
      <c r="F2670" s="66" t="s">
        <v>3626</v>
      </c>
      <c r="G2670" s="66" t="s">
        <v>247</v>
      </c>
    </row>
    <row r="2671" ht="22.5" customHeight="1">
      <c r="A2671" s="66" t="s">
        <v>3627</v>
      </c>
      <c r="B2671" s="67" t="str">
        <f t="shared" si="15"/>
        <v>M: allows</v>
      </c>
      <c r="C2671" s="66">
        <v>1.0</v>
      </c>
      <c r="D2671" s="68">
        <v>46016.0</v>
      </c>
      <c r="E2671" s="66">
        <v>4.0</v>
      </c>
      <c r="F2671" s="66" t="s">
        <v>3628</v>
      </c>
      <c r="G2671" s="66" t="s">
        <v>247</v>
      </c>
    </row>
    <row r="2672" ht="22.5" customHeight="1">
      <c r="A2672" s="66" t="s">
        <v>3627</v>
      </c>
      <c r="B2672" s="67" t="str">
        <f t="shared" si="15"/>
        <v>M: allows</v>
      </c>
      <c r="C2672" s="66">
        <v>2.0</v>
      </c>
      <c r="D2672" s="68">
        <v>46017.0</v>
      </c>
      <c r="E2672" s="66">
        <v>5.0</v>
      </c>
      <c r="F2672" s="66" t="s">
        <v>3629</v>
      </c>
      <c r="G2672" s="66" t="s">
        <v>247</v>
      </c>
    </row>
    <row r="2673" ht="22.5" customHeight="1">
      <c r="A2673" s="66" t="s">
        <v>1717</v>
      </c>
      <c r="B2673" s="67" t="str">
        <f t="shared" si="15"/>
        <v>M: weigh</v>
      </c>
      <c r="C2673" s="66">
        <v>2.0</v>
      </c>
      <c r="D2673" s="68">
        <v>46017.0</v>
      </c>
      <c r="E2673" s="66">
        <v>6.0</v>
      </c>
      <c r="F2673" s="66" t="s">
        <v>3630</v>
      </c>
      <c r="G2673" s="66" t="s">
        <v>247</v>
      </c>
    </row>
    <row r="2674" ht="22.5" customHeight="1">
      <c r="A2674" s="66" t="s">
        <v>1717</v>
      </c>
      <c r="B2674" s="67" t="str">
        <f t="shared" si="15"/>
        <v>M: weigh</v>
      </c>
      <c r="C2674" s="66">
        <v>3.0</v>
      </c>
      <c r="D2674" s="68">
        <v>46017.0</v>
      </c>
      <c r="E2674" s="66">
        <v>7.0</v>
      </c>
      <c r="F2674" s="66" t="s">
        <v>3631</v>
      </c>
      <c r="G2674" s="66" t="s">
        <v>247</v>
      </c>
    </row>
    <row r="2675" ht="22.5" customHeight="1">
      <c r="A2675" s="66" t="s">
        <v>1758</v>
      </c>
      <c r="B2675" s="67" t="str">
        <f t="shared" si="15"/>
        <v>M: greedy</v>
      </c>
      <c r="C2675" s="66">
        <v>2.0</v>
      </c>
      <c r="D2675" s="68">
        <v>46017.0</v>
      </c>
      <c r="E2675" s="66">
        <v>8.0</v>
      </c>
      <c r="F2675" s="71" t="s">
        <v>3632</v>
      </c>
      <c r="G2675" s="66" t="s">
        <v>247</v>
      </c>
    </row>
    <row r="2676" ht="22.5" customHeight="1">
      <c r="A2676" s="66" t="s">
        <v>2635</v>
      </c>
      <c r="B2676" s="67" t="str">
        <f t="shared" si="15"/>
        <v>M: private</v>
      </c>
      <c r="C2676" s="66">
        <v>2.0</v>
      </c>
      <c r="D2676" s="68">
        <v>46017.0</v>
      </c>
      <c r="E2676" s="66">
        <v>9.0</v>
      </c>
      <c r="F2676" s="66" t="s">
        <v>3633</v>
      </c>
      <c r="G2676" s="66" t="s">
        <v>247</v>
      </c>
    </row>
    <row r="2677" ht="22.5" customHeight="1">
      <c r="A2677" s="66" t="s">
        <v>2635</v>
      </c>
      <c r="B2677" s="67" t="str">
        <f t="shared" si="15"/>
        <v>M: private</v>
      </c>
      <c r="C2677" s="66">
        <v>3.0</v>
      </c>
      <c r="D2677" s="68">
        <v>46017.0</v>
      </c>
      <c r="E2677" s="66">
        <v>10.0</v>
      </c>
      <c r="F2677" s="66" t="s">
        <v>3634</v>
      </c>
      <c r="G2677" s="66" t="s">
        <v>247</v>
      </c>
    </row>
    <row r="2678" ht="22.5" customHeight="1">
      <c r="A2678" s="66" t="s">
        <v>2496</v>
      </c>
      <c r="B2678" s="67" t="str">
        <f t="shared" si="15"/>
        <v>M: refresher</v>
      </c>
      <c r="C2678" s="66">
        <v>2.0</v>
      </c>
      <c r="D2678" s="68">
        <v>46017.0</v>
      </c>
      <c r="E2678" s="66">
        <v>1.0</v>
      </c>
      <c r="F2678" s="66" t="s">
        <v>3635</v>
      </c>
      <c r="G2678" s="66" t="s">
        <v>247</v>
      </c>
    </row>
    <row r="2679" ht="22.5" customHeight="1">
      <c r="A2679" s="66" t="s">
        <v>2548</v>
      </c>
      <c r="B2679" s="67" t="str">
        <f t="shared" si="15"/>
        <v>M: bundling</v>
      </c>
      <c r="C2679" s="66">
        <v>2.0</v>
      </c>
      <c r="D2679" s="68">
        <v>46017.0</v>
      </c>
      <c r="E2679" s="66">
        <v>2.0</v>
      </c>
      <c r="F2679" s="66" t="s">
        <v>3636</v>
      </c>
      <c r="G2679" s="66" t="s">
        <v>247</v>
      </c>
    </row>
    <row r="2680" ht="22.5" customHeight="1">
      <c r="A2680" s="66" t="s">
        <v>2942</v>
      </c>
      <c r="B2680" s="67" t="str">
        <f t="shared" si="15"/>
        <v>M: desktop</v>
      </c>
      <c r="C2680" s="66">
        <v>2.0</v>
      </c>
      <c r="D2680" s="68">
        <v>46017.0</v>
      </c>
      <c r="E2680" s="66">
        <v>3.0</v>
      </c>
      <c r="F2680" s="66" t="s">
        <v>3637</v>
      </c>
      <c r="G2680" s="66" t="s">
        <v>247</v>
      </c>
    </row>
    <row r="2681" ht="22.5" customHeight="1">
      <c r="A2681" s="66" t="s">
        <v>2059</v>
      </c>
      <c r="B2681" s="67" t="str">
        <f t="shared" si="15"/>
        <v>M: resigned</v>
      </c>
      <c r="C2681" s="66">
        <v>2.0</v>
      </c>
      <c r="D2681" s="68">
        <v>46017.0</v>
      </c>
      <c r="E2681" s="66">
        <v>4.0</v>
      </c>
      <c r="F2681" s="66" t="s">
        <v>3638</v>
      </c>
      <c r="G2681" s="66" t="s">
        <v>247</v>
      </c>
    </row>
    <row r="2682" ht="22.5" customHeight="1">
      <c r="A2682" s="66" t="s">
        <v>2059</v>
      </c>
      <c r="B2682" s="67" t="str">
        <f t="shared" si="15"/>
        <v>M: resigned</v>
      </c>
      <c r="C2682" s="66">
        <v>3.0</v>
      </c>
      <c r="D2682" s="68">
        <v>46018.0</v>
      </c>
      <c r="E2682" s="66">
        <v>5.0</v>
      </c>
      <c r="F2682" s="66" t="s">
        <v>3639</v>
      </c>
      <c r="G2682" s="66" t="s">
        <v>247</v>
      </c>
    </row>
    <row r="2683" ht="22.5" customHeight="1">
      <c r="A2683" s="66" t="s">
        <v>2649</v>
      </c>
      <c r="B2683" s="67" t="str">
        <f t="shared" si="15"/>
        <v>M: gallon</v>
      </c>
      <c r="C2683" s="66">
        <v>2.0</v>
      </c>
      <c r="D2683" s="68">
        <v>46018.0</v>
      </c>
      <c r="E2683" s="66">
        <v>6.0</v>
      </c>
      <c r="F2683" s="66" t="s">
        <v>3640</v>
      </c>
      <c r="G2683" s="66" t="s">
        <v>247</v>
      </c>
    </row>
    <row r="2684" ht="22.5" customHeight="1">
      <c r="A2684" s="66" t="s">
        <v>2881</v>
      </c>
      <c r="B2684" s="67" t="str">
        <f t="shared" si="15"/>
        <v>M: blight</v>
      </c>
      <c r="C2684" s="66">
        <v>2.0</v>
      </c>
      <c r="D2684" s="68">
        <v>46018.0</v>
      </c>
      <c r="E2684" s="66">
        <v>7.0</v>
      </c>
      <c r="F2684" s="66" t="s">
        <v>3641</v>
      </c>
      <c r="G2684" s="66" t="s">
        <v>247</v>
      </c>
    </row>
    <row r="2685" ht="22.5" customHeight="1">
      <c r="A2685" s="66" t="s">
        <v>2603</v>
      </c>
      <c r="B2685" s="67" t="str">
        <f t="shared" si="15"/>
        <v>M: typically</v>
      </c>
      <c r="C2685" s="66">
        <v>2.0</v>
      </c>
      <c r="D2685" s="68">
        <v>46018.0</v>
      </c>
      <c r="E2685" s="66">
        <v>8.0</v>
      </c>
      <c r="F2685" s="66" t="s">
        <v>3642</v>
      </c>
      <c r="G2685" s="66" t="s">
        <v>247</v>
      </c>
    </row>
    <row r="2686" ht="22.5" customHeight="1">
      <c r="A2686" s="66" t="s">
        <v>2077</v>
      </c>
      <c r="B2686" s="67" t="str">
        <f t="shared" si="15"/>
        <v>M: indeed</v>
      </c>
      <c r="C2686" s="66">
        <v>2.0</v>
      </c>
      <c r="D2686" s="68">
        <v>46018.0</v>
      </c>
      <c r="E2686" s="66">
        <v>9.0</v>
      </c>
      <c r="F2686" s="66" t="s">
        <v>3643</v>
      </c>
      <c r="G2686" s="66" t="s">
        <v>247</v>
      </c>
    </row>
    <row r="2687" ht="22.5" customHeight="1">
      <c r="A2687" s="66" t="s">
        <v>2077</v>
      </c>
      <c r="B2687" s="67" t="str">
        <f t="shared" si="15"/>
        <v>M: indeed</v>
      </c>
      <c r="C2687" s="66">
        <v>3.0</v>
      </c>
      <c r="D2687" s="68">
        <v>46018.0</v>
      </c>
      <c r="E2687" s="66">
        <v>10.0</v>
      </c>
      <c r="F2687" s="66" t="s">
        <v>3644</v>
      </c>
      <c r="G2687" s="66" t="s">
        <v>247</v>
      </c>
    </row>
    <row r="2688" ht="22.5" customHeight="1">
      <c r="A2688" s="66" t="s">
        <v>2598</v>
      </c>
      <c r="B2688" s="67" t="str">
        <f t="shared" si="15"/>
        <v>M: chunks</v>
      </c>
      <c r="C2688" s="66">
        <v>2.0</v>
      </c>
      <c r="D2688" s="68">
        <v>46018.0</v>
      </c>
      <c r="E2688" s="66">
        <v>1.0</v>
      </c>
      <c r="F2688" s="66" t="str">
        <f>IFERROR(__xludf.DUMMYFUNCTION("GOOGLETRANSLATE(A2688,""en"",""pt"")"),"pedaços")</f>
        <v>pedaços</v>
      </c>
      <c r="G2688" s="66" t="s">
        <v>247</v>
      </c>
    </row>
    <row r="2689" ht="22.5" customHeight="1">
      <c r="A2689" s="66" t="s">
        <v>2928</v>
      </c>
      <c r="B2689" s="67" t="str">
        <f t="shared" si="15"/>
        <v>M: smooth</v>
      </c>
      <c r="C2689" s="66">
        <v>2.0</v>
      </c>
      <c r="D2689" s="68">
        <v>46018.0</v>
      </c>
      <c r="E2689" s="66">
        <v>2.0</v>
      </c>
      <c r="F2689" s="66" t="s">
        <v>3645</v>
      </c>
      <c r="G2689" s="66" t="s">
        <v>247</v>
      </c>
    </row>
    <row r="2690" ht="22.5" customHeight="1">
      <c r="A2690" s="66" t="s">
        <v>2928</v>
      </c>
      <c r="B2690" s="67" t="str">
        <f t="shared" si="15"/>
        <v>M: smooth</v>
      </c>
      <c r="C2690" s="66">
        <v>3.0</v>
      </c>
      <c r="D2690" s="68">
        <v>46018.0</v>
      </c>
      <c r="E2690" s="66">
        <v>3.0</v>
      </c>
      <c r="F2690" s="66" t="s">
        <v>3646</v>
      </c>
      <c r="G2690" s="66" t="s">
        <v>247</v>
      </c>
    </row>
    <row r="2691" ht="22.5" customHeight="1">
      <c r="A2691" s="66" t="s">
        <v>2443</v>
      </c>
      <c r="B2691" s="67" t="str">
        <f t="shared" si="15"/>
        <v>M: hand over</v>
      </c>
      <c r="C2691" s="66">
        <v>2.0</v>
      </c>
      <c r="D2691" s="68">
        <v>46018.0</v>
      </c>
      <c r="E2691" s="66">
        <v>4.0</v>
      </c>
      <c r="F2691" s="71" t="s">
        <v>3647</v>
      </c>
      <c r="G2691" s="66" t="s">
        <v>247</v>
      </c>
    </row>
    <row r="2692" ht="22.5" customHeight="1">
      <c r="A2692" s="66" t="s">
        <v>3112</v>
      </c>
      <c r="B2692" s="67" t="str">
        <f t="shared" si="15"/>
        <v>M: fractional</v>
      </c>
      <c r="C2692" s="66">
        <v>2.0</v>
      </c>
      <c r="D2692" s="68">
        <v>46019.0</v>
      </c>
      <c r="E2692" s="66">
        <v>5.0</v>
      </c>
      <c r="F2692" s="66" t="s">
        <v>3648</v>
      </c>
      <c r="G2692" s="66" t="s">
        <v>233</v>
      </c>
    </row>
    <row r="2693" ht="22.5" customHeight="1">
      <c r="A2693" s="66" t="s">
        <v>3110</v>
      </c>
      <c r="B2693" s="67" t="str">
        <f t="shared" si="15"/>
        <v>M: avoid</v>
      </c>
      <c r="C2693" s="66">
        <v>2.0</v>
      </c>
      <c r="D2693" s="68">
        <v>46019.0</v>
      </c>
      <c r="E2693" s="66">
        <v>6.0</v>
      </c>
      <c r="F2693" s="66" t="s">
        <v>3649</v>
      </c>
      <c r="G2693" s="66" t="s">
        <v>247</v>
      </c>
    </row>
    <row r="2694" ht="22.5" customHeight="1">
      <c r="A2694" s="66" t="s">
        <v>3104</v>
      </c>
      <c r="B2694" s="67" t="str">
        <f t="shared" si="15"/>
        <v>M: maintainable</v>
      </c>
      <c r="C2694" s="66">
        <v>2.0</v>
      </c>
      <c r="D2694" s="68">
        <v>46019.0</v>
      </c>
      <c r="E2694" s="66">
        <v>7.0</v>
      </c>
      <c r="F2694" s="66" t="s">
        <v>3650</v>
      </c>
      <c r="G2694" s="66" t="s">
        <v>247</v>
      </c>
    </row>
    <row r="2695" ht="22.5" customHeight="1">
      <c r="A2695" s="66" t="s">
        <v>3100</v>
      </c>
      <c r="B2695" s="67" t="str">
        <f t="shared" si="15"/>
        <v>M: shorter</v>
      </c>
      <c r="C2695" s="66">
        <v>2.0</v>
      </c>
      <c r="D2695" s="68">
        <v>46019.0</v>
      </c>
      <c r="E2695" s="66">
        <v>8.0</v>
      </c>
      <c r="F2695" s="66" t="s">
        <v>3651</v>
      </c>
      <c r="G2695" s="66" t="s">
        <v>247</v>
      </c>
    </row>
    <row r="2696" ht="22.5" customHeight="1">
      <c r="A2696" s="66" t="s">
        <v>3098</v>
      </c>
      <c r="B2696" s="67" t="str">
        <f t="shared" si="15"/>
        <v>M: input</v>
      </c>
      <c r="C2696" s="66">
        <v>2.0</v>
      </c>
      <c r="D2696" s="68">
        <v>46019.0</v>
      </c>
      <c r="E2696" s="66">
        <v>9.0</v>
      </c>
      <c r="F2696" s="66" t="s">
        <v>3652</v>
      </c>
      <c r="G2696" s="66" t="s">
        <v>247</v>
      </c>
    </row>
    <row r="2697" ht="22.5" customHeight="1">
      <c r="A2697" s="66" t="s">
        <v>3096</v>
      </c>
      <c r="B2697" s="67" t="str">
        <f t="shared" si="15"/>
        <v>M: output</v>
      </c>
      <c r="C2697" s="66">
        <v>2.0</v>
      </c>
      <c r="D2697" s="68">
        <v>46019.0</v>
      </c>
      <c r="E2697" s="66">
        <v>10.0</v>
      </c>
      <c r="F2697" s="66" t="s">
        <v>3653</v>
      </c>
      <c r="G2697" s="66" t="s">
        <v>247</v>
      </c>
    </row>
    <row r="2698" ht="22.5" customHeight="1">
      <c r="A2698" s="66" t="s">
        <v>3094</v>
      </c>
      <c r="B2698" s="67" t="str">
        <f t="shared" si="15"/>
        <v>M: mixing</v>
      </c>
      <c r="C2698" s="66">
        <v>2.0</v>
      </c>
      <c r="D2698" s="68">
        <v>46019.0</v>
      </c>
      <c r="E2698" s="66">
        <v>1.0</v>
      </c>
      <c r="F2698" s="66" t="s">
        <v>3654</v>
      </c>
      <c r="G2698" s="66" t="s">
        <v>247</v>
      </c>
    </row>
    <row r="2699" ht="22.5" customHeight="1">
      <c r="A2699" s="66" t="s">
        <v>3090</v>
      </c>
      <c r="B2699" s="67" t="str">
        <f t="shared" si="15"/>
        <v>M: constant</v>
      </c>
      <c r="C2699" s="66">
        <v>2.0</v>
      </c>
      <c r="D2699" s="68">
        <v>46019.0</v>
      </c>
      <c r="E2699" s="66">
        <v>2.0</v>
      </c>
      <c r="F2699" s="71" t="s">
        <v>3655</v>
      </c>
      <c r="G2699" s="66" t="s">
        <v>247</v>
      </c>
    </row>
    <row r="2700" ht="22.5" customHeight="1">
      <c r="A2700" s="66" t="s">
        <v>3090</v>
      </c>
      <c r="B2700" s="67" t="str">
        <f t="shared" si="15"/>
        <v>M: constant</v>
      </c>
      <c r="C2700" s="66">
        <v>3.0</v>
      </c>
      <c r="D2700" s="68">
        <v>46019.0</v>
      </c>
      <c r="E2700" s="66">
        <v>3.0</v>
      </c>
      <c r="F2700" s="66" t="s">
        <v>3656</v>
      </c>
      <c r="G2700" s="66" t="s">
        <v>247</v>
      </c>
    </row>
    <row r="2701" ht="22.5" customHeight="1">
      <c r="A2701" s="66" t="s">
        <v>3088</v>
      </c>
      <c r="B2701" s="67" t="str">
        <f t="shared" si="15"/>
        <v>M: keyword</v>
      </c>
      <c r="C2701" s="66">
        <v>2.0</v>
      </c>
      <c r="D2701" s="68">
        <v>46019.0</v>
      </c>
      <c r="E2701" s="66">
        <v>4.0</v>
      </c>
      <c r="F2701" s="71" t="s">
        <v>3657</v>
      </c>
      <c r="G2701" s="66" t="s">
        <v>247</v>
      </c>
    </row>
    <row r="2702" ht="22.5" customHeight="1">
      <c r="A2702" s="66" t="s">
        <v>3086</v>
      </c>
      <c r="B2702" s="67" t="str">
        <f t="shared" si="15"/>
        <v>M: previous</v>
      </c>
      <c r="C2702" s="66">
        <v>2.0</v>
      </c>
      <c r="D2702" s="68">
        <v>46020.0</v>
      </c>
      <c r="E2702" s="66">
        <v>5.0</v>
      </c>
      <c r="F2702" s="66" t="s">
        <v>3658</v>
      </c>
      <c r="G2702" s="66" t="s">
        <v>247</v>
      </c>
    </row>
    <row r="2703" ht="22.5" customHeight="1">
      <c r="A2703" s="66" t="s">
        <v>3084</v>
      </c>
      <c r="B2703" s="67" t="str">
        <f t="shared" si="15"/>
        <v>M: overwrite</v>
      </c>
      <c r="C2703" s="66">
        <v>2.0</v>
      </c>
      <c r="D2703" s="68">
        <v>46020.0</v>
      </c>
      <c r="E2703" s="66">
        <v>6.0</v>
      </c>
      <c r="F2703" s="71" t="s">
        <v>3659</v>
      </c>
      <c r="G2703" s="66" t="s">
        <v>247</v>
      </c>
    </row>
    <row r="2704" ht="22.5" customHeight="1">
      <c r="A2704" s="66" t="s">
        <v>3082</v>
      </c>
      <c r="B2704" s="67" t="str">
        <f t="shared" si="15"/>
        <v>M: assign</v>
      </c>
      <c r="C2704" s="66">
        <v>2.0</v>
      </c>
      <c r="D2704" s="68">
        <v>46020.0</v>
      </c>
      <c r="E2704" s="66">
        <v>7.0</v>
      </c>
      <c r="F2704" s="71" t="s">
        <v>3660</v>
      </c>
      <c r="G2704" s="66" t="s">
        <v>247</v>
      </c>
    </row>
    <row r="2705" ht="22.5" customHeight="1">
      <c r="A2705" s="66" t="s">
        <v>3082</v>
      </c>
      <c r="B2705" s="67" t="str">
        <f t="shared" si="15"/>
        <v>M: assign</v>
      </c>
      <c r="C2705" s="66">
        <v>3.0</v>
      </c>
      <c r="D2705" s="68">
        <v>46020.0</v>
      </c>
      <c r="E2705" s="66">
        <v>8.0</v>
      </c>
      <c r="F2705" s="66" t="s">
        <v>3661</v>
      </c>
      <c r="G2705" s="66" t="s">
        <v>247</v>
      </c>
    </row>
    <row r="2706" ht="22.5" customHeight="1">
      <c r="A2706" s="66" t="s">
        <v>3078</v>
      </c>
      <c r="B2706" s="67" t="str">
        <f t="shared" si="15"/>
        <v>M: choose</v>
      </c>
      <c r="C2706" s="66">
        <v>2.0</v>
      </c>
      <c r="D2706" s="68">
        <v>46020.0</v>
      </c>
      <c r="E2706" s="66">
        <v>9.0</v>
      </c>
      <c r="F2706" s="71" t="s">
        <v>3662</v>
      </c>
      <c r="G2706" s="66" t="s">
        <v>247</v>
      </c>
    </row>
    <row r="2707" ht="22.5" customHeight="1">
      <c r="A2707" s="66" t="s">
        <v>3078</v>
      </c>
      <c r="B2707" s="67" t="str">
        <f t="shared" si="15"/>
        <v>M: choose</v>
      </c>
      <c r="C2707" s="66">
        <v>3.0</v>
      </c>
      <c r="D2707" s="68">
        <v>46020.0</v>
      </c>
      <c r="E2707" s="66">
        <v>10.0</v>
      </c>
      <c r="F2707" s="66" t="s">
        <v>3663</v>
      </c>
      <c r="G2707" s="66" t="s">
        <v>247</v>
      </c>
    </row>
    <row r="2708" ht="22.5" customHeight="1">
      <c r="A2708" s="66" t="s">
        <v>3076</v>
      </c>
      <c r="B2708" s="67" t="str">
        <f t="shared" si="15"/>
        <v>M: declaring</v>
      </c>
      <c r="C2708" s="66">
        <v>2.0</v>
      </c>
      <c r="D2708" s="68">
        <v>46020.0</v>
      </c>
      <c r="E2708" s="66">
        <v>1.0</v>
      </c>
      <c r="F2708" s="71" t="s">
        <v>3664</v>
      </c>
      <c r="G2708" s="66" t="s">
        <v>247</v>
      </c>
    </row>
    <row r="2709" ht="22.5" customHeight="1">
      <c r="A2709" s="66" t="s">
        <v>3076</v>
      </c>
      <c r="B2709" s="67" t="str">
        <f t="shared" si="15"/>
        <v>M: declaring</v>
      </c>
      <c r="C2709" s="66">
        <v>3.0</v>
      </c>
      <c r="D2709" s="68">
        <v>46020.0</v>
      </c>
      <c r="E2709" s="66">
        <v>2.0</v>
      </c>
      <c r="F2709" s="71" t="s">
        <v>3665</v>
      </c>
      <c r="G2709" s="66" t="s">
        <v>247</v>
      </c>
    </row>
    <row r="2710" ht="22.5" customHeight="1">
      <c r="A2710" s="66" t="s">
        <v>3072</v>
      </c>
      <c r="B2710" s="67" t="str">
        <f t="shared" si="15"/>
        <v>M: such as</v>
      </c>
      <c r="C2710" s="66">
        <v>2.0</v>
      </c>
      <c r="D2710" s="68">
        <v>46020.0</v>
      </c>
      <c r="E2710" s="66">
        <v>3.0</v>
      </c>
      <c r="F2710" s="66" t="s">
        <v>3666</v>
      </c>
      <c r="G2710" s="66" t="s">
        <v>247</v>
      </c>
    </row>
    <row r="2711" ht="22.5" customHeight="1">
      <c r="A2711" s="66" t="s">
        <v>3070</v>
      </c>
      <c r="B2711" s="67" t="str">
        <f t="shared" si="15"/>
        <v>M: decimals</v>
      </c>
      <c r="C2711" s="66">
        <v>2.0</v>
      </c>
      <c r="D2711" s="68">
        <v>46020.0</v>
      </c>
      <c r="E2711" s="66">
        <v>4.0</v>
      </c>
      <c r="F2711" s="71" t="s">
        <v>3667</v>
      </c>
      <c r="G2711" s="66" t="s">
        <v>247</v>
      </c>
    </row>
    <row r="2712" ht="22.5" customHeight="1">
      <c r="A2712" s="66" t="s">
        <v>3068</v>
      </c>
      <c r="B2712" s="67" t="str">
        <f t="shared" si="15"/>
        <v>M: characters</v>
      </c>
      <c r="C2712" s="66">
        <v>2.0</v>
      </c>
      <c r="D2712" s="68">
        <v>46021.0</v>
      </c>
      <c r="E2712" s="66">
        <v>5.0</v>
      </c>
      <c r="F2712" s="66" t="s">
        <v>3668</v>
      </c>
      <c r="G2712" s="66" t="s">
        <v>247</v>
      </c>
    </row>
    <row r="2713" ht="22.5" customHeight="1">
      <c r="A2713" s="66" t="s">
        <v>3068</v>
      </c>
      <c r="B2713" s="67" t="str">
        <f t="shared" si="15"/>
        <v>M: characters</v>
      </c>
      <c r="C2713" s="66">
        <v>3.0</v>
      </c>
      <c r="D2713" s="68">
        <v>46021.0</v>
      </c>
      <c r="E2713" s="66">
        <v>6.0</v>
      </c>
      <c r="F2713" s="66" t="s">
        <v>3669</v>
      </c>
      <c r="G2713" s="66" t="s">
        <v>247</v>
      </c>
    </row>
    <row r="2714" ht="22.5" customHeight="1">
      <c r="A2714" s="66" t="s">
        <v>3066</v>
      </c>
      <c r="B2714" s="67" t="str">
        <f t="shared" si="15"/>
        <v>M: floating</v>
      </c>
      <c r="C2714" s="66">
        <v>2.0</v>
      </c>
      <c r="D2714" s="68">
        <v>46021.0</v>
      </c>
      <c r="E2714" s="66">
        <v>7.0</v>
      </c>
      <c r="F2714" s="66" t="s">
        <v>3670</v>
      </c>
      <c r="G2714" s="66" t="s">
        <v>247</v>
      </c>
    </row>
    <row r="2715" ht="22.5" customHeight="1">
      <c r="A2715" s="66" t="s">
        <v>3066</v>
      </c>
      <c r="B2715" s="67" t="str">
        <f t="shared" si="15"/>
        <v>M: floating</v>
      </c>
      <c r="C2715" s="66">
        <v>3.0</v>
      </c>
      <c r="D2715" s="68">
        <v>46021.0</v>
      </c>
      <c r="E2715" s="66">
        <v>8.0</v>
      </c>
      <c r="F2715" s="66" t="s">
        <v>3671</v>
      </c>
      <c r="G2715" s="66" t="s">
        <v>247</v>
      </c>
    </row>
    <row r="2716" ht="22.5" customHeight="1">
      <c r="A2716" s="66" t="s">
        <v>3062</v>
      </c>
      <c r="B2716" s="67" t="str">
        <f t="shared" si="15"/>
        <v>M: stores</v>
      </c>
      <c r="C2716" s="66">
        <v>2.0</v>
      </c>
      <c r="D2716" s="68">
        <v>46021.0</v>
      </c>
      <c r="E2716" s="66">
        <v>9.0</v>
      </c>
      <c r="F2716" s="71" t="s">
        <v>3672</v>
      </c>
      <c r="G2716" s="66" t="s">
        <v>247</v>
      </c>
    </row>
    <row r="2717" ht="22.5" customHeight="1">
      <c r="A2717" s="66" t="s">
        <v>3062</v>
      </c>
      <c r="B2717" s="67" t="str">
        <f t="shared" si="15"/>
        <v>M: stores</v>
      </c>
      <c r="C2717" s="66">
        <v>3.0</v>
      </c>
      <c r="D2717" s="68">
        <v>46021.0</v>
      </c>
      <c r="E2717" s="66">
        <v>10.0</v>
      </c>
      <c r="F2717" s="71" t="s">
        <v>3673</v>
      </c>
      <c r="G2717" s="66" t="s">
        <v>247</v>
      </c>
    </row>
    <row r="2718" ht="22.5" customHeight="1">
      <c r="A2718" s="66" t="s">
        <v>3060</v>
      </c>
      <c r="B2718" s="67" t="str">
        <f t="shared" si="15"/>
        <v>M: surrounded</v>
      </c>
      <c r="C2718" s="66">
        <v>2.0</v>
      </c>
      <c r="D2718" s="68">
        <v>46021.0</v>
      </c>
      <c r="E2718" s="66">
        <v>1.0</v>
      </c>
      <c r="F2718" s="66" t="s">
        <v>3674</v>
      </c>
      <c r="G2718" s="66" t="s">
        <v>247</v>
      </c>
    </row>
    <row r="2719" ht="22.5" customHeight="1">
      <c r="A2719" s="66" t="s">
        <v>3058</v>
      </c>
      <c r="B2719" s="67" t="str">
        <f t="shared" si="15"/>
        <v>M: types</v>
      </c>
      <c r="C2719" s="66">
        <v>2.0</v>
      </c>
      <c r="D2719" s="68">
        <v>46021.0</v>
      </c>
      <c r="E2719" s="66">
        <v>2.0</v>
      </c>
      <c r="F2719" s="66" t="s">
        <v>3675</v>
      </c>
      <c r="G2719" s="66" t="s">
        <v>247</v>
      </c>
    </row>
    <row r="2720" ht="22.5" customHeight="1">
      <c r="A2720" s="66" t="s">
        <v>3058</v>
      </c>
      <c r="B2720" s="67" t="str">
        <f t="shared" si="15"/>
        <v>M: types</v>
      </c>
      <c r="C2720" s="66">
        <v>3.0</v>
      </c>
      <c r="D2720" s="68">
        <v>46021.0</v>
      </c>
      <c r="E2720" s="66">
        <v>3.0</v>
      </c>
      <c r="F2720" s="71" t="s">
        <v>3676</v>
      </c>
      <c r="G2720" s="66" t="s">
        <v>247</v>
      </c>
    </row>
    <row r="2721" ht="22.5" customHeight="1">
      <c r="A2721" s="66" t="s">
        <v>3056</v>
      </c>
      <c r="B2721" s="67" t="str">
        <f t="shared" si="15"/>
        <v>M: storing</v>
      </c>
      <c r="C2721" s="66">
        <v>2.0</v>
      </c>
      <c r="D2721" s="68">
        <v>46021.0</v>
      </c>
      <c r="E2721" s="66">
        <v>4.0</v>
      </c>
      <c r="F2721" s="66" t="s">
        <v>3677</v>
      </c>
      <c r="G2721" s="66" t="s">
        <v>247</v>
      </c>
    </row>
    <row r="2722" ht="22.5" customHeight="1">
      <c r="A2722" s="66" t="s">
        <v>3050</v>
      </c>
      <c r="B2722" s="67" t="str">
        <f t="shared" si="15"/>
        <v>M: amazing</v>
      </c>
      <c r="C2722" s="66">
        <v>2.0</v>
      </c>
      <c r="D2722" s="68">
        <v>46022.0</v>
      </c>
      <c r="E2722" s="66">
        <v>5.0</v>
      </c>
      <c r="F2722" s="71" t="s">
        <v>3678</v>
      </c>
      <c r="G2722" s="66" t="s">
        <v>247</v>
      </c>
    </row>
    <row r="2723" ht="22.5" customHeight="1">
      <c r="A2723" s="66" t="s">
        <v>3048</v>
      </c>
      <c r="B2723" s="67" t="str">
        <f t="shared" si="15"/>
        <v>M: slashes</v>
      </c>
      <c r="C2723" s="66">
        <v>2.0</v>
      </c>
      <c r="D2723" s="68">
        <v>46022.0</v>
      </c>
      <c r="E2723" s="66">
        <v>6.0</v>
      </c>
      <c r="F2723" s="66" t="s">
        <v>3679</v>
      </c>
      <c r="G2723" s="66" t="s">
        <v>247</v>
      </c>
    </row>
    <row r="2724" ht="22.5" customHeight="1">
      <c r="A2724" s="66" t="s">
        <v>3048</v>
      </c>
      <c r="B2724" s="67" t="str">
        <f t="shared" si="15"/>
        <v>M: slashes</v>
      </c>
      <c r="C2724" s="66">
        <v>3.0</v>
      </c>
      <c r="D2724" s="68">
        <v>46022.0</v>
      </c>
      <c r="E2724" s="66">
        <v>7.0</v>
      </c>
      <c r="F2724" s="66" t="s">
        <v>3680</v>
      </c>
      <c r="G2724" s="66" t="s">
        <v>247</v>
      </c>
    </row>
    <row r="2725" ht="22.5" customHeight="1">
      <c r="A2725" s="66" t="s">
        <v>3046</v>
      </c>
      <c r="B2725" s="67" t="str">
        <f t="shared" si="15"/>
        <v>M: comments</v>
      </c>
      <c r="C2725" s="66">
        <v>2.0</v>
      </c>
      <c r="D2725" s="68">
        <v>46022.0</v>
      </c>
      <c r="E2725" s="66">
        <v>8.0</v>
      </c>
      <c r="F2725" s="71" t="s">
        <v>3681</v>
      </c>
      <c r="G2725" s="66" t="s">
        <v>247</v>
      </c>
    </row>
    <row r="2726" ht="22.5" customHeight="1">
      <c r="A2726" s="66" t="s">
        <v>3046</v>
      </c>
      <c r="B2726" s="67" t="str">
        <f t="shared" si="15"/>
        <v>M: comments</v>
      </c>
      <c r="C2726" s="66">
        <v>3.0</v>
      </c>
      <c r="D2726" s="68">
        <v>46022.0</v>
      </c>
      <c r="E2726" s="66">
        <v>9.0</v>
      </c>
      <c r="F2726" s="71" t="s">
        <v>3682</v>
      </c>
      <c r="G2726" s="66" t="s">
        <v>247</v>
      </c>
    </row>
    <row r="2727" ht="22.5" customHeight="1">
      <c r="A2727" s="66" t="s">
        <v>3044</v>
      </c>
      <c r="B2727" s="67" t="str">
        <f t="shared" si="15"/>
        <v>M: calculations</v>
      </c>
      <c r="C2727" s="66">
        <v>2.0</v>
      </c>
      <c r="D2727" s="68">
        <v>46022.0</v>
      </c>
      <c r="E2727" s="66">
        <v>10.0</v>
      </c>
      <c r="F2727" s="71" t="s">
        <v>3683</v>
      </c>
      <c r="G2727" s="66" t="s">
        <v>247</v>
      </c>
    </row>
    <row r="2728" ht="22.5" customHeight="1">
      <c r="A2728" s="66" t="s">
        <v>3040</v>
      </c>
      <c r="B2728" s="67" t="str">
        <f t="shared" si="15"/>
        <v>M: readability</v>
      </c>
      <c r="C2728" s="66">
        <v>2.0</v>
      </c>
      <c r="D2728" s="68">
        <v>46022.0</v>
      </c>
      <c r="E2728" s="66">
        <v>1.0</v>
      </c>
      <c r="F2728" s="71" t="s">
        <v>3684</v>
      </c>
      <c r="G2728" s="66" t="s">
        <v>247</v>
      </c>
    </row>
    <row r="2729" ht="22.5" customHeight="1">
      <c r="A2729" s="66" t="s">
        <v>3038</v>
      </c>
      <c r="B2729" s="67" t="str">
        <f t="shared" si="15"/>
        <v>M: insert</v>
      </c>
      <c r="C2729" s="66">
        <v>2.0</v>
      </c>
      <c r="D2729" s="68">
        <v>46022.0</v>
      </c>
      <c r="E2729" s="66">
        <v>2.0</v>
      </c>
      <c r="F2729" s="66" t="s">
        <v>3685</v>
      </c>
      <c r="G2729" s="66" t="s">
        <v>247</v>
      </c>
    </row>
    <row r="2730" ht="22.5" customHeight="1">
      <c r="A2730" s="66" t="s">
        <v>3038</v>
      </c>
      <c r="B2730" s="67" t="str">
        <f t="shared" si="15"/>
        <v>M: insert</v>
      </c>
      <c r="C2730" s="66">
        <v>3.0</v>
      </c>
      <c r="D2730" s="68">
        <v>46022.0</v>
      </c>
      <c r="E2730" s="66">
        <v>3.0</v>
      </c>
      <c r="F2730" s="71" t="s">
        <v>3686</v>
      </c>
      <c r="G2730" s="66" t="s">
        <v>247</v>
      </c>
    </row>
    <row r="2731" ht="22.5" customHeight="1">
      <c r="A2731" s="66" t="s">
        <v>3035</v>
      </c>
      <c r="B2731" s="67" t="str">
        <f t="shared" si="15"/>
        <v>M: wrapped</v>
      </c>
      <c r="C2731" s="66">
        <v>2.0</v>
      </c>
      <c r="D2731" s="68">
        <v>46022.0</v>
      </c>
      <c r="E2731" s="66">
        <v>4.0</v>
      </c>
      <c r="F2731" s="71" t="s">
        <v>3687</v>
      </c>
      <c r="G2731" s="66" t="s">
        <v>247</v>
      </c>
    </row>
    <row r="2732" ht="22.5" customHeight="1">
      <c r="A2732" s="66" t="s">
        <v>3035</v>
      </c>
      <c r="B2732" s="67" t="str">
        <f t="shared" si="15"/>
        <v>M: wrapped</v>
      </c>
      <c r="C2732" s="66">
        <v>3.0</v>
      </c>
      <c r="D2732" s="68">
        <v>46023.0</v>
      </c>
      <c r="E2732" s="66">
        <v>5.0</v>
      </c>
      <c r="F2732" s="66" t="s">
        <v>3688</v>
      </c>
      <c r="G2732" s="66" t="s">
        <v>247</v>
      </c>
    </row>
    <row r="2733" ht="22.5" customHeight="1">
      <c r="A2733" s="66" t="s">
        <v>3033</v>
      </c>
      <c r="B2733" s="67" t="str">
        <f t="shared" si="15"/>
        <v>M: quotes</v>
      </c>
      <c r="C2733" s="66">
        <v>2.0</v>
      </c>
      <c r="D2733" s="68">
        <v>46023.0</v>
      </c>
      <c r="E2733" s="66">
        <v>6.0</v>
      </c>
      <c r="F2733" s="71" t="s">
        <v>3687</v>
      </c>
      <c r="G2733" s="66" t="s">
        <v>247</v>
      </c>
    </row>
    <row r="2734" ht="22.5" customHeight="1">
      <c r="A2734" s="66" t="s">
        <v>3033</v>
      </c>
      <c r="B2734" s="67" t="str">
        <f t="shared" si="15"/>
        <v>M: quotes</v>
      </c>
      <c r="C2734" s="66">
        <v>3.0</v>
      </c>
      <c r="D2734" s="68">
        <v>46023.0</v>
      </c>
      <c r="E2734" s="66">
        <v>7.0</v>
      </c>
      <c r="F2734" s="66" t="s">
        <v>3688</v>
      </c>
      <c r="G2734" s="66" t="s">
        <v>247</v>
      </c>
    </row>
    <row r="2735" ht="22.5" customHeight="1">
      <c r="A2735" s="66" t="s">
        <v>3023</v>
      </c>
      <c r="B2735" s="67" t="str">
        <f t="shared" si="15"/>
        <v>M: compiler</v>
      </c>
      <c r="C2735" s="66">
        <v>2.0</v>
      </c>
      <c r="D2735" s="68">
        <v>46023.0</v>
      </c>
      <c r="E2735" s="66">
        <v>8.0</v>
      </c>
      <c r="F2735" s="71" t="s">
        <v>3689</v>
      </c>
      <c r="G2735" s="66" t="s">
        <v>247</v>
      </c>
    </row>
    <row r="2736" ht="22.5" customHeight="1">
      <c r="A2736" s="66" t="s">
        <v>3021</v>
      </c>
      <c r="B2736" s="67" t="str">
        <f t="shared" si="15"/>
        <v>M: syntax</v>
      </c>
      <c r="C2736" s="66">
        <v>2.0</v>
      </c>
      <c r="D2736" s="68">
        <v>46023.0</v>
      </c>
      <c r="E2736" s="66">
        <v>9.0</v>
      </c>
      <c r="F2736" s="66" t="s">
        <v>3690</v>
      </c>
      <c r="G2736" s="66" t="s">
        <v>247</v>
      </c>
    </row>
    <row r="2737" ht="22.5" customHeight="1">
      <c r="A2737" s="66" t="s">
        <v>3017</v>
      </c>
      <c r="B2737" s="67" t="str">
        <f t="shared" si="15"/>
        <v>M: semicolon</v>
      </c>
      <c r="C2737" s="66">
        <v>2.0</v>
      </c>
      <c r="D2737" s="68">
        <v>46023.0</v>
      </c>
      <c r="E2737" s="66">
        <v>10.0</v>
      </c>
      <c r="F2737" s="71" t="s">
        <v>3691</v>
      </c>
      <c r="G2737" s="66" t="s">
        <v>247</v>
      </c>
    </row>
    <row r="2738" ht="22.5" customHeight="1">
      <c r="A2738" s="66" t="s">
        <v>3692</v>
      </c>
      <c r="B2738" s="67" t="str">
        <f t="shared" si="15"/>
        <v>M: Starting point</v>
      </c>
      <c r="C2738" s="66">
        <v>1.0</v>
      </c>
      <c r="D2738" s="68">
        <v>46023.0</v>
      </c>
      <c r="E2738" s="66">
        <v>1.0</v>
      </c>
      <c r="F2738" s="66" t="s">
        <v>3693</v>
      </c>
      <c r="G2738" s="69"/>
    </row>
    <row r="2739" ht="22.5" customHeight="1">
      <c r="A2739" s="70" t="s">
        <v>3692</v>
      </c>
      <c r="B2739" s="67" t="str">
        <f t="shared" si="15"/>
        <v>M: Starting point</v>
      </c>
      <c r="C2739" s="66">
        <v>2.0</v>
      </c>
      <c r="D2739" s="68">
        <v>46023.0</v>
      </c>
      <c r="E2739" s="66">
        <v>2.0</v>
      </c>
      <c r="F2739" s="71" t="s">
        <v>3694</v>
      </c>
      <c r="G2739" s="69"/>
    </row>
    <row r="2740" ht="22.5" customHeight="1">
      <c r="A2740" s="66" t="s">
        <v>3004</v>
      </c>
      <c r="B2740" s="67" t="str">
        <f t="shared" si="15"/>
        <v>M: sensitive</v>
      </c>
      <c r="C2740" s="66">
        <v>2.0</v>
      </c>
      <c r="D2740" s="68">
        <v>46023.0</v>
      </c>
      <c r="E2740" s="66">
        <v>3.0</v>
      </c>
      <c r="F2740" s="66" t="s">
        <v>3695</v>
      </c>
      <c r="G2740" s="66" t="s">
        <v>247</v>
      </c>
    </row>
    <row r="2741" ht="22.5" customHeight="1">
      <c r="A2741" s="66" t="s">
        <v>3004</v>
      </c>
      <c r="B2741" s="67" t="str">
        <f t="shared" si="15"/>
        <v>M: sensitive</v>
      </c>
      <c r="C2741" s="66">
        <v>3.0</v>
      </c>
      <c r="D2741" s="68">
        <v>46023.0</v>
      </c>
      <c r="E2741" s="66">
        <v>4.0</v>
      </c>
      <c r="F2741" s="71" t="s">
        <v>3696</v>
      </c>
      <c r="G2741" s="66" t="s">
        <v>247</v>
      </c>
    </row>
    <row r="2742" ht="22.5" customHeight="1">
      <c r="A2742" s="66" t="s">
        <v>3002</v>
      </c>
      <c r="B2742" s="67" t="str">
        <f t="shared" si="15"/>
        <v>M: main</v>
      </c>
      <c r="C2742" s="66">
        <v>2.0</v>
      </c>
      <c r="D2742" s="68">
        <v>46024.0</v>
      </c>
      <c r="E2742" s="66">
        <v>5.0</v>
      </c>
      <c r="F2742" s="71" t="s">
        <v>3697</v>
      </c>
      <c r="G2742" s="66" t="s">
        <v>247</v>
      </c>
    </row>
    <row r="2743" ht="22.5" customHeight="1">
      <c r="A2743" s="66" t="s">
        <v>2996</v>
      </c>
      <c r="B2743" s="67" t="str">
        <f t="shared" si="15"/>
        <v>M: letter</v>
      </c>
      <c r="C2743" s="66">
        <v>2.0</v>
      </c>
      <c r="D2743" s="68">
        <v>46024.0</v>
      </c>
      <c r="E2743" s="66">
        <v>6.0</v>
      </c>
      <c r="F2743" s="66" t="s">
        <v>3698</v>
      </c>
      <c r="G2743" s="66" t="s">
        <v>247</v>
      </c>
    </row>
    <row r="2744" ht="22.5" customHeight="1">
      <c r="A2744" s="66" t="s">
        <v>2996</v>
      </c>
      <c r="B2744" s="67" t="str">
        <f t="shared" si="15"/>
        <v>M: letter</v>
      </c>
      <c r="C2744" s="66">
        <v>3.0</v>
      </c>
      <c r="D2744" s="68">
        <v>46024.0</v>
      </c>
      <c r="E2744" s="66">
        <v>7.0</v>
      </c>
      <c r="F2744" s="71" t="s">
        <v>3699</v>
      </c>
      <c r="G2744" s="66" t="s">
        <v>247</v>
      </c>
    </row>
    <row r="2745" ht="22.5" customHeight="1">
      <c r="A2745" s="66" t="s">
        <v>3700</v>
      </c>
      <c r="B2745" s="67" t="str">
        <f t="shared" si="15"/>
        <v>M: capital</v>
      </c>
      <c r="C2745" s="66">
        <v>1.0</v>
      </c>
      <c r="D2745" s="68">
        <v>46024.0</v>
      </c>
      <c r="E2745" s="66">
        <v>8.0</v>
      </c>
      <c r="F2745" s="71" t="s">
        <v>3701</v>
      </c>
      <c r="G2745" s="66" t="s">
        <v>247</v>
      </c>
    </row>
    <row r="2746" ht="22.5" customHeight="1">
      <c r="A2746" s="66" t="s">
        <v>3700</v>
      </c>
      <c r="B2746" s="67" t="str">
        <f t="shared" si="15"/>
        <v>M: capital</v>
      </c>
      <c r="C2746" s="66">
        <v>2.0</v>
      </c>
      <c r="D2746" s="68">
        <v>46024.0</v>
      </c>
      <c r="E2746" s="66">
        <v>9.0</v>
      </c>
      <c r="F2746" s="71" t="s">
        <v>3702</v>
      </c>
      <c r="G2746" s="66" t="s">
        <v>247</v>
      </c>
    </row>
    <row r="2747" ht="22.5" customHeight="1">
      <c r="A2747" s="66" t="s">
        <v>3700</v>
      </c>
      <c r="B2747" s="67" t="str">
        <f t="shared" si="15"/>
        <v>M: capital</v>
      </c>
      <c r="C2747" s="66">
        <v>3.0</v>
      </c>
      <c r="D2747" s="68">
        <v>46024.0</v>
      </c>
      <c r="E2747" s="66">
        <v>10.0</v>
      </c>
      <c r="F2747" s="66" t="s">
        <v>3703</v>
      </c>
      <c r="G2747" s="66" t="s">
        <v>247</v>
      </c>
    </row>
    <row r="2748" ht="22.5" customHeight="1">
      <c r="A2748" s="66" t="s">
        <v>2994</v>
      </c>
      <c r="B2748" s="67" t="str">
        <f t="shared" si="15"/>
        <v>M: uppercase</v>
      </c>
      <c r="C2748" s="66">
        <v>2.0</v>
      </c>
      <c r="D2748" s="68">
        <v>46024.0</v>
      </c>
      <c r="E2748" s="66">
        <v>1.0</v>
      </c>
      <c r="F2748" s="66" t="s">
        <v>3704</v>
      </c>
      <c r="G2748" s="66" t="s">
        <v>247</v>
      </c>
    </row>
    <row r="2749" ht="22.5" customHeight="1">
      <c r="A2749" s="66" t="s">
        <v>2992</v>
      </c>
      <c r="B2749" s="67" t="str">
        <f t="shared" si="15"/>
        <v>M: collections</v>
      </c>
      <c r="C2749" s="66">
        <v>2.0</v>
      </c>
      <c r="D2749" s="68">
        <v>46024.0</v>
      </c>
      <c r="E2749" s="66">
        <v>2.0</v>
      </c>
      <c r="F2749" s="66" t="s">
        <v>3705</v>
      </c>
      <c r="G2749" s="66" t="s">
        <v>247</v>
      </c>
    </row>
    <row r="2750" ht="22.5" customHeight="1">
      <c r="A2750" s="66" t="s">
        <v>2990</v>
      </c>
      <c r="B2750" s="67" t="str">
        <f t="shared" si="15"/>
        <v>M: managing</v>
      </c>
      <c r="C2750" s="68"/>
      <c r="D2750" s="68">
        <v>46024.0</v>
      </c>
      <c r="E2750" s="66">
        <v>3.0</v>
      </c>
      <c r="F2750" s="71" t="s">
        <v>3706</v>
      </c>
      <c r="G2750" s="66" t="s">
        <v>247</v>
      </c>
    </row>
    <row r="2751" ht="22.5" customHeight="1">
      <c r="A2751" s="66" t="s">
        <v>2990</v>
      </c>
      <c r="B2751" s="67" t="str">
        <f t="shared" si="15"/>
        <v>M: managing</v>
      </c>
      <c r="C2751" s="68"/>
      <c r="D2751" s="68">
        <v>46024.0</v>
      </c>
      <c r="E2751" s="66">
        <v>4.0</v>
      </c>
      <c r="F2751" s="71" t="s">
        <v>3707</v>
      </c>
      <c r="G2751" s="66" t="s">
        <v>247</v>
      </c>
    </row>
    <row r="2752" ht="22.5" customHeight="1">
      <c r="A2752" s="66" t="s">
        <v>2988</v>
      </c>
      <c r="B2752" s="67" t="str">
        <f t="shared" si="15"/>
        <v>M: demonstrate</v>
      </c>
      <c r="C2752" s="66">
        <v>2.0</v>
      </c>
      <c r="D2752" s="68">
        <v>46025.0</v>
      </c>
      <c r="E2752" s="66">
        <v>5.0</v>
      </c>
      <c r="F2752" s="71" t="s">
        <v>3708</v>
      </c>
      <c r="G2752" s="66" t="s">
        <v>247</v>
      </c>
    </row>
    <row r="2753" ht="22.5" customHeight="1">
      <c r="A2753" s="66" t="s">
        <v>2988</v>
      </c>
      <c r="B2753" s="67" t="str">
        <f t="shared" si="15"/>
        <v>M: demonstrate</v>
      </c>
      <c r="C2753" s="66">
        <v>3.0</v>
      </c>
      <c r="D2753" s="68">
        <v>46025.0</v>
      </c>
      <c r="E2753" s="66">
        <v>6.0</v>
      </c>
      <c r="F2753" s="66" t="s">
        <v>3709</v>
      </c>
      <c r="G2753" s="66" t="s">
        <v>247</v>
      </c>
    </row>
    <row r="2754" ht="22.5" customHeight="1">
      <c r="A2754" s="66" t="s">
        <v>2986</v>
      </c>
      <c r="B2754" s="67" t="str">
        <f t="shared" si="15"/>
        <v>M: breeze</v>
      </c>
      <c r="C2754" s="66">
        <v>2.0</v>
      </c>
      <c r="D2754" s="68">
        <v>46025.0</v>
      </c>
      <c r="E2754" s="66">
        <v>7.0</v>
      </c>
      <c r="F2754" s="66" t="s">
        <v>3710</v>
      </c>
      <c r="G2754" s="66" t="s">
        <v>247</v>
      </c>
    </row>
    <row r="2755" ht="22.5" customHeight="1">
      <c r="A2755" s="66" t="s">
        <v>2986</v>
      </c>
      <c r="B2755" s="67" t="str">
        <f t="shared" si="15"/>
        <v>M: breeze</v>
      </c>
      <c r="C2755" s="66">
        <v>3.0</v>
      </c>
      <c r="D2755" s="68">
        <v>46025.0</v>
      </c>
      <c r="E2755" s="66">
        <v>8.0</v>
      </c>
      <c r="F2755" s="66" t="s">
        <v>3711</v>
      </c>
      <c r="G2755" s="66" t="s">
        <v>247</v>
      </c>
    </row>
    <row r="2756" ht="22.5" customHeight="1">
      <c r="A2756" s="66" t="s">
        <v>2970</v>
      </c>
      <c r="B2756" s="67" t="str">
        <f t="shared" si="15"/>
        <v>M: close to</v>
      </c>
      <c r="C2756" s="66">
        <v>2.0</v>
      </c>
      <c r="D2756" s="68">
        <v>46025.0</v>
      </c>
      <c r="E2756" s="66">
        <v>9.0</v>
      </c>
      <c r="F2756" s="66" t="s">
        <v>3712</v>
      </c>
      <c r="G2756" s="66" t="s">
        <v>247</v>
      </c>
    </row>
    <row r="2757" ht="22.5" customHeight="1">
      <c r="A2757" s="66" t="s">
        <v>2968</v>
      </c>
      <c r="B2757" s="67" t="str">
        <f t="shared" si="15"/>
        <v>M: by the end</v>
      </c>
      <c r="C2757" s="66">
        <v>2.0</v>
      </c>
      <c r="D2757" s="68">
        <v>46025.0</v>
      </c>
      <c r="E2757" s="66">
        <v>10.0</v>
      </c>
      <c r="F2757" s="66" t="s">
        <v>3713</v>
      </c>
      <c r="G2757" s="66" t="s">
        <v>247</v>
      </c>
    </row>
    <row r="2758" ht="22.5" customHeight="1">
      <c r="A2758" s="66" t="s">
        <v>2964</v>
      </c>
      <c r="B2758" s="67" t="str">
        <f t="shared" si="15"/>
        <v>M: tens</v>
      </c>
      <c r="C2758" s="66">
        <v>2.0</v>
      </c>
      <c r="D2758" s="68">
        <v>46025.0</v>
      </c>
      <c r="E2758" s="66">
        <v>1.0</v>
      </c>
      <c r="F2758" s="71" t="s">
        <v>3714</v>
      </c>
      <c r="G2758" s="66" t="s">
        <v>247</v>
      </c>
    </row>
    <row r="2759" ht="22.5" customHeight="1">
      <c r="A2759" s="66" t="s">
        <v>3715</v>
      </c>
      <c r="B2759" s="67" t="str">
        <f t="shared" si="15"/>
        <v>M: as change</v>
      </c>
      <c r="C2759" s="68"/>
      <c r="D2759" s="68">
        <v>46025.0</v>
      </c>
      <c r="E2759" s="66">
        <v>2.0</v>
      </c>
      <c r="F2759" s="66" t="s">
        <v>3716</v>
      </c>
      <c r="G2759" s="66" t="s">
        <v>247</v>
      </c>
    </row>
    <row r="2760" ht="22.5" customHeight="1">
      <c r="A2760" s="66" t="s">
        <v>2960</v>
      </c>
      <c r="B2760" s="67" t="str">
        <f t="shared" si="15"/>
        <v>M: job</v>
      </c>
      <c r="C2760" s="66">
        <v>2.0</v>
      </c>
      <c r="D2760" s="68">
        <v>46025.0</v>
      </c>
      <c r="E2760" s="66">
        <v>3.0</v>
      </c>
      <c r="F2760" s="71" t="s">
        <v>3717</v>
      </c>
      <c r="G2760" s="66" t="s">
        <v>247</v>
      </c>
    </row>
    <row r="2761" ht="22.5" customHeight="1">
      <c r="A2761" s="66" t="s">
        <v>2960</v>
      </c>
      <c r="B2761" s="67" t="str">
        <f t="shared" si="15"/>
        <v>M: job</v>
      </c>
      <c r="C2761" s="66">
        <v>3.0</v>
      </c>
      <c r="D2761" s="68">
        <v>46025.0</v>
      </c>
      <c r="E2761" s="66">
        <v>4.0</v>
      </c>
      <c r="F2761" s="71" t="s">
        <v>3718</v>
      </c>
      <c r="G2761" s="66" t="s">
        <v>247</v>
      </c>
    </row>
    <row r="2762" ht="22.5" customHeight="1">
      <c r="A2762" s="66" t="s">
        <v>2952</v>
      </c>
      <c r="B2762" s="67" t="str">
        <f t="shared" si="15"/>
        <v>M: concepts</v>
      </c>
      <c r="C2762" s="66">
        <v>2.0</v>
      </c>
      <c r="D2762" s="68">
        <v>46026.0</v>
      </c>
      <c r="E2762" s="66">
        <v>5.0</v>
      </c>
      <c r="F2762" s="66" t="s">
        <v>3719</v>
      </c>
      <c r="G2762" s="66" t="s">
        <v>247</v>
      </c>
    </row>
    <row r="2763" ht="22.5" customHeight="1">
      <c r="A2763" s="66" t="s">
        <v>2950</v>
      </c>
      <c r="B2763" s="67" t="str">
        <f t="shared" si="15"/>
        <v>M: oriented</v>
      </c>
      <c r="C2763" s="66">
        <v>2.0</v>
      </c>
      <c r="D2763" s="68">
        <v>46026.0</v>
      </c>
      <c r="E2763" s="66">
        <v>6.0</v>
      </c>
      <c r="F2763" s="71" t="s">
        <v>3720</v>
      </c>
      <c r="G2763" s="66" t="s">
        <v>247</v>
      </c>
    </row>
    <row r="2764" ht="22.5" customHeight="1">
      <c r="A2764" s="66" t="s">
        <v>2950</v>
      </c>
      <c r="B2764" s="67" t="str">
        <f t="shared" si="15"/>
        <v>M: oriented</v>
      </c>
      <c r="C2764" s="66">
        <v>3.0</v>
      </c>
      <c r="D2764" s="68">
        <v>46026.0</v>
      </c>
      <c r="E2764" s="66">
        <v>7.0</v>
      </c>
      <c r="F2764" s="71" t="s">
        <v>3721</v>
      </c>
      <c r="G2764" s="66" t="s">
        <v>247</v>
      </c>
    </row>
    <row r="2765" ht="22.5" customHeight="1">
      <c r="A2765" s="66" t="s">
        <v>2948</v>
      </c>
      <c r="B2765" s="67" t="str">
        <f t="shared" si="15"/>
        <v>M: each</v>
      </c>
      <c r="C2765" s="66">
        <v>2.0</v>
      </c>
      <c r="D2765" s="68">
        <v>46026.0</v>
      </c>
      <c r="E2765" s="66">
        <v>8.0</v>
      </c>
      <c r="F2765" s="71" t="s">
        <v>3722</v>
      </c>
      <c r="G2765" s="66" t="s">
        <v>247</v>
      </c>
    </row>
    <row r="2766" ht="22.5" customHeight="1">
      <c r="A2766" s="66" t="s">
        <v>2946</v>
      </c>
      <c r="B2766" s="67" t="str">
        <f t="shared" si="15"/>
        <v>M: listed</v>
      </c>
      <c r="C2766" s="66">
        <v>2.0</v>
      </c>
      <c r="D2766" s="68">
        <v>46026.0</v>
      </c>
      <c r="E2766" s="66">
        <v>9.0</v>
      </c>
      <c r="F2766" s="71" t="s">
        <v>3723</v>
      </c>
      <c r="G2766" s="66" t="s">
        <v>247</v>
      </c>
    </row>
    <row r="2767" ht="22.5" customHeight="1">
      <c r="A2767" s="66" t="s">
        <v>2944</v>
      </c>
      <c r="B2767" s="67" t="str">
        <f t="shared" si="15"/>
        <v>M: i just got</v>
      </c>
      <c r="C2767" s="66">
        <v>2.0</v>
      </c>
      <c r="D2767" s="68">
        <v>46026.0</v>
      </c>
      <c r="E2767" s="66">
        <v>10.0</v>
      </c>
      <c r="F2767" s="71" t="s">
        <v>3724</v>
      </c>
      <c r="G2767" s="66" t="s">
        <v>247</v>
      </c>
    </row>
    <row r="2768" ht="22.5" customHeight="1">
      <c r="A2768" s="66" t="s">
        <v>2940</v>
      </c>
      <c r="B2768" s="67" t="str">
        <f t="shared" si="15"/>
        <v>M: followed</v>
      </c>
      <c r="C2768" s="66">
        <v>2.0</v>
      </c>
      <c r="D2768" s="68">
        <v>46026.0</v>
      </c>
      <c r="E2768" s="66">
        <v>1.0</v>
      </c>
      <c r="F2768" s="66" t="s">
        <v>3725</v>
      </c>
      <c r="G2768" s="66" t="s">
        <v>247</v>
      </c>
    </row>
    <row r="2769" ht="22.5" customHeight="1">
      <c r="A2769" s="66" t="s">
        <v>2940</v>
      </c>
      <c r="B2769" s="67" t="str">
        <f t="shared" si="15"/>
        <v>M: followed</v>
      </c>
      <c r="C2769" s="66">
        <v>3.0</v>
      </c>
      <c r="D2769" s="68">
        <v>46026.0</v>
      </c>
      <c r="E2769" s="66">
        <v>2.0</v>
      </c>
      <c r="F2769" s="71" t="s">
        <v>3726</v>
      </c>
      <c r="G2769" s="66" t="s">
        <v>247</v>
      </c>
    </row>
    <row r="2770" ht="22.5" customHeight="1">
      <c r="A2770" s="66" t="s">
        <v>2938</v>
      </c>
      <c r="B2770" s="67" t="str">
        <f t="shared" si="15"/>
        <v>M: chapter</v>
      </c>
      <c r="C2770" s="66">
        <v>2.0</v>
      </c>
      <c r="D2770" s="68">
        <v>46026.0</v>
      </c>
      <c r="E2770" s="66">
        <v>3.0</v>
      </c>
      <c r="F2770" s="71" t="s">
        <v>3727</v>
      </c>
      <c r="G2770" s="66" t="s">
        <v>247</v>
      </c>
    </row>
    <row r="2771" ht="22.5" customHeight="1">
      <c r="A2771" s="66" t="s">
        <v>2936</v>
      </c>
      <c r="B2771" s="67" t="str">
        <f t="shared" si="15"/>
        <v>M: define</v>
      </c>
      <c r="C2771" s="66">
        <v>2.0</v>
      </c>
      <c r="D2771" s="68">
        <v>46026.0</v>
      </c>
      <c r="E2771" s="66">
        <v>4.0</v>
      </c>
      <c r="F2771" s="66" t="s">
        <v>3728</v>
      </c>
      <c r="G2771" s="66" t="s">
        <v>247</v>
      </c>
    </row>
    <row r="2772" ht="22.5" customHeight="1">
      <c r="A2772" s="66" t="s">
        <v>2936</v>
      </c>
      <c r="B2772" s="67" t="str">
        <f t="shared" si="15"/>
        <v>M: define</v>
      </c>
      <c r="C2772" s="66">
        <v>3.0</v>
      </c>
      <c r="D2772" s="68">
        <v>46027.0</v>
      </c>
      <c r="E2772" s="66">
        <v>5.0</v>
      </c>
      <c r="F2772" s="71" t="s">
        <v>3729</v>
      </c>
      <c r="G2772" s="66" t="s">
        <v>247</v>
      </c>
    </row>
    <row r="2773" ht="22.5" customHeight="1">
      <c r="A2773" s="66" t="s">
        <v>2934</v>
      </c>
      <c r="B2773" s="67" t="str">
        <f t="shared" si="15"/>
        <v>M: certain</v>
      </c>
      <c r="C2773" s="66">
        <v>2.0</v>
      </c>
      <c r="D2773" s="68">
        <v>46027.0</v>
      </c>
      <c r="E2773" s="66">
        <v>6.0</v>
      </c>
      <c r="F2773" s="71" t="s">
        <v>3730</v>
      </c>
      <c r="G2773" s="66" t="s">
        <v>247</v>
      </c>
    </row>
    <row r="2774" ht="22.5" customHeight="1">
      <c r="A2774" s="66" t="s">
        <v>2934</v>
      </c>
      <c r="B2774" s="67" t="str">
        <f t="shared" si="15"/>
        <v>M: certain</v>
      </c>
      <c r="C2774" s="66">
        <v>3.0</v>
      </c>
      <c r="D2774" s="68">
        <v>46027.0</v>
      </c>
      <c r="E2774" s="66">
        <v>7.0</v>
      </c>
      <c r="F2774" s="66" t="s">
        <v>3731</v>
      </c>
      <c r="G2774" s="66" t="s">
        <v>247</v>
      </c>
    </row>
    <row r="2775" ht="22.5" customHeight="1">
      <c r="A2775" s="66" t="s">
        <v>2932</v>
      </c>
      <c r="B2775" s="67" t="str">
        <f t="shared" si="15"/>
        <v>M: perform</v>
      </c>
      <c r="C2775" s="66">
        <v>2.0</v>
      </c>
      <c r="D2775" s="68">
        <v>46027.0</v>
      </c>
      <c r="E2775" s="66">
        <v>8.0</v>
      </c>
      <c r="F2775" s="66" t="s">
        <v>3732</v>
      </c>
      <c r="G2775" s="66" t="s">
        <v>247</v>
      </c>
    </row>
    <row r="2776" ht="22.5" customHeight="1">
      <c r="A2776" s="66" t="s">
        <v>2932</v>
      </c>
      <c r="B2776" s="67" t="str">
        <f t="shared" si="15"/>
        <v>M: perform</v>
      </c>
      <c r="C2776" s="66">
        <v>3.0</v>
      </c>
      <c r="D2776" s="68">
        <v>46027.0</v>
      </c>
      <c r="E2776" s="66">
        <v>9.0</v>
      </c>
      <c r="F2776" s="71" t="s">
        <v>3733</v>
      </c>
      <c r="G2776" s="66" t="s">
        <v>247</v>
      </c>
    </row>
    <row r="2777" ht="22.5" customHeight="1">
      <c r="A2777" s="66" t="s">
        <v>2930</v>
      </c>
      <c r="B2777" s="67" t="str">
        <f t="shared" si="15"/>
        <v>M: weather</v>
      </c>
      <c r="C2777" s="66">
        <v>2.0</v>
      </c>
      <c r="D2777" s="68">
        <v>46027.0</v>
      </c>
      <c r="E2777" s="66">
        <v>10.0</v>
      </c>
      <c r="F2777" s="66" t="s">
        <v>3734</v>
      </c>
      <c r="G2777" s="66" t="s">
        <v>247</v>
      </c>
    </row>
    <row r="2778" ht="22.5" customHeight="1">
      <c r="A2778" s="66" t="s">
        <v>3735</v>
      </c>
      <c r="B2778" s="67" t="str">
        <f t="shared" si="15"/>
        <v>M: weathered</v>
      </c>
      <c r="C2778" s="66">
        <v>1.0</v>
      </c>
      <c r="D2778" s="68">
        <v>46027.0</v>
      </c>
      <c r="E2778" s="66">
        <v>1.0</v>
      </c>
      <c r="F2778" s="71" t="s">
        <v>3736</v>
      </c>
      <c r="G2778" s="66" t="s">
        <v>247</v>
      </c>
    </row>
    <row r="2779" ht="22.5" customHeight="1">
      <c r="A2779" s="70" t="s">
        <v>3735</v>
      </c>
      <c r="B2779" s="67" t="str">
        <f t="shared" si="15"/>
        <v>M: weathered</v>
      </c>
      <c r="C2779" s="66">
        <v>2.0</v>
      </c>
      <c r="D2779" s="68">
        <v>46027.0</v>
      </c>
      <c r="E2779" s="66">
        <v>2.0</v>
      </c>
      <c r="F2779" s="71" t="s">
        <v>3737</v>
      </c>
      <c r="G2779" s="66" t="s">
        <v>247</v>
      </c>
    </row>
    <row r="2780" ht="22.5" customHeight="1">
      <c r="A2780" s="66" t="s">
        <v>2926</v>
      </c>
      <c r="B2780" s="67" t="str">
        <f t="shared" si="15"/>
        <v>M: glue</v>
      </c>
      <c r="C2780" s="66">
        <v>2.0</v>
      </c>
      <c r="D2780" s="68">
        <v>46027.0</v>
      </c>
      <c r="E2780" s="66">
        <v>3.0</v>
      </c>
      <c r="F2780" s="71" t="s">
        <v>3738</v>
      </c>
      <c r="G2780" s="66" t="s">
        <v>247</v>
      </c>
    </row>
    <row r="2781" ht="22.5" customHeight="1">
      <c r="A2781" s="66" t="s">
        <v>2922</v>
      </c>
      <c r="B2781" s="67" t="str">
        <f t="shared" si="15"/>
        <v>M: density</v>
      </c>
      <c r="C2781" s="68"/>
      <c r="D2781" s="68">
        <v>46027.0</v>
      </c>
      <c r="E2781" s="66">
        <v>4.0</v>
      </c>
      <c r="F2781" s="66" t="s">
        <v>3739</v>
      </c>
      <c r="G2781" s="66" t="s">
        <v>247</v>
      </c>
    </row>
    <row r="2782" ht="22.5" customHeight="1">
      <c r="A2782" s="66" t="s">
        <v>2920</v>
      </c>
      <c r="B2782" s="67" t="str">
        <f t="shared" si="15"/>
        <v>M: clutch</v>
      </c>
      <c r="C2782" s="66">
        <v>2.0</v>
      </c>
      <c r="D2782" s="68">
        <v>46028.0</v>
      </c>
      <c r="E2782" s="66">
        <v>5.0</v>
      </c>
      <c r="F2782" s="66" t="s">
        <v>3740</v>
      </c>
      <c r="G2782" s="66" t="s">
        <v>247</v>
      </c>
    </row>
    <row r="2783" ht="22.5" customHeight="1">
      <c r="A2783" s="66" t="s">
        <v>2920</v>
      </c>
      <c r="B2783" s="67" t="str">
        <f t="shared" si="15"/>
        <v>M: clutch</v>
      </c>
      <c r="C2783" s="66">
        <v>3.0</v>
      </c>
      <c r="D2783" s="68">
        <v>46028.0</v>
      </c>
      <c r="E2783" s="66">
        <v>6.0</v>
      </c>
      <c r="F2783" s="66" t="s">
        <v>3741</v>
      </c>
      <c r="G2783" s="66" t="s">
        <v>247</v>
      </c>
    </row>
    <row r="2784" ht="22.5" customHeight="1">
      <c r="A2784" s="66" t="s">
        <v>2916</v>
      </c>
      <c r="B2784" s="67" t="str">
        <f t="shared" si="15"/>
        <v>M: blessing</v>
      </c>
      <c r="C2784" s="66">
        <v>2.0</v>
      </c>
      <c r="D2784" s="68">
        <v>46028.0</v>
      </c>
      <c r="E2784" s="66">
        <v>7.0</v>
      </c>
      <c r="F2784" s="66" t="s">
        <v>3742</v>
      </c>
      <c r="G2784" s="66" t="s">
        <v>247</v>
      </c>
    </row>
    <row r="2785" ht="22.5" customHeight="1">
      <c r="A2785" s="66" t="s">
        <v>2916</v>
      </c>
      <c r="B2785" s="67" t="str">
        <f t="shared" si="15"/>
        <v>M: blessing</v>
      </c>
      <c r="C2785" s="66">
        <v>3.0</v>
      </c>
      <c r="D2785" s="68">
        <v>46028.0</v>
      </c>
      <c r="E2785" s="66">
        <v>8.0</v>
      </c>
      <c r="F2785" s="66" t="s">
        <v>3743</v>
      </c>
      <c r="G2785" s="66" t="s">
        <v>247</v>
      </c>
    </row>
    <row r="2786" ht="22.5" customHeight="1">
      <c r="A2786" s="66" t="s">
        <v>2910</v>
      </c>
      <c r="B2786" s="67" t="str">
        <f t="shared" si="15"/>
        <v>M: tightly</v>
      </c>
      <c r="C2786" s="66">
        <v>2.0</v>
      </c>
      <c r="D2786" s="68">
        <v>46028.0</v>
      </c>
      <c r="E2786" s="66">
        <v>9.0</v>
      </c>
      <c r="F2786" s="66" t="s">
        <v>3744</v>
      </c>
      <c r="G2786" s="66" t="s">
        <v>247</v>
      </c>
    </row>
    <row r="2787" ht="22.5" customHeight="1">
      <c r="A2787" s="66" t="s">
        <v>2005</v>
      </c>
      <c r="B2787" s="67" t="str">
        <f t="shared" si="15"/>
        <v>M: amassed</v>
      </c>
      <c r="C2787" s="66">
        <v>2.0</v>
      </c>
      <c r="D2787" s="68">
        <v>46028.0</v>
      </c>
      <c r="E2787" s="66">
        <v>10.0</v>
      </c>
      <c r="F2787" s="66" t="s">
        <v>3745</v>
      </c>
      <c r="G2787" s="66" t="s">
        <v>247</v>
      </c>
    </row>
    <row r="2788" ht="22.5" customHeight="1">
      <c r="A2788" s="66" t="s">
        <v>1215</v>
      </c>
      <c r="B2788" s="67" t="str">
        <f t="shared" si="15"/>
        <v>M: mouthing</v>
      </c>
      <c r="C2788" s="66">
        <v>2.0</v>
      </c>
      <c r="D2788" s="68">
        <v>46028.0</v>
      </c>
      <c r="E2788" s="66">
        <v>1.0</v>
      </c>
      <c r="F2788" s="66" t="s">
        <v>3746</v>
      </c>
      <c r="G2788" s="66" t="s">
        <v>247</v>
      </c>
    </row>
    <row r="2789" ht="22.5" customHeight="1">
      <c r="A2789" s="66" t="s">
        <v>2413</v>
      </c>
      <c r="B2789" s="67" t="str">
        <f t="shared" si="15"/>
        <v>M: triumph</v>
      </c>
      <c r="C2789" s="66">
        <v>2.0</v>
      </c>
      <c r="D2789" s="68">
        <v>46028.0</v>
      </c>
      <c r="E2789" s="66">
        <v>2.0</v>
      </c>
      <c r="F2789" s="71" t="s">
        <v>3747</v>
      </c>
      <c r="G2789" s="66" t="s">
        <v>247</v>
      </c>
    </row>
    <row r="2790" ht="22.5" customHeight="1">
      <c r="A2790" s="66" t="s">
        <v>1839</v>
      </c>
      <c r="B2790" s="67" t="str">
        <f t="shared" si="15"/>
        <v>M: inside</v>
      </c>
      <c r="C2790" s="66">
        <v>2.0</v>
      </c>
      <c r="D2790" s="68">
        <v>46028.0</v>
      </c>
      <c r="E2790" s="66">
        <v>3.0</v>
      </c>
      <c r="F2790" s="71" t="s">
        <v>3748</v>
      </c>
      <c r="G2790" s="66" t="s">
        <v>247</v>
      </c>
    </row>
    <row r="2791" ht="22.5" customHeight="1">
      <c r="A2791" s="66" t="s">
        <v>1839</v>
      </c>
      <c r="B2791" s="67" t="str">
        <f t="shared" si="15"/>
        <v>M: inside</v>
      </c>
      <c r="C2791" s="66">
        <v>3.0</v>
      </c>
      <c r="D2791" s="68">
        <v>46028.0</v>
      </c>
      <c r="E2791" s="66">
        <v>4.0</v>
      </c>
      <c r="F2791" s="66" t="s">
        <v>3749</v>
      </c>
      <c r="G2791" s="66" t="s">
        <v>247</v>
      </c>
    </row>
    <row r="2792" ht="22.5" customHeight="1">
      <c r="A2792" s="66" t="s">
        <v>2743</v>
      </c>
      <c r="B2792" s="67" t="str">
        <f t="shared" si="15"/>
        <v>M: let me</v>
      </c>
      <c r="C2792" s="66">
        <v>2.0</v>
      </c>
      <c r="D2792" s="68">
        <v>46029.0</v>
      </c>
      <c r="E2792" s="66">
        <v>5.0</v>
      </c>
      <c r="F2792" s="66" t="s">
        <v>3750</v>
      </c>
      <c r="G2792" s="66" t="s">
        <v>247</v>
      </c>
    </row>
    <row r="2793" ht="22.5" customHeight="1">
      <c r="A2793" s="66" t="s">
        <v>2002</v>
      </c>
      <c r="B2793" s="67" t="str">
        <f t="shared" si="15"/>
        <v>M: look sharp</v>
      </c>
      <c r="C2793" s="66">
        <v>2.0</v>
      </c>
      <c r="D2793" s="68">
        <v>46029.0</v>
      </c>
      <c r="E2793" s="66">
        <v>6.0</v>
      </c>
      <c r="F2793" s="66" t="s">
        <v>3751</v>
      </c>
      <c r="G2793" s="66" t="s">
        <v>247</v>
      </c>
    </row>
    <row r="2794" ht="22.5" customHeight="1">
      <c r="A2794" s="66" t="s">
        <v>2661</v>
      </c>
      <c r="B2794" s="67" t="str">
        <f t="shared" si="15"/>
        <v>M: known</v>
      </c>
      <c r="C2794" s="66">
        <v>2.0</v>
      </c>
      <c r="D2794" s="68">
        <v>46029.0</v>
      </c>
      <c r="E2794" s="66">
        <v>7.0</v>
      </c>
      <c r="F2794" s="66" t="s">
        <v>3752</v>
      </c>
      <c r="G2794" s="66" t="s">
        <v>247</v>
      </c>
    </row>
    <row r="2795" ht="22.5" customHeight="1">
      <c r="A2795" s="66" t="s">
        <v>2661</v>
      </c>
      <c r="B2795" s="67" t="str">
        <f t="shared" si="15"/>
        <v>M: known</v>
      </c>
      <c r="C2795" s="66">
        <v>3.0</v>
      </c>
      <c r="D2795" s="68">
        <v>46029.0</v>
      </c>
      <c r="E2795" s="66">
        <v>8.0</v>
      </c>
      <c r="F2795" s="71" t="s">
        <v>3753</v>
      </c>
      <c r="G2795" s="66" t="s">
        <v>247</v>
      </c>
    </row>
    <row r="2796" ht="22.5" customHeight="1">
      <c r="A2796" s="66" t="s">
        <v>1878</v>
      </c>
      <c r="B2796" s="67" t="str">
        <f t="shared" si="15"/>
        <v>M: sins</v>
      </c>
      <c r="C2796" s="66">
        <v>2.0</v>
      </c>
      <c r="D2796" s="68">
        <v>46029.0</v>
      </c>
      <c r="E2796" s="66">
        <v>9.0</v>
      </c>
      <c r="F2796" s="66" t="s">
        <v>3754</v>
      </c>
      <c r="G2796" s="66" t="s">
        <v>247</v>
      </c>
    </row>
    <row r="2797" ht="22.5" customHeight="1">
      <c r="A2797" s="66" t="s">
        <v>453</v>
      </c>
      <c r="B2797" s="67" t="str">
        <f t="shared" si="15"/>
        <v>M: through</v>
      </c>
      <c r="C2797" s="66">
        <v>2.0</v>
      </c>
      <c r="D2797" s="68">
        <v>46029.0</v>
      </c>
      <c r="E2797" s="66">
        <v>10.0</v>
      </c>
      <c r="F2797" s="66" t="s">
        <v>3755</v>
      </c>
      <c r="G2797" s="66" t="s">
        <v>247</v>
      </c>
    </row>
    <row r="2798" ht="22.5" customHeight="1">
      <c r="A2798" s="66" t="s">
        <v>453</v>
      </c>
      <c r="B2798" s="67" t="str">
        <f t="shared" si="15"/>
        <v>M: through</v>
      </c>
      <c r="C2798" s="66">
        <v>3.0</v>
      </c>
      <c r="D2798" s="68">
        <v>46029.0</v>
      </c>
      <c r="E2798" s="66">
        <v>1.0</v>
      </c>
      <c r="F2798" s="66" t="s">
        <v>3756</v>
      </c>
      <c r="G2798" s="66" t="s">
        <v>247</v>
      </c>
    </row>
    <row r="2799" ht="22.5" customHeight="1">
      <c r="A2799" s="66" t="s">
        <v>973</v>
      </c>
      <c r="B2799" s="67" t="str">
        <f t="shared" si="15"/>
        <v>M: bragging</v>
      </c>
      <c r="C2799" s="66">
        <v>2.0</v>
      </c>
      <c r="D2799" s="68">
        <v>46029.0</v>
      </c>
      <c r="E2799" s="66">
        <v>2.0</v>
      </c>
      <c r="F2799" s="66" t="s">
        <v>3757</v>
      </c>
      <c r="G2799" s="66" t="s">
        <v>247</v>
      </c>
    </row>
    <row r="2800" ht="22.5" customHeight="1">
      <c r="A2800" s="66" t="s">
        <v>2699</v>
      </c>
      <c r="B2800" s="67" t="str">
        <f t="shared" si="15"/>
        <v>M: string</v>
      </c>
      <c r="C2800" s="66">
        <v>2.0</v>
      </c>
      <c r="D2800" s="68">
        <v>46029.0</v>
      </c>
      <c r="E2800" s="66">
        <v>3.0</v>
      </c>
      <c r="F2800" s="66" t="s">
        <v>3758</v>
      </c>
      <c r="G2800" s="66" t="s">
        <v>247</v>
      </c>
    </row>
    <row r="2801" ht="22.5" customHeight="1">
      <c r="A2801" s="66" t="s">
        <v>2699</v>
      </c>
      <c r="B2801" s="67" t="str">
        <f t="shared" si="15"/>
        <v>M: string</v>
      </c>
      <c r="C2801" s="66">
        <v>3.0</v>
      </c>
      <c r="D2801" s="68">
        <v>46029.0</v>
      </c>
      <c r="E2801" s="66">
        <v>4.0</v>
      </c>
      <c r="F2801" s="71" t="s">
        <v>3759</v>
      </c>
      <c r="G2801" s="66" t="s">
        <v>247</v>
      </c>
    </row>
    <row r="2802" ht="22.5" customHeight="1">
      <c r="A2802" s="66" t="s">
        <v>466</v>
      </c>
      <c r="B2802" s="67" t="str">
        <f t="shared" si="15"/>
        <v>M: inner</v>
      </c>
      <c r="C2802" s="66">
        <v>2.0</v>
      </c>
      <c r="D2802" s="68">
        <v>46030.0</v>
      </c>
      <c r="E2802" s="66">
        <v>5.0</v>
      </c>
      <c r="F2802" s="66" t="s">
        <v>3760</v>
      </c>
      <c r="G2802" s="66" t="s">
        <v>247</v>
      </c>
    </row>
    <row r="2803" ht="22.5" customHeight="1">
      <c r="A2803" s="66" t="s">
        <v>1938</v>
      </c>
      <c r="B2803" s="67" t="str">
        <f t="shared" si="15"/>
        <v>M: coasted</v>
      </c>
      <c r="C2803" s="66">
        <v>2.0</v>
      </c>
      <c r="D2803" s="68">
        <v>46030.0</v>
      </c>
      <c r="E2803" s="66">
        <v>6.0</v>
      </c>
      <c r="F2803" s="66" t="s">
        <v>3761</v>
      </c>
      <c r="G2803" s="66" t="s">
        <v>247</v>
      </c>
    </row>
    <row r="2804" ht="22.5" customHeight="1">
      <c r="A2804" s="66" t="s">
        <v>1720</v>
      </c>
      <c r="B2804" s="67" t="str">
        <f t="shared" si="15"/>
        <v>M: casing</v>
      </c>
      <c r="C2804" s="66">
        <v>2.0</v>
      </c>
      <c r="D2804" s="68">
        <v>46030.0</v>
      </c>
      <c r="E2804" s="66">
        <v>7.0</v>
      </c>
      <c r="F2804" s="66" t="str">
        <f>IFERROR(__xludf.DUMMYFUNCTION("GOOGLETRANSLATE(A2804,""en"",""pt"")"),"revestimento")</f>
        <v>revestimento</v>
      </c>
      <c r="G2804" s="66" t="s">
        <v>247</v>
      </c>
    </row>
    <row r="2805" ht="22.5" customHeight="1">
      <c r="A2805" s="66" t="s">
        <v>1720</v>
      </c>
      <c r="B2805" s="67" t="str">
        <f t="shared" si="15"/>
        <v>M: casing</v>
      </c>
      <c r="C2805" s="66">
        <v>3.0</v>
      </c>
      <c r="D2805" s="68">
        <v>46030.0</v>
      </c>
      <c r="E2805" s="66">
        <v>8.0</v>
      </c>
      <c r="F2805" s="66" t="s">
        <v>3762</v>
      </c>
      <c r="G2805" s="66" t="s">
        <v>247</v>
      </c>
    </row>
    <row r="2806" ht="22.5" customHeight="1">
      <c r="A2806" s="66" t="s">
        <v>1648</v>
      </c>
      <c r="B2806" s="67" t="str">
        <f t="shared" si="15"/>
        <v>M: forgive</v>
      </c>
      <c r="C2806" s="66">
        <v>2.0</v>
      </c>
      <c r="D2806" s="68">
        <v>46030.0</v>
      </c>
      <c r="E2806" s="66">
        <v>9.0</v>
      </c>
      <c r="F2806" s="66" t="s">
        <v>3763</v>
      </c>
      <c r="G2806" s="66" t="s">
        <v>247</v>
      </c>
    </row>
    <row r="2807" ht="22.5" customHeight="1">
      <c r="A2807" s="66" t="s">
        <v>1612</v>
      </c>
      <c r="B2807" s="67" t="str">
        <f t="shared" si="15"/>
        <v>M: sitting</v>
      </c>
      <c r="C2807" s="66">
        <v>2.0</v>
      </c>
      <c r="D2807" s="68">
        <v>46030.0</v>
      </c>
      <c r="E2807" s="66">
        <v>10.0</v>
      </c>
      <c r="F2807" s="71" t="s">
        <v>3764</v>
      </c>
      <c r="G2807" s="66" t="s">
        <v>247</v>
      </c>
    </row>
    <row r="2808" ht="22.5" customHeight="1">
      <c r="A2808" s="66" t="s">
        <v>1612</v>
      </c>
      <c r="B2808" s="67" t="str">
        <f t="shared" si="15"/>
        <v>M: sitting</v>
      </c>
      <c r="C2808" s="66">
        <v>3.0</v>
      </c>
      <c r="D2808" s="68">
        <v>46030.0</v>
      </c>
      <c r="E2808" s="66">
        <v>1.0</v>
      </c>
      <c r="F2808" s="66" t="s">
        <v>3765</v>
      </c>
      <c r="G2808" s="66" t="s">
        <v>247</v>
      </c>
    </row>
    <row r="2809" ht="22.5" customHeight="1">
      <c r="A2809" s="66" t="s">
        <v>2757</v>
      </c>
      <c r="B2809" s="67" t="str">
        <f t="shared" si="15"/>
        <v>M: sign up</v>
      </c>
      <c r="C2809" s="66">
        <v>2.0</v>
      </c>
      <c r="D2809" s="68">
        <v>46030.0</v>
      </c>
      <c r="E2809" s="66">
        <v>2.0</v>
      </c>
      <c r="F2809" s="66" t="s">
        <v>3766</v>
      </c>
      <c r="G2809" s="66" t="s">
        <v>247</v>
      </c>
    </row>
    <row r="2810" ht="22.5" customHeight="1">
      <c r="A2810" s="66" t="s">
        <v>411</v>
      </c>
      <c r="B2810" s="67" t="str">
        <f t="shared" si="15"/>
        <v>M: dawn</v>
      </c>
      <c r="C2810" s="66">
        <v>2.0</v>
      </c>
      <c r="D2810" s="68">
        <v>46030.0</v>
      </c>
      <c r="E2810" s="66">
        <v>3.0</v>
      </c>
      <c r="F2810" s="71" t="s">
        <v>3767</v>
      </c>
      <c r="G2810" s="66" t="s">
        <v>247</v>
      </c>
    </row>
    <row r="2811" ht="22.5" customHeight="1">
      <c r="A2811" s="66" t="s">
        <v>2717</v>
      </c>
      <c r="B2811" s="67" t="str">
        <f t="shared" si="15"/>
        <v>M: matching</v>
      </c>
      <c r="C2811" s="66">
        <v>2.0</v>
      </c>
      <c r="D2811" s="68">
        <v>46030.0</v>
      </c>
      <c r="E2811" s="66">
        <v>4.0</v>
      </c>
      <c r="F2811" s="66" t="s">
        <v>3768</v>
      </c>
      <c r="G2811" s="66" t="s">
        <v>247</v>
      </c>
    </row>
    <row r="2812" ht="22.5" customHeight="1">
      <c r="A2812" s="66" t="s">
        <v>2717</v>
      </c>
      <c r="B2812" s="67" t="str">
        <f t="shared" si="15"/>
        <v>M: matching</v>
      </c>
      <c r="C2812" s="66">
        <v>3.0</v>
      </c>
      <c r="D2812" s="68">
        <v>46031.0</v>
      </c>
      <c r="E2812" s="66">
        <v>5.0</v>
      </c>
      <c r="F2812" s="66" t="s">
        <v>3769</v>
      </c>
      <c r="G2812" s="66" t="s">
        <v>247</v>
      </c>
    </row>
    <row r="2813" ht="22.5" customHeight="1">
      <c r="A2813" s="66" t="s">
        <v>2729</v>
      </c>
      <c r="B2813" s="67" t="str">
        <f t="shared" si="15"/>
        <v>M: itself</v>
      </c>
      <c r="C2813" s="66">
        <v>2.0</v>
      </c>
      <c r="D2813" s="68">
        <v>46031.0</v>
      </c>
      <c r="E2813" s="66">
        <v>6.0</v>
      </c>
      <c r="F2813" s="66" t="s">
        <v>3770</v>
      </c>
      <c r="G2813" s="66" t="s">
        <v>247</v>
      </c>
    </row>
    <row r="2814" ht="22.5" customHeight="1">
      <c r="A2814" s="66" t="s">
        <v>2000</v>
      </c>
      <c r="B2814" s="67" t="str">
        <f t="shared" si="15"/>
        <v>M: screeching</v>
      </c>
      <c r="C2814" s="66">
        <v>2.0</v>
      </c>
      <c r="D2814" s="68">
        <v>46031.0</v>
      </c>
      <c r="E2814" s="66">
        <v>7.0</v>
      </c>
      <c r="F2814" s="71" t="s">
        <v>3771</v>
      </c>
      <c r="G2814" s="66" t="s">
        <v>247</v>
      </c>
    </row>
    <row r="2815" ht="22.5" customHeight="1">
      <c r="A2815" s="66" t="s">
        <v>3772</v>
      </c>
      <c r="B2815" s="67" t="str">
        <f t="shared" si="15"/>
        <v>M: halt</v>
      </c>
      <c r="C2815" s="66">
        <v>1.0</v>
      </c>
      <c r="D2815" s="68">
        <v>46031.0</v>
      </c>
      <c r="E2815" s="66">
        <v>8.0</v>
      </c>
      <c r="F2815" s="66" t="s">
        <v>3773</v>
      </c>
      <c r="G2815" s="66" t="s">
        <v>247</v>
      </c>
    </row>
    <row r="2816" ht="22.5" customHeight="1">
      <c r="A2816" s="66" t="s">
        <v>3772</v>
      </c>
      <c r="B2816" s="67" t="str">
        <f t="shared" si="15"/>
        <v>M: halt</v>
      </c>
      <c r="C2816" s="66">
        <v>2.0</v>
      </c>
      <c r="D2816" s="68">
        <v>46031.0</v>
      </c>
      <c r="E2816" s="66">
        <v>9.0</v>
      </c>
      <c r="F2816" s="66" t="s">
        <v>3774</v>
      </c>
      <c r="G2816" s="66" t="s">
        <v>247</v>
      </c>
    </row>
    <row r="2817" ht="22.5" customHeight="1">
      <c r="A2817" s="66" t="s">
        <v>3772</v>
      </c>
      <c r="B2817" s="67" t="str">
        <f t="shared" si="15"/>
        <v>M: halt</v>
      </c>
      <c r="C2817" s="66">
        <v>3.0</v>
      </c>
      <c r="D2817" s="68">
        <v>46031.0</v>
      </c>
      <c r="E2817" s="66">
        <v>10.0</v>
      </c>
      <c r="F2817" s="66" t="s">
        <v>3775</v>
      </c>
      <c r="G2817" s="66" t="s">
        <v>247</v>
      </c>
    </row>
    <row r="2818" ht="22.5" customHeight="1">
      <c r="A2818" s="66" t="s">
        <v>789</v>
      </c>
      <c r="B2818" s="67" t="str">
        <f t="shared" si="15"/>
        <v>M: wondered</v>
      </c>
      <c r="C2818" s="66">
        <v>2.0</v>
      </c>
      <c r="D2818" s="68">
        <v>46031.0</v>
      </c>
      <c r="E2818" s="66">
        <v>1.0</v>
      </c>
      <c r="F2818" s="66" t="s">
        <v>3776</v>
      </c>
      <c r="G2818" s="66" t="s">
        <v>247</v>
      </c>
    </row>
    <row r="2819" ht="22.5" customHeight="1">
      <c r="A2819" s="66" t="s">
        <v>1364</v>
      </c>
      <c r="B2819" s="67" t="str">
        <f t="shared" si="15"/>
        <v>M: anew</v>
      </c>
      <c r="C2819" s="66">
        <v>2.0</v>
      </c>
      <c r="D2819" s="68">
        <v>46031.0</v>
      </c>
      <c r="E2819" s="66">
        <v>2.0</v>
      </c>
      <c r="F2819" s="71" t="s">
        <v>3777</v>
      </c>
      <c r="G2819" s="66" t="s">
        <v>247</v>
      </c>
    </row>
    <row r="2820" ht="22.5" customHeight="1">
      <c r="A2820" s="66" t="s">
        <v>2223</v>
      </c>
      <c r="B2820" s="67" t="str">
        <f t="shared" si="15"/>
        <v>M: downside</v>
      </c>
      <c r="C2820" s="66">
        <v>2.0</v>
      </c>
      <c r="D2820" s="68">
        <v>46031.0</v>
      </c>
      <c r="E2820" s="66">
        <v>3.0</v>
      </c>
      <c r="F2820" s="66" t="s">
        <v>3778</v>
      </c>
      <c r="G2820" s="66" t="s">
        <v>247</v>
      </c>
    </row>
    <row r="2821" ht="22.5" customHeight="1">
      <c r="A2821" s="66" t="s">
        <v>2498</v>
      </c>
      <c r="B2821" s="67" t="str">
        <f t="shared" si="15"/>
        <v>M: in order</v>
      </c>
      <c r="C2821" s="66">
        <v>2.0</v>
      </c>
      <c r="D2821" s="68">
        <v>46031.0</v>
      </c>
      <c r="E2821" s="66">
        <v>4.0</v>
      </c>
      <c r="F2821" s="71" t="s">
        <v>3779</v>
      </c>
      <c r="G2821" s="66" t="s">
        <v>247</v>
      </c>
    </row>
    <row r="2822" ht="22.5" customHeight="1">
      <c r="A2822" s="66" t="s">
        <v>2498</v>
      </c>
      <c r="B2822" s="67" t="str">
        <f t="shared" si="15"/>
        <v>M: in order</v>
      </c>
      <c r="C2822" s="66">
        <v>3.0</v>
      </c>
      <c r="D2822" s="68">
        <v>46032.0</v>
      </c>
      <c r="E2822" s="66">
        <v>5.0</v>
      </c>
      <c r="F2822" s="66" t="s">
        <v>3780</v>
      </c>
      <c r="G2822" s="66" t="s">
        <v>247</v>
      </c>
    </row>
    <row r="2823" ht="22.5" customHeight="1">
      <c r="A2823" s="66" t="s">
        <v>3781</v>
      </c>
      <c r="B2823" s="67" t="str">
        <f t="shared" si="15"/>
        <v>M: processes</v>
      </c>
      <c r="C2823" s="68"/>
      <c r="D2823" s="68">
        <v>46032.0</v>
      </c>
      <c r="E2823" s="66">
        <v>6.0</v>
      </c>
      <c r="F2823" s="66" t="str">
        <f>IFERROR(__xludf.DUMMYFUNCTION("GOOGLETRANSLATE(A2823,""en"",""pt"")"),"processos")</f>
        <v>processos</v>
      </c>
      <c r="G2823" s="69"/>
    </row>
    <row r="2824" ht="22.5" customHeight="1">
      <c r="A2824" s="66" t="s">
        <v>3782</v>
      </c>
      <c r="B2824" s="67" t="str">
        <f t="shared" si="15"/>
        <v>M: laptop</v>
      </c>
      <c r="C2824" s="68"/>
      <c r="D2824" s="68">
        <v>46032.0</v>
      </c>
      <c r="E2824" s="66">
        <v>7.0</v>
      </c>
      <c r="F2824" s="66" t="str">
        <f>IFERROR(__xludf.DUMMYFUNCTION("GOOGLETRANSLATE(A2824,""en"",""pt"")"),"laptop")</f>
        <v>laptop</v>
      </c>
      <c r="G2824" s="69"/>
    </row>
    <row r="2825" ht="22.5" customHeight="1">
      <c r="A2825" s="66" t="s">
        <v>2053</v>
      </c>
      <c r="B2825" s="67" t="str">
        <f t="shared" si="15"/>
        <v>M: footsteps</v>
      </c>
      <c r="C2825" s="66">
        <v>2.0</v>
      </c>
      <c r="D2825" s="68">
        <v>46032.0</v>
      </c>
      <c r="E2825" s="66">
        <v>8.0</v>
      </c>
      <c r="F2825" s="66" t="s">
        <v>3783</v>
      </c>
      <c r="G2825" s="66" t="s">
        <v>247</v>
      </c>
    </row>
    <row r="2826" ht="22.5" customHeight="1">
      <c r="A2826" s="66" t="s">
        <v>3784</v>
      </c>
      <c r="B2826" s="67" t="str">
        <f t="shared" si="15"/>
        <v>M: corridor</v>
      </c>
      <c r="C2826" s="68"/>
      <c r="D2826" s="68">
        <v>46032.0</v>
      </c>
      <c r="E2826" s="66">
        <v>9.0</v>
      </c>
      <c r="F2826" s="66" t="str">
        <f>IFERROR(__xludf.DUMMYFUNCTION("GOOGLETRANSLATE(A2826,""en"",""pt"")"),"corredor")</f>
        <v>corredor</v>
      </c>
      <c r="G2826" s="69"/>
    </row>
    <row r="2827" ht="22.5" customHeight="1">
      <c r="A2827" s="66" t="s">
        <v>3785</v>
      </c>
      <c r="B2827" s="67" t="str">
        <f t="shared" si="15"/>
        <v>M: heard</v>
      </c>
      <c r="C2827" s="68"/>
      <c r="D2827" s="68">
        <v>46032.0</v>
      </c>
      <c r="E2827" s="66">
        <v>10.0</v>
      </c>
      <c r="F2827" s="66" t="str">
        <f>IFERROR(__xludf.DUMMYFUNCTION("GOOGLETRANSLATE(A2827,""en"",""pt"")"),"ouviu")</f>
        <v>ouviu</v>
      </c>
      <c r="G2827" s="69"/>
    </row>
    <row r="2828" ht="22.5" customHeight="1">
      <c r="A2828" s="66" t="s">
        <v>3786</v>
      </c>
      <c r="B2828" s="67" t="str">
        <f t="shared" si="15"/>
        <v>M: traced</v>
      </c>
      <c r="C2828" s="68"/>
      <c r="D2828" s="68">
        <v>46032.0</v>
      </c>
      <c r="E2828" s="66">
        <v>1.0</v>
      </c>
      <c r="F2828" s="66" t="str">
        <f>IFERROR(__xludf.DUMMYFUNCTION("GOOGLETRANSLATE(A2828,""en"",""pt"")"),"rastreado")</f>
        <v>rastreado</v>
      </c>
      <c r="G2828" s="69"/>
    </row>
    <row r="2829" ht="22.5" customHeight="1">
      <c r="A2829" s="66" t="s">
        <v>3787</v>
      </c>
      <c r="B2829" s="67" t="str">
        <f t="shared" si="15"/>
        <v>M: follows</v>
      </c>
      <c r="C2829" s="68"/>
      <c r="D2829" s="68">
        <v>46032.0</v>
      </c>
      <c r="E2829" s="66">
        <v>2.0</v>
      </c>
      <c r="F2829" s="66" t="str">
        <f>IFERROR(__xludf.DUMMYFUNCTION("GOOGLETRANSLATE(A2829,""en"",""pt"")"),"segue")</f>
        <v>segue</v>
      </c>
      <c r="G2829" s="69"/>
    </row>
    <row r="2830" ht="22.5" customHeight="1">
      <c r="A2830" s="66" t="s">
        <v>3788</v>
      </c>
      <c r="B2830" s="67" t="str">
        <f t="shared" si="15"/>
        <v>M: father</v>
      </c>
      <c r="C2830" s="68"/>
      <c r="D2830" s="68">
        <v>46032.0</v>
      </c>
      <c r="E2830" s="66">
        <v>3.0</v>
      </c>
      <c r="F2830" s="66" t="str">
        <f>IFERROR(__xludf.DUMMYFUNCTION("GOOGLETRANSLATE(A2830,""en"",""pt"")"),"pai")</f>
        <v>pai</v>
      </c>
      <c r="G2830" s="69"/>
    </row>
    <row r="2831" ht="22.5" customHeight="1">
      <c r="A2831" s="66" t="s">
        <v>245</v>
      </c>
      <c r="B2831" s="67" t="str">
        <f t="shared" si="15"/>
        <v>M: Check on</v>
      </c>
      <c r="C2831" s="66">
        <v>2.0</v>
      </c>
      <c r="D2831" s="68">
        <v>46032.0</v>
      </c>
      <c r="E2831" s="66">
        <v>4.0</v>
      </c>
      <c r="F2831" s="66" t="s">
        <v>3789</v>
      </c>
      <c r="G2831" s="66" t="s">
        <v>247</v>
      </c>
    </row>
    <row r="2832" ht="22.5" customHeight="1">
      <c r="A2832" s="66" t="s">
        <v>3790</v>
      </c>
      <c r="B2832" s="67" t="str">
        <f t="shared" si="15"/>
        <v>M: boss</v>
      </c>
      <c r="C2832" s="68"/>
      <c r="D2832" s="68">
        <v>46033.0</v>
      </c>
      <c r="E2832" s="66">
        <v>5.0</v>
      </c>
      <c r="F2832" s="66" t="str">
        <f>IFERROR(__xludf.DUMMYFUNCTION("GOOGLETRANSLATE(A2832,""en"",""pt"")"),"chefe")</f>
        <v>chefe</v>
      </c>
      <c r="G2832" s="69"/>
    </row>
    <row r="2833" ht="22.5" customHeight="1">
      <c r="A2833" s="66" t="s">
        <v>3791</v>
      </c>
      <c r="B2833" s="67" t="str">
        <f t="shared" si="15"/>
        <v>M: report</v>
      </c>
      <c r="C2833" s="68"/>
      <c r="D2833" s="68">
        <v>46033.0</v>
      </c>
      <c r="E2833" s="66">
        <v>6.0</v>
      </c>
      <c r="F2833" s="66" t="str">
        <f>IFERROR(__xludf.DUMMYFUNCTION("GOOGLETRANSLATE(A2833,""en"",""pt"")"),"relatório")</f>
        <v>relatório</v>
      </c>
      <c r="G2833" s="69"/>
    </row>
    <row r="2834" ht="22.5" customHeight="1">
      <c r="A2834" s="66" t="s">
        <v>3792</v>
      </c>
      <c r="B2834" s="67" t="str">
        <f t="shared" si="15"/>
        <v>M: technician</v>
      </c>
      <c r="C2834" s="68"/>
      <c r="D2834" s="68">
        <v>46033.0</v>
      </c>
      <c r="E2834" s="66">
        <v>7.0</v>
      </c>
      <c r="F2834" s="66" t="str">
        <f>IFERROR(__xludf.DUMMYFUNCTION("GOOGLETRANSLATE(A2834,""en"",""pt"")"),"técnico")</f>
        <v>técnico</v>
      </c>
      <c r="G2834" s="69"/>
    </row>
    <row r="2835" ht="22.5" customHeight="1">
      <c r="A2835" s="66" t="s">
        <v>2100</v>
      </c>
      <c r="B2835" s="67" t="str">
        <f t="shared" si="15"/>
        <v>M: Condemned</v>
      </c>
      <c r="C2835" s="66">
        <v>2.0</v>
      </c>
      <c r="D2835" s="68">
        <v>46033.0</v>
      </c>
      <c r="E2835" s="66">
        <v>8.0</v>
      </c>
      <c r="F2835" s="71" t="s">
        <v>3793</v>
      </c>
      <c r="G2835" s="66" t="s">
        <v>247</v>
      </c>
    </row>
    <row r="2836" ht="22.5" customHeight="1">
      <c r="A2836" s="66" t="s">
        <v>2100</v>
      </c>
      <c r="B2836" s="67" t="str">
        <f t="shared" si="15"/>
        <v>M: Condemned</v>
      </c>
      <c r="C2836" s="66">
        <v>3.0</v>
      </c>
      <c r="D2836" s="68">
        <v>46033.0</v>
      </c>
      <c r="E2836" s="66">
        <v>9.0</v>
      </c>
      <c r="F2836" s="71" t="s">
        <v>3794</v>
      </c>
      <c r="G2836" s="66" t="s">
        <v>247</v>
      </c>
    </row>
    <row r="2837" ht="22.5" customHeight="1">
      <c r="A2837" s="66" t="s">
        <v>2741</v>
      </c>
      <c r="B2837" s="67" t="str">
        <f t="shared" si="15"/>
        <v>M: have to be</v>
      </c>
      <c r="C2837" s="66">
        <v>2.0</v>
      </c>
      <c r="D2837" s="68">
        <v>46033.0</v>
      </c>
      <c r="E2837" s="66">
        <v>10.0</v>
      </c>
      <c r="F2837" s="66" t="s">
        <v>3795</v>
      </c>
      <c r="G2837" s="66" t="s">
        <v>247</v>
      </c>
    </row>
    <row r="2838" ht="22.5" customHeight="1">
      <c r="A2838" s="66" t="s">
        <v>1130</v>
      </c>
      <c r="B2838" s="67" t="str">
        <f t="shared" si="15"/>
        <v>M: proven</v>
      </c>
      <c r="C2838" s="66">
        <v>2.0</v>
      </c>
      <c r="D2838" s="68">
        <v>46033.0</v>
      </c>
      <c r="E2838" s="66">
        <v>1.0</v>
      </c>
      <c r="F2838" s="71" t="s">
        <v>3796</v>
      </c>
      <c r="G2838" s="66" t="s">
        <v>247</v>
      </c>
    </row>
    <row r="2839" ht="22.5" customHeight="1">
      <c r="A2839" s="66" t="s">
        <v>1130</v>
      </c>
      <c r="B2839" s="67" t="str">
        <f t="shared" si="15"/>
        <v>M: proven</v>
      </c>
      <c r="C2839" s="66">
        <v>3.0</v>
      </c>
      <c r="D2839" s="68">
        <v>46033.0</v>
      </c>
      <c r="E2839" s="66">
        <v>2.0</v>
      </c>
      <c r="F2839" s="66" t="s">
        <v>3797</v>
      </c>
      <c r="G2839" s="66" t="s">
        <v>247</v>
      </c>
    </row>
    <row r="2840" ht="22.5" customHeight="1">
      <c r="A2840" s="66" t="s">
        <v>1810</v>
      </c>
      <c r="B2840" s="67" t="str">
        <f t="shared" si="15"/>
        <v>M: logged</v>
      </c>
      <c r="C2840" s="66">
        <v>2.0</v>
      </c>
      <c r="D2840" s="68">
        <v>46033.0</v>
      </c>
      <c r="E2840" s="66">
        <v>3.0</v>
      </c>
      <c r="F2840" s="66" t="s">
        <v>1811</v>
      </c>
      <c r="G2840" s="66" t="s">
        <v>247</v>
      </c>
    </row>
    <row r="2841" ht="22.5" customHeight="1">
      <c r="A2841" s="66" t="s">
        <v>1810</v>
      </c>
      <c r="B2841" s="67" t="str">
        <f t="shared" si="15"/>
        <v>M: logged</v>
      </c>
      <c r="C2841" s="66">
        <v>3.0</v>
      </c>
      <c r="D2841" s="68">
        <v>46033.0</v>
      </c>
      <c r="E2841" s="66">
        <v>4.0</v>
      </c>
      <c r="F2841" s="71" t="s">
        <v>3798</v>
      </c>
      <c r="G2841" s="66" t="s">
        <v>247</v>
      </c>
    </row>
    <row r="2842" ht="22.5" customHeight="1">
      <c r="A2842" s="66" t="s">
        <v>2452</v>
      </c>
      <c r="B2842" s="67" t="str">
        <f t="shared" si="15"/>
        <v>M: quota</v>
      </c>
      <c r="C2842" s="66">
        <v>2.0</v>
      </c>
      <c r="D2842" s="68">
        <v>46034.0</v>
      </c>
      <c r="E2842" s="66">
        <v>5.0</v>
      </c>
      <c r="F2842" s="71" t="s">
        <v>3799</v>
      </c>
      <c r="G2842" s="66" t="s">
        <v>247</v>
      </c>
    </row>
    <row r="2843" ht="22.5" customHeight="1">
      <c r="A2843" s="66" t="s">
        <v>1664</v>
      </c>
      <c r="B2843" s="67" t="str">
        <f t="shared" si="15"/>
        <v>M: digestible</v>
      </c>
      <c r="C2843" s="66">
        <v>2.0</v>
      </c>
      <c r="D2843" s="68">
        <v>46034.0</v>
      </c>
      <c r="E2843" s="66">
        <v>6.0</v>
      </c>
      <c r="F2843" s="66" t="s">
        <v>3800</v>
      </c>
      <c r="G2843" s="66" t="s">
        <v>247</v>
      </c>
    </row>
    <row r="2844" ht="22.5" customHeight="1">
      <c r="A2844" s="66" t="s">
        <v>2371</v>
      </c>
      <c r="B2844" s="67" t="str">
        <f t="shared" si="15"/>
        <v>M: backdrop</v>
      </c>
      <c r="C2844" s="66">
        <v>2.0</v>
      </c>
      <c r="D2844" s="68">
        <v>46034.0</v>
      </c>
      <c r="E2844" s="66">
        <v>7.0</v>
      </c>
      <c r="F2844" s="66" t="s">
        <v>3801</v>
      </c>
      <c r="G2844" s="66" t="s">
        <v>247</v>
      </c>
    </row>
    <row r="2845" ht="22.5" customHeight="1">
      <c r="A2845" s="66" t="s">
        <v>948</v>
      </c>
      <c r="B2845" s="67" t="str">
        <f t="shared" si="15"/>
        <v>M: harassment</v>
      </c>
      <c r="C2845" s="66">
        <v>2.0</v>
      </c>
      <c r="D2845" s="68">
        <v>46034.0</v>
      </c>
      <c r="E2845" s="66">
        <v>8.0</v>
      </c>
      <c r="F2845" s="71" t="s">
        <v>3802</v>
      </c>
      <c r="G2845" s="66" t="s">
        <v>247</v>
      </c>
    </row>
    <row r="2846" ht="22.5" customHeight="1">
      <c r="A2846" s="66" t="s">
        <v>2552</v>
      </c>
      <c r="B2846" s="67" t="str">
        <f t="shared" si="15"/>
        <v>M: these</v>
      </c>
      <c r="C2846" s="66">
        <v>2.0</v>
      </c>
      <c r="D2846" s="68">
        <v>46034.0</v>
      </c>
      <c r="E2846" s="66">
        <v>9.0</v>
      </c>
      <c r="F2846" s="71" t="s">
        <v>3803</v>
      </c>
      <c r="G2846" s="66" t="s">
        <v>247</v>
      </c>
    </row>
    <row r="2847" ht="22.5" customHeight="1">
      <c r="A2847" s="66" t="s">
        <v>257</v>
      </c>
      <c r="B2847" s="67" t="str">
        <f t="shared" si="15"/>
        <v>M: while</v>
      </c>
      <c r="C2847" s="66">
        <v>2.0</v>
      </c>
      <c r="D2847" s="68">
        <v>46034.0</v>
      </c>
      <c r="E2847" s="66">
        <v>10.0</v>
      </c>
      <c r="F2847" s="71" t="s">
        <v>3804</v>
      </c>
      <c r="G2847" s="66" t="s">
        <v>247</v>
      </c>
    </row>
    <row r="2848" ht="22.5" customHeight="1">
      <c r="A2848" s="66" t="s">
        <v>257</v>
      </c>
      <c r="B2848" s="67" t="str">
        <f t="shared" si="15"/>
        <v>M: while</v>
      </c>
      <c r="C2848" s="66">
        <v>3.0</v>
      </c>
      <c r="D2848" s="68">
        <v>46034.0</v>
      </c>
      <c r="E2848" s="66">
        <v>1.0</v>
      </c>
      <c r="F2848" s="71" t="s">
        <v>3805</v>
      </c>
      <c r="G2848" s="66" t="s">
        <v>247</v>
      </c>
    </row>
    <row r="2849" ht="22.5" customHeight="1">
      <c r="A2849" s="66" t="s">
        <v>2023</v>
      </c>
      <c r="B2849" s="67" t="str">
        <f t="shared" si="15"/>
        <v>M: stabbed</v>
      </c>
      <c r="C2849" s="66">
        <v>2.0</v>
      </c>
      <c r="D2849" s="68">
        <v>46034.0</v>
      </c>
      <c r="E2849" s="66">
        <v>2.0</v>
      </c>
      <c r="F2849" s="66" t="s">
        <v>3806</v>
      </c>
      <c r="G2849" s="66" t="s">
        <v>247</v>
      </c>
    </row>
    <row r="2850" ht="22.5" customHeight="1">
      <c r="A2850" s="66" t="s">
        <v>2155</v>
      </c>
      <c r="B2850" s="67" t="str">
        <f t="shared" si="15"/>
        <v>M: skeletal</v>
      </c>
      <c r="C2850" s="66">
        <v>2.0</v>
      </c>
      <c r="D2850" s="68">
        <v>46034.0</v>
      </c>
      <c r="E2850" s="66">
        <v>3.0</v>
      </c>
      <c r="F2850" s="66" t="s">
        <v>3807</v>
      </c>
      <c r="G2850" s="66" t="s">
        <v>247</v>
      </c>
    </row>
    <row r="2851" ht="22.5" customHeight="1">
      <c r="A2851" s="66" t="s">
        <v>2560</v>
      </c>
      <c r="B2851" s="67" t="str">
        <f t="shared" si="15"/>
        <v>M: levels</v>
      </c>
      <c r="C2851" s="66">
        <v>2.0</v>
      </c>
      <c r="D2851" s="68">
        <v>46034.0</v>
      </c>
      <c r="E2851" s="66">
        <v>4.0</v>
      </c>
      <c r="F2851" s="71" t="s">
        <v>3808</v>
      </c>
      <c r="G2851" s="66" t="s">
        <v>247</v>
      </c>
    </row>
    <row r="2852" ht="22.5" customHeight="1">
      <c r="A2852" s="66" t="s">
        <v>2560</v>
      </c>
      <c r="B2852" s="67" t="str">
        <f t="shared" si="15"/>
        <v>M: levels</v>
      </c>
      <c r="C2852" s="66">
        <v>3.0</v>
      </c>
      <c r="D2852" s="68">
        <v>46035.0</v>
      </c>
      <c r="E2852" s="66">
        <v>5.0</v>
      </c>
      <c r="F2852" s="71" t="s">
        <v>3809</v>
      </c>
      <c r="G2852" s="66" t="s">
        <v>247</v>
      </c>
    </row>
    <row r="2853" ht="22.5" customHeight="1">
      <c r="A2853" s="66" t="s">
        <v>2460</v>
      </c>
      <c r="B2853" s="67" t="str">
        <f t="shared" si="15"/>
        <v>M: mud</v>
      </c>
      <c r="C2853" s="66">
        <v>2.0</v>
      </c>
      <c r="D2853" s="68">
        <v>46035.0</v>
      </c>
      <c r="E2853" s="66">
        <v>6.0</v>
      </c>
      <c r="F2853" s="66" t="s">
        <v>3810</v>
      </c>
      <c r="G2853" s="66" t="s">
        <v>247</v>
      </c>
    </row>
    <row r="2854" ht="22.5" customHeight="1">
      <c r="A2854" s="66" t="s">
        <v>1062</v>
      </c>
      <c r="B2854" s="67" t="str">
        <f t="shared" si="15"/>
        <v>M: attend</v>
      </c>
      <c r="C2854" s="66">
        <v>2.0</v>
      </c>
      <c r="D2854" s="68">
        <v>46035.0</v>
      </c>
      <c r="E2854" s="66">
        <v>7.0</v>
      </c>
      <c r="F2854" s="71" t="s">
        <v>3811</v>
      </c>
      <c r="G2854" s="66" t="s">
        <v>247</v>
      </c>
    </row>
    <row r="2855" ht="22.5" customHeight="1">
      <c r="A2855" s="66" t="s">
        <v>1062</v>
      </c>
      <c r="B2855" s="67" t="str">
        <f t="shared" si="15"/>
        <v>M: attend</v>
      </c>
      <c r="C2855" s="66">
        <v>3.0</v>
      </c>
      <c r="D2855" s="68">
        <v>46035.0</v>
      </c>
      <c r="E2855" s="66">
        <v>8.0</v>
      </c>
      <c r="F2855" s="66" t="s">
        <v>3812</v>
      </c>
      <c r="G2855" s="66" t="s">
        <v>247</v>
      </c>
    </row>
    <row r="2856" ht="22.5" customHeight="1">
      <c r="A2856" s="66" t="s">
        <v>1050</v>
      </c>
      <c r="B2856" s="67" t="str">
        <f t="shared" si="15"/>
        <v>M: stepping</v>
      </c>
      <c r="C2856" s="66">
        <v>2.0</v>
      </c>
      <c r="D2856" s="68">
        <v>46035.0</v>
      </c>
      <c r="E2856" s="66">
        <v>9.0</v>
      </c>
      <c r="F2856" s="66" t="s">
        <v>3813</v>
      </c>
      <c r="G2856" s="66" t="s">
        <v>247</v>
      </c>
    </row>
    <row r="2857" ht="22.5" customHeight="1">
      <c r="A2857" s="66" t="s">
        <v>1050</v>
      </c>
      <c r="B2857" s="67" t="str">
        <f t="shared" si="15"/>
        <v>M: stepping</v>
      </c>
      <c r="C2857" s="66">
        <v>3.0</v>
      </c>
      <c r="D2857" s="68">
        <v>46035.0</v>
      </c>
      <c r="E2857" s="66">
        <v>10.0</v>
      </c>
      <c r="F2857" s="66" t="s">
        <v>3814</v>
      </c>
      <c r="G2857" s="66" t="s">
        <v>247</v>
      </c>
    </row>
    <row r="2858" ht="22.5" customHeight="1">
      <c r="A2858" s="66" t="s">
        <v>3815</v>
      </c>
      <c r="B2858" s="67" t="str">
        <f t="shared" si="15"/>
        <v>M: slippery</v>
      </c>
      <c r="C2858" s="66">
        <v>1.0</v>
      </c>
      <c r="D2858" s="68">
        <v>46035.0</v>
      </c>
      <c r="E2858" s="66">
        <v>1.0</v>
      </c>
      <c r="F2858" s="66" t="s">
        <v>3816</v>
      </c>
      <c r="G2858" s="66" t="s">
        <v>247</v>
      </c>
    </row>
    <row r="2859" ht="22.5" customHeight="1">
      <c r="A2859" s="66" t="s">
        <v>3815</v>
      </c>
      <c r="B2859" s="67" t="str">
        <f t="shared" si="15"/>
        <v>M: slippery</v>
      </c>
      <c r="C2859" s="66">
        <v>2.0</v>
      </c>
      <c r="D2859" s="68">
        <v>46035.0</v>
      </c>
      <c r="E2859" s="66">
        <v>2.0</v>
      </c>
      <c r="F2859" s="66" t="s">
        <v>3817</v>
      </c>
      <c r="G2859" s="66" t="s">
        <v>247</v>
      </c>
    </row>
    <row r="2860" ht="22.5" customHeight="1">
      <c r="A2860" s="66" t="s">
        <v>2731</v>
      </c>
      <c r="B2860" s="67" t="str">
        <f t="shared" si="15"/>
        <v>M: directly</v>
      </c>
      <c r="C2860" s="66">
        <v>2.0</v>
      </c>
      <c r="D2860" s="68">
        <v>46035.0</v>
      </c>
      <c r="E2860" s="66">
        <v>3.0</v>
      </c>
      <c r="F2860" s="71" t="s">
        <v>3818</v>
      </c>
      <c r="G2860" s="66" t="s">
        <v>247</v>
      </c>
    </row>
    <row r="2861" ht="22.5" customHeight="1">
      <c r="A2861" s="66" t="s">
        <v>2731</v>
      </c>
      <c r="B2861" s="67" t="str">
        <f t="shared" si="15"/>
        <v>M: directly</v>
      </c>
      <c r="C2861" s="66">
        <v>3.0</v>
      </c>
      <c r="D2861" s="68">
        <v>46035.0</v>
      </c>
      <c r="E2861" s="66">
        <v>4.0</v>
      </c>
      <c r="F2861" s="71" t="s">
        <v>3819</v>
      </c>
      <c r="G2861" s="66" t="s">
        <v>247</v>
      </c>
    </row>
    <row r="2862" ht="22.5" customHeight="1">
      <c r="A2862" s="66" t="s">
        <v>1149</v>
      </c>
      <c r="B2862" s="67" t="str">
        <f t="shared" si="15"/>
        <v>M: yawning</v>
      </c>
      <c r="C2862" s="66">
        <v>2.0</v>
      </c>
      <c r="D2862" s="68">
        <v>46036.0</v>
      </c>
      <c r="E2862" s="66">
        <v>5.0</v>
      </c>
      <c r="F2862" s="66" t="s">
        <v>3820</v>
      </c>
      <c r="G2862" s="66" t="s">
        <v>247</v>
      </c>
    </row>
    <row r="2863" ht="22.5" customHeight="1">
      <c r="A2863" s="66" t="s">
        <v>3821</v>
      </c>
      <c r="B2863" s="67" t="str">
        <f t="shared" si="15"/>
        <v>M: faces</v>
      </c>
      <c r="C2863" s="68"/>
      <c r="D2863" s="68">
        <v>46036.0</v>
      </c>
      <c r="E2863" s="66">
        <v>6.0</v>
      </c>
      <c r="F2863" s="66" t="str">
        <f>IFERROR(__xludf.DUMMYFUNCTION("GOOGLETRANSLATE(A2863,""en"",""pt"")"),"rostos")</f>
        <v>rostos</v>
      </c>
      <c r="G2863" s="69"/>
    </row>
    <row r="2864" ht="22.5" customHeight="1">
      <c r="A2864" s="66" t="s">
        <v>3822</v>
      </c>
      <c r="B2864" s="67" t="str">
        <f t="shared" si="15"/>
        <v>M: boring</v>
      </c>
      <c r="C2864" s="68"/>
      <c r="D2864" s="68">
        <v>46036.0</v>
      </c>
      <c r="E2864" s="66">
        <v>7.0</v>
      </c>
      <c r="F2864" s="66" t="str">
        <f>IFERROR(__xludf.DUMMYFUNCTION("GOOGLETRANSLATE(A2864,""en"",""pt"")"),"tedioso")</f>
        <v>tedioso</v>
      </c>
      <c r="G2864" s="69"/>
    </row>
    <row r="2865" ht="22.5" customHeight="1">
      <c r="A2865" s="66" t="s">
        <v>1145</v>
      </c>
      <c r="B2865" s="67" t="str">
        <f t="shared" si="15"/>
        <v>M: moaning</v>
      </c>
      <c r="C2865" s="66">
        <v>2.0</v>
      </c>
      <c r="D2865" s="68">
        <v>46036.0</v>
      </c>
      <c r="E2865" s="66">
        <v>8.0</v>
      </c>
      <c r="F2865" s="71" t="s">
        <v>3823</v>
      </c>
      <c r="G2865" s="66" t="s">
        <v>247</v>
      </c>
    </row>
    <row r="2866" ht="22.5" customHeight="1">
      <c r="A2866" s="66" t="s">
        <v>3824</v>
      </c>
      <c r="B2866" s="67" t="str">
        <f t="shared" si="15"/>
        <v>M: softly</v>
      </c>
      <c r="C2866" s="68"/>
      <c r="D2866" s="68">
        <v>46036.0</v>
      </c>
      <c r="E2866" s="66">
        <v>9.0</v>
      </c>
      <c r="F2866" s="66" t="str">
        <f>IFERROR(__xludf.DUMMYFUNCTION("GOOGLETRANSLATE(A2866,""en"",""pt"")"),"suavemente")</f>
        <v>suavemente</v>
      </c>
      <c r="G2866" s="69"/>
    </row>
    <row r="2867" ht="22.5" customHeight="1">
      <c r="A2867" s="66" t="s">
        <v>3825</v>
      </c>
      <c r="B2867" s="67" t="str">
        <f t="shared" si="15"/>
        <v>M: pain</v>
      </c>
      <c r="C2867" s="68"/>
      <c r="D2867" s="68">
        <v>46036.0</v>
      </c>
      <c r="E2867" s="66">
        <v>10.0</v>
      </c>
      <c r="F2867" s="66" t="str">
        <f>IFERROR(__xludf.DUMMYFUNCTION("GOOGLETRANSLATE(A2867,""en"",""pt"")"),"dor")</f>
        <v>dor</v>
      </c>
      <c r="G2867" s="69"/>
    </row>
    <row r="2868" ht="22.5" customHeight="1">
      <c r="A2868" s="66" t="s">
        <v>3826</v>
      </c>
      <c r="B2868" s="67" t="str">
        <f t="shared" si="15"/>
        <v>M: ache</v>
      </c>
      <c r="C2868" s="68"/>
      <c r="D2868" s="68">
        <v>46036.0</v>
      </c>
      <c r="E2868" s="66">
        <v>1.0</v>
      </c>
      <c r="F2868" s="66" t="str">
        <f>IFERROR(__xludf.DUMMYFUNCTION("GOOGLETRANSLATE(A2868,""en"",""pt"")"),"dor")</f>
        <v>dor</v>
      </c>
      <c r="G2868" s="69"/>
    </row>
    <row r="2869" ht="22.5" customHeight="1">
      <c r="A2869" s="66" t="s">
        <v>3827</v>
      </c>
      <c r="B2869" s="67" t="str">
        <f t="shared" si="15"/>
        <v>M: poor</v>
      </c>
      <c r="C2869" s="68"/>
      <c r="D2869" s="68">
        <v>46036.0</v>
      </c>
      <c r="E2869" s="66">
        <v>2.0</v>
      </c>
      <c r="F2869" s="66" t="str">
        <f>IFERROR(__xludf.DUMMYFUNCTION("GOOGLETRANSLATE(A2869,""en"",""pt"")"),"pobre")</f>
        <v>pobre</v>
      </c>
      <c r="G2869" s="69"/>
    </row>
    <row r="2870" ht="22.5" customHeight="1">
      <c r="A2870" s="66" t="s">
        <v>2574</v>
      </c>
      <c r="B2870" s="67" t="str">
        <f t="shared" si="15"/>
        <v>M: went over</v>
      </c>
      <c r="C2870" s="66">
        <v>2.0</v>
      </c>
      <c r="D2870" s="68">
        <v>46036.0</v>
      </c>
      <c r="E2870" s="66">
        <v>3.0</v>
      </c>
      <c r="F2870" s="71" t="s">
        <v>3828</v>
      </c>
      <c r="G2870" s="66" t="s">
        <v>247</v>
      </c>
    </row>
    <row r="2871" ht="22.5" customHeight="1">
      <c r="A2871" s="66" t="s">
        <v>2574</v>
      </c>
      <c r="B2871" s="67" t="str">
        <f t="shared" si="15"/>
        <v>M: went over</v>
      </c>
      <c r="C2871" s="66">
        <v>3.0</v>
      </c>
      <c r="D2871" s="68">
        <v>46036.0</v>
      </c>
      <c r="E2871" s="66">
        <v>4.0</v>
      </c>
      <c r="F2871" s="71" t="s">
        <v>3829</v>
      </c>
      <c r="G2871" s="66" t="s">
        <v>247</v>
      </c>
    </row>
    <row r="2872" ht="22.5" customHeight="1">
      <c r="A2872" s="66" t="s">
        <v>3830</v>
      </c>
      <c r="B2872" s="67" t="str">
        <f t="shared" si="15"/>
        <v>M: committing</v>
      </c>
      <c r="C2872" s="68"/>
      <c r="D2872" s="68">
        <v>46037.0</v>
      </c>
      <c r="E2872" s="66">
        <v>5.0</v>
      </c>
      <c r="F2872" s="66" t="str">
        <f>IFERROR(__xludf.DUMMYFUNCTION("GOOGLETRANSLATE(A2872,""en"",""pt"")"),"comprometer")</f>
        <v>comprometer</v>
      </c>
      <c r="G2872" s="69"/>
    </row>
    <row r="2873" ht="22.5" customHeight="1">
      <c r="A2873" s="66" t="s">
        <v>3831</v>
      </c>
      <c r="B2873" s="67" t="str">
        <f t="shared" si="15"/>
        <v>M: exam</v>
      </c>
      <c r="C2873" s="68"/>
      <c r="D2873" s="68">
        <v>46037.0</v>
      </c>
      <c r="E2873" s="66">
        <v>6.0</v>
      </c>
      <c r="F2873" s="66" t="str">
        <f>IFERROR(__xludf.DUMMYFUNCTION("GOOGLETRANSLATE(A2873,""en"",""pt"")"),"exame")</f>
        <v>exame</v>
      </c>
      <c r="G2873" s="69"/>
    </row>
    <row r="2874" ht="22.5" customHeight="1">
      <c r="A2874" s="66" t="s">
        <v>3832</v>
      </c>
      <c r="B2874" s="67" t="str">
        <f t="shared" si="15"/>
        <v>M: apology</v>
      </c>
      <c r="C2874" s="68"/>
      <c r="D2874" s="68">
        <v>46037.0</v>
      </c>
      <c r="E2874" s="66">
        <v>7.0</v>
      </c>
      <c r="F2874" s="66" t="str">
        <f>IFERROR(__xludf.DUMMYFUNCTION("GOOGLETRANSLATE(A2874,""en"",""pt"")"),"desculpa")</f>
        <v>desculpa</v>
      </c>
      <c r="G2874" s="69"/>
    </row>
    <row r="2875" ht="22.5" customHeight="1">
      <c r="A2875" s="66" t="s">
        <v>3833</v>
      </c>
      <c r="B2875" s="67" t="str">
        <f t="shared" si="15"/>
        <v>M: poorly</v>
      </c>
      <c r="C2875" s="68"/>
      <c r="D2875" s="68">
        <v>46037.0</v>
      </c>
      <c r="E2875" s="66">
        <v>8.0</v>
      </c>
      <c r="F2875" s="66" t="str">
        <f>IFERROR(__xludf.DUMMYFUNCTION("GOOGLETRANSLATE(A2875,""en"",""pt"")"),"mal")</f>
        <v>mal</v>
      </c>
      <c r="G2875" s="69"/>
    </row>
    <row r="2876" ht="22.5" customHeight="1">
      <c r="A2876" s="66" t="s">
        <v>3834</v>
      </c>
      <c r="B2876" s="67" t="str">
        <f t="shared" si="15"/>
        <v>M: offended</v>
      </c>
      <c r="C2876" s="68"/>
      <c r="D2876" s="68">
        <v>46037.0</v>
      </c>
      <c r="E2876" s="66">
        <v>9.0</v>
      </c>
      <c r="F2876" s="66" t="str">
        <f>IFERROR(__xludf.DUMMYFUNCTION("GOOGLETRANSLATE(A2876,""en"",""pt"")"),"ofendido")</f>
        <v>ofendido</v>
      </c>
      <c r="G2876" s="69"/>
    </row>
    <row r="2877" ht="22.5" customHeight="1">
      <c r="A2877" s="66" t="s">
        <v>3835</v>
      </c>
      <c r="B2877" s="67" t="str">
        <f t="shared" si="15"/>
        <v>M: rainfall</v>
      </c>
      <c r="C2877" s="68"/>
      <c r="D2877" s="68">
        <v>46037.0</v>
      </c>
      <c r="E2877" s="66">
        <v>10.0</v>
      </c>
      <c r="F2877" s="66" t="str">
        <f>IFERROR(__xludf.DUMMYFUNCTION("GOOGLETRANSLATE(A2877,""en"",""pt"")"),"chuva")</f>
        <v>chuva</v>
      </c>
      <c r="G2877" s="69"/>
    </row>
    <row r="2878" ht="22.5" customHeight="1">
      <c r="A2878" s="66" t="s">
        <v>2357</v>
      </c>
      <c r="B2878" s="67" t="str">
        <f t="shared" si="15"/>
        <v>M: sober</v>
      </c>
      <c r="C2878" s="66">
        <v>2.0</v>
      </c>
      <c r="D2878" s="68">
        <v>46037.0</v>
      </c>
      <c r="E2878" s="66">
        <v>1.0</v>
      </c>
      <c r="F2878" s="71" t="s">
        <v>3836</v>
      </c>
      <c r="G2878" s="66" t="s">
        <v>247</v>
      </c>
    </row>
    <row r="2879" ht="22.5" customHeight="1">
      <c r="A2879" s="66" t="s">
        <v>2357</v>
      </c>
      <c r="B2879" s="67" t="str">
        <f t="shared" si="15"/>
        <v>M: sober</v>
      </c>
      <c r="C2879" s="66">
        <v>3.0</v>
      </c>
      <c r="D2879" s="68">
        <v>46037.0</v>
      </c>
      <c r="E2879" s="66">
        <v>2.0</v>
      </c>
      <c r="F2879" s="66" t="s">
        <v>3837</v>
      </c>
      <c r="G2879" s="66" t="s">
        <v>247</v>
      </c>
    </row>
    <row r="2880" ht="22.5" customHeight="1">
      <c r="A2880" s="66" t="s">
        <v>3838</v>
      </c>
      <c r="B2880" s="67" t="str">
        <f t="shared" si="15"/>
        <v>M: entirely</v>
      </c>
      <c r="C2880" s="68"/>
      <c r="D2880" s="68">
        <v>46037.0</v>
      </c>
      <c r="E2880" s="66">
        <v>3.0</v>
      </c>
      <c r="F2880" s="66" t="str">
        <f>IFERROR(__xludf.DUMMYFUNCTION("GOOGLETRANSLATE(A2880,""en"",""pt"")"),"inteiramente")</f>
        <v>inteiramente</v>
      </c>
      <c r="G2880" s="69"/>
    </row>
    <row r="2881" ht="22.5" customHeight="1">
      <c r="A2881" s="66" t="s">
        <v>3839</v>
      </c>
      <c r="B2881" s="67" t="str">
        <f t="shared" si="15"/>
        <v>M: maintained</v>
      </c>
      <c r="C2881" s="68"/>
      <c r="D2881" s="68">
        <v>46037.0</v>
      </c>
      <c r="E2881" s="66">
        <v>4.0</v>
      </c>
      <c r="F2881" s="66" t="str">
        <f>IFERROR(__xludf.DUMMYFUNCTION("GOOGLETRANSLATE(A2881,""en"",""pt"")"),"mantido")</f>
        <v>mantido</v>
      </c>
      <c r="G2881" s="69"/>
    </row>
    <row r="2882" ht="22.5" customHeight="1">
      <c r="A2882" s="66" t="s">
        <v>2373</v>
      </c>
      <c r="B2882" s="67" t="str">
        <f t="shared" si="15"/>
        <v>M: he'll</v>
      </c>
      <c r="C2882" s="66">
        <v>2.0</v>
      </c>
      <c r="D2882" s="68">
        <v>46038.0</v>
      </c>
      <c r="E2882" s="66">
        <v>5.0</v>
      </c>
      <c r="F2882" s="71" t="s">
        <v>3840</v>
      </c>
      <c r="G2882" s="66" t="s">
        <v>247</v>
      </c>
    </row>
    <row r="2883" ht="22.5" customHeight="1">
      <c r="A2883" s="66" t="s">
        <v>344</v>
      </c>
      <c r="B2883" s="67" t="str">
        <f t="shared" si="15"/>
        <v>M: closest</v>
      </c>
      <c r="C2883" s="66">
        <v>2.0</v>
      </c>
      <c r="D2883" s="68">
        <v>46038.0</v>
      </c>
      <c r="E2883" s="66">
        <v>6.0</v>
      </c>
      <c r="F2883" s="71" t="s">
        <v>3841</v>
      </c>
      <c r="G2883" s="66" t="s">
        <v>247</v>
      </c>
    </row>
    <row r="2884" ht="22.5" customHeight="1">
      <c r="A2884" s="66" t="s">
        <v>344</v>
      </c>
      <c r="B2884" s="67" t="str">
        <f t="shared" si="15"/>
        <v>M: closest</v>
      </c>
      <c r="C2884" s="66">
        <v>3.0</v>
      </c>
      <c r="D2884" s="68">
        <v>46038.0</v>
      </c>
      <c r="E2884" s="66">
        <v>7.0</v>
      </c>
      <c r="F2884" s="71" t="s">
        <v>3842</v>
      </c>
      <c r="G2884" s="66" t="s">
        <v>247</v>
      </c>
    </row>
    <row r="2885" ht="22.5" customHeight="1">
      <c r="A2885" s="66" t="s">
        <v>2637</v>
      </c>
      <c r="B2885" s="67" t="str">
        <f t="shared" si="15"/>
        <v>M: conflict</v>
      </c>
      <c r="C2885" s="66">
        <v>2.0</v>
      </c>
      <c r="D2885" s="68">
        <v>46038.0</v>
      </c>
      <c r="E2885" s="66">
        <v>8.0</v>
      </c>
      <c r="F2885" s="71" t="s">
        <v>3843</v>
      </c>
      <c r="G2885" s="66" t="s">
        <v>247</v>
      </c>
    </row>
    <row r="2886" ht="22.5" customHeight="1">
      <c r="A2886" s="66" t="s">
        <v>1573</v>
      </c>
      <c r="B2886" s="67" t="str">
        <f t="shared" si="15"/>
        <v>M: decency</v>
      </c>
      <c r="C2886" s="66">
        <v>2.0</v>
      </c>
      <c r="D2886" s="68">
        <v>46038.0</v>
      </c>
      <c r="E2886" s="66">
        <v>9.0</v>
      </c>
      <c r="F2886" s="66" t="s">
        <v>3844</v>
      </c>
      <c r="G2886" s="66" t="s">
        <v>247</v>
      </c>
    </row>
    <row r="2887" ht="22.5" customHeight="1">
      <c r="A2887" s="66" t="s">
        <v>3845</v>
      </c>
      <c r="B2887" s="67" t="str">
        <f t="shared" si="15"/>
        <v>M: acted</v>
      </c>
      <c r="C2887" s="68"/>
      <c r="D2887" s="68">
        <v>46038.0</v>
      </c>
      <c r="E2887" s="66">
        <v>10.0</v>
      </c>
      <c r="F2887" s="66" t="str">
        <f>IFERROR(__xludf.DUMMYFUNCTION("GOOGLETRANSLATE(A2887,""en"",""pt"")"),"agiu")</f>
        <v>agiu</v>
      </c>
      <c r="G2887" s="69"/>
    </row>
    <row r="2888" ht="22.5" customHeight="1">
      <c r="A2888" s="66" t="s">
        <v>3846</v>
      </c>
      <c r="B2888" s="67" t="str">
        <f t="shared" si="15"/>
        <v>M: politician</v>
      </c>
      <c r="C2888" s="68"/>
      <c r="D2888" s="68">
        <v>46038.0</v>
      </c>
      <c r="E2888" s="66">
        <v>1.0</v>
      </c>
      <c r="F2888" s="66" t="str">
        <f>IFERROR(__xludf.DUMMYFUNCTION("GOOGLETRANSLATE(A2888,""en"",""pt"")"),"político")</f>
        <v>político</v>
      </c>
      <c r="G2888" s="69"/>
    </row>
    <row r="2889" ht="22.5" customHeight="1">
      <c r="A2889" s="66" t="s">
        <v>3847</v>
      </c>
      <c r="B2889" s="67" t="str">
        <f t="shared" si="15"/>
        <v>M: sense</v>
      </c>
      <c r="C2889" s="68"/>
      <c r="D2889" s="68">
        <v>46038.0</v>
      </c>
      <c r="E2889" s="66">
        <v>2.0</v>
      </c>
      <c r="F2889" s="66" t="str">
        <f>IFERROR(__xludf.DUMMYFUNCTION("GOOGLETRANSLATE(A2889,""en"",""pt"")"),"senso")</f>
        <v>senso</v>
      </c>
      <c r="G2889" s="69"/>
    </row>
    <row r="2890" ht="22.5" customHeight="1">
      <c r="A2890" s="66" t="s">
        <v>3848</v>
      </c>
      <c r="B2890" s="67" t="str">
        <f t="shared" si="15"/>
        <v>M: workplace</v>
      </c>
      <c r="C2890" s="68"/>
      <c r="D2890" s="68">
        <v>46038.0</v>
      </c>
      <c r="E2890" s="66">
        <v>3.0</v>
      </c>
      <c r="F2890" s="66" t="str">
        <f>IFERROR(__xludf.DUMMYFUNCTION("GOOGLETRANSLATE(A2890,""en"",""pt"")"),"local de trabalho")</f>
        <v>local de trabalho</v>
      </c>
      <c r="G2890" s="69"/>
    </row>
    <row r="2891" ht="22.5" customHeight="1">
      <c r="A2891" s="66" t="s">
        <v>3849</v>
      </c>
      <c r="B2891" s="67" t="str">
        <f t="shared" si="15"/>
        <v>M: questioned</v>
      </c>
      <c r="C2891" s="68"/>
      <c r="D2891" s="68">
        <v>46038.0</v>
      </c>
      <c r="E2891" s="66">
        <v>4.0</v>
      </c>
      <c r="F2891" s="66" t="str">
        <f>IFERROR(__xludf.DUMMYFUNCTION("GOOGLETRANSLATE(A2891,""en"",""pt"")"),"questionado")</f>
        <v>questionado</v>
      </c>
      <c r="G2891" s="69"/>
    </row>
    <row r="2892" ht="22.5" customHeight="1">
      <c r="A2892" s="66" t="s">
        <v>3850</v>
      </c>
      <c r="B2892" s="67" t="str">
        <f t="shared" si="15"/>
        <v>M: paying</v>
      </c>
      <c r="C2892" s="68"/>
      <c r="D2892" s="68">
        <v>46039.0</v>
      </c>
      <c r="E2892" s="66">
        <v>5.0</v>
      </c>
      <c r="F2892" s="66" t="str">
        <f>IFERROR(__xludf.DUMMYFUNCTION("GOOGLETRANSLATE(A2892,""en"",""pt"")"),"pagando")</f>
        <v>pagando</v>
      </c>
      <c r="G2892" s="69"/>
    </row>
    <row r="2893" ht="22.5" customHeight="1">
      <c r="A2893" s="66" t="s">
        <v>3851</v>
      </c>
      <c r="B2893" s="67" t="str">
        <f t="shared" si="15"/>
        <v>M: damages</v>
      </c>
      <c r="C2893" s="68"/>
      <c r="D2893" s="68">
        <v>46039.0</v>
      </c>
      <c r="E2893" s="66">
        <v>6.0</v>
      </c>
      <c r="F2893" s="66" t="str">
        <f>IFERROR(__xludf.DUMMYFUNCTION("GOOGLETRANSLATE(A2893,""en"",""pt"")"),"danos")</f>
        <v>danos</v>
      </c>
      <c r="G2893" s="69"/>
    </row>
    <row r="2894" ht="22.5" customHeight="1">
      <c r="A2894" s="66" t="s">
        <v>2307</v>
      </c>
      <c r="B2894" s="67" t="str">
        <f t="shared" si="15"/>
        <v>M: worse</v>
      </c>
      <c r="C2894" s="66">
        <v>2.0</v>
      </c>
      <c r="D2894" s="68">
        <v>46039.0</v>
      </c>
      <c r="E2894" s="66">
        <v>7.0</v>
      </c>
      <c r="F2894" s="66" t="s">
        <v>3852</v>
      </c>
      <c r="G2894" s="66" t="s">
        <v>247</v>
      </c>
    </row>
    <row r="2895" ht="22.5" customHeight="1">
      <c r="A2895" s="66" t="s">
        <v>2202</v>
      </c>
      <c r="B2895" s="67" t="str">
        <f t="shared" si="15"/>
        <v>M: hitting</v>
      </c>
      <c r="C2895" s="66">
        <v>2.0</v>
      </c>
      <c r="D2895" s="68">
        <v>46039.0</v>
      </c>
      <c r="E2895" s="66">
        <v>8.0</v>
      </c>
      <c r="F2895" s="66" t="str">
        <f>IFERROR(__xludf.DUMMYFUNCTION("GOOGLETRANSLATE(A2895,""en"",""pt"")"),"batendo")</f>
        <v>batendo</v>
      </c>
      <c r="G2895" s="66" t="s">
        <v>247</v>
      </c>
    </row>
    <row r="2896" ht="22.5" customHeight="1">
      <c r="A2896" s="66" t="s">
        <v>2202</v>
      </c>
      <c r="B2896" s="67" t="str">
        <f t="shared" si="15"/>
        <v>M: hitting</v>
      </c>
      <c r="C2896" s="66">
        <v>3.0</v>
      </c>
      <c r="D2896" s="68">
        <v>46039.0</v>
      </c>
      <c r="E2896" s="66">
        <v>9.0</v>
      </c>
      <c r="F2896" s="66" t="str">
        <f>IFERROR(__xludf.DUMMYFUNCTION("GOOGLETRANSLATE(A2896,""en"",""pt"")"),"batendo")</f>
        <v>batendo</v>
      </c>
      <c r="G2896" s="66" t="s">
        <v>247</v>
      </c>
    </row>
    <row r="2897" ht="22.5" customHeight="1">
      <c r="A2897" s="66" t="s">
        <v>3853</v>
      </c>
      <c r="B2897" s="67" t="str">
        <f t="shared" si="15"/>
        <v>M: boxer</v>
      </c>
      <c r="C2897" s="68"/>
      <c r="D2897" s="68">
        <v>46039.0</v>
      </c>
      <c r="E2897" s="66">
        <v>10.0</v>
      </c>
      <c r="F2897" s="66" t="str">
        <f>IFERROR(__xludf.DUMMYFUNCTION("GOOGLETRANSLATE(A2897,""en"",""pt"")"),"boxer")</f>
        <v>boxer</v>
      </c>
      <c r="G2897" s="69"/>
    </row>
    <row r="2898" ht="22.5" customHeight="1">
      <c r="A2898" s="66" t="s">
        <v>3854</v>
      </c>
      <c r="B2898" s="67" t="str">
        <f t="shared" si="15"/>
        <v>M: punches</v>
      </c>
      <c r="C2898" s="68"/>
      <c r="D2898" s="68">
        <v>46039.0</v>
      </c>
      <c r="E2898" s="66">
        <v>1.0</v>
      </c>
      <c r="F2898" s="66" t="str">
        <f>IFERROR(__xludf.DUMMYFUNCTION("GOOGLETRANSLATE(A2898,""en"",""pt"")"),"socos")</f>
        <v>socos</v>
      </c>
      <c r="G2898" s="69"/>
    </row>
    <row r="2899" ht="22.5" customHeight="1">
      <c r="A2899" s="66" t="s">
        <v>3855</v>
      </c>
      <c r="B2899" s="67" t="str">
        <f t="shared" si="15"/>
        <v>M: fast</v>
      </c>
      <c r="C2899" s="68"/>
      <c r="D2899" s="68">
        <v>46039.0</v>
      </c>
      <c r="E2899" s="66">
        <v>2.0</v>
      </c>
      <c r="F2899" s="66" t="str">
        <f>IFERROR(__xludf.DUMMYFUNCTION("GOOGLETRANSLATE(A2899,""en"",""pt"")"),"rápido")</f>
        <v>rápido</v>
      </c>
      <c r="G2899" s="69"/>
    </row>
    <row r="2900" ht="22.5" customHeight="1">
      <c r="A2900" s="66" t="s">
        <v>3856</v>
      </c>
      <c r="B2900" s="67" t="str">
        <f t="shared" si="15"/>
        <v>M: hard</v>
      </c>
      <c r="C2900" s="68"/>
      <c r="D2900" s="68">
        <v>46039.0</v>
      </c>
      <c r="E2900" s="66">
        <v>3.0</v>
      </c>
      <c r="F2900" s="66" t="str">
        <f>IFERROR(__xludf.DUMMYFUNCTION("GOOGLETRANSLATE(A2900,""en"",""pt"")"),"duro")</f>
        <v>duro</v>
      </c>
      <c r="G2900" s="69"/>
    </row>
    <row r="2901" ht="22.5" customHeight="1">
      <c r="A2901" s="66" t="s">
        <v>3857</v>
      </c>
      <c r="B2901" s="67" t="str">
        <f t="shared" si="15"/>
        <v>M: net</v>
      </c>
      <c r="C2901" s="68"/>
      <c r="D2901" s="68">
        <v>46039.0</v>
      </c>
      <c r="E2901" s="66">
        <v>4.0</v>
      </c>
      <c r="F2901" s="66" t="str">
        <f>IFERROR(__xludf.DUMMYFUNCTION("GOOGLETRANSLATE(A2901,""en"",""pt"")"),"líquido")</f>
        <v>líquido</v>
      </c>
      <c r="G2901" s="69"/>
    </row>
    <row r="2902" ht="22.5" customHeight="1">
      <c r="A2902" s="66" t="s">
        <v>3858</v>
      </c>
      <c r="B2902" s="67" t="str">
        <f t="shared" si="15"/>
        <v>M: repeatedly</v>
      </c>
      <c r="C2902" s="68"/>
      <c r="D2902" s="68">
        <v>46040.0</v>
      </c>
      <c r="E2902" s="66">
        <v>5.0</v>
      </c>
      <c r="F2902" s="66" t="str">
        <f>IFERROR(__xludf.DUMMYFUNCTION("GOOGLETRANSLATE(A2902,""en"",""pt"")"),"repetidamente")</f>
        <v>repetidamente</v>
      </c>
      <c r="G2902" s="69"/>
    </row>
    <row r="2903" ht="22.5" customHeight="1">
      <c r="A2903" s="66" t="s">
        <v>3859</v>
      </c>
      <c r="B2903" s="67" t="str">
        <f t="shared" si="15"/>
        <v>M: release</v>
      </c>
      <c r="C2903" s="68"/>
      <c r="D2903" s="68">
        <v>46040.0</v>
      </c>
      <c r="E2903" s="66">
        <v>6.0</v>
      </c>
      <c r="F2903" s="66" t="str">
        <f>IFERROR(__xludf.DUMMYFUNCTION("GOOGLETRANSLATE(A2903,""en"",""pt"")"),"liberar")</f>
        <v>liberar</v>
      </c>
      <c r="G2903" s="69"/>
    </row>
    <row r="2904" ht="22.5" customHeight="1">
      <c r="A2904" s="66" t="s">
        <v>3860</v>
      </c>
      <c r="B2904" s="67" t="str">
        <f t="shared" si="15"/>
        <v>M: highs</v>
      </c>
      <c r="C2904" s="68"/>
      <c r="D2904" s="68">
        <v>46040.0</v>
      </c>
      <c r="E2904" s="66">
        <v>7.0</v>
      </c>
      <c r="F2904" s="66" t="str">
        <f>IFERROR(__xludf.DUMMYFUNCTION("GOOGLETRANSLATE(A2904,""en"",""pt"")"),"altos")</f>
        <v>altos</v>
      </c>
      <c r="G2904" s="69"/>
    </row>
    <row r="2905" ht="22.5" customHeight="1">
      <c r="A2905" s="66" t="s">
        <v>3861</v>
      </c>
      <c r="B2905" s="67" t="str">
        <f t="shared" si="15"/>
        <v>M: ramp</v>
      </c>
      <c r="C2905" s="68"/>
      <c r="D2905" s="68">
        <v>46040.0</v>
      </c>
      <c r="E2905" s="66">
        <v>8.0</v>
      </c>
      <c r="F2905" s="66" t="str">
        <f>IFERROR(__xludf.DUMMYFUNCTION("GOOGLETRANSLATE(A2905,""en"",""pt"")"),"rampa")</f>
        <v>rampa</v>
      </c>
      <c r="G2905" s="69"/>
    </row>
    <row r="2906" ht="22.5" customHeight="1">
      <c r="A2906" s="66" t="s">
        <v>3862</v>
      </c>
      <c r="B2906" s="67" t="str">
        <f t="shared" si="15"/>
        <v>M: blizzard</v>
      </c>
      <c r="C2906" s="68"/>
      <c r="D2906" s="68">
        <v>46040.0</v>
      </c>
      <c r="E2906" s="66">
        <v>9.0</v>
      </c>
      <c r="F2906" s="66" t="str">
        <f>IFERROR(__xludf.DUMMYFUNCTION("GOOGLETRANSLATE(A2906,""en"",""pt"")"),"nevasca")</f>
        <v>nevasca</v>
      </c>
      <c r="G2906" s="69"/>
    </row>
    <row r="2907" ht="22.5" customHeight="1">
      <c r="A2907" s="66" t="s">
        <v>2397</v>
      </c>
      <c r="B2907" s="67" t="str">
        <f t="shared" si="15"/>
        <v>M: failing</v>
      </c>
      <c r="C2907" s="66">
        <v>2.0</v>
      </c>
      <c r="D2907" s="68">
        <v>46040.0</v>
      </c>
      <c r="E2907" s="66">
        <v>10.0</v>
      </c>
      <c r="F2907" s="71" t="s">
        <v>3863</v>
      </c>
      <c r="G2907" s="66" t="s">
        <v>247</v>
      </c>
    </row>
    <row r="2908" ht="22.5" customHeight="1">
      <c r="A2908" s="66" t="s">
        <v>2397</v>
      </c>
      <c r="B2908" s="67" t="str">
        <f t="shared" si="15"/>
        <v>M: failing</v>
      </c>
      <c r="C2908" s="66">
        <v>3.0</v>
      </c>
      <c r="D2908" s="68">
        <v>46040.0</v>
      </c>
      <c r="E2908" s="66">
        <v>1.0</v>
      </c>
      <c r="F2908" s="71" t="s">
        <v>3864</v>
      </c>
      <c r="G2908" s="66" t="s">
        <v>247</v>
      </c>
    </row>
    <row r="2909" ht="22.5" customHeight="1">
      <c r="A2909" s="66" t="s">
        <v>3865</v>
      </c>
      <c r="B2909" s="67" t="str">
        <f t="shared" si="15"/>
        <v>M: module</v>
      </c>
      <c r="C2909" s="68"/>
      <c r="D2909" s="68">
        <v>46040.0</v>
      </c>
      <c r="E2909" s="66">
        <v>2.0</v>
      </c>
      <c r="F2909" s="66" t="str">
        <f>IFERROR(__xludf.DUMMYFUNCTION("GOOGLETRANSLATE(A2909,""en"",""pt"")"),"módulo")</f>
        <v>módulo</v>
      </c>
      <c r="G2909" s="69"/>
    </row>
    <row r="2910" ht="22.5" customHeight="1">
      <c r="A2910" s="66" t="s">
        <v>3866</v>
      </c>
      <c r="B2910" s="67" t="str">
        <f t="shared" si="15"/>
        <v>M: keeps</v>
      </c>
      <c r="C2910" s="68"/>
      <c r="D2910" s="68">
        <v>46040.0</v>
      </c>
      <c r="E2910" s="66">
        <v>3.0</v>
      </c>
      <c r="F2910" s="66" t="str">
        <f>IFERROR(__xludf.DUMMYFUNCTION("GOOGLETRANSLATE(A2910,""en"",""pt"")"),"mantém")</f>
        <v>mantém</v>
      </c>
      <c r="G2910" s="69"/>
    </row>
    <row r="2911" ht="22.5" customHeight="1">
      <c r="A2911" s="66" t="s">
        <v>3867</v>
      </c>
      <c r="B2911" s="67" t="str">
        <f t="shared" si="15"/>
        <v>M: handles</v>
      </c>
      <c r="C2911" s="68"/>
      <c r="D2911" s="68">
        <v>46040.0</v>
      </c>
      <c r="E2911" s="66">
        <v>4.0</v>
      </c>
      <c r="F2911" s="66" t="str">
        <f>IFERROR(__xludf.DUMMYFUNCTION("GOOGLETRANSLATE(A2911,""en"",""pt"")"),"alças")</f>
        <v>alças</v>
      </c>
      <c r="G2911" s="69"/>
    </row>
    <row r="2912" ht="22.5" customHeight="1">
      <c r="A2912" s="66" t="s">
        <v>3868</v>
      </c>
      <c r="B2912" s="67" t="str">
        <f t="shared" si="15"/>
        <v>M: peak</v>
      </c>
      <c r="C2912" s="68"/>
      <c r="D2912" s="68">
        <v>46041.0</v>
      </c>
      <c r="E2912" s="66">
        <v>5.0</v>
      </c>
      <c r="F2912" s="66" t="str">
        <f>IFERROR(__xludf.DUMMYFUNCTION("GOOGLETRANSLATE(A2912,""en"",""pt"")"),"pico")</f>
        <v>pico</v>
      </c>
      <c r="G2912" s="69"/>
    </row>
    <row r="2913" ht="22.5" customHeight="1">
      <c r="A2913" s="66" t="s">
        <v>3869</v>
      </c>
      <c r="B2913" s="67" t="str">
        <f t="shared" si="15"/>
        <v>M: load</v>
      </c>
      <c r="C2913" s="68"/>
      <c r="D2913" s="68">
        <v>46041.0</v>
      </c>
      <c r="E2913" s="66">
        <v>6.0</v>
      </c>
      <c r="F2913" s="66" t="str">
        <f>IFERROR(__xludf.DUMMYFUNCTION("GOOGLETRANSLATE(A2913,""en"",""pt"")"),"carregar")</f>
        <v>carregar</v>
      </c>
      <c r="G2913" s="69"/>
    </row>
    <row r="2914" ht="22.5" customHeight="1">
      <c r="A2914" s="66" t="s">
        <v>3870</v>
      </c>
      <c r="B2914" s="67" t="str">
        <f t="shared" si="15"/>
        <v>M: overcomplicate</v>
      </c>
      <c r="C2914" s="68"/>
      <c r="D2914" s="68">
        <v>46041.0</v>
      </c>
      <c r="E2914" s="66">
        <v>7.0</v>
      </c>
      <c r="F2914" s="66" t="str">
        <f>IFERROR(__xludf.DUMMYFUNCTION("GOOGLETRANSLATE(A2914,""en"",""pt"")"),"complicar demais")</f>
        <v>complicar demais</v>
      </c>
      <c r="G2914" s="69"/>
    </row>
    <row r="2915" ht="22.5" customHeight="1">
      <c r="A2915" s="66" t="s">
        <v>3871</v>
      </c>
      <c r="B2915" s="67" t="str">
        <f t="shared" si="15"/>
        <v>M: forgave</v>
      </c>
      <c r="C2915" s="68"/>
      <c r="D2915" s="68">
        <v>46041.0</v>
      </c>
      <c r="E2915" s="66">
        <v>8.0</v>
      </c>
      <c r="F2915" s="66" t="str">
        <f>IFERROR(__xludf.DUMMYFUNCTION("GOOGLETRANSLATE(A2915,""en"",""pt"")"),"perdoou")</f>
        <v>perdoou</v>
      </c>
      <c r="G2915" s="69"/>
    </row>
    <row r="2916" ht="22.5" customHeight="1">
      <c r="A2916" s="66" t="s">
        <v>3872</v>
      </c>
      <c r="B2916" s="67" t="str">
        <f t="shared" si="15"/>
        <v>M: apologized</v>
      </c>
      <c r="C2916" s="68"/>
      <c r="D2916" s="68">
        <v>46041.0</v>
      </c>
      <c r="E2916" s="66">
        <v>9.0</v>
      </c>
      <c r="F2916" s="66" t="str">
        <f>IFERROR(__xludf.DUMMYFUNCTION("GOOGLETRANSLATE(A2916,""en"",""pt"")"),"pediu desculpas")</f>
        <v>pediu desculpas</v>
      </c>
      <c r="G2916" s="69"/>
    </row>
    <row r="2917" ht="22.5" customHeight="1">
      <c r="A2917" s="66" t="s">
        <v>1243</v>
      </c>
      <c r="B2917" s="67" t="str">
        <f t="shared" si="15"/>
        <v>M: tread</v>
      </c>
      <c r="C2917" s="66">
        <v>2.0</v>
      </c>
      <c r="D2917" s="68">
        <v>46041.0</v>
      </c>
      <c r="E2917" s="66">
        <v>10.0</v>
      </c>
      <c r="F2917" s="71" t="s">
        <v>3873</v>
      </c>
      <c r="G2917" s="66" t="s">
        <v>247</v>
      </c>
    </row>
    <row r="2918" ht="22.5" customHeight="1">
      <c r="A2918" s="66" t="s">
        <v>1243</v>
      </c>
      <c r="B2918" s="67" t="str">
        <f t="shared" si="15"/>
        <v>M: tread</v>
      </c>
      <c r="C2918" s="66">
        <v>3.0</v>
      </c>
      <c r="D2918" s="68">
        <v>46041.0</v>
      </c>
      <c r="E2918" s="66">
        <v>1.0</v>
      </c>
      <c r="F2918" s="71" t="s">
        <v>3874</v>
      </c>
      <c r="G2918" s="66" t="s">
        <v>247</v>
      </c>
    </row>
    <row r="2919" ht="22.5" customHeight="1">
      <c r="A2919" s="66" t="s">
        <v>3875</v>
      </c>
      <c r="B2919" s="67" t="str">
        <f t="shared" si="15"/>
        <v>M: waking</v>
      </c>
      <c r="C2919" s="68"/>
      <c r="D2919" s="68">
        <v>46041.0</v>
      </c>
      <c r="E2919" s="66">
        <v>2.0</v>
      </c>
      <c r="F2919" s="66" t="str">
        <f>IFERROR(__xludf.DUMMYFUNCTION("GOOGLETRANSLATE(A2919,""en"",""pt"")"),"acordando")</f>
        <v>acordando</v>
      </c>
      <c r="G2919" s="69"/>
    </row>
    <row r="2920" ht="22.5" customHeight="1">
      <c r="A2920" s="66" t="s">
        <v>3876</v>
      </c>
      <c r="B2920" s="67" t="str">
        <f t="shared" si="15"/>
        <v>M: lightly</v>
      </c>
      <c r="C2920" s="68"/>
      <c r="D2920" s="68">
        <v>46041.0</v>
      </c>
      <c r="E2920" s="66">
        <v>3.0</v>
      </c>
      <c r="F2920" s="66" t="str">
        <f>IFERROR(__xludf.DUMMYFUNCTION("GOOGLETRANSLATE(A2920,""en"",""pt"")"),"levemente")</f>
        <v>levemente</v>
      </c>
      <c r="G2920" s="69"/>
    </row>
    <row r="2921" ht="22.5" customHeight="1">
      <c r="A2921" s="66" t="s">
        <v>3877</v>
      </c>
      <c r="B2921" s="67" t="str">
        <f t="shared" si="15"/>
        <v>M: trod</v>
      </c>
      <c r="C2921" s="68"/>
      <c r="D2921" s="68">
        <v>46041.0</v>
      </c>
      <c r="E2921" s="66">
        <v>4.0</v>
      </c>
      <c r="F2921" s="66" t="str">
        <f>IFERROR(__xludf.DUMMYFUNCTION("GOOGLETRANSLATE(A2921,""en"",""pt"")"),"pisou")</f>
        <v>pisou</v>
      </c>
      <c r="G2921" s="69"/>
    </row>
    <row r="2922" ht="22.5" customHeight="1">
      <c r="A2922" s="66" t="s">
        <v>3878</v>
      </c>
      <c r="B2922" s="67" t="str">
        <f t="shared" si="15"/>
        <v>M: worn</v>
      </c>
      <c r="C2922" s="68"/>
      <c r="D2922" s="68">
        <v>46042.0</v>
      </c>
      <c r="E2922" s="66">
        <v>5.0</v>
      </c>
      <c r="F2922" s="66" t="str">
        <f>IFERROR(__xludf.DUMMYFUNCTION("GOOGLETRANSLATE(A2922,""en"",""pt"")"),"desgastado")</f>
        <v>desgastado</v>
      </c>
      <c r="G2922" s="69"/>
    </row>
    <row r="2923" ht="22.5" customHeight="1">
      <c r="A2923" s="66" t="s">
        <v>3879</v>
      </c>
      <c r="B2923" s="67" t="str">
        <f t="shared" si="15"/>
        <v>M: rights</v>
      </c>
      <c r="C2923" s="68"/>
      <c r="D2923" s="68">
        <v>46042.0</v>
      </c>
      <c r="E2923" s="66">
        <v>6.0</v>
      </c>
      <c r="F2923" s="66" t="str">
        <f>IFERROR(__xludf.DUMMYFUNCTION("GOOGLETRANSLATE(A2923,""en"",""pt"")"),"direitos")</f>
        <v>direitos</v>
      </c>
      <c r="G2923" s="69"/>
    </row>
    <row r="2924" ht="22.5" customHeight="1">
      <c r="A2924" s="66" t="s">
        <v>3880</v>
      </c>
      <c r="B2924" s="67" t="str">
        <f t="shared" si="15"/>
        <v>M: massive</v>
      </c>
      <c r="C2924" s="68"/>
      <c r="D2924" s="68">
        <v>46042.0</v>
      </c>
      <c r="E2924" s="66">
        <v>7.0</v>
      </c>
      <c r="F2924" s="66" t="str">
        <f>IFERROR(__xludf.DUMMYFUNCTION("GOOGLETRANSLATE(A2924,""en"",""pt"")"),"enorme")</f>
        <v>enorme</v>
      </c>
      <c r="G2924" s="69"/>
    </row>
    <row r="2925" ht="22.5" customHeight="1">
      <c r="A2925" s="66" t="s">
        <v>3881</v>
      </c>
      <c r="B2925" s="67" t="str">
        <f t="shared" si="15"/>
        <v>M: tires</v>
      </c>
      <c r="C2925" s="66">
        <v>1.0</v>
      </c>
      <c r="D2925" s="68">
        <v>46042.0</v>
      </c>
      <c r="E2925" s="66">
        <v>8.0</v>
      </c>
      <c r="F2925" s="66" t="s">
        <v>3882</v>
      </c>
      <c r="G2925" s="66" t="s">
        <v>247</v>
      </c>
    </row>
    <row r="2926" ht="22.5" customHeight="1">
      <c r="A2926" s="66" t="s">
        <v>3881</v>
      </c>
      <c r="B2926" s="67" t="str">
        <f t="shared" si="15"/>
        <v>M: tires</v>
      </c>
      <c r="C2926" s="66">
        <v>2.0</v>
      </c>
      <c r="D2926" s="68">
        <v>46042.0</v>
      </c>
      <c r="E2926" s="66">
        <v>9.0</v>
      </c>
      <c r="F2926" s="66" t="s">
        <v>3883</v>
      </c>
      <c r="G2926" s="66" t="s">
        <v>247</v>
      </c>
    </row>
    <row r="2927" ht="22.5" customHeight="1">
      <c r="A2927" s="66" t="s">
        <v>3881</v>
      </c>
      <c r="B2927" s="67" t="str">
        <f t="shared" si="15"/>
        <v>M: tires</v>
      </c>
      <c r="C2927" s="66">
        <v>3.0</v>
      </c>
      <c r="D2927" s="68">
        <v>46042.0</v>
      </c>
      <c r="E2927" s="66">
        <v>10.0</v>
      </c>
      <c r="F2927" s="71" t="s">
        <v>3884</v>
      </c>
      <c r="G2927" s="66" t="s">
        <v>247</v>
      </c>
    </row>
    <row r="2928" ht="22.5" customHeight="1">
      <c r="A2928" s="66" t="s">
        <v>3885</v>
      </c>
      <c r="B2928" s="67" t="str">
        <f t="shared" si="15"/>
        <v>M: wear</v>
      </c>
      <c r="C2928" s="68"/>
      <c r="D2928" s="68">
        <v>46042.0</v>
      </c>
      <c r="E2928" s="66">
        <v>1.0</v>
      </c>
      <c r="F2928" s="66" t="str">
        <f>IFERROR(__xludf.DUMMYFUNCTION("GOOGLETRANSLATE(A2928,""en"",""pt"")"),"vestir")</f>
        <v>vestir</v>
      </c>
      <c r="G2928" s="69"/>
    </row>
    <row r="2929" ht="22.5" customHeight="1">
      <c r="A2929" s="66" t="s">
        <v>3886</v>
      </c>
      <c r="B2929" s="67" t="str">
        <f t="shared" si="15"/>
        <v>M: flight</v>
      </c>
      <c r="C2929" s="68"/>
      <c r="D2929" s="68">
        <v>46042.0</v>
      </c>
      <c r="E2929" s="66">
        <v>2.0</v>
      </c>
      <c r="F2929" s="66" t="str">
        <f>IFERROR(__xludf.DUMMYFUNCTION("GOOGLETRANSLATE(A2929,""en"",""pt"")"),"voo")</f>
        <v>voo</v>
      </c>
      <c r="G2929" s="69"/>
    </row>
    <row r="2930" ht="22.5" customHeight="1">
      <c r="A2930" s="66" t="s">
        <v>3887</v>
      </c>
      <c r="B2930" s="67" t="str">
        <f t="shared" si="15"/>
        <v>M: easily</v>
      </c>
      <c r="C2930" s="68"/>
      <c r="D2930" s="68">
        <v>46042.0</v>
      </c>
      <c r="E2930" s="66">
        <v>3.0</v>
      </c>
      <c r="F2930" s="66" t="str">
        <f>IFERROR(__xludf.DUMMYFUNCTION("GOOGLETRANSLATE(A2930,""en"",""pt"")"),"facilmente")</f>
        <v>facilmente</v>
      </c>
      <c r="G2930" s="69"/>
    </row>
    <row r="2931" ht="22.5" customHeight="1">
      <c r="A2931" s="66" t="s">
        <v>3888</v>
      </c>
      <c r="B2931" s="67" t="str">
        <f t="shared" si="15"/>
        <v>M: complaining</v>
      </c>
      <c r="C2931" s="68"/>
      <c r="D2931" s="68">
        <v>46042.0</v>
      </c>
      <c r="E2931" s="66">
        <v>4.0</v>
      </c>
      <c r="F2931" s="66" t="str">
        <f>IFERROR(__xludf.DUMMYFUNCTION("GOOGLETRANSLATE(A2931,""en"",""pt"")"),"reclamando")</f>
        <v>reclamando</v>
      </c>
      <c r="G2931" s="69"/>
    </row>
    <row r="2932" ht="22.5" customHeight="1">
      <c r="A2932" s="66" t="s">
        <v>3889</v>
      </c>
      <c r="B2932" s="67" t="str">
        <f t="shared" si="15"/>
        <v>M: jokes</v>
      </c>
      <c r="C2932" s="68"/>
      <c r="D2932" s="68">
        <v>46043.0</v>
      </c>
      <c r="E2932" s="66">
        <v>5.0</v>
      </c>
      <c r="F2932" s="66" t="str">
        <f>IFERROR(__xludf.DUMMYFUNCTION("GOOGLETRANSLATE(A2932,""en"",""pt"")"),"piadas")</f>
        <v>piadas</v>
      </c>
      <c r="G2932" s="69"/>
    </row>
    <row r="2933" ht="22.5" customHeight="1">
      <c r="A2933" s="66" t="s">
        <v>535</v>
      </c>
      <c r="B2933" s="67" t="str">
        <f t="shared" si="15"/>
        <v>M: pulled</v>
      </c>
      <c r="C2933" s="66">
        <v>2.0</v>
      </c>
      <c r="D2933" s="68">
        <v>46043.0</v>
      </c>
      <c r="E2933" s="66">
        <v>6.0</v>
      </c>
      <c r="F2933" s="66" t="s">
        <v>3890</v>
      </c>
      <c r="G2933" s="66" t="s">
        <v>247</v>
      </c>
    </row>
    <row r="2934" ht="22.5" customHeight="1">
      <c r="A2934" s="66" t="s">
        <v>535</v>
      </c>
      <c r="B2934" s="67" t="str">
        <f t="shared" si="15"/>
        <v>M: pulled</v>
      </c>
      <c r="C2934" s="66">
        <v>3.0</v>
      </c>
      <c r="D2934" s="68">
        <v>46043.0</v>
      </c>
      <c r="E2934" s="66">
        <v>7.0</v>
      </c>
      <c r="F2934" s="66" t="s">
        <v>3891</v>
      </c>
      <c r="G2934" s="66" t="s">
        <v>247</v>
      </c>
    </row>
    <row r="2935" ht="22.5" customHeight="1">
      <c r="A2935" s="66" t="s">
        <v>3892</v>
      </c>
      <c r="B2935" s="67" t="str">
        <f t="shared" si="15"/>
        <v>M: tractor</v>
      </c>
      <c r="C2935" s="68"/>
      <c r="D2935" s="68">
        <v>46043.0</v>
      </c>
      <c r="E2935" s="66">
        <v>8.0</v>
      </c>
      <c r="F2935" s="66" t="str">
        <f>IFERROR(__xludf.DUMMYFUNCTION("GOOGLETRANSLATE(A2935,""en"",""pt"")"),"trator")</f>
        <v>trator</v>
      </c>
      <c r="G2935" s="69"/>
    </row>
    <row r="2936" ht="22.5" customHeight="1">
      <c r="A2936" s="66" t="s">
        <v>3893</v>
      </c>
      <c r="B2936" s="67" t="str">
        <f t="shared" si="15"/>
        <v>M: large</v>
      </c>
      <c r="C2936" s="68"/>
      <c r="D2936" s="68">
        <v>46043.0</v>
      </c>
      <c r="E2936" s="66">
        <v>9.0</v>
      </c>
      <c r="F2936" s="66" t="str">
        <f>IFERROR(__xludf.DUMMYFUNCTION("GOOGLETRANSLATE(A2936,""en"",""pt"")"),"grande")</f>
        <v>grande</v>
      </c>
      <c r="G2936" s="69"/>
    </row>
    <row r="2937" ht="22.5" customHeight="1">
      <c r="A2937" s="66" t="s">
        <v>3894</v>
      </c>
      <c r="B2937" s="67" t="str">
        <f t="shared" si="15"/>
        <v>M: chair</v>
      </c>
      <c r="C2937" s="68"/>
      <c r="D2937" s="68">
        <v>46043.0</v>
      </c>
      <c r="E2937" s="66">
        <v>10.0</v>
      </c>
      <c r="F2937" s="66" t="str">
        <f>IFERROR(__xludf.DUMMYFUNCTION("GOOGLETRANSLATE(A2937,""en"",""pt"")"),"cadeira")</f>
        <v>cadeira</v>
      </c>
      <c r="G2937" s="69"/>
    </row>
    <row r="2938" ht="22.5" customHeight="1">
      <c r="A2938" s="66" t="s">
        <v>3895</v>
      </c>
      <c r="B2938" s="67" t="str">
        <f t="shared" si="15"/>
        <v>M: closer</v>
      </c>
      <c r="C2938" s="68"/>
      <c r="D2938" s="68">
        <v>46043.0</v>
      </c>
      <c r="E2938" s="66">
        <v>1.0</v>
      </c>
      <c r="F2938" s="66" t="str">
        <f>IFERROR(__xludf.DUMMYFUNCTION("GOOGLETRANSLATE(A2938,""en"",""pt"")"),"mais perto")</f>
        <v>mais perto</v>
      </c>
      <c r="G2938" s="69"/>
    </row>
    <row r="2939" ht="22.5" customHeight="1">
      <c r="A2939" s="66" t="s">
        <v>3896</v>
      </c>
      <c r="B2939" s="67" t="str">
        <f t="shared" si="15"/>
        <v>M: repository</v>
      </c>
      <c r="C2939" s="68"/>
      <c r="D2939" s="68">
        <v>46043.0</v>
      </c>
      <c r="E2939" s="66">
        <v>2.0</v>
      </c>
      <c r="F2939" s="66" t="str">
        <f>IFERROR(__xludf.DUMMYFUNCTION("GOOGLETRANSLATE(A2939,""en"",""pt"")"),"repositório")</f>
        <v>repositório</v>
      </c>
      <c r="G2939" s="69"/>
    </row>
    <row r="2940" ht="22.5" customHeight="1">
      <c r="A2940" s="66" t="s">
        <v>3897</v>
      </c>
      <c r="B2940" s="67" t="str">
        <f t="shared" si="15"/>
        <v>M: librarian</v>
      </c>
      <c r="C2940" s="68"/>
      <c r="D2940" s="68">
        <v>46043.0</v>
      </c>
      <c r="E2940" s="66">
        <v>3.0</v>
      </c>
      <c r="F2940" s="66" t="str">
        <f>IFERROR(__xludf.DUMMYFUNCTION("GOOGLETRANSLATE(A2940,""en"",""pt"")"),"bibliotecário")</f>
        <v>bibliotecário</v>
      </c>
      <c r="G2940" s="69"/>
    </row>
    <row r="2941" ht="22.5" customHeight="1">
      <c r="A2941" s="66" t="s">
        <v>3898</v>
      </c>
      <c r="B2941" s="67" t="str">
        <f t="shared" si="15"/>
        <v>M: hamstring</v>
      </c>
      <c r="C2941" s="68"/>
      <c r="D2941" s="68">
        <v>46043.0</v>
      </c>
      <c r="E2941" s="66">
        <v>4.0</v>
      </c>
      <c r="F2941" s="66" t="str">
        <f>IFERROR(__xludf.DUMMYFUNCTION("GOOGLETRANSLATE(A2941,""en"",""pt"")"),"isquiotibiais")</f>
        <v>isquiotibiais</v>
      </c>
      <c r="G2941" s="69"/>
    </row>
    <row r="2942" ht="22.5" customHeight="1">
      <c r="A2942" s="66" t="s">
        <v>3899</v>
      </c>
      <c r="B2942" s="67" t="str">
        <f t="shared" si="15"/>
        <v>M: weight</v>
      </c>
      <c r="C2942" s="68"/>
      <c r="D2942" s="68">
        <v>46044.0</v>
      </c>
      <c r="E2942" s="66">
        <v>5.0</v>
      </c>
      <c r="F2942" s="66" t="str">
        <f>IFERROR(__xludf.DUMMYFUNCTION("GOOGLETRANSLATE(A2942,""en"",""pt"")"),"peso")</f>
        <v>peso</v>
      </c>
      <c r="G2942" s="69"/>
    </row>
    <row r="2943" ht="22.5" customHeight="1">
      <c r="A2943" s="66" t="s">
        <v>3900</v>
      </c>
      <c r="B2943" s="67" t="str">
        <f t="shared" si="15"/>
        <v>M: ligament</v>
      </c>
      <c r="C2943" s="68"/>
      <c r="D2943" s="68">
        <v>46044.0</v>
      </c>
      <c r="E2943" s="66">
        <v>6.0</v>
      </c>
      <c r="F2943" s="66" t="str">
        <f>IFERROR(__xludf.DUMMYFUNCTION("GOOGLETRANSLATE(A2943,""en"",""pt"")"),"ligamento")</f>
        <v>ligamento</v>
      </c>
      <c r="G2943" s="69"/>
    </row>
    <row r="2944" ht="22.5" customHeight="1">
      <c r="A2944" s="66" t="s">
        <v>1646</v>
      </c>
      <c r="B2944" s="67" t="str">
        <f t="shared" si="15"/>
        <v>M: cupboard</v>
      </c>
      <c r="C2944" s="66">
        <v>2.0</v>
      </c>
      <c r="D2944" s="68">
        <v>46044.0</v>
      </c>
      <c r="E2944" s="66">
        <v>7.0</v>
      </c>
      <c r="F2944" s="71" t="s">
        <v>3901</v>
      </c>
      <c r="G2944" s="66" t="s">
        <v>247</v>
      </c>
    </row>
    <row r="2945" ht="22.5" customHeight="1">
      <c r="A2945" s="66" t="s">
        <v>3902</v>
      </c>
      <c r="B2945" s="67" t="str">
        <f t="shared" si="15"/>
        <v>M: dishes</v>
      </c>
      <c r="C2945" s="68"/>
      <c r="D2945" s="68">
        <v>46044.0</v>
      </c>
      <c r="E2945" s="66">
        <v>8.0</v>
      </c>
      <c r="F2945" s="66" t="str">
        <f>IFERROR(__xludf.DUMMYFUNCTION("GOOGLETRANSLATE(A2945,""en"",""pt"")"),"pratos")</f>
        <v>pratos</v>
      </c>
      <c r="G2945" s="69"/>
    </row>
    <row r="2946" ht="22.5" customHeight="1">
      <c r="A2946" s="66" t="s">
        <v>3903</v>
      </c>
      <c r="B2946" s="67" t="str">
        <f t="shared" si="15"/>
        <v>M: stored</v>
      </c>
      <c r="C2946" s="68"/>
      <c r="D2946" s="68">
        <v>46044.0</v>
      </c>
      <c r="E2946" s="66">
        <v>9.0</v>
      </c>
      <c r="F2946" s="66" t="str">
        <f>IFERROR(__xludf.DUMMYFUNCTION("GOOGLETRANSLATE(A2946,""en"",""pt"")"),"armazenado")</f>
        <v>armazenado</v>
      </c>
      <c r="G2946" s="69"/>
    </row>
    <row r="2947" ht="22.5" customHeight="1">
      <c r="A2947" s="66" t="s">
        <v>3904</v>
      </c>
      <c r="B2947" s="67" t="str">
        <f t="shared" si="15"/>
        <v>M: hall</v>
      </c>
      <c r="C2947" s="68"/>
      <c r="D2947" s="68">
        <v>46044.0</v>
      </c>
      <c r="E2947" s="66">
        <v>10.0</v>
      </c>
      <c r="F2947" s="66" t="str">
        <f>IFERROR(__xludf.DUMMYFUNCTION("GOOGLETRANSLATE(A2947,""en"",""pt"")"),"salão")</f>
        <v>salão</v>
      </c>
      <c r="G2947" s="69"/>
    </row>
    <row r="2948" ht="22.5" customHeight="1">
      <c r="A2948" s="66" t="s">
        <v>3905</v>
      </c>
      <c r="B2948" s="67" t="str">
        <f t="shared" si="15"/>
        <v>M: hid</v>
      </c>
      <c r="C2948" s="68"/>
      <c r="D2948" s="68">
        <v>46044.0</v>
      </c>
      <c r="E2948" s="66">
        <v>1.0</v>
      </c>
      <c r="F2948" s="66" t="str">
        <f>IFERROR(__xludf.DUMMYFUNCTION("GOOGLETRANSLATE(A2948,""en"",""pt"")"),"escondido")</f>
        <v>escondido</v>
      </c>
      <c r="G2948" s="69"/>
    </row>
    <row r="2949" ht="22.5" customHeight="1">
      <c r="A2949" s="66" t="s">
        <v>3906</v>
      </c>
      <c r="B2949" s="67" t="str">
        <f t="shared" si="15"/>
        <v>M: narrow</v>
      </c>
      <c r="C2949" s="68"/>
      <c r="D2949" s="68">
        <v>46044.0</v>
      </c>
      <c r="E2949" s="66">
        <v>2.0</v>
      </c>
      <c r="F2949" s="66" t="str">
        <f>IFERROR(__xludf.DUMMYFUNCTION("GOOGLETRANSLATE(A2949,""en"",""pt"")"),"estreito")</f>
        <v>estreito</v>
      </c>
      <c r="G2949" s="69"/>
    </row>
    <row r="2950" ht="22.5" customHeight="1">
      <c r="A2950" s="66" t="s">
        <v>3907</v>
      </c>
      <c r="B2950" s="67" t="str">
        <f t="shared" si="15"/>
        <v>M: linen</v>
      </c>
      <c r="C2950" s="68"/>
      <c r="D2950" s="68">
        <v>46044.0</v>
      </c>
      <c r="E2950" s="66">
        <v>3.0</v>
      </c>
      <c r="F2950" s="66" t="str">
        <f>IFERROR(__xludf.DUMMYFUNCTION("GOOGLETRANSLATE(A2950,""en"",""pt"")"),"linho")</f>
        <v>linho</v>
      </c>
      <c r="G2950" s="69"/>
    </row>
    <row r="2951" ht="22.5" customHeight="1">
      <c r="A2951" s="66" t="s">
        <v>3908</v>
      </c>
      <c r="B2951" s="67" t="str">
        <f t="shared" si="15"/>
        <v>M: contains</v>
      </c>
      <c r="C2951" s="68"/>
      <c r="D2951" s="68">
        <v>46044.0</v>
      </c>
      <c r="E2951" s="66">
        <v>4.0</v>
      </c>
      <c r="F2951" s="66" t="str">
        <f>IFERROR(__xludf.DUMMYFUNCTION("GOOGLETRANSLATE(A2951,""en"",""pt"")"),"contém")</f>
        <v>contém</v>
      </c>
      <c r="G2951" s="69"/>
    </row>
    <row r="2952" ht="22.5" customHeight="1">
      <c r="A2952" s="66" t="s">
        <v>2605</v>
      </c>
      <c r="B2952" s="67" t="str">
        <f t="shared" si="15"/>
        <v>M: should be</v>
      </c>
      <c r="C2952" s="66">
        <v>2.0</v>
      </c>
      <c r="D2952" s="68">
        <v>46045.0</v>
      </c>
      <c r="E2952" s="66">
        <v>5.0</v>
      </c>
      <c r="F2952" s="66" t="s">
        <v>3909</v>
      </c>
      <c r="G2952" s="66" t="s">
        <v>247</v>
      </c>
    </row>
    <row r="2953" ht="22.5" customHeight="1">
      <c r="A2953" s="66" t="s">
        <v>3910</v>
      </c>
      <c r="B2953" s="67" t="str">
        <f t="shared" si="15"/>
        <v>M: calculated</v>
      </c>
      <c r="C2953" s="68"/>
      <c r="D2953" s="68">
        <v>46045.0</v>
      </c>
      <c r="E2953" s="66">
        <v>6.0</v>
      </c>
      <c r="F2953" s="66" t="str">
        <f>IFERROR(__xludf.DUMMYFUNCTION("GOOGLETRANSLATE(A2953,""en"",""pt"")"),"calculado")</f>
        <v>calculado</v>
      </c>
      <c r="G2953" s="69"/>
    </row>
    <row r="2954" ht="22.5" customHeight="1">
      <c r="A2954" s="66" t="s">
        <v>3911</v>
      </c>
      <c r="B2954" s="67" t="str">
        <f t="shared" si="15"/>
        <v>M: interface</v>
      </c>
      <c r="C2954" s="68"/>
      <c r="D2954" s="68">
        <v>46045.0</v>
      </c>
      <c r="E2954" s="66">
        <v>7.0</v>
      </c>
      <c r="F2954" s="66" t="str">
        <f>IFERROR(__xludf.DUMMYFUNCTION("GOOGLETRANSLATE(A2954,""en"",""pt"")"),"interface")</f>
        <v>interface</v>
      </c>
      <c r="G2954" s="69"/>
    </row>
    <row r="2955" ht="22.5" customHeight="1">
      <c r="A2955" s="66" t="s">
        <v>3912</v>
      </c>
      <c r="B2955" s="67" t="str">
        <f t="shared" si="15"/>
        <v>M: understand</v>
      </c>
      <c r="C2955" s="68"/>
      <c r="D2955" s="68">
        <v>46045.0</v>
      </c>
      <c r="E2955" s="66">
        <v>8.0</v>
      </c>
      <c r="F2955" s="66" t="str">
        <f>IFERROR(__xludf.DUMMYFUNCTION("GOOGLETRANSLATE(A2955,""en"",""pt"")"),"entender")</f>
        <v>entender</v>
      </c>
      <c r="G2955" s="69"/>
    </row>
    <row r="2956" ht="22.5" customHeight="1">
      <c r="A2956" s="66" t="s">
        <v>3913</v>
      </c>
      <c r="B2956" s="67" t="str">
        <f t="shared" si="15"/>
        <v>M: use</v>
      </c>
      <c r="C2956" s="68"/>
      <c r="D2956" s="68">
        <v>46045.0</v>
      </c>
      <c r="E2956" s="66">
        <v>9.0</v>
      </c>
      <c r="F2956" s="66" t="str">
        <f>IFERROR(__xludf.DUMMYFUNCTION("GOOGLETRANSLATE(A2956,""en"",""pt"")"),"usar")</f>
        <v>usar</v>
      </c>
      <c r="G2956" s="69"/>
    </row>
    <row r="2957" ht="22.5" customHeight="1">
      <c r="A2957" s="66" t="s">
        <v>3914</v>
      </c>
      <c r="B2957" s="67" t="str">
        <f t="shared" si="15"/>
        <v>M: its</v>
      </c>
      <c r="C2957" s="68"/>
      <c r="D2957" s="68">
        <v>46045.0</v>
      </c>
      <c r="E2957" s="66">
        <v>10.0</v>
      </c>
      <c r="F2957" s="66" t="str">
        <f>IFERROR(__xludf.DUMMYFUNCTION("GOOGLETRANSLATE(A2957,""en"",""pt"")"),"isso é")</f>
        <v>isso é</v>
      </c>
      <c r="G2957" s="69"/>
    </row>
    <row r="2958" ht="22.5" customHeight="1">
      <c r="A2958" s="66" t="s">
        <v>3915</v>
      </c>
      <c r="B2958" s="67" t="str">
        <f t="shared" si="15"/>
        <v>M: package</v>
      </c>
      <c r="C2958" s="68"/>
      <c r="D2958" s="68">
        <v>46045.0</v>
      </c>
      <c r="E2958" s="66">
        <v>1.0</v>
      </c>
      <c r="F2958" s="66" t="str">
        <f>IFERROR(__xludf.DUMMYFUNCTION("GOOGLETRANSLATE(A2958,""en"",""pt"")"),"pacote")</f>
        <v>pacote</v>
      </c>
      <c r="G2958" s="69"/>
    </row>
    <row r="2959" ht="22.5" customHeight="1">
      <c r="A2959" s="66" t="s">
        <v>3916</v>
      </c>
      <c r="B2959" s="67" t="str">
        <f t="shared" si="15"/>
        <v>M: delivered</v>
      </c>
      <c r="C2959" s="68"/>
      <c r="D2959" s="68">
        <v>46045.0</v>
      </c>
      <c r="E2959" s="66">
        <v>2.0</v>
      </c>
      <c r="F2959" s="66" t="str">
        <f>IFERROR(__xludf.DUMMYFUNCTION("GOOGLETRANSLATE(A2959,""en"",""pt"")"),"entregue")</f>
        <v>entregue</v>
      </c>
      <c r="G2959" s="69"/>
    </row>
    <row r="2960" ht="22.5" customHeight="1">
      <c r="A2960" s="66" t="s">
        <v>3917</v>
      </c>
      <c r="B2960" s="67" t="str">
        <f t="shared" si="15"/>
        <v>M: by now</v>
      </c>
      <c r="C2960" s="68"/>
      <c r="D2960" s="68">
        <v>46045.0</v>
      </c>
      <c r="E2960" s="66">
        <v>3.0</v>
      </c>
      <c r="F2960" s="66" t="str">
        <f>IFERROR(__xludf.DUMMYFUNCTION("GOOGLETRANSLATE(A2960,""en"",""pt"")"),"até agora")</f>
        <v>até agora</v>
      </c>
      <c r="G2960" s="69"/>
    </row>
    <row r="2961" ht="22.5" customHeight="1">
      <c r="A2961" s="66" t="s">
        <v>3918</v>
      </c>
      <c r="B2961" s="67" t="str">
        <f t="shared" si="15"/>
        <v>M: office</v>
      </c>
      <c r="C2961" s="68"/>
      <c r="D2961" s="68">
        <v>46045.0</v>
      </c>
      <c r="E2961" s="66">
        <v>4.0</v>
      </c>
      <c r="F2961" s="66" t="str">
        <f>IFERROR(__xludf.DUMMYFUNCTION("GOOGLETRANSLATE(A2961,""en"",""pt"")"),"escritório")</f>
        <v>escritório</v>
      </c>
      <c r="G2961" s="69"/>
    </row>
    <row r="2962" ht="22.5" customHeight="1">
      <c r="A2962" s="66" t="s">
        <v>3919</v>
      </c>
      <c r="B2962" s="67" t="str">
        <f t="shared" si="15"/>
        <v>M: coding</v>
      </c>
      <c r="C2962" s="68"/>
      <c r="D2962" s="68">
        <v>46046.0</v>
      </c>
      <c r="E2962" s="66">
        <v>5.0</v>
      </c>
      <c r="F2962" s="66" t="str">
        <f>IFERROR(__xludf.DUMMYFUNCTION("GOOGLETRANSLATE(A2962,""en"",""pt"")"),"codificação")</f>
        <v>codificação</v>
      </c>
      <c r="G2962" s="69"/>
    </row>
    <row r="2963" ht="22.5" customHeight="1">
      <c r="A2963" s="66" t="s">
        <v>1295</v>
      </c>
      <c r="B2963" s="67" t="str">
        <f t="shared" si="15"/>
        <v>M: reigns</v>
      </c>
      <c r="C2963" s="66">
        <v>2.0</v>
      </c>
      <c r="D2963" s="68">
        <v>46046.0</v>
      </c>
      <c r="E2963" s="66">
        <v>6.0</v>
      </c>
      <c r="F2963" s="66" t="s">
        <v>3920</v>
      </c>
      <c r="G2963" s="66" t="s">
        <v>247</v>
      </c>
    </row>
    <row r="2964" ht="22.5" customHeight="1">
      <c r="A2964" s="66" t="s">
        <v>3921</v>
      </c>
      <c r="B2964" s="67" t="str">
        <f t="shared" si="15"/>
        <v>M: vast</v>
      </c>
      <c r="C2964" s="68"/>
      <c r="D2964" s="68">
        <v>46046.0</v>
      </c>
      <c r="E2964" s="66">
        <v>7.0</v>
      </c>
      <c r="F2964" s="66" t="str">
        <f>IFERROR(__xludf.DUMMYFUNCTION("GOOGLETRANSLATE(A2964,""en"",""pt"")"),"grande")</f>
        <v>grande</v>
      </c>
      <c r="G2964" s="69"/>
    </row>
    <row r="2965" ht="22.5" customHeight="1">
      <c r="A2965" s="66" t="s">
        <v>3922</v>
      </c>
      <c r="B2965" s="67" t="str">
        <f t="shared" si="15"/>
        <v>M: ancient</v>
      </c>
      <c r="C2965" s="68"/>
      <c r="D2965" s="68">
        <v>46046.0</v>
      </c>
      <c r="E2965" s="66">
        <v>8.0</v>
      </c>
      <c r="F2965" s="66" t="str">
        <f>IFERROR(__xludf.DUMMYFUNCTION("GOOGLETRANSLATE(A2965,""en"",""pt"")"),"ancestral")</f>
        <v>ancestral</v>
      </c>
      <c r="G2965" s="69"/>
    </row>
    <row r="2966" ht="22.5" customHeight="1">
      <c r="A2966" s="66" t="s">
        <v>3923</v>
      </c>
      <c r="B2966" s="67" t="str">
        <f t="shared" si="15"/>
        <v>M: displays</v>
      </c>
      <c r="C2966" s="68"/>
      <c r="D2966" s="68">
        <v>46046.0</v>
      </c>
      <c r="E2966" s="66">
        <v>9.0</v>
      </c>
      <c r="F2966" s="66" t="str">
        <f>IFERROR(__xludf.DUMMYFUNCTION("GOOGLETRANSLATE(A2966,""en"",""pt"")"),"exibições")</f>
        <v>exibições</v>
      </c>
      <c r="G2966" s="69"/>
    </row>
    <row r="2967" ht="22.5" customHeight="1">
      <c r="A2967" s="66" t="s">
        <v>1368</v>
      </c>
      <c r="B2967" s="67" t="str">
        <f t="shared" si="15"/>
        <v>M: attempt</v>
      </c>
      <c r="C2967" s="66">
        <v>2.0</v>
      </c>
      <c r="D2967" s="68">
        <v>46046.0</v>
      </c>
      <c r="E2967" s="66">
        <v>10.0</v>
      </c>
      <c r="F2967" s="66" t="s">
        <v>3924</v>
      </c>
      <c r="G2967" s="66" t="s">
        <v>247</v>
      </c>
    </row>
    <row r="2968" ht="22.5" customHeight="1">
      <c r="A2968" s="66" t="s">
        <v>1368</v>
      </c>
      <c r="B2968" s="67" t="str">
        <f t="shared" si="15"/>
        <v>M: attempt</v>
      </c>
      <c r="C2968" s="66">
        <v>3.0</v>
      </c>
      <c r="D2968" s="68">
        <v>46046.0</v>
      </c>
      <c r="E2968" s="66">
        <v>1.0</v>
      </c>
      <c r="F2968" s="66" t="s">
        <v>3925</v>
      </c>
      <c r="G2968" s="66" t="s">
        <v>247</v>
      </c>
    </row>
    <row r="2969" ht="22.5" customHeight="1">
      <c r="A2969" s="66" t="s">
        <v>3926</v>
      </c>
      <c r="B2969" s="67" t="str">
        <f t="shared" si="15"/>
        <v>M: deploy</v>
      </c>
      <c r="C2969" s="68"/>
      <c r="D2969" s="68">
        <v>46046.0</v>
      </c>
      <c r="E2969" s="66">
        <v>2.0</v>
      </c>
      <c r="F2969" s="66" t="str">
        <f>IFERROR(__xludf.DUMMYFUNCTION("GOOGLETRANSLATE(A2969,""en"",""pt"")"),"implantar")</f>
        <v>implantar</v>
      </c>
      <c r="G2969" s="69"/>
    </row>
    <row r="2970" ht="22.5" customHeight="1">
      <c r="A2970" s="66" t="s">
        <v>3927</v>
      </c>
      <c r="B2970" s="67" t="str">
        <f t="shared" si="15"/>
        <v>M: company</v>
      </c>
      <c r="C2970" s="68"/>
      <c r="D2970" s="68">
        <v>46046.0</v>
      </c>
      <c r="E2970" s="66">
        <v>3.0</v>
      </c>
      <c r="F2970" s="66" t="str">
        <f>IFERROR(__xludf.DUMMYFUNCTION("GOOGLETRANSLATE(A2970,""en"",""pt"")"),"empresa")</f>
        <v>empresa</v>
      </c>
      <c r="G2970" s="69"/>
    </row>
    <row r="2971" ht="22.5" customHeight="1">
      <c r="A2971" s="66" t="s">
        <v>3928</v>
      </c>
      <c r="B2971" s="67" t="str">
        <f t="shared" si="15"/>
        <v>M: arrested</v>
      </c>
      <c r="C2971" s="68"/>
      <c r="D2971" s="68">
        <v>46046.0</v>
      </c>
      <c r="E2971" s="66">
        <v>4.0</v>
      </c>
      <c r="F2971" s="66" t="str">
        <f>IFERROR(__xludf.DUMMYFUNCTION("GOOGLETRANSLATE(A2971,""en"",""pt"")"),"preso")</f>
        <v>preso</v>
      </c>
      <c r="G2971" s="69"/>
    </row>
    <row r="2972" ht="22.5" customHeight="1">
      <c r="A2972" s="66" t="s">
        <v>3929</v>
      </c>
      <c r="B2972" s="67" t="str">
        <f t="shared" si="15"/>
        <v>M: robbery</v>
      </c>
      <c r="C2972" s="68"/>
      <c r="D2972" s="68">
        <v>46047.0</v>
      </c>
      <c r="E2972" s="66">
        <v>5.0</v>
      </c>
      <c r="F2972" s="66" t="str">
        <f>IFERROR(__xludf.DUMMYFUNCTION("GOOGLETRANSLATE(A2972,""en"",""pt"")"),"roubo")</f>
        <v>roubo</v>
      </c>
      <c r="G2972" s="69"/>
    </row>
    <row r="2973" ht="22.5" customHeight="1">
      <c r="A2973" s="66" t="s">
        <v>2391</v>
      </c>
      <c r="B2973" s="67" t="str">
        <f t="shared" si="15"/>
        <v>M: stressed</v>
      </c>
      <c r="C2973" s="66">
        <v>2.0</v>
      </c>
      <c r="D2973" s="68">
        <v>46047.0</v>
      </c>
      <c r="E2973" s="66">
        <v>6.0</v>
      </c>
      <c r="F2973" s="66" t="s">
        <v>3930</v>
      </c>
      <c r="G2973" s="66" t="s">
        <v>247</v>
      </c>
    </row>
    <row r="2974" ht="22.5" customHeight="1">
      <c r="A2974" s="66" t="s">
        <v>2391</v>
      </c>
      <c r="B2974" s="67" t="str">
        <f t="shared" si="15"/>
        <v>M: stressed</v>
      </c>
      <c r="C2974" s="66">
        <v>3.0</v>
      </c>
      <c r="D2974" s="68">
        <v>46047.0</v>
      </c>
      <c r="E2974" s="66">
        <v>7.0</v>
      </c>
      <c r="F2974" s="66" t="s">
        <v>3931</v>
      </c>
      <c r="G2974" s="66" t="s">
        <v>247</v>
      </c>
    </row>
    <row r="2975" ht="22.5" customHeight="1">
      <c r="A2975" s="66" t="s">
        <v>3932</v>
      </c>
      <c r="B2975" s="67" t="str">
        <f t="shared" si="15"/>
        <v>M: huge</v>
      </c>
      <c r="C2975" s="68"/>
      <c r="D2975" s="68">
        <v>46047.0</v>
      </c>
      <c r="E2975" s="66">
        <v>8.0</v>
      </c>
      <c r="F2975" s="66" t="str">
        <f>IFERROR(__xludf.DUMMYFUNCTION("GOOGLETRANSLATE(A2975,""en"",""pt"")"),"enorme")</f>
        <v>enorme</v>
      </c>
      <c r="G2975" s="69"/>
    </row>
    <row r="2976" ht="22.5" customHeight="1">
      <c r="A2976" s="66" t="s">
        <v>3933</v>
      </c>
      <c r="B2976" s="67" t="str">
        <f t="shared" si="15"/>
        <v>M: immediate</v>
      </c>
      <c r="C2976" s="68"/>
      <c r="D2976" s="68">
        <v>46047.0</v>
      </c>
      <c r="E2976" s="66">
        <v>9.0</v>
      </c>
      <c r="F2976" s="66" t="str">
        <f>IFERROR(__xludf.DUMMYFUNCTION("GOOGLETRANSLATE(A2976,""en"",""pt"")"),"imediato")</f>
        <v>imediato</v>
      </c>
      <c r="G2976" s="69"/>
    </row>
    <row r="2977" ht="22.5" customHeight="1">
      <c r="A2977" s="66" t="s">
        <v>3934</v>
      </c>
      <c r="B2977" s="67" t="str">
        <f t="shared" si="15"/>
        <v>M: thirst</v>
      </c>
      <c r="C2977" s="68"/>
      <c r="D2977" s="68">
        <v>46047.0</v>
      </c>
      <c r="E2977" s="66">
        <v>10.0</v>
      </c>
      <c r="F2977" s="66" t="str">
        <f>IFERROR(__xludf.DUMMYFUNCTION("GOOGLETRANSLATE(A2977,""en"",""pt"")"),"sede")</f>
        <v>sede</v>
      </c>
      <c r="G2977" s="69"/>
    </row>
    <row r="2978" ht="22.5" customHeight="1">
      <c r="A2978" s="66" t="s">
        <v>2079</v>
      </c>
      <c r="B2978" s="67" t="str">
        <f t="shared" si="15"/>
        <v>M: quench</v>
      </c>
      <c r="C2978" s="66">
        <v>2.0</v>
      </c>
      <c r="D2978" s="68">
        <v>46047.0</v>
      </c>
      <c r="E2978" s="66">
        <v>1.0</v>
      </c>
      <c r="F2978" s="66" t="s">
        <v>3935</v>
      </c>
      <c r="G2978" s="66" t="s">
        <v>247</v>
      </c>
    </row>
    <row r="2979" ht="22.5" customHeight="1">
      <c r="A2979" s="66" t="s">
        <v>3936</v>
      </c>
      <c r="B2979" s="67" t="str">
        <f t="shared" si="15"/>
        <v>M: severe</v>
      </c>
      <c r="C2979" s="68"/>
      <c r="D2979" s="68">
        <v>46047.0</v>
      </c>
      <c r="E2979" s="66">
        <v>2.0</v>
      </c>
      <c r="F2979" s="66" t="str">
        <f>IFERROR(__xludf.DUMMYFUNCTION("GOOGLETRANSLATE(A2979,""en"",""pt"")"),"forte")</f>
        <v>forte</v>
      </c>
      <c r="G2979" s="69"/>
    </row>
    <row r="2980" ht="22.5" customHeight="1">
      <c r="A2980" s="66" t="s">
        <v>3937</v>
      </c>
      <c r="B2980" s="67" t="str">
        <f t="shared" si="15"/>
        <v>M: dryness</v>
      </c>
      <c r="C2980" s="68"/>
      <c r="D2980" s="68">
        <v>46047.0</v>
      </c>
      <c r="E2980" s="66">
        <v>3.0</v>
      </c>
      <c r="F2980" s="66" t="str">
        <f>IFERROR(__xludf.DUMMYFUNCTION("GOOGLETRANSLATE(A2980,""en"",""pt"")"),"secura")</f>
        <v>secura</v>
      </c>
      <c r="G2980" s="69"/>
    </row>
    <row r="2981" ht="22.5" customHeight="1">
      <c r="A2981" s="66" t="s">
        <v>3938</v>
      </c>
      <c r="B2981" s="67" t="str">
        <f t="shared" si="15"/>
        <v>M: burning</v>
      </c>
      <c r="C2981" s="68"/>
      <c r="D2981" s="68">
        <v>46047.0</v>
      </c>
      <c r="E2981" s="66">
        <v>4.0</v>
      </c>
      <c r="F2981" s="66" t="str">
        <f>IFERROR(__xludf.DUMMYFUNCTION("GOOGLETRANSLATE(A2981,""en"",""pt"")"),"queimando")</f>
        <v>queimando</v>
      </c>
      <c r="G2981" s="69"/>
    </row>
    <row r="2982" ht="22.5" customHeight="1">
      <c r="A2982" s="66" t="s">
        <v>276</v>
      </c>
      <c r="B2982" s="67" t="str">
        <f t="shared" si="15"/>
        <v>M: over</v>
      </c>
      <c r="C2982" s="66">
        <v>2.0</v>
      </c>
      <c r="D2982" s="68">
        <v>46048.0</v>
      </c>
      <c r="E2982" s="66">
        <v>5.0</v>
      </c>
      <c r="F2982" s="71" t="s">
        <v>3939</v>
      </c>
      <c r="G2982" s="66" t="s">
        <v>247</v>
      </c>
    </row>
    <row r="2983" ht="22.5" customHeight="1">
      <c r="A2983" s="66" t="s">
        <v>276</v>
      </c>
      <c r="B2983" s="67" t="str">
        <f t="shared" si="15"/>
        <v>M: over</v>
      </c>
      <c r="C2983" s="66">
        <v>3.0</v>
      </c>
      <c r="D2983" s="68">
        <v>46048.0</v>
      </c>
      <c r="E2983" s="66">
        <v>6.0</v>
      </c>
      <c r="F2983" s="66" t="s">
        <v>3940</v>
      </c>
      <c r="G2983" s="66" t="s">
        <v>247</v>
      </c>
    </row>
    <row r="2984" ht="22.5" customHeight="1">
      <c r="A2984" s="66" t="s">
        <v>276</v>
      </c>
      <c r="B2984" s="67" t="str">
        <f t="shared" si="15"/>
        <v>M: over</v>
      </c>
      <c r="C2984" s="66">
        <v>4.0</v>
      </c>
      <c r="D2984" s="68">
        <v>46048.0</v>
      </c>
      <c r="E2984" s="66">
        <v>7.0</v>
      </c>
      <c r="F2984" s="66" t="s">
        <v>3941</v>
      </c>
      <c r="G2984" s="66" t="s">
        <v>247</v>
      </c>
    </row>
    <row r="2985" ht="22.5" customHeight="1">
      <c r="A2985" s="66" t="s">
        <v>3942</v>
      </c>
      <c r="B2985" s="67" t="str">
        <f t="shared" si="15"/>
        <v>M: placed</v>
      </c>
      <c r="C2985" s="68"/>
      <c r="D2985" s="68">
        <v>46048.0</v>
      </c>
      <c r="E2985" s="66">
        <v>8.0</v>
      </c>
      <c r="F2985" s="66" t="str">
        <f>IFERROR(__xludf.DUMMYFUNCTION("GOOGLETRANSLATE(A2985,""en"",""pt"")"),"colocado")</f>
        <v>colocado</v>
      </c>
      <c r="G2985" s="69"/>
    </row>
    <row r="2986" ht="22.5" customHeight="1">
      <c r="A2986" s="66" t="s">
        <v>3943</v>
      </c>
      <c r="B2986" s="67" t="str">
        <f t="shared" si="15"/>
        <v>M: hundred</v>
      </c>
      <c r="C2986" s="68"/>
      <c r="D2986" s="68">
        <v>46048.0</v>
      </c>
      <c r="E2986" s="66">
        <v>9.0</v>
      </c>
      <c r="F2986" s="66" t="str">
        <f>IFERROR(__xludf.DUMMYFUNCTION("GOOGLETRANSLATE(A2986,""en"",""pt"")"),"centenas")</f>
        <v>centenas</v>
      </c>
      <c r="G2986" s="69"/>
    </row>
    <row r="2987" ht="22.5" customHeight="1">
      <c r="A2987" s="66" t="s">
        <v>3944</v>
      </c>
      <c r="B2987" s="67" t="str">
        <f t="shared" si="15"/>
        <v>M: surface</v>
      </c>
      <c r="C2987" s="68"/>
      <c r="D2987" s="68">
        <v>46048.0</v>
      </c>
      <c r="E2987" s="66">
        <v>10.0</v>
      </c>
      <c r="F2987" s="66" t="str">
        <f>IFERROR(__xludf.DUMMYFUNCTION("GOOGLETRANSLATE(A2987,""en"",""pt"")"),"superfície")</f>
        <v>superfície</v>
      </c>
      <c r="G2987" s="69"/>
    </row>
    <row r="2988" ht="22.5" customHeight="1">
      <c r="A2988" s="66" t="s">
        <v>3945</v>
      </c>
      <c r="B2988" s="67" t="str">
        <f t="shared" si="15"/>
        <v>M: going on</v>
      </c>
      <c r="C2988" s="68"/>
      <c r="D2988" s="68">
        <v>46048.0</v>
      </c>
      <c r="E2988" s="66">
        <v>1.0</v>
      </c>
      <c r="F2988" s="66" t="str">
        <f>IFERROR(__xludf.DUMMYFUNCTION("GOOGLETRANSLATE(A2988,""en"",""pt"")"),"continuando")</f>
        <v>continuando</v>
      </c>
      <c r="G2988" s="69"/>
    </row>
    <row r="2989" ht="22.5" customHeight="1">
      <c r="A2989" s="66" t="s">
        <v>3946</v>
      </c>
      <c r="B2989" s="67" t="str">
        <f t="shared" si="15"/>
        <v>M: strange</v>
      </c>
      <c r="C2989" s="68"/>
      <c r="D2989" s="68">
        <v>46048.0</v>
      </c>
      <c r="E2989" s="66">
        <v>2.0</v>
      </c>
      <c r="F2989" s="66" t="str">
        <f>IFERROR(__xludf.DUMMYFUNCTION("GOOGLETRANSLATE(A2989,""en"",""pt"")"),"estranho")</f>
        <v>estranho</v>
      </c>
      <c r="G2989" s="69"/>
    </row>
    <row r="2990" ht="22.5" customHeight="1">
      <c r="A2990" s="66" t="s">
        <v>3947</v>
      </c>
      <c r="B2990" s="67" t="str">
        <f t="shared" si="15"/>
        <v>M: noise</v>
      </c>
      <c r="C2990" s="68"/>
      <c r="D2990" s="68">
        <v>46048.0</v>
      </c>
      <c r="E2990" s="66">
        <v>3.0</v>
      </c>
      <c r="F2990" s="66" t="str">
        <f>IFERROR(__xludf.DUMMYFUNCTION("GOOGLETRANSLATE(A2990,""en"",""pt"")"),"barulho")</f>
        <v>barulho</v>
      </c>
      <c r="G2990" s="69"/>
    </row>
    <row r="2991" ht="22.5" customHeight="1">
      <c r="A2991" s="66" t="s">
        <v>1502</v>
      </c>
      <c r="B2991" s="67" t="str">
        <f t="shared" si="15"/>
        <v>M: wayward</v>
      </c>
      <c r="C2991" s="66">
        <v>2.0</v>
      </c>
      <c r="D2991" s="68">
        <v>46048.0</v>
      </c>
      <c r="E2991" s="66">
        <v>4.0</v>
      </c>
      <c r="F2991" s="71" t="s">
        <v>3948</v>
      </c>
      <c r="G2991" s="66" t="s">
        <v>247</v>
      </c>
    </row>
    <row r="2992" ht="22.5" customHeight="1">
      <c r="A2992" s="66" t="s">
        <v>3949</v>
      </c>
      <c r="B2992" s="67" t="str">
        <f t="shared" si="15"/>
        <v>M: punished</v>
      </c>
      <c r="C2992" s="68"/>
      <c r="D2992" s="68">
        <v>46049.0</v>
      </c>
      <c r="E2992" s="66">
        <v>5.0</v>
      </c>
      <c r="F2992" s="66" t="str">
        <f>IFERROR(__xludf.DUMMYFUNCTION("GOOGLETRANSLATE(A2992,""en"",""pt"")"),"punido")</f>
        <v>punido</v>
      </c>
      <c r="G2992" s="69"/>
    </row>
    <row r="2993" ht="22.5" customHeight="1">
      <c r="A2993" s="66" t="s">
        <v>3950</v>
      </c>
      <c r="B2993" s="67" t="str">
        <f t="shared" si="15"/>
        <v>M: skipping</v>
      </c>
      <c r="C2993" s="68"/>
      <c r="D2993" s="68">
        <v>46049.0</v>
      </c>
      <c r="E2993" s="66">
        <v>6.0</v>
      </c>
      <c r="F2993" s="66" t="str">
        <f>IFERROR(__xludf.DUMMYFUNCTION("GOOGLETRANSLATE(A2993,""en"",""pt"")"),"pulando")</f>
        <v>pulando</v>
      </c>
      <c r="G2993" s="69"/>
    </row>
    <row r="2994" ht="22.5" customHeight="1">
      <c r="A2994" s="66" t="s">
        <v>3951</v>
      </c>
      <c r="B2994" s="67" t="str">
        <f t="shared" si="15"/>
        <v>M: drifted</v>
      </c>
      <c r="C2994" s="68"/>
      <c r="D2994" s="68">
        <v>46049.0</v>
      </c>
      <c r="E2994" s="66">
        <v>7.0</v>
      </c>
      <c r="F2994" s="66" t="str">
        <f>IFERROR(__xludf.DUMMYFUNCTION("GOOGLETRANSLATE(A2994,""en"",""pt"")"),"à deriva")</f>
        <v>à deriva</v>
      </c>
      <c r="G2994" s="69"/>
    </row>
    <row r="2995" ht="22.5" customHeight="1">
      <c r="A2995" s="66" t="s">
        <v>3952</v>
      </c>
      <c r="B2995" s="67" t="str">
        <f t="shared" si="15"/>
        <v>M: off course</v>
      </c>
      <c r="C2995" s="68"/>
      <c r="D2995" s="68">
        <v>46049.0</v>
      </c>
      <c r="E2995" s="66">
        <v>8.0</v>
      </c>
      <c r="F2995" s="66" t="str">
        <f>IFERROR(__xludf.DUMMYFUNCTION("GOOGLETRANSLATE(A2995,""en"",""pt"")"),"claro")</f>
        <v>claro</v>
      </c>
      <c r="G2995" s="69"/>
    </row>
    <row r="2996" ht="22.5" customHeight="1">
      <c r="A2996" s="66" t="s">
        <v>3953</v>
      </c>
      <c r="B2996" s="67" t="str">
        <f t="shared" si="15"/>
        <v>M: strands</v>
      </c>
      <c r="C2996" s="68"/>
      <c r="D2996" s="68">
        <v>46049.0</v>
      </c>
      <c r="E2996" s="66">
        <v>9.0</v>
      </c>
      <c r="F2996" s="66" t="str">
        <f>IFERROR(__xludf.DUMMYFUNCTION("GOOGLETRANSLATE(A2996,""en"",""pt"")"),"fios")</f>
        <v>fios</v>
      </c>
      <c r="G2996" s="69"/>
    </row>
    <row r="2997" ht="22.5" customHeight="1">
      <c r="A2997" s="66" t="s">
        <v>1576</v>
      </c>
      <c r="B2997" s="67" t="str">
        <f t="shared" si="15"/>
        <v>M: bothering</v>
      </c>
      <c r="C2997" s="66">
        <v>2.0</v>
      </c>
      <c r="D2997" s="68">
        <v>46049.0</v>
      </c>
      <c r="E2997" s="66">
        <v>10.0</v>
      </c>
      <c r="F2997" s="66" t="s">
        <v>3954</v>
      </c>
      <c r="G2997" s="66" t="s">
        <v>247</v>
      </c>
    </row>
    <row r="2998" ht="22.5" customHeight="1">
      <c r="A2998" s="66" t="s">
        <v>1516</v>
      </c>
      <c r="B2998" s="67" t="str">
        <f t="shared" si="15"/>
        <v>M: northern</v>
      </c>
      <c r="C2998" s="66">
        <v>2.0</v>
      </c>
      <c r="D2998" s="68">
        <v>46049.0</v>
      </c>
      <c r="E2998" s="66">
        <v>1.0</v>
      </c>
      <c r="F2998" s="66" t="s">
        <v>3955</v>
      </c>
      <c r="G2998" s="66" t="s">
        <v>247</v>
      </c>
    </row>
    <row r="2999" ht="22.5" customHeight="1">
      <c r="A2999" s="66" t="s">
        <v>3956</v>
      </c>
      <c r="B2999" s="67" t="str">
        <f t="shared" si="15"/>
        <v>M: winds</v>
      </c>
      <c r="C2999" s="68"/>
      <c r="D2999" s="68">
        <v>46049.0</v>
      </c>
      <c r="E2999" s="66">
        <v>2.0</v>
      </c>
      <c r="F2999" s="66" t="str">
        <f>IFERROR(__xludf.DUMMYFUNCTION("GOOGLETRANSLATE(A2999,""en"",""pt"")"),"ventos")</f>
        <v>ventos</v>
      </c>
      <c r="G2999" s="69"/>
    </row>
    <row r="3000" ht="22.5" customHeight="1">
      <c r="A3000" s="66" t="s">
        <v>1044</v>
      </c>
      <c r="B3000" s="67" t="str">
        <f t="shared" si="15"/>
        <v>M: claimed</v>
      </c>
      <c r="C3000" s="66">
        <v>2.0</v>
      </c>
      <c r="D3000" s="68">
        <v>46049.0</v>
      </c>
      <c r="E3000" s="66">
        <v>3.0</v>
      </c>
      <c r="F3000" s="66" t="s">
        <v>3957</v>
      </c>
      <c r="G3000" s="66" t="s">
        <v>247</v>
      </c>
    </row>
    <row r="3001" ht="22.5" customHeight="1">
      <c r="A3001" s="66" t="s">
        <v>1044</v>
      </c>
      <c r="B3001" s="67" t="str">
        <f t="shared" si="15"/>
        <v>M: claimed</v>
      </c>
      <c r="C3001" s="66">
        <v>3.0</v>
      </c>
      <c r="D3001" s="68">
        <v>46049.0</v>
      </c>
      <c r="E3001" s="66">
        <v>4.0</v>
      </c>
      <c r="F3001" s="66" t="s">
        <v>3958</v>
      </c>
      <c r="G3001" s="66" t="s">
        <v>247</v>
      </c>
    </row>
    <row r="3002" ht="22.5" customHeight="1">
      <c r="A3002" s="66" t="s">
        <v>3959</v>
      </c>
      <c r="B3002" s="67" t="str">
        <f t="shared" si="15"/>
        <v>M: firm</v>
      </c>
      <c r="C3002" s="68"/>
      <c r="D3002" s="68">
        <v>46050.0</v>
      </c>
      <c r="E3002" s="66">
        <v>5.0</v>
      </c>
      <c r="F3002" s="66" t="str">
        <f>IFERROR(__xludf.DUMMYFUNCTION("GOOGLETRANSLATE(A3002,""en"",""pt"")"),"empresa")</f>
        <v>empresa</v>
      </c>
      <c r="G3002" s="69"/>
    </row>
    <row r="3003" ht="22.5" customHeight="1">
      <c r="A3003" s="66" t="s">
        <v>3960</v>
      </c>
      <c r="B3003" s="67" t="str">
        <f t="shared" si="15"/>
        <v>M: near</v>
      </c>
      <c r="C3003" s="68"/>
      <c r="D3003" s="68">
        <v>46050.0</v>
      </c>
      <c r="E3003" s="66">
        <v>6.0</v>
      </c>
      <c r="F3003" s="66" t="str">
        <f>IFERROR(__xludf.DUMMYFUNCTION("GOOGLETRANSLATE(A3003,""en"",""pt"")"),"aproximar")</f>
        <v>aproximar</v>
      </c>
      <c r="G3003" s="69"/>
    </row>
    <row r="3004" ht="22.5" customHeight="1">
      <c r="A3004" s="66" t="s">
        <v>1844</v>
      </c>
      <c r="B3004" s="67" t="str">
        <f t="shared" si="15"/>
        <v>M: scream</v>
      </c>
      <c r="C3004" s="66">
        <v>2.0</v>
      </c>
      <c r="D3004" s="68">
        <v>46050.0</v>
      </c>
      <c r="E3004" s="66">
        <v>7.0</v>
      </c>
      <c r="F3004" s="66" t="s">
        <v>3961</v>
      </c>
      <c r="G3004" s="66" t="s">
        <v>247</v>
      </c>
    </row>
    <row r="3005" ht="22.5" customHeight="1">
      <c r="A3005" s="66" t="s">
        <v>1871</v>
      </c>
      <c r="B3005" s="67" t="str">
        <f t="shared" si="15"/>
        <v>M: struck</v>
      </c>
      <c r="C3005" s="66">
        <v>2.0</v>
      </c>
      <c r="D3005" s="68">
        <v>46050.0</v>
      </c>
      <c r="E3005" s="66">
        <v>8.0</v>
      </c>
      <c r="F3005" s="66" t="s">
        <v>3962</v>
      </c>
      <c r="G3005" s="66" t="s">
        <v>247</v>
      </c>
    </row>
    <row r="3006" ht="22.5" customHeight="1">
      <c r="A3006" s="66" t="s">
        <v>1871</v>
      </c>
      <c r="B3006" s="67" t="str">
        <f t="shared" si="15"/>
        <v>M: struck</v>
      </c>
      <c r="C3006" s="66">
        <v>3.0</v>
      </c>
      <c r="D3006" s="68">
        <v>46050.0</v>
      </c>
      <c r="E3006" s="66">
        <v>9.0</v>
      </c>
      <c r="F3006" s="66" t="s">
        <v>3963</v>
      </c>
      <c r="G3006" s="66" t="s">
        <v>247</v>
      </c>
    </row>
    <row r="3007" ht="22.5" customHeight="1">
      <c r="A3007" s="66" t="s">
        <v>2733</v>
      </c>
      <c r="B3007" s="67" t="str">
        <f t="shared" si="15"/>
        <v>M: that way</v>
      </c>
      <c r="C3007" s="66">
        <v>2.0</v>
      </c>
      <c r="D3007" s="68">
        <v>46050.0</v>
      </c>
      <c r="E3007" s="66">
        <v>10.0</v>
      </c>
      <c r="F3007" s="66" t="s">
        <v>3964</v>
      </c>
      <c r="G3007" s="66" t="s">
        <v>247</v>
      </c>
    </row>
    <row r="3008" ht="22.5" customHeight="1">
      <c r="A3008" s="66" t="s">
        <v>2733</v>
      </c>
      <c r="B3008" s="67" t="str">
        <f t="shared" si="15"/>
        <v>M: that way</v>
      </c>
      <c r="C3008" s="66">
        <v>3.0</v>
      </c>
      <c r="D3008" s="68">
        <v>46050.0</v>
      </c>
      <c r="E3008" s="66">
        <v>1.0</v>
      </c>
      <c r="F3008" s="66" t="s">
        <v>3965</v>
      </c>
      <c r="G3008" s="66" t="s">
        <v>247</v>
      </c>
    </row>
    <row r="3009" ht="22.5" customHeight="1">
      <c r="A3009" s="66" t="s">
        <v>1678</v>
      </c>
      <c r="B3009" s="67" t="str">
        <f t="shared" si="15"/>
        <v>M: hang up</v>
      </c>
      <c r="C3009" s="66">
        <v>2.0</v>
      </c>
      <c r="D3009" s="68">
        <v>46050.0</v>
      </c>
      <c r="E3009" s="66">
        <v>2.0</v>
      </c>
      <c r="F3009" s="71" t="s">
        <v>3966</v>
      </c>
      <c r="G3009" s="66" t="s">
        <v>247</v>
      </c>
    </row>
    <row r="3010" ht="22.5" customHeight="1">
      <c r="A3010" s="66" t="s">
        <v>1678</v>
      </c>
      <c r="B3010" s="67" t="str">
        <f t="shared" si="15"/>
        <v>M: hang up</v>
      </c>
      <c r="C3010" s="66">
        <v>3.0</v>
      </c>
      <c r="D3010" s="68">
        <v>46050.0</v>
      </c>
      <c r="E3010" s="66">
        <v>3.0</v>
      </c>
      <c r="F3010" s="66" t="s">
        <v>3967</v>
      </c>
      <c r="G3010" s="66" t="s">
        <v>247</v>
      </c>
    </row>
    <row r="3011" ht="22.5" customHeight="1">
      <c r="A3011" s="66" t="s">
        <v>730</v>
      </c>
      <c r="B3011" s="67" t="str">
        <f t="shared" si="15"/>
        <v>M: unlikely</v>
      </c>
      <c r="C3011" s="66">
        <v>2.0</v>
      </c>
      <c r="D3011" s="68">
        <v>46050.0</v>
      </c>
      <c r="E3011" s="66">
        <v>4.0</v>
      </c>
      <c r="F3011" s="71" t="s">
        <v>3968</v>
      </c>
      <c r="G3011" s="66" t="s">
        <v>247</v>
      </c>
    </row>
    <row r="3012" ht="22.5" customHeight="1">
      <c r="A3012" s="66" t="s">
        <v>1675</v>
      </c>
      <c r="B3012" s="67" t="str">
        <f t="shared" si="15"/>
        <v>M: waxing</v>
      </c>
      <c r="C3012" s="66">
        <v>2.0</v>
      </c>
      <c r="D3012" s="68">
        <v>46051.0</v>
      </c>
      <c r="E3012" s="66">
        <v>5.0</v>
      </c>
      <c r="F3012" s="66" t="s">
        <v>3969</v>
      </c>
      <c r="G3012" s="66" t="s">
        <v>247</v>
      </c>
    </row>
    <row r="3013" ht="22.5" customHeight="1">
      <c r="A3013" s="66" t="s">
        <v>1675</v>
      </c>
      <c r="B3013" s="67" t="str">
        <f t="shared" si="15"/>
        <v>M: waxing</v>
      </c>
      <c r="C3013" s="66">
        <v>3.0</v>
      </c>
      <c r="D3013" s="68">
        <v>46051.0</v>
      </c>
      <c r="E3013" s="66">
        <v>6.0</v>
      </c>
      <c r="F3013" s="66" t="s">
        <v>3970</v>
      </c>
      <c r="G3013" s="66" t="s">
        <v>247</v>
      </c>
    </row>
    <row r="3014" ht="22.5" customHeight="1">
      <c r="A3014" s="66" t="s">
        <v>806</v>
      </c>
      <c r="B3014" s="67" t="str">
        <f t="shared" si="15"/>
        <v>M: brooded</v>
      </c>
      <c r="C3014" s="66">
        <v>2.0</v>
      </c>
      <c r="D3014" s="68">
        <v>46051.0</v>
      </c>
      <c r="E3014" s="66">
        <v>7.0</v>
      </c>
      <c r="F3014" s="66" t="s">
        <v>3971</v>
      </c>
      <c r="G3014" s="66" t="s">
        <v>247</v>
      </c>
    </row>
    <row r="3015" ht="22.5" customHeight="1">
      <c r="A3015" s="66" t="s">
        <v>1477</v>
      </c>
      <c r="B3015" s="67" t="str">
        <f t="shared" si="15"/>
        <v>M: we must store</v>
      </c>
      <c r="C3015" s="66">
        <v>2.0</v>
      </c>
      <c r="D3015" s="68">
        <v>46051.0</v>
      </c>
      <c r="E3015" s="66">
        <v>8.0</v>
      </c>
      <c r="F3015" s="66" t="s">
        <v>3972</v>
      </c>
      <c r="G3015" s="66" t="s">
        <v>247</v>
      </c>
    </row>
    <row r="3016" ht="22.5" customHeight="1">
      <c r="A3016" s="66" t="s">
        <v>1666</v>
      </c>
      <c r="B3016" s="67" t="str">
        <f t="shared" si="15"/>
        <v>M: thrives</v>
      </c>
      <c r="C3016" s="66">
        <v>2.0</v>
      </c>
      <c r="D3016" s="68">
        <v>46051.0</v>
      </c>
      <c r="E3016" s="66">
        <v>9.0</v>
      </c>
      <c r="F3016" s="71" t="s">
        <v>3973</v>
      </c>
      <c r="G3016" s="66" t="s">
        <v>247</v>
      </c>
    </row>
    <row r="3017" ht="22.5" customHeight="1">
      <c r="A3017" s="66" t="s">
        <v>2582</v>
      </c>
      <c r="B3017" s="67" t="str">
        <f t="shared" si="15"/>
        <v>M: vital</v>
      </c>
      <c r="C3017" s="66">
        <v>2.0</v>
      </c>
      <c r="D3017" s="68">
        <v>46051.0</v>
      </c>
      <c r="E3017" s="66">
        <v>10.0</v>
      </c>
      <c r="F3017" s="66" t="s">
        <v>3974</v>
      </c>
      <c r="G3017" s="66" t="s">
        <v>247</v>
      </c>
    </row>
    <row r="3018" ht="22.5" customHeight="1">
      <c r="A3018" s="66" t="s">
        <v>519</v>
      </c>
      <c r="B3018" s="67" t="str">
        <f t="shared" si="15"/>
        <v>M: spilled</v>
      </c>
      <c r="C3018" s="66">
        <v>2.0</v>
      </c>
      <c r="D3018" s="68">
        <v>46051.0</v>
      </c>
      <c r="E3018" s="66">
        <v>1.0</v>
      </c>
      <c r="F3018" s="66" t="s">
        <v>3975</v>
      </c>
      <c r="G3018" s="66" t="s">
        <v>247</v>
      </c>
    </row>
    <row r="3019" ht="22.5" customHeight="1">
      <c r="A3019" s="66" t="s">
        <v>2806</v>
      </c>
      <c r="B3019" s="67" t="str">
        <f t="shared" si="15"/>
        <v>M: practically</v>
      </c>
      <c r="C3019" s="66">
        <v>2.0</v>
      </c>
      <c r="D3019" s="68">
        <v>46051.0</v>
      </c>
      <c r="E3019" s="66">
        <v>2.0</v>
      </c>
      <c r="F3019" s="66" t="s">
        <v>3976</v>
      </c>
      <c r="G3019" s="66" t="s">
        <v>247</v>
      </c>
    </row>
    <row r="3020" ht="22.5" customHeight="1">
      <c r="A3020" s="66" t="s">
        <v>1222</v>
      </c>
      <c r="B3020" s="67" t="str">
        <f t="shared" si="15"/>
        <v>M: dummy</v>
      </c>
      <c r="C3020" s="66">
        <v>2.0</v>
      </c>
      <c r="D3020" s="68">
        <v>46051.0</v>
      </c>
      <c r="E3020" s="66">
        <v>3.0</v>
      </c>
      <c r="F3020" s="71" t="s">
        <v>3977</v>
      </c>
      <c r="G3020" s="66" t="s">
        <v>247</v>
      </c>
    </row>
    <row r="3021" ht="22.5" customHeight="1">
      <c r="A3021" s="66" t="s">
        <v>1222</v>
      </c>
      <c r="B3021" s="67" t="str">
        <f t="shared" si="15"/>
        <v>M: dummy</v>
      </c>
      <c r="C3021" s="66">
        <v>3.0</v>
      </c>
      <c r="D3021" s="68">
        <v>46051.0</v>
      </c>
      <c r="E3021" s="66">
        <v>4.0</v>
      </c>
      <c r="F3021" s="66" t="s">
        <v>3978</v>
      </c>
      <c r="G3021" s="66" t="s">
        <v>247</v>
      </c>
    </row>
    <row r="3022" ht="22.5" customHeight="1">
      <c r="A3022" s="66" t="s">
        <v>3979</v>
      </c>
      <c r="B3022" s="67" t="str">
        <f t="shared" si="15"/>
        <v>M: crash</v>
      </c>
      <c r="C3022" s="68"/>
      <c r="D3022" s="68">
        <v>46052.0</v>
      </c>
      <c r="E3022" s="66">
        <v>5.0</v>
      </c>
      <c r="F3022" s="66" t="str">
        <f>IFERROR(__xludf.DUMMYFUNCTION("GOOGLETRANSLATE(A3022,""en"",""pt"")"),"colidir")</f>
        <v>colidir</v>
      </c>
      <c r="G3022" s="69"/>
    </row>
    <row r="3023" ht="22.5" customHeight="1">
      <c r="A3023" s="66" t="s">
        <v>3980</v>
      </c>
      <c r="B3023" s="67" t="str">
        <f t="shared" si="15"/>
        <v>M: ran</v>
      </c>
      <c r="C3023" s="68"/>
      <c r="D3023" s="68">
        <v>46052.0</v>
      </c>
      <c r="E3023" s="66">
        <v>6.0</v>
      </c>
      <c r="F3023" s="66" t="str">
        <f>IFERROR(__xludf.DUMMYFUNCTION("GOOGLETRANSLATE(A3023,""en"",""pt"")"),"corrido")</f>
        <v>corrido</v>
      </c>
      <c r="G3023" s="69"/>
    </row>
    <row r="3024" ht="22.5" customHeight="1">
      <c r="A3024" s="66" t="s">
        <v>3981</v>
      </c>
      <c r="B3024" s="67" t="str">
        <f t="shared" si="15"/>
        <v>M: clothes</v>
      </c>
      <c r="C3024" s="68"/>
      <c r="D3024" s="68">
        <v>46052.0</v>
      </c>
      <c r="E3024" s="66">
        <v>7.0</v>
      </c>
      <c r="F3024" s="66" t="str">
        <f>IFERROR(__xludf.DUMMYFUNCTION("GOOGLETRANSLATE(A3024,""en"",""pt"")"),"roupas")</f>
        <v>roupas</v>
      </c>
      <c r="G3024" s="69"/>
    </row>
    <row r="3025" ht="22.5" customHeight="1">
      <c r="A3025" s="66" t="s">
        <v>3982</v>
      </c>
      <c r="B3025" s="67" t="str">
        <f t="shared" si="15"/>
        <v>M: safety</v>
      </c>
      <c r="C3025" s="68"/>
      <c r="D3025" s="68">
        <v>46052.0</v>
      </c>
      <c r="E3025" s="66">
        <v>8.0</v>
      </c>
      <c r="F3025" s="66" t="str">
        <f>IFERROR(__xludf.DUMMYFUNCTION("GOOGLETRANSLATE(A3025,""en"",""pt"")"),"segurança")</f>
        <v>segurança</v>
      </c>
      <c r="G3025" s="69"/>
    </row>
    <row r="3026" ht="22.5" customHeight="1">
      <c r="A3026" s="66" t="s">
        <v>3983</v>
      </c>
      <c r="B3026" s="67" t="str">
        <f t="shared" si="15"/>
        <v>M: weighted</v>
      </c>
      <c r="C3026" s="68"/>
      <c r="D3026" s="68">
        <v>46052.0</v>
      </c>
      <c r="E3026" s="66">
        <v>9.0</v>
      </c>
      <c r="F3026" s="66" t="str">
        <f>IFERROR(__xludf.DUMMYFUNCTION("GOOGLETRANSLATE(A3026,""en"",""pt"")"),"ponderado")</f>
        <v>ponderado</v>
      </c>
      <c r="G3026" s="69"/>
    </row>
    <row r="3027" ht="22.5" customHeight="1">
      <c r="A3027" s="66" t="s">
        <v>2669</v>
      </c>
      <c r="B3027" s="67" t="str">
        <f t="shared" si="15"/>
        <v>M: given</v>
      </c>
      <c r="C3027" s="66">
        <v>2.0</v>
      </c>
      <c r="D3027" s="68">
        <v>46052.0</v>
      </c>
      <c r="E3027" s="66">
        <v>10.0</v>
      </c>
      <c r="F3027" s="66" t="s">
        <v>3984</v>
      </c>
      <c r="G3027" s="66" t="s">
        <v>247</v>
      </c>
    </row>
    <row r="3028" ht="22.5" customHeight="1">
      <c r="A3028" s="66" t="s">
        <v>2669</v>
      </c>
      <c r="B3028" s="67" t="str">
        <f t="shared" si="15"/>
        <v>M: given</v>
      </c>
      <c r="C3028" s="66">
        <v>3.0</v>
      </c>
      <c r="D3028" s="68">
        <v>46052.0</v>
      </c>
      <c r="E3028" s="66">
        <v>1.0</v>
      </c>
      <c r="F3028" s="66" t="s">
        <v>3985</v>
      </c>
      <c r="G3028" s="66" t="s">
        <v>247</v>
      </c>
    </row>
    <row r="3029" ht="22.5" customHeight="1">
      <c r="A3029" s="66" t="s">
        <v>2669</v>
      </c>
      <c r="B3029" s="67" t="str">
        <f t="shared" si="15"/>
        <v>M: given</v>
      </c>
      <c r="C3029" s="66">
        <v>4.0</v>
      </c>
      <c r="D3029" s="68">
        <v>46052.0</v>
      </c>
      <c r="E3029" s="66">
        <v>2.0</v>
      </c>
      <c r="F3029" s="66" t="s">
        <v>3986</v>
      </c>
      <c r="G3029" s="66" t="s">
        <v>247</v>
      </c>
    </row>
    <row r="3030" ht="22.5" customHeight="1">
      <c r="A3030" s="66" t="s">
        <v>2584</v>
      </c>
      <c r="B3030" s="67" t="str">
        <f t="shared" si="15"/>
        <v>M: unwanted</v>
      </c>
      <c r="C3030" s="68"/>
      <c r="D3030" s="68">
        <v>46052.0</v>
      </c>
      <c r="E3030" s="66">
        <v>3.0</v>
      </c>
      <c r="F3030" s="66" t="s">
        <v>3987</v>
      </c>
      <c r="G3030" s="66" t="s">
        <v>247</v>
      </c>
    </row>
    <row r="3031" ht="22.5" customHeight="1">
      <c r="A3031" s="66" t="s">
        <v>2048</v>
      </c>
      <c r="B3031" s="67" t="str">
        <f t="shared" si="15"/>
        <v>M: coat</v>
      </c>
      <c r="C3031" s="66">
        <v>2.0</v>
      </c>
      <c r="D3031" s="68">
        <v>46052.0</v>
      </c>
      <c r="E3031" s="66">
        <v>4.0</v>
      </c>
      <c r="F3031" s="71" t="s">
        <v>3988</v>
      </c>
      <c r="G3031" s="66" t="s">
        <v>247</v>
      </c>
    </row>
    <row r="3032" ht="22.5" customHeight="1">
      <c r="A3032" s="66" t="s">
        <v>2048</v>
      </c>
      <c r="B3032" s="67" t="str">
        <f t="shared" si="15"/>
        <v>M: coat</v>
      </c>
      <c r="C3032" s="66">
        <v>3.0</v>
      </c>
      <c r="D3032" s="68">
        <v>46053.0</v>
      </c>
      <c r="E3032" s="66">
        <v>5.0</v>
      </c>
      <c r="F3032" s="71" t="s">
        <v>3989</v>
      </c>
      <c r="G3032" s="66" t="s">
        <v>247</v>
      </c>
    </row>
    <row r="3033" ht="22.5" customHeight="1">
      <c r="A3033" s="66" t="s">
        <v>3990</v>
      </c>
      <c r="B3033" s="67" t="str">
        <f t="shared" si="15"/>
        <v>M: insulation</v>
      </c>
      <c r="C3033" s="68"/>
      <c r="D3033" s="68">
        <v>46053.0</v>
      </c>
      <c r="E3033" s="66">
        <v>6.0</v>
      </c>
      <c r="F3033" s="66" t="str">
        <f>IFERROR(__xludf.DUMMYFUNCTION("GOOGLETRANSLATE(A3033,""en"",""pt"")"),"isolamento")</f>
        <v>isolamento</v>
      </c>
      <c r="G3033" s="69"/>
    </row>
    <row r="3034" ht="22.5" customHeight="1">
      <c r="A3034" s="66" t="s">
        <v>2588</v>
      </c>
      <c r="B3034" s="67" t="str">
        <f t="shared" si="15"/>
        <v>M: brake</v>
      </c>
      <c r="C3034" s="66">
        <v>2.0</v>
      </c>
      <c r="D3034" s="68">
        <v>46053.0</v>
      </c>
      <c r="E3034" s="66">
        <v>7.0</v>
      </c>
      <c r="F3034" s="71" t="s">
        <v>3991</v>
      </c>
      <c r="G3034" s="66" t="s">
        <v>247</v>
      </c>
    </row>
    <row r="3035" ht="22.5" customHeight="1">
      <c r="A3035" s="66" t="s">
        <v>3992</v>
      </c>
      <c r="B3035" s="67" t="str">
        <f t="shared" si="15"/>
        <v>M: firmly</v>
      </c>
      <c r="C3035" s="68"/>
      <c r="D3035" s="68">
        <v>46053.0</v>
      </c>
      <c r="E3035" s="66">
        <v>8.0</v>
      </c>
      <c r="F3035" s="66" t="str">
        <f>IFERROR(__xludf.DUMMYFUNCTION("GOOGLETRANSLATE(A3035,""en"",""pt"")"),"firmemente")</f>
        <v>firmemente</v>
      </c>
      <c r="G3035" s="69"/>
    </row>
    <row r="3036" ht="22.5" customHeight="1">
      <c r="A3036" s="66" t="s">
        <v>3993</v>
      </c>
      <c r="B3036" s="67" t="str">
        <f t="shared" si="15"/>
        <v>M: rotors</v>
      </c>
      <c r="C3036" s="68"/>
      <c r="D3036" s="68">
        <v>46053.0</v>
      </c>
      <c r="E3036" s="66">
        <v>9.0</v>
      </c>
      <c r="F3036" s="66" t="str">
        <f>IFERROR(__xludf.DUMMYFUNCTION("GOOGLETRANSLATE(A3036,""en"",""pt"")"),"rotores")</f>
        <v>rotores</v>
      </c>
      <c r="G3036" s="69"/>
    </row>
    <row r="3037" ht="22.5" customHeight="1">
      <c r="A3037" s="66" t="s">
        <v>3994</v>
      </c>
      <c r="B3037" s="67" t="str">
        <f t="shared" si="15"/>
        <v>M: sharp</v>
      </c>
      <c r="C3037" s="68"/>
      <c r="D3037" s="68">
        <v>46053.0</v>
      </c>
      <c r="E3037" s="66">
        <v>10.0</v>
      </c>
      <c r="F3037" s="66" t="str">
        <f>IFERROR(__xludf.DUMMYFUNCTION("GOOGLETRANSLATE(A3037,""en"",""pt"")"),"afiado")</f>
        <v>afiado</v>
      </c>
      <c r="G3037" s="69"/>
    </row>
    <row r="3038" ht="22.5" customHeight="1">
      <c r="A3038" s="66" t="s">
        <v>715</v>
      </c>
      <c r="B3038" s="67" t="str">
        <f t="shared" si="15"/>
        <v>M: picked up</v>
      </c>
      <c r="C3038" s="66">
        <v>2.0</v>
      </c>
      <c r="D3038" s="68">
        <v>46053.0</v>
      </c>
      <c r="E3038" s="66">
        <v>1.0</v>
      </c>
      <c r="F3038" s="71" t="s">
        <v>3995</v>
      </c>
      <c r="G3038" s="66" t="s">
        <v>247</v>
      </c>
    </row>
    <row r="3039" ht="22.5" customHeight="1">
      <c r="A3039" s="66" t="s">
        <v>715</v>
      </c>
      <c r="B3039" s="67" t="str">
        <f t="shared" si="15"/>
        <v>M: picked up</v>
      </c>
      <c r="C3039" s="66">
        <v>3.0</v>
      </c>
      <c r="D3039" s="68">
        <v>46053.0</v>
      </c>
      <c r="E3039" s="66">
        <v>2.0</v>
      </c>
      <c r="F3039" s="66" t="s">
        <v>3996</v>
      </c>
      <c r="G3039" s="66" t="s">
        <v>247</v>
      </c>
    </row>
    <row r="3040" ht="22.5" customHeight="1">
      <c r="A3040" s="66" t="s">
        <v>1107</v>
      </c>
      <c r="B3040" s="67" t="str">
        <f t="shared" si="15"/>
        <v>M: messed up</v>
      </c>
      <c r="C3040" s="66">
        <v>2.0</v>
      </c>
      <c r="D3040" s="68">
        <v>46053.0</v>
      </c>
      <c r="E3040" s="66">
        <v>3.0</v>
      </c>
      <c r="F3040" s="66" t="s">
        <v>3997</v>
      </c>
      <c r="G3040" s="66" t="s">
        <v>247</v>
      </c>
    </row>
    <row r="3041" ht="22.5" customHeight="1">
      <c r="A3041" s="66" t="s">
        <v>1107</v>
      </c>
      <c r="B3041" s="67" t="str">
        <f t="shared" si="15"/>
        <v>M: messed up</v>
      </c>
      <c r="C3041" s="66">
        <v>3.0</v>
      </c>
      <c r="D3041" s="68">
        <v>46053.0</v>
      </c>
      <c r="E3041" s="66">
        <v>4.0</v>
      </c>
      <c r="F3041" s="66" t="s">
        <v>3603</v>
      </c>
      <c r="G3041" s="66" t="s">
        <v>247</v>
      </c>
    </row>
    <row r="3042" ht="22.5" customHeight="1">
      <c r="A3042" s="66" t="s">
        <v>1751</v>
      </c>
      <c r="B3042" s="67" t="str">
        <f t="shared" si="15"/>
        <v>M: awaits</v>
      </c>
      <c r="C3042" s="66">
        <v>2.0</v>
      </c>
      <c r="D3042" s="68">
        <v>46054.0</v>
      </c>
      <c r="E3042" s="66">
        <v>5.0</v>
      </c>
      <c r="F3042" s="66" t="s">
        <v>3998</v>
      </c>
      <c r="G3042" s="66" t="s">
        <v>247</v>
      </c>
    </row>
    <row r="3043" ht="22.5" customHeight="1">
      <c r="A3043" s="66" t="s">
        <v>2956</v>
      </c>
      <c r="B3043" s="67" t="str">
        <f t="shared" si="15"/>
        <v>M: owned</v>
      </c>
      <c r="C3043" s="68"/>
      <c r="D3043" s="68">
        <v>46054.0</v>
      </c>
      <c r="E3043" s="66">
        <v>6.0</v>
      </c>
      <c r="F3043" s="66" t="s">
        <v>3999</v>
      </c>
      <c r="G3043" s="66" t="s">
        <v>247</v>
      </c>
    </row>
    <row r="3044" ht="22.5" customHeight="1">
      <c r="A3044" s="66" t="s">
        <v>2956</v>
      </c>
      <c r="B3044" s="67" t="str">
        <f t="shared" si="15"/>
        <v>M: owned</v>
      </c>
      <c r="C3044" s="68"/>
      <c r="D3044" s="68">
        <v>46054.0</v>
      </c>
      <c r="E3044" s="66">
        <v>7.0</v>
      </c>
      <c r="F3044" s="66" t="s">
        <v>4000</v>
      </c>
      <c r="G3044" s="66" t="s">
        <v>247</v>
      </c>
    </row>
    <row r="3045" ht="22.5" customHeight="1">
      <c r="A3045" s="66" t="s">
        <v>554</v>
      </c>
      <c r="B3045" s="67" t="str">
        <f t="shared" si="15"/>
        <v>M: whimpered</v>
      </c>
      <c r="C3045" s="66">
        <v>2.0</v>
      </c>
      <c r="D3045" s="68">
        <v>46054.0</v>
      </c>
      <c r="E3045" s="66">
        <v>8.0</v>
      </c>
      <c r="F3045" s="71" t="s">
        <v>4001</v>
      </c>
      <c r="G3045" s="66" t="s">
        <v>247</v>
      </c>
    </row>
    <row r="3046" ht="22.5" customHeight="1">
      <c r="A3046" s="66" t="s">
        <v>4002</v>
      </c>
      <c r="B3046" s="67" t="str">
        <f t="shared" si="15"/>
        <v>M: hurt</v>
      </c>
      <c r="C3046" s="68"/>
      <c r="D3046" s="68">
        <v>46054.0</v>
      </c>
      <c r="E3046" s="66">
        <v>9.0</v>
      </c>
      <c r="F3046" s="66" t="str">
        <f>IFERROR(__xludf.DUMMYFUNCTION("GOOGLETRANSLATE(A3046,""en"",""pt"")"),"ferir")</f>
        <v>ferir</v>
      </c>
      <c r="G3046" s="69"/>
    </row>
    <row r="3047" ht="22.5" customHeight="1">
      <c r="A3047" s="66" t="s">
        <v>4003</v>
      </c>
      <c r="B3047" s="67" t="str">
        <f t="shared" si="15"/>
        <v>M: protest</v>
      </c>
      <c r="C3047" s="68"/>
      <c r="D3047" s="68">
        <v>46054.0</v>
      </c>
      <c r="E3047" s="66">
        <v>10.0</v>
      </c>
      <c r="F3047" s="66" t="str">
        <f>IFERROR(__xludf.DUMMYFUNCTION("GOOGLETRANSLATE(A3047,""en"",""pt"")"),"protesto")</f>
        <v>protesto</v>
      </c>
      <c r="G3047" s="69"/>
    </row>
    <row r="3048" ht="22.5" customHeight="1">
      <c r="A3048" s="66" t="s">
        <v>4004</v>
      </c>
      <c r="B3048" s="67" t="str">
        <f t="shared" si="15"/>
        <v>M: him</v>
      </c>
      <c r="C3048" s="68"/>
      <c r="D3048" s="68">
        <v>46054.0</v>
      </c>
      <c r="E3048" s="66">
        <v>1.0</v>
      </c>
      <c r="F3048" s="66" t="str">
        <f>IFERROR(__xludf.DUMMYFUNCTION("GOOGLETRANSLATE(A3048,""en"",""pt"")"),"ele")</f>
        <v>ele</v>
      </c>
      <c r="G3048" s="69"/>
    </row>
    <row r="3049" ht="22.5" customHeight="1">
      <c r="A3049" s="66" t="s">
        <v>1637</v>
      </c>
      <c r="B3049" s="67" t="str">
        <f t="shared" si="15"/>
        <v>M: cowardly</v>
      </c>
      <c r="C3049" s="66">
        <v>2.0</v>
      </c>
      <c r="D3049" s="68">
        <v>46054.0</v>
      </c>
      <c r="E3049" s="66">
        <v>2.0</v>
      </c>
      <c r="F3049" s="71" t="s">
        <v>4005</v>
      </c>
      <c r="G3049" s="66" t="s">
        <v>247</v>
      </c>
    </row>
    <row r="3050" ht="22.5" customHeight="1">
      <c r="A3050" s="66" t="s">
        <v>2486</v>
      </c>
      <c r="B3050" s="67" t="str">
        <f t="shared" si="15"/>
        <v>M: concert</v>
      </c>
      <c r="C3050" s="66">
        <v>2.0</v>
      </c>
      <c r="D3050" s="68">
        <v>46054.0</v>
      </c>
      <c r="E3050" s="66">
        <v>3.0</v>
      </c>
      <c r="F3050" s="66" t="s">
        <v>4006</v>
      </c>
      <c r="G3050" s="66" t="s">
        <v>247</v>
      </c>
    </row>
    <row r="3051" ht="22.5" customHeight="1">
      <c r="A3051" s="66" t="s">
        <v>1963</v>
      </c>
      <c r="B3051" s="67" t="str">
        <f t="shared" si="15"/>
        <v>M: undertaker</v>
      </c>
      <c r="C3051" s="66">
        <v>2.0</v>
      </c>
      <c r="D3051" s="68">
        <v>46054.0</v>
      </c>
      <c r="E3051" s="66">
        <v>4.0</v>
      </c>
      <c r="F3051" s="66" t="s">
        <v>4007</v>
      </c>
      <c r="G3051" s="66" t="s">
        <v>247</v>
      </c>
    </row>
    <row r="3052" ht="22.5" customHeight="1">
      <c r="A3052" s="66" t="s">
        <v>2594</v>
      </c>
      <c r="B3052" s="67" t="str">
        <f t="shared" si="15"/>
        <v>M: tend</v>
      </c>
      <c r="C3052" s="66">
        <v>2.0</v>
      </c>
      <c r="D3052" s="68">
        <v>46055.0</v>
      </c>
      <c r="E3052" s="66">
        <v>5.0</v>
      </c>
      <c r="F3052" s="66" t="s">
        <v>4008</v>
      </c>
      <c r="G3052" s="66" t="s">
        <v>247</v>
      </c>
    </row>
    <row r="3053" ht="22.5" customHeight="1">
      <c r="A3053" s="66" t="s">
        <v>2594</v>
      </c>
      <c r="B3053" s="67" t="str">
        <f t="shared" si="15"/>
        <v>M: tend</v>
      </c>
      <c r="C3053" s="66">
        <v>3.0</v>
      </c>
      <c r="D3053" s="68">
        <v>46055.0</v>
      </c>
      <c r="E3053" s="66">
        <v>6.0</v>
      </c>
      <c r="F3053" s="71" t="s">
        <v>4009</v>
      </c>
      <c r="G3053" s="66" t="s">
        <v>247</v>
      </c>
    </row>
    <row r="3054" ht="22.5" customHeight="1">
      <c r="A3054" s="66" t="s">
        <v>4010</v>
      </c>
      <c r="B3054" s="67" t="str">
        <f t="shared" si="15"/>
        <v>M: southward</v>
      </c>
      <c r="C3054" s="68"/>
      <c r="D3054" s="68">
        <v>46055.0</v>
      </c>
      <c r="E3054" s="66">
        <v>7.0</v>
      </c>
      <c r="F3054" s="66" t="str">
        <f>IFERROR(__xludf.DUMMYFUNCTION("GOOGLETRANSLATE(A3054,""en"",""pt"")"),"sul")</f>
        <v>sul</v>
      </c>
      <c r="G3054" s="69"/>
    </row>
    <row r="3055" ht="22.5" customHeight="1">
      <c r="A3055" s="66" t="s">
        <v>4011</v>
      </c>
      <c r="B3055" s="67" t="str">
        <f t="shared" si="15"/>
        <v>M: gardener</v>
      </c>
      <c r="C3055" s="68"/>
      <c r="D3055" s="68">
        <v>46055.0</v>
      </c>
      <c r="E3055" s="66">
        <v>8.0</v>
      </c>
      <c r="F3055" s="66" t="str">
        <f>IFERROR(__xludf.DUMMYFUNCTION("GOOGLETRANSLATE(A3055,""en"",""pt"")"),"jardineiro")</f>
        <v>jardineiro</v>
      </c>
      <c r="G3055" s="69"/>
    </row>
    <row r="3056" ht="22.5" customHeight="1">
      <c r="A3056" s="66" t="s">
        <v>844</v>
      </c>
      <c r="B3056" s="67" t="str">
        <f t="shared" si="15"/>
        <v>M: When</v>
      </c>
      <c r="C3056" s="66">
        <v>2.0</v>
      </c>
      <c r="D3056" s="68">
        <v>46055.0</v>
      </c>
      <c r="E3056" s="66">
        <v>9.0</v>
      </c>
      <c r="F3056" s="71" t="s">
        <v>4012</v>
      </c>
      <c r="G3056" s="66" t="s">
        <v>247</v>
      </c>
    </row>
    <row r="3057" ht="22.5" customHeight="1">
      <c r="A3057" s="66" t="s">
        <v>844</v>
      </c>
      <c r="B3057" s="67" t="str">
        <f t="shared" si="15"/>
        <v>M: When</v>
      </c>
      <c r="C3057" s="66">
        <v>3.0</v>
      </c>
      <c r="D3057" s="68">
        <v>46055.0</v>
      </c>
      <c r="E3057" s="66">
        <v>10.0</v>
      </c>
      <c r="F3057" s="71" t="s">
        <v>4013</v>
      </c>
      <c r="G3057" s="66" t="s">
        <v>247</v>
      </c>
    </row>
    <row r="3058" ht="22.5" customHeight="1">
      <c r="A3058" s="66" t="s">
        <v>1417</v>
      </c>
      <c r="B3058" s="67" t="str">
        <f t="shared" si="15"/>
        <v>M: toll</v>
      </c>
      <c r="C3058" s="66">
        <v>2.0</v>
      </c>
      <c r="D3058" s="68">
        <v>46055.0</v>
      </c>
      <c r="E3058" s="66">
        <v>1.0</v>
      </c>
      <c r="F3058" s="71" t="s">
        <v>4014</v>
      </c>
      <c r="G3058" s="66" t="s">
        <v>247</v>
      </c>
    </row>
    <row r="3059" ht="22.5" customHeight="1">
      <c r="A3059" s="66" t="s">
        <v>1417</v>
      </c>
      <c r="B3059" s="67" t="str">
        <f t="shared" si="15"/>
        <v>M: toll</v>
      </c>
      <c r="C3059" s="66">
        <v>3.0</v>
      </c>
      <c r="D3059" s="68">
        <v>46055.0</v>
      </c>
      <c r="E3059" s="66">
        <v>2.0</v>
      </c>
      <c r="F3059" s="71" t="s">
        <v>4015</v>
      </c>
      <c r="G3059" s="66" t="s">
        <v>247</v>
      </c>
    </row>
    <row r="3060" ht="22.5" customHeight="1">
      <c r="A3060" s="66" t="s">
        <v>4016</v>
      </c>
      <c r="B3060" s="67" t="str">
        <f t="shared" si="15"/>
        <v>M: highway</v>
      </c>
      <c r="C3060" s="68"/>
      <c r="D3060" s="68">
        <v>46055.0</v>
      </c>
      <c r="E3060" s="66">
        <v>3.0</v>
      </c>
      <c r="F3060" s="66" t="str">
        <f>IFERROR(__xludf.DUMMYFUNCTION("GOOGLETRANSLATE(A3060,""en"",""pt"")"),"autoestrada")</f>
        <v>autoestrada</v>
      </c>
      <c r="G3060" s="69"/>
    </row>
    <row r="3061" ht="22.5" customHeight="1">
      <c r="A3061" s="66" t="s">
        <v>4017</v>
      </c>
      <c r="B3061" s="67" t="str">
        <f t="shared" si="15"/>
        <v>M: government</v>
      </c>
      <c r="C3061" s="68"/>
      <c r="D3061" s="68">
        <v>46055.0</v>
      </c>
      <c r="E3061" s="66">
        <v>4.0</v>
      </c>
      <c r="F3061" s="66" t="str">
        <f>IFERROR(__xludf.DUMMYFUNCTION("GOOGLETRANSLATE(A3061,""en"",""pt"")"),"governo")</f>
        <v>governo</v>
      </c>
      <c r="G3061" s="69"/>
    </row>
    <row r="3062" ht="22.5" customHeight="1">
      <c r="A3062" s="66" t="s">
        <v>4018</v>
      </c>
      <c r="B3062" s="67" t="str">
        <f t="shared" si="15"/>
        <v>M: serious</v>
      </c>
      <c r="C3062" s="68"/>
      <c r="D3062" s="68">
        <v>46056.0</v>
      </c>
      <c r="E3062" s="66">
        <v>5.0</v>
      </c>
      <c r="F3062" s="66" t="str">
        <f>IFERROR(__xludf.DUMMYFUNCTION("GOOGLETRANSLATE(A3062,""en"",""pt"")"),"sério")</f>
        <v>sério</v>
      </c>
      <c r="G3062" s="69"/>
    </row>
    <row r="3063" ht="22.5" customHeight="1">
      <c r="A3063" s="66" t="s">
        <v>4019</v>
      </c>
      <c r="B3063" s="67" t="str">
        <f t="shared" si="15"/>
        <v>M: casualties</v>
      </c>
      <c r="C3063" s="68"/>
      <c r="D3063" s="68">
        <v>46056.0</v>
      </c>
      <c r="E3063" s="66">
        <v>6.0</v>
      </c>
      <c r="F3063" s="66" t="str">
        <f>IFERROR(__xludf.DUMMYFUNCTION("GOOGLETRANSLATE(A3063,""en"",""pt"")"),"baixas")</f>
        <v>baixas</v>
      </c>
      <c r="G3063" s="69"/>
    </row>
    <row r="3064" ht="22.5" customHeight="1">
      <c r="A3064" s="66" t="s">
        <v>4020</v>
      </c>
      <c r="B3064" s="67" t="str">
        <f t="shared" si="15"/>
        <v>M: disaster</v>
      </c>
      <c r="C3064" s="68"/>
      <c r="D3064" s="68">
        <v>46056.0</v>
      </c>
      <c r="E3064" s="66">
        <v>7.0</v>
      </c>
      <c r="F3064" s="66" t="str">
        <f>IFERROR(__xludf.DUMMYFUNCTION("GOOGLETRANSLATE(A3064,""en"",""pt"")"),"desastre")</f>
        <v>desastre</v>
      </c>
      <c r="G3064" s="69"/>
    </row>
    <row r="3065" ht="22.5" customHeight="1">
      <c r="A3065" s="66" t="s">
        <v>4021</v>
      </c>
      <c r="B3065" s="67" t="str">
        <f t="shared" si="15"/>
        <v>M: signaling</v>
      </c>
      <c r="C3065" s="68"/>
      <c r="D3065" s="68">
        <v>46056.0</v>
      </c>
      <c r="E3065" s="66">
        <v>8.0</v>
      </c>
      <c r="F3065" s="66" t="str">
        <f>IFERROR(__xludf.DUMMYFUNCTION("GOOGLETRANSLATE(A3065,""en"",""pt"")"),"sinalização")</f>
        <v>sinalização</v>
      </c>
      <c r="G3065" s="69"/>
    </row>
    <row r="3066" ht="22.5" customHeight="1">
      <c r="A3066" s="66" t="s">
        <v>4022</v>
      </c>
      <c r="B3066" s="67" t="str">
        <f t="shared" si="15"/>
        <v>M: noon</v>
      </c>
      <c r="C3066" s="68"/>
      <c r="D3066" s="68">
        <v>46056.0</v>
      </c>
      <c r="E3066" s="66">
        <v>9.0</v>
      </c>
      <c r="F3066" s="66" t="str">
        <f>IFERROR(__xludf.DUMMYFUNCTION("GOOGLETRANSLATE(A3066,""en"",""pt"")"),"meio-dia")</f>
        <v>meio-dia</v>
      </c>
      <c r="G3066" s="69"/>
    </row>
    <row r="3067" ht="22.5" customHeight="1">
      <c r="A3067" s="66" t="s">
        <v>1136</v>
      </c>
      <c r="B3067" s="67" t="str">
        <f t="shared" si="15"/>
        <v>M: writhe</v>
      </c>
      <c r="C3067" s="66">
        <v>2.0</v>
      </c>
      <c r="D3067" s="68">
        <v>46056.0</v>
      </c>
      <c r="E3067" s="66">
        <v>10.0</v>
      </c>
      <c r="F3067" s="66" t="s">
        <v>4023</v>
      </c>
      <c r="G3067" s="66" t="s">
        <v>247</v>
      </c>
    </row>
    <row r="3068" ht="22.5" customHeight="1">
      <c r="A3068" s="66" t="s">
        <v>2657</v>
      </c>
      <c r="B3068" s="67" t="str">
        <f t="shared" si="15"/>
        <v>M: shift</v>
      </c>
      <c r="C3068" s="66">
        <v>2.0</v>
      </c>
      <c r="D3068" s="68">
        <v>46056.0</v>
      </c>
      <c r="E3068" s="66">
        <v>1.0</v>
      </c>
      <c r="F3068" s="66" t="s">
        <v>4024</v>
      </c>
      <c r="G3068" s="66" t="s">
        <v>247</v>
      </c>
    </row>
    <row r="3069" ht="22.5" customHeight="1">
      <c r="A3069" s="66" t="s">
        <v>2657</v>
      </c>
      <c r="B3069" s="67" t="str">
        <f t="shared" si="15"/>
        <v>M: shift</v>
      </c>
      <c r="C3069" s="66">
        <v>3.0</v>
      </c>
      <c r="D3069" s="68">
        <v>46056.0</v>
      </c>
      <c r="E3069" s="66">
        <v>2.0</v>
      </c>
      <c r="F3069" s="66" t="s">
        <v>4025</v>
      </c>
      <c r="G3069" s="66" t="s">
        <v>247</v>
      </c>
    </row>
    <row r="3070" ht="22.5" customHeight="1">
      <c r="A3070" s="66" t="s">
        <v>1764</v>
      </c>
      <c r="B3070" s="67" t="str">
        <f t="shared" si="15"/>
        <v>M: bargaining</v>
      </c>
      <c r="C3070" s="66">
        <v>2.0</v>
      </c>
      <c r="D3070" s="68">
        <v>46056.0</v>
      </c>
      <c r="E3070" s="66">
        <v>3.0</v>
      </c>
      <c r="F3070" s="66" t="s">
        <v>4026</v>
      </c>
      <c r="G3070" s="66" t="s">
        <v>247</v>
      </c>
    </row>
    <row r="3071" ht="22.5" customHeight="1">
      <c r="A3071" s="66" t="s">
        <v>4027</v>
      </c>
      <c r="B3071" s="67" t="str">
        <f t="shared" si="15"/>
        <v>M: contract</v>
      </c>
      <c r="C3071" s="68"/>
      <c r="D3071" s="68">
        <v>46056.0</v>
      </c>
      <c r="E3071" s="66">
        <v>4.0</v>
      </c>
      <c r="F3071" s="66" t="str">
        <f>IFERROR(__xludf.DUMMYFUNCTION("GOOGLETRANSLATE(A3071,""en"",""pt"")"),"contrato")</f>
        <v>contrato</v>
      </c>
      <c r="G3071" s="69"/>
    </row>
    <row r="3072" ht="22.5" customHeight="1">
      <c r="A3072" s="66" t="s">
        <v>4028</v>
      </c>
      <c r="B3072" s="67" t="str">
        <f t="shared" si="15"/>
        <v>M: salesman</v>
      </c>
      <c r="C3072" s="68"/>
      <c r="D3072" s="68">
        <v>46057.0</v>
      </c>
      <c r="E3072" s="66">
        <v>5.0</v>
      </c>
      <c r="F3072" s="66" t="str">
        <f>IFERROR(__xludf.DUMMYFUNCTION("GOOGLETRANSLATE(A3072,""en"",""pt"")"),"vendedor")</f>
        <v>vendedor</v>
      </c>
      <c r="G3072" s="69"/>
    </row>
    <row r="3073" ht="22.5" customHeight="1">
      <c r="A3073" s="66" t="s">
        <v>4029</v>
      </c>
      <c r="B3073" s="67" t="str">
        <f t="shared" si="15"/>
        <v>M: timeline</v>
      </c>
      <c r="C3073" s="68"/>
      <c r="D3073" s="68">
        <v>46057.0</v>
      </c>
      <c r="E3073" s="66">
        <v>6.0</v>
      </c>
      <c r="F3073" s="66" t="str">
        <f>IFERROR(__xludf.DUMMYFUNCTION("GOOGLETRANSLATE(A3073,""en"",""pt"")"),"linha do tempo")</f>
        <v>linha do tempo</v>
      </c>
      <c r="G3073" s="69"/>
    </row>
    <row r="3074" ht="22.5" customHeight="1">
      <c r="A3074" s="66" t="s">
        <v>4030</v>
      </c>
      <c r="B3074" s="67" t="str">
        <f t="shared" si="15"/>
        <v>M: union</v>
      </c>
      <c r="C3074" s="68"/>
      <c r="D3074" s="68">
        <v>46057.0</v>
      </c>
      <c r="E3074" s="66">
        <v>7.0</v>
      </c>
      <c r="F3074" s="66" t="str">
        <f>IFERROR(__xludf.DUMMYFUNCTION("GOOGLETRANSLATE(A3074,""en"",""pt"")"),"união")</f>
        <v>união</v>
      </c>
      <c r="G3074" s="69"/>
    </row>
    <row r="3075" ht="22.5" customHeight="1">
      <c r="A3075" s="66" t="s">
        <v>4031</v>
      </c>
      <c r="B3075" s="67" t="str">
        <f t="shared" si="15"/>
        <v>M: wages</v>
      </c>
      <c r="C3075" s="68"/>
      <c r="D3075" s="68">
        <v>46057.0</v>
      </c>
      <c r="E3075" s="66">
        <v>8.0</v>
      </c>
      <c r="F3075" s="66" t="str">
        <f>IFERROR(__xludf.DUMMYFUNCTION("GOOGLETRANSLATE(A3075,""en"",""pt"")"),"remunerações")</f>
        <v>remunerações</v>
      </c>
      <c r="G3075" s="69"/>
    </row>
    <row r="3076" ht="22.5" customHeight="1">
      <c r="A3076" s="66" t="s">
        <v>4032</v>
      </c>
      <c r="B3076" s="67" t="str">
        <f t="shared" si="15"/>
        <v>M: management</v>
      </c>
      <c r="C3076" s="68"/>
      <c r="D3076" s="68">
        <v>46057.0</v>
      </c>
      <c r="E3076" s="66">
        <v>9.0</v>
      </c>
      <c r="F3076" s="66" t="str">
        <f>IFERROR(__xludf.DUMMYFUNCTION("GOOGLETRANSLATE(A3076,""en"",""pt"")"),"gerenciamento")</f>
        <v>gerenciamento</v>
      </c>
      <c r="G3076" s="69"/>
    </row>
    <row r="3077" ht="22.5" customHeight="1">
      <c r="A3077" s="66" t="s">
        <v>4033</v>
      </c>
      <c r="B3077" s="67" t="str">
        <f t="shared" si="15"/>
        <v>M: legally</v>
      </c>
      <c r="C3077" s="68"/>
      <c r="D3077" s="68">
        <v>46057.0</v>
      </c>
      <c r="E3077" s="66">
        <v>10.0</v>
      </c>
      <c r="F3077" s="66" t="str">
        <f>IFERROR(__xludf.DUMMYFUNCTION("GOOGLETRANSLATE(A3077,""en"",""pt"")"),"legalmente")</f>
        <v>legalmente</v>
      </c>
      <c r="G3077" s="69"/>
    </row>
    <row r="3078" ht="22.5" customHeight="1">
      <c r="A3078" s="66" t="s">
        <v>1091</v>
      </c>
      <c r="B3078" s="67" t="str">
        <f t="shared" si="15"/>
        <v>M: napkins</v>
      </c>
      <c r="C3078" s="68"/>
      <c r="D3078" s="68">
        <v>46057.0</v>
      </c>
      <c r="E3078" s="66">
        <v>1.0</v>
      </c>
      <c r="F3078" s="71" t="s">
        <v>4034</v>
      </c>
      <c r="G3078" s="66" t="s">
        <v>247</v>
      </c>
    </row>
    <row r="3079" ht="22.5" customHeight="1">
      <c r="A3079" s="66" t="s">
        <v>4035</v>
      </c>
      <c r="B3079" s="67" t="str">
        <f t="shared" si="15"/>
        <v>M: bought</v>
      </c>
      <c r="C3079" s="68"/>
      <c r="D3079" s="68">
        <v>46057.0</v>
      </c>
      <c r="E3079" s="66">
        <v>2.0</v>
      </c>
      <c r="F3079" s="66" t="str">
        <f>IFERROR(__xludf.DUMMYFUNCTION("GOOGLETRANSLATE(A3079,""en"",""pt"")"),"comprado")</f>
        <v>comprado</v>
      </c>
      <c r="G3079" s="69"/>
    </row>
    <row r="3080" ht="22.5" customHeight="1">
      <c r="A3080" s="66" t="s">
        <v>4036</v>
      </c>
      <c r="B3080" s="67" t="str">
        <f t="shared" si="15"/>
        <v>M: sanitary</v>
      </c>
      <c r="C3080" s="68"/>
      <c r="D3080" s="68">
        <v>46057.0</v>
      </c>
      <c r="E3080" s="66">
        <v>3.0</v>
      </c>
      <c r="F3080" s="66" t="str">
        <f>IFERROR(__xludf.DUMMYFUNCTION("GOOGLETRANSLATE(A3080,""en"",""pt"")"),"sanitário")</f>
        <v>sanitário</v>
      </c>
      <c r="G3080" s="69"/>
    </row>
    <row r="3081" ht="22.5" customHeight="1">
      <c r="A3081" s="66" t="s">
        <v>4037</v>
      </c>
      <c r="B3081" s="67" t="str">
        <f t="shared" si="15"/>
        <v>M: drugstore</v>
      </c>
      <c r="C3081" s="68"/>
      <c r="D3081" s="68">
        <v>46057.0</v>
      </c>
      <c r="E3081" s="66">
        <v>4.0</v>
      </c>
      <c r="F3081" s="66" t="str">
        <f>IFERROR(__xludf.DUMMYFUNCTION("GOOGLETRANSLATE(A3081,""en"",""pt"")"),"farmácia")</f>
        <v>farmácia</v>
      </c>
      <c r="G3081" s="69"/>
    </row>
    <row r="3082" ht="22.5" customHeight="1">
      <c r="A3082" s="66" t="s">
        <v>4038</v>
      </c>
      <c r="B3082" s="67" t="str">
        <f t="shared" si="15"/>
        <v>M: labeled</v>
      </c>
      <c r="C3082" s="68"/>
      <c r="D3082" s="68">
        <v>46058.0</v>
      </c>
      <c r="E3082" s="66">
        <v>5.0</v>
      </c>
      <c r="F3082" s="66" t="str">
        <f>IFERROR(__xludf.DUMMYFUNCTION("GOOGLETRANSLATE(A3082,""en"",""pt"")"),"rotulado")</f>
        <v>rotulado</v>
      </c>
      <c r="G3082" s="69"/>
    </row>
    <row r="3083" ht="22.5" customHeight="1">
      <c r="A3083" s="66" t="s">
        <v>4039</v>
      </c>
      <c r="B3083" s="67" t="str">
        <f t="shared" si="15"/>
        <v>M: trip</v>
      </c>
      <c r="C3083" s="68"/>
      <c r="D3083" s="68">
        <v>46058.0</v>
      </c>
      <c r="E3083" s="66">
        <v>6.0</v>
      </c>
      <c r="F3083" s="66" t="str">
        <f>IFERROR(__xludf.DUMMYFUNCTION("GOOGLETRANSLATE(A3083,""en"",""pt"")"),"viagem")</f>
        <v>viagem</v>
      </c>
      <c r="G3083" s="69"/>
    </row>
    <row r="3084" ht="22.5" customHeight="1">
      <c r="A3084" s="66" t="s">
        <v>4040</v>
      </c>
      <c r="B3084" s="67" t="str">
        <f t="shared" si="15"/>
        <v>M: fold</v>
      </c>
      <c r="C3084" s="68"/>
      <c r="D3084" s="68">
        <v>46058.0</v>
      </c>
      <c r="E3084" s="66">
        <v>7.0</v>
      </c>
      <c r="F3084" s="66" t="str">
        <f>IFERROR(__xludf.DUMMYFUNCTION("GOOGLETRANSLATE(A3084,""en"",""pt"")"),"dobrar")</f>
        <v>dobrar</v>
      </c>
      <c r="G3084" s="69"/>
    </row>
    <row r="3085" ht="22.5" customHeight="1">
      <c r="A3085" s="66" t="s">
        <v>4041</v>
      </c>
      <c r="B3085" s="67" t="str">
        <f t="shared" si="15"/>
        <v>M: neatly</v>
      </c>
      <c r="C3085" s="68"/>
      <c r="D3085" s="68">
        <v>46058.0</v>
      </c>
      <c r="E3085" s="66">
        <v>8.0</v>
      </c>
      <c r="F3085" s="66" t="str">
        <f>IFERROR(__xludf.DUMMYFUNCTION("GOOGLETRANSLATE(A3085,""en"",""pt"")"),"ordenadamente")</f>
        <v>ordenadamente</v>
      </c>
      <c r="G3085" s="69"/>
    </row>
    <row r="3086" ht="22.5" customHeight="1">
      <c r="A3086" s="66" t="s">
        <v>1797</v>
      </c>
      <c r="B3086" s="67" t="str">
        <f t="shared" si="15"/>
        <v>M: tricky</v>
      </c>
      <c r="C3086" s="66">
        <v>2.0</v>
      </c>
      <c r="D3086" s="68">
        <v>46058.0</v>
      </c>
      <c r="E3086" s="66">
        <v>9.0</v>
      </c>
      <c r="F3086" s="66" t="s">
        <v>4042</v>
      </c>
      <c r="G3086" s="66" t="s">
        <v>247</v>
      </c>
    </row>
    <row r="3087" ht="22.5" customHeight="1">
      <c r="A3087" s="66" t="s">
        <v>1707</v>
      </c>
      <c r="B3087" s="67" t="str">
        <f t="shared" si="15"/>
        <v>M: attorney</v>
      </c>
      <c r="C3087" s="66">
        <v>2.0</v>
      </c>
      <c r="D3087" s="68">
        <v>46058.0</v>
      </c>
      <c r="E3087" s="66">
        <v>10.0</v>
      </c>
      <c r="F3087" s="66" t="s">
        <v>4043</v>
      </c>
      <c r="G3087" s="66" t="s">
        <v>247</v>
      </c>
    </row>
    <row r="3088" ht="22.5" customHeight="1">
      <c r="A3088" s="66" t="s">
        <v>4044</v>
      </c>
      <c r="B3088" s="67" t="str">
        <f t="shared" si="15"/>
        <v>M: merger</v>
      </c>
      <c r="C3088" s="68"/>
      <c r="D3088" s="68">
        <v>46058.0</v>
      </c>
      <c r="E3088" s="66">
        <v>1.0</v>
      </c>
      <c r="F3088" s="66" t="str">
        <f>IFERROR(__xludf.DUMMYFUNCTION("GOOGLETRANSLATE(A3088,""en"",""pt"")"),"fusão")</f>
        <v>fusão</v>
      </c>
      <c r="G3088" s="69"/>
    </row>
    <row r="3089" ht="22.5" customHeight="1">
      <c r="A3089" s="66" t="s">
        <v>4045</v>
      </c>
      <c r="B3089" s="67" t="str">
        <f t="shared" si="15"/>
        <v>M: negotiations</v>
      </c>
      <c r="C3089" s="68"/>
      <c r="D3089" s="68">
        <v>46058.0</v>
      </c>
      <c r="E3089" s="66">
        <v>2.0</v>
      </c>
      <c r="F3089" s="66" t="str">
        <f>IFERROR(__xludf.DUMMYFUNCTION("GOOGLETRANSLATE(A3089,""en"",""pt"")"),"negociações")</f>
        <v>negociações</v>
      </c>
      <c r="G3089" s="69"/>
    </row>
    <row r="3090" ht="22.5" customHeight="1">
      <c r="A3090" s="66" t="s">
        <v>4046</v>
      </c>
      <c r="B3090" s="67" t="str">
        <f t="shared" si="15"/>
        <v>M: lawsuit</v>
      </c>
      <c r="C3090" s="68"/>
      <c r="D3090" s="68">
        <v>46058.0</v>
      </c>
      <c r="E3090" s="66">
        <v>3.0</v>
      </c>
      <c r="F3090" s="66" t="str">
        <f>IFERROR(__xludf.DUMMYFUNCTION("GOOGLETRANSLATE(A3090,""en"",""pt"")"),"ação judicial")</f>
        <v>ação judicial</v>
      </c>
      <c r="G3090" s="69"/>
    </row>
    <row r="3091" ht="22.5" customHeight="1">
      <c r="A3091" s="66" t="s">
        <v>4047</v>
      </c>
      <c r="B3091" s="67" t="str">
        <f t="shared" si="15"/>
        <v>M: qualified</v>
      </c>
      <c r="C3091" s="68"/>
      <c r="D3091" s="68">
        <v>46058.0</v>
      </c>
      <c r="E3091" s="66">
        <v>4.0</v>
      </c>
      <c r="F3091" s="66" t="str">
        <f>IFERROR(__xludf.DUMMYFUNCTION("GOOGLETRANSLATE(A3091,""en"",""pt"")"),"qualificado")</f>
        <v>qualificado</v>
      </c>
      <c r="G3091" s="69"/>
    </row>
    <row r="3092" ht="22.5" customHeight="1">
      <c r="A3092" s="66" t="s">
        <v>4048</v>
      </c>
      <c r="B3092" s="67" t="str">
        <f t="shared" si="15"/>
        <v>M: appointed</v>
      </c>
      <c r="C3092" s="68"/>
      <c r="D3092" s="68">
        <v>46059.0</v>
      </c>
      <c r="E3092" s="66">
        <v>5.0</v>
      </c>
      <c r="F3092" s="66" t="str">
        <f>IFERROR(__xludf.DUMMYFUNCTION("GOOGLETRANSLATE(A3092,""en"",""pt"")"),"nomeado")</f>
        <v>nomeado</v>
      </c>
      <c r="G3092" s="69"/>
    </row>
    <row r="3093" ht="22.5" customHeight="1">
      <c r="A3093" s="66" t="s">
        <v>4049</v>
      </c>
      <c r="B3093" s="67" t="str">
        <f t="shared" si="15"/>
        <v>M: assets</v>
      </c>
      <c r="C3093" s="68"/>
      <c r="D3093" s="68">
        <v>46059.0</v>
      </c>
      <c r="E3093" s="66">
        <v>6.0</v>
      </c>
      <c r="F3093" s="66" t="str">
        <f>IFERROR(__xludf.DUMMYFUNCTION("GOOGLETRANSLATE(A3093,""en"",""pt"")"),"ativos")</f>
        <v>ativos</v>
      </c>
      <c r="G3093" s="69"/>
    </row>
    <row r="3094" ht="22.5" customHeight="1">
      <c r="A3094" s="66" t="s">
        <v>4050</v>
      </c>
      <c r="B3094" s="67" t="str">
        <f t="shared" si="15"/>
        <v>M: grants</v>
      </c>
      <c r="C3094" s="68"/>
      <c r="D3094" s="68">
        <v>46059.0</v>
      </c>
      <c r="E3094" s="66">
        <v>7.0</v>
      </c>
      <c r="F3094" s="66" t="str">
        <f>IFERROR(__xludf.DUMMYFUNCTION("GOOGLETRANSLATE(A3094,""en"",""pt"")"),"subsídios")</f>
        <v>subsídios</v>
      </c>
      <c r="G3094" s="69"/>
    </row>
    <row r="3095" ht="22.5" customHeight="1">
      <c r="A3095" s="66" t="s">
        <v>4051</v>
      </c>
      <c r="B3095" s="67" t="str">
        <f t="shared" si="15"/>
        <v>M: estate</v>
      </c>
      <c r="C3095" s="68"/>
      <c r="D3095" s="68">
        <v>46059.0</v>
      </c>
      <c r="E3095" s="66">
        <v>8.0</v>
      </c>
      <c r="F3095" s="66" t="str">
        <f>IFERROR(__xludf.DUMMYFUNCTION("GOOGLETRANSLATE(A3095,""en"",""pt"")"),"propriedade")</f>
        <v>propriedade</v>
      </c>
      <c r="G3095" s="69"/>
    </row>
    <row r="3096" ht="22.5" customHeight="1">
      <c r="A3096" s="66" t="s">
        <v>4052</v>
      </c>
      <c r="B3096" s="67" t="str">
        <f t="shared" si="15"/>
        <v>M: legal</v>
      </c>
      <c r="C3096" s="68"/>
      <c r="D3096" s="68">
        <v>46059.0</v>
      </c>
      <c r="E3096" s="66">
        <v>9.0</v>
      </c>
      <c r="F3096" s="66" t="str">
        <f>IFERROR(__xludf.DUMMYFUNCTION("GOOGLETRANSLATE(A3096,""en"",""pt"")"),"jurídico")</f>
        <v>jurídico</v>
      </c>
      <c r="G3096" s="69"/>
    </row>
    <row r="3097" ht="22.5" customHeight="1">
      <c r="A3097" s="66" t="s">
        <v>4053</v>
      </c>
      <c r="B3097" s="67" t="str">
        <f t="shared" si="15"/>
        <v>M: absent</v>
      </c>
      <c r="C3097" s="68"/>
      <c r="D3097" s="68">
        <v>46059.0</v>
      </c>
      <c r="E3097" s="66">
        <v>10.0</v>
      </c>
      <c r="F3097" s="66" t="str">
        <f>IFERROR(__xludf.DUMMYFUNCTION("GOOGLETRANSLATE(A3097,""en"",""pt"")"),"ausente")</f>
        <v>ausente</v>
      </c>
      <c r="G3097" s="69"/>
    </row>
    <row r="3098" ht="22.5" customHeight="1">
      <c r="A3098" s="66" t="s">
        <v>2526</v>
      </c>
      <c r="B3098" s="67" t="str">
        <f t="shared" si="15"/>
        <v>M: precursor</v>
      </c>
      <c r="C3098" s="66">
        <v>2.0</v>
      </c>
      <c r="D3098" s="68">
        <v>46059.0</v>
      </c>
      <c r="E3098" s="66">
        <v>1.0</v>
      </c>
      <c r="F3098" s="71" t="s">
        <v>4054</v>
      </c>
      <c r="G3098" s="66" t="s">
        <v>247</v>
      </c>
    </row>
    <row r="3099" ht="22.5" customHeight="1">
      <c r="A3099" s="66" t="s">
        <v>4055</v>
      </c>
      <c r="B3099" s="67" t="str">
        <f t="shared" si="15"/>
        <v>M: framework</v>
      </c>
      <c r="C3099" s="68"/>
      <c r="D3099" s="68">
        <v>46059.0</v>
      </c>
      <c r="E3099" s="66">
        <v>2.0</v>
      </c>
      <c r="F3099" s="66" t="str">
        <f>IFERROR(__xludf.DUMMYFUNCTION("GOOGLETRANSLATE(A3099,""en"",""pt"")"),"estrutura")</f>
        <v>estrutura</v>
      </c>
      <c r="G3099" s="69"/>
    </row>
    <row r="3100" ht="22.5" customHeight="1">
      <c r="A3100" s="66" t="s">
        <v>4056</v>
      </c>
      <c r="B3100" s="67" t="str">
        <f t="shared" si="15"/>
        <v>M: abstract</v>
      </c>
      <c r="C3100" s="68"/>
      <c r="D3100" s="68">
        <v>46059.0</v>
      </c>
      <c r="E3100" s="66">
        <v>3.0</v>
      </c>
      <c r="F3100" s="66" t="str">
        <f>IFERROR(__xludf.DUMMYFUNCTION("GOOGLETRANSLATE(A3100,""en"",""pt"")"),"resumo")</f>
        <v>resumo</v>
      </c>
      <c r="G3100" s="69"/>
    </row>
    <row r="3101" ht="22.5" customHeight="1">
      <c r="A3101" s="66" t="s">
        <v>4057</v>
      </c>
      <c r="B3101" s="67" t="str">
        <f t="shared" si="15"/>
        <v>M: prototype</v>
      </c>
      <c r="C3101" s="68"/>
      <c r="D3101" s="68">
        <v>46059.0</v>
      </c>
      <c r="E3101" s="66">
        <v>4.0</v>
      </c>
      <c r="F3101" s="66" t="str">
        <f>IFERROR(__xludf.DUMMYFUNCTION("GOOGLETRANSLATE(A3101,""en"",""pt"")"),"protótipo")</f>
        <v>protótipo</v>
      </c>
      <c r="G3101" s="69"/>
    </row>
    <row r="3102" ht="22.5" customHeight="1">
      <c r="A3102" s="66" t="s">
        <v>4058</v>
      </c>
      <c r="B3102" s="67" t="str">
        <f t="shared" si="15"/>
        <v>M: enzyme</v>
      </c>
      <c r="C3102" s="68"/>
      <c r="D3102" s="68">
        <v>46060.0</v>
      </c>
      <c r="E3102" s="66">
        <v>5.0</v>
      </c>
      <c r="F3102" s="66" t="str">
        <f>IFERROR(__xludf.DUMMYFUNCTION("GOOGLETRANSLATE(A3102,""en"",""pt"")"),"enzima")</f>
        <v>enzima</v>
      </c>
      <c r="G3102" s="69"/>
    </row>
    <row r="3103" ht="22.5" customHeight="1">
      <c r="A3103" s="66" t="s">
        <v>4059</v>
      </c>
      <c r="B3103" s="67" t="str">
        <f t="shared" si="15"/>
        <v>M: chemical</v>
      </c>
      <c r="C3103" s="68"/>
      <c r="D3103" s="68">
        <v>46060.0</v>
      </c>
      <c r="E3103" s="66">
        <v>6.0</v>
      </c>
      <c r="F3103" s="66" t="str">
        <f>IFERROR(__xludf.DUMMYFUNCTION("GOOGLETRANSLATE(A3103,""en"",""pt"")"),"produtos químicos")</f>
        <v>produtos químicos</v>
      </c>
      <c r="G3103" s="69"/>
    </row>
    <row r="3104" ht="22.5" customHeight="1">
      <c r="A3104" s="66" t="s">
        <v>4060</v>
      </c>
      <c r="B3104" s="67" t="str">
        <f t="shared" si="15"/>
        <v>M: form</v>
      </c>
      <c r="C3104" s="68"/>
      <c r="D3104" s="68">
        <v>46060.0</v>
      </c>
      <c r="E3104" s="66">
        <v>7.0</v>
      </c>
      <c r="F3104" s="66" t="str">
        <f>IFERROR(__xludf.DUMMYFUNCTION("GOOGLETRANSLATE(A3104,""en"",""pt"")"),"forma")</f>
        <v>forma</v>
      </c>
      <c r="G3104" s="69"/>
    </row>
    <row r="3105" ht="22.5" customHeight="1">
      <c r="A3105" s="66" t="s">
        <v>4061</v>
      </c>
      <c r="B3105" s="67" t="str">
        <f t="shared" si="15"/>
        <v>M: compound</v>
      </c>
      <c r="C3105" s="68"/>
      <c r="D3105" s="68">
        <v>46060.0</v>
      </c>
      <c r="E3105" s="66">
        <v>8.0</v>
      </c>
      <c r="F3105" s="66" t="str">
        <f>IFERROR(__xludf.DUMMYFUNCTION("GOOGLETRANSLATE(A3105,""en"",""pt"")"),"composto")</f>
        <v>composto</v>
      </c>
      <c r="G3105" s="69"/>
    </row>
    <row r="3106" ht="22.5" customHeight="1">
      <c r="A3106" s="66" t="s">
        <v>2751</v>
      </c>
      <c r="B3106" s="67" t="str">
        <f t="shared" si="15"/>
        <v>M: equal</v>
      </c>
      <c r="C3106" s="66">
        <v>2.0</v>
      </c>
      <c r="D3106" s="68">
        <v>46060.0</v>
      </c>
      <c r="E3106" s="66">
        <v>9.0</v>
      </c>
      <c r="F3106" s="66" t="s">
        <v>4062</v>
      </c>
      <c r="G3106" s="66" t="s">
        <v>247</v>
      </c>
    </row>
    <row r="3107" ht="22.5" customHeight="1">
      <c r="A3107" s="66" t="s">
        <v>2751</v>
      </c>
      <c r="B3107" s="67" t="str">
        <f t="shared" si="15"/>
        <v>M: equal</v>
      </c>
      <c r="C3107" s="66">
        <v>3.0</v>
      </c>
      <c r="D3107" s="68">
        <v>46060.0</v>
      </c>
      <c r="E3107" s="66">
        <v>10.0</v>
      </c>
      <c r="F3107" s="66" t="s">
        <v>4063</v>
      </c>
      <c r="G3107" s="66" t="s">
        <v>247</v>
      </c>
    </row>
    <row r="3108" ht="22.5" customHeight="1">
      <c r="A3108" s="66" t="s">
        <v>4064</v>
      </c>
      <c r="B3108" s="67" t="str">
        <f t="shared" si="15"/>
        <v>M: ensured</v>
      </c>
      <c r="C3108" s="68"/>
      <c r="D3108" s="68">
        <v>46060.0</v>
      </c>
      <c r="E3108" s="66">
        <v>1.0</v>
      </c>
      <c r="F3108" s="66" t="str">
        <f>IFERROR(__xludf.DUMMYFUNCTION("GOOGLETRANSLATE(A3108,""en"",""pt"")"),"garantido")</f>
        <v>garantido</v>
      </c>
      <c r="G3108" s="69"/>
    </row>
    <row r="3109" ht="22.5" customHeight="1">
      <c r="A3109" s="66" t="s">
        <v>4065</v>
      </c>
      <c r="B3109" s="67" t="str">
        <f t="shared" si="15"/>
        <v>M: threads</v>
      </c>
      <c r="C3109" s="68"/>
      <c r="D3109" s="68">
        <v>46060.0</v>
      </c>
      <c r="E3109" s="66">
        <v>2.0</v>
      </c>
      <c r="F3109" s="66" t="str">
        <f>IFERROR(__xludf.DUMMYFUNCTION("GOOGLETRANSLATE(A3109,""en"",""pt"")"),"tópicos")</f>
        <v>tópicos</v>
      </c>
      <c r="G3109" s="69"/>
    </row>
    <row r="3110" ht="22.5" customHeight="1">
      <c r="A3110" s="66" t="s">
        <v>4066</v>
      </c>
      <c r="B3110" s="67" t="str">
        <f t="shared" si="15"/>
        <v>M: constitution</v>
      </c>
      <c r="C3110" s="68"/>
      <c r="D3110" s="68">
        <v>46060.0</v>
      </c>
      <c r="E3110" s="66">
        <v>3.0</v>
      </c>
      <c r="F3110" s="66" t="str">
        <f>IFERROR(__xludf.DUMMYFUNCTION("GOOGLETRANSLATE(A3110,""en"",""pt"")"),"constituição")</f>
        <v>constituição</v>
      </c>
      <c r="G3110" s="69"/>
    </row>
    <row r="3111" ht="22.5" customHeight="1">
      <c r="A3111" s="66" t="s">
        <v>4067</v>
      </c>
      <c r="B3111" s="67" t="str">
        <f t="shared" si="15"/>
        <v>M: guarantees</v>
      </c>
      <c r="C3111" s="68"/>
      <c r="D3111" s="68">
        <v>46060.0</v>
      </c>
      <c r="E3111" s="66">
        <v>4.0</v>
      </c>
      <c r="F3111" s="66" t="str">
        <f>IFERROR(__xludf.DUMMYFUNCTION("GOOGLETRANSLATE(A3111,""en"",""pt"")"),"garantias")</f>
        <v>garantias</v>
      </c>
      <c r="G3111" s="69"/>
    </row>
    <row r="3112" ht="22.5" customHeight="1">
      <c r="A3112" s="66" t="s">
        <v>4068</v>
      </c>
      <c r="B3112" s="67" t="str">
        <f t="shared" si="15"/>
        <v>M: treatment</v>
      </c>
      <c r="C3112" s="68"/>
      <c r="D3112" s="68">
        <v>46061.0</v>
      </c>
      <c r="E3112" s="66">
        <v>5.0</v>
      </c>
      <c r="F3112" s="66" t="str">
        <f>IFERROR(__xludf.DUMMYFUNCTION("GOOGLETRANSLATE(A3112,""en"",""pt"")"),"tratamento")</f>
        <v>tratamento</v>
      </c>
      <c r="G3112" s="69"/>
    </row>
    <row r="3113" ht="22.5" customHeight="1">
      <c r="A3113" s="66" t="s">
        <v>4069</v>
      </c>
      <c r="B3113" s="67" t="str">
        <f t="shared" si="15"/>
        <v>M: pint</v>
      </c>
      <c r="C3113" s="68"/>
      <c r="D3113" s="68">
        <v>46061.0</v>
      </c>
      <c r="E3113" s="66">
        <v>6.0</v>
      </c>
      <c r="F3113" s="66" t="str">
        <f>IFERROR(__xludf.DUMMYFUNCTION("GOOGLETRANSLATE(A3113,""en"",""pt"")"),"pinta")</f>
        <v>pinta</v>
      </c>
      <c r="G3113" s="69"/>
    </row>
    <row r="3114" ht="22.5" customHeight="1">
      <c r="A3114" s="66" t="s">
        <v>4070</v>
      </c>
      <c r="B3114" s="67" t="str">
        <f t="shared" si="15"/>
        <v>M: measurement</v>
      </c>
      <c r="C3114" s="68"/>
      <c r="D3114" s="68">
        <v>46061.0</v>
      </c>
      <c r="E3114" s="66">
        <v>7.0</v>
      </c>
      <c r="F3114" s="66" t="str">
        <f>IFERROR(__xludf.DUMMYFUNCTION("GOOGLETRANSLATE(A3114,""en"",""pt"")"),"medição")</f>
        <v>medição</v>
      </c>
      <c r="G3114" s="69"/>
    </row>
    <row r="3115" ht="22.5" customHeight="1">
      <c r="A3115" s="66" t="s">
        <v>2141</v>
      </c>
      <c r="B3115" s="67" t="str">
        <f t="shared" si="15"/>
        <v>M: perched</v>
      </c>
      <c r="C3115" s="66">
        <v>2.0</v>
      </c>
      <c r="D3115" s="68">
        <v>46061.0</v>
      </c>
      <c r="E3115" s="66">
        <v>8.0</v>
      </c>
      <c r="F3115" s="71" t="s">
        <v>4071</v>
      </c>
      <c r="G3115" s="66" t="s">
        <v>247</v>
      </c>
    </row>
    <row r="3116" ht="22.5" customHeight="1">
      <c r="A3116" s="66" t="s">
        <v>4072</v>
      </c>
      <c r="B3116" s="67" t="str">
        <f t="shared" si="15"/>
        <v>M: parrot</v>
      </c>
      <c r="C3116" s="68"/>
      <c r="D3116" s="68">
        <v>46061.0</v>
      </c>
      <c r="E3116" s="66">
        <v>9.0</v>
      </c>
      <c r="F3116" s="66" t="str">
        <f>IFERROR(__xludf.DUMMYFUNCTION("GOOGLETRANSLATE(A3116,""en"",""pt"")"),"papagaio")</f>
        <v>papagaio</v>
      </c>
      <c r="G3116" s="69"/>
    </row>
    <row r="3117" ht="22.5" customHeight="1">
      <c r="A3117" s="66" t="s">
        <v>4073</v>
      </c>
      <c r="B3117" s="67" t="str">
        <f t="shared" si="15"/>
        <v>M: shoulder</v>
      </c>
      <c r="C3117" s="68"/>
      <c r="D3117" s="68">
        <v>46061.0</v>
      </c>
      <c r="E3117" s="66">
        <v>10.0</v>
      </c>
      <c r="F3117" s="66" t="str">
        <f>IFERROR(__xludf.DUMMYFUNCTION("GOOGLETRANSLATE(A3117,""en"",""pt"")"),"ombro")</f>
        <v>ombro</v>
      </c>
      <c r="G3117" s="69"/>
    </row>
    <row r="3118" ht="22.5" customHeight="1">
      <c r="A3118" s="66" t="s">
        <v>4074</v>
      </c>
      <c r="B3118" s="67" t="str">
        <f t="shared" si="15"/>
        <v>M: steep</v>
      </c>
      <c r="C3118" s="68"/>
      <c r="D3118" s="68">
        <v>46061.0</v>
      </c>
      <c r="E3118" s="66">
        <v>1.0</v>
      </c>
      <c r="F3118" s="66" t="str">
        <f>IFERROR(__xludf.DUMMYFUNCTION("GOOGLETRANSLATE(A3118,""en"",""pt"")"),"íngreme")</f>
        <v>íngreme</v>
      </c>
      <c r="G3118" s="69"/>
    </row>
    <row r="3119" ht="22.5" customHeight="1">
      <c r="A3119" s="66" t="s">
        <v>1471</v>
      </c>
      <c r="B3119" s="67" t="str">
        <f t="shared" si="15"/>
        <v>M: hardships</v>
      </c>
      <c r="C3119" s="66">
        <v>2.0</v>
      </c>
      <c r="D3119" s="68">
        <v>46061.0</v>
      </c>
      <c r="E3119" s="66">
        <v>2.0</v>
      </c>
      <c r="F3119" s="66" t="s">
        <v>4075</v>
      </c>
      <c r="G3119" s="66" t="s">
        <v>247</v>
      </c>
    </row>
    <row r="3120" ht="22.5" customHeight="1">
      <c r="A3120" s="66" t="s">
        <v>4076</v>
      </c>
      <c r="B3120" s="67" t="str">
        <f t="shared" si="15"/>
        <v>M: faced</v>
      </c>
      <c r="C3120" s="68"/>
      <c r="D3120" s="68">
        <v>46061.0</v>
      </c>
      <c r="E3120" s="66">
        <v>3.0</v>
      </c>
      <c r="F3120" s="66" t="str">
        <f>IFERROR(__xludf.DUMMYFUNCTION("GOOGLETRANSLATE(A3120,""en"",""pt"")"),"enfrentado")</f>
        <v>enfrentado</v>
      </c>
      <c r="G3120" s="69"/>
    </row>
    <row r="3121" ht="22.5" customHeight="1">
      <c r="A3121" s="66" t="s">
        <v>4077</v>
      </c>
      <c r="B3121" s="67" t="str">
        <f t="shared" si="15"/>
        <v>M: overcome</v>
      </c>
      <c r="C3121" s="68"/>
      <c r="D3121" s="68">
        <v>46061.0</v>
      </c>
      <c r="E3121" s="66">
        <v>4.0</v>
      </c>
      <c r="F3121" s="66" t="str">
        <f>IFERROR(__xludf.DUMMYFUNCTION("GOOGLETRANSLATE(A3121,""en"",""pt"")"),"superar")</f>
        <v>superar</v>
      </c>
      <c r="G3121" s="69"/>
    </row>
    <row r="3122" ht="22.5" customHeight="1">
      <c r="A3122" s="66" t="s">
        <v>4078</v>
      </c>
      <c r="B3122" s="67" t="str">
        <f t="shared" si="15"/>
        <v>M: suffered</v>
      </c>
      <c r="C3122" s="68"/>
      <c r="D3122" s="68">
        <v>46062.0</v>
      </c>
      <c r="E3122" s="66">
        <v>5.0</v>
      </c>
      <c r="F3122" s="66" t="str">
        <f>IFERROR(__xludf.DUMMYFUNCTION("GOOGLETRANSLATE(A3122,""en"",""pt"")"),"sofreu")</f>
        <v>sofreu</v>
      </c>
      <c r="G3122" s="69"/>
    </row>
    <row r="3123" ht="22.5" customHeight="1">
      <c r="A3123" s="66" t="s">
        <v>4079</v>
      </c>
      <c r="B3123" s="67" t="str">
        <f t="shared" si="15"/>
        <v>M: hurricane</v>
      </c>
      <c r="C3123" s="68"/>
      <c r="D3123" s="68">
        <v>46062.0</v>
      </c>
      <c r="E3123" s="66">
        <v>6.0</v>
      </c>
      <c r="F3123" s="66" t="str">
        <f>IFERROR(__xludf.DUMMYFUNCTION("GOOGLETRANSLATE(A3123,""en"",""pt"")"),"furacão")</f>
        <v>furacão</v>
      </c>
      <c r="G3123" s="69"/>
    </row>
    <row r="3124" ht="22.5" customHeight="1">
      <c r="A3124" s="66" t="s">
        <v>2777</v>
      </c>
      <c r="B3124" s="67" t="str">
        <f t="shared" si="15"/>
        <v>M: view</v>
      </c>
      <c r="C3124" s="66">
        <v>2.0</v>
      </c>
      <c r="D3124" s="68">
        <v>46062.0</v>
      </c>
      <c r="E3124" s="66">
        <v>7.0</v>
      </c>
      <c r="F3124" s="66" t="s">
        <v>4080</v>
      </c>
      <c r="G3124" s="66" t="s">
        <v>247</v>
      </c>
    </row>
    <row r="3125" ht="22.5" customHeight="1">
      <c r="A3125" s="66" t="s">
        <v>2777</v>
      </c>
      <c r="B3125" s="67" t="str">
        <f t="shared" si="15"/>
        <v>M: view</v>
      </c>
      <c r="C3125" s="66">
        <v>3.0</v>
      </c>
      <c r="D3125" s="68">
        <v>46062.0</v>
      </c>
      <c r="E3125" s="66">
        <v>8.0</v>
      </c>
      <c r="F3125" s="66" t="s">
        <v>4081</v>
      </c>
      <c r="G3125" s="66" t="s">
        <v>247</v>
      </c>
    </row>
    <row r="3126" ht="22.5" customHeight="1">
      <c r="A3126" s="66" t="s">
        <v>2046</v>
      </c>
      <c r="B3126" s="67" t="str">
        <f t="shared" si="15"/>
        <v>M: boiled</v>
      </c>
      <c r="C3126" s="66">
        <v>2.0</v>
      </c>
      <c r="D3126" s="68">
        <v>46062.0</v>
      </c>
      <c r="E3126" s="66">
        <v>9.0</v>
      </c>
      <c r="F3126" s="66" t="s">
        <v>4082</v>
      </c>
      <c r="G3126" s="66" t="s">
        <v>247</v>
      </c>
    </row>
    <row r="3127" ht="22.5" customHeight="1">
      <c r="A3127" s="66" t="s">
        <v>2046</v>
      </c>
      <c r="B3127" s="67" t="str">
        <f t="shared" si="15"/>
        <v>M: boiled</v>
      </c>
      <c r="C3127" s="66">
        <v>3.0</v>
      </c>
      <c r="D3127" s="68">
        <v>46062.0</v>
      </c>
      <c r="E3127" s="66">
        <v>10.0</v>
      </c>
      <c r="F3127" s="66" t="s">
        <v>4083</v>
      </c>
      <c r="G3127" s="66" t="s">
        <v>247</v>
      </c>
    </row>
    <row r="3128" ht="22.5" customHeight="1">
      <c r="A3128" s="66" t="s">
        <v>980</v>
      </c>
      <c r="B3128" s="67" t="str">
        <f t="shared" si="15"/>
        <v>M: undersell</v>
      </c>
      <c r="C3128" s="66">
        <v>2.0</v>
      </c>
      <c r="D3128" s="68">
        <v>46062.0</v>
      </c>
      <c r="E3128" s="66">
        <v>1.0</v>
      </c>
      <c r="F3128" s="71" t="s">
        <v>4084</v>
      </c>
      <c r="G3128" s="66" t="s">
        <v>247</v>
      </c>
    </row>
    <row r="3129" ht="22.5" customHeight="1">
      <c r="A3129" s="66" t="s">
        <v>2369</v>
      </c>
      <c r="B3129" s="67" t="str">
        <f t="shared" si="15"/>
        <v>M: contest</v>
      </c>
      <c r="C3129" s="66">
        <v>2.0</v>
      </c>
      <c r="D3129" s="68">
        <v>46062.0</v>
      </c>
      <c r="E3129" s="66">
        <v>2.0</v>
      </c>
      <c r="F3129" s="66" t="s">
        <v>4085</v>
      </c>
      <c r="G3129" s="66" t="s">
        <v>247</v>
      </c>
    </row>
    <row r="3130" ht="22.5" customHeight="1">
      <c r="A3130" s="66" t="s">
        <v>2369</v>
      </c>
      <c r="B3130" s="67" t="str">
        <f t="shared" si="15"/>
        <v>M: contest</v>
      </c>
      <c r="C3130" s="66">
        <v>3.0</v>
      </c>
      <c r="D3130" s="68">
        <v>46062.0</v>
      </c>
      <c r="E3130" s="66">
        <v>3.0</v>
      </c>
      <c r="F3130" s="66" t="s">
        <v>4086</v>
      </c>
      <c r="G3130" s="66" t="s">
        <v>247</v>
      </c>
    </row>
    <row r="3131" ht="22.5" customHeight="1">
      <c r="A3131" s="66" t="s">
        <v>1026</v>
      </c>
      <c r="B3131" s="67" t="str">
        <f t="shared" si="15"/>
        <v>M: figured</v>
      </c>
      <c r="C3131" s="66">
        <v>2.0</v>
      </c>
      <c r="D3131" s="68">
        <v>46062.0</v>
      </c>
      <c r="E3131" s="66">
        <v>4.0</v>
      </c>
      <c r="F3131" s="71" t="s">
        <v>4087</v>
      </c>
      <c r="G3131" s="66" t="s">
        <v>247</v>
      </c>
    </row>
    <row r="3132" ht="22.5" customHeight="1">
      <c r="A3132" s="66" t="s">
        <v>1026</v>
      </c>
      <c r="B3132" s="67" t="str">
        <f t="shared" si="15"/>
        <v>M: figured</v>
      </c>
      <c r="C3132" s="66">
        <v>3.0</v>
      </c>
      <c r="D3132" s="68">
        <v>46063.0</v>
      </c>
      <c r="E3132" s="66">
        <v>5.0</v>
      </c>
      <c r="F3132" s="71" t="s">
        <v>4088</v>
      </c>
      <c r="G3132" s="66" t="s">
        <v>247</v>
      </c>
    </row>
    <row r="3133" ht="22.5" customHeight="1">
      <c r="A3133" s="66" t="s">
        <v>1697</v>
      </c>
      <c r="B3133" s="67" t="str">
        <f t="shared" si="15"/>
        <v>M: dispatch</v>
      </c>
      <c r="C3133" s="66">
        <v>2.0</v>
      </c>
      <c r="D3133" s="68">
        <v>46063.0</v>
      </c>
      <c r="E3133" s="66">
        <v>6.0</v>
      </c>
      <c r="F3133" s="71" t="s">
        <v>4089</v>
      </c>
      <c r="G3133" s="66" t="s">
        <v>247</v>
      </c>
    </row>
    <row r="3134" ht="22.5" customHeight="1">
      <c r="A3134" s="66" t="s">
        <v>1697</v>
      </c>
      <c r="B3134" s="67" t="str">
        <f t="shared" si="15"/>
        <v>M: dispatch</v>
      </c>
      <c r="C3134" s="66">
        <v>3.0</v>
      </c>
      <c r="D3134" s="68">
        <v>46063.0</v>
      </c>
      <c r="E3134" s="66">
        <v>7.0</v>
      </c>
      <c r="F3134" s="66" t="s">
        <v>4090</v>
      </c>
      <c r="G3134" s="66" t="s">
        <v>247</v>
      </c>
    </row>
    <row r="3135" ht="22.5" customHeight="1">
      <c r="A3135" s="66" t="s">
        <v>2071</v>
      </c>
      <c r="B3135" s="67" t="str">
        <f t="shared" si="15"/>
        <v>M: worrying</v>
      </c>
      <c r="C3135" s="66">
        <v>2.0</v>
      </c>
      <c r="D3135" s="68">
        <v>46063.0</v>
      </c>
      <c r="E3135" s="66">
        <v>8.0</v>
      </c>
      <c r="F3135" s="66" t="s">
        <v>4091</v>
      </c>
      <c r="G3135" s="66" t="s">
        <v>247</v>
      </c>
    </row>
    <row r="3136" ht="22.5" customHeight="1">
      <c r="A3136" s="66" t="s">
        <v>2689</v>
      </c>
      <c r="B3136" s="67" t="str">
        <f t="shared" si="15"/>
        <v>M: static</v>
      </c>
      <c r="C3136" s="66">
        <v>2.0</v>
      </c>
      <c r="D3136" s="68">
        <v>46063.0</v>
      </c>
      <c r="E3136" s="66">
        <v>9.0</v>
      </c>
      <c r="F3136" s="71" t="s">
        <v>4092</v>
      </c>
      <c r="G3136" s="66" t="s">
        <v>247</v>
      </c>
    </row>
    <row r="3137" ht="22.5" customHeight="1">
      <c r="A3137" s="66" t="s">
        <v>2761</v>
      </c>
      <c r="B3137" s="67" t="str">
        <f t="shared" si="15"/>
        <v>M: method</v>
      </c>
      <c r="C3137" s="66">
        <v>2.0</v>
      </c>
      <c r="D3137" s="68">
        <v>46063.0</v>
      </c>
      <c r="E3137" s="66">
        <v>10.0</v>
      </c>
      <c r="F3137" s="71" t="s">
        <v>4093</v>
      </c>
      <c r="G3137" s="66" t="s">
        <v>247</v>
      </c>
    </row>
    <row r="3138" ht="22.5" customHeight="1">
      <c r="A3138" s="66" t="s">
        <v>2761</v>
      </c>
      <c r="B3138" s="67" t="str">
        <f t="shared" si="15"/>
        <v>M: method</v>
      </c>
      <c r="C3138" s="66">
        <v>3.0</v>
      </c>
      <c r="D3138" s="68">
        <v>46063.0</v>
      </c>
      <c r="E3138" s="66">
        <v>1.0</v>
      </c>
      <c r="F3138" s="66" t="s">
        <v>4094</v>
      </c>
      <c r="G3138" s="66" t="s">
        <v>247</v>
      </c>
    </row>
    <row r="3139" ht="22.5" customHeight="1">
      <c r="A3139" s="66" t="s">
        <v>4095</v>
      </c>
      <c r="B3139" s="67" t="str">
        <f t="shared" si="15"/>
        <v>M: approaches</v>
      </c>
      <c r="C3139" s="68"/>
      <c r="D3139" s="68">
        <v>46063.0</v>
      </c>
      <c r="E3139" s="66">
        <v>2.0</v>
      </c>
      <c r="F3139" s="66" t="str">
        <f>IFERROR(__xludf.DUMMYFUNCTION("GOOGLETRANSLATE(A3139,""en"",""pt"")"),"abordagens")</f>
        <v>abordagens</v>
      </c>
      <c r="G3139" s="69"/>
    </row>
    <row r="3140" ht="22.5" customHeight="1">
      <c r="A3140" s="66" t="s">
        <v>4096</v>
      </c>
      <c r="B3140" s="67" t="str">
        <f t="shared" si="15"/>
        <v>M: requires</v>
      </c>
      <c r="C3140" s="68"/>
      <c r="D3140" s="68">
        <v>46063.0</v>
      </c>
      <c r="E3140" s="66">
        <v>3.0</v>
      </c>
      <c r="F3140" s="66" t="str">
        <f>IFERROR(__xludf.DUMMYFUNCTION("GOOGLETRANSLATE(A3140,""en"",""pt"")"),"requer")</f>
        <v>requer</v>
      </c>
      <c r="G3140" s="69"/>
    </row>
    <row r="3141" ht="22.5" customHeight="1">
      <c r="A3141" s="66" t="s">
        <v>2012</v>
      </c>
      <c r="B3141" s="67" t="str">
        <f t="shared" si="15"/>
        <v>M: poled</v>
      </c>
      <c r="C3141" s="66">
        <v>2.0</v>
      </c>
      <c r="D3141" s="68">
        <v>46063.0</v>
      </c>
      <c r="E3141" s="66">
        <v>4.0</v>
      </c>
      <c r="F3141" s="66" t="s">
        <v>4097</v>
      </c>
      <c r="G3141" s="66" t="s">
        <v>247</v>
      </c>
    </row>
    <row r="3142" ht="22.5" customHeight="1">
      <c r="A3142" s="66" t="s">
        <v>4098</v>
      </c>
      <c r="B3142" s="67" t="str">
        <f t="shared" si="15"/>
        <v>M: boatman</v>
      </c>
      <c r="C3142" s="68"/>
      <c r="D3142" s="68">
        <v>46064.0</v>
      </c>
      <c r="E3142" s="66">
        <v>5.0</v>
      </c>
      <c r="F3142" s="66" t="str">
        <f>IFERROR(__xludf.DUMMYFUNCTION("GOOGLETRANSLATE(A3142,""en"",""pt"")"),"barqueiro")</f>
        <v>barqueiro</v>
      </c>
      <c r="G3142" s="69"/>
    </row>
    <row r="3143" ht="22.5" customHeight="1">
      <c r="A3143" s="66" t="s">
        <v>4099</v>
      </c>
      <c r="B3143" s="67" t="str">
        <f t="shared" si="15"/>
        <v>M: hiker</v>
      </c>
      <c r="C3143" s="68"/>
      <c r="D3143" s="68">
        <v>46064.0</v>
      </c>
      <c r="E3143" s="66">
        <v>6.0</v>
      </c>
      <c r="F3143" s="66" t="str">
        <f>IFERROR(__xludf.DUMMYFUNCTION("GOOGLETRANSLATE(A3143,""en"",""pt"")"),"caminhante")</f>
        <v>caminhante</v>
      </c>
      <c r="G3143" s="69"/>
    </row>
    <row r="3144" ht="22.5" customHeight="1">
      <c r="A3144" s="66" t="s">
        <v>4100</v>
      </c>
      <c r="B3144" s="67" t="str">
        <f t="shared" si="15"/>
        <v>M: debris</v>
      </c>
      <c r="C3144" s="68"/>
      <c r="D3144" s="68">
        <v>46064.0</v>
      </c>
      <c r="E3144" s="66">
        <v>7.0</v>
      </c>
      <c r="F3144" s="66" t="str">
        <f>IFERROR(__xludf.DUMMYFUNCTION("GOOGLETRANSLATE(A3144,""en"",""pt"")"),"destroços")</f>
        <v>destroços</v>
      </c>
      <c r="G3144" s="69"/>
    </row>
    <row r="3145" ht="22.5" customHeight="1">
      <c r="A3145" s="66" t="s">
        <v>4101</v>
      </c>
      <c r="B3145" s="67" t="str">
        <f t="shared" si="15"/>
        <v>M: vessel</v>
      </c>
      <c r="C3145" s="68"/>
      <c r="D3145" s="68">
        <v>46064.0</v>
      </c>
      <c r="E3145" s="66">
        <v>8.0</v>
      </c>
      <c r="F3145" s="66" t="str">
        <f>IFERROR(__xludf.DUMMYFUNCTION("GOOGLETRANSLATE(A3145,""en"",""pt"")"),"navio")</f>
        <v>navio</v>
      </c>
      <c r="G3145" s="69"/>
    </row>
    <row r="3146" ht="22.5" customHeight="1">
      <c r="A3146" s="66" t="s">
        <v>1893</v>
      </c>
      <c r="B3146" s="67" t="str">
        <f t="shared" si="15"/>
        <v>M: maiden</v>
      </c>
      <c r="C3146" s="66">
        <v>2.0</v>
      </c>
      <c r="D3146" s="68">
        <v>46064.0</v>
      </c>
      <c r="E3146" s="66">
        <v>9.0</v>
      </c>
      <c r="F3146" s="71" t="s">
        <v>4102</v>
      </c>
      <c r="G3146" s="66" t="s">
        <v>247</v>
      </c>
    </row>
    <row r="3147" ht="22.5" customHeight="1">
      <c r="A3147" s="66" t="s">
        <v>1893</v>
      </c>
      <c r="B3147" s="67" t="str">
        <f t="shared" si="15"/>
        <v>M: maiden</v>
      </c>
      <c r="C3147" s="66">
        <v>3.0</v>
      </c>
      <c r="D3147" s="68">
        <v>46064.0</v>
      </c>
      <c r="E3147" s="66">
        <v>10.0</v>
      </c>
      <c r="F3147" s="71" t="s">
        <v>4103</v>
      </c>
      <c r="G3147" s="66" t="s">
        <v>247</v>
      </c>
    </row>
    <row r="3148" ht="22.5" customHeight="1">
      <c r="A3148" s="66" t="s">
        <v>4104</v>
      </c>
      <c r="B3148" s="67" t="str">
        <f t="shared" si="15"/>
        <v>M: voyage</v>
      </c>
      <c r="C3148" s="68"/>
      <c r="D3148" s="68">
        <v>46064.0</v>
      </c>
      <c r="E3148" s="66">
        <v>1.0</v>
      </c>
      <c r="F3148" s="66" t="str">
        <f>IFERROR(__xludf.DUMMYFUNCTION("GOOGLETRANSLATE(A3148,""en"",""pt"")"),"viagem")</f>
        <v>viagem</v>
      </c>
      <c r="G3148" s="69"/>
    </row>
    <row r="3149" ht="22.5" customHeight="1">
      <c r="A3149" s="66" t="s">
        <v>4105</v>
      </c>
      <c r="B3149" s="67" t="str">
        <f t="shared" si="15"/>
        <v>M: explorers</v>
      </c>
      <c r="C3149" s="68"/>
      <c r="D3149" s="68">
        <v>46064.0</v>
      </c>
      <c r="E3149" s="66">
        <v>2.0</v>
      </c>
      <c r="F3149" s="66" t="str">
        <f>IFERROR(__xludf.DUMMYFUNCTION("GOOGLETRANSLATE(A3149,""en"",""pt"")"),"exploradores")</f>
        <v>exploradores</v>
      </c>
      <c r="G3149" s="69"/>
    </row>
    <row r="3150" ht="22.5" customHeight="1">
      <c r="A3150" s="66" t="s">
        <v>4106</v>
      </c>
      <c r="B3150" s="67" t="str">
        <f t="shared" si="15"/>
        <v>M: untouched</v>
      </c>
      <c r="C3150" s="68"/>
      <c r="D3150" s="68">
        <v>46064.0</v>
      </c>
      <c r="E3150" s="66">
        <v>3.0</v>
      </c>
      <c r="F3150" s="66" t="str">
        <f>IFERROR(__xludf.DUMMYFUNCTION("GOOGLETRANSLATE(A3150,""en"",""pt"")"),"intocado")</f>
        <v>intocado</v>
      </c>
      <c r="G3150" s="69"/>
    </row>
    <row r="3151" ht="22.5" customHeight="1">
      <c r="A3151" s="66" t="s">
        <v>4107</v>
      </c>
      <c r="B3151" s="67" t="str">
        <f t="shared" si="15"/>
        <v>M: forest</v>
      </c>
      <c r="C3151" s="68"/>
      <c r="D3151" s="68">
        <v>46064.0</v>
      </c>
      <c r="E3151" s="66">
        <v>4.0</v>
      </c>
      <c r="F3151" s="66" t="str">
        <f>IFERROR(__xludf.DUMMYFUNCTION("GOOGLETRANSLATE(A3151,""en"",""pt"")"),"floresta")</f>
        <v>floresta</v>
      </c>
      <c r="G3151" s="69"/>
    </row>
    <row r="3152" ht="22.5" customHeight="1">
      <c r="A3152" s="66" t="s">
        <v>4108</v>
      </c>
      <c r="B3152" s="67" t="str">
        <f t="shared" si="15"/>
        <v>M: exploitation</v>
      </c>
      <c r="C3152" s="68"/>
      <c r="D3152" s="68">
        <v>46065.0</v>
      </c>
      <c r="E3152" s="66">
        <v>5.0</v>
      </c>
      <c r="F3152" s="66" t="str">
        <f>IFERROR(__xludf.DUMMYFUNCTION("GOOGLETRANSLATE(A3152,""en"",""pt"")"),"exploração")</f>
        <v>exploração</v>
      </c>
      <c r="G3152" s="69"/>
    </row>
    <row r="3153" ht="22.5" customHeight="1">
      <c r="A3153" s="66" t="s">
        <v>1081</v>
      </c>
      <c r="B3153" s="67" t="str">
        <f t="shared" si="15"/>
        <v>M: reams</v>
      </c>
      <c r="C3153" s="66">
        <v>2.0</v>
      </c>
      <c r="D3153" s="68">
        <v>46065.0</v>
      </c>
      <c r="E3153" s="66">
        <v>6.0</v>
      </c>
      <c r="F3153" s="66" t="s">
        <v>4109</v>
      </c>
      <c r="G3153" s="66" t="s">
        <v>247</v>
      </c>
    </row>
    <row r="3154" ht="22.5" customHeight="1">
      <c r="A3154" s="66" t="s">
        <v>4110</v>
      </c>
      <c r="B3154" s="67" t="str">
        <f t="shared" si="15"/>
        <v>M: ordered</v>
      </c>
      <c r="C3154" s="68"/>
      <c r="D3154" s="68">
        <v>46065.0</v>
      </c>
      <c r="E3154" s="66">
        <v>7.0</v>
      </c>
      <c r="F3154" s="66" t="str">
        <f>IFERROR(__xludf.DUMMYFUNCTION("GOOGLETRANSLATE(A3154,""en"",""pt"")"),"pedido")</f>
        <v>pedido</v>
      </c>
      <c r="G3154" s="69"/>
    </row>
    <row r="3155" ht="22.5" customHeight="1">
      <c r="A3155" s="66" t="s">
        <v>4111</v>
      </c>
      <c r="B3155" s="67" t="str">
        <f t="shared" si="15"/>
        <v>M: wrote</v>
      </c>
      <c r="C3155" s="68"/>
      <c r="D3155" s="68">
        <v>46065.0</v>
      </c>
      <c r="E3155" s="66">
        <v>9.0</v>
      </c>
      <c r="F3155" s="66" t="str">
        <f>IFERROR(__xludf.DUMMYFUNCTION("GOOGLETRANSLATE(A3155,""en"",""pt"")"),"escreveu")</f>
        <v>escreveu</v>
      </c>
      <c r="G3155" s="69"/>
    </row>
    <row r="3156" ht="22.5" customHeight="1">
      <c r="A3156" s="66" t="s">
        <v>2687</v>
      </c>
      <c r="B3156" s="67" t="str">
        <f t="shared" si="15"/>
        <v>M: curly</v>
      </c>
      <c r="C3156" s="66">
        <v>2.0</v>
      </c>
      <c r="D3156" s="68">
        <v>46065.0</v>
      </c>
      <c r="E3156" s="66">
        <v>10.0</v>
      </c>
      <c r="F3156" s="71" t="s">
        <v>4112</v>
      </c>
      <c r="G3156" s="66" t="s">
        <v>247</v>
      </c>
    </row>
    <row r="3157" ht="22.5" customHeight="1">
      <c r="A3157" s="66" t="s">
        <v>4113</v>
      </c>
      <c r="B3157" s="67" t="str">
        <f t="shared" si="15"/>
        <v>M: inherited</v>
      </c>
      <c r="C3157" s="68"/>
      <c r="D3157" s="68">
        <v>46065.0</v>
      </c>
      <c r="E3157" s="66">
        <v>1.0</v>
      </c>
      <c r="F3157" s="66" t="str">
        <f>IFERROR(__xludf.DUMMYFUNCTION("GOOGLETRANSLATE(A3157,""en"",""pt"")"),"herdado")</f>
        <v>herdado</v>
      </c>
      <c r="G3157" s="69"/>
    </row>
    <row r="3158" ht="22.5" customHeight="1">
      <c r="A3158" s="66" t="s">
        <v>4114</v>
      </c>
      <c r="B3158" s="67" t="str">
        <f t="shared" si="15"/>
        <v>M: plumes</v>
      </c>
      <c r="C3158" s="68"/>
      <c r="D3158" s="68">
        <v>46065.0</v>
      </c>
      <c r="E3158" s="66">
        <v>2.0</v>
      </c>
      <c r="F3158" s="66" t="str">
        <f>IFERROR(__xludf.DUMMYFUNCTION("GOOGLETRANSLATE(A3158,""en"",""pt"")"),"plumas")</f>
        <v>plumas</v>
      </c>
      <c r="G3158" s="69"/>
    </row>
    <row r="3159" ht="22.5" customHeight="1">
      <c r="A3159" s="66" t="s">
        <v>4115</v>
      </c>
      <c r="B3159" s="67" t="str">
        <f t="shared" si="15"/>
        <v>M: ceiling</v>
      </c>
      <c r="C3159" s="68"/>
      <c r="D3159" s="68">
        <v>46065.0</v>
      </c>
      <c r="E3159" s="66">
        <v>3.0</v>
      </c>
      <c r="F3159" s="66" t="str">
        <f>IFERROR(__xludf.DUMMYFUNCTION("GOOGLETRANSLATE(A3159,""en"",""pt"")"),"teto")</f>
        <v>teto</v>
      </c>
      <c r="G3159" s="69"/>
    </row>
    <row r="3160" ht="22.5" customHeight="1">
      <c r="A3160" s="66" t="s">
        <v>4116</v>
      </c>
      <c r="B3160" s="67" t="str">
        <f t="shared" si="15"/>
        <v>M: vine</v>
      </c>
      <c r="C3160" s="68"/>
      <c r="D3160" s="68">
        <v>46065.0</v>
      </c>
      <c r="E3160" s="66">
        <v>4.0</v>
      </c>
      <c r="F3160" s="66" t="str">
        <f>IFERROR(__xludf.DUMMYFUNCTION("GOOGLETRANSLATE(A3160,""en"",""pt"")"),"videira")</f>
        <v>videira</v>
      </c>
      <c r="G3160" s="69"/>
    </row>
    <row r="3161" ht="22.5" customHeight="1">
      <c r="A3161" s="66" t="s">
        <v>4117</v>
      </c>
      <c r="B3161" s="67" t="str">
        <f t="shared" si="15"/>
        <v>M: climbing</v>
      </c>
      <c r="C3161" s="68"/>
      <c r="D3161" s="68">
        <v>46065.0</v>
      </c>
      <c r="E3161" s="66">
        <v>5.0</v>
      </c>
      <c r="F3161" s="66" t="str">
        <f>IFERROR(__xludf.DUMMYFUNCTION("GOOGLETRANSLATE(A3161,""en"",""pt"")"),"escalando")</f>
        <v>escalando</v>
      </c>
      <c r="G3161" s="69"/>
    </row>
    <row r="3162" ht="22.5" customHeight="1">
      <c r="A3162" s="66" t="s">
        <v>4118</v>
      </c>
      <c r="B3162" s="67" t="str">
        <f t="shared" si="15"/>
        <v>M: brackets</v>
      </c>
      <c r="C3162" s="68"/>
      <c r="D3162" s="68">
        <v>46066.0</v>
      </c>
      <c r="E3162" s="66">
        <v>6.0</v>
      </c>
      <c r="F3162" s="66" t="str">
        <f>IFERROR(__xludf.DUMMYFUNCTION("GOOGLETRANSLATE(A3162,""en"",""pt"")"),"colchetes")</f>
        <v>colchetes</v>
      </c>
      <c r="G3162" s="69"/>
    </row>
    <row r="3163" ht="22.5" customHeight="1">
      <c r="A3163" s="66" t="s">
        <v>4119</v>
      </c>
      <c r="B3163" s="67" t="str">
        <f t="shared" si="15"/>
        <v>M: legacy</v>
      </c>
      <c r="C3163" s="68"/>
      <c r="D3163" s="68">
        <v>46066.0</v>
      </c>
      <c r="E3163" s="66">
        <v>7.0</v>
      </c>
      <c r="F3163" s="66" t="str">
        <f>IFERROR(__xludf.DUMMYFUNCTION("GOOGLETRANSLATE(A3163,""en"",""pt"")"),"legado")</f>
        <v>legado</v>
      </c>
      <c r="G3163" s="69"/>
    </row>
    <row r="3164" ht="22.5" customHeight="1">
      <c r="A3164" s="66" t="s">
        <v>4120</v>
      </c>
      <c r="B3164" s="67" t="str">
        <f t="shared" si="15"/>
        <v>M: enough</v>
      </c>
      <c r="C3164" s="68"/>
      <c r="D3164" s="68">
        <v>46066.0</v>
      </c>
      <c r="E3164" s="66">
        <v>10.0</v>
      </c>
      <c r="F3164" s="66" t="str">
        <f>IFERROR(__xludf.DUMMYFUNCTION("GOOGLETRANSLATE(A3164,""en"",""pt"")"),"suficiente")</f>
        <v>suficiente</v>
      </c>
      <c r="G3164" s="69"/>
    </row>
    <row r="3165" ht="22.5" customHeight="1">
      <c r="A3165" s="66" t="s">
        <v>2631</v>
      </c>
      <c r="B3165" s="67" t="str">
        <f t="shared" si="15"/>
        <v>M: modifier</v>
      </c>
      <c r="C3165" s="66">
        <v>2.0</v>
      </c>
      <c r="D3165" s="68">
        <v>46066.0</v>
      </c>
      <c r="E3165" s="66">
        <v>1.0</v>
      </c>
      <c r="F3165" s="66" t="s">
        <v>4121</v>
      </c>
      <c r="G3165" s="66" t="s">
        <v>247</v>
      </c>
    </row>
    <row r="3166" ht="22.5" customHeight="1">
      <c r="A3166" s="66" t="s">
        <v>4122</v>
      </c>
      <c r="B3166" s="67" t="str">
        <f t="shared" si="15"/>
        <v>M: uses</v>
      </c>
      <c r="C3166" s="68"/>
      <c r="D3166" s="68">
        <v>46066.0</v>
      </c>
      <c r="E3166" s="66">
        <v>2.0</v>
      </c>
      <c r="F3166" s="66" t="str">
        <f>IFERROR(__xludf.DUMMYFUNCTION("GOOGLETRANSLATE(A3166,""en"",""pt"")"),"usa")</f>
        <v>usa</v>
      </c>
      <c r="G3166" s="69"/>
    </row>
    <row r="3167" ht="22.5" customHeight="1">
      <c r="A3167" s="66" t="s">
        <v>4123</v>
      </c>
      <c r="B3167" s="67" t="str">
        <f t="shared" si="15"/>
        <v>M: tone</v>
      </c>
      <c r="C3167" s="68"/>
      <c r="D3167" s="68">
        <v>46066.0</v>
      </c>
      <c r="E3167" s="66">
        <v>3.0</v>
      </c>
      <c r="F3167" s="66" t="str">
        <f>IFERROR(__xludf.DUMMYFUNCTION("GOOGLETRANSLATE(A3167,""en"",""pt"")"),"tom")</f>
        <v>tom</v>
      </c>
      <c r="G3167" s="69"/>
    </row>
    <row r="3168" ht="22.5" customHeight="1">
      <c r="A3168" s="66" t="s">
        <v>4124</v>
      </c>
      <c r="B3168" s="67" t="str">
        <f t="shared" si="15"/>
        <v>M: temporal</v>
      </c>
      <c r="C3168" s="68"/>
      <c r="D3168" s="68">
        <v>46066.0</v>
      </c>
      <c r="E3168" s="66">
        <v>4.0</v>
      </c>
      <c r="F3168" s="66" t="str">
        <f>IFERROR(__xludf.DUMMYFUNCTION("GOOGLETRANSLATE(A3168,""en"",""pt"")"),"temporal")</f>
        <v>temporal</v>
      </c>
      <c r="G3168" s="69"/>
    </row>
    <row r="3169" ht="22.5" customHeight="1">
      <c r="A3169" s="66" t="s">
        <v>4125</v>
      </c>
      <c r="B3169" s="67" t="str">
        <f t="shared" si="15"/>
        <v>M: taste</v>
      </c>
      <c r="C3169" s="68"/>
      <c r="D3169" s="68">
        <v>46066.0</v>
      </c>
      <c r="E3169" s="66">
        <v>5.0</v>
      </c>
      <c r="F3169" s="66" t="str">
        <f>IFERROR(__xludf.DUMMYFUNCTION("GOOGLETRANSLATE(A3169,""en"",""pt"")"),"gosto")</f>
        <v>gosto</v>
      </c>
      <c r="G3169" s="69"/>
    </row>
    <row r="3170" ht="22.5" customHeight="1">
      <c r="A3170" s="66" t="s">
        <v>4126</v>
      </c>
      <c r="B3170" s="67" t="str">
        <f t="shared" si="15"/>
        <v>M: flavor</v>
      </c>
      <c r="C3170" s="68"/>
      <c r="D3170" s="68">
        <v>46066.0</v>
      </c>
      <c r="E3170" s="66">
        <v>6.0</v>
      </c>
      <c r="F3170" s="66" t="str">
        <f>IFERROR(__xludf.DUMMYFUNCTION("GOOGLETRANSLATE(A3170,""en"",""pt"")"),"sabor")</f>
        <v>sabor</v>
      </c>
      <c r="G3170" s="69"/>
    </row>
    <row r="3171" ht="22.5" customHeight="1">
      <c r="A3171" s="66" t="s">
        <v>2073</v>
      </c>
      <c r="B3171" s="67" t="str">
        <f t="shared" si="15"/>
        <v>M: enduring</v>
      </c>
      <c r="C3171" s="66">
        <v>2.0</v>
      </c>
      <c r="D3171" s="68">
        <v>46066.0</v>
      </c>
      <c r="E3171" s="66">
        <v>7.0</v>
      </c>
      <c r="F3171" s="71" t="s">
        <v>4127</v>
      </c>
      <c r="G3171" s="66" t="s">
        <v>247</v>
      </c>
    </row>
    <row r="3172" ht="22.5" customHeight="1">
      <c r="A3172" s="66" t="s">
        <v>4128</v>
      </c>
      <c r="B3172" s="67" t="str">
        <f t="shared" si="15"/>
        <v>M: aims</v>
      </c>
      <c r="C3172" s="68"/>
      <c r="D3172" s="68">
        <v>46067.0</v>
      </c>
      <c r="E3172" s="66">
        <v>8.0</v>
      </c>
      <c r="F3172" s="66" t="str">
        <f>IFERROR(__xludf.DUMMYFUNCTION("GOOGLETRANSLATE(A3172,""en"",""pt"")"),"mira")</f>
        <v>mira</v>
      </c>
      <c r="G3172" s="69"/>
    </row>
    <row r="3173" ht="22.5" customHeight="1">
      <c r="A3173" s="70" t="s">
        <v>766</v>
      </c>
      <c r="B3173" s="67" t="str">
        <f t="shared" si="15"/>
        <v>M: woe</v>
      </c>
      <c r="C3173" s="66">
        <v>2.0</v>
      </c>
      <c r="D3173" s="68">
        <v>46067.0</v>
      </c>
      <c r="E3173" s="66">
        <v>9.0</v>
      </c>
      <c r="F3173" s="66" t="str">
        <f>IFERROR(__xludf.DUMMYFUNCTION("GOOGLETRANSLATE(A3173,""en"",""pt"")"),"ai")</f>
        <v>ai</v>
      </c>
      <c r="G3173" s="66" t="s">
        <v>247</v>
      </c>
    </row>
    <row r="3174" ht="22.5" customHeight="1">
      <c r="A3174" s="66" t="s">
        <v>4129</v>
      </c>
      <c r="B3174" s="67" t="str">
        <f t="shared" si="15"/>
        <v>M: novel</v>
      </c>
      <c r="C3174" s="68"/>
      <c r="D3174" s="68">
        <v>46067.0</v>
      </c>
      <c r="E3174" s="66">
        <v>10.0</v>
      </c>
      <c r="F3174" s="66" t="str">
        <f>IFERROR(__xludf.DUMMYFUNCTION("GOOGLETRANSLATE(A3174,""en"",""pt"")"),"romance")</f>
        <v>romance</v>
      </c>
      <c r="G3174" s="69"/>
    </row>
    <row r="3175" ht="22.5" customHeight="1">
      <c r="A3175" s="66" t="s">
        <v>4130</v>
      </c>
      <c r="B3175" s="67" t="str">
        <f t="shared" si="15"/>
        <v>M: profound</v>
      </c>
      <c r="C3175" s="68"/>
      <c r="D3175" s="68">
        <v>46067.0</v>
      </c>
      <c r="E3175" s="66">
        <v>1.0</v>
      </c>
      <c r="F3175" s="66" t="str">
        <f>IFERROR(__xludf.DUMMYFUNCTION("GOOGLETRANSLATE(A3175,""en"",""pt"")"),"profundo")</f>
        <v>profundo</v>
      </c>
      <c r="G3175" s="69"/>
    </row>
    <row r="3176" ht="22.5" customHeight="1">
      <c r="A3176" s="66" t="s">
        <v>4131</v>
      </c>
      <c r="B3176" s="67" t="str">
        <f t="shared" si="15"/>
        <v>M: scandal</v>
      </c>
      <c r="C3176" s="68"/>
      <c r="D3176" s="68">
        <v>46067.0</v>
      </c>
      <c r="E3176" s="66">
        <v>2.0</v>
      </c>
      <c r="F3176" s="66" t="str">
        <f>IFERROR(__xludf.DUMMYFUNCTION("GOOGLETRANSLATE(A3176,""en"",""pt"")"),"escândalo")</f>
        <v>escândalo</v>
      </c>
      <c r="G3176" s="69"/>
    </row>
    <row r="3177" ht="22.5" customHeight="1">
      <c r="A3177" s="66" t="s">
        <v>4132</v>
      </c>
      <c r="B3177" s="67" t="str">
        <f t="shared" si="15"/>
        <v>M: recurring</v>
      </c>
      <c r="C3177" s="68"/>
      <c r="D3177" s="68">
        <v>46067.0</v>
      </c>
      <c r="E3177" s="66">
        <v>3.0</v>
      </c>
      <c r="F3177" s="66" t="str">
        <f>IFERROR(__xludf.DUMMYFUNCTION("GOOGLETRANSLATE(A3177,""en"",""pt"")"),"recorrente")</f>
        <v>recorrente</v>
      </c>
      <c r="G3177" s="69"/>
    </row>
    <row r="3178" ht="22.5" customHeight="1">
      <c r="A3178" s="66" t="s">
        <v>2395</v>
      </c>
      <c r="B3178" s="67" t="str">
        <f t="shared" si="15"/>
        <v>M: cut back</v>
      </c>
      <c r="C3178" s="66">
        <v>2.0</v>
      </c>
      <c r="D3178" s="68">
        <v>46067.0</v>
      </c>
      <c r="E3178" s="66">
        <v>4.0</v>
      </c>
      <c r="F3178" s="71" t="s">
        <v>4133</v>
      </c>
      <c r="G3178" s="66" t="s">
        <v>247</v>
      </c>
    </row>
    <row r="3179" ht="22.5" customHeight="1">
      <c r="A3179" s="66" t="s">
        <v>4134</v>
      </c>
      <c r="B3179" s="67" t="str">
        <f t="shared" si="15"/>
        <v>M: unnecessary</v>
      </c>
      <c r="C3179" s="68"/>
      <c r="D3179" s="68">
        <v>46067.0</v>
      </c>
      <c r="E3179" s="66">
        <v>5.0</v>
      </c>
      <c r="F3179" s="66" t="str">
        <f>IFERROR(__xludf.DUMMYFUNCTION("GOOGLETRANSLATE(A3179,""en"",""pt"")"),"desnecessário")</f>
        <v>desnecessário</v>
      </c>
      <c r="G3179" s="69"/>
    </row>
    <row r="3180" ht="22.5" customHeight="1">
      <c r="A3180" s="66" t="s">
        <v>4135</v>
      </c>
      <c r="B3180" s="67" t="str">
        <f t="shared" si="15"/>
        <v>M: intake</v>
      </c>
      <c r="C3180" s="68"/>
      <c r="D3180" s="68">
        <v>46067.0</v>
      </c>
      <c r="E3180" s="66">
        <v>6.0</v>
      </c>
      <c r="F3180" s="66" t="str">
        <f>IFERROR(__xludf.DUMMYFUNCTION("GOOGLETRANSLATE(A3180,""en"",""pt"")"),"ingestão")</f>
        <v>ingestão</v>
      </c>
      <c r="G3180" s="69"/>
    </row>
    <row r="3181" ht="22.5" customHeight="1">
      <c r="A3181" s="66" t="s">
        <v>4136</v>
      </c>
      <c r="B3181" s="67" t="str">
        <f t="shared" si="15"/>
        <v>M: bushes</v>
      </c>
      <c r="C3181" s="68"/>
      <c r="D3181" s="68">
        <v>46067.0</v>
      </c>
      <c r="E3181" s="66">
        <v>7.0</v>
      </c>
      <c r="F3181" s="66" t="str">
        <f>IFERROR(__xludf.DUMMYFUNCTION("GOOGLETRANSLATE(A3181,""en"",""pt"")"),"arbustos")</f>
        <v>arbustos</v>
      </c>
      <c r="G3181" s="69"/>
    </row>
    <row r="3182" ht="22.5" customHeight="1">
      <c r="A3182" s="66" t="s">
        <v>4137</v>
      </c>
      <c r="B3182" s="67" t="str">
        <f t="shared" si="15"/>
        <v>M: overgrown</v>
      </c>
      <c r="C3182" s="68"/>
      <c r="D3182" s="68">
        <v>46068.0</v>
      </c>
      <c r="E3182" s="66">
        <v>8.0</v>
      </c>
      <c r="F3182" s="66" t="str">
        <f>IFERROR(__xludf.DUMMYFUNCTION("GOOGLETRANSLATE(A3182,""en"",""pt"")"),"coberto de vegetação")</f>
        <v>coberto de vegetação</v>
      </c>
      <c r="G3182" s="69"/>
    </row>
    <row r="3183" ht="22.5" customHeight="1">
      <c r="A3183" s="66" t="s">
        <v>4138</v>
      </c>
      <c r="B3183" s="67" t="str">
        <f t="shared" si="15"/>
        <v>M: branches</v>
      </c>
      <c r="C3183" s="68"/>
      <c r="D3183" s="68">
        <v>46068.0</v>
      </c>
      <c r="E3183" s="66">
        <v>9.0</v>
      </c>
      <c r="F3183" s="66" t="str">
        <f>IFERROR(__xludf.DUMMYFUNCTION("GOOGLETRANSLATE(A3183,""en"",""pt"")"),"galhos")</f>
        <v>galhos</v>
      </c>
      <c r="G3183" s="69"/>
    </row>
    <row r="3184" ht="22.5" customHeight="1">
      <c r="A3184" s="66" t="s">
        <v>4139</v>
      </c>
      <c r="B3184" s="67" t="str">
        <f t="shared" si="15"/>
        <v>M: encourage</v>
      </c>
      <c r="C3184" s="68"/>
      <c r="D3184" s="68">
        <v>46068.0</v>
      </c>
      <c r="E3184" s="66">
        <v>10.0</v>
      </c>
      <c r="F3184" s="66" t="str">
        <f>IFERROR(__xludf.DUMMYFUNCTION("GOOGLETRANSLATE(A3184,""en"",""pt"")"),"encorajar")</f>
        <v>encorajar</v>
      </c>
      <c r="G3184" s="69"/>
    </row>
    <row r="3185" ht="22.5" customHeight="1">
      <c r="A3185" s="66" t="s">
        <v>4140</v>
      </c>
      <c r="B3185" s="67" t="str">
        <f t="shared" si="15"/>
        <v>M: growth</v>
      </c>
      <c r="C3185" s="68"/>
      <c r="D3185" s="68">
        <v>46068.0</v>
      </c>
      <c r="E3185" s="66">
        <v>1.0</v>
      </c>
      <c r="F3185" s="66" t="str">
        <f>IFERROR(__xludf.DUMMYFUNCTION("GOOGLETRANSLATE(A3185,""en"",""pt"")"),"crescimento")</f>
        <v>crescimento</v>
      </c>
      <c r="G3185" s="69"/>
    </row>
    <row r="3186" ht="22.5" customHeight="1">
      <c r="A3186" s="66" t="s">
        <v>2655</v>
      </c>
      <c r="B3186" s="67" t="str">
        <f t="shared" si="15"/>
        <v>M: signature</v>
      </c>
      <c r="C3186" s="66">
        <v>2.0</v>
      </c>
      <c r="D3186" s="68">
        <v>46068.0</v>
      </c>
      <c r="E3186" s="66">
        <v>2.0</v>
      </c>
      <c r="F3186" s="66" t="s">
        <v>4141</v>
      </c>
      <c r="G3186" s="66" t="s">
        <v>247</v>
      </c>
    </row>
    <row r="3187" ht="22.5" customHeight="1">
      <c r="A3187" s="66" t="s">
        <v>2655</v>
      </c>
      <c r="B3187" s="67" t="str">
        <f t="shared" si="15"/>
        <v>M: signature</v>
      </c>
      <c r="C3187" s="66">
        <v>3.0</v>
      </c>
      <c r="D3187" s="68">
        <v>46068.0</v>
      </c>
      <c r="E3187" s="66">
        <v>3.0</v>
      </c>
      <c r="F3187" s="66" t="s">
        <v>4142</v>
      </c>
      <c r="G3187" s="66" t="s">
        <v>247</v>
      </c>
    </row>
    <row r="3188" ht="22.5" customHeight="1">
      <c r="A3188" s="66" t="s">
        <v>4143</v>
      </c>
      <c r="B3188" s="67" t="str">
        <f t="shared" si="15"/>
        <v>M: parties</v>
      </c>
      <c r="C3188" s="68"/>
      <c r="D3188" s="68">
        <v>46068.0</v>
      </c>
      <c r="E3188" s="66">
        <v>4.0</v>
      </c>
      <c r="F3188" s="66" t="str">
        <f>IFERROR(__xludf.DUMMYFUNCTION("GOOGLETRANSLATE(A3188,""en"",""pt"")"),"festas")</f>
        <v>festas</v>
      </c>
      <c r="G3188" s="69"/>
    </row>
    <row r="3189" ht="22.5" customHeight="1">
      <c r="A3189" s="66" t="s">
        <v>4144</v>
      </c>
      <c r="B3189" s="67" t="str">
        <f t="shared" si="15"/>
        <v>M: verified</v>
      </c>
      <c r="C3189" s="68"/>
      <c r="D3189" s="68">
        <v>46068.0</v>
      </c>
      <c r="E3189" s="66">
        <v>5.0</v>
      </c>
      <c r="F3189" s="66" t="str">
        <f>IFERROR(__xludf.DUMMYFUNCTION("GOOGLETRANSLATE(A3189,""en"",""pt"")"),"verificado")</f>
        <v>verificado</v>
      </c>
      <c r="G3189" s="69"/>
    </row>
    <row r="3190" ht="22.5" customHeight="1">
      <c r="A3190" s="66" t="s">
        <v>4145</v>
      </c>
      <c r="B3190" s="67" t="str">
        <f t="shared" si="15"/>
        <v>M: criminal</v>
      </c>
      <c r="C3190" s="68"/>
      <c r="D3190" s="68">
        <v>46068.0</v>
      </c>
      <c r="E3190" s="66">
        <v>6.0</v>
      </c>
      <c r="F3190" s="66" t="str">
        <f>IFERROR(__xludf.DUMMYFUNCTION("GOOGLETRANSLATE(A3190,""en"",""pt"")"),"criminal")</f>
        <v>criminal</v>
      </c>
      <c r="G3190" s="69"/>
    </row>
    <row r="3191" ht="22.5" customHeight="1">
      <c r="A3191" s="66" t="s">
        <v>4146</v>
      </c>
      <c r="B3191" s="67" t="str">
        <f t="shared" si="15"/>
        <v>M: tugging</v>
      </c>
      <c r="C3191" s="68"/>
      <c r="D3191" s="68">
        <v>46068.0</v>
      </c>
      <c r="E3191" s="66">
        <v>7.0</v>
      </c>
      <c r="F3191" s="66" t="str">
        <f>IFERROR(__xludf.DUMMYFUNCTION("GOOGLETRANSLATE(A3191,""en"",""pt"")"),"puxando")</f>
        <v>puxando</v>
      </c>
      <c r="G3191" s="69"/>
    </row>
    <row r="3192" ht="22.5" customHeight="1">
      <c r="A3192" s="66" t="s">
        <v>369</v>
      </c>
      <c r="B3192" s="67" t="str">
        <f t="shared" si="15"/>
        <v>M: dropping in</v>
      </c>
      <c r="C3192" s="66">
        <v>2.0</v>
      </c>
      <c r="D3192" s="68">
        <v>46069.0</v>
      </c>
      <c r="E3192" s="66">
        <v>8.0</v>
      </c>
      <c r="F3192" s="66" t="str">
        <f>IFERROR(__xludf.DUMMYFUNCTION("GOOGLETRANSLATE(A3192,""en"",""pt"")"),"entrando")</f>
        <v>entrando</v>
      </c>
      <c r="G3192" s="66" t="s">
        <v>247</v>
      </c>
    </row>
    <row r="3193" ht="22.5" customHeight="1">
      <c r="A3193" s="66" t="s">
        <v>4147</v>
      </c>
      <c r="B3193" s="67" t="str">
        <f t="shared" si="15"/>
        <v>M: unexpectedly</v>
      </c>
      <c r="C3193" s="68"/>
      <c r="D3193" s="68">
        <v>46069.0</v>
      </c>
      <c r="E3193" s="66">
        <v>9.0</v>
      </c>
      <c r="F3193" s="66" t="str">
        <f>IFERROR(__xludf.DUMMYFUNCTION("GOOGLETRANSLATE(A3193,""en"",""pt"")"),"inesperadamente")</f>
        <v>inesperadamente</v>
      </c>
      <c r="G3193" s="69"/>
    </row>
    <row r="3194" ht="22.5" customHeight="1">
      <c r="A3194" s="66" t="s">
        <v>4148</v>
      </c>
      <c r="B3194" s="67" t="str">
        <f t="shared" si="15"/>
        <v>M: preers</v>
      </c>
      <c r="C3194" s="68"/>
      <c r="D3194" s="68">
        <v>46069.0</v>
      </c>
      <c r="E3194" s="66">
        <v>10.0</v>
      </c>
      <c r="F3194" s="66" t="str">
        <f>IFERROR(__xludf.DUMMYFUNCTION("GOOGLETRANSLATE(A3194,""en"",""pt"")"),"pré-escolas")</f>
        <v>pré-escolas</v>
      </c>
      <c r="G3194" s="69"/>
    </row>
    <row r="3195" ht="22.5" customHeight="1">
      <c r="A3195" s="66" t="s">
        <v>4149</v>
      </c>
      <c r="B3195" s="67" t="str">
        <f t="shared" si="15"/>
        <v>M: kept</v>
      </c>
      <c r="C3195" s="68"/>
      <c r="D3195" s="68">
        <v>46069.0</v>
      </c>
      <c r="E3195" s="66">
        <v>1.0</v>
      </c>
      <c r="F3195" s="66" t="str">
        <f>IFERROR(__xludf.DUMMYFUNCTION("GOOGLETRANSLATE(A3195,""en"",""pt"")"),"mantido")</f>
        <v>mantido</v>
      </c>
      <c r="G3195" s="69"/>
    </row>
    <row r="3196" ht="22.5" customHeight="1">
      <c r="A3196" s="66" t="s">
        <v>1544</v>
      </c>
      <c r="B3196" s="67" t="str">
        <f t="shared" si="15"/>
        <v>M: mild</v>
      </c>
      <c r="C3196" s="66">
        <v>2.0</v>
      </c>
      <c r="D3196" s="68">
        <v>46069.0</v>
      </c>
      <c r="E3196" s="66">
        <v>2.0</v>
      </c>
      <c r="F3196" s="66" t="s">
        <v>247</v>
      </c>
      <c r="G3196" s="66" t="s">
        <v>4150</v>
      </c>
    </row>
    <row r="3197" ht="22.5" customHeight="1">
      <c r="A3197" s="66" t="s">
        <v>1544</v>
      </c>
      <c r="B3197" s="67" t="str">
        <f t="shared" si="15"/>
        <v>M: mild</v>
      </c>
      <c r="C3197" s="66">
        <v>3.0</v>
      </c>
      <c r="D3197" s="68">
        <v>46069.0</v>
      </c>
      <c r="E3197" s="66">
        <v>3.0</v>
      </c>
      <c r="F3197" s="66" t="s">
        <v>247</v>
      </c>
      <c r="G3197" s="66" t="s">
        <v>4151</v>
      </c>
    </row>
    <row r="3198" ht="22.5" customHeight="1">
      <c r="A3198" s="66" t="s">
        <v>4152</v>
      </c>
      <c r="B3198" s="67" t="str">
        <f t="shared" si="15"/>
        <v>M: surprisingly</v>
      </c>
      <c r="C3198" s="68"/>
      <c r="D3198" s="68">
        <v>46069.0</v>
      </c>
      <c r="E3198" s="66">
        <v>4.0</v>
      </c>
      <c r="F3198" s="66" t="str">
        <f>IFERROR(__xludf.DUMMYFUNCTION("GOOGLETRANSLATE(A3198,""en"",""pt"")"),"surpreendentemente")</f>
        <v>surpreendentemente</v>
      </c>
      <c r="G3198" s="69"/>
    </row>
    <row r="3199" ht="22.5" customHeight="1">
      <c r="A3199" s="66" t="s">
        <v>4153</v>
      </c>
      <c r="B3199" s="67" t="str">
        <f t="shared" si="15"/>
        <v>M: predicts</v>
      </c>
      <c r="C3199" s="68"/>
      <c r="D3199" s="68">
        <v>46069.0</v>
      </c>
      <c r="E3199" s="66">
        <v>5.0</v>
      </c>
      <c r="F3199" s="66" t="str">
        <f>IFERROR(__xludf.DUMMYFUNCTION("GOOGLETRANSLATE(A3199,""en"",""pt"")"),"prevê")</f>
        <v>prevê</v>
      </c>
      <c r="G3199" s="69"/>
    </row>
    <row r="3200" ht="22.5" customHeight="1">
      <c r="A3200" s="66" t="s">
        <v>4154</v>
      </c>
      <c r="B3200" s="67" t="str">
        <f t="shared" si="15"/>
        <v>M: climate</v>
      </c>
      <c r="C3200" s="68"/>
      <c r="D3200" s="68">
        <v>46069.0</v>
      </c>
      <c r="E3200" s="66">
        <v>6.0</v>
      </c>
      <c r="F3200" s="66" t="str">
        <f>IFERROR(__xludf.DUMMYFUNCTION("GOOGLETRANSLATE(A3200,""en"",""pt"")"),"clima")</f>
        <v>clima</v>
      </c>
      <c r="G3200" s="69"/>
    </row>
    <row r="3201" ht="22.5" customHeight="1">
      <c r="A3201" s="66" t="s">
        <v>4155</v>
      </c>
      <c r="B3201" s="67" t="str">
        <f t="shared" si="15"/>
        <v>M: coast</v>
      </c>
      <c r="C3201" s="68"/>
      <c r="D3201" s="68">
        <v>46069.0</v>
      </c>
      <c r="E3201" s="66">
        <v>7.0</v>
      </c>
      <c r="F3201" s="66" t="str">
        <f>IFERROR(__xludf.DUMMYFUNCTION("GOOGLETRANSLATE(A3201,""en"",""pt"")"),"costa")</f>
        <v>costa</v>
      </c>
      <c r="G3201" s="69"/>
    </row>
    <row r="3202" ht="22.5" customHeight="1">
      <c r="A3202" s="66" t="s">
        <v>4156</v>
      </c>
      <c r="B3202" s="67" t="str">
        <f t="shared" si="15"/>
        <v>M: symptoms</v>
      </c>
      <c r="C3202" s="68"/>
      <c r="D3202" s="68">
        <v>46070.0</v>
      </c>
      <c r="E3202" s="66">
        <v>8.0</v>
      </c>
      <c r="F3202" s="66" t="str">
        <f>IFERROR(__xludf.DUMMYFUNCTION("GOOGLETRANSLATE(A3202,""en"",""pt"")"),"sintomas")</f>
        <v>sintomas</v>
      </c>
      <c r="G3202" s="69"/>
    </row>
    <row r="3203" ht="22.5" customHeight="1">
      <c r="A3203" s="66" t="s">
        <v>4157</v>
      </c>
      <c r="B3203" s="67" t="str">
        <f t="shared" si="15"/>
        <v>M: criticism</v>
      </c>
      <c r="C3203" s="68"/>
      <c r="D3203" s="68">
        <v>46070.0</v>
      </c>
      <c r="E3203" s="66">
        <v>9.0</v>
      </c>
      <c r="F3203" s="66" t="str">
        <f>IFERROR(__xludf.DUMMYFUNCTION("GOOGLETRANSLATE(A3203,""en"",""pt"")"),"crítica")</f>
        <v>crítica</v>
      </c>
      <c r="G3203" s="69"/>
    </row>
    <row r="3204" ht="22.5" customHeight="1">
      <c r="A3204" s="66" t="s">
        <v>4158</v>
      </c>
      <c r="B3204" s="67" t="str">
        <f t="shared" si="15"/>
        <v>M: mistakes</v>
      </c>
      <c r="C3204" s="68"/>
      <c r="D3204" s="68">
        <v>46070.0</v>
      </c>
      <c r="E3204" s="66">
        <v>10.0</v>
      </c>
      <c r="F3204" s="66" t="str">
        <f>IFERROR(__xludf.DUMMYFUNCTION("GOOGLETRANSLATE(A3204,""en"",""pt"")"),"erros")</f>
        <v>erros</v>
      </c>
      <c r="G3204" s="69"/>
    </row>
    <row r="3205" ht="22.5" customHeight="1">
      <c r="A3205" s="66" t="s">
        <v>4159</v>
      </c>
      <c r="B3205" s="67" t="str">
        <f t="shared" si="15"/>
        <v>M: cleaning</v>
      </c>
      <c r="C3205" s="68"/>
      <c r="D3205" s="68">
        <v>46070.0</v>
      </c>
      <c r="E3205" s="66">
        <v>1.0</v>
      </c>
      <c r="F3205" s="66" t="str">
        <f>IFERROR(__xludf.DUMMYFUNCTION("GOOGLETRANSLATE(A3205,""en"",""pt"")"),"limpeza")</f>
        <v>limpeza</v>
      </c>
      <c r="G3205" s="69"/>
    </row>
    <row r="3206" ht="22.5" customHeight="1">
      <c r="A3206" s="66" t="s">
        <v>2540</v>
      </c>
      <c r="B3206" s="67" t="str">
        <f t="shared" si="15"/>
        <v>M: encapsulation</v>
      </c>
      <c r="C3206" s="66">
        <v>2.0</v>
      </c>
      <c r="D3206" s="68">
        <v>46070.0</v>
      </c>
      <c r="E3206" s="66">
        <v>2.0</v>
      </c>
      <c r="F3206" s="71" t="s">
        <v>4160</v>
      </c>
      <c r="G3206" s="66" t="s">
        <v>247</v>
      </c>
    </row>
    <row r="3207" ht="22.5" customHeight="1">
      <c r="A3207" s="66" t="s">
        <v>4161</v>
      </c>
      <c r="B3207" s="67" t="str">
        <f t="shared" si="15"/>
        <v>M: maintain</v>
      </c>
      <c r="C3207" s="68"/>
      <c r="D3207" s="68">
        <v>46070.0</v>
      </c>
      <c r="E3207" s="66">
        <v>3.0</v>
      </c>
      <c r="F3207" s="66" t="str">
        <f>IFERROR(__xludf.DUMMYFUNCTION("GOOGLETRANSLATE(A3207,""en"",""pt"")"),"manter")</f>
        <v>manter</v>
      </c>
      <c r="G3207" s="69"/>
    </row>
    <row r="3208" ht="22.5" customHeight="1">
      <c r="A3208" s="66" t="s">
        <v>4162</v>
      </c>
      <c r="B3208" s="67" t="str">
        <f t="shared" si="15"/>
        <v>M: medicine</v>
      </c>
      <c r="C3208" s="68"/>
      <c r="D3208" s="68">
        <v>46070.0</v>
      </c>
      <c r="E3208" s="66">
        <v>4.0</v>
      </c>
      <c r="F3208" s="66" t="str">
        <f>IFERROR(__xludf.DUMMYFUNCTION("GOOGLETRANSLATE(A3208,""en"",""pt"")"),"medicamento")</f>
        <v>medicamento</v>
      </c>
      <c r="G3208" s="69"/>
    </row>
    <row r="3209" ht="22.5" customHeight="1">
      <c r="A3209" s="66" t="s">
        <v>4163</v>
      </c>
      <c r="B3209" s="67" t="str">
        <f t="shared" si="15"/>
        <v>M: polymer</v>
      </c>
      <c r="C3209" s="68"/>
      <c r="D3209" s="68">
        <v>46070.0</v>
      </c>
      <c r="E3209" s="66">
        <v>5.0</v>
      </c>
      <c r="F3209" s="66" t="str">
        <f>IFERROR(__xludf.DUMMYFUNCTION("GOOGLETRANSLATE(A3209,""en"",""pt"")"),"polímero")</f>
        <v>polímero</v>
      </c>
      <c r="G3209" s="69"/>
    </row>
    <row r="3210" ht="22.5" customHeight="1">
      <c r="A3210" s="66" t="s">
        <v>4164</v>
      </c>
      <c r="B3210" s="67" t="str">
        <f t="shared" si="15"/>
        <v>M: locked</v>
      </c>
      <c r="C3210" s="66">
        <v>1.0</v>
      </c>
      <c r="D3210" s="68">
        <v>46070.0</v>
      </c>
      <c r="E3210" s="66">
        <v>6.0</v>
      </c>
      <c r="F3210" s="66" t="s">
        <v>4165</v>
      </c>
      <c r="G3210" s="66" t="s">
        <v>247</v>
      </c>
    </row>
    <row r="3211" ht="22.5" customHeight="1">
      <c r="A3211" s="66" t="s">
        <v>4164</v>
      </c>
      <c r="B3211" s="67" t="str">
        <f t="shared" si="15"/>
        <v>M: locked</v>
      </c>
      <c r="C3211" s="66">
        <v>2.0</v>
      </c>
      <c r="D3211" s="68">
        <v>46070.0</v>
      </c>
      <c r="E3211" s="66">
        <v>7.0</v>
      </c>
      <c r="F3211" s="66" t="s">
        <v>4166</v>
      </c>
      <c r="G3211" s="66" t="s">
        <v>247</v>
      </c>
    </row>
    <row r="3212" ht="22.5" customHeight="1">
      <c r="A3212" s="66" t="s">
        <v>4164</v>
      </c>
      <c r="B3212" s="67" t="str">
        <f t="shared" si="15"/>
        <v>M: locked</v>
      </c>
      <c r="C3212" s="66">
        <v>3.0</v>
      </c>
      <c r="D3212" s="68">
        <v>46071.0</v>
      </c>
      <c r="E3212" s="66">
        <v>8.0</v>
      </c>
      <c r="F3212" s="66" t="s">
        <v>4167</v>
      </c>
      <c r="G3212" s="66" t="s">
        <v>247</v>
      </c>
    </row>
    <row r="3213" ht="22.5" customHeight="1">
      <c r="A3213" s="66" t="s">
        <v>2303</v>
      </c>
      <c r="B3213" s="67" t="str">
        <f t="shared" si="15"/>
        <v>M: assaulted</v>
      </c>
      <c r="C3213" s="66">
        <v>2.0</v>
      </c>
      <c r="D3213" s="68">
        <v>46071.0</v>
      </c>
      <c r="E3213" s="66">
        <v>9.0</v>
      </c>
      <c r="F3213" s="66" t="s">
        <v>4168</v>
      </c>
      <c r="G3213" s="66" t="s">
        <v>247</v>
      </c>
    </row>
    <row r="3214" ht="22.5" customHeight="1">
      <c r="A3214" s="66" t="s">
        <v>2305</v>
      </c>
      <c r="B3214" s="67" t="str">
        <f t="shared" si="15"/>
        <v>M: dodge</v>
      </c>
      <c r="C3214" s="66">
        <v>2.0</v>
      </c>
      <c r="D3214" s="68">
        <v>46071.0</v>
      </c>
      <c r="E3214" s="66">
        <v>10.0</v>
      </c>
      <c r="F3214" s="71" t="s">
        <v>4169</v>
      </c>
      <c r="G3214" s="66" t="s">
        <v>247</v>
      </c>
    </row>
    <row r="3215" ht="22.5" customHeight="1">
      <c r="A3215" s="66" t="s">
        <v>4170</v>
      </c>
      <c r="B3215" s="67" t="str">
        <f t="shared" si="15"/>
        <v>M: managed</v>
      </c>
      <c r="C3215" s="68"/>
      <c r="D3215" s="68">
        <v>46071.0</v>
      </c>
      <c r="E3215" s="66">
        <v>1.0</v>
      </c>
      <c r="F3215" s="66" t="str">
        <f>IFERROR(__xludf.DUMMYFUNCTION("GOOGLETRANSLATE(A3215,""en"",""pt"")"),"gerenciou")</f>
        <v>gerenciou</v>
      </c>
      <c r="G3215" s="69"/>
    </row>
    <row r="3216" ht="22.5" customHeight="1">
      <c r="A3216" s="66" t="s">
        <v>4171</v>
      </c>
      <c r="B3216" s="67" t="str">
        <f t="shared" si="15"/>
        <v>M: thrown</v>
      </c>
      <c r="C3216" s="68"/>
      <c r="D3216" s="68">
        <v>46071.0</v>
      </c>
      <c r="E3216" s="66">
        <v>2.0</v>
      </c>
      <c r="F3216" s="66" t="str">
        <f>IFERROR(__xludf.DUMMYFUNCTION("GOOGLETRANSLATE(A3216,""en"",""pt"")"),"arremessado")</f>
        <v>arremessado</v>
      </c>
      <c r="G3216" s="69"/>
    </row>
    <row r="3217" ht="22.5" customHeight="1">
      <c r="A3217" s="66" t="s">
        <v>4172</v>
      </c>
      <c r="B3217" s="67" t="str">
        <f t="shared" si="15"/>
        <v>M: failure</v>
      </c>
      <c r="C3217" s="68"/>
      <c r="D3217" s="68">
        <v>46071.0</v>
      </c>
      <c r="E3217" s="66">
        <v>3.0</v>
      </c>
      <c r="F3217" s="66" t="str">
        <f>IFERROR(__xludf.DUMMYFUNCTION("GOOGLETRANSLATE(A3217,""en"",""pt"")"),"falha")</f>
        <v>falha</v>
      </c>
      <c r="G3217" s="69"/>
    </row>
    <row r="3218" ht="22.5" customHeight="1">
      <c r="A3218" s="66" t="s">
        <v>4173</v>
      </c>
      <c r="B3218" s="67" t="str">
        <f t="shared" si="15"/>
        <v>M: taxes</v>
      </c>
      <c r="C3218" s="68"/>
      <c r="D3218" s="68">
        <v>46071.0</v>
      </c>
      <c r="E3218" s="66">
        <v>4.0</v>
      </c>
      <c r="F3218" s="66" t="str">
        <f>IFERROR(__xludf.DUMMYFUNCTION("GOOGLETRANSLATE(A3218,""en"",""pt"")"),"impostos")</f>
        <v>impostos</v>
      </c>
      <c r="G3218" s="69"/>
    </row>
    <row r="3219" ht="22.5" customHeight="1">
      <c r="A3219" s="66" t="s">
        <v>4174</v>
      </c>
      <c r="B3219" s="67" t="str">
        <f t="shared" si="15"/>
        <v>M: ratio</v>
      </c>
      <c r="C3219" s="68"/>
      <c r="D3219" s="68">
        <v>46071.0</v>
      </c>
      <c r="E3219" s="66">
        <v>5.0</v>
      </c>
      <c r="F3219" s="66" t="str">
        <f>IFERROR(__xludf.DUMMYFUNCTION("GOOGLETRANSLATE(A3219,""en"",""pt"")"),"razão")</f>
        <v>razão</v>
      </c>
      <c r="G3219" s="69"/>
    </row>
    <row r="3220" ht="22.5" customHeight="1">
      <c r="A3220" s="66" t="s">
        <v>907</v>
      </c>
      <c r="B3220" s="67" t="str">
        <f t="shared" si="15"/>
        <v>M: leave it up</v>
      </c>
      <c r="C3220" s="66">
        <v>2.0</v>
      </c>
      <c r="D3220" s="68">
        <v>46071.0</v>
      </c>
      <c r="E3220" s="66">
        <v>6.0</v>
      </c>
      <c r="F3220" s="71" t="s">
        <v>4175</v>
      </c>
      <c r="G3220" s="66" t="s">
        <v>247</v>
      </c>
    </row>
    <row r="3221" ht="22.5" customHeight="1">
      <c r="A3221" s="66" t="s">
        <v>4176</v>
      </c>
      <c r="B3221" s="67" t="str">
        <f t="shared" si="15"/>
        <v>M: board</v>
      </c>
      <c r="C3221" s="68"/>
      <c r="D3221" s="68">
        <v>46071.0</v>
      </c>
      <c r="E3221" s="66">
        <v>7.0</v>
      </c>
      <c r="F3221" s="66" t="str">
        <f>IFERROR(__xludf.DUMMYFUNCTION("GOOGLETRANSLATE(A3221,""en"",""pt"")"),"quadro")</f>
        <v>quadro</v>
      </c>
      <c r="G3221" s="69"/>
    </row>
    <row r="3222" ht="22.5" customHeight="1">
      <c r="A3222" s="66" t="s">
        <v>2641</v>
      </c>
      <c r="B3222" s="67" t="str">
        <f t="shared" si="15"/>
        <v>M: occurs</v>
      </c>
      <c r="C3222" s="66">
        <v>2.0</v>
      </c>
      <c r="D3222" s="68">
        <v>46072.0</v>
      </c>
      <c r="E3222" s="66">
        <v>8.0</v>
      </c>
      <c r="F3222" s="66" t="s">
        <v>4177</v>
      </c>
      <c r="G3222" s="66" t="s">
        <v>247</v>
      </c>
    </row>
    <row r="3223" ht="22.5" customHeight="1">
      <c r="A3223" s="66" t="s">
        <v>659</v>
      </c>
      <c r="B3223" s="67" t="str">
        <f t="shared" si="15"/>
        <v>M: promised</v>
      </c>
      <c r="C3223" s="66">
        <v>2.0</v>
      </c>
      <c r="D3223" s="68">
        <v>46072.0</v>
      </c>
      <c r="E3223" s="66">
        <v>9.0</v>
      </c>
      <c r="F3223" s="66" t="s">
        <v>4178</v>
      </c>
      <c r="G3223" s="66" t="s">
        <v>247</v>
      </c>
    </row>
    <row r="3224" ht="22.5" customHeight="1">
      <c r="A3224" s="66" t="s">
        <v>4179</v>
      </c>
      <c r="B3224" s="67" t="str">
        <f t="shared" si="15"/>
        <v>M: refund</v>
      </c>
      <c r="C3224" s="68"/>
      <c r="D3224" s="68">
        <v>46072.0</v>
      </c>
      <c r="E3224" s="66">
        <v>10.0</v>
      </c>
      <c r="F3224" s="66" t="str">
        <f>IFERROR(__xludf.DUMMYFUNCTION("GOOGLETRANSLATE(A3224,""en"",""pt"")"),"reembolso")</f>
        <v>reembolso</v>
      </c>
      <c r="G3224" s="69"/>
    </row>
    <row r="3225" ht="22.5" customHeight="1">
      <c r="A3225" s="66" t="s">
        <v>1959</v>
      </c>
      <c r="B3225" s="67" t="str">
        <f t="shared" si="15"/>
        <v>M: leftover</v>
      </c>
      <c r="C3225" s="66">
        <v>2.0</v>
      </c>
      <c r="D3225" s="68">
        <v>46072.0</v>
      </c>
      <c r="E3225" s="66">
        <v>1.0</v>
      </c>
      <c r="F3225" s="66" t="s">
        <v>4180</v>
      </c>
      <c r="G3225" s="66" t="s">
        <v>247</v>
      </c>
    </row>
    <row r="3226" ht="22.5" customHeight="1">
      <c r="A3226" s="66" t="s">
        <v>1540</v>
      </c>
      <c r="B3226" s="67" t="str">
        <f t="shared" si="15"/>
        <v>M: easier</v>
      </c>
      <c r="C3226" s="66">
        <v>2.0</v>
      </c>
      <c r="D3226" s="68">
        <v>46072.0</v>
      </c>
      <c r="E3226" s="66">
        <v>2.0</v>
      </c>
      <c r="F3226" s="66" t="s">
        <v>4181</v>
      </c>
      <c r="G3226" s="66" t="s">
        <v>247</v>
      </c>
    </row>
    <row r="3227" ht="22.5" customHeight="1">
      <c r="A3227" s="66" t="s">
        <v>2532</v>
      </c>
      <c r="B3227" s="67" t="str">
        <f t="shared" si="15"/>
        <v>M: imply</v>
      </c>
      <c r="C3227" s="66">
        <v>2.0</v>
      </c>
      <c r="D3227" s="68">
        <v>46072.0</v>
      </c>
      <c r="E3227" s="66">
        <v>3.0</v>
      </c>
      <c r="F3227" s="66" t="s">
        <v>4182</v>
      </c>
      <c r="G3227" s="66" t="s">
        <v>247</v>
      </c>
    </row>
    <row r="3228" ht="22.5" customHeight="1">
      <c r="A3228" s="66" t="s">
        <v>2601</v>
      </c>
      <c r="B3228" s="67" t="str">
        <f t="shared" si="15"/>
        <v>M: to achieve</v>
      </c>
      <c r="C3228" s="66">
        <v>2.0</v>
      </c>
      <c r="D3228" s="68">
        <v>46072.0</v>
      </c>
      <c r="E3228" s="66">
        <v>4.0</v>
      </c>
      <c r="F3228" s="71" t="s">
        <v>4183</v>
      </c>
      <c r="G3228" s="66" t="s">
        <v>247</v>
      </c>
    </row>
    <row r="3229" ht="22.5" customHeight="1">
      <c r="A3229" s="66" t="s">
        <v>700</v>
      </c>
      <c r="B3229" s="67" t="str">
        <f t="shared" si="15"/>
        <v>M: get along</v>
      </c>
      <c r="C3229" s="66">
        <v>2.0</v>
      </c>
      <c r="D3229" s="68">
        <v>46072.0</v>
      </c>
      <c r="E3229" s="66">
        <v>5.0</v>
      </c>
      <c r="F3229" s="66" t="s">
        <v>4184</v>
      </c>
      <c r="G3229" s="66" t="s">
        <v>247</v>
      </c>
    </row>
    <row r="3230" ht="22.5" customHeight="1">
      <c r="A3230" s="66" t="s">
        <v>700</v>
      </c>
      <c r="B3230" s="67" t="str">
        <f t="shared" si="15"/>
        <v>M: get along</v>
      </c>
      <c r="C3230" s="66">
        <v>3.0</v>
      </c>
      <c r="D3230" s="68">
        <v>46072.0</v>
      </c>
      <c r="E3230" s="66">
        <v>6.0</v>
      </c>
      <c r="F3230" s="66" t="s">
        <v>4185</v>
      </c>
      <c r="G3230" s="66" t="s">
        <v>247</v>
      </c>
    </row>
    <row r="3231" ht="22.5" customHeight="1">
      <c r="A3231" s="66" t="s">
        <v>2596</v>
      </c>
      <c r="B3231" s="67" t="str">
        <f t="shared" si="15"/>
        <v>M: manageable</v>
      </c>
      <c r="C3231" s="66">
        <v>2.0</v>
      </c>
      <c r="D3231" s="68">
        <v>46072.0</v>
      </c>
      <c r="E3231" s="66">
        <v>7.0</v>
      </c>
      <c r="F3231" s="66" t="s">
        <v>4186</v>
      </c>
      <c r="G3231" s="66" t="s">
        <v>247</v>
      </c>
    </row>
    <row r="3232" ht="22.5" customHeight="1">
      <c r="A3232" s="66" t="s">
        <v>1685</v>
      </c>
      <c r="B3232" s="67" t="str">
        <f t="shared" si="15"/>
        <v>M: served</v>
      </c>
      <c r="C3232" s="66">
        <v>2.0</v>
      </c>
      <c r="D3232" s="68">
        <v>46073.0</v>
      </c>
      <c r="E3232" s="66">
        <v>8.0</v>
      </c>
      <c r="F3232" s="66" t="s">
        <v>4187</v>
      </c>
      <c r="G3232" s="66" t="s">
        <v>247</v>
      </c>
    </row>
    <row r="3233" ht="22.5" customHeight="1">
      <c r="A3233" s="66" t="s">
        <v>1685</v>
      </c>
      <c r="B3233" s="67" t="str">
        <f t="shared" si="15"/>
        <v>M: served</v>
      </c>
      <c r="C3233" s="66">
        <v>3.0</v>
      </c>
      <c r="D3233" s="68">
        <v>46073.0</v>
      </c>
      <c r="E3233" s="66">
        <v>9.0</v>
      </c>
      <c r="F3233" s="71" t="s">
        <v>4188</v>
      </c>
      <c r="G3233" s="66" t="s">
        <v>247</v>
      </c>
    </row>
    <row r="3234" ht="22.5" customHeight="1">
      <c r="A3234" s="66" t="s">
        <v>1685</v>
      </c>
      <c r="B3234" s="67" t="str">
        <f t="shared" si="15"/>
        <v>M: served</v>
      </c>
      <c r="C3234" s="66">
        <v>4.0</v>
      </c>
      <c r="D3234" s="68">
        <v>46073.0</v>
      </c>
      <c r="E3234" s="66">
        <v>10.0</v>
      </c>
      <c r="F3234" s="71" t="s">
        <v>4189</v>
      </c>
      <c r="G3234" s="66" t="s">
        <v>247</v>
      </c>
    </row>
    <row r="3235" ht="22.5" customHeight="1">
      <c r="A3235" s="66" t="s">
        <v>2447</v>
      </c>
      <c r="B3235" s="67" t="str">
        <f t="shared" si="15"/>
        <v>M: goes toward</v>
      </c>
      <c r="C3235" s="66">
        <v>2.0</v>
      </c>
      <c r="D3235" s="68">
        <v>46073.0</v>
      </c>
      <c r="E3235" s="66">
        <v>1.0</v>
      </c>
      <c r="F3235" s="66" t="str">
        <f>IFERROR(__xludf.DUMMYFUNCTION("GOOGLETRANSLATE(A3235,""en"",""pt"")"),"vai em direção a")</f>
        <v>vai em direção a</v>
      </c>
      <c r="G3235" s="66" t="s">
        <v>247</v>
      </c>
    </row>
    <row r="3236" ht="22.5" customHeight="1">
      <c r="A3236" s="66" t="s">
        <v>2323</v>
      </c>
      <c r="B3236" s="67" t="str">
        <f t="shared" si="15"/>
        <v>M: took care of it</v>
      </c>
      <c r="C3236" s="66">
        <v>2.0</v>
      </c>
      <c r="D3236" s="68">
        <v>46073.0</v>
      </c>
      <c r="E3236" s="66">
        <v>2.0</v>
      </c>
      <c r="F3236" s="66" t="s">
        <v>4190</v>
      </c>
      <c r="G3236" s="66" t="s">
        <v>247</v>
      </c>
    </row>
    <row r="3237" ht="22.5" customHeight="1">
      <c r="A3237" s="66" t="s">
        <v>2445</v>
      </c>
      <c r="B3237" s="67" t="str">
        <f t="shared" si="15"/>
        <v>M: interest</v>
      </c>
      <c r="C3237" s="66">
        <v>2.0</v>
      </c>
      <c r="D3237" s="68">
        <v>46073.0</v>
      </c>
      <c r="E3237" s="66">
        <v>3.0</v>
      </c>
      <c r="F3237" s="66" t="s">
        <v>4191</v>
      </c>
      <c r="G3237" s="66" t="s">
        <v>247</v>
      </c>
    </row>
    <row r="3238" ht="22.5" customHeight="1">
      <c r="A3238" s="66" t="s">
        <v>2445</v>
      </c>
      <c r="B3238" s="67" t="str">
        <f t="shared" si="15"/>
        <v>M: interest</v>
      </c>
      <c r="C3238" s="66">
        <v>3.0</v>
      </c>
      <c r="D3238" s="68">
        <v>46073.0</v>
      </c>
      <c r="E3238" s="66">
        <v>4.0</v>
      </c>
      <c r="F3238" s="71" t="s">
        <v>4192</v>
      </c>
      <c r="G3238" s="66" t="s">
        <v>247</v>
      </c>
    </row>
    <row r="3239" ht="22.5" customHeight="1">
      <c r="A3239" s="66" t="s">
        <v>2445</v>
      </c>
      <c r="B3239" s="67" t="str">
        <f t="shared" si="15"/>
        <v>M: interest</v>
      </c>
      <c r="C3239" s="66">
        <v>4.0</v>
      </c>
      <c r="D3239" s="68">
        <v>46073.0</v>
      </c>
      <c r="E3239" s="66">
        <v>5.0</v>
      </c>
      <c r="F3239" s="71" t="s">
        <v>4193</v>
      </c>
      <c r="G3239" s="66" t="s">
        <v>247</v>
      </c>
    </row>
    <row r="3240" ht="22.5" customHeight="1">
      <c r="A3240" s="66" t="s">
        <v>4194</v>
      </c>
      <c r="B3240" s="67" t="str">
        <f t="shared" si="15"/>
        <v>M: sparked</v>
      </c>
      <c r="C3240" s="68"/>
      <c r="D3240" s="68">
        <v>46073.0</v>
      </c>
      <c r="E3240" s="66">
        <v>6.0</v>
      </c>
      <c r="F3240" s="66" t="str">
        <f>IFERROR(__xludf.DUMMYFUNCTION("GOOGLETRANSLATE(A3240,""en"",""pt"")"),"desencadeou")</f>
        <v>desencadeou</v>
      </c>
      <c r="G3240" s="69"/>
    </row>
    <row r="3241" ht="22.5" customHeight="1">
      <c r="A3241" s="66" t="s">
        <v>4195</v>
      </c>
      <c r="B3241" s="67" t="str">
        <f t="shared" si="15"/>
        <v>M: ruling</v>
      </c>
      <c r="C3241" s="68"/>
      <c r="D3241" s="68">
        <v>46073.0</v>
      </c>
      <c r="E3241" s="66">
        <v>7.0</v>
      </c>
      <c r="F3241" s="66" t="str">
        <f>IFERROR(__xludf.DUMMYFUNCTION("GOOGLETRANSLATE(A3241,""en"",""pt"")"),"decisão")</f>
        <v>decisão</v>
      </c>
      <c r="G3241" s="69"/>
    </row>
    <row r="3242" ht="22.5" customHeight="1">
      <c r="A3242" s="66" t="s">
        <v>4196</v>
      </c>
      <c r="B3242" s="67" t="str">
        <f t="shared" si="15"/>
        <v>M: checking</v>
      </c>
      <c r="C3242" s="68"/>
      <c r="D3242" s="68">
        <v>46074.0</v>
      </c>
      <c r="E3242" s="66">
        <v>8.0</v>
      </c>
      <c r="F3242" s="66" t="str">
        <f>IFERROR(__xludf.DUMMYFUNCTION("GOOGLETRANSLATE(A3242,""en"",""pt"")"),"verificando")</f>
        <v>verificando</v>
      </c>
      <c r="G3242" s="69"/>
    </row>
    <row r="3243" ht="22.5" customHeight="1">
      <c r="A3243" s="66" t="s">
        <v>2570</v>
      </c>
      <c r="B3243" s="67" t="str">
        <f t="shared" si="15"/>
        <v>M: end up</v>
      </c>
      <c r="C3243" s="66">
        <v>2.0</v>
      </c>
      <c r="D3243" s="68">
        <v>46074.0</v>
      </c>
      <c r="E3243" s="66">
        <v>9.0</v>
      </c>
      <c r="F3243" s="71" t="s">
        <v>4197</v>
      </c>
      <c r="G3243" s="66" t="s">
        <v>247</v>
      </c>
    </row>
    <row r="3244" ht="22.5" customHeight="1">
      <c r="A3244" s="66" t="s">
        <v>2570</v>
      </c>
      <c r="B3244" s="67" t="str">
        <f t="shared" si="15"/>
        <v>M: end up</v>
      </c>
      <c r="C3244" s="66">
        <v>3.0</v>
      </c>
      <c r="D3244" s="68">
        <v>46074.0</v>
      </c>
      <c r="E3244" s="66">
        <v>10.0</v>
      </c>
      <c r="F3244" s="66" t="s">
        <v>4198</v>
      </c>
      <c r="G3244" s="66" t="s">
        <v>247</v>
      </c>
    </row>
    <row r="3245" ht="22.5" customHeight="1">
      <c r="A3245" s="66" t="s">
        <v>1670</v>
      </c>
      <c r="B3245" s="67" t="str">
        <f t="shared" si="15"/>
        <v>M: unbelievable</v>
      </c>
      <c r="C3245" s="68"/>
      <c r="D3245" s="68">
        <v>46074.0</v>
      </c>
      <c r="E3245" s="66">
        <v>1.0</v>
      </c>
      <c r="F3245" s="71" t="s">
        <v>4199</v>
      </c>
      <c r="G3245" s="66" t="s">
        <v>247</v>
      </c>
    </row>
    <row r="3246" ht="22.5" customHeight="1">
      <c r="A3246" s="66" t="s">
        <v>4200</v>
      </c>
      <c r="B3246" s="67" t="str">
        <f t="shared" si="15"/>
        <v>M: comeback</v>
      </c>
      <c r="C3246" s="68"/>
      <c r="D3246" s="68">
        <v>46074.0</v>
      </c>
      <c r="E3246" s="66">
        <v>2.0</v>
      </c>
      <c r="F3246" s="66" t="str">
        <f>IFERROR(__xludf.DUMMYFUNCTION("GOOGLETRANSLATE(A3246,""en"",""pt"")"),"voltar")</f>
        <v>voltar</v>
      </c>
      <c r="G3246" s="69"/>
    </row>
    <row r="3247" ht="22.5" customHeight="1">
      <c r="A3247" s="66" t="s">
        <v>4201</v>
      </c>
      <c r="B3247" s="67" t="str">
        <f t="shared" si="15"/>
        <v>M: achieved</v>
      </c>
      <c r="C3247" s="68"/>
      <c r="D3247" s="68">
        <v>46074.0</v>
      </c>
      <c r="E3247" s="66">
        <v>3.0</v>
      </c>
      <c r="F3247" s="66" t="str">
        <f>IFERROR(__xludf.DUMMYFUNCTION("GOOGLETRANSLATE(A3247,""en"",""pt"")"),"alcançou")</f>
        <v>alcançou</v>
      </c>
      <c r="G3247" s="69"/>
    </row>
    <row r="3248" ht="22.5" customHeight="1">
      <c r="A3248" s="66" t="s">
        <v>4202</v>
      </c>
      <c r="B3248" s="67" t="str">
        <f t="shared" si="15"/>
        <v>M: advertisement</v>
      </c>
      <c r="C3248" s="68"/>
      <c r="D3248" s="68">
        <v>46074.0</v>
      </c>
      <c r="E3248" s="66">
        <v>4.0</v>
      </c>
      <c r="F3248" s="66" t="str">
        <f>IFERROR(__xludf.DUMMYFUNCTION("GOOGLETRANSLATE(A3248,""en"",""pt"")"),"anúncio")</f>
        <v>anúncio</v>
      </c>
      <c r="G3248" s="69"/>
    </row>
    <row r="3249" ht="22.5" customHeight="1">
      <c r="A3249" s="66" t="s">
        <v>4203</v>
      </c>
      <c r="B3249" s="67" t="str">
        <f t="shared" si="15"/>
        <v>M: overlord</v>
      </c>
      <c r="C3249" s="68"/>
      <c r="D3249" s="68">
        <v>46074.0</v>
      </c>
      <c r="E3249" s="66">
        <v>5.0</v>
      </c>
      <c r="F3249" s="66" t="str">
        <f>IFERROR(__xludf.DUMMYFUNCTION("GOOGLETRANSLATE(A3249,""en"",""pt"")"),"senhor supremo")</f>
        <v>senhor supremo</v>
      </c>
      <c r="G3249" s="69"/>
    </row>
    <row r="3250" ht="22.5" customHeight="1">
      <c r="A3250" s="66" t="s">
        <v>4204</v>
      </c>
      <c r="B3250" s="67" t="str">
        <f t="shared" si="15"/>
        <v>M: commanded</v>
      </c>
      <c r="C3250" s="68"/>
      <c r="D3250" s="68">
        <v>46074.0</v>
      </c>
      <c r="E3250" s="66">
        <v>6.0</v>
      </c>
      <c r="F3250" s="66" t="str">
        <f>IFERROR(__xludf.DUMMYFUNCTION("GOOGLETRANSLATE(A3250,""en"",""pt"")"),"comandou")</f>
        <v>comandou</v>
      </c>
      <c r="G3250" s="69"/>
    </row>
    <row r="3251" ht="22.5" customHeight="1">
      <c r="A3251" s="66" t="s">
        <v>4205</v>
      </c>
      <c r="B3251" s="67" t="str">
        <f t="shared" si="15"/>
        <v>M: his</v>
      </c>
      <c r="C3251" s="68"/>
      <c r="D3251" s="68">
        <v>46074.0</v>
      </c>
      <c r="E3251" s="66">
        <v>7.0</v>
      </c>
      <c r="F3251" s="66" t="str">
        <f>IFERROR(__xludf.DUMMYFUNCTION("GOOGLETRANSLATE(A3251,""en"",""pt"")"),"dele")</f>
        <v>dele</v>
      </c>
      <c r="G3251" s="69"/>
    </row>
    <row r="3252" ht="22.5" customHeight="1">
      <c r="A3252" s="66" t="s">
        <v>4206</v>
      </c>
      <c r="B3252" s="67" t="str">
        <f t="shared" si="15"/>
        <v>M: constantly</v>
      </c>
      <c r="C3252" s="68"/>
      <c r="D3252" s="68">
        <v>46075.0</v>
      </c>
      <c r="E3252" s="66">
        <v>8.0</v>
      </c>
      <c r="F3252" s="66" t="str">
        <f>IFERROR(__xludf.DUMMYFUNCTION("GOOGLETRANSLATE(A3252,""en"",""pt"")"),"constantemente")</f>
        <v>constantemente</v>
      </c>
      <c r="G3252" s="69"/>
    </row>
    <row r="3253" ht="22.5" customHeight="1">
      <c r="A3253" s="66" t="s">
        <v>1384</v>
      </c>
      <c r="B3253" s="67" t="str">
        <f t="shared" si="15"/>
        <v>M: grim</v>
      </c>
      <c r="C3253" s="66">
        <v>2.0</v>
      </c>
      <c r="D3253" s="68">
        <v>46075.0</v>
      </c>
      <c r="E3253" s="66">
        <v>9.0</v>
      </c>
      <c r="F3253" s="66" t="s">
        <v>4207</v>
      </c>
      <c r="G3253" s="66" t="s">
        <v>247</v>
      </c>
    </row>
    <row r="3254" ht="22.5" customHeight="1">
      <c r="A3254" s="66" t="s">
        <v>1384</v>
      </c>
      <c r="B3254" s="67" t="str">
        <f t="shared" si="15"/>
        <v>M: grim</v>
      </c>
      <c r="C3254" s="66">
        <v>3.0</v>
      </c>
      <c r="D3254" s="68">
        <v>46075.0</v>
      </c>
      <c r="E3254" s="66">
        <v>10.0</v>
      </c>
      <c r="F3254" s="71" t="s">
        <v>4208</v>
      </c>
      <c r="G3254" s="66" t="s">
        <v>247</v>
      </c>
    </row>
    <row r="3255" ht="22.5" customHeight="1">
      <c r="A3255" s="66" t="s">
        <v>4209</v>
      </c>
      <c r="B3255" s="67" t="str">
        <f t="shared" si="15"/>
        <v>M: land</v>
      </c>
      <c r="C3255" s="68"/>
      <c r="D3255" s="68">
        <v>46075.0</v>
      </c>
      <c r="E3255" s="66">
        <v>1.0</v>
      </c>
      <c r="F3255" s="66" t="str">
        <f>IFERROR(__xludf.DUMMYFUNCTION("GOOGLETRANSLATE(A3255,""en"",""pt"")"),"terra")</f>
        <v>terra</v>
      </c>
      <c r="G3255" s="69"/>
    </row>
    <row r="3256" ht="22.5" customHeight="1">
      <c r="A3256" s="66" t="s">
        <v>4210</v>
      </c>
      <c r="B3256" s="67" t="str">
        <f t="shared" si="15"/>
        <v>M: sculpt</v>
      </c>
      <c r="C3256" s="68"/>
      <c r="D3256" s="68">
        <v>46075.0</v>
      </c>
      <c r="E3256" s="66">
        <v>2.0</v>
      </c>
      <c r="F3256" s="66" t="str">
        <f>IFERROR(__xludf.DUMMYFUNCTION("GOOGLETRANSLATE(A3256,""en"",""pt"")"),"esculpir")</f>
        <v>esculpir</v>
      </c>
      <c r="G3256" s="69"/>
    </row>
    <row r="3257" ht="22.5" customHeight="1">
      <c r="A3257" s="66" t="s">
        <v>1831</v>
      </c>
      <c r="B3257" s="67" t="str">
        <f t="shared" si="15"/>
        <v>M: hallway's</v>
      </c>
      <c r="C3257" s="66">
        <v>2.0</v>
      </c>
      <c r="D3257" s="68">
        <v>46075.0</v>
      </c>
      <c r="E3257" s="66">
        <v>3.0</v>
      </c>
      <c r="F3257" s="66" t="s">
        <v>4211</v>
      </c>
      <c r="G3257" s="66" t="s">
        <v>247</v>
      </c>
    </row>
    <row r="3258" ht="22.5" customHeight="1">
      <c r="A3258" s="66" t="s">
        <v>3815</v>
      </c>
      <c r="B3258" s="67" t="str">
        <f t="shared" si="15"/>
        <v>M: slippery</v>
      </c>
      <c r="C3258" s="68"/>
      <c r="D3258" s="68">
        <v>46075.0</v>
      </c>
      <c r="E3258" s="66">
        <v>4.0</v>
      </c>
      <c r="F3258" s="66" t="str">
        <f>IFERROR(__xludf.DUMMYFUNCTION("GOOGLETRANSLATE(A3258,""en"",""pt"")"),"escorregadio")</f>
        <v>escorregadio</v>
      </c>
      <c r="G3258" s="69"/>
    </row>
    <row r="3259" ht="22.5" customHeight="1">
      <c r="A3259" s="66" t="s">
        <v>2425</v>
      </c>
      <c r="B3259" s="67" t="str">
        <f t="shared" si="15"/>
        <v>M: thumbprint</v>
      </c>
      <c r="C3259" s="66">
        <v>2.0</v>
      </c>
      <c r="D3259" s="68">
        <v>46075.0</v>
      </c>
      <c r="E3259" s="66">
        <v>5.0</v>
      </c>
      <c r="F3259" s="71" t="s">
        <v>4212</v>
      </c>
      <c r="G3259" s="66" t="s">
        <v>247</v>
      </c>
    </row>
    <row r="3260" ht="22.5" customHeight="1">
      <c r="A3260" s="66" t="s">
        <v>393</v>
      </c>
      <c r="B3260" s="67" t="str">
        <f t="shared" si="15"/>
        <v>M: confidence</v>
      </c>
      <c r="C3260" s="66">
        <v>2.0</v>
      </c>
      <c r="D3260" s="68">
        <v>46075.0</v>
      </c>
      <c r="E3260" s="66">
        <v>6.0</v>
      </c>
      <c r="F3260" s="71" t="s">
        <v>4213</v>
      </c>
      <c r="G3260" s="66" t="s">
        <v>247</v>
      </c>
    </row>
    <row r="3261" ht="22.5" customHeight="1">
      <c r="A3261" s="66" t="s">
        <v>393</v>
      </c>
      <c r="B3261" s="67" t="str">
        <f t="shared" si="15"/>
        <v>M: confidence</v>
      </c>
      <c r="C3261" s="66">
        <v>3.0</v>
      </c>
      <c r="D3261" s="68">
        <v>46075.0</v>
      </c>
      <c r="E3261" s="66">
        <v>7.0</v>
      </c>
      <c r="F3261" s="66" t="s">
        <v>4214</v>
      </c>
      <c r="G3261" s="66" t="s">
        <v>247</v>
      </c>
    </row>
    <row r="3262" ht="22.5" customHeight="1">
      <c r="A3262" s="66" t="s">
        <v>4215</v>
      </c>
      <c r="B3262" s="67" t="str">
        <f t="shared" si="15"/>
        <v>M: during</v>
      </c>
      <c r="C3262" s="68"/>
      <c r="D3262" s="68">
        <v>46076.0</v>
      </c>
      <c r="E3262" s="66">
        <v>8.0</v>
      </c>
      <c r="F3262" s="66" t="str">
        <f>IFERROR(__xludf.DUMMYFUNCTION("GOOGLETRANSLATE(A3262,""en"",""pt"")"),"durante")</f>
        <v>durante</v>
      </c>
      <c r="G3262" s="69"/>
    </row>
    <row r="3263" ht="22.5" customHeight="1">
      <c r="A3263" s="66" t="s">
        <v>4216</v>
      </c>
      <c r="B3263" s="67" t="str">
        <f t="shared" si="15"/>
        <v>M: prevents</v>
      </c>
      <c r="C3263" s="68"/>
      <c r="D3263" s="68">
        <v>46076.0</v>
      </c>
      <c r="E3263" s="66">
        <v>9.0</v>
      </c>
      <c r="F3263" s="66" t="str">
        <f>IFERROR(__xludf.DUMMYFUNCTION("GOOGLETRANSLATE(A3263,""en"",""pt"")"),"previne")</f>
        <v>previne</v>
      </c>
      <c r="G3263" s="69"/>
    </row>
    <row r="3264" ht="22.5" customHeight="1">
      <c r="A3264" s="66" t="s">
        <v>4217</v>
      </c>
      <c r="B3264" s="67" t="str">
        <f t="shared" si="15"/>
        <v>M: pottery</v>
      </c>
      <c r="C3264" s="68"/>
      <c r="D3264" s="68">
        <v>46076.0</v>
      </c>
      <c r="E3264" s="66">
        <v>10.0</v>
      </c>
      <c r="F3264" s="66" t="str">
        <f>IFERROR(__xludf.DUMMYFUNCTION("GOOGLETRANSLATE(A3264,""en"",""pt"")"),"cerâmica")</f>
        <v>cerâmica</v>
      </c>
      <c r="G3264" s="69"/>
    </row>
    <row r="3265" ht="22.5" customHeight="1">
      <c r="A3265" s="66" t="s">
        <v>4218</v>
      </c>
      <c r="B3265" s="67" t="str">
        <f t="shared" si="15"/>
        <v>M: overnight</v>
      </c>
      <c r="C3265" s="68"/>
      <c r="D3265" s="68">
        <v>46076.0</v>
      </c>
      <c r="E3265" s="66">
        <v>1.0</v>
      </c>
      <c r="F3265" s="66" t="str">
        <f>IFERROR(__xludf.DUMMYFUNCTION("GOOGLETRANSLATE(A3265,""en"",""pt"")"),"durante a noite")</f>
        <v>durante a noite</v>
      </c>
      <c r="G3265" s="69"/>
    </row>
    <row r="3266" ht="22.5" customHeight="1">
      <c r="A3266" s="66" t="s">
        <v>4219</v>
      </c>
      <c r="B3266" s="67" t="str">
        <f t="shared" si="15"/>
        <v>M: bricks</v>
      </c>
      <c r="C3266" s="68"/>
      <c r="D3266" s="68">
        <v>46076.0</v>
      </c>
      <c r="E3266" s="66">
        <v>2.0</v>
      </c>
      <c r="F3266" s="66" t="str">
        <f>IFERROR(__xludf.DUMMYFUNCTION("GOOGLETRANSLATE(A3266,""en"",""pt"")"),"tijolos")</f>
        <v>tijolos</v>
      </c>
      <c r="G3266" s="69"/>
    </row>
    <row r="3267" ht="22.5" customHeight="1">
      <c r="A3267" s="66" t="s">
        <v>4220</v>
      </c>
      <c r="B3267" s="67" t="str">
        <f t="shared" si="15"/>
        <v>M: trace</v>
      </c>
      <c r="C3267" s="68"/>
      <c r="D3267" s="68">
        <v>46076.0</v>
      </c>
      <c r="E3267" s="66">
        <v>3.0</v>
      </c>
      <c r="F3267" s="66" t="str">
        <f>IFERROR(__xludf.DUMMYFUNCTION("GOOGLETRANSLATE(A3267,""en"",""pt"")"),"traço")</f>
        <v>traço</v>
      </c>
      <c r="G3267" s="69"/>
    </row>
    <row r="3268" ht="22.5" customHeight="1">
      <c r="A3268" s="66" t="s">
        <v>2008</v>
      </c>
      <c r="B3268" s="67" t="str">
        <f t="shared" si="15"/>
        <v>M: flaunting</v>
      </c>
      <c r="C3268" s="66">
        <v>2.0</v>
      </c>
      <c r="D3268" s="68">
        <v>46076.0</v>
      </c>
      <c r="E3268" s="66">
        <v>4.0</v>
      </c>
      <c r="F3268" s="66" t="s">
        <v>4221</v>
      </c>
      <c r="G3268" s="66" t="s">
        <v>247</v>
      </c>
    </row>
    <row r="3269" ht="22.5" customHeight="1">
      <c r="A3269" s="66" t="s">
        <v>2117</v>
      </c>
      <c r="B3269" s="67" t="str">
        <f t="shared" si="15"/>
        <v>M: overused</v>
      </c>
      <c r="C3269" s="66">
        <v>2.0</v>
      </c>
      <c r="D3269" s="68">
        <v>46076.0</v>
      </c>
      <c r="E3269" s="66">
        <v>5.0</v>
      </c>
      <c r="F3269" s="66" t="s">
        <v>4222</v>
      </c>
      <c r="G3269" s="66" t="s">
        <v>247</v>
      </c>
    </row>
    <row r="3270" ht="22.5" customHeight="1">
      <c r="A3270" s="66" t="s">
        <v>4223</v>
      </c>
      <c r="B3270" s="67" t="str">
        <f t="shared" si="15"/>
        <v>M: severely</v>
      </c>
      <c r="C3270" s="68"/>
      <c r="D3270" s="68">
        <v>46076.0</v>
      </c>
      <c r="E3270" s="66">
        <v>6.0</v>
      </c>
      <c r="F3270" s="66" t="str">
        <f>IFERROR(__xludf.DUMMYFUNCTION("GOOGLETRANSLATE(A3270,""en"",""pt"")"),"severamente")</f>
        <v>severamente</v>
      </c>
      <c r="G3270" s="69"/>
    </row>
    <row r="3271" ht="22.5" customHeight="1">
      <c r="A3271" s="66" t="s">
        <v>4224</v>
      </c>
      <c r="B3271" s="67" t="str">
        <f t="shared" si="15"/>
        <v>M: avoided</v>
      </c>
      <c r="C3271" s="68"/>
      <c r="D3271" s="68">
        <v>46076.0</v>
      </c>
      <c r="E3271" s="66">
        <v>7.0</v>
      </c>
      <c r="F3271" s="66" t="str">
        <f>IFERROR(__xludf.DUMMYFUNCTION("GOOGLETRANSLATE(A3271,""en"",""pt"")"),"evitado")</f>
        <v>evitado</v>
      </c>
      <c r="G3271" s="69"/>
    </row>
    <row r="3272" ht="22.5" customHeight="1">
      <c r="A3272" s="66" t="s">
        <v>4225</v>
      </c>
      <c r="B3272" s="67" t="str">
        <f t="shared" si="15"/>
        <v>M: outdated</v>
      </c>
      <c r="C3272" s="68"/>
      <c r="D3272" s="68">
        <v>46077.0</v>
      </c>
      <c r="E3272" s="66">
        <v>8.0</v>
      </c>
      <c r="F3272" s="66" t="str">
        <f>IFERROR(__xludf.DUMMYFUNCTION("GOOGLETRANSLATE(A3272,""en"",""pt"")"),"desatualizado")</f>
        <v>desatualizado</v>
      </c>
      <c r="G3272" s="69"/>
    </row>
    <row r="3273" ht="22.5" customHeight="1">
      <c r="A3273" s="66" t="s">
        <v>2538</v>
      </c>
      <c r="B3273" s="67" t="str">
        <f t="shared" si="15"/>
        <v>M: contain</v>
      </c>
      <c r="C3273" s="66">
        <v>2.0</v>
      </c>
      <c r="D3273" s="68">
        <v>46077.0</v>
      </c>
      <c r="E3273" s="66">
        <v>9.0</v>
      </c>
      <c r="F3273" s="66" t="s">
        <v>4226</v>
      </c>
      <c r="G3273" s="66" t="s">
        <v>247</v>
      </c>
    </row>
    <row r="3274" ht="22.5" customHeight="1">
      <c r="A3274" s="66" t="s">
        <v>4227</v>
      </c>
      <c r="B3274" s="67" t="str">
        <f t="shared" si="15"/>
        <v>M: spread</v>
      </c>
      <c r="C3274" s="68"/>
      <c r="D3274" s="68">
        <v>46077.0</v>
      </c>
      <c r="E3274" s="66">
        <v>10.0</v>
      </c>
      <c r="F3274" s="66" t="str">
        <f>IFERROR(__xludf.DUMMYFUNCTION("GOOGLETRANSLATE(A3274,""en"",""pt"")"),"espalhar")</f>
        <v>espalhar</v>
      </c>
      <c r="G3274" s="69"/>
    </row>
    <row r="3275" ht="22.5" customHeight="1">
      <c r="A3275" s="66" t="s">
        <v>4228</v>
      </c>
      <c r="B3275" s="67" t="str">
        <f t="shared" si="15"/>
        <v>M: firewall</v>
      </c>
      <c r="C3275" s="68"/>
      <c r="D3275" s="68">
        <v>46077.0</v>
      </c>
      <c r="E3275" s="66">
        <v>1.0</v>
      </c>
      <c r="F3275" s="66" t="str">
        <f>IFERROR(__xludf.DUMMYFUNCTION("GOOGLETRANSLATE(A3275,""en"",""pt"")"),"firewall")</f>
        <v>firewall</v>
      </c>
      <c r="G3275" s="69"/>
    </row>
    <row r="3276" ht="22.5" customHeight="1">
      <c r="A3276" s="66" t="s">
        <v>4229</v>
      </c>
      <c r="B3276" s="67" t="str">
        <f t="shared" si="15"/>
        <v>M: threats</v>
      </c>
      <c r="C3276" s="68"/>
      <c r="D3276" s="68">
        <v>46077.0</v>
      </c>
      <c r="E3276" s="66">
        <v>2.0</v>
      </c>
      <c r="F3276" s="66" t="str">
        <f>IFERROR(__xludf.DUMMYFUNCTION("GOOGLETRANSLATE(A3276,""en"",""pt"")"),"ameaças")</f>
        <v>ameaças</v>
      </c>
      <c r="G3276" s="69"/>
    </row>
    <row r="3277" ht="22.5" customHeight="1">
      <c r="A3277" s="66" t="s">
        <v>2685</v>
      </c>
      <c r="B3277" s="67" t="str">
        <f t="shared" si="15"/>
        <v>M: descriptive</v>
      </c>
      <c r="C3277" s="66">
        <v>2.0</v>
      </c>
      <c r="D3277" s="68">
        <v>46077.0</v>
      </c>
      <c r="E3277" s="66">
        <v>3.0</v>
      </c>
      <c r="F3277" s="66" t="s">
        <v>4230</v>
      </c>
      <c r="G3277" s="66" t="s">
        <v>247</v>
      </c>
    </row>
    <row r="3278" ht="22.5" customHeight="1">
      <c r="A3278" s="66" t="s">
        <v>1442</v>
      </c>
      <c r="B3278" s="67" t="str">
        <f t="shared" si="15"/>
        <v>M: bound</v>
      </c>
      <c r="C3278" s="66">
        <v>2.0</v>
      </c>
      <c r="D3278" s="68">
        <v>46077.0</v>
      </c>
      <c r="E3278" s="66">
        <v>4.0</v>
      </c>
      <c r="F3278" s="66" t="s">
        <v>4231</v>
      </c>
      <c r="G3278" s="66" t="s">
        <v>247</v>
      </c>
    </row>
    <row r="3279" ht="22.5" customHeight="1">
      <c r="A3279" s="66" t="s">
        <v>1442</v>
      </c>
      <c r="B3279" s="67" t="str">
        <f t="shared" si="15"/>
        <v>M: bound</v>
      </c>
      <c r="C3279" s="66">
        <v>3.0</v>
      </c>
      <c r="D3279" s="68">
        <v>46077.0</v>
      </c>
      <c r="E3279" s="66">
        <v>5.0</v>
      </c>
      <c r="F3279" s="66" t="s">
        <v>4232</v>
      </c>
      <c r="G3279" s="66" t="s">
        <v>247</v>
      </c>
    </row>
    <row r="3280" ht="22.5" customHeight="1">
      <c r="A3280" s="66" t="s">
        <v>2681</v>
      </c>
      <c r="B3280" s="67" t="str">
        <f t="shared" si="15"/>
        <v>M: reusable</v>
      </c>
      <c r="C3280" s="66">
        <v>2.0</v>
      </c>
      <c r="D3280" s="68">
        <v>46077.0</v>
      </c>
      <c r="E3280" s="66">
        <v>6.0</v>
      </c>
      <c r="F3280" s="66" t="s">
        <v>4233</v>
      </c>
      <c r="G3280" s="66" t="s">
        <v>247</v>
      </c>
    </row>
    <row r="3281" ht="22.5" customHeight="1">
      <c r="A3281" s="66" t="s">
        <v>4234</v>
      </c>
      <c r="B3281" s="67" t="str">
        <f t="shared" si="15"/>
        <v>M: switched</v>
      </c>
      <c r="C3281" s="68"/>
      <c r="D3281" s="68">
        <v>46077.0</v>
      </c>
      <c r="E3281" s="66">
        <v>7.0</v>
      </c>
      <c r="F3281" s="66" t="str">
        <f>IFERROR(__xludf.DUMMYFUNCTION("GOOGLETRANSLATE(A3281,""en"",""pt"")"),"comutado")</f>
        <v>comutado</v>
      </c>
      <c r="G3281" s="69"/>
    </row>
    <row r="3282" ht="22.5" customHeight="1">
      <c r="A3282" s="66" t="s">
        <v>2196</v>
      </c>
      <c r="B3282" s="67" t="str">
        <f t="shared" si="15"/>
        <v>M: so that</v>
      </c>
      <c r="C3282" s="66">
        <v>2.0</v>
      </c>
      <c r="D3282" s="68">
        <v>46078.0</v>
      </c>
      <c r="E3282" s="66">
        <v>8.0</v>
      </c>
      <c r="F3282" s="66" t="s">
        <v>4235</v>
      </c>
      <c r="G3282" s="66" t="s">
        <v>247</v>
      </c>
    </row>
    <row r="3283" ht="22.5" customHeight="1">
      <c r="A3283" s="66" t="s">
        <v>1200</v>
      </c>
      <c r="B3283" s="67" t="str">
        <f t="shared" si="15"/>
        <v>M: morons</v>
      </c>
      <c r="C3283" s="66">
        <v>2.0</v>
      </c>
      <c r="D3283" s="68">
        <v>46078.0</v>
      </c>
      <c r="E3283" s="66">
        <v>9.0</v>
      </c>
      <c r="F3283" s="66" t="s">
        <v>4236</v>
      </c>
      <c r="G3283" s="66" t="s">
        <v>247</v>
      </c>
    </row>
    <row r="3284" ht="22.5" customHeight="1">
      <c r="A3284" s="66" t="s">
        <v>4237</v>
      </c>
      <c r="B3284" s="67" t="str">
        <f t="shared" si="15"/>
        <v>M: impatient</v>
      </c>
      <c r="C3284" s="68"/>
      <c r="D3284" s="68">
        <v>46078.0</v>
      </c>
      <c r="E3284" s="66">
        <v>10.0</v>
      </c>
      <c r="F3284" s="66" t="str">
        <f>IFERROR(__xludf.DUMMYFUNCTION("GOOGLETRANSLATE(A3284,""en"",""pt"")"),"impaciente")</f>
        <v>impaciente</v>
      </c>
      <c r="G3284" s="69"/>
    </row>
    <row r="3285" ht="22.5" customHeight="1">
      <c r="A3285" s="66" t="s">
        <v>4238</v>
      </c>
      <c r="B3285" s="67" t="str">
        <f t="shared" si="15"/>
        <v>M: middle</v>
      </c>
      <c r="C3285" s="68"/>
      <c r="D3285" s="68">
        <v>46078.0</v>
      </c>
      <c r="E3285" s="66">
        <v>1.0</v>
      </c>
      <c r="F3285" s="66" t="str">
        <f>IFERROR(__xludf.DUMMYFUNCTION("GOOGLETRANSLATE(A3285,""en"",""pt"")"),"meio")</f>
        <v>meio</v>
      </c>
      <c r="G3285" s="69"/>
    </row>
    <row r="3286" ht="22.5" customHeight="1">
      <c r="A3286" s="66" t="s">
        <v>4239</v>
      </c>
      <c r="B3286" s="67" t="str">
        <f t="shared" si="15"/>
        <v>M: lane</v>
      </c>
      <c r="C3286" s="68"/>
      <c r="D3286" s="68">
        <v>46078.0</v>
      </c>
      <c r="E3286" s="66">
        <v>2.0</v>
      </c>
      <c r="F3286" s="66" t="str">
        <f>IFERROR(__xludf.DUMMYFUNCTION("GOOGLETRANSLATE(A3286,""en"",""pt"")"),"faixa")</f>
        <v>faixa</v>
      </c>
      <c r="G3286" s="69"/>
    </row>
    <row r="3287" ht="22.5" customHeight="1">
      <c r="A3287" s="66" t="s">
        <v>4240</v>
      </c>
      <c r="B3287" s="67" t="str">
        <f t="shared" si="15"/>
        <v>M: laughing</v>
      </c>
      <c r="C3287" s="68"/>
      <c r="D3287" s="68">
        <v>46078.0</v>
      </c>
      <c r="E3287" s="66">
        <v>3.0</v>
      </c>
      <c r="F3287" s="66" t="str">
        <f>IFERROR(__xludf.DUMMYFUNCTION("GOOGLETRANSLATE(A3287,""en"",""pt"")"),"rindo")</f>
        <v>rindo</v>
      </c>
      <c r="G3287" s="69"/>
    </row>
    <row r="3288" ht="22.5" customHeight="1">
      <c r="A3288" s="66" t="s">
        <v>4241</v>
      </c>
      <c r="B3288" s="67" t="str">
        <f t="shared" si="15"/>
        <v>M: everything</v>
      </c>
      <c r="C3288" s="68"/>
      <c r="D3288" s="68">
        <v>46078.0</v>
      </c>
      <c r="E3288" s="66">
        <v>4.0</v>
      </c>
      <c r="F3288" s="66" t="str">
        <f>IFERROR(__xludf.DUMMYFUNCTION("GOOGLETRANSLATE(A3288,""en"",""pt"")"),"tudo")</f>
        <v>tudo</v>
      </c>
      <c r="G3288" s="69"/>
    </row>
    <row r="3289" ht="22.5" customHeight="1">
      <c r="A3289" s="66" t="s">
        <v>4242</v>
      </c>
      <c r="B3289" s="67" t="str">
        <f t="shared" si="15"/>
        <v>M: at</v>
      </c>
      <c r="C3289" s="68"/>
      <c r="D3289" s="68">
        <v>46078.0</v>
      </c>
      <c r="E3289" s="66">
        <v>5.0</v>
      </c>
      <c r="F3289" s="66" t="str">
        <f>IFERROR(__xludf.DUMMYFUNCTION("GOOGLETRANSLATE(A3289,""en"",""pt"")"),"no")</f>
        <v>no</v>
      </c>
      <c r="G3289" s="69"/>
    </row>
    <row r="3290" ht="22.5" customHeight="1">
      <c r="A3290" s="66" t="s">
        <v>970</v>
      </c>
      <c r="B3290" s="67" t="str">
        <f t="shared" si="15"/>
        <v>M: hangers</v>
      </c>
      <c r="C3290" s="66">
        <v>2.0</v>
      </c>
      <c r="D3290" s="68">
        <v>46078.0</v>
      </c>
      <c r="E3290" s="66">
        <v>6.0</v>
      </c>
      <c r="F3290" s="66" t="s">
        <v>4243</v>
      </c>
      <c r="G3290" s="66" t="s">
        <v>247</v>
      </c>
    </row>
    <row r="3291" ht="22.5" customHeight="1">
      <c r="A3291" s="66" t="s">
        <v>4244</v>
      </c>
      <c r="B3291" s="67" t="str">
        <f t="shared" si="15"/>
        <v>M: suits</v>
      </c>
      <c r="C3291" s="68"/>
      <c r="D3291" s="68">
        <v>46078.0</v>
      </c>
      <c r="E3291" s="66">
        <v>7.0</v>
      </c>
      <c r="F3291" s="66" t="str">
        <f>IFERROR(__xludf.DUMMYFUNCTION("GOOGLETRANSLATE(A3291,""en"",""pt"")"),"se adequa")</f>
        <v>se adequa</v>
      </c>
      <c r="G3291" s="69"/>
    </row>
    <row r="3292" ht="22.5" customHeight="1">
      <c r="A3292" s="66" t="s">
        <v>4245</v>
      </c>
      <c r="B3292" s="67" t="str">
        <f t="shared" si="15"/>
        <v>M: deck</v>
      </c>
      <c r="C3292" s="68"/>
      <c r="D3292" s="68">
        <v>46079.0</v>
      </c>
      <c r="E3292" s="66">
        <v>8.0</v>
      </c>
      <c r="F3292" s="66" t="str">
        <f>IFERROR(__xludf.DUMMYFUNCTION("GOOGLETRANSLATE(A3292,""en"",""pt"")"),"deck")</f>
        <v>deck</v>
      </c>
      <c r="G3292" s="69"/>
    </row>
    <row r="3293" ht="22.5" customHeight="1">
      <c r="A3293" s="66" t="s">
        <v>4246</v>
      </c>
      <c r="B3293" s="67" t="str">
        <f t="shared" si="15"/>
        <v>M: tiles</v>
      </c>
      <c r="C3293" s="68"/>
      <c r="D3293" s="68">
        <v>46079.0</v>
      </c>
      <c r="E3293" s="66">
        <v>9.0</v>
      </c>
      <c r="F3293" s="66" t="str">
        <f>IFERROR(__xludf.DUMMYFUNCTION("GOOGLETRANSLATE(A3293,""en"",""pt"")"),"azulejos")</f>
        <v>azulejos</v>
      </c>
      <c r="G3293" s="69"/>
    </row>
    <row r="3294" ht="22.5" customHeight="1">
      <c r="A3294" s="66" t="s">
        <v>2279</v>
      </c>
      <c r="B3294" s="67" t="str">
        <f t="shared" si="15"/>
        <v>M: overlooking</v>
      </c>
      <c r="C3294" s="68"/>
      <c r="D3294" s="68">
        <v>46079.0</v>
      </c>
      <c r="E3294" s="66">
        <v>10.0</v>
      </c>
      <c r="F3294" s="66" t="s">
        <v>4247</v>
      </c>
      <c r="G3294" s="66" t="s">
        <v>247</v>
      </c>
    </row>
    <row r="3295" ht="22.5" customHeight="1">
      <c r="A3295" s="66" t="s">
        <v>2279</v>
      </c>
      <c r="B3295" s="67" t="str">
        <f t="shared" si="15"/>
        <v>M: overlooking</v>
      </c>
      <c r="C3295" s="68"/>
      <c r="D3295" s="68">
        <v>46079.0</v>
      </c>
      <c r="E3295" s="66">
        <v>1.0</v>
      </c>
      <c r="F3295" s="66" t="s">
        <v>4248</v>
      </c>
      <c r="G3295" s="66" t="s">
        <v>247</v>
      </c>
    </row>
    <row r="3296" ht="22.5" customHeight="1">
      <c r="A3296" s="66" t="s">
        <v>4249</v>
      </c>
      <c r="B3296" s="67" t="str">
        <f t="shared" si="15"/>
        <v>M: park</v>
      </c>
      <c r="C3296" s="68"/>
      <c r="D3296" s="68">
        <v>46079.0</v>
      </c>
      <c r="E3296" s="66">
        <v>2.0</v>
      </c>
      <c r="F3296" s="66" t="str">
        <f>IFERROR(__xludf.DUMMYFUNCTION("GOOGLETRANSLATE(A3296,""en"",""pt"")"),"parque")</f>
        <v>parque</v>
      </c>
      <c r="G3296" s="69"/>
    </row>
    <row r="3297" ht="22.5" customHeight="1">
      <c r="A3297" s="66" t="s">
        <v>4250</v>
      </c>
      <c r="B3297" s="67" t="str">
        <f t="shared" si="15"/>
        <v>M: phase</v>
      </c>
      <c r="C3297" s="68"/>
      <c r="D3297" s="68">
        <v>46079.0</v>
      </c>
      <c r="E3297" s="66">
        <v>3.0</v>
      </c>
      <c r="F3297" s="66" t="str">
        <f>IFERROR(__xludf.DUMMYFUNCTION("GOOGLETRANSLATE(A3297,""en"",""pt"")"),"fase")</f>
        <v>fase</v>
      </c>
      <c r="G3297" s="69"/>
    </row>
    <row r="3298" ht="22.5" customHeight="1">
      <c r="A3298" s="66" t="s">
        <v>1883</v>
      </c>
      <c r="B3298" s="67" t="str">
        <f t="shared" si="15"/>
        <v>M: fooled</v>
      </c>
      <c r="C3298" s="66">
        <v>2.0</v>
      </c>
      <c r="D3298" s="68">
        <v>46079.0</v>
      </c>
      <c r="E3298" s="66">
        <v>4.0</v>
      </c>
      <c r="F3298" s="66" t="s">
        <v>4251</v>
      </c>
      <c r="G3298" s="66" t="s">
        <v>247</v>
      </c>
    </row>
    <row r="3299" ht="22.5" customHeight="1">
      <c r="A3299" s="66" t="s">
        <v>4252</v>
      </c>
      <c r="B3299" s="67" t="str">
        <f t="shared" si="15"/>
        <v>M: convincing</v>
      </c>
      <c r="C3299" s="68"/>
      <c r="D3299" s="68">
        <v>46079.0</v>
      </c>
      <c r="E3299" s="66">
        <v>5.0</v>
      </c>
      <c r="F3299" s="66" t="str">
        <f>IFERROR(__xludf.DUMMYFUNCTION("GOOGLETRANSLATE(A3299,""en"",""pt"")"),"convincente")</f>
        <v>convincente</v>
      </c>
      <c r="G3299" s="69"/>
    </row>
    <row r="3300" ht="22.5" customHeight="1">
      <c r="A3300" s="66" t="s">
        <v>4253</v>
      </c>
      <c r="B3300" s="67" t="str">
        <f t="shared" si="15"/>
        <v>M: lie</v>
      </c>
      <c r="C3300" s="68"/>
      <c r="D3300" s="68">
        <v>46079.0</v>
      </c>
      <c r="E3300" s="66">
        <v>6.0</v>
      </c>
      <c r="F3300" s="66" t="str">
        <f>IFERROR(__xludf.DUMMYFUNCTION("GOOGLETRANSLATE(A3300,""en"",""pt"")"),"mentira")</f>
        <v>mentira</v>
      </c>
      <c r="G3300" s="69"/>
    </row>
    <row r="3301" ht="22.5" customHeight="1">
      <c r="A3301" s="66" t="s">
        <v>4254</v>
      </c>
      <c r="B3301" s="67" t="str">
        <f t="shared" si="15"/>
        <v>M: trick</v>
      </c>
      <c r="C3301" s="68"/>
      <c r="D3301" s="68">
        <v>46079.0</v>
      </c>
      <c r="E3301" s="66">
        <v>7.0</v>
      </c>
      <c r="F3301" s="66" t="str">
        <f>IFERROR(__xludf.DUMMYFUNCTION("GOOGLETRANSLATE(A3301,""en"",""pt"")"),"truque")</f>
        <v>truque</v>
      </c>
      <c r="G3301" s="69"/>
    </row>
    <row r="3302" ht="22.5" customHeight="1">
      <c r="A3302" s="66" t="s">
        <v>4255</v>
      </c>
      <c r="B3302" s="67" t="str">
        <f t="shared" si="15"/>
        <v>M: playground</v>
      </c>
      <c r="C3302" s="68"/>
      <c r="D3302" s="68">
        <v>46080.0</v>
      </c>
      <c r="E3302" s="66">
        <v>8.0</v>
      </c>
      <c r="F3302" s="66" t="str">
        <f>IFERROR(__xludf.DUMMYFUNCTION("GOOGLETRANSLATE(A3302,""en"",""pt"")"),"parque infantil")</f>
        <v>parque infantil</v>
      </c>
      <c r="G3302" s="69"/>
    </row>
    <row r="3303" ht="22.5" customHeight="1">
      <c r="A3303" s="66" t="s">
        <v>1918</v>
      </c>
      <c r="B3303" s="67" t="str">
        <f t="shared" si="15"/>
        <v>M: unreal</v>
      </c>
      <c r="C3303" s="68"/>
      <c r="D3303" s="68">
        <v>46080.0</v>
      </c>
      <c r="E3303" s="66">
        <v>9.0</v>
      </c>
      <c r="F3303" s="66" t="s">
        <v>4256</v>
      </c>
      <c r="G3303" s="66">
        <v>2.0</v>
      </c>
    </row>
    <row r="3304" ht="22.5" customHeight="1">
      <c r="A3304" s="66" t="s">
        <v>2795</v>
      </c>
      <c r="B3304" s="67" t="str">
        <f t="shared" si="15"/>
        <v>M: going up</v>
      </c>
      <c r="C3304" s="68"/>
      <c r="D3304" s="68">
        <v>46080.0</v>
      </c>
      <c r="E3304" s="66">
        <v>10.0</v>
      </c>
      <c r="F3304" s="71" t="s">
        <v>4257</v>
      </c>
      <c r="G3304" s="66" t="s">
        <v>247</v>
      </c>
    </row>
    <row r="3305" ht="22.5" customHeight="1">
      <c r="A3305" s="66" t="s">
        <v>2795</v>
      </c>
      <c r="B3305" s="67" t="str">
        <f t="shared" si="15"/>
        <v>M: going up</v>
      </c>
      <c r="C3305" s="68"/>
      <c r="D3305" s="68">
        <v>46080.0</v>
      </c>
      <c r="E3305" s="66">
        <v>1.0</v>
      </c>
      <c r="F3305" s="66" t="s">
        <v>4258</v>
      </c>
      <c r="G3305" s="66" t="s">
        <v>247</v>
      </c>
    </row>
    <row r="3306" ht="22.5" customHeight="1">
      <c r="A3306" s="66" t="s">
        <v>4259</v>
      </c>
      <c r="B3306" s="67" t="str">
        <f t="shared" si="15"/>
        <v>M: tower</v>
      </c>
      <c r="C3306" s="68"/>
      <c r="D3306" s="68">
        <v>46080.0</v>
      </c>
      <c r="E3306" s="66">
        <v>2.0</v>
      </c>
      <c r="F3306" s="66" t="str">
        <f>IFERROR(__xludf.DUMMYFUNCTION("GOOGLETRANSLATE(A3306,""en"",""pt"")"),"torre")</f>
        <v>torre</v>
      </c>
      <c r="G3306" s="69"/>
    </row>
    <row r="3307" ht="22.5" customHeight="1">
      <c r="A3307" s="66" t="s">
        <v>4260</v>
      </c>
      <c r="B3307" s="67" t="str">
        <f t="shared" si="15"/>
        <v>M: floor</v>
      </c>
      <c r="C3307" s="68"/>
      <c r="D3307" s="68">
        <v>46080.0</v>
      </c>
      <c r="E3307" s="66">
        <v>4.0</v>
      </c>
      <c r="F3307" s="66" t="str">
        <f>IFERROR(__xludf.DUMMYFUNCTION("GOOGLETRANSLATE(A3307,""en"",""pt"")"),"chão")</f>
        <v>chão</v>
      </c>
      <c r="G3307" s="69"/>
    </row>
    <row r="3308" ht="22.5" customHeight="1">
      <c r="A3308" s="66" t="s">
        <v>4261</v>
      </c>
      <c r="B3308" s="67" t="str">
        <f t="shared" si="15"/>
        <v>M: trail</v>
      </c>
      <c r="C3308" s="68"/>
      <c r="D3308" s="68">
        <v>46080.0</v>
      </c>
      <c r="E3308" s="66">
        <v>5.0</v>
      </c>
      <c r="F3308" s="66" t="str">
        <f>IFERROR(__xludf.DUMMYFUNCTION("GOOGLETRANSLATE(A3308,""en"",""pt"")"),"trilha")</f>
        <v>trilha</v>
      </c>
      <c r="G3308" s="69"/>
    </row>
    <row r="3309" ht="22.5" customHeight="1">
      <c r="A3309" s="66" t="s">
        <v>1378</v>
      </c>
      <c r="B3309" s="67" t="str">
        <f t="shared" si="15"/>
        <v>M: go on</v>
      </c>
      <c r="C3309" s="68"/>
      <c r="D3309" s="68">
        <v>46080.0</v>
      </c>
      <c r="E3309" s="66">
        <v>6.0</v>
      </c>
      <c r="F3309" s="66" t="s">
        <v>4262</v>
      </c>
      <c r="G3309" s="66" t="s">
        <v>247</v>
      </c>
    </row>
    <row r="3310" ht="22.5" customHeight="1">
      <c r="A3310" s="66" t="s">
        <v>1378</v>
      </c>
      <c r="B3310" s="67" t="str">
        <f t="shared" si="15"/>
        <v>M: go on</v>
      </c>
      <c r="C3310" s="68"/>
      <c r="D3310" s="68">
        <v>46080.0</v>
      </c>
      <c r="E3310" s="66">
        <v>7.0</v>
      </c>
      <c r="F3310" s="66" t="s">
        <v>4263</v>
      </c>
      <c r="G3310" s="66" t="s">
        <v>247</v>
      </c>
    </row>
    <row r="3311" ht="22.5" customHeight="1">
      <c r="A3311" s="66" t="s">
        <v>1895</v>
      </c>
      <c r="B3311" s="67" t="str">
        <f t="shared" si="15"/>
        <v>M: backs</v>
      </c>
      <c r="C3311" s="66">
        <v>2.0</v>
      </c>
      <c r="D3311" s="68">
        <v>46080.0</v>
      </c>
      <c r="E3311" s="66">
        <v>8.0</v>
      </c>
      <c r="F3311" s="66" t="s">
        <v>4264</v>
      </c>
      <c r="G3311" s="66" t="s">
        <v>247</v>
      </c>
    </row>
    <row r="3312" ht="22.5" customHeight="1">
      <c r="A3312" s="66" t="s">
        <v>1895</v>
      </c>
      <c r="B3312" s="67" t="str">
        <f t="shared" si="15"/>
        <v>M: backs</v>
      </c>
      <c r="C3312" s="66">
        <v>3.0</v>
      </c>
      <c r="D3312" s="68">
        <v>46081.0</v>
      </c>
      <c r="E3312" s="66">
        <v>9.0</v>
      </c>
      <c r="F3312" s="71" t="s">
        <v>4265</v>
      </c>
      <c r="G3312" s="66" t="s">
        <v>247</v>
      </c>
    </row>
    <row r="3313" ht="22.5" customHeight="1">
      <c r="A3313" s="66" t="s">
        <v>2789</v>
      </c>
      <c r="B3313" s="67" t="str">
        <f t="shared" si="15"/>
        <v>M: born</v>
      </c>
      <c r="C3313" s="66">
        <v>2.0</v>
      </c>
      <c r="D3313" s="68">
        <v>46081.0</v>
      </c>
      <c r="E3313" s="66">
        <v>10.0</v>
      </c>
      <c r="F3313" s="66" t="s">
        <v>4266</v>
      </c>
      <c r="G3313" s="66" t="s">
        <v>247</v>
      </c>
    </row>
    <row r="3314" ht="22.5" customHeight="1">
      <c r="A3314" s="66" t="s">
        <v>634</v>
      </c>
      <c r="B3314" s="67" t="str">
        <f t="shared" si="15"/>
        <v>M: wonder</v>
      </c>
      <c r="C3314" s="66">
        <v>2.0</v>
      </c>
      <c r="D3314" s="68">
        <v>46081.0</v>
      </c>
      <c r="E3314" s="66">
        <v>1.0</v>
      </c>
      <c r="F3314" s="71" t="s">
        <v>4267</v>
      </c>
      <c r="G3314" s="66" t="s">
        <v>247</v>
      </c>
    </row>
    <row r="3315" ht="22.5" customHeight="1">
      <c r="A3315" s="66" t="s">
        <v>634</v>
      </c>
      <c r="B3315" s="67" t="str">
        <f t="shared" si="15"/>
        <v>M: wonder</v>
      </c>
      <c r="C3315" s="66">
        <v>3.0</v>
      </c>
      <c r="D3315" s="68">
        <v>46081.0</v>
      </c>
      <c r="E3315" s="66">
        <v>2.0</v>
      </c>
      <c r="F3315" s="66" t="s">
        <v>4268</v>
      </c>
      <c r="G3315" s="66" t="s">
        <v>247</v>
      </c>
    </row>
    <row r="3316" ht="22.5" customHeight="1">
      <c r="A3316" s="66" t="s">
        <v>4269</v>
      </c>
      <c r="B3316" s="67" t="str">
        <f t="shared" si="15"/>
        <v>M: traffic</v>
      </c>
      <c r="C3316" s="68"/>
      <c r="D3316" s="68">
        <v>46081.0</v>
      </c>
      <c r="E3316" s="66">
        <v>3.0</v>
      </c>
      <c r="F3316" s="66" t="str">
        <f>IFERROR(__xludf.DUMMYFUNCTION("GOOGLETRANSLATE(A3316,""en"",""pt"")"),"tráfego")</f>
        <v>tráfego</v>
      </c>
      <c r="G3316" s="69"/>
    </row>
    <row r="3317" ht="22.5" customHeight="1">
      <c r="A3317" s="66" t="s">
        <v>4270</v>
      </c>
      <c r="B3317" s="67" t="str">
        <f t="shared" si="15"/>
        <v>M: sheer</v>
      </c>
      <c r="C3317" s="68"/>
      <c r="D3317" s="68">
        <v>46081.0</v>
      </c>
      <c r="E3317" s="66">
        <v>4.0</v>
      </c>
      <c r="F3317" s="66" t="str">
        <f>IFERROR(__xludf.DUMMYFUNCTION("GOOGLETRANSLATE(A3317,""en"",""pt"")"),"puro")</f>
        <v>puro</v>
      </c>
      <c r="G3317" s="69"/>
    </row>
    <row r="3318" ht="22.5" customHeight="1">
      <c r="A3318" s="66" t="s">
        <v>4271</v>
      </c>
      <c r="B3318" s="67" t="str">
        <f t="shared" si="15"/>
        <v>M: scale</v>
      </c>
      <c r="C3318" s="68"/>
      <c r="D3318" s="68">
        <v>46081.0</v>
      </c>
      <c r="E3318" s="66">
        <v>5.0</v>
      </c>
      <c r="F3318" s="66" t="str">
        <f>IFERROR(__xludf.DUMMYFUNCTION("GOOGLETRANSLATE(A3318,""en"",""pt"")"),"escala")</f>
        <v>escala</v>
      </c>
      <c r="G3318" s="69"/>
    </row>
    <row r="3319" ht="22.5" customHeight="1">
      <c r="A3319" s="66" t="s">
        <v>4272</v>
      </c>
      <c r="B3319" s="67" t="str">
        <f t="shared" si="15"/>
        <v>M: beauty</v>
      </c>
      <c r="C3319" s="68"/>
      <c r="D3319" s="68">
        <v>46081.0</v>
      </c>
      <c r="E3319" s="66">
        <v>6.0</v>
      </c>
      <c r="F3319" s="66" t="str">
        <f>IFERROR(__xludf.DUMMYFUNCTION("GOOGLETRANSLATE(A3319,""en"",""pt"")"),"beleza")</f>
        <v>beleza</v>
      </c>
      <c r="G3319" s="69"/>
    </row>
    <row r="3320" ht="22.5" customHeight="1">
      <c r="A3320" s="66" t="s">
        <v>4273</v>
      </c>
      <c r="B3320" s="67" t="str">
        <f t="shared" si="15"/>
        <v>M: sunset</v>
      </c>
      <c r="C3320" s="68"/>
      <c r="D3320" s="68">
        <v>46081.0</v>
      </c>
      <c r="E3320" s="66">
        <v>7.0</v>
      </c>
      <c r="F3320" s="66" t="str">
        <f>IFERROR(__xludf.DUMMYFUNCTION("GOOGLETRANSLATE(A3320,""en"",""pt"")"),"pôr do sol")</f>
        <v>pôr do sol</v>
      </c>
      <c r="G3320" s="69"/>
    </row>
    <row r="3321" ht="22.5" customHeight="1">
      <c r="A3321" s="66" t="s">
        <v>4274</v>
      </c>
      <c r="B3321" s="67" t="str">
        <f t="shared" si="15"/>
        <v>M: feat</v>
      </c>
      <c r="C3321" s="68"/>
      <c r="D3321" s="68">
        <v>46081.0</v>
      </c>
      <c r="E3321" s="66">
        <v>8.0</v>
      </c>
      <c r="F3321" s="66" t="str">
        <f>IFERROR(__xludf.DUMMYFUNCTION("GOOGLETRANSLATE(A3321,""en"",""pt"")"),"façanha")</f>
        <v>façanha</v>
      </c>
      <c r="G3321" s="69"/>
    </row>
    <row r="3322" ht="22.5" customHeight="1">
      <c r="A3322" s="66" t="s">
        <v>4275</v>
      </c>
      <c r="B3322" s="67" t="str">
        <f t="shared" si="15"/>
        <v>M: than ever</v>
      </c>
      <c r="C3322" s="66">
        <v>1.0</v>
      </c>
      <c r="D3322" s="68">
        <v>46082.0</v>
      </c>
      <c r="E3322" s="66">
        <v>9.0</v>
      </c>
      <c r="F3322" s="66" t="s">
        <v>4276</v>
      </c>
      <c r="G3322" s="66" t="s">
        <v>247</v>
      </c>
    </row>
    <row r="3323" ht="22.5" customHeight="1">
      <c r="A3323" s="66" t="s">
        <v>4277</v>
      </c>
      <c r="B3323" s="67" t="str">
        <f t="shared" si="15"/>
        <v>M: miserable</v>
      </c>
      <c r="C3323" s="68"/>
      <c r="D3323" s="68">
        <v>46082.0</v>
      </c>
      <c r="E3323" s="66">
        <v>10.0</v>
      </c>
      <c r="F3323" s="66" t="str">
        <f>IFERROR(__xludf.DUMMYFUNCTION("GOOGLETRANSLATE(A3323,""en"",""pt"")"),"miserável")</f>
        <v>miserável</v>
      </c>
      <c r="G3323" s="69"/>
    </row>
    <row r="3324" ht="22.5" customHeight="1">
      <c r="A3324" s="66" t="s">
        <v>1880</v>
      </c>
      <c r="B3324" s="67" t="str">
        <f t="shared" si="15"/>
        <v>M: spreads</v>
      </c>
      <c r="C3324" s="66">
        <v>2.0</v>
      </c>
      <c r="D3324" s="68">
        <v>46082.0</v>
      </c>
      <c r="E3324" s="66">
        <v>1.0</v>
      </c>
      <c r="F3324" s="71" t="s">
        <v>4278</v>
      </c>
      <c r="G3324" s="66" t="s">
        <v>247</v>
      </c>
    </row>
    <row r="3325" ht="22.5" customHeight="1">
      <c r="A3325" s="66" t="s">
        <v>1880</v>
      </c>
      <c r="B3325" s="67" t="str">
        <f t="shared" si="15"/>
        <v>M: spreads</v>
      </c>
      <c r="C3325" s="66">
        <v>3.0</v>
      </c>
      <c r="D3325" s="68">
        <v>46082.0</v>
      </c>
      <c r="E3325" s="66">
        <v>2.0</v>
      </c>
      <c r="F3325" s="66" t="s">
        <v>4279</v>
      </c>
      <c r="G3325" s="66" t="s">
        <v>247</v>
      </c>
    </row>
    <row r="3326" ht="22.5" customHeight="1">
      <c r="A3326" s="66" t="s">
        <v>4280</v>
      </c>
      <c r="B3326" s="67" t="str">
        <f t="shared" si="15"/>
        <v>M: social</v>
      </c>
      <c r="C3326" s="68"/>
      <c r="D3326" s="68">
        <v>46082.0</v>
      </c>
      <c r="E3326" s="66">
        <v>3.0</v>
      </c>
      <c r="F3326" s="66" t="str">
        <f>IFERROR(__xludf.DUMMYFUNCTION("GOOGLETRANSLATE(A3326,""en"",""pt"")"),"social")</f>
        <v>social</v>
      </c>
      <c r="G3326" s="69"/>
    </row>
    <row r="3327" ht="22.5" customHeight="1">
      <c r="A3327" s="66" t="s">
        <v>4281</v>
      </c>
      <c r="B3327" s="67" t="str">
        <f t="shared" si="15"/>
        <v>M: media</v>
      </c>
      <c r="C3327" s="68"/>
      <c r="D3327" s="68">
        <v>46082.0</v>
      </c>
      <c r="E3327" s="66">
        <v>4.0</v>
      </c>
      <c r="F3327" s="66" t="str">
        <f>IFERROR(__xludf.DUMMYFUNCTION("GOOGLETRANSLATE(A3327,""en"",""pt"")"),"mídia")</f>
        <v>mídia</v>
      </c>
      <c r="G3327" s="69"/>
    </row>
    <row r="3328" ht="22.5" customHeight="1">
      <c r="A3328" s="66" t="s">
        <v>4282</v>
      </c>
      <c r="B3328" s="67" t="str">
        <f t="shared" si="15"/>
        <v>M: network</v>
      </c>
      <c r="C3328" s="68"/>
      <c r="D3328" s="68">
        <v>46082.0</v>
      </c>
      <c r="E3328" s="66">
        <v>5.0</v>
      </c>
      <c r="F3328" s="66" t="str">
        <f>IFERROR(__xludf.DUMMYFUNCTION("GOOGLETRANSLATE(A3328,""en"",""pt"")"),"rede")</f>
        <v>rede</v>
      </c>
      <c r="G3328" s="69"/>
    </row>
    <row r="3329" ht="22.5" customHeight="1">
      <c r="A3329" s="66" t="s">
        <v>4283</v>
      </c>
      <c r="B3329" s="67" t="str">
        <f t="shared" si="15"/>
        <v>M: evenly</v>
      </c>
      <c r="C3329" s="68"/>
      <c r="D3329" s="68">
        <v>46082.0</v>
      </c>
      <c r="E3329" s="66">
        <v>6.0</v>
      </c>
      <c r="F3329" s="66" t="str">
        <f>IFERROR(__xludf.DUMMYFUNCTION("GOOGLETRANSLATE(A3329,""en"",""pt"")"),"uniformemente")</f>
        <v>uniformemente</v>
      </c>
      <c r="G3329" s="69"/>
    </row>
    <row r="3330" ht="22.5" customHeight="1">
      <c r="A3330" s="66" t="s">
        <v>4284</v>
      </c>
      <c r="B3330" s="67" t="str">
        <f t="shared" si="15"/>
        <v>M: field</v>
      </c>
      <c r="C3330" s="68"/>
      <c r="D3330" s="68">
        <v>46082.0</v>
      </c>
      <c r="E3330" s="66">
        <v>7.0</v>
      </c>
      <c r="F3330" s="66" t="str">
        <f>IFERROR(__xludf.DUMMYFUNCTION("GOOGLETRANSLATE(A3330,""en"",""pt"")"),"campo")</f>
        <v>campo</v>
      </c>
      <c r="G3330" s="69"/>
    </row>
    <row r="3331" ht="22.5" customHeight="1">
      <c r="A3331" s="66" t="s">
        <v>4285</v>
      </c>
      <c r="B3331" s="67" t="str">
        <f t="shared" si="15"/>
        <v>M: valley</v>
      </c>
      <c r="C3331" s="68"/>
      <c r="D3331" s="68">
        <v>46082.0</v>
      </c>
      <c r="E3331" s="66">
        <v>8.0</v>
      </c>
      <c r="F3331" s="66" t="str">
        <f>IFERROR(__xludf.DUMMYFUNCTION("GOOGLETRANSLATE(A3331,""en"",""pt"")"),"vale")</f>
        <v>vale</v>
      </c>
      <c r="G3331" s="69"/>
    </row>
    <row r="3332" ht="22.5" customHeight="1">
      <c r="A3332" s="66" t="s">
        <v>4286</v>
      </c>
      <c r="B3332" s="67" t="str">
        <f t="shared" si="15"/>
        <v>M: darkness</v>
      </c>
      <c r="C3332" s="68"/>
      <c r="D3332" s="68">
        <v>46083.0</v>
      </c>
      <c r="E3332" s="66">
        <v>9.0</v>
      </c>
      <c r="F3332" s="66" t="str">
        <f>IFERROR(__xludf.DUMMYFUNCTION("GOOGLETRANSLATE(A3332,""en"",""pt"")"),"escuridão")</f>
        <v>escuridão</v>
      </c>
      <c r="G3332" s="69"/>
    </row>
    <row r="3333" ht="22.5" customHeight="1">
      <c r="A3333" s="66" t="s">
        <v>4287</v>
      </c>
      <c r="B3333" s="67" t="str">
        <f t="shared" si="15"/>
        <v>M: further</v>
      </c>
      <c r="C3333" s="68"/>
      <c r="D3333" s="68">
        <v>46083.0</v>
      </c>
      <c r="E3333" s="66">
        <v>10.0</v>
      </c>
      <c r="F3333" s="66" t="str">
        <f>IFERROR(__xludf.DUMMYFUNCTION("GOOGLETRANSLATE(A3333,""en"",""pt"")"),"avançar")</f>
        <v>avançar</v>
      </c>
      <c r="G3333" s="69"/>
    </row>
    <row r="3334" ht="22.5" customHeight="1">
      <c r="A3334" s="66" t="s">
        <v>4288</v>
      </c>
      <c r="B3334" s="67" t="str">
        <f t="shared" si="15"/>
        <v>M: urban</v>
      </c>
      <c r="C3334" s="68"/>
      <c r="D3334" s="68">
        <v>46083.0</v>
      </c>
      <c r="E3334" s="66">
        <v>1.0</v>
      </c>
      <c r="F3334" s="66" t="str">
        <f>IFERROR(__xludf.DUMMYFUNCTION("GOOGLETRANSLATE(A3334,""en"",""pt"")"),"urbano")</f>
        <v>urbano</v>
      </c>
      <c r="G3334" s="69"/>
    </row>
    <row r="3335" ht="22.5" customHeight="1">
      <c r="A3335" s="66" t="s">
        <v>4289</v>
      </c>
      <c r="B3335" s="67" t="str">
        <f t="shared" si="15"/>
        <v>M: decade</v>
      </c>
      <c r="C3335" s="68"/>
      <c r="D3335" s="68">
        <v>46083.0</v>
      </c>
      <c r="E3335" s="66">
        <v>2.0</v>
      </c>
      <c r="F3335" s="66" t="str">
        <f>IFERROR(__xludf.DUMMYFUNCTION("GOOGLETRANSLATE(A3335,""en"",""pt"")"),"década")</f>
        <v>década</v>
      </c>
      <c r="G3335" s="69"/>
    </row>
    <row r="3336" ht="22.5" customHeight="1">
      <c r="A3336" s="66" t="s">
        <v>4290</v>
      </c>
      <c r="B3336" s="67" t="str">
        <f t="shared" si="15"/>
        <v>M: actual</v>
      </c>
      <c r="C3336" s="68"/>
      <c r="D3336" s="68">
        <v>46083.0</v>
      </c>
      <c r="E3336" s="66">
        <v>3.0</v>
      </c>
      <c r="F3336" s="66" t="str">
        <f>IFERROR(__xludf.DUMMYFUNCTION("GOOGLETRANSLATE(A3336,""en"",""pt"")"),"real")</f>
        <v>real</v>
      </c>
      <c r="G3336" s="69"/>
    </row>
    <row r="3337" ht="22.5" customHeight="1">
      <c r="A3337" s="66" t="s">
        <v>4291</v>
      </c>
      <c r="B3337" s="67" t="str">
        <f t="shared" si="15"/>
        <v>M: cost</v>
      </c>
      <c r="C3337" s="68"/>
      <c r="D3337" s="68">
        <v>46083.0</v>
      </c>
      <c r="E3337" s="66">
        <v>4.0</v>
      </c>
      <c r="F3337" s="66" t="str">
        <f>IFERROR(__xludf.DUMMYFUNCTION("GOOGLETRANSLATE(A3337,""en"",""pt"")"),"custo")</f>
        <v>custo</v>
      </c>
      <c r="G3337" s="69"/>
    </row>
    <row r="3338" ht="22.5" customHeight="1">
      <c r="A3338" s="66" t="s">
        <v>4292</v>
      </c>
      <c r="B3338" s="67" t="str">
        <f t="shared" si="15"/>
        <v>M: points</v>
      </c>
      <c r="C3338" s="68"/>
      <c r="D3338" s="68">
        <v>46083.0</v>
      </c>
      <c r="E3338" s="66">
        <v>5.0</v>
      </c>
      <c r="F3338" s="66" t="str">
        <f>IFERROR(__xludf.DUMMYFUNCTION("GOOGLETRANSLATE(A3338,""en"",""pt"")"),"pontos")</f>
        <v>pontos</v>
      </c>
      <c r="G3338" s="69"/>
    </row>
    <row r="3339" ht="22.5" customHeight="1">
      <c r="A3339" s="66" t="s">
        <v>4293</v>
      </c>
      <c r="B3339" s="67" t="str">
        <f t="shared" si="15"/>
        <v>M: graph</v>
      </c>
      <c r="C3339" s="68"/>
      <c r="D3339" s="68">
        <v>46083.0</v>
      </c>
      <c r="E3339" s="66">
        <v>6.0</v>
      </c>
      <c r="F3339" s="66" t="str">
        <f>IFERROR(__xludf.DUMMYFUNCTION("GOOGLETRANSLATE(A3339,""en"",""pt"")"),"gráfico")</f>
        <v>gráfico</v>
      </c>
      <c r="G3339" s="69"/>
    </row>
    <row r="3340" ht="22.5" customHeight="1">
      <c r="A3340" s="66" t="s">
        <v>1772</v>
      </c>
      <c r="B3340" s="67" t="str">
        <f t="shared" si="15"/>
        <v>M: shiny</v>
      </c>
      <c r="C3340" s="66">
        <v>2.0</v>
      </c>
      <c r="D3340" s="68">
        <v>46083.0</v>
      </c>
      <c r="E3340" s="66">
        <v>7.0</v>
      </c>
      <c r="F3340" s="71" t="s">
        <v>4294</v>
      </c>
      <c r="G3340" s="66" t="s">
        <v>247</v>
      </c>
    </row>
    <row r="3341" ht="22.5" customHeight="1">
      <c r="A3341" s="66" t="s">
        <v>4295</v>
      </c>
      <c r="B3341" s="67" t="str">
        <f t="shared" si="15"/>
        <v>M: paint</v>
      </c>
      <c r="C3341" s="68"/>
      <c r="D3341" s="68">
        <v>46083.0</v>
      </c>
      <c r="E3341" s="66">
        <v>8.0</v>
      </c>
      <c r="F3341" s="66" t="str">
        <f>IFERROR(__xludf.DUMMYFUNCTION("GOOGLETRANSLATE(A3341,""en"",""pt"")"),"pintar")</f>
        <v>pintar</v>
      </c>
      <c r="G3341" s="69"/>
    </row>
    <row r="3342" ht="22.5" customHeight="1">
      <c r="A3342" s="66" t="s">
        <v>4296</v>
      </c>
      <c r="B3342" s="67" t="str">
        <f t="shared" si="15"/>
        <v>M: coin</v>
      </c>
      <c r="C3342" s="68"/>
      <c r="D3342" s="68">
        <v>46084.0</v>
      </c>
      <c r="E3342" s="66">
        <v>9.0</v>
      </c>
      <c r="F3342" s="66" t="str">
        <f>IFERROR(__xludf.DUMMYFUNCTION("GOOGLETRANSLATE(A3342,""en"",""pt"")"),"moeda")</f>
        <v>moeda</v>
      </c>
      <c r="G3342" s="69"/>
    </row>
    <row r="3343" ht="22.5" customHeight="1">
      <c r="A3343" s="66" t="s">
        <v>4297</v>
      </c>
      <c r="B3343" s="67" t="str">
        <f t="shared" si="15"/>
        <v>M: polished</v>
      </c>
      <c r="C3343" s="68"/>
      <c r="D3343" s="68">
        <v>46084.0</v>
      </c>
      <c r="E3343" s="66">
        <v>10.0</v>
      </c>
      <c r="F3343" s="66" t="str">
        <f>IFERROR(__xludf.DUMMYFUNCTION("GOOGLETRANSLATE(A3343,""en"",""pt"")"),"polido")</f>
        <v>polido</v>
      </c>
      <c r="G3343" s="69"/>
    </row>
    <row r="3344" ht="22.5" customHeight="1">
      <c r="A3344" s="66" t="s">
        <v>4298</v>
      </c>
      <c r="B3344" s="67" t="str">
        <f t="shared" si="15"/>
        <v>M: scratches</v>
      </c>
      <c r="C3344" s="68"/>
      <c r="D3344" s="68">
        <v>46084.0</v>
      </c>
      <c r="E3344" s="66">
        <v>1.0</v>
      </c>
      <c r="F3344" s="66" t="str">
        <f>IFERROR(__xludf.DUMMYFUNCTION("GOOGLETRANSLATE(A3344,""en"",""pt"")"),"arranhões")</f>
        <v>arranhões</v>
      </c>
      <c r="G3344" s="69"/>
    </row>
    <row r="3345" ht="22.5" customHeight="1">
      <c r="A3345" s="66" t="s">
        <v>4299</v>
      </c>
      <c r="B3345" s="67" t="str">
        <f t="shared" si="15"/>
        <v>M: chasing</v>
      </c>
      <c r="C3345" s="68"/>
      <c r="D3345" s="68">
        <v>46084.0</v>
      </c>
      <c r="E3345" s="66">
        <v>2.0</v>
      </c>
      <c r="F3345" s="66" t="str">
        <f>IFERROR(__xludf.DUMMYFUNCTION("GOOGLETRANSLATE(A3345,""en"",""pt"")"),"perseguindo")</f>
        <v>perseguindo</v>
      </c>
      <c r="G3345" s="69"/>
    </row>
    <row r="3346" ht="22.5" customHeight="1">
      <c r="A3346" s="66" t="s">
        <v>4300</v>
      </c>
      <c r="B3346" s="67" t="str">
        <f t="shared" si="15"/>
        <v>M: lacked</v>
      </c>
      <c r="C3346" s="68"/>
      <c r="D3346" s="68">
        <v>46084.0</v>
      </c>
      <c r="E3346" s="66">
        <v>3.0</v>
      </c>
      <c r="F3346" s="66" t="str">
        <f>IFERROR(__xludf.DUMMYFUNCTION("GOOGLETRANSLATE(A3346,""en"",""pt"")"),"faltava")</f>
        <v>faltava</v>
      </c>
      <c r="G3346" s="69"/>
    </row>
    <row r="3347" ht="22.5" customHeight="1">
      <c r="A3347" s="66" t="s">
        <v>4301</v>
      </c>
      <c r="B3347" s="67" t="str">
        <f t="shared" si="15"/>
        <v>M: real</v>
      </c>
      <c r="C3347" s="68"/>
      <c r="D3347" s="68">
        <v>46084.0</v>
      </c>
      <c r="E3347" s="66">
        <v>4.0</v>
      </c>
      <c r="F3347" s="66" t="str">
        <f>IFERROR(__xludf.DUMMYFUNCTION("GOOGLETRANSLATE(A3347,""en"",""pt"")"),"real")</f>
        <v>real</v>
      </c>
      <c r="G3347" s="69"/>
    </row>
    <row r="3348" ht="22.5" customHeight="1">
      <c r="A3348" s="66" t="s">
        <v>4302</v>
      </c>
      <c r="B3348" s="67" t="str">
        <f t="shared" si="15"/>
        <v>M: soundly</v>
      </c>
      <c r="C3348" s="68"/>
      <c r="D3348" s="68">
        <v>46084.0</v>
      </c>
      <c r="E3348" s="66">
        <v>5.0</v>
      </c>
      <c r="F3348" s="66" t="str">
        <f>IFERROR(__xludf.DUMMYFUNCTION("GOOGLETRANSLATE(A3348,""en"",""pt"")"),"bem")</f>
        <v>bem</v>
      </c>
      <c r="G3348" s="69"/>
    </row>
    <row r="3349" ht="22.5" customHeight="1">
      <c r="A3349" s="66" t="s">
        <v>841</v>
      </c>
      <c r="B3349" s="67" t="str">
        <f t="shared" si="15"/>
        <v>M: slept soundly</v>
      </c>
      <c r="C3349" s="66">
        <v>2.0</v>
      </c>
      <c r="D3349" s="68">
        <v>46084.0</v>
      </c>
      <c r="E3349" s="66">
        <v>6.0</v>
      </c>
      <c r="F3349" s="66" t="str">
        <f>IFERROR(__xludf.DUMMYFUNCTION("GOOGLETRANSLATE(A3349,""en"",""pt"")"),"dormiu profundamente")</f>
        <v>dormiu profundamente</v>
      </c>
      <c r="G3349" s="66" t="s">
        <v>247</v>
      </c>
    </row>
    <row r="3350" ht="22.5" customHeight="1">
      <c r="A3350" s="66" t="s">
        <v>2703</v>
      </c>
      <c r="B3350" s="67" t="str">
        <f t="shared" si="15"/>
        <v>M: are known</v>
      </c>
      <c r="C3350" s="66">
        <v>2.0</v>
      </c>
      <c r="D3350" s="68">
        <v>46084.0</v>
      </c>
      <c r="E3350" s="66">
        <v>7.0</v>
      </c>
      <c r="F3350" s="71" t="s">
        <v>4303</v>
      </c>
      <c r="G3350" s="66" t="s">
        <v>247</v>
      </c>
    </row>
    <row r="3351" ht="22.5" customHeight="1">
      <c r="A3351" s="66" t="s">
        <v>4304</v>
      </c>
      <c r="B3351" s="67" t="str">
        <f t="shared" si="15"/>
        <v>M: constraints</v>
      </c>
      <c r="C3351" s="68"/>
      <c r="D3351" s="68">
        <v>46084.0</v>
      </c>
      <c r="E3351" s="66">
        <v>8.0</v>
      </c>
      <c r="F3351" s="66" t="str">
        <f>IFERROR(__xludf.DUMMYFUNCTION("GOOGLETRANSLATE(A3351,""en"",""pt"")"),"restrições")</f>
        <v>restrições</v>
      </c>
      <c r="G3351" s="69"/>
    </row>
    <row r="3352" ht="22.5" customHeight="1">
      <c r="A3352" s="66" t="s">
        <v>4305</v>
      </c>
      <c r="B3352" s="67" t="str">
        <f t="shared" si="15"/>
        <v>M: stakeholders</v>
      </c>
      <c r="C3352" s="68"/>
      <c r="D3352" s="68">
        <v>46085.0</v>
      </c>
      <c r="E3352" s="66">
        <v>9.0</v>
      </c>
      <c r="F3352" s="66" t="str">
        <f>IFERROR(__xludf.DUMMYFUNCTION("GOOGLETRANSLATE(A3352,""en"",""pt"")"),"partes interessadas")</f>
        <v>partes interessadas</v>
      </c>
      <c r="G3352" s="69"/>
    </row>
    <row r="3353" ht="22.5" customHeight="1">
      <c r="A3353" s="66" t="s">
        <v>2707</v>
      </c>
      <c r="B3353" s="67" t="str">
        <f t="shared" si="15"/>
        <v>M: long</v>
      </c>
      <c r="C3353" s="66">
        <v>2.0</v>
      </c>
      <c r="D3353" s="68">
        <v>46085.0</v>
      </c>
      <c r="E3353" s="66">
        <v>10.0</v>
      </c>
      <c r="F3353" s="66" t="s">
        <v>4306</v>
      </c>
      <c r="G3353" s="66" t="s">
        <v>247</v>
      </c>
    </row>
    <row r="3354" ht="22.5" customHeight="1">
      <c r="A3354" s="66" t="s">
        <v>2707</v>
      </c>
      <c r="B3354" s="67" t="str">
        <f t="shared" si="15"/>
        <v>M: long</v>
      </c>
      <c r="C3354" s="66">
        <v>3.0</v>
      </c>
      <c r="D3354" s="68">
        <v>46085.0</v>
      </c>
      <c r="E3354" s="66">
        <v>1.0</v>
      </c>
      <c r="F3354" s="66" t="s">
        <v>4307</v>
      </c>
      <c r="G3354" s="66" t="s">
        <v>247</v>
      </c>
    </row>
    <row r="3355" ht="22.5" customHeight="1">
      <c r="A3355" s="66" t="s">
        <v>4308</v>
      </c>
      <c r="B3355" s="67" t="str">
        <f t="shared" si="15"/>
        <v>M: delivery</v>
      </c>
      <c r="C3355" s="68"/>
      <c r="D3355" s="68">
        <v>46085.0</v>
      </c>
      <c r="E3355" s="66">
        <v>2.0</v>
      </c>
      <c r="F3355" s="66" t="str">
        <f>IFERROR(__xludf.DUMMYFUNCTION("GOOGLETRANSLATE(A3355,""en"",""pt"")"),"entrega")</f>
        <v>entrega</v>
      </c>
      <c r="G3355" s="69"/>
    </row>
    <row r="3356" ht="22.5" customHeight="1">
      <c r="A3356" s="66" t="s">
        <v>4309</v>
      </c>
      <c r="B3356" s="67" t="str">
        <f t="shared" si="15"/>
        <v>M: until</v>
      </c>
      <c r="C3356" s="68"/>
      <c r="D3356" s="68">
        <v>46085.0</v>
      </c>
      <c r="E3356" s="66">
        <v>3.0</v>
      </c>
      <c r="F3356" s="66" t="str">
        <f>IFERROR(__xludf.DUMMYFUNCTION("GOOGLETRANSLATE(A3356,""en"",""pt"")"),"até")</f>
        <v>até</v>
      </c>
      <c r="G3356" s="69"/>
    </row>
    <row r="3357" ht="22.5" customHeight="1">
      <c r="A3357" s="66" t="s">
        <v>4310</v>
      </c>
      <c r="B3357" s="67" t="str">
        <f t="shared" si="15"/>
        <v>M: final</v>
      </c>
      <c r="C3357" s="68"/>
      <c r="D3357" s="68">
        <v>46085.0</v>
      </c>
      <c r="E3357" s="66">
        <v>4.0</v>
      </c>
      <c r="F3357" s="66" t="str">
        <f>IFERROR(__xludf.DUMMYFUNCTION("GOOGLETRANSLATE(A3357,""en"",""pt"")"),"final")</f>
        <v>final</v>
      </c>
      <c r="G3357" s="69"/>
    </row>
    <row r="3358" ht="22.5" customHeight="1">
      <c r="A3358" s="66" t="s">
        <v>4311</v>
      </c>
      <c r="B3358" s="67" t="str">
        <f t="shared" si="15"/>
        <v>M: vacation</v>
      </c>
      <c r="C3358" s="68"/>
      <c r="D3358" s="68">
        <v>46085.0</v>
      </c>
      <c r="E3358" s="66">
        <v>5.0</v>
      </c>
      <c r="F3358" s="66" t="str">
        <f>IFERROR(__xludf.DUMMYFUNCTION("GOOGLETRANSLATE(A3358,""en"",""pt"")"),"férias")</f>
        <v>férias</v>
      </c>
      <c r="G3358" s="69"/>
    </row>
    <row r="3359" ht="22.5" customHeight="1">
      <c r="A3359" s="66" t="s">
        <v>4312</v>
      </c>
      <c r="B3359" s="67" t="str">
        <f t="shared" si="15"/>
        <v>M: fix</v>
      </c>
      <c r="C3359" s="68"/>
      <c r="D3359" s="68">
        <v>46085.0</v>
      </c>
      <c r="E3359" s="66">
        <v>6.0</v>
      </c>
      <c r="F3359" s="66" t="str">
        <f>IFERROR(__xludf.DUMMYFUNCTION("GOOGLETRANSLATE(A3359,""en"",""pt"")"),"consertar")</f>
        <v>consertar</v>
      </c>
      <c r="G3359" s="69"/>
    </row>
    <row r="3360" ht="22.5" customHeight="1">
      <c r="A3360" s="66" t="s">
        <v>4313</v>
      </c>
      <c r="B3360" s="67" t="str">
        <f t="shared" si="15"/>
        <v>M: quit</v>
      </c>
      <c r="C3360" s="68"/>
      <c r="D3360" s="68">
        <v>46085.0</v>
      </c>
      <c r="E3360" s="66">
        <v>7.0</v>
      </c>
      <c r="F3360" s="66" t="str">
        <f>IFERROR(__xludf.DUMMYFUNCTION("GOOGLETRANSLATE(A3360,""en"",""pt"")"),"desistir")</f>
        <v>desistir</v>
      </c>
      <c r="G3360" s="69"/>
    </row>
    <row r="3361" ht="22.5" customHeight="1">
      <c r="A3361" s="66" t="s">
        <v>4314</v>
      </c>
      <c r="B3361" s="67" t="str">
        <f t="shared" si="15"/>
        <v>M: quiet</v>
      </c>
      <c r="C3361" s="68"/>
      <c r="D3361" s="68">
        <v>46085.0</v>
      </c>
      <c r="E3361" s="66">
        <v>8.0</v>
      </c>
      <c r="F3361" s="66" t="str">
        <f>IFERROR(__xludf.DUMMYFUNCTION("GOOGLETRANSLATE(A3361,""en"",""pt"")"),"quieto")</f>
        <v>quieto</v>
      </c>
      <c r="G3361" s="69"/>
    </row>
    <row r="3362" ht="22.5" customHeight="1">
      <c r="A3362" s="66" t="s">
        <v>4315</v>
      </c>
      <c r="B3362" s="67" t="str">
        <f t="shared" si="15"/>
        <v>M: take</v>
      </c>
      <c r="C3362" s="68"/>
      <c r="D3362" s="68">
        <v>46086.0</v>
      </c>
      <c r="E3362" s="66">
        <v>9.0</v>
      </c>
      <c r="F3362" s="66" t="str">
        <f>IFERROR(__xludf.DUMMYFUNCTION("GOOGLETRANSLATE(A3362,""en"",""pt"")"),"pegar")</f>
        <v>pegar</v>
      </c>
      <c r="G3362" s="69"/>
    </row>
    <row r="3363" ht="22.5" customHeight="1">
      <c r="A3363" s="66" t="s">
        <v>4316</v>
      </c>
      <c r="B3363" s="67" t="str">
        <f t="shared" si="15"/>
        <v>M: stayed</v>
      </c>
      <c r="C3363" s="68"/>
      <c r="D3363" s="68">
        <v>46086.0</v>
      </c>
      <c r="E3363" s="66">
        <v>10.0</v>
      </c>
      <c r="F3363" s="66" t="str">
        <f>IFERROR(__xludf.DUMMYFUNCTION("GOOGLETRANSLATE(A3363,""en"",""pt"")"),"ficou")</f>
        <v>ficou</v>
      </c>
      <c r="G3363" s="69"/>
    </row>
    <row r="3364" ht="22.5" customHeight="1">
      <c r="A3364" s="66" t="s">
        <v>799</v>
      </c>
      <c r="B3364" s="67" t="str">
        <f t="shared" si="15"/>
        <v>M: she thought</v>
      </c>
      <c r="C3364" s="66">
        <v>2.0</v>
      </c>
      <c r="D3364" s="68">
        <v>46086.0</v>
      </c>
      <c r="E3364" s="66">
        <v>1.0</v>
      </c>
      <c r="F3364" s="71" t="s">
        <v>4317</v>
      </c>
      <c r="G3364" s="66" t="s">
        <v>247</v>
      </c>
    </row>
    <row r="3365" ht="22.5" customHeight="1">
      <c r="A3365" s="66" t="s">
        <v>2110</v>
      </c>
      <c r="B3365" s="67" t="str">
        <f t="shared" si="15"/>
        <v>M: rabid</v>
      </c>
      <c r="C3365" s="66">
        <v>2.0</v>
      </c>
      <c r="D3365" s="68">
        <v>46086.0</v>
      </c>
      <c r="E3365" s="66">
        <v>2.0</v>
      </c>
      <c r="F3365" s="66" t="s">
        <v>4318</v>
      </c>
      <c r="G3365" s="66" t="s">
        <v>247</v>
      </c>
    </row>
    <row r="3366" ht="22.5" customHeight="1">
      <c r="A3366" s="66" t="s">
        <v>1984</v>
      </c>
      <c r="B3366" s="67" t="str">
        <f t="shared" si="15"/>
        <v>M: prodding</v>
      </c>
      <c r="C3366" s="66">
        <v>2.0</v>
      </c>
      <c r="D3366" s="68">
        <v>46086.0</v>
      </c>
      <c r="E3366" s="66">
        <v>3.0</v>
      </c>
      <c r="F3366" s="66" t="s">
        <v>4319</v>
      </c>
      <c r="G3366" s="66" t="s">
        <v>247</v>
      </c>
    </row>
    <row r="3367" ht="22.5" customHeight="1">
      <c r="A3367" s="66" t="s">
        <v>2377</v>
      </c>
      <c r="B3367" s="67" t="str">
        <f t="shared" si="15"/>
        <v>M: gnawing</v>
      </c>
      <c r="C3367" s="66">
        <v>2.0</v>
      </c>
      <c r="D3367" s="68">
        <v>46086.0</v>
      </c>
      <c r="E3367" s="66">
        <v>4.0</v>
      </c>
      <c r="F3367" s="66" t="s">
        <v>4320</v>
      </c>
      <c r="G3367" s="66" t="s">
        <v>247</v>
      </c>
    </row>
    <row r="3368" ht="22.5" customHeight="1">
      <c r="A3368" s="66" t="s">
        <v>2898</v>
      </c>
      <c r="B3368" s="67" t="str">
        <f t="shared" si="15"/>
        <v>M: triggered</v>
      </c>
      <c r="C3368" s="66">
        <v>2.0</v>
      </c>
      <c r="D3368" s="68">
        <v>46086.0</v>
      </c>
      <c r="E3368" s="66">
        <v>5.0</v>
      </c>
      <c r="F3368" s="66" t="s">
        <v>4321</v>
      </c>
      <c r="G3368" s="66" t="s">
        <v>247</v>
      </c>
    </row>
    <row r="3369" ht="22.5" customHeight="1">
      <c r="A3369" s="66" t="s">
        <v>2898</v>
      </c>
      <c r="B3369" s="67" t="str">
        <f t="shared" si="15"/>
        <v>M: triggered</v>
      </c>
      <c r="C3369" s="66">
        <v>3.0</v>
      </c>
      <c r="D3369" s="68">
        <v>46086.0</v>
      </c>
      <c r="E3369" s="66">
        <v>6.0</v>
      </c>
      <c r="F3369" s="66" t="s">
        <v>4322</v>
      </c>
      <c r="G3369" s="66" t="s">
        <v>247</v>
      </c>
    </row>
    <row r="3370" ht="22.5" customHeight="1">
      <c r="A3370" s="66" t="s">
        <v>4323</v>
      </c>
      <c r="B3370" s="67" t="str">
        <f t="shared" si="15"/>
        <v>M: occurred</v>
      </c>
      <c r="C3370" s="68"/>
      <c r="D3370" s="68">
        <v>46086.0</v>
      </c>
      <c r="E3370" s="66">
        <v>7.0</v>
      </c>
      <c r="F3370" s="66" t="str">
        <f>IFERROR(__xludf.DUMMYFUNCTION("GOOGLETRANSLATE(A3370,""en"",""pt"")"),"ocorreu")</f>
        <v>ocorreu</v>
      </c>
      <c r="G3370" s="69"/>
    </row>
    <row r="3371" ht="22.5" customHeight="1">
      <c r="A3371" s="66" t="s">
        <v>4324</v>
      </c>
      <c r="B3371" s="67" t="str">
        <f t="shared" si="15"/>
        <v>M: complex</v>
      </c>
      <c r="C3371" s="68"/>
      <c r="D3371" s="68">
        <v>46086.0</v>
      </c>
      <c r="E3371" s="66">
        <v>8.0</v>
      </c>
      <c r="F3371" s="66" t="str">
        <f>IFERROR(__xludf.DUMMYFUNCTION("GOOGLETRANSLATE(A3371,""en"",""pt"")"),"complexo")</f>
        <v>complexo</v>
      </c>
      <c r="G3371" s="69"/>
    </row>
    <row r="3372" ht="22.5" customHeight="1">
      <c r="A3372" s="66" t="s">
        <v>4325</v>
      </c>
      <c r="B3372" s="67" t="str">
        <f t="shared" si="15"/>
        <v>M: chain</v>
      </c>
      <c r="C3372" s="68"/>
      <c r="D3372" s="68">
        <v>46087.0</v>
      </c>
      <c r="E3372" s="66">
        <v>9.0</v>
      </c>
      <c r="F3372" s="66" t="str">
        <f>IFERROR(__xludf.DUMMYFUNCTION("GOOGLETRANSLATE(A3372,""en"",""pt"")"),"corrente")</f>
        <v>corrente</v>
      </c>
      <c r="G3372" s="69"/>
    </row>
    <row r="3373" ht="22.5" customHeight="1">
      <c r="A3373" s="66" t="s">
        <v>4326</v>
      </c>
      <c r="B3373" s="67" t="str">
        <f t="shared" si="15"/>
        <v>M: hidden</v>
      </c>
      <c r="C3373" s="68"/>
      <c r="D3373" s="68">
        <v>46087.0</v>
      </c>
      <c r="E3373" s="66">
        <v>10.0</v>
      </c>
      <c r="F3373" s="66" t="str">
        <f>IFERROR(__xludf.DUMMYFUNCTION("GOOGLETRANSLATE(A3373,""en"",""pt"")"),"escondido")</f>
        <v>escondido</v>
      </c>
      <c r="G3373" s="69"/>
    </row>
    <row r="3374" ht="22.5" customHeight="1">
      <c r="A3374" s="66" t="s">
        <v>4327</v>
      </c>
      <c r="B3374" s="67" t="str">
        <f t="shared" si="15"/>
        <v>M: hunting</v>
      </c>
      <c r="C3374" s="68"/>
      <c r="D3374" s="68">
        <v>46087.0</v>
      </c>
      <c r="E3374" s="66">
        <v>1.0</v>
      </c>
      <c r="F3374" s="66" t="str">
        <f>IFERROR(__xludf.DUMMYFUNCTION("GOOGLETRANSLATE(A3374,""en"",""pt"")"),"caça")</f>
        <v>caça</v>
      </c>
      <c r="G3374" s="69"/>
    </row>
    <row r="3375" ht="22.5" customHeight="1">
      <c r="A3375" s="66" t="s">
        <v>4328</v>
      </c>
      <c r="B3375" s="67" t="str">
        <f t="shared" si="15"/>
        <v>M: trap</v>
      </c>
      <c r="C3375" s="68"/>
      <c r="D3375" s="68">
        <v>46087.0</v>
      </c>
      <c r="E3375" s="66">
        <v>2.0</v>
      </c>
      <c r="F3375" s="66" t="str">
        <f>IFERROR(__xludf.DUMMYFUNCTION("GOOGLETRANSLATE(A3375,""en"",""pt"")"),"armadilha")</f>
        <v>armadilha</v>
      </c>
      <c r="G3375" s="69"/>
    </row>
    <row r="3376" ht="22.5" customHeight="1">
      <c r="A3376" s="66" t="s">
        <v>4329</v>
      </c>
      <c r="B3376" s="67" t="str">
        <f t="shared" si="15"/>
        <v>M: anxiety</v>
      </c>
      <c r="C3376" s="68"/>
      <c r="D3376" s="68">
        <v>46087.0</v>
      </c>
      <c r="E3376" s="66">
        <v>3.0</v>
      </c>
      <c r="F3376" s="66" t="str">
        <f>IFERROR(__xludf.DUMMYFUNCTION("GOOGLETRANSLATE(A3376,""en"",""pt"")"),"ansiedade")</f>
        <v>ansiedade</v>
      </c>
      <c r="G3376" s="69"/>
    </row>
    <row r="3377" ht="22.5" customHeight="1">
      <c r="A3377" s="66" t="s">
        <v>2897</v>
      </c>
      <c r="B3377" s="67" t="str">
        <f t="shared" si="15"/>
        <v>M: procs</v>
      </c>
      <c r="C3377" s="66">
        <v>2.0</v>
      </c>
      <c r="D3377" s="68">
        <v>46087.0</v>
      </c>
      <c r="E3377" s="66">
        <v>4.0</v>
      </c>
      <c r="F3377" s="66" t="str">
        <f>IFERROR(__xludf.DUMMYFUNCTION("GOOGLETRANSLATE(A3377,""en"",""pt"")"),"processos")</f>
        <v>processos</v>
      </c>
      <c r="G3377" s="66" t="s">
        <v>247</v>
      </c>
    </row>
    <row r="3378" ht="22.5" customHeight="1">
      <c r="A3378" s="66" t="s">
        <v>4330</v>
      </c>
      <c r="B3378" s="67" t="str">
        <f t="shared" si="15"/>
        <v>M: producer</v>
      </c>
      <c r="C3378" s="68"/>
      <c r="D3378" s="68">
        <v>46087.0</v>
      </c>
      <c r="E3378" s="66">
        <v>5.0</v>
      </c>
      <c r="F3378" s="66" t="str">
        <f>IFERROR(__xludf.DUMMYFUNCTION("GOOGLETRANSLATE(A3378,""en"",""pt"")"),"produtor")</f>
        <v>produtor</v>
      </c>
      <c r="G3378" s="69"/>
    </row>
    <row r="3379" ht="22.5" customHeight="1">
      <c r="A3379" s="66" t="s">
        <v>4331</v>
      </c>
      <c r="B3379" s="67" t="str">
        <f t="shared" si="15"/>
        <v>M: concurrently</v>
      </c>
      <c r="C3379" s="68"/>
      <c r="D3379" s="68">
        <v>46087.0</v>
      </c>
      <c r="E3379" s="66">
        <v>6.0</v>
      </c>
      <c r="F3379" s="66" t="str">
        <f>IFERROR(__xludf.DUMMYFUNCTION("GOOGLETRANSLATE(A3379,""en"",""pt"")"),"simultaneamente")</f>
        <v>simultaneamente</v>
      </c>
      <c r="G3379" s="69"/>
    </row>
    <row r="3380" ht="22.5" customHeight="1">
      <c r="A3380" s="66" t="s">
        <v>2885</v>
      </c>
      <c r="B3380" s="67" t="str">
        <f t="shared" si="15"/>
        <v>M: enemies</v>
      </c>
      <c r="C3380" s="66">
        <v>2.0</v>
      </c>
      <c r="D3380" s="68">
        <v>46087.0</v>
      </c>
      <c r="E3380" s="66">
        <v>7.0</v>
      </c>
      <c r="F3380" s="66" t="s">
        <v>4332</v>
      </c>
      <c r="G3380" s="66" t="s">
        <v>247</v>
      </c>
    </row>
    <row r="3381" ht="22.5" customHeight="1">
      <c r="A3381" s="66" t="s">
        <v>4333</v>
      </c>
      <c r="B3381" s="67" t="str">
        <f t="shared" si="15"/>
        <v>M: Distraction</v>
      </c>
      <c r="C3381" s="68"/>
      <c r="D3381" s="68">
        <v>46087.0</v>
      </c>
      <c r="E3381" s="66">
        <v>8.0</v>
      </c>
      <c r="F3381" s="66" t="str">
        <f>IFERROR(__xludf.DUMMYFUNCTION("GOOGLETRANSLATE(A3381,""en"",""pt"")"),"Distração")</f>
        <v>Distração</v>
      </c>
      <c r="G3381" s="69"/>
    </row>
    <row r="3382" ht="22.5" customHeight="1">
      <c r="A3382" s="66" t="s">
        <v>4334</v>
      </c>
      <c r="B3382" s="67" t="str">
        <f t="shared" si="15"/>
        <v>M: fatigue</v>
      </c>
      <c r="C3382" s="68"/>
      <c r="D3382" s="68">
        <v>46088.0</v>
      </c>
      <c r="E3382" s="66">
        <v>9.0</v>
      </c>
      <c r="F3382" s="66" t="str">
        <f>IFERROR(__xludf.DUMMYFUNCTION("GOOGLETRANSLATE(A3382,""en"",""pt"")"),"fadiga")</f>
        <v>fadiga</v>
      </c>
      <c r="G3382" s="69"/>
    </row>
    <row r="3383" ht="22.5" customHeight="1">
      <c r="A3383" s="66" t="s">
        <v>4335</v>
      </c>
      <c r="B3383" s="67" t="str">
        <f t="shared" si="15"/>
        <v>M: lifelong</v>
      </c>
      <c r="C3383" s="68"/>
      <c r="D3383" s="68">
        <v>46088.0</v>
      </c>
      <c r="E3383" s="66">
        <v>10.0</v>
      </c>
      <c r="F3383" s="66" t="str">
        <f>IFERROR(__xludf.DUMMYFUNCTION("GOOGLETRANSLATE(A3383,""en"",""pt"")"),"por toda a vida")</f>
        <v>por toda a vida</v>
      </c>
      <c r="G3383" s="69"/>
    </row>
    <row r="3384" ht="22.5" customHeight="1">
      <c r="A3384" s="66" t="s">
        <v>2877</v>
      </c>
      <c r="B3384" s="67" t="str">
        <f t="shared" si="15"/>
        <v>M: compares</v>
      </c>
      <c r="C3384" s="66">
        <v>2.0</v>
      </c>
      <c r="D3384" s="68">
        <v>46088.0</v>
      </c>
      <c r="E3384" s="66">
        <v>1.0</v>
      </c>
      <c r="F3384" s="66" t="s">
        <v>4336</v>
      </c>
      <c r="G3384" s="66" t="s">
        <v>247</v>
      </c>
    </row>
    <row r="3385" ht="22.5" customHeight="1">
      <c r="A3385" s="66" t="s">
        <v>2869</v>
      </c>
      <c r="B3385" s="67" t="str">
        <f t="shared" si="15"/>
        <v>M: playability</v>
      </c>
      <c r="C3385" s="66">
        <v>2.0</v>
      </c>
      <c r="D3385" s="68">
        <v>46088.0</v>
      </c>
      <c r="E3385" s="66">
        <v>2.0</v>
      </c>
      <c r="F3385" s="66" t="s">
        <v>4337</v>
      </c>
      <c r="G3385" s="66" t="s">
        <v>247</v>
      </c>
    </row>
    <row r="3386" ht="22.5" customHeight="1">
      <c r="A3386" s="66" t="s">
        <v>2865</v>
      </c>
      <c r="B3386" s="67" t="str">
        <f t="shared" si="15"/>
        <v>M: reapers</v>
      </c>
      <c r="C3386" s="66">
        <v>2.0</v>
      </c>
      <c r="D3386" s="68">
        <v>46088.0</v>
      </c>
      <c r="E3386" s="66">
        <v>3.0</v>
      </c>
      <c r="F3386" s="66" t="s">
        <v>4338</v>
      </c>
      <c r="G3386" s="66" t="s">
        <v>247</v>
      </c>
    </row>
    <row r="3387" ht="22.5" customHeight="1">
      <c r="A3387" s="66" t="s">
        <v>4339</v>
      </c>
      <c r="B3387" s="67" t="str">
        <f t="shared" si="15"/>
        <v>M: ripe</v>
      </c>
      <c r="C3387" s="68"/>
      <c r="D3387" s="68">
        <v>46088.0</v>
      </c>
      <c r="E3387" s="66">
        <v>4.0</v>
      </c>
      <c r="F3387" s="66" t="str">
        <f>IFERROR(__xludf.DUMMYFUNCTION("GOOGLETRANSLATE(A3387,""en"",""pt"")"),"maduro")</f>
        <v>maduro</v>
      </c>
      <c r="G3387" s="69"/>
    </row>
    <row r="3388" ht="22.5" customHeight="1">
      <c r="A3388" s="66" t="s">
        <v>4340</v>
      </c>
      <c r="B3388" s="67" t="str">
        <f t="shared" si="15"/>
        <v>M: grain</v>
      </c>
      <c r="C3388" s="68"/>
      <c r="D3388" s="68">
        <v>46088.0</v>
      </c>
      <c r="E3388" s="66">
        <v>5.0</v>
      </c>
      <c r="F3388" s="66" t="str">
        <f>IFERROR(__xludf.DUMMYFUNCTION("GOOGLETRANSLATE(A3388,""en"",""pt"")"),"grão")</f>
        <v>grão</v>
      </c>
      <c r="G3388" s="69"/>
    </row>
    <row r="3389" ht="22.5" customHeight="1">
      <c r="A3389" s="66" t="s">
        <v>4341</v>
      </c>
      <c r="B3389" s="67" t="str">
        <f t="shared" si="15"/>
        <v>M: cut</v>
      </c>
      <c r="C3389" s="68"/>
      <c r="D3389" s="68">
        <v>46088.0</v>
      </c>
      <c r="E3389" s="66">
        <v>6.0</v>
      </c>
      <c r="F3389" s="66" t="str">
        <f>IFERROR(__xludf.DUMMYFUNCTION("GOOGLETRANSLATE(A3389,""en"",""pt"")"),"corte")</f>
        <v>corte</v>
      </c>
      <c r="G3389" s="69"/>
    </row>
    <row r="3390" ht="22.5" customHeight="1">
      <c r="A3390" s="66" t="s">
        <v>4342</v>
      </c>
      <c r="B3390" s="67" t="str">
        <f t="shared" si="15"/>
        <v>M: replaced</v>
      </c>
      <c r="C3390" s="68"/>
      <c r="D3390" s="68">
        <v>46088.0</v>
      </c>
      <c r="E3390" s="66">
        <v>7.0</v>
      </c>
      <c r="F3390" s="66" t="str">
        <f>IFERROR(__xludf.DUMMYFUNCTION("GOOGLETRANSLATE(A3390,""en"",""pt"")"),"substituído")</f>
        <v>substituído</v>
      </c>
      <c r="G3390" s="69"/>
    </row>
    <row r="3391" ht="22.5" customHeight="1">
      <c r="A3391" s="66" t="s">
        <v>4343</v>
      </c>
      <c r="B3391" s="67" t="str">
        <f t="shared" si="15"/>
        <v>M: myth</v>
      </c>
      <c r="C3391" s="68"/>
      <c r="D3391" s="68">
        <v>46088.0</v>
      </c>
      <c r="E3391" s="66">
        <v>8.0</v>
      </c>
      <c r="F3391" s="66" t="str">
        <f>IFERROR(__xludf.DUMMYFUNCTION("GOOGLETRANSLATE(A3391,""en"",""pt"")"),"mito")</f>
        <v>mito</v>
      </c>
      <c r="G3391" s="69"/>
    </row>
    <row r="3392" ht="22.5" customHeight="1">
      <c r="A3392" s="66" t="s">
        <v>4344</v>
      </c>
      <c r="B3392" s="67" t="str">
        <f t="shared" si="15"/>
        <v>M: depicts</v>
      </c>
      <c r="C3392" s="68"/>
      <c r="D3392" s="68">
        <v>46089.0</v>
      </c>
      <c r="E3392" s="66">
        <v>9.0</v>
      </c>
      <c r="F3392" s="66" t="str">
        <f>IFERROR(__xludf.DUMMYFUNCTION("GOOGLETRANSLATE(A3392,""en"",""pt"")"),"retrata")</f>
        <v>retrata</v>
      </c>
      <c r="G3392" s="69"/>
    </row>
    <row r="3393" ht="22.5" customHeight="1">
      <c r="A3393" s="66" t="s">
        <v>4345</v>
      </c>
      <c r="B3393" s="67" t="str">
        <f t="shared" si="15"/>
        <v>M: scythe</v>
      </c>
      <c r="C3393" s="68"/>
      <c r="D3393" s="68">
        <v>46089.0</v>
      </c>
      <c r="E3393" s="66">
        <v>10.0</v>
      </c>
      <c r="F3393" s="66" t="str">
        <f>IFERROR(__xludf.DUMMYFUNCTION("GOOGLETRANSLATE(A3393,""en"",""pt"")"),"foice")</f>
        <v>foice</v>
      </c>
      <c r="G3393" s="69"/>
    </row>
    <row r="3394" ht="22.5" customHeight="1">
      <c r="A3394" s="66" t="s">
        <v>4346</v>
      </c>
      <c r="B3394" s="67" t="str">
        <f t="shared" si="15"/>
        <v>M: feared</v>
      </c>
      <c r="C3394" s="68"/>
      <c r="D3394" s="68">
        <v>46089.0</v>
      </c>
      <c r="E3394" s="66">
        <v>1.0</v>
      </c>
      <c r="F3394" s="66" t="str">
        <f>IFERROR(__xludf.DUMMYFUNCTION("GOOGLETRANSLATE(A3394,""en"",""pt"")"),"temido")</f>
        <v>temido</v>
      </c>
      <c r="G3394" s="69"/>
    </row>
    <row r="3395" ht="22.5" customHeight="1">
      <c r="A3395" s="66" t="s">
        <v>4347</v>
      </c>
      <c r="B3395" s="67" t="str">
        <f t="shared" si="15"/>
        <v>M: collect</v>
      </c>
      <c r="C3395" s="68"/>
      <c r="D3395" s="68">
        <v>46089.0</v>
      </c>
      <c r="E3395" s="66">
        <v>2.0</v>
      </c>
      <c r="F3395" s="66" t="str">
        <f>IFERROR(__xludf.DUMMYFUNCTION("GOOGLETRANSLATE(A3395,""en"",""pt"")"),"coletar")</f>
        <v>coletar</v>
      </c>
      <c r="G3395" s="69"/>
    </row>
    <row r="3396" ht="22.5" customHeight="1">
      <c r="A3396" s="66" t="s">
        <v>4348</v>
      </c>
      <c r="B3396" s="67" t="str">
        <f t="shared" si="15"/>
        <v>M: souls</v>
      </c>
      <c r="C3396" s="68"/>
      <c r="D3396" s="68">
        <v>46089.0</v>
      </c>
      <c r="E3396" s="66">
        <v>3.0</v>
      </c>
      <c r="F3396" s="66" t="str">
        <f>IFERROR(__xludf.DUMMYFUNCTION("GOOGLETRANSLATE(A3396,""en"",""pt"")"),"almas")</f>
        <v>almas</v>
      </c>
      <c r="G3396" s="69"/>
    </row>
    <row r="3397" ht="22.5" customHeight="1">
      <c r="A3397" s="66" t="s">
        <v>4349</v>
      </c>
      <c r="B3397" s="67" t="str">
        <f t="shared" si="15"/>
        <v>M: dark</v>
      </c>
      <c r="C3397" s="68"/>
      <c r="D3397" s="68">
        <v>46089.0</v>
      </c>
      <c r="E3397" s="66">
        <v>4.0</v>
      </c>
      <c r="F3397" s="66" t="str">
        <f>IFERROR(__xludf.DUMMYFUNCTION("GOOGLETRANSLATE(A3397,""en"",""pt"")"),"escuro")</f>
        <v>escuro</v>
      </c>
      <c r="G3397" s="69"/>
    </row>
    <row r="3398" ht="22.5" customHeight="1">
      <c r="A3398" s="66" t="s">
        <v>2863</v>
      </c>
      <c r="B3398" s="67" t="str">
        <f t="shared" si="15"/>
        <v>M: cornered</v>
      </c>
      <c r="C3398" s="66">
        <v>2.0</v>
      </c>
      <c r="D3398" s="68">
        <v>46089.0</v>
      </c>
      <c r="E3398" s="66">
        <v>5.0</v>
      </c>
      <c r="F3398" s="66" t="s">
        <v>4350</v>
      </c>
      <c r="G3398" s="66" t="s">
        <v>247</v>
      </c>
    </row>
    <row r="3399" ht="22.5" customHeight="1">
      <c r="A3399" s="66" t="s">
        <v>4351</v>
      </c>
      <c r="B3399" s="67" t="str">
        <f t="shared" si="15"/>
        <v>M: finally</v>
      </c>
      <c r="C3399" s="68"/>
      <c r="D3399" s="68">
        <v>46089.0</v>
      </c>
      <c r="E3399" s="66">
        <v>6.0</v>
      </c>
      <c r="F3399" s="66" t="str">
        <f>IFERROR(__xludf.DUMMYFUNCTION("GOOGLETRANSLATE(A3399,""en"",""pt"")"),"finalmente")</f>
        <v>finalmente</v>
      </c>
      <c r="G3399" s="69"/>
    </row>
    <row r="3400" ht="22.5" customHeight="1">
      <c r="A3400" s="66" t="s">
        <v>4352</v>
      </c>
      <c r="B3400" s="67" t="str">
        <f t="shared" si="15"/>
        <v>M: barking</v>
      </c>
      <c r="C3400" s="68"/>
      <c r="D3400" s="68">
        <v>46089.0</v>
      </c>
      <c r="E3400" s="66">
        <v>7.0</v>
      </c>
      <c r="F3400" s="66" t="str">
        <f>IFERROR(__xludf.DUMMYFUNCTION("GOOGLETRANSLATE(A3400,""en"",""pt"")"),"latindo")</f>
        <v>latindo</v>
      </c>
      <c r="G3400" s="69"/>
    </row>
    <row r="3401" ht="22.5" customHeight="1">
      <c r="A3401" s="66" t="s">
        <v>4353</v>
      </c>
      <c r="B3401" s="67" t="str">
        <f t="shared" si="15"/>
        <v>M: loud</v>
      </c>
      <c r="C3401" s="68"/>
      <c r="D3401" s="68">
        <v>46089.0</v>
      </c>
      <c r="E3401" s="66">
        <v>8.0</v>
      </c>
      <c r="F3401" s="66" t="str">
        <f>IFERROR(__xludf.DUMMYFUNCTION("GOOGLETRANSLATE(A3401,""en"",""pt"")"),"alto")</f>
        <v>alto</v>
      </c>
      <c r="G3401" s="69"/>
    </row>
    <row r="3402" ht="22.5" customHeight="1">
      <c r="A3402" s="66" t="s">
        <v>4354</v>
      </c>
      <c r="B3402" s="67" t="str">
        <f t="shared" si="15"/>
        <v>M: opposing</v>
      </c>
      <c r="C3402" s="68"/>
      <c r="D3402" s="68">
        <v>46090.0</v>
      </c>
      <c r="E3402" s="66">
        <v>9.0</v>
      </c>
      <c r="F3402" s="66" t="str">
        <f>IFERROR(__xludf.DUMMYFUNCTION("GOOGLETRANSLATE(A3402,""en"",""pt"")"),"oposição")</f>
        <v>oposição</v>
      </c>
      <c r="G3402" s="69"/>
    </row>
    <row r="3403" ht="22.5" customHeight="1">
      <c r="A3403" s="66" t="s">
        <v>4355</v>
      </c>
      <c r="B3403" s="67" t="str">
        <f t="shared" si="15"/>
        <v>M: strategy</v>
      </c>
      <c r="C3403" s="68"/>
      <c r="D3403" s="68">
        <v>46090.0</v>
      </c>
      <c r="E3403" s="66">
        <v>10.0</v>
      </c>
      <c r="F3403" s="66" t="str">
        <f>IFERROR(__xludf.DUMMYFUNCTION("GOOGLETRANSLATE(A3403,""en"",""pt"")"),"estratégia")</f>
        <v>estratégia</v>
      </c>
      <c r="G3403" s="69"/>
    </row>
    <row r="3404" ht="22.5" customHeight="1">
      <c r="A3404" s="66" t="s">
        <v>4356</v>
      </c>
      <c r="B3404" s="67" t="str">
        <f t="shared" si="15"/>
        <v>M: digital</v>
      </c>
      <c r="C3404" s="68"/>
      <c r="D3404" s="68">
        <v>46090.0</v>
      </c>
      <c r="E3404" s="66">
        <v>1.0</v>
      </c>
      <c r="F3404" s="66" t="str">
        <f>IFERROR(__xludf.DUMMYFUNCTION("GOOGLETRANSLATE(A3404,""en"",""pt"")"),"digital")</f>
        <v>digital</v>
      </c>
      <c r="G3404" s="69"/>
    </row>
    <row r="3405" ht="22.5" customHeight="1">
      <c r="A3405" s="66" t="s">
        <v>4357</v>
      </c>
      <c r="B3405" s="67" t="str">
        <f t="shared" si="15"/>
        <v>M: watches</v>
      </c>
      <c r="C3405" s="68"/>
      <c r="D3405" s="68">
        <v>46090.0</v>
      </c>
      <c r="E3405" s="66">
        <v>2.0</v>
      </c>
      <c r="F3405" s="66" t="str">
        <f>IFERROR(__xludf.DUMMYFUNCTION("GOOGLETRANSLATE(A3405,""en"",""pt"")"),"relógios")</f>
        <v>relógios</v>
      </c>
      <c r="G3405" s="69"/>
    </row>
    <row r="3406" ht="22.5" customHeight="1">
      <c r="A3406" s="66" t="s">
        <v>4358</v>
      </c>
      <c r="B3406" s="67" t="str">
        <f t="shared" si="15"/>
        <v>M: supply</v>
      </c>
      <c r="C3406" s="68"/>
      <c r="D3406" s="68">
        <v>46090.0</v>
      </c>
      <c r="E3406" s="66">
        <v>3.0</v>
      </c>
      <c r="F3406" s="66" t="str">
        <f>IFERROR(__xludf.DUMMYFUNCTION("GOOGLETRANSLATE(A3406,""en"",""pt"")"),"fornecer")</f>
        <v>fornecer</v>
      </c>
      <c r="G3406" s="69"/>
    </row>
    <row r="3407" ht="22.5" customHeight="1">
      <c r="A3407" s="66" t="s">
        <v>4359</v>
      </c>
      <c r="B3407" s="67" t="str">
        <f t="shared" si="15"/>
        <v>M: resource</v>
      </c>
      <c r="C3407" s="68"/>
      <c r="D3407" s="68">
        <v>46090.0</v>
      </c>
      <c r="E3407" s="66">
        <v>4.0</v>
      </c>
      <c r="F3407" s="66" t="str">
        <f>IFERROR(__xludf.DUMMYFUNCTION("GOOGLETRANSLATE(A3407,""en"",""pt"")"),"recurso")</f>
        <v>recurso</v>
      </c>
      <c r="G3407" s="69"/>
    </row>
    <row r="3408" ht="22.5" customHeight="1">
      <c r="A3408" s="66" t="s">
        <v>4360</v>
      </c>
      <c r="B3408" s="67" t="str">
        <f t="shared" si="15"/>
        <v>M: base</v>
      </c>
      <c r="C3408" s="68"/>
      <c r="D3408" s="68">
        <v>46090.0</v>
      </c>
      <c r="E3408" s="66">
        <v>5.0</v>
      </c>
      <c r="F3408" s="66" t="str">
        <f>IFERROR(__xludf.DUMMYFUNCTION("GOOGLETRANSLATE(A3408,""en"",""pt"")"),"base")</f>
        <v>base</v>
      </c>
      <c r="G3408" s="69"/>
    </row>
    <row r="3409" ht="22.5" customHeight="1">
      <c r="A3409" s="66" t="s">
        <v>4361</v>
      </c>
      <c r="B3409" s="67" t="str">
        <f t="shared" si="15"/>
        <v>M: basement</v>
      </c>
      <c r="C3409" s="68"/>
      <c r="D3409" s="68">
        <v>46090.0</v>
      </c>
      <c r="E3409" s="66">
        <v>6.0</v>
      </c>
      <c r="F3409" s="66" t="str">
        <f>IFERROR(__xludf.DUMMYFUNCTION("GOOGLETRANSLATE(A3409,""en"",""pt"")"),"porão")</f>
        <v>porão</v>
      </c>
      <c r="G3409" s="69"/>
    </row>
    <row r="3410" ht="22.5" customHeight="1">
      <c r="A3410" s="66" t="s">
        <v>4362</v>
      </c>
      <c r="B3410" s="67" t="str">
        <f t="shared" si="15"/>
        <v>M: specific</v>
      </c>
      <c r="C3410" s="68"/>
      <c r="D3410" s="68">
        <v>46090.0</v>
      </c>
      <c r="E3410" s="66">
        <v>7.0</v>
      </c>
      <c r="F3410" s="66" t="str">
        <f>IFERROR(__xludf.DUMMYFUNCTION("GOOGLETRANSLATE(A3410,""en"",""pt"")"),"específico")</f>
        <v>específico</v>
      </c>
      <c r="G3410" s="69"/>
    </row>
    <row r="3411" ht="22.5" customHeight="1">
      <c r="A3411" s="66" t="s">
        <v>4363</v>
      </c>
      <c r="B3411" s="67" t="str">
        <f t="shared" si="15"/>
        <v>M: niche</v>
      </c>
      <c r="C3411" s="68"/>
      <c r="D3411" s="68">
        <v>46090.0</v>
      </c>
      <c r="E3411" s="66">
        <v>8.0</v>
      </c>
      <c r="F3411" s="66" t="str">
        <f>IFERROR(__xludf.DUMMYFUNCTION("GOOGLETRANSLATE(A3411,""en"",""pt"")"),"nicho")</f>
        <v>nicho</v>
      </c>
      <c r="G3411" s="69"/>
    </row>
    <row r="3412" ht="22.5" customHeight="1">
      <c r="A3412" s="66" t="s">
        <v>4364</v>
      </c>
      <c r="B3412" s="67" t="str">
        <f t="shared" si="15"/>
        <v>M: Tapping into</v>
      </c>
      <c r="C3412" s="66">
        <v>1.0</v>
      </c>
      <c r="D3412" s="68">
        <v>46091.0</v>
      </c>
      <c r="E3412" s="66">
        <v>9.0</v>
      </c>
      <c r="F3412" s="66" t="s">
        <v>4365</v>
      </c>
      <c r="G3412" s="66" t="s">
        <v>247</v>
      </c>
    </row>
    <row r="3413" ht="22.5" customHeight="1">
      <c r="A3413" s="66" t="s">
        <v>4364</v>
      </c>
      <c r="B3413" s="67" t="str">
        <f t="shared" si="15"/>
        <v>M: Tapping into</v>
      </c>
      <c r="C3413" s="66">
        <v>2.0</v>
      </c>
      <c r="D3413" s="68">
        <v>46091.0</v>
      </c>
      <c r="E3413" s="66">
        <v>10.0</v>
      </c>
      <c r="F3413" s="66" t="s">
        <v>4366</v>
      </c>
      <c r="G3413" s="66" t="s">
        <v>247</v>
      </c>
    </row>
    <row r="3414" ht="22.5" customHeight="1">
      <c r="A3414" s="66" t="s">
        <v>4367</v>
      </c>
      <c r="B3414" s="67" t="str">
        <f t="shared" si="15"/>
        <v>M: emerging</v>
      </c>
      <c r="C3414" s="68"/>
      <c r="D3414" s="68">
        <v>46091.0</v>
      </c>
      <c r="E3414" s="66">
        <v>1.0</v>
      </c>
      <c r="F3414" s="66" t="str">
        <f>IFERROR(__xludf.DUMMYFUNCTION("GOOGLETRANSLATE(A3414,""en"",""pt"")"),"emergentes")</f>
        <v>emergentes</v>
      </c>
      <c r="G3414" s="69"/>
    </row>
    <row r="3415" ht="22.5" customHeight="1">
      <c r="A3415" s="66" t="s">
        <v>4368</v>
      </c>
      <c r="B3415" s="67" t="str">
        <f t="shared" si="15"/>
        <v>M: market</v>
      </c>
      <c r="C3415" s="68"/>
      <c r="D3415" s="68">
        <v>46091.0</v>
      </c>
      <c r="E3415" s="66">
        <v>2.0</v>
      </c>
      <c r="F3415" s="66" t="str">
        <f>IFERROR(__xludf.DUMMYFUNCTION("GOOGLETRANSLATE(A3415,""en"",""pt"")"),"mercado")</f>
        <v>mercado</v>
      </c>
      <c r="G3415" s="69"/>
    </row>
    <row r="3416" ht="22.5" customHeight="1">
      <c r="A3416" s="66" t="s">
        <v>4369</v>
      </c>
      <c r="B3416" s="67" t="str">
        <f t="shared" si="15"/>
        <v>M: line</v>
      </c>
      <c r="C3416" s="68"/>
      <c r="D3416" s="68">
        <v>46091.0</v>
      </c>
      <c r="E3416" s="66">
        <v>3.0</v>
      </c>
      <c r="F3416" s="66" t="str">
        <f>IFERROR(__xludf.DUMMYFUNCTION("GOOGLETRANSLATE(A3416,""en"",""pt"")"),"linha")</f>
        <v>linha</v>
      </c>
      <c r="G3416" s="69"/>
    </row>
    <row r="3417" ht="22.5" customHeight="1">
      <c r="A3417" s="66" t="s">
        <v>4370</v>
      </c>
      <c r="B3417" s="67" t="str">
        <f t="shared" si="15"/>
        <v>M: someone</v>
      </c>
      <c r="C3417" s="68"/>
      <c r="D3417" s="68">
        <v>46091.0</v>
      </c>
      <c r="E3417" s="66">
        <v>4.0</v>
      </c>
      <c r="F3417" s="66" t="str">
        <f>IFERROR(__xludf.DUMMYFUNCTION("GOOGLETRANSLATE(A3417,""en"",""pt"")"),"alguém")</f>
        <v>alguém</v>
      </c>
      <c r="G3417" s="69"/>
    </row>
    <row r="3418" ht="22.5" customHeight="1">
      <c r="A3418" s="70" t="s">
        <v>4371</v>
      </c>
      <c r="B3418" s="67" t="str">
        <f t="shared" si="15"/>
        <v>M: stream</v>
      </c>
      <c r="C3418" s="68"/>
      <c r="D3418" s="68">
        <v>46091.0</v>
      </c>
      <c r="E3418" s="66">
        <v>5.0</v>
      </c>
      <c r="F3418" s="66" t="str">
        <f>IFERROR(__xludf.DUMMYFUNCTION("GOOGLETRANSLATE(A3418,""en"",""pt"")"),"fluxo")</f>
        <v>fluxo</v>
      </c>
      <c r="G3418" s="69"/>
    </row>
    <row r="3419" ht="22.5" customHeight="1">
      <c r="A3419" s="66" t="s">
        <v>2858</v>
      </c>
      <c r="B3419" s="67" t="str">
        <f t="shared" si="15"/>
        <v>M: substantially</v>
      </c>
      <c r="C3419" s="66">
        <v>2.0</v>
      </c>
      <c r="D3419" s="68">
        <v>46091.0</v>
      </c>
      <c r="E3419" s="66">
        <v>6.0</v>
      </c>
      <c r="F3419" s="66" t="s">
        <v>4372</v>
      </c>
      <c r="G3419" s="66" t="s">
        <v>247</v>
      </c>
    </row>
    <row r="3420" ht="22.5" customHeight="1">
      <c r="A3420" s="66" t="s">
        <v>4373</v>
      </c>
      <c r="B3420" s="67" t="str">
        <f t="shared" si="15"/>
        <v>M: refactoring</v>
      </c>
      <c r="C3420" s="68"/>
      <c r="D3420" s="68">
        <v>46091.0</v>
      </c>
      <c r="E3420" s="66">
        <v>7.0</v>
      </c>
      <c r="F3420" s="66" t="str">
        <f>IFERROR(__xludf.DUMMYFUNCTION("GOOGLETRANSLATE(A3420,""en"",""pt"")"),"refatoração")</f>
        <v>refatoração</v>
      </c>
      <c r="G3420" s="69"/>
    </row>
    <row r="3421" ht="22.5" customHeight="1">
      <c r="A3421" s="66" t="s">
        <v>4374</v>
      </c>
      <c r="B3421" s="67" t="str">
        <f t="shared" si="15"/>
        <v>M: plan</v>
      </c>
      <c r="C3421" s="68"/>
      <c r="D3421" s="68">
        <v>46091.0</v>
      </c>
      <c r="E3421" s="66">
        <v>8.0</v>
      </c>
      <c r="F3421" s="66" t="str">
        <f>IFERROR(__xludf.DUMMYFUNCTION("GOOGLETRANSLATE(A3421,""en"",""pt"")"),"plano")</f>
        <v>plano</v>
      </c>
      <c r="G3421" s="69"/>
    </row>
    <row r="3422" ht="22.5" customHeight="1">
      <c r="A3422" s="66" t="s">
        <v>4375</v>
      </c>
      <c r="B3422" s="67" t="str">
        <f t="shared" si="15"/>
        <v>M: reduce</v>
      </c>
      <c r="C3422" s="68"/>
      <c r="D3422" s="68">
        <v>46092.0</v>
      </c>
      <c r="E3422" s="66">
        <v>9.0</v>
      </c>
      <c r="F3422" s="66" t="str">
        <f>IFERROR(__xludf.DUMMYFUNCTION("GOOGLETRANSLATE(A3422,""en"",""pt"")"),"reduzir")</f>
        <v>reduzir</v>
      </c>
      <c r="G3422" s="69"/>
    </row>
    <row r="3423" ht="22.5" customHeight="1">
      <c r="A3423" s="66" t="s">
        <v>4376</v>
      </c>
      <c r="B3423" s="67" t="str">
        <f t="shared" si="15"/>
        <v>M: estimate</v>
      </c>
      <c r="C3423" s="68"/>
      <c r="D3423" s="68">
        <v>46092.0</v>
      </c>
      <c r="E3423" s="66">
        <v>10.0</v>
      </c>
      <c r="F3423" s="66" t="str">
        <f>IFERROR(__xludf.DUMMYFUNCTION("GOOGLETRANSLATE(A3423,""en"",""pt"")"),"estimativa")</f>
        <v>estimativa</v>
      </c>
      <c r="G3423" s="69"/>
    </row>
    <row r="3424" ht="22.5" customHeight="1">
      <c r="A3424" s="66" t="s">
        <v>4377</v>
      </c>
      <c r="B3424" s="67" t="str">
        <f t="shared" si="15"/>
        <v>M: decreased</v>
      </c>
      <c r="C3424" s="68"/>
      <c r="D3424" s="68">
        <v>46092.0</v>
      </c>
      <c r="E3424" s="66">
        <v>1.0</v>
      </c>
      <c r="F3424" s="66" t="str">
        <f>IFERROR(__xludf.DUMMYFUNCTION("GOOGLETRANSLATE(A3424,""en"",""pt"")"),"diminuiu")</f>
        <v>diminuiu</v>
      </c>
      <c r="G3424" s="69"/>
    </row>
    <row r="3425" ht="22.5" customHeight="1">
      <c r="A3425" s="66" t="s">
        <v>4378</v>
      </c>
      <c r="B3425" s="67" t="str">
        <f t="shared" si="15"/>
        <v>M: server</v>
      </c>
      <c r="C3425" s="68"/>
      <c r="D3425" s="68">
        <v>46092.0</v>
      </c>
      <c r="E3425" s="66">
        <v>2.0</v>
      </c>
      <c r="F3425" s="66" t="str">
        <f>IFERROR(__xludf.DUMMYFUNCTION("GOOGLETRANSLATE(A3425,""en"",""pt"")"),"servidor")</f>
        <v>servidor</v>
      </c>
      <c r="G3425" s="69"/>
    </row>
    <row r="3426" ht="22.5" customHeight="1">
      <c r="A3426" s="66" t="s">
        <v>4379</v>
      </c>
      <c r="B3426" s="67" t="str">
        <f t="shared" si="15"/>
        <v>M: optimization</v>
      </c>
      <c r="C3426" s="68"/>
      <c r="D3426" s="68">
        <v>46092.0</v>
      </c>
      <c r="E3426" s="66">
        <v>3.0</v>
      </c>
      <c r="F3426" s="66" t="str">
        <f>IFERROR(__xludf.DUMMYFUNCTION("GOOGLETRANSLATE(A3426,""en"",""pt"")"),"otimização")</f>
        <v>otimização</v>
      </c>
      <c r="G3426" s="69"/>
    </row>
    <row r="3427" ht="22.5" customHeight="1">
      <c r="A3427" s="66" t="s">
        <v>4380</v>
      </c>
      <c r="B3427" s="67" t="str">
        <f t="shared" si="15"/>
        <v>M: equivalent</v>
      </c>
      <c r="C3427" s="68"/>
      <c r="D3427" s="68">
        <v>46092.0</v>
      </c>
      <c r="E3427" s="66">
        <v>4.0</v>
      </c>
      <c r="F3427" s="66" t="str">
        <f>IFERROR(__xludf.DUMMYFUNCTION("GOOGLETRANSLATE(A3427,""en"",""pt"")"),"equivalente")</f>
        <v>equivalente</v>
      </c>
      <c r="G3427" s="69"/>
    </row>
    <row r="3428" ht="22.5" customHeight="1">
      <c r="A3428" s="66" t="s">
        <v>4381</v>
      </c>
      <c r="B3428" s="67" t="str">
        <f t="shared" si="15"/>
        <v>M: argument</v>
      </c>
      <c r="C3428" s="68"/>
      <c r="D3428" s="68">
        <v>46092.0</v>
      </c>
      <c r="E3428" s="66">
        <v>5.0</v>
      </c>
      <c r="F3428" s="66" t="str">
        <f>IFERROR(__xludf.DUMMYFUNCTION("GOOGLETRANSLATE(A3428,""en"",""pt"")"),"argumento")</f>
        <v>argumento</v>
      </c>
      <c r="G3428" s="69"/>
    </row>
    <row r="3429" ht="22.5" customHeight="1">
      <c r="A3429" s="66" t="s">
        <v>4382</v>
      </c>
      <c r="B3429" s="67" t="str">
        <f t="shared" si="15"/>
        <v>M: minor</v>
      </c>
      <c r="C3429" s="68"/>
      <c r="D3429" s="68">
        <v>46092.0</v>
      </c>
      <c r="E3429" s="66">
        <v>6.0</v>
      </c>
      <c r="F3429" s="66" t="str">
        <f>IFERROR(__xludf.DUMMYFUNCTION("GOOGLETRANSLATE(A3429,""en"",""pt"")"),"menor")</f>
        <v>menor</v>
      </c>
      <c r="G3429" s="69"/>
    </row>
    <row r="3430" ht="22.5" customHeight="1">
      <c r="A3430" s="66" t="s">
        <v>4383</v>
      </c>
      <c r="B3430" s="67" t="str">
        <f t="shared" si="15"/>
        <v>M: errors</v>
      </c>
      <c r="C3430" s="68"/>
      <c r="D3430" s="68">
        <v>46092.0</v>
      </c>
      <c r="E3430" s="66">
        <v>7.0</v>
      </c>
      <c r="F3430" s="66" t="str">
        <f>IFERROR(__xludf.DUMMYFUNCTION("GOOGLETRANSLATE(A3430,""en"",""pt"")"),"erros")</f>
        <v>erros</v>
      </c>
      <c r="G3430" s="69"/>
    </row>
    <row r="3431" ht="22.5" customHeight="1">
      <c r="A3431" s="66" t="s">
        <v>2854</v>
      </c>
      <c r="B3431" s="67" t="str">
        <f t="shared" si="15"/>
        <v>M: guaranteed</v>
      </c>
      <c r="C3431" s="66">
        <v>2.0</v>
      </c>
      <c r="D3431" s="68">
        <v>46092.0</v>
      </c>
      <c r="E3431" s="66">
        <v>8.0</v>
      </c>
      <c r="F3431" s="66" t="s">
        <v>4384</v>
      </c>
      <c r="G3431" s="66" t="s">
        <v>247</v>
      </c>
    </row>
    <row r="3432" ht="22.5" customHeight="1">
      <c r="A3432" s="66" t="s">
        <v>4385</v>
      </c>
      <c r="B3432" s="67" t="str">
        <f t="shared" si="15"/>
        <v>M: defects</v>
      </c>
      <c r="C3432" s="68"/>
      <c r="D3432" s="68">
        <v>46093.0</v>
      </c>
      <c r="E3432" s="66">
        <v>9.0</v>
      </c>
      <c r="F3432" s="66" t="str">
        <f>IFERROR(__xludf.DUMMYFUNCTION("GOOGLETRANSLATE(A3432,""en"",""pt"")"),"defeitos")</f>
        <v>defeitos</v>
      </c>
      <c r="G3432" s="69"/>
    </row>
    <row r="3433" ht="22.5" customHeight="1">
      <c r="A3433" s="66" t="s">
        <v>2852</v>
      </c>
      <c r="B3433" s="67" t="str">
        <f t="shared" si="15"/>
        <v>M: plateau</v>
      </c>
      <c r="C3433" s="66">
        <v>2.0</v>
      </c>
      <c r="D3433" s="68">
        <v>46093.0</v>
      </c>
      <c r="E3433" s="66">
        <v>10.0</v>
      </c>
      <c r="F3433" s="66" t="s">
        <v>4386</v>
      </c>
      <c r="G3433" s="66" t="s">
        <v>247</v>
      </c>
    </row>
    <row r="3434" ht="22.5" customHeight="1">
      <c r="A3434" s="66" t="s">
        <v>3118</v>
      </c>
      <c r="B3434" s="67" t="str">
        <f t="shared" si="15"/>
        <v>M: built</v>
      </c>
      <c r="C3434" s="68"/>
      <c r="D3434" s="68">
        <v>46093.0</v>
      </c>
      <c r="E3434" s="66">
        <v>1.0</v>
      </c>
      <c r="F3434" s="66" t="str">
        <f>IFERROR(__xludf.DUMMYFUNCTION("GOOGLETRANSLATE(A3434,""en"",""pt"")"),"construído")</f>
        <v>construído</v>
      </c>
      <c r="G3434" s="69"/>
    </row>
    <row r="3435" ht="22.5" customHeight="1">
      <c r="A3435" s="66" t="s">
        <v>4387</v>
      </c>
      <c r="B3435" s="67" t="str">
        <f t="shared" si="15"/>
        <v>M: on</v>
      </c>
      <c r="C3435" s="68"/>
      <c r="D3435" s="68">
        <v>46093.0</v>
      </c>
      <c r="E3435" s="66">
        <v>2.0</v>
      </c>
      <c r="F3435" s="66" t="str">
        <f>IFERROR(__xludf.DUMMYFUNCTION("GOOGLETRANSLATE(A3435,""en"",""pt"")"),"sobre")</f>
        <v>sobre</v>
      </c>
      <c r="G3435" s="69"/>
    </row>
    <row r="3436" ht="22.5" customHeight="1">
      <c r="A3436" s="66" t="s">
        <v>4388</v>
      </c>
      <c r="B3436" s="67" t="str">
        <f t="shared" si="15"/>
        <v>M: in</v>
      </c>
      <c r="C3436" s="68"/>
      <c r="D3436" s="68">
        <v>46093.0</v>
      </c>
      <c r="E3436" s="66">
        <v>3.0</v>
      </c>
      <c r="F3436" s="66" t="str">
        <f>IFERROR(__xludf.DUMMYFUNCTION("GOOGLETRANSLATE(A3436,""en"",""pt"")"),"em")</f>
        <v>em</v>
      </c>
      <c r="G3436" s="69"/>
    </row>
    <row r="3437" ht="22.5" customHeight="1">
      <c r="A3437" s="66" t="s">
        <v>4389</v>
      </c>
      <c r="B3437" s="67" t="str">
        <f t="shared" si="15"/>
        <v>M: under</v>
      </c>
      <c r="C3437" s="68"/>
      <c r="D3437" s="68">
        <v>46093.0</v>
      </c>
      <c r="E3437" s="66">
        <v>4.0</v>
      </c>
      <c r="F3437" s="66" t="str">
        <f>IFERROR(__xludf.DUMMYFUNCTION("GOOGLETRANSLATE(A3437,""en"",""pt"")"),"sob")</f>
        <v>sob</v>
      </c>
      <c r="G3437" s="69"/>
    </row>
    <row r="3438" ht="22.5" customHeight="1">
      <c r="A3438" s="66" t="s">
        <v>4390</v>
      </c>
      <c r="B3438" s="67" t="str">
        <f t="shared" si="15"/>
        <v>M: strategies</v>
      </c>
      <c r="C3438" s="68"/>
      <c r="D3438" s="68">
        <v>46093.0</v>
      </c>
      <c r="E3438" s="66">
        <v>5.0</v>
      </c>
      <c r="F3438" s="66" t="str">
        <f>IFERROR(__xludf.DUMMYFUNCTION("GOOGLETRANSLATE(A3438,""en"",""pt"")"),"estratégias")</f>
        <v>estratégias</v>
      </c>
      <c r="G3438" s="69"/>
    </row>
    <row r="3439" ht="22.5" customHeight="1">
      <c r="A3439" s="66" t="s">
        <v>4391</v>
      </c>
      <c r="B3439" s="67" t="str">
        <f t="shared" si="15"/>
        <v>M: to</v>
      </c>
      <c r="C3439" s="68"/>
      <c r="D3439" s="68">
        <v>46093.0</v>
      </c>
      <c r="E3439" s="66">
        <v>6.0</v>
      </c>
      <c r="F3439" s="66" t="str">
        <f>IFERROR(__xludf.DUMMYFUNCTION("GOOGLETRANSLATE(A3439,""en"",""pt"")"),"para")</f>
        <v>para</v>
      </c>
      <c r="G3439" s="69"/>
    </row>
    <row r="3440" ht="22.5" customHeight="1">
      <c r="A3440" s="66" t="s">
        <v>2850</v>
      </c>
      <c r="B3440" s="67" t="str">
        <f t="shared" si="15"/>
        <v>M: reap</v>
      </c>
      <c r="C3440" s="66">
        <v>2.0</v>
      </c>
      <c r="D3440" s="68">
        <v>46093.0</v>
      </c>
      <c r="E3440" s="66">
        <v>7.0</v>
      </c>
      <c r="F3440" s="66" t="s">
        <v>4392</v>
      </c>
      <c r="G3440" s="66" t="s">
        <v>247</v>
      </c>
    </row>
    <row r="3441" ht="22.5" customHeight="1">
      <c r="A3441" s="66" t="s">
        <v>4393</v>
      </c>
      <c r="B3441" s="67" t="str">
        <f t="shared" si="15"/>
        <v>M: eventually</v>
      </c>
      <c r="C3441" s="68"/>
      <c r="D3441" s="68">
        <v>46093.0</v>
      </c>
      <c r="E3441" s="66">
        <v>8.0</v>
      </c>
      <c r="F3441" s="66" t="str">
        <f>IFERROR(__xludf.DUMMYFUNCTION("GOOGLETRANSLATE(A3441,""en"",""pt"")"),"eventualmente")</f>
        <v>eventualmente</v>
      </c>
      <c r="G3441" s="69"/>
    </row>
    <row r="3442" ht="22.5" customHeight="1">
      <c r="A3442" s="66" t="s">
        <v>4394</v>
      </c>
      <c r="B3442" s="67" t="str">
        <f t="shared" si="15"/>
        <v>M: planning</v>
      </c>
      <c r="C3442" s="68"/>
      <c r="D3442" s="68">
        <v>46094.0</v>
      </c>
      <c r="E3442" s="66">
        <v>9.0</v>
      </c>
      <c r="F3442" s="66" t="str">
        <f>IFERROR(__xludf.DUMMYFUNCTION("GOOGLETRANSLATE(A3442,""en"",""pt"")"),"planejamento")</f>
        <v>planejamento</v>
      </c>
      <c r="G3442" s="69"/>
    </row>
    <row r="3443" ht="22.5" customHeight="1">
      <c r="A3443" s="66" t="s">
        <v>4395</v>
      </c>
      <c r="B3443" s="67" t="str">
        <f t="shared" si="15"/>
        <v>M: hits</v>
      </c>
      <c r="C3443" s="68"/>
      <c r="D3443" s="68">
        <v>46094.0</v>
      </c>
      <c r="E3443" s="66">
        <v>10.0</v>
      </c>
      <c r="F3443" s="66" t="str">
        <f>IFERROR(__xludf.DUMMYFUNCTION("GOOGLETRANSLATE(A3443,""en"",""pt"")"),"sucessos")</f>
        <v>sucessos</v>
      </c>
      <c r="G3443" s="69"/>
    </row>
    <row r="3444" ht="22.5" customHeight="1">
      <c r="A3444" s="66" t="s">
        <v>4396</v>
      </c>
      <c r="B3444" s="67" t="str">
        <f t="shared" si="15"/>
        <v>M: efficiently</v>
      </c>
      <c r="C3444" s="68"/>
      <c r="D3444" s="68">
        <v>46094.0</v>
      </c>
      <c r="E3444" s="66">
        <v>1.0</v>
      </c>
      <c r="F3444" s="66" t="str">
        <f>IFERROR(__xludf.DUMMYFUNCTION("GOOGLETRANSLATE(A3444,""en"",""pt"")"),"eficientemente")</f>
        <v>eficientemente</v>
      </c>
      <c r="G3444" s="69"/>
    </row>
    <row r="3445" ht="22.5" customHeight="1">
      <c r="A3445" s="66" t="s">
        <v>4397</v>
      </c>
      <c r="B3445" s="67" t="str">
        <f t="shared" si="15"/>
        <v>M: must</v>
      </c>
      <c r="C3445" s="68"/>
      <c r="D3445" s="68">
        <v>46094.0</v>
      </c>
      <c r="E3445" s="66">
        <v>2.0</v>
      </c>
      <c r="F3445" s="66" t="str">
        <f>IFERROR(__xludf.DUMMYFUNCTION("GOOGLETRANSLATE(A3445,""en"",""pt"")"),"deve")</f>
        <v>deve</v>
      </c>
      <c r="G3445" s="69"/>
    </row>
    <row r="3446" ht="22.5" customHeight="1">
      <c r="A3446" s="66" t="s">
        <v>2848</v>
      </c>
      <c r="B3446" s="67" t="str">
        <f t="shared" si="15"/>
        <v>M: multiplier</v>
      </c>
      <c r="C3446" s="66">
        <v>2.0</v>
      </c>
      <c r="D3446" s="68">
        <v>46094.0</v>
      </c>
      <c r="E3446" s="66">
        <v>3.0</v>
      </c>
      <c r="F3446" s="66" t="s">
        <v>4398</v>
      </c>
      <c r="G3446" s="66" t="s">
        <v>247</v>
      </c>
    </row>
    <row r="3447" ht="22.5" customHeight="1">
      <c r="A3447" s="66" t="s">
        <v>4399</v>
      </c>
      <c r="B3447" s="67" t="str">
        <f t="shared" si="15"/>
        <v>M: equation</v>
      </c>
      <c r="C3447" s="68"/>
      <c r="D3447" s="68">
        <v>46094.0</v>
      </c>
      <c r="E3447" s="66">
        <v>4.0</v>
      </c>
      <c r="F3447" s="66" t="str">
        <f>IFERROR(__xludf.DUMMYFUNCTION("GOOGLETRANSLATE(A3447,""en"",""pt"")"),"equação")</f>
        <v>equação</v>
      </c>
      <c r="G3447" s="69"/>
    </row>
    <row r="3448" ht="22.5" customHeight="1">
      <c r="A3448" s="66" t="s">
        <v>4400</v>
      </c>
      <c r="B3448" s="67" t="str">
        <f t="shared" si="15"/>
        <v>M: checked</v>
      </c>
      <c r="C3448" s="68"/>
      <c r="D3448" s="68">
        <v>46094.0</v>
      </c>
      <c r="E3448" s="66">
        <v>5.0</v>
      </c>
      <c r="F3448" s="66" t="str">
        <f>IFERROR(__xludf.DUMMYFUNCTION("GOOGLETRANSLATE(A3448,""en"",""pt"")"),"verificado")</f>
        <v>verificado</v>
      </c>
      <c r="G3448" s="69"/>
    </row>
    <row r="3449" ht="22.5" customHeight="1">
      <c r="A3449" s="66" t="s">
        <v>4401</v>
      </c>
      <c r="B3449" s="67" t="str">
        <f t="shared" si="15"/>
        <v>M: value</v>
      </c>
      <c r="C3449" s="68"/>
      <c r="D3449" s="68">
        <v>46094.0</v>
      </c>
      <c r="E3449" s="66">
        <v>6.0</v>
      </c>
      <c r="F3449" s="66" t="str">
        <f>IFERROR(__xludf.DUMMYFUNCTION("GOOGLETRANSLATE(A3449,""en"",""pt"")"),"valor")</f>
        <v>valor</v>
      </c>
      <c r="G3449" s="69"/>
    </row>
    <row r="3450" ht="22.5" customHeight="1">
      <c r="A3450" s="66" t="s">
        <v>4402</v>
      </c>
      <c r="B3450" s="67" t="str">
        <f t="shared" si="15"/>
        <v>M: algorithm</v>
      </c>
      <c r="C3450" s="68"/>
      <c r="D3450" s="68">
        <v>46094.0</v>
      </c>
      <c r="E3450" s="66">
        <v>7.0</v>
      </c>
      <c r="F3450" s="66" t="str">
        <f>IFERROR(__xludf.DUMMYFUNCTION("GOOGLETRANSLATE(A3450,""en"",""pt"")"),"algoritmo")</f>
        <v>algoritmo</v>
      </c>
      <c r="G3450" s="69"/>
    </row>
    <row r="3451" ht="22.5" customHeight="1">
      <c r="A3451" s="66" t="s">
        <v>2846</v>
      </c>
      <c r="B3451" s="67" t="str">
        <f t="shared" si="15"/>
        <v>M: soul</v>
      </c>
      <c r="C3451" s="66">
        <v>2.0</v>
      </c>
      <c r="D3451" s="68">
        <v>46094.0</v>
      </c>
      <c r="E3451" s="66">
        <v>8.0</v>
      </c>
      <c r="F3451" s="71" t="s">
        <v>4403</v>
      </c>
      <c r="G3451" s="66" t="s">
        <v>247</v>
      </c>
    </row>
    <row r="3452" ht="22.5" customHeight="1">
      <c r="A3452" s="66" t="s">
        <v>2846</v>
      </c>
      <c r="B3452" s="67" t="str">
        <f t="shared" si="15"/>
        <v>M: soul</v>
      </c>
      <c r="C3452" s="66">
        <v>3.0</v>
      </c>
      <c r="D3452" s="68">
        <v>46095.0</v>
      </c>
      <c r="E3452" s="66">
        <v>9.0</v>
      </c>
      <c r="F3452" s="66" t="s">
        <v>4404</v>
      </c>
      <c r="G3452" s="66" t="s">
        <v>247</v>
      </c>
    </row>
    <row r="3453" ht="22.5" customHeight="1">
      <c r="A3453" s="66" t="s">
        <v>4405</v>
      </c>
      <c r="B3453" s="67" t="str">
        <f t="shared" si="15"/>
        <v>M: sermon</v>
      </c>
      <c r="C3453" s="68"/>
      <c r="D3453" s="68">
        <v>46095.0</v>
      </c>
      <c r="E3453" s="66">
        <v>10.0</v>
      </c>
      <c r="F3453" s="66" t="str">
        <f>IFERROR(__xludf.DUMMYFUNCTION("GOOGLETRANSLATE(A3453,""en"",""pt"")"),"sermão")</f>
        <v>sermão</v>
      </c>
      <c r="G3453" s="69"/>
    </row>
    <row r="3454" ht="22.5" customHeight="1">
      <c r="A3454" s="66" t="s">
        <v>4406</v>
      </c>
      <c r="B3454" s="67" t="str">
        <f t="shared" si="15"/>
        <v>M: nature</v>
      </c>
      <c r="C3454" s="68"/>
      <c r="D3454" s="68">
        <v>46095.0</v>
      </c>
      <c r="E3454" s="66">
        <v>1.0</v>
      </c>
      <c r="F3454" s="66" t="str">
        <f>IFERROR(__xludf.DUMMYFUNCTION("GOOGLETRANSLATE(A3454,""en"",""pt"")"),"natureza")</f>
        <v>natureza</v>
      </c>
      <c r="G3454" s="69"/>
    </row>
    <row r="3455" ht="22.5" customHeight="1">
      <c r="A3455" s="66" t="s">
        <v>4407</v>
      </c>
      <c r="B3455" s="67" t="str">
        <f t="shared" si="15"/>
        <v>M: believes</v>
      </c>
      <c r="C3455" s="68"/>
      <c r="D3455" s="68">
        <v>46095.0</v>
      </c>
      <c r="E3455" s="66">
        <v>2.0</v>
      </c>
      <c r="F3455" s="66" t="str">
        <f>IFERROR(__xludf.DUMMYFUNCTION("GOOGLETRANSLATE(A3455,""en"",""pt"")"),"acredita")</f>
        <v>acredita</v>
      </c>
      <c r="G3455" s="69"/>
    </row>
    <row r="3456" ht="22.5" customHeight="1">
      <c r="A3456" s="66" t="s">
        <v>4408</v>
      </c>
      <c r="B3456" s="67" t="str">
        <f t="shared" si="15"/>
        <v>M: dies</v>
      </c>
      <c r="C3456" s="68"/>
      <c r="D3456" s="68">
        <v>46095.0</v>
      </c>
      <c r="E3456" s="66">
        <v>3.0</v>
      </c>
      <c r="F3456" s="66" t="str">
        <f>IFERROR(__xludf.DUMMYFUNCTION("GOOGLETRANSLATE(A3456,""en"",""pt"")"),"morre")</f>
        <v>morre</v>
      </c>
      <c r="G3456" s="69"/>
    </row>
    <row r="3457" ht="22.5" customHeight="1">
      <c r="A3457" s="66" t="s">
        <v>4409</v>
      </c>
      <c r="B3457" s="67" t="str">
        <f t="shared" si="15"/>
        <v>M: kindness</v>
      </c>
      <c r="C3457" s="68"/>
      <c r="D3457" s="68">
        <v>46095.0</v>
      </c>
      <c r="E3457" s="66">
        <v>4.0</v>
      </c>
      <c r="F3457" s="66" t="str">
        <f>IFERROR(__xludf.DUMMYFUNCTION("GOOGLETRANSLATE(A3457,""en"",""pt"")"),"gentileza")</f>
        <v>gentileza</v>
      </c>
      <c r="G3457" s="69"/>
    </row>
    <row r="3458" ht="22.5" customHeight="1">
      <c r="A3458" s="66" t="s">
        <v>4410</v>
      </c>
      <c r="B3458" s="67" t="str">
        <f t="shared" si="15"/>
        <v>M: goodness</v>
      </c>
      <c r="C3458" s="68"/>
      <c r="D3458" s="68">
        <v>46095.0</v>
      </c>
      <c r="E3458" s="66">
        <v>5.0</v>
      </c>
      <c r="F3458" s="66" t="str">
        <f>IFERROR(__xludf.DUMMYFUNCTION("GOOGLETRANSLATE(A3458,""en"",""pt"")"),"bondade")</f>
        <v>bondade</v>
      </c>
      <c r="G3458" s="69"/>
    </row>
    <row r="3459" ht="22.5" customHeight="1">
      <c r="A3459" s="66" t="s">
        <v>4411</v>
      </c>
      <c r="B3459" s="67" t="str">
        <f t="shared" si="15"/>
        <v>M: deserted</v>
      </c>
      <c r="C3459" s="68"/>
      <c r="D3459" s="68">
        <v>46095.0</v>
      </c>
      <c r="E3459" s="66">
        <v>6.0</v>
      </c>
      <c r="F3459" s="66" t="str">
        <f>IFERROR(__xludf.DUMMYFUNCTION("GOOGLETRANSLATE(A3459,""en"",""pt"")"),"deserto")</f>
        <v>deserto</v>
      </c>
      <c r="G3459" s="69"/>
    </row>
    <row r="3460" ht="22.5" customHeight="1">
      <c r="A3460" s="66" t="s">
        <v>4412</v>
      </c>
      <c r="B3460" s="67" t="str">
        <f t="shared" si="15"/>
        <v>M: village</v>
      </c>
      <c r="C3460" s="68"/>
      <c r="D3460" s="68">
        <v>46095.0</v>
      </c>
      <c r="E3460" s="66">
        <v>7.0</v>
      </c>
      <c r="F3460" s="66" t="str">
        <f>IFERROR(__xludf.DUMMYFUNCTION("GOOGLETRANSLATE(A3460,""en"",""pt"")"),"aldeia")</f>
        <v>aldeia</v>
      </c>
      <c r="G3460" s="69"/>
    </row>
    <row r="3461" ht="22.5" customHeight="1">
      <c r="A3461" s="66" t="s">
        <v>4413</v>
      </c>
      <c r="B3461" s="67" t="str">
        <f t="shared" si="15"/>
        <v>M: sight</v>
      </c>
      <c r="C3461" s="68"/>
      <c r="D3461" s="68">
        <v>46095.0</v>
      </c>
      <c r="E3461" s="66">
        <v>9.0</v>
      </c>
      <c r="F3461" s="66" t="str">
        <f>IFERROR(__xludf.DUMMYFUNCTION("GOOGLETRANSLATE(A3461,""en"",""pt"")"),"visão")</f>
        <v>visão</v>
      </c>
      <c r="G3461" s="69"/>
    </row>
    <row r="3462" ht="22.5" customHeight="1">
      <c r="A3462" s="66" t="s">
        <v>4414</v>
      </c>
      <c r="B3462" s="67" t="str">
        <f t="shared" si="15"/>
        <v>M: genuine</v>
      </c>
      <c r="C3462" s="68"/>
      <c r="D3462" s="68">
        <v>46096.0</v>
      </c>
      <c r="E3462" s="66">
        <v>10.0</v>
      </c>
      <c r="F3462" s="66" t="str">
        <f>IFERROR(__xludf.DUMMYFUNCTION("GOOGLETRANSLATE(A3462,""en"",""pt"")"),"genuíno")</f>
        <v>genuíno</v>
      </c>
      <c r="G3462" s="69"/>
    </row>
    <row r="3463" ht="22.5" customHeight="1">
      <c r="A3463" s="66" t="s">
        <v>4415</v>
      </c>
      <c r="B3463" s="67" t="str">
        <f t="shared" si="15"/>
        <v>M: performs</v>
      </c>
      <c r="C3463" s="68"/>
      <c r="D3463" s="68">
        <v>46096.0</v>
      </c>
      <c r="E3463" s="66">
        <v>1.0</v>
      </c>
      <c r="F3463" s="66" t="str">
        <f>IFERROR(__xludf.DUMMYFUNCTION("GOOGLETRANSLATE(A3463,""en"",""pt"")"),"executa")</f>
        <v>executa</v>
      </c>
      <c r="G3463" s="69"/>
    </row>
    <row r="3464" ht="22.5" customHeight="1">
      <c r="A3464" s="66" t="s">
        <v>4416</v>
      </c>
      <c r="B3464" s="67" t="str">
        <f t="shared" si="15"/>
        <v>M: passion</v>
      </c>
      <c r="C3464" s="68"/>
      <c r="D3464" s="68">
        <v>46096.0</v>
      </c>
      <c r="E3464" s="66">
        <v>2.0</v>
      </c>
      <c r="F3464" s="66" t="str">
        <f>IFERROR(__xludf.DUMMYFUNCTION("GOOGLETRANSLATE(A3464,""en"",""pt"")"),"paixão")</f>
        <v>paixão</v>
      </c>
      <c r="G3464" s="69"/>
    </row>
    <row r="3465" ht="22.5" customHeight="1">
      <c r="A3465" s="66" t="s">
        <v>4417</v>
      </c>
      <c r="B3465" s="67" t="str">
        <f t="shared" si="15"/>
        <v>M: deep</v>
      </c>
      <c r="C3465" s="68"/>
      <c r="D3465" s="68">
        <v>46096.0</v>
      </c>
      <c r="E3465" s="66">
        <v>3.0</v>
      </c>
      <c r="F3465" s="66" t="str">
        <f>IFERROR(__xludf.DUMMYFUNCTION("GOOGLETRANSLATE(A3465,""en"",""pt"")"),"profundo")</f>
        <v>profundo</v>
      </c>
      <c r="G3465" s="69"/>
    </row>
    <row r="3466" ht="22.5" customHeight="1">
      <c r="A3466" s="66" t="s">
        <v>4418</v>
      </c>
      <c r="B3466" s="67" t="str">
        <f t="shared" si="15"/>
        <v>M: rhythm</v>
      </c>
      <c r="C3466" s="68"/>
      <c r="D3466" s="68">
        <v>46096.0</v>
      </c>
      <c r="E3466" s="66">
        <v>4.0</v>
      </c>
      <c r="F3466" s="66" t="str">
        <f>IFERROR(__xludf.DUMMYFUNCTION("GOOGLETRANSLATE(A3466,""en"",""pt"")"),"ritmo")</f>
        <v>ritmo</v>
      </c>
      <c r="G3466" s="69"/>
    </row>
    <row r="3467" ht="22.5" customHeight="1">
      <c r="A3467" s="66" t="s">
        <v>2844</v>
      </c>
      <c r="B3467" s="67" t="str">
        <f t="shared" si="15"/>
        <v>M: completely</v>
      </c>
      <c r="C3467" s="66">
        <v>2.0</v>
      </c>
      <c r="D3467" s="68">
        <v>46096.0</v>
      </c>
      <c r="E3467" s="66">
        <v>5.0</v>
      </c>
      <c r="F3467" s="66" t="s">
        <v>4419</v>
      </c>
      <c r="G3467" s="66" t="s">
        <v>247</v>
      </c>
    </row>
    <row r="3468" ht="22.5" customHeight="1">
      <c r="A3468" s="66" t="s">
        <v>4420</v>
      </c>
      <c r="B3468" s="67" t="str">
        <f t="shared" si="15"/>
        <v>M: understood</v>
      </c>
      <c r="C3468" s="68"/>
      <c r="D3468" s="68">
        <v>46096.0</v>
      </c>
      <c r="E3468" s="66">
        <v>6.0</v>
      </c>
      <c r="F3468" s="66" t="str">
        <f>IFERROR(__xludf.DUMMYFUNCTION("GOOGLETRANSLATE(A3468,""en"",""pt"")"),"entendido")</f>
        <v>entendido</v>
      </c>
      <c r="G3468" s="69"/>
    </row>
    <row r="3469" ht="22.5" customHeight="1">
      <c r="A3469" s="66" t="s">
        <v>4421</v>
      </c>
      <c r="B3469" s="67" t="str">
        <f t="shared" si="15"/>
        <v>M: overhaul</v>
      </c>
      <c r="C3469" s="68"/>
      <c r="D3469" s="68">
        <v>46096.0</v>
      </c>
      <c r="E3469" s="66">
        <v>7.0</v>
      </c>
      <c r="F3469" s="66" t="str">
        <f>IFERROR(__xludf.DUMMYFUNCTION("GOOGLETRANSLATE(A3469,""en"",""pt"")"),"revisão")</f>
        <v>revisão</v>
      </c>
      <c r="G3469" s="69"/>
    </row>
    <row r="3470" ht="22.5" customHeight="1">
      <c r="A3470" s="66" t="s">
        <v>4422</v>
      </c>
      <c r="B3470" s="67" t="str">
        <f t="shared" si="15"/>
        <v>M: structure</v>
      </c>
      <c r="C3470" s="68"/>
      <c r="D3470" s="68">
        <v>46096.0</v>
      </c>
      <c r="E3470" s="66">
        <v>8.0</v>
      </c>
      <c r="F3470" s="66" t="str">
        <f>IFERROR(__xludf.DUMMYFUNCTION("GOOGLETRANSLATE(A3470,""en"",""pt"")"),"estrutura")</f>
        <v>estrutura</v>
      </c>
      <c r="G3470" s="69"/>
    </row>
    <row r="3471" ht="22.5" customHeight="1">
      <c r="A3471" s="66" t="s">
        <v>4423</v>
      </c>
      <c r="B3471" s="67" t="str">
        <f t="shared" si="15"/>
        <v>M: wiring</v>
      </c>
      <c r="C3471" s="68"/>
      <c r="D3471" s="68">
        <v>46096.0</v>
      </c>
      <c r="E3471" s="66">
        <v>9.0</v>
      </c>
      <c r="F3471" s="66" t="str">
        <f>IFERROR(__xludf.DUMMYFUNCTION("GOOGLETRANSLATE(A3471,""en"",""pt"")"),"fiação")</f>
        <v>fiação</v>
      </c>
      <c r="G3471" s="69"/>
    </row>
    <row r="3472" ht="22.5" customHeight="1">
      <c r="A3472" s="66" t="s">
        <v>2840</v>
      </c>
      <c r="B3472" s="67" t="str">
        <f t="shared" si="15"/>
        <v>M: exclusively</v>
      </c>
      <c r="C3472" s="66">
        <v>2.0</v>
      </c>
      <c r="D3472" s="68">
        <v>46097.0</v>
      </c>
      <c r="E3472" s="66">
        <v>10.0</v>
      </c>
      <c r="F3472" s="66" t="s">
        <v>4424</v>
      </c>
      <c r="G3472" s="66" t="s">
        <v>247</v>
      </c>
    </row>
    <row r="3473" ht="22.5" customHeight="1">
      <c r="A3473" s="66" t="s">
        <v>4425</v>
      </c>
      <c r="B3473" s="67" t="str">
        <f t="shared" si="15"/>
        <v>M: lead</v>
      </c>
      <c r="C3473" s="68"/>
      <c r="D3473" s="68">
        <v>46097.0</v>
      </c>
      <c r="E3473" s="66">
        <v>1.0</v>
      </c>
      <c r="F3473" s="66" t="str">
        <f>IFERROR(__xludf.DUMMYFUNCTION("GOOGLETRANSLATE(A3473,""en"",""pt"")"),"liderar")</f>
        <v>liderar</v>
      </c>
      <c r="G3473" s="69"/>
    </row>
    <row r="3474" ht="22.5" customHeight="1">
      <c r="A3474" s="66" t="s">
        <v>4426</v>
      </c>
      <c r="B3474" s="67" t="str">
        <f t="shared" si="15"/>
        <v>M: sold</v>
      </c>
      <c r="C3474" s="68"/>
      <c r="D3474" s="68">
        <v>46097.0</v>
      </c>
      <c r="E3474" s="66">
        <v>2.0</v>
      </c>
      <c r="F3474" s="66" t="str">
        <f>IFERROR(__xludf.DUMMYFUNCTION("GOOGLETRANSLATE(A3474,""en"",""pt"")"),"vendido")</f>
        <v>vendido</v>
      </c>
      <c r="G3474" s="69"/>
    </row>
    <row r="3475" ht="22.5" customHeight="1">
      <c r="A3475" s="66" t="s">
        <v>4427</v>
      </c>
      <c r="B3475" s="67" t="str">
        <f t="shared" si="15"/>
        <v>M: internal</v>
      </c>
      <c r="C3475" s="68"/>
      <c r="D3475" s="68">
        <v>46097.0</v>
      </c>
      <c r="E3475" s="66">
        <v>3.0</v>
      </c>
      <c r="F3475" s="66" t="str">
        <f>IFERROR(__xludf.DUMMYFUNCTION("GOOGLETRANSLATE(A3475,""en"",""pt"")"),"interno")</f>
        <v>interno</v>
      </c>
      <c r="G3475" s="69"/>
    </row>
    <row r="3476" ht="22.5" customHeight="1">
      <c r="A3476" s="66" t="s">
        <v>4428</v>
      </c>
      <c r="B3476" s="67" t="str">
        <f t="shared" si="15"/>
        <v>M: team</v>
      </c>
      <c r="C3476" s="68"/>
      <c r="D3476" s="68">
        <v>46097.0</v>
      </c>
      <c r="E3476" s="66">
        <v>4.0</v>
      </c>
      <c r="F3476" s="66" t="str">
        <f>IFERROR(__xludf.DUMMYFUNCTION("GOOGLETRANSLATE(A3476,""en"",""pt"")"),"equipe")</f>
        <v>equipe</v>
      </c>
      <c r="G3476" s="69"/>
    </row>
    <row r="3477" ht="22.5" customHeight="1">
      <c r="A3477" s="66" t="s">
        <v>4429</v>
      </c>
      <c r="B3477" s="67" t="str">
        <f t="shared" si="15"/>
        <v>M: property</v>
      </c>
      <c r="C3477" s="68"/>
      <c r="D3477" s="68">
        <v>46097.0</v>
      </c>
      <c r="E3477" s="66">
        <v>5.0</v>
      </c>
      <c r="F3477" s="66" t="str">
        <f>IFERROR(__xludf.DUMMYFUNCTION("GOOGLETRANSLATE(A3477,""en"",""pt"")"),"propriedade")</f>
        <v>propriedade</v>
      </c>
      <c r="G3477" s="69"/>
    </row>
    <row r="3478" ht="22.5" customHeight="1">
      <c r="A3478" s="66" t="s">
        <v>4430</v>
      </c>
      <c r="B3478" s="67" t="str">
        <f t="shared" si="15"/>
        <v>M: purposes</v>
      </c>
      <c r="C3478" s="68"/>
      <c r="D3478" s="68">
        <v>46097.0</v>
      </c>
      <c r="E3478" s="66">
        <v>6.0</v>
      </c>
      <c r="F3478" s="66" t="str">
        <f>IFERROR(__xludf.DUMMYFUNCTION("GOOGLETRANSLATE(A3478,""en"",""pt"")"),"objetivos")</f>
        <v>objetivos</v>
      </c>
      <c r="G3478" s="69"/>
    </row>
    <row r="3479" ht="22.5" customHeight="1">
      <c r="A3479" s="66" t="s">
        <v>4431</v>
      </c>
      <c r="B3479" s="67" t="str">
        <f t="shared" si="15"/>
        <v>M: within</v>
      </c>
      <c r="C3479" s="68"/>
      <c r="D3479" s="68">
        <v>46097.0</v>
      </c>
      <c r="E3479" s="66">
        <v>7.0</v>
      </c>
      <c r="F3479" s="66" t="str">
        <f>IFERROR(__xludf.DUMMYFUNCTION("GOOGLETRANSLATE(A3479,""en"",""pt"")"),"dentro de")</f>
        <v>dentro de</v>
      </c>
      <c r="G3479" s="69"/>
    </row>
    <row r="3480" ht="22.5" customHeight="1">
      <c r="A3480" s="66" t="s">
        <v>4432</v>
      </c>
      <c r="B3480" s="67" t="str">
        <f t="shared" si="15"/>
        <v>M: secure</v>
      </c>
      <c r="C3480" s="68"/>
      <c r="D3480" s="68">
        <v>46097.0</v>
      </c>
      <c r="E3480" s="66">
        <v>8.0</v>
      </c>
      <c r="F3480" s="66" t="str">
        <f>IFERROR(__xludf.DUMMYFUNCTION("GOOGLETRANSLATE(A3480,""en"",""pt"")"),"seguro")</f>
        <v>seguro</v>
      </c>
      <c r="G3480" s="69"/>
    </row>
    <row r="3481" ht="22.5" customHeight="1">
      <c r="A3481" s="66" t="s">
        <v>4433</v>
      </c>
      <c r="B3481" s="67" t="str">
        <f t="shared" si="15"/>
        <v>M: tank</v>
      </c>
      <c r="C3481" s="68"/>
      <c r="D3481" s="68">
        <v>46097.0</v>
      </c>
      <c r="E3481" s="66">
        <v>9.0</v>
      </c>
      <c r="F3481" s="66" t="str">
        <f>IFERROR(__xludf.DUMMYFUNCTION("GOOGLETRANSLATE(A3481,""en"",""pt"")"),"tanque")</f>
        <v>tanque</v>
      </c>
      <c r="G3481" s="69"/>
    </row>
    <row r="3482" ht="22.5" customHeight="1">
      <c r="A3482" s="66" t="s">
        <v>2824</v>
      </c>
      <c r="B3482" s="67" t="str">
        <f t="shared" si="15"/>
        <v>M: pit</v>
      </c>
      <c r="C3482" s="66">
        <v>2.0</v>
      </c>
      <c r="D3482" s="68">
        <v>46098.0</v>
      </c>
      <c r="E3482" s="66">
        <v>10.0</v>
      </c>
      <c r="F3482" s="66" t="s">
        <v>4434</v>
      </c>
      <c r="G3482" s="66" t="s">
        <v>247</v>
      </c>
    </row>
    <row r="3483" ht="22.5" customHeight="1">
      <c r="A3483" s="66" t="s">
        <v>2824</v>
      </c>
      <c r="B3483" s="67" t="str">
        <f t="shared" si="15"/>
        <v>M: pit</v>
      </c>
      <c r="C3483" s="66">
        <v>3.0</v>
      </c>
      <c r="D3483" s="68">
        <v>46098.0</v>
      </c>
      <c r="E3483" s="66">
        <v>1.0</v>
      </c>
      <c r="F3483" s="66" t="s">
        <v>4435</v>
      </c>
      <c r="G3483" s="66" t="s">
        <v>247</v>
      </c>
    </row>
    <row r="3484" ht="22.5" customHeight="1">
      <c r="A3484" s="66" t="s">
        <v>4436</v>
      </c>
      <c r="B3484" s="67" t="str">
        <f t="shared" si="15"/>
        <v>M: be careful</v>
      </c>
      <c r="C3484" s="68"/>
      <c r="D3484" s="68">
        <v>46098.0</v>
      </c>
      <c r="E3484" s="66">
        <v>2.0</v>
      </c>
      <c r="F3484" s="66" t="str">
        <f>IFERROR(__xludf.DUMMYFUNCTION("GOOGLETRANSLATE(A3484,""en"",""pt"")"),"tome cuidado")</f>
        <v>tome cuidado</v>
      </c>
      <c r="G3484" s="69"/>
    </row>
    <row r="3485" ht="22.5" customHeight="1">
      <c r="A3485" s="66" t="s">
        <v>4437</v>
      </c>
      <c r="B3485" s="67" t="str">
        <f t="shared" si="15"/>
        <v>M: cherry</v>
      </c>
      <c r="C3485" s="68"/>
      <c r="D3485" s="68">
        <v>46098.0</v>
      </c>
      <c r="E3485" s="66">
        <v>3.0</v>
      </c>
      <c r="F3485" s="66" t="str">
        <f>IFERROR(__xludf.DUMMYFUNCTION("GOOGLETRANSLATE(A3485,""en"",""pt"")"),"cereja")</f>
        <v>cereja</v>
      </c>
      <c r="G3485" s="69"/>
    </row>
    <row r="3486" ht="22.5" customHeight="1">
      <c r="A3486" s="66" t="s">
        <v>4438</v>
      </c>
      <c r="B3486" s="67" t="str">
        <f t="shared" si="15"/>
        <v>M: avocado</v>
      </c>
      <c r="C3486" s="68"/>
      <c r="D3486" s="68">
        <v>46098.0</v>
      </c>
      <c r="E3486" s="66">
        <v>4.0</v>
      </c>
      <c r="F3486" s="66" t="str">
        <f>IFERROR(__xludf.DUMMYFUNCTION("GOOGLETRANSLATE(A3486,""en"",""pt"")"),"abacate")</f>
        <v>abacate</v>
      </c>
      <c r="G3486" s="69"/>
    </row>
    <row r="3487" ht="22.5" customHeight="1">
      <c r="A3487" s="66" t="s">
        <v>4439</v>
      </c>
      <c r="B3487" s="67" t="str">
        <f t="shared" si="15"/>
        <v>M: peach</v>
      </c>
      <c r="C3487" s="68"/>
      <c r="D3487" s="68">
        <v>46098.0</v>
      </c>
      <c r="E3487" s="66">
        <v>5.0</v>
      </c>
      <c r="F3487" s="66" t="str">
        <f>IFERROR(__xludf.DUMMYFUNCTION("GOOGLETRANSLATE(A3487,""en"",""pt"")"),"pêssego")</f>
        <v>pêssego</v>
      </c>
      <c r="G3487" s="69"/>
    </row>
    <row r="3488" ht="22.5" customHeight="1">
      <c r="A3488" s="66" t="s">
        <v>4440</v>
      </c>
      <c r="B3488" s="67" t="str">
        <f t="shared" si="15"/>
        <v>M: discarded</v>
      </c>
      <c r="C3488" s="68"/>
      <c r="D3488" s="68">
        <v>46098.0</v>
      </c>
      <c r="E3488" s="66">
        <v>6.0</v>
      </c>
      <c r="F3488" s="66" t="str">
        <f>IFERROR(__xludf.DUMMYFUNCTION("GOOGLETRANSLATE(A3488,""en"",""pt"")"),"descartado")</f>
        <v>descartado</v>
      </c>
      <c r="G3488" s="69"/>
    </row>
    <row r="3489" ht="22.5" customHeight="1">
      <c r="A3489" s="66" t="s">
        <v>4441</v>
      </c>
      <c r="B3489" s="67" t="str">
        <f t="shared" si="15"/>
        <v>M: cool</v>
      </c>
      <c r="C3489" s="68"/>
      <c r="D3489" s="68">
        <v>46098.0</v>
      </c>
      <c r="E3489" s="66">
        <v>7.0</v>
      </c>
      <c r="F3489" s="66" t="str">
        <f>IFERROR(__xludf.DUMMYFUNCTION("GOOGLETRANSLATE(A3489,""en"",""pt"")"),"legal")</f>
        <v>legal</v>
      </c>
      <c r="G3489" s="69"/>
    </row>
    <row r="3490" ht="22.5" customHeight="1">
      <c r="A3490" s="66" t="s">
        <v>4442</v>
      </c>
      <c r="B3490" s="67" t="str">
        <f t="shared" si="15"/>
        <v>M: leaves</v>
      </c>
      <c r="C3490" s="68"/>
      <c r="D3490" s="68">
        <v>46098.0</v>
      </c>
      <c r="E3490" s="66">
        <v>8.0</v>
      </c>
      <c r="F3490" s="66" t="str">
        <f>IFERROR(__xludf.DUMMYFUNCTION("GOOGLETRANSLATE(A3490,""en"",""pt"")"),"folhas")</f>
        <v>folhas</v>
      </c>
      <c r="G3490" s="69"/>
    </row>
    <row r="3491" ht="22.5" customHeight="1">
      <c r="A3491" s="66" t="s">
        <v>4443</v>
      </c>
      <c r="B3491" s="67" t="str">
        <f t="shared" si="15"/>
        <v>M: dug</v>
      </c>
      <c r="C3491" s="68"/>
      <c r="D3491" s="68">
        <v>46098.0</v>
      </c>
      <c r="E3491" s="66">
        <v>9.0</v>
      </c>
      <c r="F3491" s="66" t="str">
        <f>IFERROR(__xludf.DUMMYFUNCTION("GOOGLETRANSLATE(A3491,""en"",""pt"")"),"cavado")</f>
        <v>cavado</v>
      </c>
      <c r="G3491" s="69"/>
    </row>
    <row r="3492" ht="22.5" customHeight="1">
      <c r="A3492" s="66" t="s">
        <v>4444</v>
      </c>
      <c r="B3492" s="67" t="str">
        <f t="shared" si="15"/>
        <v>M: room</v>
      </c>
      <c r="C3492" s="68"/>
      <c r="D3492" s="68">
        <v>46099.0</v>
      </c>
      <c r="E3492" s="66">
        <v>10.0</v>
      </c>
      <c r="F3492" s="66" t="str">
        <f>IFERROR(__xludf.DUMMYFUNCTION("GOOGLETRANSLATE(A3492,""en"",""pt"")"),"sala")</f>
        <v>sala</v>
      </c>
      <c r="G3492" s="69"/>
    </row>
    <row r="3493" ht="22.5" customHeight="1">
      <c r="A3493" s="66" t="s">
        <v>4445</v>
      </c>
      <c r="B3493" s="67" t="str">
        <f t="shared" si="15"/>
        <v>M: scenario</v>
      </c>
      <c r="C3493" s="68"/>
      <c r="D3493" s="68">
        <v>46099.0</v>
      </c>
      <c r="E3493" s="66">
        <v>1.0</v>
      </c>
      <c r="F3493" s="66" t="str">
        <f>IFERROR(__xludf.DUMMYFUNCTION("GOOGLETRANSLATE(A3493,""en"",""pt"")"),"cenário")</f>
        <v>cenário</v>
      </c>
      <c r="G3493" s="69"/>
    </row>
    <row r="3494" ht="22.5" customHeight="1">
      <c r="A3494" s="66" t="s">
        <v>2822</v>
      </c>
      <c r="B3494" s="67" t="str">
        <f t="shared" si="15"/>
        <v>M: darkest</v>
      </c>
      <c r="C3494" s="66">
        <v>2.0</v>
      </c>
      <c r="D3494" s="68">
        <v>46099.0</v>
      </c>
      <c r="E3494" s="66">
        <v>2.0</v>
      </c>
      <c r="F3494" s="66" t="s">
        <v>4446</v>
      </c>
      <c r="G3494" s="66" t="s">
        <v>247</v>
      </c>
    </row>
    <row r="3495" ht="22.5" customHeight="1">
      <c r="A3495" s="66" t="s">
        <v>4447</v>
      </c>
      <c r="B3495" s="67" t="str">
        <f t="shared" si="15"/>
        <v>M: cave</v>
      </c>
      <c r="C3495" s="68"/>
      <c r="D3495" s="68">
        <v>46099.0</v>
      </c>
      <c r="E3495" s="66">
        <v>3.0</v>
      </c>
      <c r="F3495" s="66" t="str">
        <f>IFERROR(__xludf.DUMMYFUNCTION("GOOGLETRANSLATE(A3495,""en"",""pt"")"),"caverna")</f>
        <v>caverna</v>
      </c>
      <c r="G3495" s="69"/>
    </row>
    <row r="3496" ht="22.5" customHeight="1">
      <c r="A3496" s="66" t="s">
        <v>4448</v>
      </c>
      <c r="B3496" s="67" t="str">
        <f t="shared" si="15"/>
        <v>M: visited</v>
      </c>
      <c r="C3496" s="68"/>
      <c r="D3496" s="68">
        <v>46099.0</v>
      </c>
      <c r="E3496" s="66">
        <v>4.0</v>
      </c>
      <c r="F3496" s="66" t="str">
        <f>IFERROR(__xludf.DUMMYFUNCTION("GOOGLETRANSLATE(A3496,""en"",""pt"")"),"visitado")</f>
        <v>visitado</v>
      </c>
      <c r="G3496" s="69"/>
    </row>
    <row r="3497" ht="22.5" customHeight="1">
      <c r="A3497" s="66" t="s">
        <v>4449</v>
      </c>
      <c r="B3497" s="67" t="str">
        <f t="shared" si="15"/>
        <v>M: searched</v>
      </c>
      <c r="C3497" s="68"/>
      <c r="D3497" s="68">
        <v>46099.0</v>
      </c>
      <c r="E3497" s="66">
        <v>5.0</v>
      </c>
      <c r="F3497" s="66" t="str">
        <f>IFERROR(__xludf.DUMMYFUNCTION("GOOGLETRANSLATE(A3497,""en"",""pt"")"),"pesquisado")</f>
        <v>pesquisado</v>
      </c>
      <c r="G3497" s="69"/>
    </row>
    <row r="3498" ht="22.5" customHeight="1">
      <c r="A3498" s="66" t="s">
        <v>4450</v>
      </c>
      <c r="B3498" s="67" t="str">
        <f t="shared" si="15"/>
        <v>M: moonless</v>
      </c>
      <c r="C3498" s="68"/>
      <c r="D3498" s="68">
        <v>46099.0</v>
      </c>
      <c r="E3498" s="66">
        <v>6.0</v>
      </c>
      <c r="F3498" s="66" t="str">
        <f>IFERROR(__xludf.DUMMYFUNCTION("GOOGLETRANSLATE(A3498,""en"",""pt"")"),"sem lua")</f>
        <v>sem lua</v>
      </c>
      <c r="G3498" s="69"/>
    </row>
    <row r="3499" ht="22.5" customHeight="1">
      <c r="A3499" s="66" t="s">
        <v>4451</v>
      </c>
      <c r="B3499" s="67" t="str">
        <f t="shared" si="15"/>
        <v>M: marked</v>
      </c>
      <c r="C3499" s="68"/>
      <c r="D3499" s="68">
        <v>46099.0</v>
      </c>
      <c r="E3499" s="66">
        <v>7.0</v>
      </c>
      <c r="F3499" s="66" t="str">
        <f>IFERROR(__xludf.DUMMYFUNCTION("GOOGLETRANSLATE(A3499,""en"",""pt"")"),"marcado")</f>
        <v>marcado</v>
      </c>
      <c r="G3499" s="69"/>
    </row>
    <row r="3500" ht="22.5" customHeight="1">
      <c r="A3500" s="66" t="s">
        <v>4452</v>
      </c>
      <c r="B3500" s="67" t="str">
        <f t="shared" si="15"/>
        <v>M: revealed</v>
      </c>
      <c r="C3500" s="68"/>
      <c r="D3500" s="68">
        <v>46099.0</v>
      </c>
      <c r="E3500" s="66">
        <v>8.0</v>
      </c>
      <c r="F3500" s="66" t="str">
        <f>IFERROR(__xludf.DUMMYFUNCTION("GOOGLETRANSLATE(A3500,""en"",""pt"")"),"revelado")</f>
        <v>revelado</v>
      </c>
      <c r="G3500" s="69"/>
    </row>
    <row r="3501" ht="22.5" customHeight="1">
      <c r="A3501" s="66" t="s">
        <v>4453</v>
      </c>
      <c r="B3501" s="67" t="str">
        <f t="shared" si="15"/>
        <v>M: reveal</v>
      </c>
      <c r="C3501" s="68"/>
      <c r="D3501" s="68">
        <v>46099.0</v>
      </c>
      <c r="E3501" s="66">
        <v>9.0</v>
      </c>
      <c r="F3501" s="66" t="str">
        <f>IFERROR(__xludf.DUMMYFUNCTION("GOOGLETRANSLATE(A3501,""en"",""pt"")"),"revelar")</f>
        <v>revelar</v>
      </c>
      <c r="G3501" s="69"/>
    </row>
    <row r="3502" ht="22.5" customHeight="1">
      <c r="A3502" s="66" t="s">
        <v>4454</v>
      </c>
      <c r="B3502" s="67" t="str">
        <f t="shared" si="15"/>
        <v>M: possibilities</v>
      </c>
      <c r="C3502" s="68"/>
      <c r="D3502" s="68">
        <v>46100.0</v>
      </c>
      <c r="E3502" s="66">
        <v>10.0</v>
      </c>
      <c r="F3502" s="66" t="str">
        <f>IFERROR(__xludf.DUMMYFUNCTION("GOOGLETRANSLATE(A3502,""en"",""pt"")"),"possibilidades")</f>
        <v>possibilidades</v>
      </c>
      <c r="G3502" s="69"/>
    </row>
    <row r="3503" ht="22.5" customHeight="1">
      <c r="A3503" s="66" t="s">
        <v>2820</v>
      </c>
      <c r="B3503" s="67" t="str">
        <f t="shared" si="15"/>
        <v>M: deepest</v>
      </c>
      <c r="C3503" s="66">
        <v>2.0</v>
      </c>
      <c r="D3503" s="68">
        <v>46100.0</v>
      </c>
      <c r="E3503" s="66">
        <v>1.0</v>
      </c>
      <c r="F3503" s="66" t="s">
        <v>4455</v>
      </c>
      <c r="G3503" s="66" t="s">
        <v>247</v>
      </c>
    </row>
    <row r="3504" ht="22.5" customHeight="1">
      <c r="A3504" s="66" t="s">
        <v>2820</v>
      </c>
      <c r="B3504" s="67" t="str">
        <f t="shared" si="15"/>
        <v>M: deepest</v>
      </c>
      <c r="C3504" s="66">
        <v>3.0</v>
      </c>
      <c r="D3504" s="68">
        <v>46100.0</v>
      </c>
      <c r="E3504" s="66">
        <v>2.0</v>
      </c>
      <c r="F3504" s="66" t="s">
        <v>4456</v>
      </c>
      <c r="G3504" s="66" t="s">
        <v>247</v>
      </c>
    </row>
    <row r="3505" ht="22.5" customHeight="1">
      <c r="A3505" s="66" t="s">
        <v>4457</v>
      </c>
      <c r="B3505" s="67" t="str">
        <f t="shared" si="15"/>
        <v>M: reaches</v>
      </c>
      <c r="C3505" s="68"/>
      <c r="D3505" s="68">
        <v>46100.0</v>
      </c>
      <c r="E3505" s="66">
        <v>3.0</v>
      </c>
      <c r="F3505" s="66" t="str">
        <f>IFERROR(__xludf.DUMMYFUNCTION("GOOGLETRANSLATE(A3505,""en"",""pt"")"),"alcança")</f>
        <v>alcança</v>
      </c>
      <c r="G3505" s="69"/>
    </row>
    <row r="3506" ht="22.5" customHeight="1">
      <c r="A3506" s="66" t="s">
        <v>4458</v>
      </c>
      <c r="B3506" s="67" t="str">
        <f t="shared" si="15"/>
        <v>M: oil</v>
      </c>
      <c r="C3506" s="68"/>
      <c r="D3506" s="68">
        <v>46100.0</v>
      </c>
      <c r="E3506" s="66">
        <v>4.0</v>
      </c>
      <c r="F3506" s="66" t="str">
        <f>IFERROR(__xludf.DUMMYFUNCTION("GOOGLETRANSLATE(A3506,""en"",""pt"")"),"óleo")</f>
        <v>óleo</v>
      </c>
      <c r="G3506" s="69"/>
    </row>
    <row r="3507" ht="22.5" customHeight="1">
      <c r="A3507" s="66" t="s">
        <v>4459</v>
      </c>
      <c r="B3507" s="67" t="str">
        <f t="shared" si="15"/>
        <v>M: sea</v>
      </c>
      <c r="C3507" s="68"/>
      <c r="D3507" s="68">
        <v>46100.0</v>
      </c>
      <c r="E3507" s="66">
        <v>5.0</v>
      </c>
      <c r="F3507" s="66" t="str">
        <f>IFERROR(__xludf.DUMMYFUNCTION("GOOGLETRANSLATE(A3507,""en"",""pt"")"),"mar")</f>
        <v>mar</v>
      </c>
      <c r="G3507" s="69"/>
    </row>
    <row r="3508" ht="22.5" customHeight="1">
      <c r="A3508" s="66" t="s">
        <v>4460</v>
      </c>
      <c r="B3508" s="67" t="str">
        <f t="shared" si="15"/>
        <v>M: layer</v>
      </c>
      <c r="C3508" s="68"/>
      <c r="D3508" s="68">
        <v>46100.0</v>
      </c>
      <c r="E3508" s="66">
        <v>6.0</v>
      </c>
      <c r="F3508" s="66" t="str">
        <f>IFERROR(__xludf.DUMMYFUNCTION("GOOGLETRANSLATE(A3508,""en"",""pt"")"),"camada")</f>
        <v>camada</v>
      </c>
      <c r="G3508" s="69"/>
    </row>
    <row r="3509" ht="22.5" customHeight="1">
      <c r="A3509" s="66" t="s">
        <v>4461</v>
      </c>
      <c r="B3509" s="67" t="str">
        <f t="shared" si="15"/>
        <v>M: apologies</v>
      </c>
      <c r="C3509" s="68"/>
      <c r="D3509" s="68">
        <v>46100.0</v>
      </c>
      <c r="E3509" s="66">
        <v>7.0</v>
      </c>
      <c r="F3509" s="66" t="str">
        <f>IFERROR(__xludf.DUMMYFUNCTION("GOOGLETRANSLATE(A3509,""en"",""pt"")"),"Peço desculpas.")</f>
        <v>Peço desculpas.</v>
      </c>
      <c r="G3509" s="69"/>
    </row>
    <row r="3510" ht="22.5" customHeight="1">
      <c r="A3510" s="66" t="s">
        <v>4462</v>
      </c>
      <c r="B3510" s="67" t="str">
        <f t="shared" si="15"/>
        <v>M: expressed</v>
      </c>
      <c r="C3510" s="68"/>
      <c r="D3510" s="68">
        <v>46100.0</v>
      </c>
      <c r="E3510" s="66">
        <v>8.0</v>
      </c>
      <c r="F3510" s="66" t="str">
        <f>IFERROR(__xludf.DUMMYFUNCTION("GOOGLETRANSLATE(A3510,""en"",""pt"")"),"expresso")</f>
        <v>expresso</v>
      </c>
      <c r="G3510" s="69"/>
    </row>
    <row r="3511" ht="22.5" customHeight="1">
      <c r="A3511" s="66" t="s">
        <v>4463</v>
      </c>
      <c r="B3511" s="67" t="str">
        <f t="shared" si="15"/>
        <v>M: remained</v>
      </c>
      <c r="C3511" s="68"/>
      <c r="D3511" s="68">
        <v>46100.0</v>
      </c>
      <c r="E3511" s="66">
        <v>9.0</v>
      </c>
      <c r="F3511" s="66" t="str">
        <f>IFERROR(__xludf.DUMMYFUNCTION("GOOGLETRANSLATE(A3511,""en"",""pt"")"),"permaneceu")</f>
        <v>permaneceu</v>
      </c>
      <c r="G3511" s="69"/>
    </row>
    <row r="3512" ht="22.5" customHeight="1">
      <c r="A3512" s="66" t="s">
        <v>4464</v>
      </c>
      <c r="B3512" s="67" t="str">
        <f t="shared" si="15"/>
        <v>M: understanding</v>
      </c>
      <c r="C3512" s="68"/>
      <c r="D3512" s="68">
        <v>46101.0</v>
      </c>
      <c r="E3512" s="66">
        <v>10.0</v>
      </c>
      <c r="F3512" s="66" t="str">
        <f>IFERROR(__xludf.DUMMYFUNCTION("GOOGLETRANSLATE(A3512,""en"",""pt"")"),"entendimento")</f>
        <v>entendimento</v>
      </c>
      <c r="G3512" s="69"/>
    </row>
    <row r="3513" ht="22.5" customHeight="1">
      <c r="A3513" s="66" t="s">
        <v>2818</v>
      </c>
      <c r="B3513" s="67" t="str">
        <f t="shared" si="15"/>
        <v>M: royal</v>
      </c>
      <c r="C3513" s="66">
        <v>2.0</v>
      </c>
      <c r="D3513" s="68">
        <v>46101.0</v>
      </c>
      <c r="E3513" s="66">
        <v>1.0</v>
      </c>
      <c r="F3513" s="66" t="s">
        <v>4465</v>
      </c>
      <c r="G3513" s="66" t="s">
        <v>247</v>
      </c>
    </row>
    <row r="3514" ht="22.5" customHeight="1">
      <c r="A3514" s="66" t="s">
        <v>2816</v>
      </c>
      <c r="B3514" s="67" t="str">
        <f t="shared" si="15"/>
        <v>M: carrying</v>
      </c>
      <c r="C3514" s="66">
        <v>2.0</v>
      </c>
      <c r="D3514" s="68">
        <v>46101.0</v>
      </c>
      <c r="E3514" s="66">
        <v>2.0</v>
      </c>
      <c r="F3514" s="66" t="s">
        <v>4466</v>
      </c>
      <c r="G3514" s="66" t="s">
        <v>247</v>
      </c>
    </row>
    <row r="3515" ht="22.5" customHeight="1">
      <c r="A3515" s="66" t="s">
        <v>2816</v>
      </c>
      <c r="B3515" s="67" t="str">
        <f t="shared" si="15"/>
        <v>M: carrying</v>
      </c>
      <c r="C3515" s="66">
        <v>3.0</v>
      </c>
      <c r="D3515" s="68">
        <v>46101.0</v>
      </c>
      <c r="E3515" s="66">
        <v>3.0</v>
      </c>
      <c r="F3515" s="66" t="s">
        <v>4467</v>
      </c>
      <c r="G3515" s="66" t="s">
        <v>247</v>
      </c>
    </row>
    <row r="3516" ht="22.5" customHeight="1">
      <c r="A3516" s="66" t="s">
        <v>4468</v>
      </c>
      <c r="B3516" s="67" t="str">
        <f t="shared" si="15"/>
        <v>M: suitcases</v>
      </c>
      <c r="C3516" s="68"/>
      <c r="D3516" s="68">
        <v>46101.0</v>
      </c>
      <c r="E3516" s="66">
        <v>4.0</v>
      </c>
      <c r="F3516" s="66" t="str">
        <f>IFERROR(__xludf.DUMMYFUNCTION("GOOGLETRANSLATE(A3516,""en"",""pt"")"),"malas")</f>
        <v>malas</v>
      </c>
      <c r="G3516" s="69"/>
    </row>
    <row r="3517" ht="22.5" customHeight="1">
      <c r="A3517" s="66" t="s">
        <v>4469</v>
      </c>
      <c r="B3517" s="67" t="str">
        <f t="shared" si="15"/>
        <v>M: stairs</v>
      </c>
      <c r="C3517" s="68"/>
      <c r="D3517" s="68">
        <v>46101.0</v>
      </c>
      <c r="E3517" s="66">
        <v>5.0</v>
      </c>
      <c r="F3517" s="66" t="str">
        <f>IFERROR(__xludf.DUMMYFUNCTION("GOOGLETRANSLATE(A3517,""en"",""pt"")"),"escadaria")</f>
        <v>escadaria</v>
      </c>
      <c r="G3517" s="69"/>
    </row>
    <row r="3518" ht="22.5" customHeight="1">
      <c r="A3518" s="66" t="s">
        <v>4470</v>
      </c>
      <c r="B3518" s="67" t="str">
        <f t="shared" si="15"/>
        <v>M: confidential</v>
      </c>
      <c r="C3518" s="68"/>
      <c r="D3518" s="68">
        <v>46101.0</v>
      </c>
      <c r="E3518" s="66">
        <v>6.0</v>
      </c>
      <c r="F3518" s="66" t="str">
        <f>IFERROR(__xludf.DUMMYFUNCTION("GOOGLETRANSLATE(A3518,""en"",""pt"")"),"confidencial")</f>
        <v>confidencial</v>
      </c>
      <c r="G3518" s="69"/>
    </row>
    <row r="3519" ht="22.5" customHeight="1">
      <c r="A3519" s="66" t="s">
        <v>4471</v>
      </c>
      <c r="B3519" s="67" t="str">
        <f t="shared" si="15"/>
        <v>M: bridge</v>
      </c>
      <c r="C3519" s="68"/>
      <c r="D3519" s="68">
        <v>46101.0</v>
      </c>
      <c r="E3519" s="66">
        <v>7.0</v>
      </c>
      <c r="F3519" s="66" t="str">
        <f>IFERROR(__xludf.DUMMYFUNCTION("GOOGLETRANSLATE(A3519,""en"",""pt"")"),"ponte")</f>
        <v>ponte</v>
      </c>
      <c r="G3519" s="69"/>
    </row>
    <row r="3520" ht="22.5" customHeight="1">
      <c r="A3520" s="66" t="s">
        <v>4472</v>
      </c>
      <c r="B3520" s="67" t="str">
        <f t="shared" si="15"/>
        <v>M: platform</v>
      </c>
      <c r="C3520" s="68"/>
      <c r="D3520" s="68">
        <v>46101.0</v>
      </c>
      <c r="E3520" s="66">
        <v>8.0</v>
      </c>
      <c r="F3520" s="66" t="str">
        <f>IFERROR(__xludf.DUMMYFUNCTION("GOOGLETRANSLATE(A3520,""en"",""pt"")"),"plataforma")</f>
        <v>plataforma</v>
      </c>
      <c r="G3520" s="69"/>
    </row>
    <row r="3521" ht="22.5" customHeight="1">
      <c r="A3521" s="66" t="s">
        <v>4473</v>
      </c>
      <c r="B3521" s="67" t="str">
        <f t="shared" si="15"/>
        <v>M: transmitted</v>
      </c>
      <c r="C3521" s="68"/>
      <c r="D3521" s="68">
        <v>46101.0</v>
      </c>
      <c r="E3521" s="66">
        <v>9.0</v>
      </c>
      <c r="F3521" s="66" t="str">
        <f>IFERROR(__xludf.DUMMYFUNCTION("GOOGLETRANSLATE(A3521,""en"",""pt"")"),"transmitido")</f>
        <v>transmitido</v>
      </c>
      <c r="G3521" s="69"/>
    </row>
    <row r="3522" ht="22.5" customHeight="1">
      <c r="A3522" s="66" t="s">
        <v>4474</v>
      </c>
      <c r="B3522" s="67" t="str">
        <f t="shared" si="15"/>
        <v>M: unknowingly</v>
      </c>
      <c r="C3522" s="68"/>
      <c r="D3522" s="68">
        <v>46102.0</v>
      </c>
      <c r="E3522" s="66">
        <v>10.0</v>
      </c>
      <c r="F3522" s="66" t="str">
        <f>IFERROR(__xludf.DUMMYFUNCTION("GOOGLETRANSLATE(A3522,""en"",""pt"")"),"sem saber")</f>
        <v>sem saber</v>
      </c>
      <c r="G3522" s="69"/>
    </row>
    <row r="3523" ht="22.5" customHeight="1">
      <c r="A3523" s="66" t="s">
        <v>4475</v>
      </c>
      <c r="B3523" s="67" t="str">
        <f t="shared" si="15"/>
        <v>M: budget</v>
      </c>
      <c r="C3523" s="68"/>
      <c r="D3523" s="68">
        <v>46102.0</v>
      </c>
      <c r="E3523" s="66">
        <v>1.0</v>
      </c>
      <c r="F3523" s="66" t="str">
        <f>IFERROR(__xludf.DUMMYFUNCTION("GOOGLETRANSLATE(A3523,""en"",""pt"")"),"orçamento")</f>
        <v>orçamento</v>
      </c>
      <c r="G3523" s="69"/>
    </row>
    <row r="3524" ht="22.5" customHeight="1">
      <c r="A3524" s="66" t="s">
        <v>4476</v>
      </c>
      <c r="B3524" s="67" t="str">
        <f t="shared" si="15"/>
        <v>M: burden</v>
      </c>
      <c r="C3524" s="68"/>
      <c r="D3524" s="68">
        <v>46102.0</v>
      </c>
      <c r="E3524" s="66">
        <v>2.0</v>
      </c>
      <c r="F3524" s="66" t="str">
        <f>IFERROR(__xludf.DUMMYFUNCTION("GOOGLETRANSLATE(A3524,""en"",""pt"")"),"fardo")</f>
        <v>fardo</v>
      </c>
      <c r="G3524" s="69"/>
    </row>
    <row r="3525" ht="22.5" customHeight="1">
      <c r="A3525" s="66" t="s">
        <v>4477</v>
      </c>
      <c r="B3525" s="67" t="str">
        <f t="shared" si="15"/>
        <v>M: quarter's</v>
      </c>
      <c r="C3525" s="68"/>
      <c r="D3525" s="68">
        <v>46102.0</v>
      </c>
      <c r="E3525" s="66">
        <v>3.0</v>
      </c>
      <c r="F3525" s="66" t="str">
        <f>IFERROR(__xludf.DUMMYFUNCTION("GOOGLETRANSLATE(A3525,""en"",""pt"")"),"trimestre")</f>
        <v>trimestre</v>
      </c>
      <c r="G3525" s="69"/>
    </row>
    <row r="3526" ht="22.5" customHeight="1">
      <c r="A3526" s="66" t="s">
        <v>4478</v>
      </c>
      <c r="B3526" s="67" t="str">
        <f t="shared" si="15"/>
        <v>M: losses</v>
      </c>
      <c r="C3526" s="68"/>
      <c r="D3526" s="68">
        <v>46102.0</v>
      </c>
      <c r="E3526" s="66">
        <v>4.0</v>
      </c>
      <c r="F3526" s="66" t="str">
        <f>IFERROR(__xludf.DUMMYFUNCTION("GOOGLETRANSLATE(A3526,""en"",""pt"")"),"perdas")</f>
        <v>perdas</v>
      </c>
      <c r="G3526" s="69"/>
    </row>
    <row r="3527" ht="22.5" customHeight="1">
      <c r="A3527" s="66" t="s">
        <v>2810</v>
      </c>
      <c r="B3527" s="67" t="str">
        <f t="shared" si="15"/>
        <v>M: army</v>
      </c>
      <c r="C3527" s="66">
        <v>2.0</v>
      </c>
      <c r="D3527" s="68">
        <v>46102.0</v>
      </c>
      <c r="E3527" s="66">
        <v>5.0</v>
      </c>
      <c r="F3527" s="71" t="s">
        <v>4479</v>
      </c>
      <c r="G3527" s="66" t="s">
        <v>247</v>
      </c>
    </row>
    <row r="3528" ht="22.5" customHeight="1">
      <c r="A3528" s="66" t="s">
        <v>4480</v>
      </c>
      <c r="B3528" s="67" t="str">
        <f t="shared" si="15"/>
        <v>M: division</v>
      </c>
      <c r="C3528" s="68"/>
      <c r="D3528" s="68">
        <v>46102.0</v>
      </c>
      <c r="E3528" s="66">
        <v>6.0</v>
      </c>
      <c r="F3528" s="66" t="str">
        <f>IFERROR(__xludf.DUMMYFUNCTION("GOOGLETRANSLATE(A3528,""en"",""pt"")"),"divisão")</f>
        <v>divisão</v>
      </c>
      <c r="G3528" s="69"/>
    </row>
    <row r="3529" ht="22.5" customHeight="1">
      <c r="A3529" s="66" t="s">
        <v>4481</v>
      </c>
      <c r="B3529" s="67" t="str">
        <f t="shared" si="15"/>
        <v>M: joined</v>
      </c>
      <c r="C3529" s="68"/>
      <c r="D3529" s="68">
        <v>46102.0</v>
      </c>
      <c r="E3529" s="66">
        <v>7.0</v>
      </c>
      <c r="F3529" s="66" t="str">
        <f>IFERROR(__xludf.DUMMYFUNCTION("GOOGLETRANSLATE(A3529,""en"",""pt"")"),"ingressou")</f>
        <v>ingressou</v>
      </c>
      <c r="G3529" s="69"/>
    </row>
    <row r="3530" ht="22.5" customHeight="1">
      <c r="A3530" s="66" t="s">
        <v>4482</v>
      </c>
      <c r="B3530" s="67" t="str">
        <f t="shared" si="15"/>
        <v>M: growing</v>
      </c>
      <c r="C3530" s="68"/>
      <c r="D3530" s="68">
        <v>46102.0</v>
      </c>
      <c r="E3530" s="66">
        <v>8.0</v>
      </c>
      <c r="F3530" s="66" t="str">
        <f>IFERROR(__xludf.DUMMYFUNCTION("GOOGLETRANSLATE(A3530,""en"",""pt"")"),"crescente")</f>
        <v>crescente</v>
      </c>
      <c r="G3530" s="69"/>
    </row>
    <row r="3531" ht="22.5" customHeight="1">
      <c r="A3531" s="66" t="s">
        <v>4483</v>
      </c>
      <c r="B3531" s="67" t="str">
        <f t="shared" si="15"/>
        <v>M: dedicated</v>
      </c>
      <c r="C3531" s="68"/>
      <c r="D3531" s="68">
        <v>46102.0</v>
      </c>
      <c r="E3531" s="66">
        <v>9.0</v>
      </c>
      <c r="F3531" s="66" t="str">
        <f>IFERROR(__xludf.DUMMYFUNCTION("GOOGLETRANSLATE(A3531,""en"",""pt"")"),"dedicado")</f>
        <v>dedicado</v>
      </c>
      <c r="G3531" s="69"/>
    </row>
    <row r="3532" ht="22.5" customHeight="1">
      <c r="A3532" s="66" t="s">
        <v>2808</v>
      </c>
      <c r="B3532" s="67" t="str">
        <f t="shared" si="15"/>
        <v>M: plays</v>
      </c>
      <c r="C3532" s="66">
        <v>2.0</v>
      </c>
      <c r="D3532" s="68">
        <v>46103.0</v>
      </c>
      <c r="E3532" s="66">
        <v>10.0</v>
      </c>
      <c r="F3532" s="71" t="s">
        <v>4484</v>
      </c>
      <c r="G3532" s="66" t="s">
        <v>247</v>
      </c>
    </row>
    <row r="3533" ht="22.5" customHeight="1">
      <c r="A3533" s="66" t="s">
        <v>4485</v>
      </c>
      <c r="B3533" s="67" t="str">
        <f t="shared" si="15"/>
        <v>M: an</v>
      </c>
      <c r="C3533" s="68"/>
      <c r="D3533" s="68">
        <v>46103.0</v>
      </c>
      <c r="E3533" s="66">
        <v>1.0</v>
      </c>
      <c r="F3533" s="66" t="str">
        <f>IFERROR(__xludf.DUMMYFUNCTION("GOOGLETRANSLATE(A3533,""en"",""pt"")"),"um")</f>
        <v>um</v>
      </c>
      <c r="G3533" s="69"/>
    </row>
    <row r="3534" ht="22.5" customHeight="1">
      <c r="A3534" s="66" t="s">
        <v>4486</v>
      </c>
      <c r="B3534" s="67" t="str">
        <f t="shared" si="15"/>
        <v>M: a</v>
      </c>
      <c r="C3534" s="68"/>
      <c r="D3534" s="68">
        <v>46103.0</v>
      </c>
      <c r="E3534" s="66">
        <v>2.0</v>
      </c>
      <c r="F3534" s="66" t="str">
        <f>IFERROR(__xludf.DUMMYFUNCTION("GOOGLETRANSLATE(A3534,""en"",""pt"")"),"um")</f>
        <v>um</v>
      </c>
      <c r="G3534" s="69"/>
    </row>
    <row r="3535" ht="22.5" customHeight="1">
      <c r="A3535" s="66" t="s">
        <v>4487</v>
      </c>
      <c r="B3535" s="67" t="str">
        <f>CONCATENATE("M: ",#REF!)</f>
        <v>#REF!</v>
      </c>
      <c r="C3535" s="66">
        <v>3.0</v>
      </c>
      <c r="D3535" s="68">
        <v>46103.0</v>
      </c>
      <c r="E3535" s="66">
        <v>3.0</v>
      </c>
      <c r="F3535" s="71" t="s">
        <v>4488</v>
      </c>
      <c r="G3535" s="66" t="s">
        <v>247</v>
      </c>
    </row>
    <row r="3536" ht="22.5" customHeight="1">
      <c r="A3536" s="70" t="s">
        <v>4489</v>
      </c>
      <c r="B3536" s="67" t="str">
        <f>CONCATENATE("M: ",A3535)</f>
        <v>M: smoothly</v>
      </c>
      <c r="C3536" s="68"/>
      <c r="D3536" s="68">
        <v>46103.0</v>
      </c>
      <c r="E3536" s="66">
        <v>4.0</v>
      </c>
      <c r="F3536" s="66" t="str">
        <f>IFERROR(__xludf.DUMMYFUNCTION("GOOGLETRANSLATE(A3535,""en"",""pt"")"),"suavemente")</f>
        <v>suavemente</v>
      </c>
      <c r="G3536" s="69"/>
    </row>
    <row r="3537" ht="22.5" customHeight="1">
      <c r="A3537" s="66" t="s">
        <v>4490</v>
      </c>
      <c r="B3537" s="67" t="str">
        <f t="shared" ref="B3537:B11612" si="16">CONCATENATE("M: ",A3537)</f>
        <v>M: drama</v>
      </c>
      <c r="C3537" s="68"/>
      <c r="D3537" s="68">
        <v>46103.0</v>
      </c>
      <c r="E3537" s="66">
        <v>5.0</v>
      </c>
      <c r="F3537" s="66" t="str">
        <f>IFERROR(__xludf.DUMMYFUNCTION("GOOGLETRANSLATE(A3537,""en"",""pt"")"),"drama")</f>
        <v>drama</v>
      </c>
      <c r="G3537" s="69"/>
    </row>
    <row r="3538" ht="22.5" customHeight="1">
      <c r="A3538" s="66" t="s">
        <v>4491</v>
      </c>
      <c r="B3538" s="67" t="str">
        <f t="shared" si="16"/>
        <v>M: historical</v>
      </c>
      <c r="C3538" s="68"/>
      <c r="D3538" s="68">
        <v>46103.0</v>
      </c>
      <c r="E3538" s="66">
        <v>6.0</v>
      </c>
      <c r="F3538" s="66" t="str">
        <f>IFERROR(__xludf.DUMMYFUNCTION("GOOGLETRANSLATE(A3538,""en"",""pt"")"),"histórico")</f>
        <v>histórico</v>
      </c>
      <c r="G3538" s="69"/>
    </row>
    <row r="3539" ht="22.5" customHeight="1">
      <c r="A3539" s="66" t="s">
        <v>4492</v>
      </c>
      <c r="B3539" s="67" t="str">
        <f t="shared" si="16"/>
        <v>M: writer</v>
      </c>
      <c r="C3539" s="68"/>
      <c r="D3539" s="68">
        <v>46103.0</v>
      </c>
      <c r="E3539" s="66">
        <v>7.0</v>
      </c>
      <c r="F3539" s="66" t="str">
        <f>IFERROR(__xludf.DUMMYFUNCTION("GOOGLETRANSLATE(A3539,""en"",""pt"")"),"escritor")</f>
        <v>escritor</v>
      </c>
      <c r="G3539" s="69"/>
    </row>
    <row r="3540" ht="22.5" customHeight="1">
      <c r="A3540" s="66" t="s">
        <v>4493</v>
      </c>
      <c r="B3540" s="67" t="str">
        <f t="shared" si="16"/>
        <v>M: designed</v>
      </c>
      <c r="C3540" s="68"/>
      <c r="D3540" s="68">
        <v>46103.0</v>
      </c>
      <c r="E3540" s="66">
        <v>8.0</v>
      </c>
      <c r="F3540" s="66" t="str">
        <f>IFERROR(__xludf.DUMMYFUNCTION("GOOGLETRANSLATE(A3540,""en"",""pt"")"),"projetado")</f>
        <v>projetado</v>
      </c>
      <c r="G3540" s="69"/>
    </row>
    <row r="3541" ht="22.5" customHeight="1">
      <c r="A3541" s="66" t="s">
        <v>4494</v>
      </c>
      <c r="B3541" s="67" t="str">
        <f t="shared" si="16"/>
        <v>M: exciting</v>
      </c>
      <c r="C3541" s="68"/>
      <c r="D3541" s="68">
        <v>46103.0</v>
      </c>
      <c r="E3541" s="66">
        <v>9.0</v>
      </c>
      <c r="F3541" s="66" t="str">
        <f>IFERROR(__xludf.DUMMYFUNCTION("GOOGLETRANSLATE(A3541,""en"",""pt"")"),"excitante")</f>
        <v>excitante</v>
      </c>
      <c r="G3541" s="69"/>
    </row>
    <row r="3542" ht="22.5" customHeight="1">
      <c r="A3542" s="66" t="s">
        <v>2802</v>
      </c>
      <c r="B3542" s="67" t="str">
        <f t="shared" si="16"/>
        <v>M: build</v>
      </c>
      <c r="C3542" s="66">
        <v>2.0</v>
      </c>
      <c r="D3542" s="68">
        <v>46104.0</v>
      </c>
      <c r="E3542" s="66">
        <v>10.0</v>
      </c>
      <c r="F3542" s="71" t="s">
        <v>4495</v>
      </c>
      <c r="G3542" s="66" t="s">
        <v>247</v>
      </c>
    </row>
    <row r="3543" ht="22.5" customHeight="1">
      <c r="A3543" s="66" t="s">
        <v>2802</v>
      </c>
      <c r="B3543" s="67" t="str">
        <f t="shared" si="16"/>
        <v>M: build</v>
      </c>
      <c r="C3543" s="66">
        <v>3.0</v>
      </c>
      <c r="D3543" s="68">
        <v>46104.0</v>
      </c>
      <c r="E3543" s="66">
        <v>1.0</v>
      </c>
      <c r="F3543" s="71" t="s">
        <v>4496</v>
      </c>
      <c r="G3543" s="66" t="s">
        <v>247</v>
      </c>
    </row>
    <row r="3544" ht="22.5" customHeight="1">
      <c r="A3544" s="66" t="s">
        <v>4497</v>
      </c>
      <c r="B3544" s="67" t="str">
        <f t="shared" si="16"/>
        <v>M: nightly</v>
      </c>
      <c r="C3544" s="68"/>
      <c r="D3544" s="68">
        <v>46104.0</v>
      </c>
      <c r="E3544" s="66">
        <v>2.0</v>
      </c>
      <c r="F3544" s="66" t="str">
        <f>IFERROR(__xludf.DUMMYFUNCTION("GOOGLETRANSLATE(A3544,""en"",""pt"")"),"noturno")</f>
        <v>noturno</v>
      </c>
      <c r="G3544" s="69"/>
    </row>
    <row r="3545" ht="22.5" customHeight="1">
      <c r="A3545" s="66" t="s">
        <v>4498</v>
      </c>
      <c r="B3545" s="67" t="str">
        <f t="shared" si="16"/>
        <v>M: commercial</v>
      </c>
      <c r="C3545" s="68"/>
      <c r="D3545" s="68">
        <v>46104.0</v>
      </c>
      <c r="E3545" s="66">
        <v>3.0</v>
      </c>
      <c r="F3545" s="66" t="str">
        <f>IFERROR(__xludf.DUMMYFUNCTION("GOOGLETRANSLATE(A3545,""en"",""pt"")"),"comercial")</f>
        <v>comercial</v>
      </c>
      <c r="G3545" s="69"/>
    </row>
    <row r="3546" ht="22.5" customHeight="1">
      <c r="A3546" s="66" t="s">
        <v>4499</v>
      </c>
      <c r="B3546" s="67" t="str">
        <f t="shared" si="16"/>
        <v>M: data</v>
      </c>
      <c r="C3546" s="68"/>
      <c r="D3546" s="68">
        <v>46104.0</v>
      </c>
      <c r="E3546" s="66">
        <v>4.0</v>
      </c>
      <c r="F3546" s="66" t="str">
        <f>IFERROR(__xludf.DUMMYFUNCTION("GOOGLETRANSLATE(A3546,""en"",""pt"")"),"dados")</f>
        <v>dados</v>
      </c>
      <c r="G3546" s="69"/>
    </row>
    <row r="3547" ht="22.5" customHeight="1">
      <c r="A3547" s="66" t="s">
        <v>2797</v>
      </c>
      <c r="B3547" s="67" t="str">
        <f t="shared" si="16"/>
        <v>M: glowing</v>
      </c>
      <c r="C3547" s="66">
        <v>2.0</v>
      </c>
      <c r="D3547" s="68">
        <v>46104.0</v>
      </c>
      <c r="E3547" s="66">
        <v>5.0</v>
      </c>
      <c r="F3547" s="71" t="s">
        <v>4500</v>
      </c>
      <c r="G3547" s="66" t="s">
        <v>247</v>
      </c>
    </row>
    <row r="3548" ht="22.5" customHeight="1">
      <c r="A3548" s="66" t="s">
        <v>2797</v>
      </c>
      <c r="B3548" s="67" t="str">
        <f t="shared" si="16"/>
        <v>M: glowing</v>
      </c>
      <c r="C3548" s="66">
        <v>3.0</v>
      </c>
      <c r="D3548" s="68">
        <v>46104.0</v>
      </c>
      <c r="E3548" s="66">
        <v>6.0</v>
      </c>
      <c r="F3548" s="71" t="s">
        <v>4501</v>
      </c>
      <c r="G3548" s="66" t="s">
        <v>247</v>
      </c>
    </row>
    <row r="3549" ht="22.5" customHeight="1">
      <c r="A3549" s="66" t="s">
        <v>4502</v>
      </c>
      <c r="B3549" s="67" t="str">
        <f t="shared" si="16"/>
        <v>M: horizon</v>
      </c>
      <c r="C3549" s="68"/>
      <c r="D3549" s="68">
        <v>46104.0</v>
      </c>
      <c r="E3549" s="66">
        <v>7.0</v>
      </c>
      <c r="F3549" s="66" t="str">
        <f>IFERROR(__xludf.DUMMYFUNCTION("GOOGLETRANSLATE(A3549,""en"",""pt"")"),"horizonte")</f>
        <v>horizonte</v>
      </c>
      <c r="G3549" s="69"/>
    </row>
    <row r="3550" ht="22.5" customHeight="1">
      <c r="A3550" s="66" t="s">
        <v>4503</v>
      </c>
      <c r="B3550" s="67" t="str">
        <f t="shared" si="16"/>
        <v>M: intensely</v>
      </c>
      <c r="C3550" s="68"/>
      <c r="D3550" s="68">
        <v>46104.0</v>
      </c>
      <c r="E3550" s="66">
        <v>8.0</v>
      </c>
      <c r="F3550" s="66" t="str">
        <f>IFERROR(__xludf.DUMMYFUNCTION("GOOGLETRANSLATE(A3550,""en"",""pt"")"),"intensamente")</f>
        <v>intensamente</v>
      </c>
      <c r="G3550" s="69"/>
    </row>
    <row r="3551" ht="22.5" customHeight="1">
      <c r="A3551" s="66" t="s">
        <v>4504</v>
      </c>
      <c r="B3551" s="67" t="str">
        <f t="shared" si="16"/>
        <v>M: press</v>
      </c>
      <c r="C3551" s="68"/>
      <c r="D3551" s="68">
        <v>46104.0</v>
      </c>
      <c r="E3551" s="66">
        <v>9.0</v>
      </c>
      <c r="F3551" s="66" t="str">
        <f>IFERROR(__xludf.DUMMYFUNCTION("GOOGLETRANSLATE(A3551,""en"",""pt"")"),"imprensa")</f>
        <v>imprensa</v>
      </c>
      <c r="G3551" s="69"/>
    </row>
    <row r="3552" ht="22.5" customHeight="1">
      <c r="A3552" s="70" t="s">
        <v>4505</v>
      </c>
      <c r="B3552" s="67" t="str">
        <f t="shared" si="16"/>
        <v>M: praise</v>
      </c>
      <c r="C3552" s="68"/>
      <c r="D3552" s="68">
        <v>46105.0</v>
      </c>
      <c r="E3552" s="66">
        <v>10.0</v>
      </c>
      <c r="F3552" s="66" t="str">
        <f>IFERROR(__xludf.DUMMYFUNCTION("GOOGLETRANSLATE(A3552,""en"",""pt"")"),"louvar")</f>
        <v>louvar</v>
      </c>
      <c r="G3552" s="69"/>
    </row>
    <row r="3553" ht="22.5" customHeight="1">
      <c r="A3553" s="66" t="s">
        <v>4506</v>
      </c>
      <c r="B3553" s="67" t="str">
        <f t="shared" si="16"/>
        <v>M: campfire</v>
      </c>
      <c r="C3553" s="68"/>
      <c r="D3553" s="68">
        <v>46105.0</v>
      </c>
      <c r="E3553" s="66">
        <v>1.0</v>
      </c>
      <c r="F3553" s="66" t="str">
        <f>IFERROR(__xludf.DUMMYFUNCTION("GOOGLETRANSLATE(A3553,""en"",""pt"")"),"fogueira")</f>
        <v>fogueira</v>
      </c>
      <c r="G3553" s="69"/>
    </row>
    <row r="3554" ht="22.5" customHeight="1">
      <c r="A3554" s="66" t="s">
        <v>4507</v>
      </c>
      <c r="B3554" s="67" t="str">
        <f t="shared" si="16"/>
        <v>M: embers</v>
      </c>
      <c r="C3554" s="68"/>
      <c r="D3554" s="68">
        <v>46105.0</v>
      </c>
      <c r="E3554" s="66">
        <v>2.0</v>
      </c>
      <c r="F3554" s="66" t="str">
        <f>IFERROR(__xludf.DUMMYFUNCTION("GOOGLETRANSLATE(A3554,""en"",""pt"")"),"brasas")</f>
        <v>brasas</v>
      </c>
      <c r="G3554" s="69"/>
    </row>
    <row r="3555" ht="22.5" customHeight="1">
      <c r="A3555" s="66" t="s">
        <v>4508</v>
      </c>
      <c r="B3555" s="67" t="str">
        <f t="shared" si="16"/>
        <v>M: cheeks</v>
      </c>
      <c r="C3555" s="68"/>
      <c r="D3555" s="68">
        <v>46105.0</v>
      </c>
      <c r="E3555" s="66">
        <v>3.0</v>
      </c>
      <c r="F3555" s="66" t="str">
        <f>IFERROR(__xludf.DUMMYFUNCTION("GOOGLETRANSLATE(A3555,""en"",""pt"")"),"bochechas")</f>
        <v>bochechas</v>
      </c>
      <c r="G3555" s="69"/>
    </row>
    <row r="3556" ht="22.5" customHeight="1">
      <c r="A3556" s="66" t="s">
        <v>2793</v>
      </c>
      <c r="B3556" s="67" t="str">
        <f t="shared" si="16"/>
        <v>M: gonna be</v>
      </c>
      <c r="C3556" s="66">
        <v>2.0</v>
      </c>
      <c r="D3556" s="68">
        <v>46105.0</v>
      </c>
      <c r="E3556" s="66">
        <v>4.0</v>
      </c>
      <c r="F3556" s="66" t="s">
        <v>4509</v>
      </c>
      <c r="G3556" s="66" t="s">
        <v>247</v>
      </c>
    </row>
    <row r="3557" ht="22.5" customHeight="1">
      <c r="A3557" s="66" t="s">
        <v>2791</v>
      </c>
      <c r="B3557" s="67" t="str">
        <f t="shared" si="16"/>
        <v>M: patterns</v>
      </c>
      <c r="C3557" s="66">
        <v>2.0</v>
      </c>
      <c r="D3557" s="68">
        <v>46105.0</v>
      </c>
      <c r="E3557" s="66">
        <v>5.0</v>
      </c>
      <c r="F3557" s="66" t="s">
        <v>4510</v>
      </c>
      <c r="G3557" s="66" t="s">
        <v>247</v>
      </c>
    </row>
    <row r="3558" ht="22.5" customHeight="1">
      <c r="A3558" s="66" t="s">
        <v>2791</v>
      </c>
      <c r="B3558" s="67" t="str">
        <f t="shared" si="16"/>
        <v>M: patterns</v>
      </c>
      <c r="C3558" s="66">
        <v>3.0</v>
      </c>
      <c r="D3558" s="68">
        <v>46105.0</v>
      </c>
      <c r="E3558" s="66">
        <v>6.0</v>
      </c>
      <c r="F3558" s="66" t="s">
        <v>4511</v>
      </c>
      <c r="G3558" s="66" t="s">
        <v>247</v>
      </c>
    </row>
    <row r="3559" ht="22.5" customHeight="1">
      <c r="A3559" s="66" t="s">
        <v>4512</v>
      </c>
      <c r="B3559" s="67" t="str">
        <f t="shared" si="16"/>
        <v>M: precisely</v>
      </c>
      <c r="C3559" s="68"/>
      <c r="D3559" s="68">
        <v>46105.0</v>
      </c>
      <c r="E3559" s="66">
        <v>7.0</v>
      </c>
      <c r="F3559" s="66" t="str">
        <f>IFERROR(__xludf.DUMMYFUNCTION("GOOGLETRANSLATE(A3559,""en"",""pt"")"),"precisamente")</f>
        <v>precisamente</v>
      </c>
      <c r="G3559" s="69"/>
    </row>
    <row r="3560" ht="22.5" customHeight="1">
      <c r="A3560" s="66" t="s">
        <v>4513</v>
      </c>
      <c r="B3560" s="67" t="str">
        <f t="shared" si="16"/>
        <v>M: solve</v>
      </c>
      <c r="C3560" s="68"/>
      <c r="D3560" s="68">
        <v>46105.0</v>
      </c>
      <c r="E3560" s="66">
        <v>8.0</v>
      </c>
      <c r="F3560" s="66" t="str">
        <f>IFERROR(__xludf.DUMMYFUNCTION("GOOGLETRANSLATE(A3560,""en"",""pt"")"),"resolver")</f>
        <v>resolver</v>
      </c>
      <c r="G3560" s="69"/>
    </row>
    <row r="3561" ht="22.5" customHeight="1">
      <c r="A3561" s="66" t="s">
        <v>4514</v>
      </c>
      <c r="B3561" s="67" t="str">
        <f t="shared" si="16"/>
        <v>M: code</v>
      </c>
      <c r="C3561" s="68"/>
      <c r="D3561" s="68">
        <v>46105.0</v>
      </c>
      <c r="E3561" s="66">
        <v>9.0</v>
      </c>
      <c r="F3561" s="66" t="str">
        <f>IFERROR(__xludf.DUMMYFUNCTION("GOOGLETRANSLATE(A3561,""en"",""pt"")"),"código")</f>
        <v>código</v>
      </c>
      <c r="G3561" s="69"/>
    </row>
    <row r="3562" ht="22.5" customHeight="1">
      <c r="A3562" s="66" t="s">
        <v>4515</v>
      </c>
      <c r="B3562" s="67" t="str">
        <f t="shared" si="16"/>
        <v>M: recurrent</v>
      </c>
      <c r="C3562" s="68"/>
      <c r="D3562" s="68">
        <v>46106.0</v>
      </c>
      <c r="E3562" s="66">
        <v>10.0</v>
      </c>
      <c r="F3562" s="66" t="str">
        <f>IFERROR(__xludf.DUMMYFUNCTION("GOOGLETRANSLATE(A3562,""en"",""pt"")"),"recorrente")</f>
        <v>recorrente</v>
      </c>
      <c r="G3562" s="69"/>
    </row>
    <row r="3563" ht="22.5" customHeight="1">
      <c r="A3563" s="66" t="s">
        <v>4516</v>
      </c>
      <c r="B3563" s="67" t="str">
        <f t="shared" si="16"/>
        <v>M: logs</v>
      </c>
      <c r="C3563" s="68"/>
      <c r="D3563" s="68">
        <v>46106.0</v>
      </c>
      <c r="E3563" s="66">
        <v>1.0</v>
      </c>
      <c r="F3563" s="66" t="str">
        <f>IFERROR(__xludf.DUMMYFUNCTION("GOOGLETRANSLATE(A3563,""en"",""pt"")"),"registros")</f>
        <v>registros</v>
      </c>
      <c r="G3563" s="69"/>
    </row>
    <row r="3564" ht="22.5" customHeight="1">
      <c r="A3564" s="66" t="s">
        <v>4517</v>
      </c>
      <c r="B3564" s="67" t="str">
        <f t="shared" si="16"/>
        <v>M: found</v>
      </c>
      <c r="C3564" s="68"/>
      <c r="D3564" s="68">
        <v>46106.0</v>
      </c>
      <c r="E3564" s="66">
        <v>2.0</v>
      </c>
      <c r="F3564" s="66" t="str">
        <f>IFERROR(__xludf.DUMMYFUNCTION("GOOGLETRANSLATE(A3564,""en"",""pt"")"),"encontrado")</f>
        <v>encontrado</v>
      </c>
      <c r="G3564" s="69"/>
    </row>
    <row r="3565" ht="22.5" customHeight="1">
      <c r="A3565" s="66" t="s">
        <v>4518</v>
      </c>
      <c r="B3565" s="67" t="str">
        <f t="shared" si="16"/>
        <v>M: customer</v>
      </c>
      <c r="C3565" s="68"/>
      <c r="D3565" s="68">
        <v>46106.0</v>
      </c>
      <c r="E3565" s="66">
        <v>3.0</v>
      </c>
      <c r="F3565" s="66" t="str">
        <f>IFERROR(__xludf.DUMMYFUNCTION("GOOGLETRANSLATE(A3565,""en"",""pt"")"),"cliente")</f>
        <v>cliente</v>
      </c>
      <c r="G3565" s="69"/>
    </row>
    <row r="3566" ht="22.5" customHeight="1">
      <c r="A3566" s="66" t="s">
        <v>4519</v>
      </c>
      <c r="B3566" s="67" t="str">
        <f t="shared" si="16"/>
        <v>M: buying</v>
      </c>
      <c r="C3566" s="68"/>
      <c r="D3566" s="68">
        <v>46106.0</v>
      </c>
      <c r="E3566" s="66">
        <v>4.0</v>
      </c>
      <c r="F3566" s="66" t="str">
        <f>IFERROR(__xludf.DUMMYFUNCTION("GOOGLETRANSLATE(A3566,""en"",""pt"")"),"comprando")</f>
        <v>comprando</v>
      </c>
      <c r="G3566" s="69"/>
    </row>
    <row r="3567" ht="22.5" customHeight="1">
      <c r="A3567" s="66" t="s">
        <v>4520</v>
      </c>
      <c r="B3567" s="67" t="str">
        <f t="shared" si="16"/>
        <v>M: improve</v>
      </c>
      <c r="C3567" s="68"/>
      <c r="D3567" s="68">
        <v>46106.0</v>
      </c>
      <c r="E3567" s="66">
        <v>5.0</v>
      </c>
      <c r="F3567" s="66" t="str">
        <f>IFERROR(__xludf.DUMMYFUNCTION("GOOGLETRANSLATE(A3567,""en"",""pt"")"),"melhorar")</f>
        <v>melhorar</v>
      </c>
      <c r="G3567" s="69"/>
    </row>
    <row r="3568" ht="22.5" customHeight="1">
      <c r="A3568" s="66" t="s">
        <v>4521</v>
      </c>
      <c r="B3568" s="67" t="str">
        <f t="shared" si="16"/>
        <v>M: child</v>
      </c>
      <c r="C3568" s="68"/>
      <c r="D3568" s="68">
        <v>46106.0</v>
      </c>
      <c r="E3568" s="66">
        <v>6.0</v>
      </c>
      <c r="F3568" s="66" t="str">
        <f>IFERROR(__xludf.DUMMYFUNCTION("GOOGLETRANSLATE(A3568,""en"",""pt"")"),"criança")</f>
        <v>criança</v>
      </c>
      <c r="G3568" s="69"/>
    </row>
    <row r="3569" ht="22.5" customHeight="1">
      <c r="A3569" s="66" t="s">
        <v>4522</v>
      </c>
      <c r="B3569" s="67" t="str">
        <f t="shared" si="16"/>
        <v>M: exhibit</v>
      </c>
      <c r="C3569" s="68"/>
      <c r="D3569" s="68">
        <v>46106.0</v>
      </c>
      <c r="E3569" s="66">
        <v>7.0</v>
      </c>
      <c r="F3569" s="66" t="str">
        <f>IFERROR(__xludf.DUMMYFUNCTION("GOOGLETRANSLATE(A3569,""en"",""pt"")"),"exposição")</f>
        <v>exposição</v>
      </c>
      <c r="G3569" s="69"/>
    </row>
    <row r="3570" ht="22.5" customHeight="1">
      <c r="A3570" s="66" t="s">
        <v>4523</v>
      </c>
      <c r="B3570" s="67" t="str">
        <f t="shared" si="16"/>
        <v>M: disruptive</v>
      </c>
      <c r="C3570" s="68"/>
      <c r="D3570" s="68">
        <v>46106.0</v>
      </c>
      <c r="E3570" s="66">
        <v>8.0</v>
      </c>
      <c r="F3570" s="66" t="str">
        <f>IFERROR(__xludf.DUMMYFUNCTION("GOOGLETRANSLATE(A3570,""en"",""pt"")"),"disruptivo")</f>
        <v>disruptivo</v>
      </c>
      <c r="G3570" s="69"/>
    </row>
    <row r="3571" ht="22.5" customHeight="1">
      <c r="A3571" s="66" t="s">
        <v>4524</v>
      </c>
      <c r="B3571" s="67" t="str">
        <f t="shared" si="16"/>
        <v>M: sewing</v>
      </c>
      <c r="C3571" s="68"/>
      <c r="D3571" s="68">
        <v>46106.0</v>
      </c>
      <c r="E3571" s="66">
        <v>9.0</v>
      </c>
      <c r="F3571" s="66" t="str">
        <f>IFERROR(__xludf.DUMMYFUNCTION("GOOGLETRANSLATE(A3571,""en"",""pt"")"),"de costura")</f>
        <v>de costura</v>
      </c>
      <c r="G3571" s="69"/>
    </row>
    <row r="3572" ht="22.5" customHeight="1">
      <c r="A3572" s="66" t="s">
        <v>4525</v>
      </c>
      <c r="B3572" s="67" t="str">
        <f t="shared" si="16"/>
        <v>M: arranging</v>
      </c>
      <c r="C3572" s="68"/>
      <c r="D3572" s="68">
        <v>46107.0</v>
      </c>
      <c r="E3572" s="66">
        <v>10.0</v>
      </c>
      <c r="F3572" s="66" t="str">
        <f>IFERROR(__xludf.DUMMYFUNCTION("GOOGLETRANSLATE(A3572,""en"",""pt"")"),"organizar")</f>
        <v>organizar</v>
      </c>
      <c r="G3572" s="69"/>
    </row>
    <row r="3573" ht="22.5" customHeight="1">
      <c r="A3573" s="66" t="s">
        <v>2787</v>
      </c>
      <c r="B3573" s="67" t="str">
        <f t="shared" si="16"/>
        <v>M: throne</v>
      </c>
      <c r="C3573" s="66">
        <v>2.0</v>
      </c>
      <c r="D3573" s="68">
        <v>46107.0</v>
      </c>
      <c r="E3573" s="66">
        <v>1.0</v>
      </c>
      <c r="F3573" s="71" t="s">
        <v>4526</v>
      </c>
      <c r="G3573" s="66" t="s">
        <v>247</v>
      </c>
    </row>
    <row r="3574" ht="22.5" customHeight="1">
      <c r="A3574" s="66" t="s">
        <v>2781</v>
      </c>
      <c r="B3574" s="67" t="str">
        <f t="shared" si="16"/>
        <v>M: outside</v>
      </c>
      <c r="C3574" s="66">
        <v>2.0</v>
      </c>
      <c r="D3574" s="68">
        <v>46107.0</v>
      </c>
      <c r="E3574" s="66">
        <v>2.0</v>
      </c>
      <c r="F3574" s="71" t="s">
        <v>4527</v>
      </c>
      <c r="G3574" s="66" t="s">
        <v>247</v>
      </c>
    </row>
    <row r="3575" ht="22.5" customHeight="1">
      <c r="A3575" s="66" t="s">
        <v>2781</v>
      </c>
      <c r="B3575" s="67" t="str">
        <f t="shared" si="16"/>
        <v>M: outside</v>
      </c>
      <c r="C3575" s="66">
        <v>3.0</v>
      </c>
      <c r="D3575" s="68">
        <v>46107.0</v>
      </c>
      <c r="E3575" s="66">
        <v>3.0</v>
      </c>
      <c r="F3575" s="66" t="s">
        <v>4528</v>
      </c>
      <c r="G3575" s="66" t="s">
        <v>247</v>
      </c>
    </row>
    <row r="3576" ht="22.5" customHeight="1">
      <c r="A3576" s="66" t="s">
        <v>4529</v>
      </c>
      <c r="B3576" s="67" t="str">
        <f t="shared" si="16"/>
        <v>M: fresh</v>
      </c>
      <c r="C3576" s="68"/>
      <c r="D3576" s="68">
        <v>46107.0</v>
      </c>
      <c r="E3576" s="66">
        <v>4.0</v>
      </c>
      <c r="F3576" s="66" t="str">
        <f>IFERROR(__xludf.DUMMYFUNCTION("GOOGLETRANSLATE(A3576,""en"",""pt"")"),"fresco")</f>
        <v>fresco</v>
      </c>
      <c r="G3576" s="69"/>
    </row>
    <row r="3577" ht="22.5" customHeight="1">
      <c r="A3577" s="66" t="s">
        <v>4530</v>
      </c>
      <c r="B3577" s="67" t="str">
        <f t="shared" si="16"/>
        <v>M: wait</v>
      </c>
      <c r="C3577" s="68"/>
      <c r="D3577" s="68">
        <v>46107.0</v>
      </c>
      <c r="E3577" s="66">
        <v>5.0</v>
      </c>
      <c r="F3577" s="66" t="str">
        <f>IFERROR(__xludf.DUMMYFUNCTION("GOOGLETRANSLATE(A3577,""en"",""pt"")"),"espere")</f>
        <v>espere</v>
      </c>
      <c r="G3577" s="69"/>
    </row>
    <row r="3578" ht="22.5" customHeight="1">
      <c r="A3578" s="66" t="s">
        <v>4531</v>
      </c>
      <c r="B3578" s="67" t="str">
        <f t="shared" si="16"/>
        <v>M: library</v>
      </c>
      <c r="C3578" s="68"/>
      <c r="D3578" s="68">
        <v>46107.0</v>
      </c>
      <c r="E3578" s="66">
        <v>6.0</v>
      </c>
      <c r="F3578" s="66" t="str">
        <f>IFERROR(__xludf.DUMMYFUNCTION("GOOGLETRANSLATE(A3578,""en"",""pt"")"),"biblioteca")</f>
        <v>biblioteca</v>
      </c>
      <c r="G3578" s="69"/>
    </row>
    <row r="3579" ht="22.5" customHeight="1">
      <c r="A3579" s="66" t="s">
        <v>4532</v>
      </c>
      <c r="B3579" s="67" t="str">
        <f t="shared" si="16"/>
        <v>M: consultant</v>
      </c>
      <c r="C3579" s="68"/>
      <c r="D3579" s="68">
        <v>46107.0</v>
      </c>
      <c r="E3579" s="66">
        <v>7.0</v>
      </c>
      <c r="F3579" s="66" t="str">
        <f>IFERROR(__xludf.DUMMYFUNCTION("GOOGLETRANSLATE(A3579,""en"",""pt"")"),"consultor")</f>
        <v>consultor</v>
      </c>
      <c r="G3579" s="69"/>
    </row>
    <row r="3580" ht="22.5" customHeight="1">
      <c r="A3580" s="66" t="s">
        <v>4533</v>
      </c>
      <c r="B3580" s="67" t="str">
        <f t="shared" si="16"/>
        <v>M: expertise</v>
      </c>
      <c r="C3580" s="68"/>
      <c r="D3580" s="68">
        <v>46107.0</v>
      </c>
      <c r="E3580" s="66">
        <v>8.0</v>
      </c>
      <c r="F3580" s="66" t="str">
        <f>IFERROR(__xludf.DUMMYFUNCTION("GOOGLETRANSLATE(A3580,""en"",""pt"")"),"experiência")</f>
        <v>experiência</v>
      </c>
      <c r="G3580" s="69"/>
    </row>
    <row r="3581" ht="22.5" customHeight="1">
      <c r="A3581" s="66" t="s">
        <v>2779</v>
      </c>
      <c r="B3581" s="67" t="str">
        <f t="shared" si="16"/>
        <v>M: set up</v>
      </c>
      <c r="C3581" s="66">
        <v>2.0</v>
      </c>
      <c r="D3581" s="68">
        <v>46107.0</v>
      </c>
      <c r="E3581" s="66">
        <v>9.0</v>
      </c>
      <c r="F3581" s="66" t="s">
        <v>4534</v>
      </c>
      <c r="G3581" s="66" t="s">
        <v>247</v>
      </c>
    </row>
    <row r="3582" ht="22.5" customHeight="1">
      <c r="A3582" s="66" t="s">
        <v>2779</v>
      </c>
      <c r="B3582" s="67" t="str">
        <f t="shared" si="16"/>
        <v>M: set up</v>
      </c>
      <c r="C3582" s="66">
        <v>3.0</v>
      </c>
      <c r="D3582" s="68">
        <v>46108.0</v>
      </c>
      <c r="E3582" s="66">
        <v>10.0</v>
      </c>
      <c r="F3582" s="66" t="s">
        <v>4535</v>
      </c>
      <c r="G3582" s="66" t="s">
        <v>247</v>
      </c>
    </row>
    <row r="3583" ht="22.5" customHeight="1">
      <c r="A3583" s="66" t="s">
        <v>4536</v>
      </c>
      <c r="B3583" s="67" t="str">
        <f t="shared" si="16"/>
        <v>M: overseas</v>
      </c>
      <c r="C3583" s="68"/>
      <c r="D3583" s="68">
        <v>46108.0</v>
      </c>
      <c r="E3583" s="66">
        <v>1.0</v>
      </c>
      <c r="F3583" s="66" t="str">
        <f>IFERROR(__xludf.DUMMYFUNCTION("GOOGLETRANSLATE(A3583,""en"",""pt"")"),"em outro continente")</f>
        <v>em outro continente</v>
      </c>
      <c r="G3583" s="69"/>
    </row>
    <row r="3584" ht="22.5" customHeight="1">
      <c r="A3584" s="66" t="s">
        <v>2775</v>
      </c>
      <c r="B3584" s="67" t="str">
        <f t="shared" si="16"/>
        <v>M: scope</v>
      </c>
      <c r="C3584" s="66">
        <v>2.0</v>
      </c>
      <c r="D3584" s="68">
        <v>46108.0</v>
      </c>
      <c r="E3584" s="66">
        <v>2.0</v>
      </c>
      <c r="F3584" s="71" t="s">
        <v>4537</v>
      </c>
      <c r="G3584" s="66" t="s">
        <v>247</v>
      </c>
    </row>
    <row r="3585" ht="22.5" customHeight="1">
      <c r="A3585" s="66" t="s">
        <v>2775</v>
      </c>
      <c r="B3585" s="67" t="str">
        <f t="shared" si="16"/>
        <v>M: scope</v>
      </c>
      <c r="C3585" s="66">
        <v>3.0</v>
      </c>
      <c r="D3585" s="68">
        <v>46108.0</v>
      </c>
      <c r="E3585" s="66">
        <v>3.0</v>
      </c>
      <c r="F3585" s="66" t="s">
        <v>4538</v>
      </c>
      <c r="G3585" s="66" t="s">
        <v>247</v>
      </c>
    </row>
    <row r="3586" ht="22.5" customHeight="1">
      <c r="A3586" s="66" t="s">
        <v>4539</v>
      </c>
      <c r="B3586" s="67" t="str">
        <f t="shared" si="16"/>
        <v>M: began</v>
      </c>
      <c r="C3586" s="68"/>
      <c r="D3586" s="68">
        <v>46108.0</v>
      </c>
      <c r="E3586" s="66">
        <v>4.0</v>
      </c>
      <c r="F3586" s="66" t="str">
        <f>IFERROR(__xludf.DUMMYFUNCTION("GOOGLETRANSLATE(A3586,""en"",""pt"")"),"começou")</f>
        <v>começou</v>
      </c>
      <c r="G3586" s="69"/>
    </row>
    <row r="3587" ht="22.5" customHeight="1">
      <c r="A3587" s="66" t="s">
        <v>4540</v>
      </c>
      <c r="B3587" s="67" t="str">
        <f t="shared" si="16"/>
        <v>M: gives us</v>
      </c>
      <c r="C3587" s="68"/>
      <c r="D3587" s="68">
        <v>46108.0</v>
      </c>
      <c r="E3587" s="66">
        <v>5.0</v>
      </c>
      <c r="F3587" s="66" t="str">
        <f>IFERROR(__xludf.DUMMYFUNCTION("GOOGLETRANSLATE(A3587,""en"",""pt"")"),"nos dá")</f>
        <v>nos dá</v>
      </c>
      <c r="G3587" s="69"/>
    </row>
    <row r="3588" ht="22.5" customHeight="1">
      <c r="A3588" s="66" t="s">
        <v>4541</v>
      </c>
      <c r="B3588" s="67" t="str">
        <f t="shared" si="16"/>
        <v>M: financial</v>
      </c>
      <c r="C3588" s="68"/>
      <c r="D3588" s="68">
        <v>46108.0</v>
      </c>
      <c r="E3588" s="66">
        <v>6.0</v>
      </c>
      <c r="F3588" s="66" t="str">
        <f>IFERROR(__xludf.DUMMYFUNCTION("GOOGLETRANSLATE(A3588,""en"",""pt"")"),"financeiro")</f>
        <v>financeiro</v>
      </c>
      <c r="G3588" s="69"/>
    </row>
    <row r="3589" ht="22.5" customHeight="1">
      <c r="A3589" s="66" t="s">
        <v>4542</v>
      </c>
      <c r="B3589" s="67" t="str">
        <f t="shared" si="16"/>
        <v>M: increased</v>
      </c>
      <c r="C3589" s="68"/>
      <c r="D3589" s="68">
        <v>46108.0</v>
      </c>
      <c r="E3589" s="66">
        <v>7.0</v>
      </c>
      <c r="F3589" s="66" t="str">
        <f>IFERROR(__xludf.DUMMYFUNCTION("GOOGLETRANSLATE(A3589,""en"",""pt"")"),"aumentou")</f>
        <v>aumentou</v>
      </c>
      <c r="G3589" s="69"/>
    </row>
    <row r="3590" ht="22.5" customHeight="1">
      <c r="A3590" s="66" t="s">
        <v>2773</v>
      </c>
      <c r="B3590" s="67" t="str">
        <f t="shared" si="16"/>
        <v>M: flat</v>
      </c>
      <c r="C3590" s="66">
        <v>2.0</v>
      </c>
      <c r="D3590" s="68">
        <v>46108.0</v>
      </c>
      <c r="E3590" s="66">
        <v>8.0</v>
      </c>
      <c r="F3590" s="66" t="s">
        <v>4543</v>
      </c>
      <c r="G3590" s="66" t="s">
        <v>247</v>
      </c>
    </row>
    <row r="3591" ht="22.5" customHeight="1">
      <c r="A3591" s="66" t="s">
        <v>2773</v>
      </c>
      <c r="B3591" s="67" t="str">
        <f t="shared" si="16"/>
        <v>M: flat</v>
      </c>
      <c r="C3591" s="66">
        <v>3.0</v>
      </c>
      <c r="D3591" s="68">
        <v>46108.0</v>
      </c>
      <c r="E3591" s="66">
        <v>9.0</v>
      </c>
      <c r="F3591" s="66" t="s">
        <v>4544</v>
      </c>
      <c r="G3591" s="66" t="s">
        <v>247</v>
      </c>
    </row>
    <row r="3592" ht="22.5" customHeight="1">
      <c r="A3592" s="66" t="s">
        <v>4545</v>
      </c>
      <c r="B3592" s="67" t="str">
        <f t="shared" si="16"/>
        <v>M: chose</v>
      </c>
      <c r="C3592" s="68"/>
      <c r="D3592" s="68">
        <v>46109.0</v>
      </c>
      <c r="E3592" s="66">
        <v>10.0</v>
      </c>
      <c r="F3592" s="66" t="str">
        <f>IFERROR(__xludf.DUMMYFUNCTION("GOOGLETRANSLATE(A3592,""en"",""pt"")"),"escolheu")</f>
        <v>escolheu</v>
      </c>
      <c r="G3592" s="69"/>
    </row>
    <row r="3593" ht="22.5" customHeight="1">
      <c r="A3593" s="66" t="s">
        <v>4546</v>
      </c>
      <c r="B3593" s="67" t="str">
        <f t="shared" si="16"/>
        <v>M: minimalist</v>
      </c>
      <c r="C3593" s="68"/>
      <c r="D3593" s="68">
        <v>46109.0</v>
      </c>
      <c r="E3593" s="66">
        <v>1.0</v>
      </c>
      <c r="F3593" s="66" t="str">
        <f>IFERROR(__xludf.DUMMYFUNCTION("GOOGLETRANSLATE(A3593,""en"",""pt"")"),"minimalista")</f>
        <v>minimalista</v>
      </c>
      <c r="G3593" s="69"/>
    </row>
    <row r="3594" ht="22.5" customHeight="1">
      <c r="A3594" s="66" t="s">
        <v>4547</v>
      </c>
      <c r="B3594" s="67" t="str">
        <f t="shared" si="16"/>
        <v>M: rented</v>
      </c>
      <c r="C3594" s="68"/>
      <c r="D3594" s="68">
        <v>46109.0</v>
      </c>
      <c r="E3594" s="66">
        <v>2.0</v>
      </c>
      <c r="F3594" s="66" t="str">
        <f>IFERROR(__xludf.DUMMYFUNCTION("GOOGLETRANSLATE(A3594,""en"",""pt"")"),"alugado")</f>
        <v>alugado</v>
      </c>
      <c r="G3594" s="69"/>
    </row>
    <row r="3595" ht="22.5" customHeight="1">
      <c r="A3595" s="66" t="s">
        <v>4548</v>
      </c>
      <c r="B3595" s="67" t="str">
        <f t="shared" si="16"/>
        <v>M: fell</v>
      </c>
      <c r="C3595" s="68"/>
      <c r="D3595" s="68">
        <v>46109.0</v>
      </c>
      <c r="E3595" s="66">
        <v>3.0</v>
      </c>
      <c r="F3595" s="66" t="str">
        <f>IFERROR(__xludf.DUMMYFUNCTION("GOOGLETRANSLATE(A3595,""en"",""pt"")"),"caiu")</f>
        <v>caiu</v>
      </c>
      <c r="G3595" s="69"/>
    </row>
    <row r="3596" ht="22.5" customHeight="1">
      <c r="A3596" s="66" t="s">
        <v>2765</v>
      </c>
      <c r="B3596" s="67" t="str">
        <f t="shared" si="16"/>
        <v>M: topping</v>
      </c>
      <c r="C3596" s="66">
        <v>2.0</v>
      </c>
      <c r="D3596" s="68">
        <v>46109.0</v>
      </c>
      <c r="E3596" s="66">
        <v>4.0</v>
      </c>
      <c r="F3596" s="66" t="s">
        <v>4549</v>
      </c>
      <c r="G3596" s="66" t="s">
        <v>247</v>
      </c>
    </row>
    <row r="3597" ht="22.5" customHeight="1">
      <c r="A3597" s="66" t="s">
        <v>4550</v>
      </c>
      <c r="B3597" s="67" t="str">
        <f t="shared" si="16"/>
        <v>M: whipped</v>
      </c>
      <c r="C3597" s="68"/>
      <c r="D3597" s="68">
        <v>46109.0</v>
      </c>
      <c r="E3597" s="66">
        <v>5.0</v>
      </c>
      <c r="F3597" s="66" t="str">
        <f>IFERROR(__xludf.DUMMYFUNCTION("GOOGLETRANSLATE(A3597,""en"",""pt"")"),"chicoteado")</f>
        <v>chicoteado</v>
      </c>
      <c r="G3597" s="69"/>
    </row>
    <row r="3598" ht="22.5" customHeight="1">
      <c r="A3598" s="66" t="s">
        <v>4551</v>
      </c>
      <c r="B3598" s="67" t="str">
        <f t="shared" si="16"/>
        <v>M: calls</v>
      </c>
      <c r="C3598" s="68"/>
      <c r="D3598" s="68">
        <v>46109.0</v>
      </c>
      <c r="E3598" s="66">
        <v>6.0</v>
      </c>
      <c r="F3598" s="66" t="str">
        <f>IFERROR(__xludf.DUMMYFUNCTION("GOOGLETRANSLATE(A3598,""en"",""pt"")"),"ligações")</f>
        <v>ligações</v>
      </c>
      <c r="G3598" s="69"/>
    </row>
    <row r="3599" ht="22.5" customHeight="1">
      <c r="A3599" s="66" t="s">
        <v>2763</v>
      </c>
      <c r="B3599" s="67" t="str">
        <f t="shared" si="16"/>
        <v>M: fine</v>
      </c>
      <c r="C3599" s="66">
        <v>2.0</v>
      </c>
      <c r="D3599" s="68">
        <v>46109.0</v>
      </c>
      <c r="E3599" s="66">
        <v>7.0</v>
      </c>
      <c r="F3599" s="66" t="s">
        <v>4552</v>
      </c>
      <c r="G3599" s="66" t="s">
        <v>247</v>
      </c>
    </row>
    <row r="3600" ht="22.5" customHeight="1">
      <c r="A3600" s="66" t="s">
        <v>2763</v>
      </c>
      <c r="B3600" s="67" t="str">
        <f t="shared" si="16"/>
        <v>M: fine</v>
      </c>
      <c r="C3600" s="66">
        <v>3.0</v>
      </c>
      <c r="D3600" s="68">
        <v>46109.0</v>
      </c>
      <c r="E3600" s="66">
        <v>8.0</v>
      </c>
      <c r="F3600" s="71" t="s">
        <v>4553</v>
      </c>
      <c r="G3600" s="66" t="s">
        <v>247</v>
      </c>
    </row>
    <row r="3601" ht="22.5" customHeight="1">
      <c r="A3601" s="66" t="s">
        <v>4554</v>
      </c>
      <c r="B3601" s="67" t="str">
        <f t="shared" si="16"/>
        <v>M: speeding</v>
      </c>
      <c r="C3601" s="68"/>
      <c r="D3601" s="68">
        <v>46109.0</v>
      </c>
      <c r="E3601" s="66">
        <v>9.0</v>
      </c>
      <c r="F3601" s="66" t="str">
        <f>IFERROR(__xludf.DUMMYFUNCTION("GOOGLETRANSLATE(A3601,""en"",""pt"")"),"excesso de velocidade")</f>
        <v>excesso de velocidade</v>
      </c>
      <c r="G3601" s="69"/>
    </row>
    <row r="3602" ht="22.5" customHeight="1">
      <c r="A3602" s="66" t="s">
        <v>4555</v>
      </c>
      <c r="B3602" s="67" t="str">
        <f t="shared" si="16"/>
        <v>M: parking</v>
      </c>
      <c r="C3602" s="68"/>
      <c r="D3602" s="68">
        <v>46110.0</v>
      </c>
      <c r="E3602" s="66">
        <v>10.0</v>
      </c>
      <c r="F3602" s="66" t="str">
        <f>IFERROR(__xludf.DUMMYFUNCTION("GOOGLETRANSLATE(A3602,""en"",""pt"")"),"estacionamento")</f>
        <v>estacionamento</v>
      </c>
      <c r="G3602" s="69"/>
    </row>
    <row r="3603" ht="22.5" customHeight="1">
      <c r="A3603" s="66" t="s">
        <v>4556</v>
      </c>
      <c r="B3603" s="67" t="str">
        <f t="shared" si="16"/>
        <v>M: coarse</v>
      </c>
      <c r="C3603" s="68"/>
      <c r="D3603" s="68">
        <v>46110.0</v>
      </c>
      <c r="E3603" s="66">
        <v>1.0</v>
      </c>
      <c r="F3603" s="66" t="str">
        <f>IFERROR(__xludf.DUMMYFUNCTION("GOOGLETRANSLATE(A3603,""en"",""pt"")"),"grosseiro")</f>
        <v>grosseiro</v>
      </c>
      <c r="G3603" s="69"/>
    </row>
    <row r="3604" ht="22.5" customHeight="1">
      <c r="A3604" s="66" t="s">
        <v>4557</v>
      </c>
      <c r="B3604" s="67" t="str">
        <f t="shared" si="16"/>
        <v>M: trouble</v>
      </c>
      <c r="C3604" s="68"/>
      <c r="D3604" s="68">
        <v>46110.0</v>
      </c>
      <c r="E3604" s="66">
        <v>2.0</v>
      </c>
      <c r="F3604" s="66" t="str">
        <f>IFERROR(__xludf.DUMMYFUNCTION("GOOGLETRANSLATE(A3604,""en"",""pt"")"),"dificuldade")</f>
        <v>dificuldade</v>
      </c>
      <c r="G3604" s="69"/>
    </row>
    <row r="3605" ht="22.5" customHeight="1">
      <c r="A3605" s="66" t="s">
        <v>4558</v>
      </c>
      <c r="B3605" s="67" t="str">
        <f t="shared" si="16"/>
        <v>M: brush</v>
      </c>
      <c r="C3605" s="68"/>
      <c r="D3605" s="68">
        <v>46110.0</v>
      </c>
      <c r="E3605" s="66">
        <v>3.0</v>
      </c>
      <c r="F3605" s="66" t="str">
        <f>IFERROR(__xludf.DUMMYFUNCTION("GOOGLETRANSLATE(A3605,""en"",""pt"")"),"escovar")</f>
        <v>escovar</v>
      </c>
      <c r="G3605" s="69"/>
    </row>
    <row r="3606" ht="22.5" customHeight="1">
      <c r="A3606" s="66" t="s">
        <v>4559</v>
      </c>
      <c r="B3606" s="67" t="str">
        <f t="shared" si="16"/>
        <v>M: change</v>
      </c>
      <c r="C3606" s="68"/>
      <c r="D3606" s="68">
        <v>46110.0</v>
      </c>
      <c r="E3606" s="66">
        <v>4.0</v>
      </c>
      <c r="F3606" s="66" t="str">
        <f>IFERROR(__xludf.DUMMYFUNCTION("GOOGLETRANSLATE(A3606,""en"",""pt"")"),"mudar")</f>
        <v>mudar</v>
      </c>
      <c r="G3606" s="69"/>
    </row>
    <row r="3607" ht="22.5" customHeight="1">
      <c r="A3607" s="66" t="s">
        <v>4560</v>
      </c>
      <c r="B3607" s="67" t="str">
        <f t="shared" si="16"/>
        <v>M: time</v>
      </c>
      <c r="C3607" s="68"/>
      <c r="D3607" s="68">
        <v>46110.0</v>
      </c>
      <c r="E3607" s="66">
        <v>5.0</v>
      </c>
      <c r="F3607" s="66" t="str">
        <f>IFERROR(__xludf.DUMMYFUNCTION("GOOGLETRANSLATE(A3607,""en"",""pt"")"),"tempo")</f>
        <v>tempo</v>
      </c>
      <c r="G3607" s="69"/>
    </row>
    <row r="3608" ht="22.5" customHeight="1">
      <c r="A3608" s="66" t="s">
        <v>4561</v>
      </c>
      <c r="B3608" s="67" t="str">
        <f t="shared" si="16"/>
        <v>M: grab</v>
      </c>
      <c r="C3608" s="68"/>
      <c r="D3608" s="68">
        <v>46110.0</v>
      </c>
      <c r="E3608" s="66">
        <v>6.0</v>
      </c>
      <c r="F3608" s="66" t="str">
        <f>IFERROR(__xludf.DUMMYFUNCTION("GOOGLETRANSLATE(A3608,""en"",""pt"")"),"pegar")</f>
        <v>pegar</v>
      </c>
      <c r="G3608" s="69"/>
    </row>
    <row r="3609" ht="22.5" customHeight="1">
      <c r="A3609" s="66" t="s">
        <v>2759</v>
      </c>
      <c r="B3609" s="67" t="str">
        <f t="shared" si="16"/>
        <v>M: overloaded</v>
      </c>
      <c r="C3609" s="66">
        <v>2.0</v>
      </c>
      <c r="D3609" s="68">
        <v>46110.0</v>
      </c>
      <c r="E3609" s="66">
        <v>7.0</v>
      </c>
      <c r="F3609" s="66" t="s">
        <v>4562</v>
      </c>
      <c r="G3609" s="66" t="s">
        <v>247</v>
      </c>
    </row>
    <row r="3610" ht="22.5" customHeight="1">
      <c r="A3610" s="66" t="s">
        <v>2755</v>
      </c>
      <c r="B3610" s="67" t="str">
        <f t="shared" si="16"/>
        <v>M: beginner</v>
      </c>
      <c r="C3610" s="66">
        <v>2.0</v>
      </c>
      <c r="D3610" s="68">
        <v>46110.0</v>
      </c>
      <c r="E3610" s="66">
        <v>8.0</v>
      </c>
      <c r="F3610" s="71" t="s">
        <v>4563</v>
      </c>
      <c r="G3610" s="66" t="s">
        <v>247</v>
      </c>
    </row>
    <row r="3611" ht="22.5" customHeight="1">
      <c r="A3611" s="66" t="s">
        <v>2753</v>
      </c>
      <c r="B3611" s="67" t="str">
        <f t="shared" si="16"/>
        <v>M: simplified</v>
      </c>
      <c r="C3611" s="66">
        <v>2.0</v>
      </c>
      <c r="D3611" s="68">
        <v>46110.0</v>
      </c>
      <c r="E3611" s="66">
        <v>9.0</v>
      </c>
      <c r="F3611" s="66" t="s">
        <v>4564</v>
      </c>
      <c r="G3611" s="66" t="s">
        <v>247</v>
      </c>
    </row>
    <row r="3612" ht="22.5" customHeight="1">
      <c r="A3612" s="66" t="s">
        <v>4565</v>
      </c>
      <c r="B3612" s="67" t="str">
        <f t="shared" si="16"/>
        <v>M: deployment</v>
      </c>
      <c r="C3612" s="68"/>
      <c r="D3612" s="68">
        <v>46111.0</v>
      </c>
      <c r="E3612" s="66">
        <v>10.0</v>
      </c>
      <c r="F3612" s="66" t="str">
        <f>IFERROR(__xludf.DUMMYFUNCTION("GOOGLETRANSLATE(A3612,""en"",""pt"")"),"Implantação")</f>
        <v>Implantação</v>
      </c>
      <c r="G3612" s="69"/>
    </row>
    <row r="3613" ht="22.5" customHeight="1">
      <c r="A3613" s="66" t="s">
        <v>271</v>
      </c>
      <c r="B3613" s="67" t="str">
        <f t="shared" si="16"/>
        <v>M: We're</v>
      </c>
      <c r="C3613" s="66">
        <v>2.0</v>
      </c>
      <c r="D3613" s="68">
        <v>46111.0</v>
      </c>
      <c r="E3613" s="66">
        <v>1.0</v>
      </c>
      <c r="F3613" s="66" t="s">
        <v>4566</v>
      </c>
      <c r="G3613" s="66" t="s">
        <v>247</v>
      </c>
    </row>
    <row r="3614" ht="22.5" customHeight="1">
      <c r="A3614" s="66" t="s">
        <v>4567</v>
      </c>
      <c r="B3614" s="67" t="str">
        <f t="shared" si="16"/>
        <v>M: launching</v>
      </c>
      <c r="C3614" s="68"/>
      <c r="D3614" s="68">
        <v>46111.0</v>
      </c>
      <c r="E3614" s="66">
        <v>2.0</v>
      </c>
      <c r="F3614" s="66" t="str">
        <f>IFERROR(__xludf.DUMMYFUNCTION("GOOGLETRANSLATE(A3614,""en"",""pt"")"),"lançamento")</f>
        <v>lançamento</v>
      </c>
      <c r="G3614" s="69"/>
    </row>
    <row r="3615" ht="22.5" customHeight="1">
      <c r="A3615" s="66" t="s">
        <v>560</v>
      </c>
      <c r="B3615" s="67" t="str">
        <f t="shared" si="16"/>
        <v>M: treats</v>
      </c>
      <c r="C3615" s="66">
        <v>2.0</v>
      </c>
      <c r="D3615" s="68">
        <v>46111.0</v>
      </c>
      <c r="E3615" s="66">
        <v>3.0</v>
      </c>
      <c r="F3615" s="71" t="s">
        <v>4568</v>
      </c>
      <c r="G3615" s="66" t="s">
        <v>247</v>
      </c>
    </row>
    <row r="3616" ht="22.5" customHeight="1">
      <c r="A3616" s="66" t="s">
        <v>560</v>
      </c>
      <c r="B3616" s="67" t="str">
        <f t="shared" si="16"/>
        <v>M: treats</v>
      </c>
      <c r="C3616" s="66">
        <v>3.0</v>
      </c>
      <c r="D3616" s="68">
        <v>46111.0</v>
      </c>
      <c r="E3616" s="66">
        <v>4.0</v>
      </c>
      <c r="F3616" s="66" t="s">
        <v>4569</v>
      </c>
      <c r="G3616" s="66" t="s">
        <v>247</v>
      </c>
    </row>
    <row r="3617" ht="22.5" customHeight="1">
      <c r="A3617" s="66" t="s">
        <v>572</v>
      </c>
      <c r="B3617" s="67" t="str">
        <f t="shared" si="16"/>
        <v>M: lay off</v>
      </c>
      <c r="C3617" s="66">
        <v>2.0</v>
      </c>
      <c r="D3617" s="68">
        <v>46111.0</v>
      </c>
      <c r="E3617" s="66">
        <v>5.0</v>
      </c>
      <c r="F3617" s="66" t="s">
        <v>4570</v>
      </c>
      <c r="G3617" s="66" t="s">
        <v>247</v>
      </c>
    </row>
    <row r="3618" ht="22.5" customHeight="1">
      <c r="A3618" s="66" t="s">
        <v>572</v>
      </c>
      <c r="B3618" s="67" t="str">
        <f t="shared" si="16"/>
        <v>M: lay off</v>
      </c>
      <c r="C3618" s="66">
        <v>3.0</v>
      </c>
      <c r="D3618" s="68">
        <v>46111.0</v>
      </c>
      <c r="E3618" s="66">
        <v>6.0</v>
      </c>
      <c r="F3618" s="66" t="s">
        <v>4571</v>
      </c>
      <c r="G3618" s="66" t="s">
        <v>247</v>
      </c>
    </row>
    <row r="3619" ht="22.5" customHeight="1">
      <c r="A3619" s="66" t="s">
        <v>4572</v>
      </c>
      <c r="B3619" s="67" t="str">
        <f t="shared" si="16"/>
        <v>M: quarter</v>
      </c>
      <c r="C3619" s="68"/>
      <c r="D3619" s="68">
        <v>46111.0</v>
      </c>
      <c r="E3619" s="66">
        <v>7.0</v>
      </c>
      <c r="F3619" s="66" t="str">
        <f>IFERROR(__xludf.DUMMYFUNCTION("GOOGLETRANSLATE(A3619,""en"",""pt"")"),"trimestre")</f>
        <v>trimestre</v>
      </c>
      <c r="G3619" s="69"/>
    </row>
    <row r="3620" ht="22.5" customHeight="1">
      <c r="A3620" s="70" t="s">
        <v>760</v>
      </c>
      <c r="B3620" s="67" t="str">
        <f t="shared" si="16"/>
        <v>M: drove off</v>
      </c>
      <c r="C3620" s="66">
        <v>2.0</v>
      </c>
      <c r="D3620" s="68">
        <v>46111.0</v>
      </c>
      <c r="E3620" s="66">
        <v>8.0</v>
      </c>
      <c r="F3620" s="71" t="s">
        <v>4573</v>
      </c>
      <c r="G3620" s="66" t="s">
        <v>247</v>
      </c>
    </row>
    <row r="3621" ht="22.5" customHeight="1">
      <c r="A3621" s="66" t="s">
        <v>4574</v>
      </c>
      <c r="B3621" s="67" t="str">
        <f t="shared" si="16"/>
        <v>M: into the</v>
      </c>
      <c r="C3621" s="68"/>
      <c r="D3621" s="68">
        <v>46111.0</v>
      </c>
      <c r="E3621" s="66">
        <v>9.0</v>
      </c>
      <c r="F3621" s="66" t="str">
        <f>IFERROR(__xludf.DUMMYFUNCTION("GOOGLETRANSLATE(A3621,""en"",""pt"")"),"para dentro do")</f>
        <v>para dentro do</v>
      </c>
      <c r="G3621" s="69"/>
    </row>
    <row r="3622" ht="22.5" customHeight="1">
      <c r="A3622" s="66" t="s">
        <v>896</v>
      </c>
      <c r="B3622" s="67" t="str">
        <f t="shared" si="16"/>
        <v>M: sniffing</v>
      </c>
      <c r="C3622" s="66">
        <v>2.0</v>
      </c>
      <c r="D3622" s="68">
        <v>46112.0</v>
      </c>
      <c r="E3622" s="66">
        <v>10.0</v>
      </c>
      <c r="F3622" s="66" t="s">
        <v>4575</v>
      </c>
      <c r="G3622" s="66" t="s">
        <v>247</v>
      </c>
    </row>
    <row r="3623" ht="22.5" customHeight="1">
      <c r="A3623" s="66" t="s">
        <v>4576</v>
      </c>
      <c r="B3623" s="67" t="str">
        <f t="shared" si="16"/>
        <v>M: bowl</v>
      </c>
      <c r="C3623" s="68"/>
      <c r="D3623" s="68">
        <v>46112.0</v>
      </c>
      <c r="E3623" s="66">
        <v>1.0</v>
      </c>
      <c r="F3623" s="66" t="str">
        <f>IFERROR(__xludf.DUMMYFUNCTION("GOOGLETRANSLATE(A3623,""en"",""pt"")"),"tigela")</f>
        <v>tigela</v>
      </c>
      <c r="G3623" s="69"/>
    </row>
    <row r="3624" ht="22.5" customHeight="1">
      <c r="A3624" s="66" t="s">
        <v>4577</v>
      </c>
      <c r="B3624" s="67" t="str">
        <f t="shared" si="16"/>
        <v>M: cautiously</v>
      </c>
      <c r="C3624" s="68"/>
      <c r="D3624" s="68">
        <v>46112.0</v>
      </c>
      <c r="E3624" s="66">
        <v>2.0</v>
      </c>
      <c r="F3624" s="66" t="str">
        <f>IFERROR(__xludf.DUMMYFUNCTION("GOOGLETRANSLATE(A3624,""en"",""pt"")"),"cautelosamente")</f>
        <v>cautelosamente</v>
      </c>
      <c r="G3624" s="69"/>
    </row>
    <row r="3625" ht="22.5" customHeight="1">
      <c r="A3625" s="66" t="s">
        <v>4578</v>
      </c>
      <c r="B3625" s="67" t="str">
        <f t="shared" si="16"/>
        <v>M: garden</v>
      </c>
      <c r="C3625" s="68"/>
      <c r="D3625" s="68">
        <v>46112.0</v>
      </c>
      <c r="E3625" s="66">
        <v>3.0</v>
      </c>
      <c r="F3625" s="66" t="str">
        <f>IFERROR(__xludf.DUMMYFUNCTION("GOOGLETRANSLATE(A3625,""en"",""pt"")"),"jardim")</f>
        <v>jardim</v>
      </c>
      <c r="G3625" s="69"/>
    </row>
    <row r="3626" ht="22.5" customHeight="1">
      <c r="A3626" s="66" t="s">
        <v>4579</v>
      </c>
      <c r="B3626" s="67" t="str">
        <f t="shared" si="16"/>
        <v>M: unauthorized</v>
      </c>
      <c r="C3626" s="68"/>
      <c r="D3626" s="68">
        <v>46112.0</v>
      </c>
      <c r="E3626" s="66">
        <v>4.0</v>
      </c>
      <c r="F3626" s="66" t="str">
        <f>IFERROR(__xludf.DUMMYFUNCTION("GOOGLETRANSLATE(A3626,""en"",""pt"")"),"não autorizado")</f>
        <v>não autorizado</v>
      </c>
      <c r="G3626" s="69"/>
    </row>
    <row r="3627" ht="22.5" customHeight="1">
      <c r="A3627" s="66" t="s">
        <v>909</v>
      </c>
      <c r="B3627" s="67" t="str">
        <f t="shared" si="16"/>
        <v>M: complains</v>
      </c>
      <c r="C3627" s="66">
        <v>2.0</v>
      </c>
      <c r="D3627" s="68">
        <v>46112.0</v>
      </c>
      <c r="E3627" s="66">
        <v>5.0</v>
      </c>
      <c r="F3627" s="66" t="s">
        <v>4580</v>
      </c>
      <c r="G3627" s="66" t="s">
        <v>247</v>
      </c>
    </row>
    <row r="3628" ht="22.5" customHeight="1">
      <c r="A3628" s="66" t="s">
        <v>983</v>
      </c>
      <c r="B3628" s="67" t="str">
        <f t="shared" si="16"/>
        <v>M: deadline</v>
      </c>
      <c r="C3628" s="66">
        <v>2.0</v>
      </c>
      <c r="D3628" s="68">
        <v>46112.0</v>
      </c>
      <c r="E3628" s="66">
        <v>6.0</v>
      </c>
      <c r="F3628" s="71" t="s">
        <v>4581</v>
      </c>
      <c r="G3628" s="66" t="s">
        <v>247</v>
      </c>
    </row>
    <row r="3629" ht="22.5" customHeight="1">
      <c r="A3629" s="66" t="s">
        <v>4582</v>
      </c>
      <c r="B3629" s="67" t="str">
        <f t="shared" si="16"/>
        <v>M: strict</v>
      </c>
      <c r="C3629" s="68"/>
      <c r="D3629" s="68">
        <v>46112.0</v>
      </c>
      <c r="E3629" s="66">
        <v>7.0</v>
      </c>
      <c r="F3629" s="66" t="str">
        <f>IFERROR(__xludf.DUMMYFUNCTION("GOOGLETRANSLATE(A3629,""en"",""pt"")"),"estrito")</f>
        <v>estrito</v>
      </c>
      <c r="G3629" s="69"/>
    </row>
    <row r="3630" ht="22.5" customHeight="1">
      <c r="A3630" s="66" t="s">
        <v>4583</v>
      </c>
      <c r="B3630" s="67" t="str">
        <f t="shared" si="16"/>
        <v>M: extended</v>
      </c>
      <c r="C3630" s="68"/>
      <c r="D3630" s="68">
        <v>46112.0</v>
      </c>
      <c r="E3630" s="66">
        <v>8.0</v>
      </c>
      <c r="F3630" s="66" t="str">
        <f>IFERROR(__xludf.DUMMYFUNCTION("GOOGLETRANSLATE(A3630,""en"",""pt"")"),"estendido")</f>
        <v>estendido</v>
      </c>
      <c r="G3630" s="69"/>
    </row>
    <row r="3631" ht="22.5" customHeight="1">
      <c r="A3631" s="66" t="s">
        <v>4584</v>
      </c>
      <c r="B3631" s="67" t="str">
        <f t="shared" si="16"/>
        <v>M: morning</v>
      </c>
      <c r="C3631" s="68"/>
      <c r="D3631" s="68">
        <v>46112.0</v>
      </c>
      <c r="E3631" s="66">
        <v>9.0</v>
      </c>
      <c r="F3631" s="66" t="str">
        <f>IFERROR(__xludf.DUMMYFUNCTION("GOOGLETRANSLATE(A3631,""en"",""pt"")"),"manhã")</f>
        <v>manhã</v>
      </c>
      <c r="G3631" s="69"/>
    </row>
    <row r="3632" ht="22.5" customHeight="1">
      <c r="A3632" s="66" t="s">
        <v>4585</v>
      </c>
      <c r="B3632" s="67" t="str">
        <f t="shared" si="16"/>
        <v>M: right</v>
      </c>
      <c r="C3632" s="68"/>
      <c r="D3632" s="68">
        <v>46113.0</v>
      </c>
      <c r="E3632" s="66">
        <v>10.0</v>
      </c>
      <c r="F3632" s="66" t="str">
        <f>IFERROR(__xludf.DUMMYFUNCTION("GOOGLETRANSLATE(A3632,""en"",""pt"")"),"certo")</f>
        <v>certo</v>
      </c>
      <c r="G3632" s="69"/>
    </row>
    <row r="3633" ht="22.5" customHeight="1">
      <c r="A3633" s="66" t="s">
        <v>4586</v>
      </c>
      <c r="B3633" s="67" t="str">
        <f t="shared" si="16"/>
        <v>M: inevitable</v>
      </c>
      <c r="C3633" s="68"/>
      <c r="D3633" s="68">
        <v>46113.0</v>
      </c>
      <c r="E3633" s="66">
        <v>1.0</v>
      </c>
      <c r="F3633" s="66" t="str">
        <f>IFERROR(__xludf.DUMMYFUNCTION("GOOGLETRANSLATE(A3633,""en"",""pt"")"),"inevitável")</f>
        <v>inevitável</v>
      </c>
      <c r="G3633" s="69"/>
    </row>
    <row r="3634" ht="22.5" customHeight="1">
      <c r="A3634" s="66" t="s">
        <v>4587</v>
      </c>
      <c r="B3634" s="67" t="str">
        <f t="shared" si="16"/>
        <v>M: year-end</v>
      </c>
      <c r="C3634" s="68"/>
      <c r="D3634" s="68">
        <v>46113.0</v>
      </c>
      <c r="E3634" s="66">
        <v>2.0</v>
      </c>
      <c r="F3634" s="66" t="str">
        <f>IFERROR(__xludf.DUMMYFUNCTION("GOOGLETRANSLATE(A3634,""en"",""pt"")"),"fim de ano")</f>
        <v>fim de ano</v>
      </c>
      <c r="G3634" s="69"/>
    </row>
    <row r="3635" ht="22.5" customHeight="1">
      <c r="A3635" s="66" t="s">
        <v>4588</v>
      </c>
      <c r="B3635" s="67" t="str">
        <f t="shared" si="16"/>
        <v>M: pushed</v>
      </c>
      <c r="C3635" s="68"/>
      <c r="D3635" s="68">
        <v>46113.0</v>
      </c>
      <c r="E3635" s="66">
        <v>3.0</v>
      </c>
      <c r="F3635" s="66" t="str">
        <f>IFERROR(__xludf.DUMMYFUNCTION("GOOGLETRANSLATE(A3635,""en"",""pt"")"),"empurrado")</f>
        <v>empurrado</v>
      </c>
      <c r="G3635" s="69"/>
    </row>
    <row r="3636" ht="22.5" customHeight="1">
      <c r="A3636" s="66" t="s">
        <v>1356</v>
      </c>
      <c r="B3636" s="67" t="str">
        <f t="shared" si="16"/>
        <v>M: severing</v>
      </c>
      <c r="C3636" s="66">
        <v>2.0</v>
      </c>
      <c r="D3636" s="68">
        <v>46113.0</v>
      </c>
      <c r="E3636" s="66">
        <v>4.0</v>
      </c>
      <c r="F3636" s="66" t="s">
        <v>4581</v>
      </c>
      <c r="G3636" s="66" t="s">
        <v>247</v>
      </c>
    </row>
    <row r="3637" ht="22.5" customHeight="1">
      <c r="A3637" s="66" t="s">
        <v>4589</v>
      </c>
      <c r="B3637" s="67" t="str">
        <f t="shared" si="16"/>
        <v>M: direct</v>
      </c>
      <c r="C3637" s="68"/>
      <c r="D3637" s="68">
        <v>46113.0</v>
      </c>
      <c r="E3637" s="66">
        <v>5.0</v>
      </c>
      <c r="F3637" s="66" t="str">
        <f>IFERROR(__xludf.DUMMYFUNCTION("GOOGLETRANSLATE(A3637,""en"",""pt"")"),"direto")</f>
        <v>direto</v>
      </c>
      <c r="G3637" s="69"/>
    </row>
    <row r="3638" ht="22.5" customHeight="1">
      <c r="A3638" s="66" t="s">
        <v>4590</v>
      </c>
      <c r="B3638" s="67" t="str">
        <f t="shared" si="16"/>
        <v>M: ties</v>
      </c>
      <c r="C3638" s="68"/>
      <c r="D3638" s="68">
        <v>46113.0</v>
      </c>
      <c r="E3638" s="66">
        <v>6.0</v>
      </c>
      <c r="F3638" s="66" t="str">
        <f>IFERROR(__xludf.DUMMYFUNCTION("GOOGLETRANSLATE(A3638,""en"",""pt"")"),"gravatas")</f>
        <v>gravatas</v>
      </c>
      <c r="G3638" s="69"/>
    </row>
    <row r="3639" ht="22.5" customHeight="1">
      <c r="A3639" s="66" t="s">
        <v>4591</v>
      </c>
      <c r="B3639" s="67" t="str">
        <f t="shared" si="16"/>
        <v>M: partner</v>
      </c>
      <c r="C3639" s="68"/>
      <c r="D3639" s="68">
        <v>46113.0</v>
      </c>
      <c r="E3639" s="66">
        <v>7.0</v>
      </c>
      <c r="F3639" s="66" t="str">
        <f>IFERROR(__xludf.DUMMYFUNCTION("GOOGLETRANSLATE(A3639,""en"",""pt"")"),"parceiro")</f>
        <v>parceiro</v>
      </c>
      <c r="G3639" s="69"/>
    </row>
    <row r="3640" ht="22.5" customHeight="1">
      <c r="A3640" s="66" t="s">
        <v>1414</v>
      </c>
      <c r="B3640" s="67" t="str">
        <f t="shared" si="16"/>
        <v>M: deserving</v>
      </c>
      <c r="C3640" s="66">
        <v>2.0</v>
      </c>
      <c r="D3640" s="68">
        <v>46113.0</v>
      </c>
      <c r="E3640" s="66">
        <v>8.0</v>
      </c>
      <c r="F3640" s="71" t="s">
        <v>4592</v>
      </c>
      <c r="G3640" s="66" t="s">
        <v>247</v>
      </c>
    </row>
    <row r="3641" ht="22.5" customHeight="1">
      <c r="A3641" s="66" t="s">
        <v>4593</v>
      </c>
      <c r="B3641" s="67" t="str">
        <f t="shared" si="16"/>
        <v>M: reckless</v>
      </c>
      <c r="C3641" s="68"/>
      <c r="D3641" s="68">
        <v>46113.0</v>
      </c>
      <c r="E3641" s="66">
        <v>9.0</v>
      </c>
      <c r="F3641" s="66" t="str">
        <f>IFERROR(__xludf.DUMMYFUNCTION("GOOGLETRANSLATE(A3641,""en"",""pt"")"),"irresponsável")</f>
        <v>irresponsável</v>
      </c>
      <c r="G3641" s="69"/>
    </row>
    <row r="3642" ht="22.5" customHeight="1">
      <c r="A3642" s="66" t="s">
        <v>4594</v>
      </c>
      <c r="B3642" s="67" t="str">
        <f t="shared" si="16"/>
        <v>M: critique</v>
      </c>
      <c r="C3642" s="68"/>
      <c r="D3642" s="68">
        <v>46114.0</v>
      </c>
      <c r="E3642" s="66">
        <v>10.0</v>
      </c>
      <c r="F3642" s="66" t="str">
        <f>IFERROR(__xludf.DUMMYFUNCTION("GOOGLETRANSLATE(A3642,""en"",""pt"")"),"crítica")</f>
        <v>crítica</v>
      </c>
      <c r="G3642" s="69"/>
    </row>
    <row r="3643" ht="22.5" customHeight="1">
      <c r="A3643" s="66" t="s">
        <v>4595</v>
      </c>
      <c r="B3643" s="67" t="str">
        <f t="shared" si="16"/>
        <v>M: penalty</v>
      </c>
      <c r="C3643" s="68"/>
      <c r="D3643" s="68">
        <v>46114.0</v>
      </c>
      <c r="E3643" s="66">
        <v>1.0</v>
      </c>
      <c r="F3643" s="66" t="str">
        <f>IFERROR(__xludf.DUMMYFUNCTION("GOOGLETRANSLATE(A3643,""en"",""pt"")"),"pena")</f>
        <v>pena</v>
      </c>
      <c r="G3643" s="69"/>
    </row>
    <row r="3644" ht="22.5" customHeight="1">
      <c r="A3644" s="66" t="s">
        <v>1429</v>
      </c>
      <c r="B3644" s="67" t="str">
        <f t="shared" si="16"/>
        <v>M: thick</v>
      </c>
      <c r="C3644" s="66">
        <v>2.0</v>
      </c>
      <c r="D3644" s="68">
        <v>46114.0</v>
      </c>
      <c r="E3644" s="66">
        <v>2.0</v>
      </c>
      <c r="F3644" s="71" t="s">
        <v>4596</v>
      </c>
      <c r="G3644" s="66" t="s">
        <v>247</v>
      </c>
    </row>
    <row r="3645" ht="22.5" customHeight="1">
      <c r="A3645" s="66" t="s">
        <v>1429</v>
      </c>
      <c r="B3645" s="67" t="str">
        <f t="shared" si="16"/>
        <v>M: thick</v>
      </c>
      <c r="C3645" s="66">
        <v>3.0</v>
      </c>
      <c r="D3645" s="68">
        <v>46114.0</v>
      </c>
      <c r="E3645" s="66">
        <v>3.0</v>
      </c>
      <c r="F3645" s="71" t="s">
        <v>4597</v>
      </c>
      <c r="G3645" s="66" t="s">
        <v>247</v>
      </c>
    </row>
    <row r="3646" ht="22.5" customHeight="1">
      <c r="A3646" s="66" t="s">
        <v>1848</v>
      </c>
      <c r="B3646" s="67" t="str">
        <f t="shared" si="16"/>
        <v>M: lies</v>
      </c>
      <c r="C3646" s="66">
        <v>2.0</v>
      </c>
      <c r="D3646" s="68">
        <v>46114.0</v>
      </c>
      <c r="E3646" s="66">
        <v>4.0</v>
      </c>
      <c r="F3646" s="66" t="s">
        <v>4598</v>
      </c>
      <c r="G3646" s="66" t="s">
        <v>247</v>
      </c>
    </row>
    <row r="3647" ht="22.5" customHeight="1">
      <c r="A3647" s="66" t="s">
        <v>1848</v>
      </c>
      <c r="B3647" s="67" t="str">
        <f t="shared" si="16"/>
        <v>M: lies</v>
      </c>
      <c r="C3647" s="66">
        <v>3.0</v>
      </c>
      <c r="D3647" s="68">
        <v>46114.0</v>
      </c>
      <c r="E3647" s="66">
        <v>5.0</v>
      </c>
      <c r="F3647" s="66" t="s">
        <v>4599</v>
      </c>
      <c r="G3647" s="66" t="s">
        <v>247</v>
      </c>
    </row>
    <row r="3648" ht="22.5" customHeight="1">
      <c r="A3648" s="66" t="s">
        <v>1874</v>
      </c>
      <c r="B3648" s="67" t="str">
        <f t="shared" si="16"/>
        <v>M: crawling</v>
      </c>
      <c r="C3648" s="66">
        <v>2.0</v>
      </c>
      <c r="D3648" s="68">
        <v>46114.0</v>
      </c>
      <c r="E3648" s="66">
        <v>6.0</v>
      </c>
      <c r="F3648" s="71" t="s">
        <v>4600</v>
      </c>
      <c r="G3648" s="66" t="s">
        <v>247</v>
      </c>
    </row>
    <row r="3649" ht="22.5" customHeight="1">
      <c r="A3649" s="66" t="s">
        <v>1874</v>
      </c>
      <c r="B3649" s="67" t="str">
        <f t="shared" si="16"/>
        <v>M: crawling</v>
      </c>
      <c r="C3649" s="66">
        <v>3.0</v>
      </c>
      <c r="D3649" s="68">
        <v>46114.0</v>
      </c>
      <c r="E3649" s="66">
        <v>7.0</v>
      </c>
      <c r="F3649" s="71" t="s">
        <v>4601</v>
      </c>
      <c r="G3649" s="66" t="s">
        <v>247</v>
      </c>
    </row>
    <row r="3650" ht="22.5" customHeight="1">
      <c r="A3650" s="66" t="s">
        <v>1920</v>
      </c>
      <c r="B3650" s="67" t="str">
        <f t="shared" si="16"/>
        <v>M: focused</v>
      </c>
      <c r="C3650" s="70">
        <v>2.0</v>
      </c>
      <c r="D3650" s="68">
        <v>46114.0</v>
      </c>
      <c r="E3650" s="66">
        <v>8.0</v>
      </c>
      <c r="F3650" s="71" t="s">
        <v>4602</v>
      </c>
      <c r="G3650" s="66" t="s">
        <v>247</v>
      </c>
    </row>
    <row r="3651" ht="22.5" customHeight="1">
      <c r="A3651" s="66" t="s">
        <v>1920</v>
      </c>
      <c r="B3651" s="67" t="str">
        <f t="shared" si="16"/>
        <v>M: focused</v>
      </c>
      <c r="C3651" s="66">
        <v>3.0</v>
      </c>
      <c r="D3651" s="68">
        <v>46114.0</v>
      </c>
      <c r="E3651" s="66">
        <v>9.0</v>
      </c>
      <c r="F3651" s="71" t="s">
        <v>4603</v>
      </c>
      <c r="G3651" s="66" t="s">
        <v>247</v>
      </c>
    </row>
    <row r="3652" ht="22.5" customHeight="1">
      <c r="A3652" s="66" t="s">
        <v>1944</v>
      </c>
      <c r="B3652" s="67" t="str">
        <f t="shared" si="16"/>
        <v>M: verge</v>
      </c>
      <c r="C3652" s="66">
        <v>2.0</v>
      </c>
      <c r="D3652" s="68">
        <v>46115.0</v>
      </c>
      <c r="E3652" s="66">
        <v>10.0</v>
      </c>
      <c r="F3652" s="66" t="s">
        <v>4604</v>
      </c>
      <c r="G3652" s="66" t="s">
        <v>247</v>
      </c>
    </row>
    <row r="3653" ht="22.5" customHeight="1">
      <c r="A3653" s="66" t="s">
        <v>1944</v>
      </c>
      <c r="B3653" s="67" t="str">
        <f t="shared" si="16"/>
        <v>M: verge</v>
      </c>
      <c r="C3653" s="66">
        <v>3.0</v>
      </c>
      <c r="D3653" s="68">
        <v>46115.0</v>
      </c>
      <c r="E3653" s="66">
        <v>1.0</v>
      </c>
      <c r="F3653" s="66" t="s">
        <v>4605</v>
      </c>
      <c r="G3653" s="66" t="s">
        <v>247</v>
      </c>
    </row>
    <row r="3654" ht="22.5" customHeight="1">
      <c r="A3654" s="66" t="s">
        <v>1972</v>
      </c>
      <c r="B3654" s="67" t="str">
        <f t="shared" si="16"/>
        <v>M: sets out</v>
      </c>
      <c r="C3654" s="66">
        <v>2.0</v>
      </c>
      <c r="D3654" s="68">
        <v>46115.0</v>
      </c>
      <c r="E3654" s="66">
        <v>2.0</v>
      </c>
      <c r="F3654" s="66" t="str">
        <f>IFERROR(__xludf.DUMMYFUNCTION("GOOGLETRANSLATE(A3654,""en"",""pt"")"),"parte")</f>
        <v>parte</v>
      </c>
      <c r="G3654" s="66" t="s">
        <v>247</v>
      </c>
    </row>
    <row r="3655" ht="22.5" customHeight="1">
      <c r="A3655" s="66" t="s">
        <v>1972</v>
      </c>
      <c r="B3655" s="67" t="str">
        <f t="shared" si="16"/>
        <v>M: sets out</v>
      </c>
      <c r="C3655" s="66">
        <v>3.0</v>
      </c>
      <c r="D3655" s="68">
        <v>46115.0</v>
      </c>
      <c r="E3655" s="66">
        <v>3.0</v>
      </c>
      <c r="F3655" s="66" t="str">
        <f>IFERROR(__xludf.DUMMYFUNCTION("GOOGLETRANSLATE(A3655,""en"",""pt"")"),"parte")</f>
        <v>parte</v>
      </c>
      <c r="G3655" s="66" t="s">
        <v>247</v>
      </c>
    </row>
    <row r="3656" ht="22.5" customHeight="1">
      <c r="A3656" s="66" t="s">
        <v>1978</v>
      </c>
      <c r="B3656" s="67" t="str">
        <f t="shared" si="16"/>
        <v>M: convoy</v>
      </c>
      <c r="C3656" s="66">
        <v>2.0</v>
      </c>
      <c r="D3656" s="68">
        <v>46115.0</v>
      </c>
      <c r="E3656" s="66">
        <v>4.0</v>
      </c>
      <c r="F3656" s="66" t="s">
        <v>4606</v>
      </c>
      <c r="G3656" s="66" t="s">
        <v>247</v>
      </c>
    </row>
    <row r="3657" ht="22.5" customHeight="1">
      <c r="A3657" s="66" t="s">
        <v>2105</v>
      </c>
      <c r="B3657" s="67" t="str">
        <f t="shared" si="16"/>
        <v>M: groans</v>
      </c>
      <c r="C3657" s="66">
        <v>2.0</v>
      </c>
      <c r="D3657" s="68">
        <v>46115.0</v>
      </c>
      <c r="E3657" s="66">
        <v>5.0</v>
      </c>
      <c r="F3657" s="71" t="s">
        <v>4607</v>
      </c>
      <c r="G3657" s="66" t="s">
        <v>247</v>
      </c>
    </row>
    <row r="3658" ht="22.5" customHeight="1">
      <c r="A3658" s="66" t="s">
        <v>2145</v>
      </c>
      <c r="B3658" s="67" t="str">
        <f t="shared" si="16"/>
        <v>M: counted</v>
      </c>
      <c r="C3658" s="66">
        <v>2.0</v>
      </c>
      <c r="D3658" s="68">
        <v>46115.0</v>
      </c>
      <c r="E3658" s="66">
        <v>6.0</v>
      </c>
      <c r="F3658" s="66" t="s">
        <v>4608</v>
      </c>
      <c r="G3658" s="66" t="s">
        <v>247</v>
      </c>
    </row>
    <row r="3659" ht="22.5" customHeight="1">
      <c r="A3659" s="66" t="s">
        <v>2145</v>
      </c>
      <c r="B3659" s="67" t="str">
        <f t="shared" si="16"/>
        <v>M: counted</v>
      </c>
      <c r="C3659" s="66">
        <v>3.0</v>
      </c>
      <c r="D3659" s="68">
        <v>46115.0</v>
      </c>
      <c r="E3659" s="66">
        <v>7.0</v>
      </c>
      <c r="F3659" s="66" t="s">
        <v>4609</v>
      </c>
      <c r="G3659" s="66" t="s">
        <v>247</v>
      </c>
    </row>
    <row r="3660" ht="22.5" customHeight="1">
      <c r="A3660" s="66" t="s">
        <v>2345</v>
      </c>
      <c r="B3660" s="67" t="str">
        <f t="shared" si="16"/>
        <v>M: unbleached </v>
      </c>
      <c r="C3660" s="66">
        <v>2.0</v>
      </c>
      <c r="D3660" s="68">
        <v>46115.0</v>
      </c>
      <c r="E3660" s="66">
        <v>8.0</v>
      </c>
      <c r="F3660" s="71" t="s">
        <v>4610</v>
      </c>
      <c r="G3660" s="66" t="s">
        <v>247</v>
      </c>
    </row>
    <row r="3661" ht="22.5" customHeight="1">
      <c r="A3661" s="66" t="s">
        <v>4611</v>
      </c>
      <c r="B3661" s="67" t="str">
        <f t="shared" si="16"/>
        <v>M: environmental</v>
      </c>
      <c r="C3661" s="68"/>
      <c r="D3661" s="68">
        <v>46115.0</v>
      </c>
      <c r="E3661" s="66">
        <v>9.0</v>
      </c>
      <c r="F3661" s="66" t="str">
        <f>IFERROR(__xludf.DUMMYFUNCTION("GOOGLETRANSLATE(A3661,""en"",""pt"")"),"ambiental")</f>
        <v>ambiental</v>
      </c>
      <c r="G3661" s="69"/>
    </row>
    <row r="3662" ht="22.5" customHeight="1">
      <c r="A3662" s="66" t="s">
        <v>4612</v>
      </c>
      <c r="B3662" s="67" t="str">
        <f t="shared" si="16"/>
        <v>M: homemade</v>
      </c>
      <c r="C3662" s="68"/>
      <c r="D3662" s="68">
        <v>46116.0</v>
      </c>
      <c r="E3662" s="66">
        <v>10.0</v>
      </c>
      <c r="F3662" s="66" t="str">
        <f>IFERROR(__xludf.DUMMYFUNCTION("GOOGLETRANSLATE(A3662,""en"",""pt"")"),"caseiro")</f>
        <v>caseiro</v>
      </c>
      <c r="G3662" s="69"/>
    </row>
    <row r="3663" ht="22.5" customHeight="1">
      <c r="A3663" s="66" t="s">
        <v>4613</v>
      </c>
      <c r="B3663" s="67" t="str">
        <f t="shared" si="16"/>
        <v>M: bread</v>
      </c>
      <c r="C3663" s="68"/>
      <c r="D3663" s="68">
        <v>46116.0</v>
      </c>
      <c r="E3663" s="66">
        <v>1.0</v>
      </c>
      <c r="F3663" s="66" t="str">
        <f>IFERROR(__xludf.DUMMYFUNCTION("GOOGLETRANSLATE(A3663,""en"",""pt"")"),"pão")</f>
        <v>pão</v>
      </c>
      <c r="G3663" s="69"/>
    </row>
    <row r="3664" ht="22.5" customHeight="1">
      <c r="A3664" s="66" t="s">
        <v>2544</v>
      </c>
      <c r="B3664" s="67" t="str">
        <f t="shared" si="16"/>
        <v>M: abstraction</v>
      </c>
      <c r="C3664" s="66">
        <v>2.0</v>
      </c>
      <c r="D3664" s="68">
        <v>46116.0</v>
      </c>
      <c r="E3664" s="66">
        <v>2.0</v>
      </c>
      <c r="F3664" s="66" t="s">
        <v>4614</v>
      </c>
      <c r="G3664" s="66" t="s">
        <v>247</v>
      </c>
    </row>
    <row r="3665" ht="22.5" customHeight="1">
      <c r="A3665" s="66" t="s">
        <v>4615</v>
      </c>
      <c r="B3665" s="67" t="str">
        <f t="shared" si="16"/>
        <v>M: unclear</v>
      </c>
      <c r="C3665" s="68"/>
      <c r="D3665" s="68">
        <v>46116.0</v>
      </c>
      <c r="E3665" s="66">
        <v>3.0</v>
      </c>
      <c r="F3665" s="66" t="str">
        <f>IFERROR(__xludf.DUMMYFUNCTION("GOOGLETRANSLATE(A3665,""en"",""pt"")"),"não está claro")</f>
        <v>não está claro</v>
      </c>
      <c r="G3665" s="69"/>
    </row>
    <row r="3666" ht="22.5" customHeight="1">
      <c r="A3666" s="66" t="s">
        <v>4616</v>
      </c>
      <c r="B3666" s="67" t="str">
        <f t="shared" si="16"/>
        <v>M: making</v>
      </c>
      <c r="C3666" s="68"/>
      <c r="D3666" s="68">
        <v>46116.0</v>
      </c>
      <c r="E3666" s="66">
        <v>4.0</v>
      </c>
      <c r="F3666" s="66" t="str">
        <f>IFERROR(__xludf.DUMMYFUNCTION("GOOGLETRANSLATE(A3666,""en"",""pt"")"),"fazendo")</f>
        <v>fazendo</v>
      </c>
      <c r="G3666" s="69"/>
    </row>
    <row r="3667" ht="22.5" customHeight="1">
      <c r="A3667" s="66" t="s">
        <v>4617</v>
      </c>
      <c r="B3667" s="67" t="str">
        <f t="shared" si="16"/>
        <v>M: real-world</v>
      </c>
      <c r="C3667" s="68"/>
      <c r="D3667" s="68">
        <v>46116.0</v>
      </c>
      <c r="E3667" s="66">
        <v>5.0</v>
      </c>
      <c r="F3667" s="66" t="str">
        <f>IFERROR(__xludf.DUMMYFUNCTION("GOOGLETRANSLATE(A3667,""en"",""pt"")"),"mundo real")</f>
        <v>mundo real</v>
      </c>
      <c r="G3667" s="69"/>
    </row>
    <row r="3668" ht="22.5" customHeight="1">
      <c r="A3668" s="66" t="s">
        <v>2564</v>
      </c>
      <c r="B3668" s="67" t="str">
        <f t="shared" si="16"/>
        <v>M: discussed</v>
      </c>
      <c r="C3668" s="66">
        <v>2.0</v>
      </c>
      <c r="D3668" s="68">
        <v>46116.0</v>
      </c>
      <c r="E3668" s="66">
        <v>6.0</v>
      </c>
      <c r="F3668" s="66" t="s">
        <v>4618</v>
      </c>
      <c r="G3668" s="66" t="s">
        <v>247</v>
      </c>
    </row>
    <row r="3669" ht="22.5" customHeight="1">
      <c r="A3669" s="66" t="s">
        <v>4619</v>
      </c>
      <c r="B3669" s="67" t="str">
        <f t="shared" si="16"/>
        <v>M: implications</v>
      </c>
      <c r="C3669" s="68"/>
      <c r="D3669" s="68">
        <v>46116.0</v>
      </c>
      <c r="E3669" s="66">
        <v>7.0</v>
      </c>
      <c r="F3669" s="66" t="str">
        <f>IFERROR(__xludf.DUMMYFUNCTION("GOOGLETRANSLATE(A3669,""en"",""pt"")"),"implicações")</f>
        <v>implicações</v>
      </c>
      <c r="G3669" s="69"/>
    </row>
    <row r="3670" ht="22.5" customHeight="1">
      <c r="A3670" s="66" t="s">
        <v>2566</v>
      </c>
      <c r="B3670" s="67" t="str">
        <f t="shared" si="16"/>
        <v>M: column</v>
      </c>
      <c r="C3670" s="66">
        <v>2.0</v>
      </c>
      <c r="D3670" s="68">
        <v>46116.0</v>
      </c>
      <c r="E3670" s="66">
        <v>8.0</v>
      </c>
      <c r="F3670" s="66" t="s">
        <v>4620</v>
      </c>
      <c r="G3670" s="66" t="s">
        <v>247</v>
      </c>
    </row>
    <row r="3671" ht="22.5" customHeight="1">
      <c r="A3671" s="66" t="s">
        <v>2566</v>
      </c>
      <c r="B3671" s="67" t="str">
        <f t="shared" si="16"/>
        <v>M: column</v>
      </c>
      <c r="C3671" s="66">
        <v>3.0</v>
      </c>
      <c r="D3671" s="68">
        <v>46116.0</v>
      </c>
      <c r="E3671" s="66">
        <v>9.0</v>
      </c>
      <c r="F3671" s="71" t="s">
        <v>4621</v>
      </c>
      <c r="G3671" s="66" t="s">
        <v>247</v>
      </c>
    </row>
    <row r="3672" ht="22.5" customHeight="1">
      <c r="A3672" s="66" t="s">
        <v>2639</v>
      </c>
      <c r="B3672" s="67" t="str">
        <f t="shared" si="16"/>
        <v>M: dynamic</v>
      </c>
      <c r="C3672" s="66">
        <v>2.0</v>
      </c>
      <c r="D3672" s="68">
        <v>46117.0</v>
      </c>
      <c r="E3672" s="66">
        <v>10.0</v>
      </c>
      <c r="F3672" s="71" t="s">
        <v>4622</v>
      </c>
      <c r="G3672" s="66" t="s">
        <v>247</v>
      </c>
    </row>
    <row r="3673" ht="22.5" customHeight="1">
      <c r="A3673" s="66" t="s">
        <v>2639</v>
      </c>
      <c r="B3673" s="67" t="str">
        <f t="shared" si="16"/>
        <v>M: dynamic</v>
      </c>
      <c r="C3673" s="66">
        <v>3.0</v>
      </c>
      <c r="D3673" s="68">
        <v>46117.0</v>
      </c>
      <c r="E3673" s="66">
        <v>1.0</v>
      </c>
      <c r="F3673" s="71" t="s">
        <v>4623</v>
      </c>
      <c r="G3673" s="66" t="s">
        <v>247</v>
      </c>
    </row>
    <row r="3674" ht="22.5" customHeight="1">
      <c r="A3674" s="66" t="s">
        <v>2671</v>
      </c>
      <c r="B3674" s="67" t="str">
        <f t="shared" si="16"/>
        <v>M: dear</v>
      </c>
      <c r="C3674" s="66">
        <v>2.0</v>
      </c>
      <c r="D3674" s="68">
        <v>46117.0</v>
      </c>
      <c r="E3674" s="66">
        <v>2.0</v>
      </c>
      <c r="F3674" s="71" t="s">
        <v>4624</v>
      </c>
      <c r="G3674" s="66" t="s">
        <v>247</v>
      </c>
    </row>
    <row r="3675" ht="22.5" customHeight="1">
      <c r="A3675" s="66" t="s">
        <v>2671</v>
      </c>
      <c r="B3675" s="67" t="str">
        <f t="shared" si="16"/>
        <v>M: dear</v>
      </c>
      <c r="C3675" s="66">
        <v>3.0</v>
      </c>
      <c r="D3675" s="68">
        <v>46117.0</v>
      </c>
      <c r="E3675" s="66">
        <v>3.0</v>
      </c>
      <c r="F3675" s="71" t="s">
        <v>4625</v>
      </c>
      <c r="G3675" s="66" t="s">
        <v>247</v>
      </c>
    </row>
    <row r="3676" ht="22.5" customHeight="1">
      <c r="A3676" s="66" t="s">
        <v>269</v>
      </c>
      <c r="B3676" s="67" t="str">
        <f t="shared" si="16"/>
        <v>M: ran off</v>
      </c>
      <c r="C3676" s="66">
        <v>2.0</v>
      </c>
      <c r="D3676" s="68">
        <v>46117.0</v>
      </c>
      <c r="E3676" s="66">
        <v>4.0</v>
      </c>
      <c r="F3676" s="66" t="s">
        <v>4626</v>
      </c>
      <c r="G3676" s="66" t="s">
        <v>247</v>
      </c>
    </row>
    <row r="3677" ht="22.5" customHeight="1">
      <c r="A3677" s="66" t="s">
        <v>4627</v>
      </c>
      <c r="B3677" s="67" t="str">
        <f t="shared" si="16"/>
        <v>M: surgical</v>
      </c>
      <c r="C3677" s="68"/>
      <c r="D3677" s="68">
        <v>46117.0</v>
      </c>
      <c r="E3677" s="66">
        <v>5.0</v>
      </c>
      <c r="F3677" s="66" t="str">
        <f>IFERROR(__xludf.DUMMYFUNCTION("GOOGLETRANSLATE(A3677,""en"",""pt"")"),"cirúrgico")</f>
        <v>cirúrgico</v>
      </c>
      <c r="G3677" s="69"/>
    </row>
    <row r="3678" ht="22.5" customHeight="1">
      <c r="A3678" s="66" t="s">
        <v>4628</v>
      </c>
      <c r="B3678" s="67" t="str">
        <f t="shared" si="16"/>
        <v>M: clung</v>
      </c>
      <c r="C3678" s="68"/>
      <c r="D3678" s="68">
        <v>46117.0</v>
      </c>
      <c r="E3678" s="66">
        <v>6.0</v>
      </c>
      <c r="F3678" s="66" t="str">
        <f>IFERROR(__xludf.DUMMYFUNCTION("GOOGLETRANSLATE(A3678,""en"",""pt"")"),"agarrado")</f>
        <v>agarrado</v>
      </c>
      <c r="G3678" s="69"/>
    </row>
    <row r="3679" ht="22.5" customHeight="1">
      <c r="A3679" s="66" t="s">
        <v>4629</v>
      </c>
      <c r="B3679" s="67" t="str">
        <f t="shared" si="16"/>
        <v>M: crowding</v>
      </c>
      <c r="C3679" s="68"/>
      <c r="D3679" s="68">
        <v>46117.0</v>
      </c>
      <c r="E3679" s="66">
        <v>7.0</v>
      </c>
      <c r="F3679" s="66" t="str">
        <f>IFERROR(__xludf.DUMMYFUNCTION("GOOGLETRANSLATE(A3679,""en"",""pt"")"),"aglomeração")</f>
        <v>aglomeração</v>
      </c>
      <c r="G3679" s="69"/>
    </row>
    <row r="3680" ht="22.5" customHeight="1">
      <c r="A3680" s="66" t="s">
        <v>4630</v>
      </c>
      <c r="B3680" s="67" t="str">
        <f t="shared" si="16"/>
        <v>M: sports</v>
      </c>
      <c r="C3680" s="68"/>
      <c r="D3680" s="68">
        <v>46117.0</v>
      </c>
      <c r="E3680" s="66">
        <v>8.0</v>
      </c>
      <c r="F3680" s="66" t="str">
        <f>IFERROR(__xludf.DUMMYFUNCTION("GOOGLETRANSLATE(A3680,""en"",""pt"")"),"esportes")</f>
        <v>esportes</v>
      </c>
      <c r="G3680" s="69"/>
    </row>
    <row r="3681" ht="22.5" customHeight="1">
      <c r="A3681" s="66" t="s">
        <v>1955</v>
      </c>
      <c r="B3681" s="67" t="str">
        <f t="shared" si="16"/>
        <v>M: footage</v>
      </c>
      <c r="C3681" s="66">
        <v>2.0</v>
      </c>
      <c r="D3681" s="68">
        <v>46117.0</v>
      </c>
      <c r="E3681" s="66">
        <v>9.0</v>
      </c>
      <c r="F3681" s="66" t="str">
        <f>IFERROR(__xludf.DUMMYFUNCTION("GOOGLETRANSLATE(A3681,""en"",""pt"")"),"imagens de vídeo")</f>
        <v>imagens de vídeo</v>
      </c>
      <c r="G3681" s="66" t="s">
        <v>4631</v>
      </c>
    </row>
    <row r="3682" ht="22.5" customHeight="1">
      <c r="A3682" s="66" t="s">
        <v>1980</v>
      </c>
      <c r="B3682" s="67" t="str">
        <f t="shared" si="16"/>
        <v>M: clampdown</v>
      </c>
      <c r="C3682" s="66">
        <v>2.0</v>
      </c>
      <c r="D3682" s="68">
        <v>46118.0</v>
      </c>
      <c r="E3682" s="66">
        <v>10.0</v>
      </c>
      <c r="F3682" s="66" t="s">
        <v>4632</v>
      </c>
      <c r="G3682" s="66" t="s">
        <v>247</v>
      </c>
    </row>
    <row r="3683" ht="22.5" customHeight="1">
      <c r="A3683" s="66" t="s">
        <v>1178</v>
      </c>
      <c r="B3683" s="67" t="str">
        <f t="shared" si="16"/>
        <v>M: clever</v>
      </c>
      <c r="C3683" s="66">
        <v>2.0</v>
      </c>
      <c r="D3683" s="68">
        <v>46118.0</v>
      </c>
      <c r="E3683" s="66">
        <v>1.0</v>
      </c>
      <c r="F3683" s="66" t="s">
        <v>4633</v>
      </c>
      <c r="G3683" s="66" t="s">
        <v>247</v>
      </c>
    </row>
    <row r="3684" ht="22.5" customHeight="1">
      <c r="A3684" s="66" t="s">
        <v>2735</v>
      </c>
      <c r="B3684" s="67" t="str">
        <f t="shared" si="16"/>
        <v>M: cubed</v>
      </c>
      <c r="C3684" s="66">
        <v>2.0</v>
      </c>
      <c r="D3684" s="68">
        <v>46118.0</v>
      </c>
      <c r="E3684" s="66">
        <v>2.0</v>
      </c>
      <c r="F3684" s="66" t="s">
        <v>4634</v>
      </c>
      <c r="G3684" s="66" t="s">
        <v>247</v>
      </c>
    </row>
    <row r="3685" ht="22.5" customHeight="1">
      <c r="A3685" s="66" t="s">
        <v>2735</v>
      </c>
      <c r="B3685" s="67" t="str">
        <f t="shared" si="16"/>
        <v>M: cubed</v>
      </c>
      <c r="C3685" s="66">
        <v>3.0</v>
      </c>
      <c r="D3685" s="68">
        <v>46118.0</v>
      </c>
      <c r="E3685" s="66">
        <v>3.0</v>
      </c>
      <c r="F3685" s="66" t="s">
        <v>4635</v>
      </c>
      <c r="G3685" s="66" t="s">
        <v>247</v>
      </c>
    </row>
    <row r="3686" ht="22.5" customHeight="1">
      <c r="A3686" s="66" t="s">
        <v>4636</v>
      </c>
      <c r="B3686" s="67" t="str">
        <f t="shared" si="16"/>
        <v>M: uniformly</v>
      </c>
      <c r="C3686" s="68"/>
      <c r="D3686" s="68">
        <v>46118.0</v>
      </c>
      <c r="E3686" s="66">
        <v>4.0</v>
      </c>
      <c r="F3686" s="66" t="str">
        <f>IFERROR(__xludf.DUMMYFUNCTION("GOOGLETRANSLATE(A3686,""en"",""pt"")"),"uniformemente")</f>
        <v>uniformemente</v>
      </c>
      <c r="G3686" s="69"/>
    </row>
    <row r="3687" ht="22.5" customHeight="1">
      <c r="A3687" s="66" t="s">
        <v>4637</v>
      </c>
      <c r="B3687" s="67" t="str">
        <f t="shared" si="16"/>
        <v>M: mathematical</v>
      </c>
      <c r="C3687" s="68"/>
      <c r="D3687" s="68">
        <v>46118.0</v>
      </c>
      <c r="E3687" s="66">
        <v>5.0</v>
      </c>
      <c r="F3687" s="66" t="str">
        <f>IFERROR(__xludf.DUMMYFUNCTION("GOOGLETRANSLATE(A3687,""en"",""pt"")"),"matemático")</f>
        <v>matemático</v>
      </c>
      <c r="G3687" s="69"/>
    </row>
    <row r="3688" ht="22.5" customHeight="1">
      <c r="A3688" s="66" t="s">
        <v>4638</v>
      </c>
      <c r="B3688" s="67" t="str">
        <f t="shared" si="16"/>
        <v>M: math</v>
      </c>
      <c r="C3688" s="68"/>
      <c r="D3688" s="68">
        <v>46118.0</v>
      </c>
      <c r="E3688" s="66">
        <v>6.0</v>
      </c>
      <c r="F3688" s="66" t="str">
        <f>IFERROR(__xludf.DUMMYFUNCTION("GOOGLETRANSLATE(A3688,""en"",""pt"")"),"matemática")</f>
        <v>matemática</v>
      </c>
      <c r="G3688" s="69"/>
    </row>
    <row r="3689" ht="22.5" customHeight="1">
      <c r="A3689" s="66" t="s">
        <v>4639</v>
      </c>
      <c r="B3689" s="67" t="str">
        <f t="shared" si="16"/>
        <v>M: dessert</v>
      </c>
      <c r="C3689" s="68"/>
      <c r="D3689" s="68">
        <v>46118.0</v>
      </c>
      <c r="E3689" s="66">
        <v>7.0</v>
      </c>
      <c r="F3689" s="66" t="str">
        <f>IFERROR(__xludf.DUMMYFUNCTION("GOOGLETRANSLATE(A3689,""en"",""pt"")"),"sobremesa")</f>
        <v>sobremesa</v>
      </c>
      <c r="G3689" s="69"/>
    </row>
    <row r="3690" ht="22.5" customHeight="1">
      <c r="A3690" s="66" t="s">
        <v>2693</v>
      </c>
      <c r="B3690" s="67" t="str">
        <f t="shared" si="16"/>
        <v>M: include</v>
      </c>
      <c r="C3690" s="66">
        <v>2.0</v>
      </c>
      <c r="D3690" s="68">
        <v>46118.0</v>
      </c>
      <c r="E3690" s="66">
        <v>8.0</v>
      </c>
      <c r="F3690" s="71" t="s">
        <v>4640</v>
      </c>
      <c r="G3690" s="66" t="s">
        <v>247</v>
      </c>
    </row>
    <row r="3691" ht="22.5" customHeight="1">
      <c r="A3691" s="66" t="s">
        <v>2663</v>
      </c>
      <c r="B3691" s="67" t="str">
        <f t="shared" si="16"/>
        <v>M: accepts</v>
      </c>
      <c r="C3691" s="66">
        <v>2.0</v>
      </c>
      <c r="D3691" s="68">
        <v>46118.0</v>
      </c>
      <c r="E3691" s="66">
        <v>9.0</v>
      </c>
      <c r="F3691" s="66" t="s">
        <v>4641</v>
      </c>
      <c r="G3691" s="66" t="s">
        <v>247</v>
      </c>
    </row>
    <row r="3692" ht="22.5" customHeight="1">
      <c r="A3692" s="66" t="s">
        <v>2663</v>
      </c>
      <c r="B3692" s="67" t="str">
        <f t="shared" si="16"/>
        <v>M: accepts</v>
      </c>
      <c r="C3692" s="66">
        <v>3.0</v>
      </c>
      <c r="D3692" s="68">
        <v>46119.0</v>
      </c>
      <c r="E3692" s="66">
        <v>10.0</v>
      </c>
      <c r="F3692" s="66" t="s">
        <v>4642</v>
      </c>
      <c r="G3692" s="66" t="s">
        <v>247</v>
      </c>
    </row>
    <row r="3693" ht="22.5" customHeight="1">
      <c r="A3693" s="66" t="s">
        <v>2032</v>
      </c>
      <c r="B3693" s="67" t="str">
        <f t="shared" si="16"/>
        <v>M: soaked</v>
      </c>
      <c r="C3693" s="66">
        <v>2.0</v>
      </c>
      <c r="D3693" s="68">
        <v>46119.0</v>
      </c>
      <c r="E3693" s="66">
        <v>1.0</v>
      </c>
      <c r="F3693" s="66" t="s">
        <v>4643</v>
      </c>
      <c r="G3693" s="66" t="s">
        <v>247</v>
      </c>
    </row>
    <row r="3694" ht="22.5" customHeight="1">
      <c r="A3694" s="66" t="s">
        <v>2032</v>
      </c>
      <c r="B3694" s="67" t="str">
        <f t="shared" si="16"/>
        <v>M: soaked</v>
      </c>
      <c r="C3694" s="66">
        <v>3.0</v>
      </c>
      <c r="D3694" s="68">
        <v>46119.0</v>
      </c>
      <c r="E3694" s="66">
        <v>2.0</v>
      </c>
      <c r="F3694" s="66" t="s">
        <v>4644</v>
      </c>
      <c r="G3694" s="66" t="s">
        <v>247</v>
      </c>
    </row>
    <row r="3695" ht="22.5" customHeight="1">
      <c r="A3695" s="66" t="s">
        <v>813</v>
      </c>
      <c r="B3695" s="67" t="str">
        <f t="shared" si="16"/>
        <v>M: rose up</v>
      </c>
      <c r="C3695" s="66">
        <v>2.0</v>
      </c>
      <c r="D3695" s="68">
        <v>46119.0</v>
      </c>
      <c r="E3695" s="66">
        <v>3.0</v>
      </c>
      <c r="F3695" s="66" t="s">
        <v>4645</v>
      </c>
      <c r="G3695" s="66" t="s">
        <v>247</v>
      </c>
    </row>
    <row r="3696" ht="22.5" customHeight="1">
      <c r="A3696" s="66" t="s">
        <v>813</v>
      </c>
      <c r="B3696" s="67" t="str">
        <f t="shared" si="16"/>
        <v>M: rose up</v>
      </c>
      <c r="C3696" s="66">
        <v>3.0</v>
      </c>
      <c r="D3696" s="68">
        <v>46119.0</v>
      </c>
      <c r="E3696" s="66">
        <v>4.0</v>
      </c>
      <c r="F3696" s="66" t="s">
        <v>4646</v>
      </c>
      <c r="G3696" s="66" t="s">
        <v>247</v>
      </c>
    </row>
    <row r="3697" ht="22.5" customHeight="1">
      <c r="A3697" s="66" t="s">
        <v>2613</v>
      </c>
      <c r="B3697" s="67" t="str">
        <f t="shared" si="16"/>
        <v>M: clash</v>
      </c>
      <c r="C3697" s="66">
        <v>2.0</v>
      </c>
      <c r="D3697" s="68">
        <v>46119.0</v>
      </c>
      <c r="E3697" s="66">
        <v>5.0</v>
      </c>
      <c r="F3697" s="66" t="s">
        <v>4647</v>
      </c>
      <c r="G3697" s="66" t="s">
        <v>247</v>
      </c>
    </row>
    <row r="3698" ht="22.5" customHeight="1">
      <c r="A3698" s="66" t="s">
        <v>2613</v>
      </c>
      <c r="B3698" s="67" t="str">
        <f t="shared" si="16"/>
        <v>M: clash</v>
      </c>
      <c r="C3698" s="66">
        <v>3.0</v>
      </c>
      <c r="D3698" s="68">
        <v>46119.0</v>
      </c>
      <c r="E3698" s="66">
        <v>6.0</v>
      </c>
      <c r="F3698" s="66" t="s">
        <v>4648</v>
      </c>
      <c r="G3698" s="66" t="s">
        <v>247</v>
      </c>
    </row>
    <row r="3699" ht="22.5" customHeight="1">
      <c r="A3699" s="66" t="s">
        <v>2490</v>
      </c>
      <c r="B3699" s="67" t="str">
        <f t="shared" si="16"/>
        <v>M: sounds</v>
      </c>
      <c r="C3699" s="66">
        <v>2.0</v>
      </c>
      <c r="D3699" s="68">
        <v>46119.0</v>
      </c>
      <c r="E3699" s="66">
        <v>7.0</v>
      </c>
      <c r="F3699" s="66" t="s">
        <v>4649</v>
      </c>
      <c r="G3699" s="66" t="s">
        <v>247</v>
      </c>
    </row>
    <row r="3700" ht="22.5" customHeight="1">
      <c r="A3700" s="66" t="s">
        <v>2490</v>
      </c>
      <c r="B3700" s="67" t="str">
        <f t="shared" si="16"/>
        <v>M: sounds</v>
      </c>
      <c r="C3700" s="66">
        <v>3.0</v>
      </c>
      <c r="D3700" s="68">
        <v>46119.0</v>
      </c>
      <c r="E3700" s="66">
        <v>8.0</v>
      </c>
      <c r="F3700" s="66" t="s">
        <v>4650</v>
      </c>
      <c r="G3700" s="66" t="s">
        <v>247</v>
      </c>
    </row>
    <row r="3701" ht="22.5" customHeight="1">
      <c r="A3701" s="66" t="s">
        <v>4651</v>
      </c>
      <c r="B3701" s="67" t="str">
        <f t="shared" si="16"/>
        <v>M: coming</v>
      </c>
      <c r="C3701" s="68"/>
      <c r="D3701" s="68">
        <v>46119.0</v>
      </c>
      <c r="E3701" s="66">
        <v>9.0</v>
      </c>
      <c r="F3701" s="66" t="str">
        <f>IFERROR(__xludf.DUMMYFUNCTION("GOOGLETRANSLATE(A3701,""en"",""pt"")"),"chegando")</f>
        <v>chegando</v>
      </c>
      <c r="G3701" s="69"/>
    </row>
    <row r="3702" ht="22.5" customHeight="1">
      <c r="A3702" s="66" t="s">
        <v>4652</v>
      </c>
      <c r="B3702" s="67" t="str">
        <f t="shared" si="16"/>
        <v>M: breached</v>
      </c>
      <c r="C3702" s="68"/>
      <c r="D3702" s="68">
        <v>46120.0</v>
      </c>
      <c r="E3702" s="66">
        <v>10.0</v>
      </c>
      <c r="F3702" s="66" t="str">
        <f>IFERROR(__xludf.DUMMYFUNCTION("GOOGLETRANSLATE(A3702,""en"",""pt"")"),"violado")</f>
        <v>violado</v>
      </c>
      <c r="G3702" s="69"/>
    </row>
    <row r="3703" ht="22.5" customHeight="1">
      <c r="A3703" s="66" t="s">
        <v>4653</v>
      </c>
      <c r="B3703" s="67" t="str">
        <f t="shared" si="16"/>
        <v>M: bell</v>
      </c>
      <c r="C3703" s="68"/>
      <c r="D3703" s="68">
        <v>46120.0</v>
      </c>
      <c r="E3703" s="66">
        <v>1.0</v>
      </c>
      <c r="F3703" s="66" t="str">
        <f>IFERROR(__xludf.DUMMYFUNCTION("GOOGLETRANSLATE(A3703,""en"",""pt"")"),"sino")</f>
        <v>sino</v>
      </c>
      <c r="G3703" s="69"/>
    </row>
    <row r="3704" ht="22.5" customHeight="1">
      <c r="A3704" s="66" t="s">
        <v>4654</v>
      </c>
      <c r="B3704" s="67" t="str">
        <f t="shared" si="16"/>
        <v>M: trumpet</v>
      </c>
      <c r="C3704" s="68"/>
      <c r="D3704" s="68">
        <v>46120.0</v>
      </c>
      <c r="E3704" s="66">
        <v>2.0</v>
      </c>
      <c r="F3704" s="66" t="str">
        <f>IFERROR(__xludf.DUMMYFUNCTION("GOOGLETRANSLATE(A3704,""en"",""pt"")"),"trombeta")</f>
        <v>trombeta</v>
      </c>
      <c r="G3704" s="69"/>
    </row>
    <row r="3705" ht="22.5" customHeight="1">
      <c r="A3705" s="66" t="s">
        <v>2092</v>
      </c>
      <c r="B3705" s="67" t="str">
        <f t="shared" si="16"/>
        <v>M: moisture</v>
      </c>
      <c r="C3705" s="66">
        <v>2.0</v>
      </c>
      <c r="D3705" s="68">
        <v>46120.0</v>
      </c>
      <c r="E3705" s="66">
        <v>3.0</v>
      </c>
      <c r="F3705" s="66" t="s">
        <v>4655</v>
      </c>
      <c r="G3705" s="66" t="s">
        <v>247</v>
      </c>
    </row>
    <row r="3706" ht="22.5" customHeight="1">
      <c r="A3706" s="66" t="s">
        <v>4656</v>
      </c>
      <c r="B3706" s="67" t="str">
        <f t="shared" si="16"/>
        <v>M: must be</v>
      </c>
      <c r="C3706" s="68"/>
      <c r="D3706" s="68">
        <v>46120.0</v>
      </c>
      <c r="E3706" s="66">
        <v>4.0</v>
      </c>
      <c r="F3706" s="66" t="str">
        <f>IFERROR(__xludf.DUMMYFUNCTION("GOOGLETRANSLATE(A3706,""en"",""pt"")"),"deve ser")</f>
        <v>deve ser</v>
      </c>
      <c r="G3706" s="69"/>
    </row>
    <row r="3707" ht="22.5" customHeight="1">
      <c r="A3707" s="66" t="s">
        <v>4657</v>
      </c>
      <c r="B3707" s="67" t="str">
        <f t="shared" si="16"/>
        <v>M: measured</v>
      </c>
      <c r="C3707" s="68"/>
      <c r="D3707" s="68">
        <v>46120.0</v>
      </c>
      <c r="E3707" s="66">
        <v>5.0</v>
      </c>
      <c r="F3707" s="66" t="str">
        <f>IFERROR(__xludf.DUMMYFUNCTION("GOOGLETRANSLATE(A3707,""en"",""pt"")"),"medido")</f>
        <v>medido</v>
      </c>
      <c r="G3707" s="69"/>
    </row>
    <row r="3708" ht="22.5" customHeight="1">
      <c r="A3708" s="66" t="s">
        <v>4658</v>
      </c>
      <c r="B3708" s="67" t="str">
        <f t="shared" si="16"/>
        <v>M: contend</v>
      </c>
      <c r="C3708" s="68"/>
      <c r="D3708" s="68">
        <v>46120.0</v>
      </c>
      <c r="E3708" s="66">
        <v>6.0</v>
      </c>
      <c r="F3708" s="66" t="str">
        <f>IFERROR(__xludf.DUMMYFUNCTION("GOOGLETRANSLATE(A3708,""en"",""pt"")"),"contestar")</f>
        <v>contestar</v>
      </c>
      <c r="G3708" s="69"/>
    </row>
    <row r="3709" ht="22.5" customHeight="1">
      <c r="A3709" s="66" t="s">
        <v>4659</v>
      </c>
      <c r="B3709" s="67" t="str">
        <f t="shared" si="16"/>
        <v>M: minimal</v>
      </c>
      <c r="C3709" s="68"/>
      <c r="D3709" s="68">
        <v>46120.0</v>
      </c>
      <c r="E3709" s="66">
        <v>7.0</v>
      </c>
      <c r="F3709" s="66" t="str">
        <f>IFERROR(__xludf.DUMMYFUNCTION("GOOGLETRANSLATE(A3709,""en"",""pt"")"),"mínimo")</f>
        <v>mínimo</v>
      </c>
      <c r="G3709" s="69"/>
    </row>
    <row r="3710" ht="22.5" customHeight="1">
      <c r="A3710" s="66" t="s">
        <v>4660</v>
      </c>
      <c r="B3710" s="67" t="str">
        <f t="shared" si="16"/>
        <v>M: seeds</v>
      </c>
      <c r="C3710" s="68"/>
      <c r="D3710" s="68">
        <v>46120.0</v>
      </c>
      <c r="E3710" s="66">
        <v>8.0</v>
      </c>
      <c r="F3710" s="66" t="str">
        <f>IFERROR(__xludf.DUMMYFUNCTION("GOOGLETRANSLATE(A3710,""en"",""pt"")"),"sementes")</f>
        <v>sementes</v>
      </c>
      <c r="G3710" s="69"/>
    </row>
    <row r="3711" ht="22.5" customHeight="1">
      <c r="A3711" s="66" t="s">
        <v>4661</v>
      </c>
      <c r="B3711" s="67" t="str">
        <f t="shared" si="16"/>
        <v>M: packing</v>
      </c>
      <c r="C3711" s="68"/>
      <c r="D3711" s="68">
        <v>46120.0</v>
      </c>
      <c r="E3711" s="66">
        <v>9.0</v>
      </c>
      <c r="F3711" s="66" t="str">
        <f>IFERROR(__xludf.DUMMYFUNCTION("GOOGLETRANSLATE(A3711,""en"",""pt"")"),"embalagem")</f>
        <v>embalagem</v>
      </c>
      <c r="G3711" s="69"/>
    </row>
    <row r="3712" ht="22.5" customHeight="1">
      <c r="A3712" s="66" t="s">
        <v>2466</v>
      </c>
      <c r="B3712" s="67" t="str">
        <f t="shared" si="16"/>
        <v>M: herd</v>
      </c>
      <c r="C3712" s="66">
        <v>2.0</v>
      </c>
      <c r="D3712" s="68">
        <v>46121.0</v>
      </c>
      <c r="E3712" s="66">
        <v>10.0</v>
      </c>
      <c r="F3712" s="66" t="s">
        <v>4662</v>
      </c>
      <c r="G3712" s="66" t="s">
        <v>247</v>
      </c>
    </row>
    <row r="3713" ht="22.5" customHeight="1">
      <c r="A3713" s="66" t="s">
        <v>4663</v>
      </c>
      <c r="B3713" s="67" t="str">
        <f t="shared" si="16"/>
        <v>M: customers</v>
      </c>
      <c r="C3713" s="68"/>
      <c r="D3713" s="68">
        <v>46121.0</v>
      </c>
      <c r="E3713" s="66">
        <v>1.0</v>
      </c>
      <c r="F3713" s="66" t="str">
        <f>IFERROR(__xludf.DUMMYFUNCTION("GOOGLETRANSLATE(A3713,""en"",""pt"")"),"clientes")</f>
        <v>clientes</v>
      </c>
      <c r="G3713" s="69"/>
    </row>
    <row r="3714" ht="22.5" customHeight="1">
      <c r="A3714" s="66" t="s">
        <v>4664</v>
      </c>
      <c r="B3714" s="67" t="str">
        <f t="shared" si="16"/>
        <v>M: addressed</v>
      </c>
      <c r="C3714" s="68"/>
      <c r="D3714" s="68">
        <v>46121.0</v>
      </c>
      <c r="E3714" s="66">
        <v>2.0</v>
      </c>
      <c r="F3714" s="66" t="str">
        <f>IFERROR(__xludf.DUMMYFUNCTION("GOOGLETRANSLATE(A3714,""en"",""pt"")"),"abordado")</f>
        <v>abordado</v>
      </c>
      <c r="G3714" s="69"/>
    </row>
    <row r="3715" ht="22.5" customHeight="1">
      <c r="A3715" s="66" t="s">
        <v>4665</v>
      </c>
      <c r="B3715" s="67" t="str">
        <f t="shared" si="16"/>
        <v>M: eager</v>
      </c>
      <c r="C3715" s="68"/>
      <c r="D3715" s="68">
        <v>46121.0</v>
      </c>
      <c r="E3715" s="66">
        <v>3.0</v>
      </c>
      <c r="F3715" s="66" t="str">
        <f>IFERROR(__xludf.DUMMYFUNCTION("GOOGLETRANSLATE(A3715,""en"",""pt"")"),"ansioso")</f>
        <v>ansioso</v>
      </c>
      <c r="G3715" s="69"/>
    </row>
    <row r="3716" ht="22.5" customHeight="1">
      <c r="A3716" s="66" t="s">
        <v>4666</v>
      </c>
      <c r="B3716" s="67" t="str">
        <f t="shared" si="16"/>
        <v>M: slowly</v>
      </c>
      <c r="C3716" s="68"/>
      <c r="D3716" s="68">
        <v>46121.0</v>
      </c>
      <c r="E3716" s="66">
        <v>4.0</v>
      </c>
      <c r="F3716" s="66" t="str">
        <f>IFERROR(__xludf.DUMMYFUNCTION("GOOGLETRANSLATE(A3716,""en"",""pt"")"),"devagar")</f>
        <v>devagar</v>
      </c>
      <c r="G3716" s="69"/>
    </row>
    <row r="3717" ht="22.5" customHeight="1">
      <c r="A3717" s="66" t="s">
        <v>4667</v>
      </c>
      <c r="B3717" s="67" t="str">
        <f t="shared" si="16"/>
        <v>M: watering</v>
      </c>
      <c r="C3717" s="68"/>
      <c r="D3717" s="68">
        <v>46121.0</v>
      </c>
      <c r="E3717" s="66">
        <v>5.0</v>
      </c>
      <c r="F3717" s="66" t="str">
        <f>IFERROR(__xludf.DUMMYFUNCTION("GOOGLETRANSLATE(A3717,""en"",""pt"")"),"rega")</f>
        <v>rega</v>
      </c>
      <c r="G3717" s="69"/>
    </row>
    <row r="3718" ht="22.5" customHeight="1">
      <c r="A3718" s="66" t="s">
        <v>4668</v>
      </c>
      <c r="B3718" s="67" t="str">
        <f t="shared" si="16"/>
        <v>M: hole</v>
      </c>
      <c r="C3718" s="68"/>
      <c r="D3718" s="68">
        <v>46121.0</v>
      </c>
      <c r="E3718" s="66">
        <v>6.0</v>
      </c>
      <c r="F3718" s="66" t="str">
        <f>IFERROR(__xludf.DUMMYFUNCTION("GOOGLETRANSLATE(A3718,""en"",""pt"")"),"buraco")</f>
        <v>buraco</v>
      </c>
      <c r="G3718" s="69"/>
    </row>
    <row r="3719" ht="22.5" customHeight="1">
      <c r="A3719" s="66" t="s">
        <v>918</v>
      </c>
      <c r="B3719" s="67" t="str">
        <f t="shared" si="16"/>
        <v>M: ground</v>
      </c>
      <c r="C3719" s="66">
        <v>2.0</v>
      </c>
      <c r="D3719" s="68">
        <v>46121.0</v>
      </c>
      <c r="E3719" s="66">
        <v>7.0</v>
      </c>
      <c r="F3719" s="66" t="s">
        <v>4669</v>
      </c>
      <c r="G3719" s="66" t="s">
        <v>247</v>
      </c>
    </row>
    <row r="3720" ht="22.5" customHeight="1">
      <c r="A3720" s="66" t="s">
        <v>918</v>
      </c>
      <c r="B3720" s="67" t="str">
        <f t="shared" si="16"/>
        <v>M: ground</v>
      </c>
      <c r="C3720" s="66">
        <v>3.0</v>
      </c>
      <c r="D3720" s="68">
        <v>46121.0</v>
      </c>
      <c r="E3720" s="66">
        <v>8.0</v>
      </c>
      <c r="F3720" s="71" t="s">
        <v>4670</v>
      </c>
      <c r="G3720" s="66" t="s">
        <v>247</v>
      </c>
    </row>
    <row r="3721" ht="22.5" customHeight="1">
      <c r="A3721" s="66" t="s">
        <v>4671</v>
      </c>
      <c r="B3721" s="67" t="str">
        <f t="shared" si="16"/>
        <v>M: anchored</v>
      </c>
      <c r="C3721" s="68"/>
      <c r="D3721" s="68">
        <v>46121.0</v>
      </c>
      <c r="E3721" s="66">
        <v>9.0</v>
      </c>
      <c r="F3721" s="66" t="str">
        <f>IFERROR(__xludf.DUMMYFUNCTION("GOOGLETRANSLATE(A3721,""en"",""pt"")"),"ancorado")</f>
        <v>ancorado</v>
      </c>
      <c r="G3721" s="69"/>
    </row>
    <row r="3722" ht="22.5" customHeight="1">
      <c r="A3722" s="66" t="s">
        <v>4672</v>
      </c>
      <c r="B3722" s="67" t="str">
        <f t="shared" si="16"/>
        <v>M: hardness</v>
      </c>
      <c r="C3722" s="68"/>
      <c r="D3722" s="68">
        <v>46122.0</v>
      </c>
      <c r="E3722" s="66">
        <v>10.0</v>
      </c>
      <c r="F3722" s="66" t="str">
        <f>IFERROR(__xludf.DUMMYFUNCTION("GOOGLETRANSLATE(A3722,""en"",""pt"")"),"dureza")</f>
        <v>dureza</v>
      </c>
      <c r="G3722" s="69"/>
    </row>
    <row r="3723" ht="22.5" customHeight="1">
      <c r="A3723" s="66" t="s">
        <v>4673</v>
      </c>
      <c r="B3723" s="67" t="str">
        <f t="shared" si="16"/>
        <v>M: frozen</v>
      </c>
      <c r="C3723" s="68"/>
      <c r="D3723" s="68">
        <v>46122.0</v>
      </c>
      <c r="E3723" s="66">
        <v>1.0</v>
      </c>
      <c r="F3723" s="66" t="str">
        <f>IFERROR(__xludf.DUMMYFUNCTION("GOOGLETRANSLATE(A3723,""en"",""pt"")"),"congelado")</f>
        <v>congelado</v>
      </c>
      <c r="G3723" s="69"/>
    </row>
    <row r="3724" ht="22.5" customHeight="1">
      <c r="A3724" s="66" t="s">
        <v>4674</v>
      </c>
      <c r="B3724" s="67" t="str">
        <f t="shared" si="16"/>
        <v>M: circuit</v>
      </c>
      <c r="C3724" s="68"/>
      <c r="D3724" s="68">
        <v>46122.0</v>
      </c>
      <c r="E3724" s="66">
        <v>2.0</v>
      </c>
      <c r="F3724" s="66" t="str">
        <f>IFERROR(__xludf.DUMMYFUNCTION("GOOGLETRANSLATE(A3724,""en"",""pt"")"),"circuito")</f>
        <v>circuito</v>
      </c>
      <c r="G3724" s="69"/>
    </row>
    <row r="3725" ht="22.5" customHeight="1">
      <c r="A3725" s="66" t="s">
        <v>4675</v>
      </c>
      <c r="B3725" s="67" t="str">
        <f t="shared" si="16"/>
        <v>M: lack</v>
      </c>
      <c r="C3725" s="68"/>
      <c r="D3725" s="68">
        <v>46122.0</v>
      </c>
      <c r="E3725" s="66">
        <v>3.0</v>
      </c>
      <c r="F3725" s="66" t="str">
        <f>IFERROR(__xludf.DUMMYFUNCTION("GOOGLETRANSLATE(A3725,""en"",""pt"")"),"falta")</f>
        <v>falta</v>
      </c>
      <c r="G3725" s="69"/>
    </row>
    <row r="3726" ht="22.5" customHeight="1">
      <c r="A3726" s="66" t="s">
        <v>4676</v>
      </c>
      <c r="B3726" s="67" t="str">
        <f t="shared" si="16"/>
        <v>M: shock</v>
      </c>
      <c r="C3726" s="68"/>
      <c r="D3726" s="68">
        <v>46122.0</v>
      </c>
      <c r="E3726" s="66">
        <v>4.0</v>
      </c>
      <c r="F3726" s="66" t="str">
        <f>IFERROR(__xludf.DUMMYFUNCTION("GOOGLETRANSLATE(A3726,""en"",""pt"")"),"choque")</f>
        <v>choque</v>
      </c>
      <c r="G3726" s="69"/>
    </row>
    <row r="3727" ht="22.5" customHeight="1">
      <c r="A3727" s="66" t="s">
        <v>4677</v>
      </c>
      <c r="B3727" s="67" t="str">
        <f t="shared" si="16"/>
        <v>M: eletrical</v>
      </c>
      <c r="C3727" s="68"/>
      <c r="D3727" s="68">
        <v>46122.0</v>
      </c>
      <c r="E3727" s="66">
        <v>5.0</v>
      </c>
      <c r="F3727" s="66" t="str">
        <f>IFERROR(__xludf.DUMMYFUNCTION("GOOGLETRANSLATE(A3727,""en"",""pt"")"),"elétrico")</f>
        <v>elétrico</v>
      </c>
      <c r="G3727" s="69"/>
    </row>
    <row r="3728" ht="22.5" customHeight="1">
      <c r="A3728" s="66" t="s">
        <v>4678</v>
      </c>
      <c r="B3728" s="67" t="str">
        <f t="shared" si="16"/>
        <v>M: caused</v>
      </c>
      <c r="C3728" s="68"/>
      <c r="D3728" s="68">
        <v>46122.0</v>
      </c>
      <c r="E3728" s="66">
        <v>6.0</v>
      </c>
      <c r="F3728" s="66" t="str">
        <f>IFERROR(__xludf.DUMMYFUNCTION("GOOGLETRANSLATE(A3728,""en"",""pt"")"),"causado")</f>
        <v>causado</v>
      </c>
      <c r="G3728" s="69"/>
    </row>
    <row r="3729" ht="22.5" customHeight="1">
      <c r="A3729" s="66" t="s">
        <v>1888</v>
      </c>
      <c r="B3729" s="67" t="str">
        <f t="shared" si="16"/>
        <v>M: uncovering</v>
      </c>
      <c r="C3729" s="66">
        <v>2.0</v>
      </c>
      <c r="D3729" s="68">
        <v>46122.0</v>
      </c>
      <c r="E3729" s="66">
        <v>7.0</v>
      </c>
      <c r="F3729" s="66" t="s">
        <v>4679</v>
      </c>
      <c r="G3729" s="66" t="s">
        <v>247</v>
      </c>
    </row>
    <row r="3730" ht="22.5" customHeight="1">
      <c r="A3730" s="66" t="s">
        <v>1530</v>
      </c>
      <c r="B3730" s="67" t="str">
        <f t="shared" si="16"/>
        <v>M: wore</v>
      </c>
      <c r="C3730" s="66">
        <v>2.0</v>
      </c>
      <c r="D3730" s="68">
        <v>46122.0</v>
      </c>
      <c r="E3730" s="66">
        <v>8.0</v>
      </c>
      <c r="F3730" s="66" t="s">
        <v>4680</v>
      </c>
      <c r="G3730" s="66" t="s">
        <v>247</v>
      </c>
    </row>
    <row r="3731" ht="22.5" customHeight="1">
      <c r="A3731" s="66" t="s">
        <v>1530</v>
      </c>
      <c r="B3731" s="67" t="str">
        <f t="shared" si="16"/>
        <v>M: wore</v>
      </c>
      <c r="C3731" s="66">
        <v>3.0</v>
      </c>
      <c r="D3731" s="68">
        <v>46122.0</v>
      </c>
      <c r="E3731" s="66">
        <v>9.0</v>
      </c>
      <c r="F3731" s="66" t="s">
        <v>4681</v>
      </c>
      <c r="G3731" s="66" t="s">
        <v>247</v>
      </c>
    </row>
    <row r="3732" ht="22.5" customHeight="1">
      <c r="A3732" s="66" t="s">
        <v>4682</v>
      </c>
      <c r="B3732" s="67" t="str">
        <f t="shared" si="16"/>
        <v>M: screen</v>
      </c>
      <c r="C3732" s="68"/>
      <c r="D3732" s="68">
        <v>46123.0</v>
      </c>
      <c r="E3732" s="66">
        <v>10.0</v>
      </c>
      <c r="F3732" s="66" t="str">
        <f>IFERROR(__xludf.DUMMYFUNCTION("GOOGLETRANSLATE(A3732,""en"",""pt"")"),"tela")</f>
        <v>tela</v>
      </c>
      <c r="G3732" s="69"/>
    </row>
    <row r="3733" ht="22.5" customHeight="1">
      <c r="A3733" s="66" t="s">
        <v>4683</v>
      </c>
      <c r="B3733" s="67" t="str">
        <f t="shared" si="16"/>
        <v>M: friction</v>
      </c>
      <c r="C3733" s="68"/>
      <c r="D3733" s="68">
        <v>46123.0</v>
      </c>
      <c r="E3733" s="66">
        <v>1.0</v>
      </c>
      <c r="F3733" s="66" t="str">
        <f>IFERROR(__xludf.DUMMYFUNCTION("GOOGLETRANSLATE(A3733,""en"",""pt"")"),"atrito")</f>
        <v>atrito</v>
      </c>
      <c r="G3733" s="69"/>
    </row>
    <row r="3734" ht="22.5" customHeight="1">
      <c r="A3734" s="66" t="s">
        <v>4684</v>
      </c>
      <c r="B3734" s="67" t="str">
        <f t="shared" si="16"/>
        <v>M: component</v>
      </c>
      <c r="C3734" s="68"/>
      <c r="D3734" s="68">
        <v>46123.0</v>
      </c>
      <c r="E3734" s="66">
        <v>2.0</v>
      </c>
      <c r="F3734" s="66" t="str">
        <f>IFERROR(__xludf.DUMMYFUNCTION("GOOGLETRANSLATE(A3734,""en"",""pt"")"),"componente")</f>
        <v>componente</v>
      </c>
      <c r="G3734" s="69"/>
    </row>
    <row r="3735" ht="22.5" customHeight="1">
      <c r="A3735" s="66" t="s">
        <v>4685</v>
      </c>
      <c r="B3735" s="67" t="str">
        <f t="shared" si="16"/>
        <v>M: metal</v>
      </c>
      <c r="C3735" s="68"/>
      <c r="D3735" s="68">
        <v>46123.0</v>
      </c>
      <c r="E3735" s="66">
        <v>3.0</v>
      </c>
      <c r="F3735" s="66" t="str">
        <f>IFERROR(__xludf.DUMMYFUNCTION("GOOGLETRANSLATE(A3735,""en"",""pt"")"),"metal")</f>
        <v>metal</v>
      </c>
      <c r="G3735" s="69"/>
    </row>
    <row r="3736" ht="22.5" customHeight="1">
      <c r="A3736" s="66" t="s">
        <v>4686</v>
      </c>
      <c r="B3736" s="67" t="str">
        <f t="shared" si="16"/>
        <v>M: carpet</v>
      </c>
      <c r="C3736" s="68"/>
      <c r="D3736" s="68">
        <v>46123.0</v>
      </c>
      <c r="E3736" s="66">
        <v>4.0</v>
      </c>
      <c r="F3736" s="66" t="str">
        <f>IFERROR(__xludf.DUMMYFUNCTION("GOOGLETRANSLATE(A3736,""en"",""pt"")"),"tapete")</f>
        <v>tapete</v>
      </c>
      <c r="G3736" s="69"/>
    </row>
    <row r="3737" ht="22.5" customHeight="1">
      <c r="A3737" s="66" t="s">
        <v>4687</v>
      </c>
      <c r="B3737" s="67" t="str">
        <f t="shared" si="16"/>
        <v>M: participle</v>
      </c>
      <c r="C3737" s="68"/>
      <c r="D3737" s="68">
        <v>46123.0</v>
      </c>
      <c r="E3737" s="66">
        <v>5.0</v>
      </c>
      <c r="F3737" s="66" t="str">
        <f>IFERROR(__xludf.DUMMYFUNCTION("GOOGLETRANSLATE(A3737,""en"",""pt"")"),"particípio")</f>
        <v>particípio</v>
      </c>
      <c r="G3737" s="69"/>
    </row>
    <row r="3738" ht="22.5" customHeight="1">
      <c r="A3738" s="66" t="s">
        <v>4688</v>
      </c>
      <c r="B3738" s="67" t="str">
        <f t="shared" si="16"/>
        <v>M: foot</v>
      </c>
      <c r="C3738" s="68"/>
      <c r="D3738" s="68">
        <v>46123.0</v>
      </c>
      <c r="E3738" s="66">
        <v>6.0</v>
      </c>
      <c r="F3738" s="66" t="str">
        <f>IFERROR(__xludf.DUMMYFUNCTION("GOOGLETRANSLATE(A3738,""en"",""pt"")"),"pé")</f>
        <v>pé</v>
      </c>
      <c r="G3738" s="69"/>
    </row>
    <row r="3739" ht="22.5" customHeight="1">
      <c r="A3739" s="66" t="s">
        <v>4689</v>
      </c>
      <c r="B3739" s="67" t="str">
        <f t="shared" si="16"/>
        <v>M: frown</v>
      </c>
      <c r="C3739" s="68"/>
      <c r="D3739" s="68">
        <v>46123.0</v>
      </c>
      <c r="E3739" s="66">
        <v>7.0</v>
      </c>
      <c r="F3739" s="66" t="str">
        <f>IFERROR(__xludf.DUMMYFUNCTION("GOOGLETRANSLATE(A3739,""en"",""pt"")"),"franzir a testa")</f>
        <v>franzir a testa</v>
      </c>
      <c r="G3739" s="69"/>
    </row>
    <row r="3740" ht="22.5" customHeight="1">
      <c r="A3740" s="66" t="s">
        <v>4690</v>
      </c>
      <c r="B3740" s="67" t="str">
        <f t="shared" si="16"/>
        <v>M: indifference</v>
      </c>
      <c r="C3740" s="68"/>
      <c r="D3740" s="68">
        <v>46123.0</v>
      </c>
      <c r="E3740" s="66">
        <v>8.0</v>
      </c>
      <c r="F3740" s="66" t="str">
        <f>IFERROR(__xludf.DUMMYFUNCTION("GOOGLETRANSLATE(A3740,""en"",""pt"")"),"indiferença")</f>
        <v>indiferença</v>
      </c>
      <c r="G3740" s="69"/>
    </row>
    <row r="3741" ht="22.5" customHeight="1">
      <c r="A3741" s="66" t="s">
        <v>1388</v>
      </c>
      <c r="B3741" s="67" t="str">
        <f t="shared" si="16"/>
        <v>M: bolder</v>
      </c>
      <c r="C3741" s="66">
        <v>2.0</v>
      </c>
      <c r="D3741" s="68">
        <v>46123.0</v>
      </c>
      <c r="E3741" s="66">
        <v>9.0</v>
      </c>
      <c r="F3741" s="66" t="s">
        <v>4691</v>
      </c>
      <c r="G3741" s="66" t="s">
        <v>247</v>
      </c>
    </row>
    <row r="3742" ht="22.5" customHeight="1">
      <c r="A3742" s="66" t="s">
        <v>4692</v>
      </c>
      <c r="B3742" s="67" t="str">
        <f t="shared" si="16"/>
        <v>M: draw</v>
      </c>
      <c r="C3742" s="68"/>
      <c r="D3742" s="68">
        <v>46124.0</v>
      </c>
      <c r="E3742" s="66">
        <v>10.0</v>
      </c>
      <c r="F3742" s="66" t="str">
        <f>IFERROR(__xludf.DUMMYFUNCTION("GOOGLETRANSLATE(A3742,""en"",""pt"")"),"empate")</f>
        <v>empate</v>
      </c>
      <c r="G3742" s="69"/>
    </row>
    <row r="3743" ht="22.5" customHeight="1">
      <c r="A3743" s="66" t="s">
        <v>4693</v>
      </c>
      <c r="B3743" s="67" t="str">
        <f t="shared" si="16"/>
        <v>M: printed</v>
      </c>
      <c r="C3743" s="68"/>
      <c r="D3743" s="68">
        <v>46124.0</v>
      </c>
      <c r="E3743" s="66">
        <v>1.0</v>
      </c>
      <c r="F3743" s="66" t="str">
        <f>IFERROR(__xludf.DUMMYFUNCTION("GOOGLETRANSLATE(A3743,""en"",""pt"")"),"impresso")</f>
        <v>impresso</v>
      </c>
      <c r="G3743" s="69"/>
    </row>
    <row r="3744" ht="22.5" customHeight="1">
      <c r="A3744" s="66" t="s">
        <v>4694</v>
      </c>
      <c r="B3744" s="67" t="str">
        <f t="shared" si="16"/>
        <v>M: set</v>
      </c>
      <c r="C3744" s="68"/>
      <c r="D3744" s="68">
        <v>46124.0</v>
      </c>
      <c r="E3744" s="66">
        <v>2.0</v>
      </c>
      <c r="F3744" s="66" t="str">
        <f>IFERROR(__xludf.DUMMYFUNCTION("GOOGLETRANSLATE(A3744,""en"",""pt"")"),"definir")</f>
        <v>definir</v>
      </c>
      <c r="G3744" s="69"/>
    </row>
    <row r="3745" ht="22.5" customHeight="1">
      <c r="A3745" s="66" t="s">
        <v>4695</v>
      </c>
      <c r="B3745" s="67" t="str">
        <f t="shared" si="16"/>
        <v>M: file</v>
      </c>
      <c r="C3745" s="68"/>
      <c r="D3745" s="68">
        <v>46124.0</v>
      </c>
      <c r="E3745" s="66">
        <v>3.0</v>
      </c>
      <c r="F3745" s="66" t="str">
        <f>IFERROR(__xludf.DUMMYFUNCTION("GOOGLETRANSLATE(A3745,""en"",""pt"")"),"arquivo")</f>
        <v>arquivo</v>
      </c>
      <c r="G3745" s="69"/>
    </row>
    <row r="3746" ht="22.5" customHeight="1">
      <c r="A3746" s="66" t="s">
        <v>4696</v>
      </c>
      <c r="B3746" s="67" t="str">
        <f t="shared" si="16"/>
        <v>M: lines</v>
      </c>
      <c r="C3746" s="68"/>
      <c r="D3746" s="68">
        <v>46124.0</v>
      </c>
      <c r="E3746" s="66">
        <v>4.0</v>
      </c>
      <c r="F3746" s="66" t="str">
        <f>IFERROR(__xludf.DUMMYFUNCTION("GOOGLETRANSLATE(A3746,""en"",""pt"")"),"linhas")</f>
        <v>linhas</v>
      </c>
      <c r="G3746" s="69"/>
    </row>
    <row r="3747" ht="22.5" customHeight="1">
      <c r="A3747" s="66" t="s">
        <v>1633</v>
      </c>
      <c r="B3747" s="67" t="str">
        <f t="shared" si="16"/>
        <v>M: hunger</v>
      </c>
      <c r="C3747" s="66">
        <v>2.0</v>
      </c>
      <c r="D3747" s="68">
        <v>46124.0</v>
      </c>
      <c r="E3747" s="66">
        <v>5.0</v>
      </c>
      <c r="F3747" s="66" t="s">
        <v>4697</v>
      </c>
      <c r="G3747" s="66" t="s">
        <v>247</v>
      </c>
    </row>
    <row r="3748" ht="22.5" customHeight="1">
      <c r="A3748" s="66" t="s">
        <v>4698</v>
      </c>
      <c r="B3748" s="67" t="str">
        <f t="shared" si="16"/>
        <v>M: lunch</v>
      </c>
      <c r="C3748" s="68"/>
      <c r="D3748" s="68">
        <v>46124.0</v>
      </c>
      <c r="E3748" s="66">
        <v>6.0</v>
      </c>
      <c r="F3748" s="66" t="str">
        <f>IFERROR(__xludf.DUMMYFUNCTION("GOOGLETRANSLATE(A3748,""en"",""pt"")"),"almoço")</f>
        <v>almoço</v>
      </c>
      <c r="G3748" s="69"/>
    </row>
    <row r="3749" ht="22.5" customHeight="1">
      <c r="A3749" s="66" t="s">
        <v>4078</v>
      </c>
      <c r="B3749" s="67" t="str">
        <f t="shared" si="16"/>
        <v>M: suffered</v>
      </c>
      <c r="C3749" s="68"/>
      <c r="D3749" s="68">
        <v>46124.0</v>
      </c>
      <c r="E3749" s="66">
        <v>7.0</v>
      </c>
      <c r="F3749" s="66" t="str">
        <f>IFERROR(__xludf.DUMMYFUNCTION("GOOGLETRANSLATE(A3749,""en"",""pt"")"),"sofreu")</f>
        <v>sofreu</v>
      </c>
      <c r="G3749" s="69"/>
    </row>
    <row r="3750" ht="22.5" customHeight="1">
      <c r="A3750" s="66" t="s">
        <v>4699</v>
      </c>
      <c r="B3750" s="67" t="str">
        <f t="shared" si="16"/>
        <v>M: drought</v>
      </c>
      <c r="C3750" s="68"/>
      <c r="D3750" s="68">
        <v>46124.0</v>
      </c>
      <c r="E3750" s="66">
        <v>8.0</v>
      </c>
      <c r="F3750" s="66" t="str">
        <f>IFERROR(__xludf.DUMMYFUNCTION("GOOGLETRANSLATE(A3750,""en"",""pt"")"),"seca")</f>
        <v>seca</v>
      </c>
      <c r="G3750" s="69"/>
    </row>
    <row r="3751" ht="22.5" customHeight="1">
      <c r="A3751" s="66" t="s">
        <v>4700</v>
      </c>
      <c r="B3751" s="67" t="str">
        <f t="shared" si="16"/>
        <v>M: causes</v>
      </c>
      <c r="C3751" s="68"/>
      <c r="D3751" s="68">
        <v>46124.0</v>
      </c>
      <c r="E3751" s="66">
        <v>9.0</v>
      </c>
      <c r="F3751" s="66" t="str">
        <f>IFERROR(__xludf.DUMMYFUNCTION("GOOGLETRANSLATE(A3751,""en"",""pt"")"),"causas")</f>
        <v>causas</v>
      </c>
      <c r="G3751" s="69"/>
    </row>
    <row r="3752" ht="22.5" customHeight="1">
      <c r="A3752" s="66" t="s">
        <v>4701</v>
      </c>
      <c r="B3752" s="67" t="str">
        <f t="shared" si="16"/>
        <v>M: fierce</v>
      </c>
      <c r="C3752" s="68"/>
      <c r="D3752" s="68">
        <v>46125.0</v>
      </c>
      <c r="E3752" s="66">
        <v>10.0</v>
      </c>
      <c r="F3752" s="66" t="str">
        <f>IFERROR(__xludf.DUMMYFUNCTION("GOOGLETRANSLATE(A3752,""en"",""pt"")"),"feroz")</f>
        <v>feroz</v>
      </c>
      <c r="G3752" s="69"/>
    </row>
    <row r="3753" ht="22.5" customHeight="1">
      <c r="A3753" s="66" t="s">
        <v>1737</v>
      </c>
      <c r="B3753" s="67" t="str">
        <f t="shared" si="16"/>
        <v>M: bullshit</v>
      </c>
      <c r="C3753" s="66">
        <v>2.0</v>
      </c>
      <c r="D3753" s="68">
        <v>46125.0</v>
      </c>
      <c r="E3753" s="66">
        <v>1.0</v>
      </c>
      <c r="F3753" s="71" t="s">
        <v>4702</v>
      </c>
      <c r="G3753" s="66" t="s">
        <v>247</v>
      </c>
    </row>
    <row r="3754" ht="22.5" customHeight="1">
      <c r="A3754" s="66" t="s">
        <v>1737</v>
      </c>
      <c r="B3754" s="67" t="str">
        <f t="shared" si="16"/>
        <v>M: bullshit</v>
      </c>
      <c r="C3754" s="66">
        <v>3.0</v>
      </c>
      <c r="D3754" s="68">
        <v>46125.0</v>
      </c>
      <c r="E3754" s="66">
        <v>2.0</v>
      </c>
      <c r="F3754" s="66" t="s">
        <v>4703</v>
      </c>
      <c r="G3754" s="66" t="s">
        <v>4704</v>
      </c>
    </row>
    <row r="3755" ht="22.5" customHeight="1">
      <c r="A3755" s="66" t="s">
        <v>4705</v>
      </c>
      <c r="B3755" s="67" t="str">
        <f t="shared" si="16"/>
        <v>M: nothing but</v>
      </c>
      <c r="C3755" s="68"/>
      <c r="D3755" s="68">
        <v>46125.0</v>
      </c>
      <c r="E3755" s="66">
        <v>3.0</v>
      </c>
      <c r="F3755" s="66" t="str">
        <f>IFERROR(__xludf.DUMMYFUNCTION("GOOGLETRANSLATE(A3755,""en"",""pt"")"),"nada além de")</f>
        <v>nada além de</v>
      </c>
      <c r="G3755" s="69"/>
    </row>
    <row r="3756" ht="22.5" customHeight="1">
      <c r="A3756" s="66" t="s">
        <v>4706</v>
      </c>
      <c r="B3756" s="67" t="str">
        <f t="shared" si="16"/>
        <v>M: pure</v>
      </c>
      <c r="C3756" s="68"/>
      <c r="D3756" s="68">
        <v>46125.0</v>
      </c>
      <c r="E3756" s="66">
        <v>4.0</v>
      </c>
      <c r="F3756" s="66" t="str">
        <f>IFERROR(__xludf.DUMMYFUNCTION("GOOGLETRANSLATE(A3756,""en"",""pt"")"),"puro")</f>
        <v>puro</v>
      </c>
      <c r="G3756" s="69"/>
    </row>
    <row r="3757" ht="22.5" customHeight="1">
      <c r="A3757" s="66" t="s">
        <v>4707</v>
      </c>
      <c r="B3757" s="67" t="str">
        <f t="shared" si="16"/>
        <v>M: spends</v>
      </c>
      <c r="C3757" s="68"/>
      <c r="D3757" s="68">
        <v>46125.0</v>
      </c>
      <c r="E3757" s="66">
        <v>5.0</v>
      </c>
      <c r="F3757" s="66" t="str">
        <f>IFERROR(__xludf.DUMMYFUNCTION("GOOGLETRANSLATE(A3757,""en"",""pt"")"),"gasta")</f>
        <v>gasta</v>
      </c>
      <c r="G3757" s="69"/>
    </row>
    <row r="3758" ht="22.5" customHeight="1">
      <c r="A3758" s="66" t="s">
        <v>4708</v>
      </c>
      <c r="B3758" s="67" t="str">
        <f t="shared" si="16"/>
        <v>M: prowess</v>
      </c>
      <c r="C3758" s="68"/>
      <c r="D3758" s="68">
        <v>46125.0</v>
      </c>
      <c r="E3758" s="66">
        <v>6.0</v>
      </c>
      <c r="F3758" s="66" t="str">
        <f>IFERROR(__xludf.DUMMYFUNCTION("GOOGLETRANSLATE(A3758,""en"",""pt"")"),"proeza")</f>
        <v>proeza</v>
      </c>
      <c r="G3758" s="69"/>
    </row>
    <row r="3759" ht="22.5" customHeight="1">
      <c r="A3759" s="66" t="s">
        <v>4709</v>
      </c>
      <c r="B3759" s="67" t="str">
        <f t="shared" si="16"/>
        <v>M: ridiculous</v>
      </c>
      <c r="C3759" s="68"/>
      <c r="D3759" s="68">
        <v>46125.0</v>
      </c>
      <c r="E3759" s="66">
        <v>7.0</v>
      </c>
      <c r="F3759" s="66" t="str">
        <f>IFERROR(__xludf.DUMMYFUNCTION("GOOGLETRANSLATE(A3759,""en"",""pt"")"),"ridículo")</f>
        <v>ridículo</v>
      </c>
      <c r="G3759" s="69"/>
    </row>
    <row r="3760" ht="22.5" customHeight="1">
      <c r="A3760" s="66" t="s">
        <v>1617</v>
      </c>
      <c r="B3760" s="67" t="str">
        <f t="shared" si="16"/>
        <v>M: roof</v>
      </c>
      <c r="C3760" s="66">
        <v>2.0</v>
      </c>
      <c r="D3760" s="68">
        <v>46125.0</v>
      </c>
      <c r="E3760" s="66">
        <v>8.0</v>
      </c>
      <c r="F3760" s="71" t="s">
        <v>4710</v>
      </c>
      <c r="G3760" s="66" t="s">
        <v>247</v>
      </c>
    </row>
    <row r="3761" ht="22.5" customHeight="1">
      <c r="A3761" s="66" t="s">
        <v>4711</v>
      </c>
      <c r="B3761" s="67" t="str">
        <f t="shared" si="16"/>
        <v>M: panels</v>
      </c>
      <c r="C3761" s="68"/>
      <c r="D3761" s="68">
        <v>46125.0</v>
      </c>
      <c r="E3761" s="66">
        <v>9.0</v>
      </c>
      <c r="F3761" s="66" t="str">
        <f>IFERROR(__xludf.DUMMYFUNCTION("GOOGLETRANSLATE(A3761,""en"",""pt"")"),"painéis")</f>
        <v>painéis</v>
      </c>
      <c r="G3761" s="69"/>
    </row>
    <row r="3762" ht="22.5" customHeight="1">
      <c r="A3762" s="66" t="s">
        <v>4712</v>
      </c>
      <c r="B3762" s="67" t="str">
        <f t="shared" si="16"/>
        <v>M: damaged</v>
      </c>
      <c r="C3762" s="68"/>
      <c r="D3762" s="68">
        <v>46126.0</v>
      </c>
      <c r="E3762" s="66">
        <v>10.0</v>
      </c>
      <c r="F3762" s="66" t="str">
        <f>IFERROR(__xludf.DUMMYFUNCTION("GOOGLETRANSLATE(A3762,""en"",""pt"")"),"danificado")</f>
        <v>danificado</v>
      </c>
      <c r="G3762" s="69"/>
    </row>
    <row r="3763" ht="22.5" customHeight="1">
      <c r="A3763" s="66" t="s">
        <v>4713</v>
      </c>
      <c r="B3763" s="67" t="str">
        <f t="shared" si="16"/>
        <v>M: onto</v>
      </c>
      <c r="C3763" s="68"/>
      <c r="D3763" s="68">
        <v>46126.0</v>
      </c>
      <c r="E3763" s="66">
        <v>1.0</v>
      </c>
      <c r="F3763" s="66" t="str">
        <f>IFERROR(__xludf.DUMMYFUNCTION("GOOGLETRANSLATE(A3763,""en"",""pt"")"),"para")</f>
        <v>para</v>
      </c>
      <c r="G3763" s="69"/>
    </row>
    <row r="3764" ht="22.5" customHeight="1">
      <c r="A3764" s="66" t="s">
        <v>4714</v>
      </c>
      <c r="B3764" s="67" t="str">
        <f t="shared" si="16"/>
        <v>M: climbed</v>
      </c>
      <c r="C3764" s="68"/>
      <c r="D3764" s="68">
        <v>46126.0</v>
      </c>
      <c r="E3764" s="66">
        <v>2.0</v>
      </c>
      <c r="F3764" s="66" t="str">
        <f>IFERROR(__xludf.DUMMYFUNCTION("GOOGLETRANSLATE(A3764,""en"",""pt"")"),"subiu")</f>
        <v>subiu</v>
      </c>
      <c r="G3764" s="69"/>
    </row>
    <row r="3765" ht="22.5" customHeight="1">
      <c r="A3765" s="66" t="s">
        <v>4715</v>
      </c>
      <c r="B3765" s="67" t="str">
        <f t="shared" si="16"/>
        <v>M: agreement</v>
      </c>
      <c r="C3765" s="68"/>
      <c r="D3765" s="68">
        <v>46126.0</v>
      </c>
      <c r="E3765" s="66">
        <v>3.0</v>
      </c>
      <c r="F3765" s="66" t="str">
        <f>IFERROR(__xludf.DUMMYFUNCTION("GOOGLETRANSLATE(A3765,""en"",""pt"")"),"acordo")</f>
        <v>acordo</v>
      </c>
      <c r="G3765" s="69"/>
    </row>
    <row r="3766" ht="22.5" customHeight="1">
      <c r="A3766" s="66" t="s">
        <v>4716</v>
      </c>
      <c r="B3766" s="67" t="str">
        <f t="shared" si="16"/>
        <v>M: hit</v>
      </c>
      <c r="C3766" s="68"/>
      <c r="D3766" s="68">
        <v>46126.0</v>
      </c>
      <c r="E3766" s="66">
        <v>4.0</v>
      </c>
      <c r="F3766" s="66" t="str">
        <f>IFERROR(__xludf.DUMMYFUNCTION("GOOGLETRANSLATE(A3766,""en"",""pt"")"),"bater")</f>
        <v>bater</v>
      </c>
      <c r="G3766" s="69"/>
    </row>
    <row r="3767" ht="22.5" customHeight="1">
      <c r="A3767" s="70" t="s">
        <v>769</v>
      </c>
      <c r="B3767" s="67" t="str">
        <f t="shared" si="16"/>
        <v>M: rye</v>
      </c>
      <c r="C3767" s="66">
        <v>2.0</v>
      </c>
      <c r="D3767" s="68">
        <v>46126.0</v>
      </c>
      <c r="E3767" s="66">
        <v>5.0</v>
      </c>
      <c r="F3767" s="71" t="s">
        <v>4717</v>
      </c>
      <c r="G3767" s="66" t="s">
        <v>247</v>
      </c>
    </row>
    <row r="3768" ht="22.5" customHeight="1">
      <c r="A3768" s="66" t="s">
        <v>4718</v>
      </c>
      <c r="B3768" s="67" t="str">
        <f t="shared" si="16"/>
        <v>M: glass</v>
      </c>
      <c r="C3768" s="68"/>
      <c r="D3768" s="68">
        <v>46126.0</v>
      </c>
      <c r="E3768" s="66">
        <v>6.0</v>
      </c>
      <c r="F3768" s="66" t="str">
        <f>IFERROR(__xludf.DUMMYFUNCTION("GOOGLETRANSLATE(A3768,""en"",""pt"")"),"vidro")</f>
        <v>vidro</v>
      </c>
      <c r="G3768" s="69"/>
    </row>
    <row r="3769" ht="22.5" customHeight="1">
      <c r="A3769" s="66" t="s">
        <v>4719</v>
      </c>
      <c r="B3769" s="67" t="str">
        <f t="shared" si="16"/>
        <v>M: harvest</v>
      </c>
      <c r="C3769" s="68"/>
      <c r="D3769" s="68">
        <v>46126.0</v>
      </c>
      <c r="E3769" s="66">
        <v>7.0</v>
      </c>
      <c r="F3769" s="66" t="str">
        <f>IFERROR(__xludf.DUMMYFUNCTION("GOOGLETRANSLATE(A3769,""en"",""pt"")"),"colheita")</f>
        <v>colheita</v>
      </c>
      <c r="G3769" s="69"/>
    </row>
    <row r="3770" ht="22.5" customHeight="1">
      <c r="A3770" s="66" t="s">
        <v>4720</v>
      </c>
      <c r="B3770" s="67" t="str">
        <f t="shared" si="16"/>
        <v>M: mature</v>
      </c>
      <c r="C3770" s="68"/>
      <c r="D3770" s="68">
        <v>46126.0</v>
      </c>
      <c r="E3770" s="66">
        <v>8.0</v>
      </c>
      <c r="F3770" s="66" t="str">
        <f>IFERROR(__xludf.DUMMYFUNCTION("GOOGLETRANSLATE(A3770,""en"",""pt"")"),"maduro")</f>
        <v>maduro</v>
      </c>
      <c r="G3770" s="69"/>
    </row>
    <row r="3771" ht="22.5" customHeight="1">
      <c r="A3771" s="66" t="s">
        <v>4721</v>
      </c>
      <c r="B3771" s="67" t="str">
        <f t="shared" si="16"/>
        <v>M: used</v>
      </c>
      <c r="C3771" s="68"/>
      <c r="D3771" s="68">
        <v>46126.0</v>
      </c>
      <c r="E3771" s="66">
        <v>9.0</v>
      </c>
      <c r="F3771" s="66" t="str">
        <f>IFERROR(__xludf.DUMMYFUNCTION("GOOGLETRANSLATE(A3771,""en"",""pt"")"),"usado")</f>
        <v>usado</v>
      </c>
      <c r="G3771" s="69"/>
    </row>
    <row r="3772" ht="22.5" customHeight="1">
      <c r="A3772" s="66" t="s">
        <v>4722</v>
      </c>
      <c r="B3772" s="67" t="str">
        <f t="shared" si="16"/>
        <v>M: hardy</v>
      </c>
      <c r="C3772" s="68"/>
      <c r="D3772" s="68">
        <v>46127.0</v>
      </c>
      <c r="E3772" s="66">
        <v>10.0</v>
      </c>
      <c r="F3772" s="66" t="str">
        <f>IFERROR(__xludf.DUMMYFUNCTION("GOOGLETRANSLATE(A3772,""en"",""pt"")"),"resistente")</f>
        <v>resistente</v>
      </c>
      <c r="G3772" s="69"/>
    </row>
    <row r="3773" ht="22.5" customHeight="1">
      <c r="A3773" s="66" t="s">
        <v>4723</v>
      </c>
      <c r="B3773" s="67" t="str">
        <f t="shared" si="16"/>
        <v>M: cereal</v>
      </c>
      <c r="C3773" s="68"/>
      <c r="D3773" s="68">
        <v>46127.0</v>
      </c>
      <c r="E3773" s="66">
        <v>1.0</v>
      </c>
      <c r="F3773" s="66" t="str">
        <f>IFERROR(__xludf.DUMMYFUNCTION("GOOGLETRANSLATE(A3773,""en"",""pt"")"),"cereal")</f>
        <v>cereal</v>
      </c>
      <c r="G3773" s="69"/>
    </row>
    <row r="3774" ht="22.5" customHeight="1">
      <c r="A3774" s="66" t="s">
        <v>4724</v>
      </c>
      <c r="B3774" s="67" t="str">
        <f t="shared" si="16"/>
        <v>M: grass</v>
      </c>
      <c r="C3774" s="68"/>
      <c r="D3774" s="68">
        <v>46127.0</v>
      </c>
      <c r="E3774" s="66">
        <v>2.0</v>
      </c>
      <c r="F3774" s="66" t="str">
        <f>IFERROR(__xludf.DUMMYFUNCTION("GOOGLETRANSLATE(A3774,""en"",""pt"")"),"grama")</f>
        <v>grama</v>
      </c>
      <c r="G3774" s="69"/>
    </row>
    <row r="3775" ht="22.5" customHeight="1">
      <c r="A3775" s="66" t="s">
        <v>4725</v>
      </c>
      <c r="B3775" s="67" t="str">
        <f t="shared" si="16"/>
        <v>M: strong</v>
      </c>
      <c r="C3775" s="68"/>
      <c r="D3775" s="68">
        <v>46127.0</v>
      </c>
      <c r="E3775" s="66">
        <v>3.0</v>
      </c>
      <c r="F3775" s="66" t="str">
        <f>IFERROR(__xludf.DUMMYFUNCTION("GOOGLETRANSLATE(A3775,""en"",""pt"")"),"forte")</f>
        <v>forte</v>
      </c>
      <c r="G3775" s="69"/>
    </row>
    <row r="3776" ht="22.5" customHeight="1">
      <c r="A3776" s="66" t="s">
        <v>4726</v>
      </c>
      <c r="B3776" s="67" t="str">
        <f t="shared" si="16"/>
        <v>M: bar</v>
      </c>
      <c r="C3776" s="68"/>
      <c r="D3776" s="68">
        <v>46127.0</v>
      </c>
      <c r="E3776" s="66">
        <v>4.0</v>
      </c>
      <c r="F3776" s="66" t="str">
        <f>IFERROR(__xludf.DUMMYFUNCTION("GOOGLETRANSLATE(A3776,""en"",""pt"")"),"bar")</f>
        <v>bar</v>
      </c>
      <c r="G3776" s="69"/>
    </row>
    <row r="3777" ht="22.5" customHeight="1">
      <c r="A3777" s="66" t="s">
        <v>4727</v>
      </c>
      <c r="B3777" s="67" t="str">
        <f t="shared" si="16"/>
        <v>M: distinct</v>
      </c>
      <c r="C3777" s="68"/>
      <c r="D3777" s="68">
        <v>46127.0</v>
      </c>
      <c r="E3777" s="66">
        <v>5.0</v>
      </c>
      <c r="F3777" s="66" t="str">
        <f>IFERROR(__xludf.DUMMYFUNCTION("GOOGLETRANSLATE(A3777,""en"",""pt"")"),"distinto")</f>
        <v>distinto</v>
      </c>
      <c r="G3777" s="69"/>
    </row>
    <row r="3778" ht="22.5" customHeight="1">
      <c r="A3778" s="66" t="s">
        <v>4728</v>
      </c>
      <c r="B3778" s="67" t="str">
        <f t="shared" si="16"/>
        <v>M: distinctive</v>
      </c>
      <c r="C3778" s="68"/>
      <c r="D3778" s="68">
        <v>46127.0</v>
      </c>
      <c r="E3778" s="66">
        <v>6.0</v>
      </c>
      <c r="F3778" s="66" t="str">
        <f>IFERROR(__xludf.DUMMYFUNCTION("GOOGLETRANSLATE(A3778,""en"",""pt"")"),"distintivo")</f>
        <v>distintivo</v>
      </c>
      <c r="G3778" s="69"/>
    </row>
    <row r="3779" ht="22.5" customHeight="1">
      <c r="A3779" s="66" t="s">
        <v>4729</v>
      </c>
      <c r="B3779" s="67" t="str">
        <f t="shared" si="16"/>
        <v>M: profile</v>
      </c>
      <c r="C3779" s="68"/>
      <c r="D3779" s="68">
        <v>46127.0</v>
      </c>
      <c r="E3779" s="66">
        <v>7.0</v>
      </c>
      <c r="F3779" s="66" t="str">
        <f>IFERROR(__xludf.DUMMYFUNCTION("GOOGLETRANSLATE(A3779,""en"",""pt"")"),"perfil")</f>
        <v>perfil</v>
      </c>
      <c r="G3779" s="69"/>
    </row>
    <row r="3780" ht="22.5" customHeight="1">
      <c r="A3780" s="66" t="s">
        <v>4730</v>
      </c>
      <c r="B3780" s="67" t="str">
        <f t="shared" si="16"/>
        <v>M: ounces</v>
      </c>
      <c r="C3780" s="68"/>
      <c r="D3780" s="68">
        <v>46127.0</v>
      </c>
      <c r="E3780" s="66">
        <v>8.0</v>
      </c>
      <c r="F3780" s="66" t="str">
        <f>IFERROR(__xludf.DUMMYFUNCTION("GOOGLETRANSLATE(A3780,""en"",""pt"")"),"onças")</f>
        <v>onças</v>
      </c>
      <c r="G3780" s="69"/>
    </row>
    <row r="3781" ht="22.5" customHeight="1">
      <c r="A3781" s="66" t="s">
        <v>4731</v>
      </c>
      <c r="B3781" s="67" t="str">
        <f t="shared" si="16"/>
        <v>M: recipe</v>
      </c>
      <c r="C3781" s="68"/>
      <c r="D3781" s="68">
        <v>46127.0</v>
      </c>
      <c r="E3781" s="66">
        <v>9.0</v>
      </c>
      <c r="F3781" s="66" t="str">
        <f>IFERROR(__xludf.DUMMYFUNCTION("GOOGLETRANSLATE(A3781,""en"",""pt"")"),"receita")</f>
        <v>receita</v>
      </c>
      <c r="G3781" s="69"/>
    </row>
    <row r="3782" ht="22.5" customHeight="1">
      <c r="A3782" s="66" t="s">
        <v>4732</v>
      </c>
      <c r="B3782" s="67" t="str">
        <f t="shared" si="16"/>
        <v>M: one</v>
      </c>
      <c r="C3782" s="68"/>
      <c r="D3782" s="68">
        <v>46128.0</v>
      </c>
      <c r="E3782" s="66">
        <v>10.0</v>
      </c>
      <c r="F3782" s="66" t="str">
        <f>IFERROR(__xludf.DUMMYFUNCTION("GOOGLETRANSLATE(A3782,""en"",""pt"")"),"um")</f>
        <v>um</v>
      </c>
      <c r="G3782" s="69"/>
    </row>
    <row r="3783" ht="22.5" customHeight="1">
      <c r="A3783" s="66" t="s">
        <v>4733</v>
      </c>
      <c r="B3783" s="67" t="str">
        <f t="shared" si="16"/>
        <v>M: two</v>
      </c>
      <c r="C3783" s="68"/>
      <c r="D3783" s="68">
        <v>46128.0</v>
      </c>
      <c r="E3783" s="66">
        <v>1.0</v>
      </c>
      <c r="F3783" s="66" t="str">
        <f>IFERROR(__xludf.DUMMYFUNCTION("GOOGLETRANSLATE(A3783,""en"",""pt"")"),"dois")</f>
        <v>dois</v>
      </c>
      <c r="G3783" s="69"/>
    </row>
    <row r="3784" ht="22.5" customHeight="1">
      <c r="A3784" s="66" t="s">
        <v>4734</v>
      </c>
      <c r="B3784" s="67" t="str">
        <f t="shared" si="16"/>
        <v>M: three</v>
      </c>
      <c r="C3784" s="68"/>
      <c r="D3784" s="68">
        <v>46128.0</v>
      </c>
      <c r="E3784" s="66">
        <v>2.0</v>
      </c>
      <c r="F3784" s="66" t="str">
        <f>IFERROR(__xludf.DUMMYFUNCTION("GOOGLETRANSLATE(A3784,""en"",""pt"")"),"três")</f>
        <v>três</v>
      </c>
      <c r="G3784" s="69"/>
    </row>
    <row r="3785" ht="22.5" customHeight="1">
      <c r="A3785" s="66" t="s">
        <v>4735</v>
      </c>
      <c r="B3785" s="67" t="str">
        <f t="shared" si="16"/>
        <v>M: four</v>
      </c>
      <c r="C3785" s="68"/>
      <c r="D3785" s="68">
        <v>46128.0</v>
      </c>
      <c r="E3785" s="66">
        <v>3.0</v>
      </c>
      <c r="F3785" s="66" t="str">
        <f>IFERROR(__xludf.DUMMYFUNCTION("GOOGLETRANSLATE(A3785,""en"",""pt"")"),"quatro")</f>
        <v>quatro</v>
      </c>
      <c r="G3785" s="69"/>
    </row>
    <row r="3786" ht="22.5" customHeight="1">
      <c r="A3786" s="66" t="s">
        <v>4736</v>
      </c>
      <c r="B3786" s="67" t="str">
        <f t="shared" si="16"/>
        <v>M: five</v>
      </c>
      <c r="C3786" s="68"/>
      <c r="D3786" s="68">
        <v>46128.0</v>
      </c>
      <c r="E3786" s="66">
        <v>4.0</v>
      </c>
      <c r="F3786" s="66" t="str">
        <f>IFERROR(__xludf.DUMMYFUNCTION("GOOGLETRANSLATE(A3786,""en"",""pt"")"),"cinco")</f>
        <v>cinco</v>
      </c>
      <c r="G3786" s="69"/>
    </row>
    <row r="3787" ht="22.5" customHeight="1">
      <c r="A3787" s="66" t="s">
        <v>4737</v>
      </c>
      <c r="B3787" s="67" t="str">
        <f t="shared" si="16"/>
        <v>M: six</v>
      </c>
      <c r="C3787" s="68"/>
      <c r="D3787" s="68">
        <v>46128.0</v>
      </c>
      <c r="E3787" s="66">
        <v>5.0</v>
      </c>
      <c r="F3787" s="66" t="str">
        <f>IFERROR(__xludf.DUMMYFUNCTION("GOOGLETRANSLATE(A3787,""en"",""pt"")"),"seis")</f>
        <v>seis</v>
      </c>
      <c r="G3787" s="69"/>
    </row>
    <row r="3788" ht="22.5" customHeight="1">
      <c r="A3788" s="66" t="s">
        <v>4738</v>
      </c>
      <c r="B3788" s="67" t="str">
        <f t="shared" si="16"/>
        <v>M: seven</v>
      </c>
      <c r="C3788" s="68"/>
      <c r="D3788" s="68">
        <v>46128.0</v>
      </c>
      <c r="E3788" s="66">
        <v>6.0</v>
      </c>
      <c r="F3788" s="66" t="str">
        <f>IFERROR(__xludf.DUMMYFUNCTION("GOOGLETRANSLATE(A3788,""en"",""pt"")"),"Sete")</f>
        <v>Sete</v>
      </c>
      <c r="G3788" s="69"/>
    </row>
    <row r="3789" ht="22.5" customHeight="1">
      <c r="A3789" s="66" t="s">
        <v>4739</v>
      </c>
      <c r="B3789" s="67" t="str">
        <f t="shared" si="16"/>
        <v>M: eight</v>
      </c>
      <c r="C3789" s="68"/>
      <c r="D3789" s="68">
        <v>46128.0</v>
      </c>
      <c r="E3789" s="66">
        <v>7.0</v>
      </c>
      <c r="F3789" s="66" t="str">
        <f>IFERROR(__xludf.DUMMYFUNCTION("GOOGLETRANSLATE(A3789,""en"",""pt"")"),"oito")</f>
        <v>oito</v>
      </c>
      <c r="G3789" s="69"/>
    </row>
    <row r="3790" ht="22.5" customHeight="1">
      <c r="A3790" s="66" t="s">
        <v>4740</v>
      </c>
      <c r="B3790" s="67" t="str">
        <f t="shared" si="16"/>
        <v>M: nine</v>
      </c>
      <c r="C3790" s="68"/>
      <c r="D3790" s="68">
        <v>46128.0</v>
      </c>
      <c r="E3790" s="66">
        <v>8.0</v>
      </c>
      <c r="F3790" s="66" t="str">
        <f>IFERROR(__xludf.DUMMYFUNCTION("GOOGLETRANSLATE(A3790,""en"",""pt"")"),"nove")</f>
        <v>nove</v>
      </c>
      <c r="G3790" s="69"/>
    </row>
    <row r="3791" ht="22.5" customHeight="1">
      <c r="A3791" s="66" t="s">
        <v>4741</v>
      </c>
      <c r="B3791" s="67" t="str">
        <f t="shared" si="16"/>
        <v>M: ten</v>
      </c>
      <c r="C3791" s="68"/>
      <c r="D3791" s="68">
        <v>46128.0</v>
      </c>
      <c r="E3791" s="66">
        <v>9.0</v>
      </c>
      <c r="F3791" s="66" t="str">
        <f>IFERROR(__xludf.DUMMYFUNCTION("GOOGLETRANSLATE(A3791,""en"",""pt"")"),"dez")</f>
        <v>dez</v>
      </c>
      <c r="G3791" s="69"/>
    </row>
    <row r="3792" ht="22.5" customHeight="1">
      <c r="A3792" s="66" t="s">
        <v>4742</v>
      </c>
      <c r="B3792" s="67" t="str">
        <f t="shared" si="16"/>
        <v>M: eleven</v>
      </c>
      <c r="C3792" s="68"/>
      <c r="D3792" s="68">
        <v>46129.0</v>
      </c>
      <c r="E3792" s="66">
        <v>10.0</v>
      </c>
      <c r="F3792" s="66" t="str">
        <f>IFERROR(__xludf.DUMMYFUNCTION("GOOGLETRANSLATE(A3792,""en"",""pt"")"),"onze")</f>
        <v>onze</v>
      </c>
      <c r="G3792" s="69"/>
    </row>
    <row r="3793" ht="22.5" customHeight="1">
      <c r="A3793" s="66" t="s">
        <v>4743</v>
      </c>
      <c r="B3793" s="67" t="str">
        <f t="shared" si="16"/>
        <v>M: twelve</v>
      </c>
      <c r="C3793" s="68"/>
      <c r="D3793" s="68">
        <v>46129.0</v>
      </c>
      <c r="E3793" s="66">
        <v>1.0</v>
      </c>
      <c r="F3793" s="66" t="str">
        <f>IFERROR(__xludf.DUMMYFUNCTION("GOOGLETRANSLATE(A3793,""en"",""pt"")"),"doze")</f>
        <v>doze</v>
      </c>
      <c r="G3793" s="69"/>
    </row>
    <row r="3794" ht="22.5" customHeight="1">
      <c r="A3794" s="66" t="s">
        <v>4744</v>
      </c>
      <c r="B3794" s="67" t="str">
        <f t="shared" si="16"/>
        <v>M: thirteen</v>
      </c>
      <c r="C3794" s="68"/>
      <c r="D3794" s="68">
        <v>46129.0</v>
      </c>
      <c r="E3794" s="66">
        <v>2.0</v>
      </c>
      <c r="F3794" s="66" t="str">
        <f>IFERROR(__xludf.DUMMYFUNCTION("GOOGLETRANSLATE(A3794,""en"",""pt"")"),"treze")</f>
        <v>treze</v>
      </c>
      <c r="G3794" s="69"/>
    </row>
    <row r="3795" ht="22.5" customHeight="1">
      <c r="A3795" s="66" t="s">
        <v>4745</v>
      </c>
      <c r="B3795" s="67" t="str">
        <f t="shared" si="16"/>
        <v>M: fourteen</v>
      </c>
      <c r="C3795" s="68"/>
      <c r="D3795" s="68">
        <v>46129.0</v>
      </c>
      <c r="E3795" s="66">
        <v>3.0</v>
      </c>
      <c r="F3795" s="66" t="str">
        <f>IFERROR(__xludf.DUMMYFUNCTION("GOOGLETRANSLATE(A3795,""en"",""pt"")"),"catorze")</f>
        <v>catorze</v>
      </c>
      <c r="G3795" s="69"/>
    </row>
    <row r="3796" ht="22.5" customHeight="1">
      <c r="A3796" s="66" t="s">
        <v>4746</v>
      </c>
      <c r="B3796" s="67" t="str">
        <f t="shared" si="16"/>
        <v>M: fifteen</v>
      </c>
      <c r="C3796" s="68"/>
      <c r="D3796" s="68">
        <v>46129.0</v>
      </c>
      <c r="E3796" s="66">
        <v>4.0</v>
      </c>
      <c r="F3796" s="66" t="str">
        <f>IFERROR(__xludf.DUMMYFUNCTION("GOOGLETRANSLATE(A3796,""en"",""pt"")"),"quinze")</f>
        <v>quinze</v>
      </c>
      <c r="G3796" s="69"/>
    </row>
    <row r="3797" ht="22.5" customHeight="1">
      <c r="A3797" s="66" t="s">
        <v>4747</v>
      </c>
      <c r="B3797" s="67" t="str">
        <f t="shared" si="16"/>
        <v>M: sixteen</v>
      </c>
      <c r="C3797" s="68"/>
      <c r="D3797" s="68">
        <v>46129.0</v>
      </c>
      <c r="E3797" s="66">
        <v>5.0</v>
      </c>
      <c r="F3797" s="66" t="str">
        <f>IFERROR(__xludf.DUMMYFUNCTION("GOOGLETRANSLATE(A3797,""en"",""pt"")"),"dezesseis")</f>
        <v>dezesseis</v>
      </c>
      <c r="G3797" s="69"/>
    </row>
    <row r="3798" ht="22.5" customHeight="1">
      <c r="A3798" s="66" t="s">
        <v>4748</v>
      </c>
      <c r="B3798" s="67" t="str">
        <f t="shared" si="16"/>
        <v>M: seventeen</v>
      </c>
      <c r="C3798" s="68"/>
      <c r="D3798" s="68">
        <v>46129.0</v>
      </c>
      <c r="E3798" s="66">
        <v>6.0</v>
      </c>
      <c r="F3798" s="66" t="str">
        <f>IFERROR(__xludf.DUMMYFUNCTION("GOOGLETRANSLATE(A3798,""en"",""pt"")"),"dezessete")</f>
        <v>dezessete</v>
      </c>
      <c r="G3798" s="69"/>
    </row>
    <row r="3799" ht="22.5" customHeight="1">
      <c r="A3799" s="66" t="s">
        <v>4749</v>
      </c>
      <c r="B3799" s="67" t="str">
        <f t="shared" si="16"/>
        <v>M: eighteen</v>
      </c>
      <c r="C3799" s="68"/>
      <c r="D3799" s="68">
        <v>46129.0</v>
      </c>
      <c r="E3799" s="66">
        <v>7.0</v>
      </c>
      <c r="F3799" s="66" t="str">
        <f>IFERROR(__xludf.DUMMYFUNCTION("GOOGLETRANSLATE(A3799,""en"",""pt"")"),"dezoito")</f>
        <v>dezoito</v>
      </c>
      <c r="G3799" s="69"/>
    </row>
    <row r="3800" ht="22.5" customHeight="1">
      <c r="A3800" s="66" t="s">
        <v>4750</v>
      </c>
      <c r="B3800" s="67" t="str">
        <f t="shared" si="16"/>
        <v>M: nineteen</v>
      </c>
      <c r="C3800" s="68"/>
      <c r="D3800" s="68">
        <v>46129.0</v>
      </c>
      <c r="E3800" s="66">
        <v>8.0</v>
      </c>
      <c r="F3800" s="66" t="str">
        <f>IFERROR(__xludf.DUMMYFUNCTION("GOOGLETRANSLATE(A3800,""en"",""pt"")"),"dezenove")</f>
        <v>dezenove</v>
      </c>
      <c r="G3800" s="69"/>
    </row>
    <row r="3801" ht="22.5" customHeight="1">
      <c r="A3801" s="66" t="s">
        <v>4751</v>
      </c>
      <c r="B3801" s="67" t="str">
        <f t="shared" si="16"/>
        <v>M: twenty</v>
      </c>
      <c r="C3801" s="68"/>
      <c r="D3801" s="68">
        <v>46129.0</v>
      </c>
      <c r="E3801" s="66">
        <v>9.0</v>
      </c>
      <c r="F3801" s="66" t="str">
        <f>IFERROR(__xludf.DUMMYFUNCTION("GOOGLETRANSLATE(A3801,""en"",""pt"")"),"vinte")</f>
        <v>vinte</v>
      </c>
      <c r="G3801" s="69"/>
    </row>
    <row r="3802" ht="22.5" customHeight="1">
      <c r="A3802" s="66" t="s">
        <v>4752</v>
      </c>
      <c r="B3802" s="67" t="str">
        <f t="shared" si="16"/>
        <v>M: Thirty</v>
      </c>
      <c r="C3802" s="68"/>
      <c r="D3802" s="68">
        <v>46130.0</v>
      </c>
      <c r="E3802" s="66">
        <v>10.0</v>
      </c>
      <c r="F3802" s="66" t="str">
        <f>IFERROR(__xludf.DUMMYFUNCTION("GOOGLETRANSLATE(A3802,""en"",""pt"")"),"Trinta")</f>
        <v>Trinta</v>
      </c>
      <c r="G3802" s="69"/>
    </row>
    <row r="3803" ht="22.5" customHeight="1">
      <c r="A3803" s="66" t="s">
        <v>4753</v>
      </c>
      <c r="B3803" s="67" t="str">
        <f t="shared" si="16"/>
        <v>M: Forty</v>
      </c>
      <c r="C3803" s="68"/>
      <c r="D3803" s="68">
        <v>46130.0</v>
      </c>
      <c r="E3803" s="66">
        <v>1.0</v>
      </c>
      <c r="F3803" s="66" t="str">
        <f>IFERROR(__xludf.DUMMYFUNCTION("GOOGLETRANSLATE(A3803,""en"",""pt"")"),"Quarenta")</f>
        <v>Quarenta</v>
      </c>
      <c r="G3803" s="69"/>
    </row>
    <row r="3804" ht="22.5" customHeight="1">
      <c r="A3804" s="66" t="s">
        <v>4754</v>
      </c>
      <c r="B3804" s="67" t="str">
        <f t="shared" si="16"/>
        <v>M: Fifty</v>
      </c>
      <c r="C3804" s="68"/>
      <c r="D3804" s="68">
        <v>46130.0</v>
      </c>
      <c r="E3804" s="66">
        <v>2.0</v>
      </c>
      <c r="F3804" s="66" t="str">
        <f>IFERROR(__xludf.DUMMYFUNCTION("GOOGLETRANSLATE(A3804,""en"",""pt"")"),"Cinqüenta")</f>
        <v>Cinqüenta</v>
      </c>
      <c r="G3804" s="69"/>
    </row>
    <row r="3805" ht="22.5" customHeight="1">
      <c r="A3805" s="66" t="s">
        <v>4755</v>
      </c>
      <c r="B3805" s="67" t="str">
        <f t="shared" si="16"/>
        <v>M: Sixty</v>
      </c>
      <c r="C3805" s="68"/>
      <c r="D3805" s="68">
        <v>46130.0</v>
      </c>
      <c r="E3805" s="66">
        <v>3.0</v>
      </c>
      <c r="F3805" s="66" t="str">
        <f>IFERROR(__xludf.DUMMYFUNCTION("GOOGLETRANSLATE(A3805,""en"",""pt"")"),"Sessenta")</f>
        <v>Sessenta</v>
      </c>
      <c r="G3805" s="69"/>
    </row>
    <row r="3806" ht="22.5" customHeight="1">
      <c r="A3806" s="66" t="s">
        <v>4756</v>
      </c>
      <c r="B3806" s="67" t="str">
        <f t="shared" si="16"/>
        <v>M: Seventy</v>
      </c>
      <c r="C3806" s="68"/>
      <c r="D3806" s="68">
        <v>46130.0</v>
      </c>
      <c r="E3806" s="66">
        <v>4.0</v>
      </c>
      <c r="F3806" s="66" t="str">
        <f>IFERROR(__xludf.DUMMYFUNCTION("GOOGLETRANSLATE(A3806,""en"",""pt"")"),"Setenta")</f>
        <v>Setenta</v>
      </c>
      <c r="G3806" s="69"/>
    </row>
    <row r="3807" ht="22.5" customHeight="1">
      <c r="A3807" s="66" t="s">
        <v>4757</v>
      </c>
      <c r="B3807" s="67" t="str">
        <f t="shared" si="16"/>
        <v>M: Eighty</v>
      </c>
      <c r="C3807" s="68"/>
      <c r="D3807" s="68">
        <v>46130.0</v>
      </c>
      <c r="E3807" s="66">
        <v>5.0</v>
      </c>
      <c r="F3807" s="66" t="str">
        <f>IFERROR(__xludf.DUMMYFUNCTION("GOOGLETRANSLATE(A3807,""en"",""pt"")"),"Oitenta")</f>
        <v>Oitenta</v>
      </c>
      <c r="G3807" s="69"/>
    </row>
    <row r="3808" ht="22.5" customHeight="1">
      <c r="A3808" s="66" t="s">
        <v>4758</v>
      </c>
      <c r="B3808" s="67" t="str">
        <f t="shared" si="16"/>
        <v>M: Ninety</v>
      </c>
      <c r="C3808" s="68"/>
      <c r="D3808" s="68">
        <v>46130.0</v>
      </c>
      <c r="E3808" s="66">
        <v>6.0</v>
      </c>
      <c r="F3808" s="66" t="str">
        <f>IFERROR(__xludf.DUMMYFUNCTION("GOOGLETRANSLATE(A3808,""en"",""pt"")"),"Noventa")</f>
        <v>Noventa</v>
      </c>
      <c r="G3808" s="69"/>
    </row>
    <row r="3809" ht="22.5" customHeight="1">
      <c r="A3809" s="66" t="s">
        <v>4759</v>
      </c>
      <c r="B3809" s="67" t="str">
        <f t="shared" si="16"/>
        <v>M: One hundred</v>
      </c>
      <c r="C3809" s="68"/>
      <c r="D3809" s="68">
        <v>46130.0</v>
      </c>
      <c r="E3809" s="66">
        <v>7.0</v>
      </c>
      <c r="F3809" s="66" t="str">
        <f>IFERROR(__xludf.DUMMYFUNCTION("GOOGLETRANSLATE(A3809,""en"",""pt"")"),"Cem")</f>
        <v>Cem</v>
      </c>
      <c r="G3809" s="69"/>
    </row>
    <row r="3810" ht="22.5" customHeight="1">
      <c r="A3810" s="66" t="s">
        <v>4760</v>
      </c>
      <c r="B3810" s="67" t="str">
        <f t="shared" si="16"/>
        <v>M: thousand</v>
      </c>
      <c r="C3810" s="68"/>
      <c r="D3810" s="68">
        <v>46130.0</v>
      </c>
      <c r="E3810" s="66">
        <v>8.0</v>
      </c>
      <c r="F3810" s="66" t="str">
        <f>IFERROR(__xludf.DUMMYFUNCTION("GOOGLETRANSLATE(A3810,""en"",""pt"")"),"mil")</f>
        <v>mil</v>
      </c>
      <c r="G3810" s="69"/>
    </row>
    <row r="3811" ht="22.5" customHeight="1">
      <c r="A3811" s="66" t="s">
        <v>4761</v>
      </c>
      <c r="B3811" s="67" t="str">
        <f t="shared" si="16"/>
        <v>M: million</v>
      </c>
      <c r="C3811" s="68"/>
      <c r="D3811" s="68">
        <v>46130.0</v>
      </c>
      <c r="E3811" s="66">
        <v>9.0</v>
      </c>
      <c r="F3811" s="66" t="str">
        <f>IFERROR(__xludf.DUMMYFUNCTION("GOOGLETRANSLATE(A3811,""en"",""pt"")"),"milhão")</f>
        <v>milhão</v>
      </c>
      <c r="G3811" s="69"/>
    </row>
    <row r="3812" ht="22.5" customHeight="1">
      <c r="A3812" s="66" t="s">
        <v>4762</v>
      </c>
      <c r="B3812" s="67" t="str">
        <f t="shared" si="16"/>
        <v>M: billion</v>
      </c>
      <c r="C3812" s="68"/>
      <c r="D3812" s="68">
        <v>46131.0</v>
      </c>
      <c r="E3812" s="66">
        <v>10.0</v>
      </c>
      <c r="F3812" s="66" t="str">
        <f>IFERROR(__xludf.DUMMYFUNCTION("GOOGLETRANSLATE(A3812,""en"",""pt"")"),"bilhões")</f>
        <v>bilhões</v>
      </c>
      <c r="G3812" s="69"/>
    </row>
    <row r="3813" ht="22.5" customHeight="1">
      <c r="A3813" s="66" t="s">
        <v>280</v>
      </c>
      <c r="B3813" s="67" t="str">
        <f t="shared" si="16"/>
        <v>M: notices</v>
      </c>
      <c r="C3813" s="66">
        <v>2.0</v>
      </c>
      <c r="D3813" s="68">
        <v>46131.0</v>
      </c>
      <c r="E3813" s="66">
        <v>1.0</v>
      </c>
      <c r="F3813" s="66" t="s">
        <v>4763</v>
      </c>
      <c r="G3813" s="66" t="s">
        <v>247</v>
      </c>
    </row>
    <row r="3814" ht="22.5" customHeight="1">
      <c r="A3814" s="66" t="s">
        <v>280</v>
      </c>
      <c r="B3814" s="67" t="str">
        <f t="shared" si="16"/>
        <v>M: notices</v>
      </c>
      <c r="C3814" s="66">
        <v>3.0</v>
      </c>
      <c r="D3814" s="68">
        <v>46131.0</v>
      </c>
      <c r="E3814" s="66">
        <v>2.0</v>
      </c>
      <c r="F3814" s="71" t="s">
        <v>4764</v>
      </c>
      <c r="G3814" s="66" t="s">
        <v>247</v>
      </c>
    </row>
    <row r="3815" ht="22.5" customHeight="1">
      <c r="A3815" s="66" t="s">
        <v>4765</v>
      </c>
      <c r="B3815" s="67" t="str">
        <f t="shared" si="16"/>
        <v>M: posts</v>
      </c>
      <c r="C3815" s="68"/>
      <c r="D3815" s="68">
        <v>46131.0</v>
      </c>
      <c r="E3815" s="66">
        <v>3.0</v>
      </c>
      <c r="F3815" s="66" t="str">
        <f>IFERROR(__xludf.DUMMYFUNCTION("GOOGLETRANSLATE(A3815,""en"",""pt"")"),"postagens")</f>
        <v>postagens</v>
      </c>
      <c r="G3815" s="69"/>
    </row>
    <row r="3816" ht="22.5" customHeight="1">
      <c r="A3816" s="66" t="s">
        <v>4766</v>
      </c>
      <c r="B3816" s="67" t="str">
        <f t="shared" si="16"/>
        <v>M: reads</v>
      </c>
      <c r="C3816" s="68"/>
      <c r="D3816" s="68">
        <v>46131.0</v>
      </c>
      <c r="E3816" s="66">
        <v>4.0</v>
      </c>
      <c r="F3816" s="66" t="str">
        <f>IFERROR(__xludf.DUMMYFUNCTION("GOOGLETRANSLATE(A3816,""en"",""pt"")"),"lê")</f>
        <v>lê</v>
      </c>
      <c r="G3816" s="69"/>
    </row>
    <row r="3817" ht="22.5" customHeight="1">
      <c r="A3817" s="66" t="s">
        <v>4767</v>
      </c>
      <c r="B3817" s="67" t="str">
        <f t="shared" si="16"/>
        <v>M: carefully</v>
      </c>
      <c r="C3817" s="68"/>
      <c r="D3817" s="68">
        <v>46131.0</v>
      </c>
      <c r="E3817" s="66">
        <v>5.0</v>
      </c>
      <c r="F3817" s="66" t="str">
        <f>IFERROR(__xludf.DUMMYFUNCTION("GOOGLETRANSLATE(A3817,""en"",""pt"")"),"com cuidado")</f>
        <v>com cuidado</v>
      </c>
      <c r="G3817" s="69"/>
    </row>
    <row r="3818" ht="22.5" customHeight="1">
      <c r="A3818" s="66" t="s">
        <v>4768</v>
      </c>
      <c r="B3818" s="67" t="str">
        <f t="shared" si="16"/>
        <v>M: signing</v>
      </c>
      <c r="C3818" s="68"/>
      <c r="D3818" s="68">
        <v>46131.0</v>
      </c>
      <c r="E3818" s="66">
        <v>6.0</v>
      </c>
      <c r="F3818" s="66" t="str">
        <f>IFERROR(__xludf.DUMMYFUNCTION("GOOGLETRANSLATE(A3818,""en"",""pt"")"),"assinatura")</f>
        <v>assinatura</v>
      </c>
      <c r="G3818" s="69"/>
    </row>
    <row r="3819" ht="22.5" customHeight="1">
      <c r="A3819" s="66" t="s">
        <v>4769</v>
      </c>
      <c r="B3819" s="67" t="str">
        <f t="shared" si="16"/>
        <v>M: punctuation</v>
      </c>
      <c r="C3819" s="68"/>
      <c r="D3819" s="68">
        <v>46131.0</v>
      </c>
      <c r="E3819" s="66">
        <v>7.0</v>
      </c>
      <c r="F3819" s="66" t="str">
        <f>IFERROR(__xludf.DUMMYFUNCTION("GOOGLETRANSLATE(A3819,""en"",""pt"")"),"pontuação")</f>
        <v>pontuação</v>
      </c>
      <c r="G3819" s="69"/>
    </row>
    <row r="3820" ht="22.5" customHeight="1">
      <c r="A3820" s="66" t="s">
        <v>688</v>
      </c>
      <c r="B3820" s="67" t="str">
        <f t="shared" si="16"/>
        <v>M: whose</v>
      </c>
      <c r="C3820" s="66">
        <v>2.0</v>
      </c>
      <c r="D3820" s="68">
        <v>46131.0</v>
      </c>
      <c r="E3820" s="66">
        <v>8.0</v>
      </c>
      <c r="F3820" s="66" t="s">
        <v>4770</v>
      </c>
      <c r="G3820" s="66" t="s">
        <v>247</v>
      </c>
    </row>
    <row r="3821" ht="22.5" customHeight="1">
      <c r="A3821" s="66" t="s">
        <v>1411</v>
      </c>
      <c r="B3821" s="67" t="str">
        <f t="shared" si="16"/>
        <v>M: set them up</v>
      </c>
      <c r="C3821" s="66">
        <v>2.0</v>
      </c>
      <c r="D3821" s="68">
        <v>46131.0</v>
      </c>
      <c r="E3821" s="66">
        <v>9.0</v>
      </c>
      <c r="F3821" s="66" t="s">
        <v>4771</v>
      </c>
      <c r="G3821" s="66" t="s">
        <v>247</v>
      </c>
    </row>
    <row r="3822" ht="22.5" customHeight="1">
      <c r="A3822" s="66" t="s">
        <v>1411</v>
      </c>
      <c r="B3822" s="67" t="str">
        <f t="shared" si="16"/>
        <v>M: set them up</v>
      </c>
      <c r="C3822" s="66">
        <v>3.0</v>
      </c>
      <c r="D3822" s="68">
        <v>46132.0</v>
      </c>
      <c r="E3822" s="66">
        <v>10.0</v>
      </c>
      <c r="F3822" s="66" t="s">
        <v>4772</v>
      </c>
      <c r="G3822" s="66" t="s">
        <v>247</v>
      </c>
    </row>
    <row r="3823" ht="22.5" customHeight="1">
      <c r="A3823" s="66" t="s">
        <v>4773</v>
      </c>
      <c r="B3823" s="67" t="str">
        <f t="shared" si="16"/>
        <v>M: rack</v>
      </c>
      <c r="C3823" s="68"/>
      <c r="D3823" s="68">
        <v>46132.0</v>
      </c>
      <c r="E3823" s="66">
        <v>1.0</v>
      </c>
      <c r="F3823" s="66" t="str">
        <f>IFERROR(__xludf.DUMMYFUNCTION("GOOGLETRANSLATE(A3823,""en"",""pt"")"),"rack")</f>
        <v>rack</v>
      </c>
      <c r="G3823" s="69"/>
    </row>
    <row r="3824" ht="22.5" customHeight="1">
      <c r="A3824" s="66" t="s">
        <v>4774</v>
      </c>
      <c r="B3824" s="67" t="str">
        <f t="shared" si="16"/>
        <v>M: fall</v>
      </c>
      <c r="C3824" s="68"/>
      <c r="D3824" s="68">
        <v>46132.0</v>
      </c>
      <c r="E3824" s="66">
        <v>2.0</v>
      </c>
      <c r="F3824" s="66" t="str">
        <f>IFERROR(__xludf.DUMMYFUNCTION("GOOGLETRANSLATE(A3824,""en"",""pt"")"),"cair")</f>
        <v>cair</v>
      </c>
      <c r="G3824" s="69"/>
    </row>
    <row r="3825" ht="22.5" customHeight="1">
      <c r="A3825" s="66" t="s">
        <v>4775</v>
      </c>
      <c r="B3825" s="67" t="str">
        <f t="shared" si="16"/>
        <v>M: caught</v>
      </c>
      <c r="C3825" s="68"/>
      <c r="D3825" s="68">
        <v>46132.0</v>
      </c>
      <c r="E3825" s="66">
        <v>3.0</v>
      </c>
      <c r="F3825" s="66" t="str">
        <f>IFERROR(__xludf.DUMMYFUNCTION("GOOGLETRANSLATE(A3825,""en"",""pt"")"),"capturado")</f>
        <v>capturado</v>
      </c>
      <c r="G3825" s="69"/>
    </row>
    <row r="3826" ht="22.5" customHeight="1">
      <c r="A3826" s="66" t="s">
        <v>4776</v>
      </c>
      <c r="B3826" s="67" t="str">
        <f t="shared" si="16"/>
        <v>M: academic</v>
      </c>
      <c r="C3826" s="68"/>
      <c r="D3826" s="68">
        <v>46132.0</v>
      </c>
      <c r="E3826" s="66">
        <v>4.0</v>
      </c>
      <c r="F3826" s="66" t="str">
        <f>IFERROR(__xludf.DUMMYFUNCTION("GOOGLETRANSLATE(A3826,""en"",""pt"")"),"acadêmico")</f>
        <v>acadêmico</v>
      </c>
      <c r="G3826" s="69"/>
    </row>
    <row r="3827" ht="22.5" customHeight="1">
      <c r="A3827" s="66" t="s">
        <v>1143</v>
      </c>
      <c r="B3827" s="67" t="str">
        <f t="shared" si="16"/>
        <v>M: relentless </v>
      </c>
      <c r="C3827" s="66">
        <v>2.0</v>
      </c>
      <c r="D3827" s="68">
        <v>46132.0</v>
      </c>
      <c r="E3827" s="66">
        <v>5.0</v>
      </c>
      <c r="F3827" s="66" t="s">
        <v>4777</v>
      </c>
      <c r="G3827" s="66" t="s">
        <v>247</v>
      </c>
    </row>
    <row r="3828" ht="22.5" customHeight="1">
      <c r="A3828" s="66" t="s">
        <v>2381</v>
      </c>
      <c r="B3828" s="67" t="str">
        <f t="shared" si="16"/>
        <v>M: digs</v>
      </c>
      <c r="C3828" s="66">
        <v>2.0</v>
      </c>
      <c r="D3828" s="68">
        <v>46132.0</v>
      </c>
      <c r="E3828" s="66">
        <v>6.0</v>
      </c>
      <c r="F3828" s="66" t="s">
        <v>4778</v>
      </c>
      <c r="G3828" s="66" t="s">
        <v>247</v>
      </c>
    </row>
    <row r="3829" ht="22.5" customHeight="1">
      <c r="A3829" s="66" t="s">
        <v>2381</v>
      </c>
      <c r="B3829" s="67" t="str">
        <f t="shared" si="16"/>
        <v>M: digs</v>
      </c>
      <c r="C3829" s="66">
        <v>3.0</v>
      </c>
      <c r="D3829" s="68">
        <v>46132.0</v>
      </c>
      <c r="E3829" s="66">
        <v>7.0</v>
      </c>
      <c r="F3829" s="66" t="s">
        <v>4779</v>
      </c>
      <c r="G3829" s="66" t="s">
        <v>247</v>
      </c>
    </row>
    <row r="3830" ht="22.5" customHeight="1">
      <c r="A3830" s="66" t="s">
        <v>1059</v>
      </c>
      <c r="B3830" s="67" t="str">
        <f t="shared" si="16"/>
        <v>M: singling</v>
      </c>
      <c r="C3830" s="68"/>
      <c r="D3830" s="68">
        <v>46132.0</v>
      </c>
      <c r="E3830" s="66">
        <v>8.0</v>
      </c>
      <c r="F3830" s="66" t="s">
        <v>4780</v>
      </c>
      <c r="G3830" s="69"/>
    </row>
    <row r="3831" ht="22.5" customHeight="1">
      <c r="A3831" s="66" t="s">
        <v>4781</v>
      </c>
      <c r="B3831" s="67" t="str">
        <f t="shared" si="16"/>
        <v>M: cases</v>
      </c>
      <c r="C3831" s="68"/>
      <c r="D3831" s="68">
        <v>46132.0</v>
      </c>
      <c r="E3831" s="66">
        <v>9.0</v>
      </c>
      <c r="F3831" s="66" t="str">
        <f>IFERROR(__xludf.DUMMYFUNCTION("GOOGLETRANSLATE(A3831,""en"",""pt"")"),"casos")</f>
        <v>casos</v>
      </c>
      <c r="G3831" s="69"/>
    </row>
    <row r="3832" ht="22.5" customHeight="1">
      <c r="A3832" s="66" t="s">
        <v>4782</v>
      </c>
      <c r="B3832" s="67" t="str">
        <f t="shared" si="16"/>
        <v>M: log</v>
      </c>
      <c r="C3832" s="68"/>
      <c r="D3832" s="68">
        <v>46133.0</v>
      </c>
      <c r="E3832" s="66">
        <v>10.0</v>
      </c>
      <c r="F3832" s="66" t="str">
        <f>IFERROR(__xludf.DUMMYFUNCTION("GOOGLETRANSLATE(A3832,""en"",""pt"")"),"registro")</f>
        <v>registro</v>
      </c>
      <c r="G3832" s="69"/>
    </row>
    <row r="3833" ht="22.5" customHeight="1">
      <c r="A3833" s="66" t="s">
        <v>4783</v>
      </c>
      <c r="B3833" s="67" t="str">
        <f t="shared" si="16"/>
        <v>M: entries</v>
      </c>
      <c r="C3833" s="68"/>
      <c r="D3833" s="68">
        <v>46133.0</v>
      </c>
      <c r="E3833" s="66">
        <v>1.0</v>
      </c>
      <c r="F3833" s="66" t="str">
        <f>IFERROR(__xludf.DUMMYFUNCTION("GOOGLETRANSLATE(A3833,""en"",""pt"")"),"entradas")</f>
        <v>entradas</v>
      </c>
      <c r="G3833" s="69"/>
    </row>
    <row r="3834" ht="22.5" customHeight="1">
      <c r="A3834" s="66" t="s">
        <v>721</v>
      </c>
      <c r="B3834" s="67" t="str">
        <f t="shared" si="16"/>
        <v>M: went out </v>
      </c>
      <c r="C3834" s="66">
        <v>2.0</v>
      </c>
      <c r="D3834" s="68">
        <v>46133.0</v>
      </c>
      <c r="E3834" s="66">
        <v>2.0</v>
      </c>
      <c r="F3834" s="71" t="s">
        <v>4784</v>
      </c>
      <c r="G3834" s="66" t="s">
        <v>247</v>
      </c>
    </row>
    <row r="3835" ht="22.5" customHeight="1">
      <c r="A3835" s="66" t="s">
        <v>721</v>
      </c>
      <c r="B3835" s="67" t="str">
        <f t="shared" si="16"/>
        <v>M: went out </v>
      </c>
      <c r="C3835" s="66">
        <v>3.0</v>
      </c>
      <c r="D3835" s="68">
        <v>46133.0</v>
      </c>
      <c r="E3835" s="66">
        <v>3.0</v>
      </c>
      <c r="F3835" s="66" t="s">
        <v>4785</v>
      </c>
      <c r="G3835" s="66" t="s">
        <v>247</v>
      </c>
    </row>
    <row r="3836" ht="22.5" customHeight="1">
      <c r="A3836" s="66" t="s">
        <v>721</v>
      </c>
      <c r="B3836" s="67" t="str">
        <f t="shared" si="16"/>
        <v>M: went out </v>
      </c>
      <c r="C3836" s="66">
        <v>4.0</v>
      </c>
      <c r="D3836" s="68">
        <v>46133.0</v>
      </c>
      <c r="E3836" s="66">
        <v>4.0</v>
      </c>
      <c r="F3836" s="71" t="s">
        <v>4786</v>
      </c>
      <c r="G3836" s="66" t="s">
        <v>247</v>
      </c>
    </row>
    <row r="3837" ht="22.5" customHeight="1">
      <c r="A3837" s="66" t="s">
        <v>2227</v>
      </c>
      <c r="B3837" s="67" t="str">
        <f t="shared" si="16"/>
        <v>M: augments</v>
      </c>
      <c r="C3837" s="66">
        <v>2.0</v>
      </c>
      <c r="D3837" s="68">
        <v>46133.0</v>
      </c>
      <c r="E3837" s="66">
        <v>5.0</v>
      </c>
      <c r="F3837" s="71" t="s">
        <v>4787</v>
      </c>
      <c r="G3837" s="66" t="s">
        <v>247</v>
      </c>
    </row>
    <row r="3838" ht="22.5" customHeight="1">
      <c r="A3838" s="66" t="s">
        <v>388</v>
      </c>
      <c r="B3838" s="67" t="str">
        <f t="shared" si="16"/>
        <v>M: forward</v>
      </c>
      <c r="C3838" s="66">
        <v>2.0</v>
      </c>
      <c r="D3838" s="68">
        <v>46133.0</v>
      </c>
      <c r="E3838" s="66">
        <v>6.0</v>
      </c>
      <c r="F3838" s="71" t="s">
        <v>4788</v>
      </c>
      <c r="G3838" s="66" t="s">
        <v>247</v>
      </c>
    </row>
    <row r="3839" ht="22.5" customHeight="1">
      <c r="A3839" s="66" t="s">
        <v>388</v>
      </c>
      <c r="B3839" s="67" t="str">
        <f t="shared" si="16"/>
        <v>M: forward</v>
      </c>
      <c r="C3839" s="66">
        <v>3.0</v>
      </c>
      <c r="D3839" s="68">
        <v>46133.0</v>
      </c>
      <c r="E3839" s="66">
        <v>7.0</v>
      </c>
      <c r="F3839" s="71" t="s">
        <v>4789</v>
      </c>
      <c r="G3839" s="66" t="s">
        <v>247</v>
      </c>
    </row>
    <row r="3840" ht="22.5" customHeight="1">
      <c r="A3840" s="66" t="s">
        <v>388</v>
      </c>
      <c r="B3840" s="67" t="str">
        <f t="shared" si="16"/>
        <v>M: forward</v>
      </c>
      <c r="C3840" s="66">
        <v>4.0</v>
      </c>
      <c r="D3840" s="68">
        <v>46133.0</v>
      </c>
      <c r="E3840" s="66">
        <v>8.0</v>
      </c>
      <c r="F3840" s="71" t="s">
        <v>4790</v>
      </c>
      <c r="G3840" s="66" t="s">
        <v>247</v>
      </c>
    </row>
    <row r="3841" ht="22.5" customHeight="1">
      <c r="A3841" s="66" t="s">
        <v>4791</v>
      </c>
      <c r="B3841" s="67" t="str">
        <f t="shared" si="16"/>
        <v>M: faster</v>
      </c>
      <c r="C3841" s="68"/>
      <c r="D3841" s="68">
        <v>46133.0</v>
      </c>
      <c r="E3841" s="66">
        <v>9.0</v>
      </c>
      <c r="F3841" s="66" t="str">
        <f>IFERROR(__xludf.DUMMYFUNCTION("GOOGLETRANSLATE(A3841,""en"",""pt"")"),"mais rápido")</f>
        <v>mais rápido</v>
      </c>
      <c r="G3841" s="69"/>
    </row>
    <row r="3842" ht="22.5" customHeight="1">
      <c r="A3842" s="66" t="s">
        <v>4792</v>
      </c>
      <c r="B3842" s="67" t="str">
        <f t="shared" si="16"/>
        <v>M: bit</v>
      </c>
      <c r="C3842" s="68"/>
      <c r="D3842" s="68">
        <v>46134.0</v>
      </c>
      <c r="E3842" s="66">
        <v>10.0</v>
      </c>
      <c r="F3842" s="66" t="str">
        <f>IFERROR(__xludf.DUMMYFUNCTION("GOOGLETRANSLATE(A3842,""en"",""pt"")"),"pedaço")</f>
        <v>pedaço</v>
      </c>
      <c r="G3842" s="69"/>
    </row>
    <row r="3843" ht="22.5" customHeight="1">
      <c r="A3843" s="66" t="s">
        <v>4793</v>
      </c>
      <c r="B3843" s="67" t="str">
        <f t="shared" si="16"/>
        <v>M: asking</v>
      </c>
      <c r="C3843" s="68"/>
      <c r="D3843" s="68">
        <v>46134.0</v>
      </c>
      <c r="E3843" s="66">
        <v>1.0</v>
      </c>
      <c r="F3843" s="66" t="str">
        <f>IFERROR(__xludf.DUMMYFUNCTION("GOOGLETRANSLATE(A3843,""en"",""pt"")"),"perguntando")</f>
        <v>perguntando</v>
      </c>
      <c r="G3843" s="69"/>
    </row>
    <row r="3844" ht="22.5" customHeight="1">
      <c r="A3844" s="66" t="s">
        <v>4794</v>
      </c>
      <c r="B3844" s="67" t="str">
        <f t="shared" si="16"/>
        <v>M: planned</v>
      </c>
      <c r="C3844" s="68"/>
      <c r="D3844" s="68">
        <v>46134.0</v>
      </c>
      <c r="E3844" s="66">
        <v>2.0</v>
      </c>
      <c r="F3844" s="66" t="str">
        <f>IFERROR(__xludf.DUMMYFUNCTION("GOOGLETRANSLATE(A3844,""en"",""pt"")"),"planejado")</f>
        <v>planejado</v>
      </c>
      <c r="G3844" s="69"/>
    </row>
    <row r="3845" ht="22.5" customHeight="1">
      <c r="A3845" s="66" t="s">
        <v>4795</v>
      </c>
      <c r="B3845" s="67" t="str">
        <f t="shared" si="16"/>
        <v>M: page</v>
      </c>
      <c r="C3845" s="68"/>
      <c r="D3845" s="68">
        <v>46134.0</v>
      </c>
      <c r="E3845" s="66">
        <v>3.0</v>
      </c>
      <c r="F3845" s="66" t="str">
        <f>IFERROR(__xludf.DUMMYFUNCTION("GOOGLETRANSLATE(A3845,""en"",""pt"")"),"página")</f>
        <v>página</v>
      </c>
      <c r="G3845" s="69"/>
    </row>
    <row r="3846" ht="22.5" customHeight="1">
      <c r="A3846" s="70" t="s">
        <v>767</v>
      </c>
      <c r="B3846" s="67" t="str">
        <f t="shared" si="16"/>
        <v>M: taken away</v>
      </c>
      <c r="C3846" s="66">
        <v>2.0</v>
      </c>
      <c r="D3846" s="68">
        <v>46134.0</v>
      </c>
      <c r="E3846" s="66">
        <v>4.0</v>
      </c>
      <c r="F3846" s="71" t="s">
        <v>4796</v>
      </c>
      <c r="G3846" s="66" t="s">
        <v>247</v>
      </c>
    </row>
    <row r="3847" ht="22.5" customHeight="1">
      <c r="A3847" s="70" t="s">
        <v>767</v>
      </c>
      <c r="B3847" s="67" t="str">
        <f t="shared" si="16"/>
        <v>M: taken away</v>
      </c>
      <c r="C3847" s="66">
        <v>3.0</v>
      </c>
      <c r="D3847" s="68">
        <v>46134.0</v>
      </c>
      <c r="E3847" s="66">
        <v>5.0</v>
      </c>
      <c r="F3847" s="66" t="s">
        <v>4797</v>
      </c>
      <c r="G3847" s="66" t="s">
        <v>247</v>
      </c>
    </row>
    <row r="3848" ht="22.5" customHeight="1">
      <c r="A3848" s="70" t="s">
        <v>767</v>
      </c>
      <c r="B3848" s="67" t="str">
        <f t="shared" si="16"/>
        <v>M: taken away</v>
      </c>
      <c r="C3848" s="66">
        <v>4.0</v>
      </c>
      <c r="D3848" s="68">
        <v>46134.0</v>
      </c>
      <c r="E3848" s="66">
        <v>6.0</v>
      </c>
      <c r="F3848" s="71" t="s">
        <v>4798</v>
      </c>
      <c r="G3848" s="66" t="s">
        <v>247</v>
      </c>
    </row>
    <row r="3849" ht="22.5" customHeight="1">
      <c r="A3849" s="66" t="s">
        <v>4799</v>
      </c>
      <c r="B3849" s="67" t="str">
        <f t="shared" si="16"/>
        <v>M: access</v>
      </c>
      <c r="C3849" s="68"/>
      <c r="D3849" s="68">
        <v>46134.0</v>
      </c>
      <c r="E3849" s="66">
        <v>7.0</v>
      </c>
      <c r="F3849" s="66" t="str">
        <f>IFERROR(__xludf.DUMMYFUNCTION("GOOGLETRANSLATE(A3849,""en"",""pt"")"),"acesso")</f>
        <v>acesso</v>
      </c>
      <c r="G3849" s="69"/>
    </row>
    <row r="3850" ht="22.5" customHeight="1">
      <c r="A3850" s="66" t="s">
        <v>4800</v>
      </c>
      <c r="B3850" s="67" t="str">
        <f t="shared" si="16"/>
        <v>M: trash</v>
      </c>
      <c r="C3850" s="68"/>
      <c r="D3850" s="68">
        <v>46134.0</v>
      </c>
      <c r="E3850" s="66">
        <v>8.0</v>
      </c>
      <c r="F3850" s="66" t="str">
        <f>IFERROR(__xludf.DUMMYFUNCTION("GOOGLETRANSLATE(A3850,""en"",""pt"")"),"lixo")</f>
        <v>lixo</v>
      </c>
      <c r="G3850" s="69"/>
    </row>
    <row r="3851" ht="22.5" customHeight="1">
      <c r="A3851" s="66" t="s">
        <v>4801</v>
      </c>
      <c r="B3851" s="67" t="str">
        <f t="shared" si="16"/>
        <v>M: bug</v>
      </c>
      <c r="C3851" s="68"/>
      <c r="D3851" s="68">
        <v>46134.0</v>
      </c>
      <c r="E3851" s="66">
        <v>9.0</v>
      </c>
      <c r="F3851" s="66" t="str">
        <f>IFERROR(__xludf.DUMMYFUNCTION("GOOGLETRANSLATE(A3851,""en"",""pt"")"),"erro")</f>
        <v>erro</v>
      </c>
      <c r="G3851" s="69"/>
    </row>
    <row r="3852" ht="22.5" customHeight="1">
      <c r="A3852" s="66" t="s">
        <v>4802</v>
      </c>
      <c r="B3852" s="67" t="str">
        <f t="shared" si="16"/>
        <v>M: units</v>
      </c>
      <c r="C3852" s="68"/>
      <c r="D3852" s="68">
        <v>46135.0</v>
      </c>
      <c r="E3852" s="66">
        <v>10.0</v>
      </c>
      <c r="F3852" s="66" t="str">
        <f>IFERROR(__xludf.DUMMYFUNCTION("GOOGLETRANSLATE(A3852,""en"",""pt"")"),"unidades")</f>
        <v>unidades</v>
      </c>
      <c r="G3852" s="69"/>
    </row>
    <row r="3853" ht="22.5" customHeight="1">
      <c r="A3853" s="66" t="s">
        <v>4803</v>
      </c>
      <c r="B3853" s="67" t="str">
        <f t="shared" si="16"/>
        <v>M: lesson</v>
      </c>
      <c r="C3853" s="68"/>
      <c r="D3853" s="68">
        <v>46135.0</v>
      </c>
      <c r="E3853" s="66">
        <v>1.0</v>
      </c>
      <c r="F3853" s="66" t="str">
        <f>IFERROR(__xludf.DUMMYFUNCTION("GOOGLETRANSLATE(A3853,""en"",""pt"")"),"lição")</f>
        <v>lição</v>
      </c>
      <c r="G3853" s="69"/>
    </row>
    <row r="3854" ht="22.5" customHeight="1">
      <c r="A3854" s="66" t="s">
        <v>1927</v>
      </c>
      <c r="B3854" s="67" t="str">
        <f t="shared" si="16"/>
        <v>M: fairly</v>
      </c>
      <c r="C3854" s="66">
        <v>2.0</v>
      </c>
      <c r="D3854" s="68">
        <v>46135.0</v>
      </c>
      <c r="E3854" s="66">
        <v>2.0</v>
      </c>
      <c r="F3854" s="66" t="s">
        <v>4804</v>
      </c>
      <c r="G3854" s="66" t="s">
        <v>247</v>
      </c>
    </row>
    <row r="3855" ht="22.5" customHeight="1">
      <c r="A3855" s="66" t="s">
        <v>4805</v>
      </c>
      <c r="B3855" s="67" t="str">
        <f t="shared" si="16"/>
        <v>M: distributed</v>
      </c>
      <c r="C3855" s="68"/>
      <c r="D3855" s="68">
        <v>46135.0</v>
      </c>
      <c r="E3855" s="66">
        <v>3.0</v>
      </c>
      <c r="F3855" s="66" t="str">
        <f>IFERROR(__xludf.DUMMYFUNCTION("GOOGLETRANSLATE(A3855,""en"",""pt"")"),"distribuído")</f>
        <v>distribuído</v>
      </c>
      <c r="G3855" s="69"/>
    </row>
    <row r="3856" ht="22.5" customHeight="1">
      <c r="A3856" s="66" t="s">
        <v>4806</v>
      </c>
      <c r="B3856" s="67" t="str">
        <f t="shared" si="16"/>
        <v>M: among</v>
      </c>
      <c r="C3856" s="68"/>
      <c r="D3856" s="68">
        <v>46135.0</v>
      </c>
      <c r="E3856" s="66">
        <v>4.0</v>
      </c>
      <c r="F3856" s="66" t="str">
        <f>IFERROR(__xludf.DUMMYFUNCTION("GOOGLETRANSLATE(A3856,""en"",""pt"")"),"entre")</f>
        <v>entre</v>
      </c>
      <c r="G3856" s="69"/>
    </row>
    <row r="3857" ht="22.5" customHeight="1">
      <c r="A3857" s="66" t="s">
        <v>4807</v>
      </c>
      <c r="B3857" s="67" t="str">
        <f t="shared" si="16"/>
        <v>M: candidates</v>
      </c>
      <c r="C3857" s="68"/>
      <c r="D3857" s="68">
        <v>46135.0</v>
      </c>
      <c r="E3857" s="66">
        <v>5.0</v>
      </c>
      <c r="F3857" s="66" t="str">
        <f>IFERROR(__xludf.DUMMYFUNCTION("GOOGLETRANSLATE(A3857,""en"",""pt"")"),"candidatos")</f>
        <v>candidatos</v>
      </c>
      <c r="G3857" s="69"/>
    </row>
    <row r="3858" ht="22.5" customHeight="1">
      <c r="A3858" s="66" t="s">
        <v>4808</v>
      </c>
      <c r="B3858" s="67" t="str">
        <f t="shared" si="16"/>
        <v>M: judge</v>
      </c>
      <c r="C3858" s="68"/>
      <c r="D3858" s="68">
        <v>46135.0</v>
      </c>
      <c r="E3858" s="66">
        <v>6.0</v>
      </c>
      <c r="F3858" s="66" t="str">
        <f>IFERROR(__xludf.DUMMYFUNCTION("GOOGLETRANSLATE(A3858,""en"",""pt"")"),"juiz")</f>
        <v>juiz</v>
      </c>
      <c r="G3858" s="69"/>
    </row>
    <row r="3859" ht="22.5" customHeight="1">
      <c r="A3859" s="66" t="s">
        <v>4809</v>
      </c>
      <c r="B3859" s="67" t="str">
        <f t="shared" si="16"/>
        <v>M: need</v>
      </c>
      <c r="C3859" s="68"/>
      <c r="D3859" s="68">
        <v>46135.0</v>
      </c>
      <c r="E3859" s="66">
        <v>7.0</v>
      </c>
      <c r="F3859" s="66" t="str">
        <f>IFERROR(__xludf.DUMMYFUNCTION("GOOGLETRANSLATE(A3859,""en"",""pt"")"),"precisar")</f>
        <v>precisar</v>
      </c>
      <c r="G3859" s="69"/>
    </row>
    <row r="3860" ht="22.5" customHeight="1">
      <c r="A3860" s="66" t="s">
        <v>1777</v>
      </c>
      <c r="B3860" s="67" t="str">
        <f t="shared" si="16"/>
        <v>M: loafers</v>
      </c>
      <c r="C3860" s="66">
        <v>2.0</v>
      </c>
      <c r="D3860" s="68">
        <v>46135.0</v>
      </c>
      <c r="E3860" s="66">
        <v>8.0</v>
      </c>
      <c r="F3860" s="66" t="s">
        <v>4810</v>
      </c>
      <c r="G3860" s="66" t="s">
        <v>247</v>
      </c>
    </row>
    <row r="3861" ht="22.5" customHeight="1">
      <c r="A3861" s="66" t="s">
        <v>4811</v>
      </c>
      <c r="B3861" s="67" t="str">
        <f t="shared" si="16"/>
        <v>M: wears</v>
      </c>
      <c r="C3861" s="68"/>
      <c r="D3861" s="68">
        <v>46135.0</v>
      </c>
      <c r="E3861" s="66">
        <v>9.0</v>
      </c>
      <c r="F3861" s="66" t="str">
        <f>IFERROR(__xludf.DUMMYFUNCTION("GOOGLETRANSLATE(A3861,""en"",""pt"")"),"usa")</f>
        <v>usa</v>
      </c>
      <c r="G3861" s="69"/>
    </row>
    <row r="3862" ht="22.5" customHeight="1">
      <c r="A3862" s="66" t="s">
        <v>4812</v>
      </c>
      <c r="B3862" s="67" t="str">
        <f t="shared" si="16"/>
        <v>M: polish</v>
      </c>
      <c r="C3862" s="68"/>
      <c r="D3862" s="68">
        <v>46136.0</v>
      </c>
      <c r="E3862" s="66">
        <v>10.0</v>
      </c>
      <c r="F3862" s="66" t="str">
        <f>IFERROR(__xludf.DUMMYFUNCTION("GOOGLETRANSLATE(A3862,""en"",""pt"")"),"polonês")</f>
        <v>polonês</v>
      </c>
      <c r="G3862" s="69"/>
    </row>
    <row r="3863" ht="22.5" customHeight="1">
      <c r="A3863" s="66" t="s">
        <v>4813</v>
      </c>
      <c r="B3863" s="67" t="str">
        <f t="shared" si="16"/>
        <v>M: dev</v>
      </c>
      <c r="C3863" s="68"/>
      <c r="D3863" s="68">
        <v>46136.0</v>
      </c>
      <c r="E3863" s="66">
        <v>1.0</v>
      </c>
      <c r="F3863" s="66" t="str">
        <f>IFERROR(__xludf.DUMMYFUNCTION("GOOGLETRANSLATE(A3863,""en"",""pt"")"),"desenvolvedor")</f>
        <v>desenvolvedor</v>
      </c>
      <c r="G3863" s="69"/>
    </row>
    <row r="3864" ht="22.5" customHeight="1">
      <c r="A3864" s="66" t="s">
        <v>4814</v>
      </c>
      <c r="B3864" s="67" t="str">
        <f t="shared" si="16"/>
        <v>M: want</v>
      </c>
      <c r="C3864" s="68"/>
      <c r="D3864" s="68">
        <v>46136.0</v>
      </c>
      <c r="E3864" s="66">
        <v>2.0</v>
      </c>
      <c r="F3864" s="66" t="str">
        <f>IFERROR(__xludf.DUMMYFUNCTION("GOOGLETRANSLATE(A3864,""en"",""pt"")"),"querer")</f>
        <v>querer</v>
      </c>
      <c r="G3864" s="69"/>
    </row>
    <row r="3865" ht="22.5" customHeight="1">
      <c r="A3865" s="66" t="s">
        <v>816</v>
      </c>
      <c r="B3865" s="67" t="str">
        <f t="shared" si="16"/>
        <v>M: relatives</v>
      </c>
      <c r="C3865" s="66">
        <v>2.0</v>
      </c>
      <c r="D3865" s="68">
        <v>46136.0</v>
      </c>
      <c r="E3865" s="66">
        <v>3.0</v>
      </c>
      <c r="F3865" s="66" t="s">
        <v>4815</v>
      </c>
      <c r="G3865" s="66" t="s">
        <v>247</v>
      </c>
    </row>
    <row r="3866" ht="22.5" customHeight="1">
      <c r="A3866" s="66" t="s">
        <v>816</v>
      </c>
      <c r="B3866" s="67" t="str">
        <f t="shared" si="16"/>
        <v>M: relatives</v>
      </c>
      <c r="C3866" s="66">
        <v>3.0</v>
      </c>
      <c r="D3866" s="68">
        <v>46136.0</v>
      </c>
      <c r="E3866" s="66">
        <v>4.0</v>
      </c>
      <c r="F3866" s="71" t="s">
        <v>4816</v>
      </c>
      <c r="G3866" s="66" t="s">
        <v>247</v>
      </c>
    </row>
    <row r="3867" ht="22.5" customHeight="1">
      <c r="A3867" s="66" t="s">
        <v>1292</v>
      </c>
      <c r="B3867" s="67" t="str">
        <f t="shared" si="16"/>
        <v>M: restraint</v>
      </c>
      <c r="C3867" s="66">
        <v>2.0</v>
      </c>
      <c r="D3867" s="68">
        <v>46136.0</v>
      </c>
      <c r="E3867" s="66">
        <v>5.0</v>
      </c>
      <c r="F3867" s="71" t="s">
        <v>4817</v>
      </c>
      <c r="G3867" s="66" t="s">
        <v>247</v>
      </c>
    </row>
    <row r="3868" ht="22.5" customHeight="1">
      <c r="A3868" s="66" t="s">
        <v>1292</v>
      </c>
      <c r="B3868" s="67" t="str">
        <f t="shared" si="16"/>
        <v>M: restraint</v>
      </c>
      <c r="C3868" s="66">
        <v>3.0</v>
      </c>
      <c r="D3868" s="68">
        <v>46136.0</v>
      </c>
      <c r="E3868" s="66">
        <v>6.0</v>
      </c>
      <c r="F3868" s="71" t="s">
        <v>4818</v>
      </c>
      <c r="G3868" s="66" t="s">
        <v>247</v>
      </c>
    </row>
    <row r="3869" ht="22.5" customHeight="1">
      <c r="A3869" s="66" t="s">
        <v>4819</v>
      </c>
      <c r="B3869" s="67" t="str">
        <f t="shared" si="16"/>
        <v>M: showed</v>
      </c>
      <c r="C3869" s="68"/>
      <c r="D3869" s="68">
        <v>46136.0</v>
      </c>
      <c r="E3869" s="66">
        <v>7.0</v>
      </c>
      <c r="F3869" s="66" t="str">
        <f>IFERROR(__xludf.DUMMYFUNCTION("GOOGLETRANSLATE(A3869,""en"",""pt"")"),"mostrou")</f>
        <v>mostrou</v>
      </c>
      <c r="G3869" s="69"/>
    </row>
    <row r="3870" ht="22.5" customHeight="1">
      <c r="A3870" s="66" t="s">
        <v>4820</v>
      </c>
      <c r="B3870" s="67" t="str">
        <f t="shared" si="16"/>
        <v>M: heated</v>
      </c>
      <c r="C3870" s="68"/>
      <c r="D3870" s="68">
        <v>46136.0</v>
      </c>
      <c r="E3870" s="66">
        <v>8.0</v>
      </c>
      <c r="F3870" s="66" t="str">
        <f>IFERROR(__xludf.DUMMYFUNCTION("GOOGLETRANSLATE(A3870,""en"",""pt"")"),"aquecido")</f>
        <v>aquecido</v>
      </c>
      <c r="G3870" s="69"/>
    </row>
    <row r="3871" ht="22.5" customHeight="1">
      <c r="A3871" s="66" t="s">
        <v>4821</v>
      </c>
      <c r="B3871" s="67" t="str">
        <f t="shared" si="16"/>
        <v>M: exercise</v>
      </c>
      <c r="C3871" s="68"/>
      <c r="D3871" s="68">
        <v>46136.0</v>
      </c>
      <c r="E3871" s="66">
        <v>9.0</v>
      </c>
      <c r="F3871" s="66" t="str">
        <f>IFERROR(__xludf.DUMMYFUNCTION("GOOGLETRANSLATE(A3871,""en"",""pt"")"),"exercício")</f>
        <v>exercício</v>
      </c>
      <c r="G3871" s="69"/>
    </row>
    <row r="3872" ht="22.5" customHeight="1">
      <c r="A3872" s="66" t="s">
        <v>4822</v>
      </c>
      <c r="B3872" s="67" t="str">
        <f t="shared" si="16"/>
        <v>M: giving</v>
      </c>
      <c r="C3872" s="68"/>
      <c r="D3872" s="68">
        <v>46137.0</v>
      </c>
      <c r="E3872" s="66">
        <v>10.0</v>
      </c>
      <c r="F3872" s="66" t="str">
        <f>IFERROR(__xludf.DUMMYFUNCTION("GOOGLETRANSLATE(A3872,""en"",""pt"")"),"dando")</f>
        <v>dando</v>
      </c>
      <c r="G3872" s="69"/>
    </row>
    <row r="3873" ht="22.5" customHeight="1">
      <c r="A3873" s="66" t="s">
        <v>4823</v>
      </c>
      <c r="B3873" s="67" t="str">
        <f t="shared" si="16"/>
        <v>M: feedback</v>
      </c>
      <c r="C3873" s="68"/>
      <c r="D3873" s="68">
        <v>46137.0</v>
      </c>
      <c r="E3873" s="66">
        <v>1.0</v>
      </c>
      <c r="F3873" s="66" t="str">
        <f>IFERROR(__xludf.DUMMYFUNCTION("GOOGLETRANSLATE(A3873,""en"",""pt"")"),"opinião")</f>
        <v>opinião</v>
      </c>
      <c r="G3873" s="69"/>
    </row>
    <row r="3874" ht="22.5" customHeight="1">
      <c r="A3874" s="66" t="s">
        <v>4824</v>
      </c>
      <c r="B3874" s="67" t="str">
        <f t="shared" si="16"/>
        <v>M: leader</v>
      </c>
      <c r="C3874" s="68"/>
      <c r="D3874" s="68">
        <v>46137.0</v>
      </c>
      <c r="E3874" s="66">
        <v>2.0</v>
      </c>
      <c r="F3874" s="66" t="str">
        <f>IFERROR(__xludf.DUMMYFUNCTION("GOOGLETRANSLATE(A3874,""en"",""pt"")"),"líder")</f>
        <v>líder</v>
      </c>
      <c r="G3874" s="69"/>
    </row>
    <row r="3875" ht="22.5" customHeight="1">
      <c r="A3875" s="66" t="s">
        <v>4825</v>
      </c>
      <c r="B3875" s="67" t="str">
        <f t="shared" si="16"/>
        <v>M: with</v>
      </c>
      <c r="C3875" s="68"/>
      <c r="D3875" s="68">
        <v>46137.0</v>
      </c>
      <c r="E3875" s="66">
        <v>3.0</v>
      </c>
      <c r="F3875" s="66" t="str">
        <f>IFERROR(__xludf.DUMMYFUNCTION("GOOGLETRANSLATE(A3875,""en"",""pt"")"),"com")</f>
        <v>com</v>
      </c>
      <c r="G3875" s="69"/>
    </row>
    <row r="3876" ht="22.5" customHeight="1">
      <c r="A3876" s="66" t="s">
        <v>4826</v>
      </c>
      <c r="B3876" s="67" t="str">
        <f t="shared" si="16"/>
        <v>M: provocation</v>
      </c>
      <c r="C3876" s="68"/>
      <c r="D3876" s="68">
        <v>46137.0</v>
      </c>
      <c r="E3876" s="66">
        <v>4.0</v>
      </c>
      <c r="F3876" s="66" t="str">
        <f>IFERROR(__xludf.DUMMYFUNCTION("GOOGLETRANSLATE(A3876,""en"",""pt"")"),"provocação")</f>
        <v>provocação</v>
      </c>
      <c r="G3876" s="69"/>
    </row>
    <row r="3877" ht="22.5" customHeight="1">
      <c r="A3877" s="66" t="s">
        <v>4827</v>
      </c>
      <c r="B3877" s="67" t="str">
        <f t="shared" si="16"/>
        <v>M: budgetary</v>
      </c>
      <c r="C3877" s="68"/>
      <c r="D3877" s="68">
        <v>46137.0</v>
      </c>
      <c r="E3877" s="66">
        <v>5.0</v>
      </c>
      <c r="F3877" s="66" t="str">
        <f>IFERROR(__xludf.DUMMYFUNCTION("GOOGLETRANSLATE(A3877,""en"",""pt"")"),"orçamentário")</f>
        <v>orçamentário</v>
      </c>
      <c r="G3877" s="69"/>
    </row>
    <row r="3878" ht="22.5" customHeight="1">
      <c r="A3878" s="66" t="s">
        <v>4828</v>
      </c>
      <c r="B3878" s="67" t="str">
        <f t="shared" si="16"/>
        <v>M: delayed</v>
      </c>
      <c r="C3878" s="68"/>
      <c r="D3878" s="68">
        <v>46137.0</v>
      </c>
      <c r="E3878" s="66">
        <v>6.0</v>
      </c>
      <c r="F3878" s="66" t="str">
        <f>IFERROR(__xludf.DUMMYFUNCTION("GOOGLETRANSLATE(A3878,""en"",""pt"")"),"atrasado")</f>
        <v>atrasado</v>
      </c>
      <c r="G3878" s="69"/>
    </row>
    <row r="3879" ht="22.5" customHeight="1">
      <c r="A3879" s="66" t="s">
        <v>4829</v>
      </c>
      <c r="B3879" s="67" t="str">
        <f t="shared" si="16"/>
        <v>M: design</v>
      </c>
      <c r="C3879" s="68"/>
      <c r="D3879" s="68">
        <v>46137.0</v>
      </c>
      <c r="E3879" s="66">
        <v>7.0</v>
      </c>
      <c r="F3879" s="66" t="str">
        <f>IFERROR(__xludf.DUMMYFUNCTION("GOOGLETRANSLATE(A3879,""en"",""pt"")"),"projeto")</f>
        <v>projeto</v>
      </c>
      <c r="G3879" s="69"/>
    </row>
    <row r="3880" ht="22.5" customHeight="1">
      <c r="A3880" s="66" t="s">
        <v>4830</v>
      </c>
      <c r="B3880" s="67" t="str">
        <f t="shared" si="16"/>
        <v>M: physical</v>
      </c>
      <c r="C3880" s="68"/>
      <c r="D3880" s="68">
        <v>46137.0</v>
      </c>
      <c r="E3880" s="66">
        <v>8.0</v>
      </c>
      <c r="F3880" s="66" t="str">
        <f>IFERROR(__xludf.DUMMYFUNCTION("GOOGLETRANSLATE(A3880,""en"",""pt"")"),"físico")</f>
        <v>físico</v>
      </c>
      <c r="G3880" s="69"/>
    </row>
    <row r="3881" ht="22.5" customHeight="1">
      <c r="A3881" s="66" t="s">
        <v>4831</v>
      </c>
      <c r="B3881" s="67" t="str">
        <f t="shared" si="16"/>
        <v>M: seatbelts</v>
      </c>
      <c r="C3881" s="68"/>
      <c r="D3881" s="68">
        <v>46137.0</v>
      </c>
      <c r="E3881" s="66">
        <v>9.0</v>
      </c>
      <c r="F3881" s="66" t="str">
        <f>IFERROR(__xludf.DUMMYFUNCTION("GOOGLETRANSLATE(A3881,""en"",""pt"")"),"cintos de segurança")</f>
        <v>cintos de segurança</v>
      </c>
      <c r="G3881" s="69"/>
    </row>
    <row r="3882" ht="22.5" customHeight="1">
      <c r="A3882" s="66" t="s">
        <v>810</v>
      </c>
      <c r="B3882" s="67" t="str">
        <f t="shared" si="16"/>
        <v>M: Wherever</v>
      </c>
      <c r="C3882" s="66">
        <v>2.0</v>
      </c>
      <c r="D3882" s="68">
        <v>46138.0</v>
      </c>
      <c r="E3882" s="66">
        <v>10.0</v>
      </c>
      <c r="F3882" s="66" t="s">
        <v>4832</v>
      </c>
      <c r="G3882" s="66" t="s">
        <v>247</v>
      </c>
    </row>
    <row r="3883" ht="22.5" customHeight="1">
      <c r="A3883" s="66" t="s">
        <v>810</v>
      </c>
      <c r="B3883" s="67" t="str">
        <f t="shared" si="16"/>
        <v>M: Wherever</v>
      </c>
      <c r="C3883" s="66">
        <v>3.0</v>
      </c>
      <c r="D3883" s="68">
        <v>46138.0</v>
      </c>
      <c r="E3883" s="66">
        <v>1.0</v>
      </c>
      <c r="F3883" s="66" t="s">
        <v>4833</v>
      </c>
      <c r="G3883" s="66" t="s">
        <v>247</v>
      </c>
    </row>
    <row r="3884" ht="22.5" customHeight="1">
      <c r="A3884" s="66" t="s">
        <v>1382</v>
      </c>
      <c r="B3884" s="67" t="str">
        <f t="shared" si="16"/>
        <v>M: wrenching</v>
      </c>
      <c r="C3884" s="66">
        <v>2.0</v>
      </c>
      <c r="D3884" s="68">
        <v>46138.0</v>
      </c>
      <c r="E3884" s="66">
        <v>2.0</v>
      </c>
      <c r="F3884" s="71" t="s">
        <v>4834</v>
      </c>
      <c r="G3884" s="66" t="s">
        <v>247</v>
      </c>
    </row>
    <row r="3885" ht="22.5" customHeight="1">
      <c r="A3885" s="66" t="s">
        <v>1382</v>
      </c>
      <c r="B3885" s="67" t="str">
        <f t="shared" si="16"/>
        <v>M: wrenching</v>
      </c>
      <c r="C3885" s="66">
        <v>3.0</v>
      </c>
      <c r="D3885" s="68">
        <v>46138.0</v>
      </c>
      <c r="E3885" s="66">
        <v>3.0</v>
      </c>
      <c r="F3885" s="66" t="s">
        <v>4835</v>
      </c>
      <c r="G3885" s="66" t="s">
        <v>247</v>
      </c>
    </row>
    <row r="3886" ht="22.5" customHeight="1">
      <c r="A3886" s="66" t="s">
        <v>4836</v>
      </c>
      <c r="B3886" s="67" t="str">
        <f t="shared" si="16"/>
        <v>M: chortle</v>
      </c>
      <c r="C3886" s="66">
        <v>1.0</v>
      </c>
      <c r="D3886" s="68">
        <v>46138.0</v>
      </c>
      <c r="E3886" s="66">
        <v>4.0</v>
      </c>
      <c r="F3886" s="66" t="s">
        <v>4837</v>
      </c>
      <c r="G3886" s="66" t="s">
        <v>247</v>
      </c>
    </row>
    <row r="3887" ht="22.5" customHeight="1">
      <c r="A3887" s="66" t="s">
        <v>4836</v>
      </c>
      <c r="B3887" s="67" t="str">
        <f t="shared" si="16"/>
        <v>M: chortle</v>
      </c>
      <c r="C3887" s="66">
        <v>2.0</v>
      </c>
      <c r="D3887" s="68">
        <v>46138.0</v>
      </c>
      <c r="E3887" s="66">
        <v>5.0</v>
      </c>
      <c r="F3887" s="66" t="s">
        <v>4838</v>
      </c>
      <c r="G3887" s="66" t="s">
        <v>247</v>
      </c>
    </row>
    <row r="3888" ht="22.5" customHeight="1">
      <c r="A3888" s="66" t="s">
        <v>4839</v>
      </c>
      <c r="B3888" s="67" t="str">
        <f t="shared" si="16"/>
        <v>M: silly</v>
      </c>
      <c r="C3888" s="68"/>
      <c r="D3888" s="68">
        <v>46138.0</v>
      </c>
      <c r="E3888" s="66">
        <v>6.0</v>
      </c>
      <c r="F3888" s="66" t="str">
        <f>IFERROR(__xludf.DUMMYFUNCTION("GOOGLETRANSLATE(A3888,""en"",""pt"")"),"bobagem")</f>
        <v>bobagem</v>
      </c>
      <c r="G3888" s="69"/>
    </row>
    <row r="3889" ht="22.5" customHeight="1">
      <c r="A3889" s="66" t="s">
        <v>4840</v>
      </c>
      <c r="B3889" s="67" t="str">
        <f t="shared" si="16"/>
        <v>M: funny</v>
      </c>
      <c r="C3889" s="68"/>
      <c r="D3889" s="68">
        <v>46138.0</v>
      </c>
      <c r="E3889" s="66">
        <v>7.0</v>
      </c>
      <c r="F3889" s="66" t="str">
        <f>IFERROR(__xludf.DUMMYFUNCTION("GOOGLETRANSLATE(A3889,""en"",""pt"")"),"engraçado")</f>
        <v>engraçado</v>
      </c>
      <c r="G3889" s="69"/>
    </row>
    <row r="3890" ht="22.5" customHeight="1">
      <c r="A3890" s="66" t="s">
        <v>4841</v>
      </c>
      <c r="B3890" s="67" t="str">
        <f t="shared" si="16"/>
        <v>M: demo</v>
      </c>
      <c r="C3890" s="68"/>
      <c r="D3890" s="68">
        <v>46138.0</v>
      </c>
      <c r="E3890" s="66">
        <v>8.0</v>
      </c>
      <c r="F3890" s="66" t="str">
        <f>IFERROR(__xludf.DUMMYFUNCTION("GOOGLETRANSLATE(A3890,""en"",""pt"")"),"demonstração")</f>
        <v>demonstração</v>
      </c>
      <c r="G3890" s="69"/>
    </row>
    <row r="3891" ht="22.5" customHeight="1">
      <c r="A3891" s="66" t="s">
        <v>4842</v>
      </c>
      <c r="B3891" s="67" t="str">
        <f t="shared" si="16"/>
        <v>M: escaped</v>
      </c>
      <c r="C3891" s="68"/>
      <c r="D3891" s="68">
        <v>46138.0</v>
      </c>
      <c r="E3891" s="66">
        <v>9.0</v>
      </c>
      <c r="F3891" s="66" t="str">
        <f>IFERROR(__xludf.DUMMYFUNCTION("GOOGLETRANSLATE(A3891,""en"",""pt"")"),"escapou")</f>
        <v>escapou</v>
      </c>
      <c r="G3891" s="69"/>
    </row>
    <row r="3892" ht="22.5" customHeight="1">
      <c r="A3892" s="66" t="s">
        <v>4843</v>
      </c>
      <c r="B3892" s="67" t="str">
        <f t="shared" si="16"/>
        <v>M: lips</v>
      </c>
      <c r="C3892" s="68"/>
      <c r="D3892" s="68">
        <v>46139.0</v>
      </c>
      <c r="E3892" s="66">
        <v>10.0</v>
      </c>
      <c r="F3892" s="66" t="str">
        <f>IFERROR(__xludf.DUMMYFUNCTION("GOOGLETRANSLATE(A3892,""en"",""pt"")"),"lábios")</f>
        <v>lábios</v>
      </c>
      <c r="G3892" s="69"/>
    </row>
    <row r="3893" ht="22.5" customHeight="1">
      <c r="A3893" s="66" t="s">
        <v>2309</v>
      </c>
      <c r="B3893" s="67" t="str">
        <f t="shared" si="16"/>
        <v>M: making this up</v>
      </c>
      <c r="C3893" s="66">
        <v>2.0</v>
      </c>
      <c r="D3893" s="68">
        <v>46139.0</v>
      </c>
      <c r="E3893" s="66">
        <v>1.0</v>
      </c>
      <c r="F3893" s="66" t="s">
        <v>4844</v>
      </c>
      <c r="G3893" s="66" t="s">
        <v>247</v>
      </c>
    </row>
    <row r="3894" ht="22.5" customHeight="1">
      <c r="A3894" s="66" t="s">
        <v>1741</v>
      </c>
      <c r="B3894" s="67" t="str">
        <f t="shared" si="16"/>
        <v>M: stashed</v>
      </c>
      <c r="C3894" s="66">
        <v>2.0</v>
      </c>
      <c r="D3894" s="68">
        <v>46139.0</v>
      </c>
      <c r="E3894" s="66">
        <v>2.0</v>
      </c>
      <c r="F3894" s="71" t="s">
        <v>4845</v>
      </c>
      <c r="G3894" s="66" t="s">
        <v>247</v>
      </c>
    </row>
    <row r="3895" ht="22.5" customHeight="1">
      <c r="A3895" s="66" t="s">
        <v>1741</v>
      </c>
      <c r="B3895" s="67" t="str">
        <f t="shared" si="16"/>
        <v>M: stashed</v>
      </c>
      <c r="C3895" s="66">
        <v>3.0</v>
      </c>
      <c r="D3895" s="68">
        <v>46139.0</v>
      </c>
      <c r="E3895" s="66">
        <v>3.0</v>
      </c>
      <c r="F3895" s="71" t="s">
        <v>4846</v>
      </c>
      <c r="G3895" s="66" t="s">
        <v>247</v>
      </c>
    </row>
    <row r="3896" ht="22.5" customHeight="1">
      <c r="A3896" s="66" t="s">
        <v>3092</v>
      </c>
      <c r="B3896" s="67" t="str">
        <f t="shared" si="16"/>
        <v>M: unchangeable</v>
      </c>
      <c r="C3896" s="66">
        <v>2.0</v>
      </c>
      <c r="D3896" s="68">
        <v>46139.0</v>
      </c>
      <c r="E3896" s="66">
        <v>4.0</v>
      </c>
      <c r="F3896" s="66" t="s">
        <v>4847</v>
      </c>
      <c r="G3896" s="66" t="s">
        <v>247</v>
      </c>
    </row>
    <row r="3897" ht="22.5" customHeight="1">
      <c r="A3897" s="66" t="s">
        <v>1237</v>
      </c>
      <c r="B3897" s="67" t="str">
        <f t="shared" si="16"/>
        <v>M: northeast</v>
      </c>
      <c r="C3897" s="66">
        <v>2.0</v>
      </c>
      <c r="D3897" s="68">
        <v>46139.0</v>
      </c>
      <c r="E3897" s="66">
        <v>5.0</v>
      </c>
      <c r="F3897" s="71" t="s">
        <v>4848</v>
      </c>
      <c r="G3897" s="66" t="s">
        <v>247</v>
      </c>
    </row>
    <row r="3898" ht="22.5" customHeight="1">
      <c r="A3898" s="66" t="s">
        <v>1723</v>
      </c>
      <c r="B3898" s="67" t="str">
        <f t="shared" si="16"/>
        <v>M: poking</v>
      </c>
      <c r="C3898" s="66">
        <v>2.0</v>
      </c>
      <c r="D3898" s="68">
        <v>46139.0</v>
      </c>
      <c r="E3898" s="66">
        <v>6.0</v>
      </c>
      <c r="F3898" s="71" t="s">
        <v>4849</v>
      </c>
      <c r="G3898" s="66" t="s">
        <v>247</v>
      </c>
    </row>
    <row r="3899" ht="22.5" customHeight="1">
      <c r="A3899" s="66" t="s">
        <v>1723</v>
      </c>
      <c r="B3899" s="67" t="str">
        <f t="shared" si="16"/>
        <v>M: poking</v>
      </c>
      <c r="C3899" s="66">
        <v>3.0</v>
      </c>
      <c r="D3899" s="68">
        <v>46139.0</v>
      </c>
      <c r="E3899" s="66">
        <v>7.0</v>
      </c>
      <c r="F3899" s="71" t="s">
        <v>4850</v>
      </c>
      <c r="G3899" s="66" t="s">
        <v>247</v>
      </c>
    </row>
    <row r="3900" ht="22.5" customHeight="1">
      <c r="A3900" s="66" t="s">
        <v>1723</v>
      </c>
      <c r="B3900" s="67" t="str">
        <f t="shared" si="16"/>
        <v>M: poking</v>
      </c>
      <c r="C3900" s="66">
        <v>4.0</v>
      </c>
      <c r="D3900" s="68">
        <v>46139.0</v>
      </c>
      <c r="E3900" s="66">
        <v>8.0</v>
      </c>
      <c r="F3900" s="71" t="s">
        <v>4851</v>
      </c>
      <c r="G3900" s="66" t="s">
        <v>247</v>
      </c>
    </row>
    <row r="3901" ht="22.5" customHeight="1">
      <c r="A3901" s="66" t="s">
        <v>2172</v>
      </c>
      <c r="B3901" s="67" t="str">
        <f t="shared" si="16"/>
        <v>M: weakness</v>
      </c>
      <c r="C3901" s="66">
        <v>2.0</v>
      </c>
      <c r="D3901" s="68">
        <v>46139.0</v>
      </c>
      <c r="E3901" s="66">
        <v>9.0</v>
      </c>
      <c r="F3901" s="71" t="s">
        <v>4852</v>
      </c>
      <c r="G3901" s="66" t="s">
        <v>247</v>
      </c>
    </row>
    <row r="3902" ht="22.5" customHeight="1">
      <c r="A3902" s="66" t="s">
        <v>2172</v>
      </c>
      <c r="B3902" s="67" t="str">
        <f t="shared" si="16"/>
        <v>M: weakness</v>
      </c>
      <c r="C3902" s="66">
        <v>3.0</v>
      </c>
      <c r="D3902" s="68">
        <v>46140.0</v>
      </c>
      <c r="E3902" s="66">
        <v>10.0</v>
      </c>
      <c r="F3902" s="71" t="s">
        <v>4853</v>
      </c>
      <c r="G3902" s="66" t="s">
        <v>247</v>
      </c>
    </row>
    <row r="3903" ht="22.5" customHeight="1">
      <c r="A3903" s="66" t="s">
        <v>4854</v>
      </c>
      <c r="B3903" s="67" t="str">
        <f t="shared" si="16"/>
        <v>M: Identifying</v>
      </c>
      <c r="C3903" s="68"/>
      <c r="D3903" s="68">
        <v>46140.0</v>
      </c>
      <c r="E3903" s="66">
        <v>1.0</v>
      </c>
      <c r="F3903" s="66" t="str">
        <f>IFERROR(__xludf.DUMMYFUNCTION("GOOGLETRANSLATE(A3903,""en"",""pt"")"),"Identificando")</f>
        <v>Identificando</v>
      </c>
      <c r="G3903" s="69"/>
    </row>
    <row r="3904" ht="22.5" customHeight="1">
      <c r="A3904" s="66" t="s">
        <v>4855</v>
      </c>
      <c r="B3904" s="67" t="str">
        <f t="shared" si="16"/>
        <v>M: biggest</v>
      </c>
      <c r="C3904" s="68"/>
      <c r="D3904" s="68">
        <v>46140.0</v>
      </c>
      <c r="E3904" s="66">
        <v>2.0</v>
      </c>
      <c r="F3904" s="66" t="str">
        <f>IFERROR(__xludf.DUMMYFUNCTION("GOOGLETRANSLATE(A3904,""en"",""pt"")"),"o maior")</f>
        <v>o maior</v>
      </c>
      <c r="G3904" s="69"/>
    </row>
    <row r="3905" ht="22.5" customHeight="1">
      <c r="A3905" s="66" t="s">
        <v>4856</v>
      </c>
      <c r="B3905" s="67" t="str">
        <f t="shared" si="16"/>
        <v>M: encryption</v>
      </c>
      <c r="C3905" s="68"/>
      <c r="D3905" s="68">
        <v>46140.0</v>
      </c>
      <c r="E3905" s="66">
        <v>3.0</v>
      </c>
      <c r="F3905" s="66" t="str">
        <f>IFERROR(__xludf.DUMMYFUNCTION("GOOGLETRANSLATE(A3905,""en"",""pt"")"),"criptografia")</f>
        <v>criptografia</v>
      </c>
      <c r="G3905" s="69"/>
    </row>
    <row r="3906" ht="22.5" customHeight="1">
      <c r="A3906" s="66" t="s">
        <v>4857</v>
      </c>
      <c r="B3906" s="67" t="str">
        <f t="shared" si="16"/>
        <v>M: diet</v>
      </c>
      <c r="C3906" s="68"/>
      <c r="D3906" s="68">
        <v>46140.0</v>
      </c>
      <c r="E3906" s="66">
        <v>4.0</v>
      </c>
      <c r="F3906" s="66" t="str">
        <f>IFERROR(__xludf.DUMMYFUNCTION("GOOGLETRANSLATE(A3906,""en"",""pt"")"),"dieta")</f>
        <v>dieta</v>
      </c>
      <c r="G3906" s="69"/>
    </row>
    <row r="3907" ht="22.5" customHeight="1">
      <c r="A3907" s="66" t="s">
        <v>4858</v>
      </c>
      <c r="B3907" s="67" t="str">
        <f t="shared" si="16"/>
        <v>M: patch</v>
      </c>
      <c r="C3907" s="68"/>
      <c r="D3907" s="68">
        <v>46140.0</v>
      </c>
      <c r="E3907" s="66">
        <v>5.0</v>
      </c>
      <c r="F3907" s="66" t="str">
        <f>IFERROR(__xludf.DUMMYFUNCTION("GOOGLETRANSLATE(A3907,""en"",""pt"")"),"correção")</f>
        <v>correção</v>
      </c>
      <c r="G3907" s="69"/>
    </row>
    <row r="3908" ht="22.5" customHeight="1">
      <c r="A3908" s="66" t="s">
        <v>4859</v>
      </c>
      <c r="B3908" s="67" t="str">
        <f t="shared" si="16"/>
        <v>M: java</v>
      </c>
      <c r="C3908" s="68"/>
      <c r="D3908" s="68">
        <v>46140.0</v>
      </c>
      <c r="E3908" s="66">
        <v>6.0</v>
      </c>
      <c r="F3908" s="66" t="str">
        <f>IFERROR(__xludf.DUMMYFUNCTION("GOOGLETRANSLATE(A3908,""en"",""pt"")"),"Java")</f>
        <v>Java</v>
      </c>
      <c r="G3908" s="69"/>
    </row>
    <row r="3909" ht="22.5" customHeight="1">
      <c r="A3909" s="66" t="s">
        <v>4860</v>
      </c>
      <c r="B3909" s="67" t="str">
        <f t="shared" si="16"/>
        <v>M: foundation</v>
      </c>
      <c r="C3909" s="68"/>
      <c r="D3909" s="68">
        <v>46140.0</v>
      </c>
      <c r="E3909" s="66">
        <v>7.0</v>
      </c>
      <c r="F3909" s="66" t="str">
        <f>IFERROR(__xludf.DUMMYFUNCTION("GOOGLETRANSLATE(A3909,""en"",""pt"")"),"fundação")</f>
        <v>fundação</v>
      </c>
      <c r="G3909" s="69"/>
    </row>
    <row r="3910" ht="22.5" customHeight="1">
      <c r="A3910" s="66" t="s">
        <v>4861</v>
      </c>
      <c r="B3910" s="67" t="str">
        <f t="shared" si="16"/>
        <v>M: sink</v>
      </c>
      <c r="C3910" s="68"/>
      <c r="D3910" s="68">
        <v>46140.0</v>
      </c>
      <c r="E3910" s="66">
        <v>8.0</v>
      </c>
      <c r="F3910" s="66" t="str">
        <f>IFERROR(__xludf.DUMMYFUNCTION("GOOGLETRANSLATE(A3910,""en"",""pt"")"),"afundar")</f>
        <v>afundar</v>
      </c>
      <c r="G3910" s="69"/>
    </row>
    <row r="3911" ht="22.5" customHeight="1">
      <c r="A3911" s="66" t="s">
        <v>2480</v>
      </c>
      <c r="B3911" s="67" t="str">
        <f t="shared" si="16"/>
        <v>M: blisters</v>
      </c>
      <c r="C3911" s="66">
        <v>2.0</v>
      </c>
      <c r="D3911" s="68">
        <v>46140.0</v>
      </c>
      <c r="E3911" s="66">
        <v>9.0</v>
      </c>
      <c r="F3911" s="71" t="s">
        <v>4862</v>
      </c>
      <c r="G3911" s="66" t="s">
        <v>247</v>
      </c>
    </row>
    <row r="3912" ht="22.5" customHeight="1">
      <c r="A3912" s="66" t="s">
        <v>2480</v>
      </c>
      <c r="B3912" s="67" t="str">
        <f t="shared" si="16"/>
        <v>M: blisters</v>
      </c>
      <c r="C3912" s="66">
        <v>3.0</v>
      </c>
      <c r="D3912" s="68">
        <v>46141.0</v>
      </c>
      <c r="E3912" s="66">
        <v>10.0</v>
      </c>
      <c r="F3912" s="71" t="s">
        <v>4863</v>
      </c>
      <c r="G3912" s="66" t="s">
        <v>247</v>
      </c>
    </row>
    <row r="3913" ht="22.5" customHeight="1">
      <c r="A3913" s="66" t="s">
        <v>4864</v>
      </c>
      <c r="B3913" s="67" t="str">
        <f t="shared" si="16"/>
        <v>M: painful</v>
      </c>
      <c r="C3913" s="68"/>
      <c r="D3913" s="68">
        <v>46141.0</v>
      </c>
      <c r="E3913" s="66">
        <v>1.0</v>
      </c>
      <c r="F3913" s="66" t="str">
        <f>IFERROR(__xludf.DUMMYFUNCTION("GOOGLETRANSLATE(A3913,""en"",""pt"")"),"doloroso")</f>
        <v>doloroso</v>
      </c>
      <c r="G3913" s="69"/>
    </row>
    <row r="3914" ht="22.5" customHeight="1">
      <c r="A3914" s="66" t="s">
        <v>4865</v>
      </c>
      <c r="B3914" s="67" t="str">
        <f t="shared" si="16"/>
        <v>M: pop</v>
      </c>
      <c r="C3914" s="68"/>
      <c r="D3914" s="68">
        <v>46141.0</v>
      </c>
      <c r="E3914" s="66">
        <v>2.0</v>
      </c>
      <c r="F3914" s="66" t="str">
        <f>IFERROR(__xludf.DUMMYFUNCTION("GOOGLETRANSLATE(A3914,""en"",""pt"")"),"pop")</f>
        <v>pop</v>
      </c>
      <c r="G3914" s="69"/>
    </row>
    <row r="3915" ht="22.5" customHeight="1">
      <c r="A3915" s="66" t="s">
        <v>4866</v>
      </c>
      <c r="B3915" s="67" t="str">
        <f t="shared" si="16"/>
        <v>M: humidity</v>
      </c>
      <c r="C3915" s="68"/>
      <c r="D3915" s="68">
        <v>46141.0</v>
      </c>
      <c r="E3915" s="66">
        <v>3.0</v>
      </c>
      <c r="F3915" s="66" t="str">
        <f>IFERROR(__xludf.DUMMYFUNCTION("GOOGLETRANSLATE(A3915,""en"",""pt"")"),"umidade")</f>
        <v>umidade</v>
      </c>
      <c r="G3915" s="69"/>
    </row>
    <row r="3916" ht="22.5" customHeight="1">
      <c r="A3916" s="66" t="s">
        <v>4867</v>
      </c>
      <c r="B3916" s="67" t="str">
        <f t="shared" si="16"/>
        <v>M: forming</v>
      </c>
      <c r="C3916" s="68"/>
      <c r="D3916" s="68">
        <v>46141.0</v>
      </c>
      <c r="E3916" s="66">
        <v>4.0</v>
      </c>
      <c r="F3916" s="66" t="str">
        <f>IFERROR(__xludf.DUMMYFUNCTION("GOOGLETRANSLATE(A3916,""en"",""pt"")"),"formando")</f>
        <v>formando</v>
      </c>
      <c r="G3916" s="69"/>
    </row>
    <row r="3917" ht="22.5" customHeight="1">
      <c r="A3917" s="66" t="s">
        <v>4868</v>
      </c>
      <c r="B3917" s="67" t="str">
        <f t="shared" si="16"/>
        <v>M: cards</v>
      </c>
      <c r="C3917" s="68"/>
      <c r="D3917" s="68">
        <v>46141.0</v>
      </c>
      <c r="E3917" s="66">
        <v>5.0</v>
      </c>
      <c r="F3917" s="66" t="str">
        <f>IFERROR(__xludf.DUMMYFUNCTION("GOOGLETRANSLATE(A3917,""en"",""pt"")"),"cartas")</f>
        <v>cartas</v>
      </c>
      <c r="G3917" s="69"/>
    </row>
    <row r="3918" ht="22.5" customHeight="1">
      <c r="A3918" s="66" t="s">
        <v>1037</v>
      </c>
      <c r="B3918" s="67" t="str">
        <f t="shared" si="16"/>
        <v>M: undergo</v>
      </c>
      <c r="C3918" s="66">
        <v>2.0</v>
      </c>
      <c r="D3918" s="68">
        <v>46141.0</v>
      </c>
      <c r="E3918" s="66">
        <v>6.0</v>
      </c>
      <c r="F3918" s="66" t="s">
        <v>4869</v>
      </c>
      <c r="G3918" s="66" t="s">
        <v>247</v>
      </c>
    </row>
    <row r="3919" ht="22.5" customHeight="1">
      <c r="A3919" s="66" t="s">
        <v>4870</v>
      </c>
      <c r="B3919" s="67" t="str">
        <f t="shared" si="16"/>
        <v>M: scheduled</v>
      </c>
      <c r="C3919" s="68"/>
      <c r="D3919" s="68">
        <v>46141.0</v>
      </c>
      <c r="E3919" s="66">
        <v>7.0</v>
      </c>
      <c r="F3919" s="66" t="str">
        <f>IFERROR(__xludf.DUMMYFUNCTION("GOOGLETRANSLATE(A3919,""en"",""pt"")"),"agendado")</f>
        <v>agendado</v>
      </c>
      <c r="G3919" s="69"/>
    </row>
    <row r="3920" ht="22.5" customHeight="1">
      <c r="A3920" s="66" t="s">
        <v>4871</v>
      </c>
      <c r="B3920" s="67" t="str">
        <f t="shared" si="16"/>
        <v>M: surgery</v>
      </c>
      <c r="C3920" s="68"/>
      <c r="D3920" s="68">
        <v>46141.0</v>
      </c>
      <c r="E3920" s="66">
        <v>8.0</v>
      </c>
      <c r="F3920" s="66" t="str">
        <f>IFERROR(__xludf.DUMMYFUNCTION("GOOGLETRANSLATE(A3920,""en"",""pt"")"),"cirurgia")</f>
        <v>cirurgia</v>
      </c>
      <c r="G3920" s="69"/>
    </row>
    <row r="3921" ht="22.5" customHeight="1">
      <c r="A3921" s="66" t="s">
        <v>4872</v>
      </c>
      <c r="B3921" s="67" t="str">
        <f t="shared" si="16"/>
        <v>M: hires</v>
      </c>
      <c r="C3921" s="68"/>
      <c r="D3921" s="68">
        <v>46141.0</v>
      </c>
      <c r="E3921" s="66">
        <v>9.0</v>
      </c>
      <c r="F3921" s="66" t="str">
        <f>IFERROR(__xludf.DUMMYFUNCTION("GOOGLETRANSLATE(A3921,""en"",""pt"")"),"contratações")</f>
        <v>contratações</v>
      </c>
      <c r="G3921" s="69"/>
    </row>
    <row r="3922" ht="22.5" customHeight="1">
      <c r="A3922" s="66" t="s">
        <v>4873</v>
      </c>
      <c r="B3922" s="67" t="str">
        <f t="shared" si="16"/>
        <v>M: series</v>
      </c>
      <c r="C3922" s="68"/>
      <c r="D3922" s="68">
        <v>46142.0</v>
      </c>
      <c r="E3922" s="66">
        <v>10.0</v>
      </c>
      <c r="F3922" s="66" t="str">
        <f>IFERROR(__xludf.DUMMYFUNCTION("GOOGLETRANSLATE(A3922,""en"",""pt"")"),"série")</f>
        <v>série</v>
      </c>
      <c r="G3922" s="69"/>
    </row>
    <row r="3923" ht="22.5" customHeight="1">
      <c r="A3923" s="66" t="s">
        <v>4874</v>
      </c>
      <c r="B3923" s="67" t="str">
        <f t="shared" si="16"/>
        <v>M: tests</v>
      </c>
      <c r="C3923" s="68"/>
      <c r="D3923" s="68">
        <v>46142.0</v>
      </c>
      <c r="E3923" s="66">
        <v>1.0</v>
      </c>
      <c r="F3923" s="66" t="str">
        <f>IFERROR(__xludf.DUMMYFUNCTION("GOOGLETRANSLATE(A3923,""en"",""pt"")"),"testes")</f>
        <v>testes</v>
      </c>
      <c r="G3923" s="69"/>
    </row>
    <row r="3924" ht="22.5" customHeight="1">
      <c r="A3924" s="66" t="s">
        <v>1682</v>
      </c>
      <c r="B3924" s="67" t="str">
        <f t="shared" si="16"/>
        <v>M: besides</v>
      </c>
      <c r="C3924" s="66">
        <v>2.0</v>
      </c>
      <c r="D3924" s="68">
        <v>46142.0</v>
      </c>
      <c r="E3924" s="66">
        <v>2.0</v>
      </c>
      <c r="F3924" s="66" t="s">
        <v>4875</v>
      </c>
      <c r="G3924" s="66" t="s">
        <v>247</v>
      </c>
    </row>
    <row r="3925" ht="22.5" customHeight="1">
      <c r="A3925" s="66" t="s">
        <v>1682</v>
      </c>
      <c r="B3925" s="67" t="str">
        <f t="shared" si="16"/>
        <v>M: besides</v>
      </c>
      <c r="C3925" s="66">
        <v>3.0</v>
      </c>
      <c r="D3925" s="68">
        <v>46142.0</v>
      </c>
      <c r="E3925" s="66">
        <v>3.0</v>
      </c>
      <c r="F3925" s="71" t="s">
        <v>4876</v>
      </c>
      <c r="G3925" s="66" t="s">
        <v>247</v>
      </c>
    </row>
    <row r="3926" ht="22.5" customHeight="1">
      <c r="A3926" s="66" t="s">
        <v>873</v>
      </c>
      <c r="B3926" s="67" t="str">
        <f t="shared" si="16"/>
        <v>M: Beside</v>
      </c>
      <c r="C3926" s="66">
        <v>2.0</v>
      </c>
      <c r="D3926" s="68">
        <v>46142.0</v>
      </c>
      <c r="E3926" s="66">
        <v>4.0</v>
      </c>
      <c r="F3926" s="66" t="s">
        <v>4877</v>
      </c>
      <c r="G3926" s="66" t="s">
        <v>247</v>
      </c>
    </row>
    <row r="3927" ht="22.5" customHeight="1">
      <c r="A3927" s="66" t="s">
        <v>873</v>
      </c>
      <c r="B3927" s="67" t="str">
        <f t="shared" si="16"/>
        <v>M: Beside</v>
      </c>
      <c r="C3927" s="66">
        <v>3.0</v>
      </c>
      <c r="D3927" s="68">
        <v>46142.0</v>
      </c>
      <c r="E3927" s="66">
        <v>5.0</v>
      </c>
      <c r="F3927" s="66" t="s">
        <v>4878</v>
      </c>
      <c r="G3927" s="66" t="s">
        <v>247</v>
      </c>
    </row>
    <row r="3928" ht="22.5" customHeight="1">
      <c r="A3928" s="66" t="s">
        <v>1775</v>
      </c>
      <c r="B3928" s="67" t="str">
        <f t="shared" si="16"/>
        <v>M: commitment</v>
      </c>
      <c r="C3928" s="66">
        <v>2.0</v>
      </c>
      <c r="D3928" s="68">
        <v>46142.0</v>
      </c>
      <c r="E3928" s="66">
        <v>6.0</v>
      </c>
      <c r="F3928" s="66" t="s">
        <v>4879</v>
      </c>
      <c r="G3928" s="66" t="s">
        <v>247</v>
      </c>
    </row>
    <row r="3929" ht="22.5" customHeight="1">
      <c r="A3929" s="66" t="s">
        <v>1775</v>
      </c>
      <c r="B3929" s="67" t="str">
        <f t="shared" si="16"/>
        <v>M: commitment</v>
      </c>
      <c r="C3929" s="66">
        <v>3.0</v>
      </c>
      <c r="D3929" s="68">
        <v>46142.0</v>
      </c>
      <c r="E3929" s="66">
        <v>7.0</v>
      </c>
      <c r="F3929" s="66" t="s">
        <v>4880</v>
      </c>
      <c r="G3929" s="66" t="s">
        <v>247</v>
      </c>
    </row>
    <row r="3930" ht="22.5" customHeight="1">
      <c r="A3930" s="66" t="s">
        <v>493</v>
      </c>
      <c r="B3930" s="67" t="str">
        <f t="shared" si="16"/>
        <v>M: deep down</v>
      </c>
      <c r="C3930" s="66">
        <v>2.0</v>
      </c>
      <c r="D3930" s="68">
        <v>46142.0</v>
      </c>
      <c r="E3930" s="66">
        <v>8.0</v>
      </c>
      <c r="F3930" s="71" t="s">
        <v>4881</v>
      </c>
      <c r="G3930" s="66" t="s">
        <v>247</v>
      </c>
    </row>
    <row r="3931" ht="22.5" customHeight="1">
      <c r="A3931" s="66" t="s">
        <v>493</v>
      </c>
      <c r="B3931" s="67" t="str">
        <f t="shared" si="16"/>
        <v>M: deep down</v>
      </c>
      <c r="C3931" s="66">
        <v>3.0</v>
      </c>
      <c r="D3931" s="68">
        <v>46142.0</v>
      </c>
      <c r="E3931" s="66">
        <v>9.0</v>
      </c>
      <c r="F3931" s="66" t="s">
        <v>4882</v>
      </c>
      <c r="G3931" s="66" t="s">
        <v>247</v>
      </c>
    </row>
    <row r="3932" ht="22.5" customHeight="1">
      <c r="A3932" s="66" t="s">
        <v>998</v>
      </c>
      <c r="B3932" s="67" t="str">
        <f t="shared" si="16"/>
        <v>M: west</v>
      </c>
      <c r="C3932" s="66">
        <v>2.0</v>
      </c>
      <c r="D3932" s="68">
        <v>46143.0</v>
      </c>
      <c r="E3932" s="66">
        <v>10.0</v>
      </c>
      <c r="F3932" s="66" t="s">
        <v>4883</v>
      </c>
      <c r="G3932" s="66" t="s">
        <v>247</v>
      </c>
    </row>
    <row r="3933" ht="22.5" customHeight="1">
      <c r="A3933" s="66" t="s">
        <v>998</v>
      </c>
      <c r="B3933" s="67" t="str">
        <f t="shared" si="16"/>
        <v>M: west</v>
      </c>
      <c r="C3933" s="66">
        <v>3.0</v>
      </c>
      <c r="D3933" s="68">
        <v>46143.0</v>
      </c>
      <c r="E3933" s="66">
        <v>1.0</v>
      </c>
      <c r="F3933" s="66" t="s">
        <v>4884</v>
      </c>
      <c r="G3933" s="66" t="s">
        <v>247</v>
      </c>
    </row>
    <row r="3934" ht="22.5" customHeight="1">
      <c r="A3934" s="66" t="s">
        <v>4885</v>
      </c>
      <c r="B3934" s="67" t="str">
        <f t="shared" si="16"/>
        <v>M: sets</v>
      </c>
      <c r="C3934" s="68"/>
      <c r="D3934" s="68">
        <v>46143.0</v>
      </c>
      <c r="E3934" s="66">
        <v>2.0</v>
      </c>
      <c r="F3934" s="66" t="str">
        <f>IFERROR(__xludf.DUMMYFUNCTION("GOOGLETRANSLATE(A3934,""en"",""pt"")"),"conjuntos")</f>
        <v>conjuntos</v>
      </c>
      <c r="G3934" s="69"/>
    </row>
    <row r="3935" ht="22.5" customHeight="1">
      <c r="A3935" s="66" t="s">
        <v>4886</v>
      </c>
      <c r="B3935" s="67" t="str">
        <f t="shared" si="16"/>
        <v>M: expanding</v>
      </c>
      <c r="C3935" s="68"/>
      <c r="D3935" s="68">
        <v>46143.0</v>
      </c>
      <c r="E3935" s="66">
        <v>3.0</v>
      </c>
      <c r="F3935" s="66" t="str">
        <f>IFERROR(__xludf.DUMMYFUNCTION("GOOGLETRANSLATE(A3935,""en"",""pt"")"),"expansão")</f>
        <v>expansão</v>
      </c>
      <c r="G3935" s="69"/>
    </row>
    <row r="3936" ht="22.5" customHeight="1">
      <c r="A3936" s="66" t="s">
        <v>4887</v>
      </c>
      <c r="B3936" s="67" t="str">
        <f t="shared" si="16"/>
        <v>M: cursor</v>
      </c>
      <c r="C3936" s="68"/>
      <c r="D3936" s="68">
        <v>46143.0</v>
      </c>
      <c r="E3936" s="66">
        <v>4.0</v>
      </c>
      <c r="F3936" s="66" t="str">
        <f>IFERROR(__xludf.DUMMYFUNCTION("GOOGLETRANSLATE(A3936,""en"",""pt"")"),"cursor")</f>
        <v>cursor</v>
      </c>
      <c r="G3936" s="69"/>
    </row>
    <row r="3937" ht="22.5" customHeight="1">
      <c r="A3937" s="66" t="s">
        <v>4888</v>
      </c>
      <c r="B3937" s="67" t="str">
        <f t="shared" si="16"/>
        <v>M: availability</v>
      </c>
      <c r="C3937" s="68"/>
      <c r="D3937" s="68">
        <v>46143.0</v>
      </c>
      <c r="E3937" s="66">
        <v>5.0</v>
      </c>
      <c r="F3937" s="66" t="str">
        <f>IFERROR(__xludf.DUMMYFUNCTION("GOOGLETRANSLATE(A3937,""en"",""pt"")"),"disponibilidade")</f>
        <v>disponibilidade</v>
      </c>
      <c r="G3937" s="69"/>
    </row>
    <row r="3938" ht="22.5" customHeight="1">
      <c r="A3938" s="66" t="s">
        <v>4889</v>
      </c>
      <c r="B3938" s="67" t="str">
        <f t="shared" si="16"/>
        <v>M: zone</v>
      </c>
      <c r="C3938" s="68"/>
      <c r="D3938" s="68">
        <v>46143.0</v>
      </c>
      <c r="E3938" s="66">
        <v>6.0</v>
      </c>
      <c r="F3938" s="66" t="str">
        <f>IFERROR(__xludf.DUMMYFUNCTION("GOOGLETRANSLATE(A3938,""en"",""pt"")"),"zona")</f>
        <v>zona</v>
      </c>
      <c r="G3938" s="69"/>
    </row>
    <row r="3939" ht="22.5" customHeight="1">
      <c r="A3939" s="66" t="s">
        <v>4890</v>
      </c>
      <c r="B3939" s="67" t="str">
        <f t="shared" si="16"/>
        <v>M: standards</v>
      </c>
      <c r="C3939" s="68"/>
      <c r="D3939" s="68">
        <v>46143.0</v>
      </c>
      <c r="E3939" s="66">
        <v>7.0</v>
      </c>
      <c r="F3939" s="66" t="str">
        <f>IFERROR(__xludf.DUMMYFUNCTION("GOOGLETRANSLATE(A3939,""en"",""pt"")"),"padrões")</f>
        <v>padrões</v>
      </c>
      <c r="G3939" s="69"/>
    </row>
    <row r="3940" ht="22.5" customHeight="1">
      <c r="A3940" s="66" t="s">
        <v>1555</v>
      </c>
      <c r="B3940" s="67" t="str">
        <f t="shared" si="16"/>
        <v>M: compliment</v>
      </c>
      <c r="C3940" s="66">
        <v>2.0</v>
      </c>
      <c r="D3940" s="68">
        <v>46143.0</v>
      </c>
      <c r="E3940" s="66">
        <v>8.0</v>
      </c>
      <c r="F3940" s="71" t="s">
        <v>4891</v>
      </c>
      <c r="G3940" s="66" t="s">
        <v>247</v>
      </c>
    </row>
    <row r="3941" ht="22.5" customHeight="1">
      <c r="A3941" s="66" t="s">
        <v>1555</v>
      </c>
      <c r="B3941" s="67" t="str">
        <f t="shared" si="16"/>
        <v>M: compliment</v>
      </c>
      <c r="C3941" s="66">
        <v>3.0</v>
      </c>
      <c r="D3941" s="68">
        <v>46143.0</v>
      </c>
      <c r="E3941" s="66">
        <v>9.0</v>
      </c>
      <c r="F3941" s="66" t="s">
        <v>4892</v>
      </c>
      <c r="G3941" s="66" t="s">
        <v>247</v>
      </c>
    </row>
    <row r="3942" ht="22.5" customHeight="1">
      <c r="A3942" s="66" t="s">
        <v>4893</v>
      </c>
      <c r="B3942" s="67" t="str">
        <f t="shared" si="16"/>
        <v>M: complement</v>
      </c>
      <c r="C3942" s="68"/>
      <c r="D3942" s="68">
        <v>46144.0</v>
      </c>
      <c r="E3942" s="66">
        <v>10.0</v>
      </c>
      <c r="F3942" s="66" t="str">
        <f>IFERROR(__xludf.DUMMYFUNCTION("GOOGLETRANSLATE(A3942,""en"",""pt"")"),"complemento")</f>
        <v>complemento</v>
      </c>
      <c r="G3942" s="69"/>
    </row>
    <row r="3943" ht="22.5" customHeight="1">
      <c r="A3943" s="66" t="s">
        <v>4894</v>
      </c>
      <c r="B3943" s="67" t="str">
        <f t="shared" si="16"/>
        <v>M: received</v>
      </c>
      <c r="C3943" s="68"/>
      <c r="D3943" s="68">
        <v>46144.0</v>
      </c>
      <c r="E3943" s="66">
        <v>1.0</v>
      </c>
      <c r="F3943" s="66" t="str">
        <f>IFERROR(__xludf.DUMMYFUNCTION("GOOGLETRANSLATE(A3943,""en"",""pt"")"),"recebido")</f>
        <v>recebido</v>
      </c>
      <c r="G3943" s="69"/>
    </row>
    <row r="3944" ht="22.5" customHeight="1">
      <c r="A3944" s="66" t="s">
        <v>4895</v>
      </c>
      <c r="B3944" s="67" t="str">
        <f t="shared" si="16"/>
        <v>M: she</v>
      </c>
      <c r="C3944" s="68"/>
      <c r="D3944" s="68">
        <v>46144.0</v>
      </c>
      <c r="E3944" s="66">
        <v>2.0</v>
      </c>
      <c r="F3944" s="66" t="str">
        <f>IFERROR(__xludf.DUMMYFUNCTION("GOOGLETRANSLATE(A3944,""en"",""pt"")"),"ela")</f>
        <v>ela</v>
      </c>
      <c r="G3944" s="69"/>
    </row>
    <row r="3945" ht="22.5" customHeight="1">
      <c r="A3945" s="66" t="s">
        <v>4896</v>
      </c>
      <c r="B3945" s="67" t="str">
        <f t="shared" si="16"/>
        <v>M: her</v>
      </c>
      <c r="C3945" s="68"/>
      <c r="D3945" s="68">
        <v>46144.0</v>
      </c>
      <c r="E3945" s="66">
        <v>3.0</v>
      </c>
      <c r="F3945" s="66" t="str">
        <f>IFERROR(__xludf.DUMMYFUNCTION("GOOGLETRANSLATE(A3945,""en"",""pt"")"),"dela")</f>
        <v>dela</v>
      </c>
      <c r="G3945" s="69"/>
    </row>
    <row r="3946" ht="22.5" customHeight="1">
      <c r="A3946" s="66" t="s">
        <v>4897</v>
      </c>
      <c r="B3946" s="67" t="str">
        <f t="shared" si="16"/>
        <v>M: it</v>
      </c>
      <c r="C3946" s="68"/>
      <c r="D3946" s="68">
        <v>46144.0</v>
      </c>
      <c r="E3946" s="66">
        <v>4.0</v>
      </c>
      <c r="F3946" s="66" t="str">
        <f>IFERROR(__xludf.DUMMYFUNCTION("GOOGLETRANSLATE(A3946,""en"",""pt"")"),"isto")</f>
        <v>isto</v>
      </c>
      <c r="G3946" s="69"/>
    </row>
    <row r="3947" ht="22.5" customHeight="1">
      <c r="A3947" s="66" t="s">
        <v>4898</v>
      </c>
      <c r="B3947" s="67" t="str">
        <f t="shared" si="16"/>
        <v>M: they</v>
      </c>
      <c r="C3947" s="68"/>
      <c r="D3947" s="68">
        <v>46144.0</v>
      </c>
      <c r="E3947" s="66">
        <v>5.0</v>
      </c>
      <c r="F3947" s="66" t="str">
        <f>IFERROR(__xludf.DUMMYFUNCTION("GOOGLETRANSLATE(A3947,""en"",""pt"")"),"eles")</f>
        <v>eles</v>
      </c>
      <c r="G3947" s="69"/>
    </row>
    <row r="3948" ht="22.5" customHeight="1">
      <c r="A3948" s="66" t="s">
        <v>4899</v>
      </c>
      <c r="B3948" s="67" t="str">
        <f t="shared" si="16"/>
        <v>M: are</v>
      </c>
      <c r="C3948" s="68"/>
      <c r="D3948" s="68">
        <v>46144.0</v>
      </c>
      <c r="E3948" s="66">
        <v>6.0</v>
      </c>
      <c r="F3948" s="66" t="str">
        <f>IFERROR(__xludf.DUMMYFUNCTION("GOOGLETRANSLATE(A3948,""en"",""pt"")"),"são")</f>
        <v>são</v>
      </c>
      <c r="G3948" s="69"/>
    </row>
    <row r="3949" ht="22.5" customHeight="1">
      <c r="A3949" s="66" t="s">
        <v>4900</v>
      </c>
      <c r="B3949" s="67" t="str">
        <f t="shared" si="16"/>
        <v>M: senior</v>
      </c>
      <c r="C3949" s="68"/>
      <c r="D3949" s="68">
        <v>46144.0</v>
      </c>
      <c r="E3949" s="66">
        <v>7.0</v>
      </c>
      <c r="F3949" s="66" t="str">
        <f>IFERROR(__xludf.DUMMYFUNCTION("GOOGLETRANSLATE(A3949,""en"",""pt"")"),"sênior")</f>
        <v>sênior</v>
      </c>
      <c r="G3949" s="69"/>
    </row>
    <row r="3950" ht="22.5" customHeight="1">
      <c r="A3950" s="66" t="s">
        <v>4901</v>
      </c>
      <c r="B3950" s="67" t="str">
        <f t="shared" si="16"/>
        <v>M: junior</v>
      </c>
      <c r="C3950" s="68"/>
      <c r="D3950" s="68">
        <v>46144.0</v>
      </c>
      <c r="E3950" s="66">
        <v>8.0</v>
      </c>
      <c r="F3950" s="66" t="str">
        <f>IFERROR(__xludf.DUMMYFUNCTION("GOOGLETRANSLATE(A3950,""en"",""pt"")"),"júnior")</f>
        <v>júnior</v>
      </c>
      <c r="G3950" s="69"/>
    </row>
    <row r="3951" ht="22.5" customHeight="1">
      <c r="A3951" s="66" t="s">
        <v>4902</v>
      </c>
      <c r="B3951" s="67" t="str">
        <f t="shared" si="16"/>
        <v>M: industrial</v>
      </c>
      <c r="C3951" s="68"/>
      <c r="D3951" s="68">
        <v>46144.0</v>
      </c>
      <c r="E3951" s="66">
        <v>9.0</v>
      </c>
      <c r="F3951" s="66" t="str">
        <f>IFERROR(__xludf.DUMMYFUNCTION("GOOGLETRANSLATE(A3951,""en"",""pt"")"),"industrial")</f>
        <v>industrial</v>
      </c>
      <c r="G3951" s="69"/>
    </row>
    <row r="3952" ht="22.5" customHeight="1">
      <c r="A3952" s="66" t="s">
        <v>4903</v>
      </c>
      <c r="B3952" s="67" t="str">
        <f t="shared" si="16"/>
        <v>M: industrious</v>
      </c>
      <c r="C3952" s="68"/>
      <c r="D3952" s="68">
        <v>46145.0</v>
      </c>
      <c r="E3952" s="66">
        <v>10.0</v>
      </c>
      <c r="F3952" s="66" t="str">
        <f>IFERROR(__xludf.DUMMYFUNCTION("GOOGLETRANSLATE(A3952,""en"",""pt"")"),"industrioso")</f>
        <v>industrioso</v>
      </c>
      <c r="G3952" s="69"/>
    </row>
    <row r="3953" ht="22.5" customHeight="1">
      <c r="A3953" s="66" t="s">
        <v>4904</v>
      </c>
      <c r="B3953" s="67" t="str">
        <f t="shared" si="16"/>
        <v>M: drinks</v>
      </c>
      <c r="C3953" s="68"/>
      <c r="D3953" s="68">
        <v>46145.0</v>
      </c>
      <c r="E3953" s="66">
        <v>1.0</v>
      </c>
      <c r="F3953" s="66" t="str">
        <f>IFERROR(__xludf.DUMMYFUNCTION("GOOGLETRANSLATE(A3953,""en"",""pt"")"),"bebidas")</f>
        <v>bebidas</v>
      </c>
      <c r="G3953" s="69"/>
    </row>
    <row r="3954" ht="22.5" customHeight="1">
      <c r="A3954" s="66" t="s">
        <v>1910</v>
      </c>
      <c r="B3954" s="67" t="str">
        <f t="shared" si="16"/>
        <v>M: blame</v>
      </c>
      <c r="C3954" s="66">
        <v>2.0</v>
      </c>
      <c r="D3954" s="68">
        <v>46145.0</v>
      </c>
      <c r="E3954" s="66">
        <v>2.0</v>
      </c>
      <c r="F3954" s="66" t="s">
        <v>4905</v>
      </c>
      <c r="G3954" s="66" t="s">
        <v>247</v>
      </c>
    </row>
    <row r="3955" ht="22.5" customHeight="1">
      <c r="A3955" s="66" t="s">
        <v>1910</v>
      </c>
      <c r="B3955" s="67" t="str">
        <f t="shared" si="16"/>
        <v>M: blame</v>
      </c>
      <c r="C3955" s="66">
        <v>3.0</v>
      </c>
      <c r="D3955" s="68">
        <v>46145.0</v>
      </c>
      <c r="E3955" s="66">
        <v>3.0</v>
      </c>
      <c r="F3955" s="66" t="s">
        <v>4906</v>
      </c>
      <c r="G3955" s="66" t="s">
        <v>247</v>
      </c>
    </row>
    <row r="3956" ht="22.5" customHeight="1">
      <c r="A3956" s="66" t="s">
        <v>4907</v>
      </c>
      <c r="B3956" s="67" t="str">
        <f t="shared" si="16"/>
        <v>M: took</v>
      </c>
      <c r="C3956" s="68"/>
      <c r="D3956" s="68">
        <v>46145.0</v>
      </c>
      <c r="E3956" s="66">
        <v>4.0</v>
      </c>
      <c r="F3956" s="66" t="str">
        <f>IFERROR(__xludf.DUMMYFUNCTION("GOOGLETRANSLATE(A3956,""en"",""pt"")"),"pegou")</f>
        <v>pegou</v>
      </c>
      <c r="G3956" s="69"/>
    </row>
    <row r="3957" ht="22.5" customHeight="1">
      <c r="A3957" s="66" t="s">
        <v>4908</v>
      </c>
      <c r="B3957" s="67" t="str">
        <f t="shared" si="16"/>
        <v>M: intern</v>
      </c>
      <c r="C3957" s="68"/>
      <c r="D3957" s="68">
        <v>46145.0</v>
      </c>
      <c r="E3957" s="66">
        <v>5.0</v>
      </c>
      <c r="F3957" s="66" t="str">
        <f>IFERROR(__xludf.DUMMYFUNCTION("GOOGLETRANSLATE(A3957,""en"",""pt"")"),"estagiário")</f>
        <v>estagiário</v>
      </c>
      <c r="G3957" s="69"/>
    </row>
    <row r="3958" ht="22.5" customHeight="1">
      <c r="A3958" s="66" t="s">
        <v>4909</v>
      </c>
      <c r="B3958" s="67" t="str">
        <f t="shared" si="16"/>
        <v>M: where</v>
      </c>
      <c r="C3958" s="68"/>
      <c r="D3958" s="68">
        <v>46145.0</v>
      </c>
      <c r="E3958" s="66">
        <v>6.0</v>
      </c>
      <c r="F3958" s="66" t="str">
        <f>IFERROR(__xludf.DUMMYFUNCTION("GOOGLETRANSLATE(A3958,""en"",""pt"")"),"onde")</f>
        <v>onde</v>
      </c>
      <c r="G3958" s="69"/>
    </row>
    <row r="3959" ht="22.5" customHeight="1">
      <c r="A3959" s="66" t="s">
        <v>4910</v>
      </c>
      <c r="B3959" s="67" t="str">
        <f t="shared" si="16"/>
        <v>M: faulty</v>
      </c>
      <c r="C3959" s="68"/>
      <c r="D3959" s="68">
        <v>46145.0</v>
      </c>
      <c r="E3959" s="66">
        <v>7.0</v>
      </c>
      <c r="F3959" s="66" t="str">
        <f>IFERROR(__xludf.DUMMYFUNCTION("GOOGLETRANSLATE(A3959,""en"",""pt"")"),"defeituoso")</f>
        <v>defeituoso</v>
      </c>
      <c r="G3959" s="69"/>
    </row>
    <row r="3960" ht="22.5" customHeight="1">
      <c r="A3960" s="66" t="s">
        <v>4911</v>
      </c>
      <c r="B3960" s="67" t="str">
        <f t="shared" si="16"/>
        <v>M: script</v>
      </c>
      <c r="C3960" s="68"/>
      <c r="D3960" s="68">
        <v>46145.0</v>
      </c>
      <c r="E3960" s="66">
        <v>8.0</v>
      </c>
      <c r="F3960" s="66" t="str">
        <f>IFERROR(__xludf.DUMMYFUNCTION("GOOGLETRANSLATE(A3960,""en"",""pt"")"),"roteiro")</f>
        <v>roteiro</v>
      </c>
      <c r="G3960" s="69"/>
    </row>
    <row r="3961" ht="22.5" customHeight="1">
      <c r="A3961" s="66" t="s">
        <v>4912</v>
      </c>
      <c r="B3961" s="67" t="str">
        <f t="shared" si="16"/>
        <v>M: scalability</v>
      </c>
      <c r="C3961" s="68"/>
      <c r="D3961" s="68">
        <v>46145.0</v>
      </c>
      <c r="E3961" s="66">
        <v>9.0</v>
      </c>
      <c r="F3961" s="66" t="str">
        <f>IFERROR(__xludf.DUMMYFUNCTION("GOOGLETRANSLATE(A3961,""en"",""pt"")"),"escalabilidade")</f>
        <v>escalabilidade</v>
      </c>
      <c r="G3961" s="69"/>
    </row>
    <row r="3962" ht="22.5" customHeight="1">
      <c r="A3962" s="66" t="s">
        <v>4913</v>
      </c>
      <c r="B3962" s="67" t="str">
        <f t="shared" si="16"/>
        <v>M: scalable</v>
      </c>
      <c r="C3962" s="68"/>
      <c r="D3962" s="68">
        <v>46146.0</v>
      </c>
      <c r="E3962" s="66">
        <v>10.0</v>
      </c>
      <c r="F3962" s="66" t="str">
        <f>IFERROR(__xludf.DUMMYFUNCTION("GOOGLETRANSLATE(A3962,""en"",""pt"")"),"escalável")</f>
        <v>escalável</v>
      </c>
      <c r="G3962" s="69"/>
    </row>
    <row r="3963" ht="22.5" customHeight="1">
      <c r="A3963" s="66" t="s">
        <v>2051</v>
      </c>
      <c r="B3963" s="67" t="str">
        <f t="shared" si="16"/>
        <v>M: runt</v>
      </c>
      <c r="C3963" s="66">
        <v>2.0</v>
      </c>
      <c r="D3963" s="68">
        <v>46146.0</v>
      </c>
      <c r="E3963" s="66">
        <v>1.0</v>
      </c>
      <c r="F3963" s="71" t="s">
        <v>4914</v>
      </c>
      <c r="G3963" s="66" t="s">
        <v>247</v>
      </c>
    </row>
    <row r="3964" ht="22.5" customHeight="1">
      <c r="A3964" s="66" t="s">
        <v>2713</v>
      </c>
      <c r="B3964" s="67" t="str">
        <f t="shared" si="16"/>
        <v>M: sponge</v>
      </c>
      <c r="C3964" s="66">
        <v>2.0</v>
      </c>
      <c r="D3964" s="68">
        <v>46146.0</v>
      </c>
      <c r="E3964" s="66">
        <v>2.0</v>
      </c>
      <c r="F3964" s="66" t="s">
        <v>4915</v>
      </c>
      <c r="G3964" s="66" t="s">
        <v>247</v>
      </c>
    </row>
    <row r="3965" ht="22.5" customHeight="1">
      <c r="A3965" s="66" t="s">
        <v>4916</v>
      </c>
      <c r="B3965" s="67" t="str">
        <f t="shared" si="16"/>
        <v>M: scarcity</v>
      </c>
      <c r="C3965" s="68"/>
      <c r="D3965" s="68">
        <v>46146.0</v>
      </c>
      <c r="E3965" s="66">
        <v>3.0</v>
      </c>
      <c r="F3965" s="66" t="str">
        <f>IFERROR(__xludf.DUMMYFUNCTION("GOOGLETRANSLATE(A3965,""en"",""pt"")"),"escassez")</f>
        <v>escassez</v>
      </c>
      <c r="G3965" s="69"/>
    </row>
    <row r="3966" ht="22.5" customHeight="1">
      <c r="A3966" s="66" t="s">
        <v>2713</v>
      </c>
      <c r="B3966" s="67" t="str">
        <f t="shared" si="16"/>
        <v>M: sponge</v>
      </c>
      <c r="C3966" s="66">
        <v>3.0</v>
      </c>
      <c r="D3966" s="68">
        <v>46146.0</v>
      </c>
      <c r="E3966" s="66">
        <v>4.0</v>
      </c>
      <c r="F3966" s="66" t="s">
        <v>4917</v>
      </c>
      <c r="G3966" s="66" t="s">
        <v>247</v>
      </c>
    </row>
    <row r="3967" ht="22.5" customHeight="1">
      <c r="A3967" s="66" t="s">
        <v>2713</v>
      </c>
      <c r="B3967" s="67" t="str">
        <f t="shared" si="16"/>
        <v>M: sponge</v>
      </c>
      <c r="C3967" s="66">
        <v>4.0</v>
      </c>
      <c r="D3967" s="68">
        <v>46146.0</v>
      </c>
      <c r="E3967" s="66">
        <v>5.0</v>
      </c>
      <c r="F3967" s="66" t="s">
        <v>4918</v>
      </c>
      <c r="G3967" s="66" t="s">
        <v>247</v>
      </c>
    </row>
    <row r="3968" ht="22.5" customHeight="1">
      <c r="A3968" s="66" t="s">
        <v>2749</v>
      </c>
      <c r="B3968" s="67" t="str">
        <f t="shared" si="16"/>
        <v>M: parameter</v>
      </c>
      <c r="C3968" s="66">
        <v>2.0</v>
      </c>
      <c r="D3968" s="68">
        <v>46146.0</v>
      </c>
      <c r="E3968" s="66">
        <v>6.0</v>
      </c>
      <c r="F3968" s="71" t="s">
        <v>4919</v>
      </c>
      <c r="G3968" s="66" t="s">
        <v>247</v>
      </c>
    </row>
    <row r="3969" ht="22.5" customHeight="1">
      <c r="A3969" s="66" t="s">
        <v>2749</v>
      </c>
      <c r="B3969" s="67" t="str">
        <f t="shared" si="16"/>
        <v>M: parameter</v>
      </c>
      <c r="C3969" s="66">
        <v>3.0</v>
      </c>
      <c r="D3969" s="68">
        <v>46146.0</v>
      </c>
      <c r="E3969" s="66">
        <v>7.0</v>
      </c>
      <c r="F3969" s="66" t="s">
        <v>4920</v>
      </c>
      <c r="G3969" s="66" t="s">
        <v>247</v>
      </c>
    </row>
    <row r="3970" ht="22.5" customHeight="1">
      <c r="A3970" s="66" t="s">
        <v>1941</v>
      </c>
      <c r="B3970" s="67" t="str">
        <f t="shared" si="16"/>
        <v>M: hovered</v>
      </c>
      <c r="C3970" s="66">
        <v>2.0</v>
      </c>
      <c r="D3970" s="68">
        <v>46146.0</v>
      </c>
      <c r="E3970" s="66">
        <v>8.0</v>
      </c>
      <c r="F3970" s="71" t="s">
        <v>4921</v>
      </c>
      <c r="G3970" s="66" t="s">
        <v>247</v>
      </c>
    </row>
    <row r="3971" ht="22.5" customHeight="1">
      <c r="A3971" s="66" t="s">
        <v>1941</v>
      </c>
      <c r="B3971" s="67" t="str">
        <f t="shared" si="16"/>
        <v>M: hovered</v>
      </c>
      <c r="C3971" s="66">
        <v>3.0</v>
      </c>
      <c r="D3971" s="68">
        <v>46146.0</v>
      </c>
      <c r="E3971" s="66">
        <v>9.0</v>
      </c>
      <c r="F3971" s="71" t="s">
        <v>4922</v>
      </c>
      <c r="G3971" s="66" t="s">
        <v>247</v>
      </c>
    </row>
    <row r="3972" ht="22.5" customHeight="1">
      <c r="A3972" s="66" t="s">
        <v>4923</v>
      </c>
      <c r="B3972" s="67" t="str">
        <f t="shared" si="16"/>
        <v>M: tooltip</v>
      </c>
      <c r="C3972" s="68"/>
      <c r="D3972" s="68">
        <v>46147.0</v>
      </c>
      <c r="E3972" s="66">
        <v>10.0</v>
      </c>
      <c r="F3972" s="66" t="str">
        <f>IFERROR(__xludf.DUMMYFUNCTION("GOOGLETRANSLATE(A3972,""en"",""pt"")"),"dica de ferramenta")</f>
        <v>dica de ferramenta</v>
      </c>
      <c r="G3972" s="69"/>
    </row>
    <row r="3973" ht="22.5" customHeight="1">
      <c r="A3973" s="66" t="s">
        <v>4924</v>
      </c>
      <c r="B3973" s="67" t="str">
        <f t="shared" si="16"/>
        <v>M: appeared</v>
      </c>
      <c r="C3973" s="68"/>
      <c r="D3973" s="68">
        <v>46147.0</v>
      </c>
      <c r="E3973" s="66">
        <v>1.0</v>
      </c>
      <c r="F3973" s="66" t="str">
        <f>IFERROR(__xludf.DUMMYFUNCTION("GOOGLETRANSLATE(A3973,""en"",""pt"")"),"apareceu")</f>
        <v>apareceu</v>
      </c>
      <c r="G3973" s="69"/>
    </row>
    <row r="3974" ht="22.5" customHeight="1">
      <c r="A3974" s="66" t="s">
        <v>4925</v>
      </c>
      <c r="B3974" s="67" t="str">
        <f t="shared" si="16"/>
        <v>M: button</v>
      </c>
      <c r="C3974" s="68"/>
      <c r="D3974" s="68">
        <v>46147.0</v>
      </c>
      <c r="E3974" s="66">
        <v>2.0</v>
      </c>
      <c r="F3974" s="66" t="str">
        <f>IFERROR(__xludf.DUMMYFUNCTION("GOOGLETRANSLATE(A3974,""en"",""pt"")"),"botão")</f>
        <v>botão</v>
      </c>
      <c r="G3974" s="69"/>
    </row>
    <row r="3975" ht="22.5" customHeight="1">
      <c r="A3975" s="66" t="s">
        <v>4926</v>
      </c>
      <c r="B3975" s="67" t="str">
        <f t="shared" si="16"/>
        <v>M: link</v>
      </c>
      <c r="C3975" s="68"/>
      <c r="D3975" s="68">
        <v>46147.0</v>
      </c>
      <c r="E3975" s="66">
        <v>3.0</v>
      </c>
      <c r="F3975" s="66" t="str">
        <f>IFERROR(__xludf.DUMMYFUNCTION("GOOGLETRANSLATE(A3975,""en"",""pt"")"),"link")</f>
        <v>link</v>
      </c>
      <c r="G3975" s="69"/>
    </row>
    <row r="3976" ht="22.5" customHeight="1">
      <c r="A3976" s="66" t="s">
        <v>4927</v>
      </c>
      <c r="B3976" s="67" t="str">
        <f t="shared" si="16"/>
        <v>M: url</v>
      </c>
      <c r="C3976" s="68"/>
      <c r="D3976" s="68">
        <v>46147.0</v>
      </c>
      <c r="E3976" s="66">
        <v>4.0</v>
      </c>
      <c r="F3976" s="66" t="str">
        <f>IFERROR(__xludf.DUMMYFUNCTION("GOOGLETRANSLATE(A3976,""en"",""pt"")"),"URL")</f>
        <v>URL</v>
      </c>
      <c r="G3976" s="69"/>
    </row>
    <row r="3977" ht="22.5" customHeight="1">
      <c r="A3977" s="66" t="s">
        <v>4928</v>
      </c>
      <c r="B3977" s="67" t="str">
        <f t="shared" si="16"/>
        <v>M: hummingbird</v>
      </c>
      <c r="C3977" s="68"/>
      <c r="D3977" s="68">
        <v>46147.0</v>
      </c>
      <c r="E3977" s="66">
        <v>5.0</v>
      </c>
      <c r="F3977" s="66" t="str">
        <f>IFERROR(__xludf.DUMMYFUNCTION("GOOGLETRANSLATE(A3977,""en"",""pt"")"),"colibri")</f>
        <v>colibri</v>
      </c>
      <c r="G3977" s="69"/>
    </row>
    <row r="3978" ht="22.5" customHeight="1">
      <c r="A3978" s="66" t="s">
        <v>4929</v>
      </c>
      <c r="B3978" s="67" t="str">
        <f t="shared" si="16"/>
        <v>M: mist</v>
      </c>
      <c r="C3978" s="68"/>
      <c r="D3978" s="68">
        <v>46147.0</v>
      </c>
      <c r="E3978" s="66">
        <v>6.0</v>
      </c>
      <c r="F3978" s="66" t="str">
        <f>IFERROR(__xludf.DUMMYFUNCTION("GOOGLETRANSLATE(A3978,""en"",""pt"")"),"névoa")</f>
        <v>névoa</v>
      </c>
      <c r="G3978" s="69"/>
    </row>
    <row r="3979" ht="22.5" customHeight="1">
      <c r="A3979" s="66" t="s">
        <v>4930</v>
      </c>
      <c r="B3979" s="67" t="str">
        <f t="shared" si="16"/>
        <v>M: cpu</v>
      </c>
      <c r="C3979" s="68"/>
      <c r="D3979" s="68">
        <v>46147.0</v>
      </c>
      <c r="E3979" s="66">
        <v>7.0</v>
      </c>
      <c r="F3979" s="66" t="str">
        <f>IFERROR(__xludf.DUMMYFUNCTION("GOOGLETRANSLATE(A3979,""en"",""pt"")"),"CPU")</f>
        <v>CPU</v>
      </c>
      <c r="G3979" s="69"/>
    </row>
    <row r="3980" ht="22.5" customHeight="1">
      <c r="A3980" s="66" t="s">
        <v>2150</v>
      </c>
      <c r="B3980" s="67" t="str">
        <f t="shared" si="16"/>
        <v>M: stood</v>
      </c>
      <c r="C3980" s="66">
        <v>2.0</v>
      </c>
      <c r="D3980" s="68">
        <v>46147.0</v>
      </c>
      <c r="E3980" s="66">
        <v>8.0</v>
      </c>
      <c r="F3980" s="71" t="s">
        <v>4931</v>
      </c>
      <c r="G3980" s="66" t="s">
        <v>247</v>
      </c>
    </row>
    <row r="3981" ht="22.5" customHeight="1">
      <c r="A3981" s="66" t="s">
        <v>2150</v>
      </c>
      <c r="B3981" s="67" t="str">
        <f t="shared" si="16"/>
        <v>M: stood</v>
      </c>
      <c r="C3981" s="66">
        <v>3.0</v>
      </c>
      <c r="D3981" s="68">
        <v>46147.0</v>
      </c>
      <c r="E3981" s="66">
        <v>9.0</v>
      </c>
      <c r="F3981" s="71" t="s">
        <v>4932</v>
      </c>
      <c r="G3981" s="66" t="s">
        <v>247</v>
      </c>
    </row>
    <row r="3982" ht="22.5" customHeight="1">
      <c r="A3982" s="66" t="s">
        <v>2150</v>
      </c>
      <c r="B3982" s="67" t="str">
        <f t="shared" si="16"/>
        <v>M: stood</v>
      </c>
      <c r="C3982" s="66">
        <v>4.0</v>
      </c>
      <c r="D3982" s="68">
        <v>46148.0</v>
      </c>
      <c r="E3982" s="66">
        <v>10.0</v>
      </c>
      <c r="F3982" s="71" t="s">
        <v>4933</v>
      </c>
      <c r="G3982" s="66" t="s">
        <v>247</v>
      </c>
    </row>
    <row r="3983" ht="22.5" customHeight="1">
      <c r="A3983" s="66" t="s">
        <v>4934</v>
      </c>
      <c r="B3983" s="67" t="str">
        <f t="shared" si="16"/>
        <v>M: heavy</v>
      </c>
      <c r="C3983" s="68"/>
      <c r="D3983" s="68">
        <v>46148.0</v>
      </c>
      <c r="E3983" s="66">
        <v>1.0</v>
      </c>
      <c r="F3983" s="66" t="str">
        <f>IFERROR(__xludf.DUMMYFUNCTION("GOOGLETRANSLATE(A3983,""en"",""pt"")"),"pesado")</f>
        <v>pesado</v>
      </c>
      <c r="G3983" s="69"/>
    </row>
    <row r="3984" ht="22.5" customHeight="1">
      <c r="A3984" s="66" t="s">
        <v>4935</v>
      </c>
      <c r="B3984" s="67" t="str">
        <f t="shared" si="16"/>
        <v>M: heads</v>
      </c>
      <c r="C3984" s="68"/>
      <c r="D3984" s="68">
        <v>46148.0</v>
      </c>
      <c r="E3984" s="66">
        <v>2.0</v>
      </c>
      <c r="F3984" s="66" t="str">
        <f>IFERROR(__xludf.DUMMYFUNCTION("GOOGLETRANSLATE(A3984,""en"",""pt"")"),"cabeças")</f>
        <v>cabeças</v>
      </c>
      <c r="G3984" s="69"/>
    </row>
    <row r="3985" ht="22.5" customHeight="1">
      <c r="A3985" s="66" t="s">
        <v>4936</v>
      </c>
      <c r="B3985" s="67" t="str">
        <f t="shared" si="16"/>
        <v>M: head</v>
      </c>
      <c r="C3985" s="68"/>
      <c r="D3985" s="68">
        <v>46148.0</v>
      </c>
      <c r="E3985" s="66">
        <v>3.0</v>
      </c>
      <c r="F3985" s="66" t="str">
        <f>IFERROR(__xludf.DUMMYFUNCTION("GOOGLETRANSLATE(A3985,""en"",""pt"")"),"cabeça")</f>
        <v>cabeça</v>
      </c>
      <c r="G3985" s="69"/>
    </row>
    <row r="3986" ht="22.5" customHeight="1">
      <c r="A3986" s="66" t="s">
        <v>2327</v>
      </c>
      <c r="B3986" s="67" t="str">
        <f t="shared" si="16"/>
        <v>M: afterwards</v>
      </c>
      <c r="C3986" s="66">
        <v>2.0</v>
      </c>
      <c r="D3986" s="68">
        <v>46148.0</v>
      </c>
      <c r="E3986" s="66">
        <v>4.0</v>
      </c>
      <c r="F3986" s="71" t="s">
        <v>4937</v>
      </c>
      <c r="G3986" s="66" t="s">
        <v>247</v>
      </c>
    </row>
    <row r="3987" ht="22.5" customHeight="1">
      <c r="A3987" s="66" t="s">
        <v>2715</v>
      </c>
      <c r="B3987" s="67" t="str">
        <f t="shared" si="16"/>
        <v>M: comma</v>
      </c>
      <c r="C3987" s="66">
        <v>2.0</v>
      </c>
      <c r="D3987" s="68">
        <v>46148.0</v>
      </c>
      <c r="E3987" s="66">
        <v>5.0</v>
      </c>
      <c r="F3987" s="66" t="s">
        <v>4938</v>
      </c>
      <c r="G3987" s="66" t="s">
        <v>247</v>
      </c>
    </row>
    <row r="3988" ht="22.5" customHeight="1">
      <c r="A3988" s="66" t="s">
        <v>2715</v>
      </c>
      <c r="B3988" s="67" t="str">
        <f t="shared" si="16"/>
        <v>M: comma</v>
      </c>
      <c r="C3988" s="66">
        <v>3.0</v>
      </c>
      <c r="D3988" s="68">
        <v>46148.0</v>
      </c>
      <c r="E3988" s="66">
        <v>6.0</v>
      </c>
      <c r="F3988" s="66" t="s">
        <v>4939</v>
      </c>
      <c r="G3988" s="66" t="s">
        <v>247</v>
      </c>
    </row>
    <row r="3989" ht="22.5" customHeight="1">
      <c r="A3989" s="66" t="s">
        <v>1000</v>
      </c>
      <c r="B3989" s="67" t="str">
        <f t="shared" si="16"/>
        <v>M: east</v>
      </c>
      <c r="C3989" s="66">
        <v>2.0</v>
      </c>
      <c r="D3989" s="68">
        <v>46148.0</v>
      </c>
      <c r="E3989" s="66">
        <v>7.0</v>
      </c>
      <c r="F3989" s="71" t="s">
        <v>4940</v>
      </c>
      <c r="G3989" s="66" t="s">
        <v>247</v>
      </c>
    </row>
    <row r="3990" ht="22.5" customHeight="1">
      <c r="A3990" s="66" t="s">
        <v>1000</v>
      </c>
      <c r="B3990" s="67" t="str">
        <f t="shared" si="16"/>
        <v>M: east</v>
      </c>
      <c r="C3990" s="66">
        <v>3.0</v>
      </c>
      <c r="D3990" s="68">
        <v>46148.0</v>
      </c>
      <c r="E3990" s="66">
        <v>8.0</v>
      </c>
      <c r="F3990" s="66" t="s">
        <v>4941</v>
      </c>
      <c r="G3990" s="66" t="s">
        <v>247</v>
      </c>
    </row>
    <row r="3991" ht="22.5" customHeight="1">
      <c r="A3991" s="66" t="s">
        <v>2325</v>
      </c>
      <c r="B3991" s="67" t="str">
        <f t="shared" si="16"/>
        <v>M: get rid</v>
      </c>
      <c r="C3991" s="66">
        <v>2.0</v>
      </c>
      <c r="D3991" s="68">
        <v>46148.0</v>
      </c>
      <c r="E3991" s="66">
        <v>9.0</v>
      </c>
      <c r="F3991" s="71" t="s">
        <v>4942</v>
      </c>
      <c r="G3991" s="66" t="s">
        <v>247</v>
      </c>
    </row>
    <row r="3992" ht="22.5" customHeight="1">
      <c r="A3992" s="66" t="s">
        <v>2325</v>
      </c>
      <c r="B3992" s="67" t="str">
        <f t="shared" si="16"/>
        <v>M: get rid</v>
      </c>
      <c r="C3992" s="66">
        <v>3.0</v>
      </c>
      <c r="D3992" s="68">
        <v>46149.0</v>
      </c>
      <c r="E3992" s="66">
        <v>10.0</v>
      </c>
      <c r="F3992" s="71" t="s">
        <v>4943</v>
      </c>
      <c r="G3992" s="66" t="s">
        <v>247</v>
      </c>
    </row>
    <row r="3993" ht="22.5" customHeight="1">
      <c r="A3993" s="66" t="s">
        <v>2725</v>
      </c>
      <c r="B3993" s="67" t="str">
        <f t="shared" si="16"/>
        <v>M: normally</v>
      </c>
      <c r="C3993" s="66">
        <v>2.0</v>
      </c>
      <c r="D3993" s="68">
        <v>46149.0</v>
      </c>
      <c r="E3993" s="66">
        <v>1.0</v>
      </c>
      <c r="F3993" s="66" t="s">
        <v>4944</v>
      </c>
      <c r="G3993" s="66" t="s">
        <v>247</v>
      </c>
    </row>
    <row r="3994" ht="22.5" customHeight="1">
      <c r="A3994" s="66" t="s">
        <v>4945</v>
      </c>
      <c r="B3994" s="67" t="str">
        <f t="shared" si="16"/>
        <v>M: takes</v>
      </c>
      <c r="C3994" s="68"/>
      <c r="D3994" s="68">
        <v>46149.0</v>
      </c>
      <c r="E3994" s="66">
        <v>2.0</v>
      </c>
      <c r="F3994" s="66" t="str">
        <f>IFERROR(__xludf.DUMMYFUNCTION("GOOGLETRANSLATE(A3994,""en"",""pt"")"),"leva")</f>
        <v>leva</v>
      </c>
      <c r="G3994" s="69"/>
    </row>
    <row r="3995" ht="22.5" customHeight="1">
      <c r="A3995" s="66" t="s">
        <v>4946</v>
      </c>
      <c r="B3995" s="67" t="str">
        <f t="shared" si="16"/>
        <v>M: approve</v>
      </c>
      <c r="C3995" s="68"/>
      <c r="D3995" s="68">
        <v>46149.0</v>
      </c>
      <c r="E3995" s="66">
        <v>3.0</v>
      </c>
      <c r="F3995" s="66" t="str">
        <f>IFERROR(__xludf.DUMMYFUNCTION("GOOGLETRANSLATE(A3995,""en"",""pt"")"),"aprovar")</f>
        <v>aprovar</v>
      </c>
      <c r="G3995" s="69"/>
    </row>
    <row r="3996" ht="22.5" customHeight="1">
      <c r="A3996" s="66" t="s">
        <v>4947</v>
      </c>
      <c r="B3996" s="67" t="str">
        <f t="shared" si="16"/>
        <v>M: pull</v>
      </c>
      <c r="C3996" s="68"/>
      <c r="D3996" s="68">
        <v>46149.0</v>
      </c>
      <c r="E3996" s="66">
        <v>4.0</v>
      </c>
      <c r="F3996" s="66" t="str">
        <f>IFERROR(__xludf.DUMMYFUNCTION("GOOGLETRANSLATE(A3996,""en"",""pt"")"),"puxar")</f>
        <v>puxar</v>
      </c>
      <c r="G3996" s="69"/>
    </row>
    <row r="3997" ht="22.5" customHeight="1">
      <c r="A3997" s="66" t="s">
        <v>4948</v>
      </c>
      <c r="B3997" s="67" t="str">
        <f t="shared" si="16"/>
        <v>M: request</v>
      </c>
      <c r="C3997" s="68"/>
      <c r="D3997" s="68">
        <v>46149.0</v>
      </c>
      <c r="E3997" s="66">
        <v>5.0</v>
      </c>
      <c r="F3997" s="66" t="str">
        <f>IFERROR(__xludf.DUMMYFUNCTION("GOOGLETRANSLATE(A3997,""en"",""pt"")"),"solicitar")</f>
        <v>solicitar</v>
      </c>
      <c r="G3997" s="69"/>
    </row>
    <row r="3998" ht="22.5" customHeight="1">
      <c r="A3998" s="66"/>
      <c r="B3998" s="67" t="str">
        <f t="shared" si="16"/>
        <v>M: </v>
      </c>
      <c r="C3998" s="68"/>
      <c r="D3998" s="68">
        <v>46149.0</v>
      </c>
      <c r="E3998" s="66">
        <v>6.0</v>
      </c>
      <c r="F3998" s="66" t="str">
        <f>IFERROR(__xludf.DUMMYFUNCTION("GOOGLETRANSLATE(A3998,""en"",""pt"")"),"#VALUE!")</f>
        <v>#VALUE!</v>
      </c>
      <c r="G3998" s="69"/>
    </row>
    <row r="3999" ht="22.5" customHeight="1">
      <c r="A3999" s="66"/>
      <c r="B3999" s="67" t="str">
        <f t="shared" si="16"/>
        <v>M: </v>
      </c>
      <c r="C3999" s="68"/>
      <c r="D3999" s="68">
        <v>46149.0</v>
      </c>
      <c r="E3999" s="66">
        <v>7.0</v>
      </c>
      <c r="F3999" s="66" t="str">
        <f>IFERROR(__xludf.DUMMYFUNCTION("GOOGLETRANSLATE(A3999,""en"",""pt"")"),"#VALUE!")</f>
        <v>#VALUE!</v>
      </c>
      <c r="G3999" s="69"/>
    </row>
    <row r="4000" ht="22.5" customHeight="1">
      <c r="A4000" s="66"/>
      <c r="B4000" s="67" t="str">
        <f t="shared" si="16"/>
        <v>M: </v>
      </c>
      <c r="C4000" s="68"/>
      <c r="D4000" s="68">
        <v>46149.0</v>
      </c>
      <c r="E4000" s="66">
        <v>8.0</v>
      </c>
      <c r="F4000" s="66" t="str">
        <f>IFERROR(__xludf.DUMMYFUNCTION("GOOGLETRANSLATE(A4000,""en"",""pt"")"),"#VALUE!")</f>
        <v>#VALUE!</v>
      </c>
      <c r="G4000" s="69"/>
    </row>
    <row r="4001" ht="22.5" customHeight="1">
      <c r="A4001" s="66"/>
      <c r="B4001" s="67" t="str">
        <f t="shared" si="16"/>
        <v>M: </v>
      </c>
      <c r="C4001" s="68"/>
      <c r="D4001" s="68">
        <v>46149.0</v>
      </c>
      <c r="E4001" s="66">
        <v>9.0</v>
      </c>
      <c r="F4001" s="66" t="str">
        <f>IFERROR(__xludf.DUMMYFUNCTION("GOOGLETRANSLATE(A4001,""en"",""pt"")"),"#VALUE!")</f>
        <v>#VALUE!</v>
      </c>
      <c r="G4001" s="69"/>
    </row>
    <row r="4002" ht="22.5" customHeight="1">
      <c r="A4002" s="66"/>
      <c r="B4002" s="67" t="str">
        <f t="shared" si="16"/>
        <v>M: </v>
      </c>
      <c r="C4002" s="68"/>
      <c r="D4002" s="68">
        <v>46150.0</v>
      </c>
      <c r="E4002" s="66">
        <v>10.0</v>
      </c>
      <c r="F4002" s="66" t="str">
        <f>IFERROR(__xludf.DUMMYFUNCTION("GOOGLETRANSLATE(A4002,""en"",""pt"")"),"#VALUE!")</f>
        <v>#VALUE!</v>
      </c>
      <c r="G4002" s="69"/>
    </row>
    <row r="4003" ht="22.5" customHeight="1">
      <c r="A4003" s="66"/>
      <c r="B4003" s="67" t="str">
        <f t="shared" si="16"/>
        <v>M: </v>
      </c>
      <c r="C4003" s="68"/>
      <c r="D4003" s="68">
        <v>46150.0</v>
      </c>
      <c r="E4003" s="66">
        <v>1.0</v>
      </c>
      <c r="F4003" s="66" t="str">
        <f>IFERROR(__xludf.DUMMYFUNCTION("GOOGLETRANSLATE(A4003,""en"",""pt"")"),"#VALUE!")</f>
        <v>#VALUE!</v>
      </c>
      <c r="G4003" s="69"/>
    </row>
    <row r="4004" ht="22.5" customHeight="1">
      <c r="A4004" s="66"/>
      <c r="B4004" s="67" t="str">
        <f t="shared" si="16"/>
        <v>M: </v>
      </c>
      <c r="C4004" s="68"/>
      <c r="D4004" s="68">
        <v>46150.0</v>
      </c>
      <c r="E4004" s="66">
        <v>2.0</v>
      </c>
      <c r="F4004" s="66" t="str">
        <f>IFERROR(__xludf.DUMMYFUNCTION("GOOGLETRANSLATE(A4004,""en"",""pt"")"),"#VALUE!")</f>
        <v>#VALUE!</v>
      </c>
      <c r="G4004" s="69"/>
    </row>
    <row r="4005" ht="22.5" customHeight="1">
      <c r="A4005" s="66"/>
      <c r="B4005" s="67" t="str">
        <f t="shared" si="16"/>
        <v>M: </v>
      </c>
      <c r="C4005" s="68"/>
      <c r="D4005" s="68">
        <v>46150.0</v>
      </c>
      <c r="E4005" s="66">
        <v>3.0</v>
      </c>
      <c r="F4005" s="66" t="str">
        <f>IFERROR(__xludf.DUMMYFUNCTION("GOOGLETRANSLATE(A4005,""en"",""pt"")"),"#VALUE!")</f>
        <v>#VALUE!</v>
      </c>
      <c r="G4005" s="69"/>
    </row>
    <row r="4006" ht="22.5" customHeight="1">
      <c r="A4006" s="66"/>
      <c r="B4006" s="67" t="str">
        <f t="shared" si="16"/>
        <v>M: </v>
      </c>
      <c r="C4006" s="68"/>
      <c r="D4006" s="68">
        <v>46150.0</v>
      </c>
      <c r="E4006" s="66">
        <v>4.0</v>
      </c>
      <c r="F4006" s="66" t="str">
        <f>IFERROR(__xludf.DUMMYFUNCTION("GOOGLETRANSLATE(A4006,""en"",""pt"")"),"#VALUE!")</f>
        <v>#VALUE!</v>
      </c>
      <c r="G4006" s="69"/>
    </row>
    <row r="4007" ht="22.5" customHeight="1">
      <c r="A4007" s="66"/>
      <c r="B4007" s="67" t="str">
        <f t="shared" si="16"/>
        <v>M: </v>
      </c>
      <c r="C4007" s="68"/>
      <c r="D4007" s="68">
        <v>46150.0</v>
      </c>
      <c r="E4007" s="66">
        <v>5.0</v>
      </c>
      <c r="F4007" s="66" t="str">
        <f>IFERROR(__xludf.DUMMYFUNCTION("GOOGLETRANSLATE(A4007,""en"",""pt"")"),"#VALUE!")</f>
        <v>#VALUE!</v>
      </c>
      <c r="G4007" s="69"/>
    </row>
    <row r="4008" ht="22.5" customHeight="1">
      <c r="A4008" s="66"/>
      <c r="B4008" s="67" t="str">
        <f t="shared" si="16"/>
        <v>M: </v>
      </c>
      <c r="C4008" s="68"/>
      <c r="D4008" s="68">
        <v>46150.0</v>
      </c>
      <c r="E4008" s="66">
        <v>6.0</v>
      </c>
      <c r="F4008" s="66" t="str">
        <f>IFERROR(__xludf.DUMMYFUNCTION("GOOGLETRANSLATE(A4008,""en"",""pt"")"),"#VALUE!")</f>
        <v>#VALUE!</v>
      </c>
      <c r="G4008" s="69"/>
    </row>
    <row r="4009" ht="22.5" customHeight="1">
      <c r="A4009" s="66"/>
      <c r="B4009" s="67" t="str">
        <f t="shared" si="16"/>
        <v>M: </v>
      </c>
      <c r="C4009" s="68"/>
      <c r="D4009" s="68">
        <v>46150.0</v>
      </c>
      <c r="E4009" s="66">
        <v>7.0</v>
      </c>
      <c r="F4009" s="66" t="str">
        <f>IFERROR(__xludf.DUMMYFUNCTION("GOOGLETRANSLATE(A4009,""en"",""pt"")"),"#VALUE!")</f>
        <v>#VALUE!</v>
      </c>
      <c r="G4009" s="69"/>
    </row>
    <row r="4010" ht="22.5" customHeight="1">
      <c r="A4010" s="66"/>
      <c r="B4010" s="67" t="str">
        <f t="shared" si="16"/>
        <v>M: </v>
      </c>
      <c r="C4010" s="68"/>
      <c r="D4010" s="68">
        <v>46150.0</v>
      </c>
      <c r="E4010" s="66">
        <v>8.0</v>
      </c>
      <c r="F4010" s="66" t="str">
        <f>IFERROR(__xludf.DUMMYFUNCTION("GOOGLETRANSLATE(A4010,""en"",""pt"")"),"#VALUE!")</f>
        <v>#VALUE!</v>
      </c>
      <c r="G4010" s="69"/>
    </row>
    <row r="4011" ht="22.5" customHeight="1">
      <c r="A4011" s="66"/>
      <c r="B4011" s="67" t="str">
        <f t="shared" si="16"/>
        <v>M: </v>
      </c>
      <c r="C4011" s="68"/>
      <c r="D4011" s="68">
        <v>46150.0</v>
      </c>
      <c r="E4011" s="66">
        <v>9.0</v>
      </c>
      <c r="F4011" s="66" t="str">
        <f>IFERROR(__xludf.DUMMYFUNCTION("GOOGLETRANSLATE(A4011,""en"",""pt"")"),"#VALUE!")</f>
        <v>#VALUE!</v>
      </c>
      <c r="G4011" s="69"/>
    </row>
    <row r="4012" ht="22.5" customHeight="1">
      <c r="A4012" s="66"/>
      <c r="B4012" s="67" t="str">
        <f t="shared" si="16"/>
        <v>M: </v>
      </c>
      <c r="C4012" s="68"/>
      <c r="D4012" s="68">
        <v>46151.0</v>
      </c>
      <c r="E4012" s="66">
        <v>10.0</v>
      </c>
      <c r="F4012" s="66" t="str">
        <f>IFERROR(__xludf.DUMMYFUNCTION("GOOGLETRANSLATE(A4012,""en"",""pt"")"),"#VALUE!")</f>
        <v>#VALUE!</v>
      </c>
      <c r="G4012" s="69"/>
    </row>
    <row r="4013" ht="22.5" customHeight="1">
      <c r="A4013" s="66"/>
      <c r="B4013" s="67" t="str">
        <f t="shared" si="16"/>
        <v>M: </v>
      </c>
      <c r="C4013" s="68"/>
      <c r="D4013" s="68">
        <v>46151.0</v>
      </c>
      <c r="E4013" s="66">
        <v>1.0</v>
      </c>
      <c r="F4013" s="66" t="str">
        <f>IFERROR(__xludf.DUMMYFUNCTION("GOOGLETRANSLATE(A4013,""en"",""pt"")"),"#VALUE!")</f>
        <v>#VALUE!</v>
      </c>
      <c r="G4013" s="69"/>
    </row>
    <row r="4014" ht="22.5" customHeight="1">
      <c r="A4014" s="66"/>
      <c r="B4014" s="67" t="str">
        <f t="shared" si="16"/>
        <v>M: </v>
      </c>
      <c r="C4014" s="68"/>
      <c r="D4014" s="68">
        <v>46151.0</v>
      </c>
      <c r="E4014" s="66">
        <v>2.0</v>
      </c>
      <c r="F4014" s="66" t="str">
        <f>IFERROR(__xludf.DUMMYFUNCTION("GOOGLETRANSLATE(A4014,""en"",""pt"")"),"#VALUE!")</f>
        <v>#VALUE!</v>
      </c>
      <c r="G4014" s="69"/>
    </row>
    <row r="4015" ht="22.5" customHeight="1">
      <c r="A4015" s="66"/>
      <c r="B4015" s="67" t="str">
        <f t="shared" si="16"/>
        <v>M: </v>
      </c>
      <c r="C4015" s="68"/>
      <c r="D4015" s="68">
        <v>46151.0</v>
      </c>
      <c r="E4015" s="66">
        <v>3.0</v>
      </c>
      <c r="F4015" s="66" t="str">
        <f>IFERROR(__xludf.DUMMYFUNCTION("GOOGLETRANSLATE(A4015,""en"",""pt"")"),"#VALUE!")</f>
        <v>#VALUE!</v>
      </c>
      <c r="G4015" s="69"/>
    </row>
    <row r="4016" ht="22.5" customHeight="1">
      <c r="A4016" s="66"/>
      <c r="B4016" s="67" t="str">
        <f t="shared" si="16"/>
        <v>M: </v>
      </c>
      <c r="C4016" s="68"/>
      <c r="D4016" s="68">
        <v>46151.0</v>
      </c>
      <c r="E4016" s="66">
        <v>4.0</v>
      </c>
      <c r="F4016" s="66" t="str">
        <f>IFERROR(__xludf.DUMMYFUNCTION("GOOGLETRANSLATE(A4016,""en"",""pt"")"),"#VALUE!")</f>
        <v>#VALUE!</v>
      </c>
      <c r="G4016" s="69"/>
    </row>
    <row r="4017" ht="22.5" customHeight="1">
      <c r="A4017" s="66"/>
      <c r="B4017" s="67" t="str">
        <f t="shared" si="16"/>
        <v>M: </v>
      </c>
      <c r="C4017" s="68"/>
      <c r="D4017" s="68">
        <v>46151.0</v>
      </c>
      <c r="E4017" s="66">
        <v>5.0</v>
      </c>
      <c r="F4017" s="66" t="str">
        <f>IFERROR(__xludf.DUMMYFUNCTION("GOOGLETRANSLATE(A4017,""en"",""pt"")"),"#VALUE!")</f>
        <v>#VALUE!</v>
      </c>
      <c r="G4017" s="69"/>
    </row>
    <row r="4018" ht="22.5" customHeight="1">
      <c r="A4018" s="66"/>
      <c r="B4018" s="67" t="str">
        <f t="shared" si="16"/>
        <v>M: </v>
      </c>
      <c r="C4018" s="68"/>
      <c r="D4018" s="68">
        <v>46151.0</v>
      </c>
      <c r="E4018" s="66">
        <v>6.0</v>
      </c>
      <c r="F4018" s="66" t="str">
        <f>IFERROR(__xludf.DUMMYFUNCTION("GOOGLETRANSLATE(A4018,""en"",""pt"")"),"#VALUE!")</f>
        <v>#VALUE!</v>
      </c>
      <c r="G4018" s="69"/>
    </row>
    <row r="4019" ht="22.5" customHeight="1">
      <c r="A4019" s="66"/>
      <c r="B4019" s="67" t="str">
        <f t="shared" si="16"/>
        <v>M: </v>
      </c>
      <c r="C4019" s="68"/>
      <c r="D4019" s="68">
        <v>46151.0</v>
      </c>
      <c r="E4019" s="66">
        <v>7.0</v>
      </c>
      <c r="F4019" s="66" t="str">
        <f>IFERROR(__xludf.DUMMYFUNCTION("GOOGLETRANSLATE(A4019,""en"",""pt"")"),"#VALUE!")</f>
        <v>#VALUE!</v>
      </c>
      <c r="G4019" s="69"/>
    </row>
    <row r="4020" ht="22.5" customHeight="1">
      <c r="A4020" s="66"/>
      <c r="B4020" s="67" t="str">
        <f t="shared" si="16"/>
        <v>M: </v>
      </c>
      <c r="C4020" s="68"/>
      <c r="D4020" s="68">
        <v>46151.0</v>
      </c>
      <c r="E4020" s="66">
        <v>8.0</v>
      </c>
      <c r="F4020" s="66" t="str">
        <f>IFERROR(__xludf.DUMMYFUNCTION("GOOGLETRANSLATE(A4020,""en"",""pt"")"),"#VALUE!")</f>
        <v>#VALUE!</v>
      </c>
      <c r="G4020" s="69"/>
    </row>
    <row r="4021" ht="22.5" customHeight="1">
      <c r="A4021" s="66"/>
      <c r="B4021" s="67" t="str">
        <f t="shared" si="16"/>
        <v>M: </v>
      </c>
      <c r="C4021" s="68"/>
      <c r="D4021" s="68">
        <v>46151.0</v>
      </c>
      <c r="E4021" s="66">
        <v>9.0</v>
      </c>
      <c r="F4021" s="66" t="str">
        <f>IFERROR(__xludf.DUMMYFUNCTION("GOOGLETRANSLATE(A4021,""en"",""pt"")"),"#VALUE!")</f>
        <v>#VALUE!</v>
      </c>
      <c r="G4021" s="69"/>
    </row>
    <row r="4022" ht="22.5" customHeight="1">
      <c r="A4022" s="66"/>
      <c r="B4022" s="67" t="str">
        <f t="shared" si="16"/>
        <v>M: </v>
      </c>
      <c r="C4022" s="68"/>
      <c r="D4022" s="68">
        <v>46152.0</v>
      </c>
      <c r="E4022" s="66">
        <v>10.0</v>
      </c>
      <c r="F4022" s="66" t="str">
        <f>IFERROR(__xludf.DUMMYFUNCTION("GOOGLETRANSLATE(A4022,""en"",""pt"")"),"#VALUE!")</f>
        <v>#VALUE!</v>
      </c>
      <c r="G4022" s="69"/>
    </row>
    <row r="4023" ht="22.5" customHeight="1">
      <c r="A4023" s="66"/>
      <c r="B4023" s="67" t="str">
        <f t="shared" si="16"/>
        <v>M: </v>
      </c>
      <c r="C4023" s="68"/>
      <c r="D4023" s="68">
        <v>46152.0</v>
      </c>
      <c r="E4023" s="66">
        <v>1.0</v>
      </c>
      <c r="F4023" s="66" t="str">
        <f>IFERROR(__xludf.DUMMYFUNCTION("GOOGLETRANSLATE(A4023,""en"",""pt"")"),"#VALUE!")</f>
        <v>#VALUE!</v>
      </c>
      <c r="G4023" s="69"/>
    </row>
    <row r="4024" ht="22.5" customHeight="1">
      <c r="A4024" s="66"/>
      <c r="B4024" s="67" t="str">
        <f t="shared" si="16"/>
        <v>M: </v>
      </c>
      <c r="C4024" s="68"/>
      <c r="D4024" s="68">
        <v>46152.0</v>
      </c>
      <c r="E4024" s="66">
        <v>2.0</v>
      </c>
      <c r="F4024" s="66" t="str">
        <f>IFERROR(__xludf.DUMMYFUNCTION("GOOGLETRANSLATE(A4024,""en"",""pt"")"),"#VALUE!")</f>
        <v>#VALUE!</v>
      </c>
      <c r="G4024" s="69"/>
    </row>
    <row r="4025" ht="22.5" customHeight="1">
      <c r="A4025" s="66"/>
      <c r="B4025" s="67" t="str">
        <f t="shared" si="16"/>
        <v>M: </v>
      </c>
      <c r="C4025" s="68"/>
      <c r="D4025" s="68">
        <v>46152.0</v>
      </c>
      <c r="E4025" s="66">
        <v>3.0</v>
      </c>
      <c r="F4025" s="66" t="str">
        <f>IFERROR(__xludf.DUMMYFUNCTION("GOOGLETRANSLATE(A4025,""en"",""pt"")"),"#VALUE!")</f>
        <v>#VALUE!</v>
      </c>
      <c r="G4025" s="69"/>
    </row>
    <row r="4026" ht="22.5" customHeight="1">
      <c r="A4026" s="66"/>
      <c r="B4026" s="67" t="str">
        <f t="shared" si="16"/>
        <v>M: </v>
      </c>
      <c r="C4026" s="68"/>
      <c r="D4026" s="68">
        <v>46152.0</v>
      </c>
      <c r="E4026" s="66">
        <v>4.0</v>
      </c>
      <c r="F4026" s="66" t="str">
        <f>IFERROR(__xludf.DUMMYFUNCTION("GOOGLETRANSLATE(A4026,""en"",""pt"")"),"#VALUE!")</f>
        <v>#VALUE!</v>
      </c>
      <c r="G4026" s="69"/>
    </row>
    <row r="4027" ht="22.5" customHeight="1">
      <c r="A4027" s="66"/>
      <c r="B4027" s="67" t="str">
        <f t="shared" si="16"/>
        <v>M: </v>
      </c>
      <c r="C4027" s="68"/>
      <c r="D4027" s="68">
        <v>46152.0</v>
      </c>
      <c r="E4027" s="66">
        <v>5.0</v>
      </c>
      <c r="F4027" s="66" t="str">
        <f>IFERROR(__xludf.DUMMYFUNCTION("GOOGLETRANSLATE(A4027,""en"",""pt"")"),"#VALUE!")</f>
        <v>#VALUE!</v>
      </c>
      <c r="G4027" s="69"/>
    </row>
    <row r="4028" ht="22.5" customHeight="1">
      <c r="A4028" s="66"/>
      <c r="B4028" s="67" t="str">
        <f t="shared" si="16"/>
        <v>M: </v>
      </c>
      <c r="C4028" s="68"/>
      <c r="D4028" s="68">
        <v>46152.0</v>
      </c>
      <c r="E4028" s="66">
        <v>6.0</v>
      </c>
      <c r="F4028" s="66" t="str">
        <f>IFERROR(__xludf.DUMMYFUNCTION("GOOGLETRANSLATE(A4028,""en"",""pt"")"),"#VALUE!")</f>
        <v>#VALUE!</v>
      </c>
      <c r="G4028" s="69"/>
    </row>
    <row r="4029" ht="22.5" customHeight="1">
      <c r="A4029" s="66"/>
      <c r="B4029" s="67" t="str">
        <f t="shared" si="16"/>
        <v>M: </v>
      </c>
      <c r="C4029" s="68"/>
      <c r="D4029" s="68">
        <v>46152.0</v>
      </c>
      <c r="E4029" s="66">
        <v>7.0</v>
      </c>
      <c r="F4029" s="66" t="str">
        <f>IFERROR(__xludf.DUMMYFUNCTION("GOOGLETRANSLATE(A4029,""en"",""pt"")"),"#VALUE!")</f>
        <v>#VALUE!</v>
      </c>
      <c r="G4029" s="69"/>
    </row>
    <row r="4030" ht="22.5" customHeight="1">
      <c r="A4030" s="66"/>
      <c r="B4030" s="67" t="str">
        <f t="shared" si="16"/>
        <v>M: </v>
      </c>
      <c r="C4030" s="68"/>
      <c r="D4030" s="68">
        <v>46152.0</v>
      </c>
      <c r="E4030" s="66">
        <v>8.0</v>
      </c>
      <c r="F4030" s="66" t="str">
        <f>IFERROR(__xludf.DUMMYFUNCTION("GOOGLETRANSLATE(A4030,""en"",""pt"")"),"#VALUE!")</f>
        <v>#VALUE!</v>
      </c>
      <c r="G4030" s="69"/>
    </row>
    <row r="4031" ht="22.5" customHeight="1">
      <c r="A4031" s="66"/>
      <c r="B4031" s="67" t="str">
        <f t="shared" si="16"/>
        <v>M: </v>
      </c>
      <c r="C4031" s="68"/>
      <c r="D4031" s="68">
        <v>46152.0</v>
      </c>
      <c r="E4031" s="66">
        <v>9.0</v>
      </c>
      <c r="F4031" s="66" t="str">
        <f>IFERROR(__xludf.DUMMYFUNCTION("GOOGLETRANSLATE(A4031,""en"",""pt"")"),"#VALUE!")</f>
        <v>#VALUE!</v>
      </c>
      <c r="G4031" s="69"/>
    </row>
    <row r="4032" ht="22.5" customHeight="1">
      <c r="A4032" s="66"/>
      <c r="B4032" s="67" t="str">
        <f t="shared" si="16"/>
        <v>M: </v>
      </c>
      <c r="C4032" s="68"/>
      <c r="D4032" s="68">
        <v>46153.0</v>
      </c>
      <c r="E4032" s="66">
        <v>10.0</v>
      </c>
      <c r="F4032" s="66" t="str">
        <f>IFERROR(__xludf.DUMMYFUNCTION("GOOGLETRANSLATE(A4032,""en"",""pt"")"),"#VALUE!")</f>
        <v>#VALUE!</v>
      </c>
      <c r="G4032" s="69"/>
    </row>
    <row r="4033" ht="22.5" customHeight="1">
      <c r="A4033" s="66"/>
      <c r="B4033" s="67" t="str">
        <f t="shared" si="16"/>
        <v>M: </v>
      </c>
      <c r="C4033" s="68"/>
      <c r="D4033" s="68">
        <v>46153.0</v>
      </c>
      <c r="E4033" s="66">
        <v>1.0</v>
      </c>
      <c r="F4033" s="66" t="str">
        <f>IFERROR(__xludf.DUMMYFUNCTION("GOOGLETRANSLATE(A4033,""en"",""pt"")"),"#VALUE!")</f>
        <v>#VALUE!</v>
      </c>
      <c r="G4033" s="69"/>
    </row>
    <row r="4034" ht="22.5" customHeight="1">
      <c r="A4034" s="66"/>
      <c r="B4034" s="67" t="str">
        <f t="shared" si="16"/>
        <v>M: </v>
      </c>
      <c r="C4034" s="68"/>
      <c r="D4034" s="68">
        <v>46153.0</v>
      </c>
      <c r="E4034" s="66">
        <v>2.0</v>
      </c>
      <c r="F4034" s="66" t="str">
        <f>IFERROR(__xludf.DUMMYFUNCTION("GOOGLETRANSLATE(A4034,""en"",""pt"")"),"#VALUE!")</f>
        <v>#VALUE!</v>
      </c>
      <c r="G4034" s="69"/>
    </row>
    <row r="4035" ht="22.5" customHeight="1">
      <c r="A4035" s="66"/>
      <c r="B4035" s="67" t="str">
        <f t="shared" si="16"/>
        <v>M: </v>
      </c>
      <c r="C4035" s="68"/>
      <c r="D4035" s="68">
        <v>46153.0</v>
      </c>
      <c r="E4035" s="66">
        <v>3.0</v>
      </c>
      <c r="F4035" s="66" t="str">
        <f>IFERROR(__xludf.DUMMYFUNCTION("GOOGLETRANSLATE(A4035,""en"",""pt"")"),"#VALUE!")</f>
        <v>#VALUE!</v>
      </c>
      <c r="G4035" s="69"/>
    </row>
    <row r="4036" ht="22.5" customHeight="1">
      <c r="A4036" s="66"/>
      <c r="B4036" s="67" t="str">
        <f t="shared" si="16"/>
        <v>M: </v>
      </c>
      <c r="C4036" s="68"/>
      <c r="D4036" s="68">
        <v>46153.0</v>
      </c>
      <c r="E4036" s="66">
        <v>4.0</v>
      </c>
      <c r="F4036" s="66" t="str">
        <f>IFERROR(__xludf.DUMMYFUNCTION("GOOGLETRANSLATE(A4036,""en"",""pt"")"),"#VALUE!")</f>
        <v>#VALUE!</v>
      </c>
      <c r="G4036" s="69"/>
    </row>
    <row r="4037" ht="22.5" customHeight="1">
      <c r="A4037" s="66"/>
      <c r="B4037" s="67" t="str">
        <f t="shared" si="16"/>
        <v>M: </v>
      </c>
      <c r="C4037" s="68"/>
      <c r="D4037" s="68">
        <v>46153.0</v>
      </c>
      <c r="E4037" s="66">
        <v>5.0</v>
      </c>
      <c r="F4037" s="66" t="str">
        <f>IFERROR(__xludf.DUMMYFUNCTION("GOOGLETRANSLATE(A4037,""en"",""pt"")"),"#VALUE!")</f>
        <v>#VALUE!</v>
      </c>
      <c r="G4037" s="69"/>
    </row>
    <row r="4038" ht="22.5" customHeight="1">
      <c r="A4038" s="66"/>
      <c r="B4038" s="67" t="str">
        <f t="shared" si="16"/>
        <v>M: </v>
      </c>
      <c r="C4038" s="68"/>
      <c r="D4038" s="68">
        <v>46153.0</v>
      </c>
      <c r="E4038" s="66">
        <v>6.0</v>
      </c>
      <c r="F4038" s="66" t="str">
        <f>IFERROR(__xludf.DUMMYFUNCTION("GOOGLETRANSLATE(A4038,""en"",""pt"")"),"#VALUE!")</f>
        <v>#VALUE!</v>
      </c>
      <c r="G4038" s="69"/>
    </row>
    <row r="4039" ht="22.5" customHeight="1">
      <c r="A4039" s="66"/>
      <c r="B4039" s="67" t="str">
        <f t="shared" si="16"/>
        <v>M: </v>
      </c>
      <c r="C4039" s="68"/>
      <c r="D4039" s="68">
        <v>46153.0</v>
      </c>
      <c r="E4039" s="66">
        <v>7.0</v>
      </c>
      <c r="F4039" s="66" t="str">
        <f>IFERROR(__xludf.DUMMYFUNCTION("GOOGLETRANSLATE(A4039,""en"",""pt"")"),"#VALUE!")</f>
        <v>#VALUE!</v>
      </c>
      <c r="G4039" s="69"/>
    </row>
    <row r="4040" ht="22.5" customHeight="1">
      <c r="A4040" s="66"/>
      <c r="B4040" s="67" t="str">
        <f t="shared" si="16"/>
        <v>M: </v>
      </c>
      <c r="C4040" s="68"/>
      <c r="D4040" s="68">
        <v>46153.0</v>
      </c>
      <c r="E4040" s="66">
        <v>8.0</v>
      </c>
      <c r="F4040" s="66" t="str">
        <f>IFERROR(__xludf.DUMMYFUNCTION("GOOGLETRANSLATE(A4040,""en"",""pt"")"),"#VALUE!")</f>
        <v>#VALUE!</v>
      </c>
      <c r="G4040" s="69"/>
    </row>
    <row r="4041" ht="22.5" customHeight="1">
      <c r="A4041" s="66"/>
      <c r="B4041" s="67" t="str">
        <f t="shared" si="16"/>
        <v>M: </v>
      </c>
      <c r="C4041" s="68"/>
      <c r="D4041" s="68">
        <v>46153.0</v>
      </c>
      <c r="E4041" s="66">
        <v>9.0</v>
      </c>
      <c r="F4041" s="66" t="str">
        <f>IFERROR(__xludf.DUMMYFUNCTION("GOOGLETRANSLATE(A4041,""en"",""pt"")"),"#VALUE!")</f>
        <v>#VALUE!</v>
      </c>
      <c r="G4041" s="69"/>
    </row>
    <row r="4042" ht="22.5" customHeight="1">
      <c r="A4042" s="66"/>
      <c r="B4042" s="67" t="str">
        <f t="shared" si="16"/>
        <v>M: </v>
      </c>
      <c r="C4042" s="68"/>
      <c r="D4042" s="68">
        <v>46154.0</v>
      </c>
      <c r="E4042" s="66">
        <v>10.0</v>
      </c>
      <c r="F4042" s="66" t="str">
        <f>IFERROR(__xludf.DUMMYFUNCTION("GOOGLETRANSLATE(A4042,""en"",""pt"")"),"#VALUE!")</f>
        <v>#VALUE!</v>
      </c>
      <c r="G4042" s="69"/>
    </row>
    <row r="4043" ht="22.5" customHeight="1">
      <c r="A4043" s="66"/>
      <c r="B4043" s="67" t="str">
        <f t="shared" si="16"/>
        <v>M: </v>
      </c>
      <c r="C4043" s="68"/>
      <c r="D4043" s="68">
        <v>46154.0</v>
      </c>
      <c r="E4043" s="66">
        <v>1.0</v>
      </c>
      <c r="F4043" s="66" t="str">
        <f>IFERROR(__xludf.DUMMYFUNCTION("GOOGLETRANSLATE(A4043,""en"",""pt"")"),"#VALUE!")</f>
        <v>#VALUE!</v>
      </c>
      <c r="G4043" s="69"/>
    </row>
    <row r="4044" ht="22.5" customHeight="1">
      <c r="A4044" s="66"/>
      <c r="B4044" s="67" t="str">
        <f t="shared" si="16"/>
        <v>M: </v>
      </c>
      <c r="C4044" s="68"/>
      <c r="D4044" s="68">
        <v>46154.0</v>
      </c>
      <c r="E4044" s="66">
        <v>2.0</v>
      </c>
      <c r="F4044" s="66" t="str">
        <f>IFERROR(__xludf.DUMMYFUNCTION("GOOGLETRANSLATE(A4044,""en"",""pt"")"),"#VALUE!")</f>
        <v>#VALUE!</v>
      </c>
      <c r="G4044" s="69"/>
    </row>
    <row r="4045" ht="22.5" customHeight="1">
      <c r="A4045" s="66"/>
      <c r="B4045" s="67" t="str">
        <f t="shared" si="16"/>
        <v>M: </v>
      </c>
      <c r="C4045" s="68"/>
      <c r="D4045" s="68">
        <v>46154.0</v>
      </c>
      <c r="E4045" s="66">
        <v>3.0</v>
      </c>
      <c r="F4045" s="66" t="str">
        <f>IFERROR(__xludf.DUMMYFUNCTION("GOOGLETRANSLATE(A4045,""en"",""pt"")"),"#VALUE!")</f>
        <v>#VALUE!</v>
      </c>
      <c r="G4045" s="69"/>
    </row>
    <row r="4046" ht="22.5" customHeight="1">
      <c r="A4046" s="66"/>
      <c r="B4046" s="67" t="str">
        <f t="shared" si="16"/>
        <v>M: </v>
      </c>
      <c r="C4046" s="68"/>
      <c r="D4046" s="68">
        <v>46154.0</v>
      </c>
      <c r="E4046" s="66">
        <v>4.0</v>
      </c>
      <c r="F4046" s="66" t="str">
        <f>IFERROR(__xludf.DUMMYFUNCTION("GOOGLETRANSLATE(A4046,""en"",""pt"")"),"#VALUE!")</f>
        <v>#VALUE!</v>
      </c>
      <c r="G4046" s="69"/>
    </row>
    <row r="4047" ht="22.5" customHeight="1">
      <c r="A4047" s="66"/>
      <c r="B4047" s="67" t="str">
        <f t="shared" si="16"/>
        <v>M: </v>
      </c>
      <c r="C4047" s="68"/>
      <c r="D4047" s="68">
        <v>46154.0</v>
      </c>
      <c r="E4047" s="66">
        <v>5.0</v>
      </c>
      <c r="F4047" s="66" t="str">
        <f>IFERROR(__xludf.DUMMYFUNCTION("GOOGLETRANSLATE(A4047,""en"",""pt"")"),"#VALUE!")</f>
        <v>#VALUE!</v>
      </c>
      <c r="G4047" s="69"/>
    </row>
    <row r="4048" ht="22.5" customHeight="1">
      <c r="A4048" s="66"/>
      <c r="B4048" s="67" t="str">
        <f t="shared" si="16"/>
        <v>M: </v>
      </c>
      <c r="C4048" s="68"/>
      <c r="D4048" s="68">
        <v>46154.0</v>
      </c>
      <c r="E4048" s="66">
        <v>6.0</v>
      </c>
      <c r="F4048" s="66" t="str">
        <f>IFERROR(__xludf.DUMMYFUNCTION("GOOGLETRANSLATE(A4048,""en"",""pt"")"),"#VALUE!")</f>
        <v>#VALUE!</v>
      </c>
      <c r="G4048" s="69"/>
    </row>
    <row r="4049" ht="22.5" customHeight="1">
      <c r="A4049" s="66"/>
      <c r="B4049" s="67" t="str">
        <f t="shared" si="16"/>
        <v>M: </v>
      </c>
      <c r="C4049" s="68"/>
      <c r="D4049" s="68">
        <v>46154.0</v>
      </c>
      <c r="E4049" s="66">
        <v>7.0</v>
      </c>
      <c r="F4049" s="66" t="str">
        <f>IFERROR(__xludf.DUMMYFUNCTION("GOOGLETRANSLATE(A4049,""en"",""pt"")"),"#VALUE!")</f>
        <v>#VALUE!</v>
      </c>
      <c r="G4049" s="69"/>
    </row>
    <row r="4050" ht="22.5" customHeight="1">
      <c r="A4050" s="66"/>
      <c r="B4050" s="67" t="str">
        <f t="shared" si="16"/>
        <v>M: </v>
      </c>
      <c r="C4050" s="68"/>
      <c r="D4050" s="68">
        <v>46154.0</v>
      </c>
      <c r="E4050" s="66">
        <v>8.0</v>
      </c>
      <c r="F4050" s="66" t="str">
        <f>IFERROR(__xludf.DUMMYFUNCTION("GOOGLETRANSLATE(A4050,""en"",""pt"")"),"#VALUE!")</f>
        <v>#VALUE!</v>
      </c>
      <c r="G4050" s="69"/>
    </row>
    <row r="4051" ht="22.5" customHeight="1">
      <c r="A4051" s="66"/>
      <c r="B4051" s="67" t="str">
        <f t="shared" si="16"/>
        <v>M: </v>
      </c>
      <c r="C4051" s="68"/>
      <c r="D4051" s="68">
        <v>46154.0</v>
      </c>
      <c r="E4051" s="66">
        <v>9.0</v>
      </c>
      <c r="F4051" s="66" t="str">
        <f>IFERROR(__xludf.DUMMYFUNCTION("GOOGLETRANSLATE(A4051,""en"",""pt"")"),"#VALUE!")</f>
        <v>#VALUE!</v>
      </c>
      <c r="G4051" s="69"/>
    </row>
    <row r="4052" ht="22.5" customHeight="1">
      <c r="A4052" s="66"/>
      <c r="B4052" s="67" t="str">
        <f t="shared" si="16"/>
        <v>M: </v>
      </c>
      <c r="C4052" s="68"/>
      <c r="D4052" s="68">
        <v>46155.0</v>
      </c>
      <c r="E4052" s="66">
        <v>10.0</v>
      </c>
      <c r="F4052" s="66" t="str">
        <f>IFERROR(__xludf.DUMMYFUNCTION("GOOGLETRANSLATE(A4052,""en"",""pt"")"),"#VALUE!")</f>
        <v>#VALUE!</v>
      </c>
      <c r="G4052" s="69"/>
    </row>
    <row r="4053" ht="22.5" customHeight="1">
      <c r="A4053" s="66"/>
      <c r="B4053" s="67" t="str">
        <f t="shared" si="16"/>
        <v>M: </v>
      </c>
      <c r="C4053" s="68"/>
      <c r="D4053" s="68">
        <v>46155.0</v>
      </c>
      <c r="E4053" s="66">
        <v>1.0</v>
      </c>
      <c r="F4053" s="66" t="str">
        <f>IFERROR(__xludf.DUMMYFUNCTION("GOOGLETRANSLATE(A4053,""en"",""pt"")"),"#VALUE!")</f>
        <v>#VALUE!</v>
      </c>
      <c r="G4053" s="69"/>
    </row>
    <row r="4054" ht="22.5" customHeight="1">
      <c r="A4054" s="66"/>
      <c r="B4054" s="67" t="str">
        <f t="shared" si="16"/>
        <v>M: </v>
      </c>
      <c r="C4054" s="68"/>
      <c r="D4054" s="68">
        <v>46155.0</v>
      </c>
      <c r="E4054" s="66">
        <v>2.0</v>
      </c>
      <c r="F4054" s="66" t="str">
        <f>IFERROR(__xludf.DUMMYFUNCTION("GOOGLETRANSLATE(A4054,""en"",""pt"")"),"#VALUE!")</f>
        <v>#VALUE!</v>
      </c>
      <c r="G4054" s="69"/>
    </row>
    <row r="4055" ht="22.5" customHeight="1">
      <c r="A4055" s="66"/>
      <c r="B4055" s="67" t="str">
        <f t="shared" si="16"/>
        <v>M: </v>
      </c>
      <c r="C4055" s="68"/>
      <c r="D4055" s="68">
        <v>46155.0</v>
      </c>
      <c r="E4055" s="66">
        <v>3.0</v>
      </c>
      <c r="F4055" s="66" t="str">
        <f>IFERROR(__xludf.DUMMYFUNCTION("GOOGLETRANSLATE(A4055,""en"",""pt"")"),"#VALUE!")</f>
        <v>#VALUE!</v>
      </c>
      <c r="G4055" s="69"/>
    </row>
    <row r="4056" ht="22.5" customHeight="1">
      <c r="A4056" s="66"/>
      <c r="B4056" s="67" t="str">
        <f t="shared" si="16"/>
        <v>M: </v>
      </c>
      <c r="C4056" s="68"/>
      <c r="D4056" s="68">
        <v>46155.0</v>
      </c>
      <c r="E4056" s="66">
        <v>4.0</v>
      </c>
      <c r="F4056" s="66" t="str">
        <f>IFERROR(__xludf.DUMMYFUNCTION("GOOGLETRANSLATE(A4056,""en"",""pt"")"),"#VALUE!")</f>
        <v>#VALUE!</v>
      </c>
      <c r="G4056" s="69"/>
    </row>
    <row r="4057" ht="22.5" customHeight="1">
      <c r="A4057" s="66"/>
      <c r="B4057" s="67" t="str">
        <f t="shared" si="16"/>
        <v>M: </v>
      </c>
      <c r="C4057" s="68"/>
      <c r="D4057" s="68">
        <v>46155.0</v>
      </c>
      <c r="E4057" s="66">
        <v>5.0</v>
      </c>
      <c r="F4057" s="66" t="str">
        <f>IFERROR(__xludf.DUMMYFUNCTION("GOOGLETRANSLATE(A4057,""en"",""pt"")"),"#VALUE!")</f>
        <v>#VALUE!</v>
      </c>
      <c r="G4057" s="69"/>
    </row>
    <row r="4058" ht="22.5" customHeight="1">
      <c r="A4058" s="66"/>
      <c r="B4058" s="67" t="str">
        <f t="shared" si="16"/>
        <v>M: </v>
      </c>
      <c r="C4058" s="68"/>
      <c r="D4058" s="68">
        <v>46155.0</v>
      </c>
      <c r="E4058" s="66">
        <v>6.0</v>
      </c>
      <c r="F4058" s="66" t="str">
        <f>IFERROR(__xludf.DUMMYFUNCTION("GOOGLETRANSLATE(A4058,""en"",""pt"")"),"#VALUE!")</f>
        <v>#VALUE!</v>
      </c>
      <c r="G4058" s="69"/>
    </row>
    <row r="4059" ht="22.5" customHeight="1">
      <c r="A4059" s="66"/>
      <c r="B4059" s="67" t="str">
        <f t="shared" si="16"/>
        <v>M: </v>
      </c>
      <c r="C4059" s="68"/>
      <c r="D4059" s="68">
        <v>46155.0</v>
      </c>
      <c r="E4059" s="66">
        <v>7.0</v>
      </c>
      <c r="F4059" s="66" t="str">
        <f>IFERROR(__xludf.DUMMYFUNCTION("GOOGLETRANSLATE(A4059,""en"",""pt"")"),"#VALUE!")</f>
        <v>#VALUE!</v>
      </c>
      <c r="G4059" s="69"/>
    </row>
    <row r="4060" ht="22.5" customHeight="1">
      <c r="A4060" s="66"/>
      <c r="B4060" s="67" t="str">
        <f t="shared" si="16"/>
        <v>M: </v>
      </c>
      <c r="C4060" s="68"/>
      <c r="D4060" s="68">
        <v>46155.0</v>
      </c>
      <c r="E4060" s="66">
        <v>8.0</v>
      </c>
      <c r="F4060" s="66" t="str">
        <f>IFERROR(__xludf.DUMMYFUNCTION("GOOGLETRANSLATE(A4060,""en"",""pt"")"),"#VALUE!")</f>
        <v>#VALUE!</v>
      </c>
      <c r="G4060" s="69"/>
    </row>
    <row r="4061" ht="22.5" customHeight="1">
      <c r="A4061" s="66"/>
      <c r="B4061" s="67" t="str">
        <f t="shared" si="16"/>
        <v>M: </v>
      </c>
      <c r="C4061" s="68"/>
      <c r="D4061" s="68">
        <v>46155.0</v>
      </c>
      <c r="E4061" s="66">
        <v>9.0</v>
      </c>
      <c r="F4061" s="66" t="str">
        <f>IFERROR(__xludf.DUMMYFUNCTION("GOOGLETRANSLATE(A4061,""en"",""pt"")"),"#VALUE!")</f>
        <v>#VALUE!</v>
      </c>
      <c r="G4061" s="69"/>
    </row>
    <row r="4062" ht="22.5" customHeight="1">
      <c r="A4062" s="66"/>
      <c r="B4062" s="67" t="str">
        <f t="shared" si="16"/>
        <v>M: </v>
      </c>
      <c r="C4062" s="68"/>
      <c r="D4062" s="68">
        <v>46156.0</v>
      </c>
      <c r="E4062" s="66">
        <v>10.0</v>
      </c>
      <c r="F4062" s="66" t="str">
        <f>IFERROR(__xludf.DUMMYFUNCTION("GOOGLETRANSLATE(A4062,""en"",""pt"")"),"#VALUE!")</f>
        <v>#VALUE!</v>
      </c>
      <c r="G4062" s="69"/>
    </row>
    <row r="4063" ht="22.5" customHeight="1">
      <c r="A4063" s="66"/>
      <c r="B4063" s="67" t="str">
        <f t="shared" si="16"/>
        <v>M: </v>
      </c>
      <c r="C4063" s="68"/>
      <c r="D4063" s="68">
        <v>46156.0</v>
      </c>
      <c r="E4063" s="66">
        <v>1.0</v>
      </c>
      <c r="F4063" s="66" t="str">
        <f>IFERROR(__xludf.DUMMYFUNCTION("GOOGLETRANSLATE(A4063,""en"",""pt"")"),"#VALUE!")</f>
        <v>#VALUE!</v>
      </c>
      <c r="G4063" s="69"/>
    </row>
    <row r="4064" ht="22.5" customHeight="1">
      <c r="A4064" s="66"/>
      <c r="B4064" s="67" t="str">
        <f t="shared" si="16"/>
        <v>M: </v>
      </c>
      <c r="C4064" s="68"/>
      <c r="D4064" s="68">
        <v>46156.0</v>
      </c>
      <c r="E4064" s="66">
        <v>2.0</v>
      </c>
      <c r="F4064" s="66" t="str">
        <f>IFERROR(__xludf.DUMMYFUNCTION("GOOGLETRANSLATE(A4064,""en"",""pt"")"),"#VALUE!")</f>
        <v>#VALUE!</v>
      </c>
      <c r="G4064" s="69"/>
    </row>
    <row r="4065" ht="22.5" customHeight="1">
      <c r="A4065" s="66"/>
      <c r="B4065" s="67" t="str">
        <f t="shared" si="16"/>
        <v>M: </v>
      </c>
      <c r="C4065" s="68"/>
      <c r="D4065" s="68">
        <v>46156.0</v>
      </c>
      <c r="E4065" s="66">
        <v>3.0</v>
      </c>
      <c r="F4065" s="66" t="str">
        <f>IFERROR(__xludf.DUMMYFUNCTION("GOOGLETRANSLATE(A4065,""en"",""pt"")"),"#VALUE!")</f>
        <v>#VALUE!</v>
      </c>
      <c r="G4065" s="69"/>
    </row>
    <row r="4066" ht="22.5" customHeight="1">
      <c r="A4066" s="66"/>
      <c r="B4066" s="67" t="str">
        <f t="shared" si="16"/>
        <v>M: </v>
      </c>
      <c r="C4066" s="68"/>
      <c r="D4066" s="68">
        <v>46156.0</v>
      </c>
      <c r="E4066" s="66">
        <v>4.0</v>
      </c>
      <c r="F4066" s="66" t="str">
        <f>IFERROR(__xludf.DUMMYFUNCTION("GOOGLETRANSLATE(A4066,""en"",""pt"")"),"#VALUE!")</f>
        <v>#VALUE!</v>
      </c>
      <c r="G4066" s="69"/>
    </row>
    <row r="4067" ht="22.5" customHeight="1">
      <c r="A4067" s="66"/>
      <c r="B4067" s="67" t="str">
        <f t="shared" si="16"/>
        <v>M: </v>
      </c>
      <c r="C4067" s="68"/>
      <c r="D4067" s="68">
        <v>46156.0</v>
      </c>
      <c r="E4067" s="66">
        <v>5.0</v>
      </c>
      <c r="F4067" s="66" t="str">
        <f>IFERROR(__xludf.DUMMYFUNCTION("GOOGLETRANSLATE(A4067,""en"",""pt"")"),"#VALUE!")</f>
        <v>#VALUE!</v>
      </c>
      <c r="G4067" s="69"/>
    </row>
    <row r="4068" ht="22.5" customHeight="1">
      <c r="A4068" s="66"/>
      <c r="B4068" s="67" t="str">
        <f t="shared" si="16"/>
        <v>M: </v>
      </c>
      <c r="C4068" s="68"/>
      <c r="D4068" s="68">
        <v>46156.0</v>
      </c>
      <c r="E4068" s="66">
        <v>6.0</v>
      </c>
      <c r="F4068" s="66" t="str">
        <f>IFERROR(__xludf.DUMMYFUNCTION("GOOGLETRANSLATE(A4068,""en"",""pt"")"),"#VALUE!")</f>
        <v>#VALUE!</v>
      </c>
      <c r="G4068" s="69"/>
    </row>
    <row r="4069" ht="22.5" customHeight="1">
      <c r="A4069" s="66"/>
      <c r="B4069" s="67" t="str">
        <f t="shared" si="16"/>
        <v>M: </v>
      </c>
      <c r="C4069" s="68"/>
      <c r="D4069" s="68">
        <v>46156.0</v>
      </c>
      <c r="E4069" s="66">
        <v>7.0</v>
      </c>
      <c r="F4069" s="66" t="str">
        <f>IFERROR(__xludf.DUMMYFUNCTION("GOOGLETRANSLATE(A4069,""en"",""pt"")"),"#VALUE!")</f>
        <v>#VALUE!</v>
      </c>
      <c r="G4069" s="69"/>
    </row>
    <row r="4070" ht="22.5" customHeight="1">
      <c r="A4070" s="66"/>
      <c r="B4070" s="67" t="str">
        <f t="shared" si="16"/>
        <v>M: </v>
      </c>
      <c r="C4070" s="68"/>
      <c r="D4070" s="68">
        <v>46156.0</v>
      </c>
      <c r="E4070" s="66">
        <v>8.0</v>
      </c>
      <c r="F4070" s="66" t="str">
        <f>IFERROR(__xludf.DUMMYFUNCTION("GOOGLETRANSLATE(A4070,""en"",""pt"")"),"#VALUE!")</f>
        <v>#VALUE!</v>
      </c>
      <c r="G4070" s="69"/>
    </row>
    <row r="4071" ht="22.5" customHeight="1">
      <c r="A4071" s="66"/>
      <c r="B4071" s="67" t="str">
        <f t="shared" si="16"/>
        <v>M: </v>
      </c>
      <c r="C4071" s="68"/>
      <c r="D4071" s="68">
        <v>46156.0</v>
      </c>
      <c r="E4071" s="66">
        <v>9.0</v>
      </c>
      <c r="F4071" s="66" t="str">
        <f>IFERROR(__xludf.DUMMYFUNCTION("GOOGLETRANSLATE(A4071,""en"",""pt"")"),"#VALUE!")</f>
        <v>#VALUE!</v>
      </c>
      <c r="G4071" s="69"/>
    </row>
    <row r="4072" ht="22.5" customHeight="1">
      <c r="A4072" s="66"/>
      <c r="B4072" s="67" t="str">
        <f t="shared" si="16"/>
        <v>M: </v>
      </c>
      <c r="C4072" s="68"/>
      <c r="D4072" s="68">
        <v>46157.0</v>
      </c>
      <c r="E4072" s="66">
        <v>10.0</v>
      </c>
      <c r="F4072" s="66" t="str">
        <f>IFERROR(__xludf.DUMMYFUNCTION("GOOGLETRANSLATE(A4072,""en"",""pt"")"),"#VALUE!")</f>
        <v>#VALUE!</v>
      </c>
      <c r="G4072" s="69"/>
    </row>
    <row r="4073" ht="22.5" customHeight="1">
      <c r="A4073" s="66"/>
      <c r="B4073" s="67" t="str">
        <f t="shared" si="16"/>
        <v>M: </v>
      </c>
      <c r="C4073" s="68"/>
      <c r="D4073" s="68">
        <v>46157.0</v>
      </c>
      <c r="E4073" s="66">
        <v>1.0</v>
      </c>
      <c r="F4073" s="66" t="str">
        <f>IFERROR(__xludf.DUMMYFUNCTION("GOOGLETRANSLATE(A4073,""en"",""pt"")"),"#VALUE!")</f>
        <v>#VALUE!</v>
      </c>
      <c r="G4073" s="69"/>
    </row>
    <row r="4074" ht="22.5" customHeight="1">
      <c r="A4074" s="66"/>
      <c r="B4074" s="67" t="str">
        <f t="shared" si="16"/>
        <v>M: </v>
      </c>
      <c r="C4074" s="68"/>
      <c r="D4074" s="68">
        <v>46157.0</v>
      </c>
      <c r="E4074" s="66">
        <v>2.0</v>
      </c>
      <c r="F4074" s="66" t="str">
        <f>IFERROR(__xludf.DUMMYFUNCTION("GOOGLETRANSLATE(A4074,""en"",""pt"")"),"#VALUE!")</f>
        <v>#VALUE!</v>
      </c>
      <c r="G4074" s="69"/>
    </row>
    <row r="4075" ht="22.5" customHeight="1">
      <c r="A4075" s="66"/>
      <c r="B4075" s="67" t="str">
        <f t="shared" si="16"/>
        <v>M: </v>
      </c>
      <c r="C4075" s="68"/>
      <c r="D4075" s="68">
        <v>46157.0</v>
      </c>
      <c r="E4075" s="66">
        <v>3.0</v>
      </c>
      <c r="F4075" s="66" t="str">
        <f>IFERROR(__xludf.DUMMYFUNCTION("GOOGLETRANSLATE(A4075,""en"",""pt"")"),"#VALUE!")</f>
        <v>#VALUE!</v>
      </c>
      <c r="G4075" s="69"/>
    </row>
    <row r="4076" ht="22.5" customHeight="1">
      <c r="A4076" s="66"/>
      <c r="B4076" s="67" t="str">
        <f t="shared" si="16"/>
        <v>M: </v>
      </c>
      <c r="C4076" s="68"/>
      <c r="D4076" s="68">
        <v>46157.0</v>
      </c>
      <c r="E4076" s="66">
        <v>4.0</v>
      </c>
      <c r="F4076" s="66" t="str">
        <f>IFERROR(__xludf.DUMMYFUNCTION("GOOGLETRANSLATE(A4076,""en"",""pt"")"),"#VALUE!")</f>
        <v>#VALUE!</v>
      </c>
      <c r="G4076" s="69"/>
    </row>
    <row r="4077" ht="22.5" customHeight="1">
      <c r="A4077" s="66"/>
      <c r="B4077" s="67" t="str">
        <f t="shared" si="16"/>
        <v>M: </v>
      </c>
      <c r="C4077" s="68"/>
      <c r="D4077" s="68">
        <v>46157.0</v>
      </c>
      <c r="E4077" s="66">
        <v>5.0</v>
      </c>
      <c r="F4077" s="66" t="str">
        <f>IFERROR(__xludf.DUMMYFUNCTION("GOOGLETRANSLATE(A4077,""en"",""pt"")"),"#VALUE!")</f>
        <v>#VALUE!</v>
      </c>
      <c r="G4077" s="69"/>
    </row>
    <row r="4078" ht="22.5" customHeight="1">
      <c r="A4078" s="66"/>
      <c r="B4078" s="67" t="str">
        <f t="shared" si="16"/>
        <v>M: </v>
      </c>
      <c r="C4078" s="68"/>
      <c r="D4078" s="68">
        <v>46157.0</v>
      </c>
      <c r="E4078" s="66">
        <v>6.0</v>
      </c>
      <c r="F4078" s="66" t="str">
        <f>IFERROR(__xludf.DUMMYFUNCTION("GOOGLETRANSLATE(A4078,""en"",""pt"")"),"#VALUE!")</f>
        <v>#VALUE!</v>
      </c>
      <c r="G4078" s="69"/>
    </row>
    <row r="4079" ht="22.5" customHeight="1">
      <c r="A4079" s="66"/>
      <c r="B4079" s="67" t="str">
        <f t="shared" si="16"/>
        <v>M: </v>
      </c>
      <c r="C4079" s="68"/>
      <c r="D4079" s="68">
        <v>46157.0</v>
      </c>
      <c r="E4079" s="66">
        <v>7.0</v>
      </c>
      <c r="F4079" s="66" t="str">
        <f>IFERROR(__xludf.DUMMYFUNCTION("GOOGLETRANSLATE(A4079,""en"",""pt"")"),"#VALUE!")</f>
        <v>#VALUE!</v>
      </c>
      <c r="G4079" s="69"/>
    </row>
    <row r="4080" ht="22.5" customHeight="1">
      <c r="A4080" s="66"/>
      <c r="B4080" s="67" t="str">
        <f t="shared" si="16"/>
        <v>M: </v>
      </c>
      <c r="C4080" s="68"/>
      <c r="D4080" s="68">
        <v>46157.0</v>
      </c>
      <c r="E4080" s="66">
        <v>8.0</v>
      </c>
      <c r="F4080" s="66" t="str">
        <f>IFERROR(__xludf.DUMMYFUNCTION("GOOGLETRANSLATE(A4080,""en"",""pt"")"),"#VALUE!")</f>
        <v>#VALUE!</v>
      </c>
      <c r="G4080" s="69"/>
    </row>
    <row r="4081" ht="22.5" customHeight="1">
      <c r="A4081" s="66"/>
      <c r="B4081" s="67" t="str">
        <f t="shared" si="16"/>
        <v>M: </v>
      </c>
      <c r="C4081" s="68"/>
      <c r="D4081" s="68">
        <v>46157.0</v>
      </c>
      <c r="E4081" s="66">
        <v>9.0</v>
      </c>
      <c r="F4081" s="66" t="str">
        <f>IFERROR(__xludf.DUMMYFUNCTION("GOOGLETRANSLATE(A4081,""en"",""pt"")"),"#VALUE!")</f>
        <v>#VALUE!</v>
      </c>
      <c r="G4081" s="69"/>
    </row>
    <row r="4082" ht="22.5" customHeight="1">
      <c r="A4082" s="66"/>
      <c r="B4082" s="67" t="str">
        <f t="shared" si="16"/>
        <v>M: </v>
      </c>
      <c r="C4082" s="68"/>
      <c r="D4082" s="68">
        <v>46158.0</v>
      </c>
      <c r="E4082" s="66">
        <v>10.0</v>
      </c>
      <c r="F4082" s="66" t="str">
        <f>IFERROR(__xludf.DUMMYFUNCTION("GOOGLETRANSLATE(A4082,""en"",""pt"")"),"#VALUE!")</f>
        <v>#VALUE!</v>
      </c>
      <c r="G4082" s="69"/>
    </row>
    <row r="4083" ht="22.5" customHeight="1">
      <c r="A4083" s="66"/>
      <c r="B4083" s="67" t="str">
        <f t="shared" si="16"/>
        <v>M: </v>
      </c>
      <c r="C4083" s="68"/>
      <c r="D4083" s="68">
        <v>46158.0</v>
      </c>
      <c r="E4083" s="66">
        <v>1.0</v>
      </c>
      <c r="F4083" s="66" t="str">
        <f>IFERROR(__xludf.DUMMYFUNCTION("GOOGLETRANSLATE(A4083,""en"",""pt"")"),"#VALUE!")</f>
        <v>#VALUE!</v>
      </c>
      <c r="G4083" s="69"/>
    </row>
    <row r="4084" ht="22.5" customHeight="1">
      <c r="A4084" s="66"/>
      <c r="B4084" s="67" t="str">
        <f t="shared" si="16"/>
        <v>M: </v>
      </c>
      <c r="C4084" s="68"/>
      <c r="D4084" s="68">
        <v>46158.0</v>
      </c>
      <c r="E4084" s="66">
        <v>2.0</v>
      </c>
      <c r="F4084" s="66" t="str">
        <f>IFERROR(__xludf.DUMMYFUNCTION("GOOGLETRANSLATE(A4084,""en"",""pt"")"),"#VALUE!")</f>
        <v>#VALUE!</v>
      </c>
      <c r="G4084" s="69"/>
    </row>
    <row r="4085" ht="22.5" customHeight="1">
      <c r="A4085" s="66"/>
      <c r="B4085" s="67" t="str">
        <f t="shared" si="16"/>
        <v>M: </v>
      </c>
      <c r="C4085" s="68"/>
      <c r="D4085" s="68">
        <v>46158.0</v>
      </c>
      <c r="E4085" s="66">
        <v>3.0</v>
      </c>
      <c r="F4085" s="66" t="str">
        <f>IFERROR(__xludf.DUMMYFUNCTION("GOOGLETRANSLATE(A4085,""en"",""pt"")"),"#VALUE!")</f>
        <v>#VALUE!</v>
      </c>
      <c r="G4085" s="69"/>
    </row>
    <row r="4086" ht="22.5" customHeight="1">
      <c r="A4086" s="66"/>
      <c r="B4086" s="67" t="str">
        <f t="shared" si="16"/>
        <v>M: </v>
      </c>
      <c r="C4086" s="68"/>
      <c r="D4086" s="68">
        <v>46158.0</v>
      </c>
      <c r="E4086" s="66">
        <v>4.0</v>
      </c>
      <c r="F4086" s="66" t="str">
        <f>IFERROR(__xludf.DUMMYFUNCTION("GOOGLETRANSLATE(A4086,""en"",""pt"")"),"#VALUE!")</f>
        <v>#VALUE!</v>
      </c>
      <c r="G4086" s="69"/>
    </row>
    <row r="4087" ht="22.5" customHeight="1">
      <c r="A4087" s="66"/>
      <c r="B4087" s="67" t="str">
        <f t="shared" si="16"/>
        <v>M: </v>
      </c>
      <c r="C4087" s="68"/>
      <c r="D4087" s="68">
        <v>46158.0</v>
      </c>
      <c r="E4087" s="66">
        <v>5.0</v>
      </c>
      <c r="F4087" s="66" t="str">
        <f>IFERROR(__xludf.DUMMYFUNCTION("GOOGLETRANSLATE(A4087,""en"",""pt"")"),"#VALUE!")</f>
        <v>#VALUE!</v>
      </c>
      <c r="G4087" s="69"/>
    </row>
    <row r="4088" ht="22.5" customHeight="1">
      <c r="A4088" s="66"/>
      <c r="B4088" s="67" t="str">
        <f t="shared" si="16"/>
        <v>M: </v>
      </c>
      <c r="C4088" s="68"/>
      <c r="D4088" s="68">
        <v>46158.0</v>
      </c>
      <c r="E4088" s="66">
        <v>6.0</v>
      </c>
      <c r="F4088" s="66" t="str">
        <f>IFERROR(__xludf.DUMMYFUNCTION("GOOGLETRANSLATE(A4088,""en"",""pt"")"),"#VALUE!")</f>
        <v>#VALUE!</v>
      </c>
      <c r="G4088" s="69"/>
    </row>
    <row r="4089" ht="22.5" customHeight="1">
      <c r="A4089" s="66"/>
      <c r="B4089" s="67" t="str">
        <f t="shared" si="16"/>
        <v>M: </v>
      </c>
      <c r="C4089" s="68"/>
      <c r="D4089" s="68">
        <v>46158.0</v>
      </c>
      <c r="E4089" s="66">
        <v>7.0</v>
      </c>
      <c r="F4089" s="66" t="str">
        <f>IFERROR(__xludf.DUMMYFUNCTION("GOOGLETRANSLATE(A4089,""en"",""pt"")"),"#VALUE!")</f>
        <v>#VALUE!</v>
      </c>
      <c r="G4089" s="69"/>
    </row>
    <row r="4090" ht="22.5" customHeight="1">
      <c r="A4090" s="66"/>
      <c r="B4090" s="67" t="str">
        <f t="shared" si="16"/>
        <v>M: </v>
      </c>
      <c r="C4090" s="68"/>
      <c r="D4090" s="68">
        <v>46158.0</v>
      </c>
      <c r="E4090" s="66">
        <v>8.0</v>
      </c>
      <c r="F4090" s="66" t="str">
        <f>IFERROR(__xludf.DUMMYFUNCTION("GOOGLETRANSLATE(A4090,""en"",""pt"")"),"#VALUE!")</f>
        <v>#VALUE!</v>
      </c>
      <c r="G4090" s="69"/>
    </row>
    <row r="4091" ht="22.5" customHeight="1">
      <c r="A4091" s="66"/>
      <c r="B4091" s="67" t="str">
        <f t="shared" si="16"/>
        <v>M: </v>
      </c>
      <c r="C4091" s="68"/>
      <c r="D4091" s="68">
        <v>46158.0</v>
      </c>
      <c r="E4091" s="66">
        <v>9.0</v>
      </c>
      <c r="F4091" s="66" t="str">
        <f>IFERROR(__xludf.DUMMYFUNCTION("GOOGLETRANSLATE(A4091,""en"",""pt"")"),"#VALUE!")</f>
        <v>#VALUE!</v>
      </c>
      <c r="G4091" s="69"/>
    </row>
    <row r="4092" ht="22.5" customHeight="1">
      <c r="A4092" s="66"/>
      <c r="B4092" s="67" t="str">
        <f t="shared" si="16"/>
        <v>M: </v>
      </c>
      <c r="C4092" s="68"/>
      <c r="D4092" s="68">
        <v>46159.0</v>
      </c>
      <c r="E4092" s="66">
        <v>10.0</v>
      </c>
      <c r="F4092" s="66" t="str">
        <f>IFERROR(__xludf.DUMMYFUNCTION("GOOGLETRANSLATE(A4092,""en"",""pt"")"),"#VALUE!")</f>
        <v>#VALUE!</v>
      </c>
      <c r="G4092" s="69"/>
    </row>
    <row r="4093" ht="22.5" customHeight="1">
      <c r="A4093" s="66"/>
      <c r="B4093" s="67" t="str">
        <f t="shared" si="16"/>
        <v>M: </v>
      </c>
      <c r="C4093" s="68"/>
      <c r="D4093" s="68">
        <v>46159.0</v>
      </c>
      <c r="E4093" s="66">
        <v>1.0</v>
      </c>
      <c r="F4093" s="66" t="str">
        <f>IFERROR(__xludf.DUMMYFUNCTION("GOOGLETRANSLATE(A4093,""en"",""pt"")"),"#VALUE!")</f>
        <v>#VALUE!</v>
      </c>
      <c r="G4093" s="69"/>
    </row>
    <row r="4094" ht="22.5" customHeight="1">
      <c r="A4094" s="66"/>
      <c r="B4094" s="67" t="str">
        <f t="shared" si="16"/>
        <v>M: </v>
      </c>
      <c r="C4094" s="68"/>
      <c r="D4094" s="68">
        <v>46159.0</v>
      </c>
      <c r="E4094" s="66">
        <v>2.0</v>
      </c>
      <c r="F4094" s="66" t="str">
        <f>IFERROR(__xludf.DUMMYFUNCTION("GOOGLETRANSLATE(A4094,""en"",""pt"")"),"#VALUE!")</f>
        <v>#VALUE!</v>
      </c>
      <c r="G4094" s="69"/>
    </row>
    <row r="4095" ht="22.5" customHeight="1">
      <c r="A4095" s="66"/>
      <c r="B4095" s="67" t="str">
        <f t="shared" si="16"/>
        <v>M: </v>
      </c>
      <c r="C4095" s="68"/>
      <c r="D4095" s="68">
        <v>46159.0</v>
      </c>
      <c r="E4095" s="66">
        <v>3.0</v>
      </c>
      <c r="F4095" s="66" t="str">
        <f>IFERROR(__xludf.DUMMYFUNCTION("GOOGLETRANSLATE(A4095,""en"",""pt"")"),"#VALUE!")</f>
        <v>#VALUE!</v>
      </c>
      <c r="G4095" s="69"/>
    </row>
    <row r="4096" ht="22.5" customHeight="1">
      <c r="A4096" s="66"/>
      <c r="B4096" s="67" t="str">
        <f t="shared" si="16"/>
        <v>M: </v>
      </c>
      <c r="C4096" s="68"/>
      <c r="D4096" s="68">
        <v>46159.0</v>
      </c>
      <c r="E4096" s="66">
        <v>4.0</v>
      </c>
      <c r="F4096" s="66" t="str">
        <f>IFERROR(__xludf.DUMMYFUNCTION("GOOGLETRANSLATE(A4096,""en"",""pt"")"),"#VALUE!")</f>
        <v>#VALUE!</v>
      </c>
      <c r="G4096" s="69"/>
    </row>
    <row r="4097" ht="22.5" customHeight="1">
      <c r="A4097" s="66"/>
      <c r="B4097" s="67" t="str">
        <f t="shared" si="16"/>
        <v>M: </v>
      </c>
      <c r="C4097" s="68"/>
      <c r="D4097" s="68">
        <v>46159.0</v>
      </c>
      <c r="E4097" s="66">
        <v>5.0</v>
      </c>
      <c r="F4097" s="66" t="str">
        <f>IFERROR(__xludf.DUMMYFUNCTION("GOOGLETRANSLATE(A4097,""en"",""pt"")"),"#VALUE!")</f>
        <v>#VALUE!</v>
      </c>
      <c r="G4097" s="69"/>
    </row>
    <row r="4098" ht="22.5" customHeight="1">
      <c r="A4098" s="66"/>
      <c r="B4098" s="67" t="str">
        <f t="shared" si="16"/>
        <v>M: </v>
      </c>
      <c r="C4098" s="68"/>
      <c r="D4098" s="68">
        <v>46159.0</v>
      </c>
      <c r="E4098" s="66">
        <v>6.0</v>
      </c>
      <c r="F4098" s="66" t="str">
        <f>IFERROR(__xludf.DUMMYFUNCTION("GOOGLETRANSLATE(A4098,""en"",""pt"")"),"#VALUE!")</f>
        <v>#VALUE!</v>
      </c>
      <c r="G4098" s="69"/>
    </row>
    <row r="4099" ht="22.5" customHeight="1">
      <c r="A4099" s="66"/>
      <c r="B4099" s="67" t="str">
        <f t="shared" si="16"/>
        <v>M: </v>
      </c>
      <c r="C4099" s="68"/>
      <c r="D4099" s="68">
        <v>46159.0</v>
      </c>
      <c r="E4099" s="66">
        <v>7.0</v>
      </c>
      <c r="F4099" s="66" t="str">
        <f>IFERROR(__xludf.DUMMYFUNCTION("GOOGLETRANSLATE(A4099,""en"",""pt"")"),"#VALUE!")</f>
        <v>#VALUE!</v>
      </c>
      <c r="G4099" s="69"/>
    </row>
    <row r="4100" ht="22.5" customHeight="1">
      <c r="A4100" s="66"/>
      <c r="B4100" s="67" t="str">
        <f t="shared" si="16"/>
        <v>M: </v>
      </c>
      <c r="C4100" s="68"/>
      <c r="D4100" s="68">
        <v>46159.0</v>
      </c>
      <c r="E4100" s="66">
        <v>8.0</v>
      </c>
      <c r="F4100" s="66" t="str">
        <f>IFERROR(__xludf.DUMMYFUNCTION("GOOGLETRANSLATE(A4100,""en"",""pt"")"),"#VALUE!")</f>
        <v>#VALUE!</v>
      </c>
      <c r="G4100" s="69"/>
    </row>
    <row r="4101" ht="22.5" customHeight="1">
      <c r="A4101" s="66"/>
      <c r="B4101" s="67" t="str">
        <f t="shared" si="16"/>
        <v>M: </v>
      </c>
      <c r="C4101" s="68"/>
      <c r="D4101" s="68">
        <v>46159.0</v>
      </c>
      <c r="E4101" s="66">
        <v>9.0</v>
      </c>
      <c r="F4101" s="66" t="str">
        <f>IFERROR(__xludf.DUMMYFUNCTION("GOOGLETRANSLATE(A4101,""en"",""pt"")"),"#VALUE!")</f>
        <v>#VALUE!</v>
      </c>
      <c r="G4101" s="69"/>
    </row>
    <row r="4102" ht="22.5" customHeight="1">
      <c r="A4102" s="66"/>
      <c r="B4102" s="67" t="str">
        <f t="shared" si="16"/>
        <v>M: </v>
      </c>
      <c r="C4102" s="68"/>
      <c r="D4102" s="68">
        <v>46160.0</v>
      </c>
      <c r="E4102" s="66">
        <v>10.0</v>
      </c>
      <c r="F4102" s="66" t="str">
        <f>IFERROR(__xludf.DUMMYFUNCTION("GOOGLETRANSLATE(A4102,""en"",""pt"")"),"#VALUE!")</f>
        <v>#VALUE!</v>
      </c>
      <c r="G4102" s="69"/>
    </row>
    <row r="4103" ht="22.5" customHeight="1">
      <c r="A4103" s="66"/>
      <c r="B4103" s="67" t="str">
        <f t="shared" si="16"/>
        <v>M: </v>
      </c>
      <c r="C4103" s="68"/>
      <c r="D4103" s="68">
        <v>46160.0</v>
      </c>
      <c r="E4103" s="66">
        <v>1.0</v>
      </c>
      <c r="F4103" s="66" t="str">
        <f>IFERROR(__xludf.DUMMYFUNCTION("GOOGLETRANSLATE(A4103,""en"",""pt"")"),"#VALUE!")</f>
        <v>#VALUE!</v>
      </c>
      <c r="G4103" s="69"/>
    </row>
    <row r="4104" ht="22.5" customHeight="1">
      <c r="A4104" s="66"/>
      <c r="B4104" s="67" t="str">
        <f t="shared" si="16"/>
        <v>M: </v>
      </c>
      <c r="C4104" s="68"/>
      <c r="D4104" s="68">
        <v>46160.0</v>
      </c>
      <c r="E4104" s="66">
        <v>2.0</v>
      </c>
      <c r="F4104" s="66" t="str">
        <f>IFERROR(__xludf.DUMMYFUNCTION("GOOGLETRANSLATE(A4104,""en"",""pt"")"),"#VALUE!")</f>
        <v>#VALUE!</v>
      </c>
      <c r="G4104" s="69"/>
    </row>
    <row r="4105" ht="22.5" customHeight="1">
      <c r="A4105" s="66"/>
      <c r="B4105" s="67" t="str">
        <f t="shared" si="16"/>
        <v>M: </v>
      </c>
      <c r="C4105" s="68"/>
      <c r="D4105" s="68">
        <v>46160.0</v>
      </c>
      <c r="E4105" s="66">
        <v>3.0</v>
      </c>
      <c r="F4105" s="66" t="str">
        <f>IFERROR(__xludf.DUMMYFUNCTION("GOOGLETRANSLATE(A4105,""en"",""pt"")"),"#VALUE!")</f>
        <v>#VALUE!</v>
      </c>
      <c r="G4105" s="69"/>
    </row>
    <row r="4106" ht="22.5" customHeight="1">
      <c r="A4106" s="66"/>
      <c r="B4106" s="67" t="str">
        <f t="shared" si="16"/>
        <v>M: </v>
      </c>
      <c r="C4106" s="68"/>
      <c r="D4106" s="68">
        <v>46160.0</v>
      </c>
      <c r="E4106" s="66">
        <v>4.0</v>
      </c>
      <c r="F4106" s="66" t="str">
        <f>IFERROR(__xludf.DUMMYFUNCTION("GOOGLETRANSLATE(A4106,""en"",""pt"")"),"#VALUE!")</f>
        <v>#VALUE!</v>
      </c>
      <c r="G4106" s="69"/>
    </row>
    <row r="4107" ht="22.5" customHeight="1">
      <c r="A4107" s="66"/>
      <c r="B4107" s="67" t="str">
        <f t="shared" si="16"/>
        <v>M: </v>
      </c>
      <c r="C4107" s="68"/>
      <c r="D4107" s="68">
        <v>46160.0</v>
      </c>
      <c r="E4107" s="66">
        <v>5.0</v>
      </c>
      <c r="F4107" s="66" t="str">
        <f>IFERROR(__xludf.DUMMYFUNCTION("GOOGLETRANSLATE(A4107,""en"",""pt"")"),"#VALUE!")</f>
        <v>#VALUE!</v>
      </c>
      <c r="G4107" s="69"/>
    </row>
    <row r="4108" ht="22.5" customHeight="1">
      <c r="A4108" s="66"/>
      <c r="B4108" s="67" t="str">
        <f t="shared" si="16"/>
        <v>M: </v>
      </c>
      <c r="C4108" s="68"/>
      <c r="D4108" s="68">
        <v>46160.0</v>
      </c>
      <c r="E4108" s="66">
        <v>6.0</v>
      </c>
      <c r="F4108" s="66" t="str">
        <f>IFERROR(__xludf.DUMMYFUNCTION("GOOGLETRANSLATE(A4108,""en"",""pt"")"),"#VALUE!")</f>
        <v>#VALUE!</v>
      </c>
      <c r="G4108" s="69"/>
    </row>
    <row r="4109" ht="22.5" customHeight="1">
      <c r="A4109" s="66"/>
      <c r="B4109" s="67" t="str">
        <f t="shared" si="16"/>
        <v>M: </v>
      </c>
      <c r="C4109" s="68"/>
      <c r="D4109" s="68">
        <v>46160.0</v>
      </c>
      <c r="E4109" s="66">
        <v>7.0</v>
      </c>
      <c r="F4109" s="66" t="str">
        <f>IFERROR(__xludf.DUMMYFUNCTION("GOOGLETRANSLATE(A4109,""en"",""pt"")"),"#VALUE!")</f>
        <v>#VALUE!</v>
      </c>
      <c r="G4109" s="69"/>
    </row>
    <row r="4110" ht="22.5" customHeight="1">
      <c r="A4110" s="66"/>
      <c r="B4110" s="67" t="str">
        <f t="shared" si="16"/>
        <v>M: </v>
      </c>
      <c r="C4110" s="68"/>
      <c r="D4110" s="68">
        <v>46160.0</v>
      </c>
      <c r="E4110" s="66">
        <v>8.0</v>
      </c>
      <c r="F4110" s="66" t="str">
        <f>IFERROR(__xludf.DUMMYFUNCTION("GOOGLETRANSLATE(A4110,""en"",""pt"")"),"#VALUE!")</f>
        <v>#VALUE!</v>
      </c>
      <c r="G4110" s="69"/>
    </row>
    <row r="4111" ht="22.5" customHeight="1">
      <c r="A4111" s="66"/>
      <c r="B4111" s="67" t="str">
        <f t="shared" si="16"/>
        <v>M: </v>
      </c>
      <c r="C4111" s="68"/>
      <c r="D4111" s="68">
        <v>46160.0</v>
      </c>
      <c r="E4111" s="66">
        <v>9.0</v>
      </c>
      <c r="F4111" s="66" t="str">
        <f>IFERROR(__xludf.DUMMYFUNCTION("GOOGLETRANSLATE(A4111,""en"",""pt"")"),"#VALUE!")</f>
        <v>#VALUE!</v>
      </c>
      <c r="G4111" s="69"/>
    </row>
    <row r="4112" ht="22.5" customHeight="1">
      <c r="A4112" s="66"/>
      <c r="B4112" s="67" t="str">
        <f t="shared" si="16"/>
        <v>M: </v>
      </c>
      <c r="C4112" s="68"/>
      <c r="D4112" s="68">
        <v>46161.0</v>
      </c>
      <c r="E4112" s="66">
        <v>10.0</v>
      </c>
      <c r="F4112" s="66" t="str">
        <f>IFERROR(__xludf.DUMMYFUNCTION("GOOGLETRANSLATE(A4112,""en"",""pt"")"),"#VALUE!")</f>
        <v>#VALUE!</v>
      </c>
      <c r="G4112" s="69"/>
    </row>
    <row r="4113" ht="22.5" customHeight="1">
      <c r="A4113" s="66"/>
      <c r="B4113" s="67" t="str">
        <f t="shared" si="16"/>
        <v>M: </v>
      </c>
      <c r="C4113" s="68"/>
      <c r="D4113" s="68">
        <v>46161.0</v>
      </c>
      <c r="E4113" s="66">
        <v>1.0</v>
      </c>
      <c r="F4113" s="66" t="str">
        <f>IFERROR(__xludf.DUMMYFUNCTION("GOOGLETRANSLATE(A4113,""en"",""pt"")"),"#VALUE!")</f>
        <v>#VALUE!</v>
      </c>
      <c r="G4113" s="69"/>
    </row>
    <row r="4114" ht="22.5" customHeight="1">
      <c r="A4114" s="66"/>
      <c r="B4114" s="67" t="str">
        <f t="shared" si="16"/>
        <v>M: </v>
      </c>
      <c r="C4114" s="68"/>
      <c r="D4114" s="68">
        <v>46161.0</v>
      </c>
      <c r="E4114" s="66">
        <v>2.0</v>
      </c>
      <c r="F4114" s="66" t="str">
        <f>IFERROR(__xludf.DUMMYFUNCTION("GOOGLETRANSLATE(A4114,""en"",""pt"")"),"#VALUE!")</f>
        <v>#VALUE!</v>
      </c>
      <c r="G4114" s="69"/>
    </row>
    <row r="4115" ht="22.5" customHeight="1">
      <c r="A4115" s="66"/>
      <c r="B4115" s="67" t="str">
        <f t="shared" si="16"/>
        <v>M: </v>
      </c>
      <c r="C4115" s="68"/>
      <c r="D4115" s="68">
        <v>46161.0</v>
      </c>
      <c r="E4115" s="66">
        <v>3.0</v>
      </c>
      <c r="F4115" s="66" t="str">
        <f>IFERROR(__xludf.DUMMYFUNCTION("GOOGLETRANSLATE(A4115,""en"",""pt"")"),"#VALUE!")</f>
        <v>#VALUE!</v>
      </c>
      <c r="G4115" s="69"/>
    </row>
    <row r="4116" ht="22.5" customHeight="1">
      <c r="A4116" s="66"/>
      <c r="B4116" s="67" t="str">
        <f t="shared" si="16"/>
        <v>M: </v>
      </c>
      <c r="C4116" s="68"/>
      <c r="D4116" s="68">
        <v>46161.0</v>
      </c>
      <c r="E4116" s="66">
        <v>4.0</v>
      </c>
      <c r="F4116" s="66" t="str">
        <f>IFERROR(__xludf.DUMMYFUNCTION("GOOGLETRANSLATE(A4116,""en"",""pt"")"),"#VALUE!")</f>
        <v>#VALUE!</v>
      </c>
      <c r="G4116" s="69"/>
    </row>
    <row r="4117" ht="22.5" customHeight="1">
      <c r="A4117" s="66"/>
      <c r="B4117" s="67" t="str">
        <f t="shared" si="16"/>
        <v>M: </v>
      </c>
      <c r="C4117" s="68"/>
      <c r="D4117" s="68">
        <v>46161.0</v>
      </c>
      <c r="E4117" s="66">
        <v>5.0</v>
      </c>
      <c r="F4117" s="66" t="str">
        <f>IFERROR(__xludf.DUMMYFUNCTION("GOOGLETRANSLATE(A4117,""en"",""pt"")"),"#VALUE!")</f>
        <v>#VALUE!</v>
      </c>
      <c r="G4117" s="69"/>
    </row>
    <row r="4118" ht="22.5" customHeight="1">
      <c r="A4118" s="66"/>
      <c r="B4118" s="67" t="str">
        <f t="shared" si="16"/>
        <v>M: </v>
      </c>
      <c r="C4118" s="68"/>
      <c r="D4118" s="68">
        <v>46161.0</v>
      </c>
      <c r="E4118" s="66">
        <v>6.0</v>
      </c>
      <c r="F4118" s="66" t="str">
        <f>IFERROR(__xludf.DUMMYFUNCTION("GOOGLETRANSLATE(A4118,""en"",""pt"")"),"#VALUE!")</f>
        <v>#VALUE!</v>
      </c>
      <c r="G4118" s="69"/>
    </row>
    <row r="4119" ht="22.5" customHeight="1">
      <c r="A4119" s="66"/>
      <c r="B4119" s="67" t="str">
        <f t="shared" si="16"/>
        <v>M: </v>
      </c>
      <c r="C4119" s="68"/>
      <c r="D4119" s="68">
        <v>46161.0</v>
      </c>
      <c r="E4119" s="66">
        <v>7.0</v>
      </c>
      <c r="F4119" s="66" t="str">
        <f>IFERROR(__xludf.DUMMYFUNCTION("GOOGLETRANSLATE(A4119,""en"",""pt"")"),"#VALUE!")</f>
        <v>#VALUE!</v>
      </c>
      <c r="G4119" s="69"/>
    </row>
    <row r="4120" ht="22.5" customHeight="1">
      <c r="A4120" s="66"/>
      <c r="B4120" s="67" t="str">
        <f t="shared" si="16"/>
        <v>M: </v>
      </c>
      <c r="C4120" s="68"/>
      <c r="D4120" s="68">
        <v>46161.0</v>
      </c>
      <c r="E4120" s="66">
        <v>8.0</v>
      </c>
      <c r="F4120" s="66" t="str">
        <f>IFERROR(__xludf.DUMMYFUNCTION("GOOGLETRANSLATE(A4120,""en"",""pt"")"),"#VALUE!")</f>
        <v>#VALUE!</v>
      </c>
      <c r="G4120" s="69"/>
    </row>
    <row r="4121" ht="22.5" customHeight="1">
      <c r="A4121" s="66"/>
      <c r="B4121" s="67" t="str">
        <f t="shared" si="16"/>
        <v>M: </v>
      </c>
      <c r="C4121" s="68"/>
      <c r="D4121" s="68">
        <v>46161.0</v>
      </c>
      <c r="E4121" s="66">
        <v>9.0</v>
      </c>
      <c r="F4121" s="66" t="str">
        <f>IFERROR(__xludf.DUMMYFUNCTION("GOOGLETRANSLATE(A4121,""en"",""pt"")"),"#VALUE!")</f>
        <v>#VALUE!</v>
      </c>
      <c r="G4121" s="69"/>
    </row>
    <row r="4122" ht="22.5" customHeight="1">
      <c r="A4122" s="66"/>
      <c r="B4122" s="67" t="str">
        <f t="shared" si="16"/>
        <v>M: </v>
      </c>
      <c r="C4122" s="68"/>
      <c r="D4122" s="68">
        <v>46162.0</v>
      </c>
      <c r="E4122" s="66">
        <v>10.0</v>
      </c>
      <c r="F4122" s="66" t="str">
        <f>IFERROR(__xludf.DUMMYFUNCTION("GOOGLETRANSLATE(A4122,""en"",""pt"")"),"#VALUE!")</f>
        <v>#VALUE!</v>
      </c>
      <c r="G4122" s="69"/>
    </row>
    <row r="4123" ht="22.5" customHeight="1">
      <c r="A4123" s="66"/>
      <c r="B4123" s="67" t="str">
        <f t="shared" si="16"/>
        <v>M: </v>
      </c>
      <c r="C4123" s="68"/>
      <c r="D4123" s="68">
        <v>46162.0</v>
      </c>
      <c r="E4123" s="66">
        <v>1.0</v>
      </c>
      <c r="F4123" s="66" t="str">
        <f>IFERROR(__xludf.DUMMYFUNCTION("GOOGLETRANSLATE(A4123,""en"",""pt"")"),"#VALUE!")</f>
        <v>#VALUE!</v>
      </c>
      <c r="G4123" s="69"/>
    </row>
    <row r="4124" ht="22.5" customHeight="1">
      <c r="A4124" s="66"/>
      <c r="B4124" s="67" t="str">
        <f t="shared" si="16"/>
        <v>M: </v>
      </c>
      <c r="C4124" s="68"/>
      <c r="D4124" s="68">
        <v>46162.0</v>
      </c>
      <c r="E4124" s="66">
        <v>2.0</v>
      </c>
      <c r="F4124" s="66" t="str">
        <f>IFERROR(__xludf.DUMMYFUNCTION("GOOGLETRANSLATE(A4124,""en"",""pt"")"),"#VALUE!")</f>
        <v>#VALUE!</v>
      </c>
      <c r="G4124" s="69"/>
    </row>
    <row r="4125" ht="22.5" customHeight="1">
      <c r="A4125" s="66"/>
      <c r="B4125" s="67" t="str">
        <f t="shared" si="16"/>
        <v>M: </v>
      </c>
      <c r="C4125" s="68"/>
      <c r="D4125" s="68">
        <v>46162.0</v>
      </c>
      <c r="E4125" s="66">
        <v>3.0</v>
      </c>
      <c r="F4125" s="66" t="str">
        <f>IFERROR(__xludf.DUMMYFUNCTION("GOOGLETRANSLATE(A4125,""en"",""pt"")"),"#VALUE!")</f>
        <v>#VALUE!</v>
      </c>
      <c r="G4125" s="69"/>
    </row>
    <row r="4126" ht="22.5" customHeight="1">
      <c r="A4126" s="66"/>
      <c r="B4126" s="67" t="str">
        <f t="shared" si="16"/>
        <v>M: </v>
      </c>
      <c r="C4126" s="68"/>
      <c r="D4126" s="68">
        <v>46162.0</v>
      </c>
      <c r="E4126" s="66">
        <v>4.0</v>
      </c>
      <c r="F4126" s="66" t="str">
        <f>IFERROR(__xludf.DUMMYFUNCTION("GOOGLETRANSLATE(A4126,""en"",""pt"")"),"#VALUE!")</f>
        <v>#VALUE!</v>
      </c>
      <c r="G4126" s="69"/>
    </row>
    <row r="4127" ht="22.5" customHeight="1">
      <c r="A4127" s="66"/>
      <c r="B4127" s="67" t="str">
        <f t="shared" si="16"/>
        <v>M: </v>
      </c>
      <c r="C4127" s="68"/>
      <c r="D4127" s="68">
        <v>46162.0</v>
      </c>
      <c r="E4127" s="66">
        <v>5.0</v>
      </c>
      <c r="F4127" s="66" t="str">
        <f>IFERROR(__xludf.DUMMYFUNCTION("GOOGLETRANSLATE(A4127,""en"",""pt"")"),"#VALUE!")</f>
        <v>#VALUE!</v>
      </c>
      <c r="G4127" s="69"/>
    </row>
    <row r="4128" ht="22.5" customHeight="1">
      <c r="A4128" s="66"/>
      <c r="B4128" s="67" t="str">
        <f t="shared" si="16"/>
        <v>M: </v>
      </c>
      <c r="C4128" s="68"/>
      <c r="D4128" s="68">
        <v>46162.0</v>
      </c>
      <c r="E4128" s="66">
        <v>6.0</v>
      </c>
      <c r="F4128" s="66" t="str">
        <f>IFERROR(__xludf.DUMMYFUNCTION("GOOGLETRANSLATE(A4128,""en"",""pt"")"),"#VALUE!")</f>
        <v>#VALUE!</v>
      </c>
      <c r="G4128" s="69"/>
    </row>
    <row r="4129" ht="22.5" customHeight="1">
      <c r="A4129" s="66"/>
      <c r="B4129" s="67" t="str">
        <f t="shared" si="16"/>
        <v>M: </v>
      </c>
      <c r="C4129" s="68"/>
      <c r="D4129" s="68">
        <v>46162.0</v>
      </c>
      <c r="E4129" s="66">
        <v>7.0</v>
      </c>
      <c r="F4129" s="66" t="str">
        <f>IFERROR(__xludf.DUMMYFUNCTION("GOOGLETRANSLATE(A4129,""en"",""pt"")"),"#VALUE!")</f>
        <v>#VALUE!</v>
      </c>
      <c r="G4129" s="69"/>
    </row>
    <row r="4130" ht="22.5" customHeight="1">
      <c r="A4130" s="66"/>
      <c r="B4130" s="67" t="str">
        <f t="shared" si="16"/>
        <v>M: </v>
      </c>
      <c r="C4130" s="68"/>
      <c r="D4130" s="68">
        <v>46162.0</v>
      </c>
      <c r="E4130" s="66">
        <v>8.0</v>
      </c>
      <c r="F4130" s="66" t="str">
        <f>IFERROR(__xludf.DUMMYFUNCTION("GOOGLETRANSLATE(A4130,""en"",""pt"")"),"#VALUE!")</f>
        <v>#VALUE!</v>
      </c>
      <c r="G4130" s="69"/>
    </row>
    <row r="4131" ht="22.5" customHeight="1">
      <c r="A4131" s="66"/>
      <c r="B4131" s="67" t="str">
        <f t="shared" si="16"/>
        <v>M: </v>
      </c>
      <c r="C4131" s="68"/>
      <c r="D4131" s="68">
        <v>46162.0</v>
      </c>
      <c r="E4131" s="66">
        <v>9.0</v>
      </c>
      <c r="F4131" s="66" t="str">
        <f>IFERROR(__xludf.DUMMYFUNCTION("GOOGLETRANSLATE(A4131,""en"",""pt"")"),"#VALUE!")</f>
        <v>#VALUE!</v>
      </c>
      <c r="G4131" s="69"/>
    </row>
    <row r="4132" ht="22.5" customHeight="1">
      <c r="A4132" s="66"/>
      <c r="B4132" s="67" t="str">
        <f t="shared" si="16"/>
        <v>M: </v>
      </c>
      <c r="C4132" s="68"/>
      <c r="D4132" s="68">
        <v>46163.0</v>
      </c>
      <c r="E4132" s="66">
        <v>10.0</v>
      </c>
      <c r="F4132" s="66" t="str">
        <f>IFERROR(__xludf.DUMMYFUNCTION("GOOGLETRANSLATE(A4132,""en"",""pt"")"),"#VALUE!")</f>
        <v>#VALUE!</v>
      </c>
      <c r="G4132" s="69"/>
    </row>
    <row r="4133" ht="22.5" customHeight="1">
      <c r="A4133" s="66"/>
      <c r="B4133" s="67" t="str">
        <f t="shared" si="16"/>
        <v>M: </v>
      </c>
      <c r="C4133" s="68"/>
      <c r="D4133" s="68">
        <v>46163.0</v>
      </c>
      <c r="E4133" s="66">
        <v>1.0</v>
      </c>
      <c r="F4133" s="66" t="str">
        <f>IFERROR(__xludf.DUMMYFUNCTION("GOOGLETRANSLATE(A4133,""en"",""pt"")"),"#VALUE!")</f>
        <v>#VALUE!</v>
      </c>
      <c r="G4133" s="69"/>
    </row>
    <row r="4134" ht="22.5" customHeight="1">
      <c r="A4134" s="66"/>
      <c r="B4134" s="67" t="str">
        <f t="shared" si="16"/>
        <v>M: </v>
      </c>
      <c r="C4134" s="68"/>
      <c r="D4134" s="68">
        <v>46163.0</v>
      </c>
      <c r="E4134" s="66">
        <v>2.0</v>
      </c>
      <c r="F4134" s="66" t="str">
        <f>IFERROR(__xludf.DUMMYFUNCTION("GOOGLETRANSLATE(A4134,""en"",""pt"")"),"#VALUE!")</f>
        <v>#VALUE!</v>
      </c>
      <c r="G4134" s="69"/>
    </row>
    <row r="4135" ht="22.5" customHeight="1">
      <c r="A4135" s="66"/>
      <c r="B4135" s="67" t="str">
        <f t="shared" si="16"/>
        <v>M: </v>
      </c>
      <c r="C4135" s="68"/>
      <c r="D4135" s="68">
        <v>46163.0</v>
      </c>
      <c r="E4135" s="66">
        <v>3.0</v>
      </c>
      <c r="F4135" s="66" t="str">
        <f>IFERROR(__xludf.DUMMYFUNCTION("GOOGLETRANSLATE(A4135,""en"",""pt"")"),"#VALUE!")</f>
        <v>#VALUE!</v>
      </c>
      <c r="G4135" s="69"/>
    </row>
    <row r="4136" ht="22.5" customHeight="1">
      <c r="A4136" s="66"/>
      <c r="B4136" s="67" t="str">
        <f t="shared" si="16"/>
        <v>M: </v>
      </c>
      <c r="C4136" s="68"/>
      <c r="D4136" s="68">
        <v>46163.0</v>
      </c>
      <c r="E4136" s="66">
        <v>4.0</v>
      </c>
      <c r="F4136" s="66" t="str">
        <f>IFERROR(__xludf.DUMMYFUNCTION("GOOGLETRANSLATE(A4136,""en"",""pt"")"),"#VALUE!")</f>
        <v>#VALUE!</v>
      </c>
      <c r="G4136" s="69"/>
    </row>
    <row r="4137" ht="22.5" customHeight="1">
      <c r="A4137" s="66"/>
      <c r="B4137" s="67" t="str">
        <f t="shared" si="16"/>
        <v>M: </v>
      </c>
      <c r="C4137" s="68"/>
      <c r="D4137" s="68">
        <v>46163.0</v>
      </c>
      <c r="E4137" s="66">
        <v>5.0</v>
      </c>
      <c r="F4137" s="66" t="str">
        <f>IFERROR(__xludf.DUMMYFUNCTION("GOOGLETRANSLATE(A4137,""en"",""pt"")"),"#VALUE!")</f>
        <v>#VALUE!</v>
      </c>
      <c r="G4137" s="69"/>
    </row>
    <row r="4138" ht="22.5" customHeight="1">
      <c r="A4138" s="66"/>
      <c r="B4138" s="67" t="str">
        <f t="shared" si="16"/>
        <v>M: </v>
      </c>
      <c r="C4138" s="68"/>
      <c r="D4138" s="68">
        <v>46163.0</v>
      </c>
      <c r="E4138" s="66">
        <v>6.0</v>
      </c>
      <c r="F4138" s="66" t="str">
        <f>IFERROR(__xludf.DUMMYFUNCTION("GOOGLETRANSLATE(A4138,""en"",""pt"")"),"#VALUE!")</f>
        <v>#VALUE!</v>
      </c>
      <c r="G4138" s="69"/>
    </row>
    <row r="4139" ht="22.5" customHeight="1">
      <c r="A4139" s="66"/>
      <c r="B4139" s="67" t="str">
        <f t="shared" si="16"/>
        <v>M: </v>
      </c>
      <c r="C4139" s="68"/>
      <c r="D4139" s="68">
        <v>46163.0</v>
      </c>
      <c r="E4139" s="66">
        <v>7.0</v>
      </c>
      <c r="F4139" s="66" t="str">
        <f>IFERROR(__xludf.DUMMYFUNCTION("GOOGLETRANSLATE(A4139,""en"",""pt"")"),"#VALUE!")</f>
        <v>#VALUE!</v>
      </c>
      <c r="G4139" s="69"/>
    </row>
    <row r="4140" ht="22.5" customHeight="1">
      <c r="A4140" s="66"/>
      <c r="B4140" s="67" t="str">
        <f t="shared" si="16"/>
        <v>M: </v>
      </c>
      <c r="C4140" s="68"/>
      <c r="D4140" s="68">
        <v>46163.0</v>
      </c>
      <c r="E4140" s="66">
        <v>8.0</v>
      </c>
      <c r="F4140" s="66" t="str">
        <f>IFERROR(__xludf.DUMMYFUNCTION("GOOGLETRANSLATE(A4140,""en"",""pt"")"),"#VALUE!")</f>
        <v>#VALUE!</v>
      </c>
      <c r="G4140" s="69"/>
    </row>
    <row r="4141" ht="22.5" customHeight="1">
      <c r="A4141" s="66"/>
      <c r="B4141" s="67" t="str">
        <f t="shared" si="16"/>
        <v>M: </v>
      </c>
      <c r="C4141" s="68"/>
      <c r="D4141" s="68">
        <v>46163.0</v>
      </c>
      <c r="E4141" s="66">
        <v>9.0</v>
      </c>
      <c r="F4141" s="66" t="str">
        <f>IFERROR(__xludf.DUMMYFUNCTION("GOOGLETRANSLATE(A4141,""en"",""pt"")"),"#VALUE!")</f>
        <v>#VALUE!</v>
      </c>
      <c r="G4141" s="69"/>
    </row>
    <row r="4142" ht="22.5" customHeight="1">
      <c r="A4142" s="66"/>
      <c r="B4142" s="67" t="str">
        <f t="shared" si="16"/>
        <v>M: </v>
      </c>
      <c r="C4142" s="68"/>
      <c r="D4142" s="68">
        <v>46164.0</v>
      </c>
      <c r="E4142" s="66">
        <v>10.0</v>
      </c>
      <c r="F4142" s="66" t="str">
        <f>IFERROR(__xludf.DUMMYFUNCTION("GOOGLETRANSLATE(A4142,""en"",""pt"")"),"#VALUE!")</f>
        <v>#VALUE!</v>
      </c>
      <c r="G4142" s="69"/>
    </row>
    <row r="4143" ht="22.5" customHeight="1">
      <c r="A4143" s="66"/>
      <c r="B4143" s="67" t="str">
        <f t="shared" si="16"/>
        <v>M: </v>
      </c>
      <c r="C4143" s="68"/>
      <c r="D4143" s="68">
        <v>46164.0</v>
      </c>
      <c r="E4143" s="66">
        <v>1.0</v>
      </c>
      <c r="F4143" s="66" t="str">
        <f>IFERROR(__xludf.DUMMYFUNCTION("GOOGLETRANSLATE(A4143,""en"",""pt"")"),"#VALUE!")</f>
        <v>#VALUE!</v>
      </c>
      <c r="G4143" s="69"/>
    </row>
    <row r="4144" ht="22.5" customHeight="1">
      <c r="A4144" s="66"/>
      <c r="B4144" s="67" t="str">
        <f t="shared" si="16"/>
        <v>M: </v>
      </c>
      <c r="C4144" s="68"/>
      <c r="D4144" s="68">
        <v>46164.0</v>
      </c>
      <c r="E4144" s="66">
        <v>2.0</v>
      </c>
      <c r="F4144" s="66" t="str">
        <f>IFERROR(__xludf.DUMMYFUNCTION("GOOGLETRANSLATE(A4144,""en"",""pt"")"),"#VALUE!")</f>
        <v>#VALUE!</v>
      </c>
      <c r="G4144" s="69"/>
    </row>
    <row r="4145" ht="22.5" customHeight="1">
      <c r="A4145" s="66"/>
      <c r="B4145" s="67" t="str">
        <f t="shared" si="16"/>
        <v>M: </v>
      </c>
      <c r="C4145" s="68"/>
      <c r="D4145" s="68">
        <v>46164.0</v>
      </c>
      <c r="E4145" s="66">
        <v>3.0</v>
      </c>
      <c r="F4145" s="66" t="str">
        <f>IFERROR(__xludf.DUMMYFUNCTION("GOOGLETRANSLATE(A4145,""en"",""pt"")"),"#VALUE!")</f>
        <v>#VALUE!</v>
      </c>
      <c r="G4145" s="69"/>
    </row>
    <row r="4146" ht="22.5" customHeight="1">
      <c r="A4146" s="66"/>
      <c r="B4146" s="67" t="str">
        <f t="shared" si="16"/>
        <v>M: </v>
      </c>
      <c r="C4146" s="68"/>
      <c r="D4146" s="68">
        <v>46164.0</v>
      </c>
      <c r="E4146" s="66">
        <v>4.0</v>
      </c>
      <c r="F4146" s="66" t="str">
        <f>IFERROR(__xludf.DUMMYFUNCTION("GOOGLETRANSLATE(A4146,""en"",""pt"")"),"#VALUE!")</f>
        <v>#VALUE!</v>
      </c>
      <c r="G4146" s="69"/>
    </row>
    <row r="4147" ht="22.5" customHeight="1">
      <c r="A4147" s="66"/>
      <c r="B4147" s="67" t="str">
        <f t="shared" si="16"/>
        <v>M: </v>
      </c>
      <c r="C4147" s="68"/>
      <c r="D4147" s="68">
        <v>46164.0</v>
      </c>
      <c r="E4147" s="66">
        <v>5.0</v>
      </c>
      <c r="F4147" s="66" t="str">
        <f>IFERROR(__xludf.DUMMYFUNCTION("GOOGLETRANSLATE(A4147,""en"",""pt"")"),"#VALUE!")</f>
        <v>#VALUE!</v>
      </c>
      <c r="G4147" s="69"/>
    </row>
    <row r="4148" ht="22.5" customHeight="1">
      <c r="A4148" s="66"/>
      <c r="B4148" s="67" t="str">
        <f t="shared" si="16"/>
        <v>M: </v>
      </c>
      <c r="C4148" s="68"/>
      <c r="D4148" s="68">
        <v>46164.0</v>
      </c>
      <c r="E4148" s="66">
        <v>6.0</v>
      </c>
      <c r="F4148" s="66" t="str">
        <f>IFERROR(__xludf.DUMMYFUNCTION("GOOGLETRANSLATE(A4148,""en"",""pt"")"),"#VALUE!")</f>
        <v>#VALUE!</v>
      </c>
      <c r="G4148" s="69"/>
    </row>
    <row r="4149" ht="22.5" customHeight="1">
      <c r="A4149" s="66"/>
      <c r="B4149" s="67" t="str">
        <f t="shared" si="16"/>
        <v>M: </v>
      </c>
      <c r="C4149" s="68"/>
      <c r="D4149" s="68">
        <v>46164.0</v>
      </c>
      <c r="E4149" s="66">
        <v>7.0</v>
      </c>
      <c r="F4149" s="66" t="str">
        <f>IFERROR(__xludf.DUMMYFUNCTION("GOOGLETRANSLATE(A4149,""en"",""pt"")"),"#VALUE!")</f>
        <v>#VALUE!</v>
      </c>
      <c r="G4149" s="69"/>
    </row>
    <row r="4150" ht="22.5" customHeight="1">
      <c r="A4150" s="66"/>
      <c r="B4150" s="67" t="str">
        <f t="shared" si="16"/>
        <v>M: </v>
      </c>
      <c r="C4150" s="68"/>
      <c r="D4150" s="68">
        <v>46164.0</v>
      </c>
      <c r="E4150" s="66">
        <v>8.0</v>
      </c>
      <c r="F4150" s="66" t="str">
        <f>IFERROR(__xludf.DUMMYFUNCTION("GOOGLETRANSLATE(A4150,""en"",""pt"")"),"#VALUE!")</f>
        <v>#VALUE!</v>
      </c>
      <c r="G4150" s="69"/>
    </row>
    <row r="4151" ht="22.5" customHeight="1">
      <c r="A4151" s="66"/>
      <c r="B4151" s="67" t="str">
        <f t="shared" si="16"/>
        <v>M: </v>
      </c>
      <c r="C4151" s="68"/>
      <c r="D4151" s="68">
        <v>46164.0</v>
      </c>
      <c r="E4151" s="66">
        <v>9.0</v>
      </c>
      <c r="F4151" s="66" t="str">
        <f>IFERROR(__xludf.DUMMYFUNCTION("GOOGLETRANSLATE(A4151,""en"",""pt"")"),"#VALUE!")</f>
        <v>#VALUE!</v>
      </c>
      <c r="G4151" s="69"/>
    </row>
    <row r="4152" ht="22.5" customHeight="1">
      <c r="A4152" s="66"/>
      <c r="B4152" s="67" t="str">
        <f t="shared" si="16"/>
        <v>M: </v>
      </c>
      <c r="C4152" s="68"/>
      <c r="D4152" s="68">
        <v>46165.0</v>
      </c>
      <c r="E4152" s="66">
        <v>10.0</v>
      </c>
      <c r="F4152" s="66" t="str">
        <f>IFERROR(__xludf.DUMMYFUNCTION("GOOGLETRANSLATE(A4152,""en"",""pt"")"),"#VALUE!")</f>
        <v>#VALUE!</v>
      </c>
      <c r="G4152" s="69"/>
    </row>
    <row r="4153" ht="22.5" customHeight="1">
      <c r="A4153" s="66"/>
      <c r="B4153" s="67" t="str">
        <f t="shared" si="16"/>
        <v>M: </v>
      </c>
      <c r="C4153" s="68"/>
      <c r="D4153" s="68">
        <v>46165.0</v>
      </c>
      <c r="E4153" s="66">
        <v>1.0</v>
      </c>
      <c r="F4153" s="66" t="str">
        <f>IFERROR(__xludf.DUMMYFUNCTION("GOOGLETRANSLATE(A4153,""en"",""pt"")"),"#VALUE!")</f>
        <v>#VALUE!</v>
      </c>
      <c r="G4153" s="69"/>
    </row>
    <row r="4154" ht="22.5" customHeight="1">
      <c r="A4154" s="66"/>
      <c r="B4154" s="67" t="str">
        <f t="shared" si="16"/>
        <v>M: </v>
      </c>
      <c r="C4154" s="68"/>
      <c r="D4154" s="68">
        <v>46165.0</v>
      </c>
      <c r="E4154" s="66">
        <v>2.0</v>
      </c>
      <c r="F4154" s="66" t="str">
        <f>IFERROR(__xludf.DUMMYFUNCTION("GOOGLETRANSLATE(A4154,""en"",""pt"")"),"#VALUE!")</f>
        <v>#VALUE!</v>
      </c>
      <c r="G4154" s="69"/>
    </row>
    <row r="4155" ht="22.5" customHeight="1">
      <c r="A4155" s="66"/>
      <c r="B4155" s="67" t="str">
        <f t="shared" si="16"/>
        <v>M: </v>
      </c>
      <c r="C4155" s="68"/>
      <c r="D4155" s="68">
        <v>46165.0</v>
      </c>
      <c r="E4155" s="66">
        <v>3.0</v>
      </c>
      <c r="F4155" s="66" t="str">
        <f>IFERROR(__xludf.DUMMYFUNCTION("GOOGLETRANSLATE(A4155,""en"",""pt"")"),"#VALUE!")</f>
        <v>#VALUE!</v>
      </c>
      <c r="G4155" s="69"/>
    </row>
    <row r="4156" ht="22.5" customHeight="1">
      <c r="A4156" s="66"/>
      <c r="B4156" s="67" t="str">
        <f t="shared" si="16"/>
        <v>M: </v>
      </c>
      <c r="C4156" s="68"/>
      <c r="D4156" s="68">
        <v>46165.0</v>
      </c>
      <c r="E4156" s="66">
        <v>4.0</v>
      </c>
      <c r="F4156" s="66" t="str">
        <f>IFERROR(__xludf.DUMMYFUNCTION("GOOGLETRANSLATE(A4156,""en"",""pt"")"),"#VALUE!")</f>
        <v>#VALUE!</v>
      </c>
      <c r="G4156" s="69"/>
    </row>
    <row r="4157" ht="22.5" customHeight="1">
      <c r="A4157" s="66"/>
      <c r="B4157" s="67" t="str">
        <f t="shared" si="16"/>
        <v>M: </v>
      </c>
      <c r="C4157" s="68"/>
      <c r="D4157" s="68">
        <v>46165.0</v>
      </c>
      <c r="E4157" s="66">
        <v>5.0</v>
      </c>
      <c r="F4157" s="66" t="str">
        <f>IFERROR(__xludf.DUMMYFUNCTION("GOOGLETRANSLATE(A4157,""en"",""pt"")"),"#VALUE!")</f>
        <v>#VALUE!</v>
      </c>
      <c r="G4157" s="69"/>
    </row>
    <row r="4158" ht="22.5" customHeight="1">
      <c r="A4158" s="66"/>
      <c r="B4158" s="67" t="str">
        <f t="shared" si="16"/>
        <v>M: </v>
      </c>
      <c r="C4158" s="68"/>
      <c r="D4158" s="68">
        <v>46165.0</v>
      </c>
      <c r="E4158" s="66">
        <v>6.0</v>
      </c>
      <c r="F4158" s="66" t="str">
        <f>IFERROR(__xludf.DUMMYFUNCTION("GOOGLETRANSLATE(A4158,""en"",""pt"")"),"#VALUE!")</f>
        <v>#VALUE!</v>
      </c>
      <c r="G4158" s="69"/>
    </row>
    <row r="4159" ht="22.5" customHeight="1">
      <c r="A4159" s="66"/>
      <c r="B4159" s="67" t="str">
        <f t="shared" si="16"/>
        <v>M: </v>
      </c>
      <c r="C4159" s="68"/>
      <c r="D4159" s="68">
        <v>46165.0</v>
      </c>
      <c r="E4159" s="66">
        <v>7.0</v>
      </c>
      <c r="F4159" s="66" t="str">
        <f>IFERROR(__xludf.DUMMYFUNCTION("GOOGLETRANSLATE(A4159,""en"",""pt"")"),"#VALUE!")</f>
        <v>#VALUE!</v>
      </c>
      <c r="G4159" s="69"/>
    </row>
    <row r="4160" ht="22.5" customHeight="1">
      <c r="A4160" s="66"/>
      <c r="B4160" s="67" t="str">
        <f t="shared" si="16"/>
        <v>M: </v>
      </c>
      <c r="C4160" s="68"/>
      <c r="D4160" s="68">
        <v>46165.0</v>
      </c>
      <c r="E4160" s="66">
        <v>8.0</v>
      </c>
      <c r="F4160" s="66" t="str">
        <f>IFERROR(__xludf.DUMMYFUNCTION("GOOGLETRANSLATE(A4160,""en"",""pt"")"),"#VALUE!")</f>
        <v>#VALUE!</v>
      </c>
      <c r="G4160" s="69"/>
    </row>
    <row r="4161" ht="22.5" customHeight="1">
      <c r="A4161" s="66"/>
      <c r="B4161" s="67" t="str">
        <f t="shared" si="16"/>
        <v>M: </v>
      </c>
      <c r="C4161" s="68"/>
      <c r="D4161" s="68">
        <v>46165.0</v>
      </c>
      <c r="E4161" s="66">
        <v>9.0</v>
      </c>
      <c r="F4161" s="66" t="str">
        <f>IFERROR(__xludf.DUMMYFUNCTION("GOOGLETRANSLATE(A4161,""en"",""pt"")"),"#VALUE!")</f>
        <v>#VALUE!</v>
      </c>
      <c r="G4161" s="69"/>
    </row>
    <row r="4162" ht="22.5" customHeight="1">
      <c r="A4162" s="66"/>
      <c r="B4162" s="67" t="str">
        <f t="shared" si="16"/>
        <v>M: </v>
      </c>
      <c r="C4162" s="68"/>
      <c r="D4162" s="68">
        <v>46166.0</v>
      </c>
      <c r="E4162" s="66">
        <v>10.0</v>
      </c>
      <c r="F4162" s="66" t="str">
        <f>IFERROR(__xludf.DUMMYFUNCTION("GOOGLETRANSLATE(A4162,""en"",""pt"")"),"#VALUE!")</f>
        <v>#VALUE!</v>
      </c>
      <c r="G4162" s="69"/>
    </row>
    <row r="4163" ht="22.5" customHeight="1">
      <c r="A4163" s="66"/>
      <c r="B4163" s="67" t="str">
        <f t="shared" si="16"/>
        <v>M: </v>
      </c>
      <c r="C4163" s="68"/>
      <c r="D4163" s="68">
        <v>46166.0</v>
      </c>
      <c r="E4163" s="66">
        <v>1.0</v>
      </c>
      <c r="F4163" s="66" t="str">
        <f>IFERROR(__xludf.DUMMYFUNCTION("GOOGLETRANSLATE(A4163,""en"",""pt"")"),"#VALUE!")</f>
        <v>#VALUE!</v>
      </c>
      <c r="G4163" s="69"/>
    </row>
    <row r="4164" ht="22.5" customHeight="1">
      <c r="A4164" s="66"/>
      <c r="B4164" s="67" t="str">
        <f t="shared" si="16"/>
        <v>M: </v>
      </c>
      <c r="C4164" s="68"/>
      <c r="D4164" s="68">
        <v>46166.0</v>
      </c>
      <c r="E4164" s="66">
        <v>2.0</v>
      </c>
      <c r="F4164" s="66" t="str">
        <f>IFERROR(__xludf.DUMMYFUNCTION("GOOGLETRANSLATE(A4164,""en"",""pt"")"),"#VALUE!")</f>
        <v>#VALUE!</v>
      </c>
      <c r="G4164" s="69"/>
    </row>
    <row r="4165" ht="22.5" customHeight="1">
      <c r="A4165" s="66"/>
      <c r="B4165" s="67" t="str">
        <f t="shared" si="16"/>
        <v>M: </v>
      </c>
      <c r="C4165" s="68"/>
      <c r="D4165" s="68">
        <v>46166.0</v>
      </c>
      <c r="E4165" s="66">
        <v>3.0</v>
      </c>
      <c r="F4165" s="66" t="str">
        <f>IFERROR(__xludf.DUMMYFUNCTION("GOOGLETRANSLATE(A4165,""en"",""pt"")"),"#VALUE!")</f>
        <v>#VALUE!</v>
      </c>
      <c r="G4165" s="69"/>
    </row>
    <row r="4166" ht="22.5" customHeight="1">
      <c r="A4166" s="66"/>
      <c r="B4166" s="67" t="str">
        <f t="shared" si="16"/>
        <v>M: </v>
      </c>
      <c r="C4166" s="68"/>
      <c r="D4166" s="68">
        <v>46166.0</v>
      </c>
      <c r="E4166" s="66">
        <v>4.0</v>
      </c>
      <c r="F4166" s="66" t="str">
        <f>IFERROR(__xludf.DUMMYFUNCTION("GOOGLETRANSLATE(A4166,""en"",""pt"")"),"#VALUE!")</f>
        <v>#VALUE!</v>
      </c>
      <c r="G4166" s="69"/>
    </row>
    <row r="4167" ht="22.5" customHeight="1">
      <c r="A4167" s="66"/>
      <c r="B4167" s="67" t="str">
        <f t="shared" si="16"/>
        <v>M: </v>
      </c>
      <c r="C4167" s="68"/>
      <c r="D4167" s="68">
        <v>46166.0</v>
      </c>
      <c r="E4167" s="66">
        <v>5.0</v>
      </c>
      <c r="F4167" s="66" t="str">
        <f>IFERROR(__xludf.DUMMYFUNCTION("GOOGLETRANSLATE(A4167,""en"",""pt"")"),"#VALUE!")</f>
        <v>#VALUE!</v>
      </c>
      <c r="G4167" s="69"/>
    </row>
    <row r="4168" ht="22.5" customHeight="1">
      <c r="A4168" s="66"/>
      <c r="B4168" s="67" t="str">
        <f t="shared" si="16"/>
        <v>M: </v>
      </c>
      <c r="C4168" s="68"/>
      <c r="D4168" s="68">
        <v>46166.0</v>
      </c>
      <c r="E4168" s="66">
        <v>6.0</v>
      </c>
      <c r="F4168" s="66" t="str">
        <f>IFERROR(__xludf.DUMMYFUNCTION("GOOGLETRANSLATE(A4168,""en"",""pt"")"),"#VALUE!")</f>
        <v>#VALUE!</v>
      </c>
      <c r="G4168" s="69"/>
    </row>
    <row r="4169" ht="22.5" customHeight="1">
      <c r="A4169" s="66"/>
      <c r="B4169" s="67" t="str">
        <f t="shared" si="16"/>
        <v>M: </v>
      </c>
      <c r="C4169" s="68"/>
      <c r="D4169" s="68">
        <v>46166.0</v>
      </c>
      <c r="E4169" s="66">
        <v>7.0</v>
      </c>
      <c r="F4169" s="66" t="str">
        <f>IFERROR(__xludf.DUMMYFUNCTION("GOOGLETRANSLATE(A4169,""en"",""pt"")"),"#VALUE!")</f>
        <v>#VALUE!</v>
      </c>
      <c r="G4169" s="69"/>
    </row>
    <row r="4170" ht="22.5" customHeight="1">
      <c r="A4170" s="66"/>
      <c r="B4170" s="67" t="str">
        <f t="shared" si="16"/>
        <v>M: </v>
      </c>
      <c r="C4170" s="68"/>
      <c r="D4170" s="68">
        <v>46166.0</v>
      </c>
      <c r="E4170" s="66">
        <v>8.0</v>
      </c>
      <c r="F4170" s="66" t="str">
        <f>IFERROR(__xludf.DUMMYFUNCTION("GOOGLETRANSLATE(A4170,""en"",""pt"")"),"#VALUE!")</f>
        <v>#VALUE!</v>
      </c>
      <c r="G4170" s="69"/>
    </row>
    <row r="4171" ht="22.5" customHeight="1">
      <c r="A4171" s="66"/>
      <c r="B4171" s="67" t="str">
        <f t="shared" si="16"/>
        <v>M: </v>
      </c>
      <c r="C4171" s="68"/>
      <c r="D4171" s="68">
        <v>46166.0</v>
      </c>
      <c r="E4171" s="66">
        <v>9.0</v>
      </c>
      <c r="F4171" s="66" t="str">
        <f>IFERROR(__xludf.DUMMYFUNCTION("GOOGLETRANSLATE(A4171,""en"",""pt"")"),"#VALUE!")</f>
        <v>#VALUE!</v>
      </c>
      <c r="G4171" s="69"/>
    </row>
    <row r="4172" ht="22.5" customHeight="1">
      <c r="A4172" s="66"/>
      <c r="B4172" s="67" t="str">
        <f t="shared" si="16"/>
        <v>M: </v>
      </c>
      <c r="C4172" s="68"/>
      <c r="D4172" s="68">
        <v>46167.0</v>
      </c>
      <c r="E4172" s="66">
        <v>10.0</v>
      </c>
      <c r="F4172" s="66" t="str">
        <f>IFERROR(__xludf.DUMMYFUNCTION("GOOGLETRANSLATE(A4172,""en"",""pt"")"),"#VALUE!")</f>
        <v>#VALUE!</v>
      </c>
      <c r="G4172" s="69"/>
    </row>
    <row r="4173" ht="22.5" customHeight="1">
      <c r="A4173" s="66"/>
      <c r="B4173" s="67" t="str">
        <f t="shared" si="16"/>
        <v>M: </v>
      </c>
      <c r="C4173" s="68"/>
      <c r="D4173" s="68">
        <v>46167.0</v>
      </c>
      <c r="E4173" s="66">
        <v>1.0</v>
      </c>
      <c r="F4173" s="66" t="str">
        <f>IFERROR(__xludf.DUMMYFUNCTION("GOOGLETRANSLATE(A4173,""en"",""pt"")"),"#VALUE!")</f>
        <v>#VALUE!</v>
      </c>
      <c r="G4173" s="69"/>
    </row>
    <row r="4174" ht="22.5" customHeight="1">
      <c r="A4174" s="66"/>
      <c r="B4174" s="67" t="str">
        <f t="shared" si="16"/>
        <v>M: </v>
      </c>
      <c r="C4174" s="68"/>
      <c r="D4174" s="68">
        <v>46167.0</v>
      </c>
      <c r="E4174" s="66">
        <v>2.0</v>
      </c>
      <c r="F4174" s="66" t="str">
        <f>IFERROR(__xludf.DUMMYFUNCTION("GOOGLETRANSLATE(A4174,""en"",""pt"")"),"#VALUE!")</f>
        <v>#VALUE!</v>
      </c>
      <c r="G4174" s="69"/>
    </row>
    <row r="4175" ht="22.5" customHeight="1">
      <c r="A4175" s="66"/>
      <c r="B4175" s="67" t="str">
        <f t="shared" si="16"/>
        <v>M: </v>
      </c>
      <c r="C4175" s="68"/>
      <c r="D4175" s="68">
        <v>46167.0</v>
      </c>
      <c r="E4175" s="66">
        <v>3.0</v>
      </c>
      <c r="F4175" s="66" t="str">
        <f>IFERROR(__xludf.DUMMYFUNCTION("GOOGLETRANSLATE(A4175,""en"",""pt"")"),"#VALUE!")</f>
        <v>#VALUE!</v>
      </c>
      <c r="G4175" s="69"/>
    </row>
    <row r="4176" ht="22.5" customHeight="1">
      <c r="A4176" s="66"/>
      <c r="B4176" s="67" t="str">
        <f t="shared" si="16"/>
        <v>M: </v>
      </c>
      <c r="C4176" s="68"/>
      <c r="D4176" s="68">
        <v>46167.0</v>
      </c>
      <c r="E4176" s="66">
        <v>4.0</v>
      </c>
      <c r="F4176" s="66" t="str">
        <f>IFERROR(__xludf.DUMMYFUNCTION("GOOGLETRANSLATE(A4176,""en"",""pt"")"),"#VALUE!")</f>
        <v>#VALUE!</v>
      </c>
      <c r="G4176" s="69"/>
    </row>
    <row r="4177" ht="22.5" customHeight="1">
      <c r="A4177" s="66"/>
      <c r="B4177" s="67" t="str">
        <f t="shared" si="16"/>
        <v>M: </v>
      </c>
      <c r="C4177" s="68"/>
      <c r="D4177" s="68">
        <v>46167.0</v>
      </c>
      <c r="E4177" s="66">
        <v>5.0</v>
      </c>
      <c r="F4177" s="66" t="str">
        <f>IFERROR(__xludf.DUMMYFUNCTION("GOOGLETRANSLATE(A4177,""en"",""pt"")"),"#VALUE!")</f>
        <v>#VALUE!</v>
      </c>
      <c r="G4177" s="69"/>
    </row>
    <row r="4178" ht="22.5" customHeight="1">
      <c r="A4178" s="66"/>
      <c r="B4178" s="67" t="str">
        <f t="shared" si="16"/>
        <v>M: </v>
      </c>
      <c r="C4178" s="68"/>
      <c r="D4178" s="68">
        <v>46167.0</v>
      </c>
      <c r="E4178" s="66">
        <v>6.0</v>
      </c>
      <c r="F4178" s="66" t="str">
        <f>IFERROR(__xludf.DUMMYFUNCTION("GOOGLETRANSLATE(A4178,""en"",""pt"")"),"#VALUE!")</f>
        <v>#VALUE!</v>
      </c>
      <c r="G4178" s="69"/>
    </row>
    <row r="4179" ht="22.5" customHeight="1">
      <c r="A4179" s="66"/>
      <c r="B4179" s="67" t="str">
        <f t="shared" si="16"/>
        <v>M: </v>
      </c>
      <c r="C4179" s="68"/>
      <c r="D4179" s="68">
        <v>46167.0</v>
      </c>
      <c r="E4179" s="66">
        <v>7.0</v>
      </c>
      <c r="F4179" s="66" t="str">
        <f>IFERROR(__xludf.DUMMYFUNCTION("GOOGLETRANSLATE(A4179,""en"",""pt"")"),"#VALUE!")</f>
        <v>#VALUE!</v>
      </c>
      <c r="G4179" s="69"/>
    </row>
    <row r="4180" ht="22.5" customHeight="1">
      <c r="A4180" s="66"/>
      <c r="B4180" s="67" t="str">
        <f t="shared" si="16"/>
        <v>M: </v>
      </c>
      <c r="C4180" s="68"/>
      <c r="D4180" s="68">
        <v>46167.0</v>
      </c>
      <c r="E4180" s="66">
        <v>8.0</v>
      </c>
      <c r="F4180" s="66" t="str">
        <f>IFERROR(__xludf.DUMMYFUNCTION("GOOGLETRANSLATE(A4180,""en"",""pt"")"),"#VALUE!")</f>
        <v>#VALUE!</v>
      </c>
      <c r="G4180" s="69"/>
    </row>
    <row r="4181" ht="22.5" customHeight="1">
      <c r="A4181" s="66"/>
      <c r="B4181" s="67" t="str">
        <f t="shared" si="16"/>
        <v>M: </v>
      </c>
      <c r="C4181" s="68"/>
      <c r="D4181" s="68">
        <v>46167.0</v>
      </c>
      <c r="E4181" s="66">
        <v>9.0</v>
      </c>
      <c r="F4181" s="66" t="str">
        <f>IFERROR(__xludf.DUMMYFUNCTION("GOOGLETRANSLATE(A4181,""en"",""pt"")"),"#VALUE!")</f>
        <v>#VALUE!</v>
      </c>
      <c r="G4181" s="69"/>
    </row>
    <row r="4182" ht="22.5" customHeight="1">
      <c r="A4182" s="66"/>
      <c r="B4182" s="67" t="str">
        <f t="shared" si="16"/>
        <v>M: </v>
      </c>
      <c r="C4182" s="68"/>
      <c r="D4182" s="68">
        <v>46168.0</v>
      </c>
      <c r="E4182" s="66">
        <v>10.0</v>
      </c>
      <c r="F4182" s="66" t="str">
        <f>IFERROR(__xludf.DUMMYFUNCTION("GOOGLETRANSLATE(A4182,""en"",""pt"")"),"#VALUE!")</f>
        <v>#VALUE!</v>
      </c>
      <c r="G4182" s="69"/>
    </row>
    <row r="4183" ht="22.5" customHeight="1">
      <c r="A4183" s="66"/>
      <c r="B4183" s="67" t="str">
        <f t="shared" si="16"/>
        <v>M: </v>
      </c>
      <c r="C4183" s="68"/>
      <c r="D4183" s="68">
        <v>46168.0</v>
      </c>
      <c r="E4183" s="66">
        <v>1.0</v>
      </c>
      <c r="F4183" s="66" t="str">
        <f>IFERROR(__xludf.DUMMYFUNCTION("GOOGLETRANSLATE(A4183,""en"",""pt"")"),"#VALUE!")</f>
        <v>#VALUE!</v>
      </c>
      <c r="G4183" s="69"/>
    </row>
    <row r="4184" ht="22.5" customHeight="1">
      <c r="A4184" s="66"/>
      <c r="B4184" s="67" t="str">
        <f t="shared" si="16"/>
        <v>M: </v>
      </c>
      <c r="C4184" s="68"/>
      <c r="D4184" s="68">
        <v>46168.0</v>
      </c>
      <c r="E4184" s="66">
        <v>2.0</v>
      </c>
      <c r="F4184" s="66" t="str">
        <f>IFERROR(__xludf.DUMMYFUNCTION("GOOGLETRANSLATE(A4184,""en"",""pt"")"),"#VALUE!")</f>
        <v>#VALUE!</v>
      </c>
      <c r="G4184" s="69"/>
    </row>
    <row r="4185" ht="22.5" customHeight="1">
      <c r="A4185" s="66"/>
      <c r="B4185" s="67" t="str">
        <f t="shared" si="16"/>
        <v>M: </v>
      </c>
      <c r="C4185" s="68"/>
      <c r="D4185" s="68">
        <v>46168.0</v>
      </c>
      <c r="E4185" s="66">
        <v>3.0</v>
      </c>
      <c r="F4185" s="66" t="str">
        <f>IFERROR(__xludf.DUMMYFUNCTION("GOOGLETRANSLATE(A4185,""en"",""pt"")"),"#VALUE!")</f>
        <v>#VALUE!</v>
      </c>
      <c r="G4185" s="69"/>
    </row>
    <row r="4186" ht="22.5" customHeight="1">
      <c r="A4186" s="66"/>
      <c r="B4186" s="67" t="str">
        <f t="shared" si="16"/>
        <v>M: </v>
      </c>
      <c r="C4186" s="68"/>
      <c r="D4186" s="68">
        <v>46168.0</v>
      </c>
      <c r="E4186" s="66">
        <v>4.0</v>
      </c>
      <c r="F4186" s="66" t="str">
        <f>IFERROR(__xludf.DUMMYFUNCTION("GOOGLETRANSLATE(A4186,""en"",""pt"")"),"#VALUE!")</f>
        <v>#VALUE!</v>
      </c>
      <c r="G4186" s="69"/>
    </row>
    <row r="4187" ht="22.5" customHeight="1">
      <c r="A4187" s="66"/>
      <c r="B4187" s="67" t="str">
        <f t="shared" si="16"/>
        <v>M: </v>
      </c>
      <c r="C4187" s="68"/>
      <c r="D4187" s="68">
        <v>46168.0</v>
      </c>
      <c r="E4187" s="66">
        <v>5.0</v>
      </c>
      <c r="F4187" s="66" t="str">
        <f>IFERROR(__xludf.DUMMYFUNCTION("GOOGLETRANSLATE(A4187,""en"",""pt"")"),"#VALUE!")</f>
        <v>#VALUE!</v>
      </c>
      <c r="G4187" s="69"/>
    </row>
    <row r="4188" ht="22.5" customHeight="1">
      <c r="A4188" s="66"/>
      <c r="B4188" s="67" t="str">
        <f t="shared" si="16"/>
        <v>M: </v>
      </c>
      <c r="C4188" s="68"/>
      <c r="D4188" s="68">
        <v>46168.0</v>
      </c>
      <c r="E4188" s="66">
        <v>6.0</v>
      </c>
      <c r="F4188" s="66" t="str">
        <f>IFERROR(__xludf.DUMMYFUNCTION("GOOGLETRANSLATE(A4188,""en"",""pt"")"),"#VALUE!")</f>
        <v>#VALUE!</v>
      </c>
      <c r="G4188" s="69"/>
    </row>
    <row r="4189" ht="22.5" customHeight="1">
      <c r="A4189" s="66"/>
      <c r="B4189" s="67" t="str">
        <f t="shared" si="16"/>
        <v>M: </v>
      </c>
      <c r="C4189" s="68"/>
      <c r="D4189" s="68">
        <v>46168.0</v>
      </c>
      <c r="E4189" s="66">
        <v>7.0</v>
      </c>
      <c r="F4189" s="66" t="str">
        <f>IFERROR(__xludf.DUMMYFUNCTION("GOOGLETRANSLATE(A4189,""en"",""pt"")"),"#VALUE!")</f>
        <v>#VALUE!</v>
      </c>
      <c r="G4189" s="69"/>
    </row>
    <row r="4190" ht="22.5" customHeight="1">
      <c r="A4190" s="66"/>
      <c r="B4190" s="67" t="str">
        <f t="shared" si="16"/>
        <v>M: </v>
      </c>
      <c r="C4190" s="68"/>
      <c r="D4190" s="68">
        <v>46168.0</v>
      </c>
      <c r="E4190" s="66">
        <v>8.0</v>
      </c>
      <c r="F4190" s="66" t="str">
        <f>IFERROR(__xludf.DUMMYFUNCTION("GOOGLETRANSLATE(A4190,""en"",""pt"")"),"#VALUE!")</f>
        <v>#VALUE!</v>
      </c>
      <c r="G4190" s="69"/>
    </row>
    <row r="4191" ht="22.5" customHeight="1">
      <c r="A4191" s="66"/>
      <c r="B4191" s="67" t="str">
        <f t="shared" si="16"/>
        <v>M: </v>
      </c>
      <c r="C4191" s="68"/>
      <c r="D4191" s="68">
        <v>46168.0</v>
      </c>
      <c r="E4191" s="66">
        <v>9.0</v>
      </c>
      <c r="F4191" s="66" t="str">
        <f>IFERROR(__xludf.DUMMYFUNCTION("GOOGLETRANSLATE(A4191,""en"",""pt"")"),"#VALUE!")</f>
        <v>#VALUE!</v>
      </c>
      <c r="G4191" s="69"/>
    </row>
    <row r="4192" ht="22.5" customHeight="1">
      <c r="A4192" s="66"/>
      <c r="B4192" s="67" t="str">
        <f t="shared" si="16"/>
        <v>M: </v>
      </c>
      <c r="C4192" s="68"/>
      <c r="D4192" s="68">
        <v>46169.0</v>
      </c>
      <c r="E4192" s="66">
        <v>10.0</v>
      </c>
      <c r="F4192" s="66" t="str">
        <f>IFERROR(__xludf.DUMMYFUNCTION("GOOGLETRANSLATE(A4192,""en"",""pt"")"),"#VALUE!")</f>
        <v>#VALUE!</v>
      </c>
      <c r="G4192" s="69"/>
    </row>
    <row r="4193" ht="22.5" customHeight="1">
      <c r="A4193" s="66"/>
      <c r="B4193" s="67" t="str">
        <f t="shared" si="16"/>
        <v>M: </v>
      </c>
      <c r="C4193" s="68"/>
      <c r="D4193" s="68">
        <v>46169.0</v>
      </c>
      <c r="E4193" s="66">
        <v>1.0</v>
      </c>
      <c r="F4193" s="66" t="str">
        <f>IFERROR(__xludf.DUMMYFUNCTION("GOOGLETRANSLATE(A4193,""en"",""pt"")"),"#VALUE!")</f>
        <v>#VALUE!</v>
      </c>
      <c r="G4193" s="69"/>
    </row>
    <row r="4194" ht="22.5" customHeight="1">
      <c r="A4194" s="66"/>
      <c r="B4194" s="67" t="str">
        <f t="shared" si="16"/>
        <v>M: </v>
      </c>
      <c r="C4194" s="68"/>
      <c r="D4194" s="68">
        <v>46169.0</v>
      </c>
      <c r="E4194" s="66">
        <v>2.0</v>
      </c>
      <c r="F4194" s="66" t="str">
        <f>IFERROR(__xludf.DUMMYFUNCTION("GOOGLETRANSLATE(A4194,""en"",""pt"")"),"#VALUE!")</f>
        <v>#VALUE!</v>
      </c>
      <c r="G4194" s="69"/>
    </row>
    <row r="4195" ht="22.5" customHeight="1">
      <c r="A4195" s="66"/>
      <c r="B4195" s="67" t="str">
        <f t="shared" si="16"/>
        <v>M: </v>
      </c>
      <c r="C4195" s="68"/>
      <c r="D4195" s="68">
        <v>46169.0</v>
      </c>
      <c r="E4195" s="66">
        <v>3.0</v>
      </c>
      <c r="F4195" s="66" t="str">
        <f>IFERROR(__xludf.DUMMYFUNCTION("GOOGLETRANSLATE(A4195,""en"",""pt"")"),"#VALUE!")</f>
        <v>#VALUE!</v>
      </c>
      <c r="G4195" s="69"/>
    </row>
    <row r="4196" ht="22.5" customHeight="1">
      <c r="A4196" s="66"/>
      <c r="B4196" s="67" t="str">
        <f t="shared" si="16"/>
        <v>M: </v>
      </c>
      <c r="C4196" s="68"/>
      <c r="D4196" s="68">
        <v>46169.0</v>
      </c>
      <c r="E4196" s="66">
        <v>4.0</v>
      </c>
      <c r="F4196" s="66" t="str">
        <f>IFERROR(__xludf.DUMMYFUNCTION("GOOGLETRANSLATE(A4196,""en"",""pt"")"),"#VALUE!")</f>
        <v>#VALUE!</v>
      </c>
      <c r="G4196" s="69"/>
    </row>
    <row r="4197" ht="22.5" customHeight="1">
      <c r="A4197" s="66"/>
      <c r="B4197" s="67" t="str">
        <f t="shared" si="16"/>
        <v>M: </v>
      </c>
      <c r="C4197" s="68"/>
      <c r="D4197" s="68">
        <v>46169.0</v>
      </c>
      <c r="E4197" s="66">
        <v>5.0</v>
      </c>
      <c r="F4197" s="66" t="str">
        <f>IFERROR(__xludf.DUMMYFUNCTION("GOOGLETRANSLATE(A4197,""en"",""pt"")"),"#VALUE!")</f>
        <v>#VALUE!</v>
      </c>
      <c r="G4197" s="69"/>
    </row>
    <row r="4198" ht="22.5" customHeight="1">
      <c r="A4198" s="66"/>
      <c r="B4198" s="67" t="str">
        <f t="shared" si="16"/>
        <v>M: </v>
      </c>
      <c r="C4198" s="68"/>
      <c r="D4198" s="68">
        <v>46169.0</v>
      </c>
      <c r="E4198" s="66">
        <v>6.0</v>
      </c>
      <c r="F4198" s="66" t="str">
        <f>IFERROR(__xludf.DUMMYFUNCTION("GOOGLETRANSLATE(A4198,""en"",""pt"")"),"#VALUE!")</f>
        <v>#VALUE!</v>
      </c>
      <c r="G4198" s="69"/>
    </row>
    <row r="4199" ht="22.5" customHeight="1">
      <c r="A4199" s="66"/>
      <c r="B4199" s="67" t="str">
        <f t="shared" si="16"/>
        <v>M: </v>
      </c>
      <c r="C4199" s="68"/>
      <c r="D4199" s="68">
        <v>46169.0</v>
      </c>
      <c r="E4199" s="66">
        <v>7.0</v>
      </c>
      <c r="F4199" s="66" t="str">
        <f>IFERROR(__xludf.DUMMYFUNCTION("GOOGLETRANSLATE(A4199,""en"",""pt"")"),"#VALUE!")</f>
        <v>#VALUE!</v>
      </c>
      <c r="G4199" s="69"/>
    </row>
    <row r="4200" ht="22.5" customHeight="1">
      <c r="A4200" s="66"/>
      <c r="B4200" s="67" t="str">
        <f t="shared" si="16"/>
        <v>M: </v>
      </c>
      <c r="C4200" s="68"/>
      <c r="D4200" s="68">
        <v>46169.0</v>
      </c>
      <c r="E4200" s="66">
        <v>8.0</v>
      </c>
      <c r="F4200" s="66" t="str">
        <f>IFERROR(__xludf.DUMMYFUNCTION("GOOGLETRANSLATE(A4200,""en"",""pt"")"),"#VALUE!")</f>
        <v>#VALUE!</v>
      </c>
      <c r="G4200" s="69"/>
    </row>
    <row r="4201" ht="22.5" customHeight="1">
      <c r="A4201" s="66"/>
      <c r="B4201" s="67" t="str">
        <f t="shared" si="16"/>
        <v>M: </v>
      </c>
      <c r="C4201" s="68"/>
      <c r="D4201" s="68">
        <v>46169.0</v>
      </c>
      <c r="E4201" s="66">
        <v>9.0</v>
      </c>
      <c r="F4201" s="66" t="str">
        <f>IFERROR(__xludf.DUMMYFUNCTION("GOOGLETRANSLATE(A4201,""en"",""pt"")"),"#VALUE!")</f>
        <v>#VALUE!</v>
      </c>
      <c r="G4201" s="69"/>
    </row>
    <row r="4202" ht="22.5" customHeight="1">
      <c r="A4202" s="66"/>
      <c r="B4202" s="67" t="str">
        <f t="shared" si="16"/>
        <v>M: </v>
      </c>
      <c r="C4202" s="68"/>
      <c r="D4202" s="68">
        <v>46170.0</v>
      </c>
      <c r="E4202" s="66">
        <v>10.0</v>
      </c>
      <c r="F4202" s="66" t="str">
        <f>IFERROR(__xludf.DUMMYFUNCTION("GOOGLETRANSLATE(A4202,""en"",""pt"")"),"#VALUE!")</f>
        <v>#VALUE!</v>
      </c>
      <c r="G4202" s="69"/>
    </row>
    <row r="4203" ht="22.5" customHeight="1">
      <c r="A4203" s="66"/>
      <c r="B4203" s="67" t="str">
        <f t="shared" si="16"/>
        <v>M: </v>
      </c>
      <c r="C4203" s="68"/>
      <c r="D4203" s="68">
        <v>46170.0</v>
      </c>
      <c r="E4203" s="66">
        <v>1.0</v>
      </c>
      <c r="F4203" s="66" t="str">
        <f>IFERROR(__xludf.DUMMYFUNCTION("GOOGLETRANSLATE(A4203,""en"",""pt"")"),"#VALUE!")</f>
        <v>#VALUE!</v>
      </c>
      <c r="G4203" s="69"/>
    </row>
    <row r="4204" ht="22.5" customHeight="1">
      <c r="A4204" s="66"/>
      <c r="B4204" s="67" t="str">
        <f t="shared" si="16"/>
        <v>M: </v>
      </c>
      <c r="C4204" s="68"/>
      <c r="D4204" s="68">
        <v>46170.0</v>
      </c>
      <c r="E4204" s="66">
        <v>2.0</v>
      </c>
      <c r="F4204" s="66" t="str">
        <f>IFERROR(__xludf.DUMMYFUNCTION("GOOGLETRANSLATE(A4204,""en"",""pt"")"),"#VALUE!")</f>
        <v>#VALUE!</v>
      </c>
      <c r="G4204" s="69"/>
    </row>
    <row r="4205" ht="22.5" customHeight="1">
      <c r="A4205" s="66"/>
      <c r="B4205" s="67" t="str">
        <f t="shared" si="16"/>
        <v>M: </v>
      </c>
      <c r="C4205" s="68"/>
      <c r="D4205" s="68">
        <v>46170.0</v>
      </c>
      <c r="E4205" s="66">
        <v>3.0</v>
      </c>
      <c r="F4205" s="66" t="str">
        <f>IFERROR(__xludf.DUMMYFUNCTION("GOOGLETRANSLATE(A4205,""en"",""pt"")"),"#VALUE!")</f>
        <v>#VALUE!</v>
      </c>
      <c r="G4205" s="69"/>
    </row>
    <row r="4206" ht="22.5" customHeight="1">
      <c r="A4206" s="66"/>
      <c r="B4206" s="67" t="str">
        <f t="shared" si="16"/>
        <v>M: </v>
      </c>
      <c r="C4206" s="68"/>
      <c r="D4206" s="68">
        <v>46170.0</v>
      </c>
      <c r="E4206" s="66">
        <v>4.0</v>
      </c>
      <c r="F4206" s="66" t="str">
        <f>IFERROR(__xludf.DUMMYFUNCTION("GOOGLETRANSLATE(A4206,""en"",""pt"")"),"#VALUE!")</f>
        <v>#VALUE!</v>
      </c>
      <c r="G4206" s="69"/>
    </row>
    <row r="4207" ht="22.5" customHeight="1">
      <c r="A4207" s="66"/>
      <c r="B4207" s="67" t="str">
        <f t="shared" si="16"/>
        <v>M: </v>
      </c>
      <c r="C4207" s="68"/>
      <c r="D4207" s="68">
        <v>46170.0</v>
      </c>
      <c r="E4207" s="66">
        <v>5.0</v>
      </c>
      <c r="F4207" s="66" t="str">
        <f>IFERROR(__xludf.DUMMYFUNCTION("GOOGLETRANSLATE(A4207,""en"",""pt"")"),"#VALUE!")</f>
        <v>#VALUE!</v>
      </c>
      <c r="G4207" s="69"/>
    </row>
    <row r="4208" ht="22.5" customHeight="1">
      <c r="A4208" s="66"/>
      <c r="B4208" s="67" t="str">
        <f t="shared" si="16"/>
        <v>M: </v>
      </c>
      <c r="C4208" s="68"/>
      <c r="D4208" s="68">
        <v>46170.0</v>
      </c>
      <c r="E4208" s="66">
        <v>6.0</v>
      </c>
      <c r="F4208" s="66" t="str">
        <f>IFERROR(__xludf.DUMMYFUNCTION("GOOGLETRANSLATE(A4208,""en"",""pt"")"),"#VALUE!")</f>
        <v>#VALUE!</v>
      </c>
      <c r="G4208" s="69"/>
    </row>
    <row r="4209" ht="22.5" customHeight="1">
      <c r="A4209" s="66"/>
      <c r="B4209" s="67" t="str">
        <f t="shared" si="16"/>
        <v>M: </v>
      </c>
      <c r="C4209" s="68"/>
      <c r="D4209" s="68">
        <v>46170.0</v>
      </c>
      <c r="E4209" s="66">
        <v>7.0</v>
      </c>
      <c r="F4209" s="66" t="str">
        <f>IFERROR(__xludf.DUMMYFUNCTION("GOOGLETRANSLATE(A4209,""en"",""pt"")"),"#VALUE!")</f>
        <v>#VALUE!</v>
      </c>
      <c r="G4209" s="69"/>
    </row>
    <row r="4210" ht="22.5" customHeight="1">
      <c r="A4210" s="66"/>
      <c r="B4210" s="67" t="str">
        <f t="shared" si="16"/>
        <v>M: </v>
      </c>
      <c r="C4210" s="68"/>
      <c r="D4210" s="68">
        <v>46170.0</v>
      </c>
      <c r="E4210" s="66">
        <v>8.0</v>
      </c>
      <c r="F4210" s="66" t="str">
        <f>IFERROR(__xludf.DUMMYFUNCTION("GOOGLETRANSLATE(A4210,""en"",""pt"")"),"#VALUE!")</f>
        <v>#VALUE!</v>
      </c>
      <c r="G4210" s="69"/>
    </row>
    <row r="4211" ht="22.5" customHeight="1">
      <c r="A4211" s="66"/>
      <c r="B4211" s="67" t="str">
        <f t="shared" si="16"/>
        <v>M: </v>
      </c>
      <c r="C4211" s="68"/>
      <c r="D4211" s="68">
        <v>46170.0</v>
      </c>
      <c r="E4211" s="66">
        <v>9.0</v>
      </c>
      <c r="F4211" s="66" t="str">
        <f>IFERROR(__xludf.DUMMYFUNCTION("GOOGLETRANSLATE(A4211,""en"",""pt"")"),"#VALUE!")</f>
        <v>#VALUE!</v>
      </c>
      <c r="G4211" s="69"/>
    </row>
    <row r="4212" ht="22.5" customHeight="1">
      <c r="A4212" s="66"/>
      <c r="B4212" s="67" t="str">
        <f t="shared" si="16"/>
        <v>M: </v>
      </c>
      <c r="C4212" s="68"/>
      <c r="D4212" s="68">
        <v>46171.0</v>
      </c>
      <c r="E4212" s="66">
        <v>10.0</v>
      </c>
      <c r="F4212" s="66" t="str">
        <f>IFERROR(__xludf.DUMMYFUNCTION("GOOGLETRANSLATE(A4212,""en"",""pt"")"),"#VALUE!")</f>
        <v>#VALUE!</v>
      </c>
      <c r="G4212" s="69"/>
    </row>
    <row r="4213" ht="22.5" customHeight="1">
      <c r="A4213" s="66"/>
      <c r="B4213" s="67" t="str">
        <f t="shared" si="16"/>
        <v>M: </v>
      </c>
      <c r="C4213" s="68"/>
      <c r="D4213" s="68">
        <v>46171.0</v>
      </c>
      <c r="E4213" s="66">
        <v>1.0</v>
      </c>
      <c r="F4213" s="66" t="str">
        <f>IFERROR(__xludf.DUMMYFUNCTION("GOOGLETRANSLATE(A4213,""en"",""pt"")"),"#VALUE!")</f>
        <v>#VALUE!</v>
      </c>
      <c r="G4213" s="69"/>
    </row>
    <row r="4214" ht="22.5" customHeight="1">
      <c r="A4214" s="66"/>
      <c r="B4214" s="67" t="str">
        <f t="shared" si="16"/>
        <v>M: </v>
      </c>
      <c r="C4214" s="68"/>
      <c r="D4214" s="68">
        <v>46171.0</v>
      </c>
      <c r="E4214" s="66">
        <v>2.0</v>
      </c>
      <c r="F4214" s="66" t="str">
        <f>IFERROR(__xludf.DUMMYFUNCTION("GOOGLETRANSLATE(A4214,""en"",""pt"")"),"#VALUE!")</f>
        <v>#VALUE!</v>
      </c>
      <c r="G4214" s="69"/>
    </row>
    <row r="4215" ht="22.5" customHeight="1">
      <c r="A4215" s="66"/>
      <c r="B4215" s="67" t="str">
        <f t="shared" si="16"/>
        <v>M: </v>
      </c>
      <c r="C4215" s="68"/>
      <c r="D4215" s="68">
        <v>46171.0</v>
      </c>
      <c r="E4215" s="66">
        <v>3.0</v>
      </c>
      <c r="F4215" s="66" t="str">
        <f>IFERROR(__xludf.DUMMYFUNCTION("GOOGLETRANSLATE(A4215,""en"",""pt"")"),"#VALUE!")</f>
        <v>#VALUE!</v>
      </c>
      <c r="G4215" s="69"/>
    </row>
    <row r="4216" ht="22.5" customHeight="1">
      <c r="A4216" s="66"/>
      <c r="B4216" s="67" t="str">
        <f t="shared" si="16"/>
        <v>M: </v>
      </c>
      <c r="C4216" s="68"/>
      <c r="D4216" s="68">
        <v>46171.0</v>
      </c>
      <c r="E4216" s="66">
        <v>4.0</v>
      </c>
      <c r="F4216" s="66" t="str">
        <f>IFERROR(__xludf.DUMMYFUNCTION("GOOGLETRANSLATE(A4216,""en"",""pt"")"),"#VALUE!")</f>
        <v>#VALUE!</v>
      </c>
      <c r="G4216" s="69"/>
    </row>
    <row r="4217" ht="22.5" customHeight="1">
      <c r="A4217" s="66"/>
      <c r="B4217" s="67" t="str">
        <f t="shared" si="16"/>
        <v>M: </v>
      </c>
      <c r="C4217" s="68"/>
      <c r="D4217" s="68">
        <v>46171.0</v>
      </c>
      <c r="E4217" s="66">
        <v>5.0</v>
      </c>
      <c r="F4217" s="66" t="str">
        <f>IFERROR(__xludf.DUMMYFUNCTION("GOOGLETRANSLATE(A4217,""en"",""pt"")"),"#VALUE!")</f>
        <v>#VALUE!</v>
      </c>
      <c r="G4217" s="69"/>
    </row>
    <row r="4218" ht="22.5" customHeight="1">
      <c r="A4218" s="66"/>
      <c r="B4218" s="67" t="str">
        <f t="shared" si="16"/>
        <v>M: </v>
      </c>
      <c r="C4218" s="68"/>
      <c r="D4218" s="68">
        <v>46171.0</v>
      </c>
      <c r="E4218" s="66">
        <v>6.0</v>
      </c>
      <c r="F4218" s="66" t="str">
        <f>IFERROR(__xludf.DUMMYFUNCTION("GOOGLETRANSLATE(A4218,""en"",""pt"")"),"#VALUE!")</f>
        <v>#VALUE!</v>
      </c>
      <c r="G4218" s="69"/>
    </row>
    <row r="4219" ht="22.5" customHeight="1">
      <c r="A4219" s="66"/>
      <c r="B4219" s="67" t="str">
        <f t="shared" si="16"/>
        <v>M: </v>
      </c>
      <c r="C4219" s="68"/>
      <c r="D4219" s="68">
        <v>46171.0</v>
      </c>
      <c r="E4219" s="66">
        <v>7.0</v>
      </c>
      <c r="F4219" s="66" t="str">
        <f>IFERROR(__xludf.DUMMYFUNCTION("GOOGLETRANSLATE(A4219,""en"",""pt"")"),"#VALUE!")</f>
        <v>#VALUE!</v>
      </c>
      <c r="G4219" s="69"/>
    </row>
    <row r="4220" ht="22.5" customHeight="1">
      <c r="A4220" s="66"/>
      <c r="B4220" s="67" t="str">
        <f t="shared" si="16"/>
        <v>M: </v>
      </c>
      <c r="C4220" s="68"/>
      <c r="D4220" s="68">
        <v>46171.0</v>
      </c>
      <c r="E4220" s="66">
        <v>8.0</v>
      </c>
      <c r="F4220" s="66" t="str">
        <f>IFERROR(__xludf.DUMMYFUNCTION("GOOGLETRANSLATE(A4220,""en"",""pt"")"),"#VALUE!")</f>
        <v>#VALUE!</v>
      </c>
      <c r="G4220" s="69"/>
    </row>
    <row r="4221" ht="22.5" customHeight="1">
      <c r="A4221" s="66"/>
      <c r="B4221" s="67" t="str">
        <f t="shared" si="16"/>
        <v>M: </v>
      </c>
      <c r="C4221" s="68"/>
      <c r="D4221" s="68">
        <v>46171.0</v>
      </c>
      <c r="E4221" s="66">
        <v>9.0</v>
      </c>
      <c r="F4221" s="66" t="str">
        <f>IFERROR(__xludf.DUMMYFUNCTION("GOOGLETRANSLATE(A4221,""en"",""pt"")"),"#VALUE!")</f>
        <v>#VALUE!</v>
      </c>
      <c r="G4221" s="69"/>
    </row>
    <row r="4222" ht="22.5" customHeight="1">
      <c r="A4222" s="66"/>
      <c r="B4222" s="67" t="str">
        <f t="shared" si="16"/>
        <v>M: </v>
      </c>
      <c r="C4222" s="68"/>
      <c r="D4222" s="68">
        <v>46172.0</v>
      </c>
      <c r="E4222" s="66">
        <v>10.0</v>
      </c>
      <c r="F4222" s="66" t="str">
        <f>IFERROR(__xludf.DUMMYFUNCTION("GOOGLETRANSLATE(A4222,""en"",""pt"")"),"#VALUE!")</f>
        <v>#VALUE!</v>
      </c>
      <c r="G4222" s="69"/>
    </row>
    <row r="4223" ht="22.5" customHeight="1">
      <c r="A4223" s="66"/>
      <c r="B4223" s="67" t="str">
        <f t="shared" si="16"/>
        <v>M: </v>
      </c>
      <c r="C4223" s="68"/>
      <c r="D4223" s="68">
        <v>46172.0</v>
      </c>
      <c r="E4223" s="66">
        <v>1.0</v>
      </c>
      <c r="F4223" s="66" t="str">
        <f>IFERROR(__xludf.DUMMYFUNCTION("GOOGLETRANSLATE(A4223,""en"",""pt"")"),"#VALUE!")</f>
        <v>#VALUE!</v>
      </c>
      <c r="G4223" s="69"/>
    </row>
    <row r="4224" ht="22.5" customHeight="1">
      <c r="A4224" s="66"/>
      <c r="B4224" s="67" t="str">
        <f t="shared" si="16"/>
        <v>M: </v>
      </c>
      <c r="C4224" s="68"/>
      <c r="D4224" s="68">
        <v>46172.0</v>
      </c>
      <c r="E4224" s="66">
        <v>2.0</v>
      </c>
      <c r="F4224" s="66" t="str">
        <f>IFERROR(__xludf.DUMMYFUNCTION("GOOGLETRANSLATE(A4224,""en"",""pt"")"),"#VALUE!")</f>
        <v>#VALUE!</v>
      </c>
      <c r="G4224" s="69"/>
    </row>
    <row r="4225" ht="22.5" customHeight="1">
      <c r="A4225" s="66"/>
      <c r="B4225" s="67" t="str">
        <f t="shared" si="16"/>
        <v>M: </v>
      </c>
      <c r="C4225" s="68"/>
      <c r="D4225" s="68">
        <v>46172.0</v>
      </c>
      <c r="E4225" s="66">
        <v>3.0</v>
      </c>
      <c r="F4225" s="66" t="str">
        <f>IFERROR(__xludf.DUMMYFUNCTION("GOOGLETRANSLATE(A4225,""en"",""pt"")"),"#VALUE!")</f>
        <v>#VALUE!</v>
      </c>
      <c r="G4225" s="69"/>
    </row>
    <row r="4226" ht="22.5" customHeight="1">
      <c r="A4226" s="66"/>
      <c r="B4226" s="67" t="str">
        <f t="shared" si="16"/>
        <v>M: </v>
      </c>
      <c r="C4226" s="68"/>
      <c r="D4226" s="68">
        <v>46172.0</v>
      </c>
      <c r="E4226" s="66">
        <v>4.0</v>
      </c>
      <c r="F4226" s="66" t="str">
        <f>IFERROR(__xludf.DUMMYFUNCTION("GOOGLETRANSLATE(A4226,""en"",""pt"")"),"#VALUE!")</f>
        <v>#VALUE!</v>
      </c>
      <c r="G4226" s="69"/>
    </row>
    <row r="4227" ht="22.5" customHeight="1">
      <c r="A4227" s="66"/>
      <c r="B4227" s="67" t="str">
        <f t="shared" si="16"/>
        <v>M: </v>
      </c>
      <c r="C4227" s="68"/>
      <c r="D4227" s="68">
        <v>46172.0</v>
      </c>
      <c r="E4227" s="66">
        <v>5.0</v>
      </c>
      <c r="F4227" s="66" t="str">
        <f>IFERROR(__xludf.DUMMYFUNCTION("GOOGLETRANSLATE(A4227,""en"",""pt"")"),"#VALUE!")</f>
        <v>#VALUE!</v>
      </c>
      <c r="G4227" s="69"/>
    </row>
    <row r="4228" ht="22.5" customHeight="1">
      <c r="A4228" s="66"/>
      <c r="B4228" s="67" t="str">
        <f t="shared" si="16"/>
        <v>M: </v>
      </c>
      <c r="C4228" s="68"/>
      <c r="D4228" s="68">
        <v>46172.0</v>
      </c>
      <c r="E4228" s="66">
        <v>6.0</v>
      </c>
      <c r="F4228" s="66" t="str">
        <f>IFERROR(__xludf.DUMMYFUNCTION("GOOGLETRANSLATE(A4228,""en"",""pt"")"),"#VALUE!")</f>
        <v>#VALUE!</v>
      </c>
      <c r="G4228" s="69"/>
    </row>
    <row r="4229" ht="22.5" customHeight="1">
      <c r="A4229" s="66"/>
      <c r="B4229" s="67" t="str">
        <f t="shared" si="16"/>
        <v>M: </v>
      </c>
      <c r="C4229" s="68"/>
      <c r="D4229" s="68">
        <v>46172.0</v>
      </c>
      <c r="E4229" s="66">
        <v>7.0</v>
      </c>
      <c r="F4229" s="66" t="str">
        <f>IFERROR(__xludf.DUMMYFUNCTION("GOOGLETRANSLATE(A4229,""en"",""pt"")"),"#VALUE!")</f>
        <v>#VALUE!</v>
      </c>
      <c r="G4229" s="69"/>
    </row>
    <row r="4230" ht="22.5" customHeight="1">
      <c r="A4230" s="66"/>
      <c r="B4230" s="67" t="str">
        <f t="shared" si="16"/>
        <v>M: </v>
      </c>
      <c r="C4230" s="68"/>
      <c r="D4230" s="68">
        <v>46172.0</v>
      </c>
      <c r="E4230" s="66">
        <v>8.0</v>
      </c>
      <c r="F4230" s="66" t="str">
        <f>IFERROR(__xludf.DUMMYFUNCTION("GOOGLETRANSLATE(A4230,""en"",""pt"")"),"#VALUE!")</f>
        <v>#VALUE!</v>
      </c>
      <c r="G4230" s="69"/>
    </row>
    <row r="4231" ht="22.5" customHeight="1">
      <c r="A4231" s="66"/>
      <c r="B4231" s="67" t="str">
        <f t="shared" si="16"/>
        <v>M: </v>
      </c>
      <c r="C4231" s="68"/>
      <c r="D4231" s="68">
        <v>46172.0</v>
      </c>
      <c r="E4231" s="66">
        <v>9.0</v>
      </c>
      <c r="F4231" s="66" t="str">
        <f>IFERROR(__xludf.DUMMYFUNCTION("GOOGLETRANSLATE(A4231,""en"",""pt"")"),"#VALUE!")</f>
        <v>#VALUE!</v>
      </c>
      <c r="G4231" s="69"/>
    </row>
    <row r="4232" ht="22.5" customHeight="1">
      <c r="A4232" s="66"/>
      <c r="B4232" s="67" t="str">
        <f t="shared" si="16"/>
        <v>M: </v>
      </c>
      <c r="C4232" s="68"/>
      <c r="D4232" s="68">
        <v>46173.0</v>
      </c>
      <c r="E4232" s="66">
        <v>10.0</v>
      </c>
      <c r="F4232" s="66" t="str">
        <f>IFERROR(__xludf.DUMMYFUNCTION("GOOGLETRANSLATE(A4232,""en"",""pt"")"),"#VALUE!")</f>
        <v>#VALUE!</v>
      </c>
      <c r="G4232" s="69"/>
    </row>
    <row r="4233" ht="22.5" customHeight="1">
      <c r="A4233" s="66"/>
      <c r="B4233" s="67" t="str">
        <f t="shared" si="16"/>
        <v>M: </v>
      </c>
      <c r="C4233" s="68"/>
      <c r="D4233" s="68">
        <v>46173.0</v>
      </c>
      <c r="E4233" s="66">
        <v>1.0</v>
      </c>
      <c r="F4233" s="66" t="str">
        <f>IFERROR(__xludf.DUMMYFUNCTION("GOOGLETRANSLATE(A4233,""en"",""pt"")"),"#VALUE!")</f>
        <v>#VALUE!</v>
      </c>
      <c r="G4233" s="69"/>
    </row>
    <row r="4234" ht="22.5" customHeight="1">
      <c r="A4234" s="66"/>
      <c r="B4234" s="67" t="str">
        <f t="shared" si="16"/>
        <v>M: </v>
      </c>
      <c r="C4234" s="68"/>
      <c r="D4234" s="68">
        <v>46173.0</v>
      </c>
      <c r="E4234" s="66">
        <v>2.0</v>
      </c>
      <c r="F4234" s="66" t="str">
        <f>IFERROR(__xludf.DUMMYFUNCTION("GOOGLETRANSLATE(A4234,""en"",""pt"")"),"#VALUE!")</f>
        <v>#VALUE!</v>
      </c>
      <c r="G4234" s="69"/>
    </row>
    <row r="4235" ht="22.5" customHeight="1">
      <c r="A4235" s="66"/>
      <c r="B4235" s="67" t="str">
        <f t="shared" si="16"/>
        <v>M: </v>
      </c>
      <c r="C4235" s="68"/>
      <c r="D4235" s="68">
        <v>46173.0</v>
      </c>
      <c r="E4235" s="66">
        <v>3.0</v>
      </c>
      <c r="F4235" s="66" t="str">
        <f>IFERROR(__xludf.DUMMYFUNCTION("GOOGLETRANSLATE(A4235,""en"",""pt"")"),"#VALUE!")</f>
        <v>#VALUE!</v>
      </c>
      <c r="G4235" s="69"/>
    </row>
    <row r="4236" ht="22.5" customHeight="1">
      <c r="A4236" s="66"/>
      <c r="B4236" s="67" t="str">
        <f t="shared" si="16"/>
        <v>M: </v>
      </c>
      <c r="C4236" s="68"/>
      <c r="D4236" s="68">
        <v>46173.0</v>
      </c>
      <c r="E4236" s="66">
        <v>4.0</v>
      </c>
      <c r="F4236" s="66" t="str">
        <f>IFERROR(__xludf.DUMMYFUNCTION("GOOGLETRANSLATE(A4236,""en"",""pt"")"),"#VALUE!")</f>
        <v>#VALUE!</v>
      </c>
      <c r="G4236" s="69"/>
    </row>
    <row r="4237" ht="22.5" customHeight="1">
      <c r="A4237" s="66"/>
      <c r="B4237" s="67" t="str">
        <f t="shared" si="16"/>
        <v>M: </v>
      </c>
      <c r="C4237" s="68"/>
      <c r="D4237" s="68">
        <v>46173.0</v>
      </c>
      <c r="E4237" s="66">
        <v>5.0</v>
      </c>
      <c r="F4237" s="66" t="str">
        <f>IFERROR(__xludf.DUMMYFUNCTION("GOOGLETRANSLATE(A4237,""en"",""pt"")"),"#VALUE!")</f>
        <v>#VALUE!</v>
      </c>
      <c r="G4237" s="69"/>
    </row>
    <row r="4238" ht="22.5" customHeight="1">
      <c r="A4238" s="66"/>
      <c r="B4238" s="67" t="str">
        <f t="shared" si="16"/>
        <v>M: </v>
      </c>
      <c r="C4238" s="68"/>
      <c r="D4238" s="68">
        <v>46173.0</v>
      </c>
      <c r="E4238" s="66">
        <v>6.0</v>
      </c>
      <c r="F4238" s="66" t="str">
        <f>IFERROR(__xludf.DUMMYFUNCTION("GOOGLETRANSLATE(A4238,""en"",""pt"")"),"#VALUE!")</f>
        <v>#VALUE!</v>
      </c>
      <c r="G4238" s="69"/>
    </row>
    <row r="4239" ht="22.5" customHeight="1">
      <c r="A4239" s="66"/>
      <c r="B4239" s="67" t="str">
        <f t="shared" si="16"/>
        <v>M: </v>
      </c>
      <c r="C4239" s="68"/>
      <c r="D4239" s="68">
        <v>46173.0</v>
      </c>
      <c r="E4239" s="66">
        <v>7.0</v>
      </c>
      <c r="F4239" s="66" t="str">
        <f>IFERROR(__xludf.DUMMYFUNCTION("GOOGLETRANSLATE(A4239,""en"",""pt"")"),"#VALUE!")</f>
        <v>#VALUE!</v>
      </c>
      <c r="G4239" s="69"/>
    </row>
    <row r="4240" ht="22.5" customHeight="1">
      <c r="A4240" s="66"/>
      <c r="B4240" s="67" t="str">
        <f t="shared" si="16"/>
        <v>M: </v>
      </c>
      <c r="C4240" s="68"/>
      <c r="D4240" s="68">
        <v>46173.0</v>
      </c>
      <c r="E4240" s="66">
        <v>8.0</v>
      </c>
      <c r="F4240" s="66" t="str">
        <f>IFERROR(__xludf.DUMMYFUNCTION("GOOGLETRANSLATE(A4240,""en"",""pt"")"),"#VALUE!")</f>
        <v>#VALUE!</v>
      </c>
      <c r="G4240" s="69"/>
    </row>
    <row r="4241" ht="22.5" customHeight="1">
      <c r="A4241" s="66"/>
      <c r="B4241" s="67" t="str">
        <f t="shared" si="16"/>
        <v>M: </v>
      </c>
      <c r="C4241" s="68"/>
      <c r="D4241" s="68">
        <v>46173.0</v>
      </c>
      <c r="E4241" s="66">
        <v>9.0</v>
      </c>
      <c r="F4241" s="66" t="str">
        <f>IFERROR(__xludf.DUMMYFUNCTION("GOOGLETRANSLATE(A4241,""en"",""pt"")"),"#VALUE!")</f>
        <v>#VALUE!</v>
      </c>
      <c r="G4241" s="69"/>
    </row>
    <row r="4242" ht="22.5" customHeight="1">
      <c r="A4242" s="66"/>
      <c r="B4242" s="67" t="str">
        <f t="shared" si="16"/>
        <v>M: </v>
      </c>
      <c r="C4242" s="68"/>
      <c r="D4242" s="68">
        <v>46174.0</v>
      </c>
      <c r="E4242" s="66">
        <v>10.0</v>
      </c>
      <c r="F4242" s="66" t="str">
        <f>IFERROR(__xludf.DUMMYFUNCTION("GOOGLETRANSLATE(A4242,""en"",""pt"")"),"#VALUE!")</f>
        <v>#VALUE!</v>
      </c>
      <c r="G4242" s="69"/>
    </row>
    <row r="4243" ht="22.5" customHeight="1">
      <c r="A4243" s="66"/>
      <c r="B4243" s="67" t="str">
        <f t="shared" si="16"/>
        <v>M: </v>
      </c>
      <c r="C4243" s="68"/>
      <c r="D4243" s="68">
        <v>46174.0</v>
      </c>
      <c r="E4243" s="66">
        <v>1.0</v>
      </c>
      <c r="F4243" s="66" t="str">
        <f>IFERROR(__xludf.DUMMYFUNCTION("GOOGLETRANSLATE(A4243,""en"",""pt"")"),"#VALUE!")</f>
        <v>#VALUE!</v>
      </c>
      <c r="G4243" s="69"/>
    </row>
    <row r="4244" ht="22.5" customHeight="1">
      <c r="A4244" s="66"/>
      <c r="B4244" s="67" t="str">
        <f t="shared" si="16"/>
        <v>M: </v>
      </c>
      <c r="C4244" s="68"/>
      <c r="D4244" s="68">
        <v>46174.0</v>
      </c>
      <c r="E4244" s="66">
        <v>2.0</v>
      </c>
      <c r="F4244" s="66" t="str">
        <f>IFERROR(__xludf.DUMMYFUNCTION("GOOGLETRANSLATE(A4244,""en"",""pt"")"),"#VALUE!")</f>
        <v>#VALUE!</v>
      </c>
      <c r="G4244" s="69"/>
    </row>
    <row r="4245" ht="22.5" customHeight="1">
      <c r="A4245" s="66"/>
      <c r="B4245" s="67" t="str">
        <f t="shared" si="16"/>
        <v>M: </v>
      </c>
      <c r="C4245" s="68"/>
      <c r="D4245" s="68">
        <v>46174.0</v>
      </c>
      <c r="E4245" s="66">
        <v>3.0</v>
      </c>
      <c r="F4245" s="66" t="str">
        <f>IFERROR(__xludf.DUMMYFUNCTION("GOOGLETRANSLATE(A4245,""en"",""pt"")"),"#VALUE!")</f>
        <v>#VALUE!</v>
      </c>
      <c r="G4245" s="69"/>
    </row>
    <row r="4246" ht="22.5" customHeight="1">
      <c r="A4246" s="66"/>
      <c r="B4246" s="67" t="str">
        <f t="shared" si="16"/>
        <v>M: </v>
      </c>
      <c r="C4246" s="68"/>
      <c r="D4246" s="68">
        <v>46174.0</v>
      </c>
      <c r="E4246" s="66">
        <v>4.0</v>
      </c>
      <c r="F4246" s="66" t="str">
        <f>IFERROR(__xludf.DUMMYFUNCTION("GOOGLETRANSLATE(A4246,""en"",""pt"")"),"#VALUE!")</f>
        <v>#VALUE!</v>
      </c>
      <c r="G4246" s="69"/>
    </row>
    <row r="4247" ht="22.5" customHeight="1">
      <c r="A4247" s="66"/>
      <c r="B4247" s="67" t="str">
        <f t="shared" si="16"/>
        <v>M: </v>
      </c>
      <c r="C4247" s="68"/>
      <c r="D4247" s="68">
        <v>46174.0</v>
      </c>
      <c r="E4247" s="66">
        <v>5.0</v>
      </c>
      <c r="F4247" s="66" t="str">
        <f>IFERROR(__xludf.DUMMYFUNCTION("GOOGLETRANSLATE(A4247,""en"",""pt"")"),"#VALUE!")</f>
        <v>#VALUE!</v>
      </c>
      <c r="G4247" s="69"/>
    </row>
    <row r="4248" ht="22.5" customHeight="1">
      <c r="A4248" s="66"/>
      <c r="B4248" s="67" t="str">
        <f t="shared" si="16"/>
        <v>M: </v>
      </c>
      <c r="C4248" s="68"/>
      <c r="D4248" s="68">
        <v>46174.0</v>
      </c>
      <c r="E4248" s="66">
        <v>6.0</v>
      </c>
      <c r="F4248" s="66" t="str">
        <f>IFERROR(__xludf.DUMMYFUNCTION("GOOGLETRANSLATE(A4248,""en"",""pt"")"),"#VALUE!")</f>
        <v>#VALUE!</v>
      </c>
      <c r="G4248" s="69"/>
    </row>
    <row r="4249" ht="22.5" customHeight="1">
      <c r="A4249" s="66"/>
      <c r="B4249" s="67" t="str">
        <f t="shared" si="16"/>
        <v>M: </v>
      </c>
      <c r="C4249" s="68"/>
      <c r="D4249" s="68">
        <v>46174.0</v>
      </c>
      <c r="E4249" s="66">
        <v>7.0</v>
      </c>
      <c r="F4249" s="66" t="str">
        <f>IFERROR(__xludf.DUMMYFUNCTION("GOOGLETRANSLATE(A4249,""en"",""pt"")"),"#VALUE!")</f>
        <v>#VALUE!</v>
      </c>
      <c r="G4249" s="69"/>
    </row>
    <row r="4250" ht="22.5" customHeight="1">
      <c r="A4250" s="66"/>
      <c r="B4250" s="67" t="str">
        <f t="shared" si="16"/>
        <v>M: </v>
      </c>
      <c r="C4250" s="68"/>
      <c r="D4250" s="68">
        <v>46174.0</v>
      </c>
      <c r="E4250" s="66">
        <v>8.0</v>
      </c>
      <c r="F4250" s="66" t="str">
        <f>IFERROR(__xludf.DUMMYFUNCTION("GOOGLETRANSLATE(A4250,""en"",""pt"")"),"#VALUE!")</f>
        <v>#VALUE!</v>
      </c>
      <c r="G4250" s="69"/>
    </row>
    <row r="4251" ht="22.5" customHeight="1">
      <c r="A4251" s="66"/>
      <c r="B4251" s="67" t="str">
        <f t="shared" si="16"/>
        <v>M: </v>
      </c>
      <c r="C4251" s="68"/>
      <c r="D4251" s="68">
        <v>46174.0</v>
      </c>
      <c r="E4251" s="66">
        <v>9.0</v>
      </c>
      <c r="F4251" s="66" t="str">
        <f>IFERROR(__xludf.DUMMYFUNCTION("GOOGLETRANSLATE(A4251,""en"",""pt"")"),"#VALUE!")</f>
        <v>#VALUE!</v>
      </c>
      <c r="G4251" s="69"/>
    </row>
    <row r="4252" ht="22.5" customHeight="1">
      <c r="A4252" s="66"/>
      <c r="B4252" s="67" t="str">
        <f t="shared" si="16"/>
        <v>M: </v>
      </c>
      <c r="C4252" s="68"/>
      <c r="D4252" s="68">
        <v>46175.0</v>
      </c>
      <c r="E4252" s="66">
        <v>10.0</v>
      </c>
      <c r="F4252" s="66" t="str">
        <f>IFERROR(__xludf.DUMMYFUNCTION("GOOGLETRANSLATE(A4252,""en"",""pt"")"),"#VALUE!")</f>
        <v>#VALUE!</v>
      </c>
      <c r="G4252" s="69"/>
    </row>
    <row r="4253" ht="22.5" customHeight="1">
      <c r="A4253" s="66"/>
      <c r="B4253" s="67" t="str">
        <f t="shared" si="16"/>
        <v>M: </v>
      </c>
      <c r="C4253" s="68"/>
      <c r="D4253" s="68">
        <v>46175.0</v>
      </c>
      <c r="E4253" s="66">
        <v>1.0</v>
      </c>
      <c r="F4253" s="66" t="str">
        <f>IFERROR(__xludf.DUMMYFUNCTION("GOOGLETRANSLATE(A4253,""en"",""pt"")"),"#VALUE!")</f>
        <v>#VALUE!</v>
      </c>
      <c r="G4253" s="69"/>
    </row>
    <row r="4254" ht="22.5" customHeight="1">
      <c r="A4254" s="66"/>
      <c r="B4254" s="67" t="str">
        <f t="shared" si="16"/>
        <v>M: </v>
      </c>
      <c r="C4254" s="68"/>
      <c r="D4254" s="68">
        <v>46175.0</v>
      </c>
      <c r="E4254" s="66">
        <v>2.0</v>
      </c>
      <c r="F4254" s="66" t="str">
        <f>IFERROR(__xludf.DUMMYFUNCTION("GOOGLETRANSLATE(A4254,""en"",""pt"")"),"#VALUE!")</f>
        <v>#VALUE!</v>
      </c>
      <c r="G4254" s="69"/>
    </row>
    <row r="4255" ht="22.5" customHeight="1">
      <c r="A4255" s="66"/>
      <c r="B4255" s="67" t="str">
        <f t="shared" si="16"/>
        <v>M: </v>
      </c>
      <c r="C4255" s="68"/>
      <c r="D4255" s="68">
        <v>46175.0</v>
      </c>
      <c r="E4255" s="66">
        <v>3.0</v>
      </c>
      <c r="F4255" s="66" t="str">
        <f>IFERROR(__xludf.DUMMYFUNCTION("GOOGLETRANSLATE(A4255,""en"",""pt"")"),"#VALUE!")</f>
        <v>#VALUE!</v>
      </c>
      <c r="G4255" s="69"/>
    </row>
    <row r="4256" ht="22.5" customHeight="1">
      <c r="A4256" s="66"/>
      <c r="B4256" s="67" t="str">
        <f t="shared" si="16"/>
        <v>M: </v>
      </c>
      <c r="C4256" s="68"/>
      <c r="D4256" s="68">
        <v>46175.0</v>
      </c>
      <c r="E4256" s="66">
        <v>4.0</v>
      </c>
      <c r="F4256" s="66" t="str">
        <f>IFERROR(__xludf.DUMMYFUNCTION("GOOGLETRANSLATE(A4256,""en"",""pt"")"),"#VALUE!")</f>
        <v>#VALUE!</v>
      </c>
      <c r="G4256" s="69"/>
    </row>
    <row r="4257" ht="22.5" customHeight="1">
      <c r="A4257" s="66"/>
      <c r="B4257" s="67" t="str">
        <f t="shared" si="16"/>
        <v>M: </v>
      </c>
      <c r="C4257" s="68"/>
      <c r="D4257" s="68">
        <v>46175.0</v>
      </c>
      <c r="E4257" s="66">
        <v>5.0</v>
      </c>
      <c r="F4257" s="66" t="str">
        <f>IFERROR(__xludf.DUMMYFUNCTION("GOOGLETRANSLATE(A4257,""en"",""pt"")"),"#VALUE!")</f>
        <v>#VALUE!</v>
      </c>
      <c r="G4257" s="69"/>
    </row>
    <row r="4258" ht="22.5" customHeight="1">
      <c r="A4258" s="66"/>
      <c r="B4258" s="67" t="str">
        <f t="shared" si="16"/>
        <v>M: </v>
      </c>
      <c r="C4258" s="68"/>
      <c r="D4258" s="68">
        <v>46175.0</v>
      </c>
      <c r="E4258" s="66">
        <v>6.0</v>
      </c>
      <c r="F4258" s="66" t="str">
        <f>IFERROR(__xludf.DUMMYFUNCTION("GOOGLETRANSLATE(A4258,""en"",""pt"")"),"#VALUE!")</f>
        <v>#VALUE!</v>
      </c>
      <c r="G4258" s="69"/>
    </row>
    <row r="4259" ht="22.5" customHeight="1">
      <c r="A4259" s="66"/>
      <c r="B4259" s="67" t="str">
        <f t="shared" si="16"/>
        <v>M: </v>
      </c>
      <c r="C4259" s="68"/>
      <c r="D4259" s="68">
        <v>46175.0</v>
      </c>
      <c r="E4259" s="66">
        <v>7.0</v>
      </c>
      <c r="F4259" s="66" t="str">
        <f>IFERROR(__xludf.DUMMYFUNCTION("GOOGLETRANSLATE(A4259,""en"",""pt"")"),"#VALUE!")</f>
        <v>#VALUE!</v>
      </c>
      <c r="G4259" s="69"/>
    </row>
    <row r="4260" ht="22.5" customHeight="1">
      <c r="A4260" s="66"/>
      <c r="B4260" s="67" t="str">
        <f t="shared" si="16"/>
        <v>M: </v>
      </c>
      <c r="C4260" s="68"/>
      <c r="D4260" s="68">
        <v>46175.0</v>
      </c>
      <c r="E4260" s="66">
        <v>8.0</v>
      </c>
      <c r="F4260" s="66" t="str">
        <f>IFERROR(__xludf.DUMMYFUNCTION("GOOGLETRANSLATE(A4260,""en"",""pt"")"),"#VALUE!")</f>
        <v>#VALUE!</v>
      </c>
      <c r="G4260" s="69"/>
    </row>
    <row r="4261" ht="22.5" customHeight="1">
      <c r="A4261" s="66"/>
      <c r="B4261" s="67" t="str">
        <f t="shared" si="16"/>
        <v>M: </v>
      </c>
      <c r="C4261" s="68"/>
      <c r="D4261" s="68">
        <v>46175.0</v>
      </c>
      <c r="E4261" s="66">
        <v>9.0</v>
      </c>
      <c r="F4261" s="66" t="str">
        <f>IFERROR(__xludf.DUMMYFUNCTION("GOOGLETRANSLATE(A4261,""en"",""pt"")"),"#VALUE!")</f>
        <v>#VALUE!</v>
      </c>
      <c r="G4261" s="69"/>
    </row>
    <row r="4262" ht="22.5" customHeight="1">
      <c r="A4262" s="66"/>
      <c r="B4262" s="67" t="str">
        <f t="shared" si="16"/>
        <v>M: </v>
      </c>
      <c r="C4262" s="68"/>
      <c r="D4262" s="68">
        <v>46176.0</v>
      </c>
      <c r="E4262" s="66">
        <v>10.0</v>
      </c>
      <c r="F4262" s="66" t="str">
        <f>IFERROR(__xludf.DUMMYFUNCTION("GOOGLETRANSLATE(A4262,""en"",""pt"")"),"#VALUE!")</f>
        <v>#VALUE!</v>
      </c>
      <c r="G4262" s="69"/>
    </row>
    <row r="4263" ht="22.5" customHeight="1">
      <c r="A4263" s="66"/>
      <c r="B4263" s="67" t="str">
        <f t="shared" si="16"/>
        <v>M: </v>
      </c>
      <c r="C4263" s="68"/>
      <c r="D4263" s="68">
        <v>46176.0</v>
      </c>
      <c r="E4263" s="66">
        <v>1.0</v>
      </c>
      <c r="F4263" s="66" t="str">
        <f>IFERROR(__xludf.DUMMYFUNCTION("GOOGLETRANSLATE(A4263,""en"",""pt"")"),"#VALUE!")</f>
        <v>#VALUE!</v>
      </c>
      <c r="G4263" s="69"/>
    </row>
    <row r="4264" ht="22.5" customHeight="1">
      <c r="A4264" s="66"/>
      <c r="B4264" s="67" t="str">
        <f t="shared" si="16"/>
        <v>M: </v>
      </c>
      <c r="C4264" s="68"/>
      <c r="D4264" s="68">
        <v>46176.0</v>
      </c>
      <c r="E4264" s="66">
        <v>2.0</v>
      </c>
      <c r="F4264" s="66" t="str">
        <f>IFERROR(__xludf.DUMMYFUNCTION("GOOGLETRANSLATE(A4264,""en"",""pt"")"),"#VALUE!")</f>
        <v>#VALUE!</v>
      </c>
      <c r="G4264" s="69"/>
    </row>
    <row r="4265" ht="22.5" customHeight="1">
      <c r="A4265" s="66"/>
      <c r="B4265" s="67" t="str">
        <f t="shared" si="16"/>
        <v>M: </v>
      </c>
      <c r="C4265" s="68"/>
      <c r="D4265" s="68">
        <v>46176.0</v>
      </c>
      <c r="E4265" s="66">
        <v>3.0</v>
      </c>
      <c r="F4265" s="66" t="str">
        <f>IFERROR(__xludf.DUMMYFUNCTION("GOOGLETRANSLATE(A4265,""en"",""pt"")"),"#VALUE!")</f>
        <v>#VALUE!</v>
      </c>
      <c r="G4265" s="69"/>
    </row>
    <row r="4266" ht="22.5" customHeight="1">
      <c r="A4266" s="66"/>
      <c r="B4266" s="67" t="str">
        <f t="shared" si="16"/>
        <v>M: </v>
      </c>
      <c r="C4266" s="68"/>
      <c r="D4266" s="68">
        <v>46176.0</v>
      </c>
      <c r="E4266" s="66">
        <v>4.0</v>
      </c>
      <c r="F4266" s="66" t="str">
        <f>IFERROR(__xludf.DUMMYFUNCTION("GOOGLETRANSLATE(A4266,""en"",""pt"")"),"#VALUE!")</f>
        <v>#VALUE!</v>
      </c>
      <c r="G4266" s="69"/>
    </row>
    <row r="4267" ht="22.5" customHeight="1">
      <c r="A4267" s="66"/>
      <c r="B4267" s="67" t="str">
        <f t="shared" si="16"/>
        <v>M: </v>
      </c>
      <c r="C4267" s="68"/>
      <c r="D4267" s="68">
        <v>46176.0</v>
      </c>
      <c r="E4267" s="66">
        <v>5.0</v>
      </c>
      <c r="F4267" s="66" t="str">
        <f>IFERROR(__xludf.DUMMYFUNCTION("GOOGLETRANSLATE(A4267,""en"",""pt"")"),"#VALUE!")</f>
        <v>#VALUE!</v>
      </c>
      <c r="G4267" s="69"/>
    </row>
    <row r="4268" ht="22.5" customHeight="1">
      <c r="A4268" s="66"/>
      <c r="B4268" s="67" t="str">
        <f t="shared" si="16"/>
        <v>M: </v>
      </c>
      <c r="C4268" s="68"/>
      <c r="D4268" s="68">
        <v>46176.0</v>
      </c>
      <c r="E4268" s="66">
        <v>6.0</v>
      </c>
      <c r="F4268" s="66" t="str">
        <f>IFERROR(__xludf.DUMMYFUNCTION("GOOGLETRANSLATE(A4268,""en"",""pt"")"),"#VALUE!")</f>
        <v>#VALUE!</v>
      </c>
      <c r="G4268" s="69"/>
    </row>
    <row r="4269" ht="22.5" customHeight="1">
      <c r="A4269" s="66"/>
      <c r="B4269" s="67" t="str">
        <f t="shared" si="16"/>
        <v>M: </v>
      </c>
      <c r="C4269" s="68"/>
      <c r="D4269" s="68">
        <v>46176.0</v>
      </c>
      <c r="E4269" s="66">
        <v>7.0</v>
      </c>
      <c r="F4269" s="66" t="str">
        <f>IFERROR(__xludf.DUMMYFUNCTION("GOOGLETRANSLATE(A4269,""en"",""pt"")"),"#VALUE!")</f>
        <v>#VALUE!</v>
      </c>
      <c r="G4269" s="69"/>
    </row>
    <row r="4270" ht="22.5" customHeight="1">
      <c r="A4270" s="66"/>
      <c r="B4270" s="67" t="str">
        <f t="shared" si="16"/>
        <v>M: </v>
      </c>
      <c r="C4270" s="68"/>
      <c r="D4270" s="68">
        <v>46176.0</v>
      </c>
      <c r="E4270" s="66">
        <v>8.0</v>
      </c>
      <c r="F4270" s="66" t="str">
        <f>IFERROR(__xludf.DUMMYFUNCTION("GOOGLETRANSLATE(A4270,""en"",""pt"")"),"#VALUE!")</f>
        <v>#VALUE!</v>
      </c>
      <c r="G4270" s="69"/>
    </row>
    <row r="4271" ht="22.5" customHeight="1">
      <c r="A4271" s="66"/>
      <c r="B4271" s="67" t="str">
        <f t="shared" si="16"/>
        <v>M: </v>
      </c>
      <c r="C4271" s="68"/>
      <c r="D4271" s="68">
        <v>46176.0</v>
      </c>
      <c r="E4271" s="66">
        <v>9.0</v>
      </c>
      <c r="F4271" s="66" t="str">
        <f>IFERROR(__xludf.DUMMYFUNCTION("GOOGLETRANSLATE(A4271,""en"",""pt"")"),"#VALUE!")</f>
        <v>#VALUE!</v>
      </c>
      <c r="G4271" s="69"/>
    </row>
    <row r="4272" ht="22.5" customHeight="1">
      <c r="A4272" s="66"/>
      <c r="B4272" s="67" t="str">
        <f t="shared" si="16"/>
        <v>M: </v>
      </c>
      <c r="C4272" s="68"/>
      <c r="D4272" s="68">
        <v>46177.0</v>
      </c>
      <c r="E4272" s="66">
        <v>10.0</v>
      </c>
      <c r="F4272" s="66" t="str">
        <f>IFERROR(__xludf.DUMMYFUNCTION("GOOGLETRANSLATE(A4272,""en"",""pt"")"),"#VALUE!")</f>
        <v>#VALUE!</v>
      </c>
      <c r="G4272" s="69"/>
    </row>
    <row r="4273" ht="22.5" customHeight="1">
      <c r="A4273" s="66"/>
      <c r="B4273" s="67" t="str">
        <f t="shared" si="16"/>
        <v>M: </v>
      </c>
      <c r="C4273" s="68"/>
      <c r="D4273" s="68">
        <v>46177.0</v>
      </c>
      <c r="E4273" s="66">
        <v>1.0</v>
      </c>
      <c r="F4273" s="66" t="str">
        <f>IFERROR(__xludf.DUMMYFUNCTION("GOOGLETRANSLATE(A4273,""en"",""pt"")"),"#VALUE!")</f>
        <v>#VALUE!</v>
      </c>
      <c r="G4273" s="69"/>
    </row>
    <row r="4274" ht="22.5" customHeight="1">
      <c r="A4274" s="66"/>
      <c r="B4274" s="67" t="str">
        <f t="shared" si="16"/>
        <v>M: </v>
      </c>
      <c r="C4274" s="68"/>
      <c r="D4274" s="68">
        <v>46177.0</v>
      </c>
      <c r="E4274" s="66">
        <v>2.0</v>
      </c>
      <c r="F4274" s="66" t="str">
        <f>IFERROR(__xludf.DUMMYFUNCTION("GOOGLETRANSLATE(A4274,""en"",""pt"")"),"#VALUE!")</f>
        <v>#VALUE!</v>
      </c>
      <c r="G4274" s="69"/>
    </row>
    <row r="4275" ht="22.5" customHeight="1">
      <c r="A4275" s="66"/>
      <c r="B4275" s="67" t="str">
        <f t="shared" si="16"/>
        <v>M: </v>
      </c>
      <c r="C4275" s="68"/>
      <c r="D4275" s="68">
        <v>46177.0</v>
      </c>
      <c r="E4275" s="66">
        <v>3.0</v>
      </c>
      <c r="F4275" s="66" t="str">
        <f>IFERROR(__xludf.DUMMYFUNCTION("GOOGLETRANSLATE(A4275,""en"",""pt"")"),"#VALUE!")</f>
        <v>#VALUE!</v>
      </c>
      <c r="G4275" s="69"/>
    </row>
    <row r="4276" ht="22.5" customHeight="1">
      <c r="A4276" s="66"/>
      <c r="B4276" s="67" t="str">
        <f t="shared" si="16"/>
        <v>M: </v>
      </c>
      <c r="C4276" s="68"/>
      <c r="D4276" s="68">
        <v>46177.0</v>
      </c>
      <c r="E4276" s="66">
        <v>4.0</v>
      </c>
      <c r="F4276" s="66" t="str">
        <f>IFERROR(__xludf.DUMMYFUNCTION("GOOGLETRANSLATE(A4276,""en"",""pt"")"),"#VALUE!")</f>
        <v>#VALUE!</v>
      </c>
      <c r="G4276" s="69"/>
    </row>
    <row r="4277" ht="22.5" customHeight="1">
      <c r="A4277" s="66"/>
      <c r="B4277" s="67" t="str">
        <f t="shared" si="16"/>
        <v>M: </v>
      </c>
      <c r="C4277" s="68"/>
      <c r="D4277" s="68">
        <v>46177.0</v>
      </c>
      <c r="E4277" s="66">
        <v>5.0</v>
      </c>
      <c r="F4277" s="66" t="str">
        <f>IFERROR(__xludf.DUMMYFUNCTION("GOOGLETRANSLATE(A4277,""en"",""pt"")"),"#VALUE!")</f>
        <v>#VALUE!</v>
      </c>
      <c r="G4277" s="69"/>
    </row>
    <row r="4278" ht="22.5" customHeight="1">
      <c r="A4278" s="66"/>
      <c r="B4278" s="67" t="str">
        <f t="shared" si="16"/>
        <v>M: </v>
      </c>
      <c r="C4278" s="68"/>
      <c r="D4278" s="68">
        <v>46177.0</v>
      </c>
      <c r="E4278" s="66">
        <v>6.0</v>
      </c>
      <c r="F4278" s="66" t="str">
        <f>IFERROR(__xludf.DUMMYFUNCTION("GOOGLETRANSLATE(A4278,""en"",""pt"")"),"#VALUE!")</f>
        <v>#VALUE!</v>
      </c>
      <c r="G4278" s="69"/>
    </row>
    <row r="4279" ht="22.5" customHeight="1">
      <c r="A4279" s="66"/>
      <c r="B4279" s="67" t="str">
        <f t="shared" si="16"/>
        <v>M: </v>
      </c>
      <c r="C4279" s="68"/>
      <c r="D4279" s="68">
        <v>46177.0</v>
      </c>
      <c r="E4279" s="66">
        <v>7.0</v>
      </c>
      <c r="F4279" s="66" t="str">
        <f>IFERROR(__xludf.DUMMYFUNCTION("GOOGLETRANSLATE(A4279,""en"",""pt"")"),"#VALUE!")</f>
        <v>#VALUE!</v>
      </c>
      <c r="G4279" s="69"/>
    </row>
    <row r="4280" ht="22.5" customHeight="1">
      <c r="A4280" s="66"/>
      <c r="B4280" s="67" t="str">
        <f t="shared" si="16"/>
        <v>M: </v>
      </c>
      <c r="C4280" s="68"/>
      <c r="D4280" s="68">
        <v>46177.0</v>
      </c>
      <c r="E4280" s="66">
        <v>8.0</v>
      </c>
      <c r="F4280" s="66" t="str">
        <f>IFERROR(__xludf.DUMMYFUNCTION("GOOGLETRANSLATE(A4280,""en"",""pt"")"),"#VALUE!")</f>
        <v>#VALUE!</v>
      </c>
      <c r="G4280" s="69"/>
    </row>
    <row r="4281" ht="22.5" customHeight="1">
      <c r="A4281" s="66"/>
      <c r="B4281" s="67" t="str">
        <f t="shared" si="16"/>
        <v>M: </v>
      </c>
      <c r="C4281" s="68"/>
      <c r="D4281" s="68">
        <v>46177.0</v>
      </c>
      <c r="E4281" s="66">
        <v>9.0</v>
      </c>
      <c r="F4281" s="66" t="str">
        <f>IFERROR(__xludf.DUMMYFUNCTION("GOOGLETRANSLATE(A4281,""en"",""pt"")"),"#VALUE!")</f>
        <v>#VALUE!</v>
      </c>
      <c r="G4281" s="69"/>
    </row>
    <row r="4282" ht="22.5" customHeight="1">
      <c r="A4282" s="66"/>
      <c r="B4282" s="67" t="str">
        <f t="shared" si="16"/>
        <v>M: </v>
      </c>
      <c r="C4282" s="68"/>
      <c r="D4282" s="68">
        <v>46178.0</v>
      </c>
      <c r="E4282" s="66">
        <v>10.0</v>
      </c>
      <c r="F4282" s="66" t="str">
        <f>IFERROR(__xludf.DUMMYFUNCTION("GOOGLETRANSLATE(A4282,""en"",""pt"")"),"#VALUE!")</f>
        <v>#VALUE!</v>
      </c>
      <c r="G4282" s="69"/>
    </row>
    <row r="4283" ht="22.5" customHeight="1">
      <c r="A4283" s="66"/>
      <c r="B4283" s="67" t="str">
        <f t="shared" si="16"/>
        <v>M: </v>
      </c>
      <c r="C4283" s="68"/>
      <c r="D4283" s="68">
        <v>46178.0</v>
      </c>
      <c r="E4283" s="66">
        <v>1.0</v>
      </c>
      <c r="F4283" s="66" t="str">
        <f>IFERROR(__xludf.DUMMYFUNCTION("GOOGLETRANSLATE(A4283,""en"",""pt"")"),"#VALUE!")</f>
        <v>#VALUE!</v>
      </c>
      <c r="G4283" s="69"/>
    </row>
    <row r="4284" ht="22.5" customHeight="1">
      <c r="A4284" s="66"/>
      <c r="B4284" s="67" t="str">
        <f t="shared" si="16"/>
        <v>M: </v>
      </c>
      <c r="C4284" s="68"/>
      <c r="D4284" s="68">
        <v>46178.0</v>
      </c>
      <c r="E4284" s="66">
        <v>2.0</v>
      </c>
      <c r="F4284" s="66" t="str">
        <f>IFERROR(__xludf.DUMMYFUNCTION("GOOGLETRANSLATE(A4284,""en"",""pt"")"),"#VALUE!")</f>
        <v>#VALUE!</v>
      </c>
      <c r="G4284" s="69"/>
    </row>
    <row r="4285" ht="22.5" customHeight="1">
      <c r="A4285" s="66"/>
      <c r="B4285" s="67" t="str">
        <f t="shared" si="16"/>
        <v>M: </v>
      </c>
      <c r="C4285" s="68"/>
      <c r="D4285" s="68">
        <v>46178.0</v>
      </c>
      <c r="E4285" s="66">
        <v>3.0</v>
      </c>
      <c r="F4285" s="66" t="str">
        <f>IFERROR(__xludf.DUMMYFUNCTION("GOOGLETRANSLATE(A4285,""en"",""pt"")"),"#VALUE!")</f>
        <v>#VALUE!</v>
      </c>
      <c r="G4285" s="69"/>
    </row>
    <row r="4286" ht="22.5" customHeight="1">
      <c r="A4286" s="66"/>
      <c r="B4286" s="67" t="str">
        <f t="shared" si="16"/>
        <v>M: </v>
      </c>
      <c r="C4286" s="68"/>
      <c r="D4286" s="68">
        <v>46178.0</v>
      </c>
      <c r="E4286" s="66">
        <v>4.0</v>
      </c>
      <c r="F4286" s="66" t="str">
        <f>IFERROR(__xludf.DUMMYFUNCTION("GOOGLETRANSLATE(A4286,""en"",""pt"")"),"#VALUE!")</f>
        <v>#VALUE!</v>
      </c>
      <c r="G4286" s="69"/>
    </row>
    <row r="4287" ht="22.5" customHeight="1">
      <c r="A4287" s="66"/>
      <c r="B4287" s="67" t="str">
        <f t="shared" si="16"/>
        <v>M: </v>
      </c>
      <c r="C4287" s="68"/>
      <c r="D4287" s="68">
        <v>46178.0</v>
      </c>
      <c r="E4287" s="66">
        <v>5.0</v>
      </c>
      <c r="F4287" s="66" t="str">
        <f>IFERROR(__xludf.DUMMYFUNCTION("GOOGLETRANSLATE(A4287,""en"",""pt"")"),"#VALUE!")</f>
        <v>#VALUE!</v>
      </c>
      <c r="G4287" s="69"/>
    </row>
    <row r="4288" ht="22.5" customHeight="1">
      <c r="A4288" s="66"/>
      <c r="B4288" s="67" t="str">
        <f t="shared" si="16"/>
        <v>M: </v>
      </c>
      <c r="C4288" s="68"/>
      <c r="D4288" s="68">
        <v>46178.0</v>
      </c>
      <c r="E4288" s="66">
        <v>6.0</v>
      </c>
      <c r="F4288" s="66" t="str">
        <f>IFERROR(__xludf.DUMMYFUNCTION("GOOGLETRANSLATE(A4288,""en"",""pt"")"),"#VALUE!")</f>
        <v>#VALUE!</v>
      </c>
      <c r="G4288" s="69"/>
    </row>
    <row r="4289" ht="22.5" customHeight="1">
      <c r="A4289" s="66"/>
      <c r="B4289" s="67" t="str">
        <f t="shared" si="16"/>
        <v>M: </v>
      </c>
      <c r="C4289" s="68"/>
      <c r="D4289" s="68">
        <v>46178.0</v>
      </c>
      <c r="E4289" s="66">
        <v>7.0</v>
      </c>
      <c r="F4289" s="66" t="str">
        <f>IFERROR(__xludf.DUMMYFUNCTION("GOOGLETRANSLATE(A4289,""en"",""pt"")"),"#VALUE!")</f>
        <v>#VALUE!</v>
      </c>
      <c r="G4289" s="69"/>
    </row>
    <row r="4290" ht="22.5" customHeight="1">
      <c r="A4290" s="66"/>
      <c r="B4290" s="67" t="str">
        <f t="shared" si="16"/>
        <v>M: </v>
      </c>
      <c r="C4290" s="68"/>
      <c r="D4290" s="68">
        <v>46178.0</v>
      </c>
      <c r="E4290" s="66">
        <v>8.0</v>
      </c>
      <c r="F4290" s="66" t="str">
        <f>IFERROR(__xludf.DUMMYFUNCTION("GOOGLETRANSLATE(A4290,""en"",""pt"")"),"#VALUE!")</f>
        <v>#VALUE!</v>
      </c>
      <c r="G4290" s="69"/>
    </row>
    <row r="4291" ht="22.5" customHeight="1">
      <c r="A4291" s="66"/>
      <c r="B4291" s="67" t="str">
        <f t="shared" si="16"/>
        <v>M: </v>
      </c>
      <c r="C4291" s="68"/>
      <c r="D4291" s="68">
        <v>46178.0</v>
      </c>
      <c r="E4291" s="66">
        <v>9.0</v>
      </c>
      <c r="F4291" s="66" t="str">
        <f>IFERROR(__xludf.DUMMYFUNCTION("GOOGLETRANSLATE(A4291,""en"",""pt"")"),"#VALUE!")</f>
        <v>#VALUE!</v>
      </c>
      <c r="G4291" s="69"/>
    </row>
    <row r="4292" ht="22.5" customHeight="1">
      <c r="A4292" s="66"/>
      <c r="B4292" s="67" t="str">
        <f t="shared" si="16"/>
        <v>M: </v>
      </c>
      <c r="C4292" s="68"/>
      <c r="D4292" s="68">
        <v>46179.0</v>
      </c>
      <c r="E4292" s="66">
        <v>10.0</v>
      </c>
      <c r="F4292" s="66" t="str">
        <f>IFERROR(__xludf.DUMMYFUNCTION("GOOGLETRANSLATE(A4292,""en"",""pt"")"),"#VALUE!")</f>
        <v>#VALUE!</v>
      </c>
      <c r="G4292" s="69"/>
    </row>
    <row r="4293" ht="22.5" customHeight="1">
      <c r="A4293" s="66"/>
      <c r="B4293" s="67" t="str">
        <f t="shared" si="16"/>
        <v>M: </v>
      </c>
      <c r="C4293" s="68"/>
      <c r="D4293" s="68">
        <v>46179.0</v>
      </c>
      <c r="E4293" s="66">
        <v>1.0</v>
      </c>
      <c r="F4293" s="66" t="str">
        <f>IFERROR(__xludf.DUMMYFUNCTION("GOOGLETRANSLATE(A4293,""en"",""pt"")"),"#VALUE!")</f>
        <v>#VALUE!</v>
      </c>
      <c r="G4293" s="69"/>
    </row>
    <row r="4294" ht="22.5" customHeight="1">
      <c r="A4294" s="66"/>
      <c r="B4294" s="67" t="str">
        <f t="shared" si="16"/>
        <v>M: </v>
      </c>
      <c r="C4294" s="68"/>
      <c r="D4294" s="68">
        <v>46179.0</v>
      </c>
      <c r="E4294" s="66">
        <v>2.0</v>
      </c>
      <c r="F4294" s="66" t="str">
        <f>IFERROR(__xludf.DUMMYFUNCTION("GOOGLETRANSLATE(A4294,""en"",""pt"")"),"#VALUE!")</f>
        <v>#VALUE!</v>
      </c>
      <c r="G4294" s="69"/>
    </row>
    <row r="4295" ht="22.5" customHeight="1">
      <c r="A4295" s="66"/>
      <c r="B4295" s="67" t="str">
        <f t="shared" si="16"/>
        <v>M: </v>
      </c>
      <c r="C4295" s="68"/>
      <c r="D4295" s="68">
        <v>46179.0</v>
      </c>
      <c r="E4295" s="66">
        <v>3.0</v>
      </c>
      <c r="F4295" s="66" t="str">
        <f>IFERROR(__xludf.DUMMYFUNCTION("GOOGLETRANSLATE(A4295,""en"",""pt"")"),"#VALUE!")</f>
        <v>#VALUE!</v>
      </c>
      <c r="G4295" s="69"/>
    </row>
    <row r="4296" ht="22.5" customHeight="1">
      <c r="A4296" s="66"/>
      <c r="B4296" s="67" t="str">
        <f t="shared" si="16"/>
        <v>M: </v>
      </c>
      <c r="C4296" s="68"/>
      <c r="D4296" s="68">
        <v>46179.0</v>
      </c>
      <c r="E4296" s="66">
        <v>4.0</v>
      </c>
      <c r="F4296" s="66" t="str">
        <f>IFERROR(__xludf.DUMMYFUNCTION("GOOGLETRANSLATE(A4296,""en"",""pt"")"),"#VALUE!")</f>
        <v>#VALUE!</v>
      </c>
      <c r="G4296" s="69"/>
    </row>
    <row r="4297" ht="22.5" customHeight="1">
      <c r="A4297" s="66"/>
      <c r="B4297" s="67" t="str">
        <f t="shared" si="16"/>
        <v>M: </v>
      </c>
      <c r="C4297" s="68"/>
      <c r="D4297" s="68">
        <v>46179.0</v>
      </c>
      <c r="E4297" s="66">
        <v>5.0</v>
      </c>
      <c r="F4297" s="66" t="str">
        <f>IFERROR(__xludf.DUMMYFUNCTION("GOOGLETRANSLATE(A4297,""en"",""pt"")"),"#VALUE!")</f>
        <v>#VALUE!</v>
      </c>
      <c r="G4297" s="69"/>
    </row>
    <row r="4298" ht="22.5" customHeight="1">
      <c r="A4298" s="66"/>
      <c r="B4298" s="67" t="str">
        <f t="shared" si="16"/>
        <v>M: </v>
      </c>
      <c r="C4298" s="68"/>
      <c r="D4298" s="68">
        <v>46179.0</v>
      </c>
      <c r="E4298" s="66">
        <v>6.0</v>
      </c>
      <c r="F4298" s="66" t="str">
        <f>IFERROR(__xludf.DUMMYFUNCTION("GOOGLETRANSLATE(A4298,""en"",""pt"")"),"#VALUE!")</f>
        <v>#VALUE!</v>
      </c>
      <c r="G4298" s="69"/>
    </row>
    <row r="4299" ht="22.5" customHeight="1">
      <c r="A4299" s="66"/>
      <c r="B4299" s="67" t="str">
        <f t="shared" si="16"/>
        <v>M: </v>
      </c>
      <c r="C4299" s="68"/>
      <c r="D4299" s="68">
        <v>46179.0</v>
      </c>
      <c r="E4299" s="66">
        <v>7.0</v>
      </c>
      <c r="F4299" s="66" t="str">
        <f>IFERROR(__xludf.DUMMYFUNCTION("GOOGLETRANSLATE(A4299,""en"",""pt"")"),"#VALUE!")</f>
        <v>#VALUE!</v>
      </c>
      <c r="G4299" s="69"/>
    </row>
    <row r="4300" ht="22.5" customHeight="1">
      <c r="A4300" s="66"/>
      <c r="B4300" s="67" t="str">
        <f t="shared" si="16"/>
        <v>M: </v>
      </c>
      <c r="C4300" s="68"/>
      <c r="D4300" s="68">
        <v>46179.0</v>
      </c>
      <c r="E4300" s="66">
        <v>8.0</v>
      </c>
      <c r="F4300" s="66" t="str">
        <f>IFERROR(__xludf.DUMMYFUNCTION("GOOGLETRANSLATE(A4300,""en"",""pt"")"),"#VALUE!")</f>
        <v>#VALUE!</v>
      </c>
      <c r="G4300" s="69"/>
    </row>
    <row r="4301" ht="22.5" customHeight="1">
      <c r="A4301" s="66"/>
      <c r="B4301" s="67" t="str">
        <f t="shared" si="16"/>
        <v>M: </v>
      </c>
      <c r="C4301" s="68"/>
      <c r="D4301" s="68">
        <v>46179.0</v>
      </c>
      <c r="E4301" s="66">
        <v>9.0</v>
      </c>
      <c r="F4301" s="66" t="str">
        <f>IFERROR(__xludf.DUMMYFUNCTION("GOOGLETRANSLATE(A4301,""en"",""pt"")"),"#VALUE!")</f>
        <v>#VALUE!</v>
      </c>
      <c r="G4301" s="69"/>
    </row>
    <row r="4302" ht="22.5" customHeight="1">
      <c r="A4302" s="66"/>
      <c r="B4302" s="67" t="str">
        <f t="shared" si="16"/>
        <v>M: </v>
      </c>
      <c r="C4302" s="68"/>
      <c r="D4302" s="68">
        <v>46180.0</v>
      </c>
      <c r="E4302" s="66">
        <v>10.0</v>
      </c>
      <c r="F4302" s="66" t="str">
        <f>IFERROR(__xludf.DUMMYFUNCTION("GOOGLETRANSLATE(A4302,""en"",""pt"")"),"#VALUE!")</f>
        <v>#VALUE!</v>
      </c>
      <c r="G4302" s="69"/>
    </row>
    <row r="4303" ht="22.5" customHeight="1">
      <c r="A4303" s="66"/>
      <c r="B4303" s="67" t="str">
        <f t="shared" si="16"/>
        <v>M: </v>
      </c>
      <c r="C4303" s="68"/>
      <c r="D4303" s="68">
        <v>46180.0</v>
      </c>
      <c r="E4303" s="66">
        <v>1.0</v>
      </c>
      <c r="F4303" s="66" t="str">
        <f>IFERROR(__xludf.DUMMYFUNCTION("GOOGLETRANSLATE(A4303,""en"",""pt"")"),"#VALUE!")</f>
        <v>#VALUE!</v>
      </c>
      <c r="G4303" s="69"/>
    </row>
    <row r="4304" ht="22.5" customHeight="1">
      <c r="A4304" s="66"/>
      <c r="B4304" s="67" t="str">
        <f t="shared" si="16"/>
        <v>M: </v>
      </c>
      <c r="C4304" s="68"/>
      <c r="D4304" s="68">
        <v>46180.0</v>
      </c>
      <c r="E4304" s="66">
        <v>2.0</v>
      </c>
      <c r="F4304" s="66" t="str">
        <f>IFERROR(__xludf.DUMMYFUNCTION("GOOGLETRANSLATE(A4304,""en"",""pt"")"),"#VALUE!")</f>
        <v>#VALUE!</v>
      </c>
      <c r="G4304" s="69"/>
    </row>
    <row r="4305" ht="22.5" customHeight="1">
      <c r="A4305" s="66"/>
      <c r="B4305" s="67" t="str">
        <f t="shared" si="16"/>
        <v>M: </v>
      </c>
      <c r="C4305" s="68"/>
      <c r="D4305" s="68">
        <v>46180.0</v>
      </c>
      <c r="E4305" s="66">
        <v>3.0</v>
      </c>
      <c r="F4305" s="66" t="str">
        <f>IFERROR(__xludf.DUMMYFUNCTION("GOOGLETRANSLATE(A4305,""en"",""pt"")"),"#VALUE!")</f>
        <v>#VALUE!</v>
      </c>
      <c r="G4305" s="69"/>
    </row>
    <row r="4306" ht="22.5" customHeight="1">
      <c r="A4306" s="66"/>
      <c r="B4306" s="67" t="str">
        <f t="shared" si="16"/>
        <v>M: </v>
      </c>
      <c r="C4306" s="68"/>
      <c r="D4306" s="68">
        <v>46180.0</v>
      </c>
      <c r="E4306" s="66">
        <v>4.0</v>
      </c>
      <c r="F4306" s="66" t="str">
        <f>IFERROR(__xludf.DUMMYFUNCTION("GOOGLETRANSLATE(A4306,""en"",""pt"")"),"#VALUE!")</f>
        <v>#VALUE!</v>
      </c>
      <c r="G4306" s="69"/>
    </row>
    <row r="4307" ht="22.5" customHeight="1">
      <c r="A4307" s="66"/>
      <c r="B4307" s="67" t="str">
        <f t="shared" si="16"/>
        <v>M: </v>
      </c>
      <c r="C4307" s="68"/>
      <c r="D4307" s="68">
        <v>46180.0</v>
      </c>
      <c r="E4307" s="66">
        <v>5.0</v>
      </c>
      <c r="F4307" s="66" t="str">
        <f>IFERROR(__xludf.DUMMYFUNCTION("GOOGLETRANSLATE(A4307,""en"",""pt"")"),"#VALUE!")</f>
        <v>#VALUE!</v>
      </c>
      <c r="G4307" s="69"/>
    </row>
    <row r="4308" ht="22.5" customHeight="1">
      <c r="A4308" s="66"/>
      <c r="B4308" s="67" t="str">
        <f t="shared" si="16"/>
        <v>M: </v>
      </c>
      <c r="C4308" s="68"/>
      <c r="D4308" s="68">
        <v>46180.0</v>
      </c>
      <c r="E4308" s="66">
        <v>6.0</v>
      </c>
      <c r="F4308" s="66" t="str">
        <f>IFERROR(__xludf.DUMMYFUNCTION("GOOGLETRANSLATE(A4308,""en"",""pt"")"),"#VALUE!")</f>
        <v>#VALUE!</v>
      </c>
      <c r="G4308" s="69"/>
    </row>
    <row r="4309" ht="22.5" customHeight="1">
      <c r="A4309" s="66"/>
      <c r="B4309" s="67" t="str">
        <f t="shared" si="16"/>
        <v>M: </v>
      </c>
      <c r="C4309" s="68"/>
      <c r="D4309" s="68">
        <v>46180.0</v>
      </c>
      <c r="E4309" s="66">
        <v>7.0</v>
      </c>
      <c r="F4309" s="66" t="str">
        <f>IFERROR(__xludf.DUMMYFUNCTION("GOOGLETRANSLATE(A4309,""en"",""pt"")"),"#VALUE!")</f>
        <v>#VALUE!</v>
      </c>
      <c r="G4309" s="69"/>
    </row>
    <row r="4310" ht="22.5" customHeight="1">
      <c r="A4310" s="66"/>
      <c r="B4310" s="67" t="str">
        <f t="shared" si="16"/>
        <v>M: </v>
      </c>
      <c r="C4310" s="68"/>
      <c r="D4310" s="68">
        <v>46180.0</v>
      </c>
      <c r="E4310" s="66">
        <v>8.0</v>
      </c>
      <c r="F4310" s="66" t="str">
        <f>IFERROR(__xludf.DUMMYFUNCTION("GOOGLETRANSLATE(A4310,""en"",""pt"")"),"#VALUE!")</f>
        <v>#VALUE!</v>
      </c>
      <c r="G4310" s="69"/>
    </row>
    <row r="4311" ht="22.5" customHeight="1">
      <c r="A4311" s="66"/>
      <c r="B4311" s="67" t="str">
        <f t="shared" si="16"/>
        <v>M: </v>
      </c>
      <c r="C4311" s="68"/>
      <c r="D4311" s="68">
        <v>46180.0</v>
      </c>
      <c r="E4311" s="66">
        <v>9.0</v>
      </c>
      <c r="F4311" s="66" t="str">
        <f>IFERROR(__xludf.DUMMYFUNCTION("GOOGLETRANSLATE(A4311,""en"",""pt"")"),"#VALUE!")</f>
        <v>#VALUE!</v>
      </c>
      <c r="G4311" s="69"/>
    </row>
    <row r="4312" ht="22.5" customHeight="1">
      <c r="A4312" s="66"/>
      <c r="B4312" s="67" t="str">
        <f t="shared" si="16"/>
        <v>M: </v>
      </c>
      <c r="C4312" s="68"/>
      <c r="D4312" s="68">
        <v>46181.0</v>
      </c>
      <c r="E4312" s="66">
        <v>10.0</v>
      </c>
      <c r="F4312" s="66" t="str">
        <f>IFERROR(__xludf.DUMMYFUNCTION("GOOGLETRANSLATE(A4312,""en"",""pt"")"),"#VALUE!")</f>
        <v>#VALUE!</v>
      </c>
      <c r="G4312" s="69"/>
    </row>
    <row r="4313" ht="22.5" customHeight="1">
      <c r="A4313" s="66"/>
      <c r="B4313" s="67" t="str">
        <f t="shared" si="16"/>
        <v>M: </v>
      </c>
      <c r="C4313" s="68"/>
      <c r="D4313" s="68">
        <v>46181.0</v>
      </c>
      <c r="E4313" s="66">
        <v>1.0</v>
      </c>
      <c r="F4313" s="66" t="str">
        <f>IFERROR(__xludf.DUMMYFUNCTION("GOOGLETRANSLATE(A4313,""en"",""pt"")"),"#VALUE!")</f>
        <v>#VALUE!</v>
      </c>
      <c r="G4313" s="69"/>
    </row>
    <row r="4314" ht="22.5" customHeight="1">
      <c r="A4314" s="66"/>
      <c r="B4314" s="67" t="str">
        <f t="shared" si="16"/>
        <v>M: </v>
      </c>
      <c r="C4314" s="68"/>
      <c r="D4314" s="68">
        <v>46181.0</v>
      </c>
      <c r="E4314" s="66">
        <v>2.0</v>
      </c>
      <c r="F4314" s="66" t="str">
        <f>IFERROR(__xludf.DUMMYFUNCTION("GOOGLETRANSLATE(A4314,""en"",""pt"")"),"#VALUE!")</f>
        <v>#VALUE!</v>
      </c>
      <c r="G4314" s="69"/>
    </row>
    <row r="4315" ht="22.5" customHeight="1">
      <c r="A4315" s="66"/>
      <c r="B4315" s="67" t="str">
        <f t="shared" si="16"/>
        <v>M: </v>
      </c>
      <c r="C4315" s="68"/>
      <c r="D4315" s="68">
        <v>46181.0</v>
      </c>
      <c r="E4315" s="66">
        <v>3.0</v>
      </c>
      <c r="F4315" s="66" t="str">
        <f>IFERROR(__xludf.DUMMYFUNCTION("GOOGLETRANSLATE(A4315,""en"",""pt"")"),"#VALUE!")</f>
        <v>#VALUE!</v>
      </c>
      <c r="G4315" s="69"/>
    </row>
    <row r="4316" ht="22.5" customHeight="1">
      <c r="A4316" s="66"/>
      <c r="B4316" s="67" t="str">
        <f t="shared" si="16"/>
        <v>M: </v>
      </c>
      <c r="C4316" s="68"/>
      <c r="D4316" s="68">
        <v>46181.0</v>
      </c>
      <c r="E4316" s="66">
        <v>4.0</v>
      </c>
      <c r="F4316" s="66" t="str">
        <f>IFERROR(__xludf.DUMMYFUNCTION("GOOGLETRANSLATE(A4316,""en"",""pt"")"),"#VALUE!")</f>
        <v>#VALUE!</v>
      </c>
      <c r="G4316" s="69"/>
    </row>
    <row r="4317" ht="22.5" customHeight="1">
      <c r="A4317" s="66"/>
      <c r="B4317" s="67" t="str">
        <f t="shared" si="16"/>
        <v>M: </v>
      </c>
      <c r="C4317" s="68"/>
      <c r="D4317" s="68">
        <v>46181.0</v>
      </c>
      <c r="E4317" s="66">
        <v>5.0</v>
      </c>
      <c r="F4317" s="66" t="str">
        <f>IFERROR(__xludf.DUMMYFUNCTION("GOOGLETRANSLATE(A4317,""en"",""pt"")"),"#VALUE!")</f>
        <v>#VALUE!</v>
      </c>
      <c r="G4317" s="69"/>
    </row>
    <row r="4318" ht="22.5" customHeight="1">
      <c r="A4318" s="66"/>
      <c r="B4318" s="67" t="str">
        <f t="shared" si="16"/>
        <v>M: </v>
      </c>
      <c r="C4318" s="68"/>
      <c r="D4318" s="68">
        <v>46181.0</v>
      </c>
      <c r="E4318" s="66">
        <v>6.0</v>
      </c>
      <c r="F4318" s="66" t="str">
        <f>IFERROR(__xludf.DUMMYFUNCTION("GOOGLETRANSLATE(A4318,""en"",""pt"")"),"#VALUE!")</f>
        <v>#VALUE!</v>
      </c>
      <c r="G4318" s="69"/>
    </row>
    <row r="4319" ht="22.5" customHeight="1">
      <c r="A4319" s="66"/>
      <c r="B4319" s="67" t="str">
        <f t="shared" si="16"/>
        <v>M: </v>
      </c>
      <c r="C4319" s="68"/>
      <c r="D4319" s="68">
        <v>46181.0</v>
      </c>
      <c r="E4319" s="66">
        <v>7.0</v>
      </c>
      <c r="F4319" s="66" t="str">
        <f>IFERROR(__xludf.DUMMYFUNCTION("GOOGLETRANSLATE(A4319,""en"",""pt"")"),"#VALUE!")</f>
        <v>#VALUE!</v>
      </c>
      <c r="G4319" s="69"/>
    </row>
    <row r="4320" ht="22.5" customHeight="1">
      <c r="A4320" s="66"/>
      <c r="B4320" s="67" t="str">
        <f t="shared" si="16"/>
        <v>M: </v>
      </c>
      <c r="C4320" s="68"/>
      <c r="D4320" s="68">
        <v>46181.0</v>
      </c>
      <c r="E4320" s="66">
        <v>8.0</v>
      </c>
      <c r="F4320" s="66" t="str">
        <f>IFERROR(__xludf.DUMMYFUNCTION("GOOGLETRANSLATE(A4320,""en"",""pt"")"),"#VALUE!")</f>
        <v>#VALUE!</v>
      </c>
      <c r="G4320" s="69"/>
    </row>
    <row r="4321" ht="22.5" customHeight="1">
      <c r="A4321" s="66"/>
      <c r="B4321" s="67" t="str">
        <f t="shared" si="16"/>
        <v>M: </v>
      </c>
      <c r="C4321" s="68"/>
      <c r="D4321" s="68">
        <v>46181.0</v>
      </c>
      <c r="E4321" s="66">
        <v>9.0</v>
      </c>
      <c r="F4321" s="66" t="str">
        <f>IFERROR(__xludf.DUMMYFUNCTION("GOOGLETRANSLATE(A4321,""en"",""pt"")"),"#VALUE!")</f>
        <v>#VALUE!</v>
      </c>
      <c r="G4321" s="69"/>
    </row>
    <row r="4322" ht="22.5" customHeight="1">
      <c r="A4322" s="66"/>
      <c r="B4322" s="67" t="str">
        <f t="shared" si="16"/>
        <v>M: </v>
      </c>
      <c r="C4322" s="68"/>
      <c r="D4322" s="68">
        <v>46182.0</v>
      </c>
      <c r="E4322" s="66">
        <v>10.0</v>
      </c>
      <c r="F4322" s="66" t="str">
        <f>IFERROR(__xludf.DUMMYFUNCTION("GOOGLETRANSLATE(A4322,""en"",""pt"")"),"#VALUE!")</f>
        <v>#VALUE!</v>
      </c>
      <c r="G4322" s="69"/>
    </row>
    <row r="4323" ht="22.5" customHeight="1">
      <c r="A4323" s="66"/>
      <c r="B4323" s="67" t="str">
        <f t="shared" si="16"/>
        <v>M: </v>
      </c>
      <c r="C4323" s="68"/>
      <c r="D4323" s="68">
        <v>46182.0</v>
      </c>
      <c r="E4323" s="66">
        <v>1.0</v>
      </c>
      <c r="F4323" s="66" t="str">
        <f>IFERROR(__xludf.DUMMYFUNCTION("GOOGLETRANSLATE(A4323,""en"",""pt"")"),"#VALUE!")</f>
        <v>#VALUE!</v>
      </c>
      <c r="G4323" s="69"/>
    </row>
    <row r="4324" ht="22.5" customHeight="1">
      <c r="A4324" s="66"/>
      <c r="B4324" s="67" t="str">
        <f t="shared" si="16"/>
        <v>M: </v>
      </c>
      <c r="C4324" s="68"/>
      <c r="D4324" s="68">
        <v>46182.0</v>
      </c>
      <c r="E4324" s="66">
        <v>2.0</v>
      </c>
      <c r="F4324" s="66" t="str">
        <f>IFERROR(__xludf.DUMMYFUNCTION("GOOGLETRANSLATE(A4324,""en"",""pt"")"),"#VALUE!")</f>
        <v>#VALUE!</v>
      </c>
      <c r="G4324" s="69"/>
    </row>
    <row r="4325" ht="22.5" customHeight="1">
      <c r="A4325" s="66"/>
      <c r="B4325" s="67" t="str">
        <f t="shared" si="16"/>
        <v>M: </v>
      </c>
      <c r="C4325" s="68"/>
      <c r="D4325" s="68">
        <v>46182.0</v>
      </c>
      <c r="E4325" s="66">
        <v>3.0</v>
      </c>
      <c r="F4325" s="66" t="str">
        <f>IFERROR(__xludf.DUMMYFUNCTION("GOOGLETRANSLATE(A4325,""en"",""pt"")"),"#VALUE!")</f>
        <v>#VALUE!</v>
      </c>
      <c r="G4325" s="69"/>
    </row>
    <row r="4326" ht="22.5" customHeight="1">
      <c r="A4326" s="66"/>
      <c r="B4326" s="67" t="str">
        <f t="shared" si="16"/>
        <v>M: </v>
      </c>
      <c r="C4326" s="68"/>
      <c r="D4326" s="68">
        <v>46182.0</v>
      </c>
      <c r="E4326" s="66">
        <v>4.0</v>
      </c>
      <c r="F4326" s="66" t="str">
        <f>IFERROR(__xludf.DUMMYFUNCTION("GOOGLETRANSLATE(A4326,""en"",""pt"")"),"#VALUE!")</f>
        <v>#VALUE!</v>
      </c>
      <c r="G4326" s="69"/>
    </row>
    <row r="4327" ht="22.5" customHeight="1">
      <c r="A4327" s="66"/>
      <c r="B4327" s="67" t="str">
        <f t="shared" si="16"/>
        <v>M: </v>
      </c>
      <c r="C4327" s="68"/>
      <c r="D4327" s="68">
        <v>46182.0</v>
      </c>
      <c r="E4327" s="66">
        <v>5.0</v>
      </c>
      <c r="F4327" s="66" t="str">
        <f>IFERROR(__xludf.DUMMYFUNCTION("GOOGLETRANSLATE(A4327,""en"",""pt"")"),"#VALUE!")</f>
        <v>#VALUE!</v>
      </c>
      <c r="G4327" s="69"/>
    </row>
    <row r="4328" ht="22.5" customHeight="1">
      <c r="A4328" s="66"/>
      <c r="B4328" s="67" t="str">
        <f t="shared" si="16"/>
        <v>M: </v>
      </c>
      <c r="C4328" s="68"/>
      <c r="D4328" s="68">
        <v>46182.0</v>
      </c>
      <c r="E4328" s="66">
        <v>6.0</v>
      </c>
      <c r="F4328" s="66" t="str">
        <f>IFERROR(__xludf.DUMMYFUNCTION("GOOGLETRANSLATE(A4328,""en"",""pt"")"),"#VALUE!")</f>
        <v>#VALUE!</v>
      </c>
      <c r="G4328" s="69"/>
    </row>
    <row r="4329" ht="22.5" customHeight="1">
      <c r="A4329" s="66"/>
      <c r="B4329" s="67" t="str">
        <f t="shared" si="16"/>
        <v>M: </v>
      </c>
      <c r="C4329" s="68"/>
      <c r="D4329" s="68">
        <v>46182.0</v>
      </c>
      <c r="E4329" s="66">
        <v>7.0</v>
      </c>
      <c r="F4329" s="66" t="str">
        <f>IFERROR(__xludf.DUMMYFUNCTION("GOOGLETRANSLATE(A4329,""en"",""pt"")"),"#VALUE!")</f>
        <v>#VALUE!</v>
      </c>
      <c r="G4329" s="69"/>
    </row>
    <row r="4330" ht="22.5" customHeight="1">
      <c r="A4330" s="66"/>
      <c r="B4330" s="67" t="str">
        <f t="shared" si="16"/>
        <v>M: </v>
      </c>
      <c r="C4330" s="68"/>
      <c r="D4330" s="68">
        <v>46182.0</v>
      </c>
      <c r="E4330" s="66">
        <v>8.0</v>
      </c>
      <c r="F4330" s="66" t="str">
        <f>IFERROR(__xludf.DUMMYFUNCTION("GOOGLETRANSLATE(A4330,""en"",""pt"")"),"#VALUE!")</f>
        <v>#VALUE!</v>
      </c>
      <c r="G4330" s="69"/>
    </row>
    <row r="4331" ht="22.5" customHeight="1">
      <c r="A4331" s="66"/>
      <c r="B4331" s="67" t="str">
        <f t="shared" si="16"/>
        <v>M: </v>
      </c>
      <c r="C4331" s="68"/>
      <c r="D4331" s="68">
        <v>46182.0</v>
      </c>
      <c r="E4331" s="66">
        <v>9.0</v>
      </c>
      <c r="F4331" s="66" t="str">
        <f>IFERROR(__xludf.DUMMYFUNCTION("GOOGLETRANSLATE(A4331,""en"",""pt"")"),"#VALUE!")</f>
        <v>#VALUE!</v>
      </c>
      <c r="G4331" s="69"/>
    </row>
    <row r="4332" ht="22.5" customHeight="1">
      <c r="A4332" s="66"/>
      <c r="B4332" s="67" t="str">
        <f t="shared" si="16"/>
        <v>M: </v>
      </c>
      <c r="C4332" s="68"/>
      <c r="D4332" s="68">
        <v>46183.0</v>
      </c>
      <c r="E4332" s="66">
        <v>10.0</v>
      </c>
      <c r="F4332" s="66" t="str">
        <f>IFERROR(__xludf.DUMMYFUNCTION("GOOGLETRANSLATE(A4332,""en"",""pt"")"),"#VALUE!")</f>
        <v>#VALUE!</v>
      </c>
      <c r="G4332" s="69"/>
    </row>
    <row r="4333" ht="22.5" customHeight="1">
      <c r="A4333" s="66"/>
      <c r="B4333" s="67" t="str">
        <f t="shared" si="16"/>
        <v>M: </v>
      </c>
      <c r="C4333" s="68"/>
      <c r="D4333" s="68">
        <v>46183.0</v>
      </c>
      <c r="E4333" s="66">
        <v>1.0</v>
      </c>
      <c r="F4333" s="66" t="str">
        <f>IFERROR(__xludf.DUMMYFUNCTION("GOOGLETRANSLATE(A4333,""en"",""pt"")"),"#VALUE!")</f>
        <v>#VALUE!</v>
      </c>
      <c r="G4333" s="69"/>
    </row>
    <row r="4334" ht="22.5" customHeight="1">
      <c r="A4334" s="66"/>
      <c r="B4334" s="67" t="str">
        <f t="shared" si="16"/>
        <v>M: </v>
      </c>
      <c r="C4334" s="68"/>
      <c r="D4334" s="68">
        <v>46183.0</v>
      </c>
      <c r="E4334" s="66">
        <v>2.0</v>
      </c>
      <c r="F4334" s="66" t="str">
        <f>IFERROR(__xludf.DUMMYFUNCTION("GOOGLETRANSLATE(A4334,""en"",""pt"")"),"#VALUE!")</f>
        <v>#VALUE!</v>
      </c>
      <c r="G4334" s="69"/>
    </row>
    <row r="4335" ht="22.5" customHeight="1">
      <c r="A4335" s="66"/>
      <c r="B4335" s="67" t="str">
        <f t="shared" si="16"/>
        <v>M: </v>
      </c>
      <c r="C4335" s="68"/>
      <c r="D4335" s="68">
        <v>46183.0</v>
      </c>
      <c r="E4335" s="66">
        <v>3.0</v>
      </c>
      <c r="F4335" s="66" t="str">
        <f>IFERROR(__xludf.DUMMYFUNCTION("GOOGLETRANSLATE(A4335,""en"",""pt"")"),"#VALUE!")</f>
        <v>#VALUE!</v>
      </c>
      <c r="G4335" s="69"/>
    </row>
    <row r="4336" ht="22.5" customHeight="1">
      <c r="A4336" s="66"/>
      <c r="B4336" s="67" t="str">
        <f t="shared" si="16"/>
        <v>M: </v>
      </c>
      <c r="C4336" s="68"/>
      <c r="D4336" s="68">
        <v>46183.0</v>
      </c>
      <c r="E4336" s="66">
        <v>4.0</v>
      </c>
      <c r="F4336" s="66" t="str">
        <f>IFERROR(__xludf.DUMMYFUNCTION("GOOGLETRANSLATE(A4336,""en"",""pt"")"),"#VALUE!")</f>
        <v>#VALUE!</v>
      </c>
      <c r="G4336" s="69"/>
    </row>
    <row r="4337" ht="22.5" customHeight="1">
      <c r="A4337" s="66"/>
      <c r="B4337" s="67" t="str">
        <f t="shared" si="16"/>
        <v>M: </v>
      </c>
      <c r="C4337" s="68"/>
      <c r="D4337" s="68">
        <v>46183.0</v>
      </c>
      <c r="E4337" s="66">
        <v>5.0</v>
      </c>
      <c r="F4337" s="66" t="str">
        <f>IFERROR(__xludf.DUMMYFUNCTION("GOOGLETRANSLATE(A4337,""en"",""pt"")"),"#VALUE!")</f>
        <v>#VALUE!</v>
      </c>
      <c r="G4337" s="69"/>
    </row>
    <row r="4338" ht="22.5" customHeight="1">
      <c r="A4338" s="66"/>
      <c r="B4338" s="67" t="str">
        <f t="shared" si="16"/>
        <v>M: </v>
      </c>
      <c r="C4338" s="68"/>
      <c r="D4338" s="68">
        <v>46183.0</v>
      </c>
      <c r="E4338" s="66">
        <v>6.0</v>
      </c>
      <c r="F4338" s="66" t="str">
        <f>IFERROR(__xludf.DUMMYFUNCTION("GOOGLETRANSLATE(A4338,""en"",""pt"")"),"#VALUE!")</f>
        <v>#VALUE!</v>
      </c>
      <c r="G4338" s="69"/>
    </row>
    <row r="4339" ht="22.5" customHeight="1">
      <c r="A4339" s="66"/>
      <c r="B4339" s="67" t="str">
        <f t="shared" si="16"/>
        <v>M: </v>
      </c>
      <c r="C4339" s="68"/>
      <c r="D4339" s="68">
        <v>46183.0</v>
      </c>
      <c r="E4339" s="66">
        <v>7.0</v>
      </c>
      <c r="F4339" s="66" t="str">
        <f>IFERROR(__xludf.DUMMYFUNCTION("GOOGLETRANSLATE(A4339,""en"",""pt"")"),"#VALUE!")</f>
        <v>#VALUE!</v>
      </c>
      <c r="G4339" s="69"/>
    </row>
    <row r="4340" ht="22.5" customHeight="1">
      <c r="A4340" s="66"/>
      <c r="B4340" s="67" t="str">
        <f t="shared" si="16"/>
        <v>M: </v>
      </c>
      <c r="C4340" s="68"/>
      <c r="D4340" s="68">
        <v>46183.0</v>
      </c>
      <c r="E4340" s="66">
        <v>8.0</v>
      </c>
      <c r="F4340" s="66" t="str">
        <f>IFERROR(__xludf.DUMMYFUNCTION("GOOGLETRANSLATE(A4340,""en"",""pt"")"),"#VALUE!")</f>
        <v>#VALUE!</v>
      </c>
      <c r="G4340" s="69"/>
    </row>
    <row r="4341" ht="22.5" customHeight="1">
      <c r="A4341" s="66"/>
      <c r="B4341" s="67" t="str">
        <f t="shared" si="16"/>
        <v>M: </v>
      </c>
      <c r="C4341" s="68"/>
      <c r="D4341" s="68">
        <v>46183.0</v>
      </c>
      <c r="E4341" s="66">
        <v>9.0</v>
      </c>
      <c r="F4341" s="66" t="str">
        <f>IFERROR(__xludf.DUMMYFUNCTION("GOOGLETRANSLATE(A4341,""en"",""pt"")"),"#VALUE!")</f>
        <v>#VALUE!</v>
      </c>
      <c r="G4341" s="69"/>
    </row>
    <row r="4342" ht="22.5" customHeight="1">
      <c r="A4342" s="66"/>
      <c r="B4342" s="67" t="str">
        <f t="shared" si="16"/>
        <v>M: </v>
      </c>
      <c r="C4342" s="68"/>
      <c r="D4342" s="68">
        <v>46184.0</v>
      </c>
      <c r="E4342" s="66">
        <v>10.0</v>
      </c>
      <c r="F4342" s="66" t="str">
        <f>IFERROR(__xludf.DUMMYFUNCTION("GOOGLETRANSLATE(A4342,""en"",""pt"")"),"#VALUE!")</f>
        <v>#VALUE!</v>
      </c>
      <c r="G4342" s="69"/>
    </row>
    <row r="4343" ht="22.5" customHeight="1">
      <c r="A4343" s="66"/>
      <c r="B4343" s="67" t="str">
        <f t="shared" si="16"/>
        <v>M: </v>
      </c>
      <c r="C4343" s="68"/>
      <c r="D4343" s="68">
        <v>46184.0</v>
      </c>
      <c r="E4343" s="66">
        <v>1.0</v>
      </c>
      <c r="F4343" s="66" t="str">
        <f>IFERROR(__xludf.DUMMYFUNCTION("GOOGLETRANSLATE(A4343,""en"",""pt"")"),"#VALUE!")</f>
        <v>#VALUE!</v>
      </c>
      <c r="G4343" s="69"/>
    </row>
    <row r="4344" ht="22.5" customHeight="1">
      <c r="A4344" s="66"/>
      <c r="B4344" s="67" t="str">
        <f t="shared" si="16"/>
        <v>M: </v>
      </c>
      <c r="C4344" s="68"/>
      <c r="D4344" s="68">
        <v>46184.0</v>
      </c>
      <c r="E4344" s="66">
        <v>2.0</v>
      </c>
      <c r="F4344" s="66" t="str">
        <f>IFERROR(__xludf.DUMMYFUNCTION("GOOGLETRANSLATE(A4344,""en"",""pt"")"),"#VALUE!")</f>
        <v>#VALUE!</v>
      </c>
      <c r="G4344" s="69"/>
    </row>
    <row r="4345" ht="22.5" customHeight="1">
      <c r="A4345" s="66"/>
      <c r="B4345" s="67" t="str">
        <f t="shared" si="16"/>
        <v>M: </v>
      </c>
      <c r="C4345" s="68"/>
      <c r="D4345" s="68">
        <v>46184.0</v>
      </c>
      <c r="E4345" s="66">
        <v>3.0</v>
      </c>
      <c r="F4345" s="66" t="str">
        <f>IFERROR(__xludf.DUMMYFUNCTION("GOOGLETRANSLATE(A4345,""en"",""pt"")"),"#VALUE!")</f>
        <v>#VALUE!</v>
      </c>
      <c r="G4345" s="69"/>
    </row>
    <row r="4346" ht="22.5" customHeight="1">
      <c r="A4346" s="66"/>
      <c r="B4346" s="67" t="str">
        <f t="shared" si="16"/>
        <v>M: </v>
      </c>
      <c r="C4346" s="68"/>
      <c r="D4346" s="68">
        <v>46184.0</v>
      </c>
      <c r="E4346" s="66">
        <v>4.0</v>
      </c>
      <c r="F4346" s="66" t="str">
        <f>IFERROR(__xludf.DUMMYFUNCTION("GOOGLETRANSLATE(A4346,""en"",""pt"")"),"#VALUE!")</f>
        <v>#VALUE!</v>
      </c>
      <c r="G4346" s="69"/>
    </row>
    <row r="4347" ht="22.5" customHeight="1">
      <c r="A4347" s="66"/>
      <c r="B4347" s="67" t="str">
        <f t="shared" si="16"/>
        <v>M: </v>
      </c>
      <c r="C4347" s="68"/>
      <c r="D4347" s="68">
        <v>46184.0</v>
      </c>
      <c r="E4347" s="66">
        <v>5.0</v>
      </c>
      <c r="F4347" s="66" t="str">
        <f>IFERROR(__xludf.DUMMYFUNCTION("GOOGLETRANSLATE(A4347,""en"",""pt"")"),"#VALUE!")</f>
        <v>#VALUE!</v>
      </c>
      <c r="G4347" s="69"/>
    </row>
    <row r="4348" ht="22.5" customHeight="1">
      <c r="A4348" s="66"/>
      <c r="B4348" s="67" t="str">
        <f t="shared" si="16"/>
        <v>M: </v>
      </c>
      <c r="C4348" s="68"/>
      <c r="D4348" s="68">
        <v>46184.0</v>
      </c>
      <c r="E4348" s="66">
        <v>6.0</v>
      </c>
      <c r="F4348" s="66" t="str">
        <f>IFERROR(__xludf.DUMMYFUNCTION("GOOGLETRANSLATE(A4348,""en"",""pt"")"),"#VALUE!")</f>
        <v>#VALUE!</v>
      </c>
      <c r="G4348" s="69"/>
    </row>
    <row r="4349" ht="22.5" customHeight="1">
      <c r="A4349" s="66"/>
      <c r="B4349" s="67" t="str">
        <f t="shared" si="16"/>
        <v>M: </v>
      </c>
      <c r="C4349" s="68"/>
      <c r="D4349" s="68">
        <v>46184.0</v>
      </c>
      <c r="E4349" s="66">
        <v>7.0</v>
      </c>
      <c r="F4349" s="66" t="str">
        <f>IFERROR(__xludf.DUMMYFUNCTION("GOOGLETRANSLATE(A4349,""en"",""pt"")"),"#VALUE!")</f>
        <v>#VALUE!</v>
      </c>
      <c r="G4349" s="69"/>
    </row>
    <row r="4350" ht="22.5" customHeight="1">
      <c r="A4350" s="66"/>
      <c r="B4350" s="67" t="str">
        <f t="shared" si="16"/>
        <v>M: </v>
      </c>
      <c r="C4350" s="68"/>
      <c r="D4350" s="68">
        <v>46184.0</v>
      </c>
      <c r="E4350" s="66">
        <v>8.0</v>
      </c>
      <c r="F4350" s="66" t="str">
        <f>IFERROR(__xludf.DUMMYFUNCTION("GOOGLETRANSLATE(A4350,""en"",""pt"")"),"#VALUE!")</f>
        <v>#VALUE!</v>
      </c>
      <c r="G4350" s="69"/>
    </row>
    <row r="4351" ht="22.5" customHeight="1">
      <c r="A4351" s="66"/>
      <c r="B4351" s="67" t="str">
        <f t="shared" si="16"/>
        <v>M: </v>
      </c>
      <c r="C4351" s="68"/>
      <c r="D4351" s="68">
        <v>46184.0</v>
      </c>
      <c r="E4351" s="66">
        <v>9.0</v>
      </c>
      <c r="F4351" s="66" t="str">
        <f>IFERROR(__xludf.DUMMYFUNCTION("GOOGLETRANSLATE(A4351,""en"",""pt"")"),"#VALUE!")</f>
        <v>#VALUE!</v>
      </c>
      <c r="G4351" s="69"/>
    </row>
    <row r="4352" ht="22.5" customHeight="1">
      <c r="A4352" s="66"/>
      <c r="B4352" s="67" t="str">
        <f t="shared" si="16"/>
        <v>M: </v>
      </c>
      <c r="C4352" s="68"/>
      <c r="D4352" s="68">
        <v>46185.0</v>
      </c>
      <c r="E4352" s="66">
        <v>10.0</v>
      </c>
      <c r="F4352" s="66" t="str">
        <f>IFERROR(__xludf.DUMMYFUNCTION("GOOGLETRANSLATE(A4352,""en"",""pt"")"),"#VALUE!")</f>
        <v>#VALUE!</v>
      </c>
      <c r="G4352" s="69"/>
    </row>
    <row r="4353" ht="22.5" customHeight="1">
      <c r="A4353" s="66"/>
      <c r="B4353" s="67" t="str">
        <f t="shared" si="16"/>
        <v>M: </v>
      </c>
      <c r="C4353" s="68"/>
      <c r="D4353" s="68">
        <v>46185.0</v>
      </c>
      <c r="E4353" s="66">
        <v>1.0</v>
      </c>
      <c r="F4353" s="66" t="str">
        <f>IFERROR(__xludf.DUMMYFUNCTION("GOOGLETRANSLATE(A4353,""en"",""pt"")"),"#VALUE!")</f>
        <v>#VALUE!</v>
      </c>
      <c r="G4353" s="69"/>
    </row>
    <row r="4354" ht="22.5" customHeight="1">
      <c r="A4354" s="66"/>
      <c r="B4354" s="67" t="str">
        <f t="shared" si="16"/>
        <v>M: </v>
      </c>
      <c r="C4354" s="68"/>
      <c r="D4354" s="68">
        <v>46185.0</v>
      </c>
      <c r="E4354" s="66">
        <v>2.0</v>
      </c>
      <c r="F4354" s="66" t="str">
        <f>IFERROR(__xludf.DUMMYFUNCTION("GOOGLETRANSLATE(A4354,""en"",""pt"")"),"#VALUE!")</f>
        <v>#VALUE!</v>
      </c>
      <c r="G4354" s="69"/>
    </row>
    <row r="4355" ht="22.5" customHeight="1">
      <c r="A4355" s="66"/>
      <c r="B4355" s="67" t="str">
        <f t="shared" si="16"/>
        <v>M: </v>
      </c>
      <c r="C4355" s="68"/>
      <c r="D4355" s="68">
        <v>46185.0</v>
      </c>
      <c r="E4355" s="66">
        <v>3.0</v>
      </c>
      <c r="F4355" s="66" t="str">
        <f>IFERROR(__xludf.DUMMYFUNCTION("GOOGLETRANSLATE(A4355,""en"",""pt"")"),"#VALUE!")</f>
        <v>#VALUE!</v>
      </c>
      <c r="G4355" s="69"/>
    </row>
    <row r="4356" ht="22.5" customHeight="1">
      <c r="A4356" s="66"/>
      <c r="B4356" s="67" t="str">
        <f t="shared" si="16"/>
        <v>M: </v>
      </c>
      <c r="C4356" s="68"/>
      <c r="D4356" s="68">
        <v>46185.0</v>
      </c>
      <c r="E4356" s="66">
        <v>4.0</v>
      </c>
      <c r="F4356" s="66" t="str">
        <f>IFERROR(__xludf.DUMMYFUNCTION("GOOGLETRANSLATE(A4356,""en"",""pt"")"),"#VALUE!")</f>
        <v>#VALUE!</v>
      </c>
      <c r="G4356" s="69"/>
    </row>
    <row r="4357" ht="22.5" customHeight="1">
      <c r="A4357" s="66"/>
      <c r="B4357" s="67" t="str">
        <f t="shared" si="16"/>
        <v>M: </v>
      </c>
      <c r="C4357" s="68"/>
      <c r="D4357" s="68">
        <v>46185.0</v>
      </c>
      <c r="E4357" s="66">
        <v>5.0</v>
      </c>
      <c r="F4357" s="66" t="str">
        <f>IFERROR(__xludf.DUMMYFUNCTION("GOOGLETRANSLATE(A4357,""en"",""pt"")"),"#VALUE!")</f>
        <v>#VALUE!</v>
      </c>
      <c r="G4357" s="69"/>
    </row>
    <row r="4358" ht="22.5" customHeight="1">
      <c r="A4358" s="66"/>
      <c r="B4358" s="67" t="str">
        <f t="shared" si="16"/>
        <v>M: </v>
      </c>
      <c r="C4358" s="68"/>
      <c r="D4358" s="68">
        <v>46185.0</v>
      </c>
      <c r="E4358" s="66">
        <v>6.0</v>
      </c>
      <c r="F4358" s="66" t="str">
        <f>IFERROR(__xludf.DUMMYFUNCTION("GOOGLETRANSLATE(A4358,""en"",""pt"")"),"#VALUE!")</f>
        <v>#VALUE!</v>
      </c>
      <c r="G4358" s="69"/>
    </row>
    <row r="4359" ht="22.5" customHeight="1">
      <c r="A4359" s="66"/>
      <c r="B4359" s="67" t="str">
        <f t="shared" si="16"/>
        <v>M: </v>
      </c>
      <c r="C4359" s="68"/>
      <c r="D4359" s="68">
        <v>46185.0</v>
      </c>
      <c r="E4359" s="66">
        <v>7.0</v>
      </c>
      <c r="F4359" s="66" t="str">
        <f>IFERROR(__xludf.DUMMYFUNCTION("GOOGLETRANSLATE(A4359,""en"",""pt"")"),"#VALUE!")</f>
        <v>#VALUE!</v>
      </c>
      <c r="G4359" s="69"/>
    </row>
    <row r="4360" ht="22.5" customHeight="1">
      <c r="A4360" s="66"/>
      <c r="B4360" s="67" t="str">
        <f t="shared" si="16"/>
        <v>M: </v>
      </c>
      <c r="C4360" s="68"/>
      <c r="D4360" s="68">
        <v>46185.0</v>
      </c>
      <c r="E4360" s="66">
        <v>8.0</v>
      </c>
      <c r="F4360" s="66" t="str">
        <f>IFERROR(__xludf.DUMMYFUNCTION("GOOGLETRANSLATE(A4360,""en"",""pt"")"),"#VALUE!")</f>
        <v>#VALUE!</v>
      </c>
      <c r="G4360" s="69"/>
    </row>
    <row r="4361" ht="22.5" customHeight="1">
      <c r="A4361" s="66"/>
      <c r="B4361" s="67" t="str">
        <f t="shared" si="16"/>
        <v>M: </v>
      </c>
      <c r="C4361" s="68"/>
      <c r="D4361" s="68">
        <v>46185.0</v>
      </c>
      <c r="E4361" s="66">
        <v>9.0</v>
      </c>
      <c r="F4361" s="66" t="str">
        <f>IFERROR(__xludf.DUMMYFUNCTION("GOOGLETRANSLATE(A4361,""en"",""pt"")"),"#VALUE!")</f>
        <v>#VALUE!</v>
      </c>
      <c r="G4361" s="69"/>
    </row>
    <row r="4362" ht="22.5" customHeight="1">
      <c r="A4362" s="66"/>
      <c r="B4362" s="67" t="str">
        <f t="shared" si="16"/>
        <v>M: </v>
      </c>
      <c r="C4362" s="68"/>
      <c r="D4362" s="68">
        <v>46186.0</v>
      </c>
      <c r="E4362" s="66">
        <v>10.0</v>
      </c>
      <c r="F4362" s="66" t="str">
        <f>IFERROR(__xludf.DUMMYFUNCTION("GOOGLETRANSLATE(A4362,""en"",""pt"")"),"#VALUE!")</f>
        <v>#VALUE!</v>
      </c>
      <c r="G4362" s="69"/>
    </row>
    <row r="4363" ht="22.5" customHeight="1">
      <c r="A4363" s="66"/>
      <c r="B4363" s="67" t="str">
        <f t="shared" si="16"/>
        <v>M: </v>
      </c>
      <c r="C4363" s="68"/>
      <c r="D4363" s="68">
        <v>46186.0</v>
      </c>
      <c r="E4363" s="66">
        <v>1.0</v>
      </c>
      <c r="F4363" s="66" t="str">
        <f>IFERROR(__xludf.DUMMYFUNCTION("GOOGLETRANSLATE(A4363,""en"",""pt"")"),"#VALUE!")</f>
        <v>#VALUE!</v>
      </c>
      <c r="G4363" s="69"/>
    </row>
    <row r="4364" ht="22.5" customHeight="1">
      <c r="A4364" s="66"/>
      <c r="B4364" s="67" t="str">
        <f t="shared" si="16"/>
        <v>M: </v>
      </c>
      <c r="C4364" s="68"/>
      <c r="D4364" s="68">
        <v>46186.0</v>
      </c>
      <c r="E4364" s="66">
        <v>2.0</v>
      </c>
      <c r="F4364" s="66" t="str">
        <f>IFERROR(__xludf.DUMMYFUNCTION("GOOGLETRANSLATE(A4364,""en"",""pt"")"),"#VALUE!")</f>
        <v>#VALUE!</v>
      </c>
      <c r="G4364" s="69"/>
    </row>
    <row r="4365" ht="22.5" customHeight="1">
      <c r="A4365" s="66"/>
      <c r="B4365" s="67" t="str">
        <f t="shared" si="16"/>
        <v>M: </v>
      </c>
      <c r="C4365" s="68"/>
      <c r="D4365" s="68">
        <v>46186.0</v>
      </c>
      <c r="E4365" s="66">
        <v>3.0</v>
      </c>
      <c r="F4365" s="66" t="str">
        <f>IFERROR(__xludf.DUMMYFUNCTION("GOOGLETRANSLATE(A4365,""en"",""pt"")"),"#VALUE!")</f>
        <v>#VALUE!</v>
      </c>
      <c r="G4365" s="69"/>
    </row>
    <row r="4366" ht="22.5" customHeight="1">
      <c r="A4366" s="66"/>
      <c r="B4366" s="67" t="str">
        <f t="shared" si="16"/>
        <v>M: </v>
      </c>
      <c r="C4366" s="68"/>
      <c r="D4366" s="68">
        <v>46186.0</v>
      </c>
      <c r="E4366" s="66">
        <v>4.0</v>
      </c>
      <c r="F4366" s="66" t="str">
        <f>IFERROR(__xludf.DUMMYFUNCTION("GOOGLETRANSLATE(A4366,""en"",""pt"")"),"#VALUE!")</f>
        <v>#VALUE!</v>
      </c>
      <c r="G4366" s="69"/>
    </row>
    <row r="4367" ht="22.5" customHeight="1">
      <c r="A4367" s="66"/>
      <c r="B4367" s="67" t="str">
        <f t="shared" si="16"/>
        <v>M: </v>
      </c>
      <c r="C4367" s="68"/>
      <c r="D4367" s="68">
        <v>46186.0</v>
      </c>
      <c r="E4367" s="66">
        <v>5.0</v>
      </c>
      <c r="F4367" s="66" t="str">
        <f>IFERROR(__xludf.DUMMYFUNCTION("GOOGLETRANSLATE(A4367,""en"",""pt"")"),"#VALUE!")</f>
        <v>#VALUE!</v>
      </c>
      <c r="G4367" s="69"/>
    </row>
    <row r="4368" ht="22.5" customHeight="1">
      <c r="A4368" s="66"/>
      <c r="B4368" s="67" t="str">
        <f t="shared" si="16"/>
        <v>M: </v>
      </c>
      <c r="C4368" s="68"/>
      <c r="D4368" s="68">
        <v>46186.0</v>
      </c>
      <c r="E4368" s="66">
        <v>6.0</v>
      </c>
      <c r="F4368" s="66" t="str">
        <f>IFERROR(__xludf.DUMMYFUNCTION("GOOGLETRANSLATE(A4368,""en"",""pt"")"),"#VALUE!")</f>
        <v>#VALUE!</v>
      </c>
      <c r="G4368" s="69"/>
    </row>
    <row r="4369" ht="22.5" customHeight="1">
      <c r="A4369" s="66"/>
      <c r="B4369" s="67" t="str">
        <f t="shared" si="16"/>
        <v>M: </v>
      </c>
      <c r="C4369" s="68"/>
      <c r="D4369" s="68">
        <v>46186.0</v>
      </c>
      <c r="E4369" s="66">
        <v>7.0</v>
      </c>
      <c r="F4369" s="66" t="str">
        <f>IFERROR(__xludf.DUMMYFUNCTION("GOOGLETRANSLATE(A4369,""en"",""pt"")"),"#VALUE!")</f>
        <v>#VALUE!</v>
      </c>
      <c r="G4369" s="69"/>
    </row>
    <row r="4370" ht="22.5" customHeight="1">
      <c r="A4370" s="66"/>
      <c r="B4370" s="67" t="str">
        <f t="shared" si="16"/>
        <v>M: </v>
      </c>
      <c r="C4370" s="68"/>
      <c r="D4370" s="68">
        <v>46186.0</v>
      </c>
      <c r="E4370" s="66">
        <v>8.0</v>
      </c>
      <c r="F4370" s="66" t="str">
        <f>IFERROR(__xludf.DUMMYFUNCTION("GOOGLETRANSLATE(A4370,""en"",""pt"")"),"#VALUE!")</f>
        <v>#VALUE!</v>
      </c>
      <c r="G4370" s="69"/>
    </row>
    <row r="4371" ht="22.5" customHeight="1">
      <c r="A4371" s="66"/>
      <c r="B4371" s="67" t="str">
        <f t="shared" si="16"/>
        <v>M: </v>
      </c>
      <c r="C4371" s="68"/>
      <c r="D4371" s="68">
        <v>46186.0</v>
      </c>
      <c r="E4371" s="66">
        <v>9.0</v>
      </c>
      <c r="F4371" s="66" t="str">
        <f>IFERROR(__xludf.DUMMYFUNCTION("GOOGLETRANSLATE(A4371,""en"",""pt"")"),"#VALUE!")</f>
        <v>#VALUE!</v>
      </c>
      <c r="G4371" s="69"/>
    </row>
    <row r="4372" ht="22.5" customHeight="1">
      <c r="A4372" s="66"/>
      <c r="B4372" s="67" t="str">
        <f t="shared" si="16"/>
        <v>M: </v>
      </c>
      <c r="C4372" s="68"/>
      <c r="D4372" s="68">
        <v>46187.0</v>
      </c>
      <c r="E4372" s="66">
        <v>10.0</v>
      </c>
      <c r="F4372" s="66" t="str">
        <f>IFERROR(__xludf.DUMMYFUNCTION("GOOGLETRANSLATE(A4372,""en"",""pt"")"),"#VALUE!")</f>
        <v>#VALUE!</v>
      </c>
      <c r="G4372" s="69"/>
    </row>
    <row r="4373" ht="22.5" customHeight="1">
      <c r="A4373" s="66"/>
      <c r="B4373" s="67" t="str">
        <f t="shared" si="16"/>
        <v>M: </v>
      </c>
      <c r="C4373" s="68"/>
      <c r="D4373" s="68">
        <v>46187.0</v>
      </c>
      <c r="E4373" s="66">
        <v>1.0</v>
      </c>
      <c r="F4373" s="66" t="str">
        <f>IFERROR(__xludf.DUMMYFUNCTION("GOOGLETRANSLATE(A4373,""en"",""pt"")"),"#VALUE!")</f>
        <v>#VALUE!</v>
      </c>
      <c r="G4373" s="69"/>
    </row>
    <row r="4374" ht="22.5" customHeight="1">
      <c r="A4374" s="66"/>
      <c r="B4374" s="67" t="str">
        <f t="shared" si="16"/>
        <v>M: </v>
      </c>
      <c r="C4374" s="68"/>
      <c r="D4374" s="68">
        <v>46187.0</v>
      </c>
      <c r="E4374" s="66">
        <v>2.0</v>
      </c>
      <c r="F4374" s="66" t="str">
        <f>IFERROR(__xludf.DUMMYFUNCTION("GOOGLETRANSLATE(A4374,""en"",""pt"")"),"#VALUE!")</f>
        <v>#VALUE!</v>
      </c>
      <c r="G4374" s="69"/>
    </row>
    <row r="4375" ht="22.5" customHeight="1">
      <c r="A4375" s="66"/>
      <c r="B4375" s="67" t="str">
        <f t="shared" si="16"/>
        <v>M: </v>
      </c>
      <c r="C4375" s="68"/>
      <c r="D4375" s="68">
        <v>46187.0</v>
      </c>
      <c r="E4375" s="66">
        <v>3.0</v>
      </c>
      <c r="F4375" s="66" t="str">
        <f>IFERROR(__xludf.DUMMYFUNCTION("GOOGLETRANSLATE(A4375,""en"",""pt"")"),"#VALUE!")</f>
        <v>#VALUE!</v>
      </c>
      <c r="G4375" s="69"/>
    </row>
    <row r="4376" ht="22.5" customHeight="1">
      <c r="A4376" s="66"/>
      <c r="B4376" s="67" t="str">
        <f t="shared" si="16"/>
        <v>M: </v>
      </c>
      <c r="C4376" s="68"/>
      <c r="D4376" s="68">
        <v>46187.0</v>
      </c>
      <c r="E4376" s="66">
        <v>4.0</v>
      </c>
      <c r="F4376" s="66" t="str">
        <f>IFERROR(__xludf.DUMMYFUNCTION("GOOGLETRANSLATE(A4376,""en"",""pt"")"),"#VALUE!")</f>
        <v>#VALUE!</v>
      </c>
      <c r="G4376" s="69"/>
    </row>
    <row r="4377" ht="22.5" customHeight="1">
      <c r="A4377" s="66"/>
      <c r="B4377" s="67" t="str">
        <f t="shared" si="16"/>
        <v>M: </v>
      </c>
      <c r="C4377" s="68"/>
      <c r="D4377" s="68">
        <v>46187.0</v>
      </c>
      <c r="E4377" s="66">
        <v>5.0</v>
      </c>
      <c r="F4377" s="66" t="str">
        <f>IFERROR(__xludf.DUMMYFUNCTION("GOOGLETRANSLATE(A4377,""en"",""pt"")"),"#VALUE!")</f>
        <v>#VALUE!</v>
      </c>
      <c r="G4377" s="69"/>
    </row>
    <row r="4378" ht="22.5" customHeight="1">
      <c r="A4378" s="66"/>
      <c r="B4378" s="67" t="str">
        <f t="shared" si="16"/>
        <v>M: </v>
      </c>
      <c r="C4378" s="68"/>
      <c r="D4378" s="68">
        <v>46187.0</v>
      </c>
      <c r="E4378" s="66">
        <v>6.0</v>
      </c>
      <c r="F4378" s="66" t="str">
        <f>IFERROR(__xludf.DUMMYFUNCTION("GOOGLETRANSLATE(A4378,""en"",""pt"")"),"#VALUE!")</f>
        <v>#VALUE!</v>
      </c>
      <c r="G4378" s="69"/>
    </row>
    <row r="4379" ht="22.5" customHeight="1">
      <c r="A4379" s="66"/>
      <c r="B4379" s="67" t="str">
        <f t="shared" si="16"/>
        <v>M: </v>
      </c>
      <c r="C4379" s="68"/>
      <c r="D4379" s="68">
        <v>46187.0</v>
      </c>
      <c r="E4379" s="66">
        <v>7.0</v>
      </c>
      <c r="F4379" s="66" t="str">
        <f>IFERROR(__xludf.DUMMYFUNCTION("GOOGLETRANSLATE(A4379,""en"",""pt"")"),"#VALUE!")</f>
        <v>#VALUE!</v>
      </c>
      <c r="G4379" s="69"/>
    </row>
    <row r="4380" ht="22.5" customHeight="1">
      <c r="A4380" s="66"/>
      <c r="B4380" s="67" t="str">
        <f t="shared" si="16"/>
        <v>M: </v>
      </c>
      <c r="C4380" s="68"/>
      <c r="D4380" s="68">
        <v>46187.0</v>
      </c>
      <c r="E4380" s="66">
        <v>8.0</v>
      </c>
      <c r="F4380" s="66" t="str">
        <f>IFERROR(__xludf.DUMMYFUNCTION("GOOGLETRANSLATE(A4380,""en"",""pt"")"),"#VALUE!")</f>
        <v>#VALUE!</v>
      </c>
      <c r="G4380" s="69"/>
    </row>
    <row r="4381" ht="22.5" customHeight="1">
      <c r="A4381" s="66"/>
      <c r="B4381" s="67" t="str">
        <f t="shared" si="16"/>
        <v>M: </v>
      </c>
      <c r="C4381" s="68"/>
      <c r="D4381" s="68">
        <v>46187.0</v>
      </c>
      <c r="E4381" s="66">
        <v>9.0</v>
      </c>
      <c r="F4381" s="66" t="str">
        <f>IFERROR(__xludf.DUMMYFUNCTION("GOOGLETRANSLATE(A4381,""en"",""pt"")"),"#VALUE!")</f>
        <v>#VALUE!</v>
      </c>
      <c r="G4381" s="69"/>
    </row>
    <row r="4382" ht="22.5" customHeight="1">
      <c r="A4382" s="66"/>
      <c r="B4382" s="67" t="str">
        <f t="shared" si="16"/>
        <v>M: </v>
      </c>
      <c r="C4382" s="68"/>
      <c r="D4382" s="68">
        <v>46188.0</v>
      </c>
      <c r="E4382" s="66">
        <v>10.0</v>
      </c>
      <c r="F4382" s="66" t="str">
        <f>IFERROR(__xludf.DUMMYFUNCTION("GOOGLETRANSLATE(A4382,""en"",""pt"")"),"#VALUE!")</f>
        <v>#VALUE!</v>
      </c>
      <c r="G4382" s="69"/>
    </row>
    <row r="4383" ht="22.5" customHeight="1">
      <c r="A4383" s="66"/>
      <c r="B4383" s="67" t="str">
        <f t="shared" si="16"/>
        <v>M: </v>
      </c>
      <c r="C4383" s="68"/>
      <c r="D4383" s="68">
        <v>46188.0</v>
      </c>
      <c r="E4383" s="66">
        <v>1.0</v>
      </c>
      <c r="F4383" s="66" t="str">
        <f>IFERROR(__xludf.DUMMYFUNCTION("GOOGLETRANSLATE(A4383,""en"",""pt"")"),"#VALUE!")</f>
        <v>#VALUE!</v>
      </c>
      <c r="G4383" s="69"/>
    </row>
    <row r="4384" ht="22.5" customHeight="1">
      <c r="A4384" s="66"/>
      <c r="B4384" s="67" t="str">
        <f t="shared" si="16"/>
        <v>M: </v>
      </c>
      <c r="C4384" s="68"/>
      <c r="D4384" s="68">
        <v>46188.0</v>
      </c>
      <c r="E4384" s="66">
        <v>2.0</v>
      </c>
      <c r="F4384" s="66" t="str">
        <f>IFERROR(__xludf.DUMMYFUNCTION("GOOGLETRANSLATE(A4384,""en"",""pt"")"),"#VALUE!")</f>
        <v>#VALUE!</v>
      </c>
      <c r="G4384" s="69"/>
    </row>
    <row r="4385" ht="22.5" customHeight="1">
      <c r="A4385" s="66"/>
      <c r="B4385" s="67" t="str">
        <f t="shared" si="16"/>
        <v>M: </v>
      </c>
      <c r="C4385" s="68"/>
      <c r="D4385" s="68">
        <v>46188.0</v>
      </c>
      <c r="E4385" s="66">
        <v>3.0</v>
      </c>
      <c r="F4385" s="66" t="str">
        <f>IFERROR(__xludf.DUMMYFUNCTION("GOOGLETRANSLATE(A4385,""en"",""pt"")"),"#VALUE!")</f>
        <v>#VALUE!</v>
      </c>
      <c r="G4385" s="69"/>
    </row>
    <row r="4386" ht="22.5" customHeight="1">
      <c r="A4386" s="66"/>
      <c r="B4386" s="67" t="str">
        <f t="shared" si="16"/>
        <v>M: </v>
      </c>
      <c r="C4386" s="68"/>
      <c r="D4386" s="68">
        <v>46188.0</v>
      </c>
      <c r="E4386" s="66">
        <v>4.0</v>
      </c>
      <c r="F4386" s="66" t="str">
        <f>IFERROR(__xludf.DUMMYFUNCTION("GOOGLETRANSLATE(A4386,""en"",""pt"")"),"#VALUE!")</f>
        <v>#VALUE!</v>
      </c>
      <c r="G4386" s="69"/>
    </row>
    <row r="4387" ht="22.5" customHeight="1">
      <c r="A4387" s="66"/>
      <c r="B4387" s="67" t="str">
        <f t="shared" si="16"/>
        <v>M: </v>
      </c>
      <c r="C4387" s="68"/>
      <c r="D4387" s="68">
        <v>46188.0</v>
      </c>
      <c r="E4387" s="66">
        <v>5.0</v>
      </c>
      <c r="F4387" s="66" t="str">
        <f>IFERROR(__xludf.DUMMYFUNCTION("GOOGLETRANSLATE(A4387,""en"",""pt"")"),"#VALUE!")</f>
        <v>#VALUE!</v>
      </c>
      <c r="G4387" s="69"/>
    </row>
    <row r="4388" ht="22.5" customHeight="1">
      <c r="A4388" s="66"/>
      <c r="B4388" s="67" t="str">
        <f t="shared" si="16"/>
        <v>M: </v>
      </c>
      <c r="C4388" s="68"/>
      <c r="D4388" s="68">
        <v>46188.0</v>
      </c>
      <c r="E4388" s="66">
        <v>6.0</v>
      </c>
      <c r="F4388" s="66" t="str">
        <f>IFERROR(__xludf.DUMMYFUNCTION("GOOGLETRANSLATE(A4388,""en"",""pt"")"),"#VALUE!")</f>
        <v>#VALUE!</v>
      </c>
      <c r="G4388" s="69"/>
    </row>
    <row r="4389" ht="22.5" customHeight="1">
      <c r="A4389" s="66"/>
      <c r="B4389" s="67" t="str">
        <f t="shared" si="16"/>
        <v>M: </v>
      </c>
      <c r="C4389" s="68"/>
      <c r="D4389" s="68">
        <v>46188.0</v>
      </c>
      <c r="E4389" s="66">
        <v>7.0</v>
      </c>
      <c r="F4389" s="66" t="str">
        <f>IFERROR(__xludf.DUMMYFUNCTION("GOOGLETRANSLATE(A4389,""en"",""pt"")"),"#VALUE!")</f>
        <v>#VALUE!</v>
      </c>
      <c r="G4389" s="69"/>
    </row>
    <row r="4390" ht="22.5" customHeight="1">
      <c r="A4390" s="66"/>
      <c r="B4390" s="67" t="str">
        <f t="shared" si="16"/>
        <v>M: </v>
      </c>
      <c r="C4390" s="68"/>
      <c r="D4390" s="68">
        <v>46188.0</v>
      </c>
      <c r="E4390" s="66">
        <v>8.0</v>
      </c>
      <c r="F4390" s="66" t="str">
        <f>IFERROR(__xludf.DUMMYFUNCTION("GOOGLETRANSLATE(A4390,""en"",""pt"")"),"#VALUE!")</f>
        <v>#VALUE!</v>
      </c>
      <c r="G4390" s="69"/>
    </row>
    <row r="4391" ht="22.5" customHeight="1">
      <c r="A4391" s="66"/>
      <c r="B4391" s="67" t="str">
        <f t="shared" si="16"/>
        <v>M: </v>
      </c>
      <c r="C4391" s="68"/>
      <c r="D4391" s="68">
        <v>46188.0</v>
      </c>
      <c r="E4391" s="66">
        <v>9.0</v>
      </c>
      <c r="F4391" s="66" t="str">
        <f>IFERROR(__xludf.DUMMYFUNCTION("GOOGLETRANSLATE(A4391,""en"",""pt"")"),"#VALUE!")</f>
        <v>#VALUE!</v>
      </c>
      <c r="G4391" s="69"/>
    </row>
    <row r="4392" ht="22.5" customHeight="1">
      <c r="A4392" s="66"/>
      <c r="B4392" s="67" t="str">
        <f t="shared" si="16"/>
        <v>M: </v>
      </c>
      <c r="C4392" s="68"/>
      <c r="D4392" s="68">
        <v>46189.0</v>
      </c>
      <c r="E4392" s="66">
        <v>10.0</v>
      </c>
      <c r="F4392" s="66" t="str">
        <f>IFERROR(__xludf.DUMMYFUNCTION("GOOGLETRANSLATE(A4392,""en"",""pt"")"),"#VALUE!")</f>
        <v>#VALUE!</v>
      </c>
      <c r="G4392" s="69"/>
    </row>
    <row r="4393" ht="22.5" customHeight="1">
      <c r="A4393" s="66"/>
      <c r="B4393" s="67" t="str">
        <f t="shared" si="16"/>
        <v>M: </v>
      </c>
      <c r="C4393" s="68"/>
      <c r="D4393" s="68">
        <v>46189.0</v>
      </c>
      <c r="E4393" s="66">
        <v>1.0</v>
      </c>
      <c r="F4393" s="66" t="str">
        <f>IFERROR(__xludf.DUMMYFUNCTION("GOOGLETRANSLATE(A4393,""en"",""pt"")"),"#VALUE!")</f>
        <v>#VALUE!</v>
      </c>
      <c r="G4393" s="69"/>
    </row>
    <row r="4394" ht="22.5" customHeight="1">
      <c r="A4394" s="66"/>
      <c r="B4394" s="67" t="str">
        <f t="shared" si="16"/>
        <v>M: </v>
      </c>
      <c r="C4394" s="68"/>
      <c r="D4394" s="68">
        <v>46189.0</v>
      </c>
      <c r="E4394" s="66">
        <v>2.0</v>
      </c>
      <c r="F4394" s="66" t="str">
        <f>IFERROR(__xludf.DUMMYFUNCTION("GOOGLETRANSLATE(A4394,""en"",""pt"")"),"#VALUE!")</f>
        <v>#VALUE!</v>
      </c>
      <c r="G4394" s="69"/>
    </row>
    <row r="4395" ht="22.5" customHeight="1">
      <c r="A4395" s="66"/>
      <c r="B4395" s="67" t="str">
        <f t="shared" si="16"/>
        <v>M: </v>
      </c>
      <c r="C4395" s="68"/>
      <c r="D4395" s="68">
        <v>46189.0</v>
      </c>
      <c r="E4395" s="66">
        <v>3.0</v>
      </c>
      <c r="F4395" s="66" t="str">
        <f>IFERROR(__xludf.DUMMYFUNCTION("GOOGLETRANSLATE(A4395,""en"",""pt"")"),"#VALUE!")</f>
        <v>#VALUE!</v>
      </c>
      <c r="G4395" s="69"/>
    </row>
    <row r="4396" ht="22.5" customHeight="1">
      <c r="A4396" s="66"/>
      <c r="B4396" s="67" t="str">
        <f t="shared" si="16"/>
        <v>M: </v>
      </c>
      <c r="C4396" s="68"/>
      <c r="D4396" s="68">
        <v>46189.0</v>
      </c>
      <c r="E4396" s="66">
        <v>4.0</v>
      </c>
      <c r="F4396" s="66" t="str">
        <f>IFERROR(__xludf.DUMMYFUNCTION("GOOGLETRANSLATE(A4396,""en"",""pt"")"),"#VALUE!")</f>
        <v>#VALUE!</v>
      </c>
      <c r="G4396" s="69"/>
    </row>
    <row r="4397" ht="22.5" customHeight="1">
      <c r="A4397" s="66"/>
      <c r="B4397" s="67" t="str">
        <f t="shared" si="16"/>
        <v>M: </v>
      </c>
      <c r="C4397" s="68"/>
      <c r="D4397" s="68">
        <v>46189.0</v>
      </c>
      <c r="E4397" s="66">
        <v>5.0</v>
      </c>
      <c r="F4397" s="66" t="str">
        <f>IFERROR(__xludf.DUMMYFUNCTION("GOOGLETRANSLATE(A4397,""en"",""pt"")"),"#VALUE!")</f>
        <v>#VALUE!</v>
      </c>
      <c r="G4397" s="69"/>
    </row>
    <row r="4398" ht="22.5" customHeight="1">
      <c r="A4398" s="66"/>
      <c r="B4398" s="67" t="str">
        <f t="shared" si="16"/>
        <v>M: </v>
      </c>
      <c r="C4398" s="68"/>
      <c r="D4398" s="68">
        <v>46189.0</v>
      </c>
      <c r="E4398" s="66">
        <v>6.0</v>
      </c>
      <c r="F4398" s="66" t="str">
        <f>IFERROR(__xludf.DUMMYFUNCTION("GOOGLETRANSLATE(A4398,""en"",""pt"")"),"#VALUE!")</f>
        <v>#VALUE!</v>
      </c>
      <c r="G4398" s="69"/>
    </row>
    <row r="4399" ht="22.5" customHeight="1">
      <c r="A4399" s="66"/>
      <c r="B4399" s="67" t="str">
        <f t="shared" si="16"/>
        <v>M: </v>
      </c>
      <c r="C4399" s="68"/>
      <c r="D4399" s="68">
        <v>46189.0</v>
      </c>
      <c r="E4399" s="66">
        <v>7.0</v>
      </c>
      <c r="F4399" s="66" t="str">
        <f>IFERROR(__xludf.DUMMYFUNCTION("GOOGLETRANSLATE(A4399,""en"",""pt"")"),"#VALUE!")</f>
        <v>#VALUE!</v>
      </c>
      <c r="G4399" s="69"/>
    </row>
    <row r="4400" ht="22.5" customHeight="1">
      <c r="A4400" s="66"/>
      <c r="B4400" s="67" t="str">
        <f t="shared" si="16"/>
        <v>M: </v>
      </c>
      <c r="C4400" s="68"/>
      <c r="D4400" s="68">
        <v>46189.0</v>
      </c>
      <c r="E4400" s="66">
        <v>8.0</v>
      </c>
      <c r="F4400" s="66" t="str">
        <f>IFERROR(__xludf.DUMMYFUNCTION("GOOGLETRANSLATE(A4400,""en"",""pt"")"),"#VALUE!")</f>
        <v>#VALUE!</v>
      </c>
      <c r="G4400" s="69"/>
    </row>
    <row r="4401" ht="22.5" customHeight="1">
      <c r="A4401" s="66"/>
      <c r="B4401" s="67" t="str">
        <f t="shared" si="16"/>
        <v>M: </v>
      </c>
      <c r="C4401" s="68"/>
      <c r="D4401" s="68">
        <v>46189.0</v>
      </c>
      <c r="E4401" s="66">
        <v>9.0</v>
      </c>
      <c r="F4401" s="66" t="str">
        <f>IFERROR(__xludf.DUMMYFUNCTION("GOOGLETRANSLATE(A4401,""en"",""pt"")"),"#VALUE!")</f>
        <v>#VALUE!</v>
      </c>
      <c r="G4401" s="69"/>
    </row>
    <row r="4402" ht="22.5" customHeight="1">
      <c r="A4402" s="66"/>
      <c r="B4402" s="67" t="str">
        <f t="shared" si="16"/>
        <v>M: </v>
      </c>
      <c r="C4402" s="68"/>
      <c r="D4402" s="68">
        <v>46190.0</v>
      </c>
      <c r="E4402" s="66">
        <v>10.0</v>
      </c>
      <c r="F4402" s="66" t="str">
        <f>IFERROR(__xludf.DUMMYFUNCTION("GOOGLETRANSLATE(A4402,""en"",""pt"")"),"#VALUE!")</f>
        <v>#VALUE!</v>
      </c>
      <c r="G4402" s="69"/>
    </row>
    <row r="4403" ht="22.5" customHeight="1">
      <c r="A4403" s="66"/>
      <c r="B4403" s="67" t="str">
        <f t="shared" si="16"/>
        <v>M: </v>
      </c>
      <c r="C4403" s="68"/>
      <c r="D4403" s="68">
        <v>46190.0</v>
      </c>
      <c r="E4403" s="66">
        <v>1.0</v>
      </c>
      <c r="F4403" s="66" t="str">
        <f>IFERROR(__xludf.DUMMYFUNCTION("GOOGLETRANSLATE(A4403,""en"",""pt"")"),"#VALUE!")</f>
        <v>#VALUE!</v>
      </c>
      <c r="G4403" s="69"/>
    </row>
    <row r="4404" ht="22.5" customHeight="1">
      <c r="A4404" s="66"/>
      <c r="B4404" s="67" t="str">
        <f t="shared" si="16"/>
        <v>M: </v>
      </c>
      <c r="C4404" s="68"/>
      <c r="D4404" s="68">
        <v>46190.0</v>
      </c>
      <c r="E4404" s="66">
        <v>2.0</v>
      </c>
      <c r="F4404" s="66" t="str">
        <f>IFERROR(__xludf.DUMMYFUNCTION("GOOGLETRANSLATE(A4404,""en"",""pt"")"),"#VALUE!")</f>
        <v>#VALUE!</v>
      </c>
      <c r="G4404" s="69"/>
    </row>
    <row r="4405" ht="22.5" customHeight="1">
      <c r="A4405" s="66"/>
      <c r="B4405" s="67" t="str">
        <f t="shared" si="16"/>
        <v>M: </v>
      </c>
      <c r="C4405" s="68"/>
      <c r="D4405" s="68">
        <v>46190.0</v>
      </c>
      <c r="E4405" s="66">
        <v>3.0</v>
      </c>
      <c r="F4405" s="66" t="str">
        <f>IFERROR(__xludf.DUMMYFUNCTION("GOOGLETRANSLATE(A4405,""en"",""pt"")"),"#VALUE!")</f>
        <v>#VALUE!</v>
      </c>
      <c r="G4405" s="69"/>
    </row>
    <row r="4406" ht="22.5" customHeight="1">
      <c r="A4406" s="66"/>
      <c r="B4406" s="67" t="str">
        <f t="shared" si="16"/>
        <v>M: </v>
      </c>
      <c r="C4406" s="68"/>
      <c r="D4406" s="68">
        <v>46190.0</v>
      </c>
      <c r="E4406" s="66">
        <v>4.0</v>
      </c>
      <c r="F4406" s="66" t="str">
        <f>IFERROR(__xludf.DUMMYFUNCTION("GOOGLETRANSLATE(A4406,""en"",""pt"")"),"#VALUE!")</f>
        <v>#VALUE!</v>
      </c>
      <c r="G4406" s="69"/>
    </row>
    <row r="4407" ht="22.5" customHeight="1">
      <c r="A4407" s="66"/>
      <c r="B4407" s="67" t="str">
        <f t="shared" si="16"/>
        <v>M: </v>
      </c>
      <c r="C4407" s="68"/>
      <c r="D4407" s="68">
        <v>46190.0</v>
      </c>
      <c r="E4407" s="66">
        <v>5.0</v>
      </c>
      <c r="F4407" s="66" t="str">
        <f>IFERROR(__xludf.DUMMYFUNCTION("GOOGLETRANSLATE(A4407,""en"",""pt"")"),"#VALUE!")</f>
        <v>#VALUE!</v>
      </c>
      <c r="G4407" s="69"/>
    </row>
    <row r="4408" ht="22.5" customHeight="1">
      <c r="A4408" s="66"/>
      <c r="B4408" s="67" t="str">
        <f t="shared" si="16"/>
        <v>M: </v>
      </c>
      <c r="C4408" s="68"/>
      <c r="D4408" s="68">
        <v>46190.0</v>
      </c>
      <c r="E4408" s="66">
        <v>6.0</v>
      </c>
      <c r="F4408" s="66" t="str">
        <f>IFERROR(__xludf.DUMMYFUNCTION("GOOGLETRANSLATE(A4408,""en"",""pt"")"),"#VALUE!")</f>
        <v>#VALUE!</v>
      </c>
      <c r="G4408" s="69"/>
    </row>
    <row r="4409" ht="22.5" customHeight="1">
      <c r="A4409" s="66"/>
      <c r="B4409" s="67" t="str">
        <f t="shared" si="16"/>
        <v>M: </v>
      </c>
      <c r="C4409" s="68"/>
      <c r="D4409" s="68">
        <v>46190.0</v>
      </c>
      <c r="E4409" s="66">
        <v>7.0</v>
      </c>
      <c r="F4409" s="66" t="str">
        <f>IFERROR(__xludf.DUMMYFUNCTION("GOOGLETRANSLATE(A4409,""en"",""pt"")"),"#VALUE!")</f>
        <v>#VALUE!</v>
      </c>
      <c r="G4409" s="69"/>
    </row>
    <row r="4410" ht="22.5" customHeight="1">
      <c r="A4410" s="66"/>
      <c r="B4410" s="67" t="str">
        <f t="shared" si="16"/>
        <v>M: </v>
      </c>
      <c r="C4410" s="68"/>
      <c r="D4410" s="68">
        <v>46190.0</v>
      </c>
      <c r="E4410" s="66">
        <v>8.0</v>
      </c>
      <c r="F4410" s="66" t="str">
        <f>IFERROR(__xludf.DUMMYFUNCTION("GOOGLETRANSLATE(A4410,""en"",""pt"")"),"#VALUE!")</f>
        <v>#VALUE!</v>
      </c>
      <c r="G4410" s="69"/>
    </row>
    <row r="4411" ht="22.5" customHeight="1">
      <c r="A4411" s="66"/>
      <c r="B4411" s="67" t="str">
        <f t="shared" si="16"/>
        <v>M: </v>
      </c>
      <c r="C4411" s="68"/>
      <c r="D4411" s="68">
        <v>46190.0</v>
      </c>
      <c r="E4411" s="66">
        <v>9.0</v>
      </c>
      <c r="F4411" s="66" t="str">
        <f>IFERROR(__xludf.DUMMYFUNCTION("GOOGLETRANSLATE(A4411,""en"",""pt"")"),"#VALUE!")</f>
        <v>#VALUE!</v>
      </c>
      <c r="G4411" s="69"/>
    </row>
    <row r="4412" ht="22.5" customHeight="1">
      <c r="A4412" s="66"/>
      <c r="B4412" s="67" t="str">
        <f t="shared" si="16"/>
        <v>M: </v>
      </c>
      <c r="C4412" s="68"/>
      <c r="D4412" s="68">
        <v>46191.0</v>
      </c>
      <c r="E4412" s="66">
        <v>10.0</v>
      </c>
      <c r="F4412" s="66" t="str">
        <f>IFERROR(__xludf.DUMMYFUNCTION("GOOGLETRANSLATE(A4412,""en"",""pt"")"),"#VALUE!")</f>
        <v>#VALUE!</v>
      </c>
      <c r="G4412" s="69"/>
    </row>
    <row r="4413" ht="22.5" customHeight="1">
      <c r="A4413" s="66"/>
      <c r="B4413" s="67" t="str">
        <f t="shared" si="16"/>
        <v>M: </v>
      </c>
      <c r="C4413" s="68"/>
      <c r="D4413" s="68">
        <v>46191.0</v>
      </c>
      <c r="E4413" s="66">
        <v>1.0</v>
      </c>
      <c r="F4413" s="66" t="str">
        <f>IFERROR(__xludf.DUMMYFUNCTION("GOOGLETRANSLATE(A4413,""en"",""pt"")"),"#VALUE!")</f>
        <v>#VALUE!</v>
      </c>
      <c r="G4413" s="69"/>
    </row>
    <row r="4414" ht="22.5" customHeight="1">
      <c r="A4414" s="66"/>
      <c r="B4414" s="67" t="str">
        <f t="shared" si="16"/>
        <v>M: </v>
      </c>
      <c r="C4414" s="68"/>
      <c r="D4414" s="68">
        <v>46191.0</v>
      </c>
      <c r="E4414" s="66">
        <v>2.0</v>
      </c>
      <c r="F4414" s="66" t="str">
        <f>IFERROR(__xludf.DUMMYFUNCTION("GOOGLETRANSLATE(A4414,""en"",""pt"")"),"#VALUE!")</f>
        <v>#VALUE!</v>
      </c>
      <c r="G4414" s="69"/>
    </row>
    <row r="4415" ht="22.5" customHeight="1">
      <c r="A4415" s="66"/>
      <c r="B4415" s="67" t="str">
        <f t="shared" si="16"/>
        <v>M: </v>
      </c>
      <c r="C4415" s="68"/>
      <c r="D4415" s="68">
        <v>46191.0</v>
      </c>
      <c r="E4415" s="66">
        <v>3.0</v>
      </c>
      <c r="F4415" s="66" t="str">
        <f>IFERROR(__xludf.DUMMYFUNCTION("GOOGLETRANSLATE(A4415,""en"",""pt"")"),"#VALUE!")</f>
        <v>#VALUE!</v>
      </c>
      <c r="G4415" s="69"/>
    </row>
    <row r="4416" ht="22.5" customHeight="1">
      <c r="A4416" s="66"/>
      <c r="B4416" s="67" t="str">
        <f t="shared" si="16"/>
        <v>M: </v>
      </c>
      <c r="C4416" s="68"/>
      <c r="D4416" s="68">
        <v>46191.0</v>
      </c>
      <c r="E4416" s="66">
        <v>4.0</v>
      </c>
      <c r="F4416" s="66" t="str">
        <f>IFERROR(__xludf.DUMMYFUNCTION("GOOGLETRANSLATE(A4416,""en"",""pt"")"),"#VALUE!")</f>
        <v>#VALUE!</v>
      </c>
      <c r="G4416" s="69"/>
    </row>
    <row r="4417" ht="22.5" customHeight="1">
      <c r="A4417" s="66"/>
      <c r="B4417" s="67" t="str">
        <f t="shared" si="16"/>
        <v>M: </v>
      </c>
      <c r="C4417" s="68"/>
      <c r="D4417" s="68">
        <v>46191.0</v>
      </c>
      <c r="E4417" s="66">
        <v>5.0</v>
      </c>
      <c r="F4417" s="66" t="str">
        <f>IFERROR(__xludf.DUMMYFUNCTION("GOOGLETRANSLATE(A4417,""en"",""pt"")"),"#VALUE!")</f>
        <v>#VALUE!</v>
      </c>
      <c r="G4417" s="69"/>
    </row>
    <row r="4418" ht="22.5" customHeight="1">
      <c r="A4418" s="66"/>
      <c r="B4418" s="67" t="str">
        <f t="shared" si="16"/>
        <v>M: </v>
      </c>
      <c r="C4418" s="68"/>
      <c r="D4418" s="68">
        <v>46191.0</v>
      </c>
      <c r="E4418" s="66">
        <v>6.0</v>
      </c>
      <c r="F4418" s="66" t="str">
        <f>IFERROR(__xludf.DUMMYFUNCTION("GOOGLETRANSLATE(A4418,""en"",""pt"")"),"#VALUE!")</f>
        <v>#VALUE!</v>
      </c>
      <c r="G4418" s="69"/>
    </row>
    <row r="4419" ht="22.5" customHeight="1">
      <c r="A4419" s="66"/>
      <c r="B4419" s="67" t="str">
        <f t="shared" si="16"/>
        <v>M: </v>
      </c>
      <c r="C4419" s="68"/>
      <c r="D4419" s="68">
        <v>46191.0</v>
      </c>
      <c r="E4419" s="66">
        <v>7.0</v>
      </c>
      <c r="F4419" s="66" t="str">
        <f>IFERROR(__xludf.DUMMYFUNCTION("GOOGLETRANSLATE(A4419,""en"",""pt"")"),"#VALUE!")</f>
        <v>#VALUE!</v>
      </c>
      <c r="G4419" s="69"/>
    </row>
    <row r="4420" ht="22.5" customHeight="1">
      <c r="A4420" s="66"/>
      <c r="B4420" s="67" t="str">
        <f t="shared" si="16"/>
        <v>M: </v>
      </c>
      <c r="C4420" s="68"/>
      <c r="D4420" s="68">
        <v>46191.0</v>
      </c>
      <c r="E4420" s="66">
        <v>8.0</v>
      </c>
      <c r="F4420" s="66" t="str">
        <f>IFERROR(__xludf.DUMMYFUNCTION("GOOGLETRANSLATE(A4420,""en"",""pt"")"),"#VALUE!")</f>
        <v>#VALUE!</v>
      </c>
      <c r="G4420" s="69"/>
    </row>
    <row r="4421" ht="22.5" customHeight="1">
      <c r="A4421" s="66"/>
      <c r="B4421" s="67" t="str">
        <f t="shared" si="16"/>
        <v>M: </v>
      </c>
      <c r="C4421" s="68"/>
      <c r="D4421" s="68">
        <v>46191.0</v>
      </c>
      <c r="E4421" s="66">
        <v>9.0</v>
      </c>
      <c r="F4421" s="66" t="str">
        <f>IFERROR(__xludf.DUMMYFUNCTION("GOOGLETRANSLATE(A4421,""en"",""pt"")"),"#VALUE!")</f>
        <v>#VALUE!</v>
      </c>
      <c r="G4421" s="69"/>
    </row>
    <row r="4422" ht="22.5" customHeight="1">
      <c r="A4422" s="66"/>
      <c r="B4422" s="67" t="str">
        <f t="shared" si="16"/>
        <v>M: </v>
      </c>
      <c r="C4422" s="68"/>
      <c r="D4422" s="68">
        <v>46192.0</v>
      </c>
      <c r="E4422" s="66">
        <v>10.0</v>
      </c>
      <c r="F4422" s="66" t="str">
        <f>IFERROR(__xludf.DUMMYFUNCTION("GOOGLETRANSLATE(A4422,""en"",""pt"")"),"#VALUE!")</f>
        <v>#VALUE!</v>
      </c>
      <c r="G4422" s="69"/>
    </row>
    <row r="4423" ht="22.5" customHeight="1">
      <c r="A4423" s="66"/>
      <c r="B4423" s="67" t="str">
        <f t="shared" si="16"/>
        <v>M: </v>
      </c>
      <c r="C4423" s="68"/>
      <c r="D4423" s="68">
        <v>46192.0</v>
      </c>
      <c r="E4423" s="66">
        <v>1.0</v>
      </c>
      <c r="F4423" s="66" t="str">
        <f>IFERROR(__xludf.DUMMYFUNCTION("GOOGLETRANSLATE(A4423,""en"",""pt"")"),"#VALUE!")</f>
        <v>#VALUE!</v>
      </c>
      <c r="G4423" s="69"/>
    </row>
    <row r="4424" ht="22.5" customHeight="1">
      <c r="A4424" s="66"/>
      <c r="B4424" s="67" t="str">
        <f t="shared" si="16"/>
        <v>M: </v>
      </c>
      <c r="C4424" s="68"/>
      <c r="D4424" s="68">
        <v>46192.0</v>
      </c>
      <c r="E4424" s="66">
        <v>2.0</v>
      </c>
      <c r="F4424" s="66" t="str">
        <f>IFERROR(__xludf.DUMMYFUNCTION("GOOGLETRANSLATE(A4424,""en"",""pt"")"),"#VALUE!")</f>
        <v>#VALUE!</v>
      </c>
      <c r="G4424" s="69"/>
    </row>
    <row r="4425" ht="22.5" customHeight="1">
      <c r="A4425" s="66"/>
      <c r="B4425" s="67" t="str">
        <f t="shared" si="16"/>
        <v>M: </v>
      </c>
      <c r="C4425" s="68"/>
      <c r="D4425" s="68">
        <v>46192.0</v>
      </c>
      <c r="E4425" s="66">
        <v>3.0</v>
      </c>
      <c r="F4425" s="66" t="str">
        <f>IFERROR(__xludf.DUMMYFUNCTION("GOOGLETRANSLATE(A4425,""en"",""pt"")"),"#VALUE!")</f>
        <v>#VALUE!</v>
      </c>
      <c r="G4425" s="69"/>
    </row>
    <row r="4426" ht="22.5" customHeight="1">
      <c r="A4426" s="66"/>
      <c r="B4426" s="67" t="str">
        <f t="shared" si="16"/>
        <v>M: </v>
      </c>
      <c r="C4426" s="68"/>
      <c r="D4426" s="68">
        <v>46192.0</v>
      </c>
      <c r="E4426" s="66">
        <v>4.0</v>
      </c>
      <c r="F4426" s="66" t="str">
        <f>IFERROR(__xludf.DUMMYFUNCTION("GOOGLETRANSLATE(A4426,""en"",""pt"")"),"#VALUE!")</f>
        <v>#VALUE!</v>
      </c>
      <c r="G4426" s="69"/>
    </row>
    <row r="4427" ht="22.5" customHeight="1">
      <c r="A4427" s="66"/>
      <c r="B4427" s="67" t="str">
        <f t="shared" si="16"/>
        <v>M: </v>
      </c>
      <c r="C4427" s="68"/>
      <c r="D4427" s="68">
        <v>46192.0</v>
      </c>
      <c r="E4427" s="66">
        <v>5.0</v>
      </c>
      <c r="F4427" s="66" t="str">
        <f>IFERROR(__xludf.DUMMYFUNCTION("GOOGLETRANSLATE(A4427,""en"",""pt"")"),"#VALUE!")</f>
        <v>#VALUE!</v>
      </c>
      <c r="G4427" s="69"/>
    </row>
    <row r="4428" ht="22.5" customHeight="1">
      <c r="A4428" s="66"/>
      <c r="B4428" s="67" t="str">
        <f t="shared" si="16"/>
        <v>M: </v>
      </c>
      <c r="C4428" s="68"/>
      <c r="D4428" s="68">
        <v>46192.0</v>
      </c>
      <c r="E4428" s="66">
        <v>6.0</v>
      </c>
      <c r="F4428" s="66" t="str">
        <f>IFERROR(__xludf.DUMMYFUNCTION("GOOGLETRANSLATE(A4428,""en"",""pt"")"),"#VALUE!")</f>
        <v>#VALUE!</v>
      </c>
      <c r="G4428" s="69"/>
    </row>
    <row r="4429" ht="22.5" customHeight="1">
      <c r="A4429" s="66"/>
      <c r="B4429" s="67" t="str">
        <f t="shared" si="16"/>
        <v>M: </v>
      </c>
      <c r="C4429" s="68"/>
      <c r="D4429" s="68">
        <v>46192.0</v>
      </c>
      <c r="E4429" s="66">
        <v>7.0</v>
      </c>
      <c r="F4429" s="66" t="str">
        <f>IFERROR(__xludf.DUMMYFUNCTION("GOOGLETRANSLATE(A4429,""en"",""pt"")"),"#VALUE!")</f>
        <v>#VALUE!</v>
      </c>
      <c r="G4429" s="69"/>
    </row>
    <row r="4430" ht="22.5" customHeight="1">
      <c r="A4430" s="66"/>
      <c r="B4430" s="67" t="str">
        <f t="shared" si="16"/>
        <v>M: </v>
      </c>
      <c r="C4430" s="68"/>
      <c r="D4430" s="68">
        <v>46192.0</v>
      </c>
      <c r="E4430" s="66">
        <v>8.0</v>
      </c>
      <c r="F4430" s="66" t="str">
        <f>IFERROR(__xludf.DUMMYFUNCTION("GOOGLETRANSLATE(A4430,""en"",""pt"")"),"#VALUE!")</f>
        <v>#VALUE!</v>
      </c>
      <c r="G4430" s="69"/>
    </row>
    <row r="4431" ht="22.5" customHeight="1">
      <c r="A4431" s="66"/>
      <c r="B4431" s="67" t="str">
        <f t="shared" si="16"/>
        <v>M: </v>
      </c>
      <c r="C4431" s="68"/>
      <c r="D4431" s="68">
        <v>46192.0</v>
      </c>
      <c r="E4431" s="66">
        <v>9.0</v>
      </c>
      <c r="F4431" s="66" t="str">
        <f>IFERROR(__xludf.DUMMYFUNCTION("GOOGLETRANSLATE(A4431,""en"",""pt"")"),"#VALUE!")</f>
        <v>#VALUE!</v>
      </c>
      <c r="G4431" s="69"/>
    </row>
    <row r="4432" ht="22.5" customHeight="1">
      <c r="A4432" s="66"/>
      <c r="B4432" s="67" t="str">
        <f t="shared" si="16"/>
        <v>M: </v>
      </c>
      <c r="C4432" s="68"/>
      <c r="D4432" s="68">
        <v>46193.0</v>
      </c>
      <c r="E4432" s="66">
        <v>10.0</v>
      </c>
      <c r="F4432" s="66" t="str">
        <f>IFERROR(__xludf.DUMMYFUNCTION("GOOGLETRANSLATE(A4432,""en"",""pt"")"),"#VALUE!")</f>
        <v>#VALUE!</v>
      </c>
      <c r="G4432" s="69"/>
    </row>
    <row r="4433" ht="22.5" customHeight="1">
      <c r="A4433" s="66"/>
      <c r="B4433" s="67" t="str">
        <f t="shared" si="16"/>
        <v>M: </v>
      </c>
      <c r="C4433" s="68"/>
      <c r="D4433" s="68">
        <v>46193.0</v>
      </c>
      <c r="E4433" s="66">
        <v>1.0</v>
      </c>
      <c r="F4433" s="66" t="str">
        <f>IFERROR(__xludf.DUMMYFUNCTION("GOOGLETRANSLATE(A4433,""en"",""pt"")"),"#VALUE!")</f>
        <v>#VALUE!</v>
      </c>
      <c r="G4433" s="69"/>
    </row>
    <row r="4434" ht="22.5" customHeight="1">
      <c r="A4434" s="66"/>
      <c r="B4434" s="67" t="str">
        <f t="shared" si="16"/>
        <v>M: </v>
      </c>
      <c r="C4434" s="68"/>
      <c r="D4434" s="68">
        <v>46193.0</v>
      </c>
      <c r="E4434" s="66">
        <v>2.0</v>
      </c>
      <c r="F4434" s="66" t="str">
        <f>IFERROR(__xludf.DUMMYFUNCTION("GOOGLETRANSLATE(A4434,""en"",""pt"")"),"#VALUE!")</f>
        <v>#VALUE!</v>
      </c>
      <c r="G4434" s="69"/>
    </row>
    <row r="4435" ht="22.5" customHeight="1">
      <c r="A4435" s="66"/>
      <c r="B4435" s="67" t="str">
        <f t="shared" si="16"/>
        <v>M: </v>
      </c>
      <c r="C4435" s="68"/>
      <c r="D4435" s="68">
        <v>46193.0</v>
      </c>
      <c r="E4435" s="66">
        <v>3.0</v>
      </c>
      <c r="F4435" s="66" t="str">
        <f>IFERROR(__xludf.DUMMYFUNCTION("GOOGLETRANSLATE(A4435,""en"",""pt"")"),"#VALUE!")</f>
        <v>#VALUE!</v>
      </c>
      <c r="G4435" s="69"/>
    </row>
    <row r="4436" ht="22.5" customHeight="1">
      <c r="A4436" s="66"/>
      <c r="B4436" s="67" t="str">
        <f t="shared" si="16"/>
        <v>M: </v>
      </c>
      <c r="C4436" s="68"/>
      <c r="D4436" s="68">
        <v>46193.0</v>
      </c>
      <c r="E4436" s="66">
        <v>4.0</v>
      </c>
      <c r="F4436" s="66" t="str">
        <f>IFERROR(__xludf.DUMMYFUNCTION("GOOGLETRANSLATE(A4436,""en"",""pt"")"),"#VALUE!")</f>
        <v>#VALUE!</v>
      </c>
      <c r="G4436" s="69"/>
    </row>
    <row r="4437" ht="22.5" customHeight="1">
      <c r="A4437" s="66"/>
      <c r="B4437" s="67" t="str">
        <f t="shared" si="16"/>
        <v>M: </v>
      </c>
      <c r="C4437" s="68"/>
      <c r="D4437" s="68">
        <v>46193.0</v>
      </c>
      <c r="E4437" s="66">
        <v>5.0</v>
      </c>
      <c r="F4437" s="66" t="str">
        <f>IFERROR(__xludf.DUMMYFUNCTION("GOOGLETRANSLATE(A4437,""en"",""pt"")"),"#VALUE!")</f>
        <v>#VALUE!</v>
      </c>
      <c r="G4437" s="69"/>
    </row>
    <row r="4438" ht="22.5" customHeight="1">
      <c r="A4438" s="66"/>
      <c r="B4438" s="67" t="str">
        <f t="shared" si="16"/>
        <v>M: </v>
      </c>
      <c r="C4438" s="68"/>
      <c r="D4438" s="68">
        <v>46193.0</v>
      </c>
      <c r="E4438" s="66">
        <v>6.0</v>
      </c>
      <c r="F4438" s="66" t="str">
        <f>IFERROR(__xludf.DUMMYFUNCTION("GOOGLETRANSLATE(A4438,""en"",""pt"")"),"#VALUE!")</f>
        <v>#VALUE!</v>
      </c>
      <c r="G4438" s="69"/>
    </row>
    <row r="4439" ht="22.5" customHeight="1">
      <c r="A4439" s="66"/>
      <c r="B4439" s="67" t="str">
        <f t="shared" si="16"/>
        <v>M: </v>
      </c>
      <c r="C4439" s="68"/>
      <c r="D4439" s="68">
        <v>46193.0</v>
      </c>
      <c r="E4439" s="66">
        <v>7.0</v>
      </c>
      <c r="F4439" s="66" t="str">
        <f>IFERROR(__xludf.DUMMYFUNCTION("GOOGLETRANSLATE(A4439,""en"",""pt"")"),"#VALUE!")</f>
        <v>#VALUE!</v>
      </c>
      <c r="G4439" s="69"/>
    </row>
    <row r="4440" ht="22.5" customHeight="1">
      <c r="A4440" s="66"/>
      <c r="B4440" s="67" t="str">
        <f t="shared" si="16"/>
        <v>M: </v>
      </c>
      <c r="C4440" s="68"/>
      <c r="D4440" s="68">
        <v>46193.0</v>
      </c>
      <c r="E4440" s="66">
        <v>8.0</v>
      </c>
      <c r="F4440" s="66" t="str">
        <f>IFERROR(__xludf.DUMMYFUNCTION("GOOGLETRANSLATE(A4440,""en"",""pt"")"),"#VALUE!")</f>
        <v>#VALUE!</v>
      </c>
      <c r="G4440" s="69"/>
    </row>
    <row r="4441" ht="22.5" customHeight="1">
      <c r="A4441" s="66"/>
      <c r="B4441" s="67" t="str">
        <f t="shared" si="16"/>
        <v>M: </v>
      </c>
      <c r="C4441" s="68"/>
      <c r="D4441" s="68">
        <v>46193.0</v>
      </c>
      <c r="E4441" s="66">
        <v>9.0</v>
      </c>
      <c r="F4441" s="66" t="str">
        <f>IFERROR(__xludf.DUMMYFUNCTION("GOOGLETRANSLATE(A4441,""en"",""pt"")"),"#VALUE!")</f>
        <v>#VALUE!</v>
      </c>
      <c r="G4441" s="69"/>
    </row>
    <row r="4442" ht="22.5" customHeight="1">
      <c r="A4442" s="66"/>
      <c r="B4442" s="67" t="str">
        <f t="shared" si="16"/>
        <v>M: </v>
      </c>
      <c r="C4442" s="68"/>
      <c r="D4442" s="68">
        <v>46194.0</v>
      </c>
      <c r="E4442" s="66">
        <v>10.0</v>
      </c>
      <c r="F4442" s="66" t="str">
        <f>IFERROR(__xludf.DUMMYFUNCTION("GOOGLETRANSLATE(A4442,""en"",""pt"")"),"#VALUE!")</f>
        <v>#VALUE!</v>
      </c>
      <c r="G4442" s="69"/>
    </row>
    <row r="4443" ht="22.5" customHeight="1">
      <c r="A4443" s="66"/>
      <c r="B4443" s="67" t="str">
        <f t="shared" si="16"/>
        <v>M: </v>
      </c>
      <c r="C4443" s="68"/>
      <c r="D4443" s="68">
        <v>46194.0</v>
      </c>
      <c r="E4443" s="66">
        <v>1.0</v>
      </c>
      <c r="F4443" s="66" t="str">
        <f>IFERROR(__xludf.DUMMYFUNCTION("GOOGLETRANSLATE(A4443,""en"",""pt"")"),"#VALUE!")</f>
        <v>#VALUE!</v>
      </c>
      <c r="G4443" s="69"/>
    </row>
    <row r="4444" ht="22.5" customHeight="1">
      <c r="A4444" s="66"/>
      <c r="B4444" s="67" t="str">
        <f t="shared" si="16"/>
        <v>M: </v>
      </c>
      <c r="C4444" s="68"/>
      <c r="D4444" s="68">
        <v>46194.0</v>
      </c>
      <c r="E4444" s="66">
        <v>2.0</v>
      </c>
      <c r="F4444" s="66" t="str">
        <f>IFERROR(__xludf.DUMMYFUNCTION("GOOGLETRANSLATE(A4444,""en"",""pt"")"),"#VALUE!")</f>
        <v>#VALUE!</v>
      </c>
      <c r="G4444" s="69"/>
    </row>
    <row r="4445" ht="22.5" customHeight="1">
      <c r="A4445" s="66"/>
      <c r="B4445" s="67" t="str">
        <f t="shared" si="16"/>
        <v>M: </v>
      </c>
      <c r="C4445" s="68"/>
      <c r="D4445" s="68">
        <v>46194.0</v>
      </c>
      <c r="E4445" s="66">
        <v>3.0</v>
      </c>
      <c r="F4445" s="66" t="str">
        <f>IFERROR(__xludf.DUMMYFUNCTION("GOOGLETRANSLATE(A4445,""en"",""pt"")"),"#VALUE!")</f>
        <v>#VALUE!</v>
      </c>
      <c r="G4445" s="69"/>
    </row>
    <row r="4446" ht="22.5" customHeight="1">
      <c r="A4446" s="66"/>
      <c r="B4446" s="67" t="str">
        <f t="shared" si="16"/>
        <v>M: </v>
      </c>
      <c r="C4446" s="68"/>
      <c r="D4446" s="68">
        <v>46194.0</v>
      </c>
      <c r="E4446" s="66">
        <v>4.0</v>
      </c>
      <c r="F4446" s="66" t="str">
        <f>IFERROR(__xludf.DUMMYFUNCTION("GOOGLETRANSLATE(A4446,""en"",""pt"")"),"#VALUE!")</f>
        <v>#VALUE!</v>
      </c>
      <c r="G4446" s="69"/>
    </row>
    <row r="4447" ht="22.5" customHeight="1">
      <c r="A4447" s="66"/>
      <c r="B4447" s="67" t="str">
        <f t="shared" si="16"/>
        <v>M: </v>
      </c>
      <c r="C4447" s="68"/>
      <c r="D4447" s="68">
        <v>46194.0</v>
      </c>
      <c r="E4447" s="66">
        <v>5.0</v>
      </c>
      <c r="F4447" s="66" t="str">
        <f>IFERROR(__xludf.DUMMYFUNCTION("GOOGLETRANSLATE(A4447,""en"",""pt"")"),"#VALUE!")</f>
        <v>#VALUE!</v>
      </c>
      <c r="G4447" s="69"/>
    </row>
    <row r="4448" ht="22.5" customHeight="1">
      <c r="A4448" s="66"/>
      <c r="B4448" s="67" t="str">
        <f t="shared" si="16"/>
        <v>M: </v>
      </c>
      <c r="C4448" s="68"/>
      <c r="D4448" s="68">
        <v>46194.0</v>
      </c>
      <c r="E4448" s="66">
        <v>6.0</v>
      </c>
      <c r="F4448" s="66" t="str">
        <f>IFERROR(__xludf.DUMMYFUNCTION("GOOGLETRANSLATE(A4448,""en"",""pt"")"),"#VALUE!")</f>
        <v>#VALUE!</v>
      </c>
      <c r="G4448" s="69"/>
    </row>
    <row r="4449" ht="22.5" customHeight="1">
      <c r="A4449" s="66"/>
      <c r="B4449" s="67" t="str">
        <f t="shared" si="16"/>
        <v>M: </v>
      </c>
      <c r="C4449" s="68"/>
      <c r="D4449" s="68">
        <v>46194.0</v>
      </c>
      <c r="E4449" s="66">
        <v>7.0</v>
      </c>
      <c r="F4449" s="66" t="str">
        <f>IFERROR(__xludf.DUMMYFUNCTION("GOOGLETRANSLATE(A4449,""en"",""pt"")"),"#VALUE!")</f>
        <v>#VALUE!</v>
      </c>
      <c r="G4449" s="69"/>
    </row>
    <row r="4450" ht="22.5" customHeight="1">
      <c r="A4450" s="66"/>
      <c r="B4450" s="67" t="str">
        <f t="shared" si="16"/>
        <v>M: </v>
      </c>
      <c r="C4450" s="68"/>
      <c r="D4450" s="68">
        <v>46194.0</v>
      </c>
      <c r="E4450" s="66">
        <v>8.0</v>
      </c>
      <c r="F4450" s="66" t="str">
        <f>IFERROR(__xludf.DUMMYFUNCTION("GOOGLETRANSLATE(A4450,""en"",""pt"")"),"#VALUE!")</f>
        <v>#VALUE!</v>
      </c>
      <c r="G4450" s="69"/>
    </row>
    <row r="4451" ht="22.5" customHeight="1">
      <c r="A4451" s="66"/>
      <c r="B4451" s="67" t="str">
        <f t="shared" si="16"/>
        <v>M: </v>
      </c>
      <c r="C4451" s="68"/>
      <c r="D4451" s="68">
        <v>46194.0</v>
      </c>
      <c r="E4451" s="66">
        <v>9.0</v>
      </c>
      <c r="F4451" s="66" t="str">
        <f>IFERROR(__xludf.DUMMYFUNCTION("GOOGLETRANSLATE(A4451,""en"",""pt"")"),"#VALUE!")</f>
        <v>#VALUE!</v>
      </c>
      <c r="G4451" s="69"/>
    </row>
    <row r="4452" ht="22.5" customHeight="1">
      <c r="A4452" s="66"/>
      <c r="B4452" s="67" t="str">
        <f t="shared" si="16"/>
        <v>M: </v>
      </c>
      <c r="C4452" s="68"/>
      <c r="D4452" s="68">
        <v>46195.0</v>
      </c>
      <c r="E4452" s="66">
        <v>10.0</v>
      </c>
      <c r="F4452" s="66" t="str">
        <f>IFERROR(__xludf.DUMMYFUNCTION("GOOGLETRANSLATE(A4452,""en"",""pt"")"),"#VALUE!")</f>
        <v>#VALUE!</v>
      </c>
      <c r="G4452" s="69"/>
    </row>
    <row r="4453" ht="22.5" customHeight="1">
      <c r="A4453" s="66"/>
      <c r="B4453" s="67" t="str">
        <f t="shared" si="16"/>
        <v>M: </v>
      </c>
      <c r="C4453" s="68"/>
      <c r="D4453" s="68">
        <v>46195.0</v>
      </c>
      <c r="E4453" s="66">
        <v>1.0</v>
      </c>
      <c r="F4453" s="66" t="str">
        <f>IFERROR(__xludf.DUMMYFUNCTION("GOOGLETRANSLATE(A4453,""en"",""pt"")"),"#VALUE!")</f>
        <v>#VALUE!</v>
      </c>
      <c r="G4453" s="69"/>
    </row>
    <row r="4454" ht="22.5" customHeight="1">
      <c r="A4454" s="66"/>
      <c r="B4454" s="67" t="str">
        <f t="shared" si="16"/>
        <v>M: </v>
      </c>
      <c r="C4454" s="68"/>
      <c r="D4454" s="68">
        <v>46195.0</v>
      </c>
      <c r="E4454" s="66">
        <v>2.0</v>
      </c>
      <c r="F4454" s="66" t="str">
        <f>IFERROR(__xludf.DUMMYFUNCTION("GOOGLETRANSLATE(A4454,""en"",""pt"")"),"#VALUE!")</f>
        <v>#VALUE!</v>
      </c>
      <c r="G4454" s="69"/>
    </row>
    <row r="4455" ht="22.5" customHeight="1">
      <c r="A4455" s="66"/>
      <c r="B4455" s="67" t="str">
        <f t="shared" si="16"/>
        <v>M: </v>
      </c>
      <c r="C4455" s="68"/>
      <c r="D4455" s="68">
        <v>46195.0</v>
      </c>
      <c r="E4455" s="66">
        <v>3.0</v>
      </c>
      <c r="F4455" s="66" t="str">
        <f>IFERROR(__xludf.DUMMYFUNCTION("GOOGLETRANSLATE(A4455,""en"",""pt"")"),"#VALUE!")</f>
        <v>#VALUE!</v>
      </c>
      <c r="G4455" s="69"/>
    </row>
    <row r="4456" ht="22.5" customHeight="1">
      <c r="A4456" s="66"/>
      <c r="B4456" s="67" t="str">
        <f t="shared" si="16"/>
        <v>M: </v>
      </c>
      <c r="C4456" s="68"/>
      <c r="D4456" s="68">
        <v>46195.0</v>
      </c>
      <c r="E4456" s="66">
        <v>4.0</v>
      </c>
      <c r="F4456" s="66" t="str">
        <f>IFERROR(__xludf.DUMMYFUNCTION("GOOGLETRANSLATE(A4456,""en"",""pt"")"),"#VALUE!")</f>
        <v>#VALUE!</v>
      </c>
      <c r="G4456" s="69"/>
    </row>
    <row r="4457" ht="22.5" customHeight="1">
      <c r="A4457" s="66"/>
      <c r="B4457" s="67" t="str">
        <f t="shared" si="16"/>
        <v>M: </v>
      </c>
      <c r="C4457" s="68"/>
      <c r="D4457" s="68">
        <v>46195.0</v>
      </c>
      <c r="E4457" s="66">
        <v>5.0</v>
      </c>
      <c r="F4457" s="66" t="str">
        <f>IFERROR(__xludf.DUMMYFUNCTION("GOOGLETRANSLATE(A4457,""en"",""pt"")"),"#VALUE!")</f>
        <v>#VALUE!</v>
      </c>
      <c r="G4457" s="69"/>
    </row>
    <row r="4458" ht="22.5" customHeight="1">
      <c r="A4458" s="66"/>
      <c r="B4458" s="67" t="str">
        <f t="shared" si="16"/>
        <v>M: </v>
      </c>
      <c r="C4458" s="68"/>
      <c r="D4458" s="68">
        <v>46195.0</v>
      </c>
      <c r="E4458" s="66">
        <v>6.0</v>
      </c>
      <c r="F4458" s="66" t="str">
        <f>IFERROR(__xludf.DUMMYFUNCTION("GOOGLETRANSLATE(A4458,""en"",""pt"")"),"#VALUE!")</f>
        <v>#VALUE!</v>
      </c>
      <c r="G4458" s="69"/>
    </row>
    <row r="4459" ht="22.5" customHeight="1">
      <c r="A4459" s="66"/>
      <c r="B4459" s="67" t="str">
        <f t="shared" si="16"/>
        <v>M: </v>
      </c>
      <c r="C4459" s="68"/>
      <c r="D4459" s="68">
        <v>46195.0</v>
      </c>
      <c r="E4459" s="66">
        <v>7.0</v>
      </c>
      <c r="F4459" s="66" t="str">
        <f>IFERROR(__xludf.DUMMYFUNCTION("GOOGLETRANSLATE(A4459,""en"",""pt"")"),"#VALUE!")</f>
        <v>#VALUE!</v>
      </c>
      <c r="G4459" s="69"/>
    </row>
    <row r="4460" ht="22.5" customHeight="1">
      <c r="A4460" s="66"/>
      <c r="B4460" s="67" t="str">
        <f t="shared" si="16"/>
        <v>M: </v>
      </c>
      <c r="C4460" s="68"/>
      <c r="D4460" s="68">
        <v>46195.0</v>
      </c>
      <c r="E4460" s="66">
        <v>8.0</v>
      </c>
      <c r="F4460" s="66" t="str">
        <f>IFERROR(__xludf.DUMMYFUNCTION("GOOGLETRANSLATE(A4460,""en"",""pt"")"),"#VALUE!")</f>
        <v>#VALUE!</v>
      </c>
      <c r="G4460" s="69"/>
    </row>
    <row r="4461" ht="22.5" customHeight="1">
      <c r="A4461" s="66"/>
      <c r="B4461" s="67" t="str">
        <f t="shared" si="16"/>
        <v>M: </v>
      </c>
      <c r="C4461" s="68"/>
      <c r="D4461" s="68">
        <v>46195.0</v>
      </c>
      <c r="E4461" s="66">
        <v>9.0</v>
      </c>
      <c r="F4461" s="66" t="str">
        <f>IFERROR(__xludf.DUMMYFUNCTION("GOOGLETRANSLATE(A4461,""en"",""pt"")"),"#VALUE!")</f>
        <v>#VALUE!</v>
      </c>
      <c r="G4461" s="69"/>
    </row>
    <row r="4462" ht="22.5" customHeight="1">
      <c r="A4462" s="66"/>
      <c r="B4462" s="67" t="str">
        <f t="shared" si="16"/>
        <v>M: </v>
      </c>
      <c r="C4462" s="68"/>
      <c r="D4462" s="68">
        <v>46196.0</v>
      </c>
      <c r="E4462" s="66">
        <v>10.0</v>
      </c>
      <c r="F4462" s="66" t="str">
        <f>IFERROR(__xludf.DUMMYFUNCTION("GOOGLETRANSLATE(A4462,""en"",""pt"")"),"#VALUE!")</f>
        <v>#VALUE!</v>
      </c>
      <c r="G4462" s="69"/>
    </row>
    <row r="4463" ht="22.5" customHeight="1">
      <c r="A4463" s="66"/>
      <c r="B4463" s="67" t="str">
        <f t="shared" si="16"/>
        <v>M: </v>
      </c>
      <c r="C4463" s="68"/>
      <c r="D4463" s="68">
        <v>46196.0</v>
      </c>
      <c r="E4463" s="66">
        <v>1.0</v>
      </c>
      <c r="F4463" s="66" t="str">
        <f>IFERROR(__xludf.DUMMYFUNCTION("GOOGLETRANSLATE(A4463,""en"",""pt"")"),"#VALUE!")</f>
        <v>#VALUE!</v>
      </c>
      <c r="G4463" s="69"/>
    </row>
    <row r="4464" ht="22.5" customHeight="1">
      <c r="A4464" s="66"/>
      <c r="B4464" s="67" t="str">
        <f t="shared" si="16"/>
        <v>M: </v>
      </c>
      <c r="C4464" s="68"/>
      <c r="D4464" s="68">
        <v>46196.0</v>
      </c>
      <c r="E4464" s="66">
        <v>2.0</v>
      </c>
      <c r="F4464" s="66" t="str">
        <f>IFERROR(__xludf.DUMMYFUNCTION("GOOGLETRANSLATE(A4464,""en"",""pt"")"),"#VALUE!")</f>
        <v>#VALUE!</v>
      </c>
      <c r="G4464" s="69"/>
    </row>
    <row r="4465" ht="22.5" customHeight="1">
      <c r="A4465" s="66"/>
      <c r="B4465" s="67" t="str">
        <f t="shared" si="16"/>
        <v>M: </v>
      </c>
      <c r="C4465" s="68"/>
      <c r="D4465" s="68">
        <v>46196.0</v>
      </c>
      <c r="E4465" s="66">
        <v>3.0</v>
      </c>
      <c r="F4465" s="66" t="str">
        <f>IFERROR(__xludf.DUMMYFUNCTION("GOOGLETRANSLATE(A4465,""en"",""pt"")"),"#VALUE!")</f>
        <v>#VALUE!</v>
      </c>
      <c r="G4465" s="69"/>
    </row>
    <row r="4466" ht="22.5" customHeight="1">
      <c r="A4466" s="66"/>
      <c r="B4466" s="67" t="str">
        <f t="shared" si="16"/>
        <v>M: </v>
      </c>
      <c r="C4466" s="68"/>
      <c r="D4466" s="68">
        <v>46196.0</v>
      </c>
      <c r="E4466" s="66">
        <v>4.0</v>
      </c>
      <c r="F4466" s="66" t="str">
        <f>IFERROR(__xludf.DUMMYFUNCTION("GOOGLETRANSLATE(A4466,""en"",""pt"")"),"#VALUE!")</f>
        <v>#VALUE!</v>
      </c>
      <c r="G4466" s="69"/>
    </row>
    <row r="4467" ht="22.5" customHeight="1">
      <c r="A4467" s="66"/>
      <c r="B4467" s="67" t="str">
        <f t="shared" si="16"/>
        <v>M: </v>
      </c>
      <c r="C4467" s="68"/>
      <c r="D4467" s="68">
        <v>46196.0</v>
      </c>
      <c r="E4467" s="66">
        <v>5.0</v>
      </c>
      <c r="F4467" s="66" t="str">
        <f>IFERROR(__xludf.DUMMYFUNCTION("GOOGLETRANSLATE(A4467,""en"",""pt"")"),"#VALUE!")</f>
        <v>#VALUE!</v>
      </c>
      <c r="G4467" s="69"/>
    </row>
    <row r="4468" ht="22.5" customHeight="1">
      <c r="A4468" s="66"/>
      <c r="B4468" s="67" t="str">
        <f t="shared" si="16"/>
        <v>M: </v>
      </c>
      <c r="C4468" s="68"/>
      <c r="D4468" s="68">
        <v>46196.0</v>
      </c>
      <c r="E4468" s="66">
        <v>6.0</v>
      </c>
      <c r="F4468" s="66" t="str">
        <f>IFERROR(__xludf.DUMMYFUNCTION("GOOGLETRANSLATE(A4468,""en"",""pt"")"),"#VALUE!")</f>
        <v>#VALUE!</v>
      </c>
      <c r="G4468" s="69"/>
    </row>
    <row r="4469" ht="22.5" customHeight="1">
      <c r="A4469" s="66"/>
      <c r="B4469" s="67" t="str">
        <f t="shared" si="16"/>
        <v>M: </v>
      </c>
      <c r="C4469" s="68"/>
      <c r="D4469" s="68">
        <v>46196.0</v>
      </c>
      <c r="E4469" s="66">
        <v>7.0</v>
      </c>
      <c r="F4469" s="66" t="str">
        <f>IFERROR(__xludf.DUMMYFUNCTION("GOOGLETRANSLATE(A4469,""en"",""pt"")"),"#VALUE!")</f>
        <v>#VALUE!</v>
      </c>
      <c r="G4469" s="69"/>
    </row>
    <row r="4470" ht="22.5" customHeight="1">
      <c r="A4470" s="66"/>
      <c r="B4470" s="67" t="str">
        <f t="shared" si="16"/>
        <v>M: </v>
      </c>
      <c r="C4470" s="68"/>
      <c r="D4470" s="68">
        <v>46196.0</v>
      </c>
      <c r="E4470" s="66">
        <v>8.0</v>
      </c>
      <c r="F4470" s="66" t="str">
        <f>IFERROR(__xludf.DUMMYFUNCTION("GOOGLETRANSLATE(A4470,""en"",""pt"")"),"#VALUE!")</f>
        <v>#VALUE!</v>
      </c>
      <c r="G4470" s="69"/>
    </row>
    <row r="4471" ht="22.5" customHeight="1">
      <c r="A4471" s="66"/>
      <c r="B4471" s="67" t="str">
        <f t="shared" si="16"/>
        <v>M: </v>
      </c>
      <c r="C4471" s="68"/>
      <c r="D4471" s="68">
        <v>46196.0</v>
      </c>
      <c r="E4471" s="66">
        <v>9.0</v>
      </c>
      <c r="F4471" s="66" t="str">
        <f>IFERROR(__xludf.DUMMYFUNCTION("GOOGLETRANSLATE(A4471,""en"",""pt"")"),"#VALUE!")</f>
        <v>#VALUE!</v>
      </c>
      <c r="G4471" s="69"/>
    </row>
    <row r="4472" ht="22.5" customHeight="1">
      <c r="A4472" s="66"/>
      <c r="B4472" s="67" t="str">
        <f t="shared" si="16"/>
        <v>M: </v>
      </c>
      <c r="C4472" s="68"/>
      <c r="D4472" s="68">
        <v>46197.0</v>
      </c>
      <c r="E4472" s="66">
        <v>10.0</v>
      </c>
      <c r="F4472" s="66" t="str">
        <f>IFERROR(__xludf.DUMMYFUNCTION("GOOGLETRANSLATE(A4472,""en"",""pt"")"),"#VALUE!")</f>
        <v>#VALUE!</v>
      </c>
      <c r="G4472" s="69"/>
    </row>
    <row r="4473" ht="22.5" customHeight="1">
      <c r="A4473" s="66"/>
      <c r="B4473" s="67" t="str">
        <f t="shared" si="16"/>
        <v>M: </v>
      </c>
      <c r="C4473" s="68"/>
      <c r="D4473" s="68">
        <v>46197.0</v>
      </c>
      <c r="E4473" s="66">
        <v>1.0</v>
      </c>
      <c r="F4473" s="66" t="str">
        <f>IFERROR(__xludf.DUMMYFUNCTION("GOOGLETRANSLATE(A4473,""en"",""pt"")"),"#VALUE!")</f>
        <v>#VALUE!</v>
      </c>
      <c r="G4473" s="69"/>
    </row>
    <row r="4474" ht="22.5" customHeight="1">
      <c r="A4474" s="66"/>
      <c r="B4474" s="67" t="str">
        <f t="shared" si="16"/>
        <v>M: </v>
      </c>
      <c r="C4474" s="68"/>
      <c r="D4474" s="68">
        <v>46197.0</v>
      </c>
      <c r="E4474" s="66">
        <v>2.0</v>
      </c>
      <c r="F4474" s="66" t="str">
        <f>IFERROR(__xludf.DUMMYFUNCTION("GOOGLETRANSLATE(A4474,""en"",""pt"")"),"#VALUE!")</f>
        <v>#VALUE!</v>
      </c>
      <c r="G4474" s="69"/>
    </row>
    <row r="4475" ht="22.5" customHeight="1">
      <c r="A4475" s="66"/>
      <c r="B4475" s="67" t="str">
        <f t="shared" si="16"/>
        <v>M: </v>
      </c>
      <c r="C4475" s="68"/>
      <c r="D4475" s="68">
        <v>46197.0</v>
      </c>
      <c r="E4475" s="66">
        <v>3.0</v>
      </c>
      <c r="F4475" s="66" t="str">
        <f>IFERROR(__xludf.DUMMYFUNCTION("GOOGLETRANSLATE(A4475,""en"",""pt"")"),"#VALUE!")</f>
        <v>#VALUE!</v>
      </c>
      <c r="G4475" s="69"/>
    </row>
    <row r="4476" ht="22.5" customHeight="1">
      <c r="A4476" s="66"/>
      <c r="B4476" s="67" t="str">
        <f t="shared" si="16"/>
        <v>M: </v>
      </c>
      <c r="C4476" s="68"/>
      <c r="D4476" s="68">
        <v>46197.0</v>
      </c>
      <c r="E4476" s="66">
        <v>4.0</v>
      </c>
      <c r="F4476" s="66" t="str">
        <f>IFERROR(__xludf.DUMMYFUNCTION("GOOGLETRANSLATE(A4476,""en"",""pt"")"),"#VALUE!")</f>
        <v>#VALUE!</v>
      </c>
      <c r="G4476" s="69"/>
    </row>
    <row r="4477" ht="22.5" customHeight="1">
      <c r="A4477" s="66"/>
      <c r="B4477" s="67" t="str">
        <f t="shared" si="16"/>
        <v>M: </v>
      </c>
      <c r="C4477" s="68"/>
      <c r="D4477" s="68">
        <v>46197.0</v>
      </c>
      <c r="E4477" s="66">
        <v>5.0</v>
      </c>
      <c r="F4477" s="66" t="str">
        <f>IFERROR(__xludf.DUMMYFUNCTION("GOOGLETRANSLATE(A4477,""en"",""pt"")"),"#VALUE!")</f>
        <v>#VALUE!</v>
      </c>
      <c r="G4477" s="69"/>
    </row>
    <row r="4478" ht="22.5" customHeight="1">
      <c r="A4478" s="66"/>
      <c r="B4478" s="67" t="str">
        <f t="shared" si="16"/>
        <v>M: </v>
      </c>
      <c r="C4478" s="68"/>
      <c r="D4478" s="68">
        <v>46197.0</v>
      </c>
      <c r="E4478" s="66">
        <v>6.0</v>
      </c>
      <c r="F4478" s="66" t="str">
        <f>IFERROR(__xludf.DUMMYFUNCTION("GOOGLETRANSLATE(A4478,""en"",""pt"")"),"#VALUE!")</f>
        <v>#VALUE!</v>
      </c>
      <c r="G4478" s="69"/>
    </row>
    <row r="4479" ht="22.5" customHeight="1">
      <c r="A4479" s="66"/>
      <c r="B4479" s="67" t="str">
        <f t="shared" si="16"/>
        <v>M: </v>
      </c>
      <c r="C4479" s="68"/>
      <c r="D4479" s="68">
        <v>46197.0</v>
      </c>
      <c r="E4479" s="66">
        <v>7.0</v>
      </c>
      <c r="F4479" s="66" t="str">
        <f>IFERROR(__xludf.DUMMYFUNCTION("GOOGLETRANSLATE(A4479,""en"",""pt"")"),"#VALUE!")</f>
        <v>#VALUE!</v>
      </c>
      <c r="G4479" s="69"/>
    </row>
    <row r="4480" ht="22.5" customHeight="1">
      <c r="A4480" s="66"/>
      <c r="B4480" s="67" t="str">
        <f t="shared" si="16"/>
        <v>M: </v>
      </c>
      <c r="C4480" s="68"/>
      <c r="D4480" s="68">
        <v>46197.0</v>
      </c>
      <c r="E4480" s="66">
        <v>8.0</v>
      </c>
      <c r="F4480" s="66" t="str">
        <f>IFERROR(__xludf.DUMMYFUNCTION("GOOGLETRANSLATE(A4480,""en"",""pt"")"),"#VALUE!")</f>
        <v>#VALUE!</v>
      </c>
      <c r="G4480" s="69"/>
    </row>
    <row r="4481" ht="22.5" customHeight="1">
      <c r="A4481" s="66"/>
      <c r="B4481" s="67" t="str">
        <f t="shared" si="16"/>
        <v>M: </v>
      </c>
      <c r="C4481" s="68"/>
      <c r="D4481" s="68">
        <v>46197.0</v>
      </c>
      <c r="E4481" s="66">
        <v>9.0</v>
      </c>
      <c r="F4481" s="66" t="str">
        <f>IFERROR(__xludf.DUMMYFUNCTION("GOOGLETRANSLATE(A4481,""en"",""pt"")"),"#VALUE!")</f>
        <v>#VALUE!</v>
      </c>
      <c r="G4481" s="69"/>
    </row>
    <row r="4482" ht="22.5" customHeight="1">
      <c r="A4482" s="66"/>
      <c r="B4482" s="67" t="str">
        <f t="shared" si="16"/>
        <v>M: </v>
      </c>
      <c r="C4482" s="68"/>
      <c r="D4482" s="68">
        <v>46198.0</v>
      </c>
      <c r="E4482" s="66">
        <v>10.0</v>
      </c>
      <c r="F4482" s="66" t="str">
        <f>IFERROR(__xludf.DUMMYFUNCTION("GOOGLETRANSLATE(A4482,""en"",""pt"")"),"#VALUE!")</f>
        <v>#VALUE!</v>
      </c>
      <c r="G4482" s="69"/>
    </row>
    <row r="4483" ht="22.5" customHeight="1">
      <c r="A4483" s="66"/>
      <c r="B4483" s="67" t="str">
        <f t="shared" si="16"/>
        <v>M: </v>
      </c>
      <c r="C4483" s="68"/>
      <c r="D4483" s="68">
        <v>46198.0</v>
      </c>
      <c r="E4483" s="66">
        <v>1.0</v>
      </c>
      <c r="F4483" s="66" t="str">
        <f>IFERROR(__xludf.DUMMYFUNCTION("GOOGLETRANSLATE(A4483,""en"",""pt"")"),"#VALUE!")</f>
        <v>#VALUE!</v>
      </c>
      <c r="G4483" s="69"/>
    </row>
    <row r="4484" ht="22.5" customHeight="1">
      <c r="A4484" s="66"/>
      <c r="B4484" s="67" t="str">
        <f t="shared" si="16"/>
        <v>M: </v>
      </c>
      <c r="C4484" s="68"/>
      <c r="D4484" s="68">
        <v>46198.0</v>
      </c>
      <c r="E4484" s="66">
        <v>2.0</v>
      </c>
      <c r="F4484" s="66" t="str">
        <f>IFERROR(__xludf.DUMMYFUNCTION("GOOGLETRANSLATE(A4484,""en"",""pt"")"),"#VALUE!")</f>
        <v>#VALUE!</v>
      </c>
      <c r="G4484" s="69"/>
    </row>
    <row r="4485" ht="22.5" customHeight="1">
      <c r="A4485" s="66"/>
      <c r="B4485" s="67" t="str">
        <f t="shared" si="16"/>
        <v>M: </v>
      </c>
      <c r="C4485" s="68"/>
      <c r="D4485" s="68">
        <v>46198.0</v>
      </c>
      <c r="E4485" s="66">
        <v>3.0</v>
      </c>
      <c r="F4485" s="66" t="str">
        <f>IFERROR(__xludf.DUMMYFUNCTION("GOOGLETRANSLATE(A4485,""en"",""pt"")"),"#VALUE!")</f>
        <v>#VALUE!</v>
      </c>
      <c r="G4485" s="69"/>
    </row>
    <row r="4486" ht="22.5" customHeight="1">
      <c r="A4486" s="66"/>
      <c r="B4486" s="67" t="str">
        <f t="shared" si="16"/>
        <v>M: </v>
      </c>
      <c r="C4486" s="68"/>
      <c r="D4486" s="68">
        <v>46198.0</v>
      </c>
      <c r="E4486" s="66">
        <v>4.0</v>
      </c>
      <c r="F4486" s="66" t="str">
        <f>IFERROR(__xludf.DUMMYFUNCTION("GOOGLETRANSLATE(A4486,""en"",""pt"")"),"#VALUE!")</f>
        <v>#VALUE!</v>
      </c>
      <c r="G4486" s="69"/>
    </row>
    <row r="4487" ht="22.5" customHeight="1">
      <c r="A4487" s="66"/>
      <c r="B4487" s="67" t="str">
        <f t="shared" si="16"/>
        <v>M: </v>
      </c>
      <c r="C4487" s="68"/>
      <c r="D4487" s="68">
        <v>46198.0</v>
      </c>
      <c r="E4487" s="66">
        <v>5.0</v>
      </c>
      <c r="F4487" s="66" t="str">
        <f>IFERROR(__xludf.DUMMYFUNCTION("GOOGLETRANSLATE(A4487,""en"",""pt"")"),"#VALUE!")</f>
        <v>#VALUE!</v>
      </c>
      <c r="G4487" s="69"/>
    </row>
    <row r="4488" ht="22.5" customHeight="1">
      <c r="A4488" s="66"/>
      <c r="B4488" s="67" t="str">
        <f t="shared" si="16"/>
        <v>M: </v>
      </c>
      <c r="C4488" s="68"/>
      <c r="D4488" s="68">
        <v>46198.0</v>
      </c>
      <c r="E4488" s="66">
        <v>6.0</v>
      </c>
      <c r="F4488" s="66" t="str">
        <f>IFERROR(__xludf.DUMMYFUNCTION("GOOGLETRANSLATE(A4488,""en"",""pt"")"),"#VALUE!")</f>
        <v>#VALUE!</v>
      </c>
      <c r="G4488" s="69"/>
    </row>
    <row r="4489" ht="22.5" customHeight="1">
      <c r="A4489" s="66"/>
      <c r="B4489" s="67" t="str">
        <f t="shared" si="16"/>
        <v>M: </v>
      </c>
      <c r="C4489" s="68"/>
      <c r="D4489" s="68">
        <v>46198.0</v>
      </c>
      <c r="E4489" s="66">
        <v>7.0</v>
      </c>
      <c r="F4489" s="66" t="str">
        <f>IFERROR(__xludf.DUMMYFUNCTION("GOOGLETRANSLATE(A4489,""en"",""pt"")"),"#VALUE!")</f>
        <v>#VALUE!</v>
      </c>
      <c r="G4489" s="69"/>
    </row>
    <row r="4490" ht="22.5" customHeight="1">
      <c r="A4490" s="66"/>
      <c r="B4490" s="67" t="str">
        <f t="shared" si="16"/>
        <v>M: </v>
      </c>
      <c r="C4490" s="68"/>
      <c r="D4490" s="68">
        <v>46198.0</v>
      </c>
      <c r="E4490" s="66">
        <v>8.0</v>
      </c>
      <c r="F4490" s="66" t="str">
        <f>IFERROR(__xludf.DUMMYFUNCTION("GOOGLETRANSLATE(A4490,""en"",""pt"")"),"#VALUE!")</f>
        <v>#VALUE!</v>
      </c>
      <c r="G4490" s="69"/>
    </row>
    <row r="4491" ht="22.5" customHeight="1">
      <c r="A4491" s="66"/>
      <c r="B4491" s="67" t="str">
        <f t="shared" si="16"/>
        <v>M: </v>
      </c>
      <c r="C4491" s="68"/>
      <c r="D4491" s="68">
        <v>46198.0</v>
      </c>
      <c r="E4491" s="66">
        <v>9.0</v>
      </c>
      <c r="F4491" s="66" t="str">
        <f>IFERROR(__xludf.DUMMYFUNCTION("GOOGLETRANSLATE(A4491,""en"",""pt"")"),"#VALUE!")</f>
        <v>#VALUE!</v>
      </c>
      <c r="G4491" s="69"/>
    </row>
    <row r="4492" ht="22.5" customHeight="1">
      <c r="A4492" s="66"/>
      <c r="B4492" s="67" t="str">
        <f t="shared" si="16"/>
        <v>M: </v>
      </c>
      <c r="C4492" s="68"/>
      <c r="D4492" s="68">
        <v>46199.0</v>
      </c>
      <c r="E4492" s="66">
        <v>10.0</v>
      </c>
      <c r="F4492" s="66" t="str">
        <f>IFERROR(__xludf.DUMMYFUNCTION("GOOGLETRANSLATE(A4492,""en"",""pt"")"),"#VALUE!")</f>
        <v>#VALUE!</v>
      </c>
      <c r="G4492" s="69"/>
    </row>
    <row r="4493" ht="22.5" customHeight="1">
      <c r="A4493" s="66"/>
      <c r="B4493" s="67" t="str">
        <f t="shared" si="16"/>
        <v>M: </v>
      </c>
      <c r="C4493" s="68"/>
      <c r="D4493" s="68">
        <v>46199.0</v>
      </c>
      <c r="E4493" s="66">
        <v>1.0</v>
      </c>
      <c r="F4493" s="66" t="str">
        <f>IFERROR(__xludf.DUMMYFUNCTION("GOOGLETRANSLATE(A4493,""en"",""pt"")"),"#VALUE!")</f>
        <v>#VALUE!</v>
      </c>
      <c r="G4493" s="69"/>
    </row>
    <row r="4494" ht="22.5" customHeight="1">
      <c r="A4494" s="66"/>
      <c r="B4494" s="67" t="str">
        <f t="shared" si="16"/>
        <v>M: </v>
      </c>
      <c r="C4494" s="68"/>
      <c r="D4494" s="68">
        <v>46199.0</v>
      </c>
      <c r="E4494" s="66">
        <v>2.0</v>
      </c>
      <c r="F4494" s="66" t="str">
        <f>IFERROR(__xludf.DUMMYFUNCTION("GOOGLETRANSLATE(A4494,""en"",""pt"")"),"#VALUE!")</f>
        <v>#VALUE!</v>
      </c>
      <c r="G4494" s="69"/>
    </row>
    <row r="4495" ht="22.5" customHeight="1">
      <c r="A4495" s="66"/>
      <c r="B4495" s="67" t="str">
        <f t="shared" si="16"/>
        <v>M: </v>
      </c>
      <c r="C4495" s="68"/>
      <c r="D4495" s="68">
        <v>46199.0</v>
      </c>
      <c r="E4495" s="66">
        <v>3.0</v>
      </c>
      <c r="F4495" s="66" t="str">
        <f>IFERROR(__xludf.DUMMYFUNCTION("GOOGLETRANSLATE(A4495,""en"",""pt"")"),"#VALUE!")</f>
        <v>#VALUE!</v>
      </c>
      <c r="G4495" s="69"/>
    </row>
    <row r="4496" ht="22.5" customHeight="1">
      <c r="A4496" s="66"/>
      <c r="B4496" s="67" t="str">
        <f t="shared" si="16"/>
        <v>M: </v>
      </c>
      <c r="C4496" s="68"/>
      <c r="D4496" s="68">
        <v>46199.0</v>
      </c>
      <c r="E4496" s="66">
        <v>4.0</v>
      </c>
      <c r="F4496" s="66" t="str">
        <f>IFERROR(__xludf.DUMMYFUNCTION("GOOGLETRANSLATE(A4496,""en"",""pt"")"),"#VALUE!")</f>
        <v>#VALUE!</v>
      </c>
      <c r="G4496" s="69"/>
    </row>
    <row r="4497" ht="22.5" customHeight="1">
      <c r="A4497" s="66"/>
      <c r="B4497" s="67" t="str">
        <f t="shared" si="16"/>
        <v>M: </v>
      </c>
      <c r="C4497" s="68"/>
      <c r="D4497" s="68">
        <v>46199.0</v>
      </c>
      <c r="E4497" s="66">
        <v>5.0</v>
      </c>
      <c r="F4497" s="66" t="str">
        <f>IFERROR(__xludf.DUMMYFUNCTION("GOOGLETRANSLATE(A4497,""en"",""pt"")"),"#VALUE!")</f>
        <v>#VALUE!</v>
      </c>
      <c r="G4497" s="69"/>
    </row>
    <row r="4498" ht="22.5" customHeight="1">
      <c r="A4498" s="66"/>
      <c r="B4498" s="67" t="str">
        <f t="shared" si="16"/>
        <v>M: </v>
      </c>
      <c r="C4498" s="68"/>
      <c r="D4498" s="68">
        <v>46199.0</v>
      </c>
      <c r="E4498" s="66">
        <v>6.0</v>
      </c>
      <c r="F4498" s="66" t="str">
        <f>IFERROR(__xludf.DUMMYFUNCTION("GOOGLETRANSLATE(A4498,""en"",""pt"")"),"#VALUE!")</f>
        <v>#VALUE!</v>
      </c>
      <c r="G4498" s="69"/>
    </row>
    <row r="4499" ht="22.5" customHeight="1">
      <c r="A4499" s="66"/>
      <c r="B4499" s="67" t="str">
        <f t="shared" si="16"/>
        <v>M: </v>
      </c>
      <c r="C4499" s="68"/>
      <c r="D4499" s="68">
        <v>46199.0</v>
      </c>
      <c r="E4499" s="66">
        <v>7.0</v>
      </c>
      <c r="F4499" s="66" t="str">
        <f>IFERROR(__xludf.DUMMYFUNCTION("GOOGLETRANSLATE(A4499,""en"",""pt"")"),"#VALUE!")</f>
        <v>#VALUE!</v>
      </c>
      <c r="G4499" s="69"/>
    </row>
    <row r="4500" ht="22.5" customHeight="1">
      <c r="A4500" s="66"/>
      <c r="B4500" s="67" t="str">
        <f t="shared" si="16"/>
        <v>M: </v>
      </c>
      <c r="C4500" s="68"/>
      <c r="D4500" s="68">
        <v>46199.0</v>
      </c>
      <c r="E4500" s="66">
        <v>8.0</v>
      </c>
      <c r="F4500" s="66" t="str">
        <f>IFERROR(__xludf.DUMMYFUNCTION("GOOGLETRANSLATE(A4500,""en"",""pt"")"),"#VALUE!")</f>
        <v>#VALUE!</v>
      </c>
      <c r="G4500" s="69"/>
    </row>
    <row r="4501" ht="22.5" customHeight="1">
      <c r="A4501" s="66"/>
      <c r="B4501" s="67" t="str">
        <f t="shared" si="16"/>
        <v>M: </v>
      </c>
      <c r="C4501" s="68"/>
      <c r="D4501" s="68">
        <v>46199.0</v>
      </c>
      <c r="E4501" s="66">
        <v>9.0</v>
      </c>
      <c r="F4501" s="66" t="str">
        <f>IFERROR(__xludf.DUMMYFUNCTION("GOOGLETRANSLATE(A4501,""en"",""pt"")"),"#VALUE!")</f>
        <v>#VALUE!</v>
      </c>
      <c r="G4501" s="69"/>
    </row>
    <row r="4502" ht="22.5" customHeight="1">
      <c r="A4502" s="66"/>
      <c r="B4502" s="67" t="str">
        <f t="shared" si="16"/>
        <v>M: </v>
      </c>
      <c r="C4502" s="68"/>
      <c r="D4502" s="68">
        <v>46200.0</v>
      </c>
      <c r="E4502" s="66">
        <v>10.0</v>
      </c>
      <c r="F4502" s="66" t="str">
        <f>IFERROR(__xludf.DUMMYFUNCTION("GOOGLETRANSLATE(A4502,""en"",""pt"")"),"#VALUE!")</f>
        <v>#VALUE!</v>
      </c>
      <c r="G4502" s="69"/>
    </row>
    <row r="4503" ht="22.5" customHeight="1">
      <c r="A4503" s="66"/>
      <c r="B4503" s="67" t="str">
        <f t="shared" si="16"/>
        <v>M: </v>
      </c>
      <c r="C4503" s="68"/>
      <c r="D4503" s="68">
        <v>46200.0</v>
      </c>
      <c r="E4503" s="66">
        <v>1.0</v>
      </c>
      <c r="F4503" s="66" t="str">
        <f>IFERROR(__xludf.DUMMYFUNCTION("GOOGLETRANSLATE(A4503,""en"",""pt"")"),"#VALUE!")</f>
        <v>#VALUE!</v>
      </c>
      <c r="G4503" s="69"/>
    </row>
    <row r="4504" ht="22.5" customHeight="1">
      <c r="A4504" s="66"/>
      <c r="B4504" s="67" t="str">
        <f t="shared" si="16"/>
        <v>M: </v>
      </c>
      <c r="C4504" s="68"/>
      <c r="D4504" s="68">
        <v>46200.0</v>
      </c>
      <c r="E4504" s="66">
        <v>2.0</v>
      </c>
      <c r="F4504" s="66" t="str">
        <f>IFERROR(__xludf.DUMMYFUNCTION("GOOGLETRANSLATE(A4504,""en"",""pt"")"),"#VALUE!")</f>
        <v>#VALUE!</v>
      </c>
      <c r="G4504" s="69"/>
    </row>
    <row r="4505" ht="22.5" customHeight="1">
      <c r="A4505" s="66"/>
      <c r="B4505" s="67" t="str">
        <f t="shared" si="16"/>
        <v>M: </v>
      </c>
      <c r="C4505" s="68"/>
      <c r="D4505" s="68">
        <v>46200.0</v>
      </c>
      <c r="E4505" s="66">
        <v>3.0</v>
      </c>
      <c r="F4505" s="66" t="str">
        <f>IFERROR(__xludf.DUMMYFUNCTION("GOOGLETRANSLATE(A4505,""en"",""pt"")"),"#VALUE!")</f>
        <v>#VALUE!</v>
      </c>
      <c r="G4505" s="69"/>
    </row>
    <row r="4506" ht="22.5" customHeight="1">
      <c r="A4506" s="66"/>
      <c r="B4506" s="67" t="str">
        <f t="shared" si="16"/>
        <v>M: </v>
      </c>
      <c r="C4506" s="68"/>
      <c r="D4506" s="68">
        <v>46200.0</v>
      </c>
      <c r="E4506" s="66">
        <v>4.0</v>
      </c>
      <c r="F4506" s="66" t="str">
        <f>IFERROR(__xludf.DUMMYFUNCTION("GOOGLETRANSLATE(A4506,""en"",""pt"")"),"#VALUE!")</f>
        <v>#VALUE!</v>
      </c>
      <c r="G4506" s="69"/>
    </row>
    <row r="4507" ht="22.5" customHeight="1">
      <c r="A4507" s="66"/>
      <c r="B4507" s="67" t="str">
        <f t="shared" si="16"/>
        <v>M: </v>
      </c>
      <c r="C4507" s="68"/>
      <c r="D4507" s="68">
        <v>46200.0</v>
      </c>
      <c r="E4507" s="66">
        <v>5.0</v>
      </c>
      <c r="F4507" s="66" t="str">
        <f>IFERROR(__xludf.DUMMYFUNCTION("GOOGLETRANSLATE(A4507,""en"",""pt"")"),"#VALUE!")</f>
        <v>#VALUE!</v>
      </c>
      <c r="G4507" s="69"/>
    </row>
    <row r="4508" ht="22.5" customHeight="1">
      <c r="A4508" s="66"/>
      <c r="B4508" s="67" t="str">
        <f t="shared" si="16"/>
        <v>M: </v>
      </c>
      <c r="C4508" s="68"/>
      <c r="D4508" s="68">
        <v>46200.0</v>
      </c>
      <c r="E4508" s="66">
        <v>6.0</v>
      </c>
      <c r="F4508" s="66" t="str">
        <f>IFERROR(__xludf.DUMMYFUNCTION("GOOGLETRANSLATE(A4508,""en"",""pt"")"),"#VALUE!")</f>
        <v>#VALUE!</v>
      </c>
      <c r="G4508" s="69"/>
    </row>
    <row r="4509" ht="22.5" customHeight="1">
      <c r="A4509" s="66"/>
      <c r="B4509" s="67" t="str">
        <f t="shared" si="16"/>
        <v>M: </v>
      </c>
      <c r="C4509" s="68"/>
      <c r="D4509" s="68">
        <v>46200.0</v>
      </c>
      <c r="E4509" s="66">
        <v>7.0</v>
      </c>
      <c r="F4509" s="66" t="str">
        <f>IFERROR(__xludf.DUMMYFUNCTION("GOOGLETRANSLATE(A4509,""en"",""pt"")"),"#VALUE!")</f>
        <v>#VALUE!</v>
      </c>
      <c r="G4509" s="69"/>
    </row>
    <row r="4510" ht="22.5" customHeight="1">
      <c r="A4510" s="66"/>
      <c r="B4510" s="67" t="str">
        <f t="shared" si="16"/>
        <v>M: </v>
      </c>
      <c r="C4510" s="68"/>
      <c r="D4510" s="68">
        <v>46200.0</v>
      </c>
      <c r="E4510" s="66">
        <v>8.0</v>
      </c>
      <c r="F4510" s="66" t="str">
        <f>IFERROR(__xludf.DUMMYFUNCTION("GOOGLETRANSLATE(A4510,""en"",""pt"")"),"#VALUE!")</f>
        <v>#VALUE!</v>
      </c>
      <c r="G4510" s="69"/>
    </row>
    <row r="4511" ht="22.5" customHeight="1">
      <c r="A4511" s="66"/>
      <c r="B4511" s="67" t="str">
        <f t="shared" si="16"/>
        <v>M: </v>
      </c>
      <c r="C4511" s="68"/>
      <c r="D4511" s="68">
        <v>46200.0</v>
      </c>
      <c r="E4511" s="66">
        <v>9.0</v>
      </c>
      <c r="F4511" s="66" t="str">
        <f>IFERROR(__xludf.DUMMYFUNCTION("GOOGLETRANSLATE(A4511,""en"",""pt"")"),"#VALUE!")</f>
        <v>#VALUE!</v>
      </c>
      <c r="G4511" s="69"/>
    </row>
    <row r="4512" ht="22.5" customHeight="1">
      <c r="A4512" s="66"/>
      <c r="B4512" s="67" t="str">
        <f t="shared" si="16"/>
        <v>M: </v>
      </c>
      <c r="C4512" s="68"/>
      <c r="D4512" s="68">
        <v>46201.0</v>
      </c>
      <c r="E4512" s="66">
        <v>10.0</v>
      </c>
      <c r="F4512" s="66" t="str">
        <f>IFERROR(__xludf.DUMMYFUNCTION("GOOGLETRANSLATE(A4512,""en"",""pt"")"),"#VALUE!")</f>
        <v>#VALUE!</v>
      </c>
      <c r="G4512" s="69"/>
    </row>
    <row r="4513" ht="22.5" customHeight="1">
      <c r="A4513" s="66"/>
      <c r="B4513" s="67" t="str">
        <f t="shared" si="16"/>
        <v>M: </v>
      </c>
      <c r="C4513" s="68"/>
      <c r="D4513" s="68">
        <v>46201.0</v>
      </c>
      <c r="E4513" s="66">
        <v>1.0</v>
      </c>
      <c r="F4513" s="66" t="str">
        <f>IFERROR(__xludf.DUMMYFUNCTION("GOOGLETRANSLATE(A4513,""en"",""pt"")"),"#VALUE!")</f>
        <v>#VALUE!</v>
      </c>
      <c r="G4513" s="69"/>
    </row>
    <row r="4514" ht="22.5" customHeight="1">
      <c r="A4514" s="66"/>
      <c r="B4514" s="67" t="str">
        <f t="shared" si="16"/>
        <v>M: </v>
      </c>
      <c r="C4514" s="68"/>
      <c r="D4514" s="68">
        <v>46201.0</v>
      </c>
      <c r="E4514" s="66">
        <v>2.0</v>
      </c>
      <c r="F4514" s="66" t="str">
        <f>IFERROR(__xludf.DUMMYFUNCTION("GOOGLETRANSLATE(A4514,""en"",""pt"")"),"#VALUE!")</f>
        <v>#VALUE!</v>
      </c>
      <c r="G4514" s="69"/>
    </row>
    <row r="4515" ht="22.5" customHeight="1">
      <c r="A4515" s="66"/>
      <c r="B4515" s="67" t="str">
        <f t="shared" si="16"/>
        <v>M: </v>
      </c>
      <c r="C4515" s="68"/>
      <c r="D4515" s="68">
        <v>46201.0</v>
      </c>
      <c r="E4515" s="66">
        <v>3.0</v>
      </c>
      <c r="F4515" s="66" t="str">
        <f>IFERROR(__xludf.DUMMYFUNCTION("GOOGLETRANSLATE(A4515,""en"",""pt"")"),"#VALUE!")</f>
        <v>#VALUE!</v>
      </c>
      <c r="G4515" s="69"/>
    </row>
    <row r="4516" ht="22.5" customHeight="1">
      <c r="A4516" s="66"/>
      <c r="B4516" s="67" t="str">
        <f t="shared" si="16"/>
        <v>M: </v>
      </c>
      <c r="C4516" s="68"/>
      <c r="D4516" s="68">
        <v>46201.0</v>
      </c>
      <c r="E4516" s="66">
        <v>4.0</v>
      </c>
      <c r="F4516" s="66" t="str">
        <f>IFERROR(__xludf.DUMMYFUNCTION("GOOGLETRANSLATE(A4516,""en"",""pt"")"),"#VALUE!")</f>
        <v>#VALUE!</v>
      </c>
      <c r="G4516" s="69"/>
    </row>
    <row r="4517" ht="22.5" customHeight="1">
      <c r="A4517" s="66"/>
      <c r="B4517" s="67" t="str">
        <f t="shared" si="16"/>
        <v>M: </v>
      </c>
      <c r="C4517" s="68"/>
      <c r="D4517" s="68">
        <v>46201.0</v>
      </c>
      <c r="E4517" s="66">
        <v>5.0</v>
      </c>
      <c r="F4517" s="66" t="str">
        <f>IFERROR(__xludf.DUMMYFUNCTION("GOOGLETRANSLATE(A4517,""en"",""pt"")"),"#VALUE!")</f>
        <v>#VALUE!</v>
      </c>
      <c r="G4517" s="69"/>
    </row>
    <row r="4518" ht="22.5" customHeight="1">
      <c r="A4518" s="66"/>
      <c r="B4518" s="67" t="str">
        <f t="shared" si="16"/>
        <v>M: </v>
      </c>
      <c r="C4518" s="68"/>
      <c r="D4518" s="68">
        <v>46201.0</v>
      </c>
      <c r="E4518" s="66">
        <v>6.0</v>
      </c>
      <c r="F4518" s="66" t="str">
        <f>IFERROR(__xludf.DUMMYFUNCTION("GOOGLETRANSLATE(A4518,""en"",""pt"")"),"#VALUE!")</f>
        <v>#VALUE!</v>
      </c>
      <c r="G4518" s="69"/>
    </row>
    <row r="4519" ht="22.5" customHeight="1">
      <c r="A4519" s="66"/>
      <c r="B4519" s="67" t="str">
        <f t="shared" si="16"/>
        <v>M: </v>
      </c>
      <c r="C4519" s="68"/>
      <c r="D4519" s="68">
        <v>46201.0</v>
      </c>
      <c r="E4519" s="66">
        <v>7.0</v>
      </c>
      <c r="F4519" s="66" t="str">
        <f>IFERROR(__xludf.DUMMYFUNCTION("GOOGLETRANSLATE(A4519,""en"",""pt"")"),"#VALUE!")</f>
        <v>#VALUE!</v>
      </c>
      <c r="G4519" s="69"/>
    </row>
    <row r="4520" ht="22.5" customHeight="1">
      <c r="A4520" s="66"/>
      <c r="B4520" s="67" t="str">
        <f t="shared" si="16"/>
        <v>M: </v>
      </c>
      <c r="C4520" s="68"/>
      <c r="D4520" s="68">
        <v>46201.0</v>
      </c>
      <c r="E4520" s="66">
        <v>8.0</v>
      </c>
      <c r="F4520" s="66" t="str">
        <f>IFERROR(__xludf.DUMMYFUNCTION("GOOGLETRANSLATE(A4520,""en"",""pt"")"),"#VALUE!")</f>
        <v>#VALUE!</v>
      </c>
      <c r="G4520" s="69"/>
    </row>
    <row r="4521" ht="22.5" customHeight="1">
      <c r="A4521" s="66"/>
      <c r="B4521" s="67" t="str">
        <f t="shared" si="16"/>
        <v>M: </v>
      </c>
      <c r="C4521" s="68"/>
      <c r="D4521" s="68">
        <v>46201.0</v>
      </c>
      <c r="E4521" s="66">
        <v>9.0</v>
      </c>
      <c r="F4521" s="66" t="str">
        <f>IFERROR(__xludf.DUMMYFUNCTION("GOOGLETRANSLATE(A4521,""en"",""pt"")"),"#VALUE!")</f>
        <v>#VALUE!</v>
      </c>
      <c r="G4521" s="69"/>
    </row>
    <row r="4522" ht="22.5" customHeight="1">
      <c r="A4522" s="66"/>
      <c r="B4522" s="67" t="str">
        <f t="shared" si="16"/>
        <v>M: </v>
      </c>
      <c r="C4522" s="68"/>
      <c r="D4522" s="68">
        <v>46202.0</v>
      </c>
      <c r="E4522" s="66">
        <v>10.0</v>
      </c>
      <c r="F4522" s="66" t="str">
        <f>IFERROR(__xludf.DUMMYFUNCTION("GOOGLETRANSLATE(A4522,""en"",""pt"")"),"#VALUE!")</f>
        <v>#VALUE!</v>
      </c>
      <c r="G4522" s="69"/>
    </row>
    <row r="4523" ht="22.5" customHeight="1">
      <c r="A4523" s="66"/>
      <c r="B4523" s="67" t="str">
        <f t="shared" si="16"/>
        <v>M: </v>
      </c>
      <c r="C4523" s="68"/>
      <c r="D4523" s="68">
        <v>46202.0</v>
      </c>
      <c r="E4523" s="66">
        <v>1.0</v>
      </c>
      <c r="F4523" s="66" t="str">
        <f>IFERROR(__xludf.DUMMYFUNCTION("GOOGLETRANSLATE(A4523,""en"",""pt"")"),"#VALUE!")</f>
        <v>#VALUE!</v>
      </c>
      <c r="G4523" s="69"/>
    </row>
    <row r="4524" ht="22.5" customHeight="1">
      <c r="A4524" s="66"/>
      <c r="B4524" s="67" t="str">
        <f t="shared" si="16"/>
        <v>M: </v>
      </c>
      <c r="C4524" s="68"/>
      <c r="D4524" s="68">
        <v>46202.0</v>
      </c>
      <c r="E4524" s="66">
        <v>2.0</v>
      </c>
      <c r="F4524" s="66" t="str">
        <f>IFERROR(__xludf.DUMMYFUNCTION("GOOGLETRANSLATE(A4524,""en"",""pt"")"),"#VALUE!")</f>
        <v>#VALUE!</v>
      </c>
      <c r="G4524" s="69"/>
    </row>
    <row r="4525" ht="22.5" customHeight="1">
      <c r="A4525" s="66"/>
      <c r="B4525" s="67" t="str">
        <f t="shared" si="16"/>
        <v>M: </v>
      </c>
      <c r="C4525" s="68"/>
      <c r="D4525" s="68">
        <v>46202.0</v>
      </c>
      <c r="E4525" s="66">
        <v>3.0</v>
      </c>
      <c r="F4525" s="66" t="str">
        <f>IFERROR(__xludf.DUMMYFUNCTION("GOOGLETRANSLATE(A4525,""en"",""pt"")"),"#VALUE!")</f>
        <v>#VALUE!</v>
      </c>
      <c r="G4525" s="69"/>
    </row>
    <row r="4526" ht="22.5" customHeight="1">
      <c r="A4526" s="66"/>
      <c r="B4526" s="67" t="str">
        <f t="shared" si="16"/>
        <v>M: </v>
      </c>
      <c r="C4526" s="68"/>
      <c r="D4526" s="68">
        <v>46202.0</v>
      </c>
      <c r="E4526" s="66">
        <v>4.0</v>
      </c>
      <c r="F4526" s="66" t="str">
        <f>IFERROR(__xludf.DUMMYFUNCTION("GOOGLETRANSLATE(A4526,""en"",""pt"")"),"#VALUE!")</f>
        <v>#VALUE!</v>
      </c>
      <c r="G4526" s="69"/>
    </row>
    <row r="4527" ht="22.5" customHeight="1">
      <c r="A4527" s="66"/>
      <c r="B4527" s="67" t="str">
        <f t="shared" si="16"/>
        <v>M: </v>
      </c>
      <c r="C4527" s="68"/>
      <c r="D4527" s="68">
        <v>46202.0</v>
      </c>
      <c r="E4527" s="66">
        <v>5.0</v>
      </c>
      <c r="F4527" s="66" t="str">
        <f>IFERROR(__xludf.DUMMYFUNCTION("GOOGLETRANSLATE(A4527,""en"",""pt"")"),"#VALUE!")</f>
        <v>#VALUE!</v>
      </c>
      <c r="G4527" s="69"/>
    </row>
    <row r="4528" ht="22.5" customHeight="1">
      <c r="A4528" s="66"/>
      <c r="B4528" s="67" t="str">
        <f t="shared" si="16"/>
        <v>M: </v>
      </c>
      <c r="C4528" s="68"/>
      <c r="D4528" s="68">
        <v>46202.0</v>
      </c>
      <c r="E4528" s="66">
        <v>6.0</v>
      </c>
      <c r="F4528" s="66" t="str">
        <f>IFERROR(__xludf.DUMMYFUNCTION("GOOGLETRANSLATE(A4528,""en"",""pt"")"),"#VALUE!")</f>
        <v>#VALUE!</v>
      </c>
      <c r="G4528" s="69"/>
    </row>
    <row r="4529" ht="22.5" customHeight="1">
      <c r="A4529" s="66"/>
      <c r="B4529" s="67" t="str">
        <f t="shared" si="16"/>
        <v>M: </v>
      </c>
      <c r="C4529" s="68"/>
      <c r="D4529" s="68">
        <v>46202.0</v>
      </c>
      <c r="E4529" s="66">
        <v>7.0</v>
      </c>
      <c r="F4529" s="66" t="str">
        <f>IFERROR(__xludf.DUMMYFUNCTION("GOOGLETRANSLATE(A4529,""en"",""pt"")"),"#VALUE!")</f>
        <v>#VALUE!</v>
      </c>
      <c r="G4529" s="69"/>
    </row>
    <row r="4530" ht="22.5" customHeight="1">
      <c r="A4530" s="66"/>
      <c r="B4530" s="67" t="str">
        <f t="shared" si="16"/>
        <v>M: </v>
      </c>
      <c r="C4530" s="68"/>
      <c r="D4530" s="68">
        <v>46202.0</v>
      </c>
      <c r="E4530" s="66">
        <v>8.0</v>
      </c>
      <c r="F4530" s="66" t="str">
        <f>IFERROR(__xludf.DUMMYFUNCTION("GOOGLETRANSLATE(A4530,""en"",""pt"")"),"#VALUE!")</f>
        <v>#VALUE!</v>
      </c>
      <c r="G4530" s="69"/>
    </row>
    <row r="4531" ht="22.5" customHeight="1">
      <c r="A4531" s="66"/>
      <c r="B4531" s="67" t="str">
        <f t="shared" si="16"/>
        <v>M: </v>
      </c>
      <c r="C4531" s="68"/>
      <c r="D4531" s="68">
        <v>46202.0</v>
      </c>
      <c r="E4531" s="66">
        <v>9.0</v>
      </c>
      <c r="F4531" s="66" t="str">
        <f>IFERROR(__xludf.DUMMYFUNCTION("GOOGLETRANSLATE(A4531,""en"",""pt"")"),"#VALUE!")</f>
        <v>#VALUE!</v>
      </c>
      <c r="G4531" s="69"/>
    </row>
    <row r="4532" ht="22.5" customHeight="1">
      <c r="A4532" s="66"/>
      <c r="B4532" s="67" t="str">
        <f t="shared" si="16"/>
        <v>M: </v>
      </c>
      <c r="C4532" s="68"/>
      <c r="D4532" s="68">
        <v>46203.0</v>
      </c>
      <c r="E4532" s="66">
        <v>10.0</v>
      </c>
      <c r="F4532" s="66" t="str">
        <f>IFERROR(__xludf.DUMMYFUNCTION("GOOGLETRANSLATE(A4532,""en"",""pt"")"),"#VALUE!")</f>
        <v>#VALUE!</v>
      </c>
      <c r="G4532" s="69"/>
    </row>
    <row r="4533" ht="22.5" customHeight="1">
      <c r="A4533" s="66"/>
      <c r="B4533" s="67" t="str">
        <f t="shared" si="16"/>
        <v>M: </v>
      </c>
      <c r="C4533" s="68"/>
      <c r="D4533" s="68">
        <v>46203.0</v>
      </c>
      <c r="E4533" s="66">
        <v>1.0</v>
      </c>
      <c r="F4533" s="66" t="str">
        <f>IFERROR(__xludf.DUMMYFUNCTION("GOOGLETRANSLATE(A4533,""en"",""pt"")"),"#VALUE!")</f>
        <v>#VALUE!</v>
      </c>
      <c r="G4533" s="69"/>
    </row>
    <row r="4534" ht="22.5" customHeight="1">
      <c r="A4534" s="66"/>
      <c r="B4534" s="67" t="str">
        <f t="shared" si="16"/>
        <v>M: </v>
      </c>
      <c r="C4534" s="68"/>
      <c r="D4534" s="68">
        <v>46203.0</v>
      </c>
      <c r="E4534" s="66">
        <v>2.0</v>
      </c>
      <c r="F4534" s="66" t="str">
        <f>IFERROR(__xludf.DUMMYFUNCTION("GOOGLETRANSLATE(A4534,""en"",""pt"")"),"#VALUE!")</f>
        <v>#VALUE!</v>
      </c>
      <c r="G4534" s="69"/>
    </row>
    <row r="4535" ht="22.5" customHeight="1">
      <c r="A4535" s="66"/>
      <c r="B4535" s="67" t="str">
        <f t="shared" si="16"/>
        <v>M: </v>
      </c>
      <c r="C4535" s="68"/>
      <c r="D4535" s="68">
        <v>46203.0</v>
      </c>
      <c r="E4535" s="66">
        <v>3.0</v>
      </c>
      <c r="F4535" s="66" t="str">
        <f>IFERROR(__xludf.DUMMYFUNCTION("GOOGLETRANSLATE(A4535,""en"",""pt"")"),"#VALUE!")</f>
        <v>#VALUE!</v>
      </c>
      <c r="G4535" s="69"/>
    </row>
    <row r="4536" ht="22.5" customHeight="1">
      <c r="A4536" s="66"/>
      <c r="B4536" s="67" t="str">
        <f t="shared" si="16"/>
        <v>M: </v>
      </c>
      <c r="C4536" s="68"/>
      <c r="D4536" s="68">
        <v>46203.0</v>
      </c>
      <c r="E4536" s="66">
        <v>4.0</v>
      </c>
      <c r="F4536" s="66" t="str">
        <f>IFERROR(__xludf.DUMMYFUNCTION("GOOGLETRANSLATE(A4536,""en"",""pt"")"),"#VALUE!")</f>
        <v>#VALUE!</v>
      </c>
      <c r="G4536" s="69"/>
    </row>
    <row r="4537" ht="22.5" customHeight="1">
      <c r="A4537" s="66"/>
      <c r="B4537" s="67" t="str">
        <f t="shared" si="16"/>
        <v>M: </v>
      </c>
      <c r="C4537" s="68"/>
      <c r="D4537" s="68">
        <v>46203.0</v>
      </c>
      <c r="E4537" s="66">
        <v>5.0</v>
      </c>
      <c r="F4537" s="66" t="str">
        <f>IFERROR(__xludf.DUMMYFUNCTION("GOOGLETRANSLATE(A4537,""en"",""pt"")"),"#VALUE!")</f>
        <v>#VALUE!</v>
      </c>
      <c r="G4537" s="69"/>
    </row>
    <row r="4538" ht="22.5" customHeight="1">
      <c r="A4538" s="66"/>
      <c r="B4538" s="67" t="str">
        <f t="shared" si="16"/>
        <v>M: </v>
      </c>
      <c r="C4538" s="68"/>
      <c r="D4538" s="68">
        <v>46203.0</v>
      </c>
      <c r="E4538" s="66">
        <v>6.0</v>
      </c>
      <c r="F4538" s="66" t="str">
        <f>IFERROR(__xludf.DUMMYFUNCTION("GOOGLETRANSLATE(A4538,""en"",""pt"")"),"#VALUE!")</f>
        <v>#VALUE!</v>
      </c>
      <c r="G4538" s="69"/>
    </row>
    <row r="4539" ht="22.5" customHeight="1">
      <c r="A4539" s="66"/>
      <c r="B4539" s="67" t="str">
        <f t="shared" si="16"/>
        <v>M: </v>
      </c>
      <c r="C4539" s="68"/>
      <c r="D4539" s="68">
        <v>46203.0</v>
      </c>
      <c r="E4539" s="66">
        <v>7.0</v>
      </c>
      <c r="F4539" s="66" t="str">
        <f>IFERROR(__xludf.DUMMYFUNCTION("GOOGLETRANSLATE(A4539,""en"",""pt"")"),"#VALUE!")</f>
        <v>#VALUE!</v>
      </c>
      <c r="G4539" s="69"/>
    </row>
    <row r="4540" ht="22.5" customHeight="1">
      <c r="A4540" s="66"/>
      <c r="B4540" s="67" t="str">
        <f t="shared" si="16"/>
        <v>M: </v>
      </c>
      <c r="C4540" s="68"/>
      <c r="D4540" s="68">
        <v>46203.0</v>
      </c>
      <c r="E4540" s="66">
        <v>8.0</v>
      </c>
      <c r="F4540" s="66" t="str">
        <f>IFERROR(__xludf.DUMMYFUNCTION("GOOGLETRANSLATE(A4540,""en"",""pt"")"),"#VALUE!")</f>
        <v>#VALUE!</v>
      </c>
      <c r="G4540" s="69"/>
    </row>
    <row r="4541" ht="22.5" customHeight="1">
      <c r="A4541" s="66"/>
      <c r="B4541" s="67" t="str">
        <f t="shared" si="16"/>
        <v>M: </v>
      </c>
      <c r="C4541" s="68"/>
      <c r="D4541" s="68">
        <v>46203.0</v>
      </c>
      <c r="E4541" s="66">
        <v>9.0</v>
      </c>
      <c r="F4541" s="66" t="str">
        <f>IFERROR(__xludf.DUMMYFUNCTION("GOOGLETRANSLATE(A4541,""en"",""pt"")"),"#VALUE!")</f>
        <v>#VALUE!</v>
      </c>
      <c r="G4541" s="69"/>
    </row>
    <row r="4542" ht="22.5" customHeight="1">
      <c r="A4542" s="66"/>
      <c r="B4542" s="67" t="str">
        <f t="shared" si="16"/>
        <v>M: </v>
      </c>
      <c r="C4542" s="68"/>
      <c r="D4542" s="68">
        <v>46204.0</v>
      </c>
      <c r="E4542" s="66">
        <v>10.0</v>
      </c>
      <c r="F4542" s="66" t="str">
        <f>IFERROR(__xludf.DUMMYFUNCTION("GOOGLETRANSLATE(A4542,""en"",""pt"")"),"#VALUE!")</f>
        <v>#VALUE!</v>
      </c>
      <c r="G4542" s="69"/>
    </row>
    <row r="4543" ht="22.5" customHeight="1">
      <c r="A4543" s="66"/>
      <c r="B4543" s="67" t="str">
        <f t="shared" si="16"/>
        <v>M: </v>
      </c>
      <c r="C4543" s="68"/>
      <c r="D4543" s="68">
        <v>46204.0</v>
      </c>
      <c r="E4543" s="66">
        <v>1.0</v>
      </c>
      <c r="F4543" s="66" t="str">
        <f>IFERROR(__xludf.DUMMYFUNCTION("GOOGLETRANSLATE(A4543,""en"",""pt"")"),"#VALUE!")</f>
        <v>#VALUE!</v>
      </c>
      <c r="G4543" s="69"/>
    </row>
    <row r="4544" ht="22.5" customHeight="1">
      <c r="A4544" s="66"/>
      <c r="B4544" s="67" t="str">
        <f t="shared" si="16"/>
        <v>M: </v>
      </c>
      <c r="C4544" s="68"/>
      <c r="D4544" s="68">
        <v>46204.0</v>
      </c>
      <c r="E4544" s="66">
        <v>2.0</v>
      </c>
      <c r="F4544" s="66" t="str">
        <f>IFERROR(__xludf.DUMMYFUNCTION("GOOGLETRANSLATE(A4544,""en"",""pt"")"),"#VALUE!")</f>
        <v>#VALUE!</v>
      </c>
      <c r="G4544" s="69"/>
    </row>
    <row r="4545" ht="22.5" customHeight="1">
      <c r="A4545" s="66"/>
      <c r="B4545" s="67" t="str">
        <f t="shared" si="16"/>
        <v>M: </v>
      </c>
      <c r="C4545" s="68"/>
      <c r="D4545" s="68">
        <v>46204.0</v>
      </c>
      <c r="E4545" s="66">
        <v>3.0</v>
      </c>
      <c r="F4545" s="66" t="str">
        <f>IFERROR(__xludf.DUMMYFUNCTION("GOOGLETRANSLATE(A4545,""en"",""pt"")"),"#VALUE!")</f>
        <v>#VALUE!</v>
      </c>
      <c r="G4545" s="69"/>
    </row>
    <row r="4546" ht="22.5" customHeight="1">
      <c r="A4546" s="66"/>
      <c r="B4546" s="67" t="str">
        <f t="shared" si="16"/>
        <v>M: </v>
      </c>
      <c r="C4546" s="68"/>
      <c r="D4546" s="68">
        <v>46204.0</v>
      </c>
      <c r="E4546" s="66">
        <v>4.0</v>
      </c>
      <c r="F4546" s="66" t="str">
        <f>IFERROR(__xludf.DUMMYFUNCTION("GOOGLETRANSLATE(A4546,""en"",""pt"")"),"#VALUE!")</f>
        <v>#VALUE!</v>
      </c>
      <c r="G4546" s="69"/>
    </row>
    <row r="4547" ht="22.5" customHeight="1">
      <c r="A4547" s="66"/>
      <c r="B4547" s="67" t="str">
        <f t="shared" si="16"/>
        <v>M: </v>
      </c>
      <c r="C4547" s="68"/>
      <c r="D4547" s="68">
        <v>46204.0</v>
      </c>
      <c r="E4547" s="66">
        <v>5.0</v>
      </c>
      <c r="F4547" s="66" t="str">
        <f>IFERROR(__xludf.DUMMYFUNCTION("GOOGLETRANSLATE(A4547,""en"",""pt"")"),"#VALUE!")</f>
        <v>#VALUE!</v>
      </c>
      <c r="G4547" s="69"/>
    </row>
    <row r="4548" ht="22.5" customHeight="1">
      <c r="A4548" s="66"/>
      <c r="B4548" s="67" t="str">
        <f t="shared" si="16"/>
        <v>M: </v>
      </c>
      <c r="C4548" s="68"/>
      <c r="D4548" s="68">
        <v>46204.0</v>
      </c>
      <c r="E4548" s="66">
        <v>6.0</v>
      </c>
      <c r="F4548" s="66" t="str">
        <f>IFERROR(__xludf.DUMMYFUNCTION("GOOGLETRANSLATE(A4548,""en"",""pt"")"),"#VALUE!")</f>
        <v>#VALUE!</v>
      </c>
      <c r="G4548" s="69"/>
    </row>
    <row r="4549" ht="22.5" customHeight="1">
      <c r="A4549" s="66"/>
      <c r="B4549" s="67" t="str">
        <f t="shared" si="16"/>
        <v>M: </v>
      </c>
      <c r="C4549" s="68"/>
      <c r="D4549" s="68">
        <v>46204.0</v>
      </c>
      <c r="E4549" s="66">
        <v>7.0</v>
      </c>
      <c r="F4549" s="66" t="str">
        <f>IFERROR(__xludf.DUMMYFUNCTION("GOOGLETRANSLATE(A4549,""en"",""pt"")"),"#VALUE!")</f>
        <v>#VALUE!</v>
      </c>
      <c r="G4549" s="69"/>
    </row>
    <row r="4550" ht="22.5" customHeight="1">
      <c r="A4550" s="66"/>
      <c r="B4550" s="67" t="str">
        <f t="shared" si="16"/>
        <v>M: </v>
      </c>
      <c r="C4550" s="68"/>
      <c r="D4550" s="68">
        <v>46204.0</v>
      </c>
      <c r="E4550" s="66">
        <v>8.0</v>
      </c>
      <c r="F4550" s="66" t="str">
        <f>IFERROR(__xludf.DUMMYFUNCTION("GOOGLETRANSLATE(A4550,""en"",""pt"")"),"#VALUE!")</f>
        <v>#VALUE!</v>
      </c>
      <c r="G4550" s="69"/>
    </row>
    <row r="4551" ht="22.5" customHeight="1">
      <c r="A4551" s="66"/>
      <c r="B4551" s="67" t="str">
        <f t="shared" si="16"/>
        <v>M: </v>
      </c>
      <c r="C4551" s="68"/>
      <c r="D4551" s="68">
        <v>46204.0</v>
      </c>
      <c r="E4551" s="66">
        <v>9.0</v>
      </c>
      <c r="F4551" s="66" t="str">
        <f>IFERROR(__xludf.DUMMYFUNCTION("GOOGLETRANSLATE(A4551,""en"",""pt"")"),"#VALUE!")</f>
        <v>#VALUE!</v>
      </c>
      <c r="G4551" s="69"/>
    </row>
    <row r="4552" ht="22.5" customHeight="1">
      <c r="A4552" s="66"/>
      <c r="B4552" s="67" t="str">
        <f t="shared" si="16"/>
        <v>M: </v>
      </c>
      <c r="C4552" s="68"/>
      <c r="D4552" s="68">
        <v>46205.0</v>
      </c>
      <c r="E4552" s="66">
        <v>10.0</v>
      </c>
      <c r="F4552" s="66" t="str">
        <f>IFERROR(__xludf.DUMMYFUNCTION("GOOGLETRANSLATE(A4552,""en"",""pt"")"),"#VALUE!")</f>
        <v>#VALUE!</v>
      </c>
      <c r="G4552" s="69"/>
    </row>
    <row r="4553" ht="22.5" customHeight="1">
      <c r="A4553" s="66"/>
      <c r="B4553" s="67" t="str">
        <f t="shared" si="16"/>
        <v>M: </v>
      </c>
      <c r="C4553" s="68"/>
      <c r="D4553" s="68">
        <v>46205.0</v>
      </c>
      <c r="E4553" s="66">
        <v>1.0</v>
      </c>
      <c r="F4553" s="66" t="str">
        <f>IFERROR(__xludf.DUMMYFUNCTION("GOOGLETRANSLATE(A4553,""en"",""pt"")"),"#VALUE!")</f>
        <v>#VALUE!</v>
      </c>
      <c r="G4553" s="69"/>
    </row>
    <row r="4554" ht="22.5" customHeight="1">
      <c r="A4554" s="66"/>
      <c r="B4554" s="67" t="str">
        <f t="shared" si="16"/>
        <v>M: </v>
      </c>
      <c r="C4554" s="68"/>
      <c r="D4554" s="68">
        <v>46205.0</v>
      </c>
      <c r="E4554" s="66">
        <v>2.0</v>
      </c>
      <c r="F4554" s="66" t="str">
        <f>IFERROR(__xludf.DUMMYFUNCTION("GOOGLETRANSLATE(A4554,""en"",""pt"")"),"#VALUE!")</f>
        <v>#VALUE!</v>
      </c>
      <c r="G4554" s="69"/>
    </row>
    <row r="4555" ht="22.5" customHeight="1">
      <c r="A4555" s="66"/>
      <c r="B4555" s="67" t="str">
        <f t="shared" si="16"/>
        <v>M: </v>
      </c>
      <c r="C4555" s="68"/>
      <c r="D4555" s="68">
        <v>46205.0</v>
      </c>
      <c r="E4555" s="66">
        <v>3.0</v>
      </c>
      <c r="F4555" s="66" t="str">
        <f>IFERROR(__xludf.DUMMYFUNCTION("GOOGLETRANSLATE(A4555,""en"",""pt"")"),"#VALUE!")</f>
        <v>#VALUE!</v>
      </c>
      <c r="G4555" s="69"/>
    </row>
    <row r="4556" ht="22.5" customHeight="1">
      <c r="A4556" s="66"/>
      <c r="B4556" s="67" t="str">
        <f t="shared" si="16"/>
        <v>M: </v>
      </c>
      <c r="C4556" s="68"/>
      <c r="D4556" s="68">
        <v>46205.0</v>
      </c>
      <c r="E4556" s="66">
        <v>4.0</v>
      </c>
      <c r="F4556" s="66" t="str">
        <f>IFERROR(__xludf.DUMMYFUNCTION("GOOGLETRANSLATE(A4556,""en"",""pt"")"),"#VALUE!")</f>
        <v>#VALUE!</v>
      </c>
      <c r="G4556" s="69"/>
    </row>
    <row r="4557" ht="22.5" customHeight="1">
      <c r="A4557" s="66"/>
      <c r="B4557" s="67" t="str">
        <f t="shared" si="16"/>
        <v>M: </v>
      </c>
      <c r="C4557" s="68"/>
      <c r="D4557" s="68">
        <v>46205.0</v>
      </c>
      <c r="E4557" s="66">
        <v>5.0</v>
      </c>
      <c r="F4557" s="66" t="str">
        <f>IFERROR(__xludf.DUMMYFUNCTION("GOOGLETRANSLATE(A4557,""en"",""pt"")"),"#VALUE!")</f>
        <v>#VALUE!</v>
      </c>
      <c r="G4557" s="69"/>
    </row>
    <row r="4558" ht="22.5" customHeight="1">
      <c r="A4558" s="66"/>
      <c r="B4558" s="67" t="str">
        <f t="shared" si="16"/>
        <v>M: </v>
      </c>
      <c r="C4558" s="68"/>
      <c r="D4558" s="68">
        <v>46205.0</v>
      </c>
      <c r="E4558" s="66">
        <v>6.0</v>
      </c>
      <c r="F4558" s="66" t="str">
        <f>IFERROR(__xludf.DUMMYFUNCTION("GOOGLETRANSLATE(A4558,""en"",""pt"")"),"#VALUE!")</f>
        <v>#VALUE!</v>
      </c>
      <c r="G4558" s="69"/>
    </row>
    <row r="4559" ht="22.5" customHeight="1">
      <c r="A4559" s="66"/>
      <c r="B4559" s="67" t="str">
        <f t="shared" si="16"/>
        <v>M: </v>
      </c>
      <c r="C4559" s="68"/>
      <c r="D4559" s="68">
        <v>46205.0</v>
      </c>
      <c r="E4559" s="66">
        <v>7.0</v>
      </c>
      <c r="F4559" s="66" t="str">
        <f>IFERROR(__xludf.DUMMYFUNCTION("GOOGLETRANSLATE(A4559,""en"",""pt"")"),"#VALUE!")</f>
        <v>#VALUE!</v>
      </c>
      <c r="G4559" s="69"/>
    </row>
    <row r="4560" ht="22.5" customHeight="1">
      <c r="A4560" s="66"/>
      <c r="B4560" s="67" t="str">
        <f t="shared" si="16"/>
        <v>M: </v>
      </c>
      <c r="C4560" s="68"/>
      <c r="D4560" s="68">
        <v>46205.0</v>
      </c>
      <c r="E4560" s="66">
        <v>8.0</v>
      </c>
      <c r="F4560" s="66" t="str">
        <f>IFERROR(__xludf.DUMMYFUNCTION("GOOGLETRANSLATE(A4560,""en"",""pt"")"),"#VALUE!")</f>
        <v>#VALUE!</v>
      </c>
      <c r="G4560" s="69"/>
    </row>
    <row r="4561" ht="22.5" customHeight="1">
      <c r="A4561" s="66"/>
      <c r="B4561" s="67" t="str">
        <f t="shared" si="16"/>
        <v>M: </v>
      </c>
      <c r="C4561" s="68"/>
      <c r="D4561" s="68">
        <v>46205.0</v>
      </c>
      <c r="E4561" s="66">
        <v>9.0</v>
      </c>
      <c r="F4561" s="66" t="str">
        <f>IFERROR(__xludf.DUMMYFUNCTION("GOOGLETRANSLATE(A4561,""en"",""pt"")"),"#VALUE!")</f>
        <v>#VALUE!</v>
      </c>
      <c r="G4561" s="69"/>
    </row>
    <row r="4562" ht="22.5" customHeight="1">
      <c r="A4562" s="66"/>
      <c r="B4562" s="67" t="str">
        <f t="shared" si="16"/>
        <v>M: </v>
      </c>
      <c r="C4562" s="68"/>
      <c r="D4562" s="68">
        <v>46206.0</v>
      </c>
      <c r="E4562" s="66">
        <v>10.0</v>
      </c>
      <c r="F4562" s="66" t="str">
        <f>IFERROR(__xludf.DUMMYFUNCTION("GOOGLETRANSLATE(A4562,""en"",""pt"")"),"#VALUE!")</f>
        <v>#VALUE!</v>
      </c>
      <c r="G4562" s="69"/>
    </row>
    <row r="4563" ht="22.5" customHeight="1">
      <c r="A4563" s="66"/>
      <c r="B4563" s="67" t="str">
        <f t="shared" si="16"/>
        <v>M: </v>
      </c>
      <c r="C4563" s="68"/>
      <c r="D4563" s="68">
        <v>46206.0</v>
      </c>
      <c r="E4563" s="66">
        <v>1.0</v>
      </c>
      <c r="F4563" s="66" t="str">
        <f>IFERROR(__xludf.DUMMYFUNCTION("GOOGLETRANSLATE(A4563,""en"",""pt"")"),"#VALUE!")</f>
        <v>#VALUE!</v>
      </c>
      <c r="G4563" s="69"/>
    </row>
    <row r="4564" ht="22.5" customHeight="1">
      <c r="A4564" s="66"/>
      <c r="B4564" s="67" t="str">
        <f t="shared" si="16"/>
        <v>M: </v>
      </c>
      <c r="C4564" s="68"/>
      <c r="D4564" s="68">
        <v>46206.0</v>
      </c>
      <c r="E4564" s="66">
        <v>2.0</v>
      </c>
      <c r="F4564" s="66" t="str">
        <f>IFERROR(__xludf.DUMMYFUNCTION("GOOGLETRANSLATE(A4564,""en"",""pt"")"),"#VALUE!")</f>
        <v>#VALUE!</v>
      </c>
      <c r="G4564" s="69"/>
    </row>
    <row r="4565" ht="22.5" customHeight="1">
      <c r="A4565" s="66"/>
      <c r="B4565" s="67" t="str">
        <f t="shared" si="16"/>
        <v>M: </v>
      </c>
      <c r="C4565" s="68"/>
      <c r="D4565" s="68">
        <v>46206.0</v>
      </c>
      <c r="E4565" s="66">
        <v>3.0</v>
      </c>
      <c r="F4565" s="66" t="str">
        <f>IFERROR(__xludf.DUMMYFUNCTION("GOOGLETRANSLATE(A4565,""en"",""pt"")"),"#VALUE!")</f>
        <v>#VALUE!</v>
      </c>
      <c r="G4565" s="69"/>
    </row>
    <row r="4566" ht="22.5" customHeight="1">
      <c r="A4566" s="66"/>
      <c r="B4566" s="67" t="str">
        <f t="shared" si="16"/>
        <v>M: </v>
      </c>
      <c r="C4566" s="68"/>
      <c r="D4566" s="68">
        <v>46206.0</v>
      </c>
      <c r="E4566" s="66">
        <v>4.0</v>
      </c>
      <c r="F4566" s="66" t="str">
        <f>IFERROR(__xludf.DUMMYFUNCTION("GOOGLETRANSLATE(A4566,""en"",""pt"")"),"#VALUE!")</f>
        <v>#VALUE!</v>
      </c>
      <c r="G4566" s="69"/>
    </row>
    <row r="4567" ht="22.5" customHeight="1">
      <c r="A4567" s="66"/>
      <c r="B4567" s="67" t="str">
        <f t="shared" si="16"/>
        <v>M: </v>
      </c>
      <c r="C4567" s="68"/>
      <c r="D4567" s="68">
        <v>46206.0</v>
      </c>
      <c r="E4567" s="66">
        <v>5.0</v>
      </c>
      <c r="F4567" s="66" t="str">
        <f>IFERROR(__xludf.DUMMYFUNCTION("GOOGLETRANSLATE(A4567,""en"",""pt"")"),"#VALUE!")</f>
        <v>#VALUE!</v>
      </c>
      <c r="G4567" s="69"/>
    </row>
    <row r="4568" ht="22.5" customHeight="1">
      <c r="A4568" s="66"/>
      <c r="B4568" s="67" t="str">
        <f t="shared" si="16"/>
        <v>M: </v>
      </c>
      <c r="C4568" s="68"/>
      <c r="D4568" s="68">
        <v>46206.0</v>
      </c>
      <c r="E4568" s="66">
        <v>6.0</v>
      </c>
      <c r="F4568" s="66" t="str">
        <f>IFERROR(__xludf.DUMMYFUNCTION("GOOGLETRANSLATE(A4568,""en"",""pt"")"),"#VALUE!")</f>
        <v>#VALUE!</v>
      </c>
      <c r="G4568" s="69"/>
    </row>
    <row r="4569" ht="22.5" customHeight="1">
      <c r="A4569" s="66"/>
      <c r="B4569" s="67" t="str">
        <f t="shared" si="16"/>
        <v>M: </v>
      </c>
      <c r="C4569" s="68"/>
      <c r="D4569" s="68">
        <v>46206.0</v>
      </c>
      <c r="E4569" s="66">
        <v>7.0</v>
      </c>
      <c r="F4569" s="66" t="str">
        <f>IFERROR(__xludf.DUMMYFUNCTION("GOOGLETRANSLATE(A4569,""en"",""pt"")"),"#VALUE!")</f>
        <v>#VALUE!</v>
      </c>
      <c r="G4569" s="69"/>
    </row>
    <row r="4570" ht="22.5" customHeight="1">
      <c r="A4570" s="66"/>
      <c r="B4570" s="67" t="str">
        <f t="shared" si="16"/>
        <v>M: </v>
      </c>
      <c r="C4570" s="68"/>
      <c r="D4570" s="68">
        <v>46206.0</v>
      </c>
      <c r="E4570" s="66">
        <v>8.0</v>
      </c>
      <c r="F4570" s="66" t="str">
        <f>IFERROR(__xludf.DUMMYFUNCTION("GOOGLETRANSLATE(A4570,""en"",""pt"")"),"#VALUE!")</f>
        <v>#VALUE!</v>
      </c>
      <c r="G4570" s="69"/>
    </row>
    <row r="4571" ht="22.5" customHeight="1">
      <c r="A4571" s="66"/>
      <c r="B4571" s="67" t="str">
        <f t="shared" si="16"/>
        <v>M: </v>
      </c>
      <c r="C4571" s="68"/>
      <c r="D4571" s="68">
        <v>46206.0</v>
      </c>
      <c r="E4571" s="66">
        <v>9.0</v>
      </c>
      <c r="F4571" s="66" t="str">
        <f>IFERROR(__xludf.DUMMYFUNCTION("GOOGLETRANSLATE(A4571,""en"",""pt"")"),"#VALUE!")</f>
        <v>#VALUE!</v>
      </c>
      <c r="G4571" s="69"/>
    </row>
    <row r="4572" ht="22.5" customHeight="1">
      <c r="A4572" s="66"/>
      <c r="B4572" s="67" t="str">
        <f t="shared" si="16"/>
        <v>M: </v>
      </c>
      <c r="C4572" s="68"/>
      <c r="D4572" s="68">
        <v>46207.0</v>
      </c>
      <c r="E4572" s="66">
        <v>10.0</v>
      </c>
      <c r="F4572" s="66" t="str">
        <f>IFERROR(__xludf.DUMMYFUNCTION("GOOGLETRANSLATE(A4572,""en"",""pt"")"),"#VALUE!")</f>
        <v>#VALUE!</v>
      </c>
      <c r="G4572" s="69"/>
    </row>
    <row r="4573" ht="22.5" customHeight="1">
      <c r="A4573" s="66"/>
      <c r="B4573" s="67" t="str">
        <f t="shared" si="16"/>
        <v>M: </v>
      </c>
      <c r="C4573" s="68"/>
      <c r="D4573" s="68">
        <v>46207.0</v>
      </c>
      <c r="E4573" s="66">
        <v>1.0</v>
      </c>
      <c r="F4573" s="66" t="str">
        <f>IFERROR(__xludf.DUMMYFUNCTION("GOOGLETRANSLATE(A4573,""en"",""pt"")"),"#VALUE!")</f>
        <v>#VALUE!</v>
      </c>
      <c r="G4573" s="69"/>
    </row>
    <row r="4574" ht="22.5" customHeight="1">
      <c r="A4574" s="66"/>
      <c r="B4574" s="67" t="str">
        <f t="shared" si="16"/>
        <v>M: </v>
      </c>
      <c r="C4574" s="68"/>
      <c r="D4574" s="68">
        <v>46207.0</v>
      </c>
      <c r="E4574" s="66">
        <v>2.0</v>
      </c>
      <c r="F4574" s="66" t="str">
        <f>IFERROR(__xludf.DUMMYFUNCTION("GOOGLETRANSLATE(A4574,""en"",""pt"")"),"#VALUE!")</f>
        <v>#VALUE!</v>
      </c>
      <c r="G4574" s="69"/>
    </row>
    <row r="4575" ht="22.5" customHeight="1">
      <c r="A4575" s="66"/>
      <c r="B4575" s="67" t="str">
        <f t="shared" si="16"/>
        <v>M: </v>
      </c>
      <c r="C4575" s="68"/>
      <c r="D4575" s="68">
        <v>46207.0</v>
      </c>
      <c r="E4575" s="66">
        <v>3.0</v>
      </c>
      <c r="F4575" s="66" t="str">
        <f>IFERROR(__xludf.DUMMYFUNCTION("GOOGLETRANSLATE(A4575,""en"",""pt"")"),"#VALUE!")</f>
        <v>#VALUE!</v>
      </c>
      <c r="G4575" s="69"/>
    </row>
    <row r="4576" ht="22.5" customHeight="1">
      <c r="A4576" s="66"/>
      <c r="B4576" s="67" t="str">
        <f t="shared" si="16"/>
        <v>M: </v>
      </c>
      <c r="C4576" s="68"/>
      <c r="D4576" s="68">
        <v>46207.0</v>
      </c>
      <c r="E4576" s="66">
        <v>4.0</v>
      </c>
      <c r="F4576" s="66" t="str">
        <f>IFERROR(__xludf.DUMMYFUNCTION("GOOGLETRANSLATE(A4576,""en"",""pt"")"),"#VALUE!")</f>
        <v>#VALUE!</v>
      </c>
      <c r="G4576" s="69"/>
    </row>
    <row r="4577" ht="22.5" customHeight="1">
      <c r="A4577" s="66"/>
      <c r="B4577" s="67" t="str">
        <f t="shared" si="16"/>
        <v>M: </v>
      </c>
      <c r="C4577" s="68"/>
      <c r="D4577" s="68">
        <v>46207.0</v>
      </c>
      <c r="E4577" s="66">
        <v>5.0</v>
      </c>
      <c r="F4577" s="66" t="str">
        <f>IFERROR(__xludf.DUMMYFUNCTION("GOOGLETRANSLATE(A4577,""en"",""pt"")"),"#VALUE!")</f>
        <v>#VALUE!</v>
      </c>
      <c r="G4577" s="69"/>
    </row>
    <row r="4578" ht="22.5" customHeight="1">
      <c r="A4578" s="66"/>
      <c r="B4578" s="67" t="str">
        <f t="shared" si="16"/>
        <v>M: </v>
      </c>
      <c r="C4578" s="68"/>
      <c r="D4578" s="68">
        <v>46207.0</v>
      </c>
      <c r="E4578" s="66">
        <v>6.0</v>
      </c>
      <c r="F4578" s="66" t="str">
        <f>IFERROR(__xludf.DUMMYFUNCTION("GOOGLETRANSLATE(A4578,""en"",""pt"")"),"#VALUE!")</f>
        <v>#VALUE!</v>
      </c>
      <c r="G4578" s="69"/>
    </row>
    <row r="4579" ht="22.5" customHeight="1">
      <c r="A4579" s="66"/>
      <c r="B4579" s="67" t="str">
        <f t="shared" si="16"/>
        <v>M: </v>
      </c>
      <c r="C4579" s="68"/>
      <c r="D4579" s="68">
        <v>46207.0</v>
      </c>
      <c r="E4579" s="66">
        <v>7.0</v>
      </c>
      <c r="F4579" s="66" t="str">
        <f>IFERROR(__xludf.DUMMYFUNCTION("GOOGLETRANSLATE(A4579,""en"",""pt"")"),"#VALUE!")</f>
        <v>#VALUE!</v>
      </c>
      <c r="G4579" s="69"/>
    </row>
    <row r="4580" ht="22.5" customHeight="1">
      <c r="A4580" s="66"/>
      <c r="B4580" s="67" t="str">
        <f t="shared" si="16"/>
        <v>M: </v>
      </c>
      <c r="C4580" s="68"/>
      <c r="D4580" s="68">
        <v>46207.0</v>
      </c>
      <c r="E4580" s="66">
        <v>8.0</v>
      </c>
      <c r="F4580" s="66" t="str">
        <f>IFERROR(__xludf.DUMMYFUNCTION("GOOGLETRANSLATE(A4580,""en"",""pt"")"),"#VALUE!")</f>
        <v>#VALUE!</v>
      </c>
      <c r="G4580" s="69"/>
    </row>
    <row r="4581" ht="22.5" customHeight="1">
      <c r="A4581" s="66"/>
      <c r="B4581" s="67" t="str">
        <f t="shared" si="16"/>
        <v>M: </v>
      </c>
      <c r="C4581" s="68"/>
      <c r="D4581" s="68">
        <v>46207.0</v>
      </c>
      <c r="E4581" s="66">
        <v>9.0</v>
      </c>
      <c r="F4581" s="66" t="str">
        <f>IFERROR(__xludf.DUMMYFUNCTION("GOOGLETRANSLATE(A4581,""en"",""pt"")"),"#VALUE!")</f>
        <v>#VALUE!</v>
      </c>
      <c r="G4581" s="69"/>
    </row>
    <row r="4582" ht="22.5" customHeight="1">
      <c r="A4582" s="66"/>
      <c r="B4582" s="67" t="str">
        <f t="shared" si="16"/>
        <v>M: </v>
      </c>
      <c r="C4582" s="68"/>
      <c r="D4582" s="68">
        <v>46208.0</v>
      </c>
      <c r="E4582" s="66">
        <v>10.0</v>
      </c>
      <c r="F4582" s="66" t="str">
        <f>IFERROR(__xludf.DUMMYFUNCTION("GOOGLETRANSLATE(A4582,""en"",""pt"")"),"#VALUE!")</f>
        <v>#VALUE!</v>
      </c>
      <c r="G4582" s="69"/>
    </row>
    <row r="4583" ht="22.5" customHeight="1">
      <c r="A4583" s="66"/>
      <c r="B4583" s="67" t="str">
        <f t="shared" si="16"/>
        <v>M: </v>
      </c>
      <c r="C4583" s="68"/>
      <c r="D4583" s="68">
        <v>46208.0</v>
      </c>
      <c r="E4583" s="66">
        <v>1.0</v>
      </c>
      <c r="F4583" s="66" t="str">
        <f>IFERROR(__xludf.DUMMYFUNCTION("GOOGLETRANSLATE(A4583,""en"",""pt"")"),"#VALUE!")</f>
        <v>#VALUE!</v>
      </c>
      <c r="G4583" s="69"/>
    </row>
    <row r="4584" ht="22.5" customHeight="1">
      <c r="A4584" s="66"/>
      <c r="B4584" s="67" t="str">
        <f t="shared" si="16"/>
        <v>M: </v>
      </c>
      <c r="C4584" s="68"/>
      <c r="D4584" s="68">
        <v>46208.0</v>
      </c>
      <c r="E4584" s="66">
        <v>2.0</v>
      </c>
      <c r="F4584" s="66" t="str">
        <f>IFERROR(__xludf.DUMMYFUNCTION("GOOGLETRANSLATE(A4584,""en"",""pt"")"),"#VALUE!")</f>
        <v>#VALUE!</v>
      </c>
      <c r="G4584" s="69"/>
    </row>
    <row r="4585" ht="22.5" customHeight="1">
      <c r="A4585" s="66"/>
      <c r="B4585" s="67" t="str">
        <f t="shared" si="16"/>
        <v>M: </v>
      </c>
      <c r="C4585" s="68"/>
      <c r="D4585" s="68">
        <v>46208.0</v>
      </c>
      <c r="E4585" s="66">
        <v>3.0</v>
      </c>
      <c r="F4585" s="66" t="str">
        <f>IFERROR(__xludf.DUMMYFUNCTION("GOOGLETRANSLATE(A4585,""en"",""pt"")"),"#VALUE!")</f>
        <v>#VALUE!</v>
      </c>
      <c r="G4585" s="69"/>
    </row>
    <row r="4586" ht="22.5" customHeight="1">
      <c r="A4586" s="66"/>
      <c r="B4586" s="67" t="str">
        <f t="shared" si="16"/>
        <v>M: </v>
      </c>
      <c r="C4586" s="68"/>
      <c r="D4586" s="68">
        <v>46208.0</v>
      </c>
      <c r="E4586" s="66">
        <v>4.0</v>
      </c>
      <c r="F4586" s="66" t="str">
        <f>IFERROR(__xludf.DUMMYFUNCTION("GOOGLETRANSLATE(A4586,""en"",""pt"")"),"#VALUE!")</f>
        <v>#VALUE!</v>
      </c>
      <c r="G4586" s="69"/>
    </row>
    <row r="4587" ht="22.5" customHeight="1">
      <c r="A4587" s="66"/>
      <c r="B4587" s="67" t="str">
        <f t="shared" si="16"/>
        <v>M: </v>
      </c>
      <c r="C4587" s="68"/>
      <c r="D4587" s="68">
        <v>46208.0</v>
      </c>
      <c r="E4587" s="66">
        <v>5.0</v>
      </c>
      <c r="F4587" s="66" t="str">
        <f>IFERROR(__xludf.DUMMYFUNCTION("GOOGLETRANSLATE(A4587,""en"",""pt"")"),"#VALUE!")</f>
        <v>#VALUE!</v>
      </c>
      <c r="G4587" s="69"/>
    </row>
    <row r="4588" ht="22.5" customHeight="1">
      <c r="A4588" s="66"/>
      <c r="B4588" s="67" t="str">
        <f t="shared" si="16"/>
        <v>M: </v>
      </c>
      <c r="C4588" s="68"/>
      <c r="D4588" s="68">
        <v>46208.0</v>
      </c>
      <c r="E4588" s="66">
        <v>6.0</v>
      </c>
      <c r="F4588" s="66" t="str">
        <f>IFERROR(__xludf.DUMMYFUNCTION("GOOGLETRANSLATE(A4588,""en"",""pt"")"),"#VALUE!")</f>
        <v>#VALUE!</v>
      </c>
      <c r="G4588" s="69"/>
    </row>
    <row r="4589" ht="22.5" customHeight="1">
      <c r="A4589" s="66"/>
      <c r="B4589" s="67" t="str">
        <f t="shared" si="16"/>
        <v>M: </v>
      </c>
      <c r="C4589" s="68"/>
      <c r="D4589" s="68">
        <v>46208.0</v>
      </c>
      <c r="E4589" s="66">
        <v>7.0</v>
      </c>
      <c r="F4589" s="66" t="str">
        <f>IFERROR(__xludf.DUMMYFUNCTION("GOOGLETRANSLATE(A4589,""en"",""pt"")"),"#VALUE!")</f>
        <v>#VALUE!</v>
      </c>
      <c r="G4589" s="69"/>
    </row>
    <row r="4590" ht="22.5" customHeight="1">
      <c r="A4590" s="66"/>
      <c r="B4590" s="67" t="str">
        <f t="shared" si="16"/>
        <v>M: </v>
      </c>
      <c r="C4590" s="68"/>
      <c r="D4590" s="68">
        <v>46208.0</v>
      </c>
      <c r="E4590" s="66">
        <v>8.0</v>
      </c>
      <c r="F4590" s="66" t="str">
        <f>IFERROR(__xludf.DUMMYFUNCTION("GOOGLETRANSLATE(A4590,""en"",""pt"")"),"#VALUE!")</f>
        <v>#VALUE!</v>
      </c>
      <c r="G4590" s="69"/>
    </row>
    <row r="4591" ht="22.5" customHeight="1">
      <c r="A4591" s="66"/>
      <c r="B4591" s="67" t="str">
        <f t="shared" si="16"/>
        <v>M: </v>
      </c>
      <c r="C4591" s="68"/>
      <c r="D4591" s="68">
        <v>46208.0</v>
      </c>
      <c r="E4591" s="66">
        <v>9.0</v>
      </c>
      <c r="F4591" s="66" t="str">
        <f>IFERROR(__xludf.DUMMYFUNCTION("GOOGLETRANSLATE(A4591,""en"",""pt"")"),"#VALUE!")</f>
        <v>#VALUE!</v>
      </c>
      <c r="G4591" s="69"/>
    </row>
    <row r="4592" ht="22.5" customHeight="1">
      <c r="A4592" s="66"/>
      <c r="B4592" s="67" t="str">
        <f t="shared" si="16"/>
        <v>M: </v>
      </c>
      <c r="C4592" s="68"/>
      <c r="D4592" s="68">
        <v>46209.0</v>
      </c>
      <c r="E4592" s="66">
        <v>10.0</v>
      </c>
      <c r="F4592" s="66" t="str">
        <f>IFERROR(__xludf.DUMMYFUNCTION("GOOGLETRANSLATE(A4592,""en"",""pt"")"),"#VALUE!")</f>
        <v>#VALUE!</v>
      </c>
      <c r="G4592" s="69"/>
    </row>
    <row r="4593" ht="22.5" customHeight="1">
      <c r="A4593" s="66"/>
      <c r="B4593" s="67" t="str">
        <f t="shared" si="16"/>
        <v>M: </v>
      </c>
      <c r="C4593" s="68"/>
      <c r="D4593" s="68">
        <v>46209.0</v>
      </c>
      <c r="E4593" s="66">
        <v>1.0</v>
      </c>
      <c r="F4593" s="66" t="str">
        <f>IFERROR(__xludf.DUMMYFUNCTION("GOOGLETRANSLATE(A4593,""en"",""pt"")"),"#VALUE!")</f>
        <v>#VALUE!</v>
      </c>
      <c r="G4593" s="69"/>
    </row>
    <row r="4594" ht="22.5" customHeight="1">
      <c r="A4594" s="66"/>
      <c r="B4594" s="67" t="str">
        <f t="shared" si="16"/>
        <v>M: </v>
      </c>
      <c r="C4594" s="68"/>
      <c r="D4594" s="68">
        <v>46209.0</v>
      </c>
      <c r="E4594" s="66">
        <v>2.0</v>
      </c>
      <c r="F4594" s="66" t="str">
        <f>IFERROR(__xludf.DUMMYFUNCTION("GOOGLETRANSLATE(A4594,""en"",""pt"")"),"#VALUE!")</f>
        <v>#VALUE!</v>
      </c>
      <c r="G4594" s="69"/>
    </row>
    <row r="4595" ht="22.5" customHeight="1">
      <c r="A4595" s="66"/>
      <c r="B4595" s="67" t="str">
        <f t="shared" si="16"/>
        <v>M: </v>
      </c>
      <c r="C4595" s="68"/>
      <c r="D4595" s="68">
        <v>46209.0</v>
      </c>
      <c r="E4595" s="66">
        <v>3.0</v>
      </c>
      <c r="F4595" s="66" t="str">
        <f>IFERROR(__xludf.DUMMYFUNCTION("GOOGLETRANSLATE(A4595,""en"",""pt"")"),"#VALUE!")</f>
        <v>#VALUE!</v>
      </c>
      <c r="G4595" s="69"/>
    </row>
    <row r="4596" ht="22.5" customHeight="1">
      <c r="A4596" s="66"/>
      <c r="B4596" s="67" t="str">
        <f t="shared" si="16"/>
        <v>M: </v>
      </c>
      <c r="C4596" s="68"/>
      <c r="D4596" s="68">
        <v>46209.0</v>
      </c>
      <c r="E4596" s="66">
        <v>4.0</v>
      </c>
      <c r="F4596" s="66" t="str">
        <f>IFERROR(__xludf.DUMMYFUNCTION("GOOGLETRANSLATE(A4596,""en"",""pt"")"),"#VALUE!")</f>
        <v>#VALUE!</v>
      </c>
      <c r="G4596" s="69"/>
    </row>
    <row r="4597" ht="22.5" customHeight="1">
      <c r="A4597" s="66"/>
      <c r="B4597" s="67" t="str">
        <f t="shared" si="16"/>
        <v>M: </v>
      </c>
      <c r="C4597" s="68"/>
      <c r="D4597" s="68">
        <v>46209.0</v>
      </c>
      <c r="E4597" s="66">
        <v>5.0</v>
      </c>
      <c r="F4597" s="66" t="str">
        <f>IFERROR(__xludf.DUMMYFUNCTION("GOOGLETRANSLATE(A4597,""en"",""pt"")"),"#VALUE!")</f>
        <v>#VALUE!</v>
      </c>
      <c r="G4597" s="69"/>
    </row>
    <row r="4598" ht="22.5" customHeight="1">
      <c r="A4598" s="66"/>
      <c r="B4598" s="67" t="str">
        <f t="shared" si="16"/>
        <v>M: </v>
      </c>
      <c r="C4598" s="68"/>
      <c r="D4598" s="68">
        <v>46209.0</v>
      </c>
      <c r="E4598" s="66">
        <v>6.0</v>
      </c>
      <c r="F4598" s="66" t="str">
        <f>IFERROR(__xludf.DUMMYFUNCTION("GOOGLETRANSLATE(A4598,""en"",""pt"")"),"#VALUE!")</f>
        <v>#VALUE!</v>
      </c>
      <c r="G4598" s="69"/>
    </row>
    <row r="4599" ht="22.5" customHeight="1">
      <c r="A4599" s="66"/>
      <c r="B4599" s="67" t="str">
        <f t="shared" si="16"/>
        <v>M: </v>
      </c>
      <c r="C4599" s="68"/>
      <c r="D4599" s="68">
        <v>46209.0</v>
      </c>
      <c r="E4599" s="66">
        <v>7.0</v>
      </c>
      <c r="F4599" s="66" t="str">
        <f>IFERROR(__xludf.DUMMYFUNCTION("GOOGLETRANSLATE(A4599,""en"",""pt"")"),"#VALUE!")</f>
        <v>#VALUE!</v>
      </c>
      <c r="G4599" s="69"/>
    </row>
    <row r="4600" ht="22.5" customHeight="1">
      <c r="A4600" s="66"/>
      <c r="B4600" s="67" t="str">
        <f t="shared" si="16"/>
        <v>M: </v>
      </c>
      <c r="C4600" s="68"/>
      <c r="D4600" s="68">
        <v>46209.0</v>
      </c>
      <c r="E4600" s="66">
        <v>8.0</v>
      </c>
      <c r="F4600" s="66" t="str">
        <f>IFERROR(__xludf.DUMMYFUNCTION("GOOGLETRANSLATE(A4600,""en"",""pt"")"),"#VALUE!")</f>
        <v>#VALUE!</v>
      </c>
      <c r="G4600" s="69"/>
    </row>
    <row r="4601" ht="22.5" customHeight="1">
      <c r="A4601" s="66"/>
      <c r="B4601" s="67" t="str">
        <f t="shared" si="16"/>
        <v>M: </v>
      </c>
      <c r="C4601" s="68"/>
      <c r="D4601" s="68">
        <v>46209.0</v>
      </c>
      <c r="E4601" s="66">
        <v>9.0</v>
      </c>
      <c r="F4601" s="66" t="str">
        <f>IFERROR(__xludf.DUMMYFUNCTION("GOOGLETRANSLATE(A4601,""en"",""pt"")"),"#VALUE!")</f>
        <v>#VALUE!</v>
      </c>
      <c r="G4601" s="69"/>
    </row>
    <row r="4602" ht="22.5" customHeight="1">
      <c r="A4602" s="66"/>
      <c r="B4602" s="67" t="str">
        <f t="shared" si="16"/>
        <v>M: </v>
      </c>
      <c r="C4602" s="68"/>
      <c r="D4602" s="68">
        <v>46210.0</v>
      </c>
      <c r="E4602" s="66">
        <v>10.0</v>
      </c>
      <c r="F4602" s="66" t="str">
        <f>IFERROR(__xludf.DUMMYFUNCTION("GOOGLETRANSLATE(A4602,""en"",""pt"")"),"#VALUE!")</f>
        <v>#VALUE!</v>
      </c>
      <c r="G4602" s="69"/>
    </row>
    <row r="4603" ht="22.5" customHeight="1">
      <c r="A4603" s="66"/>
      <c r="B4603" s="67" t="str">
        <f t="shared" si="16"/>
        <v>M: </v>
      </c>
      <c r="C4603" s="68"/>
      <c r="D4603" s="68">
        <v>46210.0</v>
      </c>
      <c r="E4603" s="66">
        <v>1.0</v>
      </c>
      <c r="F4603" s="66" t="str">
        <f>IFERROR(__xludf.DUMMYFUNCTION("GOOGLETRANSLATE(A4603,""en"",""pt"")"),"#VALUE!")</f>
        <v>#VALUE!</v>
      </c>
      <c r="G4603" s="69"/>
    </row>
    <row r="4604" ht="22.5" customHeight="1">
      <c r="A4604" s="66"/>
      <c r="B4604" s="67" t="str">
        <f t="shared" si="16"/>
        <v>M: </v>
      </c>
      <c r="C4604" s="68"/>
      <c r="D4604" s="68">
        <v>46210.0</v>
      </c>
      <c r="E4604" s="66">
        <v>2.0</v>
      </c>
      <c r="F4604" s="66" t="str">
        <f>IFERROR(__xludf.DUMMYFUNCTION("GOOGLETRANSLATE(A4604,""en"",""pt"")"),"#VALUE!")</f>
        <v>#VALUE!</v>
      </c>
      <c r="G4604" s="69"/>
    </row>
    <row r="4605" ht="22.5" customHeight="1">
      <c r="A4605" s="66"/>
      <c r="B4605" s="67" t="str">
        <f t="shared" si="16"/>
        <v>M: </v>
      </c>
      <c r="C4605" s="68"/>
      <c r="D4605" s="68">
        <v>46210.0</v>
      </c>
      <c r="E4605" s="66">
        <v>3.0</v>
      </c>
      <c r="F4605" s="66" t="str">
        <f>IFERROR(__xludf.DUMMYFUNCTION("GOOGLETRANSLATE(A4605,""en"",""pt"")"),"#VALUE!")</f>
        <v>#VALUE!</v>
      </c>
      <c r="G4605" s="69"/>
    </row>
    <row r="4606" ht="22.5" customHeight="1">
      <c r="A4606" s="66"/>
      <c r="B4606" s="67" t="str">
        <f t="shared" si="16"/>
        <v>M: </v>
      </c>
      <c r="C4606" s="68"/>
      <c r="D4606" s="68">
        <v>46210.0</v>
      </c>
      <c r="E4606" s="66">
        <v>4.0</v>
      </c>
      <c r="F4606" s="66" t="str">
        <f>IFERROR(__xludf.DUMMYFUNCTION("GOOGLETRANSLATE(A4606,""en"",""pt"")"),"#VALUE!")</f>
        <v>#VALUE!</v>
      </c>
      <c r="G4606" s="69"/>
    </row>
    <row r="4607" ht="22.5" customHeight="1">
      <c r="A4607" s="66"/>
      <c r="B4607" s="67" t="str">
        <f t="shared" si="16"/>
        <v>M: </v>
      </c>
      <c r="C4607" s="68"/>
      <c r="D4607" s="68">
        <v>46210.0</v>
      </c>
      <c r="E4607" s="66">
        <v>5.0</v>
      </c>
      <c r="F4607" s="66" t="str">
        <f>IFERROR(__xludf.DUMMYFUNCTION("GOOGLETRANSLATE(A4607,""en"",""pt"")"),"#VALUE!")</f>
        <v>#VALUE!</v>
      </c>
      <c r="G4607" s="69"/>
    </row>
    <row r="4608" ht="22.5" customHeight="1">
      <c r="A4608" s="66"/>
      <c r="B4608" s="67" t="str">
        <f t="shared" si="16"/>
        <v>M: </v>
      </c>
      <c r="C4608" s="68"/>
      <c r="D4608" s="68">
        <v>46210.0</v>
      </c>
      <c r="E4608" s="66">
        <v>6.0</v>
      </c>
      <c r="F4608" s="66" t="str">
        <f>IFERROR(__xludf.DUMMYFUNCTION("GOOGLETRANSLATE(A4608,""en"",""pt"")"),"#VALUE!")</f>
        <v>#VALUE!</v>
      </c>
      <c r="G4608" s="69"/>
    </row>
    <row r="4609" ht="22.5" customHeight="1">
      <c r="A4609" s="66"/>
      <c r="B4609" s="67" t="str">
        <f t="shared" si="16"/>
        <v>M: </v>
      </c>
      <c r="C4609" s="68"/>
      <c r="D4609" s="68">
        <v>46210.0</v>
      </c>
      <c r="E4609" s="66">
        <v>7.0</v>
      </c>
      <c r="F4609" s="66" t="str">
        <f>IFERROR(__xludf.DUMMYFUNCTION("GOOGLETRANSLATE(A4609,""en"",""pt"")"),"#VALUE!")</f>
        <v>#VALUE!</v>
      </c>
      <c r="G4609" s="69"/>
    </row>
    <row r="4610" ht="22.5" customHeight="1">
      <c r="A4610" s="66"/>
      <c r="B4610" s="67" t="str">
        <f t="shared" si="16"/>
        <v>M: </v>
      </c>
      <c r="C4610" s="68"/>
      <c r="D4610" s="68">
        <v>46210.0</v>
      </c>
      <c r="E4610" s="66">
        <v>8.0</v>
      </c>
      <c r="F4610" s="66" t="str">
        <f>IFERROR(__xludf.DUMMYFUNCTION("GOOGLETRANSLATE(A4610,""en"",""pt"")"),"#VALUE!")</f>
        <v>#VALUE!</v>
      </c>
      <c r="G4610" s="69"/>
    </row>
    <row r="4611" ht="22.5" customHeight="1">
      <c r="A4611" s="66"/>
      <c r="B4611" s="67" t="str">
        <f t="shared" si="16"/>
        <v>M: </v>
      </c>
      <c r="C4611" s="68"/>
      <c r="D4611" s="68">
        <v>46210.0</v>
      </c>
      <c r="E4611" s="66">
        <v>9.0</v>
      </c>
      <c r="F4611" s="66" t="str">
        <f>IFERROR(__xludf.DUMMYFUNCTION("GOOGLETRANSLATE(A4611,""en"",""pt"")"),"#VALUE!")</f>
        <v>#VALUE!</v>
      </c>
      <c r="G4611" s="69"/>
    </row>
    <row r="4612" ht="22.5" customHeight="1">
      <c r="A4612" s="66"/>
      <c r="B4612" s="67" t="str">
        <f t="shared" si="16"/>
        <v>M: </v>
      </c>
      <c r="C4612" s="68"/>
      <c r="D4612" s="68">
        <v>46211.0</v>
      </c>
      <c r="E4612" s="66">
        <v>10.0</v>
      </c>
      <c r="F4612" s="66" t="str">
        <f>IFERROR(__xludf.DUMMYFUNCTION("GOOGLETRANSLATE(A4612,""en"",""pt"")"),"#VALUE!")</f>
        <v>#VALUE!</v>
      </c>
      <c r="G4612" s="69"/>
    </row>
    <row r="4613" ht="22.5" customHeight="1">
      <c r="A4613" s="66"/>
      <c r="B4613" s="67" t="str">
        <f t="shared" si="16"/>
        <v>M: </v>
      </c>
      <c r="C4613" s="68"/>
      <c r="D4613" s="68">
        <v>46211.0</v>
      </c>
      <c r="E4613" s="66">
        <v>1.0</v>
      </c>
      <c r="F4613" s="66" t="str">
        <f>IFERROR(__xludf.DUMMYFUNCTION("GOOGLETRANSLATE(A4613,""en"",""pt"")"),"#VALUE!")</f>
        <v>#VALUE!</v>
      </c>
      <c r="G4613" s="69"/>
    </row>
    <row r="4614" ht="22.5" customHeight="1">
      <c r="A4614" s="66"/>
      <c r="B4614" s="67" t="str">
        <f t="shared" si="16"/>
        <v>M: </v>
      </c>
      <c r="C4614" s="68"/>
      <c r="D4614" s="68">
        <v>46211.0</v>
      </c>
      <c r="E4614" s="66">
        <v>2.0</v>
      </c>
      <c r="F4614" s="66" t="str">
        <f>IFERROR(__xludf.DUMMYFUNCTION("GOOGLETRANSLATE(A4614,""en"",""pt"")"),"#VALUE!")</f>
        <v>#VALUE!</v>
      </c>
      <c r="G4614" s="69"/>
    </row>
    <row r="4615" ht="22.5" customHeight="1">
      <c r="A4615" s="66"/>
      <c r="B4615" s="67" t="str">
        <f t="shared" si="16"/>
        <v>M: </v>
      </c>
      <c r="C4615" s="68"/>
      <c r="D4615" s="68">
        <v>46211.0</v>
      </c>
      <c r="E4615" s="66">
        <v>3.0</v>
      </c>
      <c r="F4615" s="66" t="str">
        <f>IFERROR(__xludf.DUMMYFUNCTION("GOOGLETRANSLATE(A4615,""en"",""pt"")"),"#VALUE!")</f>
        <v>#VALUE!</v>
      </c>
      <c r="G4615" s="69"/>
    </row>
    <row r="4616" ht="22.5" customHeight="1">
      <c r="A4616" s="66"/>
      <c r="B4616" s="67" t="str">
        <f t="shared" si="16"/>
        <v>M: </v>
      </c>
      <c r="C4616" s="68"/>
      <c r="D4616" s="68">
        <v>46211.0</v>
      </c>
      <c r="E4616" s="66">
        <v>4.0</v>
      </c>
      <c r="F4616" s="66" t="str">
        <f>IFERROR(__xludf.DUMMYFUNCTION("GOOGLETRANSLATE(A4616,""en"",""pt"")"),"#VALUE!")</f>
        <v>#VALUE!</v>
      </c>
      <c r="G4616" s="69"/>
    </row>
    <row r="4617" ht="22.5" customHeight="1">
      <c r="A4617" s="66"/>
      <c r="B4617" s="67" t="str">
        <f t="shared" si="16"/>
        <v>M: </v>
      </c>
      <c r="C4617" s="68"/>
      <c r="D4617" s="68">
        <v>46211.0</v>
      </c>
      <c r="E4617" s="66">
        <v>5.0</v>
      </c>
      <c r="F4617" s="66" t="str">
        <f>IFERROR(__xludf.DUMMYFUNCTION("GOOGLETRANSLATE(A4617,""en"",""pt"")"),"#VALUE!")</f>
        <v>#VALUE!</v>
      </c>
      <c r="G4617" s="69"/>
    </row>
    <row r="4618" ht="22.5" customHeight="1">
      <c r="A4618" s="66"/>
      <c r="B4618" s="67" t="str">
        <f t="shared" si="16"/>
        <v>M: </v>
      </c>
      <c r="C4618" s="68"/>
      <c r="D4618" s="68">
        <v>46211.0</v>
      </c>
      <c r="E4618" s="66">
        <v>6.0</v>
      </c>
      <c r="F4618" s="66" t="str">
        <f>IFERROR(__xludf.DUMMYFUNCTION("GOOGLETRANSLATE(A4618,""en"",""pt"")"),"#VALUE!")</f>
        <v>#VALUE!</v>
      </c>
      <c r="G4618" s="69"/>
    </row>
    <row r="4619" ht="22.5" customHeight="1">
      <c r="A4619" s="66"/>
      <c r="B4619" s="67" t="str">
        <f t="shared" si="16"/>
        <v>M: </v>
      </c>
      <c r="C4619" s="68"/>
      <c r="D4619" s="68">
        <v>46211.0</v>
      </c>
      <c r="E4619" s="66">
        <v>7.0</v>
      </c>
      <c r="F4619" s="66" t="str">
        <f>IFERROR(__xludf.DUMMYFUNCTION("GOOGLETRANSLATE(A4619,""en"",""pt"")"),"#VALUE!")</f>
        <v>#VALUE!</v>
      </c>
      <c r="G4619" s="69"/>
    </row>
    <row r="4620" ht="22.5" customHeight="1">
      <c r="A4620" s="66"/>
      <c r="B4620" s="67" t="str">
        <f t="shared" si="16"/>
        <v>M: </v>
      </c>
      <c r="C4620" s="68"/>
      <c r="D4620" s="68">
        <v>46211.0</v>
      </c>
      <c r="E4620" s="66">
        <v>8.0</v>
      </c>
      <c r="F4620" s="66" t="str">
        <f>IFERROR(__xludf.DUMMYFUNCTION("GOOGLETRANSLATE(A4620,""en"",""pt"")"),"#VALUE!")</f>
        <v>#VALUE!</v>
      </c>
      <c r="G4620" s="69"/>
    </row>
    <row r="4621" ht="22.5" customHeight="1">
      <c r="A4621" s="66"/>
      <c r="B4621" s="67" t="str">
        <f t="shared" si="16"/>
        <v>M: </v>
      </c>
      <c r="C4621" s="68"/>
      <c r="D4621" s="68">
        <v>46211.0</v>
      </c>
      <c r="E4621" s="66">
        <v>9.0</v>
      </c>
      <c r="F4621" s="66" t="str">
        <f>IFERROR(__xludf.DUMMYFUNCTION("GOOGLETRANSLATE(A4621,""en"",""pt"")"),"#VALUE!")</f>
        <v>#VALUE!</v>
      </c>
      <c r="G4621" s="69"/>
    </row>
    <row r="4622" ht="22.5" customHeight="1">
      <c r="A4622" s="66"/>
      <c r="B4622" s="67" t="str">
        <f t="shared" si="16"/>
        <v>M: </v>
      </c>
      <c r="C4622" s="68"/>
      <c r="D4622" s="68">
        <v>46212.0</v>
      </c>
      <c r="E4622" s="66">
        <v>10.0</v>
      </c>
      <c r="F4622" s="66" t="str">
        <f>IFERROR(__xludf.DUMMYFUNCTION("GOOGLETRANSLATE(A4622,""en"",""pt"")"),"#VALUE!")</f>
        <v>#VALUE!</v>
      </c>
      <c r="G4622" s="69"/>
    </row>
    <row r="4623" ht="22.5" customHeight="1">
      <c r="A4623" s="66"/>
      <c r="B4623" s="67" t="str">
        <f t="shared" si="16"/>
        <v>M: </v>
      </c>
      <c r="C4623" s="68"/>
      <c r="D4623" s="68">
        <v>46212.0</v>
      </c>
      <c r="E4623" s="66">
        <v>1.0</v>
      </c>
      <c r="F4623" s="66" t="str">
        <f>IFERROR(__xludf.DUMMYFUNCTION("GOOGLETRANSLATE(A4623,""en"",""pt"")"),"#VALUE!")</f>
        <v>#VALUE!</v>
      </c>
      <c r="G4623" s="69"/>
    </row>
    <row r="4624" ht="22.5" customHeight="1">
      <c r="A4624" s="66"/>
      <c r="B4624" s="67" t="str">
        <f t="shared" si="16"/>
        <v>M: </v>
      </c>
      <c r="C4624" s="68"/>
      <c r="D4624" s="68">
        <v>46212.0</v>
      </c>
      <c r="E4624" s="66">
        <v>2.0</v>
      </c>
      <c r="F4624" s="66" t="str">
        <f>IFERROR(__xludf.DUMMYFUNCTION("GOOGLETRANSLATE(A4624,""en"",""pt"")"),"#VALUE!")</f>
        <v>#VALUE!</v>
      </c>
      <c r="G4624" s="69"/>
    </row>
    <row r="4625" ht="22.5" customHeight="1">
      <c r="A4625" s="66"/>
      <c r="B4625" s="67" t="str">
        <f t="shared" si="16"/>
        <v>M: </v>
      </c>
      <c r="C4625" s="68"/>
      <c r="D4625" s="68">
        <v>46212.0</v>
      </c>
      <c r="E4625" s="66">
        <v>3.0</v>
      </c>
      <c r="F4625" s="66" t="str">
        <f>IFERROR(__xludf.DUMMYFUNCTION("GOOGLETRANSLATE(A4625,""en"",""pt"")"),"#VALUE!")</f>
        <v>#VALUE!</v>
      </c>
      <c r="G4625" s="69"/>
    </row>
    <row r="4626" ht="22.5" customHeight="1">
      <c r="A4626" s="66"/>
      <c r="B4626" s="67" t="str">
        <f t="shared" si="16"/>
        <v>M: </v>
      </c>
      <c r="C4626" s="68"/>
      <c r="D4626" s="68">
        <v>46212.0</v>
      </c>
      <c r="E4626" s="66">
        <v>4.0</v>
      </c>
      <c r="F4626" s="66" t="str">
        <f>IFERROR(__xludf.DUMMYFUNCTION("GOOGLETRANSLATE(A4626,""en"",""pt"")"),"#VALUE!")</f>
        <v>#VALUE!</v>
      </c>
      <c r="G4626" s="69"/>
    </row>
    <row r="4627" ht="22.5" customHeight="1">
      <c r="A4627" s="66"/>
      <c r="B4627" s="67" t="str">
        <f t="shared" si="16"/>
        <v>M: </v>
      </c>
      <c r="C4627" s="68"/>
      <c r="D4627" s="68">
        <v>46212.0</v>
      </c>
      <c r="E4627" s="66">
        <v>5.0</v>
      </c>
      <c r="F4627" s="66" t="str">
        <f>IFERROR(__xludf.DUMMYFUNCTION("GOOGLETRANSLATE(A4627,""en"",""pt"")"),"#VALUE!")</f>
        <v>#VALUE!</v>
      </c>
      <c r="G4627" s="69"/>
    </row>
    <row r="4628" ht="22.5" customHeight="1">
      <c r="A4628" s="66"/>
      <c r="B4628" s="67" t="str">
        <f t="shared" si="16"/>
        <v>M: </v>
      </c>
      <c r="C4628" s="68"/>
      <c r="D4628" s="68">
        <v>46212.0</v>
      </c>
      <c r="E4628" s="66">
        <v>6.0</v>
      </c>
      <c r="F4628" s="66" t="str">
        <f>IFERROR(__xludf.DUMMYFUNCTION("GOOGLETRANSLATE(A4628,""en"",""pt"")"),"#VALUE!")</f>
        <v>#VALUE!</v>
      </c>
      <c r="G4628" s="69"/>
    </row>
    <row r="4629" ht="22.5" customHeight="1">
      <c r="A4629" s="66"/>
      <c r="B4629" s="67" t="str">
        <f t="shared" si="16"/>
        <v>M: </v>
      </c>
      <c r="C4629" s="68"/>
      <c r="D4629" s="68">
        <v>46212.0</v>
      </c>
      <c r="E4629" s="66">
        <v>7.0</v>
      </c>
      <c r="F4629" s="66" t="str">
        <f>IFERROR(__xludf.DUMMYFUNCTION("GOOGLETRANSLATE(A4629,""en"",""pt"")"),"#VALUE!")</f>
        <v>#VALUE!</v>
      </c>
      <c r="G4629" s="69"/>
    </row>
    <row r="4630" ht="22.5" customHeight="1">
      <c r="A4630" s="66"/>
      <c r="B4630" s="67" t="str">
        <f t="shared" si="16"/>
        <v>M: </v>
      </c>
      <c r="C4630" s="68"/>
      <c r="D4630" s="68">
        <v>46212.0</v>
      </c>
      <c r="E4630" s="66">
        <v>8.0</v>
      </c>
      <c r="F4630" s="66" t="str">
        <f>IFERROR(__xludf.DUMMYFUNCTION("GOOGLETRANSLATE(A4630,""en"",""pt"")"),"#VALUE!")</f>
        <v>#VALUE!</v>
      </c>
      <c r="G4630" s="69"/>
    </row>
    <row r="4631" ht="22.5" customHeight="1">
      <c r="A4631" s="66"/>
      <c r="B4631" s="67" t="str">
        <f t="shared" si="16"/>
        <v>M: </v>
      </c>
      <c r="C4631" s="68"/>
      <c r="D4631" s="68">
        <v>46212.0</v>
      </c>
      <c r="E4631" s="66">
        <v>9.0</v>
      </c>
      <c r="F4631" s="66" t="str">
        <f>IFERROR(__xludf.DUMMYFUNCTION("GOOGLETRANSLATE(A4631,""en"",""pt"")"),"#VALUE!")</f>
        <v>#VALUE!</v>
      </c>
      <c r="G4631" s="69"/>
    </row>
    <row r="4632" ht="22.5" customHeight="1">
      <c r="A4632" s="66"/>
      <c r="B4632" s="67" t="str">
        <f t="shared" si="16"/>
        <v>M: </v>
      </c>
      <c r="C4632" s="68"/>
      <c r="D4632" s="68">
        <v>46213.0</v>
      </c>
      <c r="E4632" s="66">
        <v>10.0</v>
      </c>
      <c r="F4632" s="66" t="str">
        <f>IFERROR(__xludf.DUMMYFUNCTION("GOOGLETRANSLATE(A4632,""en"",""pt"")"),"#VALUE!")</f>
        <v>#VALUE!</v>
      </c>
      <c r="G4632" s="69"/>
    </row>
    <row r="4633" ht="22.5" customHeight="1">
      <c r="A4633" s="66"/>
      <c r="B4633" s="67" t="str">
        <f t="shared" si="16"/>
        <v>M: </v>
      </c>
      <c r="C4633" s="68"/>
      <c r="D4633" s="68">
        <v>46213.0</v>
      </c>
      <c r="E4633" s="66">
        <v>1.0</v>
      </c>
      <c r="F4633" s="66" t="str">
        <f>IFERROR(__xludf.DUMMYFUNCTION("GOOGLETRANSLATE(A4633,""en"",""pt"")"),"#VALUE!")</f>
        <v>#VALUE!</v>
      </c>
      <c r="G4633" s="69"/>
    </row>
    <row r="4634" ht="22.5" customHeight="1">
      <c r="A4634" s="66"/>
      <c r="B4634" s="67" t="str">
        <f t="shared" si="16"/>
        <v>M: </v>
      </c>
      <c r="C4634" s="68"/>
      <c r="D4634" s="68">
        <v>46213.0</v>
      </c>
      <c r="E4634" s="66">
        <v>2.0</v>
      </c>
      <c r="F4634" s="66" t="str">
        <f>IFERROR(__xludf.DUMMYFUNCTION("GOOGLETRANSLATE(A4634,""en"",""pt"")"),"#VALUE!")</f>
        <v>#VALUE!</v>
      </c>
      <c r="G4634" s="69"/>
    </row>
    <row r="4635" ht="22.5" customHeight="1">
      <c r="A4635" s="66"/>
      <c r="B4635" s="67" t="str">
        <f t="shared" si="16"/>
        <v>M: </v>
      </c>
      <c r="C4635" s="68"/>
      <c r="D4635" s="68">
        <v>46213.0</v>
      </c>
      <c r="E4635" s="66">
        <v>3.0</v>
      </c>
      <c r="F4635" s="66" t="str">
        <f>IFERROR(__xludf.DUMMYFUNCTION("GOOGLETRANSLATE(A4635,""en"",""pt"")"),"#VALUE!")</f>
        <v>#VALUE!</v>
      </c>
      <c r="G4635" s="69"/>
    </row>
    <row r="4636" ht="22.5" customHeight="1">
      <c r="A4636" s="66"/>
      <c r="B4636" s="67" t="str">
        <f t="shared" si="16"/>
        <v>M: </v>
      </c>
      <c r="C4636" s="68"/>
      <c r="D4636" s="68">
        <v>46213.0</v>
      </c>
      <c r="E4636" s="66">
        <v>4.0</v>
      </c>
      <c r="F4636" s="66" t="str">
        <f>IFERROR(__xludf.DUMMYFUNCTION("GOOGLETRANSLATE(A4636,""en"",""pt"")"),"#VALUE!")</f>
        <v>#VALUE!</v>
      </c>
      <c r="G4636" s="69"/>
    </row>
    <row r="4637" ht="22.5" customHeight="1">
      <c r="A4637" s="66"/>
      <c r="B4637" s="67" t="str">
        <f t="shared" si="16"/>
        <v>M: </v>
      </c>
      <c r="C4637" s="68"/>
      <c r="D4637" s="68">
        <v>46213.0</v>
      </c>
      <c r="E4637" s="66">
        <v>5.0</v>
      </c>
      <c r="F4637" s="66" t="str">
        <f>IFERROR(__xludf.DUMMYFUNCTION("GOOGLETRANSLATE(A4637,""en"",""pt"")"),"#VALUE!")</f>
        <v>#VALUE!</v>
      </c>
      <c r="G4637" s="69"/>
    </row>
    <row r="4638" ht="22.5" customHeight="1">
      <c r="A4638" s="66"/>
      <c r="B4638" s="67" t="str">
        <f t="shared" si="16"/>
        <v>M: </v>
      </c>
      <c r="C4638" s="68"/>
      <c r="D4638" s="68">
        <v>46213.0</v>
      </c>
      <c r="E4638" s="66">
        <v>6.0</v>
      </c>
      <c r="F4638" s="66" t="str">
        <f>IFERROR(__xludf.DUMMYFUNCTION("GOOGLETRANSLATE(A4638,""en"",""pt"")"),"#VALUE!")</f>
        <v>#VALUE!</v>
      </c>
      <c r="G4638" s="69"/>
    </row>
    <row r="4639" ht="22.5" customHeight="1">
      <c r="A4639" s="66"/>
      <c r="B4639" s="67" t="str">
        <f t="shared" si="16"/>
        <v>M: </v>
      </c>
      <c r="C4639" s="68"/>
      <c r="D4639" s="68">
        <v>46213.0</v>
      </c>
      <c r="E4639" s="66">
        <v>7.0</v>
      </c>
      <c r="F4639" s="66" t="str">
        <f>IFERROR(__xludf.DUMMYFUNCTION("GOOGLETRANSLATE(A4639,""en"",""pt"")"),"#VALUE!")</f>
        <v>#VALUE!</v>
      </c>
      <c r="G4639" s="69"/>
    </row>
    <row r="4640" ht="22.5" customHeight="1">
      <c r="A4640" s="66"/>
      <c r="B4640" s="67" t="str">
        <f t="shared" si="16"/>
        <v>M: </v>
      </c>
      <c r="C4640" s="68"/>
      <c r="D4640" s="68">
        <v>46213.0</v>
      </c>
      <c r="E4640" s="66">
        <v>8.0</v>
      </c>
      <c r="F4640" s="66" t="str">
        <f>IFERROR(__xludf.DUMMYFUNCTION("GOOGLETRANSLATE(A4640,""en"",""pt"")"),"#VALUE!")</f>
        <v>#VALUE!</v>
      </c>
      <c r="G4640" s="69"/>
    </row>
    <row r="4641" ht="22.5" customHeight="1">
      <c r="A4641" s="66"/>
      <c r="B4641" s="67" t="str">
        <f t="shared" si="16"/>
        <v>M: </v>
      </c>
      <c r="C4641" s="68"/>
      <c r="D4641" s="68">
        <v>46213.0</v>
      </c>
      <c r="E4641" s="66">
        <v>9.0</v>
      </c>
      <c r="F4641" s="66" t="str">
        <f>IFERROR(__xludf.DUMMYFUNCTION("GOOGLETRANSLATE(A4641,""en"",""pt"")"),"#VALUE!")</f>
        <v>#VALUE!</v>
      </c>
      <c r="G4641" s="69"/>
    </row>
    <row r="4642" ht="22.5" customHeight="1">
      <c r="A4642" s="66"/>
      <c r="B4642" s="67" t="str">
        <f t="shared" si="16"/>
        <v>M: </v>
      </c>
      <c r="C4642" s="68"/>
      <c r="D4642" s="68">
        <v>46214.0</v>
      </c>
      <c r="E4642" s="66">
        <v>10.0</v>
      </c>
      <c r="F4642" s="66" t="str">
        <f>IFERROR(__xludf.DUMMYFUNCTION("GOOGLETRANSLATE(A4642,""en"",""pt"")"),"#VALUE!")</f>
        <v>#VALUE!</v>
      </c>
      <c r="G4642" s="69"/>
    </row>
    <row r="4643" ht="22.5" customHeight="1">
      <c r="A4643" s="66"/>
      <c r="B4643" s="67" t="str">
        <f t="shared" si="16"/>
        <v>M: </v>
      </c>
      <c r="C4643" s="68"/>
      <c r="D4643" s="68">
        <v>46214.0</v>
      </c>
      <c r="E4643" s="66">
        <v>1.0</v>
      </c>
      <c r="F4643" s="66" t="str">
        <f>IFERROR(__xludf.DUMMYFUNCTION("GOOGLETRANSLATE(A4643,""en"",""pt"")"),"#VALUE!")</f>
        <v>#VALUE!</v>
      </c>
      <c r="G4643" s="69"/>
    </row>
    <row r="4644" ht="22.5" customHeight="1">
      <c r="A4644" s="66"/>
      <c r="B4644" s="67" t="str">
        <f t="shared" si="16"/>
        <v>M: </v>
      </c>
      <c r="C4644" s="68"/>
      <c r="D4644" s="68">
        <v>46214.0</v>
      </c>
      <c r="E4644" s="66">
        <v>2.0</v>
      </c>
      <c r="F4644" s="66" t="str">
        <f>IFERROR(__xludf.DUMMYFUNCTION("GOOGLETRANSLATE(A4644,""en"",""pt"")"),"#VALUE!")</f>
        <v>#VALUE!</v>
      </c>
      <c r="G4644" s="69"/>
    </row>
    <row r="4645" ht="22.5" customHeight="1">
      <c r="A4645" s="66"/>
      <c r="B4645" s="67" t="str">
        <f t="shared" si="16"/>
        <v>M: </v>
      </c>
      <c r="C4645" s="68"/>
      <c r="D4645" s="68">
        <v>46214.0</v>
      </c>
      <c r="E4645" s="66">
        <v>3.0</v>
      </c>
      <c r="F4645" s="66" t="str">
        <f>IFERROR(__xludf.DUMMYFUNCTION("GOOGLETRANSLATE(A4645,""en"",""pt"")"),"#VALUE!")</f>
        <v>#VALUE!</v>
      </c>
      <c r="G4645" s="69"/>
    </row>
    <row r="4646" ht="22.5" customHeight="1">
      <c r="A4646" s="66"/>
      <c r="B4646" s="67" t="str">
        <f t="shared" si="16"/>
        <v>M: </v>
      </c>
      <c r="C4646" s="68"/>
      <c r="D4646" s="68">
        <v>46214.0</v>
      </c>
      <c r="E4646" s="66">
        <v>4.0</v>
      </c>
      <c r="F4646" s="66" t="str">
        <f>IFERROR(__xludf.DUMMYFUNCTION("GOOGLETRANSLATE(A4646,""en"",""pt"")"),"#VALUE!")</f>
        <v>#VALUE!</v>
      </c>
      <c r="G4646" s="69"/>
    </row>
    <row r="4647" ht="22.5" customHeight="1">
      <c r="A4647" s="66"/>
      <c r="B4647" s="67" t="str">
        <f t="shared" si="16"/>
        <v>M: </v>
      </c>
      <c r="C4647" s="68"/>
      <c r="D4647" s="68">
        <v>46214.0</v>
      </c>
      <c r="E4647" s="66">
        <v>5.0</v>
      </c>
      <c r="F4647" s="66" t="str">
        <f>IFERROR(__xludf.DUMMYFUNCTION("GOOGLETRANSLATE(A4647,""en"",""pt"")"),"#VALUE!")</f>
        <v>#VALUE!</v>
      </c>
      <c r="G4647" s="69"/>
    </row>
    <row r="4648" ht="22.5" customHeight="1">
      <c r="A4648" s="66"/>
      <c r="B4648" s="67" t="str">
        <f t="shared" si="16"/>
        <v>M: </v>
      </c>
      <c r="C4648" s="68"/>
      <c r="D4648" s="68">
        <v>46214.0</v>
      </c>
      <c r="E4648" s="66">
        <v>6.0</v>
      </c>
      <c r="F4648" s="66" t="str">
        <f>IFERROR(__xludf.DUMMYFUNCTION("GOOGLETRANSLATE(A4648,""en"",""pt"")"),"#VALUE!")</f>
        <v>#VALUE!</v>
      </c>
      <c r="G4648" s="69"/>
    </row>
    <row r="4649" ht="22.5" customHeight="1">
      <c r="A4649" s="66"/>
      <c r="B4649" s="67" t="str">
        <f t="shared" si="16"/>
        <v>M: </v>
      </c>
      <c r="C4649" s="68"/>
      <c r="D4649" s="68">
        <v>46214.0</v>
      </c>
      <c r="E4649" s="66">
        <v>7.0</v>
      </c>
      <c r="F4649" s="66" t="str">
        <f>IFERROR(__xludf.DUMMYFUNCTION("GOOGLETRANSLATE(A4649,""en"",""pt"")"),"#VALUE!")</f>
        <v>#VALUE!</v>
      </c>
      <c r="G4649" s="69"/>
    </row>
    <row r="4650" ht="22.5" customHeight="1">
      <c r="A4650" s="66"/>
      <c r="B4650" s="67" t="str">
        <f t="shared" si="16"/>
        <v>M: </v>
      </c>
      <c r="C4650" s="68"/>
      <c r="D4650" s="68">
        <v>46214.0</v>
      </c>
      <c r="E4650" s="66">
        <v>8.0</v>
      </c>
      <c r="F4650" s="66" t="str">
        <f>IFERROR(__xludf.DUMMYFUNCTION("GOOGLETRANSLATE(A4650,""en"",""pt"")"),"#VALUE!")</f>
        <v>#VALUE!</v>
      </c>
      <c r="G4650" s="69"/>
    </row>
    <row r="4651" ht="22.5" customHeight="1">
      <c r="A4651" s="66"/>
      <c r="B4651" s="67" t="str">
        <f t="shared" si="16"/>
        <v>M: </v>
      </c>
      <c r="C4651" s="68"/>
      <c r="D4651" s="68">
        <v>46214.0</v>
      </c>
      <c r="E4651" s="66">
        <v>9.0</v>
      </c>
      <c r="F4651" s="66" t="str">
        <f>IFERROR(__xludf.DUMMYFUNCTION("GOOGLETRANSLATE(A4651,""en"",""pt"")"),"#VALUE!")</f>
        <v>#VALUE!</v>
      </c>
      <c r="G4651" s="69"/>
    </row>
    <row r="4652" ht="22.5" customHeight="1">
      <c r="A4652" s="66"/>
      <c r="B4652" s="67" t="str">
        <f t="shared" si="16"/>
        <v>M: </v>
      </c>
      <c r="C4652" s="68"/>
      <c r="D4652" s="68">
        <v>46215.0</v>
      </c>
      <c r="E4652" s="66">
        <v>10.0</v>
      </c>
      <c r="F4652" s="66" t="str">
        <f>IFERROR(__xludf.DUMMYFUNCTION("GOOGLETRANSLATE(A4652,""en"",""pt"")"),"#VALUE!")</f>
        <v>#VALUE!</v>
      </c>
      <c r="G4652" s="69"/>
    </row>
    <row r="4653" ht="22.5" customHeight="1">
      <c r="A4653" s="66"/>
      <c r="B4653" s="67" t="str">
        <f t="shared" si="16"/>
        <v>M: </v>
      </c>
      <c r="C4653" s="68"/>
      <c r="D4653" s="68">
        <v>46215.0</v>
      </c>
      <c r="E4653" s="66">
        <v>1.0</v>
      </c>
      <c r="F4653" s="66" t="str">
        <f>IFERROR(__xludf.DUMMYFUNCTION("GOOGLETRANSLATE(A4653,""en"",""pt"")"),"#VALUE!")</f>
        <v>#VALUE!</v>
      </c>
      <c r="G4653" s="69"/>
    </row>
    <row r="4654" ht="22.5" customHeight="1">
      <c r="A4654" s="66"/>
      <c r="B4654" s="67" t="str">
        <f t="shared" si="16"/>
        <v>M: </v>
      </c>
      <c r="C4654" s="68"/>
      <c r="D4654" s="68">
        <v>46215.0</v>
      </c>
      <c r="E4654" s="66">
        <v>2.0</v>
      </c>
      <c r="F4654" s="66" t="str">
        <f>IFERROR(__xludf.DUMMYFUNCTION("GOOGLETRANSLATE(A4654,""en"",""pt"")"),"#VALUE!")</f>
        <v>#VALUE!</v>
      </c>
      <c r="G4654" s="69"/>
    </row>
    <row r="4655" ht="22.5" customHeight="1">
      <c r="A4655" s="66"/>
      <c r="B4655" s="67" t="str">
        <f t="shared" si="16"/>
        <v>M: </v>
      </c>
      <c r="C4655" s="68"/>
      <c r="D4655" s="68">
        <v>46215.0</v>
      </c>
      <c r="E4655" s="66">
        <v>3.0</v>
      </c>
      <c r="F4655" s="66" t="str">
        <f>IFERROR(__xludf.DUMMYFUNCTION("GOOGLETRANSLATE(A4655,""en"",""pt"")"),"#VALUE!")</f>
        <v>#VALUE!</v>
      </c>
      <c r="G4655" s="69"/>
    </row>
    <row r="4656" ht="22.5" customHeight="1">
      <c r="A4656" s="66"/>
      <c r="B4656" s="67" t="str">
        <f t="shared" si="16"/>
        <v>M: </v>
      </c>
      <c r="C4656" s="68"/>
      <c r="D4656" s="68">
        <v>46215.0</v>
      </c>
      <c r="E4656" s="66">
        <v>4.0</v>
      </c>
      <c r="F4656" s="66" t="str">
        <f>IFERROR(__xludf.DUMMYFUNCTION("GOOGLETRANSLATE(A4656,""en"",""pt"")"),"#VALUE!")</f>
        <v>#VALUE!</v>
      </c>
      <c r="G4656" s="69"/>
    </row>
    <row r="4657" ht="22.5" customHeight="1">
      <c r="A4657" s="66"/>
      <c r="B4657" s="67" t="str">
        <f t="shared" si="16"/>
        <v>M: </v>
      </c>
      <c r="C4657" s="68"/>
      <c r="D4657" s="68">
        <v>46215.0</v>
      </c>
      <c r="E4657" s="66">
        <v>5.0</v>
      </c>
      <c r="F4657" s="66" t="str">
        <f>IFERROR(__xludf.DUMMYFUNCTION("GOOGLETRANSLATE(A4657,""en"",""pt"")"),"#VALUE!")</f>
        <v>#VALUE!</v>
      </c>
      <c r="G4657" s="69"/>
    </row>
    <row r="4658" ht="22.5" customHeight="1">
      <c r="A4658" s="66"/>
      <c r="B4658" s="67" t="str">
        <f t="shared" si="16"/>
        <v>M: </v>
      </c>
      <c r="C4658" s="68"/>
      <c r="D4658" s="68">
        <v>46215.0</v>
      </c>
      <c r="E4658" s="66">
        <v>6.0</v>
      </c>
      <c r="F4658" s="66" t="str">
        <f>IFERROR(__xludf.DUMMYFUNCTION("GOOGLETRANSLATE(A4658,""en"",""pt"")"),"#VALUE!")</f>
        <v>#VALUE!</v>
      </c>
      <c r="G4658" s="69"/>
    </row>
    <row r="4659" ht="22.5" customHeight="1">
      <c r="A4659" s="66"/>
      <c r="B4659" s="67" t="str">
        <f t="shared" si="16"/>
        <v>M: </v>
      </c>
      <c r="C4659" s="68"/>
      <c r="D4659" s="68">
        <v>46215.0</v>
      </c>
      <c r="E4659" s="66">
        <v>7.0</v>
      </c>
      <c r="F4659" s="66" t="str">
        <f>IFERROR(__xludf.DUMMYFUNCTION("GOOGLETRANSLATE(A4659,""en"",""pt"")"),"#VALUE!")</f>
        <v>#VALUE!</v>
      </c>
      <c r="G4659" s="69"/>
    </row>
    <row r="4660" ht="22.5" customHeight="1">
      <c r="A4660" s="66"/>
      <c r="B4660" s="67" t="str">
        <f t="shared" si="16"/>
        <v>M: </v>
      </c>
      <c r="C4660" s="68"/>
      <c r="D4660" s="68">
        <v>46215.0</v>
      </c>
      <c r="E4660" s="66">
        <v>8.0</v>
      </c>
      <c r="F4660" s="66" t="str">
        <f>IFERROR(__xludf.DUMMYFUNCTION("GOOGLETRANSLATE(A4660,""en"",""pt"")"),"#VALUE!")</f>
        <v>#VALUE!</v>
      </c>
      <c r="G4660" s="69"/>
    </row>
    <row r="4661" ht="22.5" customHeight="1">
      <c r="A4661" s="66"/>
      <c r="B4661" s="67" t="str">
        <f t="shared" si="16"/>
        <v>M: </v>
      </c>
      <c r="C4661" s="68"/>
      <c r="D4661" s="68">
        <v>46215.0</v>
      </c>
      <c r="E4661" s="66">
        <v>9.0</v>
      </c>
      <c r="F4661" s="66" t="str">
        <f>IFERROR(__xludf.DUMMYFUNCTION("GOOGLETRANSLATE(A4661,""en"",""pt"")"),"#VALUE!")</f>
        <v>#VALUE!</v>
      </c>
      <c r="G4661" s="69"/>
    </row>
    <row r="4662" ht="22.5" customHeight="1">
      <c r="A4662" s="66"/>
      <c r="B4662" s="67" t="str">
        <f t="shared" si="16"/>
        <v>M: </v>
      </c>
      <c r="C4662" s="68"/>
      <c r="D4662" s="68">
        <v>46216.0</v>
      </c>
      <c r="E4662" s="66">
        <v>10.0</v>
      </c>
      <c r="F4662" s="66" t="str">
        <f>IFERROR(__xludf.DUMMYFUNCTION("GOOGLETRANSLATE(A4662,""en"",""pt"")"),"#VALUE!")</f>
        <v>#VALUE!</v>
      </c>
      <c r="G4662" s="69"/>
    </row>
    <row r="4663" ht="22.5" customHeight="1">
      <c r="A4663" s="66"/>
      <c r="B4663" s="67" t="str">
        <f t="shared" si="16"/>
        <v>M: </v>
      </c>
      <c r="C4663" s="68"/>
      <c r="D4663" s="68">
        <v>46216.0</v>
      </c>
      <c r="E4663" s="66">
        <v>1.0</v>
      </c>
      <c r="F4663" s="66" t="str">
        <f>IFERROR(__xludf.DUMMYFUNCTION("GOOGLETRANSLATE(A4663,""en"",""pt"")"),"#VALUE!")</f>
        <v>#VALUE!</v>
      </c>
      <c r="G4663" s="69"/>
    </row>
    <row r="4664" ht="22.5" customHeight="1">
      <c r="A4664" s="66"/>
      <c r="B4664" s="67" t="str">
        <f t="shared" si="16"/>
        <v>M: </v>
      </c>
      <c r="C4664" s="68"/>
      <c r="D4664" s="68">
        <v>46216.0</v>
      </c>
      <c r="E4664" s="66">
        <v>2.0</v>
      </c>
      <c r="F4664" s="66" t="str">
        <f>IFERROR(__xludf.DUMMYFUNCTION("GOOGLETRANSLATE(A4664,""en"",""pt"")"),"#VALUE!")</f>
        <v>#VALUE!</v>
      </c>
      <c r="G4664" s="69"/>
    </row>
    <row r="4665" ht="22.5" customHeight="1">
      <c r="A4665" s="66"/>
      <c r="B4665" s="67" t="str">
        <f t="shared" si="16"/>
        <v>M: </v>
      </c>
      <c r="C4665" s="68"/>
      <c r="D4665" s="68">
        <v>46216.0</v>
      </c>
      <c r="E4665" s="66">
        <v>3.0</v>
      </c>
      <c r="F4665" s="66" t="str">
        <f>IFERROR(__xludf.DUMMYFUNCTION("GOOGLETRANSLATE(A4665,""en"",""pt"")"),"#VALUE!")</f>
        <v>#VALUE!</v>
      </c>
      <c r="G4665" s="69"/>
    </row>
    <row r="4666" ht="22.5" customHeight="1">
      <c r="A4666" s="66"/>
      <c r="B4666" s="67" t="str">
        <f t="shared" si="16"/>
        <v>M: </v>
      </c>
      <c r="C4666" s="68"/>
      <c r="D4666" s="68">
        <v>46216.0</v>
      </c>
      <c r="E4666" s="66">
        <v>4.0</v>
      </c>
      <c r="F4666" s="66" t="str">
        <f>IFERROR(__xludf.DUMMYFUNCTION("GOOGLETRANSLATE(A4666,""en"",""pt"")"),"#VALUE!")</f>
        <v>#VALUE!</v>
      </c>
      <c r="G4666" s="69"/>
    </row>
    <row r="4667" ht="22.5" customHeight="1">
      <c r="A4667" s="66"/>
      <c r="B4667" s="67" t="str">
        <f t="shared" si="16"/>
        <v>M: </v>
      </c>
      <c r="C4667" s="68"/>
      <c r="D4667" s="68">
        <v>46216.0</v>
      </c>
      <c r="E4667" s="66">
        <v>5.0</v>
      </c>
      <c r="F4667" s="66" t="str">
        <f>IFERROR(__xludf.DUMMYFUNCTION("GOOGLETRANSLATE(A4667,""en"",""pt"")"),"#VALUE!")</f>
        <v>#VALUE!</v>
      </c>
      <c r="G4667" s="69"/>
    </row>
    <row r="4668" ht="22.5" customHeight="1">
      <c r="A4668" s="66"/>
      <c r="B4668" s="67" t="str">
        <f t="shared" si="16"/>
        <v>M: </v>
      </c>
      <c r="C4668" s="68"/>
      <c r="D4668" s="68">
        <v>46216.0</v>
      </c>
      <c r="E4668" s="66">
        <v>6.0</v>
      </c>
      <c r="F4668" s="66" t="str">
        <f>IFERROR(__xludf.DUMMYFUNCTION("GOOGLETRANSLATE(A4668,""en"",""pt"")"),"#VALUE!")</f>
        <v>#VALUE!</v>
      </c>
      <c r="G4668" s="69"/>
    </row>
    <row r="4669" ht="22.5" customHeight="1">
      <c r="A4669" s="66"/>
      <c r="B4669" s="67" t="str">
        <f t="shared" si="16"/>
        <v>M: </v>
      </c>
      <c r="C4669" s="68"/>
      <c r="D4669" s="68">
        <v>46216.0</v>
      </c>
      <c r="E4669" s="66">
        <v>7.0</v>
      </c>
      <c r="F4669" s="66" t="str">
        <f>IFERROR(__xludf.DUMMYFUNCTION("GOOGLETRANSLATE(A4669,""en"",""pt"")"),"#VALUE!")</f>
        <v>#VALUE!</v>
      </c>
      <c r="G4669" s="69"/>
    </row>
    <row r="4670" ht="22.5" customHeight="1">
      <c r="A4670" s="66"/>
      <c r="B4670" s="67" t="str">
        <f t="shared" si="16"/>
        <v>M: </v>
      </c>
      <c r="C4670" s="68"/>
      <c r="D4670" s="68">
        <v>46216.0</v>
      </c>
      <c r="E4670" s="66">
        <v>8.0</v>
      </c>
      <c r="F4670" s="66" t="str">
        <f>IFERROR(__xludf.DUMMYFUNCTION("GOOGLETRANSLATE(A4670,""en"",""pt"")"),"#VALUE!")</f>
        <v>#VALUE!</v>
      </c>
      <c r="G4670" s="69"/>
    </row>
    <row r="4671" ht="22.5" customHeight="1">
      <c r="A4671" s="66"/>
      <c r="B4671" s="67" t="str">
        <f t="shared" si="16"/>
        <v>M: </v>
      </c>
      <c r="C4671" s="68"/>
      <c r="D4671" s="68">
        <v>46216.0</v>
      </c>
      <c r="E4671" s="66">
        <v>9.0</v>
      </c>
      <c r="F4671" s="66" t="str">
        <f>IFERROR(__xludf.DUMMYFUNCTION("GOOGLETRANSLATE(A4671,""en"",""pt"")"),"#VALUE!")</f>
        <v>#VALUE!</v>
      </c>
      <c r="G4671" s="69"/>
    </row>
    <row r="4672" ht="22.5" customHeight="1">
      <c r="A4672" s="66"/>
      <c r="B4672" s="67" t="str">
        <f t="shared" si="16"/>
        <v>M: </v>
      </c>
      <c r="C4672" s="68"/>
      <c r="D4672" s="68">
        <v>46217.0</v>
      </c>
      <c r="E4672" s="66">
        <v>10.0</v>
      </c>
      <c r="F4672" s="66" t="str">
        <f>IFERROR(__xludf.DUMMYFUNCTION("GOOGLETRANSLATE(A4672,""en"",""pt"")"),"#VALUE!")</f>
        <v>#VALUE!</v>
      </c>
      <c r="G4672" s="69"/>
    </row>
    <row r="4673" ht="22.5" customHeight="1">
      <c r="A4673" s="66"/>
      <c r="B4673" s="67" t="str">
        <f t="shared" si="16"/>
        <v>M: </v>
      </c>
      <c r="C4673" s="68"/>
      <c r="D4673" s="68">
        <v>46217.0</v>
      </c>
      <c r="E4673" s="66">
        <v>1.0</v>
      </c>
      <c r="F4673" s="66" t="str">
        <f>IFERROR(__xludf.DUMMYFUNCTION("GOOGLETRANSLATE(A4673,""en"",""pt"")"),"#VALUE!")</f>
        <v>#VALUE!</v>
      </c>
      <c r="G4673" s="69"/>
    </row>
    <row r="4674" ht="22.5" customHeight="1">
      <c r="A4674" s="66"/>
      <c r="B4674" s="67" t="str">
        <f t="shared" si="16"/>
        <v>M: </v>
      </c>
      <c r="C4674" s="68"/>
      <c r="D4674" s="68">
        <v>46217.0</v>
      </c>
      <c r="E4674" s="66">
        <v>2.0</v>
      </c>
      <c r="F4674" s="66" t="str">
        <f>IFERROR(__xludf.DUMMYFUNCTION("GOOGLETRANSLATE(A4674,""en"",""pt"")"),"#VALUE!")</f>
        <v>#VALUE!</v>
      </c>
      <c r="G4674" s="69"/>
    </row>
    <row r="4675" ht="22.5" customHeight="1">
      <c r="A4675" s="66"/>
      <c r="B4675" s="67" t="str">
        <f t="shared" si="16"/>
        <v>M: </v>
      </c>
      <c r="C4675" s="68"/>
      <c r="D4675" s="68">
        <v>46217.0</v>
      </c>
      <c r="E4675" s="66">
        <v>3.0</v>
      </c>
      <c r="F4675" s="66" t="str">
        <f>IFERROR(__xludf.DUMMYFUNCTION("GOOGLETRANSLATE(A4675,""en"",""pt"")"),"#VALUE!")</f>
        <v>#VALUE!</v>
      </c>
      <c r="G4675" s="69"/>
    </row>
    <row r="4676" ht="22.5" customHeight="1">
      <c r="A4676" s="66"/>
      <c r="B4676" s="67" t="str">
        <f t="shared" si="16"/>
        <v>M: </v>
      </c>
      <c r="C4676" s="68"/>
      <c r="D4676" s="68">
        <v>46217.0</v>
      </c>
      <c r="E4676" s="66">
        <v>4.0</v>
      </c>
      <c r="F4676" s="66" t="str">
        <f>IFERROR(__xludf.DUMMYFUNCTION("GOOGLETRANSLATE(A4676,""en"",""pt"")"),"#VALUE!")</f>
        <v>#VALUE!</v>
      </c>
      <c r="G4676" s="69"/>
    </row>
    <row r="4677" ht="22.5" customHeight="1">
      <c r="A4677" s="66"/>
      <c r="B4677" s="67" t="str">
        <f t="shared" si="16"/>
        <v>M: </v>
      </c>
      <c r="C4677" s="68"/>
      <c r="D4677" s="68">
        <v>46217.0</v>
      </c>
      <c r="E4677" s="66">
        <v>5.0</v>
      </c>
      <c r="F4677" s="66" t="str">
        <f>IFERROR(__xludf.DUMMYFUNCTION("GOOGLETRANSLATE(A4677,""en"",""pt"")"),"#VALUE!")</f>
        <v>#VALUE!</v>
      </c>
      <c r="G4677" s="69"/>
    </row>
    <row r="4678" ht="22.5" customHeight="1">
      <c r="A4678" s="66"/>
      <c r="B4678" s="67" t="str">
        <f t="shared" si="16"/>
        <v>M: </v>
      </c>
      <c r="C4678" s="68"/>
      <c r="D4678" s="68">
        <v>46217.0</v>
      </c>
      <c r="E4678" s="66">
        <v>6.0</v>
      </c>
      <c r="F4678" s="66" t="str">
        <f>IFERROR(__xludf.DUMMYFUNCTION("GOOGLETRANSLATE(A4678,""en"",""pt"")"),"#VALUE!")</f>
        <v>#VALUE!</v>
      </c>
      <c r="G4678" s="69"/>
    </row>
    <row r="4679" ht="22.5" customHeight="1">
      <c r="A4679" s="66"/>
      <c r="B4679" s="67" t="str">
        <f t="shared" si="16"/>
        <v>M: </v>
      </c>
      <c r="C4679" s="68"/>
      <c r="D4679" s="68">
        <v>46217.0</v>
      </c>
      <c r="E4679" s="66">
        <v>7.0</v>
      </c>
      <c r="F4679" s="66" t="str">
        <f>IFERROR(__xludf.DUMMYFUNCTION("GOOGLETRANSLATE(A4679,""en"",""pt"")"),"#VALUE!")</f>
        <v>#VALUE!</v>
      </c>
      <c r="G4679" s="69"/>
    </row>
    <row r="4680" ht="22.5" customHeight="1">
      <c r="A4680" s="66"/>
      <c r="B4680" s="67" t="str">
        <f t="shared" si="16"/>
        <v>M: </v>
      </c>
      <c r="C4680" s="68"/>
      <c r="D4680" s="68">
        <v>46217.0</v>
      </c>
      <c r="E4680" s="66">
        <v>8.0</v>
      </c>
      <c r="F4680" s="66" t="str">
        <f>IFERROR(__xludf.DUMMYFUNCTION("GOOGLETRANSLATE(A4680,""en"",""pt"")"),"#VALUE!")</f>
        <v>#VALUE!</v>
      </c>
      <c r="G4680" s="69"/>
    </row>
    <row r="4681" ht="22.5" customHeight="1">
      <c r="A4681" s="66"/>
      <c r="B4681" s="67" t="str">
        <f t="shared" si="16"/>
        <v>M: </v>
      </c>
      <c r="C4681" s="68"/>
      <c r="D4681" s="68">
        <v>46217.0</v>
      </c>
      <c r="E4681" s="66">
        <v>9.0</v>
      </c>
      <c r="F4681" s="66" t="str">
        <f>IFERROR(__xludf.DUMMYFUNCTION("GOOGLETRANSLATE(A4681,""en"",""pt"")"),"#VALUE!")</f>
        <v>#VALUE!</v>
      </c>
      <c r="G4681" s="69"/>
    </row>
    <row r="4682" ht="22.5" customHeight="1">
      <c r="A4682" s="66"/>
      <c r="B4682" s="67" t="str">
        <f t="shared" si="16"/>
        <v>M: </v>
      </c>
      <c r="C4682" s="68"/>
      <c r="D4682" s="68">
        <v>46218.0</v>
      </c>
      <c r="E4682" s="66">
        <v>10.0</v>
      </c>
      <c r="F4682" s="66" t="str">
        <f>IFERROR(__xludf.DUMMYFUNCTION("GOOGLETRANSLATE(A4682,""en"",""pt"")"),"#VALUE!")</f>
        <v>#VALUE!</v>
      </c>
      <c r="G4682" s="69"/>
    </row>
    <row r="4683" ht="22.5" customHeight="1">
      <c r="A4683" s="66"/>
      <c r="B4683" s="67" t="str">
        <f t="shared" si="16"/>
        <v>M: </v>
      </c>
      <c r="C4683" s="68"/>
      <c r="D4683" s="68">
        <v>46218.0</v>
      </c>
      <c r="E4683" s="66">
        <v>1.0</v>
      </c>
      <c r="F4683" s="66" t="str">
        <f>IFERROR(__xludf.DUMMYFUNCTION("GOOGLETRANSLATE(A4683,""en"",""pt"")"),"#VALUE!")</f>
        <v>#VALUE!</v>
      </c>
      <c r="G4683" s="69"/>
    </row>
    <row r="4684" ht="22.5" customHeight="1">
      <c r="A4684" s="66"/>
      <c r="B4684" s="67" t="str">
        <f t="shared" si="16"/>
        <v>M: </v>
      </c>
      <c r="C4684" s="68"/>
      <c r="D4684" s="68">
        <v>46218.0</v>
      </c>
      <c r="E4684" s="66">
        <v>2.0</v>
      </c>
      <c r="F4684" s="66" t="str">
        <f>IFERROR(__xludf.DUMMYFUNCTION("GOOGLETRANSLATE(A4684,""en"",""pt"")"),"#VALUE!")</f>
        <v>#VALUE!</v>
      </c>
      <c r="G4684" s="69"/>
    </row>
    <row r="4685" ht="22.5" customHeight="1">
      <c r="A4685" s="66"/>
      <c r="B4685" s="67" t="str">
        <f t="shared" si="16"/>
        <v>M: </v>
      </c>
      <c r="C4685" s="68"/>
      <c r="D4685" s="68">
        <v>46218.0</v>
      </c>
      <c r="E4685" s="66">
        <v>3.0</v>
      </c>
      <c r="F4685" s="66" t="str">
        <f>IFERROR(__xludf.DUMMYFUNCTION("GOOGLETRANSLATE(A4685,""en"",""pt"")"),"#VALUE!")</f>
        <v>#VALUE!</v>
      </c>
      <c r="G4685" s="69"/>
    </row>
    <row r="4686" ht="22.5" customHeight="1">
      <c r="A4686" s="66"/>
      <c r="B4686" s="67" t="str">
        <f t="shared" si="16"/>
        <v>M: </v>
      </c>
      <c r="C4686" s="68"/>
      <c r="D4686" s="68">
        <v>46218.0</v>
      </c>
      <c r="E4686" s="66">
        <v>4.0</v>
      </c>
      <c r="F4686" s="66" t="str">
        <f>IFERROR(__xludf.DUMMYFUNCTION("GOOGLETRANSLATE(A4686,""en"",""pt"")"),"#VALUE!")</f>
        <v>#VALUE!</v>
      </c>
      <c r="G4686" s="69"/>
    </row>
    <row r="4687" ht="22.5" customHeight="1">
      <c r="A4687" s="66"/>
      <c r="B4687" s="67" t="str">
        <f t="shared" si="16"/>
        <v>M: </v>
      </c>
      <c r="C4687" s="68"/>
      <c r="D4687" s="68">
        <v>46218.0</v>
      </c>
      <c r="E4687" s="66">
        <v>5.0</v>
      </c>
      <c r="F4687" s="66" t="str">
        <f>IFERROR(__xludf.DUMMYFUNCTION("GOOGLETRANSLATE(A4687,""en"",""pt"")"),"#VALUE!")</f>
        <v>#VALUE!</v>
      </c>
      <c r="G4687" s="69"/>
    </row>
    <row r="4688" ht="22.5" customHeight="1">
      <c r="A4688" s="66"/>
      <c r="B4688" s="67" t="str">
        <f t="shared" si="16"/>
        <v>M: </v>
      </c>
      <c r="C4688" s="68"/>
      <c r="D4688" s="68">
        <v>46218.0</v>
      </c>
      <c r="E4688" s="66">
        <v>6.0</v>
      </c>
      <c r="F4688" s="66" t="str">
        <f>IFERROR(__xludf.DUMMYFUNCTION("GOOGLETRANSLATE(A4688,""en"",""pt"")"),"#VALUE!")</f>
        <v>#VALUE!</v>
      </c>
      <c r="G4688" s="69"/>
    </row>
    <row r="4689" ht="22.5" customHeight="1">
      <c r="A4689" s="66"/>
      <c r="B4689" s="67" t="str">
        <f t="shared" si="16"/>
        <v>M: </v>
      </c>
      <c r="C4689" s="68"/>
      <c r="D4689" s="68">
        <v>46218.0</v>
      </c>
      <c r="E4689" s="66">
        <v>7.0</v>
      </c>
      <c r="F4689" s="66" t="str">
        <f>IFERROR(__xludf.DUMMYFUNCTION("GOOGLETRANSLATE(A4689,""en"",""pt"")"),"#VALUE!")</f>
        <v>#VALUE!</v>
      </c>
      <c r="G4689" s="69"/>
    </row>
    <row r="4690" ht="22.5" customHeight="1">
      <c r="A4690" s="66"/>
      <c r="B4690" s="67" t="str">
        <f t="shared" si="16"/>
        <v>M: </v>
      </c>
      <c r="C4690" s="68"/>
      <c r="D4690" s="68">
        <v>46218.0</v>
      </c>
      <c r="E4690" s="66">
        <v>8.0</v>
      </c>
      <c r="F4690" s="66" t="str">
        <f>IFERROR(__xludf.DUMMYFUNCTION("GOOGLETRANSLATE(A4690,""en"",""pt"")"),"#VALUE!")</f>
        <v>#VALUE!</v>
      </c>
      <c r="G4690" s="69"/>
    </row>
    <row r="4691" ht="22.5" customHeight="1">
      <c r="A4691" s="66"/>
      <c r="B4691" s="67" t="str">
        <f t="shared" si="16"/>
        <v>M: </v>
      </c>
      <c r="C4691" s="68"/>
      <c r="D4691" s="68">
        <v>46218.0</v>
      </c>
      <c r="E4691" s="66">
        <v>9.0</v>
      </c>
      <c r="F4691" s="66" t="str">
        <f>IFERROR(__xludf.DUMMYFUNCTION("GOOGLETRANSLATE(A4691,""en"",""pt"")"),"#VALUE!")</f>
        <v>#VALUE!</v>
      </c>
      <c r="G4691" s="69"/>
    </row>
    <row r="4692" ht="22.5" customHeight="1">
      <c r="A4692" s="66"/>
      <c r="B4692" s="67" t="str">
        <f t="shared" si="16"/>
        <v>M: </v>
      </c>
      <c r="C4692" s="68"/>
      <c r="D4692" s="68">
        <v>46219.0</v>
      </c>
      <c r="E4692" s="66">
        <v>10.0</v>
      </c>
      <c r="F4692" s="66" t="str">
        <f>IFERROR(__xludf.DUMMYFUNCTION("GOOGLETRANSLATE(A4692,""en"",""pt"")"),"#VALUE!")</f>
        <v>#VALUE!</v>
      </c>
      <c r="G4692" s="69"/>
    </row>
    <row r="4693" ht="22.5" customHeight="1">
      <c r="A4693" s="66"/>
      <c r="B4693" s="67" t="str">
        <f t="shared" si="16"/>
        <v>M: </v>
      </c>
      <c r="C4693" s="68"/>
      <c r="D4693" s="68">
        <v>46219.0</v>
      </c>
      <c r="E4693" s="66">
        <v>1.0</v>
      </c>
      <c r="F4693" s="66" t="str">
        <f>IFERROR(__xludf.DUMMYFUNCTION("GOOGLETRANSLATE(A4693,""en"",""pt"")"),"#VALUE!")</f>
        <v>#VALUE!</v>
      </c>
      <c r="G4693" s="69"/>
    </row>
    <row r="4694" ht="22.5" customHeight="1">
      <c r="A4694" s="66"/>
      <c r="B4694" s="67" t="str">
        <f t="shared" si="16"/>
        <v>M: </v>
      </c>
      <c r="C4694" s="68"/>
      <c r="D4694" s="68">
        <v>46219.0</v>
      </c>
      <c r="E4694" s="66">
        <v>2.0</v>
      </c>
      <c r="F4694" s="66" t="str">
        <f>IFERROR(__xludf.DUMMYFUNCTION("GOOGLETRANSLATE(A4694,""en"",""pt"")"),"#VALUE!")</f>
        <v>#VALUE!</v>
      </c>
      <c r="G4694" s="69"/>
    </row>
    <row r="4695" ht="22.5" customHeight="1">
      <c r="A4695" s="66"/>
      <c r="B4695" s="67" t="str">
        <f t="shared" si="16"/>
        <v>M: </v>
      </c>
      <c r="C4695" s="68"/>
      <c r="D4695" s="68">
        <v>46219.0</v>
      </c>
      <c r="E4695" s="66">
        <v>3.0</v>
      </c>
      <c r="F4695" s="66" t="str">
        <f>IFERROR(__xludf.DUMMYFUNCTION("GOOGLETRANSLATE(A4695,""en"",""pt"")"),"#VALUE!")</f>
        <v>#VALUE!</v>
      </c>
      <c r="G4695" s="69"/>
    </row>
    <row r="4696" ht="22.5" customHeight="1">
      <c r="A4696" s="66"/>
      <c r="B4696" s="67" t="str">
        <f t="shared" si="16"/>
        <v>M: </v>
      </c>
      <c r="C4696" s="68"/>
      <c r="D4696" s="68">
        <v>46219.0</v>
      </c>
      <c r="E4696" s="66">
        <v>4.0</v>
      </c>
      <c r="F4696" s="66" t="str">
        <f>IFERROR(__xludf.DUMMYFUNCTION("GOOGLETRANSLATE(A4696,""en"",""pt"")"),"#VALUE!")</f>
        <v>#VALUE!</v>
      </c>
      <c r="G4696" s="69"/>
    </row>
    <row r="4697" ht="22.5" customHeight="1">
      <c r="A4697" s="66"/>
      <c r="B4697" s="67" t="str">
        <f t="shared" si="16"/>
        <v>M: </v>
      </c>
      <c r="C4697" s="68"/>
      <c r="D4697" s="68">
        <v>46219.0</v>
      </c>
      <c r="E4697" s="66">
        <v>5.0</v>
      </c>
      <c r="F4697" s="66" t="str">
        <f>IFERROR(__xludf.DUMMYFUNCTION("GOOGLETRANSLATE(A4697,""en"",""pt"")"),"#VALUE!")</f>
        <v>#VALUE!</v>
      </c>
      <c r="G4697" s="69"/>
    </row>
    <row r="4698" ht="22.5" customHeight="1">
      <c r="A4698" s="66"/>
      <c r="B4698" s="67" t="str">
        <f t="shared" si="16"/>
        <v>M: </v>
      </c>
      <c r="C4698" s="68"/>
      <c r="D4698" s="68">
        <v>46219.0</v>
      </c>
      <c r="E4698" s="66">
        <v>6.0</v>
      </c>
      <c r="F4698" s="66" t="str">
        <f>IFERROR(__xludf.DUMMYFUNCTION("GOOGLETRANSLATE(A4698,""en"",""pt"")"),"#VALUE!")</f>
        <v>#VALUE!</v>
      </c>
      <c r="G4698" s="69"/>
    </row>
    <row r="4699" ht="22.5" customHeight="1">
      <c r="A4699" s="66"/>
      <c r="B4699" s="67" t="str">
        <f t="shared" si="16"/>
        <v>M: </v>
      </c>
      <c r="C4699" s="68"/>
      <c r="D4699" s="68">
        <v>46219.0</v>
      </c>
      <c r="E4699" s="66">
        <v>7.0</v>
      </c>
      <c r="F4699" s="66" t="str">
        <f>IFERROR(__xludf.DUMMYFUNCTION("GOOGLETRANSLATE(A4699,""en"",""pt"")"),"#VALUE!")</f>
        <v>#VALUE!</v>
      </c>
      <c r="G4699" s="69"/>
    </row>
    <row r="4700" ht="22.5" customHeight="1">
      <c r="A4700" s="66"/>
      <c r="B4700" s="67" t="str">
        <f t="shared" si="16"/>
        <v>M: </v>
      </c>
      <c r="C4700" s="68"/>
      <c r="D4700" s="68">
        <v>46219.0</v>
      </c>
      <c r="E4700" s="66">
        <v>8.0</v>
      </c>
      <c r="F4700" s="66" t="str">
        <f>IFERROR(__xludf.DUMMYFUNCTION("GOOGLETRANSLATE(A4700,""en"",""pt"")"),"#VALUE!")</f>
        <v>#VALUE!</v>
      </c>
      <c r="G4700" s="69"/>
    </row>
    <row r="4701" ht="22.5" customHeight="1">
      <c r="A4701" s="66"/>
      <c r="B4701" s="67" t="str">
        <f t="shared" si="16"/>
        <v>M: </v>
      </c>
      <c r="C4701" s="68"/>
      <c r="D4701" s="68">
        <v>46219.0</v>
      </c>
      <c r="E4701" s="66">
        <v>9.0</v>
      </c>
      <c r="F4701" s="66" t="str">
        <f>IFERROR(__xludf.DUMMYFUNCTION("GOOGLETRANSLATE(A4701,""en"",""pt"")"),"#VALUE!")</f>
        <v>#VALUE!</v>
      </c>
      <c r="G4701" s="69"/>
    </row>
    <row r="4702" ht="22.5" customHeight="1">
      <c r="A4702" s="66"/>
      <c r="B4702" s="67" t="str">
        <f t="shared" si="16"/>
        <v>M: </v>
      </c>
      <c r="C4702" s="68"/>
      <c r="D4702" s="68">
        <v>46220.0</v>
      </c>
      <c r="E4702" s="66">
        <v>10.0</v>
      </c>
      <c r="F4702" s="66" t="str">
        <f>IFERROR(__xludf.DUMMYFUNCTION("GOOGLETRANSLATE(A4702,""en"",""pt"")"),"#VALUE!")</f>
        <v>#VALUE!</v>
      </c>
      <c r="G4702" s="69"/>
    </row>
    <row r="4703" ht="22.5" customHeight="1">
      <c r="A4703" s="66"/>
      <c r="B4703" s="67" t="str">
        <f t="shared" si="16"/>
        <v>M: </v>
      </c>
      <c r="C4703" s="68"/>
      <c r="D4703" s="68">
        <v>46220.0</v>
      </c>
      <c r="E4703" s="66">
        <v>1.0</v>
      </c>
      <c r="F4703" s="66" t="str">
        <f>IFERROR(__xludf.DUMMYFUNCTION("GOOGLETRANSLATE(A4703,""en"",""pt"")"),"#VALUE!")</f>
        <v>#VALUE!</v>
      </c>
      <c r="G4703" s="69"/>
    </row>
    <row r="4704" ht="22.5" customHeight="1">
      <c r="A4704" s="66"/>
      <c r="B4704" s="67" t="str">
        <f t="shared" si="16"/>
        <v>M: </v>
      </c>
      <c r="C4704" s="68"/>
      <c r="D4704" s="68">
        <v>46220.0</v>
      </c>
      <c r="E4704" s="66">
        <v>2.0</v>
      </c>
      <c r="F4704" s="66" t="str">
        <f>IFERROR(__xludf.DUMMYFUNCTION("GOOGLETRANSLATE(A4704,""en"",""pt"")"),"#VALUE!")</f>
        <v>#VALUE!</v>
      </c>
      <c r="G4704" s="69"/>
    </row>
    <row r="4705" ht="22.5" customHeight="1">
      <c r="A4705" s="66"/>
      <c r="B4705" s="67" t="str">
        <f t="shared" si="16"/>
        <v>M: </v>
      </c>
      <c r="C4705" s="68"/>
      <c r="D4705" s="68">
        <v>46220.0</v>
      </c>
      <c r="E4705" s="66">
        <v>3.0</v>
      </c>
      <c r="F4705" s="66" t="str">
        <f>IFERROR(__xludf.DUMMYFUNCTION("GOOGLETRANSLATE(A4705,""en"",""pt"")"),"#VALUE!")</f>
        <v>#VALUE!</v>
      </c>
      <c r="G4705" s="69"/>
    </row>
    <row r="4706" ht="22.5" customHeight="1">
      <c r="A4706" s="66"/>
      <c r="B4706" s="67" t="str">
        <f t="shared" si="16"/>
        <v>M: </v>
      </c>
      <c r="C4706" s="68"/>
      <c r="D4706" s="68">
        <v>46220.0</v>
      </c>
      <c r="E4706" s="66">
        <v>4.0</v>
      </c>
      <c r="F4706" s="66" t="str">
        <f>IFERROR(__xludf.DUMMYFUNCTION("GOOGLETRANSLATE(A4706,""en"",""pt"")"),"#VALUE!")</f>
        <v>#VALUE!</v>
      </c>
      <c r="G4706" s="69"/>
    </row>
    <row r="4707" ht="22.5" customHeight="1">
      <c r="A4707" s="66"/>
      <c r="B4707" s="67" t="str">
        <f t="shared" si="16"/>
        <v>M: </v>
      </c>
      <c r="C4707" s="68"/>
      <c r="D4707" s="68">
        <v>46220.0</v>
      </c>
      <c r="E4707" s="66">
        <v>5.0</v>
      </c>
      <c r="F4707" s="66" t="str">
        <f>IFERROR(__xludf.DUMMYFUNCTION("GOOGLETRANSLATE(A4707,""en"",""pt"")"),"#VALUE!")</f>
        <v>#VALUE!</v>
      </c>
      <c r="G4707" s="69"/>
    </row>
    <row r="4708" ht="22.5" customHeight="1">
      <c r="A4708" s="66"/>
      <c r="B4708" s="67" t="str">
        <f t="shared" si="16"/>
        <v>M: </v>
      </c>
      <c r="C4708" s="68"/>
      <c r="D4708" s="68">
        <v>46220.0</v>
      </c>
      <c r="E4708" s="66">
        <v>6.0</v>
      </c>
      <c r="F4708" s="66" t="str">
        <f>IFERROR(__xludf.DUMMYFUNCTION("GOOGLETRANSLATE(A4708,""en"",""pt"")"),"#VALUE!")</f>
        <v>#VALUE!</v>
      </c>
      <c r="G4708" s="69"/>
    </row>
    <row r="4709" ht="22.5" customHeight="1">
      <c r="A4709" s="66"/>
      <c r="B4709" s="67" t="str">
        <f t="shared" si="16"/>
        <v>M: </v>
      </c>
      <c r="C4709" s="68"/>
      <c r="D4709" s="68">
        <v>46220.0</v>
      </c>
      <c r="E4709" s="66">
        <v>7.0</v>
      </c>
      <c r="F4709" s="66" t="str">
        <f>IFERROR(__xludf.DUMMYFUNCTION("GOOGLETRANSLATE(A4709,""en"",""pt"")"),"#VALUE!")</f>
        <v>#VALUE!</v>
      </c>
      <c r="G4709" s="69"/>
    </row>
    <row r="4710" ht="22.5" customHeight="1">
      <c r="A4710" s="66"/>
      <c r="B4710" s="67" t="str">
        <f t="shared" si="16"/>
        <v>M: </v>
      </c>
      <c r="C4710" s="68"/>
      <c r="D4710" s="68">
        <v>46220.0</v>
      </c>
      <c r="E4710" s="66">
        <v>8.0</v>
      </c>
      <c r="F4710" s="66" t="str">
        <f>IFERROR(__xludf.DUMMYFUNCTION("GOOGLETRANSLATE(A4710,""en"",""pt"")"),"#VALUE!")</f>
        <v>#VALUE!</v>
      </c>
      <c r="G4710" s="69"/>
    </row>
    <row r="4711" ht="22.5" customHeight="1">
      <c r="A4711" s="66"/>
      <c r="B4711" s="67" t="str">
        <f t="shared" si="16"/>
        <v>M: </v>
      </c>
      <c r="C4711" s="68"/>
      <c r="D4711" s="68">
        <v>46220.0</v>
      </c>
      <c r="E4711" s="66">
        <v>9.0</v>
      </c>
      <c r="F4711" s="66" t="str">
        <f>IFERROR(__xludf.DUMMYFUNCTION("GOOGLETRANSLATE(A4711,""en"",""pt"")"),"#VALUE!")</f>
        <v>#VALUE!</v>
      </c>
      <c r="G4711" s="69"/>
    </row>
    <row r="4712" ht="22.5" customHeight="1">
      <c r="A4712" s="66"/>
      <c r="B4712" s="67" t="str">
        <f t="shared" si="16"/>
        <v>M: </v>
      </c>
      <c r="C4712" s="68"/>
      <c r="D4712" s="68">
        <v>46221.0</v>
      </c>
      <c r="E4712" s="66">
        <v>10.0</v>
      </c>
      <c r="F4712" s="66" t="str">
        <f>IFERROR(__xludf.DUMMYFUNCTION("GOOGLETRANSLATE(A4712,""en"",""pt"")"),"#VALUE!")</f>
        <v>#VALUE!</v>
      </c>
      <c r="G4712" s="69"/>
    </row>
    <row r="4713" ht="22.5" customHeight="1">
      <c r="A4713" s="66"/>
      <c r="B4713" s="67" t="str">
        <f t="shared" si="16"/>
        <v>M: </v>
      </c>
      <c r="C4713" s="68"/>
      <c r="D4713" s="68">
        <v>46221.0</v>
      </c>
      <c r="E4713" s="66">
        <v>1.0</v>
      </c>
      <c r="F4713" s="66" t="str">
        <f>IFERROR(__xludf.DUMMYFUNCTION("GOOGLETRANSLATE(A4713,""en"",""pt"")"),"#VALUE!")</f>
        <v>#VALUE!</v>
      </c>
      <c r="G4713" s="69"/>
    </row>
    <row r="4714" ht="22.5" customHeight="1">
      <c r="A4714" s="66"/>
      <c r="B4714" s="67" t="str">
        <f t="shared" si="16"/>
        <v>M: </v>
      </c>
      <c r="C4714" s="68"/>
      <c r="D4714" s="68">
        <v>46221.0</v>
      </c>
      <c r="E4714" s="66">
        <v>2.0</v>
      </c>
      <c r="F4714" s="66" t="str">
        <f>IFERROR(__xludf.DUMMYFUNCTION("GOOGLETRANSLATE(A4714,""en"",""pt"")"),"#VALUE!")</f>
        <v>#VALUE!</v>
      </c>
      <c r="G4714" s="69"/>
    </row>
    <row r="4715" ht="22.5" customHeight="1">
      <c r="A4715" s="66"/>
      <c r="B4715" s="67" t="str">
        <f t="shared" si="16"/>
        <v>M: </v>
      </c>
      <c r="C4715" s="68"/>
      <c r="D4715" s="68">
        <v>46221.0</v>
      </c>
      <c r="E4715" s="66">
        <v>3.0</v>
      </c>
      <c r="F4715" s="66" t="str">
        <f>IFERROR(__xludf.DUMMYFUNCTION("GOOGLETRANSLATE(A4715,""en"",""pt"")"),"#VALUE!")</f>
        <v>#VALUE!</v>
      </c>
      <c r="G4715" s="69"/>
    </row>
    <row r="4716" ht="22.5" customHeight="1">
      <c r="A4716" s="66"/>
      <c r="B4716" s="67" t="str">
        <f t="shared" si="16"/>
        <v>M: </v>
      </c>
      <c r="C4716" s="68"/>
      <c r="D4716" s="68">
        <v>46221.0</v>
      </c>
      <c r="E4716" s="66">
        <v>4.0</v>
      </c>
      <c r="F4716" s="66" t="str">
        <f>IFERROR(__xludf.DUMMYFUNCTION("GOOGLETRANSLATE(A4716,""en"",""pt"")"),"#VALUE!")</f>
        <v>#VALUE!</v>
      </c>
      <c r="G4716" s="69"/>
    </row>
    <row r="4717" ht="22.5" customHeight="1">
      <c r="A4717" s="66"/>
      <c r="B4717" s="67" t="str">
        <f t="shared" si="16"/>
        <v>M: </v>
      </c>
      <c r="C4717" s="68"/>
      <c r="D4717" s="68">
        <v>46221.0</v>
      </c>
      <c r="E4717" s="66">
        <v>5.0</v>
      </c>
      <c r="F4717" s="66" t="str">
        <f>IFERROR(__xludf.DUMMYFUNCTION("GOOGLETRANSLATE(A4717,""en"",""pt"")"),"#VALUE!")</f>
        <v>#VALUE!</v>
      </c>
      <c r="G4717" s="69"/>
    </row>
    <row r="4718" ht="22.5" customHeight="1">
      <c r="A4718" s="66"/>
      <c r="B4718" s="67" t="str">
        <f t="shared" si="16"/>
        <v>M: </v>
      </c>
      <c r="C4718" s="68"/>
      <c r="D4718" s="68">
        <v>46221.0</v>
      </c>
      <c r="E4718" s="66">
        <v>6.0</v>
      </c>
      <c r="F4718" s="66" t="str">
        <f>IFERROR(__xludf.DUMMYFUNCTION("GOOGLETRANSLATE(A4718,""en"",""pt"")"),"#VALUE!")</f>
        <v>#VALUE!</v>
      </c>
      <c r="G4718" s="69"/>
    </row>
    <row r="4719" ht="22.5" customHeight="1">
      <c r="A4719" s="66"/>
      <c r="B4719" s="67" t="str">
        <f t="shared" si="16"/>
        <v>M: </v>
      </c>
      <c r="C4719" s="68"/>
      <c r="D4719" s="68">
        <v>46221.0</v>
      </c>
      <c r="E4719" s="66">
        <v>7.0</v>
      </c>
      <c r="F4719" s="66" t="str">
        <f>IFERROR(__xludf.DUMMYFUNCTION("GOOGLETRANSLATE(A4719,""en"",""pt"")"),"#VALUE!")</f>
        <v>#VALUE!</v>
      </c>
      <c r="G4719" s="69"/>
    </row>
    <row r="4720" ht="22.5" customHeight="1">
      <c r="A4720" s="66"/>
      <c r="B4720" s="67" t="str">
        <f t="shared" si="16"/>
        <v>M: </v>
      </c>
      <c r="C4720" s="68"/>
      <c r="D4720" s="68">
        <v>46221.0</v>
      </c>
      <c r="E4720" s="66">
        <v>8.0</v>
      </c>
      <c r="F4720" s="66" t="str">
        <f>IFERROR(__xludf.DUMMYFUNCTION("GOOGLETRANSLATE(A4720,""en"",""pt"")"),"#VALUE!")</f>
        <v>#VALUE!</v>
      </c>
      <c r="G4720" s="69"/>
    </row>
    <row r="4721" ht="22.5" customHeight="1">
      <c r="A4721" s="66"/>
      <c r="B4721" s="67" t="str">
        <f t="shared" si="16"/>
        <v>M: </v>
      </c>
      <c r="C4721" s="68"/>
      <c r="D4721" s="68">
        <v>46221.0</v>
      </c>
      <c r="E4721" s="66">
        <v>9.0</v>
      </c>
      <c r="F4721" s="66" t="str">
        <f>IFERROR(__xludf.DUMMYFUNCTION("GOOGLETRANSLATE(A4721,""en"",""pt"")"),"#VALUE!")</f>
        <v>#VALUE!</v>
      </c>
      <c r="G4721" s="69"/>
    </row>
    <row r="4722" ht="22.5" customHeight="1">
      <c r="A4722" s="66"/>
      <c r="B4722" s="67" t="str">
        <f t="shared" si="16"/>
        <v>M: </v>
      </c>
      <c r="C4722" s="68"/>
      <c r="D4722" s="68">
        <v>46222.0</v>
      </c>
      <c r="E4722" s="66">
        <v>10.0</v>
      </c>
      <c r="F4722" s="66" t="str">
        <f>IFERROR(__xludf.DUMMYFUNCTION("GOOGLETRANSLATE(A4722,""en"",""pt"")"),"#VALUE!")</f>
        <v>#VALUE!</v>
      </c>
      <c r="G4722" s="69"/>
    </row>
    <row r="4723" ht="22.5" customHeight="1">
      <c r="A4723" s="66"/>
      <c r="B4723" s="67" t="str">
        <f t="shared" si="16"/>
        <v>M: </v>
      </c>
      <c r="C4723" s="68"/>
      <c r="D4723" s="68">
        <v>46222.0</v>
      </c>
      <c r="E4723" s="66">
        <v>1.0</v>
      </c>
      <c r="F4723" s="66" t="str">
        <f>IFERROR(__xludf.DUMMYFUNCTION("GOOGLETRANSLATE(A4723,""en"",""pt"")"),"#VALUE!")</f>
        <v>#VALUE!</v>
      </c>
      <c r="G4723" s="69"/>
    </row>
    <row r="4724" ht="22.5" customHeight="1">
      <c r="A4724" s="66"/>
      <c r="B4724" s="67" t="str">
        <f t="shared" si="16"/>
        <v>M: </v>
      </c>
      <c r="C4724" s="68"/>
      <c r="D4724" s="68">
        <v>46222.0</v>
      </c>
      <c r="E4724" s="66">
        <v>2.0</v>
      </c>
      <c r="F4724" s="66" t="str">
        <f>IFERROR(__xludf.DUMMYFUNCTION("GOOGLETRANSLATE(A4724,""en"",""pt"")"),"#VALUE!")</f>
        <v>#VALUE!</v>
      </c>
      <c r="G4724" s="69"/>
    </row>
    <row r="4725" ht="22.5" customHeight="1">
      <c r="A4725" s="66"/>
      <c r="B4725" s="67" t="str">
        <f t="shared" si="16"/>
        <v>M: </v>
      </c>
      <c r="C4725" s="68"/>
      <c r="D4725" s="68">
        <v>46222.0</v>
      </c>
      <c r="E4725" s="66">
        <v>3.0</v>
      </c>
      <c r="F4725" s="66" t="str">
        <f>IFERROR(__xludf.DUMMYFUNCTION("GOOGLETRANSLATE(A4725,""en"",""pt"")"),"#VALUE!")</f>
        <v>#VALUE!</v>
      </c>
      <c r="G4725" s="69"/>
    </row>
    <row r="4726" ht="22.5" customHeight="1">
      <c r="A4726" s="66"/>
      <c r="B4726" s="67" t="str">
        <f t="shared" si="16"/>
        <v>M: </v>
      </c>
      <c r="C4726" s="68"/>
      <c r="D4726" s="68">
        <v>46222.0</v>
      </c>
      <c r="E4726" s="66">
        <v>4.0</v>
      </c>
      <c r="F4726" s="66" t="str">
        <f>IFERROR(__xludf.DUMMYFUNCTION("GOOGLETRANSLATE(A4726,""en"",""pt"")"),"#VALUE!")</f>
        <v>#VALUE!</v>
      </c>
      <c r="G4726" s="69"/>
    </row>
    <row r="4727" ht="22.5" customHeight="1">
      <c r="A4727" s="66"/>
      <c r="B4727" s="67" t="str">
        <f t="shared" si="16"/>
        <v>M: </v>
      </c>
      <c r="C4727" s="68"/>
      <c r="D4727" s="68">
        <v>46222.0</v>
      </c>
      <c r="E4727" s="66">
        <v>5.0</v>
      </c>
      <c r="F4727" s="66" t="str">
        <f>IFERROR(__xludf.DUMMYFUNCTION("GOOGLETRANSLATE(A4727,""en"",""pt"")"),"#VALUE!")</f>
        <v>#VALUE!</v>
      </c>
      <c r="G4727" s="69"/>
    </row>
    <row r="4728" ht="22.5" customHeight="1">
      <c r="A4728" s="66"/>
      <c r="B4728" s="67" t="str">
        <f t="shared" si="16"/>
        <v>M: </v>
      </c>
      <c r="C4728" s="68"/>
      <c r="D4728" s="68">
        <v>46222.0</v>
      </c>
      <c r="E4728" s="66">
        <v>6.0</v>
      </c>
      <c r="F4728" s="66" t="str">
        <f>IFERROR(__xludf.DUMMYFUNCTION("GOOGLETRANSLATE(A4728,""en"",""pt"")"),"#VALUE!")</f>
        <v>#VALUE!</v>
      </c>
      <c r="G4728" s="69"/>
    </row>
    <row r="4729" ht="22.5" customHeight="1">
      <c r="A4729" s="66"/>
      <c r="B4729" s="67" t="str">
        <f t="shared" si="16"/>
        <v>M: </v>
      </c>
      <c r="C4729" s="68"/>
      <c r="D4729" s="68">
        <v>46222.0</v>
      </c>
      <c r="E4729" s="66">
        <v>7.0</v>
      </c>
      <c r="F4729" s="66" t="str">
        <f>IFERROR(__xludf.DUMMYFUNCTION("GOOGLETRANSLATE(A4729,""en"",""pt"")"),"#VALUE!")</f>
        <v>#VALUE!</v>
      </c>
      <c r="G4729" s="69"/>
    </row>
    <row r="4730" ht="22.5" customHeight="1">
      <c r="A4730" s="66"/>
      <c r="B4730" s="67" t="str">
        <f t="shared" si="16"/>
        <v>M: </v>
      </c>
      <c r="C4730" s="68"/>
      <c r="D4730" s="68">
        <v>46222.0</v>
      </c>
      <c r="E4730" s="66">
        <v>8.0</v>
      </c>
      <c r="F4730" s="66" t="str">
        <f>IFERROR(__xludf.DUMMYFUNCTION("GOOGLETRANSLATE(A4730,""en"",""pt"")"),"#VALUE!")</f>
        <v>#VALUE!</v>
      </c>
      <c r="G4730" s="69"/>
    </row>
    <row r="4731" ht="22.5" customHeight="1">
      <c r="A4731" s="66"/>
      <c r="B4731" s="67" t="str">
        <f t="shared" si="16"/>
        <v>M: </v>
      </c>
      <c r="C4731" s="68"/>
      <c r="D4731" s="68">
        <v>46222.0</v>
      </c>
      <c r="E4731" s="66">
        <v>9.0</v>
      </c>
      <c r="F4731" s="66" t="str">
        <f>IFERROR(__xludf.DUMMYFUNCTION("GOOGLETRANSLATE(A4731,""en"",""pt"")"),"#VALUE!")</f>
        <v>#VALUE!</v>
      </c>
      <c r="G4731" s="69"/>
    </row>
    <row r="4732" ht="22.5" customHeight="1">
      <c r="A4732" s="66"/>
      <c r="B4732" s="67" t="str">
        <f t="shared" si="16"/>
        <v>M: </v>
      </c>
      <c r="C4732" s="68"/>
      <c r="D4732" s="68">
        <v>46223.0</v>
      </c>
      <c r="E4732" s="66">
        <v>10.0</v>
      </c>
      <c r="F4732" s="66" t="str">
        <f>IFERROR(__xludf.DUMMYFUNCTION("GOOGLETRANSLATE(A4732,""en"",""pt"")"),"#VALUE!")</f>
        <v>#VALUE!</v>
      </c>
      <c r="G4732" s="69"/>
    </row>
    <row r="4733" ht="22.5" customHeight="1">
      <c r="A4733" s="66"/>
      <c r="B4733" s="67" t="str">
        <f t="shared" si="16"/>
        <v>M: </v>
      </c>
      <c r="C4733" s="68"/>
      <c r="D4733" s="68">
        <v>46223.0</v>
      </c>
      <c r="E4733" s="66">
        <v>1.0</v>
      </c>
      <c r="F4733" s="66" t="str">
        <f>IFERROR(__xludf.DUMMYFUNCTION("GOOGLETRANSLATE(A4733,""en"",""pt"")"),"#VALUE!")</f>
        <v>#VALUE!</v>
      </c>
      <c r="G4733" s="69"/>
    </row>
    <row r="4734" ht="22.5" customHeight="1">
      <c r="A4734" s="66"/>
      <c r="B4734" s="67" t="str">
        <f t="shared" si="16"/>
        <v>M: </v>
      </c>
      <c r="C4734" s="68"/>
      <c r="D4734" s="68">
        <v>46223.0</v>
      </c>
      <c r="E4734" s="66">
        <v>2.0</v>
      </c>
      <c r="F4734" s="66" t="str">
        <f>IFERROR(__xludf.DUMMYFUNCTION("GOOGLETRANSLATE(A4734,""en"",""pt"")"),"#VALUE!")</f>
        <v>#VALUE!</v>
      </c>
      <c r="G4734" s="69"/>
    </row>
    <row r="4735" ht="22.5" customHeight="1">
      <c r="A4735" s="66"/>
      <c r="B4735" s="67" t="str">
        <f t="shared" si="16"/>
        <v>M: </v>
      </c>
      <c r="C4735" s="68"/>
      <c r="D4735" s="68">
        <v>46223.0</v>
      </c>
      <c r="E4735" s="66">
        <v>3.0</v>
      </c>
      <c r="F4735" s="66" t="str">
        <f>IFERROR(__xludf.DUMMYFUNCTION("GOOGLETRANSLATE(A4735,""en"",""pt"")"),"#VALUE!")</f>
        <v>#VALUE!</v>
      </c>
      <c r="G4735" s="69"/>
    </row>
    <row r="4736" ht="22.5" customHeight="1">
      <c r="A4736" s="66"/>
      <c r="B4736" s="67" t="str">
        <f t="shared" si="16"/>
        <v>M: </v>
      </c>
      <c r="C4736" s="68"/>
      <c r="D4736" s="68">
        <v>46223.0</v>
      </c>
      <c r="E4736" s="66">
        <v>4.0</v>
      </c>
      <c r="F4736" s="66" t="str">
        <f>IFERROR(__xludf.DUMMYFUNCTION("GOOGLETRANSLATE(A4736,""en"",""pt"")"),"#VALUE!")</f>
        <v>#VALUE!</v>
      </c>
      <c r="G4736" s="69"/>
    </row>
    <row r="4737" ht="22.5" customHeight="1">
      <c r="A4737" s="66"/>
      <c r="B4737" s="67" t="str">
        <f t="shared" si="16"/>
        <v>M: </v>
      </c>
      <c r="C4737" s="68"/>
      <c r="D4737" s="68">
        <v>46223.0</v>
      </c>
      <c r="E4737" s="66">
        <v>5.0</v>
      </c>
      <c r="F4737" s="66" t="str">
        <f>IFERROR(__xludf.DUMMYFUNCTION("GOOGLETRANSLATE(A4737,""en"",""pt"")"),"#VALUE!")</f>
        <v>#VALUE!</v>
      </c>
      <c r="G4737" s="69"/>
    </row>
    <row r="4738" ht="22.5" customHeight="1">
      <c r="A4738" s="66"/>
      <c r="B4738" s="67" t="str">
        <f t="shared" si="16"/>
        <v>M: </v>
      </c>
      <c r="C4738" s="68"/>
      <c r="D4738" s="68">
        <v>46223.0</v>
      </c>
      <c r="E4738" s="66">
        <v>6.0</v>
      </c>
      <c r="F4738" s="66" t="str">
        <f>IFERROR(__xludf.DUMMYFUNCTION("GOOGLETRANSLATE(A4738,""en"",""pt"")"),"#VALUE!")</f>
        <v>#VALUE!</v>
      </c>
      <c r="G4738" s="69"/>
    </row>
    <row r="4739" ht="22.5" customHeight="1">
      <c r="A4739" s="66"/>
      <c r="B4739" s="67" t="str">
        <f t="shared" si="16"/>
        <v>M: </v>
      </c>
      <c r="C4739" s="68"/>
      <c r="D4739" s="68">
        <v>46223.0</v>
      </c>
      <c r="E4739" s="66">
        <v>7.0</v>
      </c>
      <c r="F4739" s="66" t="str">
        <f>IFERROR(__xludf.DUMMYFUNCTION("GOOGLETRANSLATE(A4739,""en"",""pt"")"),"#VALUE!")</f>
        <v>#VALUE!</v>
      </c>
      <c r="G4739" s="69"/>
    </row>
    <row r="4740" ht="22.5" customHeight="1">
      <c r="A4740" s="66"/>
      <c r="B4740" s="67" t="str">
        <f t="shared" si="16"/>
        <v>M: </v>
      </c>
      <c r="C4740" s="68"/>
      <c r="D4740" s="68">
        <v>46223.0</v>
      </c>
      <c r="E4740" s="66">
        <v>8.0</v>
      </c>
      <c r="F4740" s="66" t="str">
        <f>IFERROR(__xludf.DUMMYFUNCTION("GOOGLETRANSLATE(A4740,""en"",""pt"")"),"#VALUE!")</f>
        <v>#VALUE!</v>
      </c>
      <c r="G4740" s="69"/>
    </row>
    <row r="4741" ht="22.5" customHeight="1">
      <c r="A4741" s="66"/>
      <c r="B4741" s="67" t="str">
        <f t="shared" si="16"/>
        <v>M: </v>
      </c>
      <c r="C4741" s="68"/>
      <c r="D4741" s="68">
        <v>46223.0</v>
      </c>
      <c r="E4741" s="66">
        <v>9.0</v>
      </c>
      <c r="F4741" s="66" t="str">
        <f>IFERROR(__xludf.DUMMYFUNCTION("GOOGLETRANSLATE(A4741,""en"",""pt"")"),"#VALUE!")</f>
        <v>#VALUE!</v>
      </c>
      <c r="G4741" s="69"/>
    </row>
    <row r="4742" ht="22.5" customHeight="1">
      <c r="A4742" s="66"/>
      <c r="B4742" s="67" t="str">
        <f t="shared" si="16"/>
        <v>M: </v>
      </c>
      <c r="C4742" s="68"/>
      <c r="D4742" s="68">
        <v>46224.0</v>
      </c>
      <c r="E4742" s="66">
        <v>10.0</v>
      </c>
      <c r="F4742" s="66" t="str">
        <f>IFERROR(__xludf.DUMMYFUNCTION("GOOGLETRANSLATE(A4742,""en"",""pt"")"),"#VALUE!")</f>
        <v>#VALUE!</v>
      </c>
      <c r="G4742" s="69"/>
    </row>
    <row r="4743" ht="22.5" customHeight="1">
      <c r="A4743" s="66"/>
      <c r="B4743" s="67" t="str">
        <f t="shared" si="16"/>
        <v>M: </v>
      </c>
      <c r="C4743" s="68"/>
      <c r="D4743" s="68">
        <v>46224.0</v>
      </c>
      <c r="E4743" s="66">
        <v>1.0</v>
      </c>
      <c r="F4743" s="66" t="str">
        <f>IFERROR(__xludf.DUMMYFUNCTION("GOOGLETRANSLATE(A4743,""en"",""pt"")"),"#VALUE!")</f>
        <v>#VALUE!</v>
      </c>
      <c r="G4743" s="69"/>
    </row>
    <row r="4744" ht="22.5" customHeight="1">
      <c r="A4744" s="66"/>
      <c r="B4744" s="67" t="str">
        <f t="shared" si="16"/>
        <v>M: </v>
      </c>
      <c r="C4744" s="68"/>
      <c r="D4744" s="68">
        <v>46224.0</v>
      </c>
      <c r="E4744" s="66">
        <v>2.0</v>
      </c>
      <c r="F4744" s="66" t="str">
        <f>IFERROR(__xludf.DUMMYFUNCTION("GOOGLETRANSLATE(A4744,""en"",""pt"")"),"#VALUE!")</f>
        <v>#VALUE!</v>
      </c>
      <c r="G4744" s="69"/>
    </row>
    <row r="4745" ht="22.5" customHeight="1">
      <c r="A4745" s="66"/>
      <c r="B4745" s="67" t="str">
        <f t="shared" si="16"/>
        <v>M: </v>
      </c>
      <c r="C4745" s="68"/>
      <c r="D4745" s="68">
        <v>46224.0</v>
      </c>
      <c r="E4745" s="66">
        <v>3.0</v>
      </c>
      <c r="F4745" s="66" t="str">
        <f>IFERROR(__xludf.DUMMYFUNCTION("GOOGLETRANSLATE(A4745,""en"",""pt"")"),"#VALUE!")</f>
        <v>#VALUE!</v>
      </c>
      <c r="G4745" s="69"/>
    </row>
    <row r="4746" ht="22.5" customHeight="1">
      <c r="A4746" s="66"/>
      <c r="B4746" s="67" t="str">
        <f t="shared" si="16"/>
        <v>M: </v>
      </c>
      <c r="C4746" s="68"/>
      <c r="D4746" s="68">
        <v>46224.0</v>
      </c>
      <c r="E4746" s="66">
        <v>4.0</v>
      </c>
      <c r="F4746" s="66" t="str">
        <f>IFERROR(__xludf.DUMMYFUNCTION("GOOGLETRANSLATE(A4746,""en"",""pt"")"),"#VALUE!")</f>
        <v>#VALUE!</v>
      </c>
      <c r="G4746" s="69"/>
    </row>
    <row r="4747" ht="22.5" customHeight="1">
      <c r="A4747" s="66"/>
      <c r="B4747" s="67" t="str">
        <f t="shared" si="16"/>
        <v>M: </v>
      </c>
      <c r="C4747" s="68"/>
      <c r="D4747" s="68">
        <v>46224.0</v>
      </c>
      <c r="E4747" s="66">
        <v>5.0</v>
      </c>
      <c r="F4747" s="66" t="str">
        <f>IFERROR(__xludf.DUMMYFUNCTION("GOOGLETRANSLATE(A4747,""en"",""pt"")"),"#VALUE!")</f>
        <v>#VALUE!</v>
      </c>
      <c r="G4747" s="69"/>
    </row>
    <row r="4748" ht="22.5" customHeight="1">
      <c r="A4748" s="66"/>
      <c r="B4748" s="67" t="str">
        <f t="shared" si="16"/>
        <v>M: </v>
      </c>
      <c r="C4748" s="68"/>
      <c r="D4748" s="68">
        <v>46224.0</v>
      </c>
      <c r="E4748" s="66">
        <v>6.0</v>
      </c>
      <c r="F4748" s="66" t="str">
        <f>IFERROR(__xludf.DUMMYFUNCTION("GOOGLETRANSLATE(A4748,""en"",""pt"")"),"#VALUE!")</f>
        <v>#VALUE!</v>
      </c>
      <c r="G4748" s="69"/>
    </row>
    <row r="4749" ht="22.5" customHeight="1">
      <c r="A4749" s="66"/>
      <c r="B4749" s="67" t="str">
        <f t="shared" si="16"/>
        <v>M: </v>
      </c>
      <c r="C4749" s="68"/>
      <c r="D4749" s="68">
        <v>46224.0</v>
      </c>
      <c r="E4749" s="66">
        <v>7.0</v>
      </c>
      <c r="F4749" s="66" t="str">
        <f>IFERROR(__xludf.DUMMYFUNCTION("GOOGLETRANSLATE(A4749,""en"",""pt"")"),"#VALUE!")</f>
        <v>#VALUE!</v>
      </c>
      <c r="G4749" s="69"/>
    </row>
    <row r="4750" ht="22.5" customHeight="1">
      <c r="A4750" s="66"/>
      <c r="B4750" s="67" t="str">
        <f t="shared" si="16"/>
        <v>M: </v>
      </c>
      <c r="C4750" s="68"/>
      <c r="D4750" s="68">
        <v>46224.0</v>
      </c>
      <c r="E4750" s="66">
        <v>8.0</v>
      </c>
      <c r="F4750" s="66" t="str">
        <f>IFERROR(__xludf.DUMMYFUNCTION("GOOGLETRANSLATE(A4750,""en"",""pt"")"),"#VALUE!")</f>
        <v>#VALUE!</v>
      </c>
      <c r="G4750" s="69"/>
    </row>
    <row r="4751" ht="22.5" customHeight="1">
      <c r="A4751" s="66"/>
      <c r="B4751" s="67" t="str">
        <f t="shared" si="16"/>
        <v>M: </v>
      </c>
      <c r="C4751" s="68"/>
      <c r="D4751" s="68">
        <v>46224.0</v>
      </c>
      <c r="E4751" s="66">
        <v>9.0</v>
      </c>
      <c r="F4751" s="66" t="str">
        <f>IFERROR(__xludf.DUMMYFUNCTION("GOOGLETRANSLATE(A4751,""en"",""pt"")"),"#VALUE!")</f>
        <v>#VALUE!</v>
      </c>
      <c r="G4751" s="69"/>
    </row>
    <row r="4752" ht="22.5" customHeight="1">
      <c r="A4752" s="66"/>
      <c r="B4752" s="67" t="str">
        <f t="shared" si="16"/>
        <v>M: </v>
      </c>
      <c r="C4752" s="68"/>
      <c r="D4752" s="68">
        <v>46225.0</v>
      </c>
      <c r="E4752" s="66">
        <v>10.0</v>
      </c>
      <c r="F4752" s="66" t="str">
        <f>IFERROR(__xludf.DUMMYFUNCTION("GOOGLETRANSLATE(A4752,""en"",""pt"")"),"#VALUE!")</f>
        <v>#VALUE!</v>
      </c>
      <c r="G4752" s="69"/>
    </row>
    <row r="4753" ht="22.5" customHeight="1">
      <c r="A4753" s="66"/>
      <c r="B4753" s="67" t="str">
        <f t="shared" si="16"/>
        <v>M: </v>
      </c>
      <c r="C4753" s="68"/>
      <c r="D4753" s="68">
        <v>46225.0</v>
      </c>
      <c r="E4753" s="66">
        <v>1.0</v>
      </c>
      <c r="F4753" s="66" t="str">
        <f>IFERROR(__xludf.DUMMYFUNCTION("GOOGLETRANSLATE(A4753,""en"",""pt"")"),"#VALUE!")</f>
        <v>#VALUE!</v>
      </c>
      <c r="G4753" s="69"/>
    </row>
    <row r="4754" ht="22.5" customHeight="1">
      <c r="A4754" s="66"/>
      <c r="B4754" s="67" t="str">
        <f t="shared" si="16"/>
        <v>M: </v>
      </c>
      <c r="C4754" s="68"/>
      <c r="D4754" s="68">
        <v>46225.0</v>
      </c>
      <c r="E4754" s="66">
        <v>2.0</v>
      </c>
      <c r="F4754" s="66" t="str">
        <f>IFERROR(__xludf.DUMMYFUNCTION("GOOGLETRANSLATE(A4754,""en"",""pt"")"),"#VALUE!")</f>
        <v>#VALUE!</v>
      </c>
      <c r="G4754" s="69"/>
    </row>
    <row r="4755" ht="22.5" customHeight="1">
      <c r="A4755" s="66"/>
      <c r="B4755" s="67" t="str">
        <f t="shared" si="16"/>
        <v>M: </v>
      </c>
      <c r="C4755" s="68"/>
      <c r="D4755" s="68">
        <v>46225.0</v>
      </c>
      <c r="E4755" s="66">
        <v>3.0</v>
      </c>
      <c r="F4755" s="66" t="str">
        <f>IFERROR(__xludf.DUMMYFUNCTION("GOOGLETRANSLATE(A4755,""en"",""pt"")"),"#VALUE!")</f>
        <v>#VALUE!</v>
      </c>
      <c r="G4755" s="69"/>
    </row>
    <row r="4756" ht="22.5" customHeight="1">
      <c r="A4756" s="66"/>
      <c r="B4756" s="67" t="str">
        <f t="shared" si="16"/>
        <v>M: </v>
      </c>
      <c r="C4756" s="68"/>
      <c r="D4756" s="68">
        <v>46225.0</v>
      </c>
      <c r="E4756" s="66">
        <v>4.0</v>
      </c>
      <c r="F4756" s="66" t="str">
        <f>IFERROR(__xludf.DUMMYFUNCTION("GOOGLETRANSLATE(A4756,""en"",""pt"")"),"#VALUE!")</f>
        <v>#VALUE!</v>
      </c>
      <c r="G4756" s="69"/>
    </row>
    <row r="4757" ht="22.5" customHeight="1">
      <c r="A4757" s="66"/>
      <c r="B4757" s="67" t="str">
        <f t="shared" si="16"/>
        <v>M: </v>
      </c>
      <c r="C4757" s="68"/>
      <c r="D4757" s="68">
        <v>46225.0</v>
      </c>
      <c r="E4757" s="66">
        <v>5.0</v>
      </c>
      <c r="F4757" s="66" t="str">
        <f>IFERROR(__xludf.DUMMYFUNCTION("GOOGLETRANSLATE(A4757,""en"",""pt"")"),"#VALUE!")</f>
        <v>#VALUE!</v>
      </c>
      <c r="G4757" s="69"/>
    </row>
    <row r="4758" ht="22.5" customHeight="1">
      <c r="A4758" s="66"/>
      <c r="B4758" s="67" t="str">
        <f t="shared" si="16"/>
        <v>M: </v>
      </c>
      <c r="C4758" s="68"/>
      <c r="D4758" s="68">
        <v>46225.0</v>
      </c>
      <c r="E4758" s="66">
        <v>6.0</v>
      </c>
      <c r="F4758" s="66" t="str">
        <f>IFERROR(__xludf.DUMMYFUNCTION("GOOGLETRANSLATE(A4758,""en"",""pt"")"),"#VALUE!")</f>
        <v>#VALUE!</v>
      </c>
      <c r="G4758" s="69"/>
    </row>
    <row r="4759" ht="22.5" customHeight="1">
      <c r="A4759" s="66"/>
      <c r="B4759" s="67" t="str">
        <f t="shared" si="16"/>
        <v>M: </v>
      </c>
      <c r="C4759" s="68"/>
      <c r="D4759" s="68">
        <v>46225.0</v>
      </c>
      <c r="E4759" s="66">
        <v>7.0</v>
      </c>
      <c r="F4759" s="66" t="str">
        <f>IFERROR(__xludf.DUMMYFUNCTION("GOOGLETRANSLATE(A4759,""en"",""pt"")"),"#VALUE!")</f>
        <v>#VALUE!</v>
      </c>
      <c r="G4759" s="69"/>
    </row>
    <row r="4760" ht="22.5" customHeight="1">
      <c r="A4760" s="66"/>
      <c r="B4760" s="67" t="str">
        <f t="shared" si="16"/>
        <v>M: </v>
      </c>
      <c r="C4760" s="68"/>
      <c r="D4760" s="68">
        <v>46225.0</v>
      </c>
      <c r="E4760" s="66">
        <v>8.0</v>
      </c>
      <c r="F4760" s="66" t="str">
        <f>IFERROR(__xludf.DUMMYFUNCTION("GOOGLETRANSLATE(A4760,""en"",""pt"")"),"#VALUE!")</f>
        <v>#VALUE!</v>
      </c>
      <c r="G4760" s="69"/>
    </row>
    <row r="4761" ht="22.5" customHeight="1">
      <c r="A4761" s="66"/>
      <c r="B4761" s="67" t="str">
        <f t="shared" si="16"/>
        <v>M: </v>
      </c>
      <c r="C4761" s="68"/>
      <c r="D4761" s="68">
        <v>46225.0</v>
      </c>
      <c r="E4761" s="66">
        <v>9.0</v>
      </c>
      <c r="F4761" s="66" t="str">
        <f>IFERROR(__xludf.DUMMYFUNCTION("GOOGLETRANSLATE(A4761,""en"",""pt"")"),"#VALUE!")</f>
        <v>#VALUE!</v>
      </c>
      <c r="G4761" s="69"/>
    </row>
    <row r="4762" ht="22.5" customHeight="1">
      <c r="A4762" s="66"/>
      <c r="B4762" s="67" t="str">
        <f t="shared" si="16"/>
        <v>M: </v>
      </c>
      <c r="C4762" s="68"/>
      <c r="D4762" s="68">
        <v>46226.0</v>
      </c>
      <c r="E4762" s="66">
        <v>10.0</v>
      </c>
      <c r="F4762" s="66" t="str">
        <f>IFERROR(__xludf.DUMMYFUNCTION("GOOGLETRANSLATE(A4762,""en"",""pt"")"),"#VALUE!")</f>
        <v>#VALUE!</v>
      </c>
      <c r="G4762" s="69"/>
    </row>
    <row r="4763" ht="22.5" customHeight="1">
      <c r="A4763" s="66"/>
      <c r="B4763" s="67" t="str">
        <f t="shared" si="16"/>
        <v>M: </v>
      </c>
      <c r="C4763" s="68"/>
      <c r="D4763" s="68">
        <v>46226.0</v>
      </c>
      <c r="E4763" s="66">
        <v>1.0</v>
      </c>
      <c r="F4763" s="66" t="str">
        <f>IFERROR(__xludf.DUMMYFUNCTION("GOOGLETRANSLATE(A4763,""en"",""pt"")"),"#VALUE!")</f>
        <v>#VALUE!</v>
      </c>
      <c r="G4763" s="69"/>
    </row>
    <row r="4764" ht="22.5" customHeight="1">
      <c r="A4764" s="66"/>
      <c r="B4764" s="67" t="str">
        <f t="shared" si="16"/>
        <v>M: </v>
      </c>
      <c r="C4764" s="68"/>
      <c r="D4764" s="68">
        <v>46226.0</v>
      </c>
      <c r="E4764" s="66">
        <v>2.0</v>
      </c>
      <c r="F4764" s="66" t="str">
        <f>IFERROR(__xludf.DUMMYFUNCTION("GOOGLETRANSLATE(A4764,""en"",""pt"")"),"#VALUE!")</f>
        <v>#VALUE!</v>
      </c>
      <c r="G4764" s="69"/>
    </row>
    <row r="4765" ht="22.5" customHeight="1">
      <c r="A4765" s="66"/>
      <c r="B4765" s="67" t="str">
        <f t="shared" si="16"/>
        <v>M: </v>
      </c>
      <c r="C4765" s="68"/>
      <c r="D4765" s="68">
        <v>46226.0</v>
      </c>
      <c r="E4765" s="66">
        <v>3.0</v>
      </c>
      <c r="F4765" s="66" t="str">
        <f>IFERROR(__xludf.DUMMYFUNCTION("GOOGLETRANSLATE(A4765,""en"",""pt"")"),"#VALUE!")</f>
        <v>#VALUE!</v>
      </c>
      <c r="G4765" s="69"/>
    </row>
    <row r="4766" ht="22.5" customHeight="1">
      <c r="A4766" s="66"/>
      <c r="B4766" s="67" t="str">
        <f t="shared" si="16"/>
        <v>M: </v>
      </c>
      <c r="C4766" s="68"/>
      <c r="D4766" s="68">
        <v>46226.0</v>
      </c>
      <c r="E4766" s="66">
        <v>4.0</v>
      </c>
      <c r="F4766" s="66" t="str">
        <f>IFERROR(__xludf.DUMMYFUNCTION("GOOGLETRANSLATE(A4766,""en"",""pt"")"),"#VALUE!")</f>
        <v>#VALUE!</v>
      </c>
      <c r="G4766" s="69"/>
    </row>
    <row r="4767" ht="22.5" customHeight="1">
      <c r="A4767" s="66"/>
      <c r="B4767" s="67" t="str">
        <f t="shared" si="16"/>
        <v>M: </v>
      </c>
      <c r="C4767" s="68"/>
      <c r="D4767" s="68">
        <v>46226.0</v>
      </c>
      <c r="E4767" s="66">
        <v>5.0</v>
      </c>
      <c r="F4767" s="66" t="str">
        <f>IFERROR(__xludf.DUMMYFUNCTION("GOOGLETRANSLATE(A4767,""en"",""pt"")"),"#VALUE!")</f>
        <v>#VALUE!</v>
      </c>
      <c r="G4767" s="69"/>
    </row>
    <row r="4768" ht="22.5" customHeight="1">
      <c r="A4768" s="66"/>
      <c r="B4768" s="67" t="str">
        <f t="shared" si="16"/>
        <v>M: </v>
      </c>
      <c r="C4768" s="68"/>
      <c r="D4768" s="68">
        <v>46226.0</v>
      </c>
      <c r="E4768" s="66">
        <v>6.0</v>
      </c>
      <c r="F4768" s="66" t="str">
        <f>IFERROR(__xludf.DUMMYFUNCTION("GOOGLETRANSLATE(A4768,""en"",""pt"")"),"#VALUE!")</f>
        <v>#VALUE!</v>
      </c>
      <c r="G4768" s="69"/>
    </row>
    <row r="4769" ht="22.5" customHeight="1">
      <c r="A4769" s="66"/>
      <c r="B4769" s="67" t="str">
        <f t="shared" si="16"/>
        <v>M: </v>
      </c>
      <c r="C4769" s="68"/>
      <c r="D4769" s="68">
        <v>46226.0</v>
      </c>
      <c r="E4769" s="66">
        <v>7.0</v>
      </c>
      <c r="F4769" s="66" t="str">
        <f>IFERROR(__xludf.DUMMYFUNCTION("GOOGLETRANSLATE(A4769,""en"",""pt"")"),"#VALUE!")</f>
        <v>#VALUE!</v>
      </c>
      <c r="G4769" s="69"/>
    </row>
    <row r="4770" ht="22.5" customHeight="1">
      <c r="A4770" s="66"/>
      <c r="B4770" s="67" t="str">
        <f t="shared" si="16"/>
        <v>M: </v>
      </c>
      <c r="C4770" s="68"/>
      <c r="D4770" s="68">
        <v>46226.0</v>
      </c>
      <c r="E4770" s="66">
        <v>8.0</v>
      </c>
      <c r="F4770" s="66" t="str">
        <f>IFERROR(__xludf.DUMMYFUNCTION("GOOGLETRANSLATE(A4770,""en"",""pt"")"),"#VALUE!")</f>
        <v>#VALUE!</v>
      </c>
      <c r="G4770" s="69"/>
    </row>
    <row r="4771" ht="22.5" customHeight="1">
      <c r="A4771" s="66"/>
      <c r="B4771" s="67" t="str">
        <f t="shared" si="16"/>
        <v>M: </v>
      </c>
      <c r="C4771" s="68"/>
      <c r="D4771" s="68">
        <v>46226.0</v>
      </c>
      <c r="E4771" s="66">
        <v>9.0</v>
      </c>
      <c r="F4771" s="66" t="str">
        <f>IFERROR(__xludf.DUMMYFUNCTION("GOOGLETRANSLATE(A4771,""en"",""pt"")"),"#VALUE!")</f>
        <v>#VALUE!</v>
      </c>
      <c r="G4771" s="69"/>
    </row>
    <row r="4772" ht="22.5" customHeight="1">
      <c r="A4772" s="66"/>
      <c r="B4772" s="67" t="str">
        <f t="shared" si="16"/>
        <v>M: </v>
      </c>
      <c r="C4772" s="68"/>
      <c r="D4772" s="68">
        <v>46227.0</v>
      </c>
      <c r="E4772" s="66">
        <v>10.0</v>
      </c>
      <c r="F4772" s="66" t="str">
        <f>IFERROR(__xludf.DUMMYFUNCTION("GOOGLETRANSLATE(A4772,""en"",""pt"")"),"#VALUE!")</f>
        <v>#VALUE!</v>
      </c>
      <c r="G4772" s="69"/>
    </row>
    <row r="4773" ht="22.5" customHeight="1">
      <c r="A4773" s="66"/>
      <c r="B4773" s="67" t="str">
        <f t="shared" si="16"/>
        <v>M: </v>
      </c>
      <c r="C4773" s="68"/>
      <c r="D4773" s="68">
        <v>46227.0</v>
      </c>
      <c r="E4773" s="66">
        <v>1.0</v>
      </c>
      <c r="F4773" s="66" t="str">
        <f>IFERROR(__xludf.DUMMYFUNCTION("GOOGLETRANSLATE(A4773,""en"",""pt"")"),"#VALUE!")</f>
        <v>#VALUE!</v>
      </c>
      <c r="G4773" s="69"/>
    </row>
    <row r="4774" ht="22.5" customHeight="1">
      <c r="A4774" s="66"/>
      <c r="B4774" s="67" t="str">
        <f t="shared" si="16"/>
        <v>M: </v>
      </c>
      <c r="C4774" s="68"/>
      <c r="D4774" s="68">
        <v>46227.0</v>
      </c>
      <c r="E4774" s="66">
        <v>2.0</v>
      </c>
      <c r="F4774" s="66" t="str">
        <f>IFERROR(__xludf.DUMMYFUNCTION("GOOGLETRANSLATE(A4774,""en"",""pt"")"),"#VALUE!")</f>
        <v>#VALUE!</v>
      </c>
      <c r="G4774" s="69"/>
    </row>
    <row r="4775" ht="22.5" customHeight="1">
      <c r="A4775" s="66"/>
      <c r="B4775" s="67" t="str">
        <f t="shared" si="16"/>
        <v>M: </v>
      </c>
      <c r="C4775" s="68"/>
      <c r="D4775" s="68">
        <v>46227.0</v>
      </c>
      <c r="E4775" s="66">
        <v>3.0</v>
      </c>
      <c r="F4775" s="66" t="str">
        <f>IFERROR(__xludf.DUMMYFUNCTION("GOOGLETRANSLATE(A4775,""en"",""pt"")"),"#VALUE!")</f>
        <v>#VALUE!</v>
      </c>
      <c r="G4775" s="69"/>
    </row>
    <row r="4776" ht="22.5" customHeight="1">
      <c r="A4776" s="66"/>
      <c r="B4776" s="67" t="str">
        <f t="shared" si="16"/>
        <v>M: </v>
      </c>
      <c r="C4776" s="68"/>
      <c r="D4776" s="68">
        <v>46227.0</v>
      </c>
      <c r="E4776" s="66">
        <v>4.0</v>
      </c>
      <c r="F4776" s="66" t="str">
        <f>IFERROR(__xludf.DUMMYFUNCTION("GOOGLETRANSLATE(A4776,""en"",""pt"")"),"#VALUE!")</f>
        <v>#VALUE!</v>
      </c>
      <c r="G4776" s="69"/>
    </row>
    <row r="4777" ht="22.5" customHeight="1">
      <c r="A4777" s="66"/>
      <c r="B4777" s="67" t="str">
        <f t="shared" si="16"/>
        <v>M: </v>
      </c>
      <c r="C4777" s="68"/>
      <c r="D4777" s="68">
        <v>46227.0</v>
      </c>
      <c r="E4777" s="66">
        <v>5.0</v>
      </c>
      <c r="F4777" s="66" t="str">
        <f>IFERROR(__xludf.DUMMYFUNCTION("GOOGLETRANSLATE(A4777,""en"",""pt"")"),"#VALUE!")</f>
        <v>#VALUE!</v>
      </c>
      <c r="G4777" s="69"/>
    </row>
    <row r="4778" ht="22.5" customHeight="1">
      <c r="A4778" s="66"/>
      <c r="B4778" s="67" t="str">
        <f t="shared" si="16"/>
        <v>M: </v>
      </c>
      <c r="C4778" s="68"/>
      <c r="D4778" s="68">
        <v>46227.0</v>
      </c>
      <c r="E4778" s="66">
        <v>6.0</v>
      </c>
      <c r="F4778" s="66" t="str">
        <f>IFERROR(__xludf.DUMMYFUNCTION("GOOGLETRANSLATE(A4778,""en"",""pt"")"),"#VALUE!")</f>
        <v>#VALUE!</v>
      </c>
      <c r="G4778" s="69"/>
    </row>
    <row r="4779" ht="22.5" customHeight="1">
      <c r="A4779" s="66"/>
      <c r="B4779" s="67" t="str">
        <f t="shared" si="16"/>
        <v>M: </v>
      </c>
      <c r="C4779" s="68"/>
      <c r="D4779" s="68">
        <v>46227.0</v>
      </c>
      <c r="E4779" s="66">
        <v>7.0</v>
      </c>
      <c r="F4779" s="66" t="str">
        <f>IFERROR(__xludf.DUMMYFUNCTION("GOOGLETRANSLATE(A4779,""en"",""pt"")"),"#VALUE!")</f>
        <v>#VALUE!</v>
      </c>
      <c r="G4779" s="69"/>
    </row>
    <row r="4780" ht="22.5" customHeight="1">
      <c r="A4780" s="66"/>
      <c r="B4780" s="67" t="str">
        <f t="shared" si="16"/>
        <v>M: </v>
      </c>
      <c r="C4780" s="68"/>
      <c r="D4780" s="68">
        <v>46227.0</v>
      </c>
      <c r="E4780" s="66">
        <v>8.0</v>
      </c>
      <c r="F4780" s="66" t="str">
        <f>IFERROR(__xludf.DUMMYFUNCTION("GOOGLETRANSLATE(A4780,""en"",""pt"")"),"#VALUE!")</f>
        <v>#VALUE!</v>
      </c>
      <c r="G4780" s="69"/>
    </row>
    <row r="4781" ht="22.5" customHeight="1">
      <c r="A4781" s="66"/>
      <c r="B4781" s="67" t="str">
        <f t="shared" si="16"/>
        <v>M: </v>
      </c>
      <c r="C4781" s="68"/>
      <c r="D4781" s="68">
        <v>46227.0</v>
      </c>
      <c r="E4781" s="66">
        <v>9.0</v>
      </c>
      <c r="F4781" s="66" t="str">
        <f>IFERROR(__xludf.DUMMYFUNCTION("GOOGLETRANSLATE(A4781,""en"",""pt"")"),"#VALUE!")</f>
        <v>#VALUE!</v>
      </c>
      <c r="G4781" s="69"/>
    </row>
    <row r="4782" ht="22.5" customHeight="1">
      <c r="A4782" s="66"/>
      <c r="B4782" s="67" t="str">
        <f t="shared" si="16"/>
        <v>M: </v>
      </c>
      <c r="C4782" s="68"/>
      <c r="D4782" s="68">
        <v>46228.0</v>
      </c>
      <c r="E4782" s="66">
        <v>10.0</v>
      </c>
      <c r="F4782" s="66" t="str">
        <f>IFERROR(__xludf.DUMMYFUNCTION("GOOGLETRANSLATE(A4782,""en"",""pt"")"),"#VALUE!")</f>
        <v>#VALUE!</v>
      </c>
      <c r="G4782" s="69"/>
    </row>
    <row r="4783" ht="22.5" customHeight="1">
      <c r="A4783" s="66"/>
      <c r="B4783" s="67" t="str">
        <f t="shared" si="16"/>
        <v>M: </v>
      </c>
      <c r="C4783" s="68"/>
      <c r="D4783" s="68">
        <v>46228.0</v>
      </c>
      <c r="E4783" s="66">
        <v>1.0</v>
      </c>
      <c r="F4783" s="66" t="str">
        <f>IFERROR(__xludf.DUMMYFUNCTION("GOOGLETRANSLATE(A4783,""en"",""pt"")"),"#VALUE!")</f>
        <v>#VALUE!</v>
      </c>
      <c r="G4783" s="69"/>
    </row>
    <row r="4784" ht="22.5" customHeight="1">
      <c r="A4784" s="66"/>
      <c r="B4784" s="67" t="str">
        <f t="shared" si="16"/>
        <v>M: </v>
      </c>
      <c r="C4784" s="68"/>
      <c r="D4784" s="68">
        <v>46228.0</v>
      </c>
      <c r="E4784" s="66">
        <v>2.0</v>
      </c>
      <c r="F4784" s="66" t="str">
        <f>IFERROR(__xludf.DUMMYFUNCTION("GOOGLETRANSLATE(A4784,""en"",""pt"")"),"#VALUE!")</f>
        <v>#VALUE!</v>
      </c>
      <c r="G4784" s="69"/>
    </row>
    <row r="4785" ht="22.5" customHeight="1">
      <c r="A4785" s="66"/>
      <c r="B4785" s="67" t="str">
        <f t="shared" si="16"/>
        <v>M: </v>
      </c>
      <c r="C4785" s="68"/>
      <c r="D4785" s="68">
        <v>46228.0</v>
      </c>
      <c r="E4785" s="66">
        <v>3.0</v>
      </c>
      <c r="F4785" s="66" t="str">
        <f>IFERROR(__xludf.DUMMYFUNCTION("GOOGLETRANSLATE(A4785,""en"",""pt"")"),"#VALUE!")</f>
        <v>#VALUE!</v>
      </c>
      <c r="G4785" s="69"/>
    </row>
    <row r="4786" ht="22.5" customHeight="1">
      <c r="A4786" s="66"/>
      <c r="B4786" s="67" t="str">
        <f t="shared" si="16"/>
        <v>M: </v>
      </c>
      <c r="C4786" s="68"/>
      <c r="D4786" s="68">
        <v>46228.0</v>
      </c>
      <c r="E4786" s="66">
        <v>4.0</v>
      </c>
      <c r="F4786" s="66" t="str">
        <f>IFERROR(__xludf.DUMMYFUNCTION("GOOGLETRANSLATE(A4786,""en"",""pt"")"),"#VALUE!")</f>
        <v>#VALUE!</v>
      </c>
      <c r="G4786" s="69"/>
    </row>
    <row r="4787" ht="22.5" customHeight="1">
      <c r="A4787" s="66"/>
      <c r="B4787" s="67" t="str">
        <f t="shared" si="16"/>
        <v>M: </v>
      </c>
      <c r="C4787" s="68"/>
      <c r="D4787" s="68">
        <v>46228.0</v>
      </c>
      <c r="E4787" s="66">
        <v>5.0</v>
      </c>
      <c r="F4787" s="66" t="str">
        <f>IFERROR(__xludf.DUMMYFUNCTION("GOOGLETRANSLATE(A4787,""en"",""pt"")"),"#VALUE!")</f>
        <v>#VALUE!</v>
      </c>
      <c r="G4787" s="69"/>
    </row>
    <row r="4788" ht="22.5" customHeight="1">
      <c r="A4788" s="66"/>
      <c r="B4788" s="67" t="str">
        <f t="shared" si="16"/>
        <v>M: </v>
      </c>
      <c r="C4788" s="68"/>
      <c r="D4788" s="68">
        <v>46228.0</v>
      </c>
      <c r="E4788" s="66">
        <v>6.0</v>
      </c>
      <c r="F4788" s="66" t="str">
        <f>IFERROR(__xludf.DUMMYFUNCTION("GOOGLETRANSLATE(A4788,""en"",""pt"")"),"#VALUE!")</f>
        <v>#VALUE!</v>
      </c>
      <c r="G4788" s="69"/>
    </row>
    <row r="4789" ht="22.5" customHeight="1">
      <c r="A4789" s="66"/>
      <c r="B4789" s="67" t="str">
        <f t="shared" si="16"/>
        <v>M: </v>
      </c>
      <c r="C4789" s="68"/>
      <c r="D4789" s="68">
        <v>46228.0</v>
      </c>
      <c r="E4789" s="66">
        <v>7.0</v>
      </c>
      <c r="F4789" s="66" t="str">
        <f>IFERROR(__xludf.DUMMYFUNCTION("GOOGLETRANSLATE(A4789,""en"",""pt"")"),"#VALUE!")</f>
        <v>#VALUE!</v>
      </c>
      <c r="G4789" s="69"/>
    </row>
    <row r="4790" ht="22.5" customHeight="1">
      <c r="A4790" s="66"/>
      <c r="B4790" s="67" t="str">
        <f t="shared" si="16"/>
        <v>M: </v>
      </c>
      <c r="C4790" s="68"/>
      <c r="D4790" s="68">
        <v>46228.0</v>
      </c>
      <c r="E4790" s="66">
        <v>8.0</v>
      </c>
      <c r="F4790" s="66" t="str">
        <f>IFERROR(__xludf.DUMMYFUNCTION("GOOGLETRANSLATE(A4790,""en"",""pt"")"),"#VALUE!")</f>
        <v>#VALUE!</v>
      </c>
      <c r="G4790" s="69"/>
    </row>
    <row r="4791" ht="22.5" customHeight="1">
      <c r="A4791" s="66"/>
      <c r="B4791" s="67" t="str">
        <f t="shared" si="16"/>
        <v>M: </v>
      </c>
      <c r="C4791" s="68"/>
      <c r="D4791" s="68">
        <v>46228.0</v>
      </c>
      <c r="E4791" s="66">
        <v>9.0</v>
      </c>
      <c r="F4791" s="66" t="str">
        <f>IFERROR(__xludf.DUMMYFUNCTION("GOOGLETRANSLATE(A4791,""en"",""pt"")"),"#VALUE!")</f>
        <v>#VALUE!</v>
      </c>
      <c r="G4791" s="69"/>
    </row>
    <row r="4792" ht="22.5" customHeight="1">
      <c r="A4792" s="66"/>
      <c r="B4792" s="67" t="str">
        <f t="shared" si="16"/>
        <v>M: </v>
      </c>
      <c r="C4792" s="68"/>
      <c r="D4792" s="68">
        <v>46229.0</v>
      </c>
      <c r="E4792" s="66">
        <v>10.0</v>
      </c>
      <c r="F4792" s="66" t="str">
        <f>IFERROR(__xludf.DUMMYFUNCTION("GOOGLETRANSLATE(A4792,""en"",""pt"")"),"#VALUE!")</f>
        <v>#VALUE!</v>
      </c>
      <c r="G4792" s="69"/>
    </row>
    <row r="4793" ht="22.5" customHeight="1">
      <c r="A4793" s="66"/>
      <c r="B4793" s="67" t="str">
        <f t="shared" si="16"/>
        <v>M: </v>
      </c>
      <c r="C4793" s="68"/>
      <c r="D4793" s="68">
        <v>46229.0</v>
      </c>
      <c r="E4793" s="66">
        <v>1.0</v>
      </c>
      <c r="F4793" s="66" t="str">
        <f>IFERROR(__xludf.DUMMYFUNCTION("GOOGLETRANSLATE(A4793,""en"",""pt"")"),"#VALUE!")</f>
        <v>#VALUE!</v>
      </c>
      <c r="G4793" s="69"/>
    </row>
    <row r="4794" ht="22.5" customHeight="1">
      <c r="A4794" s="66"/>
      <c r="B4794" s="67" t="str">
        <f t="shared" si="16"/>
        <v>M: </v>
      </c>
      <c r="C4794" s="68"/>
      <c r="D4794" s="68">
        <v>46229.0</v>
      </c>
      <c r="E4794" s="66">
        <v>2.0</v>
      </c>
      <c r="F4794" s="66" t="str">
        <f>IFERROR(__xludf.DUMMYFUNCTION("GOOGLETRANSLATE(A4794,""en"",""pt"")"),"#VALUE!")</f>
        <v>#VALUE!</v>
      </c>
      <c r="G4794" s="69"/>
    </row>
    <row r="4795" ht="22.5" customHeight="1">
      <c r="A4795" s="66"/>
      <c r="B4795" s="67" t="str">
        <f t="shared" si="16"/>
        <v>M: </v>
      </c>
      <c r="C4795" s="68"/>
      <c r="D4795" s="68">
        <v>46229.0</v>
      </c>
      <c r="E4795" s="66">
        <v>3.0</v>
      </c>
      <c r="F4795" s="66" t="str">
        <f>IFERROR(__xludf.DUMMYFUNCTION("GOOGLETRANSLATE(A4795,""en"",""pt"")"),"#VALUE!")</f>
        <v>#VALUE!</v>
      </c>
      <c r="G4795" s="69"/>
    </row>
    <row r="4796" ht="22.5" customHeight="1">
      <c r="A4796" s="66"/>
      <c r="B4796" s="67" t="str">
        <f t="shared" si="16"/>
        <v>M: </v>
      </c>
      <c r="C4796" s="68"/>
      <c r="D4796" s="68">
        <v>46229.0</v>
      </c>
      <c r="E4796" s="66">
        <v>4.0</v>
      </c>
      <c r="F4796" s="66" t="str">
        <f>IFERROR(__xludf.DUMMYFUNCTION("GOOGLETRANSLATE(A4796,""en"",""pt"")"),"#VALUE!")</f>
        <v>#VALUE!</v>
      </c>
      <c r="G4796" s="69"/>
    </row>
    <row r="4797" ht="22.5" customHeight="1">
      <c r="A4797" s="66"/>
      <c r="B4797" s="67" t="str">
        <f t="shared" si="16"/>
        <v>M: </v>
      </c>
      <c r="C4797" s="68"/>
      <c r="D4797" s="68">
        <v>46229.0</v>
      </c>
      <c r="E4797" s="66">
        <v>5.0</v>
      </c>
      <c r="F4797" s="66" t="str">
        <f>IFERROR(__xludf.DUMMYFUNCTION("GOOGLETRANSLATE(A4797,""en"",""pt"")"),"#VALUE!")</f>
        <v>#VALUE!</v>
      </c>
      <c r="G4797" s="69"/>
    </row>
    <row r="4798" ht="22.5" customHeight="1">
      <c r="A4798" s="66"/>
      <c r="B4798" s="67" t="str">
        <f t="shared" si="16"/>
        <v>M: </v>
      </c>
      <c r="C4798" s="68"/>
      <c r="D4798" s="68">
        <v>46229.0</v>
      </c>
      <c r="E4798" s="66">
        <v>6.0</v>
      </c>
      <c r="F4798" s="66" t="str">
        <f>IFERROR(__xludf.DUMMYFUNCTION("GOOGLETRANSLATE(A4798,""en"",""pt"")"),"#VALUE!")</f>
        <v>#VALUE!</v>
      </c>
      <c r="G4798" s="69"/>
    </row>
    <row r="4799" ht="22.5" customHeight="1">
      <c r="A4799" s="66"/>
      <c r="B4799" s="67" t="str">
        <f t="shared" si="16"/>
        <v>M: </v>
      </c>
      <c r="C4799" s="68"/>
      <c r="D4799" s="68">
        <v>46229.0</v>
      </c>
      <c r="E4799" s="66">
        <v>7.0</v>
      </c>
      <c r="F4799" s="66" t="str">
        <f>IFERROR(__xludf.DUMMYFUNCTION("GOOGLETRANSLATE(A4799,""en"",""pt"")"),"#VALUE!")</f>
        <v>#VALUE!</v>
      </c>
      <c r="G4799" s="69"/>
    </row>
    <row r="4800" ht="22.5" customHeight="1">
      <c r="A4800" s="66"/>
      <c r="B4800" s="67" t="str">
        <f t="shared" si="16"/>
        <v>M: </v>
      </c>
      <c r="C4800" s="68"/>
      <c r="D4800" s="68">
        <v>46229.0</v>
      </c>
      <c r="E4800" s="66">
        <v>8.0</v>
      </c>
      <c r="F4800" s="66" t="str">
        <f>IFERROR(__xludf.DUMMYFUNCTION("GOOGLETRANSLATE(A4800,""en"",""pt"")"),"#VALUE!")</f>
        <v>#VALUE!</v>
      </c>
      <c r="G4800" s="69"/>
    </row>
    <row r="4801" ht="22.5" customHeight="1">
      <c r="A4801" s="66"/>
      <c r="B4801" s="67" t="str">
        <f t="shared" si="16"/>
        <v>M: </v>
      </c>
      <c r="C4801" s="68"/>
      <c r="D4801" s="68">
        <v>46229.0</v>
      </c>
      <c r="E4801" s="66">
        <v>9.0</v>
      </c>
      <c r="F4801" s="66" t="str">
        <f>IFERROR(__xludf.DUMMYFUNCTION("GOOGLETRANSLATE(A4801,""en"",""pt"")"),"#VALUE!")</f>
        <v>#VALUE!</v>
      </c>
      <c r="G4801" s="69"/>
    </row>
    <row r="4802" ht="22.5" customHeight="1">
      <c r="A4802" s="66"/>
      <c r="B4802" s="67" t="str">
        <f t="shared" si="16"/>
        <v>M: </v>
      </c>
      <c r="C4802" s="68"/>
      <c r="D4802" s="68">
        <v>46230.0</v>
      </c>
      <c r="E4802" s="66">
        <v>10.0</v>
      </c>
      <c r="F4802" s="66" t="str">
        <f>IFERROR(__xludf.DUMMYFUNCTION("GOOGLETRANSLATE(A4802,""en"",""pt"")"),"#VALUE!")</f>
        <v>#VALUE!</v>
      </c>
      <c r="G4802" s="69"/>
    </row>
    <row r="4803" ht="22.5" customHeight="1">
      <c r="A4803" s="66"/>
      <c r="B4803" s="67" t="str">
        <f t="shared" si="16"/>
        <v>M: </v>
      </c>
      <c r="C4803" s="68"/>
      <c r="D4803" s="68">
        <v>46230.0</v>
      </c>
      <c r="E4803" s="66">
        <v>1.0</v>
      </c>
      <c r="F4803" s="66" t="str">
        <f>IFERROR(__xludf.DUMMYFUNCTION("GOOGLETRANSLATE(A4803,""en"",""pt"")"),"#VALUE!")</f>
        <v>#VALUE!</v>
      </c>
      <c r="G4803" s="69"/>
    </row>
    <row r="4804" ht="22.5" customHeight="1">
      <c r="A4804" s="66"/>
      <c r="B4804" s="67" t="str">
        <f t="shared" si="16"/>
        <v>M: </v>
      </c>
      <c r="C4804" s="68"/>
      <c r="D4804" s="68">
        <v>46230.0</v>
      </c>
      <c r="E4804" s="66">
        <v>2.0</v>
      </c>
      <c r="F4804" s="66" t="str">
        <f>IFERROR(__xludf.DUMMYFUNCTION("GOOGLETRANSLATE(A4804,""en"",""pt"")"),"#VALUE!")</f>
        <v>#VALUE!</v>
      </c>
      <c r="G4804" s="69"/>
    </row>
    <row r="4805" ht="22.5" customHeight="1">
      <c r="A4805" s="66"/>
      <c r="B4805" s="67" t="str">
        <f t="shared" si="16"/>
        <v>M: </v>
      </c>
      <c r="C4805" s="68"/>
      <c r="D4805" s="68">
        <v>46230.0</v>
      </c>
      <c r="E4805" s="66">
        <v>3.0</v>
      </c>
      <c r="F4805" s="66" t="str">
        <f>IFERROR(__xludf.DUMMYFUNCTION("GOOGLETRANSLATE(A4805,""en"",""pt"")"),"#VALUE!")</f>
        <v>#VALUE!</v>
      </c>
      <c r="G4805" s="69"/>
    </row>
    <row r="4806" ht="22.5" customHeight="1">
      <c r="A4806" s="66"/>
      <c r="B4806" s="67" t="str">
        <f t="shared" si="16"/>
        <v>M: </v>
      </c>
      <c r="C4806" s="68"/>
      <c r="D4806" s="68">
        <v>46230.0</v>
      </c>
      <c r="E4806" s="66">
        <v>4.0</v>
      </c>
      <c r="F4806" s="66" t="str">
        <f>IFERROR(__xludf.DUMMYFUNCTION("GOOGLETRANSLATE(A4806,""en"",""pt"")"),"#VALUE!")</f>
        <v>#VALUE!</v>
      </c>
      <c r="G4806" s="69"/>
    </row>
    <row r="4807" ht="22.5" customHeight="1">
      <c r="A4807" s="66"/>
      <c r="B4807" s="67" t="str">
        <f t="shared" si="16"/>
        <v>M: </v>
      </c>
      <c r="C4807" s="68"/>
      <c r="D4807" s="68">
        <v>46230.0</v>
      </c>
      <c r="E4807" s="66">
        <v>5.0</v>
      </c>
      <c r="F4807" s="66" t="str">
        <f>IFERROR(__xludf.DUMMYFUNCTION("GOOGLETRANSLATE(A4807,""en"",""pt"")"),"#VALUE!")</f>
        <v>#VALUE!</v>
      </c>
      <c r="G4807" s="69"/>
    </row>
    <row r="4808" ht="22.5" customHeight="1">
      <c r="A4808" s="66"/>
      <c r="B4808" s="67" t="str">
        <f t="shared" si="16"/>
        <v>M: </v>
      </c>
      <c r="C4808" s="68"/>
      <c r="D4808" s="68">
        <v>46230.0</v>
      </c>
      <c r="E4808" s="66">
        <v>6.0</v>
      </c>
      <c r="F4808" s="66" t="str">
        <f>IFERROR(__xludf.DUMMYFUNCTION("GOOGLETRANSLATE(A4808,""en"",""pt"")"),"#VALUE!")</f>
        <v>#VALUE!</v>
      </c>
      <c r="G4808" s="69"/>
    </row>
    <row r="4809" ht="22.5" customHeight="1">
      <c r="A4809" s="66"/>
      <c r="B4809" s="67" t="str">
        <f t="shared" si="16"/>
        <v>M: </v>
      </c>
      <c r="C4809" s="68"/>
      <c r="D4809" s="68">
        <v>46230.0</v>
      </c>
      <c r="E4809" s="66">
        <v>7.0</v>
      </c>
      <c r="F4809" s="66" t="str">
        <f>IFERROR(__xludf.DUMMYFUNCTION("GOOGLETRANSLATE(A4809,""en"",""pt"")"),"#VALUE!")</f>
        <v>#VALUE!</v>
      </c>
      <c r="G4809" s="69"/>
    </row>
    <row r="4810" ht="22.5" customHeight="1">
      <c r="A4810" s="66"/>
      <c r="B4810" s="67" t="str">
        <f t="shared" si="16"/>
        <v>M: </v>
      </c>
      <c r="C4810" s="68"/>
      <c r="D4810" s="68">
        <v>46230.0</v>
      </c>
      <c r="E4810" s="66">
        <v>8.0</v>
      </c>
      <c r="F4810" s="66" t="str">
        <f>IFERROR(__xludf.DUMMYFUNCTION("GOOGLETRANSLATE(A4810,""en"",""pt"")"),"#VALUE!")</f>
        <v>#VALUE!</v>
      </c>
      <c r="G4810" s="69"/>
    </row>
    <row r="4811" ht="22.5" customHeight="1">
      <c r="A4811" s="66"/>
      <c r="B4811" s="67" t="str">
        <f t="shared" si="16"/>
        <v>M: </v>
      </c>
      <c r="C4811" s="68"/>
      <c r="D4811" s="68">
        <v>46230.0</v>
      </c>
      <c r="E4811" s="66">
        <v>9.0</v>
      </c>
      <c r="F4811" s="66" t="str">
        <f>IFERROR(__xludf.DUMMYFUNCTION("GOOGLETRANSLATE(A4811,""en"",""pt"")"),"#VALUE!")</f>
        <v>#VALUE!</v>
      </c>
      <c r="G4811" s="69"/>
    </row>
    <row r="4812" ht="22.5" customHeight="1">
      <c r="A4812" s="66"/>
      <c r="B4812" s="67" t="str">
        <f t="shared" si="16"/>
        <v>M: </v>
      </c>
      <c r="C4812" s="68"/>
      <c r="D4812" s="68">
        <v>46231.0</v>
      </c>
      <c r="E4812" s="66">
        <v>10.0</v>
      </c>
      <c r="F4812" s="66" t="str">
        <f>IFERROR(__xludf.DUMMYFUNCTION("GOOGLETRANSLATE(A4812,""en"",""pt"")"),"#VALUE!")</f>
        <v>#VALUE!</v>
      </c>
      <c r="G4812" s="69"/>
    </row>
    <row r="4813" ht="22.5" customHeight="1">
      <c r="A4813" s="66"/>
      <c r="B4813" s="67" t="str">
        <f t="shared" si="16"/>
        <v>M: </v>
      </c>
      <c r="C4813" s="68"/>
      <c r="D4813" s="68">
        <v>46231.0</v>
      </c>
      <c r="E4813" s="66">
        <v>1.0</v>
      </c>
      <c r="F4813" s="66" t="str">
        <f>IFERROR(__xludf.DUMMYFUNCTION("GOOGLETRANSLATE(A4813,""en"",""pt"")"),"#VALUE!")</f>
        <v>#VALUE!</v>
      </c>
      <c r="G4813" s="69"/>
    </row>
    <row r="4814" ht="22.5" customHeight="1">
      <c r="A4814" s="66"/>
      <c r="B4814" s="67" t="str">
        <f t="shared" si="16"/>
        <v>M: </v>
      </c>
      <c r="C4814" s="68"/>
      <c r="D4814" s="68">
        <v>46231.0</v>
      </c>
      <c r="E4814" s="66">
        <v>2.0</v>
      </c>
      <c r="F4814" s="66" t="str">
        <f>IFERROR(__xludf.DUMMYFUNCTION("GOOGLETRANSLATE(A4814,""en"",""pt"")"),"#VALUE!")</f>
        <v>#VALUE!</v>
      </c>
      <c r="G4814" s="69"/>
    </row>
    <row r="4815" ht="22.5" customHeight="1">
      <c r="A4815" s="66"/>
      <c r="B4815" s="67" t="str">
        <f t="shared" si="16"/>
        <v>M: </v>
      </c>
      <c r="C4815" s="68"/>
      <c r="D4815" s="68">
        <v>46231.0</v>
      </c>
      <c r="E4815" s="66">
        <v>3.0</v>
      </c>
      <c r="F4815" s="66" t="str">
        <f>IFERROR(__xludf.DUMMYFUNCTION("GOOGLETRANSLATE(A4815,""en"",""pt"")"),"#VALUE!")</f>
        <v>#VALUE!</v>
      </c>
      <c r="G4815" s="69"/>
    </row>
    <row r="4816" ht="22.5" customHeight="1">
      <c r="A4816" s="66"/>
      <c r="B4816" s="67" t="str">
        <f t="shared" si="16"/>
        <v>M: </v>
      </c>
      <c r="C4816" s="68"/>
      <c r="D4816" s="68">
        <v>46231.0</v>
      </c>
      <c r="E4816" s="66">
        <v>4.0</v>
      </c>
      <c r="F4816" s="66" t="str">
        <f>IFERROR(__xludf.DUMMYFUNCTION("GOOGLETRANSLATE(A4816,""en"",""pt"")"),"#VALUE!")</f>
        <v>#VALUE!</v>
      </c>
      <c r="G4816" s="69"/>
    </row>
    <row r="4817" ht="22.5" customHeight="1">
      <c r="A4817" s="66"/>
      <c r="B4817" s="67" t="str">
        <f t="shared" si="16"/>
        <v>M: </v>
      </c>
      <c r="C4817" s="68"/>
      <c r="D4817" s="68">
        <v>46231.0</v>
      </c>
      <c r="E4817" s="66">
        <v>5.0</v>
      </c>
      <c r="F4817" s="66" t="str">
        <f>IFERROR(__xludf.DUMMYFUNCTION("GOOGLETRANSLATE(A4817,""en"",""pt"")"),"#VALUE!")</f>
        <v>#VALUE!</v>
      </c>
      <c r="G4817" s="69"/>
    </row>
    <row r="4818" ht="22.5" customHeight="1">
      <c r="A4818" s="66"/>
      <c r="B4818" s="67" t="str">
        <f t="shared" si="16"/>
        <v>M: </v>
      </c>
      <c r="C4818" s="68"/>
      <c r="D4818" s="68">
        <v>46231.0</v>
      </c>
      <c r="E4818" s="66">
        <v>6.0</v>
      </c>
      <c r="F4818" s="66" t="str">
        <f>IFERROR(__xludf.DUMMYFUNCTION("GOOGLETRANSLATE(A4818,""en"",""pt"")"),"#VALUE!")</f>
        <v>#VALUE!</v>
      </c>
      <c r="G4818" s="69"/>
    </row>
    <row r="4819" ht="22.5" customHeight="1">
      <c r="A4819" s="66"/>
      <c r="B4819" s="67" t="str">
        <f t="shared" si="16"/>
        <v>M: </v>
      </c>
      <c r="C4819" s="68"/>
      <c r="D4819" s="68">
        <v>46231.0</v>
      </c>
      <c r="E4819" s="66">
        <v>7.0</v>
      </c>
      <c r="F4819" s="66" t="str">
        <f>IFERROR(__xludf.DUMMYFUNCTION("GOOGLETRANSLATE(A4819,""en"",""pt"")"),"#VALUE!")</f>
        <v>#VALUE!</v>
      </c>
      <c r="G4819" s="69"/>
    </row>
    <row r="4820" ht="22.5" customHeight="1">
      <c r="A4820" s="66"/>
      <c r="B4820" s="67" t="str">
        <f t="shared" si="16"/>
        <v>M: </v>
      </c>
      <c r="C4820" s="68"/>
      <c r="D4820" s="68">
        <v>46231.0</v>
      </c>
      <c r="E4820" s="66">
        <v>8.0</v>
      </c>
      <c r="F4820" s="66" t="str">
        <f>IFERROR(__xludf.DUMMYFUNCTION("GOOGLETRANSLATE(A4820,""en"",""pt"")"),"#VALUE!")</f>
        <v>#VALUE!</v>
      </c>
      <c r="G4820" s="69"/>
    </row>
    <row r="4821" ht="22.5" customHeight="1">
      <c r="A4821" s="66"/>
      <c r="B4821" s="67" t="str">
        <f t="shared" si="16"/>
        <v>M: </v>
      </c>
      <c r="C4821" s="68"/>
      <c r="D4821" s="68">
        <v>46231.0</v>
      </c>
      <c r="E4821" s="66">
        <v>9.0</v>
      </c>
      <c r="F4821" s="66" t="str">
        <f>IFERROR(__xludf.DUMMYFUNCTION("GOOGLETRANSLATE(A4821,""en"",""pt"")"),"#VALUE!")</f>
        <v>#VALUE!</v>
      </c>
      <c r="G4821" s="69"/>
    </row>
    <row r="4822" ht="22.5" customHeight="1">
      <c r="A4822" s="66"/>
      <c r="B4822" s="67" t="str">
        <f t="shared" si="16"/>
        <v>M: </v>
      </c>
      <c r="C4822" s="68"/>
      <c r="D4822" s="68">
        <v>46232.0</v>
      </c>
      <c r="E4822" s="66">
        <v>10.0</v>
      </c>
      <c r="F4822" s="66" t="str">
        <f>IFERROR(__xludf.DUMMYFUNCTION("GOOGLETRANSLATE(A4822,""en"",""pt"")"),"#VALUE!")</f>
        <v>#VALUE!</v>
      </c>
      <c r="G4822" s="69"/>
    </row>
    <row r="4823" ht="22.5" customHeight="1">
      <c r="A4823" s="66"/>
      <c r="B4823" s="67" t="str">
        <f t="shared" si="16"/>
        <v>M: </v>
      </c>
      <c r="C4823" s="68"/>
      <c r="D4823" s="68">
        <v>46232.0</v>
      </c>
      <c r="E4823" s="66">
        <v>1.0</v>
      </c>
      <c r="F4823" s="66" t="str">
        <f>IFERROR(__xludf.DUMMYFUNCTION("GOOGLETRANSLATE(A4823,""en"",""pt"")"),"#VALUE!")</f>
        <v>#VALUE!</v>
      </c>
      <c r="G4823" s="69"/>
    </row>
    <row r="4824" ht="22.5" customHeight="1">
      <c r="A4824" s="66"/>
      <c r="B4824" s="67" t="str">
        <f t="shared" si="16"/>
        <v>M: </v>
      </c>
      <c r="C4824" s="68"/>
      <c r="D4824" s="68">
        <v>46232.0</v>
      </c>
      <c r="E4824" s="66">
        <v>2.0</v>
      </c>
      <c r="F4824" s="66" t="str">
        <f>IFERROR(__xludf.DUMMYFUNCTION("GOOGLETRANSLATE(A4824,""en"",""pt"")"),"#VALUE!")</f>
        <v>#VALUE!</v>
      </c>
      <c r="G4824" s="69"/>
    </row>
    <row r="4825" ht="22.5" customHeight="1">
      <c r="A4825" s="66"/>
      <c r="B4825" s="67" t="str">
        <f t="shared" si="16"/>
        <v>M: </v>
      </c>
      <c r="C4825" s="68"/>
      <c r="D4825" s="68">
        <v>46232.0</v>
      </c>
      <c r="E4825" s="66">
        <v>3.0</v>
      </c>
      <c r="F4825" s="66" t="str">
        <f>IFERROR(__xludf.DUMMYFUNCTION("GOOGLETRANSLATE(A4825,""en"",""pt"")"),"#VALUE!")</f>
        <v>#VALUE!</v>
      </c>
      <c r="G4825" s="69"/>
    </row>
    <row r="4826" ht="22.5" customHeight="1">
      <c r="A4826" s="66"/>
      <c r="B4826" s="67" t="str">
        <f t="shared" si="16"/>
        <v>M: </v>
      </c>
      <c r="C4826" s="68"/>
      <c r="D4826" s="68">
        <v>46232.0</v>
      </c>
      <c r="E4826" s="66">
        <v>4.0</v>
      </c>
      <c r="F4826" s="66" t="str">
        <f>IFERROR(__xludf.DUMMYFUNCTION("GOOGLETRANSLATE(A4826,""en"",""pt"")"),"#VALUE!")</f>
        <v>#VALUE!</v>
      </c>
      <c r="G4826" s="69"/>
    </row>
    <row r="4827" ht="22.5" customHeight="1">
      <c r="A4827" s="66"/>
      <c r="B4827" s="67" t="str">
        <f t="shared" si="16"/>
        <v>M: </v>
      </c>
      <c r="C4827" s="68"/>
      <c r="D4827" s="68">
        <v>46232.0</v>
      </c>
      <c r="E4827" s="66">
        <v>5.0</v>
      </c>
      <c r="F4827" s="66" t="str">
        <f>IFERROR(__xludf.DUMMYFUNCTION("GOOGLETRANSLATE(A4827,""en"",""pt"")"),"#VALUE!")</f>
        <v>#VALUE!</v>
      </c>
      <c r="G4827" s="69"/>
    </row>
    <row r="4828" ht="22.5" customHeight="1">
      <c r="A4828" s="66"/>
      <c r="B4828" s="67" t="str">
        <f t="shared" si="16"/>
        <v>M: </v>
      </c>
      <c r="C4828" s="68"/>
      <c r="D4828" s="68">
        <v>46232.0</v>
      </c>
      <c r="E4828" s="66">
        <v>6.0</v>
      </c>
      <c r="F4828" s="66" t="str">
        <f>IFERROR(__xludf.DUMMYFUNCTION("GOOGLETRANSLATE(A4828,""en"",""pt"")"),"#VALUE!")</f>
        <v>#VALUE!</v>
      </c>
      <c r="G4828" s="69"/>
    </row>
    <row r="4829" ht="22.5" customHeight="1">
      <c r="A4829" s="66"/>
      <c r="B4829" s="67" t="str">
        <f t="shared" si="16"/>
        <v>M: </v>
      </c>
      <c r="C4829" s="68"/>
      <c r="D4829" s="68">
        <v>46232.0</v>
      </c>
      <c r="E4829" s="66">
        <v>7.0</v>
      </c>
      <c r="F4829" s="66" t="str">
        <f>IFERROR(__xludf.DUMMYFUNCTION("GOOGLETRANSLATE(A4829,""en"",""pt"")"),"#VALUE!")</f>
        <v>#VALUE!</v>
      </c>
      <c r="G4829" s="69"/>
    </row>
    <row r="4830" ht="22.5" customHeight="1">
      <c r="A4830" s="66"/>
      <c r="B4830" s="67" t="str">
        <f t="shared" si="16"/>
        <v>M: </v>
      </c>
      <c r="C4830" s="68"/>
      <c r="D4830" s="68">
        <v>46232.0</v>
      </c>
      <c r="E4830" s="66">
        <v>8.0</v>
      </c>
      <c r="F4830" s="66" t="str">
        <f>IFERROR(__xludf.DUMMYFUNCTION("GOOGLETRANSLATE(A4830,""en"",""pt"")"),"#VALUE!")</f>
        <v>#VALUE!</v>
      </c>
      <c r="G4830" s="69"/>
    </row>
    <row r="4831" ht="22.5" customHeight="1">
      <c r="A4831" s="66"/>
      <c r="B4831" s="67" t="str">
        <f t="shared" si="16"/>
        <v>M: </v>
      </c>
      <c r="C4831" s="68"/>
      <c r="D4831" s="68">
        <v>46232.0</v>
      </c>
      <c r="E4831" s="66">
        <v>9.0</v>
      </c>
      <c r="F4831" s="66" t="str">
        <f>IFERROR(__xludf.DUMMYFUNCTION("GOOGLETRANSLATE(A4831,""en"",""pt"")"),"#VALUE!")</f>
        <v>#VALUE!</v>
      </c>
      <c r="G4831" s="69"/>
    </row>
    <row r="4832" ht="22.5" customHeight="1">
      <c r="A4832" s="66"/>
      <c r="B4832" s="67" t="str">
        <f t="shared" si="16"/>
        <v>M: </v>
      </c>
      <c r="C4832" s="68"/>
      <c r="D4832" s="68">
        <v>46233.0</v>
      </c>
      <c r="E4832" s="66">
        <v>10.0</v>
      </c>
      <c r="F4832" s="66" t="str">
        <f>IFERROR(__xludf.DUMMYFUNCTION("GOOGLETRANSLATE(A4832,""en"",""pt"")"),"#VALUE!")</f>
        <v>#VALUE!</v>
      </c>
      <c r="G4832" s="69"/>
    </row>
    <row r="4833" ht="22.5" customHeight="1">
      <c r="A4833" s="66"/>
      <c r="B4833" s="67" t="str">
        <f t="shared" si="16"/>
        <v>M: </v>
      </c>
      <c r="C4833" s="68"/>
      <c r="D4833" s="68">
        <v>46233.0</v>
      </c>
      <c r="E4833" s="66">
        <v>1.0</v>
      </c>
      <c r="F4833" s="66" t="str">
        <f>IFERROR(__xludf.DUMMYFUNCTION("GOOGLETRANSLATE(A4833,""en"",""pt"")"),"#VALUE!")</f>
        <v>#VALUE!</v>
      </c>
      <c r="G4833" s="69"/>
    </row>
    <row r="4834" ht="22.5" customHeight="1">
      <c r="A4834" s="66"/>
      <c r="B4834" s="67" t="str">
        <f t="shared" si="16"/>
        <v>M: </v>
      </c>
      <c r="C4834" s="68"/>
      <c r="D4834" s="68">
        <v>46233.0</v>
      </c>
      <c r="E4834" s="66">
        <v>2.0</v>
      </c>
      <c r="F4834" s="66" t="str">
        <f>IFERROR(__xludf.DUMMYFUNCTION("GOOGLETRANSLATE(A4834,""en"",""pt"")"),"#VALUE!")</f>
        <v>#VALUE!</v>
      </c>
      <c r="G4834" s="69"/>
    </row>
    <row r="4835" ht="22.5" customHeight="1">
      <c r="A4835" s="66"/>
      <c r="B4835" s="67" t="str">
        <f t="shared" si="16"/>
        <v>M: </v>
      </c>
      <c r="C4835" s="68"/>
      <c r="D4835" s="68">
        <v>46233.0</v>
      </c>
      <c r="E4835" s="66">
        <v>3.0</v>
      </c>
      <c r="F4835" s="66" t="str">
        <f>IFERROR(__xludf.DUMMYFUNCTION("GOOGLETRANSLATE(A4835,""en"",""pt"")"),"#VALUE!")</f>
        <v>#VALUE!</v>
      </c>
      <c r="G4835" s="69"/>
    </row>
    <row r="4836" ht="22.5" customHeight="1">
      <c r="A4836" s="66"/>
      <c r="B4836" s="67" t="str">
        <f t="shared" si="16"/>
        <v>M: </v>
      </c>
      <c r="C4836" s="68"/>
      <c r="D4836" s="68">
        <v>46233.0</v>
      </c>
      <c r="E4836" s="66">
        <v>4.0</v>
      </c>
      <c r="F4836" s="66" t="str">
        <f>IFERROR(__xludf.DUMMYFUNCTION("GOOGLETRANSLATE(A4836,""en"",""pt"")"),"#VALUE!")</f>
        <v>#VALUE!</v>
      </c>
      <c r="G4836" s="69"/>
    </row>
    <row r="4837" ht="22.5" customHeight="1">
      <c r="A4837" s="66"/>
      <c r="B4837" s="67" t="str">
        <f t="shared" si="16"/>
        <v>M: </v>
      </c>
      <c r="C4837" s="68"/>
      <c r="D4837" s="68">
        <v>46233.0</v>
      </c>
      <c r="E4837" s="66">
        <v>5.0</v>
      </c>
      <c r="F4837" s="66" t="str">
        <f>IFERROR(__xludf.DUMMYFUNCTION("GOOGLETRANSLATE(A4837,""en"",""pt"")"),"#VALUE!")</f>
        <v>#VALUE!</v>
      </c>
      <c r="G4837" s="69"/>
    </row>
    <row r="4838" ht="22.5" customHeight="1">
      <c r="A4838" s="66"/>
      <c r="B4838" s="67" t="str">
        <f t="shared" si="16"/>
        <v>M: </v>
      </c>
      <c r="C4838" s="68"/>
      <c r="D4838" s="68">
        <v>46233.0</v>
      </c>
      <c r="E4838" s="66">
        <v>6.0</v>
      </c>
      <c r="F4838" s="66" t="str">
        <f>IFERROR(__xludf.DUMMYFUNCTION("GOOGLETRANSLATE(A4838,""en"",""pt"")"),"#VALUE!")</f>
        <v>#VALUE!</v>
      </c>
      <c r="G4838" s="69"/>
    </row>
    <row r="4839" ht="22.5" customHeight="1">
      <c r="A4839" s="66"/>
      <c r="B4839" s="67" t="str">
        <f t="shared" si="16"/>
        <v>M: </v>
      </c>
      <c r="C4839" s="68"/>
      <c r="D4839" s="68">
        <v>46233.0</v>
      </c>
      <c r="E4839" s="66">
        <v>7.0</v>
      </c>
      <c r="F4839" s="66" t="str">
        <f>IFERROR(__xludf.DUMMYFUNCTION("GOOGLETRANSLATE(A4839,""en"",""pt"")"),"#VALUE!")</f>
        <v>#VALUE!</v>
      </c>
      <c r="G4839" s="69"/>
    </row>
    <row r="4840" ht="22.5" customHeight="1">
      <c r="A4840" s="66"/>
      <c r="B4840" s="67" t="str">
        <f t="shared" si="16"/>
        <v>M: </v>
      </c>
      <c r="C4840" s="68"/>
      <c r="D4840" s="68">
        <v>46233.0</v>
      </c>
      <c r="E4840" s="66">
        <v>8.0</v>
      </c>
      <c r="F4840" s="66" t="str">
        <f>IFERROR(__xludf.DUMMYFUNCTION("GOOGLETRANSLATE(A4840,""en"",""pt"")"),"#VALUE!")</f>
        <v>#VALUE!</v>
      </c>
      <c r="G4840" s="69"/>
    </row>
    <row r="4841" ht="22.5" customHeight="1">
      <c r="A4841" s="66"/>
      <c r="B4841" s="67" t="str">
        <f t="shared" si="16"/>
        <v>M: </v>
      </c>
      <c r="C4841" s="68"/>
      <c r="D4841" s="68">
        <v>46233.0</v>
      </c>
      <c r="E4841" s="66">
        <v>9.0</v>
      </c>
      <c r="F4841" s="66" t="str">
        <f>IFERROR(__xludf.DUMMYFUNCTION("GOOGLETRANSLATE(A4841,""en"",""pt"")"),"#VALUE!")</f>
        <v>#VALUE!</v>
      </c>
      <c r="G4841" s="69"/>
    </row>
    <row r="4842" ht="22.5" customHeight="1">
      <c r="A4842" s="66"/>
      <c r="B4842" s="67" t="str">
        <f t="shared" si="16"/>
        <v>M: </v>
      </c>
      <c r="C4842" s="68"/>
      <c r="D4842" s="68">
        <v>46234.0</v>
      </c>
      <c r="E4842" s="66">
        <v>10.0</v>
      </c>
      <c r="F4842" s="66" t="str">
        <f>IFERROR(__xludf.DUMMYFUNCTION("GOOGLETRANSLATE(A4842,""en"",""pt"")"),"#VALUE!")</f>
        <v>#VALUE!</v>
      </c>
      <c r="G4842" s="69"/>
    </row>
    <row r="4843" ht="22.5" customHeight="1">
      <c r="A4843" s="66"/>
      <c r="B4843" s="67" t="str">
        <f t="shared" si="16"/>
        <v>M: </v>
      </c>
      <c r="C4843" s="68"/>
      <c r="D4843" s="68">
        <v>46234.0</v>
      </c>
      <c r="E4843" s="66">
        <v>1.0</v>
      </c>
      <c r="F4843" s="66" t="str">
        <f>IFERROR(__xludf.DUMMYFUNCTION("GOOGLETRANSLATE(A4843,""en"",""pt"")"),"#VALUE!")</f>
        <v>#VALUE!</v>
      </c>
      <c r="G4843" s="69"/>
    </row>
    <row r="4844" ht="22.5" customHeight="1">
      <c r="A4844" s="66"/>
      <c r="B4844" s="67" t="str">
        <f t="shared" si="16"/>
        <v>M: </v>
      </c>
      <c r="C4844" s="68"/>
      <c r="D4844" s="68">
        <v>46234.0</v>
      </c>
      <c r="E4844" s="66">
        <v>2.0</v>
      </c>
      <c r="F4844" s="66" t="str">
        <f>IFERROR(__xludf.DUMMYFUNCTION("GOOGLETRANSLATE(A4844,""en"",""pt"")"),"#VALUE!")</f>
        <v>#VALUE!</v>
      </c>
      <c r="G4844" s="69"/>
    </row>
    <row r="4845" ht="22.5" customHeight="1">
      <c r="A4845" s="66"/>
      <c r="B4845" s="67" t="str">
        <f t="shared" si="16"/>
        <v>M: </v>
      </c>
      <c r="C4845" s="68"/>
      <c r="D4845" s="68">
        <v>46234.0</v>
      </c>
      <c r="E4845" s="66">
        <v>3.0</v>
      </c>
      <c r="F4845" s="66" t="str">
        <f>IFERROR(__xludf.DUMMYFUNCTION("GOOGLETRANSLATE(A4845,""en"",""pt"")"),"#VALUE!")</f>
        <v>#VALUE!</v>
      </c>
      <c r="G4845" s="69"/>
    </row>
    <row r="4846" ht="22.5" customHeight="1">
      <c r="A4846" s="66"/>
      <c r="B4846" s="67" t="str">
        <f t="shared" si="16"/>
        <v>M: </v>
      </c>
      <c r="C4846" s="68"/>
      <c r="D4846" s="68">
        <v>46234.0</v>
      </c>
      <c r="E4846" s="66">
        <v>4.0</v>
      </c>
      <c r="F4846" s="66" t="str">
        <f>IFERROR(__xludf.DUMMYFUNCTION("GOOGLETRANSLATE(A4846,""en"",""pt"")"),"#VALUE!")</f>
        <v>#VALUE!</v>
      </c>
      <c r="G4846" s="69"/>
    </row>
    <row r="4847" ht="22.5" customHeight="1">
      <c r="A4847" s="66"/>
      <c r="B4847" s="67" t="str">
        <f t="shared" si="16"/>
        <v>M: </v>
      </c>
      <c r="C4847" s="68"/>
      <c r="D4847" s="68">
        <v>46234.0</v>
      </c>
      <c r="E4847" s="66">
        <v>5.0</v>
      </c>
      <c r="F4847" s="66" t="str">
        <f>IFERROR(__xludf.DUMMYFUNCTION("GOOGLETRANSLATE(A4847,""en"",""pt"")"),"#VALUE!")</f>
        <v>#VALUE!</v>
      </c>
      <c r="G4847" s="69"/>
    </row>
    <row r="4848" ht="22.5" customHeight="1">
      <c r="A4848" s="66"/>
      <c r="B4848" s="67" t="str">
        <f t="shared" si="16"/>
        <v>M: </v>
      </c>
      <c r="C4848" s="68"/>
      <c r="D4848" s="68">
        <v>46234.0</v>
      </c>
      <c r="E4848" s="66">
        <v>6.0</v>
      </c>
      <c r="F4848" s="66" t="str">
        <f>IFERROR(__xludf.DUMMYFUNCTION("GOOGLETRANSLATE(A4848,""en"",""pt"")"),"#VALUE!")</f>
        <v>#VALUE!</v>
      </c>
      <c r="G4848" s="69"/>
    </row>
    <row r="4849" ht="22.5" customHeight="1">
      <c r="A4849" s="66"/>
      <c r="B4849" s="67" t="str">
        <f t="shared" si="16"/>
        <v>M: </v>
      </c>
      <c r="C4849" s="68"/>
      <c r="D4849" s="68">
        <v>46234.0</v>
      </c>
      <c r="E4849" s="66">
        <v>7.0</v>
      </c>
      <c r="F4849" s="66" t="str">
        <f>IFERROR(__xludf.DUMMYFUNCTION("GOOGLETRANSLATE(A4849,""en"",""pt"")"),"#VALUE!")</f>
        <v>#VALUE!</v>
      </c>
      <c r="G4849" s="69"/>
    </row>
    <row r="4850" ht="22.5" customHeight="1">
      <c r="A4850" s="66"/>
      <c r="B4850" s="67" t="str">
        <f t="shared" si="16"/>
        <v>M: </v>
      </c>
      <c r="C4850" s="68"/>
      <c r="D4850" s="68">
        <v>46234.0</v>
      </c>
      <c r="E4850" s="66">
        <v>8.0</v>
      </c>
      <c r="F4850" s="66" t="str">
        <f>IFERROR(__xludf.DUMMYFUNCTION("GOOGLETRANSLATE(A4850,""en"",""pt"")"),"#VALUE!")</f>
        <v>#VALUE!</v>
      </c>
      <c r="G4850" s="69"/>
    </row>
    <row r="4851" ht="22.5" customHeight="1">
      <c r="A4851" s="66"/>
      <c r="B4851" s="67" t="str">
        <f t="shared" si="16"/>
        <v>M: </v>
      </c>
      <c r="C4851" s="68"/>
      <c r="D4851" s="68">
        <v>46234.0</v>
      </c>
      <c r="E4851" s="66">
        <v>9.0</v>
      </c>
      <c r="F4851" s="66" t="str">
        <f>IFERROR(__xludf.DUMMYFUNCTION("GOOGLETRANSLATE(A4851,""en"",""pt"")"),"#VALUE!")</f>
        <v>#VALUE!</v>
      </c>
      <c r="G4851" s="69"/>
    </row>
    <row r="4852" ht="22.5" customHeight="1">
      <c r="A4852" s="66"/>
      <c r="B4852" s="67" t="str">
        <f t="shared" si="16"/>
        <v>M: </v>
      </c>
      <c r="C4852" s="68"/>
      <c r="D4852" s="68">
        <v>46235.0</v>
      </c>
      <c r="E4852" s="66">
        <v>10.0</v>
      </c>
      <c r="F4852" s="66" t="str">
        <f>IFERROR(__xludf.DUMMYFUNCTION("GOOGLETRANSLATE(A4852,""en"",""pt"")"),"#VALUE!")</f>
        <v>#VALUE!</v>
      </c>
      <c r="G4852" s="69"/>
    </row>
    <row r="4853" ht="22.5" customHeight="1">
      <c r="A4853" s="66"/>
      <c r="B4853" s="67" t="str">
        <f t="shared" si="16"/>
        <v>M: </v>
      </c>
      <c r="C4853" s="68"/>
      <c r="D4853" s="68">
        <v>46235.0</v>
      </c>
      <c r="E4853" s="66">
        <v>1.0</v>
      </c>
      <c r="F4853" s="66" t="str">
        <f>IFERROR(__xludf.DUMMYFUNCTION("GOOGLETRANSLATE(A4853,""en"",""pt"")"),"#VALUE!")</f>
        <v>#VALUE!</v>
      </c>
      <c r="G4853" s="69"/>
    </row>
    <row r="4854" ht="22.5" customHeight="1">
      <c r="A4854" s="66"/>
      <c r="B4854" s="67" t="str">
        <f t="shared" si="16"/>
        <v>M: </v>
      </c>
      <c r="C4854" s="68"/>
      <c r="D4854" s="68">
        <v>46235.0</v>
      </c>
      <c r="E4854" s="66">
        <v>2.0</v>
      </c>
      <c r="F4854" s="66" t="str">
        <f>IFERROR(__xludf.DUMMYFUNCTION("GOOGLETRANSLATE(A4854,""en"",""pt"")"),"#VALUE!")</f>
        <v>#VALUE!</v>
      </c>
      <c r="G4854" s="69"/>
    </row>
    <row r="4855" ht="22.5" customHeight="1">
      <c r="A4855" s="66"/>
      <c r="B4855" s="67" t="str">
        <f t="shared" si="16"/>
        <v>M: </v>
      </c>
      <c r="C4855" s="68"/>
      <c r="D4855" s="68">
        <v>46235.0</v>
      </c>
      <c r="E4855" s="66">
        <v>3.0</v>
      </c>
      <c r="F4855" s="66" t="str">
        <f>IFERROR(__xludf.DUMMYFUNCTION("GOOGLETRANSLATE(A4855,""en"",""pt"")"),"#VALUE!")</f>
        <v>#VALUE!</v>
      </c>
      <c r="G4855" s="69"/>
    </row>
    <row r="4856" ht="22.5" customHeight="1">
      <c r="A4856" s="66"/>
      <c r="B4856" s="67" t="str">
        <f t="shared" si="16"/>
        <v>M: </v>
      </c>
      <c r="C4856" s="68"/>
      <c r="D4856" s="68">
        <v>46235.0</v>
      </c>
      <c r="E4856" s="66">
        <v>4.0</v>
      </c>
      <c r="F4856" s="66" t="str">
        <f>IFERROR(__xludf.DUMMYFUNCTION("GOOGLETRANSLATE(A4856,""en"",""pt"")"),"#VALUE!")</f>
        <v>#VALUE!</v>
      </c>
      <c r="G4856" s="69"/>
    </row>
    <row r="4857" ht="22.5" customHeight="1">
      <c r="A4857" s="66"/>
      <c r="B4857" s="67" t="str">
        <f t="shared" si="16"/>
        <v>M: </v>
      </c>
      <c r="C4857" s="68"/>
      <c r="D4857" s="68">
        <v>46235.0</v>
      </c>
      <c r="E4857" s="66">
        <v>5.0</v>
      </c>
      <c r="F4857" s="66" t="str">
        <f>IFERROR(__xludf.DUMMYFUNCTION("GOOGLETRANSLATE(A4857,""en"",""pt"")"),"#VALUE!")</f>
        <v>#VALUE!</v>
      </c>
      <c r="G4857" s="69"/>
    </row>
    <row r="4858" ht="22.5" customHeight="1">
      <c r="A4858" s="66"/>
      <c r="B4858" s="67" t="str">
        <f t="shared" si="16"/>
        <v>M: </v>
      </c>
      <c r="C4858" s="68"/>
      <c r="D4858" s="68">
        <v>46235.0</v>
      </c>
      <c r="E4858" s="66">
        <v>6.0</v>
      </c>
      <c r="F4858" s="66" t="str">
        <f>IFERROR(__xludf.DUMMYFUNCTION("GOOGLETRANSLATE(A4858,""en"",""pt"")"),"#VALUE!")</f>
        <v>#VALUE!</v>
      </c>
      <c r="G4858" s="69"/>
    </row>
    <row r="4859" ht="22.5" customHeight="1">
      <c r="A4859" s="66"/>
      <c r="B4859" s="67" t="str">
        <f t="shared" si="16"/>
        <v>M: </v>
      </c>
      <c r="C4859" s="68"/>
      <c r="D4859" s="68">
        <v>46235.0</v>
      </c>
      <c r="E4859" s="66">
        <v>7.0</v>
      </c>
      <c r="F4859" s="66" t="str">
        <f>IFERROR(__xludf.DUMMYFUNCTION("GOOGLETRANSLATE(A4859,""en"",""pt"")"),"#VALUE!")</f>
        <v>#VALUE!</v>
      </c>
      <c r="G4859" s="69"/>
    </row>
    <row r="4860" ht="22.5" customHeight="1">
      <c r="A4860" s="66"/>
      <c r="B4860" s="67" t="str">
        <f t="shared" si="16"/>
        <v>M: </v>
      </c>
      <c r="C4860" s="68"/>
      <c r="D4860" s="68">
        <v>46235.0</v>
      </c>
      <c r="E4860" s="66">
        <v>8.0</v>
      </c>
      <c r="F4860" s="66" t="str">
        <f>IFERROR(__xludf.DUMMYFUNCTION("GOOGLETRANSLATE(A4860,""en"",""pt"")"),"#VALUE!")</f>
        <v>#VALUE!</v>
      </c>
      <c r="G4860" s="69"/>
    </row>
    <row r="4861" ht="22.5" customHeight="1">
      <c r="A4861" s="66"/>
      <c r="B4861" s="67" t="str">
        <f t="shared" si="16"/>
        <v>M: </v>
      </c>
      <c r="C4861" s="68"/>
      <c r="D4861" s="68">
        <v>46235.0</v>
      </c>
      <c r="E4861" s="66">
        <v>9.0</v>
      </c>
      <c r="F4861" s="66" t="str">
        <f>IFERROR(__xludf.DUMMYFUNCTION("GOOGLETRANSLATE(A4861,""en"",""pt"")"),"#VALUE!")</f>
        <v>#VALUE!</v>
      </c>
      <c r="G4861" s="69"/>
    </row>
    <row r="4862" ht="22.5" customHeight="1">
      <c r="A4862" s="66"/>
      <c r="B4862" s="67" t="str">
        <f t="shared" si="16"/>
        <v>M: </v>
      </c>
      <c r="C4862" s="68"/>
      <c r="D4862" s="68">
        <v>46236.0</v>
      </c>
      <c r="E4862" s="66">
        <v>10.0</v>
      </c>
      <c r="F4862" s="66" t="str">
        <f>IFERROR(__xludf.DUMMYFUNCTION("GOOGLETRANSLATE(A4862,""en"",""pt"")"),"#VALUE!")</f>
        <v>#VALUE!</v>
      </c>
      <c r="G4862" s="69"/>
    </row>
    <row r="4863" ht="22.5" customHeight="1">
      <c r="A4863" s="66"/>
      <c r="B4863" s="67" t="str">
        <f t="shared" si="16"/>
        <v>M: </v>
      </c>
      <c r="C4863" s="68"/>
      <c r="D4863" s="68">
        <v>46236.0</v>
      </c>
      <c r="E4863" s="66">
        <v>1.0</v>
      </c>
      <c r="F4863" s="66" t="str">
        <f>IFERROR(__xludf.DUMMYFUNCTION("GOOGLETRANSLATE(A4863,""en"",""pt"")"),"#VALUE!")</f>
        <v>#VALUE!</v>
      </c>
      <c r="G4863" s="69"/>
    </row>
    <row r="4864" ht="22.5" customHeight="1">
      <c r="A4864" s="66"/>
      <c r="B4864" s="67" t="str">
        <f t="shared" si="16"/>
        <v>M: </v>
      </c>
      <c r="C4864" s="68"/>
      <c r="D4864" s="68">
        <v>46236.0</v>
      </c>
      <c r="E4864" s="66">
        <v>2.0</v>
      </c>
      <c r="F4864" s="66" t="str">
        <f>IFERROR(__xludf.DUMMYFUNCTION("GOOGLETRANSLATE(A4864,""en"",""pt"")"),"#VALUE!")</f>
        <v>#VALUE!</v>
      </c>
      <c r="G4864" s="69"/>
    </row>
    <row r="4865" ht="22.5" customHeight="1">
      <c r="A4865" s="66"/>
      <c r="B4865" s="67" t="str">
        <f t="shared" si="16"/>
        <v>M: </v>
      </c>
      <c r="C4865" s="68"/>
      <c r="D4865" s="68">
        <v>46236.0</v>
      </c>
      <c r="E4865" s="66">
        <v>3.0</v>
      </c>
      <c r="F4865" s="66" t="str">
        <f>IFERROR(__xludf.DUMMYFUNCTION("GOOGLETRANSLATE(A4865,""en"",""pt"")"),"#VALUE!")</f>
        <v>#VALUE!</v>
      </c>
      <c r="G4865" s="69"/>
    </row>
    <row r="4866" ht="22.5" customHeight="1">
      <c r="A4866" s="66"/>
      <c r="B4866" s="67" t="str">
        <f t="shared" si="16"/>
        <v>M: </v>
      </c>
      <c r="C4866" s="68"/>
      <c r="D4866" s="68">
        <v>46236.0</v>
      </c>
      <c r="E4866" s="66">
        <v>4.0</v>
      </c>
      <c r="F4866" s="66" t="str">
        <f>IFERROR(__xludf.DUMMYFUNCTION("GOOGLETRANSLATE(A4866,""en"",""pt"")"),"#VALUE!")</f>
        <v>#VALUE!</v>
      </c>
      <c r="G4866" s="69"/>
    </row>
    <row r="4867" ht="22.5" customHeight="1">
      <c r="A4867" s="66"/>
      <c r="B4867" s="67" t="str">
        <f t="shared" si="16"/>
        <v>M: </v>
      </c>
      <c r="C4867" s="68"/>
      <c r="D4867" s="68">
        <v>46236.0</v>
      </c>
      <c r="E4867" s="66">
        <v>5.0</v>
      </c>
      <c r="F4867" s="66" t="str">
        <f>IFERROR(__xludf.DUMMYFUNCTION("GOOGLETRANSLATE(A4867,""en"",""pt"")"),"#VALUE!")</f>
        <v>#VALUE!</v>
      </c>
      <c r="G4867" s="69"/>
    </row>
    <row r="4868" ht="22.5" customHeight="1">
      <c r="A4868" s="66"/>
      <c r="B4868" s="67" t="str">
        <f t="shared" si="16"/>
        <v>M: </v>
      </c>
      <c r="C4868" s="68"/>
      <c r="D4868" s="68">
        <v>46236.0</v>
      </c>
      <c r="E4868" s="66">
        <v>6.0</v>
      </c>
      <c r="F4868" s="66" t="str">
        <f>IFERROR(__xludf.DUMMYFUNCTION("GOOGLETRANSLATE(A4868,""en"",""pt"")"),"#VALUE!")</f>
        <v>#VALUE!</v>
      </c>
      <c r="G4868" s="69"/>
    </row>
    <row r="4869" ht="22.5" customHeight="1">
      <c r="A4869" s="66"/>
      <c r="B4869" s="67" t="str">
        <f t="shared" si="16"/>
        <v>M: </v>
      </c>
      <c r="C4869" s="68"/>
      <c r="D4869" s="68">
        <v>46236.0</v>
      </c>
      <c r="E4869" s="66">
        <v>7.0</v>
      </c>
      <c r="F4869" s="66" t="str">
        <f>IFERROR(__xludf.DUMMYFUNCTION("GOOGLETRANSLATE(A4869,""en"",""pt"")"),"#VALUE!")</f>
        <v>#VALUE!</v>
      </c>
      <c r="G4869" s="69"/>
    </row>
    <row r="4870" ht="22.5" customHeight="1">
      <c r="A4870" s="66"/>
      <c r="B4870" s="67" t="str">
        <f t="shared" si="16"/>
        <v>M: </v>
      </c>
      <c r="C4870" s="68"/>
      <c r="D4870" s="68">
        <v>46236.0</v>
      </c>
      <c r="E4870" s="66">
        <v>8.0</v>
      </c>
      <c r="F4870" s="66" t="str">
        <f>IFERROR(__xludf.DUMMYFUNCTION("GOOGLETRANSLATE(A4870,""en"",""pt"")"),"#VALUE!")</f>
        <v>#VALUE!</v>
      </c>
      <c r="G4870" s="69"/>
    </row>
    <row r="4871" ht="22.5" customHeight="1">
      <c r="A4871" s="66"/>
      <c r="B4871" s="67" t="str">
        <f t="shared" si="16"/>
        <v>M: </v>
      </c>
      <c r="C4871" s="68"/>
      <c r="D4871" s="68">
        <v>46236.0</v>
      </c>
      <c r="E4871" s="66">
        <v>9.0</v>
      </c>
      <c r="F4871" s="66" t="str">
        <f>IFERROR(__xludf.DUMMYFUNCTION("GOOGLETRANSLATE(A4871,""en"",""pt"")"),"#VALUE!")</f>
        <v>#VALUE!</v>
      </c>
      <c r="G4871" s="69"/>
    </row>
    <row r="4872" ht="22.5" customHeight="1">
      <c r="A4872" s="66"/>
      <c r="B4872" s="67" t="str">
        <f t="shared" si="16"/>
        <v>M: </v>
      </c>
      <c r="C4872" s="68"/>
      <c r="D4872" s="68">
        <v>46237.0</v>
      </c>
      <c r="E4872" s="66">
        <v>10.0</v>
      </c>
      <c r="F4872" s="66" t="str">
        <f>IFERROR(__xludf.DUMMYFUNCTION("GOOGLETRANSLATE(A4872,""en"",""pt"")"),"#VALUE!")</f>
        <v>#VALUE!</v>
      </c>
      <c r="G4872" s="69"/>
    </row>
    <row r="4873" ht="22.5" customHeight="1">
      <c r="A4873" s="66"/>
      <c r="B4873" s="67" t="str">
        <f t="shared" si="16"/>
        <v>M: </v>
      </c>
      <c r="C4873" s="68"/>
      <c r="D4873" s="68">
        <v>46237.0</v>
      </c>
      <c r="E4873" s="66">
        <v>1.0</v>
      </c>
      <c r="F4873" s="66" t="str">
        <f>IFERROR(__xludf.DUMMYFUNCTION("GOOGLETRANSLATE(A4873,""en"",""pt"")"),"#VALUE!")</f>
        <v>#VALUE!</v>
      </c>
      <c r="G4873" s="69"/>
    </row>
    <row r="4874" ht="22.5" customHeight="1">
      <c r="A4874" s="66"/>
      <c r="B4874" s="67" t="str">
        <f t="shared" si="16"/>
        <v>M: </v>
      </c>
      <c r="C4874" s="68"/>
      <c r="D4874" s="68">
        <v>46237.0</v>
      </c>
      <c r="E4874" s="66">
        <v>2.0</v>
      </c>
      <c r="F4874" s="66" t="str">
        <f>IFERROR(__xludf.DUMMYFUNCTION("GOOGLETRANSLATE(A4874,""en"",""pt"")"),"#VALUE!")</f>
        <v>#VALUE!</v>
      </c>
      <c r="G4874" s="69"/>
    </row>
    <row r="4875" ht="22.5" customHeight="1">
      <c r="A4875" s="66"/>
      <c r="B4875" s="67" t="str">
        <f t="shared" si="16"/>
        <v>M: </v>
      </c>
      <c r="C4875" s="68"/>
      <c r="D4875" s="68">
        <v>46237.0</v>
      </c>
      <c r="E4875" s="66">
        <v>3.0</v>
      </c>
      <c r="F4875" s="66" t="str">
        <f>IFERROR(__xludf.DUMMYFUNCTION("GOOGLETRANSLATE(A4875,""en"",""pt"")"),"#VALUE!")</f>
        <v>#VALUE!</v>
      </c>
      <c r="G4875" s="69"/>
    </row>
    <row r="4876" ht="22.5" customHeight="1">
      <c r="A4876" s="66"/>
      <c r="B4876" s="67" t="str">
        <f t="shared" si="16"/>
        <v>M: </v>
      </c>
      <c r="C4876" s="68"/>
      <c r="D4876" s="68">
        <v>46237.0</v>
      </c>
      <c r="E4876" s="66">
        <v>4.0</v>
      </c>
      <c r="F4876" s="66" t="str">
        <f>IFERROR(__xludf.DUMMYFUNCTION("GOOGLETRANSLATE(A4876,""en"",""pt"")"),"#VALUE!")</f>
        <v>#VALUE!</v>
      </c>
      <c r="G4876" s="69"/>
    </row>
    <row r="4877" ht="22.5" customHeight="1">
      <c r="A4877" s="66"/>
      <c r="B4877" s="67" t="str">
        <f t="shared" si="16"/>
        <v>M: </v>
      </c>
      <c r="C4877" s="68"/>
      <c r="D4877" s="68">
        <v>46237.0</v>
      </c>
      <c r="E4877" s="66">
        <v>5.0</v>
      </c>
      <c r="F4877" s="66" t="str">
        <f>IFERROR(__xludf.DUMMYFUNCTION("GOOGLETRANSLATE(A4877,""en"",""pt"")"),"#VALUE!")</f>
        <v>#VALUE!</v>
      </c>
      <c r="G4877" s="69"/>
    </row>
    <row r="4878" ht="22.5" customHeight="1">
      <c r="A4878" s="66"/>
      <c r="B4878" s="67" t="str">
        <f t="shared" si="16"/>
        <v>M: </v>
      </c>
      <c r="C4878" s="68"/>
      <c r="D4878" s="68">
        <v>46237.0</v>
      </c>
      <c r="E4878" s="66">
        <v>6.0</v>
      </c>
      <c r="F4878" s="66" t="str">
        <f>IFERROR(__xludf.DUMMYFUNCTION("GOOGLETRANSLATE(A4878,""en"",""pt"")"),"#VALUE!")</f>
        <v>#VALUE!</v>
      </c>
      <c r="G4878" s="69"/>
    </row>
    <row r="4879" ht="22.5" customHeight="1">
      <c r="A4879" s="66"/>
      <c r="B4879" s="67" t="str">
        <f t="shared" si="16"/>
        <v>M: </v>
      </c>
      <c r="C4879" s="68"/>
      <c r="D4879" s="68">
        <v>46237.0</v>
      </c>
      <c r="E4879" s="66">
        <v>7.0</v>
      </c>
      <c r="F4879" s="66" t="str">
        <f>IFERROR(__xludf.DUMMYFUNCTION("GOOGLETRANSLATE(A4879,""en"",""pt"")"),"#VALUE!")</f>
        <v>#VALUE!</v>
      </c>
      <c r="G4879" s="69"/>
    </row>
    <row r="4880" ht="22.5" customHeight="1">
      <c r="A4880" s="66"/>
      <c r="B4880" s="67" t="str">
        <f t="shared" si="16"/>
        <v>M: </v>
      </c>
      <c r="C4880" s="68"/>
      <c r="D4880" s="68">
        <v>46237.0</v>
      </c>
      <c r="E4880" s="66">
        <v>8.0</v>
      </c>
      <c r="F4880" s="66" t="str">
        <f>IFERROR(__xludf.DUMMYFUNCTION("GOOGLETRANSLATE(A4880,""en"",""pt"")"),"#VALUE!")</f>
        <v>#VALUE!</v>
      </c>
      <c r="G4880" s="69"/>
    </row>
    <row r="4881" ht="22.5" customHeight="1">
      <c r="A4881" s="66"/>
      <c r="B4881" s="67" t="str">
        <f t="shared" si="16"/>
        <v>M: </v>
      </c>
      <c r="C4881" s="68"/>
      <c r="D4881" s="68">
        <v>46237.0</v>
      </c>
      <c r="E4881" s="66">
        <v>9.0</v>
      </c>
      <c r="F4881" s="66" t="str">
        <f>IFERROR(__xludf.DUMMYFUNCTION("GOOGLETRANSLATE(A4881,""en"",""pt"")"),"#VALUE!")</f>
        <v>#VALUE!</v>
      </c>
      <c r="G4881" s="69"/>
    </row>
    <row r="4882" ht="22.5" customHeight="1">
      <c r="A4882" s="66"/>
      <c r="B4882" s="67" t="str">
        <f t="shared" si="16"/>
        <v>M: </v>
      </c>
      <c r="C4882" s="68"/>
      <c r="D4882" s="68">
        <v>46238.0</v>
      </c>
      <c r="E4882" s="66">
        <v>10.0</v>
      </c>
      <c r="F4882" s="66" t="str">
        <f>IFERROR(__xludf.DUMMYFUNCTION("GOOGLETRANSLATE(A4882,""en"",""pt"")"),"#VALUE!")</f>
        <v>#VALUE!</v>
      </c>
      <c r="G4882" s="69"/>
    </row>
    <row r="4883" ht="22.5" customHeight="1">
      <c r="A4883" s="66"/>
      <c r="B4883" s="67" t="str">
        <f t="shared" si="16"/>
        <v>M: </v>
      </c>
      <c r="C4883" s="68"/>
      <c r="D4883" s="68">
        <v>46238.0</v>
      </c>
      <c r="E4883" s="66">
        <v>1.0</v>
      </c>
      <c r="F4883" s="66" t="str">
        <f>IFERROR(__xludf.DUMMYFUNCTION("GOOGLETRANSLATE(A4883,""en"",""pt"")"),"#VALUE!")</f>
        <v>#VALUE!</v>
      </c>
      <c r="G4883" s="69"/>
    </row>
    <row r="4884" ht="22.5" customHeight="1">
      <c r="A4884" s="66"/>
      <c r="B4884" s="67" t="str">
        <f t="shared" si="16"/>
        <v>M: </v>
      </c>
      <c r="C4884" s="68"/>
      <c r="D4884" s="68">
        <v>46238.0</v>
      </c>
      <c r="E4884" s="66">
        <v>2.0</v>
      </c>
      <c r="F4884" s="66" t="str">
        <f>IFERROR(__xludf.DUMMYFUNCTION("GOOGLETRANSLATE(A4884,""en"",""pt"")"),"#VALUE!")</f>
        <v>#VALUE!</v>
      </c>
      <c r="G4884" s="69"/>
    </row>
    <row r="4885" ht="22.5" customHeight="1">
      <c r="A4885" s="66"/>
      <c r="B4885" s="67" t="str">
        <f t="shared" si="16"/>
        <v>M: </v>
      </c>
      <c r="C4885" s="68"/>
      <c r="D4885" s="68">
        <v>46238.0</v>
      </c>
      <c r="E4885" s="66">
        <v>3.0</v>
      </c>
      <c r="F4885" s="66" t="str">
        <f>IFERROR(__xludf.DUMMYFUNCTION("GOOGLETRANSLATE(A4885,""en"",""pt"")"),"#VALUE!")</f>
        <v>#VALUE!</v>
      </c>
      <c r="G4885" s="69"/>
    </row>
    <row r="4886" ht="22.5" customHeight="1">
      <c r="A4886" s="66"/>
      <c r="B4886" s="67" t="str">
        <f t="shared" si="16"/>
        <v>M: </v>
      </c>
      <c r="C4886" s="68"/>
      <c r="D4886" s="68">
        <v>46238.0</v>
      </c>
      <c r="E4886" s="66">
        <v>4.0</v>
      </c>
      <c r="F4886" s="66" t="str">
        <f>IFERROR(__xludf.DUMMYFUNCTION("GOOGLETRANSLATE(A4886,""en"",""pt"")"),"#VALUE!")</f>
        <v>#VALUE!</v>
      </c>
      <c r="G4886" s="69"/>
    </row>
    <row r="4887" ht="22.5" customHeight="1">
      <c r="A4887" s="66"/>
      <c r="B4887" s="67" t="str">
        <f t="shared" si="16"/>
        <v>M: </v>
      </c>
      <c r="C4887" s="68"/>
      <c r="D4887" s="68">
        <v>46238.0</v>
      </c>
      <c r="E4887" s="66">
        <v>5.0</v>
      </c>
      <c r="F4887" s="66" t="str">
        <f>IFERROR(__xludf.DUMMYFUNCTION("GOOGLETRANSLATE(A4887,""en"",""pt"")"),"#VALUE!")</f>
        <v>#VALUE!</v>
      </c>
      <c r="G4887" s="69"/>
    </row>
    <row r="4888" ht="22.5" customHeight="1">
      <c r="A4888" s="66"/>
      <c r="B4888" s="67" t="str">
        <f t="shared" si="16"/>
        <v>M: </v>
      </c>
      <c r="C4888" s="68"/>
      <c r="D4888" s="68">
        <v>46238.0</v>
      </c>
      <c r="E4888" s="66">
        <v>6.0</v>
      </c>
      <c r="F4888" s="66" t="str">
        <f>IFERROR(__xludf.DUMMYFUNCTION("GOOGLETRANSLATE(A4888,""en"",""pt"")"),"#VALUE!")</f>
        <v>#VALUE!</v>
      </c>
      <c r="G4888" s="69"/>
    </row>
    <row r="4889" ht="22.5" customHeight="1">
      <c r="A4889" s="66"/>
      <c r="B4889" s="67" t="str">
        <f t="shared" si="16"/>
        <v>M: </v>
      </c>
      <c r="C4889" s="68"/>
      <c r="D4889" s="68">
        <v>46238.0</v>
      </c>
      <c r="E4889" s="66">
        <v>7.0</v>
      </c>
      <c r="F4889" s="66" t="str">
        <f>IFERROR(__xludf.DUMMYFUNCTION("GOOGLETRANSLATE(A4889,""en"",""pt"")"),"#VALUE!")</f>
        <v>#VALUE!</v>
      </c>
      <c r="G4889" s="69"/>
    </row>
    <row r="4890" ht="22.5" customHeight="1">
      <c r="A4890" s="66"/>
      <c r="B4890" s="67" t="str">
        <f t="shared" si="16"/>
        <v>M: </v>
      </c>
      <c r="C4890" s="68"/>
      <c r="D4890" s="68">
        <v>46238.0</v>
      </c>
      <c r="E4890" s="66">
        <v>8.0</v>
      </c>
      <c r="F4890" s="66" t="str">
        <f>IFERROR(__xludf.DUMMYFUNCTION("GOOGLETRANSLATE(A4890,""en"",""pt"")"),"#VALUE!")</f>
        <v>#VALUE!</v>
      </c>
      <c r="G4890" s="69"/>
    </row>
    <row r="4891" ht="22.5" customHeight="1">
      <c r="A4891" s="66"/>
      <c r="B4891" s="67" t="str">
        <f t="shared" si="16"/>
        <v>M: </v>
      </c>
      <c r="C4891" s="68"/>
      <c r="D4891" s="68">
        <v>46238.0</v>
      </c>
      <c r="E4891" s="66">
        <v>9.0</v>
      </c>
      <c r="F4891" s="66" t="str">
        <f>IFERROR(__xludf.DUMMYFUNCTION("GOOGLETRANSLATE(A4891,""en"",""pt"")"),"#VALUE!")</f>
        <v>#VALUE!</v>
      </c>
      <c r="G4891" s="69"/>
    </row>
    <row r="4892" ht="22.5" customHeight="1">
      <c r="A4892" s="66"/>
      <c r="B4892" s="67" t="str">
        <f t="shared" si="16"/>
        <v>M: </v>
      </c>
      <c r="C4892" s="68"/>
      <c r="D4892" s="68">
        <v>46239.0</v>
      </c>
      <c r="E4892" s="66">
        <v>10.0</v>
      </c>
      <c r="F4892" s="66" t="str">
        <f>IFERROR(__xludf.DUMMYFUNCTION("GOOGLETRANSLATE(A4892,""en"",""pt"")"),"#VALUE!")</f>
        <v>#VALUE!</v>
      </c>
      <c r="G4892" s="69"/>
    </row>
    <row r="4893" ht="22.5" customHeight="1">
      <c r="A4893" s="66"/>
      <c r="B4893" s="67" t="str">
        <f t="shared" si="16"/>
        <v>M: </v>
      </c>
      <c r="C4893" s="68"/>
      <c r="D4893" s="68">
        <v>46239.0</v>
      </c>
      <c r="E4893" s="66">
        <v>1.0</v>
      </c>
      <c r="F4893" s="66" t="str">
        <f>IFERROR(__xludf.DUMMYFUNCTION("GOOGLETRANSLATE(A4893,""en"",""pt"")"),"#VALUE!")</f>
        <v>#VALUE!</v>
      </c>
      <c r="G4893" s="69"/>
    </row>
    <row r="4894" ht="22.5" customHeight="1">
      <c r="A4894" s="66"/>
      <c r="B4894" s="67" t="str">
        <f t="shared" si="16"/>
        <v>M: </v>
      </c>
      <c r="C4894" s="68"/>
      <c r="D4894" s="68">
        <v>46239.0</v>
      </c>
      <c r="E4894" s="66">
        <v>2.0</v>
      </c>
      <c r="F4894" s="66" t="str">
        <f>IFERROR(__xludf.DUMMYFUNCTION("GOOGLETRANSLATE(A4894,""en"",""pt"")"),"#VALUE!")</f>
        <v>#VALUE!</v>
      </c>
      <c r="G4894" s="69"/>
    </row>
    <row r="4895" ht="22.5" customHeight="1">
      <c r="A4895" s="66"/>
      <c r="B4895" s="67" t="str">
        <f t="shared" si="16"/>
        <v>M: </v>
      </c>
      <c r="C4895" s="68"/>
      <c r="D4895" s="68">
        <v>46239.0</v>
      </c>
      <c r="E4895" s="66">
        <v>3.0</v>
      </c>
      <c r="F4895" s="66" t="str">
        <f>IFERROR(__xludf.DUMMYFUNCTION("GOOGLETRANSLATE(A4895,""en"",""pt"")"),"#VALUE!")</f>
        <v>#VALUE!</v>
      </c>
      <c r="G4895" s="69"/>
    </row>
    <row r="4896" ht="22.5" customHeight="1">
      <c r="A4896" s="66"/>
      <c r="B4896" s="67" t="str">
        <f t="shared" si="16"/>
        <v>M: </v>
      </c>
      <c r="C4896" s="68"/>
      <c r="D4896" s="68">
        <v>46239.0</v>
      </c>
      <c r="E4896" s="66">
        <v>4.0</v>
      </c>
      <c r="F4896" s="66" t="str">
        <f>IFERROR(__xludf.DUMMYFUNCTION("GOOGLETRANSLATE(A4896,""en"",""pt"")"),"#VALUE!")</f>
        <v>#VALUE!</v>
      </c>
      <c r="G4896" s="69"/>
    </row>
    <row r="4897" ht="22.5" customHeight="1">
      <c r="A4897" s="66"/>
      <c r="B4897" s="67" t="str">
        <f t="shared" si="16"/>
        <v>M: </v>
      </c>
      <c r="C4897" s="68"/>
      <c r="D4897" s="68">
        <v>46239.0</v>
      </c>
      <c r="E4897" s="66">
        <v>5.0</v>
      </c>
      <c r="F4897" s="66" t="str">
        <f>IFERROR(__xludf.DUMMYFUNCTION("GOOGLETRANSLATE(A4897,""en"",""pt"")"),"#VALUE!")</f>
        <v>#VALUE!</v>
      </c>
      <c r="G4897" s="69"/>
    </row>
    <row r="4898" ht="22.5" customHeight="1">
      <c r="A4898" s="66"/>
      <c r="B4898" s="67" t="str">
        <f t="shared" si="16"/>
        <v>M: </v>
      </c>
      <c r="C4898" s="68"/>
      <c r="D4898" s="68">
        <v>46239.0</v>
      </c>
      <c r="E4898" s="66">
        <v>6.0</v>
      </c>
      <c r="F4898" s="66" t="str">
        <f>IFERROR(__xludf.DUMMYFUNCTION("GOOGLETRANSLATE(A4898,""en"",""pt"")"),"#VALUE!")</f>
        <v>#VALUE!</v>
      </c>
      <c r="G4898" s="69"/>
    </row>
    <row r="4899" ht="22.5" customHeight="1">
      <c r="A4899" s="66"/>
      <c r="B4899" s="67" t="str">
        <f t="shared" si="16"/>
        <v>M: </v>
      </c>
      <c r="C4899" s="68"/>
      <c r="D4899" s="68">
        <v>46239.0</v>
      </c>
      <c r="E4899" s="66">
        <v>7.0</v>
      </c>
      <c r="F4899" s="66" t="str">
        <f>IFERROR(__xludf.DUMMYFUNCTION("GOOGLETRANSLATE(A4899,""en"",""pt"")"),"#VALUE!")</f>
        <v>#VALUE!</v>
      </c>
      <c r="G4899" s="69"/>
    </row>
    <row r="4900" ht="22.5" customHeight="1">
      <c r="A4900" s="66"/>
      <c r="B4900" s="67" t="str">
        <f t="shared" si="16"/>
        <v>M: </v>
      </c>
      <c r="C4900" s="68"/>
      <c r="D4900" s="68">
        <v>46239.0</v>
      </c>
      <c r="E4900" s="66">
        <v>8.0</v>
      </c>
      <c r="F4900" s="66" t="str">
        <f>IFERROR(__xludf.DUMMYFUNCTION("GOOGLETRANSLATE(A4900,""en"",""pt"")"),"#VALUE!")</f>
        <v>#VALUE!</v>
      </c>
      <c r="G4900" s="69"/>
    </row>
    <row r="4901" ht="22.5" customHeight="1">
      <c r="A4901" s="66"/>
      <c r="B4901" s="67" t="str">
        <f t="shared" si="16"/>
        <v>M: </v>
      </c>
      <c r="C4901" s="68"/>
      <c r="D4901" s="68">
        <v>46239.0</v>
      </c>
      <c r="E4901" s="66">
        <v>9.0</v>
      </c>
      <c r="F4901" s="66" t="str">
        <f>IFERROR(__xludf.DUMMYFUNCTION("GOOGLETRANSLATE(A4901,""en"",""pt"")"),"#VALUE!")</f>
        <v>#VALUE!</v>
      </c>
      <c r="G4901" s="69"/>
    </row>
    <row r="4902" ht="22.5" customHeight="1">
      <c r="A4902" s="66"/>
      <c r="B4902" s="67" t="str">
        <f t="shared" si="16"/>
        <v>M: </v>
      </c>
      <c r="C4902" s="68"/>
      <c r="D4902" s="68">
        <v>46240.0</v>
      </c>
      <c r="E4902" s="66">
        <v>10.0</v>
      </c>
      <c r="F4902" s="66" t="str">
        <f>IFERROR(__xludf.DUMMYFUNCTION("GOOGLETRANSLATE(A4902,""en"",""pt"")"),"#VALUE!")</f>
        <v>#VALUE!</v>
      </c>
      <c r="G4902" s="69"/>
    </row>
    <row r="4903" ht="22.5" customHeight="1">
      <c r="A4903" s="66"/>
      <c r="B4903" s="67" t="str">
        <f t="shared" si="16"/>
        <v>M: </v>
      </c>
      <c r="C4903" s="68"/>
      <c r="D4903" s="68">
        <v>46240.0</v>
      </c>
      <c r="E4903" s="66">
        <v>1.0</v>
      </c>
      <c r="F4903" s="66" t="str">
        <f>IFERROR(__xludf.DUMMYFUNCTION("GOOGLETRANSLATE(A4903,""en"",""pt"")"),"#VALUE!")</f>
        <v>#VALUE!</v>
      </c>
      <c r="G4903" s="69"/>
    </row>
    <row r="4904" ht="22.5" customHeight="1">
      <c r="A4904" s="66"/>
      <c r="B4904" s="67" t="str">
        <f t="shared" si="16"/>
        <v>M: </v>
      </c>
      <c r="C4904" s="68"/>
      <c r="D4904" s="68">
        <v>46240.0</v>
      </c>
      <c r="E4904" s="66">
        <v>2.0</v>
      </c>
      <c r="F4904" s="66" t="str">
        <f>IFERROR(__xludf.DUMMYFUNCTION("GOOGLETRANSLATE(A4904,""en"",""pt"")"),"#VALUE!")</f>
        <v>#VALUE!</v>
      </c>
      <c r="G4904" s="69"/>
    </row>
    <row r="4905" ht="22.5" customHeight="1">
      <c r="A4905" s="66"/>
      <c r="B4905" s="67" t="str">
        <f t="shared" si="16"/>
        <v>M: </v>
      </c>
      <c r="C4905" s="68"/>
      <c r="D4905" s="68">
        <v>46240.0</v>
      </c>
      <c r="E4905" s="66">
        <v>3.0</v>
      </c>
      <c r="F4905" s="66" t="str">
        <f>IFERROR(__xludf.DUMMYFUNCTION("GOOGLETRANSLATE(A4905,""en"",""pt"")"),"#VALUE!")</f>
        <v>#VALUE!</v>
      </c>
      <c r="G4905" s="69"/>
    </row>
    <row r="4906" ht="22.5" customHeight="1">
      <c r="A4906" s="66"/>
      <c r="B4906" s="67" t="str">
        <f t="shared" si="16"/>
        <v>M: </v>
      </c>
      <c r="C4906" s="68"/>
      <c r="D4906" s="68">
        <v>46240.0</v>
      </c>
      <c r="E4906" s="66">
        <v>4.0</v>
      </c>
      <c r="F4906" s="66" t="str">
        <f>IFERROR(__xludf.DUMMYFUNCTION("GOOGLETRANSLATE(A4906,""en"",""pt"")"),"#VALUE!")</f>
        <v>#VALUE!</v>
      </c>
      <c r="G4906" s="69"/>
    </row>
    <row r="4907" ht="22.5" customHeight="1">
      <c r="A4907" s="66"/>
      <c r="B4907" s="67" t="str">
        <f t="shared" si="16"/>
        <v>M: </v>
      </c>
      <c r="C4907" s="68"/>
      <c r="D4907" s="68">
        <v>46240.0</v>
      </c>
      <c r="E4907" s="66">
        <v>5.0</v>
      </c>
      <c r="F4907" s="66" t="str">
        <f>IFERROR(__xludf.DUMMYFUNCTION("GOOGLETRANSLATE(A4907,""en"",""pt"")"),"#VALUE!")</f>
        <v>#VALUE!</v>
      </c>
      <c r="G4907" s="69"/>
    </row>
    <row r="4908" ht="22.5" customHeight="1">
      <c r="A4908" s="66"/>
      <c r="B4908" s="67" t="str">
        <f t="shared" si="16"/>
        <v>M: </v>
      </c>
      <c r="C4908" s="68"/>
      <c r="D4908" s="68">
        <v>46240.0</v>
      </c>
      <c r="E4908" s="66">
        <v>6.0</v>
      </c>
      <c r="F4908" s="66" t="str">
        <f>IFERROR(__xludf.DUMMYFUNCTION("GOOGLETRANSLATE(A4908,""en"",""pt"")"),"#VALUE!")</f>
        <v>#VALUE!</v>
      </c>
      <c r="G4908" s="69"/>
    </row>
    <row r="4909" ht="22.5" customHeight="1">
      <c r="A4909" s="66"/>
      <c r="B4909" s="67" t="str">
        <f t="shared" si="16"/>
        <v>M: </v>
      </c>
      <c r="C4909" s="68"/>
      <c r="D4909" s="68">
        <v>46240.0</v>
      </c>
      <c r="E4909" s="66">
        <v>7.0</v>
      </c>
      <c r="F4909" s="66" t="str">
        <f>IFERROR(__xludf.DUMMYFUNCTION("GOOGLETRANSLATE(A4909,""en"",""pt"")"),"#VALUE!")</f>
        <v>#VALUE!</v>
      </c>
      <c r="G4909" s="69"/>
    </row>
    <row r="4910" ht="22.5" customHeight="1">
      <c r="A4910" s="66"/>
      <c r="B4910" s="67" t="str">
        <f t="shared" si="16"/>
        <v>M: </v>
      </c>
      <c r="C4910" s="68"/>
      <c r="D4910" s="68">
        <v>46240.0</v>
      </c>
      <c r="E4910" s="66">
        <v>8.0</v>
      </c>
      <c r="F4910" s="66" t="str">
        <f>IFERROR(__xludf.DUMMYFUNCTION("GOOGLETRANSLATE(A4910,""en"",""pt"")"),"#VALUE!")</f>
        <v>#VALUE!</v>
      </c>
      <c r="G4910" s="69"/>
    </row>
    <row r="4911" ht="22.5" customHeight="1">
      <c r="A4911" s="66"/>
      <c r="B4911" s="67" t="str">
        <f t="shared" si="16"/>
        <v>M: </v>
      </c>
      <c r="C4911" s="68"/>
      <c r="D4911" s="68">
        <v>46240.0</v>
      </c>
      <c r="E4911" s="66">
        <v>9.0</v>
      </c>
      <c r="F4911" s="66" t="str">
        <f>IFERROR(__xludf.DUMMYFUNCTION("GOOGLETRANSLATE(A4911,""en"",""pt"")"),"#VALUE!")</f>
        <v>#VALUE!</v>
      </c>
      <c r="G4911" s="69"/>
    </row>
    <row r="4912" ht="22.5" customHeight="1">
      <c r="A4912" s="66"/>
      <c r="B4912" s="67" t="str">
        <f t="shared" si="16"/>
        <v>M: </v>
      </c>
      <c r="C4912" s="68"/>
      <c r="D4912" s="68">
        <v>46241.0</v>
      </c>
      <c r="E4912" s="66">
        <v>10.0</v>
      </c>
      <c r="F4912" s="66" t="str">
        <f>IFERROR(__xludf.DUMMYFUNCTION("GOOGLETRANSLATE(A4912,""en"",""pt"")"),"#VALUE!")</f>
        <v>#VALUE!</v>
      </c>
      <c r="G4912" s="69"/>
    </row>
    <row r="4913" ht="22.5" customHeight="1">
      <c r="A4913" s="66"/>
      <c r="B4913" s="67" t="str">
        <f t="shared" si="16"/>
        <v>M: </v>
      </c>
      <c r="C4913" s="68"/>
      <c r="D4913" s="68">
        <v>46241.0</v>
      </c>
      <c r="E4913" s="66">
        <v>1.0</v>
      </c>
      <c r="F4913" s="66" t="str">
        <f>IFERROR(__xludf.DUMMYFUNCTION("GOOGLETRANSLATE(A4913,""en"",""pt"")"),"#VALUE!")</f>
        <v>#VALUE!</v>
      </c>
      <c r="G4913" s="69"/>
    </row>
    <row r="4914" ht="22.5" customHeight="1">
      <c r="A4914" s="66"/>
      <c r="B4914" s="67" t="str">
        <f t="shared" si="16"/>
        <v>M: </v>
      </c>
      <c r="C4914" s="68"/>
      <c r="D4914" s="68">
        <v>46241.0</v>
      </c>
      <c r="E4914" s="66">
        <v>2.0</v>
      </c>
      <c r="F4914" s="66" t="str">
        <f>IFERROR(__xludf.DUMMYFUNCTION("GOOGLETRANSLATE(A4914,""en"",""pt"")"),"#VALUE!")</f>
        <v>#VALUE!</v>
      </c>
      <c r="G4914" s="69"/>
    </row>
    <row r="4915" ht="22.5" customHeight="1">
      <c r="A4915" s="66"/>
      <c r="B4915" s="67" t="str">
        <f t="shared" si="16"/>
        <v>M: </v>
      </c>
      <c r="C4915" s="68"/>
      <c r="D4915" s="68">
        <v>46241.0</v>
      </c>
      <c r="E4915" s="66">
        <v>3.0</v>
      </c>
      <c r="F4915" s="66" t="str">
        <f>IFERROR(__xludf.DUMMYFUNCTION("GOOGLETRANSLATE(A4915,""en"",""pt"")"),"#VALUE!")</f>
        <v>#VALUE!</v>
      </c>
      <c r="G4915" s="69"/>
    </row>
    <row r="4916" ht="22.5" customHeight="1">
      <c r="A4916" s="66"/>
      <c r="B4916" s="67" t="str">
        <f t="shared" si="16"/>
        <v>M: </v>
      </c>
      <c r="C4916" s="68"/>
      <c r="D4916" s="68">
        <v>46241.0</v>
      </c>
      <c r="E4916" s="66">
        <v>4.0</v>
      </c>
      <c r="F4916" s="66" t="str">
        <f>IFERROR(__xludf.DUMMYFUNCTION("GOOGLETRANSLATE(A4916,""en"",""pt"")"),"#VALUE!")</f>
        <v>#VALUE!</v>
      </c>
      <c r="G4916" s="69"/>
    </row>
    <row r="4917" ht="22.5" customHeight="1">
      <c r="A4917" s="66"/>
      <c r="B4917" s="67" t="str">
        <f t="shared" si="16"/>
        <v>M: </v>
      </c>
      <c r="C4917" s="68"/>
      <c r="D4917" s="68">
        <v>46241.0</v>
      </c>
      <c r="E4917" s="66">
        <v>5.0</v>
      </c>
      <c r="F4917" s="66" t="str">
        <f>IFERROR(__xludf.DUMMYFUNCTION("GOOGLETRANSLATE(A4917,""en"",""pt"")"),"#VALUE!")</f>
        <v>#VALUE!</v>
      </c>
      <c r="G4917" s="69"/>
    </row>
    <row r="4918" ht="22.5" customHeight="1">
      <c r="A4918" s="66"/>
      <c r="B4918" s="67" t="str">
        <f t="shared" si="16"/>
        <v>M: </v>
      </c>
      <c r="C4918" s="68"/>
      <c r="D4918" s="68">
        <v>46241.0</v>
      </c>
      <c r="E4918" s="66">
        <v>6.0</v>
      </c>
      <c r="F4918" s="66" t="str">
        <f>IFERROR(__xludf.DUMMYFUNCTION("GOOGLETRANSLATE(A4918,""en"",""pt"")"),"#VALUE!")</f>
        <v>#VALUE!</v>
      </c>
      <c r="G4918" s="69"/>
    </row>
    <row r="4919" ht="22.5" customHeight="1">
      <c r="A4919" s="66"/>
      <c r="B4919" s="67" t="str">
        <f t="shared" si="16"/>
        <v>M: </v>
      </c>
      <c r="C4919" s="68"/>
      <c r="D4919" s="68">
        <v>46241.0</v>
      </c>
      <c r="E4919" s="66">
        <v>7.0</v>
      </c>
      <c r="F4919" s="66" t="str">
        <f>IFERROR(__xludf.DUMMYFUNCTION("GOOGLETRANSLATE(A4919,""en"",""pt"")"),"#VALUE!")</f>
        <v>#VALUE!</v>
      </c>
      <c r="G4919" s="69"/>
    </row>
    <row r="4920" ht="22.5" customHeight="1">
      <c r="A4920" s="66"/>
      <c r="B4920" s="67" t="str">
        <f t="shared" si="16"/>
        <v>M: </v>
      </c>
      <c r="C4920" s="68"/>
      <c r="D4920" s="68">
        <v>46241.0</v>
      </c>
      <c r="E4920" s="66">
        <v>8.0</v>
      </c>
      <c r="F4920" s="66" t="str">
        <f>IFERROR(__xludf.DUMMYFUNCTION("GOOGLETRANSLATE(A4920,""en"",""pt"")"),"#VALUE!")</f>
        <v>#VALUE!</v>
      </c>
      <c r="G4920" s="69"/>
    </row>
    <row r="4921" ht="22.5" customHeight="1">
      <c r="A4921" s="66"/>
      <c r="B4921" s="67" t="str">
        <f t="shared" si="16"/>
        <v>M: </v>
      </c>
      <c r="C4921" s="68"/>
      <c r="D4921" s="68">
        <v>46241.0</v>
      </c>
      <c r="E4921" s="66">
        <v>9.0</v>
      </c>
      <c r="F4921" s="66" t="str">
        <f>IFERROR(__xludf.DUMMYFUNCTION("GOOGLETRANSLATE(A4921,""en"",""pt"")"),"#VALUE!")</f>
        <v>#VALUE!</v>
      </c>
      <c r="G4921" s="69"/>
    </row>
    <row r="4922" ht="22.5" customHeight="1">
      <c r="A4922" s="66"/>
      <c r="B4922" s="67" t="str">
        <f t="shared" si="16"/>
        <v>M: </v>
      </c>
      <c r="C4922" s="68"/>
      <c r="D4922" s="68">
        <v>46242.0</v>
      </c>
      <c r="E4922" s="66">
        <v>10.0</v>
      </c>
      <c r="F4922" s="66" t="str">
        <f>IFERROR(__xludf.DUMMYFUNCTION("GOOGLETRANSLATE(A4922,""en"",""pt"")"),"#VALUE!")</f>
        <v>#VALUE!</v>
      </c>
      <c r="G4922" s="69"/>
    </row>
    <row r="4923" ht="22.5" customHeight="1">
      <c r="A4923" s="66"/>
      <c r="B4923" s="67" t="str">
        <f t="shared" si="16"/>
        <v>M: </v>
      </c>
      <c r="C4923" s="68"/>
      <c r="D4923" s="68">
        <v>46242.0</v>
      </c>
      <c r="E4923" s="66">
        <v>1.0</v>
      </c>
      <c r="F4923" s="66" t="str">
        <f>IFERROR(__xludf.DUMMYFUNCTION("GOOGLETRANSLATE(A4923,""en"",""pt"")"),"#VALUE!")</f>
        <v>#VALUE!</v>
      </c>
      <c r="G4923" s="69"/>
    </row>
    <row r="4924" ht="22.5" customHeight="1">
      <c r="A4924" s="66"/>
      <c r="B4924" s="67" t="str">
        <f t="shared" si="16"/>
        <v>M: </v>
      </c>
      <c r="C4924" s="68"/>
      <c r="D4924" s="68">
        <v>46242.0</v>
      </c>
      <c r="E4924" s="66">
        <v>2.0</v>
      </c>
      <c r="F4924" s="66" t="str">
        <f>IFERROR(__xludf.DUMMYFUNCTION("GOOGLETRANSLATE(A4924,""en"",""pt"")"),"#VALUE!")</f>
        <v>#VALUE!</v>
      </c>
      <c r="G4924" s="69"/>
    </row>
    <row r="4925" ht="22.5" customHeight="1">
      <c r="A4925" s="66"/>
      <c r="B4925" s="67" t="str">
        <f t="shared" si="16"/>
        <v>M: </v>
      </c>
      <c r="C4925" s="68"/>
      <c r="D4925" s="68">
        <v>46242.0</v>
      </c>
      <c r="E4925" s="66">
        <v>3.0</v>
      </c>
      <c r="F4925" s="66" t="str">
        <f>IFERROR(__xludf.DUMMYFUNCTION("GOOGLETRANSLATE(A4925,""en"",""pt"")"),"#VALUE!")</f>
        <v>#VALUE!</v>
      </c>
      <c r="G4925" s="69"/>
    </row>
    <row r="4926" ht="22.5" customHeight="1">
      <c r="A4926" s="66"/>
      <c r="B4926" s="67" t="str">
        <f t="shared" si="16"/>
        <v>M: </v>
      </c>
      <c r="C4926" s="68"/>
      <c r="D4926" s="68">
        <v>46242.0</v>
      </c>
      <c r="E4926" s="66">
        <v>4.0</v>
      </c>
      <c r="F4926" s="66" t="str">
        <f>IFERROR(__xludf.DUMMYFUNCTION("GOOGLETRANSLATE(A4926,""en"",""pt"")"),"#VALUE!")</f>
        <v>#VALUE!</v>
      </c>
      <c r="G4926" s="69"/>
    </row>
    <row r="4927" ht="22.5" customHeight="1">
      <c r="A4927" s="66"/>
      <c r="B4927" s="67" t="str">
        <f t="shared" si="16"/>
        <v>M: </v>
      </c>
      <c r="C4927" s="68"/>
      <c r="D4927" s="68">
        <v>46242.0</v>
      </c>
      <c r="E4927" s="66">
        <v>5.0</v>
      </c>
      <c r="F4927" s="66" t="str">
        <f>IFERROR(__xludf.DUMMYFUNCTION("GOOGLETRANSLATE(A4927,""en"",""pt"")"),"#VALUE!")</f>
        <v>#VALUE!</v>
      </c>
      <c r="G4927" s="69"/>
    </row>
    <row r="4928" ht="22.5" customHeight="1">
      <c r="A4928" s="66"/>
      <c r="B4928" s="67" t="str">
        <f t="shared" si="16"/>
        <v>M: </v>
      </c>
      <c r="C4928" s="68"/>
      <c r="D4928" s="68">
        <v>46242.0</v>
      </c>
      <c r="E4928" s="66">
        <v>6.0</v>
      </c>
      <c r="F4928" s="66" t="str">
        <f>IFERROR(__xludf.DUMMYFUNCTION("GOOGLETRANSLATE(A4928,""en"",""pt"")"),"#VALUE!")</f>
        <v>#VALUE!</v>
      </c>
      <c r="G4928" s="69"/>
    </row>
    <row r="4929" ht="22.5" customHeight="1">
      <c r="A4929" s="66"/>
      <c r="B4929" s="67" t="str">
        <f t="shared" si="16"/>
        <v>M: </v>
      </c>
      <c r="C4929" s="68"/>
      <c r="D4929" s="68">
        <v>46242.0</v>
      </c>
      <c r="E4929" s="66">
        <v>7.0</v>
      </c>
      <c r="F4929" s="66" t="str">
        <f>IFERROR(__xludf.DUMMYFUNCTION("GOOGLETRANSLATE(A4929,""en"",""pt"")"),"#VALUE!")</f>
        <v>#VALUE!</v>
      </c>
      <c r="G4929" s="69"/>
    </row>
    <row r="4930" ht="22.5" customHeight="1">
      <c r="A4930" s="66"/>
      <c r="B4930" s="67" t="str">
        <f t="shared" si="16"/>
        <v>M: </v>
      </c>
      <c r="C4930" s="68"/>
      <c r="D4930" s="68">
        <v>46242.0</v>
      </c>
      <c r="E4930" s="66">
        <v>8.0</v>
      </c>
      <c r="F4930" s="66" t="str">
        <f>IFERROR(__xludf.DUMMYFUNCTION("GOOGLETRANSLATE(A4930,""en"",""pt"")"),"#VALUE!")</f>
        <v>#VALUE!</v>
      </c>
      <c r="G4930" s="69"/>
    </row>
    <row r="4931" ht="22.5" customHeight="1">
      <c r="A4931" s="66"/>
      <c r="B4931" s="67" t="str">
        <f t="shared" si="16"/>
        <v>M: </v>
      </c>
      <c r="C4931" s="68"/>
      <c r="D4931" s="68">
        <v>46242.0</v>
      </c>
      <c r="E4931" s="66">
        <v>9.0</v>
      </c>
      <c r="F4931" s="66" t="str">
        <f>IFERROR(__xludf.DUMMYFUNCTION("GOOGLETRANSLATE(A4931,""en"",""pt"")"),"#VALUE!")</f>
        <v>#VALUE!</v>
      </c>
      <c r="G4931" s="69"/>
    </row>
    <row r="4932" ht="22.5" customHeight="1">
      <c r="A4932" s="66"/>
      <c r="B4932" s="67" t="str">
        <f t="shared" si="16"/>
        <v>M: </v>
      </c>
      <c r="C4932" s="68"/>
      <c r="D4932" s="68">
        <v>46243.0</v>
      </c>
      <c r="E4932" s="66">
        <v>10.0</v>
      </c>
      <c r="F4932" s="66" t="str">
        <f>IFERROR(__xludf.DUMMYFUNCTION("GOOGLETRANSLATE(A4932,""en"",""pt"")"),"#VALUE!")</f>
        <v>#VALUE!</v>
      </c>
      <c r="G4932" s="69"/>
    </row>
    <row r="4933" ht="22.5" customHeight="1">
      <c r="A4933" s="66"/>
      <c r="B4933" s="67" t="str">
        <f t="shared" si="16"/>
        <v>M: </v>
      </c>
      <c r="C4933" s="68"/>
      <c r="D4933" s="68">
        <v>46243.0</v>
      </c>
      <c r="E4933" s="66">
        <v>1.0</v>
      </c>
      <c r="F4933" s="66" t="str">
        <f>IFERROR(__xludf.DUMMYFUNCTION("GOOGLETRANSLATE(A4933,""en"",""pt"")"),"#VALUE!")</f>
        <v>#VALUE!</v>
      </c>
      <c r="G4933" s="69"/>
    </row>
    <row r="4934" ht="22.5" customHeight="1">
      <c r="A4934" s="66"/>
      <c r="B4934" s="67" t="str">
        <f t="shared" si="16"/>
        <v>M: </v>
      </c>
      <c r="C4934" s="68"/>
      <c r="D4934" s="68">
        <v>46243.0</v>
      </c>
      <c r="E4934" s="66">
        <v>2.0</v>
      </c>
      <c r="F4934" s="66" t="str">
        <f>IFERROR(__xludf.DUMMYFUNCTION("GOOGLETRANSLATE(A4934,""en"",""pt"")"),"#VALUE!")</f>
        <v>#VALUE!</v>
      </c>
      <c r="G4934" s="69"/>
    </row>
    <row r="4935" ht="22.5" customHeight="1">
      <c r="A4935" s="66"/>
      <c r="B4935" s="67" t="str">
        <f t="shared" si="16"/>
        <v>M: </v>
      </c>
      <c r="C4935" s="68"/>
      <c r="D4935" s="68">
        <v>46243.0</v>
      </c>
      <c r="E4935" s="66">
        <v>3.0</v>
      </c>
      <c r="F4935" s="66" t="str">
        <f>IFERROR(__xludf.DUMMYFUNCTION("GOOGLETRANSLATE(A4935,""en"",""pt"")"),"#VALUE!")</f>
        <v>#VALUE!</v>
      </c>
      <c r="G4935" s="69"/>
    </row>
    <row r="4936" ht="22.5" customHeight="1">
      <c r="A4936" s="66"/>
      <c r="B4936" s="67" t="str">
        <f t="shared" si="16"/>
        <v>M: </v>
      </c>
      <c r="C4936" s="68"/>
      <c r="D4936" s="68">
        <v>46243.0</v>
      </c>
      <c r="E4936" s="66">
        <v>4.0</v>
      </c>
      <c r="F4936" s="66" t="str">
        <f>IFERROR(__xludf.DUMMYFUNCTION("GOOGLETRANSLATE(A4936,""en"",""pt"")"),"#VALUE!")</f>
        <v>#VALUE!</v>
      </c>
      <c r="G4936" s="69"/>
    </row>
    <row r="4937" ht="22.5" customHeight="1">
      <c r="A4937" s="66"/>
      <c r="B4937" s="67" t="str">
        <f t="shared" si="16"/>
        <v>M: </v>
      </c>
      <c r="C4937" s="68"/>
      <c r="D4937" s="68">
        <v>46243.0</v>
      </c>
      <c r="E4937" s="66">
        <v>5.0</v>
      </c>
      <c r="F4937" s="66" t="str">
        <f>IFERROR(__xludf.DUMMYFUNCTION("GOOGLETRANSLATE(A4937,""en"",""pt"")"),"#VALUE!")</f>
        <v>#VALUE!</v>
      </c>
      <c r="G4937" s="69"/>
    </row>
    <row r="4938" ht="22.5" customHeight="1">
      <c r="A4938" s="66"/>
      <c r="B4938" s="67" t="str">
        <f t="shared" si="16"/>
        <v>M: </v>
      </c>
      <c r="C4938" s="68"/>
      <c r="D4938" s="68">
        <v>46243.0</v>
      </c>
      <c r="E4938" s="66">
        <v>6.0</v>
      </c>
      <c r="F4938" s="66" t="str">
        <f>IFERROR(__xludf.DUMMYFUNCTION("GOOGLETRANSLATE(A4938,""en"",""pt"")"),"#VALUE!")</f>
        <v>#VALUE!</v>
      </c>
      <c r="G4938" s="69"/>
    </row>
    <row r="4939" ht="22.5" customHeight="1">
      <c r="A4939" s="66"/>
      <c r="B4939" s="67" t="str">
        <f t="shared" si="16"/>
        <v>M: </v>
      </c>
      <c r="C4939" s="68"/>
      <c r="D4939" s="68">
        <v>46243.0</v>
      </c>
      <c r="E4939" s="66">
        <v>7.0</v>
      </c>
      <c r="F4939" s="66" t="str">
        <f>IFERROR(__xludf.DUMMYFUNCTION("GOOGLETRANSLATE(A4939,""en"",""pt"")"),"#VALUE!")</f>
        <v>#VALUE!</v>
      </c>
      <c r="G4939" s="69"/>
    </row>
    <row r="4940" ht="22.5" customHeight="1">
      <c r="A4940" s="66"/>
      <c r="B4940" s="67" t="str">
        <f t="shared" si="16"/>
        <v>M: </v>
      </c>
      <c r="C4940" s="68"/>
      <c r="D4940" s="68">
        <v>46243.0</v>
      </c>
      <c r="E4940" s="66">
        <v>8.0</v>
      </c>
      <c r="F4940" s="66" t="str">
        <f>IFERROR(__xludf.DUMMYFUNCTION("GOOGLETRANSLATE(A4940,""en"",""pt"")"),"#VALUE!")</f>
        <v>#VALUE!</v>
      </c>
      <c r="G4940" s="69"/>
    </row>
    <row r="4941" ht="22.5" customHeight="1">
      <c r="A4941" s="66"/>
      <c r="B4941" s="67" t="str">
        <f t="shared" si="16"/>
        <v>M: </v>
      </c>
      <c r="C4941" s="68"/>
      <c r="D4941" s="68">
        <v>46243.0</v>
      </c>
      <c r="E4941" s="66">
        <v>9.0</v>
      </c>
      <c r="F4941" s="66" t="str">
        <f>IFERROR(__xludf.DUMMYFUNCTION("GOOGLETRANSLATE(A4941,""en"",""pt"")"),"#VALUE!")</f>
        <v>#VALUE!</v>
      </c>
      <c r="G4941" s="69"/>
    </row>
    <row r="4942" ht="22.5" customHeight="1">
      <c r="A4942" s="66"/>
      <c r="B4942" s="67" t="str">
        <f t="shared" si="16"/>
        <v>M: </v>
      </c>
      <c r="C4942" s="68"/>
      <c r="D4942" s="68">
        <v>46244.0</v>
      </c>
      <c r="E4942" s="66">
        <v>10.0</v>
      </c>
      <c r="F4942" s="66" t="str">
        <f>IFERROR(__xludf.DUMMYFUNCTION("GOOGLETRANSLATE(A4942,""en"",""pt"")"),"#VALUE!")</f>
        <v>#VALUE!</v>
      </c>
      <c r="G4942" s="69"/>
    </row>
    <row r="4943" ht="22.5" customHeight="1">
      <c r="A4943" s="66"/>
      <c r="B4943" s="67" t="str">
        <f t="shared" si="16"/>
        <v>M: </v>
      </c>
      <c r="C4943" s="68"/>
      <c r="D4943" s="68">
        <v>46244.0</v>
      </c>
      <c r="E4943" s="66">
        <v>1.0</v>
      </c>
      <c r="F4943" s="66" t="str">
        <f>IFERROR(__xludf.DUMMYFUNCTION("GOOGLETRANSLATE(A4943,""en"",""pt"")"),"#VALUE!")</f>
        <v>#VALUE!</v>
      </c>
      <c r="G4943" s="69"/>
    </row>
    <row r="4944" ht="22.5" customHeight="1">
      <c r="A4944" s="66"/>
      <c r="B4944" s="67" t="str">
        <f t="shared" si="16"/>
        <v>M: </v>
      </c>
      <c r="C4944" s="68"/>
      <c r="D4944" s="68">
        <v>46244.0</v>
      </c>
      <c r="E4944" s="66">
        <v>2.0</v>
      </c>
      <c r="F4944" s="66" t="str">
        <f>IFERROR(__xludf.DUMMYFUNCTION("GOOGLETRANSLATE(A4944,""en"",""pt"")"),"#VALUE!")</f>
        <v>#VALUE!</v>
      </c>
      <c r="G4944" s="69"/>
    </row>
    <row r="4945" ht="22.5" customHeight="1">
      <c r="A4945" s="66"/>
      <c r="B4945" s="67" t="str">
        <f t="shared" si="16"/>
        <v>M: </v>
      </c>
      <c r="C4945" s="68"/>
      <c r="D4945" s="68">
        <v>46244.0</v>
      </c>
      <c r="E4945" s="66">
        <v>3.0</v>
      </c>
      <c r="F4945" s="66" t="str">
        <f>IFERROR(__xludf.DUMMYFUNCTION("GOOGLETRANSLATE(A4945,""en"",""pt"")"),"#VALUE!")</f>
        <v>#VALUE!</v>
      </c>
      <c r="G4945" s="69"/>
    </row>
    <row r="4946" ht="22.5" customHeight="1">
      <c r="A4946" s="66"/>
      <c r="B4946" s="67" t="str">
        <f t="shared" si="16"/>
        <v>M: </v>
      </c>
      <c r="C4946" s="68"/>
      <c r="D4946" s="68">
        <v>46244.0</v>
      </c>
      <c r="E4946" s="66">
        <v>4.0</v>
      </c>
      <c r="F4946" s="66" t="str">
        <f>IFERROR(__xludf.DUMMYFUNCTION("GOOGLETRANSLATE(A4946,""en"",""pt"")"),"#VALUE!")</f>
        <v>#VALUE!</v>
      </c>
      <c r="G4946" s="69"/>
    </row>
    <row r="4947" ht="22.5" customHeight="1">
      <c r="A4947" s="66"/>
      <c r="B4947" s="67" t="str">
        <f t="shared" si="16"/>
        <v>M: </v>
      </c>
      <c r="C4947" s="68"/>
      <c r="D4947" s="68">
        <v>46244.0</v>
      </c>
      <c r="E4947" s="66">
        <v>5.0</v>
      </c>
      <c r="F4947" s="66" t="str">
        <f>IFERROR(__xludf.DUMMYFUNCTION("GOOGLETRANSLATE(A4947,""en"",""pt"")"),"#VALUE!")</f>
        <v>#VALUE!</v>
      </c>
      <c r="G4947" s="69"/>
    </row>
    <row r="4948" ht="22.5" customHeight="1">
      <c r="A4948" s="66"/>
      <c r="B4948" s="67" t="str">
        <f t="shared" si="16"/>
        <v>M: </v>
      </c>
      <c r="C4948" s="68"/>
      <c r="D4948" s="68">
        <v>46244.0</v>
      </c>
      <c r="E4948" s="66">
        <v>6.0</v>
      </c>
      <c r="F4948" s="66" t="str">
        <f>IFERROR(__xludf.DUMMYFUNCTION("GOOGLETRANSLATE(A4948,""en"",""pt"")"),"#VALUE!")</f>
        <v>#VALUE!</v>
      </c>
      <c r="G4948" s="69"/>
    </row>
    <row r="4949" ht="22.5" customHeight="1">
      <c r="A4949" s="66"/>
      <c r="B4949" s="67" t="str">
        <f t="shared" si="16"/>
        <v>M: </v>
      </c>
      <c r="C4949" s="68"/>
      <c r="D4949" s="68">
        <v>46244.0</v>
      </c>
      <c r="E4949" s="66">
        <v>7.0</v>
      </c>
      <c r="F4949" s="66" t="str">
        <f>IFERROR(__xludf.DUMMYFUNCTION("GOOGLETRANSLATE(A4949,""en"",""pt"")"),"#VALUE!")</f>
        <v>#VALUE!</v>
      </c>
      <c r="G4949" s="69"/>
    </row>
    <row r="4950" ht="22.5" customHeight="1">
      <c r="A4950" s="66"/>
      <c r="B4950" s="67" t="str">
        <f t="shared" si="16"/>
        <v>M: </v>
      </c>
      <c r="C4950" s="68"/>
      <c r="D4950" s="68">
        <v>46244.0</v>
      </c>
      <c r="E4950" s="66">
        <v>8.0</v>
      </c>
      <c r="F4950" s="66" t="str">
        <f>IFERROR(__xludf.DUMMYFUNCTION("GOOGLETRANSLATE(A4950,""en"",""pt"")"),"#VALUE!")</f>
        <v>#VALUE!</v>
      </c>
      <c r="G4950" s="69"/>
    </row>
    <row r="4951" ht="22.5" customHeight="1">
      <c r="A4951" s="66"/>
      <c r="B4951" s="67" t="str">
        <f t="shared" si="16"/>
        <v>M: </v>
      </c>
      <c r="C4951" s="68"/>
      <c r="D4951" s="68">
        <v>46244.0</v>
      </c>
      <c r="E4951" s="66">
        <v>9.0</v>
      </c>
      <c r="F4951" s="66" t="str">
        <f>IFERROR(__xludf.DUMMYFUNCTION("GOOGLETRANSLATE(A4951,""en"",""pt"")"),"#VALUE!")</f>
        <v>#VALUE!</v>
      </c>
      <c r="G4951" s="69"/>
    </row>
    <row r="4952" ht="22.5" customHeight="1">
      <c r="A4952" s="66"/>
      <c r="B4952" s="67" t="str">
        <f t="shared" si="16"/>
        <v>M: </v>
      </c>
      <c r="C4952" s="68"/>
      <c r="D4952" s="68">
        <v>46245.0</v>
      </c>
      <c r="E4952" s="66">
        <v>10.0</v>
      </c>
      <c r="F4952" s="66" t="str">
        <f>IFERROR(__xludf.DUMMYFUNCTION("GOOGLETRANSLATE(A4952,""en"",""pt"")"),"#VALUE!")</f>
        <v>#VALUE!</v>
      </c>
      <c r="G4952" s="69"/>
    </row>
    <row r="4953" ht="22.5" customHeight="1">
      <c r="A4953" s="66"/>
      <c r="B4953" s="67" t="str">
        <f t="shared" si="16"/>
        <v>M: </v>
      </c>
      <c r="C4953" s="68"/>
      <c r="D4953" s="68">
        <v>46245.0</v>
      </c>
      <c r="E4953" s="66">
        <v>1.0</v>
      </c>
      <c r="F4953" s="66" t="str">
        <f>IFERROR(__xludf.DUMMYFUNCTION("GOOGLETRANSLATE(A4953,""en"",""pt"")"),"#VALUE!")</f>
        <v>#VALUE!</v>
      </c>
      <c r="G4953" s="69"/>
    </row>
    <row r="4954" ht="22.5" customHeight="1">
      <c r="A4954" s="66"/>
      <c r="B4954" s="67" t="str">
        <f t="shared" si="16"/>
        <v>M: </v>
      </c>
      <c r="C4954" s="68"/>
      <c r="D4954" s="68">
        <v>46245.0</v>
      </c>
      <c r="E4954" s="66">
        <v>2.0</v>
      </c>
      <c r="F4954" s="66" t="str">
        <f>IFERROR(__xludf.DUMMYFUNCTION("GOOGLETRANSLATE(A4954,""en"",""pt"")"),"#VALUE!")</f>
        <v>#VALUE!</v>
      </c>
      <c r="G4954" s="69"/>
    </row>
    <row r="4955" ht="22.5" customHeight="1">
      <c r="A4955" s="66"/>
      <c r="B4955" s="67" t="str">
        <f t="shared" si="16"/>
        <v>M: </v>
      </c>
      <c r="C4955" s="68"/>
      <c r="D4955" s="68">
        <v>46245.0</v>
      </c>
      <c r="E4955" s="66">
        <v>3.0</v>
      </c>
      <c r="F4955" s="66" t="str">
        <f>IFERROR(__xludf.DUMMYFUNCTION("GOOGLETRANSLATE(A4955,""en"",""pt"")"),"#VALUE!")</f>
        <v>#VALUE!</v>
      </c>
      <c r="G4955" s="69"/>
    </row>
    <row r="4956" ht="22.5" customHeight="1">
      <c r="A4956" s="66"/>
      <c r="B4956" s="67" t="str">
        <f t="shared" si="16"/>
        <v>M: </v>
      </c>
      <c r="C4956" s="68"/>
      <c r="D4956" s="68">
        <v>46245.0</v>
      </c>
      <c r="E4956" s="66">
        <v>4.0</v>
      </c>
      <c r="F4956" s="66" t="str">
        <f>IFERROR(__xludf.DUMMYFUNCTION("GOOGLETRANSLATE(A4956,""en"",""pt"")"),"#VALUE!")</f>
        <v>#VALUE!</v>
      </c>
      <c r="G4956" s="69"/>
    </row>
    <row r="4957" ht="22.5" customHeight="1">
      <c r="A4957" s="66"/>
      <c r="B4957" s="67" t="str">
        <f t="shared" si="16"/>
        <v>M: </v>
      </c>
      <c r="C4957" s="68"/>
      <c r="D4957" s="68">
        <v>46245.0</v>
      </c>
      <c r="E4957" s="66">
        <v>5.0</v>
      </c>
      <c r="F4957" s="66" t="str">
        <f>IFERROR(__xludf.DUMMYFUNCTION("GOOGLETRANSLATE(A4957,""en"",""pt"")"),"#VALUE!")</f>
        <v>#VALUE!</v>
      </c>
      <c r="G4957" s="69"/>
    </row>
    <row r="4958" ht="22.5" customHeight="1">
      <c r="A4958" s="66"/>
      <c r="B4958" s="67" t="str">
        <f t="shared" si="16"/>
        <v>M: </v>
      </c>
      <c r="C4958" s="68"/>
      <c r="D4958" s="68">
        <v>46245.0</v>
      </c>
      <c r="E4958" s="66">
        <v>6.0</v>
      </c>
      <c r="F4958" s="66" t="str">
        <f>IFERROR(__xludf.DUMMYFUNCTION("GOOGLETRANSLATE(A4958,""en"",""pt"")"),"#VALUE!")</f>
        <v>#VALUE!</v>
      </c>
      <c r="G4958" s="69"/>
    </row>
    <row r="4959" ht="22.5" customHeight="1">
      <c r="A4959" s="66"/>
      <c r="B4959" s="67" t="str">
        <f t="shared" si="16"/>
        <v>M: </v>
      </c>
      <c r="C4959" s="68"/>
      <c r="D4959" s="68">
        <v>46245.0</v>
      </c>
      <c r="E4959" s="66">
        <v>7.0</v>
      </c>
      <c r="F4959" s="66" t="str">
        <f>IFERROR(__xludf.DUMMYFUNCTION("GOOGLETRANSLATE(A4959,""en"",""pt"")"),"#VALUE!")</f>
        <v>#VALUE!</v>
      </c>
      <c r="G4959" s="69"/>
    </row>
    <row r="4960" ht="22.5" customHeight="1">
      <c r="A4960" s="66"/>
      <c r="B4960" s="67" t="str">
        <f t="shared" si="16"/>
        <v>M: </v>
      </c>
      <c r="C4960" s="68"/>
      <c r="D4960" s="68">
        <v>46245.0</v>
      </c>
      <c r="E4960" s="66">
        <v>8.0</v>
      </c>
      <c r="F4960" s="66" t="str">
        <f>IFERROR(__xludf.DUMMYFUNCTION("GOOGLETRANSLATE(A4960,""en"",""pt"")"),"#VALUE!")</f>
        <v>#VALUE!</v>
      </c>
      <c r="G4960" s="69"/>
    </row>
    <row r="4961" ht="22.5" customHeight="1">
      <c r="A4961" s="66"/>
      <c r="B4961" s="67" t="str">
        <f t="shared" si="16"/>
        <v>M: </v>
      </c>
      <c r="C4961" s="68"/>
      <c r="D4961" s="68">
        <v>46245.0</v>
      </c>
      <c r="E4961" s="66">
        <v>9.0</v>
      </c>
      <c r="F4961" s="66" t="str">
        <f>IFERROR(__xludf.DUMMYFUNCTION("GOOGLETRANSLATE(A4961,""en"",""pt"")"),"#VALUE!")</f>
        <v>#VALUE!</v>
      </c>
      <c r="G4961" s="69"/>
    </row>
    <row r="4962" ht="22.5" customHeight="1">
      <c r="A4962" s="66"/>
      <c r="B4962" s="67" t="str">
        <f t="shared" si="16"/>
        <v>M: </v>
      </c>
      <c r="C4962" s="68"/>
      <c r="D4962" s="68">
        <v>46246.0</v>
      </c>
      <c r="E4962" s="66">
        <v>10.0</v>
      </c>
      <c r="F4962" s="66" t="str">
        <f>IFERROR(__xludf.DUMMYFUNCTION("GOOGLETRANSLATE(A4962,""en"",""pt"")"),"#VALUE!")</f>
        <v>#VALUE!</v>
      </c>
      <c r="G4962" s="69"/>
    </row>
    <row r="4963" ht="22.5" customHeight="1">
      <c r="A4963" s="66"/>
      <c r="B4963" s="67" t="str">
        <f t="shared" si="16"/>
        <v>M: </v>
      </c>
      <c r="C4963" s="68"/>
      <c r="D4963" s="68">
        <v>46246.0</v>
      </c>
      <c r="E4963" s="66">
        <v>1.0</v>
      </c>
      <c r="F4963" s="66" t="str">
        <f>IFERROR(__xludf.DUMMYFUNCTION("GOOGLETRANSLATE(A4963,""en"",""pt"")"),"#VALUE!")</f>
        <v>#VALUE!</v>
      </c>
      <c r="G4963" s="69"/>
    </row>
    <row r="4964" ht="22.5" customHeight="1">
      <c r="A4964" s="66"/>
      <c r="B4964" s="67" t="str">
        <f t="shared" si="16"/>
        <v>M: </v>
      </c>
      <c r="C4964" s="68"/>
      <c r="D4964" s="68">
        <v>46246.0</v>
      </c>
      <c r="E4964" s="66">
        <v>2.0</v>
      </c>
      <c r="F4964" s="66" t="str">
        <f>IFERROR(__xludf.DUMMYFUNCTION("GOOGLETRANSLATE(A4964,""en"",""pt"")"),"#VALUE!")</f>
        <v>#VALUE!</v>
      </c>
      <c r="G4964" s="69"/>
    </row>
    <row r="4965" ht="22.5" customHeight="1">
      <c r="A4965" s="66"/>
      <c r="B4965" s="67" t="str">
        <f t="shared" si="16"/>
        <v>M: </v>
      </c>
      <c r="C4965" s="68"/>
      <c r="D4965" s="68">
        <v>46246.0</v>
      </c>
      <c r="E4965" s="66">
        <v>3.0</v>
      </c>
      <c r="F4965" s="66" t="str">
        <f>IFERROR(__xludf.DUMMYFUNCTION("GOOGLETRANSLATE(A4965,""en"",""pt"")"),"#VALUE!")</f>
        <v>#VALUE!</v>
      </c>
      <c r="G4965" s="69"/>
    </row>
    <row r="4966" ht="22.5" customHeight="1">
      <c r="A4966" s="66"/>
      <c r="B4966" s="67" t="str">
        <f t="shared" si="16"/>
        <v>M: </v>
      </c>
      <c r="C4966" s="68"/>
      <c r="D4966" s="68">
        <v>46246.0</v>
      </c>
      <c r="E4966" s="66">
        <v>4.0</v>
      </c>
      <c r="F4966" s="66" t="str">
        <f>IFERROR(__xludf.DUMMYFUNCTION("GOOGLETRANSLATE(A4966,""en"",""pt"")"),"#VALUE!")</f>
        <v>#VALUE!</v>
      </c>
      <c r="G4966" s="69"/>
    </row>
    <row r="4967" ht="22.5" customHeight="1">
      <c r="A4967" s="66"/>
      <c r="B4967" s="67" t="str">
        <f t="shared" si="16"/>
        <v>M: </v>
      </c>
      <c r="C4967" s="68"/>
      <c r="D4967" s="68">
        <v>46246.0</v>
      </c>
      <c r="E4967" s="66">
        <v>5.0</v>
      </c>
      <c r="F4967" s="66" t="str">
        <f>IFERROR(__xludf.DUMMYFUNCTION("GOOGLETRANSLATE(A4967,""en"",""pt"")"),"#VALUE!")</f>
        <v>#VALUE!</v>
      </c>
      <c r="G4967" s="69"/>
    </row>
    <row r="4968" ht="22.5" customHeight="1">
      <c r="A4968" s="66"/>
      <c r="B4968" s="67" t="str">
        <f t="shared" si="16"/>
        <v>M: </v>
      </c>
      <c r="C4968" s="68"/>
      <c r="D4968" s="68">
        <v>46246.0</v>
      </c>
      <c r="E4968" s="66">
        <v>6.0</v>
      </c>
      <c r="F4968" s="66" t="str">
        <f>IFERROR(__xludf.DUMMYFUNCTION("GOOGLETRANSLATE(A4968,""en"",""pt"")"),"#VALUE!")</f>
        <v>#VALUE!</v>
      </c>
      <c r="G4968" s="69"/>
    </row>
    <row r="4969" ht="22.5" customHeight="1">
      <c r="A4969" s="66"/>
      <c r="B4969" s="67" t="str">
        <f t="shared" si="16"/>
        <v>M: </v>
      </c>
      <c r="C4969" s="68"/>
      <c r="D4969" s="68">
        <v>46246.0</v>
      </c>
      <c r="E4969" s="66">
        <v>7.0</v>
      </c>
      <c r="F4969" s="66" t="str">
        <f>IFERROR(__xludf.DUMMYFUNCTION("GOOGLETRANSLATE(A4969,""en"",""pt"")"),"#VALUE!")</f>
        <v>#VALUE!</v>
      </c>
      <c r="G4969" s="69"/>
    </row>
    <row r="4970" ht="22.5" customHeight="1">
      <c r="A4970" s="66"/>
      <c r="B4970" s="67" t="str">
        <f t="shared" si="16"/>
        <v>M: </v>
      </c>
      <c r="C4970" s="68"/>
      <c r="D4970" s="68">
        <v>46246.0</v>
      </c>
      <c r="E4970" s="66">
        <v>8.0</v>
      </c>
      <c r="F4970" s="66" t="str">
        <f>IFERROR(__xludf.DUMMYFUNCTION("GOOGLETRANSLATE(A4970,""en"",""pt"")"),"#VALUE!")</f>
        <v>#VALUE!</v>
      </c>
      <c r="G4970" s="69"/>
    </row>
    <row r="4971" ht="22.5" customHeight="1">
      <c r="A4971" s="66"/>
      <c r="B4971" s="67" t="str">
        <f t="shared" si="16"/>
        <v>M: </v>
      </c>
      <c r="C4971" s="68"/>
      <c r="D4971" s="68">
        <v>46246.0</v>
      </c>
      <c r="E4971" s="66">
        <v>9.0</v>
      </c>
      <c r="F4971" s="66" t="str">
        <f>IFERROR(__xludf.DUMMYFUNCTION("GOOGLETRANSLATE(A4971,""en"",""pt"")"),"#VALUE!")</f>
        <v>#VALUE!</v>
      </c>
      <c r="G4971" s="69"/>
    </row>
    <row r="4972" ht="22.5" customHeight="1">
      <c r="A4972" s="66"/>
      <c r="B4972" s="67" t="str">
        <f t="shared" si="16"/>
        <v>M: </v>
      </c>
      <c r="C4972" s="68"/>
      <c r="D4972" s="68">
        <v>46247.0</v>
      </c>
      <c r="E4972" s="66">
        <v>10.0</v>
      </c>
      <c r="F4972" s="66" t="str">
        <f>IFERROR(__xludf.DUMMYFUNCTION("GOOGLETRANSLATE(A4972,""en"",""pt"")"),"#VALUE!")</f>
        <v>#VALUE!</v>
      </c>
      <c r="G4972" s="69"/>
    </row>
    <row r="4973" ht="22.5" customHeight="1">
      <c r="A4973" s="66"/>
      <c r="B4973" s="67" t="str">
        <f t="shared" si="16"/>
        <v>M: </v>
      </c>
      <c r="C4973" s="68"/>
      <c r="D4973" s="68">
        <v>46247.0</v>
      </c>
      <c r="E4973" s="66">
        <v>1.0</v>
      </c>
      <c r="F4973" s="66" t="str">
        <f>IFERROR(__xludf.DUMMYFUNCTION("GOOGLETRANSLATE(A4973,""en"",""pt"")"),"#VALUE!")</f>
        <v>#VALUE!</v>
      </c>
      <c r="G4973" s="69"/>
    </row>
    <row r="4974" ht="22.5" customHeight="1">
      <c r="A4974" s="66"/>
      <c r="B4974" s="67" t="str">
        <f t="shared" si="16"/>
        <v>M: </v>
      </c>
      <c r="C4974" s="68"/>
      <c r="D4974" s="68">
        <v>46247.0</v>
      </c>
      <c r="E4974" s="66">
        <v>2.0</v>
      </c>
      <c r="F4974" s="66" t="str">
        <f>IFERROR(__xludf.DUMMYFUNCTION("GOOGLETRANSLATE(A4974,""en"",""pt"")"),"#VALUE!")</f>
        <v>#VALUE!</v>
      </c>
      <c r="G4974" s="69"/>
    </row>
    <row r="4975" ht="22.5" customHeight="1">
      <c r="A4975" s="66"/>
      <c r="B4975" s="67" t="str">
        <f t="shared" si="16"/>
        <v>M: </v>
      </c>
      <c r="C4975" s="68"/>
      <c r="D4975" s="68">
        <v>46247.0</v>
      </c>
      <c r="E4975" s="66">
        <v>3.0</v>
      </c>
      <c r="F4975" s="66" t="str">
        <f>IFERROR(__xludf.DUMMYFUNCTION("GOOGLETRANSLATE(A4975,""en"",""pt"")"),"#VALUE!")</f>
        <v>#VALUE!</v>
      </c>
      <c r="G4975" s="69"/>
    </row>
    <row r="4976" ht="22.5" customHeight="1">
      <c r="A4976" s="66"/>
      <c r="B4976" s="67" t="str">
        <f t="shared" si="16"/>
        <v>M: </v>
      </c>
      <c r="C4976" s="68"/>
      <c r="D4976" s="68">
        <v>46247.0</v>
      </c>
      <c r="E4976" s="66">
        <v>4.0</v>
      </c>
      <c r="F4976" s="66" t="str">
        <f>IFERROR(__xludf.DUMMYFUNCTION("GOOGLETRANSLATE(A4976,""en"",""pt"")"),"#VALUE!")</f>
        <v>#VALUE!</v>
      </c>
      <c r="G4976" s="69"/>
    </row>
    <row r="4977" ht="22.5" customHeight="1">
      <c r="A4977" s="66"/>
      <c r="B4977" s="67" t="str">
        <f t="shared" si="16"/>
        <v>M: </v>
      </c>
      <c r="C4977" s="68"/>
      <c r="D4977" s="68">
        <v>46247.0</v>
      </c>
      <c r="E4977" s="66">
        <v>5.0</v>
      </c>
      <c r="F4977" s="66" t="str">
        <f>IFERROR(__xludf.DUMMYFUNCTION("GOOGLETRANSLATE(A4977,""en"",""pt"")"),"#VALUE!")</f>
        <v>#VALUE!</v>
      </c>
      <c r="G4977" s="69"/>
    </row>
    <row r="4978" ht="22.5" customHeight="1">
      <c r="A4978" s="66"/>
      <c r="B4978" s="67" t="str">
        <f t="shared" si="16"/>
        <v>M: </v>
      </c>
      <c r="C4978" s="68"/>
      <c r="D4978" s="68">
        <v>46247.0</v>
      </c>
      <c r="E4978" s="66">
        <v>6.0</v>
      </c>
      <c r="F4978" s="66" t="str">
        <f>IFERROR(__xludf.DUMMYFUNCTION("GOOGLETRANSLATE(A4978,""en"",""pt"")"),"#VALUE!")</f>
        <v>#VALUE!</v>
      </c>
      <c r="G4978" s="69"/>
    </row>
    <row r="4979" ht="22.5" customHeight="1">
      <c r="A4979" s="66"/>
      <c r="B4979" s="67" t="str">
        <f t="shared" si="16"/>
        <v>M: </v>
      </c>
      <c r="C4979" s="68"/>
      <c r="D4979" s="68">
        <v>46247.0</v>
      </c>
      <c r="E4979" s="66">
        <v>7.0</v>
      </c>
      <c r="F4979" s="66" t="str">
        <f>IFERROR(__xludf.DUMMYFUNCTION("GOOGLETRANSLATE(A4979,""en"",""pt"")"),"#VALUE!")</f>
        <v>#VALUE!</v>
      </c>
      <c r="G4979" s="69"/>
    </row>
    <row r="4980" ht="22.5" customHeight="1">
      <c r="A4980" s="66"/>
      <c r="B4980" s="67" t="str">
        <f t="shared" si="16"/>
        <v>M: </v>
      </c>
      <c r="C4980" s="68"/>
      <c r="D4980" s="68">
        <v>46247.0</v>
      </c>
      <c r="E4980" s="66">
        <v>8.0</v>
      </c>
      <c r="F4980" s="66" t="str">
        <f>IFERROR(__xludf.DUMMYFUNCTION("GOOGLETRANSLATE(A4980,""en"",""pt"")"),"#VALUE!")</f>
        <v>#VALUE!</v>
      </c>
      <c r="G4980" s="69"/>
    </row>
    <row r="4981" ht="22.5" customHeight="1">
      <c r="A4981" s="66"/>
      <c r="B4981" s="67" t="str">
        <f t="shared" si="16"/>
        <v>M: </v>
      </c>
      <c r="C4981" s="68"/>
      <c r="D4981" s="68">
        <v>46247.0</v>
      </c>
      <c r="E4981" s="66">
        <v>9.0</v>
      </c>
      <c r="F4981" s="66" t="str">
        <f>IFERROR(__xludf.DUMMYFUNCTION("GOOGLETRANSLATE(A4981,""en"",""pt"")"),"#VALUE!")</f>
        <v>#VALUE!</v>
      </c>
      <c r="G4981" s="69"/>
    </row>
    <row r="4982" ht="22.5" customHeight="1">
      <c r="A4982" s="66"/>
      <c r="B4982" s="67" t="str">
        <f t="shared" si="16"/>
        <v>M: </v>
      </c>
      <c r="C4982" s="68"/>
      <c r="D4982" s="68">
        <v>46248.0</v>
      </c>
      <c r="E4982" s="66">
        <v>10.0</v>
      </c>
      <c r="F4982" s="66" t="str">
        <f>IFERROR(__xludf.DUMMYFUNCTION("GOOGLETRANSLATE(A4982,""en"",""pt"")"),"#VALUE!")</f>
        <v>#VALUE!</v>
      </c>
      <c r="G4982" s="69"/>
    </row>
    <row r="4983" ht="22.5" customHeight="1">
      <c r="A4983" s="66"/>
      <c r="B4983" s="67" t="str">
        <f t="shared" si="16"/>
        <v>M: </v>
      </c>
      <c r="C4983" s="68"/>
      <c r="D4983" s="68">
        <v>46248.0</v>
      </c>
      <c r="E4983" s="66">
        <v>1.0</v>
      </c>
      <c r="F4983" s="66" t="str">
        <f>IFERROR(__xludf.DUMMYFUNCTION("GOOGLETRANSLATE(A4983,""en"",""pt"")"),"#VALUE!")</f>
        <v>#VALUE!</v>
      </c>
      <c r="G4983" s="69"/>
    </row>
    <row r="4984" ht="22.5" customHeight="1">
      <c r="A4984" s="66"/>
      <c r="B4984" s="67" t="str">
        <f t="shared" si="16"/>
        <v>M: </v>
      </c>
      <c r="C4984" s="68"/>
      <c r="D4984" s="68">
        <v>46248.0</v>
      </c>
      <c r="E4984" s="66">
        <v>2.0</v>
      </c>
      <c r="F4984" s="66" t="str">
        <f>IFERROR(__xludf.DUMMYFUNCTION("GOOGLETRANSLATE(A4984,""en"",""pt"")"),"#VALUE!")</f>
        <v>#VALUE!</v>
      </c>
      <c r="G4984" s="69"/>
    </row>
    <row r="4985" ht="22.5" customHeight="1">
      <c r="A4985" s="66"/>
      <c r="B4985" s="67" t="str">
        <f t="shared" si="16"/>
        <v>M: </v>
      </c>
      <c r="C4985" s="68"/>
      <c r="D4985" s="68">
        <v>46248.0</v>
      </c>
      <c r="E4985" s="66">
        <v>3.0</v>
      </c>
      <c r="F4985" s="66" t="str">
        <f>IFERROR(__xludf.DUMMYFUNCTION("GOOGLETRANSLATE(A4985,""en"",""pt"")"),"#VALUE!")</f>
        <v>#VALUE!</v>
      </c>
      <c r="G4985" s="69"/>
    </row>
    <row r="4986" ht="22.5" customHeight="1">
      <c r="A4986" s="66"/>
      <c r="B4986" s="67" t="str">
        <f t="shared" si="16"/>
        <v>M: </v>
      </c>
      <c r="C4986" s="68"/>
      <c r="D4986" s="68">
        <v>46248.0</v>
      </c>
      <c r="E4986" s="66">
        <v>4.0</v>
      </c>
      <c r="F4986" s="66" t="str">
        <f>IFERROR(__xludf.DUMMYFUNCTION("GOOGLETRANSLATE(A4986,""en"",""pt"")"),"#VALUE!")</f>
        <v>#VALUE!</v>
      </c>
      <c r="G4986" s="69"/>
    </row>
    <row r="4987" ht="22.5" customHeight="1">
      <c r="A4987" s="66"/>
      <c r="B4987" s="67" t="str">
        <f t="shared" si="16"/>
        <v>M: </v>
      </c>
      <c r="C4987" s="68"/>
      <c r="D4987" s="68">
        <v>46248.0</v>
      </c>
      <c r="E4987" s="66">
        <v>5.0</v>
      </c>
      <c r="F4987" s="66" t="str">
        <f>IFERROR(__xludf.DUMMYFUNCTION("GOOGLETRANSLATE(A4987,""en"",""pt"")"),"#VALUE!")</f>
        <v>#VALUE!</v>
      </c>
      <c r="G4987" s="69"/>
    </row>
    <row r="4988" ht="22.5" customHeight="1">
      <c r="A4988" s="66"/>
      <c r="B4988" s="67" t="str">
        <f t="shared" si="16"/>
        <v>M: </v>
      </c>
      <c r="C4988" s="68"/>
      <c r="D4988" s="68">
        <v>46248.0</v>
      </c>
      <c r="E4988" s="66">
        <v>6.0</v>
      </c>
      <c r="F4988" s="66" t="str">
        <f>IFERROR(__xludf.DUMMYFUNCTION("GOOGLETRANSLATE(A4988,""en"",""pt"")"),"#VALUE!")</f>
        <v>#VALUE!</v>
      </c>
      <c r="G4988" s="69"/>
    </row>
    <row r="4989" ht="22.5" customHeight="1">
      <c r="A4989" s="66"/>
      <c r="B4989" s="67" t="str">
        <f t="shared" si="16"/>
        <v>M: </v>
      </c>
      <c r="C4989" s="68"/>
      <c r="D4989" s="68">
        <v>46248.0</v>
      </c>
      <c r="E4989" s="66">
        <v>7.0</v>
      </c>
      <c r="F4989" s="66" t="str">
        <f>IFERROR(__xludf.DUMMYFUNCTION("GOOGLETRANSLATE(A4989,""en"",""pt"")"),"#VALUE!")</f>
        <v>#VALUE!</v>
      </c>
      <c r="G4989" s="69"/>
    </row>
    <row r="4990" ht="22.5" customHeight="1">
      <c r="A4990" s="66"/>
      <c r="B4990" s="67" t="str">
        <f t="shared" si="16"/>
        <v>M: </v>
      </c>
      <c r="C4990" s="68"/>
      <c r="D4990" s="68">
        <v>46248.0</v>
      </c>
      <c r="E4990" s="66">
        <v>8.0</v>
      </c>
      <c r="F4990" s="66" t="str">
        <f>IFERROR(__xludf.DUMMYFUNCTION("GOOGLETRANSLATE(A4990,""en"",""pt"")"),"#VALUE!")</f>
        <v>#VALUE!</v>
      </c>
      <c r="G4990" s="69"/>
    </row>
    <row r="4991" ht="22.5" customHeight="1">
      <c r="A4991" s="66"/>
      <c r="B4991" s="67" t="str">
        <f t="shared" si="16"/>
        <v>M: </v>
      </c>
      <c r="C4991" s="68"/>
      <c r="D4991" s="68">
        <v>46248.0</v>
      </c>
      <c r="E4991" s="66">
        <v>9.0</v>
      </c>
      <c r="F4991" s="66" t="str">
        <f>IFERROR(__xludf.DUMMYFUNCTION("GOOGLETRANSLATE(A4991,""en"",""pt"")"),"#VALUE!")</f>
        <v>#VALUE!</v>
      </c>
      <c r="G4991" s="69"/>
    </row>
    <row r="4992" ht="22.5" customHeight="1">
      <c r="A4992" s="66"/>
      <c r="B4992" s="67" t="str">
        <f t="shared" si="16"/>
        <v>M: </v>
      </c>
      <c r="C4992" s="68"/>
      <c r="D4992" s="68">
        <v>46249.0</v>
      </c>
      <c r="E4992" s="66">
        <v>10.0</v>
      </c>
      <c r="F4992" s="66" t="str">
        <f>IFERROR(__xludf.DUMMYFUNCTION("GOOGLETRANSLATE(A4992,""en"",""pt"")"),"#VALUE!")</f>
        <v>#VALUE!</v>
      </c>
      <c r="G4992" s="69"/>
    </row>
    <row r="4993" ht="22.5" customHeight="1">
      <c r="A4993" s="66"/>
      <c r="B4993" s="67" t="str">
        <f t="shared" si="16"/>
        <v>M: </v>
      </c>
      <c r="C4993" s="68"/>
      <c r="D4993" s="68">
        <v>46249.0</v>
      </c>
      <c r="E4993" s="66">
        <v>1.0</v>
      </c>
      <c r="F4993" s="66" t="str">
        <f>IFERROR(__xludf.DUMMYFUNCTION("GOOGLETRANSLATE(A4993,""en"",""pt"")"),"#VALUE!")</f>
        <v>#VALUE!</v>
      </c>
      <c r="G4993" s="69"/>
    </row>
    <row r="4994" ht="22.5" customHeight="1">
      <c r="A4994" s="66"/>
      <c r="B4994" s="67" t="str">
        <f t="shared" si="16"/>
        <v>M: </v>
      </c>
      <c r="C4994" s="68"/>
      <c r="D4994" s="68">
        <v>46249.0</v>
      </c>
      <c r="E4994" s="66">
        <v>2.0</v>
      </c>
      <c r="F4994" s="66" t="str">
        <f>IFERROR(__xludf.DUMMYFUNCTION("GOOGLETRANSLATE(A4994,""en"",""pt"")"),"#VALUE!")</f>
        <v>#VALUE!</v>
      </c>
      <c r="G4994" s="69"/>
    </row>
    <row r="4995" ht="22.5" customHeight="1">
      <c r="A4995" s="66"/>
      <c r="B4995" s="67" t="str">
        <f t="shared" si="16"/>
        <v>M: </v>
      </c>
      <c r="C4995" s="68"/>
      <c r="D4995" s="68">
        <v>46249.0</v>
      </c>
      <c r="E4995" s="66">
        <v>3.0</v>
      </c>
      <c r="F4995" s="66" t="str">
        <f>IFERROR(__xludf.DUMMYFUNCTION("GOOGLETRANSLATE(A4995,""en"",""pt"")"),"#VALUE!")</f>
        <v>#VALUE!</v>
      </c>
      <c r="G4995" s="69"/>
    </row>
    <row r="4996" ht="22.5" customHeight="1">
      <c r="A4996" s="66"/>
      <c r="B4996" s="67" t="str">
        <f t="shared" si="16"/>
        <v>M: </v>
      </c>
      <c r="C4996" s="68"/>
      <c r="D4996" s="68">
        <v>46249.0</v>
      </c>
      <c r="E4996" s="66">
        <v>4.0</v>
      </c>
      <c r="F4996" s="66" t="str">
        <f>IFERROR(__xludf.DUMMYFUNCTION("GOOGLETRANSLATE(A4996,""en"",""pt"")"),"#VALUE!")</f>
        <v>#VALUE!</v>
      </c>
      <c r="G4996" s="69"/>
    </row>
    <row r="4997" ht="22.5" customHeight="1">
      <c r="A4997" s="66"/>
      <c r="B4997" s="67" t="str">
        <f t="shared" si="16"/>
        <v>M: </v>
      </c>
      <c r="C4997" s="68"/>
      <c r="D4997" s="68">
        <v>46249.0</v>
      </c>
      <c r="E4997" s="66">
        <v>5.0</v>
      </c>
      <c r="F4997" s="66" t="str">
        <f>IFERROR(__xludf.DUMMYFUNCTION("GOOGLETRANSLATE(A4997,""en"",""pt"")"),"#VALUE!")</f>
        <v>#VALUE!</v>
      </c>
      <c r="G4997" s="69"/>
    </row>
    <row r="4998" ht="22.5" customHeight="1">
      <c r="A4998" s="66"/>
      <c r="B4998" s="67" t="str">
        <f t="shared" si="16"/>
        <v>M: </v>
      </c>
      <c r="C4998" s="68"/>
      <c r="D4998" s="68">
        <v>46249.0</v>
      </c>
      <c r="E4998" s="66">
        <v>6.0</v>
      </c>
      <c r="F4998" s="66" t="str">
        <f>IFERROR(__xludf.DUMMYFUNCTION("GOOGLETRANSLATE(A4998,""en"",""pt"")"),"#VALUE!")</f>
        <v>#VALUE!</v>
      </c>
      <c r="G4998" s="69"/>
    </row>
    <row r="4999" ht="22.5" customHeight="1">
      <c r="A4999" s="66"/>
      <c r="B4999" s="67" t="str">
        <f t="shared" si="16"/>
        <v>M: </v>
      </c>
      <c r="C4999" s="68"/>
      <c r="D4999" s="68">
        <v>46249.0</v>
      </c>
      <c r="E4999" s="66">
        <v>7.0</v>
      </c>
      <c r="F4999" s="66" t="str">
        <f>IFERROR(__xludf.DUMMYFUNCTION("GOOGLETRANSLATE(A4999,""en"",""pt"")"),"#VALUE!")</f>
        <v>#VALUE!</v>
      </c>
      <c r="G4999" s="69"/>
    </row>
    <row r="5000" ht="22.5" customHeight="1">
      <c r="A5000" s="66"/>
      <c r="B5000" s="67" t="str">
        <f t="shared" si="16"/>
        <v>M: </v>
      </c>
      <c r="C5000" s="68"/>
      <c r="D5000" s="68">
        <v>46249.0</v>
      </c>
      <c r="E5000" s="66">
        <v>8.0</v>
      </c>
      <c r="F5000" s="66" t="str">
        <f>IFERROR(__xludf.DUMMYFUNCTION("GOOGLETRANSLATE(A5000,""en"",""pt"")"),"#VALUE!")</f>
        <v>#VALUE!</v>
      </c>
      <c r="G5000" s="69"/>
    </row>
    <row r="5001" ht="22.5" customHeight="1">
      <c r="A5001" s="66"/>
      <c r="B5001" s="67" t="str">
        <f t="shared" si="16"/>
        <v>M: </v>
      </c>
      <c r="C5001" s="68"/>
      <c r="D5001" s="68">
        <v>46249.0</v>
      </c>
      <c r="E5001" s="66">
        <v>9.0</v>
      </c>
      <c r="F5001" s="66" t="str">
        <f>IFERROR(__xludf.DUMMYFUNCTION("GOOGLETRANSLATE(A5001,""en"",""pt"")"),"#VALUE!")</f>
        <v>#VALUE!</v>
      </c>
      <c r="G5001" s="69"/>
    </row>
    <row r="5002" ht="22.5" customHeight="1">
      <c r="A5002" s="66"/>
      <c r="B5002" s="67" t="str">
        <f t="shared" si="16"/>
        <v>M: </v>
      </c>
      <c r="C5002" s="68"/>
      <c r="D5002" s="68">
        <v>46250.0</v>
      </c>
      <c r="E5002" s="66">
        <v>10.0</v>
      </c>
      <c r="F5002" s="66" t="str">
        <f>IFERROR(__xludf.DUMMYFUNCTION("GOOGLETRANSLATE(A5002,""en"",""pt"")"),"#VALUE!")</f>
        <v>#VALUE!</v>
      </c>
      <c r="G5002" s="69"/>
    </row>
    <row r="5003" ht="22.5" customHeight="1">
      <c r="A5003" s="66"/>
      <c r="B5003" s="67" t="str">
        <f t="shared" si="16"/>
        <v>M: </v>
      </c>
      <c r="C5003" s="68"/>
      <c r="D5003" s="68">
        <v>46250.0</v>
      </c>
      <c r="E5003" s="66">
        <v>1.0</v>
      </c>
      <c r="F5003" s="66" t="str">
        <f>IFERROR(__xludf.DUMMYFUNCTION("GOOGLETRANSLATE(A5003,""en"",""pt"")"),"#VALUE!")</f>
        <v>#VALUE!</v>
      </c>
      <c r="G5003" s="69"/>
    </row>
    <row r="5004" ht="22.5" customHeight="1">
      <c r="A5004" s="66"/>
      <c r="B5004" s="67" t="str">
        <f t="shared" si="16"/>
        <v>M: </v>
      </c>
      <c r="C5004" s="68"/>
      <c r="D5004" s="68">
        <v>46250.0</v>
      </c>
      <c r="E5004" s="66">
        <v>2.0</v>
      </c>
      <c r="F5004" s="66" t="str">
        <f>IFERROR(__xludf.DUMMYFUNCTION("GOOGLETRANSLATE(A5004,""en"",""pt"")"),"#VALUE!")</f>
        <v>#VALUE!</v>
      </c>
      <c r="G5004" s="69"/>
    </row>
    <row r="5005" ht="22.5" customHeight="1">
      <c r="A5005" s="66"/>
      <c r="B5005" s="67" t="str">
        <f t="shared" si="16"/>
        <v>M: </v>
      </c>
      <c r="C5005" s="68"/>
      <c r="D5005" s="68">
        <v>46250.0</v>
      </c>
      <c r="E5005" s="66">
        <v>3.0</v>
      </c>
      <c r="F5005" s="66" t="str">
        <f>IFERROR(__xludf.DUMMYFUNCTION("GOOGLETRANSLATE(A5005,""en"",""pt"")"),"#VALUE!")</f>
        <v>#VALUE!</v>
      </c>
      <c r="G5005" s="69"/>
    </row>
    <row r="5006" ht="22.5" customHeight="1">
      <c r="A5006" s="66"/>
      <c r="B5006" s="67" t="str">
        <f t="shared" si="16"/>
        <v>M: </v>
      </c>
      <c r="C5006" s="68"/>
      <c r="D5006" s="68">
        <v>46250.0</v>
      </c>
      <c r="E5006" s="66">
        <v>4.0</v>
      </c>
      <c r="F5006" s="66" t="str">
        <f>IFERROR(__xludf.DUMMYFUNCTION("GOOGLETRANSLATE(A5006,""en"",""pt"")"),"#VALUE!")</f>
        <v>#VALUE!</v>
      </c>
      <c r="G5006" s="69"/>
    </row>
    <row r="5007" ht="22.5" customHeight="1">
      <c r="A5007" s="66"/>
      <c r="B5007" s="67" t="str">
        <f t="shared" si="16"/>
        <v>M: </v>
      </c>
      <c r="C5007" s="68"/>
      <c r="D5007" s="68">
        <v>46250.0</v>
      </c>
      <c r="E5007" s="66">
        <v>5.0</v>
      </c>
      <c r="F5007" s="66" t="str">
        <f>IFERROR(__xludf.DUMMYFUNCTION("GOOGLETRANSLATE(A5007,""en"",""pt"")"),"#VALUE!")</f>
        <v>#VALUE!</v>
      </c>
      <c r="G5007" s="69"/>
    </row>
    <row r="5008" ht="22.5" customHeight="1">
      <c r="A5008" s="66"/>
      <c r="B5008" s="67" t="str">
        <f t="shared" si="16"/>
        <v>M: </v>
      </c>
      <c r="C5008" s="68"/>
      <c r="D5008" s="68">
        <v>46250.0</v>
      </c>
      <c r="E5008" s="66">
        <v>6.0</v>
      </c>
      <c r="F5008" s="66" t="str">
        <f>IFERROR(__xludf.DUMMYFUNCTION("GOOGLETRANSLATE(A5008,""en"",""pt"")"),"#VALUE!")</f>
        <v>#VALUE!</v>
      </c>
      <c r="G5008" s="69"/>
    </row>
    <row r="5009" ht="22.5" customHeight="1">
      <c r="A5009" s="66"/>
      <c r="B5009" s="67" t="str">
        <f t="shared" si="16"/>
        <v>M: </v>
      </c>
      <c r="C5009" s="68"/>
      <c r="D5009" s="68">
        <v>46250.0</v>
      </c>
      <c r="E5009" s="66">
        <v>7.0</v>
      </c>
      <c r="F5009" s="66" t="str">
        <f>IFERROR(__xludf.DUMMYFUNCTION("GOOGLETRANSLATE(A5009,""en"",""pt"")"),"#VALUE!")</f>
        <v>#VALUE!</v>
      </c>
      <c r="G5009" s="69"/>
    </row>
    <row r="5010" ht="22.5" customHeight="1">
      <c r="A5010" s="66"/>
      <c r="B5010" s="67" t="str">
        <f t="shared" si="16"/>
        <v>M: </v>
      </c>
      <c r="C5010" s="68"/>
      <c r="D5010" s="68">
        <v>46250.0</v>
      </c>
      <c r="E5010" s="66">
        <v>8.0</v>
      </c>
      <c r="F5010" s="66" t="str">
        <f>IFERROR(__xludf.DUMMYFUNCTION("GOOGLETRANSLATE(A5010,""en"",""pt"")"),"#VALUE!")</f>
        <v>#VALUE!</v>
      </c>
      <c r="G5010" s="69"/>
    </row>
    <row r="5011" ht="22.5" customHeight="1">
      <c r="A5011" s="66"/>
      <c r="B5011" s="67" t="str">
        <f t="shared" si="16"/>
        <v>M: </v>
      </c>
      <c r="C5011" s="68"/>
      <c r="D5011" s="68">
        <v>46250.0</v>
      </c>
      <c r="E5011" s="66">
        <v>9.0</v>
      </c>
      <c r="F5011" s="66" t="str">
        <f>IFERROR(__xludf.DUMMYFUNCTION("GOOGLETRANSLATE(A5011,""en"",""pt"")"),"#VALUE!")</f>
        <v>#VALUE!</v>
      </c>
      <c r="G5011" s="69"/>
    </row>
    <row r="5012" ht="22.5" customHeight="1">
      <c r="A5012" s="66"/>
      <c r="B5012" s="67" t="str">
        <f t="shared" si="16"/>
        <v>M: </v>
      </c>
      <c r="C5012" s="68"/>
      <c r="D5012" s="68">
        <v>46251.0</v>
      </c>
      <c r="E5012" s="66">
        <v>10.0</v>
      </c>
      <c r="F5012" s="66" t="str">
        <f>IFERROR(__xludf.DUMMYFUNCTION("GOOGLETRANSLATE(A5012,""en"",""pt"")"),"#VALUE!")</f>
        <v>#VALUE!</v>
      </c>
      <c r="G5012" s="69"/>
    </row>
    <row r="5013" ht="22.5" customHeight="1">
      <c r="A5013" s="66"/>
      <c r="B5013" s="67" t="str">
        <f t="shared" si="16"/>
        <v>M: </v>
      </c>
      <c r="C5013" s="68"/>
      <c r="D5013" s="68">
        <v>46251.0</v>
      </c>
      <c r="E5013" s="66">
        <v>1.0</v>
      </c>
      <c r="F5013" s="66" t="str">
        <f>IFERROR(__xludf.DUMMYFUNCTION("GOOGLETRANSLATE(A5013,""en"",""pt"")"),"#VALUE!")</f>
        <v>#VALUE!</v>
      </c>
      <c r="G5013" s="69"/>
    </row>
    <row r="5014" ht="22.5" customHeight="1">
      <c r="A5014" s="66"/>
      <c r="B5014" s="67" t="str">
        <f t="shared" si="16"/>
        <v>M: </v>
      </c>
      <c r="C5014" s="68"/>
      <c r="D5014" s="68">
        <v>46251.0</v>
      </c>
      <c r="E5014" s="66">
        <v>2.0</v>
      </c>
      <c r="F5014" s="66" t="str">
        <f>IFERROR(__xludf.DUMMYFUNCTION("GOOGLETRANSLATE(A5014,""en"",""pt"")"),"#VALUE!")</f>
        <v>#VALUE!</v>
      </c>
      <c r="G5014" s="69"/>
    </row>
    <row r="5015" ht="22.5" customHeight="1">
      <c r="A5015" s="66"/>
      <c r="B5015" s="67" t="str">
        <f t="shared" si="16"/>
        <v>M: </v>
      </c>
      <c r="C5015" s="68"/>
      <c r="D5015" s="68">
        <v>46251.0</v>
      </c>
      <c r="E5015" s="66">
        <v>3.0</v>
      </c>
      <c r="F5015" s="66" t="str">
        <f>IFERROR(__xludf.DUMMYFUNCTION("GOOGLETRANSLATE(A5015,""en"",""pt"")"),"#VALUE!")</f>
        <v>#VALUE!</v>
      </c>
      <c r="G5015" s="69"/>
    </row>
    <row r="5016" ht="22.5" customHeight="1">
      <c r="A5016" s="66"/>
      <c r="B5016" s="67" t="str">
        <f t="shared" si="16"/>
        <v>M: </v>
      </c>
      <c r="C5016" s="68"/>
      <c r="D5016" s="68">
        <v>46251.0</v>
      </c>
      <c r="E5016" s="66">
        <v>4.0</v>
      </c>
      <c r="F5016" s="66" t="str">
        <f>IFERROR(__xludf.DUMMYFUNCTION("GOOGLETRANSLATE(A5016,""en"",""pt"")"),"#VALUE!")</f>
        <v>#VALUE!</v>
      </c>
      <c r="G5016" s="69"/>
    </row>
    <row r="5017" ht="22.5" customHeight="1">
      <c r="A5017" s="66"/>
      <c r="B5017" s="67" t="str">
        <f t="shared" si="16"/>
        <v>M: </v>
      </c>
      <c r="C5017" s="68"/>
      <c r="D5017" s="68">
        <v>46251.0</v>
      </c>
      <c r="E5017" s="66">
        <v>5.0</v>
      </c>
      <c r="F5017" s="66" t="str">
        <f>IFERROR(__xludf.DUMMYFUNCTION("GOOGLETRANSLATE(A5017,""en"",""pt"")"),"#VALUE!")</f>
        <v>#VALUE!</v>
      </c>
      <c r="G5017" s="69"/>
    </row>
    <row r="5018" ht="22.5" customHeight="1">
      <c r="A5018" s="66"/>
      <c r="B5018" s="67" t="str">
        <f t="shared" si="16"/>
        <v>M: </v>
      </c>
      <c r="C5018" s="68"/>
      <c r="D5018" s="68">
        <v>46251.0</v>
      </c>
      <c r="E5018" s="66">
        <v>6.0</v>
      </c>
      <c r="F5018" s="66" t="str">
        <f>IFERROR(__xludf.DUMMYFUNCTION("GOOGLETRANSLATE(A5018,""en"",""pt"")"),"#VALUE!")</f>
        <v>#VALUE!</v>
      </c>
      <c r="G5018" s="69"/>
    </row>
    <row r="5019" ht="22.5" customHeight="1">
      <c r="A5019" s="66"/>
      <c r="B5019" s="67" t="str">
        <f t="shared" si="16"/>
        <v>M: </v>
      </c>
      <c r="C5019" s="68"/>
      <c r="D5019" s="68">
        <v>46251.0</v>
      </c>
      <c r="E5019" s="66">
        <v>7.0</v>
      </c>
      <c r="F5019" s="66" t="str">
        <f>IFERROR(__xludf.DUMMYFUNCTION("GOOGLETRANSLATE(A5019,""en"",""pt"")"),"#VALUE!")</f>
        <v>#VALUE!</v>
      </c>
      <c r="G5019" s="69"/>
    </row>
    <row r="5020" ht="22.5" customHeight="1">
      <c r="A5020" s="66"/>
      <c r="B5020" s="67" t="str">
        <f t="shared" si="16"/>
        <v>M: </v>
      </c>
      <c r="C5020" s="68"/>
      <c r="D5020" s="68">
        <v>46251.0</v>
      </c>
      <c r="E5020" s="66">
        <v>8.0</v>
      </c>
      <c r="F5020" s="66" t="str">
        <f>IFERROR(__xludf.DUMMYFUNCTION("GOOGLETRANSLATE(A5020,""en"",""pt"")"),"#VALUE!")</f>
        <v>#VALUE!</v>
      </c>
      <c r="G5020" s="69"/>
    </row>
    <row r="5021" ht="22.5" customHeight="1">
      <c r="A5021" s="66"/>
      <c r="B5021" s="67" t="str">
        <f t="shared" si="16"/>
        <v>M: </v>
      </c>
      <c r="C5021" s="68"/>
      <c r="D5021" s="68">
        <v>46251.0</v>
      </c>
      <c r="E5021" s="66">
        <v>9.0</v>
      </c>
      <c r="F5021" s="66" t="str">
        <f>IFERROR(__xludf.DUMMYFUNCTION("GOOGLETRANSLATE(A5021,""en"",""pt"")"),"#VALUE!")</f>
        <v>#VALUE!</v>
      </c>
      <c r="G5021" s="69"/>
    </row>
    <row r="5022" ht="22.5" customHeight="1">
      <c r="A5022" s="66"/>
      <c r="B5022" s="67" t="str">
        <f t="shared" si="16"/>
        <v>M: </v>
      </c>
      <c r="C5022" s="68"/>
      <c r="D5022" s="68">
        <v>46252.0</v>
      </c>
      <c r="E5022" s="66">
        <v>10.0</v>
      </c>
      <c r="F5022" s="66" t="str">
        <f>IFERROR(__xludf.DUMMYFUNCTION("GOOGLETRANSLATE(A5022,""en"",""pt"")"),"#VALUE!")</f>
        <v>#VALUE!</v>
      </c>
      <c r="G5022" s="69"/>
    </row>
    <row r="5023" ht="22.5" customHeight="1">
      <c r="A5023" s="66"/>
      <c r="B5023" s="67" t="str">
        <f t="shared" si="16"/>
        <v>M: </v>
      </c>
      <c r="C5023" s="68"/>
      <c r="D5023" s="68">
        <v>46252.0</v>
      </c>
      <c r="E5023" s="66">
        <v>1.0</v>
      </c>
      <c r="F5023" s="66" t="str">
        <f>IFERROR(__xludf.DUMMYFUNCTION("GOOGLETRANSLATE(A5023,""en"",""pt"")"),"#VALUE!")</f>
        <v>#VALUE!</v>
      </c>
      <c r="G5023" s="69"/>
    </row>
    <row r="5024" ht="22.5" customHeight="1">
      <c r="A5024" s="66"/>
      <c r="B5024" s="67" t="str">
        <f t="shared" si="16"/>
        <v>M: </v>
      </c>
      <c r="C5024" s="68"/>
      <c r="D5024" s="68">
        <v>46252.0</v>
      </c>
      <c r="E5024" s="66">
        <v>2.0</v>
      </c>
      <c r="F5024" s="66" t="str">
        <f>IFERROR(__xludf.DUMMYFUNCTION("GOOGLETRANSLATE(A5024,""en"",""pt"")"),"#VALUE!")</f>
        <v>#VALUE!</v>
      </c>
      <c r="G5024" s="69"/>
    </row>
    <row r="5025" ht="22.5" customHeight="1">
      <c r="A5025" s="66"/>
      <c r="B5025" s="67" t="str">
        <f t="shared" si="16"/>
        <v>M: </v>
      </c>
      <c r="C5025" s="68"/>
      <c r="D5025" s="68">
        <v>46252.0</v>
      </c>
      <c r="E5025" s="66">
        <v>3.0</v>
      </c>
      <c r="F5025" s="66" t="str">
        <f>IFERROR(__xludf.DUMMYFUNCTION("GOOGLETRANSLATE(A5025,""en"",""pt"")"),"#VALUE!")</f>
        <v>#VALUE!</v>
      </c>
      <c r="G5025" s="69"/>
    </row>
    <row r="5026" ht="22.5" customHeight="1">
      <c r="A5026" s="66"/>
      <c r="B5026" s="67" t="str">
        <f t="shared" si="16"/>
        <v>M: </v>
      </c>
      <c r="C5026" s="68"/>
      <c r="D5026" s="68">
        <v>46252.0</v>
      </c>
      <c r="E5026" s="66">
        <v>4.0</v>
      </c>
      <c r="F5026" s="66" t="str">
        <f>IFERROR(__xludf.DUMMYFUNCTION("GOOGLETRANSLATE(A5026,""en"",""pt"")"),"#VALUE!")</f>
        <v>#VALUE!</v>
      </c>
      <c r="G5026" s="69"/>
    </row>
    <row r="5027" ht="22.5" customHeight="1">
      <c r="A5027" s="66"/>
      <c r="B5027" s="67" t="str">
        <f t="shared" si="16"/>
        <v>M: </v>
      </c>
      <c r="C5027" s="68"/>
      <c r="D5027" s="68">
        <v>46252.0</v>
      </c>
      <c r="E5027" s="66">
        <v>5.0</v>
      </c>
      <c r="F5027" s="66" t="str">
        <f>IFERROR(__xludf.DUMMYFUNCTION("GOOGLETRANSLATE(A5027,""en"",""pt"")"),"#VALUE!")</f>
        <v>#VALUE!</v>
      </c>
      <c r="G5027" s="69"/>
    </row>
    <row r="5028" ht="22.5" customHeight="1">
      <c r="A5028" s="66"/>
      <c r="B5028" s="67" t="str">
        <f t="shared" si="16"/>
        <v>M: </v>
      </c>
      <c r="C5028" s="68"/>
      <c r="D5028" s="68">
        <v>46252.0</v>
      </c>
      <c r="E5028" s="66">
        <v>6.0</v>
      </c>
      <c r="F5028" s="66" t="str">
        <f>IFERROR(__xludf.DUMMYFUNCTION("GOOGLETRANSLATE(A5028,""en"",""pt"")"),"#VALUE!")</f>
        <v>#VALUE!</v>
      </c>
      <c r="G5028" s="69"/>
    </row>
    <row r="5029" ht="22.5" customHeight="1">
      <c r="A5029" s="66"/>
      <c r="B5029" s="67" t="str">
        <f t="shared" si="16"/>
        <v>M: </v>
      </c>
      <c r="C5029" s="68"/>
      <c r="D5029" s="68">
        <v>46252.0</v>
      </c>
      <c r="E5029" s="66">
        <v>7.0</v>
      </c>
      <c r="F5029" s="66" t="str">
        <f>IFERROR(__xludf.DUMMYFUNCTION("GOOGLETRANSLATE(A5029,""en"",""pt"")"),"#VALUE!")</f>
        <v>#VALUE!</v>
      </c>
      <c r="G5029" s="69"/>
    </row>
    <row r="5030" ht="22.5" customHeight="1">
      <c r="A5030" s="66"/>
      <c r="B5030" s="67" t="str">
        <f t="shared" si="16"/>
        <v>M: </v>
      </c>
      <c r="C5030" s="68"/>
      <c r="D5030" s="68">
        <v>46252.0</v>
      </c>
      <c r="E5030" s="66">
        <v>8.0</v>
      </c>
      <c r="F5030" s="66" t="str">
        <f>IFERROR(__xludf.DUMMYFUNCTION("GOOGLETRANSLATE(A5030,""en"",""pt"")"),"#VALUE!")</f>
        <v>#VALUE!</v>
      </c>
      <c r="G5030" s="69"/>
    </row>
    <row r="5031" ht="22.5" customHeight="1">
      <c r="A5031" s="66"/>
      <c r="B5031" s="67" t="str">
        <f t="shared" si="16"/>
        <v>M: </v>
      </c>
      <c r="C5031" s="68"/>
      <c r="D5031" s="68">
        <v>46252.0</v>
      </c>
      <c r="E5031" s="66">
        <v>9.0</v>
      </c>
      <c r="F5031" s="66" t="str">
        <f>IFERROR(__xludf.DUMMYFUNCTION("GOOGLETRANSLATE(A5031,""en"",""pt"")"),"#VALUE!")</f>
        <v>#VALUE!</v>
      </c>
      <c r="G5031" s="69"/>
    </row>
    <row r="5032" ht="22.5" customHeight="1">
      <c r="A5032" s="66"/>
      <c r="B5032" s="67" t="str">
        <f t="shared" si="16"/>
        <v>M: </v>
      </c>
      <c r="C5032" s="68"/>
      <c r="D5032" s="68">
        <v>46253.0</v>
      </c>
      <c r="E5032" s="66">
        <v>10.0</v>
      </c>
      <c r="F5032" s="66" t="str">
        <f>IFERROR(__xludf.DUMMYFUNCTION("GOOGLETRANSLATE(A5032,""en"",""pt"")"),"#VALUE!")</f>
        <v>#VALUE!</v>
      </c>
      <c r="G5032" s="69"/>
    </row>
    <row r="5033" ht="22.5" customHeight="1">
      <c r="A5033" s="66"/>
      <c r="B5033" s="67" t="str">
        <f t="shared" si="16"/>
        <v>M: </v>
      </c>
      <c r="C5033" s="68"/>
      <c r="D5033" s="68">
        <v>46253.0</v>
      </c>
      <c r="E5033" s="66">
        <v>1.0</v>
      </c>
      <c r="F5033" s="66" t="str">
        <f>IFERROR(__xludf.DUMMYFUNCTION("GOOGLETRANSLATE(A5033,""en"",""pt"")"),"#VALUE!")</f>
        <v>#VALUE!</v>
      </c>
      <c r="G5033" s="69"/>
    </row>
    <row r="5034" ht="22.5" customHeight="1">
      <c r="A5034" s="66"/>
      <c r="B5034" s="67" t="str">
        <f t="shared" si="16"/>
        <v>M: </v>
      </c>
      <c r="C5034" s="68"/>
      <c r="D5034" s="68">
        <v>46253.0</v>
      </c>
      <c r="E5034" s="66">
        <v>2.0</v>
      </c>
      <c r="F5034" s="66" t="str">
        <f>IFERROR(__xludf.DUMMYFUNCTION("GOOGLETRANSLATE(A5034,""en"",""pt"")"),"#VALUE!")</f>
        <v>#VALUE!</v>
      </c>
      <c r="G5034" s="69"/>
    </row>
    <row r="5035" ht="22.5" customHeight="1">
      <c r="A5035" s="66"/>
      <c r="B5035" s="67" t="str">
        <f t="shared" si="16"/>
        <v>M: </v>
      </c>
      <c r="C5035" s="68"/>
      <c r="D5035" s="68">
        <v>46253.0</v>
      </c>
      <c r="E5035" s="66">
        <v>3.0</v>
      </c>
      <c r="F5035" s="66" t="str">
        <f>IFERROR(__xludf.DUMMYFUNCTION("GOOGLETRANSLATE(A5035,""en"",""pt"")"),"#VALUE!")</f>
        <v>#VALUE!</v>
      </c>
      <c r="G5035" s="69"/>
    </row>
    <row r="5036" ht="22.5" customHeight="1">
      <c r="A5036" s="66"/>
      <c r="B5036" s="67" t="str">
        <f t="shared" si="16"/>
        <v>M: </v>
      </c>
      <c r="C5036" s="68"/>
      <c r="D5036" s="68">
        <v>46253.0</v>
      </c>
      <c r="E5036" s="66">
        <v>4.0</v>
      </c>
      <c r="F5036" s="66" t="str">
        <f>IFERROR(__xludf.DUMMYFUNCTION("GOOGLETRANSLATE(A5036,""en"",""pt"")"),"#VALUE!")</f>
        <v>#VALUE!</v>
      </c>
      <c r="G5036" s="69"/>
    </row>
    <row r="5037" ht="22.5" customHeight="1">
      <c r="A5037" s="66"/>
      <c r="B5037" s="67" t="str">
        <f t="shared" si="16"/>
        <v>M: </v>
      </c>
      <c r="C5037" s="68"/>
      <c r="D5037" s="68">
        <v>46253.0</v>
      </c>
      <c r="E5037" s="66">
        <v>5.0</v>
      </c>
      <c r="F5037" s="66" t="str">
        <f>IFERROR(__xludf.DUMMYFUNCTION("GOOGLETRANSLATE(A5037,""en"",""pt"")"),"#VALUE!")</f>
        <v>#VALUE!</v>
      </c>
      <c r="G5037" s="69"/>
    </row>
    <row r="5038" ht="22.5" customHeight="1">
      <c r="A5038" s="66"/>
      <c r="B5038" s="67" t="str">
        <f t="shared" si="16"/>
        <v>M: </v>
      </c>
      <c r="C5038" s="68"/>
      <c r="D5038" s="68">
        <v>46253.0</v>
      </c>
      <c r="E5038" s="66">
        <v>6.0</v>
      </c>
      <c r="F5038" s="66" t="str">
        <f>IFERROR(__xludf.DUMMYFUNCTION("GOOGLETRANSLATE(A5038,""en"",""pt"")"),"#VALUE!")</f>
        <v>#VALUE!</v>
      </c>
      <c r="G5038" s="69"/>
    </row>
    <row r="5039" ht="22.5" customHeight="1">
      <c r="A5039" s="66"/>
      <c r="B5039" s="67" t="str">
        <f t="shared" si="16"/>
        <v>M: </v>
      </c>
      <c r="C5039" s="68"/>
      <c r="D5039" s="68">
        <v>46253.0</v>
      </c>
      <c r="E5039" s="66">
        <v>7.0</v>
      </c>
      <c r="F5039" s="66" t="str">
        <f>IFERROR(__xludf.DUMMYFUNCTION("GOOGLETRANSLATE(A5039,""en"",""pt"")"),"#VALUE!")</f>
        <v>#VALUE!</v>
      </c>
      <c r="G5039" s="69"/>
    </row>
    <row r="5040" ht="22.5" customHeight="1">
      <c r="A5040" s="66"/>
      <c r="B5040" s="67" t="str">
        <f t="shared" si="16"/>
        <v>M: </v>
      </c>
      <c r="C5040" s="68"/>
      <c r="D5040" s="68">
        <v>46253.0</v>
      </c>
      <c r="E5040" s="66">
        <v>8.0</v>
      </c>
      <c r="F5040" s="66" t="str">
        <f>IFERROR(__xludf.DUMMYFUNCTION("GOOGLETRANSLATE(A5040,""en"",""pt"")"),"#VALUE!")</f>
        <v>#VALUE!</v>
      </c>
      <c r="G5040" s="69"/>
    </row>
    <row r="5041" ht="22.5" customHeight="1">
      <c r="A5041" s="66"/>
      <c r="B5041" s="67" t="str">
        <f t="shared" si="16"/>
        <v>M: </v>
      </c>
      <c r="C5041" s="68"/>
      <c r="D5041" s="68">
        <v>46253.0</v>
      </c>
      <c r="E5041" s="66">
        <v>9.0</v>
      </c>
      <c r="F5041" s="66" t="str">
        <f>IFERROR(__xludf.DUMMYFUNCTION("GOOGLETRANSLATE(A5041,""en"",""pt"")"),"#VALUE!")</f>
        <v>#VALUE!</v>
      </c>
      <c r="G5041" s="69"/>
    </row>
    <row r="5042" ht="22.5" customHeight="1">
      <c r="A5042" s="66"/>
      <c r="B5042" s="67" t="str">
        <f t="shared" si="16"/>
        <v>M: </v>
      </c>
      <c r="C5042" s="68"/>
      <c r="D5042" s="68">
        <v>46254.0</v>
      </c>
      <c r="E5042" s="66">
        <v>10.0</v>
      </c>
      <c r="F5042" s="66" t="str">
        <f>IFERROR(__xludf.DUMMYFUNCTION("GOOGLETRANSLATE(A5042,""en"",""pt"")"),"#VALUE!")</f>
        <v>#VALUE!</v>
      </c>
      <c r="G5042" s="69"/>
    </row>
    <row r="5043" ht="22.5" customHeight="1">
      <c r="A5043" s="66"/>
      <c r="B5043" s="67" t="str">
        <f t="shared" si="16"/>
        <v>M: </v>
      </c>
      <c r="C5043" s="68"/>
      <c r="D5043" s="68">
        <v>46254.0</v>
      </c>
      <c r="E5043" s="66">
        <v>1.0</v>
      </c>
      <c r="F5043" s="66" t="str">
        <f>IFERROR(__xludf.DUMMYFUNCTION("GOOGLETRANSLATE(A5043,""en"",""pt"")"),"#VALUE!")</f>
        <v>#VALUE!</v>
      </c>
      <c r="G5043" s="69"/>
    </row>
    <row r="5044" ht="22.5" customHeight="1">
      <c r="A5044" s="66"/>
      <c r="B5044" s="67" t="str">
        <f t="shared" si="16"/>
        <v>M: </v>
      </c>
      <c r="C5044" s="68"/>
      <c r="D5044" s="68">
        <v>46254.0</v>
      </c>
      <c r="E5044" s="66">
        <v>2.0</v>
      </c>
      <c r="F5044" s="66" t="str">
        <f>IFERROR(__xludf.DUMMYFUNCTION("GOOGLETRANSLATE(A5044,""en"",""pt"")"),"#VALUE!")</f>
        <v>#VALUE!</v>
      </c>
      <c r="G5044" s="69"/>
    </row>
    <row r="5045" ht="22.5" customHeight="1">
      <c r="A5045" s="66"/>
      <c r="B5045" s="67" t="str">
        <f t="shared" si="16"/>
        <v>M: </v>
      </c>
      <c r="C5045" s="68"/>
      <c r="D5045" s="68">
        <v>46254.0</v>
      </c>
      <c r="E5045" s="66">
        <v>3.0</v>
      </c>
      <c r="F5045" s="66" t="str">
        <f>IFERROR(__xludf.DUMMYFUNCTION("GOOGLETRANSLATE(A5045,""en"",""pt"")"),"#VALUE!")</f>
        <v>#VALUE!</v>
      </c>
      <c r="G5045" s="69"/>
    </row>
    <row r="5046" ht="22.5" customHeight="1">
      <c r="A5046" s="66"/>
      <c r="B5046" s="67" t="str">
        <f t="shared" si="16"/>
        <v>M: </v>
      </c>
      <c r="C5046" s="68"/>
      <c r="D5046" s="68">
        <v>46254.0</v>
      </c>
      <c r="E5046" s="66">
        <v>4.0</v>
      </c>
      <c r="F5046" s="66" t="str">
        <f>IFERROR(__xludf.DUMMYFUNCTION("GOOGLETRANSLATE(A5046,""en"",""pt"")"),"#VALUE!")</f>
        <v>#VALUE!</v>
      </c>
      <c r="G5046" s="69"/>
    </row>
    <row r="5047" ht="22.5" customHeight="1">
      <c r="A5047" s="66"/>
      <c r="B5047" s="67" t="str">
        <f t="shared" si="16"/>
        <v>M: </v>
      </c>
      <c r="C5047" s="68"/>
      <c r="D5047" s="68">
        <v>46254.0</v>
      </c>
      <c r="E5047" s="66">
        <v>5.0</v>
      </c>
      <c r="F5047" s="66" t="str">
        <f>IFERROR(__xludf.DUMMYFUNCTION("GOOGLETRANSLATE(A5047,""en"",""pt"")"),"#VALUE!")</f>
        <v>#VALUE!</v>
      </c>
      <c r="G5047" s="69"/>
    </row>
    <row r="5048" ht="22.5" customHeight="1">
      <c r="A5048" s="66"/>
      <c r="B5048" s="67" t="str">
        <f t="shared" si="16"/>
        <v>M: </v>
      </c>
      <c r="C5048" s="68"/>
      <c r="D5048" s="68">
        <v>46254.0</v>
      </c>
      <c r="E5048" s="66">
        <v>6.0</v>
      </c>
      <c r="F5048" s="66" t="str">
        <f>IFERROR(__xludf.DUMMYFUNCTION("GOOGLETRANSLATE(A5048,""en"",""pt"")"),"#VALUE!")</f>
        <v>#VALUE!</v>
      </c>
      <c r="G5048" s="69"/>
    </row>
    <row r="5049" ht="22.5" customHeight="1">
      <c r="A5049" s="66"/>
      <c r="B5049" s="67" t="str">
        <f t="shared" si="16"/>
        <v>M: </v>
      </c>
      <c r="C5049" s="68"/>
      <c r="D5049" s="68">
        <v>46254.0</v>
      </c>
      <c r="E5049" s="66">
        <v>7.0</v>
      </c>
      <c r="F5049" s="66" t="str">
        <f>IFERROR(__xludf.DUMMYFUNCTION("GOOGLETRANSLATE(A5049,""en"",""pt"")"),"#VALUE!")</f>
        <v>#VALUE!</v>
      </c>
      <c r="G5049" s="69"/>
    </row>
    <row r="5050" ht="22.5" customHeight="1">
      <c r="A5050" s="66"/>
      <c r="B5050" s="67" t="str">
        <f t="shared" si="16"/>
        <v>M: </v>
      </c>
      <c r="C5050" s="68"/>
      <c r="D5050" s="68">
        <v>46254.0</v>
      </c>
      <c r="E5050" s="66">
        <v>8.0</v>
      </c>
      <c r="F5050" s="66" t="str">
        <f>IFERROR(__xludf.DUMMYFUNCTION("GOOGLETRANSLATE(A5050,""en"",""pt"")"),"#VALUE!")</f>
        <v>#VALUE!</v>
      </c>
      <c r="G5050" s="69"/>
    </row>
    <row r="5051" ht="22.5" customHeight="1">
      <c r="A5051" s="66"/>
      <c r="B5051" s="67" t="str">
        <f t="shared" si="16"/>
        <v>M: </v>
      </c>
      <c r="C5051" s="68"/>
      <c r="D5051" s="68">
        <v>46254.0</v>
      </c>
      <c r="E5051" s="66">
        <v>9.0</v>
      </c>
      <c r="F5051" s="66" t="str">
        <f>IFERROR(__xludf.DUMMYFUNCTION("GOOGLETRANSLATE(A5051,""en"",""pt"")"),"#VALUE!")</f>
        <v>#VALUE!</v>
      </c>
      <c r="G5051" s="69"/>
    </row>
    <row r="5052" ht="22.5" customHeight="1">
      <c r="A5052" s="66"/>
      <c r="B5052" s="67" t="str">
        <f t="shared" si="16"/>
        <v>M: </v>
      </c>
      <c r="C5052" s="68"/>
      <c r="D5052" s="68">
        <v>46255.0</v>
      </c>
      <c r="E5052" s="66">
        <v>10.0</v>
      </c>
      <c r="F5052" s="66" t="str">
        <f>IFERROR(__xludf.DUMMYFUNCTION("GOOGLETRANSLATE(A5052,""en"",""pt"")"),"#VALUE!")</f>
        <v>#VALUE!</v>
      </c>
      <c r="G5052" s="69"/>
    </row>
    <row r="5053" ht="22.5" customHeight="1">
      <c r="A5053" s="66"/>
      <c r="B5053" s="67" t="str">
        <f t="shared" si="16"/>
        <v>M: </v>
      </c>
      <c r="C5053" s="68"/>
      <c r="D5053" s="68">
        <v>46255.0</v>
      </c>
      <c r="E5053" s="66">
        <v>1.0</v>
      </c>
      <c r="F5053" s="66" t="str">
        <f>IFERROR(__xludf.DUMMYFUNCTION("GOOGLETRANSLATE(A5053,""en"",""pt"")"),"#VALUE!")</f>
        <v>#VALUE!</v>
      </c>
      <c r="G5053" s="69"/>
    </row>
    <row r="5054" ht="22.5" customHeight="1">
      <c r="A5054" s="66"/>
      <c r="B5054" s="67" t="str">
        <f t="shared" si="16"/>
        <v>M: </v>
      </c>
      <c r="C5054" s="68"/>
      <c r="D5054" s="68">
        <v>46255.0</v>
      </c>
      <c r="E5054" s="66">
        <v>2.0</v>
      </c>
      <c r="F5054" s="66" t="str">
        <f>IFERROR(__xludf.DUMMYFUNCTION("GOOGLETRANSLATE(A5054,""en"",""pt"")"),"#VALUE!")</f>
        <v>#VALUE!</v>
      </c>
      <c r="G5054" s="69"/>
    </row>
    <row r="5055" ht="22.5" customHeight="1">
      <c r="A5055" s="66"/>
      <c r="B5055" s="67" t="str">
        <f t="shared" si="16"/>
        <v>M: </v>
      </c>
      <c r="C5055" s="68"/>
      <c r="D5055" s="68">
        <v>46255.0</v>
      </c>
      <c r="E5055" s="66">
        <v>3.0</v>
      </c>
      <c r="F5055" s="66" t="str">
        <f>IFERROR(__xludf.DUMMYFUNCTION("GOOGLETRANSLATE(A5055,""en"",""pt"")"),"#VALUE!")</f>
        <v>#VALUE!</v>
      </c>
      <c r="G5055" s="69"/>
    </row>
    <row r="5056" ht="22.5" customHeight="1">
      <c r="A5056" s="66"/>
      <c r="B5056" s="67" t="str">
        <f t="shared" si="16"/>
        <v>M: </v>
      </c>
      <c r="C5056" s="68"/>
      <c r="D5056" s="68">
        <v>46255.0</v>
      </c>
      <c r="E5056" s="66">
        <v>4.0</v>
      </c>
      <c r="F5056" s="66" t="str">
        <f>IFERROR(__xludf.DUMMYFUNCTION("GOOGLETRANSLATE(A5056,""en"",""pt"")"),"#VALUE!")</f>
        <v>#VALUE!</v>
      </c>
      <c r="G5056" s="69"/>
    </row>
    <row r="5057" ht="22.5" customHeight="1">
      <c r="A5057" s="66"/>
      <c r="B5057" s="67" t="str">
        <f t="shared" si="16"/>
        <v>M: </v>
      </c>
      <c r="C5057" s="68"/>
      <c r="D5057" s="68">
        <v>46255.0</v>
      </c>
      <c r="E5057" s="66">
        <v>5.0</v>
      </c>
      <c r="F5057" s="66" t="str">
        <f>IFERROR(__xludf.DUMMYFUNCTION("GOOGLETRANSLATE(A5057,""en"",""pt"")"),"#VALUE!")</f>
        <v>#VALUE!</v>
      </c>
      <c r="G5057" s="69"/>
    </row>
    <row r="5058" ht="22.5" customHeight="1">
      <c r="A5058" s="66"/>
      <c r="B5058" s="67" t="str">
        <f t="shared" si="16"/>
        <v>M: </v>
      </c>
      <c r="C5058" s="68"/>
      <c r="D5058" s="68">
        <v>46255.0</v>
      </c>
      <c r="E5058" s="66">
        <v>6.0</v>
      </c>
      <c r="F5058" s="66" t="str">
        <f>IFERROR(__xludf.DUMMYFUNCTION("GOOGLETRANSLATE(A5058,""en"",""pt"")"),"#VALUE!")</f>
        <v>#VALUE!</v>
      </c>
      <c r="G5058" s="69"/>
    </row>
    <row r="5059" ht="22.5" customHeight="1">
      <c r="A5059" s="66"/>
      <c r="B5059" s="67" t="str">
        <f t="shared" si="16"/>
        <v>M: </v>
      </c>
      <c r="C5059" s="68"/>
      <c r="D5059" s="68">
        <v>46255.0</v>
      </c>
      <c r="E5059" s="66">
        <v>7.0</v>
      </c>
      <c r="F5059" s="66" t="str">
        <f>IFERROR(__xludf.DUMMYFUNCTION("GOOGLETRANSLATE(A5059,""en"",""pt"")"),"#VALUE!")</f>
        <v>#VALUE!</v>
      </c>
      <c r="G5059" s="69"/>
    </row>
    <row r="5060" ht="22.5" customHeight="1">
      <c r="A5060" s="66"/>
      <c r="B5060" s="67" t="str">
        <f t="shared" si="16"/>
        <v>M: </v>
      </c>
      <c r="C5060" s="68"/>
      <c r="D5060" s="68">
        <v>46255.0</v>
      </c>
      <c r="E5060" s="66">
        <v>8.0</v>
      </c>
      <c r="F5060" s="66" t="str">
        <f>IFERROR(__xludf.DUMMYFUNCTION("GOOGLETRANSLATE(A5060,""en"",""pt"")"),"#VALUE!")</f>
        <v>#VALUE!</v>
      </c>
      <c r="G5060" s="69"/>
    </row>
    <row r="5061" ht="22.5" customHeight="1">
      <c r="A5061" s="66"/>
      <c r="B5061" s="67" t="str">
        <f t="shared" si="16"/>
        <v>M: </v>
      </c>
      <c r="C5061" s="68"/>
      <c r="D5061" s="68">
        <v>46255.0</v>
      </c>
      <c r="E5061" s="66">
        <v>9.0</v>
      </c>
      <c r="F5061" s="66" t="str">
        <f>IFERROR(__xludf.DUMMYFUNCTION("GOOGLETRANSLATE(A5061,""en"",""pt"")"),"#VALUE!")</f>
        <v>#VALUE!</v>
      </c>
      <c r="G5061" s="69"/>
    </row>
    <row r="5062" ht="22.5" customHeight="1">
      <c r="A5062" s="66"/>
      <c r="B5062" s="67" t="str">
        <f t="shared" si="16"/>
        <v>M: </v>
      </c>
      <c r="C5062" s="68"/>
      <c r="D5062" s="68">
        <v>46256.0</v>
      </c>
      <c r="E5062" s="66">
        <v>10.0</v>
      </c>
      <c r="F5062" s="66" t="str">
        <f>IFERROR(__xludf.DUMMYFUNCTION("GOOGLETRANSLATE(A5062,""en"",""pt"")"),"#VALUE!")</f>
        <v>#VALUE!</v>
      </c>
      <c r="G5062" s="69"/>
    </row>
    <row r="5063" ht="22.5" customHeight="1">
      <c r="A5063" s="66"/>
      <c r="B5063" s="67" t="str">
        <f t="shared" si="16"/>
        <v>M: </v>
      </c>
      <c r="C5063" s="68"/>
      <c r="D5063" s="68">
        <v>46256.0</v>
      </c>
      <c r="E5063" s="66">
        <v>1.0</v>
      </c>
      <c r="F5063" s="66" t="str">
        <f>IFERROR(__xludf.DUMMYFUNCTION("GOOGLETRANSLATE(A5063,""en"",""pt"")"),"#VALUE!")</f>
        <v>#VALUE!</v>
      </c>
      <c r="G5063" s="69"/>
    </row>
    <row r="5064" ht="22.5" customHeight="1">
      <c r="A5064" s="66"/>
      <c r="B5064" s="67" t="str">
        <f t="shared" si="16"/>
        <v>M: </v>
      </c>
      <c r="C5064" s="68"/>
      <c r="D5064" s="68">
        <v>46256.0</v>
      </c>
      <c r="E5064" s="66">
        <v>2.0</v>
      </c>
      <c r="F5064" s="66" t="str">
        <f>IFERROR(__xludf.DUMMYFUNCTION("GOOGLETRANSLATE(A5064,""en"",""pt"")"),"#VALUE!")</f>
        <v>#VALUE!</v>
      </c>
      <c r="G5064" s="69"/>
    </row>
    <row r="5065" ht="22.5" customHeight="1">
      <c r="A5065" s="66"/>
      <c r="B5065" s="67" t="str">
        <f t="shared" si="16"/>
        <v>M: </v>
      </c>
      <c r="C5065" s="68"/>
      <c r="D5065" s="68">
        <v>46256.0</v>
      </c>
      <c r="E5065" s="66">
        <v>3.0</v>
      </c>
      <c r="F5065" s="66" t="str">
        <f>IFERROR(__xludf.DUMMYFUNCTION("GOOGLETRANSLATE(A5065,""en"",""pt"")"),"#VALUE!")</f>
        <v>#VALUE!</v>
      </c>
      <c r="G5065" s="69"/>
    </row>
    <row r="5066" ht="22.5" customHeight="1">
      <c r="A5066" s="66"/>
      <c r="B5066" s="67" t="str">
        <f t="shared" si="16"/>
        <v>M: </v>
      </c>
      <c r="C5066" s="68"/>
      <c r="D5066" s="68">
        <v>46256.0</v>
      </c>
      <c r="E5066" s="66">
        <v>4.0</v>
      </c>
      <c r="F5066" s="66" t="str">
        <f>IFERROR(__xludf.DUMMYFUNCTION("GOOGLETRANSLATE(A5066,""en"",""pt"")"),"#VALUE!")</f>
        <v>#VALUE!</v>
      </c>
      <c r="G5066" s="69"/>
    </row>
    <row r="5067" ht="22.5" customHeight="1">
      <c r="A5067" s="66"/>
      <c r="B5067" s="67" t="str">
        <f t="shared" si="16"/>
        <v>M: </v>
      </c>
      <c r="C5067" s="68"/>
      <c r="D5067" s="68">
        <v>46256.0</v>
      </c>
      <c r="E5067" s="66">
        <v>5.0</v>
      </c>
      <c r="F5067" s="66" t="str">
        <f>IFERROR(__xludf.DUMMYFUNCTION("GOOGLETRANSLATE(A5067,""en"",""pt"")"),"#VALUE!")</f>
        <v>#VALUE!</v>
      </c>
      <c r="G5067" s="69"/>
    </row>
    <row r="5068" ht="22.5" customHeight="1">
      <c r="A5068" s="66"/>
      <c r="B5068" s="67" t="str">
        <f t="shared" si="16"/>
        <v>M: </v>
      </c>
      <c r="C5068" s="68"/>
      <c r="D5068" s="68">
        <v>46256.0</v>
      </c>
      <c r="E5068" s="66">
        <v>6.0</v>
      </c>
      <c r="F5068" s="66" t="str">
        <f>IFERROR(__xludf.DUMMYFUNCTION("GOOGLETRANSLATE(A5068,""en"",""pt"")"),"#VALUE!")</f>
        <v>#VALUE!</v>
      </c>
      <c r="G5068" s="69"/>
    </row>
    <row r="5069" ht="22.5" customHeight="1">
      <c r="A5069" s="66"/>
      <c r="B5069" s="67" t="str">
        <f t="shared" si="16"/>
        <v>M: </v>
      </c>
      <c r="C5069" s="68"/>
      <c r="D5069" s="68">
        <v>46256.0</v>
      </c>
      <c r="E5069" s="66">
        <v>7.0</v>
      </c>
      <c r="F5069" s="66" t="str">
        <f>IFERROR(__xludf.DUMMYFUNCTION("GOOGLETRANSLATE(A5069,""en"",""pt"")"),"#VALUE!")</f>
        <v>#VALUE!</v>
      </c>
      <c r="G5069" s="69"/>
    </row>
    <row r="5070" ht="22.5" customHeight="1">
      <c r="A5070" s="66"/>
      <c r="B5070" s="67" t="str">
        <f t="shared" si="16"/>
        <v>M: </v>
      </c>
      <c r="C5070" s="68"/>
      <c r="D5070" s="68">
        <v>46256.0</v>
      </c>
      <c r="E5070" s="66">
        <v>8.0</v>
      </c>
      <c r="F5070" s="66" t="str">
        <f>IFERROR(__xludf.DUMMYFUNCTION("GOOGLETRANSLATE(A5070,""en"",""pt"")"),"#VALUE!")</f>
        <v>#VALUE!</v>
      </c>
      <c r="G5070" s="69"/>
    </row>
    <row r="5071" ht="22.5" customHeight="1">
      <c r="A5071" s="66"/>
      <c r="B5071" s="67" t="str">
        <f t="shared" si="16"/>
        <v>M: </v>
      </c>
      <c r="C5071" s="68"/>
      <c r="D5071" s="68">
        <v>46256.0</v>
      </c>
      <c r="E5071" s="66">
        <v>9.0</v>
      </c>
      <c r="F5071" s="66" t="str">
        <f>IFERROR(__xludf.DUMMYFUNCTION("GOOGLETRANSLATE(A5071,""en"",""pt"")"),"#VALUE!")</f>
        <v>#VALUE!</v>
      </c>
      <c r="G5071" s="69"/>
    </row>
    <row r="5072" ht="22.5" customHeight="1">
      <c r="A5072" s="66"/>
      <c r="B5072" s="67" t="str">
        <f t="shared" si="16"/>
        <v>M: </v>
      </c>
      <c r="C5072" s="68"/>
      <c r="D5072" s="68">
        <v>46257.0</v>
      </c>
      <c r="E5072" s="66">
        <v>10.0</v>
      </c>
      <c r="F5072" s="66" t="str">
        <f>IFERROR(__xludf.DUMMYFUNCTION("GOOGLETRANSLATE(A5072,""en"",""pt"")"),"#VALUE!")</f>
        <v>#VALUE!</v>
      </c>
      <c r="G5072" s="69"/>
    </row>
    <row r="5073" ht="22.5" customHeight="1">
      <c r="A5073" s="66"/>
      <c r="B5073" s="67" t="str">
        <f t="shared" si="16"/>
        <v>M: </v>
      </c>
      <c r="C5073" s="68"/>
      <c r="D5073" s="68">
        <v>46257.0</v>
      </c>
      <c r="E5073" s="66">
        <v>1.0</v>
      </c>
      <c r="F5073" s="66" t="str">
        <f>IFERROR(__xludf.DUMMYFUNCTION("GOOGLETRANSLATE(A5073,""en"",""pt"")"),"#VALUE!")</f>
        <v>#VALUE!</v>
      </c>
      <c r="G5073" s="69"/>
    </row>
    <row r="5074" ht="22.5" customHeight="1">
      <c r="A5074" s="66"/>
      <c r="B5074" s="67" t="str">
        <f t="shared" si="16"/>
        <v>M: </v>
      </c>
      <c r="C5074" s="68"/>
      <c r="D5074" s="68">
        <v>46257.0</v>
      </c>
      <c r="E5074" s="66">
        <v>2.0</v>
      </c>
      <c r="F5074" s="66" t="str">
        <f>IFERROR(__xludf.DUMMYFUNCTION("GOOGLETRANSLATE(A5074,""en"",""pt"")"),"#VALUE!")</f>
        <v>#VALUE!</v>
      </c>
      <c r="G5074" s="69"/>
    </row>
    <row r="5075" ht="22.5" customHeight="1">
      <c r="A5075" s="66"/>
      <c r="B5075" s="67" t="str">
        <f t="shared" si="16"/>
        <v>M: </v>
      </c>
      <c r="C5075" s="68"/>
      <c r="D5075" s="68">
        <v>46257.0</v>
      </c>
      <c r="E5075" s="66">
        <v>3.0</v>
      </c>
      <c r="F5075" s="66" t="str">
        <f>IFERROR(__xludf.DUMMYFUNCTION("GOOGLETRANSLATE(A5075,""en"",""pt"")"),"#VALUE!")</f>
        <v>#VALUE!</v>
      </c>
      <c r="G5075" s="69"/>
    </row>
    <row r="5076" ht="22.5" customHeight="1">
      <c r="A5076" s="66"/>
      <c r="B5076" s="67" t="str">
        <f t="shared" si="16"/>
        <v>M: </v>
      </c>
      <c r="C5076" s="68"/>
      <c r="D5076" s="68">
        <v>46257.0</v>
      </c>
      <c r="E5076" s="66">
        <v>4.0</v>
      </c>
      <c r="F5076" s="66" t="str">
        <f>IFERROR(__xludf.DUMMYFUNCTION("GOOGLETRANSLATE(A5076,""en"",""pt"")"),"#VALUE!")</f>
        <v>#VALUE!</v>
      </c>
      <c r="G5076" s="69"/>
    </row>
    <row r="5077" ht="22.5" customHeight="1">
      <c r="A5077" s="66"/>
      <c r="B5077" s="67" t="str">
        <f t="shared" si="16"/>
        <v>M: </v>
      </c>
      <c r="C5077" s="68"/>
      <c r="D5077" s="68">
        <v>46257.0</v>
      </c>
      <c r="E5077" s="66">
        <v>5.0</v>
      </c>
      <c r="F5077" s="66" t="str">
        <f>IFERROR(__xludf.DUMMYFUNCTION("GOOGLETRANSLATE(A5077,""en"",""pt"")"),"#VALUE!")</f>
        <v>#VALUE!</v>
      </c>
      <c r="G5077" s="69"/>
    </row>
    <row r="5078" ht="22.5" customHeight="1">
      <c r="A5078" s="66"/>
      <c r="B5078" s="67" t="str">
        <f t="shared" si="16"/>
        <v>M: </v>
      </c>
      <c r="C5078" s="68"/>
      <c r="D5078" s="68">
        <v>46257.0</v>
      </c>
      <c r="E5078" s="66">
        <v>6.0</v>
      </c>
      <c r="F5078" s="66" t="str">
        <f>IFERROR(__xludf.DUMMYFUNCTION("GOOGLETRANSLATE(A5078,""en"",""pt"")"),"#VALUE!")</f>
        <v>#VALUE!</v>
      </c>
      <c r="G5078" s="69"/>
    </row>
    <row r="5079" ht="22.5" customHeight="1">
      <c r="A5079" s="66"/>
      <c r="B5079" s="67" t="str">
        <f t="shared" si="16"/>
        <v>M: </v>
      </c>
      <c r="C5079" s="68"/>
      <c r="D5079" s="68">
        <v>46257.0</v>
      </c>
      <c r="E5079" s="66">
        <v>7.0</v>
      </c>
      <c r="F5079" s="66" t="str">
        <f>IFERROR(__xludf.DUMMYFUNCTION("GOOGLETRANSLATE(A5079,""en"",""pt"")"),"#VALUE!")</f>
        <v>#VALUE!</v>
      </c>
      <c r="G5079" s="69"/>
    </row>
    <row r="5080" ht="22.5" customHeight="1">
      <c r="A5080" s="66"/>
      <c r="B5080" s="67" t="str">
        <f t="shared" si="16"/>
        <v>M: </v>
      </c>
      <c r="C5080" s="68"/>
      <c r="D5080" s="68">
        <v>46257.0</v>
      </c>
      <c r="E5080" s="66">
        <v>8.0</v>
      </c>
      <c r="F5080" s="66" t="str">
        <f>IFERROR(__xludf.DUMMYFUNCTION("GOOGLETRANSLATE(A5080,""en"",""pt"")"),"#VALUE!")</f>
        <v>#VALUE!</v>
      </c>
      <c r="G5080" s="69"/>
    </row>
    <row r="5081" ht="22.5" customHeight="1">
      <c r="A5081" s="66"/>
      <c r="B5081" s="67" t="str">
        <f t="shared" si="16"/>
        <v>M: </v>
      </c>
      <c r="C5081" s="68"/>
      <c r="D5081" s="68">
        <v>46257.0</v>
      </c>
      <c r="E5081" s="66">
        <v>9.0</v>
      </c>
      <c r="F5081" s="66" t="str">
        <f>IFERROR(__xludf.DUMMYFUNCTION("GOOGLETRANSLATE(A5081,""en"",""pt"")"),"#VALUE!")</f>
        <v>#VALUE!</v>
      </c>
      <c r="G5081" s="69"/>
    </row>
    <row r="5082" ht="22.5" customHeight="1">
      <c r="A5082" s="66"/>
      <c r="B5082" s="67" t="str">
        <f t="shared" si="16"/>
        <v>M: </v>
      </c>
      <c r="C5082" s="68"/>
      <c r="D5082" s="68">
        <v>46258.0</v>
      </c>
      <c r="E5082" s="66">
        <v>10.0</v>
      </c>
      <c r="F5082" s="66" t="str">
        <f>IFERROR(__xludf.DUMMYFUNCTION("GOOGLETRANSLATE(A5082,""en"",""pt"")"),"#VALUE!")</f>
        <v>#VALUE!</v>
      </c>
      <c r="G5082" s="69"/>
    </row>
    <row r="5083" ht="22.5" customHeight="1">
      <c r="A5083" s="66"/>
      <c r="B5083" s="67" t="str">
        <f t="shared" si="16"/>
        <v>M: </v>
      </c>
      <c r="C5083" s="68"/>
      <c r="D5083" s="68">
        <v>46258.0</v>
      </c>
      <c r="E5083" s="66">
        <v>1.0</v>
      </c>
      <c r="F5083" s="66" t="str">
        <f>IFERROR(__xludf.DUMMYFUNCTION("GOOGLETRANSLATE(A5083,""en"",""pt"")"),"#VALUE!")</f>
        <v>#VALUE!</v>
      </c>
      <c r="G5083" s="69"/>
    </row>
    <row r="5084" ht="22.5" customHeight="1">
      <c r="A5084" s="66"/>
      <c r="B5084" s="67" t="str">
        <f t="shared" si="16"/>
        <v>M: </v>
      </c>
      <c r="C5084" s="68"/>
      <c r="D5084" s="68">
        <v>46258.0</v>
      </c>
      <c r="E5084" s="66">
        <v>2.0</v>
      </c>
      <c r="F5084" s="66" t="str">
        <f>IFERROR(__xludf.DUMMYFUNCTION("GOOGLETRANSLATE(A5084,""en"",""pt"")"),"#VALUE!")</f>
        <v>#VALUE!</v>
      </c>
      <c r="G5084" s="69"/>
    </row>
    <row r="5085" ht="22.5" customHeight="1">
      <c r="A5085" s="66"/>
      <c r="B5085" s="67" t="str">
        <f t="shared" si="16"/>
        <v>M: </v>
      </c>
      <c r="C5085" s="68"/>
      <c r="D5085" s="68">
        <v>46258.0</v>
      </c>
      <c r="E5085" s="66">
        <v>3.0</v>
      </c>
      <c r="F5085" s="66" t="str">
        <f>IFERROR(__xludf.DUMMYFUNCTION("GOOGLETRANSLATE(A5085,""en"",""pt"")"),"#VALUE!")</f>
        <v>#VALUE!</v>
      </c>
      <c r="G5085" s="69"/>
    </row>
    <row r="5086" ht="22.5" customHeight="1">
      <c r="A5086" s="66"/>
      <c r="B5086" s="67" t="str">
        <f t="shared" si="16"/>
        <v>M: </v>
      </c>
      <c r="C5086" s="68"/>
      <c r="D5086" s="68">
        <v>46258.0</v>
      </c>
      <c r="E5086" s="66">
        <v>4.0</v>
      </c>
      <c r="F5086" s="66" t="str">
        <f>IFERROR(__xludf.DUMMYFUNCTION("GOOGLETRANSLATE(A5086,""en"",""pt"")"),"#VALUE!")</f>
        <v>#VALUE!</v>
      </c>
      <c r="G5086" s="69"/>
    </row>
    <row r="5087" ht="22.5" customHeight="1">
      <c r="A5087" s="66"/>
      <c r="B5087" s="67" t="str">
        <f t="shared" si="16"/>
        <v>M: </v>
      </c>
      <c r="C5087" s="68"/>
      <c r="D5087" s="68">
        <v>46258.0</v>
      </c>
      <c r="E5087" s="66">
        <v>5.0</v>
      </c>
      <c r="F5087" s="66" t="str">
        <f>IFERROR(__xludf.DUMMYFUNCTION("GOOGLETRANSLATE(A5087,""en"",""pt"")"),"#VALUE!")</f>
        <v>#VALUE!</v>
      </c>
      <c r="G5087" s="69"/>
    </row>
    <row r="5088" ht="22.5" customHeight="1">
      <c r="A5088" s="66"/>
      <c r="B5088" s="67" t="str">
        <f t="shared" si="16"/>
        <v>M: </v>
      </c>
      <c r="C5088" s="68"/>
      <c r="D5088" s="68">
        <v>46258.0</v>
      </c>
      <c r="E5088" s="66">
        <v>6.0</v>
      </c>
      <c r="F5088" s="66" t="str">
        <f>IFERROR(__xludf.DUMMYFUNCTION("GOOGLETRANSLATE(A5088,""en"",""pt"")"),"#VALUE!")</f>
        <v>#VALUE!</v>
      </c>
      <c r="G5088" s="69"/>
    </row>
    <row r="5089" ht="22.5" customHeight="1">
      <c r="A5089" s="66"/>
      <c r="B5089" s="67" t="str">
        <f t="shared" si="16"/>
        <v>M: </v>
      </c>
      <c r="C5089" s="68"/>
      <c r="D5089" s="68">
        <v>46258.0</v>
      </c>
      <c r="E5089" s="66">
        <v>7.0</v>
      </c>
      <c r="F5089" s="66" t="str">
        <f>IFERROR(__xludf.DUMMYFUNCTION("GOOGLETRANSLATE(A5089,""en"",""pt"")"),"#VALUE!")</f>
        <v>#VALUE!</v>
      </c>
      <c r="G5089" s="69"/>
    </row>
    <row r="5090" ht="22.5" customHeight="1">
      <c r="A5090" s="66"/>
      <c r="B5090" s="67" t="str">
        <f t="shared" si="16"/>
        <v>M: </v>
      </c>
      <c r="C5090" s="68"/>
      <c r="D5090" s="68">
        <v>46258.0</v>
      </c>
      <c r="E5090" s="66">
        <v>8.0</v>
      </c>
      <c r="F5090" s="66" t="str">
        <f>IFERROR(__xludf.DUMMYFUNCTION("GOOGLETRANSLATE(A5090,""en"",""pt"")"),"#VALUE!")</f>
        <v>#VALUE!</v>
      </c>
      <c r="G5090" s="69"/>
    </row>
    <row r="5091" ht="22.5" customHeight="1">
      <c r="A5091" s="66"/>
      <c r="B5091" s="67" t="str">
        <f t="shared" si="16"/>
        <v>M: </v>
      </c>
      <c r="C5091" s="68"/>
      <c r="D5091" s="68">
        <v>46258.0</v>
      </c>
      <c r="E5091" s="66">
        <v>9.0</v>
      </c>
      <c r="F5091" s="66" t="str">
        <f>IFERROR(__xludf.DUMMYFUNCTION("GOOGLETRANSLATE(A5091,""en"",""pt"")"),"#VALUE!")</f>
        <v>#VALUE!</v>
      </c>
      <c r="G5091" s="69"/>
    </row>
    <row r="5092" ht="22.5" customHeight="1">
      <c r="A5092" s="66"/>
      <c r="B5092" s="67" t="str">
        <f t="shared" si="16"/>
        <v>M: </v>
      </c>
      <c r="C5092" s="68"/>
      <c r="D5092" s="68">
        <v>46259.0</v>
      </c>
      <c r="E5092" s="66">
        <v>10.0</v>
      </c>
      <c r="F5092" s="66" t="str">
        <f>IFERROR(__xludf.DUMMYFUNCTION("GOOGLETRANSLATE(A5092,""en"",""pt"")"),"#VALUE!")</f>
        <v>#VALUE!</v>
      </c>
      <c r="G5092" s="69"/>
    </row>
    <row r="5093" ht="22.5" customHeight="1">
      <c r="A5093" s="66"/>
      <c r="B5093" s="67" t="str">
        <f t="shared" si="16"/>
        <v>M: </v>
      </c>
      <c r="C5093" s="68"/>
      <c r="D5093" s="68">
        <v>46259.0</v>
      </c>
      <c r="E5093" s="66">
        <v>1.0</v>
      </c>
      <c r="F5093" s="66" t="str">
        <f>IFERROR(__xludf.DUMMYFUNCTION("GOOGLETRANSLATE(A5093,""en"",""pt"")"),"#VALUE!")</f>
        <v>#VALUE!</v>
      </c>
      <c r="G5093" s="69"/>
    </row>
    <row r="5094" ht="22.5" customHeight="1">
      <c r="A5094" s="66"/>
      <c r="B5094" s="67" t="str">
        <f t="shared" si="16"/>
        <v>M: </v>
      </c>
      <c r="C5094" s="68"/>
      <c r="D5094" s="68">
        <v>46259.0</v>
      </c>
      <c r="E5094" s="66">
        <v>2.0</v>
      </c>
      <c r="F5094" s="66" t="str">
        <f>IFERROR(__xludf.DUMMYFUNCTION("GOOGLETRANSLATE(A5094,""en"",""pt"")"),"#VALUE!")</f>
        <v>#VALUE!</v>
      </c>
      <c r="G5094" s="69"/>
    </row>
    <row r="5095" ht="22.5" customHeight="1">
      <c r="A5095" s="66"/>
      <c r="B5095" s="67" t="str">
        <f t="shared" si="16"/>
        <v>M: </v>
      </c>
      <c r="C5095" s="68"/>
      <c r="D5095" s="68">
        <v>46259.0</v>
      </c>
      <c r="E5095" s="66">
        <v>3.0</v>
      </c>
      <c r="F5095" s="66" t="str">
        <f>IFERROR(__xludf.DUMMYFUNCTION("GOOGLETRANSLATE(A5095,""en"",""pt"")"),"#VALUE!")</f>
        <v>#VALUE!</v>
      </c>
      <c r="G5095" s="69"/>
    </row>
    <row r="5096" ht="22.5" customHeight="1">
      <c r="A5096" s="66"/>
      <c r="B5096" s="67" t="str">
        <f t="shared" si="16"/>
        <v>M: </v>
      </c>
      <c r="C5096" s="68"/>
      <c r="D5096" s="68">
        <v>46259.0</v>
      </c>
      <c r="E5096" s="66">
        <v>4.0</v>
      </c>
      <c r="F5096" s="66" t="str">
        <f>IFERROR(__xludf.DUMMYFUNCTION("GOOGLETRANSLATE(A5096,""en"",""pt"")"),"#VALUE!")</f>
        <v>#VALUE!</v>
      </c>
      <c r="G5096" s="69"/>
    </row>
    <row r="5097" ht="22.5" customHeight="1">
      <c r="A5097" s="66"/>
      <c r="B5097" s="67" t="str">
        <f t="shared" si="16"/>
        <v>M: </v>
      </c>
      <c r="C5097" s="68"/>
      <c r="D5097" s="68">
        <v>46259.0</v>
      </c>
      <c r="E5097" s="66">
        <v>5.0</v>
      </c>
      <c r="F5097" s="66" t="str">
        <f>IFERROR(__xludf.DUMMYFUNCTION("GOOGLETRANSLATE(A5097,""en"",""pt"")"),"#VALUE!")</f>
        <v>#VALUE!</v>
      </c>
      <c r="G5097" s="69"/>
    </row>
    <row r="5098" ht="22.5" customHeight="1">
      <c r="A5098" s="66"/>
      <c r="B5098" s="67" t="str">
        <f t="shared" si="16"/>
        <v>M: </v>
      </c>
      <c r="C5098" s="68"/>
      <c r="D5098" s="68">
        <v>46259.0</v>
      </c>
      <c r="E5098" s="66">
        <v>6.0</v>
      </c>
      <c r="F5098" s="66" t="str">
        <f>IFERROR(__xludf.DUMMYFUNCTION("GOOGLETRANSLATE(A5098,""en"",""pt"")"),"#VALUE!")</f>
        <v>#VALUE!</v>
      </c>
      <c r="G5098" s="69"/>
    </row>
    <row r="5099" ht="22.5" customHeight="1">
      <c r="A5099" s="66"/>
      <c r="B5099" s="67" t="str">
        <f t="shared" si="16"/>
        <v>M: </v>
      </c>
      <c r="C5099" s="68"/>
      <c r="D5099" s="68">
        <v>46259.0</v>
      </c>
      <c r="E5099" s="66">
        <v>7.0</v>
      </c>
      <c r="F5099" s="66" t="str">
        <f>IFERROR(__xludf.DUMMYFUNCTION("GOOGLETRANSLATE(A5099,""en"",""pt"")"),"#VALUE!")</f>
        <v>#VALUE!</v>
      </c>
      <c r="G5099" s="69"/>
    </row>
    <row r="5100" ht="22.5" customHeight="1">
      <c r="A5100" s="66"/>
      <c r="B5100" s="67" t="str">
        <f t="shared" si="16"/>
        <v>M: </v>
      </c>
      <c r="C5100" s="68"/>
      <c r="D5100" s="68">
        <v>46259.0</v>
      </c>
      <c r="E5100" s="66">
        <v>8.0</v>
      </c>
      <c r="F5100" s="66" t="str">
        <f>IFERROR(__xludf.DUMMYFUNCTION("GOOGLETRANSLATE(A5100,""en"",""pt"")"),"#VALUE!")</f>
        <v>#VALUE!</v>
      </c>
      <c r="G5100" s="69"/>
    </row>
    <row r="5101" ht="22.5" customHeight="1">
      <c r="A5101" s="66"/>
      <c r="B5101" s="67" t="str">
        <f t="shared" si="16"/>
        <v>M: </v>
      </c>
      <c r="C5101" s="68"/>
      <c r="D5101" s="68">
        <v>46259.0</v>
      </c>
      <c r="E5101" s="66">
        <v>9.0</v>
      </c>
      <c r="F5101" s="66" t="str">
        <f>IFERROR(__xludf.DUMMYFUNCTION("GOOGLETRANSLATE(A5101,""en"",""pt"")"),"#VALUE!")</f>
        <v>#VALUE!</v>
      </c>
      <c r="G5101" s="69"/>
    </row>
    <row r="5102" ht="22.5" customHeight="1">
      <c r="A5102" s="66"/>
      <c r="B5102" s="67" t="str">
        <f t="shared" si="16"/>
        <v>M: </v>
      </c>
      <c r="C5102" s="68"/>
      <c r="D5102" s="68">
        <v>46260.0</v>
      </c>
      <c r="E5102" s="66">
        <v>10.0</v>
      </c>
      <c r="F5102" s="66" t="str">
        <f>IFERROR(__xludf.DUMMYFUNCTION("GOOGLETRANSLATE(A5102,""en"",""pt"")"),"#VALUE!")</f>
        <v>#VALUE!</v>
      </c>
      <c r="G5102" s="69"/>
    </row>
    <row r="5103" ht="22.5" customHeight="1">
      <c r="A5103" s="66"/>
      <c r="B5103" s="67" t="str">
        <f t="shared" si="16"/>
        <v>M: </v>
      </c>
      <c r="C5103" s="68"/>
      <c r="D5103" s="68">
        <v>46260.0</v>
      </c>
      <c r="E5103" s="66">
        <v>1.0</v>
      </c>
      <c r="F5103" s="66" t="str">
        <f>IFERROR(__xludf.DUMMYFUNCTION("GOOGLETRANSLATE(A5103,""en"",""pt"")"),"#VALUE!")</f>
        <v>#VALUE!</v>
      </c>
      <c r="G5103" s="69"/>
    </row>
    <row r="5104" ht="22.5" customHeight="1">
      <c r="A5104" s="66"/>
      <c r="B5104" s="67" t="str">
        <f t="shared" si="16"/>
        <v>M: </v>
      </c>
      <c r="C5104" s="68"/>
      <c r="D5104" s="68">
        <v>46260.0</v>
      </c>
      <c r="E5104" s="66">
        <v>2.0</v>
      </c>
      <c r="F5104" s="66" t="str">
        <f>IFERROR(__xludf.DUMMYFUNCTION("GOOGLETRANSLATE(A5104,""en"",""pt"")"),"#VALUE!")</f>
        <v>#VALUE!</v>
      </c>
      <c r="G5104" s="69"/>
    </row>
    <row r="5105" ht="22.5" customHeight="1">
      <c r="A5105" s="66"/>
      <c r="B5105" s="67" t="str">
        <f t="shared" si="16"/>
        <v>M: </v>
      </c>
      <c r="C5105" s="68"/>
      <c r="D5105" s="68">
        <v>46260.0</v>
      </c>
      <c r="E5105" s="66">
        <v>3.0</v>
      </c>
      <c r="F5105" s="66" t="str">
        <f>IFERROR(__xludf.DUMMYFUNCTION("GOOGLETRANSLATE(A5105,""en"",""pt"")"),"#VALUE!")</f>
        <v>#VALUE!</v>
      </c>
      <c r="G5105" s="69"/>
    </row>
    <row r="5106" ht="22.5" customHeight="1">
      <c r="A5106" s="66"/>
      <c r="B5106" s="67" t="str">
        <f t="shared" si="16"/>
        <v>M: </v>
      </c>
      <c r="C5106" s="68"/>
      <c r="D5106" s="68">
        <v>46260.0</v>
      </c>
      <c r="E5106" s="66">
        <v>4.0</v>
      </c>
      <c r="F5106" s="66" t="str">
        <f>IFERROR(__xludf.DUMMYFUNCTION("GOOGLETRANSLATE(A5106,""en"",""pt"")"),"#VALUE!")</f>
        <v>#VALUE!</v>
      </c>
      <c r="G5106" s="69"/>
    </row>
    <row r="5107" ht="22.5" customHeight="1">
      <c r="A5107" s="66"/>
      <c r="B5107" s="67" t="str">
        <f t="shared" si="16"/>
        <v>M: </v>
      </c>
      <c r="C5107" s="68"/>
      <c r="D5107" s="68">
        <v>46260.0</v>
      </c>
      <c r="E5107" s="66">
        <v>5.0</v>
      </c>
      <c r="F5107" s="66" t="str">
        <f>IFERROR(__xludf.DUMMYFUNCTION("GOOGLETRANSLATE(A5107,""en"",""pt"")"),"#VALUE!")</f>
        <v>#VALUE!</v>
      </c>
      <c r="G5107" s="69"/>
    </row>
    <row r="5108" ht="22.5" customHeight="1">
      <c r="A5108" s="66"/>
      <c r="B5108" s="67" t="str">
        <f t="shared" si="16"/>
        <v>M: </v>
      </c>
      <c r="C5108" s="68"/>
      <c r="D5108" s="68">
        <v>46260.0</v>
      </c>
      <c r="E5108" s="66">
        <v>6.0</v>
      </c>
      <c r="F5108" s="66" t="str">
        <f>IFERROR(__xludf.DUMMYFUNCTION("GOOGLETRANSLATE(A5108,""en"",""pt"")"),"#VALUE!")</f>
        <v>#VALUE!</v>
      </c>
      <c r="G5108" s="69"/>
    </row>
    <row r="5109" ht="22.5" customHeight="1">
      <c r="A5109" s="66"/>
      <c r="B5109" s="67" t="str">
        <f t="shared" si="16"/>
        <v>M: </v>
      </c>
      <c r="C5109" s="68"/>
      <c r="D5109" s="68">
        <v>46260.0</v>
      </c>
      <c r="E5109" s="66">
        <v>7.0</v>
      </c>
      <c r="F5109" s="66" t="str">
        <f>IFERROR(__xludf.DUMMYFUNCTION("GOOGLETRANSLATE(A5109,""en"",""pt"")"),"#VALUE!")</f>
        <v>#VALUE!</v>
      </c>
      <c r="G5109" s="69"/>
    </row>
    <row r="5110" ht="22.5" customHeight="1">
      <c r="A5110" s="66"/>
      <c r="B5110" s="67" t="str">
        <f t="shared" si="16"/>
        <v>M: </v>
      </c>
      <c r="C5110" s="68"/>
      <c r="D5110" s="68">
        <v>46260.0</v>
      </c>
      <c r="E5110" s="66">
        <v>8.0</v>
      </c>
      <c r="F5110" s="66" t="str">
        <f>IFERROR(__xludf.DUMMYFUNCTION("GOOGLETRANSLATE(A5110,""en"",""pt"")"),"#VALUE!")</f>
        <v>#VALUE!</v>
      </c>
      <c r="G5110" s="69"/>
    </row>
    <row r="5111" ht="22.5" customHeight="1">
      <c r="A5111" s="66"/>
      <c r="B5111" s="67" t="str">
        <f t="shared" si="16"/>
        <v>M: </v>
      </c>
      <c r="C5111" s="68"/>
      <c r="D5111" s="68">
        <v>46260.0</v>
      </c>
      <c r="E5111" s="66">
        <v>9.0</v>
      </c>
      <c r="F5111" s="66" t="str">
        <f>IFERROR(__xludf.DUMMYFUNCTION("GOOGLETRANSLATE(A5111,""en"",""pt"")"),"#VALUE!")</f>
        <v>#VALUE!</v>
      </c>
      <c r="G5111" s="69"/>
    </row>
    <row r="5112" ht="22.5" customHeight="1">
      <c r="A5112" s="66"/>
      <c r="B5112" s="67" t="str">
        <f t="shared" si="16"/>
        <v>M: </v>
      </c>
      <c r="C5112" s="68"/>
      <c r="D5112" s="68">
        <v>46261.0</v>
      </c>
      <c r="E5112" s="66">
        <v>10.0</v>
      </c>
      <c r="F5112" s="66" t="str">
        <f>IFERROR(__xludf.DUMMYFUNCTION("GOOGLETRANSLATE(A5112,""en"",""pt"")"),"#VALUE!")</f>
        <v>#VALUE!</v>
      </c>
      <c r="G5112" s="69"/>
    </row>
    <row r="5113" ht="22.5" customHeight="1">
      <c r="A5113" s="66"/>
      <c r="B5113" s="67" t="str">
        <f t="shared" si="16"/>
        <v>M: </v>
      </c>
      <c r="C5113" s="68"/>
      <c r="D5113" s="68">
        <v>46261.0</v>
      </c>
      <c r="E5113" s="66">
        <v>1.0</v>
      </c>
      <c r="F5113" s="66" t="str">
        <f>IFERROR(__xludf.DUMMYFUNCTION("GOOGLETRANSLATE(A5113,""en"",""pt"")"),"#VALUE!")</f>
        <v>#VALUE!</v>
      </c>
      <c r="G5113" s="69"/>
    </row>
    <row r="5114" ht="22.5" customHeight="1">
      <c r="A5114" s="66"/>
      <c r="B5114" s="67" t="str">
        <f t="shared" si="16"/>
        <v>M: </v>
      </c>
      <c r="C5114" s="68"/>
      <c r="D5114" s="68">
        <v>46261.0</v>
      </c>
      <c r="E5114" s="66">
        <v>2.0</v>
      </c>
      <c r="F5114" s="66" t="str">
        <f>IFERROR(__xludf.DUMMYFUNCTION("GOOGLETRANSLATE(A5114,""en"",""pt"")"),"#VALUE!")</f>
        <v>#VALUE!</v>
      </c>
      <c r="G5114" s="69"/>
    </row>
    <row r="5115" ht="22.5" customHeight="1">
      <c r="A5115" s="66"/>
      <c r="B5115" s="67" t="str">
        <f t="shared" si="16"/>
        <v>M: </v>
      </c>
      <c r="C5115" s="68"/>
      <c r="D5115" s="68">
        <v>46261.0</v>
      </c>
      <c r="E5115" s="66">
        <v>3.0</v>
      </c>
      <c r="F5115" s="66" t="str">
        <f>IFERROR(__xludf.DUMMYFUNCTION("GOOGLETRANSLATE(A5115,""en"",""pt"")"),"#VALUE!")</f>
        <v>#VALUE!</v>
      </c>
      <c r="G5115" s="69"/>
    </row>
    <row r="5116" ht="22.5" customHeight="1">
      <c r="A5116" s="66"/>
      <c r="B5116" s="67" t="str">
        <f t="shared" si="16"/>
        <v>M: </v>
      </c>
      <c r="C5116" s="68"/>
      <c r="D5116" s="68">
        <v>46261.0</v>
      </c>
      <c r="E5116" s="66">
        <v>4.0</v>
      </c>
      <c r="F5116" s="66" t="str">
        <f>IFERROR(__xludf.DUMMYFUNCTION("GOOGLETRANSLATE(A5116,""en"",""pt"")"),"#VALUE!")</f>
        <v>#VALUE!</v>
      </c>
      <c r="G5116" s="69"/>
    </row>
    <row r="5117" ht="22.5" customHeight="1">
      <c r="A5117" s="66"/>
      <c r="B5117" s="67" t="str">
        <f t="shared" si="16"/>
        <v>M: </v>
      </c>
      <c r="C5117" s="68"/>
      <c r="D5117" s="68">
        <v>46261.0</v>
      </c>
      <c r="E5117" s="66">
        <v>5.0</v>
      </c>
      <c r="F5117" s="66" t="str">
        <f>IFERROR(__xludf.DUMMYFUNCTION("GOOGLETRANSLATE(A5117,""en"",""pt"")"),"#VALUE!")</f>
        <v>#VALUE!</v>
      </c>
      <c r="G5117" s="69"/>
    </row>
    <row r="5118" ht="22.5" customHeight="1">
      <c r="A5118" s="66"/>
      <c r="B5118" s="67" t="str">
        <f t="shared" si="16"/>
        <v>M: </v>
      </c>
      <c r="C5118" s="68"/>
      <c r="D5118" s="68">
        <v>46261.0</v>
      </c>
      <c r="E5118" s="66">
        <v>6.0</v>
      </c>
      <c r="F5118" s="66" t="str">
        <f>IFERROR(__xludf.DUMMYFUNCTION("GOOGLETRANSLATE(A5118,""en"",""pt"")"),"#VALUE!")</f>
        <v>#VALUE!</v>
      </c>
      <c r="G5118" s="69"/>
    </row>
    <row r="5119" ht="22.5" customHeight="1">
      <c r="A5119" s="66"/>
      <c r="B5119" s="67" t="str">
        <f t="shared" si="16"/>
        <v>M: </v>
      </c>
      <c r="C5119" s="68"/>
      <c r="D5119" s="68">
        <v>46261.0</v>
      </c>
      <c r="E5119" s="66">
        <v>7.0</v>
      </c>
      <c r="F5119" s="66" t="str">
        <f>IFERROR(__xludf.DUMMYFUNCTION("GOOGLETRANSLATE(A5119,""en"",""pt"")"),"#VALUE!")</f>
        <v>#VALUE!</v>
      </c>
      <c r="G5119" s="69"/>
    </row>
    <row r="5120" ht="22.5" customHeight="1">
      <c r="A5120" s="66"/>
      <c r="B5120" s="67" t="str">
        <f t="shared" si="16"/>
        <v>M: </v>
      </c>
      <c r="C5120" s="68"/>
      <c r="D5120" s="68">
        <v>46261.0</v>
      </c>
      <c r="E5120" s="66">
        <v>8.0</v>
      </c>
      <c r="F5120" s="66" t="str">
        <f>IFERROR(__xludf.DUMMYFUNCTION("GOOGLETRANSLATE(A5120,""en"",""pt"")"),"#VALUE!")</f>
        <v>#VALUE!</v>
      </c>
      <c r="G5120" s="69"/>
    </row>
    <row r="5121" ht="22.5" customHeight="1">
      <c r="A5121" s="66"/>
      <c r="B5121" s="67" t="str">
        <f t="shared" si="16"/>
        <v>M: </v>
      </c>
      <c r="C5121" s="68"/>
      <c r="D5121" s="68">
        <v>46261.0</v>
      </c>
      <c r="E5121" s="66">
        <v>9.0</v>
      </c>
      <c r="F5121" s="66" t="str">
        <f>IFERROR(__xludf.DUMMYFUNCTION("GOOGLETRANSLATE(A5121,""en"",""pt"")"),"#VALUE!")</f>
        <v>#VALUE!</v>
      </c>
      <c r="G5121" s="69"/>
    </row>
    <row r="5122" ht="22.5" customHeight="1">
      <c r="A5122" s="66"/>
      <c r="B5122" s="67" t="str">
        <f t="shared" si="16"/>
        <v>M: </v>
      </c>
      <c r="C5122" s="68"/>
      <c r="D5122" s="68">
        <v>46262.0</v>
      </c>
      <c r="E5122" s="66">
        <v>10.0</v>
      </c>
      <c r="F5122" s="66" t="str">
        <f>IFERROR(__xludf.DUMMYFUNCTION("GOOGLETRANSLATE(A5122,""en"",""pt"")"),"#VALUE!")</f>
        <v>#VALUE!</v>
      </c>
      <c r="G5122" s="69"/>
    </row>
    <row r="5123" ht="22.5" customHeight="1">
      <c r="A5123" s="66"/>
      <c r="B5123" s="67" t="str">
        <f t="shared" si="16"/>
        <v>M: </v>
      </c>
      <c r="C5123" s="68"/>
      <c r="D5123" s="68">
        <v>46262.0</v>
      </c>
      <c r="E5123" s="66">
        <v>1.0</v>
      </c>
      <c r="F5123" s="66" t="str">
        <f>IFERROR(__xludf.DUMMYFUNCTION("GOOGLETRANSLATE(A5123,""en"",""pt"")"),"#VALUE!")</f>
        <v>#VALUE!</v>
      </c>
      <c r="G5123" s="69"/>
    </row>
    <row r="5124" ht="22.5" customHeight="1">
      <c r="A5124" s="66"/>
      <c r="B5124" s="67" t="str">
        <f t="shared" si="16"/>
        <v>M: </v>
      </c>
      <c r="C5124" s="68"/>
      <c r="D5124" s="68">
        <v>46262.0</v>
      </c>
      <c r="E5124" s="66">
        <v>2.0</v>
      </c>
      <c r="F5124" s="66" t="str">
        <f>IFERROR(__xludf.DUMMYFUNCTION("GOOGLETRANSLATE(A5124,""en"",""pt"")"),"#VALUE!")</f>
        <v>#VALUE!</v>
      </c>
      <c r="G5124" s="69"/>
    </row>
    <row r="5125" ht="22.5" customHeight="1">
      <c r="A5125" s="66"/>
      <c r="B5125" s="67" t="str">
        <f t="shared" si="16"/>
        <v>M: </v>
      </c>
      <c r="C5125" s="68"/>
      <c r="D5125" s="68">
        <v>46262.0</v>
      </c>
      <c r="E5125" s="66">
        <v>3.0</v>
      </c>
      <c r="F5125" s="66" t="str">
        <f>IFERROR(__xludf.DUMMYFUNCTION("GOOGLETRANSLATE(A5125,""en"",""pt"")"),"#VALUE!")</f>
        <v>#VALUE!</v>
      </c>
      <c r="G5125" s="69"/>
    </row>
    <row r="5126" ht="22.5" customHeight="1">
      <c r="A5126" s="66"/>
      <c r="B5126" s="67" t="str">
        <f t="shared" si="16"/>
        <v>M: </v>
      </c>
      <c r="C5126" s="68"/>
      <c r="D5126" s="68">
        <v>46262.0</v>
      </c>
      <c r="E5126" s="66">
        <v>4.0</v>
      </c>
      <c r="F5126" s="66" t="str">
        <f>IFERROR(__xludf.DUMMYFUNCTION("GOOGLETRANSLATE(A5126,""en"",""pt"")"),"#VALUE!")</f>
        <v>#VALUE!</v>
      </c>
      <c r="G5126" s="69"/>
    </row>
    <row r="5127" ht="22.5" customHeight="1">
      <c r="A5127" s="66"/>
      <c r="B5127" s="67" t="str">
        <f t="shared" si="16"/>
        <v>M: </v>
      </c>
      <c r="C5127" s="68"/>
      <c r="D5127" s="68">
        <v>46262.0</v>
      </c>
      <c r="E5127" s="66">
        <v>5.0</v>
      </c>
      <c r="F5127" s="66" t="str">
        <f>IFERROR(__xludf.DUMMYFUNCTION("GOOGLETRANSLATE(A5127,""en"",""pt"")"),"#VALUE!")</f>
        <v>#VALUE!</v>
      </c>
      <c r="G5127" s="69"/>
    </row>
    <row r="5128" ht="22.5" customHeight="1">
      <c r="A5128" s="66"/>
      <c r="B5128" s="67" t="str">
        <f t="shared" si="16"/>
        <v>M: </v>
      </c>
      <c r="C5128" s="68"/>
      <c r="D5128" s="68">
        <v>46262.0</v>
      </c>
      <c r="E5128" s="66">
        <v>6.0</v>
      </c>
      <c r="F5128" s="66" t="str">
        <f>IFERROR(__xludf.DUMMYFUNCTION("GOOGLETRANSLATE(A5128,""en"",""pt"")"),"#VALUE!")</f>
        <v>#VALUE!</v>
      </c>
      <c r="G5128" s="69"/>
    </row>
    <row r="5129" ht="22.5" customHeight="1">
      <c r="A5129" s="66"/>
      <c r="B5129" s="67" t="str">
        <f t="shared" si="16"/>
        <v>M: </v>
      </c>
      <c r="C5129" s="68"/>
      <c r="D5129" s="68">
        <v>46262.0</v>
      </c>
      <c r="E5129" s="66">
        <v>7.0</v>
      </c>
      <c r="F5129" s="66" t="str">
        <f>IFERROR(__xludf.DUMMYFUNCTION("GOOGLETRANSLATE(A5129,""en"",""pt"")"),"#VALUE!")</f>
        <v>#VALUE!</v>
      </c>
      <c r="G5129" s="69"/>
    </row>
    <row r="5130" ht="22.5" customHeight="1">
      <c r="A5130" s="66"/>
      <c r="B5130" s="67" t="str">
        <f t="shared" si="16"/>
        <v>M: </v>
      </c>
      <c r="C5130" s="68"/>
      <c r="D5130" s="68">
        <v>46262.0</v>
      </c>
      <c r="E5130" s="66">
        <v>8.0</v>
      </c>
      <c r="F5130" s="66" t="str">
        <f>IFERROR(__xludf.DUMMYFUNCTION("GOOGLETRANSLATE(A5130,""en"",""pt"")"),"#VALUE!")</f>
        <v>#VALUE!</v>
      </c>
      <c r="G5130" s="69"/>
    </row>
    <row r="5131" ht="22.5" customHeight="1">
      <c r="A5131" s="66"/>
      <c r="B5131" s="67" t="str">
        <f t="shared" si="16"/>
        <v>M: </v>
      </c>
      <c r="C5131" s="68"/>
      <c r="D5131" s="68">
        <v>46262.0</v>
      </c>
      <c r="E5131" s="66">
        <v>9.0</v>
      </c>
      <c r="F5131" s="66" t="str">
        <f>IFERROR(__xludf.DUMMYFUNCTION("GOOGLETRANSLATE(A5131,""en"",""pt"")"),"#VALUE!")</f>
        <v>#VALUE!</v>
      </c>
      <c r="G5131" s="69"/>
    </row>
    <row r="5132" ht="22.5" customHeight="1">
      <c r="A5132" s="66"/>
      <c r="B5132" s="67" t="str">
        <f t="shared" si="16"/>
        <v>M: </v>
      </c>
      <c r="C5132" s="68"/>
      <c r="D5132" s="68">
        <v>46263.0</v>
      </c>
      <c r="E5132" s="66">
        <v>10.0</v>
      </c>
      <c r="F5132" s="66" t="str">
        <f>IFERROR(__xludf.DUMMYFUNCTION("GOOGLETRANSLATE(A5132,""en"",""pt"")"),"#VALUE!")</f>
        <v>#VALUE!</v>
      </c>
      <c r="G5132" s="69"/>
    </row>
    <row r="5133" ht="22.5" customHeight="1">
      <c r="A5133" s="66"/>
      <c r="B5133" s="67" t="str">
        <f t="shared" si="16"/>
        <v>M: </v>
      </c>
      <c r="C5133" s="68"/>
      <c r="D5133" s="68">
        <v>46263.0</v>
      </c>
      <c r="E5133" s="66">
        <v>1.0</v>
      </c>
      <c r="F5133" s="66" t="str">
        <f>IFERROR(__xludf.DUMMYFUNCTION("GOOGLETRANSLATE(A5133,""en"",""pt"")"),"#VALUE!")</f>
        <v>#VALUE!</v>
      </c>
      <c r="G5133" s="69"/>
    </row>
    <row r="5134" ht="22.5" customHeight="1">
      <c r="A5134" s="66"/>
      <c r="B5134" s="67" t="str">
        <f t="shared" si="16"/>
        <v>M: </v>
      </c>
      <c r="C5134" s="68"/>
      <c r="D5134" s="68">
        <v>46263.0</v>
      </c>
      <c r="E5134" s="66">
        <v>2.0</v>
      </c>
      <c r="F5134" s="66" t="str">
        <f>IFERROR(__xludf.DUMMYFUNCTION("GOOGLETRANSLATE(A5134,""en"",""pt"")"),"#VALUE!")</f>
        <v>#VALUE!</v>
      </c>
      <c r="G5134" s="69"/>
    </row>
    <row r="5135" ht="22.5" customHeight="1">
      <c r="A5135" s="66"/>
      <c r="B5135" s="67" t="str">
        <f t="shared" si="16"/>
        <v>M: </v>
      </c>
      <c r="C5135" s="68"/>
      <c r="D5135" s="68">
        <v>46263.0</v>
      </c>
      <c r="E5135" s="66">
        <v>3.0</v>
      </c>
      <c r="F5135" s="66" t="str">
        <f>IFERROR(__xludf.DUMMYFUNCTION("GOOGLETRANSLATE(A5135,""en"",""pt"")"),"#VALUE!")</f>
        <v>#VALUE!</v>
      </c>
      <c r="G5135" s="69"/>
    </row>
    <row r="5136" ht="22.5" customHeight="1">
      <c r="A5136" s="66"/>
      <c r="B5136" s="67" t="str">
        <f t="shared" si="16"/>
        <v>M: </v>
      </c>
      <c r="C5136" s="68"/>
      <c r="D5136" s="68">
        <v>46263.0</v>
      </c>
      <c r="E5136" s="66">
        <v>4.0</v>
      </c>
      <c r="F5136" s="66" t="str">
        <f>IFERROR(__xludf.DUMMYFUNCTION("GOOGLETRANSLATE(A5136,""en"",""pt"")"),"#VALUE!")</f>
        <v>#VALUE!</v>
      </c>
      <c r="G5136" s="69"/>
    </row>
    <row r="5137" ht="22.5" customHeight="1">
      <c r="A5137" s="66"/>
      <c r="B5137" s="67" t="str">
        <f t="shared" si="16"/>
        <v>M: </v>
      </c>
      <c r="C5137" s="68"/>
      <c r="D5137" s="68">
        <v>46263.0</v>
      </c>
      <c r="E5137" s="66">
        <v>5.0</v>
      </c>
      <c r="F5137" s="66" t="str">
        <f>IFERROR(__xludf.DUMMYFUNCTION("GOOGLETRANSLATE(A5137,""en"",""pt"")"),"#VALUE!")</f>
        <v>#VALUE!</v>
      </c>
      <c r="G5137" s="69"/>
    </row>
    <row r="5138" ht="22.5" customHeight="1">
      <c r="A5138" s="66"/>
      <c r="B5138" s="67" t="str">
        <f t="shared" si="16"/>
        <v>M: </v>
      </c>
      <c r="C5138" s="68"/>
      <c r="D5138" s="68">
        <v>46263.0</v>
      </c>
      <c r="E5138" s="66">
        <v>6.0</v>
      </c>
      <c r="F5138" s="66" t="str">
        <f>IFERROR(__xludf.DUMMYFUNCTION("GOOGLETRANSLATE(A5138,""en"",""pt"")"),"#VALUE!")</f>
        <v>#VALUE!</v>
      </c>
      <c r="G5138" s="69"/>
    </row>
    <row r="5139" ht="22.5" customHeight="1">
      <c r="A5139" s="66"/>
      <c r="B5139" s="67" t="str">
        <f t="shared" si="16"/>
        <v>M: </v>
      </c>
      <c r="C5139" s="68"/>
      <c r="D5139" s="68">
        <v>46263.0</v>
      </c>
      <c r="E5139" s="66">
        <v>7.0</v>
      </c>
      <c r="F5139" s="66" t="str">
        <f>IFERROR(__xludf.DUMMYFUNCTION("GOOGLETRANSLATE(A5139,""en"",""pt"")"),"#VALUE!")</f>
        <v>#VALUE!</v>
      </c>
      <c r="G5139" s="69"/>
    </row>
    <row r="5140" ht="22.5" customHeight="1">
      <c r="A5140" s="66"/>
      <c r="B5140" s="67" t="str">
        <f t="shared" si="16"/>
        <v>M: </v>
      </c>
      <c r="C5140" s="68"/>
      <c r="D5140" s="68">
        <v>46263.0</v>
      </c>
      <c r="E5140" s="66">
        <v>8.0</v>
      </c>
      <c r="F5140" s="66" t="str">
        <f>IFERROR(__xludf.DUMMYFUNCTION("GOOGLETRANSLATE(A5140,""en"",""pt"")"),"#VALUE!")</f>
        <v>#VALUE!</v>
      </c>
      <c r="G5140" s="69"/>
    </row>
    <row r="5141" ht="22.5" customHeight="1">
      <c r="A5141" s="66"/>
      <c r="B5141" s="67" t="str">
        <f t="shared" si="16"/>
        <v>M: </v>
      </c>
      <c r="C5141" s="68"/>
      <c r="D5141" s="68">
        <v>46263.0</v>
      </c>
      <c r="E5141" s="66">
        <v>9.0</v>
      </c>
      <c r="F5141" s="66" t="str">
        <f>IFERROR(__xludf.DUMMYFUNCTION("GOOGLETRANSLATE(A5141,""en"",""pt"")"),"#VALUE!")</f>
        <v>#VALUE!</v>
      </c>
      <c r="G5141" s="69"/>
    </row>
    <row r="5142" ht="22.5" customHeight="1">
      <c r="A5142" s="66"/>
      <c r="B5142" s="67" t="str">
        <f t="shared" si="16"/>
        <v>M: </v>
      </c>
      <c r="C5142" s="68"/>
      <c r="D5142" s="68">
        <v>46264.0</v>
      </c>
      <c r="E5142" s="66">
        <v>10.0</v>
      </c>
      <c r="F5142" s="66" t="str">
        <f>IFERROR(__xludf.DUMMYFUNCTION("GOOGLETRANSLATE(A5142,""en"",""pt"")"),"#VALUE!")</f>
        <v>#VALUE!</v>
      </c>
      <c r="G5142" s="69"/>
    </row>
    <row r="5143" ht="22.5" customHeight="1">
      <c r="A5143" s="66"/>
      <c r="B5143" s="67" t="str">
        <f t="shared" si="16"/>
        <v>M: </v>
      </c>
      <c r="C5143" s="68"/>
      <c r="D5143" s="68">
        <v>46264.0</v>
      </c>
      <c r="E5143" s="66">
        <v>1.0</v>
      </c>
      <c r="F5143" s="66" t="str">
        <f>IFERROR(__xludf.DUMMYFUNCTION("GOOGLETRANSLATE(A5143,""en"",""pt"")"),"#VALUE!")</f>
        <v>#VALUE!</v>
      </c>
      <c r="G5143" s="69"/>
    </row>
    <row r="5144" ht="22.5" customHeight="1">
      <c r="A5144" s="66"/>
      <c r="B5144" s="67" t="str">
        <f t="shared" si="16"/>
        <v>M: </v>
      </c>
      <c r="C5144" s="68"/>
      <c r="D5144" s="68">
        <v>46264.0</v>
      </c>
      <c r="E5144" s="66">
        <v>2.0</v>
      </c>
      <c r="F5144" s="66" t="str">
        <f>IFERROR(__xludf.DUMMYFUNCTION("GOOGLETRANSLATE(A5144,""en"",""pt"")"),"#VALUE!")</f>
        <v>#VALUE!</v>
      </c>
      <c r="G5144" s="69"/>
    </row>
    <row r="5145" ht="22.5" customHeight="1">
      <c r="A5145" s="66"/>
      <c r="B5145" s="67" t="str">
        <f t="shared" si="16"/>
        <v>M: </v>
      </c>
      <c r="C5145" s="68"/>
      <c r="D5145" s="68">
        <v>46264.0</v>
      </c>
      <c r="E5145" s="66">
        <v>3.0</v>
      </c>
      <c r="F5145" s="66" t="str">
        <f>IFERROR(__xludf.DUMMYFUNCTION("GOOGLETRANSLATE(A5145,""en"",""pt"")"),"#VALUE!")</f>
        <v>#VALUE!</v>
      </c>
      <c r="G5145" s="69"/>
    </row>
    <row r="5146" ht="22.5" customHeight="1">
      <c r="A5146" s="66"/>
      <c r="B5146" s="67" t="str">
        <f t="shared" si="16"/>
        <v>M: </v>
      </c>
      <c r="C5146" s="68"/>
      <c r="D5146" s="68">
        <v>46264.0</v>
      </c>
      <c r="E5146" s="66">
        <v>4.0</v>
      </c>
      <c r="F5146" s="66" t="str">
        <f>IFERROR(__xludf.DUMMYFUNCTION("GOOGLETRANSLATE(A5146,""en"",""pt"")"),"#VALUE!")</f>
        <v>#VALUE!</v>
      </c>
      <c r="G5146" s="69"/>
    </row>
    <row r="5147" ht="22.5" customHeight="1">
      <c r="A5147" s="66"/>
      <c r="B5147" s="67" t="str">
        <f t="shared" si="16"/>
        <v>M: </v>
      </c>
      <c r="C5147" s="68"/>
      <c r="D5147" s="68">
        <v>46264.0</v>
      </c>
      <c r="E5147" s="66">
        <v>5.0</v>
      </c>
      <c r="F5147" s="66" t="str">
        <f>IFERROR(__xludf.DUMMYFUNCTION("GOOGLETRANSLATE(A5147,""en"",""pt"")"),"#VALUE!")</f>
        <v>#VALUE!</v>
      </c>
      <c r="G5147" s="69"/>
    </row>
    <row r="5148" ht="22.5" customHeight="1">
      <c r="A5148" s="66"/>
      <c r="B5148" s="67" t="str">
        <f t="shared" si="16"/>
        <v>M: </v>
      </c>
      <c r="C5148" s="68"/>
      <c r="D5148" s="68">
        <v>46264.0</v>
      </c>
      <c r="E5148" s="66">
        <v>6.0</v>
      </c>
      <c r="F5148" s="66" t="str">
        <f>IFERROR(__xludf.DUMMYFUNCTION("GOOGLETRANSLATE(A5148,""en"",""pt"")"),"#VALUE!")</f>
        <v>#VALUE!</v>
      </c>
      <c r="G5148" s="69"/>
    </row>
    <row r="5149" ht="22.5" customHeight="1">
      <c r="A5149" s="66"/>
      <c r="B5149" s="67" t="str">
        <f t="shared" si="16"/>
        <v>M: </v>
      </c>
      <c r="C5149" s="68"/>
      <c r="D5149" s="68">
        <v>46264.0</v>
      </c>
      <c r="E5149" s="66">
        <v>7.0</v>
      </c>
      <c r="F5149" s="66" t="str">
        <f>IFERROR(__xludf.DUMMYFUNCTION("GOOGLETRANSLATE(A5149,""en"",""pt"")"),"#VALUE!")</f>
        <v>#VALUE!</v>
      </c>
      <c r="G5149" s="69"/>
    </row>
    <row r="5150" ht="22.5" customHeight="1">
      <c r="A5150" s="66"/>
      <c r="B5150" s="67" t="str">
        <f t="shared" si="16"/>
        <v>M: </v>
      </c>
      <c r="C5150" s="68"/>
      <c r="D5150" s="68">
        <v>46264.0</v>
      </c>
      <c r="E5150" s="66">
        <v>8.0</v>
      </c>
      <c r="F5150" s="66" t="str">
        <f>IFERROR(__xludf.DUMMYFUNCTION("GOOGLETRANSLATE(A5150,""en"",""pt"")"),"#VALUE!")</f>
        <v>#VALUE!</v>
      </c>
      <c r="G5150" s="69"/>
    </row>
    <row r="5151" ht="22.5" customHeight="1">
      <c r="A5151" s="66"/>
      <c r="B5151" s="67" t="str">
        <f t="shared" si="16"/>
        <v>M: </v>
      </c>
      <c r="C5151" s="68"/>
      <c r="D5151" s="68">
        <v>46264.0</v>
      </c>
      <c r="E5151" s="66">
        <v>9.0</v>
      </c>
      <c r="F5151" s="66" t="str">
        <f>IFERROR(__xludf.DUMMYFUNCTION("GOOGLETRANSLATE(A5151,""en"",""pt"")"),"#VALUE!")</f>
        <v>#VALUE!</v>
      </c>
      <c r="G5151" s="69"/>
    </row>
    <row r="5152" ht="22.5" customHeight="1">
      <c r="A5152" s="66"/>
      <c r="B5152" s="67" t="str">
        <f t="shared" si="16"/>
        <v>M: </v>
      </c>
      <c r="C5152" s="68"/>
      <c r="D5152" s="68">
        <v>46265.0</v>
      </c>
      <c r="E5152" s="66">
        <v>10.0</v>
      </c>
      <c r="F5152" s="66" t="str">
        <f>IFERROR(__xludf.DUMMYFUNCTION("GOOGLETRANSLATE(A5152,""en"",""pt"")"),"#VALUE!")</f>
        <v>#VALUE!</v>
      </c>
      <c r="G5152" s="69"/>
    </row>
    <row r="5153" ht="22.5" customHeight="1">
      <c r="A5153" s="66"/>
      <c r="B5153" s="67" t="str">
        <f t="shared" si="16"/>
        <v>M: </v>
      </c>
      <c r="C5153" s="68"/>
      <c r="D5153" s="68">
        <v>46265.0</v>
      </c>
      <c r="E5153" s="66">
        <v>1.0</v>
      </c>
      <c r="F5153" s="66" t="str">
        <f>IFERROR(__xludf.DUMMYFUNCTION("GOOGLETRANSLATE(A5153,""en"",""pt"")"),"#VALUE!")</f>
        <v>#VALUE!</v>
      </c>
      <c r="G5153" s="69"/>
    </row>
    <row r="5154" ht="22.5" customHeight="1">
      <c r="A5154" s="66"/>
      <c r="B5154" s="67" t="str">
        <f t="shared" si="16"/>
        <v>M: </v>
      </c>
      <c r="C5154" s="68"/>
      <c r="D5154" s="68">
        <v>46265.0</v>
      </c>
      <c r="E5154" s="66">
        <v>2.0</v>
      </c>
      <c r="F5154" s="66" t="str">
        <f>IFERROR(__xludf.DUMMYFUNCTION("GOOGLETRANSLATE(A5154,""en"",""pt"")"),"#VALUE!")</f>
        <v>#VALUE!</v>
      </c>
      <c r="G5154" s="69"/>
    </row>
    <row r="5155" ht="22.5" customHeight="1">
      <c r="A5155" s="66"/>
      <c r="B5155" s="67" t="str">
        <f t="shared" si="16"/>
        <v>M: </v>
      </c>
      <c r="C5155" s="68"/>
      <c r="D5155" s="68">
        <v>46265.0</v>
      </c>
      <c r="E5155" s="66">
        <v>3.0</v>
      </c>
      <c r="F5155" s="66" t="str">
        <f>IFERROR(__xludf.DUMMYFUNCTION("GOOGLETRANSLATE(A5155,""en"",""pt"")"),"#VALUE!")</f>
        <v>#VALUE!</v>
      </c>
      <c r="G5155" s="69"/>
    </row>
    <row r="5156" ht="22.5" customHeight="1">
      <c r="A5156" s="66"/>
      <c r="B5156" s="67" t="str">
        <f t="shared" si="16"/>
        <v>M: </v>
      </c>
      <c r="C5156" s="68"/>
      <c r="D5156" s="68">
        <v>46265.0</v>
      </c>
      <c r="E5156" s="66">
        <v>4.0</v>
      </c>
      <c r="F5156" s="66" t="str">
        <f>IFERROR(__xludf.DUMMYFUNCTION("GOOGLETRANSLATE(A5156,""en"",""pt"")"),"#VALUE!")</f>
        <v>#VALUE!</v>
      </c>
      <c r="G5156" s="69"/>
    </row>
    <row r="5157" ht="22.5" customHeight="1">
      <c r="A5157" s="66"/>
      <c r="B5157" s="67" t="str">
        <f t="shared" si="16"/>
        <v>M: </v>
      </c>
      <c r="C5157" s="68"/>
      <c r="D5157" s="68">
        <v>46265.0</v>
      </c>
      <c r="E5157" s="66">
        <v>5.0</v>
      </c>
      <c r="F5157" s="66" t="str">
        <f>IFERROR(__xludf.DUMMYFUNCTION("GOOGLETRANSLATE(A5157,""en"",""pt"")"),"#VALUE!")</f>
        <v>#VALUE!</v>
      </c>
      <c r="G5157" s="69"/>
    </row>
    <row r="5158" ht="22.5" customHeight="1">
      <c r="A5158" s="66"/>
      <c r="B5158" s="67" t="str">
        <f t="shared" si="16"/>
        <v>M: </v>
      </c>
      <c r="C5158" s="68"/>
      <c r="D5158" s="68">
        <v>46265.0</v>
      </c>
      <c r="E5158" s="66">
        <v>6.0</v>
      </c>
      <c r="F5158" s="66" t="str">
        <f>IFERROR(__xludf.DUMMYFUNCTION("GOOGLETRANSLATE(A5158,""en"",""pt"")"),"#VALUE!")</f>
        <v>#VALUE!</v>
      </c>
      <c r="G5158" s="69"/>
    </row>
    <row r="5159" ht="22.5" customHeight="1">
      <c r="A5159" s="66"/>
      <c r="B5159" s="67" t="str">
        <f t="shared" si="16"/>
        <v>M: </v>
      </c>
      <c r="C5159" s="68"/>
      <c r="D5159" s="68">
        <v>46265.0</v>
      </c>
      <c r="E5159" s="66">
        <v>7.0</v>
      </c>
      <c r="F5159" s="66" t="str">
        <f>IFERROR(__xludf.DUMMYFUNCTION("GOOGLETRANSLATE(A5159,""en"",""pt"")"),"#VALUE!")</f>
        <v>#VALUE!</v>
      </c>
      <c r="G5159" s="69"/>
    </row>
    <row r="5160" ht="22.5" customHeight="1">
      <c r="A5160" s="66"/>
      <c r="B5160" s="67" t="str">
        <f t="shared" si="16"/>
        <v>M: </v>
      </c>
      <c r="C5160" s="68"/>
      <c r="D5160" s="68">
        <v>46265.0</v>
      </c>
      <c r="E5160" s="66">
        <v>8.0</v>
      </c>
      <c r="F5160" s="66" t="str">
        <f>IFERROR(__xludf.DUMMYFUNCTION("GOOGLETRANSLATE(A5160,""en"",""pt"")"),"#VALUE!")</f>
        <v>#VALUE!</v>
      </c>
      <c r="G5160" s="69"/>
    </row>
    <row r="5161" ht="22.5" customHeight="1">
      <c r="A5161" s="66"/>
      <c r="B5161" s="67" t="str">
        <f t="shared" si="16"/>
        <v>M: </v>
      </c>
      <c r="C5161" s="68"/>
      <c r="D5161" s="68">
        <v>46265.0</v>
      </c>
      <c r="E5161" s="66">
        <v>9.0</v>
      </c>
      <c r="F5161" s="66" t="str">
        <f>IFERROR(__xludf.DUMMYFUNCTION("GOOGLETRANSLATE(A5161,""en"",""pt"")"),"#VALUE!")</f>
        <v>#VALUE!</v>
      </c>
      <c r="G5161" s="69"/>
    </row>
    <row r="5162" ht="22.5" customHeight="1">
      <c r="A5162" s="66"/>
      <c r="B5162" s="67" t="str">
        <f t="shared" si="16"/>
        <v>M: </v>
      </c>
      <c r="C5162" s="68"/>
      <c r="D5162" s="68">
        <v>46266.0</v>
      </c>
      <c r="E5162" s="66">
        <v>10.0</v>
      </c>
      <c r="F5162" s="66" t="str">
        <f>IFERROR(__xludf.DUMMYFUNCTION("GOOGLETRANSLATE(A5162,""en"",""pt"")"),"#VALUE!")</f>
        <v>#VALUE!</v>
      </c>
      <c r="G5162" s="69"/>
    </row>
    <row r="5163" ht="22.5" customHeight="1">
      <c r="A5163" s="66"/>
      <c r="B5163" s="67" t="str">
        <f t="shared" si="16"/>
        <v>M: </v>
      </c>
      <c r="C5163" s="68"/>
      <c r="D5163" s="68">
        <v>46266.0</v>
      </c>
      <c r="E5163" s="66">
        <v>1.0</v>
      </c>
      <c r="F5163" s="66" t="str">
        <f>IFERROR(__xludf.DUMMYFUNCTION("GOOGLETRANSLATE(A5163,""en"",""pt"")"),"#VALUE!")</f>
        <v>#VALUE!</v>
      </c>
      <c r="G5163" s="69"/>
    </row>
    <row r="5164" ht="22.5" customHeight="1">
      <c r="A5164" s="66"/>
      <c r="B5164" s="67" t="str">
        <f t="shared" si="16"/>
        <v>M: </v>
      </c>
      <c r="C5164" s="68"/>
      <c r="D5164" s="68">
        <v>46266.0</v>
      </c>
      <c r="E5164" s="66">
        <v>2.0</v>
      </c>
      <c r="F5164" s="66" t="str">
        <f>IFERROR(__xludf.DUMMYFUNCTION("GOOGLETRANSLATE(A5164,""en"",""pt"")"),"#VALUE!")</f>
        <v>#VALUE!</v>
      </c>
      <c r="G5164" s="69"/>
    </row>
    <row r="5165" ht="22.5" customHeight="1">
      <c r="A5165" s="66"/>
      <c r="B5165" s="67" t="str">
        <f t="shared" si="16"/>
        <v>M: </v>
      </c>
      <c r="C5165" s="68"/>
      <c r="D5165" s="68">
        <v>46266.0</v>
      </c>
      <c r="E5165" s="66">
        <v>3.0</v>
      </c>
      <c r="F5165" s="66" t="str">
        <f>IFERROR(__xludf.DUMMYFUNCTION("GOOGLETRANSLATE(A5165,""en"",""pt"")"),"#VALUE!")</f>
        <v>#VALUE!</v>
      </c>
      <c r="G5165" s="69"/>
    </row>
    <row r="5166" ht="22.5" customHeight="1">
      <c r="A5166" s="66"/>
      <c r="B5166" s="67" t="str">
        <f t="shared" si="16"/>
        <v>M: </v>
      </c>
      <c r="C5166" s="68"/>
      <c r="D5166" s="68">
        <v>46266.0</v>
      </c>
      <c r="E5166" s="66">
        <v>4.0</v>
      </c>
      <c r="F5166" s="66" t="str">
        <f>IFERROR(__xludf.DUMMYFUNCTION("GOOGLETRANSLATE(A5166,""en"",""pt"")"),"#VALUE!")</f>
        <v>#VALUE!</v>
      </c>
      <c r="G5166" s="69"/>
    </row>
    <row r="5167" ht="22.5" customHeight="1">
      <c r="A5167" s="66"/>
      <c r="B5167" s="67" t="str">
        <f t="shared" si="16"/>
        <v>M: </v>
      </c>
      <c r="C5167" s="68"/>
      <c r="D5167" s="68">
        <v>46266.0</v>
      </c>
      <c r="E5167" s="66">
        <v>5.0</v>
      </c>
      <c r="F5167" s="66" t="str">
        <f>IFERROR(__xludf.DUMMYFUNCTION("GOOGLETRANSLATE(A5167,""en"",""pt"")"),"#VALUE!")</f>
        <v>#VALUE!</v>
      </c>
      <c r="G5167" s="69"/>
    </row>
    <row r="5168" ht="22.5" customHeight="1">
      <c r="A5168" s="66"/>
      <c r="B5168" s="67" t="str">
        <f t="shared" si="16"/>
        <v>M: </v>
      </c>
      <c r="C5168" s="68"/>
      <c r="D5168" s="68">
        <v>46266.0</v>
      </c>
      <c r="E5168" s="66">
        <v>6.0</v>
      </c>
      <c r="F5168" s="66" t="str">
        <f>IFERROR(__xludf.DUMMYFUNCTION("GOOGLETRANSLATE(A5168,""en"",""pt"")"),"#VALUE!")</f>
        <v>#VALUE!</v>
      </c>
      <c r="G5168" s="69"/>
    </row>
    <row r="5169" ht="22.5" customHeight="1">
      <c r="A5169" s="66"/>
      <c r="B5169" s="67" t="str">
        <f t="shared" si="16"/>
        <v>M: </v>
      </c>
      <c r="C5169" s="68"/>
      <c r="D5169" s="68">
        <v>46266.0</v>
      </c>
      <c r="E5169" s="66">
        <v>7.0</v>
      </c>
      <c r="F5169" s="66" t="str">
        <f>IFERROR(__xludf.DUMMYFUNCTION("GOOGLETRANSLATE(A5169,""en"",""pt"")"),"#VALUE!")</f>
        <v>#VALUE!</v>
      </c>
      <c r="G5169" s="69"/>
    </row>
    <row r="5170" ht="22.5" customHeight="1">
      <c r="A5170" s="66"/>
      <c r="B5170" s="67" t="str">
        <f t="shared" si="16"/>
        <v>M: </v>
      </c>
      <c r="C5170" s="68"/>
      <c r="D5170" s="68">
        <v>46266.0</v>
      </c>
      <c r="E5170" s="66">
        <v>8.0</v>
      </c>
      <c r="F5170" s="66" t="str">
        <f>IFERROR(__xludf.DUMMYFUNCTION("GOOGLETRANSLATE(A5170,""en"",""pt"")"),"#VALUE!")</f>
        <v>#VALUE!</v>
      </c>
      <c r="G5170" s="69"/>
    </row>
    <row r="5171" ht="22.5" customHeight="1">
      <c r="A5171" s="66"/>
      <c r="B5171" s="67" t="str">
        <f t="shared" si="16"/>
        <v>M: </v>
      </c>
      <c r="C5171" s="68"/>
      <c r="D5171" s="68">
        <v>46266.0</v>
      </c>
      <c r="E5171" s="66">
        <v>9.0</v>
      </c>
      <c r="F5171" s="66" t="str">
        <f>IFERROR(__xludf.DUMMYFUNCTION("GOOGLETRANSLATE(A5171,""en"",""pt"")"),"#VALUE!")</f>
        <v>#VALUE!</v>
      </c>
      <c r="G5171" s="69"/>
    </row>
    <row r="5172" ht="22.5" customHeight="1">
      <c r="A5172" s="66"/>
      <c r="B5172" s="67" t="str">
        <f t="shared" si="16"/>
        <v>M: </v>
      </c>
      <c r="C5172" s="68"/>
      <c r="D5172" s="68">
        <v>46267.0</v>
      </c>
      <c r="E5172" s="66">
        <v>10.0</v>
      </c>
      <c r="F5172" s="66" t="str">
        <f>IFERROR(__xludf.DUMMYFUNCTION("GOOGLETRANSLATE(A5172,""en"",""pt"")"),"#VALUE!")</f>
        <v>#VALUE!</v>
      </c>
      <c r="G5172" s="69"/>
    </row>
    <row r="5173" ht="22.5" customHeight="1">
      <c r="A5173" s="66"/>
      <c r="B5173" s="67" t="str">
        <f t="shared" si="16"/>
        <v>M: </v>
      </c>
      <c r="C5173" s="68"/>
      <c r="D5173" s="68">
        <v>46267.0</v>
      </c>
      <c r="E5173" s="66">
        <v>1.0</v>
      </c>
      <c r="F5173" s="66" t="str">
        <f>IFERROR(__xludf.DUMMYFUNCTION("GOOGLETRANSLATE(A5173,""en"",""pt"")"),"#VALUE!")</f>
        <v>#VALUE!</v>
      </c>
      <c r="G5173" s="69"/>
    </row>
    <row r="5174" ht="22.5" customHeight="1">
      <c r="A5174" s="66"/>
      <c r="B5174" s="67" t="str">
        <f t="shared" si="16"/>
        <v>M: </v>
      </c>
      <c r="C5174" s="68"/>
      <c r="D5174" s="68">
        <v>46267.0</v>
      </c>
      <c r="E5174" s="66">
        <v>2.0</v>
      </c>
      <c r="F5174" s="66" t="str">
        <f>IFERROR(__xludf.DUMMYFUNCTION("GOOGLETRANSLATE(A5174,""en"",""pt"")"),"#VALUE!")</f>
        <v>#VALUE!</v>
      </c>
      <c r="G5174" s="69"/>
    </row>
    <row r="5175" ht="22.5" customHeight="1">
      <c r="A5175" s="66"/>
      <c r="B5175" s="67" t="str">
        <f t="shared" si="16"/>
        <v>M: </v>
      </c>
      <c r="C5175" s="68"/>
      <c r="D5175" s="68">
        <v>46267.0</v>
      </c>
      <c r="E5175" s="66">
        <v>3.0</v>
      </c>
      <c r="F5175" s="66" t="str">
        <f>IFERROR(__xludf.DUMMYFUNCTION("GOOGLETRANSLATE(A5175,""en"",""pt"")"),"#VALUE!")</f>
        <v>#VALUE!</v>
      </c>
      <c r="G5175" s="69"/>
    </row>
    <row r="5176" ht="22.5" customHeight="1">
      <c r="A5176" s="66"/>
      <c r="B5176" s="67" t="str">
        <f t="shared" si="16"/>
        <v>M: </v>
      </c>
      <c r="C5176" s="68"/>
      <c r="D5176" s="68">
        <v>46267.0</v>
      </c>
      <c r="E5176" s="66">
        <v>4.0</v>
      </c>
      <c r="F5176" s="66" t="str">
        <f>IFERROR(__xludf.DUMMYFUNCTION("GOOGLETRANSLATE(A5176,""en"",""pt"")"),"#VALUE!")</f>
        <v>#VALUE!</v>
      </c>
      <c r="G5176" s="69"/>
    </row>
    <row r="5177" ht="22.5" customHeight="1">
      <c r="A5177" s="66"/>
      <c r="B5177" s="67" t="str">
        <f t="shared" si="16"/>
        <v>M: </v>
      </c>
      <c r="C5177" s="68"/>
      <c r="D5177" s="68">
        <v>46267.0</v>
      </c>
      <c r="E5177" s="66">
        <v>5.0</v>
      </c>
      <c r="F5177" s="66" t="str">
        <f>IFERROR(__xludf.DUMMYFUNCTION("GOOGLETRANSLATE(A5177,""en"",""pt"")"),"#VALUE!")</f>
        <v>#VALUE!</v>
      </c>
      <c r="G5177" s="69"/>
    </row>
    <row r="5178" ht="22.5" customHeight="1">
      <c r="A5178" s="66"/>
      <c r="B5178" s="67" t="str">
        <f t="shared" si="16"/>
        <v>M: </v>
      </c>
      <c r="C5178" s="68"/>
      <c r="D5178" s="68">
        <v>46267.0</v>
      </c>
      <c r="E5178" s="66">
        <v>6.0</v>
      </c>
      <c r="F5178" s="66" t="str">
        <f>IFERROR(__xludf.DUMMYFUNCTION("GOOGLETRANSLATE(A5178,""en"",""pt"")"),"#VALUE!")</f>
        <v>#VALUE!</v>
      </c>
      <c r="G5178" s="69"/>
    </row>
    <row r="5179" ht="22.5" customHeight="1">
      <c r="A5179" s="66"/>
      <c r="B5179" s="67" t="str">
        <f t="shared" si="16"/>
        <v>M: </v>
      </c>
      <c r="C5179" s="68"/>
      <c r="D5179" s="68">
        <v>46267.0</v>
      </c>
      <c r="E5179" s="66">
        <v>7.0</v>
      </c>
      <c r="F5179" s="66" t="str">
        <f>IFERROR(__xludf.DUMMYFUNCTION("GOOGLETRANSLATE(A5179,""en"",""pt"")"),"#VALUE!")</f>
        <v>#VALUE!</v>
      </c>
      <c r="G5179" s="69"/>
    </row>
    <row r="5180" ht="22.5" customHeight="1">
      <c r="A5180" s="66"/>
      <c r="B5180" s="67" t="str">
        <f t="shared" si="16"/>
        <v>M: </v>
      </c>
      <c r="C5180" s="68"/>
      <c r="D5180" s="68">
        <v>46267.0</v>
      </c>
      <c r="E5180" s="66">
        <v>8.0</v>
      </c>
      <c r="F5180" s="66" t="str">
        <f>IFERROR(__xludf.DUMMYFUNCTION("GOOGLETRANSLATE(A5180,""en"",""pt"")"),"#VALUE!")</f>
        <v>#VALUE!</v>
      </c>
      <c r="G5180" s="69"/>
    </row>
    <row r="5181" ht="22.5" customHeight="1">
      <c r="A5181" s="66"/>
      <c r="B5181" s="67" t="str">
        <f t="shared" si="16"/>
        <v>M: </v>
      </c>
      <c r="C5181" s="68"/>
      <c r="D5181" s="68">
        <v>46267.0</v>
      </c>
      <c r="E5181" s="66">
        <v>9.0</v>
      </c>
      <c r="F5181" s="66" t="str">
        <f>IFERROR(__xludf.DUMMYFUNCTION("GOOGLETRANSLATE(A5181,""en"",""pt"")"),"#VALUE!")</f>
        <v>#VALUE!</v>
      </c>
      <c r="G5181" s="69"/>
    </row>
    <row r="5182" ht="22.5" customHeight="1">
      <c r="A5182" s="66"/>
      <c r="B5182" s="67" t="str">
        <f t="shared" si="16"/>
        <v>M: </v>
      </c>
      <c r="C5182" s="68"/>
      <c r="D5182" s="68">
        <v>46268.0</v>
      </c>
      <c r="E5182" s="66">
        <v>10.0</v>
      </c>
      <c r="F5182" s="66" t="str">
        <f>IFERROR(__xludf.DUMMYFUNCTION("GOOGLETRANSLATE(A5182,""en"",""pt"")"),"#VALUE!")</f>
        <v>#VALUE!</v>
      </c>
      <c r="G5182" s="69"/>
    </row>
    <row r="5183" ht="22.5" customHeight="1">
      <c r="A5183" s="66"/>
      <c r="B5183" s="67" t="str">
        <f t="shared" si="16"/>
        <v>M: </v>
      </c>
      <c r="C5183" s="68"/>
      <c r="D5183" s="68">
        <v>46268.0</v>
      </c>
      <c r="E5183" s="66">
        <v>1.0</v>
      </c>
      <c r="F5183" s="66" t="str">
        <f>IFERROR(__xludf.DUMMYFUNCTION("GOOGLETRANSLATE(A5183,""en"",""pt"")"),"#VALUE!")</f>
        <v>#VALUE!</v>
      </c>
      <c r="G5183" s="69"/>
    </row>
    <row r="5184" ht="22.5" customHeight="1">
      <c r="A5184" s="66"/>
      <c r="B5184" s="67" t="str">
        <f t="shared" si="16"/>
        <v>M: </v>
      </c>
      <c r="C5184" s="68"/>
      <c r="D5184" s="68">
        <v>46268.0</v>
      </c>
      <c r="E5184" s="66">
        <v>2.0</v>
      </c>
      <c r="F5184" s="66" t="str">
        <f>IFERROR(__xludf.DUMMYFUNCTION("GOOGLETRANSLATE(A5184,""en"",""pt"")"),"#VALUE!")</f>
        <v>#VALUE!</v>
      </c>
      <c r="G5184" s="69"/>
    </row>
    <row r="5185" ht="22.5" customHeight="1">
      <c r="A5185" s="66"/>
      <c r="B5185" s="67" t="str">
        <f t="shared" si="16"/>
        <v>M: </v>
      </c>
      <c r="C5185" s="68"/>
      <c r="D5185" s="68">
        <v>46268.0</v>
      </c>
      <c r="E5185" s="66">
        <v>3.0</v>
      </c>
      <c r="F5185" s="66" t="str">
        <f>IFERROR(__xludf.DUMMYFUNCTION("GOOGLETRANSLATE(A5185,""en"",""pt"")"),"#VALUE!")</f>
        <v>#VALUE!</v>
      </c>
      <c r="G5185" s="69"/>
    </row>
    <row r="5186" ht="22.5" customHeight="1">
      <c r="A5186" s="66"/>
      <c r="B5186" s="67" t="str">
        <f t="shared" si="16"/>
        <v>M: </v>
      </c>
      <c r="C5186" s="68"/>
      <c r="D5186" s="68">
        <v>46268.0</v>
      </c>
      <c r="E5186" s="66">
        <v>4.0</v>
      </c>
      <c r="F5186" s="66" t="str">
        <f>IFERROR(__xludf.DUMMYFUNCTION("GOOGLETRANSLATE(A5186,""en"",""pt"")"),"#VALUE!")</f>
        <v>#VALUE!</v>
      </c>
      <c r="G5186" s="69"/>
    </row>
    <row r="5187" ht="22.5" customHeight="1">
      <c r="A5187" s="66"/>
      <c r="B5187" s="67" t="str">
        <f t="shared" si="16"/>
        <v>M: </v>
      </c>
      <c r="C5187" s="68"/>
      <c r="D5187" s="68">
        <v>46268.0</v>
      </c>
      <c r="E5187" s="66">
        <v>5.0</v>
      </c>
      <c r="F5187" s="66" t="str">
        <f>IFERROR(__xludf.DUMMYFUNCTION("GOOGLETRANSLATE(A5187,""en"",""pt"")"),"#VALUE!")</f>
        <v>#VALUE!</v>
      </c>
      <c r="G5187" s="69"/>
    </row>
    <row r="5188" ht="22.5" customHeight="1">
      <c r="A5188" s="66"/>
      <c r="B5188" s="67" t="str">
        <f t="shared" si="16"/>
        <v>M: </v>
      </c>
      <c r="C5188" s="68"/>
      <c r="D5188" s="68">
        <v>46268.0</v>
      </c>
      <c r="E5188" s="66">
        <v>6.0</v>
      </c>
      <c r="F5188" s="66" t="str">
        <f>IFERROR(__xludf.DUMMYFUNCTION("GOOGLETRANSLATE(A5188,""en"",""pt"")"),"#VALUE!")</f>
        <v>#VALUE!</v>
      </c>
      <c r="G5188" s="69"/>
    </row>
    <row r="5189" ht="22.5" customHeight="1">
      <c r="A5189" s="66"/>
      <c r="B5189" s="67" t="str">
        <f t="shared" si="16"/>
        <v>M: </v>
      </c>
      <c r="C5189" s="68"/>
      <c r="D5189" s="68">
        <v>46268.0</v>
      </c>
      <c r="E5189" s="66">
        <v>7.0</v>
      </c>
      <c r="F5189" s="66" t="str">
        <f>IFERROR(__xludf.DUMMYFUNCTION("GOOGLETRANSLATE(A5189,""en"",""pt"")"),"#VALUE!")</f>
        <v>#VALUE!</v>
      </c>
      <c r="G5189" s="69"/>
    </row>
    <row r="5190" ht="22.5" customHeight="1">
      <c r="A5190" s="66"/>
      <c r="B5190" s="67" t="str">
        <f t="shared" si="16"/>
        <v>M: </v>
      </c>
      <c r="C5190" s="68"/>
      <c r="D5190" s="68">
        <v>46268.0</v>
      </c>
      <c r="E5190" s="66">
        <v>8.0</v>
      </c>
      <c r="F5190" s="66" t="str">
        <f>IFERROR(__xludf.DUMMYFUNCTION("GOOGLETRANSLATE(A5190,""en"",""pt"")"),"#VALUE!")</f>
        <v>#VALUE!</v>
      </c>
      <c r="G5190" s="69"/>
    </row>
    <row r="5191" ht="22.5" customHeight="1">
      <c r="A5191" s="66"/>
      <c r="B5191" s="67" t="str">
        <f t="shared" si="16"/>
        <v>M: </v>
      </c>
      <c r="C5191" s="68"/>
      <c r="D5191" s="68">
        <v>46268.0</v>
      </c>
      <c r="E5191" s="66">
        <v>9.0</v>
      </c>
      <c r="F5191" s="66" t="str">
        <f>IFERROR(__xludf.DUMMYFUNCTION("GOOGLETRANSLATE(A5191,""en"",""pt"")"),"#VALUE!")</f>
        <v>#VALUE!</v>
      </c>
      <c r="G5191" s="69"/>
    </row>
    <row r="5192" ht="22.5" customHeight="1">
      <c r="A5192" s="66"/>
      <c r="B5192" s="67" t="str">
        <f t="shared" si="16"/>
        <v>M: </v>
      </c>
      <c r="C5192" s="68"/>
      <c r="D5192" s="68">
        <v>46269.0</v>
      </c>
      <c r="E5192" s="66">
        <v>10.0</v>
      </c>
      <c r="F5192" s="66" t="str">
        <f>IFERROR(__xludf.DUMMYFUNCTION("GOOGLETRANSLATE(A5192,""en"",""pt"")"),"#VALUE!")</f>
        <v>#VALUE!</v>
      </c>
      <c r="G5192" s="69"/>
    </row>
    <row r="5193" ht="22.5" customHeight="1">
      <c r="A5193" s="66"/>
      <c r="B5193" s="67" t="str">
        <f t="shared" si="16"/>
        <v>M: </v>
      </c>
      <c r="C5193" s="68"/>
      <c r="D5193" s="68">
        <v>46269.0</v>
      </c>
      <c r="E5193" s="66">
        <v>1.0</v>
      </c>
      <c r="F5193" s="66" t="str">
        <f>IFERROR(__xludf.DUMMYFUNCTION("GOOGLETRANSLATE(A5193,""en"",""pt"")"),"#VALUE!")</f>
        <v>#VALUE!</v>
      </c>
      <c r="G5193" s="69"/>
    </row>
    <row r="5194" ht="22.5" customHeight="1">
      <c r="A5194" s="66"/>
      <c r="B5194" s="67" t="str">
        <f t="shared" si="16"/>
        <v>M: </v>
      </c>
      <c r="C5194" s="68"/>
      <c r="D5194" s="68">
        <v>46269.0</v>
      </c>
      <c r="E5194" s="66">
        <v>2.0</v>
      </c>
      <c r="F5194" s="66" t="str">
        <f>IFERROR(__xludf.DUMMYFUNCTION("GOOGLETRANSLATE(A5194,""en"",""pt"")"),"#VALUE!")</f>
        <v>#VALUE!</v>
      </c>
      <c r="G5194" s="69"/>
    </row>
    <row r="5195" ht="22.5" customHeight="1">
      <c r="A5195" s="66"/>
      <c r="B5195" s="67" t="str">
        <f t="shared" si="16"/>
        <v>M: </v>
      </c>
      <c r="C5195" s="68"/>
      <c r="D5195" s="68">
        <v>46269.0</v>
      </c>
      <c r="E5195" s="66">
        <v>3.0</v>
      </c>
      <c r="F5195" s="66" t="str">
        <f>IFERROR(__xludf.DUMMYFUNCTION("GOOGLETRANSLATE(A5195,""en"",""pt"")"),"#VALUE!")</f>
        <v>#VALUE!</v>
      </c>
      <c r="G5195" s="69"/>
    </row>
    <row r="5196" ht="22.5" customHeight="1">
      <c r="A5196" s="66"/>
      <c r="B5196" s="67" t="str">
        <f t="shared" si="16"/>
        <v>M: </v>
      </c>
      <c r="C5196" s="68"/>
      <c r="D5196" s="68">
        <v>46269.0</v>
      </c>
      <c r="E5196" s="66">
        <v>4.0</v>
      </c>
      <c r="F5196" s="66" t="str">
        <f>IFERROR(__xludf.DUMMYFUNCTION("GOOGLETRANSLATE(A5196,""en"",""pt"")"),"#VALUE!")</f>
        <v>#VALUE!</v>
      </c>
      <c r="G5196" s="69"/>
    </row>
    <row r="5197" ht="22.5" customHeight="1">
      <c r="A5197" s="66"/>
      <c r="B5197" s="67" t="str">
        <f t="shared" si="16"/>
        <v>M: </v>
      </c>
      <c r="C5197" s="68"/>
      <c r="D5197" s="68">
        <v>46269.0</v>
      </c>
      <c r="E5197" s="66">
        <v>5.0</v>
      </c>
      <c r="F5197" s="66" t="str">
        <f>IFERROR(__xludf.DUMMYFUNCTION("GOOGLETRANSLATE(A5197,""en"",""pt"")"),"#VALUE!")</f>
        <v>#VALUE!</v>
      </c>
      <c r="G5197" s="69"/>
    </row>
    <row r="5198" ht="22.5" customHeight="1">
      <c r="A5198" s="66"/>
      <c r="B5198" s="67" t="str">
        <f t="shared" si="16"/>
        <v>M: </v>
      </c>
      <c r="C5198" s="68"/>
      <c r="D5198" s="68">
        <v>46269.0</v>
      </c>
      <c r="E5198" s="66">
        <v>6.0</v>
      </c>
      <c r="F5198" s="66" t="str">
        <f>IFERROR(__xludf.DUMMYFUNCTION("GOOGLETRANSLATE(A5198,""en"",""pt"")"),"#VALUE!")</f>
        <v>#VALUE!</v>
      </c>
      <c r="G5198" s="69"/>
    </row>
    <row r="5199" ht="22.5" customHeight="1">
      <c r="A5199" s="66"/>
      <c r="B5199" s="67" t="str">
        <f t="shared" si="16"/>
        <v>M: </v>
      </c>
      <c r="C5199" s="68"/>
      <c r="D5199" s="68">
        <v>46269.0</v>
      </c>
      <c r="E5199" s="66">
        <v>7.0</v>
      </c>
      <c r="F5199" s="66" t="str">
        <f>IFERROR(__xludf.DUMMYFUNCTION("GOOGLETRANSLATE(A5199,""en"",""pt"")"),"#VALUE!")</f>
        <v>#VALUE!</v>
      </c>
      <c r="G5199" s="69"/>
    </row>
    <row r="5200" ht="22.5" customHeight="1">
      <c r="A5200" s="66"/>
      <c r="B5200" s="67" t="str">
        <f t="shared" si="16"/>
        <v>M: </v>
      </c>
      <c r="C5200" s="68"/>
      <c r="D5200" s="68">
        <v>46269.0</v>
      </c>
      <c r="E5200" s="66">
        <v>8.0</v>
      </c>
      <c r="F5200" s="66" t="str">
        <f>IFERROR(__xludf.DUMMYFUNCTION("GOOGLETRANSLATE(A5200,""en"",""pt"")"),"#VALUE!")</f>
        <v>#VALUE!</v>
      </c>
      <c r="G5200" s="69"/>
    </row>
    <row r="5201" ht="22.5" customHeight="1">
      <c r="A5201" s="66"/>
      <c r="B5201" s="67" t="str">
        <f t="shared" si="16"/>
        <v>M: </v>
      </c>
      <c r="C5201" s="68"/>
      <c r="D5201" s="68">
        <v>46269.0</v>
      </c>
      <c r="E5201" s="66">
        <v>9.0</v>
      </c>
      <c r="F5201" s="66" t="str">
        <f>IFERROR(__xludf.DUMMYFUNCTION("GOOGLETRANSLATE(A5201,""en"",""pt"")"),"#VALUE!")</f>
        <v>#VALUE!</v>
      </c>
      <c r="G5201" s="69"/>
    </row>
    <row r="5202" ht="22.5" customHeight="1">
      <c r="A5202" s="66"/>
      <c r="B5202" s="67" t="str">
        <f t="shared" si="16"/>
        <v>M: </v>
      </c>
      <c r="C5202" s="68"/>
      <c r="D5202" s="68">
        <v>46270.0</v>
      </c>
      <c r="E5202" s="66">
        <v>10.0</v>
      </c>
      <c r="F5202" s="66" t="str">
        <f>IFERROR(__xludf.DUMMYFUNCTION("GOOGLETRANSLATE(A5202,""en"",""pt"")"),"#VALUE!")</f>
        <v>#VALUE!</v>
      </c>
      <c r="G5202" s="69"/>
    </row>
    <row r="5203" ht="22.5" customHeight="1">
      <c r="A5203" s="66"/>
      <c r="B5203" s="67" t="str">
        <f t="shared" si="16"/>
        <v>M: </v>
      </c>
      <c r="C5203" s="68"/>
      <c r="D5203" s="68">
        <v>46270.0</v>
      </c>
      <c r="E5203" s="66">
        <v>1.0</v>
      </c>
      <c r="F5203" s="66" t="str">
        <f>IFERROR(__xludf.DUMMYFUNCTION("GOOGLETRANSLATE(A5203,""en"",""pt"")"),"#VALUE!")</f>
        <v>#VALUE!</v>
      </c>
      <c r="G5203" s="69"/>
    </row>
    <row r="5204" ht="22.5" customHeight="1">
      <c r="A5204" s="66"/>
      <c r="B5204" s="67" t="str">
        <f t="shared" si="16"/>
        <v>M: </v>
      </c>
      <c r="C5204" s="68"/>
      <c r="D5204" s="68">
        <v>46270.0</v>
      </c>
      <c r="E5204" s="66">
        <v>2.0</v>
      </c>
      <c r="F5204" s="66" t="str">
        <f>IFERROR(__xludf.DUMMYFUNCTION("GOOGLETRANSLATE(A5204,""en"",""pt"")"),"#VALUE!")</f>
        <v>#VALUE!</v>
      </c>
      <c r="G5204" s="69"/>
    </row>
    <row r="5205" ht="22.5" customHeight="1">
      <c r="A5205" s="66"/>
      <c r="B5205" s="67" t="str">
        <f t="shared" si="16"/>
        <v>M: </v>
      </c>
      <c r="C5205" s="68"/>
      <c r="D5205" s="68">
        <v>46270.0</v>
      </c>
      <c r="E5205" s="66">
        <v>3.0</v>
      </c>
      <c r="F5205" s="66" t="str">
        <f>IFERROR(__xludf.DUMMYFUNCTION("GOOGLETRANSLATE(A5205,""en"",""pt"")"),"#VALUE!")</f>
        <v>#VALUE!</v>
      </c>
      <c r="G5205" s="69"/>
    </row>
    <row r="5206" ht="22.5" customHeight="1">
      <c r="A5206" s="66"/>
      <c r="B5206" s="67" t="str">
        <f t="shared" si="16"/>
        <v>M: </v>
      </c>
      <c r="C5206" s="68"/>
      <c r="D5206" s="68">
        <v>46270.0</v>
      </c>
      <c r="E5206" s="66">
        <v>4.0</v>
      </c>
      <c r="F5206" s="66" t="str">
        <f>IFERROR(__xludf.DUMMYFUNCTION("GOOGLETRANSLATE(A5206,""en"",""pt"")"),"#VALUE!")</f>
        <v>#VALUE!</v>
      </c>
      <c r="G5206" s="69"/>
    </row>
    <row r="5207" ht="22.5" customHeight="1">
      <c r="A5207" s="66"/>
      <c r="B5207" s="67" t="str">
        <f t="shared" si="16"/>
        <v>M: </v>
      </c>
      <c r="C5207" s="68"/>
      <c r="D5207" s="68">
        <v>46270.0</v>
      </c>
      <c r="E5207" s="66">
        <v>5.0</v>
      </c>
      <c r="F5207" s="66" t="str">
        <f>IFERROR(__xludf.DUMMYFUNCTION("GOOGLETRANSLATE(A5207,""en"",""pt"")"),"#VALUE!")</f>
        <v>#VALUE!</v>
      </c>
      <c r="G5207" s="69"/>
    </row>
    <row r="5208" ht="22.5" customHeight="1">
      <c r="A5208" s="66"/>
      <c r="B5208" s="67" t="str">
        <f t="shared" si="16"/>
        <v>M: </v>
      </c>
      <c r="C5208" s="68"/>
      <c r="D5208" s="68">
        <v>46270.0</v>
      </c>
      <c r="E5208" s="66">
        <v>6.0</v>
      </c>
      <c r="F5208" s="66" t="str">
        <f>IFERROR(__xludf.DUMMYFUNCTION("GOOGLETRANSLATE(A5208,""en"",""pt"")"),"#VALUE!")</f>
        <v>#VALUE!</v>
      </c>
      <c r="G5208" s="69"/>
    </row>
    <row r="5209" ht="22.5" customHeight="1">
      <c r="A5209" s="66"/>
      <c r="B5209" s="67" t="str">
        <f t="shared" si="16"/>
        <v>M: </v>
      </c>
      <c r="C5209" s="68"/>
      <c r="D5209" s="68">
        <v>46270.0</v>
      </c>
      <c r="E5209" s="66">
        <v>7.0</v>
      </c>
      <c r="F5209" s="66" t="str">
        <f>IFERROR(__xludf.DUMMYFUNCTION("GOOGLETRANSLATE(A5209,""en"",""pt"")"),"#VALUE!")</f>
        <v>#VALUE!</v>
      </c>
      <c r="G5209" s="69"/>
    </row>
    <row r="5210" ht="22.5" customHeight="1">
      <c r="A5210" s="66"/>
      <c r="B5210" s="67" t="str">
        <f t="shared" si="16"/>
        <v>M: </v>
      </c>
      <c r="C5210" s="68"/>
      <c r="D5210" s="68">
        <v>46270.0</v>
      </c>
      <c r="E5210" s="66">
        <v>8.0</v>
      </c>
      <c r="F5210" s="66" t="str">
        <f>IFERROR(__xludf.DUMMYFUNCTION("GOOGLETRANSLATE(A5210,""en"",""pt"")"),"#VALUE!")</f>
        <v>#VALUE!</v>
      </c>
      <c r="G5210" s="69"/>
    </row>
    <row r="5211" ht="22.5" customHeight="1">
      <c r="A5211" s="66"/>
      <c r="B5211" s="67" t="str">
        <f t="shared" si="16"/>
        <v>M: </v>
      </c>
      <c r="C5211" s="68"/>
      <c r="D5211" s="68">
        <v>46270.0</v>
      </c>
      <c r="E5211" s="66">
        <v>9.0</v>
      </c>
      <c r="F5211" s="66" t="str">
        <f>IFERROR(__xludf.DUMMYFUNCTION("GOOGLETRANSLATE(A5211,""en"",""pt"")"),"#VALUE!")</f>
        <v>#VALUE!</v>
      </c>
      <c r="G5211" s="69"/>
    </row>
    <row r="5212" ht="22.5" customHeight="1">
      <c r="A5212" s="66"/>
      <c r="B5212" s="67" t="str">
        <f t="shared" si="16"/>
        <v>M: </v>
      </c>
      <c r="C5212" s="68"/>
      <c r="D5212" s="68">
        <v>46271.0</v>
      </c>
      <c r="E5212" s="66">
        <v>10.0</v>
      </c>
      <c r="F5212" s="66" t="str">
        <f>IFERROR(__xludf.DUMMYFUNCTION("GOOGLETRANSLATE(A5212,""en"",""pt"")"),"#VALUE!")</f>
        <v>#VALUE!</v>
      </c>
      <c r="G5212" s="69"/>
    </row>
    <row r="5213" ht="22.5" customHeight="1">
      <c r="A5213" s="66"/>
      <c r="B5213" s="67" t="str">
        <f t="shared" si="16"/>
        <v>M: </v>
      </c>
      <c r="C5213" s="68"/>
      <c r="D5213" s="68">
        <v>46271.0</v>
      </c>
      <c r="E5213" s="66">
        <v>1.0</v>
      </c>
      <c r="F5213" s="66" t="str">
        <f>IFERROR(__xludf.DUMMYFUNCTION("GOOGLETRANSLATE(A5213,""en"",""pt"")"),"#VALUE!")</f>
        <v>#VALUE!</v>
      </c>
      <c r="G5213" s="69"/>
    </row>
    <row r="5214" ht="22.5" customHeight="1">
      <c r="A5214" s="66"/>
      <c r="B5214" s="67" t="str">
        <f t="shared" si="16"/>
        <v>M: </v>
      </c>
      <c r="C5214" s="68"/>
      <c r="D5214" s="68">
        <v>46271.0</v>
      </c>
      <c r="E5214" s="66">
        <v>2.0</v>
      </c>
      <c r="F5214" s="66" t="str">
        <f>IFERROR(__xludf.DUMMYFUNCTION("GOOGLETRANSLATE(A5214,""en"",""pt"")"),"#VALUE!")</f>
        <v>#VALUE!</v>
      </c>
      <c r="G5214" s="69"/>
    </row>
    <row r="5215" ht="22.5" customHeight="1">
      <c r="A5215" s="66"/>
      <c r="B5215" s="67" t="str">
        <f t="shared" si="16"/>
        <v>M: </v>
      </c>
      <c r="C5215" s="68"/>
      <c r="D5215" s="68">
        <v>46271.0</v>
      </c>
      <c r="E5215" s="66">
        <v>3.0</v>
      </c>
      <c r="F5215" s="66" t="str">
        <f>IFERROR(__xludf.DUMMYFUNCTION("GOOGLETRANSLATE(A5215,""en"",""pt"")"),"#VALUE!")</f>
        <v>#VALUE!</v>
      </c>
      <c r="G5215" s="69"/>
    </row>
    <row r="5216" ht="22.5" customHeight="1">
      <c r="A5216" s="66"/>
      <c r="B5216" s="67" t="str">
        <f t="shared" si="16"/>
        <v>M: </v>
      </c>
      <c r="C5216" s="68"/>
      <c r="D5216" s="68">
        <v>46271.0</v>
      </c>
      <c r="E5216" s="66">
        <v>4.0</v>
      </c>
      <c r="F5216" s="66" t="str">
        <f>IFERROR(__xludf.DUMMYFUNCTION("GOOGLETRANSLATE(A5216,""en"",""pt"")"),"#VALUE!")</f>
        <v>#VALUE!</v>
      </c>
      <c r="G5216" s="69"/>
    </row>
    <row r="5217" ht="22.5" customHeight="1">
      <c r="A5217" s="66"/>
      <c r="B5217" s="67" t="str">
        <f t="shared" si="16"/>
        <v>M: </v>
      </c>
      <c r="C5217" s="68"/>
      <c r="D5217" s="68">
        <v>46271.0</v>
      </c>
      <c r="E5217" s="66">
        <v>5.0</v>
      </c>
      <c r="F5217" s="66" t="str">
        <f>IFERROR(__xludf.DUMMYFUNCTION("GOOGLETRANSLATE(A5217,""en"",""pt"")"),"#VALUE!")</f>
        <v>#VALUE!</v>
      </c>
      <c r="G5217" s="69"/>
    </row>
    <row r="5218" ht="22.5" customHeight="1">
      <c r="A5218" s="66"/>
      <c r="B5218" s="67" t="str">
        <f t="shared" si="16"/>
        <v>M: </v>
      </c>
      <c r="C5218" s="68"/>
      <c r="D5218" s="68">
        <v>46271.0</v>
      </c>
      <c r="E5218" s="66">
        <v>6.0</v>
      </c>
      <c r="F5218" s="66" t="str">
        <f>IFERROR(__xludf.DUMMYFUNCTION("GOOGLETRANSLATE(A5218,""en"",""pt"")"),"#VALUE!")</f>
        <v>#VALUE!</v>
      </c>
      <c r="G5218" s="69"/>
    </row>
    <row r="5219" ht="22.5" customHeight="1">
      <c r="A5219" s="66"/>
      <c r="B5219" s="67" t="str">
        <f t="shared" si="16"/>
        <v>M: </v>
      </c>
      <c r="C5219" s="68"/>
      <c r="D5219" s="68">
        <v>46271.0</v>
      </c>
      <c r="E5219" s="66">
        <v>7.0</v>
      </c>
      <c r="F5219" s="66" t="str">
        <f>IFERROR(__xludf.DUMMYFUNCTION("GOOGLETRANSLATE(A5219,""en"",""pt"")"),"#VALUE!")</f>
        <v>#VALUE!</v>
      </c>
      <c r="G5219" s="69"/>
    </row>
    <row r="5220" ht="22.5" customHeight="1">
      <c r="A5220" s="66"/>
      <c r="B5220" s="67" t="str">
        <f t="shared" si="16"/>
        <v>M: </v>
      </c>
      <c r="C5220" s="68"/>
      <c r="D5220" s="68">
        <v>46271.0</v>
      </c>
      <c r="E5220" s="66">
        <v>8.0</v>
      </c>
      <c r="F5220" s="66" t="str">
        <f>IFERROR(__xludf.DUMMYFUNCTION("GOOGLETRANSLATE(A5220,""en"",""pt"")"),"#VALUE!")</f>
        <v>#VALUE!</v>
      </c>
      <c r="G5220" s="69"/>
    </row>
    <row r="5221" ht="22.5" customHeight="1">
      <c r="A5221" s="66"/>
      <c r="B5221" s="67" t="str">
        <f t="shared" si="16"/>
        <v>M: </v>
      </c>
      <c r="C5221" s="68"/>
      <c r="D5221" s="68">
        <v>46271.0</v>
      </c>
      <c r="E5221" s="66">
        <v>9.0</v>
      </c>
      <c r="F5221" s="66" t="str">
        <f>IFERROR(__xludf.DUMMYFUNCTION("GOOGLETRANSLATE(A5221,""en"",""pt"")"),"#VALUE!")</f>
        <v>#VALUE!</v>
      </c>
      <c r="G5221" s="69"/>
    </row>
    <row r="5222" ht="22.5" customHeight="1">
      <c r="A5222" s="66"/>
      <c r="B5222" s="67" t="str">
        <f t="shared" si="16"/>
        <v>M: </v>
      </c>
      <c r="C5222" s="68"/>
      <c r="D5222" s="68">
        <v>46272.0</v>
      </c>
      <c r="E5222" s="66">
        <v>10.0</v>
      </c>
      <c r="F5222" s="66" t="str">
        <f>IFERROR(__xludf.DUMMYFUNCTION("GOOGLETRANSLATE(A5222,""en"",""pt"")"),"#VALUE!")</f>
        <v>#VALUE!</v>
      </c>
      <c r="G5222" s="69"/>
    </row>
    <row r="5223" ht="22.5" customHeight="1">
      <c r="A5223" s="66"/>
      <c r="B5223" s="67" t="str">
        <f t="shared" si="16"/>
        <v>M: </v>
      </c>
      <c r="C5223" s="68"/>
      <c r="D5223" s="68">
        <v>46272.0</v>
      </c>
      <c r="E5223" s="66">
        <v>1.0</v>
      </c>
      <c r="F5223" s="66" t="str">
        <f>IFERROR(__xludf.DUMMYFUNCTION("GOOGLETRANSLATE(A5223,""en"",""pt"")"),"#VALUE!")</f>
        <v>#VALUE!</v>
      </c>
      <c r="G5223" s="69"/>
    </row>
    <row r="5224" ht="22.5" customHeight="1">
      <c r="A5224" s="66"/>
      <c r="B5224" s="67" t="str">
        <f t="shared" si="16"/>
        <v>M: </v>
      </c>
      <c r="C5224" s="68"/>
      <c r="D5224" s="68">
        <v>46272.0</v>
      </c>
      <c r="E5224" s="66">
        <v>2.0</v>
      </c>
      <c r="F5224" s="66" t="str">
        <f>IFERROR(__xludf.DUMMYFUNCTION("GOOGLETRANSLATE(A5224,""en"",""pt"")"),"#VALUE!")</f>
        <v>#VALUE!</v>
      </c>
      <c r="G5224" s="69"/>
    </row>
    <row r="5225" ht="22.5" customHeight="1">
      <c r="A5225" s="66"/>
      <c r="B5225" s="67" t="str">
        <f t="shared" si="16"/>
        <v>M: </v>
      </c>
      <c r="C5225" s="68"/>
      <c r="D5225" s="68">
        <v>46272.0</v>
      </c>
      <c r="E5225" s="66">
        <v>3.0</v>
      </c>
      <c r="F5225" s="66" t="str">
        <f>IFERROR(__xludf.DUMMYFUNCTION("GOOGLETRANSLATE(A5225,""en"",""pt"")"),"#VALUE!")</f>
        <v>#VALUE!</v>
      </c>
      <c r="G5225" s="69"/>
    </row>
    <row r="5226" ht="22.5" customHeight="1">
      <c r="A5226" s="66"/>
      <c r="B5226" s="67" t="str">
        <f t="shared" si="16"/>
        <v>M: </v>
      </c>
      <c r="C5226" s="68"/>
      <c r="D5226" s="68">
        <v>46272.0</v>
      </c>
      <c r="E5226" s="66">
        <v>4.0</v>
      </c>
      <c r="F5226" s="66" t="str">
        <f>IFERROR(__xludf.DUMMYFUNCTION("GOOGLETRANSLATE(A5226,""en"",""pt"")"),"#VALUE!")</f>
        <v>#VALUE!</v>
      </c>
      <c r="G5226" s="69"/>
    </row>
    <row r="5227" ht="22.5" customHeight="1">
      <c r="A5227" s="66"/>
      <c r="B5227" s="67" t="str">
        <f t="shared" si="16"/>
        <v>M: </v>
      </c>
      <c r="C5227" s="68"/>
      <c r="D5227" s="68">
        <v>46272.0</v>
      </c>
      <c r="E5227" s="66">
        <v>5.0</v>
      </c>
      <c r="F5227" s="66" t="str">
        <f>IFERROR(__xludf.DUMMYFUNCTION("GOOGLETRANSLATE(A5227,""en"",""pt"")"),"#VALUE!")</f>
        <v>#VALUE!</v>
      </c>
      <c r="G5227" s="69"/>
    </row>
    <row r="5228" ht="22.5" customHeight="1">
      <c r="A5228" s="66"/>
      <c r="B5228" s="67" t="str">
        <f t="shared" si="16"/>
        <v>M: </v>
      </c>
      <c r="C5228" s="68"/>
      <c r="D5228" s="68">
        <v>46272.0</v>
      </c>
      <c r="E5228" s="66">
        <v>6.0</v>
      </c>
      <c r="F5228" s="66" t="str">
        <f>IFERROR(__xludf.DUMMYFUNCTION("GOOGLETRANSLATE(A5228,""en"",""pt"")"),"#VALUE!")</f>
        <v>#VALUE!</v>
      </c>
      <c r="G5228" s="69"/>
    </row>
    <row r="5229" ht="22.5" customHeight="1">
      <c r="A5229" s="66"/>
      <c r="B5229" s="67" t="str">
        <f t="shared" si="16"/>
        <v>M: </v>
      </c>
      <c r="C5229" s="68"/>
      <c r="D5229" s="68">
        <v>46272.0</v>
      </c>
      <c r="E5229" s="66">
        <v>7.0</v>
      </c>
      <c r="F5229" s="66" t="str">
        <f>IFERROR(__xludf.DUMMYFUNCTION("GOOGLETRANSLATE(A5229,""en"",""pt"")"),"#VALUE!")</f>
        <v>#VALUE!</v>
      </c>
      <c r="G5229" s="69"/>
    </row>
    <row r="5230" ht="22.5" customHeight="1">
      <c r="A5230" s="66"/>
      <c r="B5230" s="67" t="str">
        <f t="shared" si="16"/>
        <v>M: </v>
      </c>
      <c r="C5230" s="68"/>
      <c r="D5230" s="68">
        <v>46272.0</v>
      </c>
      <c r="E5230" s="66">
        <v>8.0</v>
      </c>
      <c r="F5230" s="66" t="str">
        <f>IFERROR(__xludf.DUMMYFUNCTION("GOOGLETRANSLATE(A5230,""en"",""pt"")"),"#VALUE!")</f>
        <v>#VALUE!</v>
      </c>
      <c r="G5230" s="69"/>
    </row>
    <row r="5231" ht="22.5" customHeight="1">
      <c r="A5231" s="66"/>
      <c r="B5231" s="67" t="str">
        <f t="shared" si="16"/>
        <v>M: </v>
      </c>
      <c r="C5231" s="68"/>
      <c r="D5231" s="68">
        <v>46272.0</v>
      </c>
      <c r="E5231" s="66">
        <v>9.0</v>
      </c>
      <c r="F5231" s="66" t="str">
        <f>IFERROR(__xludf.DUMMYFUNCTION("GOOGLETRANSLATE(A5231,""en"",""pt"")"),"#VALUE!")</f>
        <v>#VALUE!</v>
      </c>
      <c r="G5231" s="69"/>
    </row>
    <row r="5232" ht="22.5" customHeight="1">
      <c r="A5232" s="66"/>
      <c r="B5232" s="67" t="str">
        <f t="shared" si="16"/>
        <v>M: </v>
      </c>
      <c r="C5232" s="68"/>
      <c r="D5232" s="68">
        <v>46273.0</v>
      </c>
      <c r="E5232" s="66">
        <v>10.0</v>
      </c>
      <c r="F5232" s="66" t="str">
        <f>IFERROR(__xludf.DUMMYFUNCTION("GOOGLETRANSLATE(A5232,""en"",""pt"")"),"#VALUE!")</f>
        <v>#VALUE!</v>
      </c>
      <c r="G5232" s="69"/>
    </row>
    <row r="5233" ht="22.5" customHeight="1">
      <c r="A5233" s="66"/>
      <c r="B5233" s="67" t="str">
        <f t="shared" si="16"/>
        <v>M: </v>
      </c>
      <c r="C5233" s="68"/>
      <c r="D5233" s="68">
        <v>46273.0</v>
      </c>
      <c r="E5233" s="66">
        <v>1.0</v>
      </c>
      <c r="F5233" s="66" t="str">
        <f>IFERROR(__xludf.DUMMYFUNCTION("GOOGLETRANSLATE(A5233,""en"",""pt"")"),"#VALUE!")</f>
        <v>#VALUE!</v>
      </c>
      <c r="G5233" s="69"/>
    </row>
    <row r="5234" ht="22.5" customHeight="1">
      <c r="A5234" s="66"/>
      <c r="B5234" s="67" t="str">
        <f t="shared" si="16"/>
        <v>M: </v>
      </c>
      <c r="C5234" s="68"/>
      <c r="D5234" s="68">
        <v>46273.0</v>
      </c>
      <c r="E5234" s="66">
        <v>2.0</v>
      </c>
      <c r="F5234" s="66" t="str">
        <f>IFERROR(__xludf.DUMMYFUNCTION("GOOGLETRANSLATE(A5234,""en"",""pt"")"),"#VALUE!")</f>
        <v>#VALUE!</v>
      </c>
      <c r="G5234" s="69"/>
    </row>
    <row r="5235" ht="22.5" customHeight="1">
      <c r="A5235" s="66"/>
      <c r="B5235" s="67" t="str">
        <f t="shared" si="16"/>
        <v>M: </v>
      </c>
      <c r="C5235" s="68"/>
      <c r="D5235" s="68">
        <v>46273.0</v>
      </c>
      <c r="E5235" s="66">
        <v>3.0</v>
      </c>
      <c r="F5235" s="66" t="str">
        <f>IFERROR(__xludf.DUMMYFUNCTION("GOOGLETRANSLATE(A5235,""en"",""pt"")"),"#VALUE!")</f>
        <v>#VALUE!</v>
      </c>
      <c r="G5235" s="69"/>
    </row>
    <row r="5236" ht="22.5" customHeight="1">
      <c r="A5236" s="66"/>
      <c r="B5236" s="67" t="str">
        <f t="shared" si="16"/>
        <v>M: </v>
      </c>
      <c r="C5236" s="68"/>
      <c r="D5236" s="68">
        <v>46273.0</v>
      </c>
      <c r="E5236" s="66">
        <v>4.0</v>
      </c>
      <c r="F5236" s="66" t="str">
        <f>IFERROR(__xludf.DUMMYFUNCTION("GOOGLETRANSLATE(A5236,""en"",""pt"")"),"#VALUE!")</f>
        <v>#VALUE!</v>
      </c>
      <c r="G5236" s="69"/>
    </row>
    <row r="5237" ht="22.5" customHeight="1">
      <c r="A5237" s="66"/>
      <c r="B5237" s="67" t="str">
        <f t="shared" si="16"/>
        <v>M: </v>
      </c>
      <c r="C5237" s="68"/>
      <c r="D5237" s="68">
        <v>46273.0</v>
      </c>
      <c r="E5237" s="66">
        <v>5.0</v>
      </c>
      <c r="F5237" s="66" t="str">
        <f>IFERROR(__xludf.DUMMYFUNCTION("GOOGLETRANSLATE(A5237,""en"",""pt"")"),"#VALUE!")</f>
        <v>#VALUE!</v>
      </c>
      <c r="G5237" s="69"/>
    </row>
    <row r="5238" ht="22.5" customHeight="1">
      <c r="A5238" s="66"/>
      <c r="B5238" s="67" t="str">
        <f t="shared" si="16"/>
        <v>M: </v>
      </c>
      <c r="C5238" s="68"/>
      <c r="D5238" s="68">
        <v>46273.0</v>
      </c>
      <c r="E5238" s="66">
        <v>6.0</v>
      </c>
      <c r="F5238" s="66" t="str">
        <f>IFERROR(__xludf.DUMMYFUNCTION("GOOGLETRANSLATE(A5238,""en"",""pt"")"),"#VALUE!")</f>
        <v>#VALUE!</v>
      </c>
      <c r="G5238" s="69"/>
    </row>
    <row r="5239" ht="22.5" customHeight="1">
      <c r="A5239" s="66"/>
      <c r="B5239" s="67" t="str">
        <f t="shared" si="16"/>
        <v>M: </v>
      </c>
      <c r="C5239" s="68"/>
      <c r="D5239" s="68">
        <v>46273.0</v>
      </c>
      <c r="E5239" s="66">
        <v>7.0</v>
      </c>
      <c r="F5239" s="66" t="str">
        <f>IFERROR(__xludf.DUMMYFUNCTION("GOOGLETRANSLATE(A5239,""en"",""pt"")"),"#VALUE!")</f>
        <v>#VALUE!</v>
      </c>
      <c r="G5239" s="69"/>
    </row>
    <row r="5240" ht="22.5" customHeight="1">
      <c r="A5240" s="66"/>
      <c r="B5240" s="67" t="str">
        <f t="shared" si="16"/>
        <v>M: </v>
      </c>
      <c r="C5240" s="68"/>
      <c r="D5240" s="68">
        <v>46273.0</v>
      </c>
      <c r="E5240" s="66">
        <v>8.0</v>
      </c>
      <c r="F5240" s="66" t="str">
        <f>IFERROR(__xludf.DUMMYFUNCTION("GOOGLETRANSLATE(A5240,""en"",""pt"")"),"#VALUE!")</f>
        <v>#VALUE!</v>
      </c>
      <c r="G5240" s="69"/>
    </row>
    <row r="5241" ht="22.5" customHeight="1">
      <c r="A5241" s="66"/>
      <c r="B5241" s="67" t="str">
        <f t="shared" si="16"/>
        <v>M: </v>
      </c>
      <c r="C5241" s="68"/>
      <c r="D5241" s="68">
        <v>46273.0</v>
      </c>
      <c r="E5241" s="66">
        <v>9.0</v>
      </c>
      <c r="F5241" s="66" t="str">
        <f>IFERROR(__xludf.DUMMYFUNCTION("GOOGLETRANSLATE(A5241,""en"",""pt"")"),"#VALUE!")</f>
        <v>#VALUE!</v>
      </c>
      <c r="G5241" s="69"/>
    </row>
    <row r="5242" ht="22.5" customHeight="1">
      <c r="A5242" s="66"/>
      <c r="B5242" s="67" t="str">
        <f t="shared" si="16"/>
        <v>M: </v>
      </c>
      <c r="C5242" s="68"/>
      <c r="D5242" s="68">
        <v>46274.0</v>
      </c>
      <c r="E5242" s="66">
        <v>10.0</v>
      </c>
      <c r="F5242" s="66" t="str">
        <f>IFERROR(__xludf.DUMMYFUNCTION("GOOGLETRANSLATE(A5242,""en"",""pt"")"),"#VALUE!")</f>
        <v>#VALUE!</v>
      </c>
      <c r="G5242" s="69"/>
    </row>
    <row r="5243" ht="22.5" customHeight="1">
      <c r="A5243" s="66"/>
      <c r="B5243" s="67" t="str">
        <f t="shared" si="16"/>
        <v>M: </v>
      </c>
      <c r="C5243" s="68"/>
      <c r="D5243" s="68">
        <v>46274.0</v>
      </c>
      <c r="E5243" s="66">
        <v>1.0</v>
      </c>
      <c r="F5243" s="66" t="str">
        <f>IFERROR(__xludf.DUMMYFUNCTION("GOOGLETRANSLATE(A5243,""en"",""pt"")"),"#VALUE!")</f>
        <v>#VALUE!</v>
      </c>
      <c r="G5243" s="69"/>
    </row>
    <row r="5244" ht="22.5" customHeight="1">
      <c r="A5244" s="66"/>
      <c r="B5244" s="67" t="str">
        <f t="shared" si="16"/>
        <v>M: </v>
      </c>
      <c r="C5244" s="68"/>
      <c r="D5244" s="68">
        <v>46274.0</v>
      </c>
      <c r="E5244" s="66">
        <v>2.0</v>
      </c>
      <c r="F5244" s="66" t="str">
        <f>IFERROR(__xludf.DUMMYFUNCTION("GOOGLETRANSLATE(A5244,""en"",""pt"")"),"#VALUE!")</f>
        <v>#VALUE!</v>
      </c>
      <c r="G5244" s="69"/>
    </row>
    <row r="5245" ht="22.5" customHeight="1">
      <c r="A5245" s="66"/>
      <c r="B5245" s="67" t="str">
        <f t="shared" si="16"/>
        <v>M: </v>
      </c>
      <c r="C5245" s="68"/>
      <c r="D5245" s="68">
        <v>46274.0</v>
      </c>
      <c r="E5245" s="66">
        <v>3.0</v>
      </c>
      <c r="F5245" s="66" t="str">
        <f>IFERROR(__xludf.DUMMYFUNCTION("GOOGLETRANSLATE(A5245,""en"",""pt"")"),"#VALUE!")</f>
        <v>#VALUE!</v>
      </c>
      <c r="G5245" s="69"/>
    </row>
    <row r="5246" ht="22.5" customHeight="1">
      <c r="A5246" s="66"/>
      <c r="B5246" s="67" t="str">
        <f t="shared" si="16"/>
        <v>M: </v>
      </c>
      <c r="C5246" s="68"/>
      <c r="D5246" s="68">
        <v>46274.0</v>
      </c>
      <c r="E5246" s="66">
        <v>4.0</v>
      </c>
      <c r="F5246" s="66" t="str">
        <f>IFERROR(__xludf.DUMMYFUNCTION("GOOGLETRANSLATE(A5246,""en"",""pt"")"),"#VALUE!")</f>
        <v>#VALUE!</v>
      </c>
      <c r="G5246" s="69"/>
    </row>
    <row r="5247" ht="22.5" customHeight="1">
      <c r="A5247" s="66"/>
      <c r="B5247" s="67" t="str">
        <f t="shared" si="16"/>
        <v>M: </v>
      </c>
      <c r="C5247" s="68"/>
      <c r="D5247" s="68">
        <v>46274.0</v>
      </c>
      <c r="E5247" s="66">
        <v>5.0</v>
      </c>
      <c r="F5247" s="66" t="str">
        <f>IFERROR(__xludf.DUMMYFUNCTION("GOOGLETRANSLATE(A5247,""en"",""pt"")"),"#VALUE!")</f>
        <v>#VALUE!</v>
      </c>
      <c r="G5247" s="69"/>
    </row>
    <row r="5248" ht="22.5" customHeight="1">
      <c r="A5248" s="66"/>
      <c r="B5248" s="67" t="str">
        <f t="shared" si="16"/>
        <v>M: </v>
      </c>
      <c r="C5248" s="68"/>
      <c r="D5248" s="68">
        <v>46274.0</v>
      </c>
      <c r="E5248" s="66">
        <v>6.0</v>
      </c>
      <c r="F5248" s="66" t="str">
        <f>IFERROR(__xludf.DUMMYFUNCTION("GOOGLETRANSLATE(A5248,""en"",""pt"")"),"#VALUE!")</f>
        <v>#VALUE!</v>
      </c>
      <c r="G5248" s="69"/>
    </row>
    <row r="5249" ht="22.5" customHeight="1">
      <c r="A5249" s="66"/>
      <c r="B5249" s="67" t="str">
        <f t="shared" si="16"/>
        <v>M: </v>
      </c>
      <c r="C5249" s="68"/>
      <c r="D5249" s="68">
        <v>46274.0</v>
      </c>
      <c r="E5249" s="66">
        <v>7.0</v>
      </c>
      <c r="F5249" s="66" t="str">
        <f>IFERROR(__xludf.DUMMYFUNCTION("GOOGLETRANSLATE(A5249,""en"",""pt"")"),"#VALUE!")</f>
        <v>#VALUE!</v>
      </c>
      <c r="G5249" s="69"/>
    </row>
    <row r="5250" ht="22.5" customHeight="1">
      <c r="A5250" s="66"/>
      <c r="B5250" s="67" t="str">
        <f t="shared" si="16"/>
        <v>M: </v>
      </c>
      <c r="C5250" s="68"/>
      <c r="D5250" s="68">
        <v>46274.0</v>
      </c>
      <c r="E5250" s="66">
        <v>8.0</v>
      </c>
      <c r="F5250" s="66" t="str">
        <f>IFERROR(__xludf.DUMMYFUNCTION("GOOGLETRANSLATE(A5250,""en"",""pt"")"),"#VALUE!")</f>
        <v>#VALUE!</v>
      </c>
      <c r="G5250" s="69"/>
    </row>
    <row r="5251" ht="22.5" customHeight="1">
      <c r="A5251" s="66"/>
      <c r="B5251" s="67" t="str">
        <f t="shared" si="16"/>
        <v>M: </v>
      </c>
      <c r="C5251" s="68"/>
      <c r="D5251" s="68">
        <v>46274.0</v>
      </c>
      <c r="E5251" s="66">
        <v>9.0</v>
      </c>
      <c r="F5251" s="66" t="str">
        <f>IFERROR(__xludf.DUMMYFUNCTION("GOOGLETRANSLATE(A5251,""en"",""pt"")"),"#VALUE!")</f>
        <v>#VALUE!</v>
      </c>
      <c r="G5251" s="69"/>
    </row>
    <row r="5252" ht="22.5" customHeight="1">
      <c r="A5252" s="66"/>
      <c r="B5252" s="67" t="str">
        <f t="shared" si="16"/>
        <v>M: </v>
      </c>
      <c r="C5252" s="68"/>
      <c r="D5252" s="68">
        <v>46275.0</v>
      </c>
      <c r="E5252" s="66">
        <v>10.0</v>
      </c>
      <c r="F5252" s="66" t="str">
        <f>IFERROR(__xludf.DUMMYFUNCTION("GOOGLETRANSLATE(A5252,""en"",""pt"")"),"#VALUE!")</f>
        <v>#VALUE!</v>
      </c>
      <c r="G5252" s="69"/>
    </row>
    <row r="5253" ht="22.5" customHeight="1">
      <c r="A5253" s="66"/>
      <c r="B5253" s="67" t="str">
        <f t="shared" si="16"/>
        <v>M: </v>
      </c>
      <c r="C5253" s="68"/>
      <c r="D5253" s="68">
        <v>46275.0</v>
      </c>
      <c r="E5253" s="66">
        <v>1.0</v>
      </c>
      <c r="F5253" s="66" t="str">
        <f>IFERROR(__xludf.DUMMYFUNCTION("GOOGLETRANSLATE(A5253,""en"",""pt"")"),"#VALUE!")</f>
        <v>#VALUE!</v>
      </c>
      <c r="G5253" s="69"/>
    </row>
    <row r="5254" ht="22.5" customHeight="1">
      <c r="A5254" s="66"/>
      <c r="B5254" s="67" t="str">
        <f t="shared" si="16"/>
        <v>M: </v>
      </c>
      <c r="C5254" s="68"/>
      <c r="D5254" s="68">
        <v>46275.0</v>
      </c>
      <c r="E5254" s="66">
        <v>2.0</v>
      </c>
      <c r="F5254" s="66" t="str">
        <f>IFERROR(__xludf.DUMMYFUNCTION("GOOGLETRANSLATE(A5254,""en"",""pt"")"),"#VALUE!")</f>
        <v>#VALUE!</v>
      </c>
      <c r="G5254" s="69"/>
    </row>
    <row r="5255" ht="22.5" customHeight="1">
      <c r="A5255" s="66"/>
      <c r="B5255" s="67" t="str">
        <f t="shared" si="16"/>
        <v>M: </v>
      </c>
      <c r="C5255" s="68"/>
      <c r="D5255" s="68">
        <v>46275.0</v>
      </c>
      <c r="E5255" s="66">
        <v>3.0</v>
      </c>
      <c r="F5255" s="66" t="str">
        <f>IFERROR(__xludf.DUMMYFUNCTION("GOOGLETRANSLATE(A5255,""en"",""pt"")"),"#VALUE!")</f>
        <v>#VALUE!</v>
      </c>
      <c r="G5255" s="69"/>
    </row>
    <row r="5256" ht="22.5" customHeight="1">
      <c r="A5256" s="66"/>
      <c r="B5256" s="67" t="str">
        <f t="shared" si="16"/>
        <v>M: </v>
      </c>
      <c r="C5256" s="68"/>
      <c r="D5256" s="68">
        <v>46275.0</v>
      </c>
      <c r="E5256" s="66">
        <v>4.0</v>
      </c>
      <c r="F5256" s="66" t="str">
        <f>IFERROR(__xludf.DUMMYFUNCTION("GOOGLETRANSLATE(A5256,""en"",""pt"")"),"#VALUE!")</f>
        <v>#VALUE!</v>
      </c>
      <c r="G5256" s="69"/>
    </row>
    <row r="5257" ht="22.5" customHeight="1">
      <c r="A5257" s="66"/>
      <c r="B5257" s="67" t="str">
        <f t="shared" si="16"/>
        <v>M: </v>
      </c>
      <c r="C5257" s="68"/>
      <c r="D5257" s="68">
        <v>46275.0</v>
      </c>
      <c r="E5257" s="66">
        <v>5.0</v>
      </c>
      <c r="F5257" s="66" t="str">
        <f>IFERROR(__xludf.DUMMYFUNCTION("GOOGLETRANSLATE(A5257,""en"",""pt"")"),"#VALUE!")</f>
        <v>#VALUE!</v>
      </c>
      <c r="G5257" s="69"/>
    </row>
    <row r="5258" ht="22.5" customHeight="1">
      <c r="A5258" s="66"/>
      <c r="B5258" s="67" t="str">
        <f t="shared" si="16"/>
        <v>M: </v>
      </c>
      <c r="C5258" s="68"/>
      <c r="D5258" s="68">
        <v>46275.0</v>
      </c>
      <c r="E5258" s="66">
        <v>6.0</v>
      </c>
      <c r="F5258" s="66" t="str">
        <f>IFERROR(__xludf.DUMMYFUNCTION("GOOGLETRANSLATE(A5258,""en"",""pt"")"),"#VALUE!")</f>
        <v>#VALUE!</v>
      </c>
      <c r="G5258" s="69"/>
    </row>
    <row r="5259" ht="22.5" customHeight="1">
      <c r="A5259" s="66"/>
      <c r="B5259" s="67" t="str">
        <f t="shared" si="16"/>
        <v>M: </v>
      </c>
      <c r="C5259" s="68"/>
      <c r="D5259" s="68">
        <v>46275.0</v>
      </c>
      <c r="E5259" s="66">
        <v>7.0</v>
      </c>
      <c r="F5259" s="66" t="str">
        <f>IFERROR(__xludf.DUMMYFUNCTION("GOOGLETRANSLATE(A5259,""en"",""pt"")"),"#VALUE!")</f>
        <v>#VALUE!</v>
      </c>
      <c r="G5259" s="69"/>
    </row>
    <row r="5260" ht="22.5" customHeight="1">
      <c r="A5260" s="66"/>
      <c r="B5260" s="67" t="str">
        <f t="shared" si="16"/>
        <v>M: </v>
      </c>
      <c r="C5260" s="68"/>
      <c r="D5260" s="68">
        <v>46275.0</v>
      </c>
      <c r="E5260" s="66">
        <v>8.0</v>
      </c>
      <c r="F5260" s="66" t="str">
        <f>IFERROR(__xludf.DUMMYFUNCTION("GOOGLETRANSLATE(A5260,""en"",""pt"")"),"#VALUE!")</f>
        <v>#VALUE!</v>
      </c>
      <c r="G5260" s="69"/>
    </row>
    <row r="5261" ht="22.5" customHeight="1">
      <c r="A5261" s="66"/>
      <c r="B5261" s="67" t="str">
        <f t="shared" si="16"/>
        <v>M: </v>
      </c>
      <c r="C5261" s="68"/>
      <c r="D5261" s="68">
        <v>46275.0</v>
      </c>
      <c r="E5261" s="66">
        <v>9.0</v>
      </c>
      <c r="F5261" s="66" t="str">
        <f>IFERROR(__xludf.DUMMYFUNCTION("GOOGLETRANSLATE(A5261,""en"",""pt"")"),"#VALUE!")</f>
        <v>#VALUE!</v>
      </c>
      <c r="G5261" s="69"/>
    </row>
    <row r="5262" ht="22.5" customHeight="1">
      <c r="A5262" s="66"/>
      <c r="B5262" s="67" t="str">
        <f t="shared" si="16"/>
        <v>M: </v>
      </c>
      <c r="C5262" s="68"/>
      <c r="D5262" s="68">
        <v>46276.0</v>
      </c>
      <c r="E5262" s="66">
        <v>10.0</v>
      </c>
      <c r="F5262" s="66" t="str">
        <f>IFERROR(__xludf.DUMMYFUNCTION("GOOGLETRANSLATE(A5262,""en"",""pt"")"),"#VALUE!")</f>
        <v>#VALUE!</v>
      </c>
      <c r="G5262" s="69"/>
    </row>
    <row r="5263" ht="22.5" customHeight="1">
      <c r="A5263" s="66"/>
      <c r="B5263" s="67" t="str">
        <f t="shared" si="16"/>
        <v>M: </v>
      </c>
      <c r="C5263" s="68"/>
      <c r="D5263" s="68">
        <v>46276.0</v>
      </c>
      <c r="E5263" s="66">
        <v>1.0</v>
      </c>
      <c r="F5263" s="66" t="str">
        <f>IFERROR(__xludf.DUMMYFUNCTION("GOOGLETRANSLATE(A5263,""en"",""pt"")"),"#VALUE!")</f>
        <v>#VALUE!</v>
      </c>
      <c r="G5263" s="69"/>
    </row>
    <row r="5264" ht="22.5" customHeight="1">
      <c r="A5264" s="66"/>
      <c r="B5264" s="67" t="str">
        <f t="shared" si="16"/>
        <v>M: </v>
      </c>
      <c r="C5264" s="68"/>
      <c r="D5264" s="68">
        <v>46276.0</v>
      </c>
      <c r="E5264" s="66">
        <v>2.0</v>
      </c>
      <c r="F5264" s="66" t="str">
        <f>IFERROR(__xludf.DUMMYFUNCTION("GOOGLETRANSLATE(A5264,""en"",""pt"")"),"#VALUE!")</f>
        <v>#VALUE!</v>
      </c>
      <c r="G5264" s="69"/>
    </row>
    <row r="5265" ht="22.5" customHeight="1">
      <c r="A5265" s="66"/>
      <c r="B5265" s="67" t="str">
        <f t="shared" si="16"/>
        <v>M: </v>
      </c>
      <c r="C5265" s="68"/>
      <c r="D5265" s="68">
        <v>46276.0</v>
      </c>
      <c r="E5265" s="66">
        <v>3.0</v>
      </c>
      <c r="F5265" s="66" t="str">
        <f>IFERROR(__xludf.DUMMYFUNCTION("GOOGLETRANSLATE(A5265,""en"",""pt"")"),"#VALUE!")</f>
        <v>#VALUE!</v>
      </c>
      <c r="G5265" s="69"/>
    </row>
    <row r="5266" ht="22.5" customHeight="1">
      <c r="A5266" s="66"/>
      <c r="B5266" s="67" t="str">
        <f t="shared" si="16"/>
        <v>M: </v>
      </c>
      <c r="C5266" s="68"/>
      <c r="D5266" s="68">
        <v>46276.0</v>
      </c>
      <c r="E5266" s="66">
        <v>4.0</v>
      </c>
      <c r="F5266" s="66" t="str">
        <f>IFERROR(__xludf.DUMMYFUNCTION("GOOGLETRANSLATE(A5266,""en"",""pt"")"),"#VALUE!")</f>
        <v>#VALUE!</v>
      </c>
      <c r="G5266" s="69"/>
    </row>
    <row r="5267" ht="22.5" customHeight="1">
      <c r="A5267" s="66"/>
      <c r="B5267" s="67" t="str">
        <f t="shared" si="16"/>
        <v>M: </v>
      </c>
      <c r="C5267" s="68"/>
      <c r="D5267" s="68">
        <v>46276.0</v>
      </c>
      <c r="E5267" s="66">
        <v>5.0</v>
      </c>
      <c r="F5267" s="66" t="str">
        <f>IFERROR(__xludf.DUMMYFUNCTION("GOOGLETRANSLATE(A5267,""en"",""pt"")"),"#VALUE!")</f>
        <v>#VALUE!</v>
      </c>
      <c r="G5267" s="69"/>
    </row>
    <row r="5268" ht="22.5" customHeight="1">
      <c r="A5268" s="66"/>
      <c r="B5268" s="67" t="str">
        <f t="shared" si="16"/>
        <v>M: </v>
      </c>
      <c r="C5268" s="68"/>
      <c r="D5268" s="68">
        <v>46276.0</v>
      </c>
      <c r="E5268" s="66">
        <v>6.0</v>
      </c>
      <c r="F5268" s="66" t="str">
        <f>IFERROR(__xludf.DUMMYFUNCTION("GOOGLETRANSLATE(A5268,""en"",""pt"")"),"#VALUE!")</f>
        <v>#VALUE!</v>
      </c>
      <c r="G5268" s="69"/>
    </row>
    <row r="5269" ht="22.5" customHeight="1">
      <c r="A5269" s="66"/>
      <c r="B5269" s="67" t="str">
        <f t="shared" si="16"/>
        <v>M: </v>
      </c>
      <c r="C5269" s="68"/>
      <c r="D5269" s="68">
        <v>46276.0</v>
      </c>
      <c r="E5269" s="66">
        <v>7.0</v>
      </c>
      <c r="F5269" s="66" t="str">
        <f>IFERROR(__xludf.DUMMYFUNCTION("GOOGLETRANSLATE(A5269,""en"",""pt"")"),"#VALUE!")</f>
        <v>#VALUE!</v>
      </c>
      <c r="G5269" s="69"/>
    </row>
    <row r="5270" ht="22.5" customHeight="1">
      <c r="A5270" s="66"/>
      <c r="B5270" s="67" t="str">
        <f t="shared" si="16"/>
        <v>M: </v>
      </c>
      <c r="C5270" s="68"/>
      <c r="D5270" s="68">
        <v>46276.0</v>
      </c>
      <c r="E5270" s="66">
        <v>8.0</v>
      </c>
      <c r="F5270" s="66" t="str">
        <f>IFERROR(__xludf.DUMMYFUNCTION("GOOGLETRANSLATE(A5270,""en"",""pt"")"),"#VALUE!")</f>
        <v>#VALUE!</v>
      </c>
      <c r="G5270" s="69"/>
    </row>
    <row r="5271" ht="22.5" customHeight="1">
      <c r="A5271" s="66"/>
      <c r="B5271" s="67" t="str">
        <f t="shared" si="16"/>
        <v>M: </v>
      </c>
      <c r="C5271" s="68"/>
      <c r="D5271" s="68">
        <v>46276.0</v>
      </c>
      <c r="E5271" s="66">
        <v>9.0</v>
      </c>
      <c r="F5271" s="66" t="str">
        <f>IFERROR(__xludf.DUMMYFUNCTION("GOOGLETRANSLATE(A5271,""en"",""pt"")"),"#VALUE!")</f>
        <v>#VALUE!</v>
      </c>
      <c r="G5271" s="69"/>
    </row>
    <row r="5272" ht="22.5" customHeight="1">
      <c r="A5272" s="66"/>
      <c r="B5272" s="67" t="str">
        <f t="shared" si="16"/>
        <v>M: </v>
      </c>
      <c r="C5272" s="68"/>
      <c r="D5272" s="68">
        <v>46277.0</v>
      </c>
      <c r="E5272" s="66">
        <v>10.0</v>
      </c>
      <c r="F5272" s="66" t="str">
        <f>IFERROR(__xludf.DUMMYFUNCTION("GOOGLETRANSLATE(A5272,""en"",""pt"")"),"#VALUE!")</f>
        <v>#VALUE!</v>
      </c>
      <c r="G5272" s="69"/>
    </row>
    <row r="5273" ht="22.5" customHeight="1">
      <c r="A5273" s="66"/>
      <c r="B5273" s="67" t="str">
        <f t="shared" si="16"/>
        <v>M: </v>
      </c>
      <c r="C5273" s="68"/>
      <c r="D5273" s="68">
        <v>46277.0</v>
      </c>
      <c r="E5273" s="66">
        <v>1.0</v>
      </c>
      <c r="F5273" s="66" t="str">
        <f>IFERROR(__xludf.DUMMYFUNCTION("GOOGLETRANSLATE(A5273,""en"",""pt"")"),"#VALUE!")</f>
        <v>#VALUE!</v>
      </c>
      <c r="G5273" s="69"/>
    </row>
    <row r="5274" ht="22.5" customHeight="1">
      <c r="A5274" s="66"/>
      <c r="B5274" s="67" t="str">
        <f t="shared" si="16"/>
        <v>M: </v>
      </c>
      <c r="C5274" s="68"/>
      <c r="D5274" s="68">
        <v>46277.0</v>
      </c>
      <c r="E5274" s="66">
        <v>2.0</v>
      </c>
      <c r="F5274" s="66" t="str">
        <f>IFERROR(__xludf.DUMMYFUNCTION("GOOGLETRANSLATE(A5274,""en"",""pt"")"),"#VALUE!")</f>
        <v>#VALUE!</v>
      </c>
      <c r="G5274" s="69"/>
    </row>
    <row r="5275" ht="22.5" customHeight="1">
      <c r="A5275" s="66"/>
      <c r="B5275" s="67" t="str">
        <f t="shared" si="16"/>
        <v>M: </v>
      </c>
      <c r="C5275" s="68"/>
      <c r="D5275" s="68">
        <v>46277.0</v>
      </c>
      <c r="E5275" s="66">
        <v>3.0</v>
      </c>
      <c r="F5275" s="66" t="str">
        <f>IFERROR(__xludf.DUMMYFUNCTION("GOOGLETRANSLATE(A5275,""en"",""pt"")"),"#VALUE!")</f>
        <v>#VALUE!</v>
      </c>
      <c r="G5275" s="69"/>
    </row>
    <row r="5276" ht="22.5" customHeight="1">
      <c r="A5276" s="66"/>
      <c r="B5276" s="67" t="str">
        <f t="shared" si="16"/>
        <v>M: </v>
      </c>
      <c r="C5276" s="68"/>
      <c r="D5276" s="68">
        <v>46277.0</v>
      </c>
      <c r="E5276" s="66">
        <v>4.0</v>
      </c>
      <c r="F5276" s="66" t="str">
        <f>IFERROR(__xludf.DUMMYFUNCTION("GOOGLETRANSLATE(A5276,""en"",""pt"")"),"#VALUE!")</f>
        <v>#VALUE!</v>
      </c>
      <c r="G5276" s="69"/>
    </row>
    <row r="5277" ht="22.5" customHeight="1">
      <c r="A5277" s="66"/>
      <c r="B5277" s="67" t="str">
        <f t="shared" si="16"/>
        <v>M: </v>
      </c>
      <c r="C5277" s="68"/>
      <c r="D5277" s="68">
        <v>46277.0</v>
      </c>
      <c r="E5277" s="66">
        <v>5.0</v>
      </c>
      <c r="F5277" s="66" t="str">
        <f>IFERROR(__xludf.DUMMYFUNCTION("GOOGLETRANSLATE(A5277,""en"",""pt"")"),"#VALUE!")</f>
        <v>#VALUE!</v>
      </c>
      <c r="G5277" s="69"/>
    </row>
    <row r="5278" ht="22.5" customHeight="1">
      <c r="A5278" s="66"/>
      <c r="B5278" s="67" t="str">
        <f t="shared" si="16"/>
        <v>M: </v>
      </c>
      <c r="C5278" s="68"/>
      <c r="D5278" s="68">
        <v>46277.0</v>
      </c>
      <c r="E5278" s="66">
        <v>6.0</v>
      </c>
      <c r="F5278" s="66" t="str">
        <f>IFERROR(__xludf.DUMMYFUNCTION("GOOGLETRANSLATE(A5278,""en"",""pt"")"),"#VALUE!")</f>
        <v>#VALUE!</v>
      </c>
      <c r="G5278" s="69"/>
    </row>
    <row r="5279" ht="22.5" customHeight="1">
      <c r="A5279" s="66"/>
      <c r="B5279" s="67" t="str">
        <f t="shared" si="16"/>
        <v>M: </v>
      </c>
      <c r="C5279" s="68"/>
      <c r="D5279" s="68">
        <v>46277.0</v>
      </c>
      <c r="E5279" s="66">
        <v>7.0</v>
      </c>
      <c r="F5279" s="66" t="str">
        <f>IFERROR(__xludf.DUMMYFUNCTION("GOOGLETRANSLATE(A5279,""en"",""pt"")"),"#VALUE!")</f>
        <v>#VALUE!</v>
      </c>
      <c r="G5279" s="69"/>
    </row>
    <row r="5280" ht="22.5" customHeight="1">
      <c r="A5280" s="66"/>
      <c r="B5280" s="67" t="str">
        <f t="shared" si="16"/>
        <v>M: </v>
      </c>
      <c r="C5280" s="68"/>
      <c r="D5280" s="68">
        <v>46277.0</v>
      </c>
      <c r="E5280" s="66">
        <v>8.0</v>
      </c>
      <c r="F5280" s="66" t="str">
        <f>IFERROR(__xludf.DUMMYFUNCTION("GOOGLETRANSLATE(A5280,""en"",""pt"")"),"#VALUE!")</f>
        <v>#VALUE!</v>
      </c>
      <c r="G5280" s="69"/>
    </row>
    <row r="5281" ht="22.5" customHeight="1">
      <c r="A5281" s="66"/>
      <c r="B5281" s="67" t="str">
        <f t="shared" si="16"/>
        <v>M: </v>
      </c>
      <c r="C5281" s="68"/>
      <c r="D5281" s="68">
        <v>46277.0</v>
      </c>
      <c r="E5281" s="66">
        <v>9.0</v>
      </c>
      <c r="F5281" s="66" t="str">
        <f>IFERROR(__xludf.DUMMYFUNCTION("GOOGLETRANSLATE(A5281,""en"",""pt"")"),"#VALUE!")</f>
        <v>#VALUE!</v>
      </c>
      <c r="G5281" s="69"/>
    </row>
    <row r="5282" ht="22.5" customHeight="1">
      <c r="A5282" s="66"/>
      <c r="B5282" s="67" t="str">
        <f t="shared" si="16"/>
        <v>M: </v>
      </c>
      <c r="C5282" s="68"/>
      <c r="D5282" s="68">
        <v>46278.0</v>
      </c>
      <c r="E5282" s="66">
        <v>10.0</v>
      </c>
      <c r="F5282" s="66" t="str">
        <f>IFERROR(__xludf.DUMMYFUNCTION("GOOGLETRANSLATE(A5282,""en"",""pt"")"),"#VALUE!")</f>
        <v>#VALUE!</v>
      </c>
      <c r="G5282" s="69"/>
    </row>
    <row r="5283" ht="22.5" customHeight="1">
      <c r="A5283" s="66"/>
      <c r="B5283" s="67" t="str">
        <f t="shared" si="16"/>
        <v>M: </v>
      </c>
      <c r="C5283" s="68"/>
      <c r="D5283" s="68">
        <v>46278.0</v>
      </c>
      <c r="E5283" s="66">
        <v>1.0</v>
      </c>
      <c r="F5283" s="66" t="str">
        <f>IFERROR(__xludf.DUMMYFUNCTION("GOOGLETRANSLATE(A5283,""en"",""pt"")"),"#VALUE!")</f>
        <v>#VALUE!</v>
      </c>
      <c r="G5283" s="69"/>
    </row>
    <row r="5284" ht="22.5" customHeight="1">
      <c r="A5284" s="66"/>
      <c r="B5284" s="67" t="str">
        <f t="shared" si="16"/>
        <v>M: </v>
      </c>
      <c r="C5284" s="68"/>
      <c r="D5284" s="68">
        <v>46278.0</v>
      </c>
      <c r="E5284" s="66">
        <v>2.0</v>
      </c>
      <c r="F5284" s="66" t="str">
        <f>IFERROR(__xludf.DUMMYFUNCTION("GOOGLETRANSLATE(A5284,""en"",""pt"")"),"#VALUE!")</f>
        <v>#VALUE!</v>
      </c>
      <c r="G5284" s="69"/>
    </row>
    <row r="5285" ht="22.5" customHeight="1">
      <c r="A5285" s="66"/>
      <c r="B5285" s="67" t="str">
        <f t="shared" si="16"/>
        <v>M: </v>
      </c>
      <c r="C5285" s="68"/>
      <c r="D5285" s="68">
        <v>46278.0</v>
      </c>
      <c r="E5285" s="66">
        <v>3.0</v>
      </c>
      <c r="F5285" s="66" t="str">
        <f>IFERROR(__xludf.DUMMYFUNCTION("GOOGLETRANSLATE(A5285,""en"",""pt"")"),"#VALUE!")</f>
        <v>#VALUE!</v>
      </c>
      <c r="G5285" s="69"/>
    </row>
    <row r="5286" ht="22.5" customHeight="1">
      <c r="A5286" s="66"/>
      <c r="B5286" s="67" t="str">
        <f t="shared" si="16"/>
        <v>M: </v>
      </c>
      <c r="C5286" s="68"/>
      <c r="D5286" s="68">
        <v>46278.0</v>
      </c>
      <c r="E5286" s="66">
        <v>4.0</v>
      </c>
      <c r="F5286" s="66" t="str">
        <f>IFERROR(__xludf.DUMMYFUNCTION("GOOGLETRANSLATE(A5286,""en"",""pt"")"),"#VALUE!")</f>
        <v>#VALUE!</v>
      </c>
      <c r="G5286" s="69"/>
    </row>
    <row r="5287" ht="22.5" customHeight="1">
      <c r="A5287" s="66"/>
      <c r="B5287" s="67" t="str">
        <f t="shared" si="16"/>
        <v>M: </v>
      </c>
      <c r="C5287" s="68"/>
      <c r="D5287" s="68">
        <v>46278.0</v>
      </c>
      <c r="E5287" s="66">
        <v>5.0</v>
      </c>
      <c r="F5287" s="66" t="str">
        <f>IFERROR(__xludf.DUMMYFUNCTION("GOOGLETRANSLATE(A5287,""en"",""pt"")"),"#VALUE!")</f>
        <v>#VALUE!</v>
      </c>
      <c r="G5287" s="69"/>
    </row>
    <row r="5288" ht="22.5" customHeight="1">
      <c r="A5288" s="66"/>
      <c r="B5288" s="67" t="str">
        <f t="shared" si="16"/>
        <v>M: </v>
      </c>
      <c r="C5288" s="68"/>
      <c r="D5288" s="68">
        <v>46278.0</v>
      </c>
      <c r="E5288" s="66">
        <v>6.0</v>
      </c>
      <c r="F5288" s="66" t="str">
        <f>IFERROR(__xludf.DUMMYFUNCTION("GOOGLETRANSLATE(A5288,""en"",""pt"")"),"#VALUE!")</f>
        <v>#VALUE!</v>
      </c>
      <c r="G5288" s="69"/>
    </row>
    <row r="5289" ht="22.5" customHeight="1">
      <c r="A5289" s="66"/>
      <c r="B5289" s="67" t="str">
        <f t="shared" si="16"/>
        <v>M: </v>
      </c>
      <c r="C5289" s="68"/>
      <c r="D5289" s="68">
        <v>46278.0</v>
      </c>
      <c r="E5289" s="66">
        <v>7.0</v>
      </c>
      <c r="F5289" s="66" t="str">
        <f>IFERROR(__xludf.DUMMYFUNCTION("GOOGLETRANSLATE(A5289,""en"",""pt"")"),"#VALUE!")</f>
        <v>#VALUE!</v>
      </c>
      <c r="G5289" s="69"/>
    </row>
    <row r="5290" ht="22.5" customHeight="1">
      <c r="A5290" s="66"/>
      <c r="B5290" s="67" t="str">
        <f t="shared" si="16"/>
        <v>M: </v>
      </c>
      <c r="C5290" s="68"/>
      <c r="D5290" s="68">
        <v>46278.0</v>
      </c>
      <c r="E5290" s="66">
        <v>8.0</v>
      </c>
      <c r="F5290" s="66" t="str">
        <f>IFERROR(__xludf.DUMMYFUNCTION("GOOGLETRANSLATE(A5290,""en"",""pt"")"),"#VALUE!")</f>
        <v>#VALUE!</v>
      </c>
      <c r="G5290" s="69"/>
    </row>
    <row r="5291" ht="22.5" customHeight="1">
      <c r="A5291" s="66"/>
      <c r="B5291" s="67" t="str">
        <f t="shared" si="16"/>
        <v>M: </v>
      </c>
      <c r="C5291" s="68"/>
      <c r="D5291" s="68">
        <v>46278.0</v>
      </c>
      <c r="E5291" s="66">
        <v>9.0</v>
      </c>
      <c r="F5291" s="66" t="str">
        <f>IFERROR(__xludf.DUMMYFUNCTION("GOOGLETRANSLATE(A5291,""en"",""pt"")"),"#VALUE!")</f>
        <v>#VALUE!</v>
      </c>
      <c r="G5291" s="69"/>
    </row>
    <row r="5292" ht="22.5" customHeight="1">
      <c r="A5292" s="66"/>
      <c r="B5292" s="67" t="str">
        <f t="shared" si="16"/>
        <v>M: </v>
      </c>
      <c r="C5292" s="68"/>
      <c r="D5292" s="68">
        <v>46279.0</v>
      </c>
      <c r="E5292" s="66">
        <v>10.0</v>
      </c>
      <c r="F5292" s="66" t="str">
        <f>IFERROR(__xludf.DUMMYFUNCTION("GOOGLETRANSLATE(A5292,""en"",""pt"")"),"#VALUE!")</f>
        <v>#VALUE!</v>
      </c>
      <c r="G5292" s="69"/>
    </row>
    <row r="5293" ht="22.5" customHeight="1">
      <c r="A5293" s="66"/>
      <c r="B5293" s="67" t="str">
        <f t="shared" si="16"/>
        <v>M: </v>
      </c>
      <c r="C5293" s="68"/>
      <c r="D5293" s="68">
        <v>46279.0</v>
      </c>
      <c r="E5293" s="66">
        <v>1.0</v>
      </c>
      <c r="F5293" s="66" t="str">
        <f>IFERROR(__xludf.DUMMYFUNCTION("GOOGLETRANSLATE(A5293,""en"",""pt"")"),"#VALUE!")</f>
        <v>#VALUE!</v>
      </c>
      <c r="G5293" s="69"/>
    </row>
    <row r="5294" ht="22.5" customHeight="1">
      <c r="A5294" s="66"/>
      <c r="B5294" s="67" t="str">
        <f t="shared" si="16"/>
        <v>M: </v>
      </c>
      <c r="C5294" s="68"/>
      <c r="D5294" s="68">
        <v>46279.0</v>
      </c>
      <c r="E5294" s="66">
        <v>2.0</v>
      </c>
      <c r="F5294" s="66" t="str">
        <f>IFERROR(__xludf.DUMMYFUNCTION("GOOGLETRANSLATE(A5294,""en"",""pt"")"),"#VALUE!")</f>
        <v>#VALUE!</v>
      </c>
      <c r="G5294" s="69"/>
    </row>
    <row r="5295" ht="22.5" customHeight="1">
      <c r="A5295" s="66"/>
      <c r="B5295" s="67" t="str">
        <f t="shared" si="16"/>
        <v>M: </v>
      </c>
      <c r="C5295" s="68"/>
      <c r="D5295" s="68">
        <v>46279.0</v>
      </c>
      <c r="E5295" s="66">
        <v>3.0</v>
      </c>
      <c r="F5295" s="66" t="str">
        <f>IFERROR(__xludf.DUMMYFUNCTION("GOOGLETRANSLATE(A5295,""en"",""pt"")"),"#VALUE!")</f>
        <v>#VALUE!</v>
      </c>
      <c r="G5295" s="69"/>
    </row>
    <row r="5296" ht="22.5" customHeight="1">
      <c r="A5296" s="66"/>
      <c r="B5296" s="67" t="str">
        <f t="shared" si="16"/>
        <v>M: </v>
      </c>
      <c r="C5296" s="68"/>
      <c r="D5296" s="68">
        <v>46279.0</v>
      </c>
      <c r="E5296" s="66">
        <v>4.0</v>
      </c>
      <c r="F5296" s="66" t="str">
        <f>IFERROR(__xludf.DUMMYFUNCTION("GOOGLETRANSLATE(A5296,""en"",""pt"")"),"#VALUE!")</f>
        <v>#VALUE!</v>
      </c>
      <c r="G5296" s="69"/>
    </row>
    <row r="5297" ht="22.5" customHeight="1">
      <c r="A5297" s="66"/>
      <c r="B5297" s="67" t="str">
        <f t="shared" si="16"/>
        <v>M: </v>
      </c>
      <c r="C5297" s="68"/>
      <c r="D5297" s="68">
        <v>46279.0</v>
      </c>
      <c r="E5297" s="66">
        <v>5.0</v>
      </c>
      <c r="F5297" s="66" t="str">
        <f>IFERROR(__xludf.DUMMYFUNCTION("GOOGLETRANSLATE(A5297,""en"",""pt"")"),"#VALUE!")</f>
        <v>#VALUE!</v>
      </c>
      <c r="G5297" s="69"/>
    </row>
    <row r="5298" ht="22.5" customHeight="1">
      <c r="A5298" s="66"/>
      <c r="B5298" s="67" t="str">
        <f t="shared" si="16"/>
        <v>M: </v>
      </c>
      <c r="C5298" s="68"/>
      <c r="D5298" s="68">
        <v>46279.0</v>
      </c>
      <c r="E5298" s="66">
        <v>6.0</v>
      </c>
      <c r="F5298" s="66" t="str">
        <f>IFERROR(__xludf.DUMMYFUNCTION("GOOGLETRANSLATE(A5298,""en"",""pt"")"),"#VALUE!")</f>
        <v>#VALUE!</v>
      </c>
      <c r="G5298" s="69"/>
    </row>
    <row r="5299" ht="22.5" customHeight="1">
      <c r="A5299" s="66"/>
      <c r="B5299" s="67" t="str">
        <f t="shared" si="16"/>
        <v>M: </v>
      </c>
      <c r="C5299" s="68"/>
      <c r="D5299" s="68">
        <v>46279.0</v>
      </c>
      <c r="E5299" s="66">
        <v>7.0</v>
      </c>
      <c r="F5299" s="66" t="str">
        <f>IFERROR(__xludf.DUMMYFUNCTION("GOOGLETRANSLATE(A5299,""en"",""pt"")"),"#VALUE!")</f>
        <v>#VALUE!</v>
      </c>
      <c r="G5299" s="69"/>
    </row>
    <row r="5300" ht="22.5" customHeight="1">
      <c r="A5300" s="66"/>
      <c r="B5300" s="67" t="str">
        <f t="shared" si="16"/>
        <v>M: </v>
      </c>
      <c r="C5300" s="68"/>
      <c r="D5300" s="68">
        <v>46279.0</v>
      </c>
      <c r="E5300" s="66">
        <v>8.0</v>
      </c>
      <c r="F5300" s="66" t="str">
        <f>IFERROR(__xludf.DUMMYFUNCTION("GOOGLETRANSLATE(A5300,""en"",""pt"")"),"#VALUE!")</f>
        <v>#VALUE!</v>
      </c>
      <c r="G5300" s="69"/>
    </row>
    <row r="5301" ht="22.5" customHeight="1">
      <c r="A5301" s="66"/>
      <c r="B5301" s="67" t="str">
        <f t="shared" si="16"/>
        <v>M: </v>
      </c>
      <c r="C5301" s="68"/>
      <c r="D5301" s="68">
        <v>46279.0</v>
      </c>
      <c r="E5301" s="66">
        <v>9.0</v>
      </c>
      <c r="F5301" s="66" t="str">
        <f>IFERROR(__xludf.DUMMYFUNCTION("GOOGLETRANSLATE(A5301,""en"",""pt"")"),"#VALUE!")</f>
        <v>#VALUE!</v>
      </c>
      <c r="G5301" s="69"/>
    </row>
    <row r="5302" ht="22.5" customHeight="1">
      <c r="A5302" s="66"/>
      <c r="B5302" s="67" t="str">
        <f t="shared" si="16"/>
        <v>M: </v>
      </c>
      <c r="C5302" s="68"/>
      <c r="D5302" s="68">
        <v>46280.0</v>
      </c>
      <c r="E5302" s="66">
        <v>10.0</v>
      </c>
      <c r="F5302" s="66" t="str">
        <f>IFERROR(__xludf.DUMMYFUNCTION("GOOGLETRANSLATE(A5302,""en"",""pt"")"),"#VALUE!")</f>
        <v>#VALUE!</v>
      </c>
      <c r="G5302" s="69"/>
    </row>
    <row r="5303" ht="22.5" customHeight="1">
      <c r="A5303" s="66"/>
      <c r="B5303" s="67" t="str">
        <f t="shared" si="16"/>
        <v>M: </v>
      </c>
      <c r="C5303" s="68"/>
      <c r="D5303" s="68">
        <v>46280.0</v>
      </c>
      <c r="E5303" s="66">
        <v>1.0</v>
      </c>
      <c r="F5303" s="66" t="str">
        <f>IFERROR(__xludf.DUMMYFUNCTION("GOOGLETRANSLATE(A5303,""en"",""pt"")"),"#VALUE!")</f>
        <v>#VALUE!</v>
      </c>
      <c r="G5303" s="69"/>
    </row>
    <row r="5304" ht="22.5" customHeight="1">
      <c r="A5304" s="66"/>
      <c r="B5304" s="67" t="str">
        <f t="shared" si="16"/>
        <v>M: </v>
      </c>
      <c r="C5304" s="68"/>
      <c r="D5304" s="68">
        <v>46280.0</v>
      </c>
      <c r="E5304" s="66">
        <v>2.0</v>
      </c>
      <c r="F5304" s="66" t="str">
        <f>IFERROR(__xludf.DUMMYFUNCTION("GOOGLETRANSLATE(A5304,""en"",""pt"")"),"#VALUE!")</f>
        <v>#VALUE!</v>
      </c>
      <c r="G5304" s="69"/>
    </row>
    <row r="5305" ht="22.5" customHeight="1">
      <c r="A5305" s="66"/>
      <c r="B5305" s="67" t="str">
        <f t="shared" si="16"/>
        <v>M: </v>
      </c>
      <c r="C5305" s="68"/>
      <c r="D5305" s="68">
        <v>46280.0</v>
      </c>
      <c r="E5305" s="66">
        <v>3.0</v>
      </c>
      <c r="F5305" s="66" t="str">
        <f>IFERROR(__xludf.DUMMYFUNCTION("GOOGLETRANSLATE(A5305,""en"",""pt"")"),"#VALUE!")</f>
        <v>#VALUE!</v>
      </c>
      <c r="G5305" s="69"/>
    </row>
    <row r="5306" ht="22.5" customHeight="1">
      <c r="A5306" s="66"/>
      <c r="B5306" s="67" t="str">
        <f t="shared" si="16"/>
        <v>M: </v>
      </c>
      <c r="C5306" s="68"/>
      <c r="D5306" s="68">
        <v>46280.0</v>
      </c>
      <c r="E5306" s="66">
        <v>4.0</v>
      </c>
      <c r="F5306" s="66" t="str">
        <f>IFERROR(__xludf.DUMMYFUNCTION("GOOGLETRANSLATE(A5306,""en"",""pt"")"),"#VALUE!")</f>
        <v>#VALUE!</v>
      </c>
      <c r="G5306" s="69"/>
    </row>
    <row r="5307" ht="22.5" customHeight="1">
      <c r="A5307" s="66"/>
      <c r="B5307" s="67" t="str">
        <f t="shared" si="16"/>
        <v>M: </v>
      </c>
      <c r="C5307" s="68"/>
      <c r="D5307" s="68">
        <v>46280.0</v>
      </c>
      <c r="E5307" s="66">
        <v>5.0</v>
      </c>
      <c r="F5307" s="66" t="str">
        <f>IFERROR(__xludf.DUMMYFUNCTION("GOOGLETRANSLATE(A5307,""en"",""pt"")"),"#VALUE!")</f>
        <v>#VALUE!</v>
      </c>
      <c r="G5307" s="69"/>
    </row>
    <row r="5308" ht="22.5" customHeight="1">
      <c r="A5308" s="66"/>
      <c r="B5308" s="67" t="str">
        <f t="shared" si="16"/>
        <v>M: </v>
      </c>
      <c r="C5308" s="68"/>
      <c r="D5308" s="68">
        <v>46280.0</v>
      </c>
      <c r="E5308" s="66">
        <v>6.0</v>
      </c>
      <c r="F5308" s="66" t="str">
        <f>IFERROR(__xludf.DUMMYFUNCTION("GOOGLETRANSLATE(A5308,""en"",""pt"")"),"#VALUE!")</f>
        <v>#VALUE!</v>
      </c>
      <c r="G5308" s="69"/>
    </row>
    <row r="5309" ht="22.5" customHeight="1">
      <c r="A5309" s="66"/>
      <c r="B5309" s="67" t="str">
        <f t="shared" si="16"/>
        <v>M: </v>
      </c>
      <c r="C5309" s="68"/>
      <c r="D5309" s="68">
        <v>46280.0</v>
      </c>
      <c r="E5309" s="66">
        <v>7.0</v>
      </c>
      <c r="F5309" s="66" t="str">
        <f>IFERROR(__xludf.DUMMYFUNCTION("GOOGLETRANSLATE(A5309,""en"",""pt"")"),"#VALUE!")</f>
        <v>#VALUE!</v>
      </c>
      <c r="G5309" s="69"/>
    </row>
    <row r="5310" ht="22.5" customHeight="1">
      <c r="A5310" s="66"/>
      <c r="B5310" s="67" t="str">
        <f t="shared" si="16"/>
        <v>M: </v>
      </c>
      <c r="C5310" s="68"/>
      <c r="D5310" s="68">
        <v>46280.0</v>
      </c>
      <c r="E5310" s="66">
        <v>8.0</v>
      </c>
      <c r="F5310" s="66" t="str">
        <f>IFERROR(__xludf.DUMMYFUNCTION("GOOGLETRANSLATE(A5310,""en"",""pt"")"),"#VALUE!")</f>
        <v>#VALUE!</v>
      </c>
      <c r="G5310" s="69"/>
    </row>
    <row r="5311" ht="22.5" customHeight="1">
      <c r="A5311" s="66"/>
      <c r="B5311" s="67" t="str">
        <f t="shared" si="16"/>
        <v>M: </v>
      </c>
      <c r="C5311" s="68"/>
      <c r="D5311" s="68">
        <v>46280.0</v>
      </c>
      <c r="E5311" s="66">
        <v>9.0</v>
      </c>
      <c r="F5311" s="66" t="str">
        <f>IFERROR(__xludf.DUMMYFUNCTION("GOOGLETRANSLATE(A5311,""en"",""pt"")"),"#VALUE!")</f>
        <v>#VALUE!</v>
      </c>
      <c r="G5311" s="69"/>
    </row>
    <row r="5312" ht="22.5" customHeight="1">
      <c r="A5312" s="66"/>
      <c r="B5312" s="67" t="str">
        <f t="shared" si="16"/>
        <v>M: </v>
      </c>
      <c r="C5312" s="68"/>
      <c r="D5312" s="68">
        <v>46281.0</v>
      </c>
      <c r="E5312" s="66">
        <v>10.0</v>
      </c>
      <c r="F5312" s="66" t="str">
        <f>IFERROR(__xludf.DUMMYFUNCTION("GOOGLETRANSLATE(A5312,""en"",""pt"")"),"#VALUE!")</f>
        <v>#VALUE!</v>
      </c>
      <c r="G5312" s="69"/>
    </row>
    <row r="5313" ht="22.5" customHeight="1">
      <c r="A5313" s="66"/>
      <c r="B5313" s="67" t="str">
        <f t="shared" si="16"/>
        <v>M: </v>
      </c>
      <c r="C5313" s="68"/>
      <c r="D5313" s="68">
        <v>46281.0</v>
      </c>
      <c r="E5313" s="66">
        <v>1.0</v>
      </c>
      <c r="F5313" s="66" t="str">
        <f>IFERROR(__xludf.DUMMYFUNCTION("GOOGLETRANSLATE(A5313,""en"",""pt"")"),"#VALUE!")</f>
        <v>#VALUE!</v>
      </c>
      <c r="G5313" s="69"/>
    </row>
    <row r="5314" ht="22.5" customHeight="1">
      <c r="A5314" s="66"/>
      <c r="B5314" s="67" t="str">
        <f t="shared" si="16"/>
        <v>M: </v>
      </c>
      <c r="C5314" s="68"/>
      <c r="D5314" s="68">
        <v>46281.0</v>
      </c>
      <c r="E5314" s="66">
        <v>2.0</v>
      </c>
      <c r="F5314" s="66" t="str">
        <f>IFERROR(__xludf.DUMMYFUNCTION("GOOGLETRANSLATE(A5314,""en"",""pt"")"),"#VALUE!")</f>
        <v>#VALUE!</v>
      </c>
      <c r="G5314" s="69"/>
    </row>
    <row r="5315" ht="22.5" customHeight="1">
      <c r="A5315" s="66"/>
      <c r="B5315" s="67" t="str">
        <f t="shared" si="16"/>
        <v>M: </v>
      </c>
      <c r="C5315" s="68"/>
      <c r="D5315" s="68">
        <v>46281.0</v>
      </c>
      <c r="E5315" s="66">
        <v>3.0</v>
      </c>
      <c r="F5315" s="66" t="str">
        <f>IFERROR(__xludf.DUMMYFUNCTION("GOOGLETRANSLATE(A5315,""en"",""pt"")"),"#VALUE!")</f>
        <v>#VALUE!</v>
      </c>
      <c r="G5315" s="69"/>
    </row>
    <row r="5316" ht="22.5" customHeight="1">
      <c r="A5316" s="66"/>
      <c r="B5316" s="67" t="str">
        <f t="shared" si="16"/>
        <v>M: </v>
      </c>
      <c r="C5316" s="68"/>
      <c r="D5316" s="68">
        <v>46281.0</v>
      </c>
      <c r="E5316" s="66">
        <v>4.0</v>
      </c>
      <c r="F5316" s="66" t="str">
        <f>IFERROR(__xludf.DUMMYFUNCTION("GOOGLETRANSLATE(A5316,""en"",""pt"")"),"#VALUE!")</f>
        <v>#VALUE!</v>
      </c>
      <c r="G5316" s="69"/>
    </row>
    <row r="5317" ht="22.5" customHeight="1">
      <c r="A5317" s="66"/>
      <c r="B5317" s="67" t="str">
        <f t="shared" si="16"/>
        <v>M: </v>
      </c>
      <c r="C5317" s="68"/>
      <c r="D5317" s="68">
        <v>46281.0</v>
      </c>
      <c r="E5317" s="66">
        <v>5.0</v>
      </c>
      <c r="F5317" s="66" t="str">
        <f>IFERROR(__xludf.DUMMYFUNCTION("GOOGLETRANSLATE(A5317,""en"",""pt"")"),"#VALUE!")</f>
        <v>#VALUE!</v>
      </c>
      <c r="G5317" s="69"/>
    </row>
    <row r="5318" ht="22.5" customHeight="1">
      <c r="A5318" s="66"/>
      <c r="B5318" s="67" t="str">
        <f t="shared" si="16"/>
        <v>M: </v>
      </c>
      <c r="C5318" s="68"/>
      <c r="D5318" s="68">
        <v>46281.0</v>
      </c>
      <c r="E5318" s="66">
        <v>6.0</v>
      </c>
      <c r="F5318" s="66" t="str">
        <f>IFERROR(__xludf.DUMMYFUNCTION("GOOGLETRANSLATE(A5318,""en"",""pt"")"),"#VALUE!")</f>
        <v>#VALUE!</v>
      </c>
      <c r="G5318" s="69"/>
    </row>
    <row r="5319" ht="22.5" customHeight="1">
      <c r="A5319" s="66"/>
      <c r="B5319" s="67" t="str">
        <f t="shared" si="16"/>
        <v>M: </v>
      </c>
      <c r="C5319" s="68"/>
      <c r="D5319" s="68">
        <v>46281.0</v>
      </c>
      <c r="E5319" s="66">
        <v>7.0</v>
      </c>
      <c r="F5319" s="66" t="str">
        <f>IFERROR(__xludf.DUMMYFUNCTION("GOOGLETRANSLATE(A5319,""en"",""pt"")"),"#VALUE!")</f>
        <v>#VALUE!</v>
      </c>
      <c r="G5319" s="69"/>
    </row>
    <row r="5320" ht="22.5" customHeight="1">
      <c r="A5320" s="66"/>
      <c r="B5320" s="67" t="str">
        <f t="shared" si="16"/>
        <v>M: </v>
      </c>
      <c r="C5320" s="68"/>
      <c r="D5320" s="68">
        <v>46281.0</v>
      </c>
      <c r="E5320" s="66">
        <v>8.0</v>
      </c>
      <c r="F5320" s="66" t="str">
        <f>IFERROR(__xludf.DUMMYFUNCTION("GOOGLETRANSLATE(A5320,""en"",""pt"")"),"#VALUE!")</f>
        <v>#VALUE!</v>
      </c>
      <c r="G5320" s="69"/>
    </row>
    <row r="5321" ht="22.5" customHeight="1">
      <c r="A5321" s="66"/>
      <c r="B5321" s="67" t="str">
        <f t="shared" si="16"/>
        <v>M: </v>
      </c>
      <c r="C5321" s="68"/>
      <c r="D5321" s="68">
        <v>46281.0</v>
      </c>
      <c r="E5321" s="66">
        <v>9.0</v>
      </c>
      <c r="F5321" s="66" t="str">
        <f>IFERROR(__xludf.DUMMYFUNCTION("GOOGLETRANSLATE(A5321,""en"",""pt"")"),"#VALUE!")</f>
        <v>#VALUE!</v>
      </c>
      <c r="G5321" s="69"/>
    </row>
    <row r="5322" ht="22.5" customHeight="1">
      <c r="A5322" s="66"/>
      <c r="B5322" s="67" t="str">
        <f t="shared" si="16"/>
        <v>M: </v>
      </c>
      <c r="C5322" s="68"/>
      <c r="D5322" s="68">
        <v>46282.0</v>
      </c>
      <c r="E5322" s="66">
        <v>10.0</v>
      </c>
      <c r="F5322" s="66" t="str">
        <f>IFERROR(__xludf.DUMMYFUNCTION("GOOGLETRANSLATE(A5322,""en"",""pt"")"),"#VALUE!")</f>
        <v>#VALUE!</v>
      </c>
      <c r="G5322" s="69"/>
    </row>
    <row r="5323" ht="22.5" customHeight="1">
      <c r="A5323" s="66"/>
      <c r="B5323" s="67" t="str">
        <f t="shared" si="16"/>
        <v>M: </v>
      </c>
      <c r="C5323" s="68"/>
      <c r="D5323" s="68">
        <v>46282.0</v>
      </c>
      <c r="E5323" s="66">
        <v>1.0</v>
      </c>
      <c r="F5323" s="66" t="str">
        <f>IFERROR(__xludf.DUMMYFUNCTION("GOOGLETRANSLATE(A5323,""en"",""pt"")"),"#VALUE!")</f>
        <v>#VALUE!</v>
      </c>
      <c r="G5323" s="69"/>
    </row>
    <row r="5324" ht="22.5" customHeight="1">
      <c r="A5324" s="66"/>
      <c r="B5324" s="67" t="str">
        <f t="shared" si="16"/>
        <v>M: </v>
      </c>
      <c r="C5324" s="68"/>
      <c r="D5324" s="68">
        <v>46282.0</v>
      </c>
      <c r="E5324" s="66">
        <v>2.0</v>
      </c>
      <c r="F5324" s="66" t="str">
        <f>IFERROR(__xludf.DUMMYFUNCTION("GOOGLETRANSLATE(A5324,""en"",""pt"")"),"#VALUE!")</f>
        <v>#VALUE!</v>
      </c>
      <c r="G5324" s="69"/>
    </row>
    <row r="5325" ht="22.5" customHeight="1">
      <c r="A5325" s="66"/>
      <c r="B5325" s="67" t="str">
        <f t="shared" si="16"/>
        <v>M: </v>
      </c>
      <c r="C5325" s="68"/>
      <c r="D5325" s="68">
        <v>46282.0</v>
      </c>
      <c r="E5325" s="66">
        <v>3.0</v>
      </c>
      <c r="F5325" s="66" t="str">
        <f>IFERROR(__xludf.DUMMYFUNCTION("GOOGLETRANSLATE(A5325,""en"",""pt"")"),"#VALUE!")</f>
        <v>#VALUE!</v>
      </c>
      <c r="G5325" s="69"/>
    </row>
    <row r="5326" ht="22.5" customHeight="1">
      <c r="A5326" s="66"/>
      <c r="B5326" s="67" t="str">
        <f t="shared" si="16"/>
        <v>M: </v>
      </c>
      <c r="C5326" s="68"/>
      <c r="D5326" s="68">
        <v>46282.0</v>
      </c>
      <c r="E5326" s="66">
        <v>4.0</v>
      </c>
      <c r="F5326" s="66" t="str">
        <f>IFERROR(__xludf.DUMMYFUNCTION("GOOGLETRANSLATE(A5326,""en"",""pt"")"),"#VALUE!")</f>
        <v>#VALUE!</v>
      </c>
      <c r="G5326" s="69"/>
    </row>
    <row r="5327" ht="22.5" customHeight="1">
      <c r="A5327" s="66"/>
      <c r="B5327" s="67" t="str">
        <f t="shared" si="16"/>
        <v>M: </v>
      </c>
      <c r="C5327" s="68"/>
      <c r="D5327" s="68">
        <v>46282.0</v>
      </c>
      <c r="E5327" s="66">
        <v>5.0</v>
      </c>
      <c r="F5327" s="66" t="str">
        <f>IFERROR(__xludf.DUMMYFUNCTION("GOOGLETRANSLATE(A5327,""en"",""pt"")"),"#VALUE!")</f>
        <v>#VALUE!</v>
      </c>
      <c r="G5327" s="69"/>
    </row>
    <row r="5328" ht="22.5" customHeight="1">
      <c r="A5328" s="66"/>
      <c r="B5328" s="67" t="str">
        <f t="shared" si="16"/>
        <v>M: </v>
      </c>
      <c r="C5328" s="68"/>
      <c r="D5328" s="68">
        <v>46282.0</v>
      </c>
      <c r="E5328" s="66">
        <v>6.0</v>
      </c>
      <c r="F5328" s="66" t="str">
        <f>IFERROR(__xludf.DUMMYFUNCTION("GOOGLETRANSLATE(A5328,""en"",""pt"")"),"#VALUE!")</f>
        <v>#VALUE!</v>
      </c>
      <c r="G5328" s="69"/>
    </row>
    <row r="5329" ht="22.5" customHeight="1">
      <c r="A5329" s="66"/>
      <c r="B5329" s="67" t="str">
        <f t="shared" si="16"/>
        <v>M: </v>
      </c>
      <c r="C5329" s="68"/>
      <c r="D5329" s="68">
        <v>46282.0</v>
      </c>
      <c r="E5329" s="66">
        <v>7.0</v>
      </c>
      <c r="F5329" s="66" t="str">
        <f>IFERROR(__xludf.DUMMYFUNCTION("GOOGLETRANSLATE(A5329,""en"",""pt"")"),"#VALUE!")</f>
        <v>#VALUE!</v>
      </c>
      <c r="G5329" s="69"/>
    </row>
    <row r="5330" ht="22.5" customHeight="1">
      <c r="A5330" s="66"/>
      <c r="B5330" s="67" t="str">
        <f t="shared" si="16"/>
        <v>M: </v>
      </c>
      <c r="C5330" s="68"/>
      <c r="D5330" s="68">
        <v>46282.0</v>
      </c>
      <c r="E5330" s="66">
        <v>8.0</v>
      </c>
      <c r="F5330" s="66" t="str">
        <f>IFERROR(__xludf.DUMMYFUNCTION("GOOGLETRANSLATE(A5330,""en"",""pt"")"),"#VALUE!")</f>
        <v>#VALUE!</v>
      </c>
      <c r="G5330" s="69"/>
    </row>
    <row r="5331" ht="22.5" customHeight="1">
      <c r="A5331" s="66"/>
      <c r="B5331" s="67" t="str">
        <f t="shared" si="16"/>
        <v>M: </v>
      </c>
      <c r="C5331" s="68"/>
      <c r="D5331" s="68">
        <v>46282.0</v>
      </c>
      <c r="E5331" s="66">
        <v>9.0</v>
      </c>
      <c r="F5331" s="66" t="str">
        <f>IFERROR(__xludf.DUMMYFUNCTION("GOOGLETRANSLATE(A5331,""en"",""pt"")"),"#VALUE!")</f>
        <v>#VALUE!</v>
      </c>
      <c r="G5331" s="69"/>
    </row>
    <row r="5332" ht="22.5" customHeight="1">
      <c r="A5332" s="66"/>
      <c r="B5332" s="67" t="str">
        <f t="shared" si="16"/>
        <v>M: </v>
      </c>
      <c r="C5332" s="68"/>
      <c r="D5332" s="68">
        <v>46283.0</v>
      </c>
      <c r="E5332" s="66">
        <v>10.0</v>
      </c>
      <c r="F5332" s="66" t="str">
        <f>IFERROR(__xludf.DUMMYFUNCTION("GOOGLETRANSLATE(A5332,""en"",""pt"")"),"#VALUE!")</f>
        <v>#VALUE!</v>
      </c>
      <c r="G5332" s="69"/>
    </row>
    <row r="5333" ht="22.5" customHeight="1">
      <c r="A5333" s="66"/>
      <c r="B5333" s="67" t="str">
        <f t="shared" si="16"/>
        <v>M: </v>
      </c>
      <c r="C5333" s="68"/>
      <c r="D5333" s="68">
        <v>46283.0</v>
      </c>
      <c r="E5333" s="66">
        <v>1.0</v>
      </c>
      <c r="F5333" s="66" t="str">
        <f>IFERROR(__xludf.DUMMYFUNCTION("GOOGLETRANSLATE(A5333,""en"",""pt"")"),"#VALUE!")</f>
        <v>#VALUE!</v>
      </c>
      <c r="G5333" s="69"/>
    </row>
    <row r="5334" ht="22.5" customHeight="1">
      <c r="A5334" s="66"/>
      <c r="B5334" s="67" t="str">
        <f t="shared" si="16"/>
        <v>M: </v>
      </c>
      <c r="C5334" s="68"/>
      <c r="D5334" s="68">
        <v>46283.0</v>
      </c>
      <c r="E5334" s="66">
        <v>2.0</v>
      </c>
      <c r="F5334" s="66" t="str">
        <f>IFERROR(__xludf.DUMMYFUNCTION("GOOGLETRANSLATE(A5334,""en"",""pt"")"),"#VALUE!")</f>
        <v>#VALUE!</v>
      </c>
      <c r="G5334" s="69"/>
    </row>
    <row r="5335" ht="22.5" customHeight="1">
      <c r="A5335" s="66"/>
      <c r="B5335" s="67" t="str">
        <f t="shared" si="16"/>
        <v>M: </v>
      </c>
      <c r="C5335" s="68"/>
      <c r="D5335" s="68">
        <v>46283.0</v>
      </c>
      <c r="E5335" s="66">
        <v>3.0</v>
      </c>
      <c r="F5335" s="66" t="str">
        <f>IFERROR(__xludf.DUMMYFUNCTION("GOOGLETRANSLATE(A5335,""en"",""pt"")"),"#VALUE!")</f>
        <v>#VALUE!</v>
      </c>
      <c r="G5335" s="69"/>
    </row>
    <row r="5336" ht="22.5" customHeight="1">
      <c r="A5336" s="66"/>
      <c r="B5336" s="67" t="str">
        <f t="shared" si="16"/>
        <v>M: </v>
      </c>
      <c r="C5336" s="68"/>
      <c r="D5336" s="68">
        <v>46283.0</v>
      </c>
      <c r="E5336" s="66">
        <v>4.0</v>
      </c>
      <c r="F5336" s="66" t="str">
        <f>IFERROR(__xludf.DUMMYFUNCTION("GOOGLETRANSLATE(A5336,""en"",""pt"")"),"#VALUE!")</f>
        <v>#VALUE!</v>
      </c>
      <c r="G5336" s="69"/>
    </row>
    <row r="5337" ht="22.5" customHeight="1">
      <c r="A5337" s="66"/>
      <c r="B5337" s="67" t="str">
        <f t="shared" si="16"/>
        <v>M: </v>
      </c>
      <c r="C5337" s="68"/>
      <c r="D5337" s="68">
        <v>46283.0</v>
      </c>
      <c r="E5337" s="66">
        <v>5.0</v>
      </c>
      <c r="F5337" s="66" t="str">
        <f>IFERROR(__xludf.DUMMYFUNCTION("GOOGLETRANSLATE(A5337,""en"",""pt"")"),"#VALUE!")</f>
        <v>#VALUE!</v>
      </c>
      <c r="G5337" s="69"/>
    </row>
    <row r="5338" ht="22.5" customHeight="1">
      <c r="A5338" s="66"/>
      <c r="B5338" s="67" t="str">
        <f t="shared" si="16"/>
        <v>M: </v>
      </c>
      <c r="C5338" s="68"/>
      <c r="D5338" s="68">
        <v>46283.0</v>
      </c>
      <c r="E5338" s="66">
        <v>6.0</v>
      </c>
      <c r="F5338" s="66" t="str">
        <f>IFERROR(__xludf.DUMMYFUNCTION("GOOGLETRANSLATE(A5338,""en"",""pt"")"),"#VALUE!")</f>
        <v>#VALUE!</v>
      </c>
      <c r="G5338" s="69"/>
    </row>
    <row r="5339" ht="22.5" customHeight="1">
      <c r="A5339" s="66"/>
      <c r="B5339" s="67" t="str">
        <f t="shared" si="16"/>
        <v>M: </v>
      </c>
      <c r="C5339" s="68"/>
      <c r="D5339" s="68">
        <v>46283.0</v>
      </c>
      <c r="E5339" s="66">
        <v>7.0</v>
      </c>
      <c r="F5339" s="66" t="str">
        <f>IFERROR(__xludf.DUMMYFUNCTION("GOOGLETRANSLATE(A5339,""en"",""pt"")"),"#VALUE!")</f>
        <v>#VALUE!</v>
      </c>
      <c r="G5339" s="69"/>
    </row>
    <row r="5340" ht="22.5" customHeight="1">
      <c r="A5340" s="66"/>
      <c r="B5340" s="67" t="str">
        <f t="shared" si="16"/>
        <v>M: </v>
      </c>
      <c r="C5340" s="68"/>
      <c r="D5340" s="68">
        <v>46283.0</v>
      </c>
      <c r="E5340" s="66">
        <v>8.0</v>
      </c>
      <c r="F5340" s="66" t="str">
        <f>IFERROR(__xludf.DUMMYFUNCTION("GOOGLETRANSLATE(A5340,""en"",""pt"")"),"#VALUE!")</f>
        <v>#VALUE!</v>
      </c>
      <c r="G5340" s="69"/>
    </row>
    <row r="5341" ht="22.5" customHeight="1">
      <c r="A5341" s="66"/>
      <c r="B5341" s="67" t="str">
        <f t="shared" si="16"/>
        <v>M: </v>
      </c>
      <c r="C5341" s="68"/>
      <c r="D5341" s="68">
        <v>46283.0</v>
      </c>
      <c r="E5341" s="66">
        <v>9.0</v>
      </c>
      <c r="F5341" s="66" t="str">
        <f>IFERROR(__xludf.DUMMYFUNCTION("GOOGLETRANSLATE(A5341,""en"",""pt"")"),"#VALUE!")</f>
        <v>#VALUE!</v>
      </c>
      <c r="G5341" s="69"/>
    </row>
    <row r="5342" ht="22.5" customHeight="1">
      <c r="A5342" s="66"/>
      <c r="B5342" s="67" t="str">
        <f t="shared" si="16"/>
        <v>M: </v>
      </c>
      <c r="C5342" s="68"/>
      <c r="D5342" s="68">
        <v>46284.0</v>
      </c>
      <c r="E5342" s="66">
        <v>10.0</v>
      </c>
      <c r="F5342" s="66" t="str">
        <f>IFERROR(__xludf.DUMMYFUNCTION("GOOGLETRANSLATE(A5342,""en"",""pt"")"),"#VALUE!")</f>
        <v>#VALUE!</v>
      </c>
      <c r="G5342" s="69"/>
    </row>
    <row r="5343" ht="22.5" customHeight="1">
      <c r="A5343" s="66"/>
      <c r="B5343" s="67" t="str">
        <f t="shared" si="16"/>
        <v>M: </v>
      </c>
      <c r="C5343" s="68"/>
      <c r="D5343" s="68">
        <v>46284.0</v>
      </c>
      <c r="E5343" s="66">
        <v>1.0</v>
      </c>
      <c r="F5343" s="66" t="str">
        <f>IFERROR(__xludf.DUMMYFUNCTION("GOOGLETRANSLATE(A5343,""en"",""pt"")"),"#VALUE!")</f>
        <v>#VALUE!</v>
      </c>
      <c r="G5343" s="69"/>
    </row>
    <row r="5344" ht="22.5" customHeight="1">
      <c r="A5344" s="66"/>
      <c r="B5344" s="67" t="str">
        <f t="shared" si="16"/>
        <v>M: </v>
      </c>
      <c r="C5344" s="68"/>
      <c r="D5344" s="68">
        <v>46284.0</v>
      </c>
      <c r="E5344" s="66">
        <v>2.0</v>
      </c>
      <c r="F5344" s="66" t="str">
        <f>IFERROR(__xludf.DUMMYFUNCTION("GOOGLETRANSLATE(A5344,""en"",""pt"")"),"#VALUE!")</f>
        <v>#VALUE!</v>
      </c>
      <c r="G5344" s="69"/>
    </row>
    <row r="5345" ht="22.5" customHeight="1">
      <c r="A5345" s="66"/>
      <c r="B5345" s="67" t="str">
        <f t="shared" si="16"/>
        <v>M: </v>
      </c>
      <c r="C5345" s="68"/>
      <c r="D5345" s="68">
        <v>46284.0</v>
      </c>
      <c r="E5345" s="66">
        <v>3.0</v>
      </c>
      <c r="F5345" s="66" t="str">
        <f>IFERROR(__xludf.DUMMYFUNCTION("GOOGLETRANSLATE(A5345,""en"",""pt"")"),"#VALUE!")</f>
        <v>#VALUE!</v>
      </c>
      <c r="G5345" s="69"/>
    </row>
    <row r="5346" ht="22.5" customHeight="1">
      <c r="A5346" s="66"/>
      <c r="B5346" s="67" t="str">
        <f t="shared" si="16"/>
        <v>M: </v>
      </c>
      <c r="C5346" s="68"/>
      <c r="D5346" s="68">
        <v>46284.0</v>
      </c>
      <c r="E5346" s="66">
        <v>4.0</v>
      </c>
      <c r="F5346" s="66" t="str">
        <f>IFERROR(__xludf.DUMMYFUNCTION("GOOGLETRANSLATE(A5346,""en"",""pt"")"),"#VALUE!")</f>
        <v>#VALUE!</v>
      </c>
      <c r="G5346" s="69"/>
    </row>
    <row r="5347" ht="22.5" customHeight="1">
      <c r="A5347" s="66"/>
      <c r="B5347" s="67" t="str">
        <f t="shared" si="16"/>
        <v>M: </v>
      </c>
      <c r="C5347" s="68"/>
      <c r="D5347" s="68">
        <v>46284.0</v>
      </c>
      <c r="E5347" s="66">
        <v>5.0</v>
      </c>
      <c r="F5347" s="66" t="str">
        <f>IFERROR(__xludf.DUMMYFUNCTION("GOOGLETRANSLATE(A5347,""en"",""pt"")"),"#VALUE!")</f>
        <v>#VALUE!</v>
      </c>
      <c r="G5347" s="69"/>
    </row>
    <row r="5348" ht="22.5" customHeight="1">
      <c r="A5348" s="66"/>
      <c r="B5348" s="67" t="str">
        <f t="shared" si="16"/>
        <v>M: </v>
      </c>
      <c r="C5348" s="68"/>
      <c r="D5348" s="68">
        <v>46284.0</v>
      </c>
      <c r="E5348" s="66">
        <v>6.0</v>
      </c>
      <c r="F5348" s="66" t="str">
        <f>IFERROR(__xludf.DUMMYFUNCTION("GOOGLETRANSLATE(A5348,""en"",""pt"")"),"#VALUE!")</f>
        <v>#VALUE!</v>
      </c>
      <c r="G5348" s="69"/>
    </row>
    <row r="5349" ht="22.5" customHeight="1">
      <c r="A5349" s="66"/>
      <c r="B5349" s="67" t="str">
        <f t="shared" si="16"/>
        <v>M: </v>
      </c>
      <c r="C5349" s="68"/>
      <c r="D5349" s="68">
        <v>46284.0</v>
      </c>
      <c r="E5349" s="66">
        <v>7.0</v>
      </c>
      <c r="F5349" s="66" t="str">
        <f>IFERROR(__xludf.DUMMYFUNCTION("GOOGLETRANSLATE(A5349,""en"",""pt"")"),"#VALUE!")</f>
        <v>#VALUE!</v>
      </c>
      <c r="G5349" s="69"/>
    </row>
    <row r="5350" ht="22.5" customHeight="1">
      <c r="A5350" s="66"/>
      <c r="B5350" s="67" t="str">
        <f t="shared" si="16"/>
        <v>M: </v>
      </c>
      <c r="C5350" s="68"/>
      <c r="D5350" s="68">
        <v>46284.0</v>
      </c>
      <c r="E5350" s="66">
        <v>8.0</v>
      </c>
      <c r="F5350" s="66" t="str">
        <f>IFERROR(__xludf.DUMMYFUNCTION("GOOGLETRANSLATE(A5350,""en"",""pt"")"),"#VALUE!")</f>
        <v>#VALUE!</v>
      </c>
      <c r="G5350" s="69"/>
    </row>
    <row r="5351" ht="22.5" customHeight="1">
      <c r="A5351" s="66"/>
      <c r="B5351" s="67" t="str">
        <f t="shared" si="16"/>
        <v>M: </v>
      </c>
      <c r="C5351" s="68"/>
      <c r="D5351" s="68">
        <v>46284.0</v>
      </c>
      <c r="E5351" s="66">
        <v>9.0</v>
      </c>
      <c r="F5351" s="66" t="str">
        <f>IFERROR(__xludf.DUMMYFUNCTION("GOOGLETRANSLATE(A5351,""en"",""pt"")"),"#VALUE!")</f>
        <v>#VALUE!</v>
      </c>
      <c r="G5351" s="69"/>
    </row>
    <row r="5352" ht="22.5" customHeight="1">
      <c r="A5352" s="66"/>
      <c r="B5352" s="67" t="str">
        <f t="shared" si="16"/>
        <v>M: </v>
      </c>
      <c r="C5352" s="68"/>
      <c r="D5352" s="68">
        <v>46285.0</v>
      </c>
      <c r="E5352" s="66">
        <v>10.0</v>
      </c>
      <c r="F5352" s="66" t="str">
        <f>IFERROR(__xludf.DUMMYFUNCTION("GOOGLETRANSLATE(A5352,""en"",""pt"")"),"#VALUE!")</f>
        <v>#VALUE!</v>
      </c>
      <c r="G5352" s="69"/>
    </row>
    <row r="5353" ht="22.5" customHeight="1">
      <c r="A5353" s="66"/>
      <c r="B5353" s="67" t="str">
        <f t="shared" si="16"/>
        <v>M: </v>
      </c>
      <c r="C5353" s="68"/>
      <c r="D5353" s="68">
        <v>46285.0</v>
      </c>
      <c r="E5353" s="66">
        <v>1.0</v>
      </c>
      <c r="F5353" s="66" t="str">
        <f>IFERROR(__xludf.DUMMYFUNCTION("GOOGLETRANSLATE(A5353,""en"",""pt"")"),"#VALUE!")</f>
        <v>#VALUE!</v>
      </c>
      <c r="G5353" s="69"/>
    </row>
    <row r="5354" ht="22.5" customHeight="1">
      <c r="A5354" s="66"/>
      <c r="B5354" s="67" t="str">
        <f t="shared" si="16"/>
        <v>M: </v>
      </c>
      <c r="C5354" s="68"/>
      <c r="D5354" s="68">
        <v>46285.0</v>
      </c>
      <c r="E5354" s="66">
        <v>2.0</v>
      </c>
      <c r="F5354" s="66" t="str">
        <f>IFERROR(__xludf.DUMMYFUNCTION("GOOGLETRANSLATE(A5354,""en"",""pt"")"),"#VALUE!")</f>
        <v>#VALUE!</v>
      </c>
      <c r="G5354" s="69"/>
    </row>
    <row r="5355" ht="22.5" customHeight="1">
      <c r="A5355" s="66"/>
      <c r="B5355" s="67" t="str">
        <f t="shared" si="16"/>
        <v>M: </v>
      </c>
      <c r="C5355" s="68"/>
      <c r="D5355" s="68">
        <v>46285.0</v>
      </c>
      <c r="E5355" s="66">
        <v>3.0</v>
      </c>
      <c r="F5355" s="66" t="str">
        <f>IFERROR(__xludf.DUMMYFUNCTION("GOOGLETRANSLATE(A5355,""en"",""pt"")"),"#VALUE!")</f>
        <v>#VALUE!</v>
      </c>
      <c r="G5355" s="69"/>
    </row>
    <row r="5356" ht="22.5" customHeight="1">
      <c r="A5356" s="66"/>
      <c r="B5356" s="67" t="str">
        <f t="shared" si="16"/>
        <v>M: </v>
      </c>
      <c r="C5356" s="68"/>
      <c r="D5356" s="68">
        <v>46285.0</v>
      </c>
      <c r="E5356" s="66">
        <v>4.0</v>
      </c>
      <c r="F5356" s="66" t="str">
        <f>IFERROR(__xludf.DUMMYFUNCTION("GOOGLETRANSLATE(A5356,""en"",""pt"")"),"#VALUE!")</f>
        <v>#VALUE!</v>
      </c>
      <c r="G5356" s="69"/>
    </row>
    <row r="5357" ht="22.5" customHeight="1">
      <c r="A5357" s="66"/>
      <c r="B5357" s="67" t="str">
        <f t="shared" si="16"/>
        <v>M: </v>
      </c>
      <c r="C5357" s="68"/>
      <c r="D5357" s="68">
        <v>46285.0</v>
      </c>
      <c r="E5357" s="66">
        <v>5.0</v>
      </c>
      <c r="F5357" s="66" t="str">
        <f>IFERROR(__xludf.DUMMYFUNCTION("GOOGLETRANSLATE(A5357,""en"",""pt"")"),"#VALUE!")</f>
        <v>#VALUE!</v>
      </c>
      <c r="G5357" s="69"/>
    </row>
    <row r="5358" ht="22.5" customHeight="1">
      <c r="A5358" s="66"/>
      <c r="B5358" s="67" t="str">
        <f t="shared" si="16"/>
        <v>M: </v>
      </c>
      <c r="C5358" s="68"/>
      <c r="D5358" s="68">
        <v>46285.0</v>
      </c>
      <c r="E5358" s="66">
        <v>6.0</v>
      </c>
      <c r="F5358" s="66" t="str">
        <f>IFERROR(__xludf.DUMMYFUNCTION("GOOGLETRANSLATE(A5358,""en"",""pt"")"),"#VALUE!")</f>
        <v>#VALUE!</v>
      </c>
      <c r="G5358" s="69"/>
    </row>
    <row r="5359" ht="22.5" customHeight="1">
      <c r="A5359" s="66"/>
      <c r="B5359" s="67" t="str">
        <f t="shared" si="16"/>
        <v>M: </v>
      </c>
      <c r="C5359" s="68"/>
      <c r="D5359" s="68">
        <v>46285.0</v>
      </c>
      <c r="E5359" s="66">
        <v>7.0</v>
      </c>
      <c r="F5359" s="66" t="str">
        <f>IFERROR(__xludf.DUMMYFUNCTION("GOOGLETRANSLATE(A5359,""en"",""pt"")"),"#VALUE!")</f>
        <v>#VALUE!</v>
      </c>
      <c r="G5359" s="69"/>
    </row>
    <row r="5360" ht="22.5" customHeight="1">
      <c r="A5360" s="66"/>
      <c r="B5360" s="67" t="str">
        <f t="shared" si="16"/>
        <v>M: </v>
      </c>
      <c r="C5360" s="68"/>
      <c r="D5360" s="68">
        <v>46285.0</v>
      </c>
      <c r="E5360" s="66">
        <v>8.0</v>
      </c>
      <c r="F5360" s="66" t="str">
        <f>IFERROR(__xludf.DUMMYFUNCTION("GOOGLETRANSLATE(A5360,""en"",""pt"")"),"#VALUE!")</f>
        <v>#VALUE!</v>
      </c>
      <c r="G5360" s="69"/>
    </row>
    <row r="5361" ht="22.5" customHeight="1">
      <c r="A5361" s="66"/>
      <c r="B5361" s="67" t="str">
        <f t="shared" si="16"/>
        <v>M: </v>
      </c>
      <c r="C5361" s="68"/>
      <c r="D5361" s="68">
        <v>46285.0</v>
      </c>
      <c r="E5361" s="66">
        <v>9.0</v>
      </c>
      <c r="F5361" s="66" t="str">
        <f>IFERROR(__xludf.DUMMYFUNCTION("GOOGLETRANSLATE(A5361,""en"",""pt"")"),"#VALUE!")</f>
        <v>#VALUE!</v>
      </c>
      <c r="G5361" s="69"/>
    </row>
    <row r="5362" ht="22.5" customHeight="1">
      <c r="A5362" s="66"/>
      <c r="B5362" s="67" t="str">
        <f t="shared" si="16"/>
        <v>M: </v>
      </c>
      <c r="C5362" s="68"/>
      <c r="D5362" s="68">
        <v>46286.0</v>
      </c>
      <c r="E5362" s="66">
        <v>10.0</v>
      </c>
      <c r="F5362" s="66" t="str">
        <f>IFERROR(__xludf.DUMMYFUNCTION("GOOGLETRANSLATE(A5362,""en"",""pt"")"),"#VALUE!")</f>
        <v>#VALUE!</v>
      </c>
      <c r="G5362" s="69"/>
    </row>
    <row r="5363" ht="22.5" customHeight="1">
      <c r="A5363" s="66"/>
      <c r="B5363" s="67" t="str">
        <f t="shared" si="16"/>
        <v>M: </v>
      </c>
      <c r="C5363" s="68"/>
      <c r="D5363" s="68">
        <v>46286.0</v>
      </c>
      <c r="E5363" s="66">
        <v>1.0</v>
      </c>
      <c r="F5363" s="66" t="str">
        <f>IFERROR(__xludf.DUMMYFUNCTION("GOOGLETRANSLATE(A5363,""en"",""pt"")"),"#VALUE!")</f>
        <v>#VALUE!</v>
      </c>
      <c r="G5363" s="69"/>
    </row>
    <row r="5364" ht="22.5" customHeight="1">
      <c r="A5364" s="66"/>
      <c r="B5364" s="67" t="str">
        <f t="shared" si="16"/>
        <v>M: </v>
      </c>
      <c r="C5364" s="68"/>
      <c r="D5364" s="68">
        <v>46286.0</v>
      </c>
      <c r="E5364" s="66">
        <v>2.0</v>
      </c>
      <c r="F5364" s="66" t="str">
        <f>IFERROR(__xludf.DUMMYFUNCTION("GOOGLETRANSLATE(A5364,""en"",""pt"")"),"#VALUE!")</f>
        <v>#VALUE!</v>
      </c>
      <c r="G5364" s="69"/>
    </row>
    <row r="5365" ht="22.5" customHeight="1">
      <c r="A5365" s="66"/>
      <c r="B5365" s="67" t="str">
        <f t="shared" si="16"/>
        <v>M: </v>
      </c>
      <c r="C5365" s="68"/>
      <c r="D5365" s="68">
        <v>46286.0</v>
      </c>
      <c r="E5365" s="66">
        <v>3.0</v>
      </c>
      <c r="F5365" s="66" t="str">
        <f>IFERROR(__xludf.DUMMYFUNCTION("GOOGLETRANSLATE(A5365,""en"",""pt"")"),"#VALUE!")</f>
        <v>#VALUE!</v>
      </c>
      <c r="G5365" s="69"/>
    </row>
    <row r="5366" ht="22.5" customHeight="1">
      <c r="A5366" s="66"/>
      <c r="B5366" s="67" t="str">
        <f t="shared" si="16"/>
        <v>M: </v>
      </c>
      <c r="C5366" s="68"/>
      <c r="D5366" s="68">
        <v>46286.0</v>
      </c>
      <c r="E5366" s="66">
        <v>4.0</v>
      </c>
      <c r="F5366" s="66" t="str">
        <f>IFERROR(__xludf.DUMMYFUNCTION("GOOGLETRANSLATE(A5366,""en"",""pt"")"),"#VALUE!")</f>
        <v>#VALUE!</v>
      </c>
      <c r="G5366" s="69"/>
    </row>
    <row r="5367" ht="22.5" customHeight="1">
      <c r="A5367" s="66"/>
      <c r="B5367" s="67" t="str">
        <f t="shared" si="16"/>
        <v>M: </v>
      </c>
      <c r="C5367" s="68"/>
      <c r="D5367" s="68">
        <v>46286.0</v>
      </c>
      <c r="E5367" s="66">
        <v>5.0</v>
      </c>
      <c r="F5367" s="66" t="str">
        <f>IFERROR(__xludf.DUMMYFUNCTION("GOOGLETRANSLATE(A5367,""en"",""pt"")"),"#VALUE!")</f>
        <v>#VALUE!</v>
      </c>
      <c r="G5367" s="69"/>
    </row>
    <row r="5368" ht="22.5" customHeight="1">
      <c r="A5368" s="66"/>
      <c r="B5368" s="67" t="str">
        <f t="shared" si="16"/>
        <v>M: </v>
      </c>
      <c r="C5368" s="68"/>
      <c r="D5368" s="68">
        <v>46286.0</v>
      </c>
      <c r="E5368" s="66">
        <v>6.0</v>
      </c>
      <c r="F5368" s="66" t="str">
        <f>IFERROR(__xludf.DUMMYFUNCTION("GOOGLETRANSLATE(A5368,""en"",""pt"")"),"#VALUE!")</f>
        <v>#VALUE!</v>
      </c>
      <c r="G5368" s="69"/>
    </row>
    <row r="5369" ht="22.5" customHeight="1">
      <c r="A5369" s="66"/>
      <c r="B5369" s="67" t="str">
        <f t="shared" si="16"/>
        <v>M: </v>
      </c>
      <c r="C5369" s="68"/>
      <c r="D5369" s="68">
        <v>46286.0</v>
      </c>
      <c r="E5369" s="66">
        <v>7.0</v>
      </c>
      <c r="F5369" s="66" t="str">
        <f>IFERROR(__xludf.DUMMYFUNCTION("GOOGLETRANSLATE(A5369,""en"",""pt"")"),"#VALUE!")</f>
        <v>#VALUE!</v>
      </c>
      <c r="G5369" s="69"/>
    </row>
    <row r="5370" ht="22.5" customHeight="1">
      <c r="A5370" s="66"/>
      <c r="B5370" s="67" t="str">
        <f t="shared" si="16"/>
        <v>M: </v>
      </c>
      <c r="C5370" s="68"/>
      <c r="D5370" s="68">
        <v>46286.0</v>
      </c>
      <c r="E5370" s="66">
        <v>8.0</v>
      </c>
      <c r="F5370" s="66" t="str">
        <f>IFERROR(__xludf.DUMMYFUNCTION("GOOGLETRANSLATE(A5370,""en"",""pt"")"),"#VALUE!")</f>
        <v>#VALUE!</v>
      </c>
      <c r="G5370" s="69"/>
    </row>
    <row r="5371" ht="22.5" customHeight="1">
      <c r="A5371" s="66"/>
      <c r="B5371" s="67" t="str">
        <f t="shared" si="16"/>
        <v>M: </v>
      </c>
      <c r="C5371" s="68"/>
      <c r="D5371" s="68">
        <v>46286.0</v>
      </c>
      <c r="E5371" s="66">
        <v>9.0</v>
      </c>
      <c r="F5371" s="66" t="str">
        <f>IFERROR(__xludf.DUMMYFUNCTION("GOOGLETRANSLATE(A5371,""en"",""pt"")"),"#VALUE!")</f>
        <v>#VALUE!</v>
      </c>
      <c r="G5371" s="69"/>
    </row>
    <row r="5372" ht="22.5" customHeight="1">
      <c r="A5372" s="66"/>
      <c r="B5372" s="67" t="str">
        <f t="shared" si="16"/>
        <v>M: </v>
      </c>
      <c r="C5372" s="68"/>
      <c r="D5372" s="68">
        <v>46287.0</v>
      </c>
      <c r="E5372" s="66">
        <v>10.0</v>
      </c>
      <c r="F5372" s="66" t="str">
        <f>IFERROR(__xludf.DUMMYFUNCTION("GOOGLETRANSLATE(A5372,""en"",""pt"")"),"#VALUE!")</f>
        <v>#VALUE!</v>
      </c>
      <c r="G5372" s="69"/>
    </row>
    <row r="5373" ht="22.5" customHeight="1">
      <c r="A5373" s="66"/>
      <c r="B5373" s="67" t="str">
        <f t="shared" si="16"/>
        <v>M: </v>
      </c>
      <c r="C5373" s="68"/>
      <c r="D5373" s="68">
        <v>46287.0</v>
      </c>
      <c r="E5373" s="66">
        <v>1.0</v>
      </c>
      <c r="F5373" s="66" t="str">
        <f>IFERROR(__xludf.DUMMYFUNCTION("GOOGLETRANSLATE(A5373,""en"",""pt"")"),"#VALUE!")</f>
        <v>#VALUE!</v>
      </c>
      <c r="G5373" s="69"/>
    </row>
    <row r="5374" ht="22.5" customHeight="1">
      <c r="A5374" s="66"/>
      <c r="B5374" s="67" t="str">
        <f t="shared" si="16"/>
        <v>M: </v>
      </c>
      <c r="C5374" s="68"/>
      <c r="D5374" s="68">
        <v>46287.0</v>
      </c>
      <c r="E5374" s="66">
        <v>2.0</v>
      </c>
      <c r="F5374" s="66" t="str">
        <f>IFERROR(__xludf.DUMMYFUNCTION("GOOGLETRANSLATE(A5374,""en"",""pt"")"),"#VALUE!")</f>
        <v>#VALUE!</v>
      </c>
      <c r="G5374" s="69"/>
    </row>
    <row r="5375" ht="22.5" customHeight="1">
      <c r="A5375" s="66"/>
      <c r="B5375" s="67" t="str">
        <f t="shared" si="16"/>
        <v>M: </v>
      </c>
      <c r="C5375" s="68"/>
      <c r="D5375" s="68">
        <v>46287.0</v>
      </c>
      <c r="E5375" s="66">
        <v>3.0</v>
      </c>
      <c r="F5375" s="66" t="str">
        <f>IFERROR(__xludf.DUMMYFUNCTION("GOOGLETRANSLATE(A5375,""en"",""pt"")"),"#VALUE!")</f>
        <v>#VALUE!</v>
      </c>
      <c r="G5375" s="69"/>
    </row>
    <row r="5376" ht="22.5" customHeight="1">
      <c r="A5376" s="66"/>
      <c r="B5376" s="67" t="str">
        <f t="shared" si="16"/>
        <v>M: </v>
      </c>
      <c r="C5376" s="68"/>
      <c r="D5376" s="68">
        <v>46287.0</v>
      </c>
      <c r="E5376" s="66">
        <v>4.0</v>
      </c>
      <c r="F5376" s="66" t="str">
        <f>IFERROR(__xludf.DUMMYFUNCTION("GOOGLETRANSLATE(A5376,""en"",""pt"")"),"#VALUE!")</f>
        <v>#VALUE!</v>
      </c>
      <c r="G5376" s="69"/>
    </row>
    <row r="5377" ht="22.5" customHeight="1">
      <c r="A5377" s="66"/>
      <c r="B5377" s="67" t="str">
        <f t="shared" si="16"/>
        <v>M: </v>
      </c>
      <c r="C5377" s="68"/>
      <c r="D5377" s="68">
        <v>46287.0</v>
      </c>
      <c r="E5377" s="66">
        <v>5.0</v>
      </c>
      <c r="F5377" s="66" t="str">
        <f>IFERROR(__xludf.DUMMYFUNCTION("GOOGLETRANSLATE(A5377,""en"",""pt"")"),"#VALUE!")</f>
        <v>#VALUE!</v>
      </c>
      <c r="G5377" s="69"/>
    </row>
    <row r="5378" ht="22.5" customHeight="1">
      <c r="A5378" s="66"/>
      <c r="B5378" s="67" t="str">
        <f t="shared" si="16"/>
        <v>M: </v>
      </c>
      <c r="C5378" s="68"/>
      <c r="D5378" s="68">
        <v>46287.0</v>
      </c>
      <c r="E5378" s="66">
        <v>6.0</v>
      </c>
      <c r="F5378" s="66" t="str">
        <f>IFERROR(__xludf.DUMMYFUNCTION("GOOGLETRANSLATE(A5378,""en"",""pt"")"),"#VALUE!")</f>
        <v>#VALUE!</v>
      </c>
      <c r="G5378" s="69"/>
    </row>
    <row r="5379" ht="22.5" customHeight="1">
      <c r="A5379" s="66"/>
      <c r="B5379" s="67" t="str">
        <f t="shared" si="16"/>
        <v>M: </v>
      </c>
      <c r="C5379" s="68"/>
      <c r="D5379" s="68">
        <v>46287.0</v>
      </c>
      <c r="E5379" s="66">
        <v>7.0</v>
      </c>
      <c r="F5379" s="66" t="str">
        <f>IFERROR(__xludf.DUMMYFUNCTION("GOOGLETRANSLATE(A5379,""en"",""pt"")"),"#VALUE!")</f>
        <v>#VALUE!</v>
      </c>
      <c r="G5379" s="69"/>
    </row>
    <row r="5380" ht="22.5" customHeight="1">
      <c r="A5380" s="66"/>
      <c r="B5380" s="67" t="str">
        <f t="shared" si="16"/>
        <v>M: </v>
      </c>
      <c r="C5380" s="68"/>
      <c r="D5380" s="68">
        <v>46287.0</v>
      </c>
      <c r="E5380" s="66">
        <v>8.0</v>
      </c>
      <c r="F5380" s="66" t="str">
        <f>IFERROR(__xludf.DUMMYFUNCTION("GOOGLETRANSLATE(A5380,""en"",""pt"")"),"#VALUE!")</f>
        <v>#VALUE!</v>
      </c>
      <c r="G5380" s="69"/>
    </row>
    <row r="5381" ht="22.5" customHeight="1">
      <c r="A5381" s="66"/>
      <c r="B5381" s="67" t="str">
        <f t="shared" si="16"/>
        <v>M: </v>
      </c>
      <c r="C5381" s="68"/>
      <c r="D5381" s="68">
        <v>46287.0</v>
      </c>
      <c r="E5381" s="66">
        <v>9.0</v>
      </c>
      <c r="F5381" s="66" t="str">
        <f>IFERROR(__xludf.DUMMYFUNCTION("GOOGLETRANSLATE(A5381,""en"",""pt"")"),"#VALUE!")</f>
        <v>#VALUE!</v>
      </c>
      <c r="G5381" s="69"/>
    </row>
    <row r="5382" ht="22.5" customHeight="1">
      <c r="A5382" s="66"/>
      <c r="B5382" s="67" t="str">
        <f t="shared" si="16"/>
        <v>M: </v>
      </c>
      <c r="C5382" s="68"/>
      <c r="D5382" s="68">
        <v>46288.0</v>
      </c>
      <c r="E5382" s="66">
        <v>10.0</v>
      </c>
      <c r="F5382" s="66" t="str">
        <f>IFERROR(__xludf.DUMMYFUNCTION("GOOGLETRANSLATE(A5382,""en"",""pt"")"),"#VALUE!")</f>
        <v>#VALUE!</v>
      </c>
      <c r="G5382" s="69"/>
    </row>
    <row r="5383" ht="22.5" customHeight="1">
      <c r="A5383" s="66"/>
      <c r="B5383" s="67" t="str">
        <f t="shared" si="16"/>
        <v>M: </v>
      </c>
      <c r="C5383" s="68"/>
      <c r="D5383" s="68">
        <v>46288.0</v>
      </c>
      <c r="E5383" s="66">
        <v>1.0</v>
      </c>
      <c r="F5383" s="66" t="str">
        <f>IFERROR(__xludf.DUMMYFUNCTION("GOOGLETRANSLATE(A5383,""en"",""pt"")"),"#VALUE!")</f>
        <v>#VALUE!</v>
      </c>
      <c r="G5383" s="69"/>
    </row>
    <row r="5384" ht="22.5" customHeight="1">
      <c r="A5384" s="66"/>
      <c r="B5384" s="67" t="str">
        <f t="shared" si="16"/>
        <v>M: </v>
      </c>
      <c r="C5384" s="68"/>
      <c r="D5384" s="68">
        <v>46288.0</v>
      </c>
      <c r="E5384" s="66">
        <v>2.0</v>
      </c>
      <c r="F5384" s="66" t="str">
        <f>IFERROR(__xludf.DUMMYFUNCTION("GOOGLETRANSLATE(A5384,""en"",""pt"")"),"#VALUE!")</f>
        <v>#VALUE!</v>
      </c>
      <c r="G5384" s="69"/>
    </row>
    <row r="5385" ht="22.5" customHeight="1">
      <c r="A5385" s="66"/>
      <c r="B5385" s="67" t="str">
        <f t="shared" si="16"/>
        <v>M: </v>
      </c>
      <c r="C5385" s="68"/>
      <c r="D5385" s="68">
        <v>46288.0</v>
      </c>
      <c r="E5385" s="66">
        <v>3.0</v>
      </c>
      <c r="F5385" s="66" t="str">
        <f>IFERROR(__xludf.DUMMYFUNCTION("GOOGLETRANSLATE(A5385,""en"",""pt"")"),"#VALUE!")</f>
        <v>#VALUE!</v>
      </c>
      <c r="G5385" s="69"/>
    </row>
    <row r="5386" ht="22.5" customHeight="1">
      <c r="A5386" s="66"/>
      <c r="B5386" s="67" t="str">
        <f t="shared" si="16"/>
        <v>M: </v>
      </c>
      <c r="C5386" s="68"/>
      <c r="D5386" s="68">
        <v>46288.0</v>
      </c>
      <c r="E5386" s="66">
        <v>4.0</v>
      </c>
      <c r="F5386" s="66" t="str">
        <f>IFERROR(__xludf.DUMMYFUNCTION("GOOGLETRANSLATE(A5386,""en"",""pt"")"),"#VALUE!")</f>
        <v>#VALUE!</v>
      </c>
      <c r="G5386" s="69"/>
    </row>
    <row r="5387" ht="22.5" customHeight="1">
      <c r="A5387" s="66"/>
      <c r="B5387" s="67" t="str">
        <f t="shared" si="16"/>
        <v>M: </v>
      </c>
      <c r="C5387" s="68"/>
      <c r="D5387" s="68">
        <v>46288.0</v>
      </c>
      <c r="E5387" s="66">
        <v>5.0</v>
      </c>
      <c r="F5387" s="66" t="str">
        <f>IFERROR(__xludf.DUMMYFUNCTION("GOOGLETRANSLATE(A5387,""en"",""pt"")"),"#VALUE!")</f>
        <v>#VALUE!</v>
      </c>
      <c r="G5387" s="69"/>
    </row>
    <row r="5388" ht="22.5" customHeight="1">
      <c r="A5388" s="66"/>
      <c r="B5388" s="67" t="str">
        <f t="shared" si="16"/>
        <v>M: </v>
      </c>
      <c r="C5388" s="68"/>
      <c r="D5388" s="68">
        <v>46288.0</v>
      </c>
      <c r="E5388" s="66">
        <v>6.0</v>
      </c>
      <c r="F5388" s="66" t="str">
        <f>IFERROR(__xludf.DUMMYFUNCTION("GOOGLETRANSLATE(A5388,""en"",""pt"")"),"#VALUE!")</f>
        <v>#VALUE!</v>
      </c>
      <c r="G5388" s="69"/>
    </row>
    <row r="5389" ht="22.5" customHeight="1">
      <c r="A5389" s="66"/>
      <c r="B5389" s="67" t="str">
        <f t="shared" si="16"/>
        <v>M: </v>
      </c>
      <c r="C5389" s="68"/>
      <c r="D5389" s="68">
        <v>46288.0</v>
      </c>
      <c r="E5389" s="66">
        <v>7.0</v>
      </c>
      <c r="F5389" s="66" t="str">
        <f>IFERROR(__xludf.DUMMYFUNCTION("GOOGLETRANSLATE(A5389,""en"",""pt"")"),"#VALUE!")</f>
        <v>#VALUE!</v>
      </c>
      <c r="G5389" s="69"/>
    </row>
    <row r="5390" ht="22.5" customHeight="1">
      <c r="A5390" s="66"/>
      <c r="B5390" s="67" t="str">
        <f t="shared" si="16"/>
        <v>M: </v>
      </c>
      <c r="C5390" s="68"/>
      <c r="D5390" s="68">
        <v>46288.0</v>
      </c>
      <c r="E5390" s="66">
        <v>8.0</v>
      </c>
      <c r="F5390" s="66" t="str">
        <f>IFERROR(__xludf.DUMMYFUNCTION("GOOGLETRANSLATE(A5390,""en"",""pt"")"),"#VALUE!")</f>
        <v>#VALUE!</v>
      </c>
      <c r="G5390" s="69"/>
    </row>
    <row r="5391" ht="22.5" customHeight="1">
      <c r="A5391" s="66"/>
      <c r="B5391" s="67" t="str">
        <f t="shared" si="16"/>
        <v>M: </v>
      </c>
      <c r="C5391" s="68"/>
      <c r="D5391" s="68">
        <v>46288.0</v>
      </c>
      <c r="E5391" s="66">
        <v>9.0</v>
      </c>
      <c r="F5391" s="66" t="str">
        <f>IFERROR(__xludf.DUMMYFUNCTION("GOOGLETRANSLATE(A5391,""en"",""pt"")"),"#VALUE!")</f>
        <v>#VALUE!</v>
      </c>
      <c r="G5391" s="69"/>
    </row>
    <row r="5392" ht="22.5" customHeight="1">
      <c r="A5392" s="66"/>
      <c r="B5392" s="67" t="str">
        <f t="shared" si="16"/>
        <v>M: </v>
      </c>
      <c r="C5392" s="68"/>
      <c r="D5392" s="68">
        <v>46289.0</v>
      </c>
      <c r="E5392" s="66">
        <v>10.0</v>
      </c>
      <c r="F5392" s="66" t="str">
        <f>IFERROR(__xludf.DUMMYFUNCTION("GOOGLETRANSLATE(A5392,""en"",""pt"")"),"#VALUE!")</f>
        <v>#VALUE!</v>
      </c>
      <c r="G5392" s="69"/>
    </row>
    <row r="5393" ht="22.5" customHeight="1">
      <c r="A5393" s="66"/>
      <c r="B5393" s="67" t="str">
        <f t="shared" si="16"/>
        <v>M: </v>
      </c>
      <c r="C5393" s="68"/>
      <c r="D5393" s="68">
        <v>46289.0</v>
      </c>
      <c r="E5393" s="66">
        <v>1.0</v>
      </c>
      <c r="F5393" s="66" t="str">
        <f>IFERROR(__xludf.DUMMYFUNCTION("GOOGLETRANSLATE(A5393,""en"",""pt"")"),"#VALUE!")</f>
        <v>#VALUE!</v>
      </c>
      <c r="G5393" s="69"/>
    </row>
    <row r="5394" ht="22.5" customHeight="1">
      <c r="A5394" s="66"/>
      <c r="B5394" s="67" t="str">
        <f t="shared" si="16"/>
        <v>M: </v>
      </c>
      <c r="C5394" s="68"/>
      <c r="D5394" s="68">
        <v>46289.0</v>
      </c>
      <c r="E5394" s="66">
        <v>2.0</v>
      </c>
      <c r="F5394" s="66" t="str">
        <f>IFERROR(__xludf.DUMMYFUNCTION("GOOGLETRANSLATE(A5394,""en"",""pt"")"),"#VALUE!")</f>
        <v>#VALUE!</v>
      </c>
      <c r="G5394" s="69"/>
    </row>
    <row r="5395" ht="22.5" customHeight="1">
      <c r="A5395" s="66"/>
      <c r="B5395" s="67" t="str">
        <f t="shared" si="16"/>
        <v>M: </v>
      </c>
      <c r="C5395" s="68"/>
      <c r="D5395" s="68">
        <v>46289.0</v>
      </c>
      <c r="E5395" s="66">
        <v>3.0</v>
      </c>
      <c r="F5395" s="66" t="str">
        <f>IFERROR(__xludf.DUMMYFUNCTION("GOOGLETRANSLATE(A5395,""en"",""pt"")"),"#VALUE!")</f>
        <v>#VALUE!</v>
      </c>
      <c r="G5395" s="69"/>
    </row>
    <row r="5396" ht="22.5" customHeight="1">
      <c r="A5396" s="66"/>
      <c r="B5396" s="67" t="str">
        <f t="shared" si="16"/>
        <v>M: </v>
      </c>
      <c r="C5396" s="68"/>
      <c r="D5396" s="68">
        <v>46289.0</v>
      </c>
      <c r="E5396" s="66">
        <v>4.0</v>
      </c>
      <c r="F5396" s="66" t="str">
        <f>IFERROR(__xludf.DUMMYFUNCTION("GOOGLETRANSLATE(A5396,""en"",""pt"")"),"#VALUE!")</f>
        <v>#VALUE!</v>
      </c>
      <c r="G5396" s="69"/>
    </row>
    <row r="5397" ht="22.5" customHeight="1">
      <c r="A5397" s="66"/>
      <c r="B5397" s="67" t="str">
        <f t="shared" si="16"/>
        <v>M: </v>
      </c>
      <c r="C5397" s="68"/>
      <c r="D5397" s="68">
        <v>46289.0</v>
      </c>
      <c r="E5397" s="66">
        <v>5.0</v>
      </c>
      <c r="F5397" s="66" t="str">
        <f>IFERROR(__xludf.DUMMYFUNCTION("GOOGLETRANSLATE(A5397,""en"",""pt"")"),"#VALUE!")</f>
        <v>#VALUE!</v>
      </c>
      <c r="G5397" s="69"/>
    </row>
    <row r="5398" ht="22.5" customHeight="1">
      <c r="A5398" s="66"/>
      <c r="B5398" s="67" t="str">
        <f t="shared" si="16"/>
        <v>M: </v>
      </c>
      <c r="C5398" s="68"/>
      <c r="D5398" s="68">
        <v>46289.0</v>
      </c>
      <c r="E5398" s="66">
        <v>6.0</v>
      </c>
      <c r="F5398" s="66" t="str">
        <f>IFERROR(__xludf.DUMMYFUNCTION("GOOGLETRANSLATE(A5398,""en"",""pt"")"),"#VALUE!")</f>
        <v>#VALUE!</v>
      </c>
      <c r="G5398" s="69"/>
    </row>
    <row r="5399" ht="22.5" customHeight="1">
      <c r="A5399" s="66"/>
      <c r="B5399" s="67" t="str">
        <f t="shared" si="16"/>
        <v>M: </v>
      </c>
      <c r="C5399" s="68"/>
      <c r="D5399" s="68">
        <v>46289.0</v>
      </c>
      <c r="E5399" s="66">
        <v>7.0</v>
      </c>
      <c r="F5399" s="66" t="str">
        <f>IFERROR(__xludf.DUMMYFUNCTION("GOOGLETRANSLATE(A5399,""en"",""pt"")"),"#VALUE!")</f>
        <v>#VALUE!</v>
      </c>
      <c r="G5399" s="69"/>
    </row>
    <row r="5400" ht="22.5" customHeight="1">
      <c r="A5400" s="66"/>
      <c r="B5400" s="67" t="str">
        <f t="shared" si="16"/>
        <v>M: </v>
      </c>
      <c r="C5400" s="68"/>
      <c r="D5400" s="68">
        <v>46289.0</v>
      </c>
      <c r="E5400" s="66">
        <v>8.0</v>
      </c>
      <c r="F5400" s="66" t="str">
        <f>IFERROR(__xludf.DUMMYFUNCTION("GOOGLETRANSLATE(A5400,""en"",""pt"")"),"#VALUE!")</f>
        <v>#VALUE!</v>
      </c>
      <c r="G5400" s="69"/>
    </row>
    <row r="5401" ht="22.5" customHeight="1">
      <c r="A5401" s="66"/>
      <c r="B5401" s="67" t="str">
        <f t="shared" si="16"/>
        <v>M: </v>
      </c>
      <c r="C5401" s="68"/>
      <c r="D5401" s="68">
        <v>46289.0</v>
      </c>
      <c r="E5401" s="66">
        <v>9.0</v>
      </c>
      <c r="F5401" s="66" t="str">
        <f>IFERROR(__xludf.DUMMYFUNCTION("GOOGLETRANSLATE(A5401,""en"",""pt"")"),"#VALUE!")</f>
        <v>#VALUE!</v>
      </c>
      <c r="G5401" s="69"/>
    </row>
    <row r="5402" ht="22.5" customHeight="1">
      <c r="A5402" s="66"/>
      <c r="B5402" s="67" t="str">
        <f t="shared" si="16"/>
        <v>M: </v>
      </c>
      <c r="C5402" s="68"/>
      <c r="D5402" s="68">
        <v>46290.0</v>
      </c>
      <c r="E5402" s="66">
        <v>10.0</v>
      </c>
      <c r="F5402" s="66" t="str">
        <f>IFERROR(__xludf.DUMMYFUNCTION("GOOGLETRANSLATE(A5402,""en"",""pt"")"),"#VALUE!")</f>
        <v>#VALUE!</v>
      </c>
      <c r="G5402" s="69"/>
    </row>
    <row r="5403" ht="22.5" customHeight="1">
      <c r="A5403" s="66"/>
      <c r="B5403" s="67" t="str">
        <f t="shared" si="16"/>
        <v>M: </v>
      </c>
      <c r="C5403" s="68"/>
      <c r="D5403" s="68">
        <v>46290.0</v>
      </c>
      <c r="E5403" s="66">
        <v>1.0</v>
      </c>
      <c r="F5403" s="66" t="str">
        <f>IFERROR(__xludf.DUMMYFUNCTION("GOOGLETRANSLATE(A5403,""en"",""pt"")"),"#VALUE!")</f>
        <v>#VALUE!</v>
      </c>
      <c r="G5403" s="69"/>
    </row>
    <row r="5404" ht="22.5" customHeight="1">
      <c r="A5404" s="66"/>
      <c r="B5404" s="67" t="str">
        <f t="shared" si="16"/>
        <v>M: </v>
      </c>
      <c r="C5404" s="68"/>
      <c r="D5404" s="68">
        <v>46290.0</v>
      </c>
      <c r="E5404" s="66">
        <v>2.0</v>
      </c>
      <c r="F5404" s="66" t="str">
        <f>IFERROR(__xludf.DUMMYFUNCTION("GOOGLETRANSLATE(A5404,""en"",""pt"")"),"#VALUE!")</f>
        <v>#VALUE!</v>
      </c>
      <c r="G5404" s="69"/>
    </row>
    <row r="5405" ht="22.5" customHeight="1">
      <c r="A5405" s="66"/>
      <c r="B5405" s="67" t="str">
        <f t="shared" si="16"/>
        <v>M: </v>
      </c>
      <c r="C5405" s="68"/>
      <c r="D5405" s="68">
        <v>46290.0</v>
      </c>
      <c r="E5405" s="66">
        <v>3.0</v>
      </c>
      <c r="F5405" s="66" t="str">
        <f>IFERROR(__xludf.DUMMYFUNCTION("GOOGLETRANSLATE(A5405,""en"",""pt"")"),"#VALUE!")</f>
        <v>#VALUE!</v>
      </c>
      <c r="G5405" s="69"/>
    </row>
    <row r="5406" ht="22.5" customHeight="1">
      <c r="A5406" s="66"/>
      <c r="B5406" s="67" t="str">
        <f t="shared" si="16"/>
        <v>M: </v>
      </c>
      <c r="C5406" s="68"/>
      <c r="D5406" s="68">
        <v>46290.0</v>
      </c>
      <c r="E5406" s="66">
        <v>4.0</v>
      </c>
      <c r="F5406" s="66" t="str">
        <f>IFERROR(__xludf.DUMMYFUNCTION("GOOGLETRANSLATE(A5406,""en"",""pt"")"),"#VALUE!")</f>
        <v>#VALUE!</v>
      </c>
      <c r="G5406" s="69"/>
    </row>
    <row r="5407" ht="22.5" customHeight="1">
      <c r="A5407" s="66"/>
      <c r="B5407" s="67" t="str">
        <f t="shared" si="16"/>
        <v>M: </v>
      </c>
      <c r="C5407" s="68"/>
      <c r="D5407" s="68">
        <v>46290.0</v>
      </c>
      <c r="E5407" s="66">
        <v>5.0</v>
      </c>
      <c r="F5407" s="66" t="str">
        <f>IFERROR(__xludf.DUMMYFUNCTION("GOOGLETRANSLATE(A5407,""en"",""pt"")"),"#VALUE!")</f>
        <v>#VALUE!</v>
      </c>
      <c r="G5407" s="69"/>
    </row>
    <row r="5408" ht="22.5" customHeight="1">
      <c r="A5408" s="66"/>
      <c r="B5408" s="67" t="str">
        <f t="shared" si="16"/>
        <v>M: </v>
      </c>
      <c r="C5408" s="68"/>
      <c r="D5408" s="68">
        <v>46290.0</v>
      </c>
      <c r="E5408" s="66">
        <v>6.0</v>
      </c>
      <c r="F5408" s="66" t="str">
        <f>IFERROR(__xludf.DUMMYFUNCTION("GOOGLETRANSLATE(A5408,""en"",""pt"")"),"#VALUE!")</f>
        <v>#VALUE!</v>
      </c>
      <c r="G5408" s="69"/>
    </row>
    <row r="5409" ht="22.5" customHeight="1">
      <c r="A5409" s="66"/>
      <c r="B5409" s="67" t="str">
        <f t="shared" si="16"/>
        <v>M: </v>
      </c>
      <c r="C5409" s="68"/>
      <c r="D5409" s="68">
        <v>46290.0</v>
      </c>
      <c r="E5409" s="66">
        <v>7.0</v>
      </c>
      <c r="F5409" s="66" t="str">
        <f>IFERROR(__xludf.DUMMYFUNCTION("GOOGLETRANSLATE(A5409,""en"",""pt"")"),"#VALUE!")</f>
        <v>#VALUE!</v>
      </c>
      <c r="G5409" s="69"/>
    </row>
    <row r="5410" ht="22.5" customHeight="1">
      <c r="A5410" s="66"/>
      <c r="B5410" s="67" t="str">
        <f t="shared" si="16"/>
        <v>M: </v>
      </c>
      <c r="C5410" s="68"/>
      <c r="D5410" s="68">
        <v>46290.0</v>
      </c>
      <c r="E5410" s="66">
        <v>8.0</v>
      </c>
      <c r="F5410" s="66" t="str">
        <f>IFERROR(__xludf.DUMMYFUNCTION("GOOGLETRANSLATE(A5410,""en"",""pt"")"),"#VALUE!")</f>
        <v>#VALUE!</v>
      </c>
      <c r="G5410" s="69"/>
    </row>
    <row r="5411" ht="22.5" customHeight="1">
      <c r="A5411" s="66"/>
      <c r="B5411" s="67" t="str">
        <f t="shared" si="16"/>
        <v>M: </v>
      </c>
      <c r="C5411" s="68"/>
      <c r="D5411" s="68">
        <v>46290.0</v>
      </c>
      <c r="E5411" s="66">
        <v>9.0</v>
      </c>
      <c r="F5411" s="66" t="str">
        <f>IFERROR(__xludf.DUMMYFUNCTION("GOOGLETRANSLATE(A5411,""en"",""pt"")"),"#VALUE!")</f>
        <v>#VALUE!</v>
      </c>
      <c r="G5411" s="69"/>
    </row>
    <row r="5412" ht="22.5" customHeight="1">
      <c r="A5412" s="66"/>
      <c r="B5412" s="67" t="str">
        <f t="shared" si="16"/>
        <v>M: </v>
      </c>
      <c r="C5412" s="68"/>
      <c r="D5412" s="68">
        <v>46291.0</v>
      </c>
      <c r="E5412" s="66">
        <v>10.0</v>
      </c>
      <c r="F5412" s="66" t="str">
        <f>IFERROR(__xludf.DUMMYFUNCTION("GOOGLETRANSLATE(A5412,""en"",""pt"")"),"#VALUE!")</f>
        <v>#VALUE!</v>
      </c>
      <c r="G5412" s="69"/>
    </row>
    <row r="5413" ht="22.5" customHeight="1">
      <c r="A5413" s="66"/>
      <c r="B5413" s="67" t="str">
        <f t="shared" si="16"/>
        <v>M: </v>
      </c>
      <c r="C5413" s="68"/>
      <c r="D5413" s="68">
        <v>46291.0</v>
      </c>
      <c r="E5413" s="66">
        <v>1.0</v>
      </c>
      <c r="F5413" s="66" t="str">
        <f>IFERROR(__xludf.DUMMYFUNCTION("GOOGLETRANSLATE(A5413,""en"",""pt"")"),"#VALUE!")</f>
        <v>#VALUE!</v>
      </c>
      <c r="G5413" s="69"/>
    </row>
    <row r="5414" ht="22.5" customHeight="1">
      <c r="A5414" s="66"/>
      <c r="B5414" s="67" t="str">
        <f t="shared" si="16"/>
        <v>M: </v>
      </c>
      <c r="C5414" s="68"/>
      <c r="D5414" s="68">
        <v>46291.0</v>
      </c>
      <c r="E5414" s="66">
        <v>2.0</v>
      </c>
      <c r="F5414" s="66" t="str">
        <f>IFERROR(__xludf.DUMMYFUNCTION("GOOGLETRANSLATE(A5414,""en"",""pt"")"),"#VALUE!")</f>
        <v>#VALUE!</v>
      </c>
      <c r="G5414" s="69"/>
    </row>
    <row r="5415" ht="22.5" customHeight="1">
      <c r="A5415" s="66"/>
      <c r="B5415" s="67" t="str">
        <f t="shared" si="16"/>
        <v>M: </v>
      </c>
      <c r="C5415" s="68"/>
      <c r="D5415" s="68">
        <v>46291.0</v>
      </c>
      <c r="E5415" s="66">
        <v>3.0</v>
      </c>
      <c r="F5415" s="66" t="str">
        <f>IFERROR(__xludf.DUMMYFUNCTION("GOOGLETRANSLATE(A5415,""en"",""pt"")"),"#VALUE!")</f>
        <v>#VALUE!</v>
      </c>
      <c r="G5415" s="69"/>
    </row>
    <row r="5416" ht="22.5" customHeight="1">
      <c r="A5416" s="66"/>
      <c r="B5416" s="67" t="str">
        <f t="shared" si="16"/>
        <v>M: </v>
      </c>
      <c r="C5416" s="68"/>
      <c r="D5416" s="68">
        <v>46291.0</v>
      </c>
      <c r="E5416" s="66">
        <v>4.0</v>
      </c>
      <c r="F5416" s="66" t="str">
        <f>IFERROR(__xludf.DUMMYFUNCTION("GOOGLETRANSLATE(A5416,""en"",""pt"")"),"#VALUE!")</f>
        <v>#VALUE!</v>
      </c>
      <c r="G5416" s="69"/>
    </row>
    <row r="5417" ht="22.5" customHeight="1">
      <c r="A5417" s="66"/>
      <c r="B5417" s="67" t="str">
        <f t="shared" si="16"/>
        <v>M: </v>
      </c>
      <c r="C5417" s="68"/>
      <c r="D5417" s="68">
        <v>46291.0</v>
      </c>
      <c r="E5417" s="66">
        <v>5.0</v>
      </c>
      <c r="F5417" s="66" t="str">
        <f>IFERROR(__xludf.DUMMYFUNCTION("GOOGLETRANSLATE(A5417,""en"",""pt"")"),"#VALUE!")</f>
        <v>#VALUE!</v>
      </c>
      <c r="G5417" s="69"/>
    </row>
    <row r="5418" ht="22.5" customHeight="1">
      <c r="A5418" s="66"/>
      <c r="B5418" s="67" t="str">
        <f t="shared" si="16"/>
        <v>M: </v>
      </c>
      <c r="C5418" s="68"/>
      <c r="D5418" s="68">
        <v>46291.0</v>
      </c>
      <c r="E5418" s="66">
        <v>6.0</v>
      </c>
      <c r="F5418" s="66" t="str">
        <f>IFERROR(__xludf.DUMMYFUNCTION("GOOGLETRANSLATE(A5418,""en"",""pt"")"),"#VALUE!")</f>
        <v>#VALUE!</v>
      </c>
      <c r="G5418" s="69"/>
    </row>
    <row r="5419" ht="22.5" customHeight="1">
      <c r="A5419" s="66"/>
      <c r="B5419" s="67" t="str">
        <f t="shared" si="16"/>
        <v>M: </v>
      </c>
      <c r="C5419" s="68"/>
      <c r="D5419" s="68">
        <v>46291.0</v>
      </c>
      <c r="E5419" s="66">
        <v>7.0</v>
      </c>
      <c r="F5419" s="66" t="str">
        <f>IFERROR(__xludf.DUMMYFUNCTION("GOOGLETRANSLATE(A5419,""en"",""pt"")"),"#VALUE!")</f>
        <v>#VALUE!</v>
      </c>
      <c r="G5419" s="69"/>
    </row>
    <row r="5420" ht="22.5" customHeight="1">
      <c r="A5420" s="66"/>
      <c r="B5420" s="67" t="str">
        <f t="shared" si="16"/>
        <v>M: </v>
      </c>
      <c r="C5420" s="68"/>
      <c r="D5420" s="68">
        <v>46291.0</v>
      </c>
      <c r="E5420" s="66">
        <v>8.0</v>
      </c>
      <c r="F5420" s="66" t="str">
        <f>IFERROR(__xludf.DUMMYFUNCTION("GOOGLETRANSLATE(A5420,""en"",""pt"")"),"#VALUE!")</f>
        <v>#VALUE!</v>
      </c>
      <c r="G5420" s="69"/>
    </row>
    <row r="5421" ht="22.5" customHeight="1">
      <c r="A5421" s="66"/>
      <c r="B5421" s="67" t="str">
        <f t="shared" si="16"/>
        <v>M: </v>
      </c>
      <c r="C5421" s="68"/>
      <c r="D5421" s="68">
        <v>46291.0</v>
      </c>
      <c r="E5421" s="66">
        <v>9.0</v>
      </c>
      <c r="F5421" s="66" t="str">
        <f>IFERROR(__xludf.DUMMYFUNCTION("GOOGLETRANSLATE(A5421,""en"",""pt"")"),"#VALUE!")</f>
        <v>#VALUE!</v>
      </c>
      <c r="G5421" s="69"/>
    </row>
    <row r="5422" ht="22.5" customHeight="1">
      <c r="A5422" s="66"/>
      <c r="B5422" s="67" t="str">
        <f t="shared" si="16"/>
        <v>M: </v>
      </c>
      <c r="C5422" s="68"/>
      <c r="D5422" s="68">
        <v>46292.0</v>
      </c>
      <c r="E5422" s="66">
        <v>10.0</v>
      </c>
      <c r="F5422" s="66" t="str">
        <f>IFERROR(__xludf.DUMMYFUNCTION("GOOGLETRANSLATE(A5422,""en"",""pt"")"),"#VALUE!")</f>
        <v>#VALUE!</v>
      </c>
      <c r="G5422" s="69"/>
    </row>
    <row r="5423" ht="22.5" customHeight="1">
      <c r="A5423" s="66"/>
      <c r="B5423" s="67" t="str">
        <f t="shared" si="16"/>
        <v>M: </v>
      </c>
      <c r="C5423" s="68"/>
      <c r="D5423" s="68">
        <v>46292.0</v>
      </c>
      <c r="E5423" s="66">
        <v>1.0</v>
      </c>
      <c r="F5423" s="66" t="str">
        <f>IFERROR(__xludf.DUMMYFUNCTION("GOOGLETRANSLATE(A5423,""en"",""pt"")"),"#VALUE!")</f>
        <v>#VALUE!</v>
      </c>
      <c r="G5423" s="69"/>
    </row>
    <row r="5424" ht="22.5" customHeight="1">
      <c r="A5424" s="66"/>
      <c r="B5424" s="67" t="str">
        <f t="shared" si="16"/>
        <v>M: </v>
      </c>
      <c r="C5424" s="68"/>
      <c r="D5424" s="68">
        <v>46292.0</v>
      </c>
      <c r="E5424" s="66">
        <v>2.0</v>
      </c>
      <c r="F5424" s="66" t="str">
        <f>IFERROR(__xludf.DUMMYFUNCTION("GOOGLETRANSLATE(A5424,""en"",""pt"")"),"#VALUE!")</f>
        <v>#VALUE!</v>
      </c>
      <c r="G5424" s="69"/>
    </row>
    <row r="5425" ht="22.5" customHeight="1">
      <c r="A5425" s="66"/>
      <c r="B5425" s="67" t="str">
        <f t="shared" si="16"/>
        <v>M: </v>
      </c>
      <c r="C5425" s="68"/>
      <c r="D5425" s="68">
        <v>46292.0</v>
      </c>
      <c r="E5425" s="66">
        <v>3.0</v>
      </c>
      <c r="F5425" s="66" t="str">
        <f>IFERROR(__xludf.DUMMYFUNCTION("GOOGLETRANSLATE(A5425,""en"",""pt"")"),"#VALUE!")</f>
        <v>#VALUE!</v>
      </c>
      <c r="G5425" s="69"/>
    </row>
    <row r="5426" ht="22.5" customHeight="1">
      <c r="A5426" s="66"/>
      <c r="B5426" s="67" t="str">
        <f t="shared" si="16"/>
        <v>M: </v>
      </c>
      <c r="C5426" s="68"/>
      <c r="D5426" s="68">
        <v>46292.0</v>
      </c>
      <c r="E5426" s="66">
        <v>4.0</v>
      </c>
      <c r="F5426" s="66" t="str">
        <f>IFERROR(__xludf.DUMMYFUNCTION("GOOGLETRANSLATE(A5426,""en"",""pt"")"),"#VALUE!")</f>
        <v>#VALUE!</v>
      </c>
      <c r="G5426" s="69"/>
    </row>
    <row r="5427" ht="22.5" customHeight="1">
      <c r="A5427" s="66"/>
      <c r="B5427" s="67" t="str">
        <f t="shared" si="16"/>
        <v>M: </v>
      </c>
      <c r="C5427" s="68"/>
      <c r="D5427" s="68">
        <v>46292.0</v>
      </c>
      <c r="E5427" s="66">
        <v>5.0</v>
      </c>
      <c r="F5427" s="66" t="str">
        <f>IFERROR(__xludf.DUMMYFUNCTION("GOOGLETRANSLATE(A5427,""en"",""pt"")"),"#VALUE!")</f>
        <v>#VALUE!</v>
      </c>
      <c r="G5427" s="69"/>
    </row>
    <row r="5428" ht="22.5" customHeight="1">
      <c r="A5428" s="66"/>
      <c r="B5428" s="67" t="str">
        <f t="shared" si="16"/>
        <v>M: </v>
      </c>
      <c r="C5428" s="68"/>
      <c r="D5428" s="68">
        <v>46292.0</v>
      </c>
      <c r="E5428" s="66">
        <v>6.0</v>
      </c>
      <c r="F5428" s="66" t="str">
        <f>IFERROR(__xludf.DUMMYFUNCTION("GOOGLETRANSLATE(A5428,""en"",""pt"")"),"#VALUE!")</f>
        <v>#VALUE!</v>
      </c>
      <c r="G5428" s="69"/>
    </row>
    <row r="5429" ht="22.5" customHeight="1">
      <c r="A5429" s="66"/>
      <c r="B5429" s="67" t="str">
        <f t="shared" si="16"/>
        <v>M: </v>
      </c>
      <c r="C5429" s="68"/>
      <c r="D5429" s="68">
        <v>46292.0</v>
      </c>
      <c r="E5429" s="66">
        <v>7.0</v>
      </c>
      <c r="F5429" s="66" t="str">
        <f>IFERROR(__xludf.DUMMYFUNCTION("GOOGLETRANSLATE(A5429,""en"",""pt"")"),"#VALUE!")</f>
        <v>#VALUE!</v>
      </c>
      <c r="G5429" s="69"/>
    </row>
    <row r="5430" ht="22.5" customHeight="1">
      <c r="A5430" s="66"/>
      <c r="B5430" s="67" t="str">
        <f t="shared" si="16"/>
        <v>M: </v>
      </c>
      <c r="C5430" s="68"/>
      <c r="D5430" s="68">
        <v>46292.0</v>
      </c>
      <c r="E5430" s="66">
        <v>8.0</v>
      </c>
      <c r="F5430" s="66" t="str">
        <f>IFERROR(__xludf.DUMMYFUNCTION("GOOGLETRANSLATE(A5430,""en"",""pt"")"),"#VALUE!")</f>
        <v>#VALUE!</v>
      </c>
      <c r="G5430" s="69"/>
    </row>
    <row r="5431" ht="22.5" customHeight="1">
      <c r="A5431" s="66"/>
      <c r="B5431" s="67" t="str">
        <f t="shared" si="16"/>
        <v>M: </v>
      </c>
      <c r="C5431" s="68"/>
      <c r="D5431" s="68">
        <v>46292.0</v>
      </c>
      <c r="E5431" s="66">
        <v>9.0</v>
      </c>
      <c r="F5431" s="66" t="str">
        <f>IFERROR(__xludf.DUMMYFUNCTION("GOOGLETRANSLATE(A5431,""en"",""pt"")"),"#VALUE!")</f>
        <v>#VALUE!</v>
      </c>
      <c r="G5431" s="69"/>
    </row>
    <row r="5432" ht="22.5" customHeight="1">
      <c r="A5432" s="66"/>
      <c r="B5432" s="67" t="str">
        <f t="shared" si="16"/>
        <v>M: </v>
      </c>
      <c r="C5432" s="68"/>
      <c r="D5432" s="68">
        <v>46293.0</v>
      </c>
      <c r="E5432" s="66">
        <v>10.0</v>
      </c>
      <c r="F5432" s="66" t="str">
        <f>IFERROR(__xludf.DUMMYFUNCTION("GOOGLETRANSLATE(A5432,""en"",""pt"")"),"#VALUE!")</f>
        <v>#VALUE!</v>
      </c>
      <c r="G5432" s="69"/>
    </row>
    <row r="5433" ht="22.5" customHeight="1">
      <c r="A5433" s="66"/>
      <c r="B5433" s="67" t="str">
        <f t="shared" si="16"/>
        <v>M: </v>
      </c>
      <c r="C5433" s="68"/>
      <c r="D5433" s="68">
        <v>46293.0</v>
      </c>
      <c r="E5433" s="66">
        <v>1.0</v>
      </c>
      <c r="F5433" s="66" t="str">
        <f>IFERROR(__xludf.DUMMYFUNCTION("GOOGLETRANSLATE(A5433,""en"",""pt"")"),"#VALUE!")</f>
        <v>#VALUE!</v>
      </c>
      <c r="G5433" s="69"/>
    </row>
    <row r="5434" ht="22.5" customHeight="1">
      <c r="A5434" s="66"/>
      <c r="B5434" s="67" t="str">
        <f t="shared" si="16"/>
        <v>M: </v>
      </c>
      <c r="C5434" s="68"/>
      <c r="D5434" s="68">
        <v>46293.0</v>
      </c>
      <c r="E5434" s="66">
        <v>2.0</v>
      </c>
      <c r="F5434" s="66" t="str">
        <f>IFERROR(__xludf.DUMMYFUNCTION("GOOGLETRANSLATE(A5434,""en"",""pt"")"),"#VALUE!")</f>
        <v>#VALUE!</v>
      </c>
      <c r="G5434" s="69"/>
    </row>
    <row r="5435" ht="22.5" customHeight="1">
      <c r="A5435" s="66"/>
      <c r="B5435" s="67" t="str">
        <f t="shared" si="16"/>
        <v>M: </v>
      </c>
      <c r="C5435" s="68"/>
      <c r="D5435" s="68">
        <v>46293.0</v>
      </c>
      <c r="E5435" s="66">
        <v>3.0</v>
      </c>
      <c r="F5435" s="66" t="str">
        <f>IFERROR(__xludf.DUMMYFUNCTION("GOOGLETRANSLATE(A5435,""en"",""pt"")"),"#VALUE!")</f>
        <v>#VALUE!</v>
      </c>
      <c r="G5435" s="69"/>
    </row>
    <row r="5436" ht="22.5" customHeight="1">
      <c r="A5436" s="66"/>
      <c r="B5436" s="67" t="str">
        <f t="shared" si="16"/>
        <v>M: </v>
      </c>
      <c r="C5436" s="68"/>
      <c r="D5436" s="68">
        <v>46293.0</v>
      </c>
      <c r="E5436" s="66">
        <v>4.0</v>
      </c>
      <c r="F5436" s="66" t="str">
        <f>IFERROR(__xludf.DUMMYFUNCTION("GOOGLETRANSLATE(A5436,""en"",""pt"")"),"#VALUE!")</f>
        <v>#VALUE!</v>
      </c>
      <c r="G5436" s="69"/>
    </row>
    <row r="5437" ht="22.5" customHeight="1">
      <c r="A5437" s="66"/>
      <c r="B5437" s="67" t="str">
        <f t="shared" si="16"/>
        <v>M: </v>
      </c>
      <c r="C5437" s="68"/>
      <c r="D5437" s="68">
        <v>46293.0</v>
      </c>
      <c r="E5437" s="66">
        <v>5.0</v>
      </c>
      <c r="F5437" s="66" t="str">
        <f>IFERROR(__xludf.DUMMYFUNCTION("GOOGLETRANSLATE(A5437,""en"",""pt"")"),"#VALUE!")</f>
        <v>#VALUE!</v>
      </c>
      <c r="G5437" s="69"/>
    </row>
    <row r="5438" ht="22.5" customHeight="1">
      <c r="A5438" s="66"/>
      <c r="B5438" s="67" t="str">
        <f t="shared" si="16"/>
        <v>M: </v>
      </c>
      <c r="C5438" s="68"/>
      <c r="D5438" s="68">
        <v>46293.0</v>
      </c>
      <c r="E5438" s="66">
        <v>6.0</v>
      </c>
      <c r="F5438" s="66" t="str">
        <f>IFERROR(__xludf.DUMMYFUNCTION("GOOGLETRANSLATE(A5438,""en"",""pt"")"),"#VALUE!")</f>
        <v>#VALUE!</v>
      </c>
      <c r="G5438" s="69"/>
    </row>
    <row r="5439" ht="22.5" customHeight="1">
      <c r="A5439" s="66"/>
      <c r="B5439" s="67" t="str">
        <f t="shared" si="16"/>
        <v>M: </v>
      </c>
      <c r="C5439" s="68"/>
      <c r="D5439" s="68">
        <v>46293.0</v>
      </c>
      <c r="E5439" s="66">
        <v>7.0</v>
      </c>
      <c r="F5439" s="66" t="str">
        <f>IFERROR(__xludf.DUMMYFUNCTION("GOOGLETRANSLATE(A5439,""en"",""pt"")"),"#VALUE!")</f>
        <v>#VALUE!</v>
      </c>
      <c r="G5439" s="69"/>
    </row>
    <row r="5440" ht="22.5" customHeight="1">
      <c r="A5440" s="66"/>
      <c r="B5440" s="67" t="str">
        <f t="shared" si="16"/>
        <v>M: </v>
      </c>
      <c r="C5440" s="68"/>
      <c r="D5440" s="68">
        <v>46293.0</v>
      </c>
      <c r="E5440" s="66">
        <v>8.0</v>
      </c>
      <c r="F5440" s="66" t="str">
        <f>IFERROR(__xludf.DUMMYFUNCTION("GOOGLETRANSLATE(A5440,""en"",""pt"")"),"#VALUE!")</f>
        <v>#VALUE!</v>
      </c>
      <c r="G5440" s="69"/>
    </row>
    <row r="5441" ht="22.5" customHeight="1">
      <c r="A5441" s="66"/>
      <c r="B5441" s="67" t="str">
        <f t="shared" si="16"/>
        <v>M: </v>
      </c>
      <c r="C5441" s="68"/>
      <c r="D5441" s="68">
        <v>46293.0</v>
      </c>
      <c r="E5441" s="66">
        <v>9.0</v>
      </c>
      <c r="F5441" s="66" t="str">
        <f>IFERROR(__xludf.DUMMYFUNCTION("GOOGLETRANSLATE(A5441,""en"",""pt"")"),"#VALUE!")</f>
        <v>#VALUE!</v>
      </c>
      <c r="G5441" s="69"/>
    </row>
    <row r="5442" ht="22.5" customHeight="1">
      <c r="A5442" s="66"/>
      <c r="B5442" s="67" t="str">
        <f t="shared" si="16"/>
        <v>M: </v>
      </c>
      <c r="C5442" s="68"/>
      <c r="D5442" s="68">
        <v>46294.0</v>
      </c>
      <c r="E5442" s="66">
        <v>10.0</v>
      </c>
      <c r="F5442" s="66" t="str">
        <f>IFERROR(__xludf.DUMMYFUNCTION("GOOGLETRANSLATE(A5442,""en"",""pt"")"),"#VALUE!")</f>
        <v>#VALUE!</v>
      </c>
      <c r="G5442" s="69"/>
    </row>
    <row r="5443" ht="22.5" customHeight="1">
      <c r="A5443" s="66"/>
      <c r="B5443" s="67" t="str">
        <f t="shared" si="16"/>
        <v>M: </v>
      </c>
      <c r="C5443" s="68"/>
      <c r="D5443" s="68">
        <v>46294.0</v>
      </c>
      <c r="E5443" s="66">
        <v>1.0</v>
      </c>
      <c r="F5443" s="66" t="str">
        <f>IFERROR(__xludf.DUMMYFUNCTION("GOOGLETRANSLATE(A5443,""en"",""pt"")"),"#VALUE!")</f>
        <v>#VALUE!</v>
      </c>
      <c r="G5443" s="69"/>
    </row>
    <row r="5444" ht="22.5" customHeight="1">
      <c r="A5444" s="66"/>
      <c r="B5444" s="67" t="str">
        <f t="shared" si="16"/>
        <v>M: </v>
      </c>
      <c r="C5444" s="68"/>
      <c r="D5444" s="68">
        <v>46294.0</v>
      </c>
      <c r="E5444" s="66">
        <v>2.0</v>
      </c>
      <c r="F5444" s="66" t="str">
        <f>IFERROR(__xludf.DUMMYFUNCTION("GOOGLETRANSLATE(A5444,""en"",""pt"")"),"#VALUE!")</f>
        <v>#VALUE!</v>
      </c>
      <c r="G5444" s="69"/>
    </row>
    <row r="5445" ht="22.5" customHeight="1">
      <c r="A5445" s="66"/>
      <c r="B5445" s="67" t="str">
        <f t="shared" si="16"/>
        <v>M: </v>
      </c>
      <c r="C5445" s="68"/>
      <c r="D5445" s="68">
        <v>46294.0</v>
      </c>
      <c r="E5445" s="66">
        <v>3.0</v>
      </c>
      <c r="F5445" s="66" t="str">
        <f>IFERROR(__xludf.DUMMYFUNCTION("GOOGLETRANSLATE(A5445,""en"",""pt"")"),"#VALUE!")</f>
        <v>#VALUE!</v>
      </c>
      <c r="G5445" s="69"/>
    </row>
    <row r="5446" ht="22.5" customHeight="1">
      <c r="A5446" s="66"/>
      <c r="B5446" s="67" t="str">
        <f t="shared" si="16"/>
        <v>M: </v>
      </c>
      <c r="C5446" s="68"/>
      <c r="D5446" s="68">
        <v>46294.0</v>
      </c>
      <c r="E5446" s="66">
        <v>4.0</v>
      </c>
      <c r="F5446" s="66" t="str">
        <f>IFERROR(__xludf.DUMMYFUNCTION("GOOGLETRANSLATE(A5446,""en"",""pt"")"),"#VALUE!")</f>
        <v>#VALUE!</v>
      </c>
      <c r="G5446" s="69"/>
    </row>
    <row r="5447" ht="22.5" customHeight="1">
      <c r="A5447" s="66"/>
      <c r="B5447" s="67" t="str">
        <f t="shared" si="16"/>
        <v>M: </v>
      </c>
      <c r="C5447" s="68"/>
      <c r="D5447" s="68">
        <v>46294.0</v>
      </c>
      <c r="E5447" s="66">
        <v>5.0</v>
      </c>
      <c r="F5447" s="66" t="str">
        <f>IFERROR(__xludf.DUMMYFUNCTION("GOOGLETRANSLATE(A5447,""en"",""pt"")"),"#VALUE!")</f>
        <v>#VALUE!</v>
      </c>
      <c r="G5447" s="69"/>
    </row>
    <row r="5448" ht="22.5" customHeight="1">
      <c r="A5448" s="66"/>
      <c r="B5448" s="67" t="str">
        <f t="shared" si="16"/>
        <v>M: </v>
      </c>
      <c r="C5448" s="68"/>
      <c r="D5448" s="68">
        <v>46294.0</v>
      </c>
      <c r="E5448" s="66">
        <v>6.0</v>
      </c>
      <c r="F5448" s="66" t="str">
        <f>IFERROR(__xludf.DUMMYFUNCTION("GOOGLETRANSLATE(A5448,""en"",""pt"")"),"#VALUE!")</f>
        <v>#VALUE!</v>
      </c>
      <c r="G5448" s="69"/>
    </row>
    <row r="5449" ht="22.5" customHeight="1">
      <c r="A5449" s="66"/>
      <c r="B5449" s="67" t="str">
        <f t="shared" si="16"/>
        <v>M: </v>
      </c>
      <c r="C5449" s="68"/>
      <c r="D5449" s="68">
        <v>46294.0</v>
      </c>
      <c r="E5449" s="66">
        <v>7.0</v>
      </c>
      <c r="F5449" s="66" t="str">
        <f>IFERROR(__xludf.DUMMYFUNCTION("GOOGLETRANSLATE(A5449,""en"",""pt"")"),"#VALUE!")</f>
        <v>#VALUE!</v>
      </c>
      <c r="G5449" s="69"/>
    </row>
    <row r="5450" ht="22.5" customHeight="1">
      <c r="A5450" s="66"/>
      <c r="B5450" s="67" t="str">
        <f t="shared" si="16"/>
        <v>M: </v>
      </c>
      <c r="C5450" s="68"/>
      <c r="D5450" s="68">
        <v>46294.0</v>
      </c>
      <c r="E5450" s="66">
        <v>8.0</v>
      </c>
      <c r="F5450" s="66" t="str">
        <f>IFERROR(__xludf.DUMMYFUNCTION("GOOGLETRANSLATE(A5450,""en"",""pt"")"),"#VALUE!")</f>
        <v>#VALUE!</v>
      </c>
      <c r="G5450" s="69"/>
    </row>
    <row r="5451" ht="22.5" customHeight="1">
      <c r="A5451" s="66"/>
      <c r="B5451" s="67" t="str">
        <f t="shared" si="16"/>
        <v>M: </v>
      </c>
      <c r="C5451" s="68"/>
      <c r="D5451" s="68">
        <v>46294.0</v>
      </c>
      <c r="E5451" s="66">
        <v>9.0</v>
      </c>
      <c r="F5451" s="66" t="str">
        <f>IFERROR(__xludf.DUMMYFUNCTION("GOOGLETRANSLATE(A5451,""en"",""pt"")"),"#VALUE!")</f>
        <v>#VALUE!</v>
      </c>
      <c r="G5451" s="69"/>
    </row>
    <row r="5452" ht="22.5" customHeight="1">
      <c r="A5452" s="66"/>
      <c r="B5452" s="67" t="str">
        <f t="shared" si="16"/>
        <v>M: </v>
      </c>
      <c r="C5452" s="68"/>
      <c r="D5452" s="68">
        <v>46295.0</v>
      </c>
      <c r="E5452" s="66">
        <v>10.0</v>
      </c>
      <c r="F5452" s="66" t="str">
        <f>IFERROR(__xludf.DUMMYFUNCTION("GOOGLETRANSLATE(A5452,""en"",""pt"")"),"#VALUE!")</f>
        <v>#VALUE!</v>
      </c>
      <c r="G5452" s="69"/>
    </row>
    <row r="5453" ht="22.5" customHeight="1">
      <c r="A5453" s="66"/>
      <c r="B5453" s="67" t="str">
        <f t="shared" si="16"/>
        <v>M: </v>
      </c>
      <c r="C5453" s="68"/>
      <c r="D5453" s="68">
        <v>46295.0</v>
      </c>
      <c r="E5453" s="66">
        <v>1.0</v>
      </c>
      <c r="F5453" s="66" t="str">
        <f>IFERROR(__xludf.DUMMYFUNCTION("GOOGLETRANSLATE(A5453,""en"",""pt"")"),"#VALUE!")</f>
        <v>#VALUE!</v>
      </c>
      <c r="G5453" s="69"/>
    </row>
    <row r="5454" ht="22.5" customHeight="1">
      <c r="A5454" s="66"/>
      <c r="B5454" s="67" t="str">
        <f t="shared" si="16"/>
        <v>M: </v>
      </c>
      <c r="C5454" s="68"/>
      <c r="D5454" s="68">
        <v>46295.0</v>
      </c>
      <c r="E5454" s="66">
        <v>2.0</v>
      </c>
      <c r="F5454" s="66" t="str">
        <f>IFERROR(__xludf.DUMMYFUNCTION("GOOGLETRANSLATE(A5454,""en"",""pt"")"),"#VALUE!")</f>
        <v>#VALUE!</v>
      </c>
      <c r="G5454" s="69"/>
    </row>
    <row r="5455" ht="22.5" customHeight="1">
      <c r="A5455" s="66"/>
      <c r="B5455" s="67" t="str">
        <f t="shared" si="16"/>
        <v>M: </v>
      </c>
      <c r="C5455" s="68"/>
      <c r="D5455" s="68">
        <v>46295.0</v>
      </c>
      <c r="E5455" s="66">
        <v>3.0</v>
      </c>
      <c r="F5455" s="66" t="str">
        <f>IFERROR(__xludf.DUMMYFUNCTION("GOOGLETRANSLATE(A5455,""en"",""pt"")"),"#VALUE!")</f>
        <v>#VALUE!</v>
      </c>
      <c r="G5455" s="69"/>
    </row>
    <row r="5456" ht="22.5" customHeight="1">
      <c r="A5456" s="66"/>
      <c r="B5456" s="67" t="str">
        <f t="shared" si="16"/>
        <v>M: </v>
      </c>
      <c r="C5456" s="68"/>
      <c r="D5456" s="68">
        <v>46295.0</v>
      </c>
      <c r="E5456" s="66">
        <v>4.0</v>
      </c>
      <c r="F5456" s="66" t="str">
        <f>IFERROR(__xludf.DUMMYFUNCTION("GOOGLETRANSLATE(A5456,""en"",""pt"")"),"#VALUE!")</f>
        <v>#VALUE!</v>
      </c>
      <c r="G5456" s="69"/>
    </row>
    <row r="5457" ht="22.5" customHeight="1">
      <c r="A5457" s="66"/>
      <c r="B5457" s="67" t="str">
        <f t="shared" si="16"/>
        <v>M: </v>
      </c>
      <c r="C5457" s="68"/>
      <c r="D5457" s="68">
        <v>46295.0</v>
      </c>
      <c r="E5457" s="66">
        <v>5.0</v>
      </c>
      <c r="F5457" s="66" t="str">
        <f>IFERROR(__xludf.DUMMYFUNCTION("GOOGLETRANSLATE(A5457,""en"",""pt"")"),"#VALUE!")</f>
        <v>#VALUE!</v>
      </c>
      <c r="G5457" s="69"/>
    </row>
    <row r="5458" ht="22.5" customHeight="1">
      <c r="A5458" s="66"/>
      <c r="B5458" s="67" t="str">
        <f t="shared" si="16"/>
        <v>M: </v>
      </c>
      <c r="C5458" s="68"/>
      <c r="D5458" s="68">
        <v>46295.0</v>
      </c>
      <c r="E5458" s="66">
        <v>6.0</v>
      </c>
      <c r="F5458" s="66" t="str">
        <f>IFERROR(__xludf.DUMMYFUNCTION("GOOGLETRANSLATE(A5458,""en"",""pt"")"),"#VALUE!")</f>
        <v>#VALUE!</v>
      </c>
      <c r="G5458" s="69"/>
    </row>
    <row r="5459" ht="22.5" customHeight="1">
      <c r="A5459" s="66"/>
      <c r="B5459" s="67" t="str">
        <f t="shared" si="16"/>
        <v>M: </v>
      </c>
      <c r="C5459" s="68"/>
      <c r="D5459" s="68">
        <v>46295.0</v>
      </c>
      <c r="E5459" s="66">
        <v>7.0</v>
      </c>
      <c r="F5459" s="66" t="str">
        <f>IFERROR(__xludf.DUMMYFUNCTION("GOOGLETRANSLATE(A5459,""en"",""pt"")"),"#VALUE!")</f>
        <v>#VALUE!</v>
      </c>
      <c r="G5459" s="69"/>
    </row>
    <row r="5460" ht="22.5" customHeight="1">
      <c r="A5460" s="66"/>
      <c r="B5460" s="67" t="str">
        <f t="shared" si="16"/>
        <v>M: </v>
      </c>
      <c r="C5460" s="68"/>
      <c r="D5460" s="68">
        <v>46295.0</v>
      </c>
      <c r="E5460" s="66">
        <v>8.0</v>
      </c>
      <c r="F5460" s="66" t="str">
        <f>IFERROR(__xludf.DUMMYFUNCTION("GOOGLETRANSLATE(A5460,""en"",""pt"")"),"#VALUE!")</f>
        <v>#VALUE!</v>
      </c>
      <c r="G5460" s="69"/>
    </row>
    <row r="5461" ht="22.5" customHeight="1">
      <c r="A5461" s="66"/>
      <c r="B5461" s="67" t="str">
        <f t="shared" si="16"/>
        <v>M: </v>
      </c>
      <c r="C5461" s="68"/>
      <c r="D5461" s="68">
        <v>46295.0</v>
      </c>
      <c r="E5461" s="66">
        <v>9.0</v>
      </c>
      <c r="F5461" s="66" t="str">
        <f>IFERROR(__xludf.DUMMYFUNCTION("GOOGLETRANSLATE(A5461,""en"",""pt"")"),"#VALUE!")</f>
        <v>#VALUE!</v>
      </c>
      <c r="G5461" s="69"/>
    </row>
    <row r="5462" ht="22.5" customHeight="1">
      <c r="A5462" s="66"/>
      <c r="B5462" s="67" t="str">
        <f t="shared" si="16"/>
        <v>M: </v>
      </c>
      <c r="C5462" s="68"/>
      <c r="D5462" s="68">
        <v>46296.0</v>
      </c>
      <c r="E5462" s="66">
        <v>10.0</v>
      </c>
      <c r="F5462" s="66" t="str">
        <f>IFERROR(__xludf.DUMMYFUNCTION("GOOGLETRANSLATE(A5462,""en"",""pt"")"),"#VALUE!")</f>
        <v>#VALUE!</v>
      </c>
      <c r="G5462" s="69"/>
    </row>
    <row r="5463" ht="22.5" customHeight="1">
      <c r="A5463" s="66"/>
      <c r="B5463" s="67" t="str">
        <f t="shared" si="16"/>
        <v>M: </v>
      </c>
      <c r="C5463" s="68"/>
      <c r="D5463" s="68">
        <v>46296.0</v>
      </c>
      <c r="E5463" s="66">
        <v>1.0</v>
      </c>
      <c r="F5463" s="66" t="str">
        <f>IFERROR(__xludf.DUMMYFUNCTION("GOOGLETRANSLATE(A5463,""en"",""pt"")"),"#VALUE!")</f>
        <v>#VALUE!</v>
      </c>
      <c r="G5463" s="69"/>
    </row>
    <row r="5464" ht="22.5" customHeight="1">
      <c r="A5464" s="66"/>
      <c r="B5464" s="67" t="str">
        <f t="shared" si="16"/>
        <v>M: </v>
      </c>
      <c r="C5464" s="68"/>
      <c r="D5464" s="68">
        <v>46296.0</v>
      </c>
      <c r="E5464" s="66">
        <v>2.0</v>
      </c>
      <c r="F5464" s="66" t="str">
        <f>IFERROR(__xludf.DUMMYFUNCTION("GOOGLETRANSLATE(A5464,""en"",""pt"")"),"#VALUE!")</f>
        <v>#VALUE!</v>
      </c>
      <c r="G5464" s="69"/>
    </row>
    <row r="5465" ht="22.5" customHeight="1">
      <c r="A5465" s="66"/>
      <c r="B5465" s="67" t="str">
        <f t="shared" si="16"/>
        <v>M: </v>
      </c>
      <c r="C5465" s="68"/>
      <c r="D5465" s="68">
        <v>46296.0</v>
      </c>
      <c r="E5465" s="66">
        <v>3.0</v>
      </c>
      <c r="F5465" s="66" t="str">
        <f>IFERROR(__xludf.DUMMYFUNCTION("GOOGLETRANSLATE(A5465,""en"",""pt"")"),"#VALUE!")</f>
        <v>#VALUE!</v>
      </c>
      <c r="G5465" s="69"/>
    </row>
    <row r="5466" ht="22.5" customHeight="1">
      <c r="A5466" s="66"/>
      <c r="B5466" s="67" t="str">
        <f t="shared" si="16"/>
        <v>M: </v>
      </c>
      <c r="C5466" s="68"/>
      <c r="D5466" s="68">
        <v>46296.0</v>
      </c>
      <c r="E5466" s="66">
        <v>4.0</v>
      </c>
      <c r="F5466" s="66" t="str">
        <f>IFERROR(__xludf.DUMMYFUNCTION("GOOGLETRANSLATE(A5466,""en"",""pt"")"),"#VALUE!")</f>
        <v>#VALUE!</v>
      </c>
      <c r="G5466" s="69"/>
    </row>
    <row r="5467" ht="22.5" customHeight="1">
      <c r="A5467" s="66"/>
      <c r="B5467" s="67" t="str">
        <f t="shared" si="16"/>
        <v>M: </v>
      </c>
      <c r="C5467" s="68"/>
      <c r="D5467" s="68">
        <v>46296.0</v>
      </c>
      <c r="E5467" s="66">
        <v>5.0</v>
      </c>
      <c r="F5467" s="66" t="str">
        <f>IFERROR(__xludf.DUMMYFUNCTION("GOOGLETRANSLATE(A5467,""en"",""pt"")"),"#VALUE!")</f>
        <v>#VALUE!</v>
      </c>
      <c r="G5467" s="69"/>
    </row>
    <row r="5468" ht="22.5" customHeight="1">
      <c r="A5468" s="66"/>
      <c r="B5468" s="67" t="str">
        <f t="shared" si="16"/>
        <v>M: </v>
      </c>
      <c r="C5468" s="68"/>
      <c r="D5468" s="68">
        <v>46296.0</v>
      </c>
      <c r="E5468" s="66">
        <v>6.0</v>
      </c>
      <c r="F5468" s="66" t="str">
        <f>IFERROR(__xludf.DUMMYFUNCTION("GOOGLETRANSLATE(A5468,""en"",""pt"")"),"#VALUE!")</f>
        <v>#VALUE!</v>
      </c>
      <c r="G5468" s="69"/>
    </row>
    <row r="5469" ht="22.5" customHeight="1">
      <c r="A5469" s="66"/>
      <c r="B5469" s="67" t="str">
        <f t="shared" si="16"/>
        <v>M: </v>
      </c>
      <c r="C5469" s="68"/>
      <c r="D5469" s="68">
        <v>46296.0</v>
      </c>
      <c r="E5469" s="66">
        <v>7.0</v>
      </c>
      <c r="F5469" s="66" t="str">
        <f>IFERROR(__xludf.DUMMYFUNCTION("GOOGLETRANSLATE(A5469,""en"",""pt"")"),"#VALUE!")</f>
        <v>#VALUE!</v>
      </c>
      <c r="G5469" s="69"/>
    </row>
    <row r="5470" ht="22.5" customHeight="1">
      <c r="A5470" s="66"/>
      <c r="B5470" s="67" t="str">
        <f t="shared" si="16"/>
        <v>M: </v>
      </c>
      <c r="C5470" s="68"/>
      <c r="D5470" s="68">
        <v>46296.0</v>
      </c>
      <c r="E5470" s="66">
        <v>8.0</v>
      </c>
      <c r="F5470" s="66" t="str">
        <f>IFERROR(__xludf.DUMMYFUNCTION("GOOGLETRANSLATE(A5470,""en"",""pt"")"),"#VALUE!")</f>
        <v>#VALUE!</v>
      </c>
      <c r="G5470" s="69"/>
    </row>
    <row r="5471" ht="22.5" customHeight="1">
      <c r="A5471" s="66"/>
      <c r="B5471" s="67" t="str">
        <f t="shared" si="16"/>
        <v>M: </v>
      </c>
      <c r="C5471" s="68"/>
      <c r="D5471" s="68">
        <v>46296.0</v>
      </c>
      <c r="E5471" s="66">
        <v>9.0</v>
      </c>
      <c r="F5471" s="66" t="str">
        <f>IFERROR(__xludf.DUMMYFUNCTION("GOOGLETRANSLATE(A5471,""en"",""pt"")"),"#VALUE!")</f>
        <v>#VALUE!</v>
      </c>
      <c r="G5471" s="69"/>
    </row>
    <row r="5472" ht="22.5" customHeight="1">
      <c r="A5472" s="66"/>
      <c r="B5472" s="67" t="str">
        <f t="shared" si="16"/>
        <v>M: </v>
      </c>
      <c r="C5472" s="68"/>
      <c r="D5472" s="68">
        <v>46297.0</v>
      </c>
      <c r="E5472" s="66">
        <v>10.0</v>
      </c>
      <c r="F5472" s="66" t="str">
        <f>IFERROR(__xludf.DUMMYFUNCTION("GOOGLETRANSLATE(A5472,""en"",""pt"")"),"#VALUE!")</f>
        <v>#VALUE!</v>
      </c>
      <c r="G5472" s="69"/>
    </row>
    <row r="5473" ht="22.5" customHeight="1">
      <c r="A5473" s="66"/>
      <c r="B5473" s="67" t="str">
        <f t="shared" si="16"/>
        <v>M: </v>
      </c>
      <c r="C5473" s="68"/>
      <c r="D5473" s="68">
        <v>46297.0</v>
      </c>
      <c r="E5473" s="66">
        <v>1.0</v>
      </c>
      <c r="F5473" s="66" t="str">
        <f>IFERROR(__xludf.DUMMYFUNCTION("GOOGLETRANSLATE(A5473,""en"",""pt"")"),"#VALUE!")</f>
        <v>#VALUE!</v>
      </c>
      <c r="G5473" s="69"/>
    </row>
    <row r="5474" ht="22.5" customHeight="1">
      <c r="A5474" s="66"/>
      <c r="B5474" s="67" t="str">
        <f t="shared" si="16"/>
        <v>M: </v>
      </c>
      <c r="C5474" s="68"/>
      <c r="D5474" s="68">
        <v>46297.0</v>
      </c>
      <c r="E5474" s="66">
        <v>2.0</v>
      </c>
      <c r="F5474" s="66" t="str">
        <f>IFERROR(__xludf.DUMMYFUNCTION("GOOGLETRANSLATE(A5474,""en"",""pt"")"),"#VALUE!")</f>
        <v>#VALUE!</v>
      </c>
      <c r="G5474" s="69"/>
    </row>
    <row r="5475" ht="22.5" customHeight="1">
      <c r="A5475" s="66"/>
      <c r="B5475" s="67" t="str">
        <f t="shared" si="16"/>
        <v>M: </v>
      </c>
      <c r="C5475" s="68"/>
      <c r="D5475" s="68">
        <v>46297.0</v>
      </c>
      <c r="E5475" s="66">
        <v>3.0</v>
      </c>
      <c r="F5475" s="66" t="str">
        <f>IFERROR(__xludf.DUMMYFUNCTION("GOOGLETRANSLATE(A5475,""en"",""pt"")"),"#VALUE!")</f>
        <v>#VALUE!</v>
      </c>
      <c r="G5475" s="69"/>
    </row>
    <row r="5476" ht="22.5" customHeight="1">
      <c r="A5476" s="66"/>
      <c r="B5476" s="67" t="str">
        <f t="shared" si="16"/>
        <v>M: </v>
      </c>
      <c r="C5476" s="68"/>
      <c r="D5476" s="68">
        <v>46297.0</v>
      </c>
      <c r="E5476" s="66">
        <v>4.0</v>
      </c>
      <c r="F5476" s="66" t="str">
        <f>IFERROR(__xludf.DUMMYFUNCTION("GOOGLETRANSLATE(A5476,""en"",""pt"")"),"#VALUE!")</f>
        <v>#VALUE!</v>
      </c>
      <c r="G5476" s="69"/>
    </row>
    <row r="5477" ht="22.5" customHeight="1">
      <c r="A5477" s="66"/>
      <c r="B5477" s="67" t="str">
        <f t="shared" si="16"/>
        <v>M: </v>
      </c>
      <c r="C5477" s="68"/>
      <c r="D5477" s="68">
        <v>46297.0</v>
      </c>
      <c r="E5477" s="66">
        <v>5.0</v>
      </c>
      <c r="F5477" s="66" t="str">
        <f>IFERROR(__xludf.DUMMYFUNCTION("GOOGLETRANSLATE(A5477,""en"",""pt"")"),"#VALUE!")</f>
        <v>#VALUE!</v>
      </c>
      <c r="G5477" s="69"/>
    </row>
    <row r="5478" ht="22.5" customHeight="1">
      <c r="A5478" s="66"/>
      <c r="B5478" s="67" t="str">
        <f t="shared" si="16"/>
        <v>M: </v>
      </c>
      <c r="C5478" s="68"/>
      <c r="D5478" s="68">
        <v>46297.0</v>
      </c>
      <c r="E5478" s="66">
        <v>6.0</v>
      </c>
      <c r="F5478" s="66" t="str">
        <f>IFERROR(__xludf.DUMMYFUNCTION("GOOGLETRANSLATE(A5478,""en"",""pt"")"),"#VALUE!")</f>
        <v>#VALUE!</v>
      </c>
      <c r="G5478" s="69"/>
    </row>
    <row r="5479" ht="22.5" customHeight="1">
      <c r="A5479" s="66"/>
      <c r="B5479" s="67" t="str">
        <f t="shared" si="16"/>
        <v>M: </v>
      </c>
      <c r="C5479" s="68"/>
      <c r="D5479" s="68">
        <v>46297.0</v>
      </c>
      <c r="E5479" s="66">
        <v>7.0</v>
      </c>
      <c r="F5479" s="66" t="str">
        <f>IFERROR(__xludf.DUMMYFUNCTION("GOOGLETRANSLATE(A5479,""en"",""pt"")"),"#VALUE!")</f>
        <v>#VALUE!</v>
      </c>
      <c r="G5479" s="69"/>
    </row>
    <row r="5480" ht="22.5" customHeight="1">
      <c r="A5480" s="66"/>
      <c r="B5480" s="67" t="str">
        <f t="shared" si="16"/>
        <v>M: </v>
      </c>
      <c r="C5480" s="68"/>
      <c r="D5480" s="68">
        <v>46297.0</v>
      </c>
      <c r="E5480" s="66">
        <v>8.0</v>
      </c>
      <c r="F5480" s="66" t="str">
        <f>IFERROR(__xludf.DUMMYFUNCTION("GOOGLETRANSLATE(A5480,""en"",""pt"")"),"#VALUE!")</f>
        <v>#VALUE!</v>
      </c>
      <c r="G5480" s="69"/>
    </row>
    <row r="5481" ht="22.5" customHeight="1">
      <c r="A5481" s="66"/>
      <c r="B5481" s="67" t="str">
        <f t="shared" si="16"/>
        <v>M: </v>
      </c>
      <c r="C5481" s="68"/>
      <c r="D5481" s="68">
        <v>46297.0</v>
      </c>
      <c r="E5481" s="66">
        <v>9.0</v>
      </c>
      <c r="F5481" s="66" t="str">
        <f>IFERROR(__xludf.DUMMYFUNCTION("GOOGLETRANSLATE(A5481,""en"",""pt"")"),"#VALUE!")</f>
        <v>#VALUE!</v>
      </c>
      <c r="G5481" s="69"/>
    </row>
    <row r="5482" ht="22.5" customHeight="1">
      <c r="A5482" s="66"/>
      <c r="B5482" s="67" t="str">
        <f t="shared" si="16"/>
        <v>M: </v>
      </c>
      <c r="C5482" s="68"/>
      <c r="D5482" s="68">
        <v>46298.0</v>
      </c>
      <c r="E5482" s="66">
        <v>10.0</v>
      </c>
      <c r="F5482" s="66" t="str">
        <f>IFERROR(__xludf.DUMMYFUNCTION("GOOGLETRANSLATE(A5482,""en"",""pt"")"),"#VALUE!")</f>
        <v>#VALUE!</v>
      </c>
      <c r="G5482" s="69"/>
    </row>
    <row r="5483" ht="22.5" customHeight="1">
      <c r="A5483" s="66"/>
      <c r="B5483" s="67" t="str">
        <f t="shared" si="16"/>
        <v>M: </v>
      </c>
      <c r="C5483" s="68"/>
      <c r="D5483" s="68">
        <v>46298.0</v>
      </c>
      <c r="E5483" s="66">
        <v>1.0</v>
      </c>
      <c r="F5483" s="66" t="str">
        <f>IFERROR(__xludf.DUMMYFUNCTION("GOOGLETRANSLATE(A5483,""en"",""pt"")"),"#VALUE!")</f>
        <v>#VALUE!</v>
      </c>
      <c r="G5483" s="69"/>
    </row>
    <row r="5484" ht="22.5" customHeight="1">
      <c r="A5484" s="66"/>
      <c r="B5484" s="67" t="str">
        <f t="shared" si="16"/>
        <v>M: </v>
      </c>
      <c r="C5484" s="68"/>
      <c r="D5484" s="68">
        <v>46298.0</v>
      </c>
      <c r="E5484" s="66">
        <v>2.0</v>
      </c>
      <c r="F5484" s="66" t="str">
        <f>IFERROR(__xludf.DUMMYFUNCTION("GOOGLETRANSLATE(A5484,""en"",""pt"")"),"#VALUE!")</f>
        <v>#VALUE!</v>
      </c>
      <c r="G5484" s="69"/>
    </row>
    <row r="5485" ht="22.5" customHeight="1">
      <c r="A5485" s="66"/>
      <c r="B5485" s="67" t="str">
        <f t="shared" si="16"/>
        <v>M: </v>
      </c>
      <c r="C5485" s="68"/>
      <c r="D5485" s="68">
        <v>46298.0</v>
      </c>
      <c r="E5485" s="66">
        <v>3.0</v>
      </c>
      <c r="F5485" s="66" t="str">
        <f>IFERROR(__xludf.DUMMYFUNCTION("GOOGLETRANSLATE(A5485,""en"",""pt"")"),"#VALUE!")</f>
        <v>#VALUE!</v>
      </c>
      <c r="G5485" s="69"/>
    </row>
    <row r="5486" ht="22.5" customHeight="1">
      <c r="A5486" s="66"/>
      <c r="B5486" s="67" t="str">
        <f t="shared" si="16"/>
        <v>M: </v>
      </c>
      <c r="C5486" s="68"/>
      <c r="D5486" s="68">
        <v>46298.0</v>
      </c>
      <c r="E5486" s="66">
        <v>4.0</v>
      </c>
      <c r="F5486" s="66" t="str">
        <f>IFERROR(__xludf.DUMMYFUNCTION("GOOGLETRANSLATE(A5486,""en"",""pt"")"),"#VALUE!")</f>
        <v>#VALUE!</v>
      </c>
      <c r="G5486" s="69"/>
    </row>
    <row r="5487" ht="22.5" customHeight="1">
      <c r="A5487" s="66"/>
      <c r="B5487" s="67" t="str">
        <f t="shared" si="16"/>
        <v>M: </v>
      </c>
      <c r="C5487" s="68"/>
      <c r="D5487" s="68">
        <v>46298.0</v>
      </c>
      <c r="E5487" s="66">
        <v>5.0</v>
      </c>
      <c r="F5487" s="66" t="str">
        <f>IFERROR(__xludf.DUMMYFUNCTION("GOOGLETRANSLATE(A5487,""en"",""pt"")"),"#VALUE!")</f>
        <v>#VALUE!</v>
      </c>
      <c r="G5487" s="69"/>
    </row>
    <row r="5488" ht="22.5" customHeight="1">
      <c r="A5488" s="66"/>
      <c r="B5488" s="67" t="str">
        <f t="shared" si="16"/>
        <v>M: </v>
      </c>
      <c r="C5488" s="68"/>
      <c r="D5488" s="68">
        <v>46298.0</v>
      </c>
      <c r="E5488" s="66">
        <v>6.0</v>
      </c>
      <c r="F5488" s="66" t="str">
        <f>IFERROR(__xludf.DUMMYFUNCTION("GOOGLETRANSLATE(A5488,""en"",""pt"")"),"#VALUE!")</f>
        <v>#VALUE!</v>
      </c>
      <c r="G5488" s="69"/>
    </row>
    <row r="5489" ht="22.5" customHeight="1">
      <c r="A5489" s="66"/>
      <c r="B5489" s="67" t="str">
        <f t="shared" si="16"/>
        <v>M: </v>
      </c>
      <c r="C5489" s="68"/>
      <c r="D5489" s="68">
        <v>46298.0</v>
      </c>
      <c r="E5489" s="66">
        <v>7.0</v>
      </c>
      <c r="F5489" s="66" t="str">
        <f>IFERROR(__xludf.DUMMYFUNCTION("GOOGLETRANSLATE(A5489,""en"",""pt"")"),"#VALUE!")</f>
        <v>#VALUE!</v>
      </c>
      <c r="G5489" s="69"/>
    </row>
    <row r="5490" ht="22.5" customHeight="1">
      <c r="A5490" s="66"/>
      <c r="B5490" s="67" t="str">
        <f t="shared" si="16"/>
        <v>M: </v>
      </c>
      <c r="C5490" s="68"/>
      <c r="D5490" s="68">
        <v>46298.0</v>
      </c>
      <c r="E5490" s="66">
        <v>8.0</v>
      </c>
      <c r="F5490" s="66" t="str">
        <f>IFERROR(__xludf.DUMMYFUNCTION("GOOGLETRANSLATE(A5490,""en"",""pt"")"),"#VALUE!")</f>
        <v>#VALUE!</v>
      </c>
      <c r="G5490" s="69"/>
    </row>
    <row r="5491" ht="22.5" customHeight="1">
      <c r="A5491" s="66"/>
      <c r="B5491" s="67" t="str">
        <f t="shared" si="16"/>
        <v>M: </v>
      </c>
      <c r="C5491" s="68"/>
      <c r="D5491" s="68">
        <v>46298.0</v>
      </c>
      <c r="E5491" s="66">
        <v>9.0</v>
      </c>
      <c r="F5491" s="66" t="str">
        <f>IFERROR(__xludf.DUMMYFUNCTION("GOOGLETRANSLATE(A5491,""en"",""pt"")"),"#VALUE!")</f>
        <v>#VALUE!</v>
      </c>
      <c r="G5491" s="69"/>
    </row>
    <row r="5492" ht="22.5" customHeight="1">
      <c r="A5492" s="66"/>
      <c r="B5492" s="67" t="str">
        <f t="shared" si="16"/>
        <v>M: </v>
      </c>
      <c r="C5492" s="68"/>
      <c r="D5492" s="68">
        <v>46299.0</v>
      </c>
      <c r="E5492" s="66">
        <v>10.0</v>
      </c>
      <c r="F5492" s="66" t="str">
        <f>IFERROR(__xludf.DUMMYFUNCTION("GOOGLETRANSLATE(A5492,""en"",""pt"")"),"#VALUE!")</f>
        <v>#VALUE!</v>
      </c>
      <c r="G5492" s="69"/>
    </row>
    <row r="5493" ht="22.5" customHeight="1">
      <c r="A5493" s="66"/>
      <c r="B5493" s="67" t="str">
        <f t="shared" si="16"/>
        <v>M: </v>
      </c>
      <c r="C5493" s="68"/>
      <c r="D5493" s="68">
        <v>46299.0</v>
      </c>
      <c r="E5493" s="66">
        <v>1.0</v>
      </c>
      <c r="F5493" s="66" t="str">
        <f>IFERROR(__xludf.DUMMYFUNCTION("GOOGLETRANSLATE(A5493,""en"",""pt"")"),"#VALUE!")</f>
        <v>#VALUE!</v>
      </c>
      <c r="G5493" s="69"/>
    </row>
    <row r="5494" ht="22.5" customHeight="1">
      <c r="A5494" s="66"/>
      <c r="B5494" s="67" t="str">
        <f t="shared" si="16"/>
        <v>M: </v>
      </c>
      <c r="C5494" s="68"/>
      <c r="D5494" s="68">
        <v>46299.0</v>
      </c>
      <c r="E5494" s="66">
        <v>2.0</v>
      </c>
      <c r="F5494" s="66" t="str">
        <f>IFERROR(__xludf.DUMMYFUNCTION("GOOGLETRANSLATE(A5494,""en"",""pt"")"),"#VALUE!")</f>
        <v>#VALUE!</v>
      </c>
      <c r="G5494" s="69"/>
    </row>
    <row r="5495" ht="22.5" customHeight="1">
      <c r="A5495" s="66"/>
      <c r="B5495" s="67" t="str">
        <f t="shared" si="16"/>
        <v>M: </v>
      </c>
      <c r="C5495" s="68"/>
      <c r="D5495" s="68">
        <v>46299.0</v>
      </c>
      <c r="E5495" s="66">
        <v>3.0</v>
      </c>
      <c r="F5495" s="66" t="str">
        <f>IFERROR(__xludf.DUMMYFUNCTION("GOOGLETRANSLATE(A5495,""en"",""pt"")"),"#VALUE!")</f>
        <v>#VALUE!</v>
      </c>
      <c r="G5495" s="69"/>
    </row>
    <row r="5496" ht="22.5" customHeight="1">
      <c r="A5496" s="66"/>
      <c r="B5496" s="67" t="str">
        <f t="shared" si="16"/>
        <v>M: </v>
      </c>
      <c r="C5496" s="68"/>
      <c r="D5496" s="68">
        <v>46299.0</v>
      </c>
      <c r="E5496" s="66">
        <v>4.0</v>
      </c>
      <c r="F5496" s="66" t="str">
        <f>IFERROR(__xludf.DUMMYFUNCTION("GOOGLETRANSLATE(A5496,""en"",""pt"")"),"#VALUE!")</f>
        <v>#VALUE!</v>
      </c>
      <c r="G5496" s="69"/>
    </row>
    <row r="5497" ht="22.5" customHeight="1">
      <c r="A5497" s="66"/>
      <c r="B5497" s="67" t="str">
        <f t="shared" si="16"/>
        <v>M: </v>
      </c>
      <c r="C5497" s="68"/>
      <c r="D5497" s="68">
        <v>46299.0</v>
      </c>
      <c r="E5497" s="66">
        <v>5.0</v>
      </c>
      <c r="F5497" s="66" t="str">
        <f>IFERROR(__xludf.DUMMYFUNCTION("GOOGLETRANSLATE(A5497,""en"",""pt"")"),"#VALUE!")</f>
        <v>#VALUE!</v>
      </c>
      <c r="G5497" s="69"/>
    </row>
    <row r="5498" ht="22.5" customHeight="1">
      <c r="A5498" s="66"/>
      <c r="B5498" s="67" t="str">
        <f t="shared" si="16"/>
        <v>M: </v>
      </c>
      <c r="C5498" s="68"/>
      <c r="D5498" s="68">
        <v>46299.0</v>
      </c>
      <c r="E5498" s="66">
        <v>6.0</v>
      </c>
      <c r="F5498" s="66" t="str">
        <f>IFERROR(__xludf.DUMMYFUNCTION("GOOGLETRANSLATE(A5498,""en"",""pt"")"),"#VALUE!")</f>
        <v>#VALUE!</v>
      </c>
      <c r="G5498" s="69"/>
    </row>
    <row r="5499" ht="22.5" customHeight="1">
      <c r="A5499" s="66"/>
      <c r="B5499" s="67" t="str">
        <f t="shared" si="16"/>
        <v>M: </v>
      </c>
      <c r="C5499" s="68"/>
      <c r="D5499" s="68">
        <v>46299.0</v>
      </c>
      <c r="E5499" s="66">
        <v>7.0</v>
      </c>
      <c r="F5499" s="66" t="str">
        <f>IFERROR(__xludf.DUMMYFUNCTION("GOOGLETRANSLATE(A5499,""en"",""pt"")"),"#VALUE!")</f>
        <v>#VALUE!</v>
      </c>
      <c r="G5499" s="69"/>
    </row>
    <row r="5500" ht="22.5" customHeight="1">
      <c r="A5500" s="66"/>
      <c r="B5500" s="67" t="str">
        <f t="shared" si="16"/>
        <v>M: </v>
      </c>
      <c r="C5500" s="68"/>
      <c r="D5500" s="68">
        <v>46299.0</v>
      </c>
      <c r="E5500" s="66">
        <v>8.0</v>
      </c>
      <c r="F5500" s="66" t="str">
        <f>IFERROR(__xludf.DUMMYFUNCTION("GOOGLETRANSLATE(A5500,""en"",""pt"")"),"#VALUE!")</f>
        <v>#VALUE!</v>
      </c>
      <c r="G5500" s="69"/>
    </row>
    <row r="5501" ht="22.5" customHeight="1">
      <c r="A5501" s="66"/>
      <c r="B5501" s="67" t="str">
        <f t="shared" si="16"/>
        <v>M: </v>
      </c>
      <c r="C5501" s="68"/>
      <c r="D5501" s="68">
        <v>46299.0</v>
      </c>
      <c r="E5501" s="66">
        <v>9.0</v>
      </c>
      <c r="F5501" s="66" t="str">
        <f>IFERROR(__xludf.DUMMYFUNCTION("GOOGLETRANSLATE(A5501,""en"",""pt"")"),"#VALUE!")</f>
        <v>#VALUE!</v>
      </c>
      <c r="G5501" s="69"/>
    </row>
    <row r="5502" ht="22.5" customHeight="1">
      <c r="A5502" s="66"/>
      <c r="B5502" s="67" t="str">
        <f t="shared" si="16"/>
        <v>M: </v>
      </c>
      <c r="C5502" s="68"/>
      <c r="D5502" s="68">
        <v>46300.0</v>
      </c>
      <c r="E5502" s="66">
        <v>10.0</v>
      </c>
      <c r="F5502" s="66" t="str">
        <f>IFERROR(__xludf.DUMMYFUNCTION("GOOGLETRANSLATE(A5502,""en"",""pt"")"),"#VALUE!")</f>
        <v>#VALUE!</v>
      </c>
      <c r="G5502" s="69"/>
    </row>
    <row r="5503" ht="22.5" customHeight="1">
      <c r="A5503" s="66"/>
      <c r="B5503" s="67" t="str">
        <f t="shared" si="16"/>
        <v>M: </v>
      </c>
      <c r="C5503" s="68"/>
      <c r="D5503" s="68">
        <v>46300.0</v>
      </c>
      <c r="E5503" s="66">
        <v>1.0</v>
      </c>
      <c r="F5503" s="66" t="str">
        <f>IFERROR(__xludf.DUMMYFUNCTION("GOOGLETRANSLATE(A5503,""en"",""pt"")"),"#VALUE!")</f>
        <v>#VALUE!</v>
      </c>
      <c r="G5503" s="69"/>
    </row>
    <row r="5504" ht="22.5" customHeight="1">
      <c r="A5504" s="66"/>
      <c r="B5504" s="67" t="str">
        <f t="shared" si="16"/>
        <v>M: </v>
      </c>
      <c r="C5504" s="68"/>
      <c r="D5504" s="68">
        <v>46300.0</v>
      </c>
      <c r="E5504" s="66">
        <v>2.0</v>
      </c>
      <c r="F5504" s="66" t="str">
        <f>IFERROR(__xludf.DUMMYFUNCTION("GOOGLETRANSLATE(A5504,""en"",""pt"")"),"#VALUE!")</f>
        <v>#VALUE!</v>
      </c>
      <c r="G5504" s="69"/>
    </row>
    <row r="5505" ht="22.5" customHeight="1">
      <c r="A5505" s="66"/>
      <c r="B5505" s="67" t="str">
        <f t="shared" si="16"/>
        <v>M: </v>
      </c>
      <c r="C5505" s="68"/>
      <c r="D5505" s="68">
        <v>46300.0</v>
      </c>
      <c r="E5505" s="66">
        <v>3.0</v>
      </c>
      <c r="F5505" s="66" t="str">
        <f>IFERROR(__xludf.DUMMYFUNCTION("GOOGLETRANSLATE(A5505,""en"",""pt"")"),"#VALUE!")</f>
        <v>#VALUE!</v>
      </c>
      <c r="G5505" s="69"/>
    </row>
    <row r="5506" ht="22.5" customHeight="1">
      <c r="A5506" s="66"/>
      <c r="B5506" s="67" t="str">
        <f t="shared" si="16"/>
        <v>M: </v>
      </c>
      <c r="C5506" s="68"/>
      <c r="D5506" s="68">
        <v>46300.0</v>
      </c>
      <c r="E5506" s="66">
        <v>4.0</v>
      </c>
      <c r="F5506" s="66" t="str">
        <f>IFERROR(__xludf.DUMMYFUNCTION("GOOGLETRANSLATE(A5506,""en"",""pt"")"),"#VALUE!")</f>
        <v>#VALUE!</v>
      </c>
      <c r="G5506" s="69"/>
    </row>
    <row r="5507" ht="22.5" customHeight="1">
      <c r="A5507" s="66"/>
      <c r="B5507" s="67" t="str">
        <f t="shared" si="16"/>
        <v>M: </v>
      </c>
      <c r="C5507" s="68"/>
      <c r="D5507" s="68">
        <v>46300.0</v>
      </c>
      <c r="E5507" s="66">
        <v>5.0</v>
      </c>
      <c r="F5507" s="66" t="str">
        <f>IFERROR(__xludf.DUMMYFUNCTION("GOOGLETRANSLATE(A5507,""en"",""pt"")"),"#VALUE!")</f>
        <v>#VALUE!</v>
      </c>
      <c r="G5507" s="69"/>
    </row>
    <row r="5508" ht="22.5" customHeight="1">
      <c r="A5508" s="66"/>
      <c r="B5508" s="67" t="str">
        <f t="shared" si="16"/>
        <v>M: </v>
      </c>
      <c r="C5508" s="68"/>
      <c r="D5508" s="68">
        <v>46300.0</v>
      </c>
      <c r="E5508" s="66">
        <v>6.0</v>
      </c>
      <c r="F5508" s="66" t="str">
        <f>IFERROR(__xludf.DUMMYFUNCTION("GOOGLETRANSLATE(A5508,""en"",""pt"")"),"#VALUE!")</f>
        <v>#VALUE!</v>
      </c>
      <c r="G5508" s="69"/>
    </row>
    <row r="5509" ht="22.5" customHeight="1">
      <c r="A5509" s="66"/>
      <c r="B5509" s="67" t="str">
        <f t="shared" si="16"/>
        <v>M: </v>
      </c>
      <c r="C5509" s="68"/>
      <c r="D5509" s="68">
        <v>46300.0</v>
      </c>
      <c r="E5509" s="66">
        <v>7.0</v>
      </c>
      <c r="F5509" s="66" t="str">
        <f>IFERROR(__xludf.DUMMYFUNCTION("GOOGLETRANSLATE(A5509,""en"",""pt"")"),"#VALUE!")</f>
        <v>#VALUE!</v>
      </c>
      <c r="G5509" s="69"/>
    </row>
    <row r="5510" ht="22.5" customHeight="1">
      <c r="A5510" s="66"/>
      <c r="B5510" s="67" t="str">
        <f t="shared" si="16"/>
        <v>M: </v>
      </c>
      <c r="C5510" s="68"/>
      <c r="D5510" s="68">
        <v>46300.0</v>
      </c>
      <c r="E5510" s="66">
        <v>8.0</v>
      </c>
      <c r="F5510" s="66" t="str">
        <f>IFERROR(__xludf.DUMMYFUNCTION("GOOGLETRANSLATE(A5510,""en"",""pt"")"),"#VALUE!")</f>
        <v>#VALUE!</v>
      </c>
      <c r="G5510" s="69"/>
    </row>
    <row r="5511" ht="22.5" customHeight="1">
      <c r="A5511" s="66"/>
      <c r="B5511" s="67" t="str">
        <f t="shared" si="16"/>
        <v>M: </v>
      </c>
      <c r="C5511" s="68"/>
      <c r="D5511" s="68">
        <v>46300.0</v>
      </c>
      <c r="E5511" s="66">
        <v>9.0</v>
      </c>
      <c r="F5511" s="66" t="str">
        <f>IFERROR(__xludf.DUMMYFUNCTION("GOOGLETRANSLATE(A5511,""en"",""pt"")"),"#VALUE!")</f>
        <v>#VALUE!</v>
      </c>
      <c r="G5511" s="69"/>
    </row>
    <row r="5512" ht="22.5" customHeight="1">
      <c r="A5512" s="66"/>
      <c r="B5512" s="67" t="str">
        <f t="shared" si="16"/>
        <v>M: </v>
      </c>
      <c r="C5512" s="68"/>
      <c r="D5512" s="68">
        <v>46301.0</v>
      </c>
      <c r="E5512" s="66">
        <v>10.0</v>
      </c>
      <c r="F5512" s="66" t="str">
        <f>IFERROR(__xludf.DUMMYFUNCTION("GOOGLETRANSLATE(A5512,""en"",""pt"")"),"#VALUE!")</f>
        <v>#VALUE!</v>
      </c>
      <c r="G5512" s="69"/>
    </row>
    <row r="5513" ht="22.5" customHeight="1">
      <c r="A5513" s="66"/>
      <c r="B5513" s="67" t="str">
        <f t="shared" si="16"/>
        <v>M: </v>
      </c>
      <c r="C5513" s="68"/>
      <c r="D5513" s="68">
        <v>46301.0</v>
      </c>
      <c r="E5513" s="66">
        <v>1.0</v>
      </c>
      <c r="F5513" s="66" t="str">
        <f>IFERROR(__xludf.DUMMYFUNCTION("GOOGLETRANSLATE(A5513,""en"",""pt"")"),"#VALUE!")</f>
        <v>#VALUE!</v>
      </c>
      <c r="G5513" s="69"/>
    </row>
    <row r="5514" ht="22.5" customHeight="1">
      <c r="A5514" s="66"/>
      <c r="B5514" s="67" t="str">
        <f t="shared" si="16"/>
        <v>M: </v>
      </c>
      <c r="C5514" s="68"/>
      <c r="D5514" s="68">
        <v>46301.0</v>
      </c>
      <c r="E5514" s="66">
        <v>2.0</v>
      </c>
      <c r="F5514" s="66" t="str">
        <f>IFERROR(__xludf.DUMMYFUNCTION("GOOGLETRANSLATE(A5514,""en"",""pt"")"),"#VALUE!")</f>
        <v>#VALUE!</v>
      </c>
      <c r="G5514" s="69"/>
    </row>
    <row r="5515" ht="22.5" customHeight="1">
      <c r="A5515" s="66"/>
      <c r="B5515" s="67" t="str">
        <f t="shared" si="16"/>
        <v>M: </v>
      </c>
      <c r="C5515" s="68"/>
      <c r="D5515" s="68">
        <v>46301.0</v>
      </c>
      <c r="E5515" s="66">
        <v>3.0</v>
      </c>
      <c r="F5515" s="66" t="str">
        <f>IFERROR(__xludf.DUMMYFUNCTION("GOOGLETRANSLATE(A5515,""en"",""pt"")"),"#VALUE!")</f>
        <v>#VALUE!</v>
      </c>
      <c r="G5515" s="69"/>
    </row>
    <row r="5516" ht="22.5" customHeight="1">
      <c r="A5516" s="66"/>
      <c r="B5516" s="67" t="str">
        <f t="shared" si="16"/>
        <v>M: </v>
      </c>
      <c r="C5516" s="68"/>
      <c r="D5516" s="68">
        <v>46301.0</v>
      </c>
      <c r="E5516" s="66">
        <v>4.0</v>
      </c>
      <c r="F5516" s="66" t="str">
        <f>IFERROR(__xludf.DUMMYFUNCTION("GOOGLETRANSLATE(A5516,""en"",""pt"")"),"#VALUE!")</f>
        <v>#VALUE!</v>
      </c>
      <c r="G5516" s="69"/>
    </row>
    <row r="5517" ht="22.5" customHeight="1">
      <c r="A5517" s="66"/>
      <c r="B5517" s="67" t="str">
        <f t="shared" si="16"/>
        <v>M: </v>
      </c>
      <c r="C5517" s="68"/>
      <c r="D5517" s="68">
        <v>46301.0</v>
      </c>
      <c r="E5517" s="66">
        <v>5.0</v>
      </c>
      <c r="F5517" s="66" t="str">
        <f>IFERROR(__xludf.DUMMYFUNCTION("GOOGLETRANSLATE(A5517,""en"",""pt"")"),"#VALUE!")</f>
        <v>#VALUE!</v>
      </c>
      <c r="G5517" s="69"/>
    </row>
    <row r="5518" ht="22.5" customHeight="1">
      <c r="A5518" s="66"/>
      <c r="B5518" s="67" t="str">
        <f t="shared" si="16"/>
        <v>M: </v>
      </c>
      <c r="C5518" s="68"/>
      <c r="D5518" s="68">
        <v>46301.0</v>
      </c>
      <c r="E5518" s="66">
        <v>6.0</v>
      </c>
      <c r="F5518" s="66" t="str">
        <f>IFERROR(__xludf.DUMMYFUNCTION("GOOGLETRANSLATE(A5518,""en"",""pt"")"),"#VALUE!")</f>
        <v>#VALUE!</v>
      </c>
      <c r="G5518" s="69"/>
    </row>
    <row r="5519" ht="22.5" customHeight="1">
      <c r="A5519" s="66"/>
      <c r="B5519" s="67" t="str">
        <f t="shared" si="16"/>
        <v>M: </v>
      </c>
      <c r="C5519" s="68"/>
      <c r="D5519" s="68">
        <v>46301.0</v>
      </c>
      <c r="E5519" s="66">
        <v>7.0</v>
      </c>
      <c r="F5519" s="66" t="str">
        <f>IFERROR(__xludf.DUMMYFUNCTION("GOOGLETRANSLATE(A5519,""en"",""pt"")"),"#VALUE!")</f>
        <v>#VALUE!</v>
      </c>
      <c r="G5519" s="69"/>
    </row>
    <row r="5520" ht="22.5" customHeight="1">
      <c r="A5520" s="66"/>
      <c r="B5520" s="67" t="str">
        <f t="shared" si="16"/>
        <v>M: </v>
      </c>
      <c r="C5520" s="68"/>
      <c r="D5520" s="68">
        <v>46301.0</v>
      </c>
      <c r="E5520" s="66">
        <v>8.0</v>
      </c>
      <c r="F5520" s="66" t="str">
        <f>IFERROR(__xludf.DUMMYFUNCTION("GOOGLETRANSLATE(A5520,""en"",""pt"")"),"#VALUE!")</f>
        <v>#VALUE!</v>
      </c>
      <c r="G5520" s="69"/>
    </row>
    <row r="5521" ht="22.5" customHeight="1">
      <c r="A5521" s="66"/>
      <c r="B5521" s="67" t="str">
        <f t="shared" si="16"/>
        <v>M: </v>
      </c>
      <c r="C5521" s="68"/>
      <c r="D5521" s="68">
        <v>46301.0</v>
      </c>
      <c r="E5521" s="66">
        <v>9.0</v>
      </c>
      <c r="F5521" s="66" t="str">
        <f>IFERROR(__xludf.DUMMYFUNCTION("GOOGLETRANSLATE(A5521,""en"",""pt"")"),"#VALUE!")</f>
        <v>#VALUE!</v>
      </c>
      <c r="G5521" s="69"/>
    </row>
    <row r="5522" ht="22.5" customHeight="1">
      <c r="A5522" s="66"/>
      <c r="B5522" s="67" t="str">
        <f t="shared" si="16"/>
        <v>M: </v>
      </c>
      <c r="C5522" s="68"/>
      <c r="D5522" s="68">
        <v>46302.0</v>
      </c>
      <c r="E5522" s="66">
        <v>10.0</v>
      </c>
      <c r="F5522" s="66" t="str">
        <f>IFERROR(__xludf.DUMMYFUNCTION("GOOGLETRANSLATE(A5522,""en"",""pt"")"),"#VALUE!")</f>
        <v>#VALUE!</v>
      </c>
      <c r="G5522" s="69"/>
    </row>
    <row r="5523" ht="22.5" customHeight="1">
      <c r="A5523" s="66"/>
      <c r="B5523" s="67" t="str">
        <f t="shared" si="16"/>
        <v>M: </v>
      </c>
      <c r="C5523" s="68"/>
      <c r="D5523" s="68">
        <v>46302.0</v>
      </c>
      <c r="E5523" s="66">
        <v>1.0</v>
      </c>
      <c r="F5523" s="66" t="str">
        <f>IFERROR(__xludf.DUMMYFUNCTION("GOOGLETRANSLATE(A5523,""en"",""pt"")"),"#VALUE!")</f>
        <v>#VALUE!</v>
      </c>
      <c r="G5523" s="69"/>
    </row>
    <row r="5524" ht="22.5" customHeight="1">
      <c r="A5524" s="66"/>
      <c r="B5524" s="67" t="str">
        <f t="shared" si="16"/>
        <v>M: </v>
      </c>
      <c r="C5524" s="68"/>
      <c r="D5524" s="68">
        <v>46302.0</v>
      </c>
      <c r="E5524" s="66">
        <v>2.0</v>
      </c>
      <c r="F5524" s="66" t="str">
        <f>IFERROR(__xludf.DUMMYFUNCTION("GOOGLETRANSLATE(A5524,""en"",""pt"")"),"#VALUE!")</f>
        <v>#VALUE!</v>
      </c>
      <c r="G5524" s="69"/>
    </row>
    <row r="5525" ht="22.5" customHeight="1">
      <c r="A5525" s="66"/>
      <c r="B5525" s="67" t="str">
        <f t="shared" si="16"/>
        <v>M: </v>
      </c>
      <c r="C5525" s="68"/>
      <c r="D5525" s="68">
        <v>46302.0</v>
      </c>
      <c r="E5525" s="66">
        <v>3.0</v>
      </c>
      <c r="F5525" s="66" t="str">
        <f>IFERROR(__xludf.DUMMYFUNCTION("GOOGLETRANSLATE(A5525,""en"",""pt"")"),"#VALUE!")</f>
        <v>#VALUE!</v>
      </c>
      <c r="G5525" s="69"/>
    </row>
    <row r="5526" ht="22.5" customHeight="1">
      <c r="A5526" s="66"/>
      <c r="B5526" s="67" t="str">
        <f t="shared" si="16"/>
        <v>M: </v>
      </c>
      <c r="C5526" s="68"/>
      <c r="D5526" s="68">
        <v>46302.0</v>
      </c>
      <c r="E5526" s="66">
        <v>4.0</v>
      </c>
      <c r="F5526" s="66" t="str">
        <f>IFERROR(__xludf.DUMMYFUNCTION("GOOGLETRANSLATE(A5526,""en"",""pt"")"),"#VALUE!")</f>
        <v>#VALUE!</v>
      </c>
      <c r="G5526" s="69"/>
    </row>
    <row r="5527" ht="22.5" customHeight="1">
      <c r="A5527" s="66"/>
      <c r="B5527" s="67" t="str">
        <f t="shared" si="16"/>
        <v>M: </v>
      </c>
      <c r="C5527" s="68"/>
      <c r="D5527" s="68">
        <v>46302.0</v>
      </c>
      <c r="E5527" s="66">
        <v>5.0</v>
      </c>
      <c r="F5527" s="66" t="str">
        <f>IFERROR(__xludf.DUMMYFUNCTION("GOOGLETRANSLATE(A5527,""en"",""pt"")"),"#VALUE!")</f>
        <v>#VALUE!</v>
      </c>
      <c r="G5527" s="69"/>
    </row>
    <row r="5528" ht="22.5" customHeight="1">
      <c r="A5528" s="66"/>
      <c r="B5528" s="67" t="str">
        <f t="shared" si="16"/>
        <v>M: </v>
      </c>
      <c r="C5528" s="68"/>
      <c r="D5528" s="68">
        <v>46302.0</v>
      </c>
      <c r="E5528" s="66">
        <v>6.0</v>
      </c>
      <c r="F5528" s="66" t="str">
        <f>IFERROR(__xludf.DUMMYFUNCTION("GOOGLETRANSLATE(A5528,""en"",""pt"")"),"#VALUE!")</f>
        <v>#VALUE!</v>
      </c>
      <c r="G5528" s="69"/>
    </row>
    <row r="5529" ht="22.5" customHeight="1">
      <c r="A5529" s="66"/>
      <c r="B5529" s="67" t="str">
        <f t="shared" si="16"/>
        <v>M: </v>
      </c>
      <c r="C5529" s="68"/>
      <c r="D5529" s="68">
        <v>46302.0</v>
      </c>
      <c r="E5529" s="66">
        <v>7.0</v>
      </c>
      <c r="F5529" s="66" t="str">
        <f>IFERROR(__xludf.DUMMYFUNCTION("GOOGLETRANSLATE(A5529,""en"",""pt"")"),"#VALUE!")</f>
        <v>#VALUE!</v>
      </c>
      <c r="G5529" s="69"/>
    </row>
    <row r="5530" ht="22.5" customHeight="1">
      <c r="A5530" s="66"/>
      <c r="B5530" s="67" t="str">
        <f t="shared" si="16"/>
        <v>M: </v>
      </c>
      <c r="C5530" s="68"/>
      <c r="D5530" s="68">
        <v>46302.0</v>
      </c>
      <c r="E5530" s="66">
        <v>8.0</v>
      </c>
      <c r="F5530" s="66" t="str">
        <f>IFERROR(__xludf.DUMMYFUNCTION("GOOGLETRANSLATE(A5530,""en"",""pt"")"),"#VALUE!")</f>
        <v>#VALUE!</v>
      </c>
      <c r="G5530" s="69"/>
    </row>
    <row r="5531" ht="22.5" customHeight="1">
      <c r="A5531" s="66"/>
      <c r="B5531" s="67" t="str">
        <f t="shared" si="16"/>
        <v>M: </v>
      </c>
      <c r="C5531" s="68"/>
      <c r="D5531" s="68">
        <v>46302.0</v>
      </c>
      <c r="E5531" s="66">
        <v>9.0</v>
      </c>
      <c r="F5531" s="66" t="str">
        <f>IFERROR(__xludf.DUMMYFUNCTION("GOOGLETRANSLATE(A5531,""en"",""pt"")"),"#VALUE!")</f>
        <v>#VALUE!</v>
      </c>
      <c r="G5531" s="69"/>
    </row>
    <row r="5532" ht="22.5" customHeight="1">
      <c r="A5532" s="66"/>
      <c r="B5532" s="67" t="str">
        <f t="shared" si="16"/>
        <v>M: </v>
      </c>
      <c r="C5532" s="68"/>
      <c r="D5532" s="68">
        <v>46303.0</v>
      </c>
      <c r="E5532" s="66">
        <v>10.0</v>
      </c>
      <c r="F5532" s="66" t="str">
        <f>IFERROR(__xludf.DUMMYFUNCTION("GOOGLETRANSLATE(A5532,""en"",""pt"")"),"#VALUE!")</f>
        <v>#VALUE!</v>
      </c>
      <c r="G5532" s="69"/>
    </row>
    <row r="5533" ht="22.5" customHeight="1">
      <c r="A5533" s="66"/>
      <c r="B5533" s="67" t="str">
        <f t="shared" si="16"/>
        <v>M: </v>
      </c>
      <c r="C5533" s="68"/>
      <c r="D5533" s="68">
        <v>46303.0</v>
      </c>
      <c r="E5533" s="66">
        <v>1.0</v>
      </c>
      <c r="F5533" s="66" t="str">
        <f>IFERROR(__xludf.DUMMYFUNCTION("GOOGLETRANSLATE(A5533,""en"",""pt"")"),"#VALUE!")</f>
        <v>#VALUE!</v>
      </c>
      <c r="G5533" s="69"/>
    </row>
    <row r="5534" ht="22.5" customHeight="1">
      <c r="A5534" s="66"/>
      <c r="B5534" s="67" t="str">
        <f t="shared" si="16"/>
        <v>M: </v>
      </c>
      <c r="C5534" s="68"/>
      <c r="D5534" s="68">
        <v>46303.0</v>
      </c>
      <c r="E5534" s="66">
        <v>2.0</v>
      </c>
      <c r="F5534" s="66" t="str">
        <f>IFERROR(__xludf.DUMMYFUNCTION("GOOGLETRANSLATE(A5534,""en"",""pt"")"),"#VALUE!")</f>
        <v>#VALUE!</v>
      </c>
      <c r="G5534" s="69"/>
    </row>
    <row r="5535" ht="22.5" customHeight="1">
      <c r="A5535" s="66"/>
      <c r="B5535" s="67" t="str">
        <f t="shared" si="16"/>
        <v>M: </v>
      </c>
      <c r="C5535" s="68"/>
      <c r="D5535" s="68">
        <v>46303.0</v>
      </c>
      <c r="E5535" s="66">
        <v>3.0</v>
      </c>
      <c r="F5535" s="66" t="str">
        <f>IFERROR(__xludf.DUMMYFUNCTION("GOOGLETRANSLATE(A5535,""en"",""pt"")"),"#VALUE!")</f>
        <v>#VALUE!</v>
      </c>
      <c r="G5535" s="69"/>
    </row>
    <row r="5536" ht="22.5" customHeight="1">
      <c r="A5536" s="66"/>
      <c r="B5536" s="67" t="str">
        <f t="shared" si="16"/>
        <v>M: </v>
      </c>
      <c r="C5536" s="68"/>
      <c r="D5536" s="68">
        <v>46303.0</v>
      </c>
      <c r="E5536" s="66">
        <v>4.0</v>
      </c>
      <c r="F5536" s="66" t="str">
        <f>IFERROR(__xludf.DUMMYFUNCTION("GOOGLETRANSLATE(A5536,""en"",""pt"")"),"#VALUE!")</f>
        <v>#VALUE!</v>
      </c>
      <c r="G5536" s="69"/>
    </row>
    <row r="5537" ht="22.5" customHeight="1">
      <c r="A5537" s="66"/>
      <c r="B5537" s="67" t="str">
        <f t="shared" si="16"/>
        <v>M: </v>
      </c>
      <c r="C5537" s="68"/>
      <c r="D5537" s="68">
        <v>46303.0</v>
      </c>
      <c r="E5537" s="66">
        <v>5.0</v>
      </c>
      <c r="F5537" s="66" t="str">
        <f>IFERROR(__xludf.DUMMYFUNCTION("GOOGLETRANSLATE(A5537,""en"",""pt"")"),"#VALUE!")</f>
        <v>#VALUE!</v>
      </c>
      <c r="G5537" s="69"/>
    </row>
    <row r="5538" ht="22.5" customHeight="1">
      <c r="A5538" s="66"/>
      <c r="B5538" s="67" t="str">
        <f t="shared" si="16"/>
        <v>M: </v>
      </c>
      <c r="C5538" s="68"/>
      <c r="D5538" s="68">
        <v>46303.0</v>
      </c>
      <c r="E5538" s="66">
        <v>6.0</v>
      </c>
      <c r="F5538" s="66" t="str">
        <f>IFERROR(__xludf.DUMMYFUNCTION("GOOGLETRANSLATE(A5538,""en"",""pt"")"),"#VALUE!")</f>
        <v>#VALUE!</v>
      </c>
      <c r="G5538" s="69"/>
    </row>
    <row r="5539" ht="22.5" customHeight="1">
      <c r="A5539" s="66"/>
      <c r="B5539" s="67" t="str">
        <f t="shared" si="16"/>
        <v>M: </v>
      </c>
      <c r="C5539" s="68"/>
      <c r="D5539" s="68">
        <v>46303.0</v>
      </c>
      <c r="E5539" s="66">
        <v>7.0</v>
      </c>
      <c r="F5539" s="66" t="str">
        <f>IFERROR(__xludf.DUMMYFUNCTION("GOOGLETRANSLATE(A5539,""en"",""pt"")"),"#VALUE!")</f>
        <v>#VALUE!</v>
      </c>
      <c r="G5539" s="69"/>
    </row>
    <row r="5540" ht="22.5" customHeight="1">
      <c r="A5540" s="66"/>
      <c r="B5540" s="67" t="str">
        <f t="shared" si="16"/>
        <v>M: </v>
      </c>
      <c r="C5540" s="68"/>
      <c r="D5540" s="68">
        <v>46303.0</v>
      </c>
      <c r="E5540" s="66">
        <v>8.0</v>
      </c>
      <c r="F5540" s="66" t="str">
        <f>IFERROR(__xludf.DUMMYFUNCTION("GOOGLETRANSLATE(A5540,""en"",""pt"")"),"#VALUE!")</f>
        <v>#VALUE!</v>
      </c>
      <c r="G5540" s="69"/>
    </row>
    <row r="5541" ht="22.5" customHeight="1">
      <c r="A5541" s="66"/>
      <c r="B5541" s="67" t="str">
        <f t="shared" si="16"/>
        <v>M: </v>
      </c>
      <c r="C5541" s="68"/>
      <c r="D5541" s="68">
        <v>46303.0</v>
      </c>
      <c r="E5541" s="66">
        <v>9.0</v>
      </c>
      <c r="F5541" s="66" t="str">
        <f>IFERROR(__xludf.DUMMYFUNCTION("GOOGLETRANSLATE(A5541,""en"",""pt"")"),"#VALUE!")</f>
        <v>#VALUE!</v>
      </c>
      <c r="G5541" s="69"/>
    </row>
    <row r="5542" ht="22.5" customHeight="1">
      <c r="A5542" s="66"/>
      <c r="B5542" s="67" t="str">
        <f t="shared" si="16"/>
        <v>M: </v>
      </c>
      <c r="C5542" s="68"/>
      <c r="D5542" s="68">
        <v>46304.0</v>
      </c>
      <c r="E5542" s="66">
        <v>10.0</v>
      </c>
      <c r="F5542" s="66" t="str">
        <f>IFERROR(__xludf.DUMMYFUNCTION("GOOGLETRANSLATE(A5542,""en"",""pt"")"),"#VALUE!")</f>
        <v>#VALUE!</v>
      </c>
      <c r="G5542" s="69"/>
    </row>
    <row r="5543" ht="22.5" customHeight="1">
      <c r="A5543" s="66"/>
      <c r="B5543" s="67" t="str">
        <f t="shared" si="16"/>
        <v>M: </v>
      </c>
      <c r="C5543" s="68"/>
      <c r="D5543" s="68">
        <v>46304.0</v>
      </c>
      <c r="E5543" s="66">
        <v>1.0</v>
      </c>
      <c r="F5543" s="66" t="str">
        <f>IFERROR(__xludf.DUMMYFUNCTION("GOOGLETRANSLATE(A5543,""en"",""pt"")"),"#VALUE!")</f>
        <v>#VALUE!</v>
      </c>
      <c r="G5543" s="69"/>
    </row>
    <row r="5544" ht="22.5" customHeight="1">
      <c r="A5544" s="66"/>
      <c r="B5544" s="67" t="str">
        <f t="shared" si="16"/>
        <v>M: </v>
      </c>
      <c r="C5544" s="68"/>
      <c r="D5544" s="68">
        <v>46304.0</v>
      </c>
      <c r="E5544" s="66">
        <v>2.0</v>
      </c>
      <c r="F5544" s="66" t="str">
        <f>IFERROR(__xludf.DUMMYFUNCTION("GOOGLETRANSLATE(A5544,""en"",""pt"")"),"#VALUE!")</f>
        <v>#VALUE!</v>
      </c>
      <c r="G5544" s="69"/>
    </row>
    <row r="5545" ht="22.5" customHeight="1">
      <c r="A5545" s="66"/>
      <c r="B5545" s="67" t="str">
        <f t="shared" si="16"/>
        <v>M: </v>
      </c>
      <c r="C5545" s="68"/>
      <c r="D5545" s="68">
        <v>46304.0</v>
      </c>
      <c r="E5545" s="66">
        <v>3.0</v>
      </c>
      <c r="F5545" s="66" t="str">
        <f>IFERROR(__xludf.DUMMYFUNCTION("GOOGLETRANSLATE(A5545,""en"",""pt"")"),"#VALUE!")</f>
        <v>#VALUE!</v>
      </c>
      <c r="G5545" s="69"/>
    </row>
    <row r="5546" ht="22.5" customHeight="1">
      <c r="A5546" s="66"/>
      <c r="B5546" s="67" t="str">
        <f t="shared" si="16"/>
        <v>M: </v>
      </c>
      <c r="C5546" s="68"/>
      <c r="D5546" s="68">
        <v>46304.0</v>
      </c>
      <c r="E5546" s="66">
        <v>4.0</v>
      </c>
      <c r="F5546" s="66" t="str">
        <f>IFERROR(__xludf.DUMMYFUNCTION("GOOGLETRANSLATE(A5546,""en"",""pt"")"),"#VALUE!")</f>
        <v>#VALUE!</v>
      </c>
      <c r="G5546" s="69"/>
    </row>
    <row r="5547" ht="22.5" customHeight="1">
      <c r="A5547" s="66"/>
      <c r="B5547" s="67" t="str">
        <f t="shared" si="16"/>
        <v>M: </v>
      </c>
      <c r="C5547" s="68"/>
      <c r="D5547" s="68">
        <v>46304.0</v>
      </c>
      <c r="E5547" s="66">
        <v>5.0</v>
      </c>
      <c r="F5547" s="66" t="str">
        <f>IFERROR(__xludf.DUMMYFUNCTION("GOOGLETRANSLATE(A5547,""en"",""pt"")"),"#VALUE!")</f>
        <v>#VALUE!</v>
      </c>
      <c r="G5547" s="69"/>
    </row>
    <row r="5548" ht="22.5" customHeight="1">
      <c r="A5548" s="66"/>
      <c r="B5548" s="67" t="str">
        <f t="shared" si="16"/>
        <v>M: </v>
      </c>
      <c r="C5548" s="68"/>
      <c r="D5548" s="68">
        <v>46304.0</v>
      </c>
      <c r="E5548" s="66">
        <v>6.0</v>
      </c>
      <c r="F5548" s="66" t="str">
        <f>IFERROR(__xludf.DUMMYFUNCTION("GOOGLETRANSLATE(A5548,""en"",""pt"")"),"#VALUE!")</f>
        <v>#VALUE!</v>
      </c>
      <c r="G5548" s="69"/>
    </row>
    <row r="5549" ht="22.5" customHeight="1">
      <c r="A5549" s="66"/>
      <c r="B5549" s="67" t="str">
        <f t="shared" si="16"/>
        <v>M: </v>
      </c>
      <c r="C5549" s="68"/>
      <c r="D5549" s="68">
        <v>46304.0</v>
      </c>
      <c r="E5549" s="66">
        <v>7.0</v>
      </c>
      <c r="F5549" s="66" t="str">
        <f>IFERROR(__xludf.DUMMYFUNCTION("GOOGLETRANSLATE(A5549,""en"",""pt"")"),"#VALUE!")</f>
        <v>#VALUE!</v>
      </c>
      <c r="G5549" s="69"/>
    </row>
    <row r="5550" ht="22.5" customHeight="1">
      <c r="A5550" s="66"/>
      <c r="B5550" s="67" t="str">
        <f t="shared" si="16"/>
        <v>M: </v>
      </c>
      <c r="C5550" s="68"/>
      <c r="D5550" s="68">
        <v>46304.0</v>
      </c>
      <c r="E5550" s="66">
        <v>8.0</v>
      </c>
      <c r="F5550" s="66" t="str">
        <f>IFERROR(__xludf.DUMMYFUNCTION("GOOGLETRANSLATE(A5550,""en"",""pt"")"),"#VALUE!")</f>
        <v>#VALUE!</v>
      </c>
      <c r="G5550" s="69"/>
    </row>
    <row r="5551" ht="22.5" customHeight="1">
      <c r="A5551" s="66"/>
      <c r="B5551" s="67" t="str">
        <f t="shared" si="16"/>
        <v>M: </v>
      </c>
      <c r="C5551" s="68"/>
      <c r="D5551" s="68">
        <v>46304.0</v>
      </c>
      <c r="E5551" s="66">
        <v>9.0</v>
      </c>
      <c r="F5551" s="66" t="str">
        <f>IFERROR(__xludf.DUMMYFUNCTION("GOOGLETRANSLATE(A5551,""en"",""pt"")"),"#VALUE!")</f>
        <v>#VALUE!</v>
      </c>
      <c r="G5551" s="69"/>
    </row>
    <row r="5552" ht="22.5" customHeight="1">
      <c r="A5552" s="66"/>
      <c r="B5552" s="67" t="str">
        <f t="shared" si="16"/>
        <v>M: </v>
      </c>
      <c r="C5552" s="68"/>
      <c r="D5552" s="68">
        <v>46305.0</v>
      </c>
      <c r="E5552" s="66">
        <v>10.0</v>
      </c>
      <c r="F5552" s="66" t="str">
        <f>IFERROR(__xludf.DUMMYFUNCTION("GOOGLETRANSLATE(A5552,""en"",""pt"")"),"#VALUE!")</f>
        <v>#VALUE!</v>
      </c>
      <c r="G5552" s="69"/>
    </row>
    <row r="5553" ht="22.5" customHeight="1">
      <c r="A5553" s="66"/>
      <c r="B5553" s="67" t="str">
        <f t="shared" si="16"/>
        <v>M: </v>
      </c>
      <c r="C5553" s="68"/>
      <c r="D5553" s="68">
        <v>46305.0</v>
      </c>
      <c r="E5553" s="66">
        <v>1.0</v>
      </c>
      <c r="F5553" s="66" t="str">
        <f>IFERROR(__xludf.DUMMYFUNCTION("GOOGLETRANSLATE(A5553,""en"",""pt"")"),"#VALUE!")</f>
        <v>#VALUE!</v>
      </c>
      <c r="G5553" s="69"/>
    </row>
    <row r="5554" ht="22.5" customHeight="1">
      <c r="A5554" s="66"/>
      <c r="B5554" s="67" t="str">
        <f t="shared" si="16"/>
        <v>M: </v>
      </c>
      <c r="C5554" s="68"/>
      <c r="D5554" s="68">
        <v>46305.0</v>
      </c>
      <c r="E5554" s="66">
        <v>2.0</v>
      </c>
      <c r="F5554" s="66" t="str">
        <f>IFERROR(__xludf.DUMMYFUNCTION("GOOGLETRANSLATE(A5554,""en"",""pt"")"),"#VALUE!")</f>
        <v>#VALUE!</v>
      </c>
      <c r="G5554" s="69"/>
    </row>
    <row r="5555" ht="22.5" customHeight="1">
      <c r="A5555" s="66"/>
      <c r="B5555" s="67" t="str">
        <f t="shared" si="16"/>
        <v>M: </v>
      </c>
      <c r="C5555" s="68"/>
      <c r="D5555" s="68">
        <v>46305.0</v>
      </c>
      <c r="E5555" s="66">
        <v>3.0</v>
      </c>
      <c r="F5555" s="66" t="str">
        <f>IFERROR(__xludf.DUMMYFUNCTION("GOOGLETRANSLATE(A5555,""en"",""pt"")"),"#VALUE!")</f>
        <v>#VALUE!</v>
      </c>
      <c r="G5555" s="69"/>
    </row>
    <row r="5556" ht="22.5" customHeight="1">
      <c r="A5556" s="66"/>
      <c r="B5556" s="67" t="str">
        <f t="shared" si="16"/>
        <v>M: </v>
      </c>
      <c r="C5556" s="68"/>
      <c r="D5556" s="68">
        <v>46305.0</v>
      </c>
      <c r="E5556" s="66">
        <v>4.0</v>
      </c>
      <c r="F5556" s="66" t="str">
        <f>IFERROR(__xludf.DUMMYFUNCTION("GOOGLETRANSLATE(A5556,""en"",""pt"")"),"#VALUE!")</f>
        <v>#VALUE!</v>
      </c>
      <c r="G5556" s="69"/>
    </row>
    <row r="5557" ht="22.5" customHeight="1">
      <c r="A5557" s="66"/>
      <c r="B5557" s="67" t="str">
        <f t="shared" si="16"/>
        <v>M: </v>
      </c>
      <c r="C5557" s="68"/>
      <c r="D5557" s="68">
        <v>46305.0</v>
      </c>
      <c r="E5557" s="66">
        <v>5.0</v>
      </c>
      <c r="F5557" s="66" t="str">
        <f>IFERROR(__xludf.DUMMYFUNCTION("GOOGLETRANSLATE(A5557,""en"",""pt"")"),"#VALUE!")</f>
        <v>#VALUE!</v>
      </c>
      <c r="G5557" s="69"/>
    </row>
    <row r="5558" ht="22.5" customHeight="1">
      <c r="A5558" s="66"/>
      <c r="B5558" s="67" t="str">
        <f t="shared" si="16"/>
        <v>M: </v>
      </c>
      <c r="C5558" s="68"/>
      <c r="D5558" s="68">
        <v>46305.0</v>
      </c>
      <c r="E5558" s="66">
        <v>6.0</v>
      </c>
      <c r="F5558" s="66" t="str">
        <f>IFERROR(__xludf.DUMMYFUNCTION("GOOGLETRANSLATE(A5558,""en"",""pt"")"),"#VALUE!")</f>
        <v>#VALUE!</v>
      </c>
      <c r="G5558" s="69"/>
    </row>
    <row r="5559" ht="22.5" customHeight="1">
      <c r="A5559" s="66"/>
      <c r="B5559" s="67" t="str">
        <f t="shared" si="16"/>
        <v>M: </v>
      </c>
      <c r="C5559" s="68"/>
      <c r="D5559" s="68">
        <v>46305.0</v>
      </c>
      <c r="E5559" s="66">
        <v>7.0</v>
      </c>
      <c r="F5559" s="66" t="str">
        <f>IFERROR(__xludf.DUMMYFUNCTION("GOOGLETRANSLATE(A5559,""en"",""pt"")"),"#VALUE!")</f>
        <v>#VALUE!</v>
      </c>
      <c r="G5559" s="69"/>
    </row>
    <row r="5560" ht="22.5" customHeight="1">
      <c r="A5560" s="66"/>
      <c r="B5560" s="67" t="str">
        <f t="shared" si="16"/>
        <v>M: </v>
      </c>
      <c r="C5560" s="68"/>
      <c r="D5560" s="68">
        <v>46305.0</v>
      </c>
      <c r="E5560" s="66">
        <v>8.0</v>
      </c>
      <c r="F5560" s="66" t="str">
        <f>IFERROR(__xludf.DUMMYFUNCTION("GOOGLETRANSLATE(A5560,""en"",""pt"")"),"#VALUE!")</f>
        <v>#VALUE!</v>
      </c>
      <c r="G5560" s="69"/>
    </row>
    <row r="5561" ht="22.5" customHeight="1">
      <c r="A5561" s="66"/>
      <c r="B5561" s="67" t="str">
        <f t="shared" si="16"/>
        <v>M: </v>
      </c>
      <c r="C5561" s="68"/>
      <c r="D5561" s="68">
        <v>46305.0</v>
      </c>
      <c r="E5561" s="66">
        <v>9.0</v>
      </c>
      <c r="F5561" s="66" t="str">
        <f>IFERROR(__xludf.DUMMYFUNCTION("GOOGLETRANSLATE(A5561,""en"",""pt"")"),"#VALUE!")</f>
        <v>#VALUE!</v>
      </c>
      <c r="G5561" s="69"/>
    </row>
    <row r="5562" ht="22.5" customHeight="1">
      <c r="A5562" s="66"/>
      <c r="B5562" s="67" t="str">
        <f t="shared" si="16"/>
        <v>M: </v>
      </c>
      <c r="C5562" s="68"/>
      <c r="D5562" s="68">
        <v>46306.0</v>
      </c>
      <c r="E5562" s="66">
        <v>10.0</v>
      </c>
      <c r="F5562" s="66" t="str">
        <f>IFERROR(__xludf.DUMMYFUNCTION("GOOGLETRANSLATE(A5562,""en"",""pt"")"),"#VALUE!")</f>
        <v>#VALUE!</v>
      </c>
      <c r="G5562" s="69"/>
    </row>
    <row r="5563" ht="22.5" customHeight="1">
      <c r="A5563" s="66"/>
      <c r="B5563" s="67" t="str">
        <f t="shared" si="16"/>
        <v>M: </v>
      </c>
      <c r="C5563" s="68"/>
      <c r="D5563" s="68">
        <v>46306.0</v>
      </c>
      <c r="E5563" s="66">
        <v>1.0</v>
      </c>
      <c r="F5563" s="66" t="str">
        <f>IFERROR(__xludf.DUMMYFUNCTION("GOOGLETRANSLATE(A5563,""en"",""pt"")"),"#VALUE!")</f>
        <v>#VALUE!</v>
      </c>
      <c r="G5563" s="69"/>
    </row>
    <row r="5564" ht="22.5" customHeight="1">
      <c r="A5564" s="66"/>
      <c r="B5564" s="67" t="str">
        <f t="shared" si="16"/>
        <v>M: </v>
      </c>
      <c r="C5564" s="68"/>
      <c r="D5564" s="68">
        <v>46306.0</v>
      </c>
      <c r="E5564" s="66">
        <v>2.0</v>
      </c>
      <c r="F5564" s="66" t="str">
        <f>IFERROR(__xludf.DUMMYFUNCTION("GOOGLETRANSLATE(A5564,""en"",""pt"")"),"#VALUE!")</f>
        <v>#VALUE!</v>
      </c>
      <c r="G5564" s="69"/>
    </row>
    <row r="5565" ht="22.5" customHeight="1">
      <c r="A5565" s="66"/>
      <c r="B5565" s="67" t="str">
        <f t="shared" si="16"/>
        <v>M: </v>
      </c>
      <c r="C5565" s="68"/>
      <c r="D5565" s="68">
        <v>46306.0</v>
      </c>
      <c r="E5565" s="66">
        <v>3.0</v>
      </c>
      <c r="F5565" s="66" t="str">
        <f>IFERROR(__xludf.DUMMYFUNCTION("GOOGLETRANSLATE(A5565,""en"",""pt"")"),"#VALUE!")</f>
        <v>#VALUE!</v>
      </c>
      <c r="G5565" s="69"/>
    </row>
    <row r="5566" ht="22.5" customHeight="1">
      <c r="A5566" s="66"/>
      <c r="B5566" s="67" t="str">
        <f t="shared" si="16"/>
        <v>M: </v>
      </c>
      <c r="C5566" s="68"/>
      <c r="D5566" s="68">
        <v>46306.0</v>
      </c>
      <c r="E5566" s="66">
        <v>4.0</v>
      </c>
      <c r="F5566" s="66" t="str">
        <f>IFERROR(__xludf.DUMMYFUNCTION("GOOGLETRANSLATE(A5566,""en"",""pt"")"),"#VALUE!")</f>
        <v>#VALUE!</v>
      </c>
      <c r="G5566" s="69"/>
    </row>
    <row r="5567" ht="22.5" customHeight="1">
      <c r="A5567" s="66"/>
      <c r="B5567" s="67" t="str">
        <f t="shared" si="16"/>
        <v>M: </v>
      </c>
      <c r="C5567" s="68"/>
      <c r="D5567" s="68">
        <v>46306.0</v>
      </c>
      <c r="E5567" s="66">
        <v>5.0</v>
      </c>
      <c r="F5567" s="66" t="str">
        <f>IFERROR(__xludf.DUMMYFUNCTION("GOOGLETRANSLATE(A5567,""en"",""pt"")"),"#VALUE!")</f>
        <v>#VALUE!</v>
      </c>
      <c r="G5567" s="69"/>
    </row>
    <row r="5568" ht="22.5" customHeight="1">
      <c r="A5568" s="66"/>
      <c r="B5568" s="67" t="str">
        <f t="shared" si="16"/>
        <v>M: </v>
      </c>
      <c r="C5568" s="68"/>
      <c r="D5568" s="68">
        <v>46306.0</v>
      </c>
      <c r="E5568" s="66">
        <v>6.0</v>
      </c>
      <c r="F5568" s="66" t="str">
        <f>IFERROR(__xludf.DUMMYFUNCTION("GOOGLETRANSLATE(A5568,""en"",""pt"")"),"#VALUE!")</f>
        <v>#VALUE!</v>
      </c>
      <c r="G5568" s="69"/>
    </row>
    <row r="5569" ht="22.5" customHeight="1">
      <c r="A5569" s="66"/>
      <c r="B5569" s="67" t="str">
        <f t="shared" si="16"/>
        <v>M: </v>
      </c>
      <c r="C5569" s="68"/>
      <c r="D5569" s="68">
        <v>46306.0</v>
      </c>
      <c r="E5569" s="66">
        <v>7.0</v>
      </c>
      <c r="F5569" s="66" t="str">
        <f>IFERROR(__xludf.DUMMYFUNCTION("GOOGLETRANSLATE(A5569,""en"",""pt"")"),"#VALUE!")</f>
        <v>#VALUE!</v>
      </c>
      <c r="G5569" s="69"/>
    </row>
    <row r="5570" ht="22.5" customHeight="1">
      <c r="A5570" s="66"/>
      <c r="B5570" s="67" t="str">
        <f t="shared" si="16"/>
        <v>M: </v>
      </c>
      <c r="C5570" s="68"/>
      <c r="D5570" s="68">
        <v>46306.0</v>
      </c>
      <c r="E5570" s="66">
        <v>8.0</v>
      </c>
      <c r="F5570" s="66" t="str">
        <f>IFERROR(__xludf.DUMMYFUNCTION("GOOGLETRANSLATE(A5570,""en"",""pt"")"),"#VALUE!")</f>
        <v>#VALUE!</v>
      </c>
      <c r="G5570" s="69"/>
    </row>
    <row r="5571" ht="22.5" customHeight="1">
      <c r="A5571" s="66"/>
      <c r="B5571" s="67" t="str">
        <f t="shared" si="16"/>
        <v>M: </v>
      </c>
      <c r="C5571" s="68"/>
      <c r="D5571" s="68">
        <v>46306.0</v>
      </c>
      <c r="E5571" s="66">
        <v>9.0</v>
      </c>
      <c r="F5571" s="66" t="str">
        <f>IFERROR(__xludf.DUMMYFUNCTION("GOOGLETRANSLATE(A5571,""en"",""pt"")"),"#VALUE!")</f>
        <v>#VALUE!</v>
      </c>
      <c r="G5571" s="69"/>
    </row>
    <row r="5572" ht="22.5" customHeight="1">
      <c r="A5572" s="66"/>
      <c r="B5572" s="67" t="str">
        <f t="shared" si="16"/>
        <v>M: </v>
      </c>
      <c r="C5572" s="68"/>
      <c r="D5572" s="68">
        <v>46307.0</v>
      </c>
      <c r="E5572" s="66">
        <v>10.0</v>
      </c>
      <c r="F5572" s="66" t="str">
        <f>IFERROR(__xludf.DUMMYFUNCTION("GOOGLETRANSLATE(A5572,""en"",""pt"")"),"#VALUE!")</f>
        <v>#VALUE!</v>
      </c>
      <c r="G5572" s="69"/>
    </row>
    <row r="5573" ht="22.5" customHeight="1">
      <c r="A5573" s="66"/>
      <c r="B5573" s="67" t="str">
        <f t="shared" si="16"/>
        <v>M: </v>
      </c>
      <c r="C5573" s="68"/>
      <c r="D5573" s="68">
        <v>46307.0</v>
      </c>
      <c r="E5573" s="66">
        <v>1.0</v>
      </c>
      <c r="F5573" s="66" t="str">
        <f>IFERROR(__xludf.DUMMYFUNCTION("GOOGLETRANSLATE(A5573,""en"",""pt"")"),"#VALUE!")</f>
        <v>#VALUE!</v>
      </c>
      <c r="G5573" s="69"/>
    </row>
    <row r="5574" ht="22.5" customHeight="1">
      <c r="A5574" s="66"/>
      <c r="B5574" s="67" t="str">
        <f t="shared" si="16"/>
        <v>M: </v>
      </c>
      <c r="C5574" s="68"/>
      <c r="D5574" s="68">
        <v>46307.0</v>
      </c>
      <c r="E5574" s="66">
        <v>2.0</v>
      </c>
      <c r="F5574" s="66" t="str">
        <f>IFERROR(__xludf.DUMMYFUNCTION("GOOGLETRANSLATE(A5574,""en"",""pt"")"),"#VALUE!")</f>
        <v>#VALUE!</v>
      </c>
      <c r="G5574" s="69"/>
    </row>
    <row r="5575" ht="22.5" customHeight="1">
      <c r="A5575" s="66"/>
      <c r="B5575" s="67" t="str">
        <f t="shared" si="16"/>
        <v>M: </v>
      </c>
      <c r="C5575" s="68"/>
      <c r="D5575" s="68">
        <v>46307.0</v>
      </c>
      <c r="E5575" s="66">
        <v>3.0</v>
      </c>
      <c r="F5575" s="66" t="str">
        <f>IFERROR(__xludf.DUMMYFUNCTION("GOOGLETRANSLATE(A5575,""en"",""pt"")"),"#VALUE!")</f>
        <v>#VALUE!</v>
      </c>
      <c r="G5575" s="69"/>
    </row>
    <row r="5576" ht="22.5" customHeight="1">
      <c r="A5576" s="66"/>
      <c r="B5576" s="67" t="str">
        <f t="shared" si="16"/>
        <v>M: </v>
      </c>
      <c r="C5576" s="68"/>
      <c r="D5576" s="68">
        <v>46307.0</v>
      </c>
      <c r="E5576" s="66">
        <v>4.0</v>
      </c>
      <c r="F5576" s="66" t="str">
        <f>IFERROR(__xludf.DUMMYFUNCTION("GOOGLETRANSLATE(A5576,""en"",""pt"")"),"#VALUE!")</f>
        <v>#VALUE!</v>
      </c>
      <c r="G5576" s="69"/>
    </row>
    <row r="5577" ht="22.5" customHeight="1">
      <c r="A5577" s="66"/>
      <c r="B5577" s="67" t="str">
        <f t="shared" si="16"/>
        <v>M: </v>
      </c>
      <c r="C5577" s="68"/>
      <c r="D5577" s="68">
        <v>46307.0</v>
      </c>
      <c r="E5577" s="66">
        <v>5.0</v>
      </c>
      <c r="F5577" s="66" t="str">
        <f>IFERROR(__xludf.DUMMYFUNCTION("GOOGLETRANSLATE(A5577,""en"",""pt"")"),"#VALUE!")</f>
        <v>#VALUE!</v>
      </c>
      <c r="G5577" s="69"/>
    </row>
    <row r="5578" ht="22.5" customHeight="1">
      <c r="A5578" s="66"/>
      <c r="B5578" s="67" t="str">
        <f t="shared" si="16"/>
        <v>M: </v>
      </c>
      <c r="C5578" s="68"/>
      <c r="D5578" s="68">
        <v>46307.0</v>
      </c>
      <c r="E5578" s="66">
        <v>6.0</v>
      </c>
      <c r="F5578" s="66" t="str">
        <f>IFERROR(__xludf.DUMMYFUNCTION("GOOGLETRANSLATE(A5578,""en"",""pt"")"),"#VALUE!")</f>
        <v>#VALUE!</v>
      </c>
      <c r="G5578" s="69"/>
    </row>
    <row r="5579" ht="22.5" customHeight="1">
      <c r="A5579" s="66"/>
      <c r="B5579" s="67" t="str">
        <f t="shared" si="16"/>
        <v>M: </v>
      </c>
      <c r="C5579" s="68"/>
      <c r="D5579" s="68">
        <v>46307.0</v>
      </c>
      <c r="E5579" s="66">
        <v>7.0</v>
      </c>
      <c r="F5579" s="66" t="str">
        <f>IFERROR(__xludf.DUMMYFUNCTION("GOOGLETRANSLATE(A5579,""en"",""pt"")"),"#VALUE!")</f>
        <v>#VALUE!</v>
      </c>
      <c r="G5579" s="69"/>
    </row>
    <row r="5580" ht="22.5" customHeight="1">
      <c r="A5580" s="66"/>
      <c r="B5580" s="67" t="str">
        <f t="shared" si="16"/>
        <v>M: </v>
      </c>
      <c r="C5580" s="68"/>
      <c r="D5580" s="68">
        <v>46307.0</v>
      </c>
      <c r="E5580" s="66">
        <v>8.0</v>
      </c>
      <c r="F5580" s="66" t="str">
        <f>IFERROR(__xludf.DUMMYFUNCTION("GOOGLETRANSLATE(A5580,""en"",""pt"")"),"#VALUE!")</f>
        <v>#VALUE!</v>
      </c>
      <c r="G5580" s="69"/>
    </row>
    <row r="5581" ht="22.5" customHeight="1">
      <c r="A5581" s="66"/>
      <c r="B5581" s="67" t="str">
        <f t="shared" si="16"/>
        <v>M: </v>
      </c>
      <c r="C5581" s="68"/>
      <c r="D5581" s="68">
        <v>46307.0</v>
      </c>
      <c r="E5581" s="66">
        <v>9.0</v>
      </c>
      <c r="F5581" s="66" t="str">
        <f>IFERROR(__xludf.DUMMYFUNCTION("GOOGLETRANSLATE(A5581,""en"",""pt"")"),"#VALUE!")</f>
        <v>#VALUE!</v>
      </c>
      <c r="G5581" s="69"/>
    </row>
    <row r="5582" ht="22.5" customHeight="1">
      <c r="A5582" s="66"/>
      <c r="B5582" s="67" t="str">
        <f t="shared" si="16"/>
        <v>M: </v>
      </c>
      <c r="C5582" s="68"/>
      <c r="D5582" s="68">
        <v>46308.0</v>
      </c>
      <c r="E5582" s="66">
        <v>10.0</v>
      </c>
      <c r="F5582" s="66" t="str">
        <f>IFERROR(__xludf.DUMMYFUNCTION("GOOGLETRANSLATE(A5582,""en"",""pt"")"),"#VALUE!")</f>
        <v>#VALUE!</v>
      </c>
      <c r="G5582" s="69"/>
    </row>
    <row r="5583" ht="22.5" customHeight="1">
      <c r="A5583" s="66"/>
      <c r="B5583" s="67" t="str">
        <f t="shared" si="16"/>
        <v>M: </v>
      </c>
      <c r="C5583" s="68"/>
      <c r="D5583" s="68">
        <v>46308.0</v>
      </c>
      <c r="E5583" s="66">
        <v>1.0</v>
      </c>
      <c r="F5583" s="66" t="str">
        <f>IFERROR(__xludf.DUMMYFUNCTION("GOOGLETRANSLATE(A5583,""en"",""pt"")"),"#VALUE!")</f>
        <v>#VALUE!</v>
      </c>
      <c r="G5583" s="69"/>
    </row>
    <row r="5584" ht="22.5" customHeight="1">
      <c r="A5584" s="66"/>
      <c r="B5584" s="67" t="str">
        <f t="shared" si="16"/>
        <v>M: </v>
      </c>
      <c r="C5584" s="68"/>
      <c r="D5584" s="68">
        <v>46308.0</v>
      </c>
      <c r="E5584" s="66">
        <v>2.0</v>
      </c>
      <c r="F5584" s="66" t="str">
        <f>IFERROR(__xludf.DUMMYFUNCTION("GOOGLETRANSLATE(A5584,""en"",""pt"")"),"#VALUE!")</f>
        <v>#VALUE!</v>
      </c>
      <c r="G5584" s="69"/>
    </row>
    <row r="5585" ht="22.5" customHeight="1">
      <c r="A5585" s="66"/>
      <c r="B5585" s="67" t="str">
        <f t="shared" si="16"/>
        <v>M: </v>
      </c>
      <c r="C5585" s="68"/>
      <c r="D5585" s="68">
        <v>46308.0</v>
      </c>
      <c r="E5585" s="66">
        <v>3.0</v>
      </c>
      <c r="F5585" s="66" t="str">
        <f>IFERROR(__xludf.DUMMYFUNCTION("GOOGLETRANSLATE(A5585,""en"",""pt"")"),"#VALUE!")</f>
        <v>#VALUE!</v>
      </c>
      <c r="G5585" s="69"/>
    </row>
    <row r="5586" ht="22.5" customHeight="1">
      <c r="A5586" s="66"/>
      <c r="B5586" s="67" t="str">
        <f t="shared" si="16"/>
        <v>M: </v>
      </c>
      <c r="C5586" s="68"/>
      <c r="D5586" s="68">
        <v>46308.0</v>
      </c>
      <c r="E5586" s="66">
        <v>4.0</v>
      </c>
      <c r="F5586" s="66" t="str">
        <f>IFERROR(__xludf.DUMMYFUNCTION("GOOGLETRANSLATE(A5586,""en"",""pt"")"),"#VALUE!")</f>
        <v>#VALUE!</v>
      </c>
      <c r="G5586" s="69"/>
    </row>
    <row r="5587" ht="22.5" customHeight="1">
      <c r="A5587" s="66"/>
      <c r="B5587" s="67" t="str">
        <f t="shared" si="16"/>
        <v>M: </v>
      </c>
      <c r="C5587" s="68"/>
      <c r="D5587" s="68">
        <v>46308.0</v>
      </c>
      <c r="E5587" s="66">
        <v>5.0</v>
      </c>
      <c r="F5587" s="66" t="str">
        <f>IFERROR(__xludf.DUMMYFUNCTION("GOOGLETRANSLATE(A5587,""en"",""pt"")"),"#VALUE!")</f>
        <v>#VALUE!</v>
      </c>
      <c r="G5587" s="69"/>
    </row>
    <row r="5588" ht="22.5" customHeight="1">
      <c r="A5588" s="66"/>
      <c r="B5588" s="67" t="str">
        <f t="shared" si="16"/>
        <v>M: </v>
      </c>
      <c r="C5588" s="68"/>
      <c r="D5588" s="68">
        <v>46308.0</v>
      </c>
      <c r="E5588" s="66">
        <v>6.0</v>
      </c>
      <c r="F5588" s="66" t="str">
        <f>IFERROR(__xludf.DUMMYFUNCTION("GOOGLETRANSLATE(A5588,""en"",""pt"")"),"#VALUE!")</f>
        <v>#VALUE!</v>
      </c>
      <c r="G5588" s="69"/>
    </row>
    <row r="5589" ht="22.5" customHeight="1">
      <c r="A5589" s="66"/>
      <c r="B5589" s="67" t="str">
        <f t="shared" si="16"/>
        <v>M: </v>
      </c>
      <c r="C5589" s="68"/>
      <c r="D5589" s="68">
        <v>46308.0</v>
      </c>
      <c r="E5589" s="66">
        <v>7.0</v>
      </c>
      <c r="F5589" s="66" t="str">
        <f>IFERROR(__xludf.DUMMYFUNCTION("GOOGLETRANSLATE(A5589,""en"",""pt"")"),"#VALUE!")</f>
        <v>#VALUE!</v>
      </c>
      <c r="G5589" s="69"/>
    </row>
    <row r="5590" ht="22.5" customHeight="1">
      <c r="A5590" s="66"/>
      <c r="B5590" s="67" t="str">
        <f t="shared" si="16"/>
        <v>M: </v>
      </c>
      <c r="C5590" s="68"/>
      <c r="D5590" s="68">
        <v>46308.0</v>
      </c>
      <c r="E5590" s="66">
        <v>8.0</v>
      </c>
      <c r="F5590" s="66" t="str">
        <f>IFERROR(__xludf.DUMMYFUNCTION("GOOGLETRANSLATE(A5590,""en"",""pt"")"),"#VALUE!")</f>
        <v>#VALUE!</v>
      </c>
      <c r="G5590" s="69"/>
    </row>
    <row r="5591" ht="22.5" customHeight="1">
      <c r="A5591" s="66"/>
      <c r="B5591" s="67" t="str">
        <f t="shared" si="16"/>
        <v>M: </v>
      </c>
      <c r="C5591" s="68"/>
      <c r="D5591" s="68">
        <v>46308.0</v>
      </c>
      <c r="E5591" s="66">
        <v>9.0</v>
      </c>
      <c r="F5591" s="66" t="str">
        <f>IFERROR(__xludf.DUMMYFUNCTION("GOOGLETRANSLATE(A5591,""en"",""pt"")"),"#VALUE!")</f>
        <v>#VALUE!</v>
      </c>
      <c r="G5591" s="69"/>
    </row>
    <row r="5592" ht="22.5" customHeight="1">
      <c r="A5592" s="66"/>
      <c r="B5592" s="67" t="str">
        <f t="shared" si="16"/>
        <v>M: </v>
      </c>
      <c r="C5592" s="68"/>
      <c r="D5592" s="68">
        <v>46309.0</v>
      </c>
      <c r="E5592" s="66">
        <v>10.0</v>
      </c>
      <c r="F5592" s="66" t="str">
        <f>IFERROR(__xludf.DUMMYFUNCTION("GOOGLETRANSLATE(A5592,""en"",""pt"")"),"#VALUE!")</f>
        <v>#VALUE!</v>
      </c>
      <c r="G5592" s="69"/>
    </row>
    <row r="5593" ht="22.5" customHeight="1">
      <c r="A5593" s="66"/>
      <c r="B5593" s="67" t="str">
        <f t="shared" si="16"/>
        <v>M: </v>
      </c>
      <c r="C5593" s="68"/>
      <c r="D5593" s="68">
        <v>46309.0</v>
      </c>
      <c r="E5593" s="66">
        <v>1.0</v>
      </c>
      <c r="F5593" s="66" t="str">
        <f>IFERROR(__xludf.DUMMYFUNCTION("GOOGLETRANSLATE(A5593,""en"",""pt"")"),"#VALUE!")</f>
        <v>#VALUE!</v>
      </c>
      <c r="G5593" s="69"/>
    </row>
    <row r="5594" ht="22.5" customHeight="1">
      <c r="A5594" s="66"/>
      <c r="B5594" s="67" t="str">
        <f t="shared" si="16"/>
        <v>M: </v>
      </c>
      <c r="C5594" s="68"/>
      <c r="D5594" s="68">
        <v>46309.0</v>
      </c>
      <c r="E5594" s="66">
        <v>2.0</v>
      </c>
      <c r="F5594" s="66" t="str">
        <f>IFERROR(__xludf.DUMMYFUNCTION("GOOGLETRANSLATE(A5594,""en"",""pt"")"),"#VALUE!")</f>
        <v>#VALUE!</v>
      </c>
      <c r="G5594" s="69"/>
    </row>
    <row r="5595" ht="22.5" customHeight="1">
      <c r="A5595" s="66"/>
      <c r="B5595" s="67" t="str">
        <f t="shared" si="16"/>
        <v>M: </v>
      </c>
      <c r="C5595" s="68"/>
      <c r="D5595" s="68">
        <v>46309.0</v>
      </c>
      <c r="E5595" s="66">
        <v>3.0</v>
      </c>
      <c r="F5595" s="66" t="str">
        <f>IFERROR(__xludf.DUMMYFUNCTION("GOOGLETRANSLATE(A5595,""en"",""pt"")"),"#VALUE!")</f>
        <v>#VALUE!</v>
      </c>
      <c r="G5595" s="69"/>
    </row>
    <row r="5596" ht="22.5" customHeight="1">
      <c r="A5596" s="66"/>
      <c r="B5596" s="67" t="str">
        <f t="shared" si="16"/>
        <v>M: </v>
      </c>
      <c r="C5596" s="68"/>
      <c r="D5596" s="68">
        <v>46309.0</v>
      </c>
      <c r="E5596" s="66">
        <v>4.0</v>
      </c>
      <c r="F5596" s="66" t="str">
        <f>IFERROR(__xludf.DUMMYFUNCTION("GOOGLETRANSLATE(A5596,""en"",""pt"")"),"#VALUE!")</f>
        <v>#VALUE!</v>
      </c>
      <c r="G5596" s="69"/>
    </row>
    <row r="5597" ht="22.5" customHeight="1">
      <c r="A5597" s="66"/>
      <c r="B5597" s="67" t="str">
        <f t="shared" si="16"/>
        <v>M: </v>
      </c>
      <c r="C5597" s="68"/>
      <c r="D5597" s="68">
        <v>46309.0</v>
      </c>
      <c r="E5597" s="66">
        <v>5.0</v>
      </c>
      <c r="F5597" s="66" t="str">
        <f>IFERROR(__xludf.DUMMYFUNCTION("GOOGLETRANSLATE(A5597,""en"",""pt"")"),"#VALUE!")</f>
        <v>#VALUE!</v>
      </c>
      <c r="G5597" s="69"/>
    </row>
    <row r="5598" ht="22.5" customHeight="1">
      <c r="A5598" s="66"/>
      <c r="B5598" s="67" t="str">
        <f t="shared" si="16"/>
        <v>M: </v>
      </c>
      <c r="C5598" s="68"/>
      <c r="D5598" s="68">
        <v>46309.0</v>
      </c>
      <c r="E5598" s="66">
        <v>6.0</v>
      </c>
      <c r="F5598" s="66" t="str">
        <f>IFERROR(__xludf.DUMMYFUNCTION("GOOGLETRANSLATE(A5598,""en"",""pt"")"),"#VALUE!")</f>
        <v>#VALUE!</v>
      </c>
      <c r="G5598" s="69"/>
    </row>
    <row r="5599" ht="22.5" customHeight="1">
      <c r="A5599" s="66"/>
      <c r="B5599" s="67" t="str">
        <f t="shared" si="16"/>
        <v>M: </v>
      </c>
      <c r="C5599" s="68"/>
      <c r="D5599" s="68">
        <v>46309.0</v>
      </c>
      <c r="E5599" s="66">
        <v>7.0</v>
      </c>
      <c r="F5599" s="66" t="str">
        <f>IFERROR(__xludf.DUMMYFUNCTION("GOOGLETRANSLATE(A5599,""en"",""pt"")"),"#VALUE!")</f>
        <v>#VALUE!</v>
      </c>
      <c r="G5599" s="69"/>
    </row>
    <row r="5600" ht="22.5" customHeight="1">
      <c r="A5600" s="66"/>
      <c r="B5600" s="67" t="str">
        <f t="shared" si="16"/>
        <v>M: </v>
      </c>
      <c r="C5600" s="68"/>
      <c r="D5600" s="68">
        <v>46309.0</v>
      </c>
      <c r="E5600" s="66">
        <v>8.0</v>
      </c>
      <c r="F5600" s="66" t="str">
        <f>IFERROR(__xludf.DUMMYFUNCTION("GOOGLETRANSLATE(A5600,""en"",""pt"")"),"#VALUE!")</f>
        <v>#VALUE!</v>
      </c>
      <c r="G5600" s="69"/>
    </row>
    <row r="5601" ht="22.5" customHeight="1">
      <c r="A5601" s="66"/>
      <c r="B5601" s="67" t="str">
        <f t="shared" si="16"/>
        <v>M: </v>
      </c>
      <c r="C5601" s="68"/>
      <c r="D5601" s="68">
        <v>46309.0</v>
      </c>
      <c r="E5601" s="66">
        <v>9.0</v>
      </c>
      <c r="F5601" s="66" t="str">
        <f>IFERROR(__xludf.DUMMYFUNCTION("GOOGLETRANSLATE(A5601,""en"",""pt"")"),"#VALUE!")</f>
        <v>#VALUE!</v>
      </c>
      <c r="G5601" s="69"/>
    </row>
    <row r="5602" ht="22.5" customHeight="1">
      <c r="A5602" s="66"/>
      <c r="B5602" s="67" t="str">
        <f t="shared" si="16"/>
        <v>M: </v>
      </c>
      <c r="C5602" s="68"/>
      <c r="D5602" s="68">
        <v>46310.0</v>
      </c>
      <c r="E5602" s="66">
        <v>10.0</v>
      </c>
      <c r="F5602" s="66" t="str">
        <f>IFERROR(__xludf.DUMMYFUNCTION("GOOGLETRANSLATE(A5602,""en"",""pt"")"),"#VALUE!")</f>
        <v>#VALUE!</v>
      </c>
      <c r="G5602" s="69"/>
    </row>
    <row r="5603" ht="22.5" customHeight="1">
      <c r="A5603" s="66"/>
      <c r="B5603" s="67" t="str">
        <f t="shared" si="16"/>
        <v>M: </v>
      </c>
      <c r="C5603" s="68"/>
      <c r="D5603" s="68">
        <v>46310.0</v>
      </c>
      <c r="E5603" s="66">
        <v>1.0</v>
      </c>
      <c r="F5603" s="66" t="str">
        <f>IFERROR(__xludf.DUMMYFUNCTION("GOOGLETRANSLATE(A5603,""en"",""pt"")"),"#VALUE!")</f>
        <v>#VALUE!</v>
      </c>
      <c r="G5603" s="69"/>
    </row>
    <row r="5604" ht="22.5" customHeight="1">
      <c r="A5604" s="66"/>
      <c r="B5604" s="67" t="str">
        <f t="shared" si="16"/>
        <v>M: </v>
      </c>
      <c r="C5604" s="68"/>
      <c r="D5604" s="68">
        <v>46310.0</v>
      </c>
      <c r="E5604" s="66">
        <v>2.0</v>
      </c>
      <c r="F5604" s="66" t="str">
        <f>IFERROR(__xludf.DUMMYFUNCTION("GOOGLETRANSLATE(A5604,""en"",""pt"")"),"#VALUE!")</f>
        <v>#VALUE!</v>
      </c>
      <c r="G5604" s="69"/>
    </row>
    <row r="5605" ht="22.5" customHeight="1">
      <c r="A5605" s="66"/>
      <c r="B5605" s="67" t="str">
        <f t="shared" si="16"/>
        <v>M: </v>
      </c>
      <c r="C5605" s="68"/>
      <c r="D5605" s="68">
        <v>46310.0</v>
      </c>
      <c r="E5605" s="66">
        <v>3.0</v>
      </c>
      <c r="F5605" s="66" t="str">
        <f>IFERROR(__xludf.DUMMYFUNCTION("GOOGLETRANSLATE(A5605,""en"",""pt"")"),"#VALUE!")</f>
        <v>#VALUE!</v>
      </c>
      <c r="G5605" s="69"/>
    </row>
    <row r="5606" ht="22.5" customHeight="1">
      <c r="A5606" s="66"/>
      <c r="B5606" s="67" t="str">
        <f t="shared" si="16"/>
        <v>M: </v>
      </c>
      <c r="C5606" s="68"/>
      <c r="D5606" s="68">
        <v>46310.0</v>
      </c>
      <c r="E5606" s="66">
        <v>4.0</v>
      </c>
      <c r="F5606" s="66" t="str">
        <f>IFERROR(__xludf.DUMMYFUNCTION("GOOGLETRANSLATE(A5606,""en"",""pt"")"),"#VALUE!")</f>
        <v>#VALUE!</v>
      </c>
      <c r="G5606" s="69"/>
    </row>
    <row r="5607" ht="22.5" customHeight="1">
      <c r="A5607" s="66"/>
      <c r="B5607" s="67" t="str">
        <f t="shared" si="16"/>
        <v>M: </v>
      </c>
      <c r="C5607" s="68"/>
      <c r="D5607" s="68">
        <v>46310.0</v>
      </c>
      <c r="E5607" s="66">
        <v>5.0</v>
      </c>
      <c r="F5607" s="66" t="str">
        <f>IFERROR(__xludf.DUMMYFUNCTION("GOOGLETRANSLATE(A5607,""en"",""pt"")"),"#VALUE!")</f>
        <v>#VALUE!</v>
      </c>
      <c r="G5607" s="69"/>
    </row>
    <row r="5608" ht="22.5" customHeight="1">
      <c r="A5608" s="66"/>
      <c r="B5608" s="67" t="str">
        <f t="shared" si="16"/>
        <v>M: </v>
      </c>
      <c r="C5608" s="68"/>
      <c r="D5608" s="68">
        <v>46310.0</v>
      </c>
      <c r="E5608" s="66">
        <v>6.0</v>
      </c>
      <c r="F5608" s="66" t="str">
        <f>IFERROR(__xludf.DUMMYFUNCTION("GOOGLETRANSLATE(A5608,""en"",""pt"")"),"#VALUE!")</f>
        <v>#VALUE!</v>
      </c>
      <c r="G5608" s="69"/>
    </row>
    <row r="5609" ht="22.5" customHeight="1">
      <c r="A5609" s="66"/>
      <c r="B5609" s="67" t="str">
        <f t="shared" si="16"/>
        <v>M: </v>
      </c>
      <c r="C5609" s="68"/>
      <c r="D5609" s="68">
        <v>46310.0</v>
      </c>
      <c r="E5609" s="66">
        <v>7.0</v>
      </c>
      <c r="F5609" s="66" t="str">
        <f>IFERROR(__xludf.DUMMYFUNCTION("GOOGLETRANSLATE(A5609,""en"",""pt"")"),"#VALUE!")</f>
        <v>#VALUE!</v>
      </c>
      <c r="G5609" s="69"/>
    </row>
    <row r="5610" ht="22.5" customHeight="1">
      <c r="A5610" s="66"/>
      <c r="B5610" s="67" t="str">
        <f t="shared" si="16"/>
        <v>M: </v>
      </c>
      <c r="C5610" s="68"/>
      <c r="D5610" s="68">
        <v>46310.0</v>
      </c>
      <c r="E5610" s="66">
        <v>8.0</v>
      </c>
      <c r="F5610" s="66" t="str">
        <f>IFERROR(__xludf.DUMMYFUNCTION("GOOGLETRANSLATE(A5610,""en"",""pt"")"),"#VALUE!")</f>
        <v>#VALUE!</v>
      </c>
      <c r="G5610" s="69"/>
    </row>
    <row r="5611" ht="22.5" customHeight="1">
      <c r="A5611" s="66"/>
      <c r="B5611" s="67" t="str">
        <f t="shared" si="16"/>
        <v>M: </v>
      </c>
      <c r="C5611" s="68"/>
      <c r="D5611" s="68">
        <v>46310.0</v>
      </c>
      <c r="E5611" s="66">
        <v>9.0</v>
      </c>
      <c r="F5611" s="66" t="str">
        <f>IFERROR(__xludf.DUMMYFUNCTION("GOOGLETRANSLATE(A5611,""en"",""pt"")"),"#VALUE!")</f>
        <v>#VALUE!</v>
      </c>
      <c r="G5611" s="69"/>
    </row>
    <row r="5612" ht="22.5" customHeight="1">
      <c r="A5612" s="66"/>
      <c r="B5612" s="67" t="str">
        <f t="shared" si="16"/>
        <v>M: </v>
      </c>
      <c r="C5612" s="68"/>
      <c r="D5612" s="68">
        <v>46311.0</v>
      </c>
      <c r="E5612" s="66">
        <v>10.0</v>
      </c>
      <c r="F5612" s="66" t="str">
        <f>IFERROR(__xludf.DUMMYFUNCTION("GOOGLETRANSLATE(A5612,""en"",""pt"")"),"#VALUE!")</f>
        <v>#VALUE!</v>
      </c>
      <c r="G5612" s="69"/>
    </row>
    <row r="5613" ht="22.5" customHeight="1">
      <c r="A5613" s="66"/>
      <c r="B5613" s="67" t="str">
        <f t="shared" si="16"/>
        <v>M: </v>
      </c>
      <c r="C5613" s="68"/>
      <c r="D5613" s="68">
        <v>46311.0</v>
      </c>
      <c r="E5613" s="66">
        <v>1.0</v>
      </c>
      <c r="F5613" s="66" t="str">
        <f>IFERROR(__xludf.DUMMYFUNCTION("GOOGLETRANSLATE(A5613,""en"",""pt"")"),"#VALUE!")</f>
        <v>#VALUE!</v>
      </c>
      <c r="G5613" s="69"/>
    </row>
    <row r="5614" ht="22.5" customHeight="1">
      <c r="A5614" s="66"/>
      <c r="B5614" s="67" t="str">
        <f t="shared" si="16"/>
        <v>M: </v>
      </c>
      <c r="C5614" s="68"/>
      <c r="D5614" s="68">
        <v>46311.0</v>
      </c>
      <c r="E5614" s="66">
        <v>2.0</v>
      </c>
      <c r="F5614" s="66" t="str">
        <f>IFERROR(__xludf.DUMMYFUNCTION("GOOGLETRANSLATE(A5614,""en"",""pt"")"),"#VALUE!")</f>
        <v>#VALUE!</v>
      </c>
      <c r="G5614" s="69"/>
    </row>
    <row r="5615" ht="22.5" customHeight="1">
      <c r="A5615" s="66"/>
      <c r="B5615" s="67" t="str">
        <f t="shared" si="16"/>
        <v>M: </v>
      </c>
      <c r="C5615" s="68"/>
      <c r="D5615" s="68">
        <v>46311.0</v>
      </c>
      <c r="E5615" s="66">
        <v>3.0</v>
      </c>
      <c r="F5615" s="66" t="str">
        <f>IFERROR(__xludf.DUMMYFUNCTION("GOOGLETRANSLATE(A5615,""en"",""pt"")"),"#VALUE!")</f>
        <v>#VALUE!</v>
      </c>
      <c r="G5615" s="69"/>
    </row>
    <row r="5616" ht="22.5" customHeight="1">
      <c r="A5616" s="66"/>
      <c r="B5616" s="67" t="str">
        <f t="shared" si="16"/>
        <v>M: </v>
      </c>
      <c r="C5616" s="68"/>
      <c r="D5616" s="68">
        <v>46311.0</v>
      </c>
      <c r="E5616" s="66">
        <v>4.0</v>
      </c>
      <c r="F5616" s="66" t="str">
        <f>IFERROR(__xludf.DUMMYFUNCTION("GOOGLETRANSLATE(A5616,""en"",""pt"")"),"#VALUE!")</f>
        <v>#VALUE!</v>
      </c>
      <c r="G5616" s="69"/>
    </row>
    <row r="5617" ht="22.5" customHeight="1">
      <c r="A5617" s="66"/>
      <c r="B5617" s="67" t="str">
        <f t="shared" si="16"/>
        <v>M: </v>
      </c>
      <c r="C5617" s="68"/>
      <c r="D5617" s="68">
        <v>46311.0</v>
      </c>
      <c r="E5617" s="66">
        <v>5.0</v>
      </c>
      <c r="F5617" s="66" t="str">
        <f>IFERROR(__xludf.DUMMYFUNCTION("GOOGLETRANSLATE(A5617,""en"",""pt"")"),"#VALUE!")</f>
        <v>#VALUE!</v>
      </c>
      <c r="G5617" s="69"/>
    </row>
    <row r="5618" ht="22.5" customHeight="1">
      <c r="A5618" s="66"/>
      <c r="B5618" s="67" t="str">
        <f t="shared" si="16"/>
        <v>M: </v>
      </c>
      <c r="C5618" s="68"/>
      <c r="D5618" s="68">
        <v>46311.0</v>
      </c>
      <c r="E5618" s="66">
        <v>6.0</v>
      </c>
      <c r="F5618" s="66" t="str">
        <f>IFERROR(__xludf.DUMMYFUNCTION("GOOGLETRANSLATE(A5618,""en"",""pt"")"),"#VALUE!")</f>
        <v>#VALUE!</v>
      </c>
      <c r="G5618" s="69"/>
    </row>
    <row r="5619" ht="22.5" customHeight="1">
      <c r="A5619" s="66"/>
      <c r="B5619" s="67" t="str">
        <f t="shared" si="16"/>
        <v>M: </v>
      </c>
      <c r="C5619" s="68"/>
      <c r="D5619" s="68">
        <v>46311.0</v>
      </c>
      <c r="E5619" s="66">
        <v>7.0</v>
      </c>
      <c r="F5619" s="66" t="str">
        <f>IFERROR(__xludf.DUMMYFUNCTION("GOOGLETRANSLATE(A5619,""en"",""pt"")"),"#VALUE!")</f>
        <v>#VALUE!</v>
      </c>
      <c r="G5619" s="69"/>
    </row>
    <row r="5620" ht="22.5" customHeight="1">
      <c r="A5620" s="66"/>
      <c r="B5620" s="67" t="str">
        <f t="shared" si="16"/>
        <v>M: </v>
      </c>
      <c r="C5620" s="68"/>
      <c r="D5620" s="68">
        <v>46311.0</v>
      </c>
      <c r="E5620" s="66">
        <v>8.0</v>
      </c>
      <c r="F5620" s="66" t="str">
        <f>IFERROR(__xludf.DUMMYFUNCTION("GOOGLETRANSLATE(A5620,""en"",""pt"")"),"#VALUE!")</f>
        <v>#VALUE!</v>
      </c>
      <c r="G5620" s="69"/>
    </row>
    <row r="5621" ht="22.5" customHeight="1">
      <c r="A5621" s="66"/>
      <c r="B5621" s="67" t="str">
        <f t="shared" si="16"/>
        <v>M: </v>
      </c>
      <c r="C5621" s="68"/>
      <c r="D5621" s="68">
        <v>46311.0</v>
      </c>
      <c r="E5621" s="66">
        <v>9.0</v>
      </c>
      <c r="F5621" s="66" t="str">
        <f>IFERROR(__xludf.DUMMYFUNCTION("GOOGLETRANSLATE(A5621,""en"",""pt"")"),"#VALUE!")</f>
        <v>#VALUE!</v>
      </c>
      <c r="G5621" s="69"/>
    </row>
    <row r="5622" ht="22.5" customHeight="1">
      <c r="A5622" s="66"/>
      <c r="B5622" s="67" t="str">
        <f t="shared" si="16"/>
        <v>M: </v>
      </c>
      <c r="C5622" s="68"/>
      <c r="D5622" s="68">
        <v>46312.0</v>
      </c>
      <c r="E5622" s="66">
        <v>10.0</v>
      </c>
      <c r="F5622" s="66" t="str">
        <f>IFERROR(__xludf.DUMMYFUNCTION("GOOGLETRANSLATE(A5622,""en"",""pt"")"),"#VALUE!")</f>
        <v>#VALUE!</v>
      </c>
      <c r="G5622" s="69"/>
    </row>
    <row r="5623" ht="22.5" customHeight="1">
      <c r="A5623" s="66"/>
      <c r="B5623" s="67" t="str">
        <f t="shared" si="16"/>
        <v>M: </v>
      </c>
      <c r="C5623" s="68"/>
      <c r="D5623" s="68">
        <v>46312.0</v>
      </c>
      <c r="E5623" s="66">
        <v>1.0</v>
      </c>
      <c r="F5623" s="66" t="str">
        <f>IFERROR(__xludf.DUMMYFUNCTION("GOOGLETRANSLATE(A5623,""en"",""pt"")"),"#VALUE!")</f>
        <v>#VALUE!</v>
      </c>
      <c r="G5623" s="69"/>
    </row>
    <row r="5624" ht="22.5" customHeight="1">
      <c r="A5624" s="66"/>
      <c r="B5624" s="67" t="str">
        <f t="shared" si="16"/>
        <v>M: </v>
      </c>
      <c r="C5624" s="68"/>
      <c r="D5624" s="68">
        <v>46312.0</v>
      </c>
      <c r="E5624" s="66">
        <v>2.0</v>
      </c>
      <c r="F5624" s="66" t="str">
        <f>IFERROR(__xludf.DUMMYFUNCTION("GOOGLETRANSLATE(A5624,""en"",""pt"")"),"#VALUE!")</f>
        <v>#VALUE!</v>
      </c>
      <c r="G5624" s="69"/>
    </row>
    <row r="5625" ht="22.5" customHeight="1">
      <c r="A5625" s="66"/>
      <c r="B5625" s="67" t="str">
        <f t="shared" si="16"/>
        <v>M: </v>
      </c>
      <c r="C5625" s="68"/>
      <c r="D5625" s="68">
        <v>46312.0</v>
      </c>
      <c r="E5625" s="66">
        <v>3.0</v>
      </c>
      <c r="F5625" s="66" t="str">
        <f>IFERROR(__xludf.DUMMYFUNCTION("GOOGLETRANSLATE(A5625,""en"",""pt"")"),"#VALUE!")</f>
        <v>#VALUE!</v>
      </c>
      <c r="G5625" s="69"/>
    </row>
    <row r="5626" ht="22.5" customHeight="1">
      <c r="A5626" s="66"/>
      <c r="B5626" s="67" t="str">
        <f t="shared" si="16"/>
        <v>M: </v>
      </c>
      <c r="C5626" s="68"/>
      <c r="D5626" s="68">
        <v>46312.0</v>
      </c>
      <c r="E5626" s="66">
        <v>4.0</v>
      </c>
      <c r="F5626" s="66" t="str">
        <f>IFERROR(__xludf.DUMMYFUNCTION("GOOGLETRANSLATE(A5626,""en"",""pt"")"),"#VALUE!")</f>
        <v>#VALUE!</v>
      </c>
      <c r="G5626" s="69"/>
    </row>
    <row r="5627" ht="22.5" customHeight="1">
      <c r="A5627" s="66"/>
      <c r="B5627" s="67" t="str">
        <f t="shared" si="16"/>
        <v>M: </v>
      </c>
      <c r="C5627" s="68"/>
      <c r="D5627" s="68">
        <v>46312.0</v>
      </c>
      <c r="E5627" s="66">
        <v>5.0</v>
      </c>
      <c r="F5627" s="66" t="str">
        <f>IFERROR(__xludf.DUMMYFUNCTION("GOOGLETRANSLATE(A5627,""en"",""pt"")"),"#VALUE!")</f>
        <v>#VALUE!</v>
      </c>
      <c r="G5627" s="69"/>
    </row>
    <row r="5628" ht="22.5" customHeight="1">
      <c r="A5628" s="66"/>
      <c r="B5628" s="67" t="str">
        <f t="shared" si="16"/>
        <v>M: </v>
      </c>
      <c r="C5628" s="68"/>
      <c r="D5628" s="68">
        <v>46312.0</v>
      </c>
      <c r="E5628" s="66">
        <v>6.0</v>
      </c>
      <c r="F5628" s="66" t="str">
        <f>IFERROR(__xludf.DUMMYFUNCTION("GOOGLETRANSLATE(A5628,""en"",""pt"")"),"#VALUE!")</f>
        <v>#VALUE!</v>
      </c>
      <c r="G5628" s="69"/>
    </row>
    <row r="5629" ht="22.5" customHeight="1">
      <c r="A5629" s="66"/>
      <c r="B5629" s="67" t="str">
        <f t="shared" si="16"/>
        <v>M: </v>
      </c>
      <c r="C5629" s="68"/>
      <c r="D5629" s="68">
        <v>46312.0</v>
      </c>
      <c r="E5629" s="66">
        <v>7.0</v>
      </c>
      <c r="F5629" s="66" t="str">
        <f>IFERROR(__xludf.DUMMYFUNCTION("GOOGLETRANSLATE(A5629,""en"",""pt"")"),"#VALUE!")</f>
        <v>#VALUE!</v>
      </c>
      <c r="G5629" s="69"/>
    </row>
    <row r="5630" ht="22.5" customHeight="1">
      <c r="A5630" s="66"/>
      <c r="B5630" s="67" t="str">
        <f t="shared" si="16"/>
        <v>M: </v>
      </c>
      <c r="C5630" s="68"/>
      <c r="D5630" s="68">
        <v>46312.0</v>
      </c>
      <c r="E5630" s="66">
        <v>8.0</v>
      </c>
      <c r="F5630" s="66" t="str">
        <f>IFERROR(__xludf.DUMMYFUNCTION("GOOGLETRANSLATE(A5630,""en"",""pt"")"),"#VALUE!")</f>
        <v>#VALUE!</v>
      </c>
      <c r="G5630" s="69"/>
    </row>
    <row r="5631" ht="22.5" customHeight="1">
      <c r="A5631" s="66"/>
      <c r="B5631" s="67" t="str">
        <f t="shared" si="16"/>
        <v>M: </v>
      </c>
      <c r="C5631" s="68"/>
      <c r="D5631" s="68">
        <v>46312.0</v>
      </c>
      <c r="E5631" s="66">
        <v>9.0</v>
      </c>
      <c r="F5631" s="66" t="str">
        <f>IFERROR(__xludf.DUMMYFUNCTION("GOOGLETRANSLATE(A5631,""en"",""pt"")"),"#VALUE!")</f>
        <v>#VALUE!</v>
      </c>
      <c r="G5631" s="69"/>
    </row>
    <row r="5632" ht="22.5" customHeight="1">
      <c r="A5632" s="66"/>
      <c r="B5632" s="67" t="str">
        <f t="shared" si="16"/>
        <v>M: </v>
      </c>
      <c r="C5632" s="68"/>
      <c r="D5632" s="68">
        <v>46313.0</v>
      </c>
      <c r="E5632" s="66">
        <v>10.0</v>
      </c>
      <c r="F5632" s="66" t="str">
        <f>IFERROR(__xludf.DUMMYFUNCTION("GOOGLETRANSLATE(A5632,""en"",""pt"")"),"#VALUE!")</f>
        <v>#VALUE!</v>
      </c>
      <c r="G5632" s="69"/>
    </row>
    <row r="5633" ht="22.5" customHeight="1">
      <c r="A5633" s="66"/>
      <c r="B5633" s="67" t="str">
        <f t="shared" si="16"/>
        <v>M: </v>
      </c>
      <c r="C5633" s="68"/>
      <c r="D5633" s="68">
        <v>46313.0</v>
      </c>
      <c r="E5633" s="66">
        <v>1.0</v>
      </c>
      <c r="F5633" s="66" t="str">
        <f>IFERROR(__xludf.DUMMYFUNCTION("GOOGLETRANSLATE(A5633,""en"",""pt"")"),"#VALUE!")</f>
        <v>#VALUE!</v>
      </c>
      <c r="G5633" s="69"/>
    </row>
    <row r="5634" ht="22.5" customHeight="1">
      <c r="A5634" s="66"/>
      <c r="B5634" s="67" t="str">
        <f t="shared" si="16"/>
        <v>M: </v>
      </c>
      <c r="C5634" s="68"/>
      <c r="D5634" s="68">
        <v>46313.0</v>
      </c>
      <c r="E5634" s="66">
        <v>2.0</v>
      </c>
      <c r="F5634" s="66" t="str">
        <f>IFERROR(__xludf.DUMMYFUNCTION("GOOGLETRANSLATE(A5634,""en"",""pt"")"),"#VALUE!")</f>
        <v>#VALUE!</v>
      </c>
      <c r="G5634" s="69"/>
    </row>
    <row r="5635" ht="22.5" customHeight="1">
      <c r="A5635" s="66"/>
      <c r="B5635" s="67" t="str">
        <f t="shared" si="16"/>
        <v>M: </v>
      </c>
      <c r="C5635" s="68"/>
      <c r="D5635" s="68">
        <v>46313.0</v>
      </c>
      <c r="E5635" s="66">
        <v>3.0</v>
      </c>
      <c r="F5635" s="66" t="str">
        <f>IFERROR(__xludf.DUMMYFUNCTION("GOOGLETRANSLATE(A5635,""en"",""pt"")"),"#VALUE!")</f>
        <v>#VALUE!</v>
      </c>
      <c r="G5635" s="69"/>
    </row>
    <row r="5636" ht="22.5" customHeight="1">
      <c r="A5636" s="66"/>
      <c r="B5636" s="67" t="str">
        <f t="shared" si="16"/>
        <v>M: </v>
      </c>
      <c r="C5636" s="68"/>
      <c r="D5636" s="68">
        <v>46313.0</v>
      </c>
      <c r="E5636" s="66">
        <v>4.0</v>
      </c>
      <c r="F5636" s="66" t="str">
        <f>IFERROR(__xludf.DUMMYFUNCTION("GOOGLETRANSLATE(A5636,""en"",""pt"")"),"#VALUE!")</f>
        <v>#VALUE!</v>
      </c>
      <c r="G5636" s="69"/>
    </row>
    <row r="5637" ht="22.5" customHeight="1">
      <c r="A5637" s="66"/>
      <c r="B5637" s="67" t="str">
        <f t="shared" si="16"/>
        <v>M: </v>
      </c>
      <c r="C5637" s="68"/>
      <c r="D5637" s="68">
        <v>46313.0</v>
      </c>
      <c r="E5637" s="66">
        <v>5.0</v>
      </c>
      <c r="F5637" s="66" t="str">
        <f>IFERROR(__xludf.DUMMYFUNCTION("GOOGLETRANSLATE(A5637,""en"",""pt"")"),"#VALUE!")</f>
        <v>#VALUE!</v>
      </c>
      <c r="G5637" s="69"/>
    </row>
    <row r="5638" ht="22.5" customHeight="1">
      <c r="A5638" s="66"/>
      <c r="B5638" s="67" t="str">
        <f t="shared" si="16"/>
        <v>M: </v>
      </c>
      <c r="C5638" s="68"/>
      <c r="D5638" s="68">
        <v>46313.0</v>
      </c>
      <c r="E5638" s="66">
        <v>6.0</v>
      </c>
      <c r="F5638" s="66" t="str">
        <f>IFERROR(__xludf.DUMMYFUNCTION("GOOGLETRANSLATE(A5638,""en"",""pt"")"),"#VALUE!")</f>
        <v>#VALUE!</v>
      </c>
      <c r="G5638" s="69"/>
    </row>
    <row r="5639" ht="22.5" customHeight="1">
      <c r="A5639" s="66"/>
      <c r="B5639" s="67" t="str">
        <f t="shared" si="16"/>
        <v>M: </v>
      </c>
      <c r="C5639" s="68"/>
      <c r="D5639" s="68">
        <v>46313.0</v>
      </c>
      <c r="E5639" s="66">
        <v>7.0</v>
      </c>
      <c r="F5639" s="66" t="str">
        <f>IFERROR(__xludf.DUMMYFUNCTION("GOOGLETRANSLATE(A5639,""en"",""pt"")"),"#VALUE!")</f>
        <v>#VALUE!</v>
      </c>
      <c r="G5639" s="69"/>
    </row>
    <row r="5640" ht="22.5" customHeight="1">
      <c r="A5640" s="66"/>
      <c r="B5640" s="67" t="str">
        <f t="shared" si="16"/>
        <v>M: </v>
      </c>
      <c r="C5640" s="68"/>
      <c r="D5640" s="68">
        <v>46313.0</v>
      </c>
      <c r="E5640" s="66">
        <v>8.0</v>
      </c>
      <c r="F5640" s="66" t="str">
        <f>IFERROR(__xludf.DUMMYFUNCTION("GOOGLETRANSLATE(A5640,""en"",""pt"")"),"#VALUE!")</f>
        <v>#VALUE!</v>
      </c>
      <c r="G5640" s="69"/>
    </row>
    <row r="5641" ht="22.5" customHeight="1">
      <c r="A5641" s="66"/>
      <c r="B5641" s="67" t="str">
        <f t="shared" si="16"/>
        <v>M: </v>
      </c>
      <c r="C5641" s="68"/>
      <c r="D5641" s="68">
        <v>46313.0</v>
      </c>
      <c r="E5641" s="66">
        <v>9.0</v>
      </c>
      <c r="F5641" s="66" t="str">
        <f>IFERROR(__xludf.DUMMYFUNCTION("GOOGLETRANSLATE(A5641,""en"",""pt"")"),"#VALUE!")</f>
        <v>#VALUE!</v>
      </c>
      <c r="G5641" s="69"/>
    </row>
    <row r="5642" ht="22.5" customHeight="1">
      <c r="A5642" s="66"/>
      <c r="B5642" s="67" t="str">
        <f t="shared" si="16"/>
        <v>M: </v>
      </c>
      <c r="C5642" s="68"/>
      <c r="D5642" s="68">
        <v>46314.0</v>
      </c>
      <c r="E5642" s="66">
        <v>10.0</v>
      </c>
      <c r="F5642" s="66" t="str">
        <f>IFERROR(__xludf.DUMMYFUNCTION("GOOGLETRANSLATE(A5642,""en"",""pt"")"),"#VALUE!")</f>
        <v>#VALUE!</v>
      </c>
      <c r="G5642" s="69"/>
    </row>
    <row r="5643" ht="22.5" customHeight="1">
      <c r="A5643" s="66"/>
      <c r="B5643" s="67" t="str">
        <f t="shared" si="16"/>
        <v>M: </v>
      </c>
      <c r="C5643" s="68"/>
      <c r="D5643" s="68">
        <v>46314.0</v>
      </c>
      <c r="E5643" s="66">
        <v>1.0</v>
      </c>
      <c r="F5643" s="66" t="str">
        <f>IFERROR(__xludf.DUMMYFUNCTION("GOOGLETRANSLATE(A5643,""en"",""pt"")"),"#VALUE!")</f>
        <v>#VALUE!</v>
      </c>
      <c r="G5643" s="69"/>
    </row>
    <row r="5644" ht="22.5" customHeight="1">
      <c r="A5644" s="66"/>
      <c r="B5644" s="67" t="str">
        <f t="shared" si="16"/>
        <v>M: </v>
      </c>
      <c r="C5644" s="68"/>
      <c r="D5644" s="68">
        <v>46314.0</v>
      </c>
      <c r="E5644" s="66">
        <v>2.0</v>
      </c>
      <c r="F5644" s="66" t="str">
        <f>IFERROR(__xludf.DUMMYFUNCTION("GOOGLETRANSLATE(A5644,""en"",""pt"")"),"#VALUE!")</f>
        <v>#VALUE!</v>
      </c>
      <c r="G5644" s="69"/>
    </row>
    <row r="5645" ht="22.5" customHeight="1">
      <c r="A5645" s="66"/>
      <c r="B5645" s="67" t="str">
        <f t="shared" si="16"/>
        <v>M: </v>
      </c>
      <c r="C5645" s="68"/>
      <c r="D5645" s="68">
        <v>46314.0</v>
      </c>
      <c r="E5645" s="66">
        <v>3.0</v>
      </c>
      <c r="F5645" s="66" t="str">
        <f>IFERROR(__xludf.DUMMYFUNCTION("GOOGLETRANSLATE(A5645,""en"",""pt"")"),"#VALUE!")</f>
        <v>#VALUE!</v>
      </c>
      <c r="G5645" s="69"/>
    </row>
    <row r="5646" ht="22.5" customHeight="1">
      <c r="A5646" s="66"/>
      <c r="B5646" s="67" t="str">
        <f t="shared" si="16"/>
        <v>M: </v>
      </c>
      <c r="C5646" s="68"/>
      <c r="D5646" s="68">
        <v>46314.0</v>
      </c>
      <c r="E5646" s="66">
        <v>4.0</v>
      </c>
      <c r="F5646" s="66" t="str">
        <f>IFERROR(__xludf.DUMMYFUNCTION("GOOGLETRANSLATE(A5646,""en"",""pt"")"),"#VALUE!")</f>
        <v>#VALUE!</v>
      </c>
      <c r="G5646" s="69"/>
    </row>
    <row r="5647" ht="22.5" customHeight="1">
      <c r="A5647" s="66"/>
      <c r="B5647" s="67" t="str">
        <f t="shared" si="16"/>
        <v>M: </v>
      </c>
      <c r="C5647" s="68"/>
      <c r="D5647" s="68">
        <v>46314.0</v>
      </c>
      <c r="E5647" s="66">
        <v>5.0</v>
      </c>
      <c r="F5647" s="66" t="str">
        <f>IFERROR(__xludf.DUMMYFUNCTION("GOOGLETRANSLATE(A5647,""en"",""pt"")"),"#VALUE!")</f>
        <v>#VALUE!</v>
      </c>
      <c r="G5647" s="69"/>
    </row>
    <row r="5648" ht="22.5" customHeight="1">
      <c r="A5648" s="66"/>
      <c r="B5648" s="67" t="str">
        <f t="shared" si="16"/>
        <v>M: </v>
      </c>
      <c r="C5648" s="68"/>
      <c r="D5648" s="68">
        <v>46314.0</v>
      </c>
      <c r="E5648" s="66">
        <v>6.0</v>
      </c>
      <c r="F5648" s="66" t="str">
        <f>IFERROR(__xludf.DUMMYFUNCTION("GOOGLETRANSLATE(A5648,""en"",""pt"")"),"#VALUE!")</f>
        <v>#VALUE!</v>
      </c>
      <c r="G5648" s="69"/>
    </row>
    <row r="5649" ht="22.5" customHeight="1">
      <c r="A5649" s="66"/>
      <c r="B5649" s="67" t="str">
        <f t="shared" si="16"/>
        <v>M: </v>
      </c>
      <c r="C5649" s="68"/>
      <c r="D5649" s="68">
        <v>46314.0</v>
      </c>
      <c r="E5649" s="66">
        <v>7.0</v>
      </c>
      <c r="F5649" s="66" t="str">
        <f>IFERROR(__xludf.DUMMYFUNCTION("GOOGLETRANSLATE(A5649,""en"",""pt"")"),"#VALUE!")</f>
        <v>#VALUE!</v>
      </c>
      <c r="G5649" s="69"/>
    </row>
    <row r="5650" ht="22.5" customHeight="1">
      <c r="A5650" s="66"/>
      <c r="B5650" s="67" t="str">
        <f t="shared" si="16"/>
        <v>M: </v>
      </c>
      <c r="C5650" s="68"/>
      <c r="D5650" s="68">
        <v>46314.0</v>
      </c>
      <c r="E5650" s="66">
        <v>8.0</v>
      </c>
      <c r="F5650" s="66" t="str">
        <f>IFERROR(__xludf.DUMMYFUNCTION("GOOGLETRANSLATE(A5650,""en"",""pt"")"),"#VALUE!")</f>
        <v>#VALUE!</v>
      </c>
      <c r="G5650" s="69"/>
    </row>
    <row r="5651" ht="22.5" customHeight="1">
      <c r="A5651" s="66"/>
      <c r="B5651" s="67" t="str">
        <f t="shared" si="16"/>
        <v>M: </v>
      </c>
      <c r="C5651" s="68"/>
      <c r="D5651" s="68">
        <v>46314.0</v>
      </c>
      <c r="E5651" s="66">
        <v>9.0</v>
      </c>
      <c r="F5651" s="66" t="str">
        <f>IFERROR(__xludf.DUMMYFUNCTION("GOOGLETRANSLATE(A5651,""en"",""pt"")"),"#VALUE!")</f>
        <v>#VALUE!</v>
      </c>
      <c r="G5651" s="69"/>
    </row>
    <row r="5652" ht="22.5" customHeight="1">
      <c r="A5652" s="66"/>
      <c r="B5652" s="67" t="str">
        <f t="shared" si="16"/>
        <v>M: </v>
      </c>
      <c r="C5652" s="68"/>
      <c r="D5652" s="68">
        <v>46315.0</v>
      </c>
      <c r="E5652" s="66">
        <v>10.0</v>
      </c>
      <c r="F5652" s="66" t="str">
        <f>IFERROR(__xludf.DUMMYFUNCTION("GOOGLETRANSLATE(A5652,""en"",""pt"")"),"#VALUE!")</f>
        <v>#VALUE!</v>
      </c>
      <c r="G5652" s="69"/>
    </row>
    <row r="5653" ht="22.5" customHeight="1">
      <c r="A5653" s="66"/>
      <c r="B5653" s="67" t="str">
        <f t="shared" si="16"/>
        <v>M: </v>
      </c>
      <c r="C5653" s="68"/>
      <c r="D5653" s="68">
        <v>46315.0</v>
      </c>
      <c r="E5653" s="66">
        <v>1.0</v>
      </c>
      <c r="F5653" s="66" t="str">
        <f>IFERROR(__xludf.DUMMYFUNCTION("GOOGLETRANSLATE(A5653,""en"",""pt"")"),"#VALUE!")</f>
        <v>#VALUE!</v>
      </c>
      <c r="G5653" s="69"/>
    </row>
    <row r="5654" ht="22.5" customHeight="1">
      <c r="A5654" s="66"/>
      <c r="B5654" s="67" t="str">
        <f t="shared" si="16"/>
        <v>M: </v>
      </c>
      <c r="C5654" s="68"/>
      <c r="D5654" s="68">
        <v>46315.0</v>
      </c>
      <c r="E5654" s="66">
        <v>2.0</v>
      </c>
      <c r="F5654" s="66" t="str">
        <f>IFERROR(__xludf.DUMMYFUNCTION("GOOGLETRANSLATE(A5654,""en"",""pt"")"),"#VALUE!")</f>
        <v>#VALUE!</v>
      </c>
      <c r="G5654" s="69"/>
    </row>
    <row r="5655" ht="22.5" customHeight="1">
      <c r="A5655" s="66"/>
      <c r="B5655" s="67" t="str">
        <f t="shared" si="16"/>
        <v>M: </v>
      </c>
      <c r="C5655" s="68"/>
      <c r="D5655" s="68">
        <v>46315.0</v>
      </c>
      <c r="E5655" s="66">
        <v>3.0</v>
      </c>
      <c r="F5655" s="66" t="str">
        <f>IFERROR(__xludf.DUMMYFUNCTION("GOOGLETRANSLATE(A5655,""en"",""pt"")"),"#VALUE!")</f>
        <v>#VALUE!</v>
      </c>
      <c r="G5655" s="69"/>
    </row>
    <row r="5656" ht="22.5" customHeight="1">
      <c r="A5656" s="66"/>
      <c r="B5656" s="67" t="str">
        <f t="shared" si="16"/>
        <v>M: </v>
      </c>
      <c r="C5656" s="68"/>
      <c r="D5656" s="68">
        <v>46315.0</v>
      </c>
      <c r="E5656" s="66">
        <v>4.0</v>
      </c>
      <c r="F5656" s="66" t="str">
        <f>IFERROR(__xludf.DUMMYFUNCTION("GOOGLETRANSLATE(A5656,""en"",""pt"")"),"#VALUE!")</f>
        <v>#VALUE!</v>
      </c>
      <c r="G5656" s="69"/>
    </row>
    <row r="5657" ht="22.5" customHeight="1">
      <c r="A5657" s="66"/>
      <c r="B5657" s="67" t="str">
        <f t="shared" si="16"/>
        <v>M: </v>
      </c>
      <c r="C5657" s="68"/>
      <c r="D5657" s="68">
        <v>46315.0</v>
      </c>
      <c r="E5657" s="66">
        <v>5.0</v>
      </c>
      <c r="F5657" s="66" t="str">
        <f>IFERROR(__xludf.DUMMYFUNCTION("GOOGLETRANSLATE(A5657,""en"",""pt"")"),"#VALUE!")</f>
        <v>#VALUE!</v>
      </c>
      <c r="G5657" s="69"/>
    </row>
    <row r="5658" ht="22.5" customHeight="1">
      <c r="A5658" s="66"/>
      <c r="B5658" s="67" t="str">
        <f t="shared" si="16"/>
        <v>M: </v>
      </c>
      <c r="C5658" s="68"/>
      <c r="D5658" s="68">
        <v>46315.0</v>
      </c>
      <c r="E5658" s="66">
        <v>6.0</v>
      </c>
      <c r="F5658" s="66" t="str">
        <f>IFERROR(__xludf.DUMMYFUNCTION("GOOGLETRANSLATE(A5658,""en"",""pt"")"),"#VALUE!")</f>
        <v>#VALUE!</v>
      </c>
      <c r="G5658" s="69"/>
    </row>
    <row r="5659" ht="22.5" customHeight="1">
      <c r="A5659" s="66"/>
      <c r="B5659" s="67" t="str">
        <f t="shared" si="16"/>
        <v>M: </v>
      </c>
      <c r="C5659" s="68"/>
      <c r="D5659" s="68">
        <v>46315.0</v>
      </c>
      <c r="E5659" s="66">
        <v>7.0</v>
      </c>
      <c r="F5659" s="66" t="str">
        <f>IFERROR(__xludf.DUMMYFUNCTION("GOOGLETRANSLATE(A5659,""en"",""pt"")"),"#VALUE!")</f>
        <v>#VALUE!</v>
      </c>
      <c r="G5659" s="69"/>
    </row>
    <row r="5660" ht="22.5" customHeight="1">
      <c r="A5660" s="66"/>
      <c r="B5660" s="67" t="str">
        <f t="shared" si="16"/>
        <v>M: </v>
      </c>
      <c r="C5660" s="68"/>
      <c r="D5660" s="68">
        <v>46315.0</v>
      </c>
      <c r="E5660" s="66">
        <v>8.0</v>
      </c>
      <c r="F5660" s="66" t="str">
        <f>IFERROR(__xludf.DUMMYFUNCTION("GOOGLETRANSLATE(A5660,""en"",""pt"")"),"#VALUE!")</f>
        <v>#VALUE!</v>
      </c>
      <c r="G5660" s="69"/>
    </row>
    <row r="5661" ht="22.5" customHeight="1">
      <c r="A5661" s="66"/>
      <c r="B5661" s="67" t="str">
        <f t="shared" si="16"/>
        <v>M: </v>
      </c>
      <c r="C5661" s="68"/>
      <c r="D5661" s="68">
        <v>46315.0</v>
      </c>
      <c r="E5661" s="66">
        <v>9.0</v>
      </c>
      <c r="F5661" s="66" t="str">
        <f>IFERROR(__xludf.DUMMYFUNCTION("GOOGLETRANSLATE(A5661,""en"",""pt"")"),"#VALUE!")</f>
        <v>#VALUE!</v>
      </c>
      <c r="G5661" s="69"/>
    </row>
    <row r="5662" ht="22.5" customHeight="1">
      <c r="A5662" s="66"/>
      <c r="B5662" s="67" t="str">
        <f t="shared" si="16"/>
        <v>M: </v>
      </c>
      <c r="C5662" s="68"/>
      <c r="D5662" s="68">
        <v>46316.0</v>
      </c>
      <c r="E5662" s="66">
        <v>10.0</v>
      </c>
      <c r="F5662" s="66" t="str">
        <f>IFERROR(__xludf.DUMMYFUNCTION("GOOGLETRANSLATE(A5662,""en"",""pt"")"),"#VALUE!")</f>
        <v>#VALUE!</v>
      </c>
      <c r="G5662" s="69"/>
    </row>
    <row r="5663" ht="22.5" customHeight="1">
      <c r="A5663" s="66"/>
      <c r="B5663" s="67" t="str">
        <f t="shared" si="16"/>
        <v>M: </v>
      </c>
      <c r="C5663" s="68"/>
      <c r="D5663" s="68">
        <v>46316.0</v>
      </c>
      <c r="E5663" s="66">
        <v>1.0</v>
      </c>
      <c r="F5663" s="66" t="str">
        <f>IFERROR(__xludf.DUMMYFUNCTION("GOOGLETRANSLATE(A5663,""en"",""pt"")"),"#VALUE!")</f>
        <v>#VALUE!</v>
      </c>
      <c r="G5663" s="69"/>
    </row>
    <row r="5664" ht="22.5" customHeight="1">
      <c r="A5664" s="66"/>
      <c r="B5664" s="67" t="str">
        <f t="shared" si="16"/>
        <v>M: </v>
      </c>
      <c r="C5664" s="68"/>
      <c r="D5664" s="68">
        <v>46316.0</v>
      </c>
      <c r="E5664" s="66">
        <v>2.0</v>
      </c>
      <c r="F5664" s="66" t="str">
        <f>IFERROR(__xludf.DUMMYFUNCTION("GOOGLETRANSLATE(A5664,""en"",""pt"")"),"#VALUE!")</f>
        <v>#VALUE!</v>
      </c>
      <c r="G5664" s="69"/>
    </row>
    <row r="5665" ht="22.5" customHeight="1">
      <c r="A5665" s="66"/>
      <c r="B5665" s="67" t="str">
        <f t="shared" si="16"/>
        <v>M: </v>
      </c>
      <c r="C5665" s="68"/>
      <c r="D5665" s="68">
        <v>46316.0</v>
      </c>
      <c r="E5665" s="66">
        <v>3.0</v>
      </c>
      <c r="F5665" s="66" t="str">
        <f>IFERROR(__xludf.DUMMYFUNCTION("GOOGLETRANSLATE(A5665,""en"",""pt"")"),"#VALUE!")</f>
        <v>#VALUE!</v>
      </c>
      <c r="G5665" s="69"/>
    </row>
    <row r="5666" ht="22.5" customHeight="1">
      <c r="A5666" s="66"/>
      <c r="B5666" s="67" t="str">
        <f t="shared" si="16"/>
        <v>M: </v>
      </c>
      <c r="C5666" s="68"/>
      <c r="D5666" s="68">
        <v>46316.0</v>
      </c>
      <c r="E5666" s="66">
        <v>4.0</v>
      </c>
      <c r="F5666" s="66" t="str">
        <f>IFERROR(__xludf.DUMMYFUNCTION("GOOGLETRANSLATE(A5666,""en"",""pt"")"),"#VALUE!")</f>
        <v>#VALUE!</v>
      </c>
      <c r="G5666" s="69"/>
    </row>
    <row r="5667" ht="22.5" customHeight="1">
      <c r="A5667" s="66"/>
      <c r="B5667" s="67" t="str">
        <f t="shared" si="16"/>
        <v>M: </v>
      </c>
      <c r="C5667" s="68"/>
      <c r="D5667" s="68">
        <v>46316.0</v>
      </c>
      <c r="E5667" s="66">
        <v>5.0</v>
      </c>
      <c r="F5667" s="66" t="str">
        <f>IFERROR(__xludf.DUMMYFUNCTION("GOOGLETRANSLATE(A5667,""en"",""pt"")"),"#VALUE!")</f>
        <v>#VALUE!</v>
      </c>
      <c r="G5667" s="69"/>
    </row>
    <row r="5668" ht="22.5" customHeight="1">
      <c r="A5668" s="66"/>
      <c r="B5668" s="67" t="str">
        <f t="shared" si="16"/>
        <v>M: </v>
      </c>
      <c r="C5668" s="68"/>
      <c r="D5668" s="68">
        <v>46316.0</v>
      </c>
      <c r="E5668" s="66">
        <v>6.0</v>
      </c>
      <c r="F5668" s="66" t="str">
        <f>IFERROR(__xludf.DUMMYFUNCTION("GOOGLETRANSLATE(A5668,""en"",""pt"")"),"#VALUE!")</f>
        <v>#VALUE!</v>
      </c>
      <c r="G5668" s="69"/>
    </row>
    <row r="5669" ht="22.5" customHeight="1">
      <c r="A5669" s="66"/>
      <c r="B5669" s="67" t="str">
        <f t="shared" si="16"/>
        <v>M: </v>
      </c>
      <c r="C5669" s="68"/>
      <c r="D5669" s="68">
        <v>46316.0</v>
      </c>
      <c r="E5669" s="66">
        <v>7.0</v>
      </c>
      <c r="F5669" s="66" t="str">
        <f>IFERROR(__xludf.DUMMYFUNCTION("GOOGLETRANSLATE(A5669,""en"",""pt"")"),"#VALUE!")</f>
        <v>#VALUE!</v>
      </c>
      <c r="G5669" s="69"/>
    </row>
    <row r="5670" ht="22.5" customHeight="1">
      <c r="A5670" s="66"/>
      <c r="B5670" s="67" t="str">
        <f t="shared" si="16"/>
        <v>M: </v>
      </c>
      <c r="C5670" s="68"/>
      <c r="D5670" s="68">
        <v>46316.0</v>
      </c>
      <c r="E5670" s="66">
        <v>8.0</v>
      </c>
      <c r="F5670" s="66" t="str">
        <f>IFERROR(__xludf.DUMMYFUNCTION("GOOGLETRANSLATE(A5670,""en"",""pt"")"),"#VALUE!")</f>
        <v>#VALUE!</v>
      </c>
      <c r="G5670" s="69"/>
    </row>
    <row r="5671" ht="22.5" customHeight="1">
      <c r="A5671" s="66"/>
      <c r="B5671" s="67" t="str">
        <f t="shared" si="16"/>
        <v>M: </v>
      </c>
      <c r="C5671" s="68"/>
      <c r="D5671" s="68">
        <v>46316.0</v>
      </c>
      <c r="E5671" s="66">
        <v>9.0</v>
      </c>
      <c r="F5671" s="66" t="str">
        <f>IFERROR(__xludf.DUMMYFUNCTION("GOOGLETRANSLATE(A5671,""en"",""pt"")"),"#VALUE!")</f>
        <v>#VALUE!</v>
      </c>
      <c r="G5671" s="69"/>
    </row>
    <row r="5672" ht="22.5" customHeight="1">
      <c r="A5672" s="66"/>
      <c r="B5672" s="67" t="str">
        <f t="shared" si="16"/>
        <v>M: </v>
      </c>
      <c r="C5672" s="68"/>
      <c r="D5672" s="68">
        <v>46317.0</v>
      </c>
      <c r="E5672" s="66">
        <v>10.0</v>
      </c>
      <c r="F5672" s="66" t="str">
        <f>IFERROR(__xludf.DUMMYFUNCTION("GOOGLETRANSLATE(A5672,""en"",""pt"")"),"#VALUE!")</f>
        <v>#VALUE!</v>
      </c>
      <c r="G5672" s="69"/>
    </row>
    <row r="5673" ht="22.5" customHeight="1">
      <c r="A5673" s="66"/>
      <c r="B5673" s="67" t="str">
        <f t="shared" si="16"/>
        <v>M: </v>
      </c>
      <c r="C5673" s="68"/>
      <c r="D5673" s="68">
        <v>46317.0</v>
      </c>
      <c r="E5673" s="66">
        <v>1.0</v>
      </c>
      <c r="F5673" s="66" t="str">
        <f>IFERROR(__xludf.DUMMYFUNCTION("GOOGLETRANSLATE(A5673,""en"",""pt"")"),"#VALUE!")</f>
        <v>#VALUE!</v>
      </c>
      <c r="G5673" s="69"/>
    </row>
    <row r="5674" ht="22.5" customHeight="1">
      <c r="A5674" s="66"/>
      <c r="B5674" s="67" t="str">
        <f t="shared" si="16"/>
        <v>M: </v>
      </c>
      <c r="C5674" s="68"/>
      <c r="D5674" s="68">
        <v>46317.0</v>
      </c>
      <c r="E5674" s="66">
        <v>2.0</v>
      </c>
      <c r="F5674" s="66" t="str">
        <f>IFERROR(__xludf.DUMMYFUNCTION("GOOGLETRANSLATE(A5674,""en"",""pt"")"),"#VALUE!")</f>
        <v>#VALUE!</v>
      </c>
      <c r="G5674" s="69"/>
    </row>
    <row r="5675" ht="22.5" customHeight="1">
      <c r="A5675" s="66"/>
      <c r="B5675" s="67" t="str">
        <f t="shared" si="16"/>
        <v>M: </v>
      </c>
      <c r="C5675" s="68"/>
      <c r="D5675" s="68">
        <v>46317.0</v>
      </c>
      <c r="E5675" s="66">
        <v>3.0</v>
      </c>
      <c r="F5675" s="66" t="str">
        <f>IFERROR(__xludf.DUMMYFUNCTION("GOOGLETRANSLATE(A5675,""en"",""pt"")"),"#VALUE!")</f>
        <v>#VALUE!</v>
      </c>
      <c r="G5675" s="69"/>
    </row>
    <row r="5676" ht="22.5" customHeight="1">
      <c r="A5676" s="66"/>
      <c r="B5676" s="67" t="str">
        <f t="shared" si="16"/>
        <v>M: </v>
      </c>
      <c r="C5676" s="68"/>
      <c r="D5676" s="68">
        <v>46317.0</v>
      </c>
      <c r="E5676" s="66">
        <v>4.0</v>
      </c>
      <c r="F5676" s="66" t="str">
        <f>IFERROR(__xludf.DUMMYFUNCTION("GOOGLETRANSLATE(A5676,""en"",""pt"")"),"#VALUE!")</f>
        <v>#VALUE!</v>
      </c>
      <c r="G5676" s="69"/>
    </row>
    <row r="5677" ht="22.5" customHeight="1">
      <c r="A5677" s="66"/>
      <c r="B5677" s="67" t="str">
        <f t="shared" si="16"/>
        <v>M: </v>
      </c>
      <c r="C5677" s="68"/>
      <c r="D5677" s="68">
        <v>46317.0</v>
      </c>
      <c r="E5677" s="66">
        <v>5.0</v>
      </c>
      <c r="F5677" s="66" t="str">
        <f>IFERROR(__xludf.DUMMYFUNCTION("GOOGLETRANSLATE(A5677,""en"",""pt"")"),"#VALUE!")</f>
        <v>#VALUE!</v>
      </c>
      <c r="G5677" s="69"/>
    </row>
    <row r="5678" ht="22.5" customHeight="1">
      <c r="A5678" s="66"/>
      <c r="B5678" s="67" t="str">
        <f t="shared" si="16"/>
        <v>M: </v>
      </c>
      <c r="C5678" s="68"/>
      <c r="D5678" s="68">
        <v>46317.0</v>
      </c>
      <c r="E5678" s="66">
        <v>6.0</v>
      </c>
      <c r="F5678" s="66" t="str">
        <f>IFERROR(__xludf.DUMMYFUNCTION("GOOGLETRANSLATE(A5678,""en"",""pt"")"),"#VALUE!")</f>
        <v>#VALUE!</v>
      </c>
      <c r="G5678" s="69"/>
    </row>
    <row r="5679" ht="22.5" customHeight="1">
      <c r="A5679" s="66"/>
      <c r="B5679" s="67" t="str">
        <f t="shared" si="16"/>
        <v>M: </v>
      </c>
      <c r="C5679" s="68"/>
      <c r="D5679" s="68">
        <v>46317.0</v>
      </c>
      <c r="E5679" s="66">
        <v>7.0</v>
      </c>
      <c r="F5679" s="66" t="str">
        <f>IFERROR(__xludf.DUMMYFUNCTION("GOOGLETRANSLATE(A5679,""en"",""pt"")"),"#VALUE!")</f>
        <v>#VALUE!</v>
      </c>
      <c r="G5679" s="69"/>
    </row>
    <row r="5680" ht="22.5" customHeight="1">
      <c r="A5680" s="66"/>
      <c r="B5680" s="67" t="str">
        <f t="shared" si="16"/>
        <v>M: </v>
      </c>
      <c r="C5680" s="68"/>
      <c r="D5680" s="68">
        <v>46317.0</v>
      </c>
      <c r="E5680" s="66">
        <v>8.0</v>
      </c>
      <c r="F5680" s="66" t="str">
        <f>IFERROR(__xludf.DUMMYFUNCTION("GOOGLETRANSLATE(A5680,""en"",""pt"")"),"#VALUE!")</f>
        <v>#VALUE!</v>
      </c>
      <c r="G5680" s="69"/>
    </row>
    <row r="5681" ht="22.5" customHeight="1">
      <c r="A5681" s="66"/>
      <c r="B5681" s="67" t="str">
        <f t="shared" si="16"/>
        <v>M: </v>
      </c>
      <c r="C5681" s="68"/>
      <c r="D5681" s="68">
        <v>46317.0</v>
      </c>
      <c r="E5681" s="66">
        <v>9.0</v>
      </c>
      <c r="F5681" s="66" t="str">
        <f>IFERROR(__xludf.DUMMYFUNCTION("GOOGLETRANSLATE(A5681,""en"",""pt"")"),"#VALUE!")</f>
        <v>#VALUE!</v>
      </c>
      <c r="G5681" s="69"/>
    </row>
    <row r="5682" ht="22.5" customHeight="1">
      <c r="A5682" s="66"/>
      <c r="B5682" s="67" t="str">
        <f t="shared" si="16"/>
        <v>M: </v>
      </c>
      <c r="C5682" s="68"/>
      <c r="D5682" s="68">
        <v>46318.0</v>
      </c>
      <c r="E5682" s="66">
        <v>10.0</v>
      </c>
      <c r="F5682" s="66" t="str">
        <f>IFERROR(__xludf.DUMMYFUNCTION("GOOGLETRANSLATE(A5682,""en"",""pt"")"),"#VALUE!")</f>
        <v>#VALUE!</v>
      </c>
      <c r="G5682" s="69"/>
    </row>
    <row r="5683" ht="22.5" customHeight="1">
      <c r="A5683" s="66"/>
      <c r="B5683" s="67" t="str">
        <f t="shared" si="16"/>
        <v>M: </v>
      </c>
      <c r="C5683" s="68"/>
      <c r="D5683" s="68">
        <v>46318.0</v>
      </c>
      <c r="E5683" s="66">
        <v>1.0</v>
      </c>
      <c r="F5683" s="66" t="str">
        <f>IFERROR(__xludf.DUMMYFUNCTION("GOOGLETRANSLATE(A5683,""en"",""pt"")"),"#VALUE!")</f>
        <v>#VALUE!</v>
      </c>
      <c r="G5683" s="69"/>
    </row>
    <row r="5684" ht="22.5" customHeight="1">
      <c r="A5684" s="66"/>
      <c r="B5684" s="67" t="str">
        <f t="shared" si="16"/>
        <v>M: </v>
      </c>
      <c r="C5684" s="68"/>
      <c r="D5684" s="68">
        <v>46318.0</v>
      </c>
      <c r="E5684" s="66">
        <v>2.0</v>
      </c>
      <c r="F5684" s="66" t="str">
        <f>IFERROR(__xludf.DUMMYFUNCTION("GOOGLETRANSLATE(A5684,""en"",""pt"")"),"#VALUE!")</f>
        <v>#VALUE!</v>
      </c>
      <c r="G5684" s="69"/>
    </row>
    <row r="5685" ht="22.5" customHeight="1">
      <c r="A5685" s="66"/>
      <c r="B5685" s="67" t="str">
        <f t="shared" si="16"/>
        <v>M: </v>
      </c>
      <c r="C5685" s="68"/>
      <c r="D5685" s="68">
        <v>46318.0</v>
      </c>
      <c r="E5685" s="66">
        <v>3.0</v>
      </c>
      <c r="F5685" s="66" t="str">
        <f>IFERROR(__xludf.DUMMYFUNCTION("GOOGLETRANSLATE(A5685,""en"",""pt"")"),"#VALUE!")</f>
        <v>#VALUE!</v>
      </c>
      <c r="G5685" s="69"/>
    </row>
    <row r="5686" ht="22.5" customHeight="1">
      <c r="A5686" s="66"/>
      <c r="B5686" s="67" t="str">
        <f t="shared" si="16"/>
        <v>M: </v>
      </c>
      <c r="C5686" s="68"/>
      <c r="D5686" s="68">
        <v>46318.0</v>
      </c>
      <c r="E5686" s="66">
        <v>4.0</v>
      </c>
      <c r="F5686" s="66" t="str">
        <f>IFERROR(__xludf.DUMMYFUNCTION("GOOGLETRANSLATE(A5686,""en"",""pt"")"),"#VALUE!")</f>
        <v>#VALUE!</v>
      </c>
      <c r="G5686" s="69"/>
    </row>
    <row r="5687" ht="22.5" customHeight="1">
      <c r="A5687" s="66"/>
      <c r="B5687" s="67" t="str">
        <f t="shared" si="16"/>
        <v>M: </v>
      </c>
      <c r="C5687" s="68"/>
      <c r="D5687" s="68">
        <v>46318.0</v>
      </c>
      <c r="E5687" s="66">
        <v>5.0</v>
      </c>
      <c r="F5687" s="66" t="str">
        <f>IFERROR(__xludf.DUMMYFUNCTION("GOOGLETRANSLATE(A5687,""en"",""pt"")"),"#VALUE!")</f>
        <v>#VALUE!</v>
      </c>
      <c r="G5687" s="69"/>
    </row>
    <row r="5688" ht="22.5" customHeight="1">
      <c r="A5688" s="66"/>
      <c r="B5688" s="67" t="str">
        <f t="shared" si="16"/>
        <v>M: </v>
      </c>
      <c r="C5688" s="68"/>
      <c r="D5688" s="68">
        <v>46318.0</v>
      </c>
      <c r="E5688" s="66">
        <v>6.0</v>
      </c>
      <c r="F5688" s="66" t="str">
        <f>IFERROR(__xludf.DUMMYFUNCTION("GOOGLETRANSLATE(A5688,""en"",""pt"")"),"#VALUE!")</f>
        <v>#VALUE!</v>
      </c>
      <c r="G5688" s="69"/>
    </row>
    <row r="5689" ht="22.5" customHeight="1">
      <c r="A5689" s="66"/>
      <c r="B5689" s="67" t="str">
        <f t="shared" si="16"/>
        <v>M: </v>
      </c>
      <c r="C5689" s="68"/>
      <c r="D5689" s="68">
        <v>46318.0</v>
      </c>
      <c r="E5689" s="66">
        <v>7.0</v>
      </c>
      <c r="F5689" s="66" t="str">
        <f>IFERROR(__xludf.DUMMYFUNCTION("GOOGLETRANSLATE(A5689,""en"",""pt"")"),"#VALUE!")</f>
        <v>#VALUE!</v>
      </c>
      <c r="G5689" s="69"/>
    </row>
    <row r="5690" ht="22.5" customHeight="1">
      <c r="A5690" s="66"/>
      <c r="B5690" s="67" t="str">
        <f t="shared" si="16"/>
        <v>M: </v>
      </c>
      <c r="C5690" s="68"/>
      <c r="D5690" s="68">
        <v>46318.0</v>
      </c>
      <c r="E5690" s="66">
        <v>8.0</v>
      </c>
      <c r="F5690" s="66" t="str">
        <f>IFERROR(__xludf.DUMMYFUNCTION("GOOGLETRANSLATE(A5690,""en"",""pt"")"),"#VALUE!")</f>
        <v>#VALUE!</v>
      </c>
      <c r="G5690" s="69"/>
    </row>
    <row r="5691" ht="22.5" customHeight="1">
      <c r="A5691" s="66"/>
      <c r="B5691" s="67" t="str">
        <f t="shared" si="16"/>
        <v>M: </v>
      </c>
      <c r="C5691" s="68"/>
      <c r="D5691" s="68">
        <v>46318.0</v>
      </c>
      <c r="E5691" s="66">
        <v>9.0</v>
      </c>
      <c r="F5691" s="66" t="str">
        <f>IFERROR(__xludf.DUMMYFUNCTION("GOOGLETRANSLATE(A5691,""en"",""pt"")"),"#VALUE!")</f>
        <v>#VALUE!</v>
      </c>
      <c r="G5691" s="69"/>
    </row>
    <row r="5692" ht="22.5" customHeight="1">
      <c r="A5692" s="66"/>
      <c r="B5692" s="67" t="str">
        <f t="shared" si="16"/>
        <v>M: </v>
      </c>
      <c r="C5692" s="68"/>
      <c r="D5692" s="68">
        <v>46319.0</v>
      </c>
      <c r="E5692" s="66">
        <v>10.0</v>
      </c>
      <c r="F5692" s="66" t="str">
        <f>IFERROR(__xludf.DUMMYFUNCTION("GOOGLETRANSLATE(A5692,""en"",""pt"")"),"#VALUE!")</f>
        <v>#VALUE!</v>
      </c>
      <c r="G5692" s="69"/>
    </row>
    <row r="5693" ht="22.5" customHeight="1">
      <c r="A5693" s="66"/>
      <c r="B5693" s="67" t="str">
        <f t="shared" si="16"/>
        <v>M: </v>
      </c>
      <c r="C5693" s="68"/>
      <c r="D5693" s="68">
        <v>46319.0</v>
      </c>
      <c r="E5693" s="66">
        <v>1.0</v>
      </c>
      <c r="F5693" s="66" t="str">
        <f>IFERROR(__xludf.DUMMYFUNCTION("GOOGLETRANSLATE(A5693,""en"",""pt"")"),"#VALUE!")</f>
        <v>#VALUE!</v>
      </c>
      <c r="G5693" s="69"/>
    </row>
    <row r="5694" ht="22.5" customHeight="1">
      <c r="A5694" s="66"/>
      <c r="B5694" s="67" t="str">
        <f t="shared" si="16"/>
        <v>M: </v>
      </c>
      <c r="C5694" s="68"/>
      <c r="D5694" s="68">
        <v>46319.0</v>
      </c>
      <c r="E5694" s="66">
        <v>2.0</v>
      </c>
      <c r="F5694" s="66" t="str">
        <f>IFERROR(__xludf.DUMMYFUNCTION("GOOGLETRANSLATE(A5694,""en"",""pt"")"),"#VALUE!")</f>
        <v>#VALUE!</v>
      </c>
      <c r="G5694" s="69"/>
    </row>
    <row r="5695" ht="22.5" customHeight="1">
      <c r="A5695" s="66"/>
      <c r="B5695" s="67" t="str">
        <f t="shared" si="16"/>
        <v>M: </v>
      </c>
      <c r="C5695" s="68"/>
      <c r="D5695" s="68">
        <v>46319.0</v>
      </c>
      <c r="E5695" s="66">
        <v>3.0</v>
      </c>
      <c r="F5695" s="66" t="str">
        <f>IFERROR(__xludf.DUMMYFUNCTION("GOOGLETRANSLATE(A5695,""en"",""pt"")"),"#VALUE!")</f>
        <v>#VALUE!</v>
      </c>
      <c r="G5695" s="69"/>
    </row>
    <row r="5696" ht="22.5" customHeight="1">
      <c r="A5696" s="66"/>
      <c r="B5696" s="67" t="str">
        <f t="shared" si="16"/>
        <v>M: </v>
      </c>
      <c r="C5696" s="68"/>
      <c r="D5696" s="68">
        <v>46319.0</v>
      </c>
      <c r="E5696" s="66">
        <v>4.0</v>
      </c>
      <c r="F5696" s="66" t="str">
        <f>IFERROR(__xludf.DUMMYFUNCTION("GOOGLETRANSLATE(A5696,""en"",""pt"")"),"#VALUE!")</f>
        <v>#VALUE!</v>
      </c>
      <c r="G5696" s="69"/>
    </row>
    <row r="5697" ht="22.5" customHeight="1">
      <c r="A5697" s="66"/>
      <c r="B5697" s="67" t="str">
        <f t="shared" si="16"/>
        <v>M: </v>
      </c>
      <c r="C5697" s="68"/>
      <c r="D5697" s="68">
        <v>46319.0</v>
      </c>
      <c r="E5697" s="66">
        <v>5.0</v>
      </c>
      <c r="F5697" s="66" t="str">
        <f>IFERROR(__xludf.DUMMYFUNCTION("GOOGLETRANSLATE(A5697,""en"",""pt"")"),"#VALUE!")</f>
        <v>#VALUE!</v>
      </c>
      <c r="G5697" s="69"/>
    </row>
    <row r="5698" ht="22.5" customHeight="1">
      <c r="A5698" s="66"/>
      <c r="B5698" s="67" t="str">
        <f t="shared" si="16"/>
        <v>M: </v>
      </c>
      <c r="C5698" s="68"/>
      <c r="D5698" s="68">
        <v>46319.0</v>
      </c>
      <c r="E5698" s="66">
        <v>6.0</v>
      </c>
      <c r="F5698" s="66" t="str">
        <f>IFERROR(__xludf.DUMMYFUNCTION("GOOGLETRANSLATE(A5698,""en"",""pt"")"),"#VALUE!")</f>
        <v>#VALUE!</v>
      </c>
      <c r="G5698" s="69"/>
    </row>
    <row r="5699" ht="22.5" customHeight="1">
      <c r="A5699" s="66"/>
      <c r="B5699" s="67" t="str">
        <f t="shared" si="16"/>
        <v>M: </v>
      </c>
      <c r="C5699" s="68"/>
      <c r="D5699" s="68">
        <v>46319.0</v>
      </c>
      <c r="E5699" s="66">
        <v>7.0</v>
      </c>
      <c r="F5699" s="66" t="str">
        <f>IFERROR(__xludf.DUMMYFUNCTION("GOOGLETRANSLATE(A5699,""en"",""pt"")"),"#VALUE!")</f>
        <v>#VALUE!</v>
      </c>
      <c r="G5699" s="69"/>
    </row>
    <row r="5700" ht="22.5" customHeight="1">
      <c r="A5700" s="66"/>
      <c r="B5700" s="67" t="str">
        <f t="shared" si="16"/>
        <v>M: </v>
      </c>
      <c r="C5700" s="68"/>
      <c r="D5700" s="68">
        <v>46319.0</v>
      </c>
      <c r="E5700" s="66">
        <v>8.0</v>
      </c>
      <c r="F5700" s="66" t="str">
        <f>IFERROR(__xludf.DUMMYFUNCTION("GOOGLETRANSLATE(A5700,""en"",""pt"")"),"#VALUE!")</f>
        <v>#VALUE!</v>
      </c>
      <c r="G5700" s="69"/>
    </row>
    <row r="5701" ht="22.5" customHeight="1">
      <c r="A5701" s="66"/>
      <c r="B5701" s="67" t="str">
        <f t="shared" si="16"/>
        <v>M: </v>
      </c>
      <c r="C5701" s="68"/>
      <c r="D5701" s="68">
        <v>46319.0</v>
      </c>
      <c r="E5701" s="66">
        <v>9.0</v>
      </c>
      <c r="F5701" s="66" t="str">
        <f>IFERROR(__xludf.DUMMYFUNCTION("GOOGLETRANSLATE(A5701,""en"",""pt"")"),"#VALUE!")</f>
        <v>#VALUE!</v>
      </c>
      <c r="G5701" s="69"/>
    </row>
    <row r="5702" ht="22.5" customHeight="1">
      <c r="A5702" s="66"/>
      <c r="B5702" s="67" t="str">
        <f t="shared" si="16"/>
        <v>M: </v>
      </c>
      <c r="C5702" s="68"/>
      <c r="D5702" s="68">
        <v>46320.0</v>
      </c>
      <c r="E5702" s="66">
        <v>10.0</v>
      </c>
      <c r="F5702" s="66" t="str">
        <f>IFERROR(__xludf.DUMMYFUNCTION("GOOGLETRANSLATE(A5702,""en"",""pt"")"),"#VALUE!")</f>
        <v>#VALUE!</v>
      </c>
      <c r="G5702" s="69"/>
    </row>
    <row r="5703" ht="22.5" customHeight="1">
      <c r="A5703" s="66"/>
      <c r="B5703" s="67" t="str">
        <f t="shared" si="16"/>
        <v>M: </v>
      </c>
      <c r="C5703" s="68"/>
      <c r="D5703" s="68">
        <v>46320.0</v>
      </c>
      <c r="E5703" s="66">
        <v>1.0</v>
      </c>
      <c r="F5703" s="66" t="str">
        <f>IFERROR(__xludf.DUMMYFUNCTION("GOOGLETRANSLATE(A5703,""en"",""pt"")"),"#VALUE!")</f>
        <v>#VALUE!</v>
      </c>
      <c r="G5703" s="69"/>
    </row>
    <row r="5704" ht="22.5" customHeight="1">
      <c r="A5704" s="66"/>
      <c r="B5704" s="67" t="str">
        <f t="shared" si="16"/>
        <v>M: </v>
      </c>
      <c r="C5704" s="68"/>
      <c r="D5704" s="68">
        <v>46320.0</v>
      </c>
      <c r="E5704" s="66">
        <v>2.0</v>
      </c>
      <c r="F5704" s="66" t="str">
        <f>IFERROR(__xludf.DUMMYFUNCTION("GOOGLETRANSLATE(A5704,""en"",""pt"")"),"#VALUE!")</f>
        <v>#VALUE!</v>
      </c>
      <c r="G5704" s="69"/>
    </row>
    <row r="5705" ht="22.5" customHeight="1">
      <c r="A5705" s="66"/>
      <c r="B5705" s="67" t="str">
        <f t="shared" si="16"/>
        <v>M: </v>
      </c>
      <c r="C5705" s="68"/>
      <c r="D5705" s="68">
        <v>46320.0</v>
      </c>
      <c r="E5705" s="66">
        <v>3.0</v>
      </c>
      <c r="F5705" s="66" t="str">
        <f>IFERROR(__xludf.DUMMYFUNCTION("GOOGLETRANSLATE(A5705,""en"",""pt"")"),"#VALUE!")</f>
        <v>#VALUE!</v>
      </c>
      <c r="G5705" s="69"/>
    </row>
    <row r="5706" ht="22.5" customHeight="1">
      <c r="A5706" s="66"/>
      <c r="B5706" s="67" t="str">
        <f t="shared" si="16"/>
        <v>M: </v>
      </c>
      <c r="C5706" s="68"/>
      <c r="D5706" s="68">
        <v>46320.0</v>
      </c>
      <c r="E5706" s="66">
        <v>4.0</v>
      </c>
      <c r="F5706" s="66" t="str">
        <f>IFERROR(__xludf.DUMMYFUNCTION("GOOGLETRANSLATE(A5706,""en"",""pt"")"),"#VALUE!")</f>
        <v>#VALUE!</v>
      </c>
      <c r="G5706" s="69"/>
    </row>
    <row r="5707" ht="22.5" customHeight="1">
      <c r="A5707" s="66"/>
      <c r="B5707" s="67" t="str">
        <f t="shared" si="16"/>
        <v>M: </v>
      </c>
      <c r="C5707" s="68"/>
      <c r="D5707" s="68">
        <v>46320.0</v>
      </c>
      <c r="E5707" s="66">
        <v>5.0</v>
      </c>
      <c r="F5707" s="66" t="str">
        <f>IFERROR(__xludf.DUMMYFUNCTION("GOOGLETRANSLATE(A5707,""en"",""pt"")"),"#VALUE!")</f>
        <v>#VALUE!</v>
      </c>
      <c r="G5707" s="69"/>
    </row>
    <row r="5708" ht="22.5" customHeight="1">
      <c r="A5708" s="66"/>
      <c r="B5708" s="67" t="str">
        <f t="shared" si="16"/>
        <v>M: </v>
      </c>
      <c r="C5708" s="68"/>
      <c r="D5708" s="68">
        <v>46320.0</v>
      </c>
      <c r="E5708" s="66">
        <v>6.0</v>
      </c>
      <c r="F5708" s="66" t="str">
        <f>IFERROR(__xludf.DUMMYFUNCTION("GOOGLETRANSLATE(A5708,""en"",""pt"")"),"#VALUE!")</f>
        <v>#VALUE!</v>
      </c>
      <c r="G5708" s="69"/>
    </row>
    <row r="5709" ht="22.5" customHeight="1">
      <c r="A5709" s="66"/>
      <c r="B5709" s="67" t="str">
        <f t="shared" si="16"/>
        <v>M: </v>
      </c>
      <c r="C5709" s="68"/>
      <c r="D5709" s="68">
        <v>46320.0</v>
      </c>
      <c r="E5709" s="66">
        <v>7.0</v>
      </c>
      <c r="F5709" s="66" t="str">
        <f>IFERROR(__xludf.DUMMYFUNCTION("GOOGLETRANSLATE(A5709,""en"",""pt"")"),"#VALUE!")</f>
        <v>#VALUE!</v>
      </c>
      <c r="G5709" s="69"/>
    </row>
    <row r="5710" ht="22.5" customHeight="1">
      <c r="A5710" s="66"/>
      <c r="B5710" s="67" t="str">
        <f t="shared" si="16"/>
        <v>M: </v>
      </c>
      <c r="C5710" s="68"/>
      <c r="D5710" s="68">
        <v>46320.0</v>
      </c>
      <c r="E5710" s="66">
        <v>8.0</v>
      </c>
      <c r="F5710" s="66" t="str">
        <f>IFERROR(__xludf.DUMMYFUNCTION("GOOGLETRANSLATE(A5710,""en"",""pt"")"),"#VALUE!")</f>
        <v>#VALUE!</v>
      </c>
      <c r="G5710" s="69"/>
    </row>
    <row r="5711" ht="22.5" customHeight="1">
      <c r="A5711" s="66"/>
      <c r="B5711" s="67" t="str">
        <f t="shared" si="16"/>
        <v>M: </v>
      </c>
      <c r="C5711" s="68"/>
      <c r="D5711" s="68">
        <v>46320.0</v>
      </c>
      <c r="E5711" s="66">
        <v>9.0</v>
      </c>
      <c r="F5711" s="66" t="str">
        <f>IFERROR(__xludf.DUMMYFUNCTION("GOOGLETRANSLATE(A5711,""en"",""pt"")"),"#VALUE!")</f>
        <v>#VALUE!</v>
      </c>
      <c r="G5711" s="69"/>
    </row>
    <row r="5712" ht="22.5" customHeight="1">
      <c r="A5712" s="66"/>
      <c r="B5712" s="67" t="str">
        <f t="shared" si="16"/>
        <v>M: </v>
      </c>
      <c r="C5712" s="68"/>
      <c r="D5712" s="68">
        <v>46321.0</v>
      </c>
      <c r="E5712" s="66">
        <v>10.0</v>
      </c>
      <c r="F5712" s="66" t="str">
        <f>IFERROR(__xludf.DUMMYFUNCTION("GOOGLETRANSLATE(A5712,""en"",""pt"")"),"#VALUE!")</f>
        <v>#VALUE!</v>
      </c>
      <c r="G5712" s="69"/>
    </row>
    <row r="5713" ht="22.5" customHeight="1">
      <c r="A5713" s="66"/>
      <c r="B5713" s="67" t="str">
        <f t="shared" si="16"/>
        <v>M: </v>
      </c>
      <c r="C5713" s="68"/>
      <c r="D5713" s="68">
        <v>46321.0</v>
      </c>
      <c r="E5713" s="66">
        <v>1.0</v>
      </c>
      <c r="F5713" s="66" t="str">
        <f>IFERROR(__xludf.DUMMYFUNCTION("GOOGLETRANSLATE(A5713,""en"",""pt"")"),"#VALUE!")</f>
        <v>#VALUE!</v>
      </c>
      <c r="G5713" s="69"/>
    </row>
    <row r="5714" ht="22.5" customHeight="1">
      <c r="A5714" s="66"/>
      <c r="B5714" s="67" t="str">
        <f t="shared" si="16"/>
        <v>M: </v>
      </c>
      <c r="C5714" s="68"/>
      <c r="D5714" s="68">
        <v>46321.0</v>
      </c>
      <c r="E5714" s="66">
        <v>2.0</v>
      </c>
      <c r="F5714" s="66" t="str">
        <f>IFERROR(__xludf.DUMMYFUNCTION("GOOGLETRANSLATE(A5714,""en"",""pt"")"),"#VALUE!")</f>
        <v>#VALUE!</v>
      </c>
      <c r="G5714" s="69"/>
    </row>
    <row r="5715" ht="22.5" customHeight="1">
      <c r="A5715" s="66"/>
      <c r="B5715" s="67" t="str">
        <f t="shared" si="16"/>
        <v>M: </v>
      </c>
      <c r="C5715" s="68"/>
      <c r="D5715" s="68">
        <v>46321.0</v>
      </c>
      <c r="E5715" s="66">
        <v>3.0</v>
      </c>
      <c r="F5715" s="66" t="str">
        <f>IFERROR(__xludf.DUMMYFUNCTION("GOOGLETRANSLATE(A5715,""en"",""pt"")"),"#VALUE!")</f>
        <v>#VALUE!</v>
      </c>
      <c r="G5715" s="69"/>
    </row>
    <row r="5716" ht="22.5" customHeight="1">
      <c r="A5716" s="66"/>
      <c r="B5716" s="67" t="str">
        <f t="shared" si="16"/>
        <v>M: </v>
      </c>
      <c r="C5716" s="68"/>
      <c r="D5716" s="68">
        <v>46321.0</v>
      </c>
      <c r="E5716" s="66">
        <v>4.0</v>
      </c>
      <c r="F5716" s="66" t="str">
        <f>IFERROR(__xludf.DUMMYFUNCTION("GOOGLETRANSLATE(A5716,""en"",""pt"")"),"#VALUE!")</f>
        <v>#VALUE!</v>
      </c>
      <c r="G5716" s="69"/>
    </row>
    <row r="5717" ht="22.5" customHeight="1">
      <c r="A5717" s="66"/>
      <c r="B5717" s="67" t="str">
        <f t="shared" si="16"/>
        <v>M: </v>
      </c>
      <c r="C5717" s="68"/>
      <c r="D5717" s="68">
        <v>46321.0</v>
      </c>
      <c r="E5717" s="66">
        <v>5.0</v>
      </c>
      <c r="F5717" s="66" t="str">
        <f>IFERROR(__xludf.DUMMYFUNCTION("GOOGLETRANSLATE(A5717,""en"",""pt"")"),"#VALUE!")</f>
        <v>#VALUE!</v>
      </c>
      <c r="G5717" s="69"/>
    </row>
    <row r="5718" ht="22.5" customHeight="1">
      <c r="A5718" s="66"/>
      <c r="B5718" s="67" t="str">
        <f t="shared" si="16"/>
        <v>M: </v>
      </c>
      <c r="C5718" s="68"/>
      <c r="D5718" s="68">
        <v>46321.0</v>
      </c>
      <c r="E5718" s="66">
        <v>6.0</v>
      </c>
      <c r="F5718" s="66" t="str">
        <f>IFERROR(__xludf.DUMMYFUNCTION("GOOGLETRANSLATE(A5718,""en"",""pt"")"),"#VALUE!")</f>
        <v>#VALUE!</v>
      </c>
      <c r="G5718" s="69"/>
    </row>
    <row r="5719" ht="22.5" customHeight="1">
      <c r="A5719" s="66"/>
      <c r="B5719" s="67" t="str">
        <f t="shared" si="16"/>
        <v>M: </v>
      </c>
      <c r="C5719" s="68"/>
      <c r="D5719" s="68">
        <v>46321.0</v>
      </c>
      <c r="E5719" s="66">
        <v>7.0</v>
      </c>
      <c r="F5719" s="66" t="str">
        <f>IFERROR(__xludf.DUMMYFUNCTION("GOOGLETRANSLATE(A5719,""en"",""pt"")"),"#VALUE!")</f>
        <v>#VALUE!</v>
      </c>
      <c r="G5719" s="69"/>
    </row>
    <row r="5720" ht="22.5" customHeight="1">
      <c r="A5720" s="66"/>
      <c r="B5720" s="67" t="str">
        <f t="shared" si="16"/>
        <v>M: </v>
      </c>
      <c r="C5720" s="68"/>
      <c r="D5720" s="68">
        <v>46321.0</v>
      </c>
      <c r="E5720" s="66">
        <v>8.0</v>
      </c>
      <c r="F5720" s="66" t="str">
        <f>IFERROR(__xludf.DUMMYFUNCTION("GOOGLETRANSLATE(A5720,""en"",""pt"")"),"#VALUE!")</f>
        <v>#VALUE!</v>
      </c>
      <c r="G5720" s="69"/>
    </row>
    <row r="5721" ht="22.5" customHeight="1">
      <c r="A5721" s="66"/>
      <c r="B5721" s="67" t="str">
        <f t="shared" si="16"/>
        <v>M: </v>
      </c>
      <c r="C5721" s="68"/>
      <c r="D5721" s="68">
        <v>46321.0</v>
      </c>
      <c r="E5721" s="66">
        <v>9.0</v>
      </c>
      <c r="F5721" s="66" t="str">
        <f>IFERROR(__xludf.DUMMYFUNCTION("GOOGLETRANSLATE(A5721,""en"",""pt"")"),"#VALUE!")</f>
        <v>#VALUE!</v>
      </c>
      <c r="G5721" s="69"/>
    </row>
    <row r="5722" ht="22.5" customHeight="1">
      <c r="A5722" s="66"/>
      <c r="B5722" s="67" t="str">
        <f t="shared" si="16"/>
        <v>M: </v>
      </c>
      <c r="C5722" s="68"/>
      <c r="D5722" s="68">
        <v>46322.0</v>
      </c>
      <c r="E5722" s="66">
        <v>10.0</v>
      </c>
      <c r="F5722" s="66" t="str">
        <f>IFERROR(__xludf.DUMMYFUNCTION("GOOGLETRANSLATE(A5722,""en"",""pt"")"),"#VALUE!")</f>
        <v>#VALUE!</v>
      </c>
      <c r="G5722" s="69"/>
    </row>
    <row r="5723" ht="22.5" customHeight="1">
      <c r="A5723" s="66"/>
      <c r="B5723" s="67" t="str">
        <f t="shared" si="16"/>
        <v>M: </v>
      </c>
      <c r="C5723" s="68"/>
      <c r="D5723" s="68">
        <v>46322.0</v>
      </c>
      <c r="E5723" s="66">
        <v>1.0</v>
      </c>
      <c r="F5723" s="66" t="str">
        <f>IFERROR(__xludf.DUMMYFUNCTION("GOOGLETRANSLATE(A5723,""en"",""pt"")"),"#VALUE!")</f>
        <v>#VALUE!</v>
      </c>
      <c r="G5723" s="69"/>
    </row>
    <row r="5724" ht="22.5" customHeight="1">
      <c r="A5724" s="66"/>
      <c r="B5724" s="67" t="str">
        <f t="shared" si="16"/>
        <v>M: </v>
      </c>
      <c r="C5724" s="68"/>
      <c r="D5724" s="68">
        <v>46322.0</v>
      </c>
      <c r="E5724" s="66">
        <v>2.0</v>
      </c>
      <c r="F5724" s="66" t="str">
        <f>IFERROR(__xludf.DUMMYFUNCTION("GOOGLETRANSLATE(A5724,""en"",""pt"")"),"#VALUE!")</f>
        <v>#VALUE!</v>
      </c>
      <c r="G5724" s="69"/>
    </row>
    <row r="5725" ht="22.5" customHeight="1">
      <c r="A5725" s="66"/>
      <c r="B5725" s="67" t="str">
        <f t="shared" si="16"/>
        <v>M: </v>
      </c>
      <c r="C5725" s="68"/>
      <c r="D5725" s="68">
        <v>46322.0</v>
      </c>
      <c r="E5725" s="66">
        <v>3.0</v>
      </c>
      <c r="F5725" s="66" t="str">
        <f>IFERROR(__xludf.DUMMYFUNCTION("GOOGLETRANSLATE(A5725,""en"",""pt"")"),"#VALUE!")</f>
        <v>#VALUE!</v>
      </c>
      <c r="G5725" s="69"/>
    </row>
    <row r="5726" ht="22.5" customHeight="1">
      <c r="A5726" s="66"/>
      <c r="B5726" s="67" t="str">
        <f t="shared" si="16"/>
        <v>M: </v>
      </c>
      <c r="C5726" s="68"/>
      <c r="D5726" s="68">
        <v>46322.0</v>
      </c>
      <c r="E5726" s="66">
        <v>4.0</v>
      </c>
      <c r="F5726" s="66" t="str">
        <f>IFERROR(__xludf.DUMMYFUNCTION("GOOGLETRANSLATE(A5726,""en"",""pt"")"),"#VALUE!")</f>
        <v>#VALUE!</v>
      </c>
      <c r="G5726" s="69"/>
    </row>
    <row r="5727" ht="22.5" customHeight="1">
      <c r="A5727" s="66"/>
      <c r="B5727" s="67" t="str">
        <f t="shared" si="16"/>
        <v>M: </v>
      </c>
      <c r="C5727" s="68"/>
      <c r="D5727" s="68">
        <v>46322.0</v>
      </c>
      <c r="E5727" s="66">
        <v>5.0</v>
      </c>
      <c r="F5727" s="66" t="str">
        <f>IFERROR(__xludf.DUMMYFUNCTION("GOOGLETRANSLATE(A5727,""en"",""pt"")"),"#VALUE!")</f>
        <v>#VALUE!</v>
      </c>
      <c r="G5727" s="69"/>
    </row>
    <row r="5728" ht="22.5" customHeight="1">
      <c r="A5728" s="66"/>
      <c r="B5728" s="67" t="str">
        <f t="shared" si="16"/>
        <v>M: </v>
      </c>
      <c r="C5728" s="68"/>
      <c r="D5728" s="68">
        <v>46322.0</v>
      </c>
      <c r="E5728" s="66">
        <v>6.0</v>
      </c>
      <c r="F5728" s="66" t="str">
        <f>IFERROR(__xludf.DUMMYFUNCTION("GOOGLETRANSLATE(A5728,""en"",""pt"")"),"#VALUE!")</f>
        <v>#VALUE!</v>
      </c>
      <c r="G5728" s="69"/>
    </row>
    <row r="5729" ht="22.5" customHeight="1">
      <c r="A5729" s="66"/>
      <c r="B5729" s="67" t="str">
        <f t="shared" si="16"/>
        <v>M: </v>
      </c>
      <c r="C5729" s="68"/>
      <c r="D5729" s="68">
        <v>46322.0</v>
      </c>
      <c r="E5729" s="66">
        <v>7.0</v>
      </c>
      <c r="F5729" s="66" t="str">
        <f>IFERROR(__xludf.DUMMYFUNCTION("GOOGLETRANSLATE(A5729,""en"",""pt"")"),"#VALUE!")</f>
        <v>#VALUE!</v>
      </c>
      <c r="G5729" s="69"/>
    </row>
    <row r="5730" ht="22.5" customHeight="1">
      <c r="A5730" s="66"/>
      <c r="B5730" s="67" t="str">
        <f t="shared" si="16"/>
        <v>M: </v>
      </c>
      <c r="C5730" s="68"/>
      <c r="D5730" s="68">
        <v>46322.0</v>
      </c>
      <c r="E5730" s="66">
        <v>8.0</v>
      </c>
      <c r="F5730" s="66" t="str">
        <f>IFERROR(__xludf.DUMMYFUNCTION("GOOGLETRANSLATE(A5730,""en"",""pt"")"),"#VALUE!")</f>
        <v>#VALUE!</v>
      </c>
      <c r="G5730" s="69"/>
    </row>
    <row r="5731" ht="22.5" customHeight="1">
      <c r="A5731" s="66"/>
      <c r="B5731" s="67" t="str">
        <f t="shared" si="16"/>
        <v>M: </v>
      </c>
      <c r="C5731" s="68"/>
      <c r="D5731" s="68">
        <v>46322.0</v>
      </c>
      <c r="E5731" s="66">
        <v>9.0</v>
      </c>
      <c r="F5731" s="66" t="str">
        <f>IFERROR(__xludf.DUMMYFUNCTION("GOOGLETRANSLATE(A5731,""en"",""pt"")"),"#VALUE!")</f>
        <v>#VALUE!</v>
      </c>
      <c r="G5731" s="69"/>
    </row>
    <row r="5732" ht="22.5" customHeight="1">
      <c r="A5732" s="66"/>
      <c r="B5732" s="67" t="str">
        <f t="shared" si="16"/>
        <v>M: </v>
      </c>
      <c r="C5732" s="68"/>
      <c r="D5732" s="68">
        <v>46323.0</v>
      </c>
      <c r="E5732" s="66">
        <v>10.0</v>
      </c>
      <c r="F5732" s="66" t="str">
        <f>IFERROR(__xludf.DUMMYFUNCTION("GOOGLETRANSLATE(A5732,""en"",""pt"")"),"#VALUE!")</f>
        <v>#VALUE!</v>
      </c>
      <c r="G5732" s="69"/>
    </row>
    <row r="5733" ht="22.5" customHeight="1">
      <c r="A5733" s="66"/>
      <c r="B5733" s="67" t="str">
        <f t="shared" si="16"/>
        <v>M: </v>
      </c>
      <c r="C5733" s="68"/>
      <c r="D5733" s="68">
        <v>46323.0</v>
      </c>
      <c r="E5733" s="66">
        <v>1.0</v>
      </c>
      <c r="F5733" s="66" t="str">
        <f>IFERROR(__xludf.DUMMYFUNCTION("GOOGLETRANSLATE(A5733,""en"",""pt"")"),"#VALUE!")</f>
        <v>#VALUE!</v>
      </c>
      <c r="G5733" s="69"/>
    </row>
    <row r="5734" ht="22.5" customHeight="1">
      <c r="A5734" s="66"/>
      <c r="B5734" s="67" t="str">
        <f t="shared" si="16"/>
        <v>M: </v>
      </c>
      <c r="C5734" s="68"/>
      <c r="D5734" s="68">
        <v>46323.0</v>
      </c>
      <c r="E5734" s="66">
        <v>2.0</v>
      </c>
      <c r="F5734" s="66" t="str">
        <f>IFERROR(__xludf.DUMMYFUNCTION("GOOGLETRANSLATE(A5734,""en"",""pt"")"),"#VALUE!")</f>
        <v>#VALUE!</v>
      </c>
      <c r="G5734" s="69"/>
    </row>
    <row r="5735" ht="22.5" customHeight="1">
      <c r="A5735" s="66"/>
      <c r="B5735" s="67" t="str">
        <f t="shared" si="16"/>
        <v>M: </v>
      </c>
      <c r="C5735" s="68"/>
      <c r="D5735" s="68">
        <v>46323.0</v>
      </c>
      <c r="E5735" s="66">
        <v>3.0</v>
      </c>
      <c r="F5735" s="66" t="str">
        <f>IFERROR(__xludf.DUMMYFUNCTION("GOOGLETRANSLATE(A5735,""en"",""pt"")"),"#VALUE!")</f>
        <v>#VALUE!</v>
      </c>
      <c r="G5735" s="69"/>
    </row>
    <row r="5736" ht="22.5" customHeight="1">
      <c r="A5736" s="66"/>
      <c r="B5736" s="67" t="str">
        <f t="shared" si="16"/>
        <v>M: </v>
      </c>
      <c r="C5736" s="68"/>
      <c r="D5736" s="68">
        <v>46323.0</v>
      </c>
      <c r="E5736" s="66">
        <v>4.0</v>
      </c>
      <c r="F5736" s="66" t="str">
        <f>IFERROR(__xludf.DUMMYFUNCTION("GOOGLETRANSLATE(A5736,""en"",""pt"")"),"#VALUE!")</f>
        <v>#VALUE!</v>
      </c>
      <c r="G5736" s="69"/>
    </row>
    <row r="5737" ht="22.5" customHeight="1">
      <c r="A5737" s="66"/>
      <c r="B5737" s="67" t="str">
        <f t="shared" si="16"/>
        <v>M: </v>
      </c>
      <c r="C5737" s="68"/>
      <c r="D5737" s="68">
        <v>46323.0</v>
      </c>
      <c r="E5737" s="66">
        <v>5.0</v>
      </c>
      <c r="F5737" s="66" t="str">
        <f>IFERROR(__xludf.DUMMYFUNCTION("GOOGLETRANSLATE(A5737,""en"",""pt"")"),"#VALUE!")</f>
        <v>#VALUE!</v>
      </c>
      <c r="G5737" s="69"/>
    </row>
    <row r="5738" ht="22.5" customHeight="1">
      <c r="A5738" s="66"/>
      <c r="B5738" s="67" t="str">
        <f t="shared" si="16"/>
        <v>M: </v>
      </c>
      <c r="C5738" s="68"/>
      <c r="D5738" s="68">
        <v>46323.0</v>
      </c>
      <c r="E5738" s="66">
        <v>6.0</v>
      </c>
      <c r="F5738" s="66" t="str">
        <f>IFERROR(__xludf.DUMMYFUNCTION("GOOGLETRANSLATE(A5738,""en"",""pt"")"),"#VALUE!")</f>
        <v>#VALUE!</v>
      </c>
      <c r="G5738" s="69"/>
    </row>
    <row r="5739" ht="22.5" customHeight="1">
      <c r="A5739" s="66"/>
      <c r="B5739" s="67" t="str">
        <f t="shared" si="16"/>
        <v>M: </v>
      </c>
      <c r="C5739" s="68"/>
      <c r="D5739" s="68">
        <v>46323.0</v>
      </c>
      <c r="E5739" s="66">
        <v>7.0</v>
      </c>
      <c r="F5739" s="66" t="str">
        <f>IFERROR(__xludf.DUMMYFUNCTION("GOOGLETRANSLATE(A5739,""en"",""pt"")"),"#VALUE!")</f>
        <v>#VALUE!</v>
      </c>
      <c r="G5739" s="69"/>
    </row>
    <row r="5740" ht="22.5" customHeight="1">
      <c r="A5740" s="66"/>
      <c r="B5740" s="67" t="str">
        <f t="shared" si="16"/>
        <v>M: </v>
      </c>
      <c r="C5740" s="68"/>
      <c r="D5740" s="68">
        <v>46323.0</v>
      </c>
      <c r="E5740" s="66">
        <v>8.0</v>
      </c>
      <c r="F5740" s="66" t="str">
        <f>IFERROR(__xludf.DUMMYFUNCTION("GOOGLETRANSLATE(A5740,""en"",""pt"")"),"#VALUE!")</f>
        <v>#VALUE!</v>
      </c>
      <c r="G5740" s="69"/>
    </row>
    <row r="5741" ht="22.5" customHeight="1">
      <c r="A5741" s="66"/>
      <c r="B5741" s="67" t="str">
        <f t="shared" si="16"/>
        <v>M: </v>
      </c>
      <c r="C5741" s="68"/>
      <c r="D5741" s="68">
        <v>46323.0</v>
      </c>
      <c r="E5741" s="66">
        <v>9.0</v>
      </c>
      <c r="F5741" s="66" t="str">
        <f>IFERROR(__xludf.DUMMYFUNCTION("GOOGLETRANSLATE(A5741,""en"",""pt"")"),"#VALUE!")</f>
        <v>#VALUE!</v>
      </c>
      <c r="G5741" s="69"/>
    </row>
    <row r="5742" ht="22.5" customHeight="1">
      <c r="A5742" s="66"/>
      <c r="B5742" s="67" t="str">
        <f t="shared" si="16"/>
        <v>M: </v>
      </c>
      <c r="C5742" s="68"/>
      <c r="D5742" s="68">
        <v>46324.0</v>
      </c>
      <c r="E5742" s="66">
        <v>10.0</v>
      </c>
      <c r="F5742" s="66" t="str">
        <f>IFERROR(__xludf.DUMMYFUNCTION("GOOGLETRANSLATE(A5742,""en"",""pt"")"),"#VALUE!")</f>
        <v>#VALUE!</v>
      </c>
      <c r="G5742" s="69"/>
    </row>
    <row r="5743" ht="22.5" customHeight="1">
      <c r="A5743" s="66"/>
      <c r="B5743" s="67" t="str">
        <f t="shared" si="16"/>
        <v>M: </v>
      </c>
      <c r="C5743" s="68"/>
      <c r="D5743" s="68">
        <v>46324.0</v>
      </c>
      <c r="E5743" s="66">
        <v>1.0</v>
      </c>
      <c r="F5743" s="66" t="str">
        <f>IFERROR(__xludf.DUMMYFUNCTION("GOOGLETRANSLATE(A5743,""en"",""pt"")"),"#VALUE!")</f>
        <v>#VALUE!</v>
      </c>
      <c r="G5743" s="69"/>
    </row>
    <row r="5744" ht="22.5" customHeight="1">
      <c r="A5744" s="66"/>
      <c r="B5744" s="67" t="str">
        <f t="shared" si="16"/>
        <v>M: </v>
      </c>
      <c r="C5744" s="68"/>
      <c r="D5744" s="68">
        <v>46324.0</v>
      </c>
      <c r="E5744" s="66">
        <v>2.0</v>
      </c>
      <c r="F5744" s="66" t="str">
        <f>IFERROR(__xludf.DUMMYFUNCTION("GOOGLETRANSLATE(A5744,""en"",""pt"")"),"#VALUE!")</f>
        <v>#VALUE!</v>
      </c>
      <c r="G5744" s="69"/>
    </row>
    <row r="5745" ht="22.5" customHeight="1">
      <c r="A5745" s="66"/>
      <c r="B5745" s="67" t="str">
        <f t="shared" si="16"/>
        <v>M: </v>
      </c>
      <c r="C5745" s="68"/>
      <c r="D5745" s="68">
        <v>46324.0</v>
      </c>
      <c r="E5745" s="66">
        <v>3.0</v>
      </c>
      <c r="F5745" s="66" t="str">
        <f>IFERROR(__xludf.DUMMYFUNCTION("GOOGLETRANSLATE(A5745,""en"",""pt"")"),"#VALUE!")</f>
        <v>#VALUE!</v>
      </c>
      <c r="G5745" s="69"/>
    </row>
    <row r="5746" ht="22.5" customHeight="1">
      <c r="A5746" s="66"/>
      <c r="B5746" s="67" t="str">
        <f t="shared" si="16"/>
        <v>M: </v>
      </c>
      <c r="C5746" s="68"/>
      <c r="D5746" s="68">
        <v>46324.0</v>
      </c>
      <c r="E5746" s="66">
        <v>4.0</v>
      </c>
      <c r="F5746" s="66" t="str">
        <f>IFERROR(__xludf.DUMMYFUNCTION("GOOGLETRANSLATE(A5746,""en"",""pt"")"),"#VALUE!")</f>
        <v>#VALUE!</v>
      </c>
      <c r="G5746" s="69"/>
    </row>
    <row r="5747" ht="22.5" customHeight="1">
      <c r="A5747" s="66"/>
      <c r="B5747" s="67" t="str">
        <f t="shared" si="16"/>
        <v>M: </v>
      </c>
      <c r="C5747" s="68"/>
      <c r="D5747" s="68">
        <v>46324.0</v>
      </c>
      <c r="E5747" s="66">
        <v>5.0</v>
      </c>
      <c r="F5747" s="66" t="str">
        <f>IFERROR(__xludf.DUMMYFUNCTION("GOOGLETRANSLATE(A5747,""en"",""pt"")"),"#VALUE!")</f>
        <v>#VALUE!</v>
      </c>
      <c r="G5747" s="69"/>
    </row>
    <row r="5748" ht="22.5" customHeight="1">
      <c r="A5748" s="66"/>
      <c r="B5748" s="67" t="str">
        <f t="shared" si="16"/>
        <v>M: </v>
      </c>
      <c r="C5748" s="68"/>
      <c r="D5748" s="68">
        <v>46324.0</v>
      </c>
      <c r="E5748" s="66">
        <v>6.0</v>
      </c>
      <c r="F5748" s="66" t="str">
        <f>IFERROR(__xludf.DUMMYFUNCTION("GOOGLETRANSLATE(A5748,""en"",""pt"")"),"#VALUE!")</f>
        <v>#VALUE!</v>
      </c>
      <c r="G5748" s="69"/>
    </row>
    <row r="5749" ht="22.5" customHeight="1">
      <c r="A5749" s="66"/>
      <c r="B5749" s="67" t="str">
        <f t="shared" si="16"/>
        <v>M: </v>
      </c>
      <c r="C5749" s="68"/>
      <c r="D5749" s="68">
        <v>46324.0</v>
      </c>
      <c r="E5749" s="66">
        <v>7.0</v>
      </c>
      <c r="F5749" s="66" t="str">
        <f>IFERROR(__xludf.DUMMYFUNCTION("GOOGLETRANSLATE(A5749,""en"",""pt"")"),"#VALUE!")</f>
        <v>#VALUE!</v>
      </c>
      <c r="G5749" s="69"/>
    </row>
    <row r="5750" ht="22.5" customHeight="1">
      <c r="A5750" s="66"/>
      <c r="B5750" s="67" t="str">
        <f t="shared" si="16"/>
        <v>M: </v>
      </c>
      <c r="C5750" s="68"/>
      <c r="D5750" s="68">
        <v>46324.0</v>
      </c>
      <c r="E5750" s="66">
        <v>8.0</v>
      </c>
      <c r="F5750" s="66" t="str">
        <f>IFERROR(__xludf.DUMMYFUNCTION("GOOGLETRANSLATE(A5750,""en"",""pt"")"),"#VALUE!")</f>
        <v>#VALUE!</v>
      </c>
      <c r="G5750" s="69"/>
    </row>
    <row r="5751" ht="22.5" customHeight="1">
      <c r="A5751" s="66"/>
      <c r="B5751" s="67" t="str">
        <f t="shared" si="16"/>
        <v>M: </v>
      </c>
      <c r="C5751" s="68"/>
      <c r="D5751" s="68">
        <v>46324.0</v>
      </c>
      <c r="E5751" s="66">
        <v>9.0</v>
      </c>
      <c r="F5751" s="66" t="str">
        <f>IFERROR(__xludf.DUMMYFUNCTION("GOOGLETRANSLATE(A5751,""en"",""pt"")"),"#VALUE!")</f>
        <v>#VALUE!</v>
      </c>
      <c r="G5751" s="69"/>
    </row>
    <row r="5752" ht="22.5" customHeight="1">
      <c r="A5752" s="66"/>
      <c r="B5752" s="67" t="str">
        <f t="shared" si="16"/>
        <v>M: </v>
      </c>
      <c r="C5752" s="68"/>
      <c r="D5752" s="68">
        <v>46325.0</v>
      </c>
      <c r="E5752" s="66">
        <v>10.0</v>
      </c>
      <c r="F5752" s="66" t="str">
        <f>IFERROR(__xludf.DUMMYFUNCTION("GOOGLETRANSLATE(A5752,""en"",""pt"")"),"#VALUE!")</f>
        <v>#VALUE!</v>
      </c>
      <c r="G5752" s="69"/>
    </row>
    <row r="5753" ht="22.5" customHeight="1">
      <c r="A5753" s="66"/>
      <c r="B5753" s="67" t="str">
        <f t="shared" si="16"/>
        <v>M: </v>
      </c>
      <c r="C5753" s="68"/>
      <c r="D5753" s="68">
        <v>46325.0</v>
      </c>
      <c r="E5753" s="66">
        <v>1.0</v>
      </c>
      <c r="F5753" s="66" t="str">
        <f>IFERROR(__xludf.DUMMYFUNCTION("GOOGLETRANSLATE(A5753,""en"",""pt"")"),"#VALUE!")</f>
        <v>#VALUE!</v>
      </c>
      <c r="G5753" s="69"/>
    </row>
    <row r="5754" ht="22.5" customHeight="1">
      <c r="A5754" s="66"/>
      <c r="B5754" s="67" t="str">
        <f t="shared" si="16"/>
        <v>M: </v>
      </c>
      <c r="C5754" s="68"/>
      <c r="D5754" s="68">
        <v>46325.0</v>
      </c>
      <c r="E5754" s="66">
        <v>2.0</v>
      </c>
      <c r="F5754" s="66" t="str">
        <f>IFERROR(__xludf.DUMMYFUNCTION("GOOGLETRANSLATE(A5754,""en"",""pt"")"),"#VALUE!")</f>
        <v>#VALUE!</v>
      </c>
      <c r="G5754" s="69"/>
    </row>
    <row r="5755" ht="22.5" customHeight="1">
      <c r="A5755" s="66"/>
      <c r="B5755" s="67" t="str">
        <f t="shared" si="16"/>
        <v>M: </v>
      </c>
      <c r="C5755" s="68"/>
      <c r="D5755" s="68">
        <v>46325.0</v>
      </c>
      <c r="E5755" s="66">
        <v>3.0</v>
      </c>
      <c r="F5755" s="66" t="str">
        <f>IFERROR(__xludf.DUMMYFUNCTION("GOOGLETRANSLATE(A5755,""en"",""pt"")"),"#VALUE!")</f>
        <v>#VALUE!</v>
      </c>
      <c r="G5755" s="69"/>
    </row>
    <row r="5756" ht="22.5" customHeight="1">
      <c r="A5756" s="66"/>
      <c r="B5756" s="67" t="str">
        <f t="shared" si="16"/>
        <v>M: </v>
      </c>
      <c r="C5756" s="68"/>
      <c r="D5756" s="68">
        <v>46325.0</v>
      </c>
      <c r="E5756" s="66">
        <v>4.0</v>
      </c>
      <c r="F5756" s="66" t="str">
        <f>IFERROR(__xludf.DUMMYFUNCTION("GOOGLETRANSLATE(A5756,""en"",""pt"")"),"#VALUE!")</f>
        <v>#VALUE!</v>
      </c>
      <c r="G5756" s="69"/>
    </row>
    <row r="5757" ht="22.5" customHeight="1">
      <c r="A5757" s="66"/>
      <c r="B5757" s="67" t="str">
        <f t="shared" si="16"/>
        <v>M: </v>
      </c>
      <c r="C5757" s="68"/>
      <c r="D5757" s="68">
        <v>46325.0</v>
      </c>
      <c r="E5757" s="66">
        <v>5.0</v>
      </c>
      <c r="F5757" s="66" t="str">
        <f>IFERROR(__xludf.DUMMYFUNCTION("GOOGLETRANSLATE(A5757,""en"",""pt"")"),"#VALUE!")</f>
        <v>#VALUE!</v>
      </c>
      <c r="G5757" s="69"/>
    </row>
    <row r="5758" ht="22.5" customHeight="1">
      <c r="A5758" s="66"/>
      <c r="B5758" s="67" t="str">
        <f t="shared" si="16"/>
        <v>M: </v>
      </c>
      <c r="C5758" s="68"/>
      <c r="D5758" s="68">
        <v>46325.0</v>
      </c>
      <c r="E5758" s="66">
        <v>6.0</v>
      </c>
      <c r="F5758" s="66" t="str">
        <f>IFERROR(__xludf.DUMMYFUNCTION("GOOGLETRANSLATE(A5758,""en"",""pt"")"),"#VALUE!")</f>
        <v>#VALUE!</v>
      </c>
      <c r="G5758" s="69"/>
    </row>
    <row r="5759" ht="22.5" customHeight="1">
      <c r="A5759" s="66"/>
      <c r="B5759" s="67" t="str">
        <f t="shared" si="16"/>
        <v>M: </v>
      </c>
      <c r="C5759" s="68"/>
      <c r="D5759" s="68">
        <v>46325.0</v>
      </c>
      <c r="E5759" s="66">
        <v>7.0</v>
      </c>
      <c r="F5759" s="66" t="str">
        <f>IFERROR(__xludf.DUMMYFUNCTION("GOOGLETRANSLATE(A5759,""en"",""pt"")"),"#VALUE!")</f>
        <v>#VALUE!</v>
      </c>
      <c r="G5759" s="69"/>
    </row>
    <row r="5760" ht="22.5" customHeight="1">
      <c r="A5760" s="66"/>
      <c r="B5760" s="67" t="str">
        <f t="shared" si="16"/>
        <v>M: </v>
      </c>
      <c r="C5760" s="68"/>
      <c r="D5760" s="68">
        <v>46325.0</v>
      </c>
      <c r="E5760" s="66">
        <v>8.0</v>
      </c>
      <c r="F5760" s="66" t="str">
        <f>IFERROR(__xludf.DUMMYFUNCTION("GOOGLETRANSLATE(A5760,""en"",""pt"")"),"#VALUE!")</f>
        <v>#VALUE!</v>
      </c>
      <c r="G5760" s="69"/>
    </row>
    <row r="5761" ht="22.5" customHeight="1">
      <c r="A5761" s="66"/>
      <c r="B5761" s="67" t="str">
        <f t="shared" si="16"/>
        <v>M: </v>
      </c>
      <c r="C5761" s="68"/>
      <c r="D5761" s="68">
        <v>46325.0</v>
      </c>
      <c r="E5761" s="66">
        <v>9.0</v>
      </c>
      <c r="F5761" s="66" t="str">
        <f>IFERROR(__xludf.DUMMYFUNCTION("GOOGLETRANSLATE(A5761,""en"",""pt"")"),"#VALUE!")</f>
        <v>#VALUE!</v>
      </c>
      <c r="G5761" s="69"/>
    </row>
    <row r="5762" ht="22.5" customHeight="1">
      <c r="A5762" s="66"/>
      <c r="B5762" s="67" t="str">
        <f t="shared" si="16"/>
        <v>M: </v>
      </c>
      <c r="C5762" s="68"/>
      <c r="D5762" s="68">
        <v>46326.0</v>
      </c>
      <c r="E5762" s="66">
        <v>10.0</v>
      </c>
      <c r="F5762" s="66" t="str">
        <f>IFERROR(__xludf.DUMMYFUNCTION("GOOGLETRANSLATE(A5762,""en"",""pt"")"),"#VALUE!")</f>
        <v>#VALUE!</v>
      </c>
      <c r="G5762" s="69"/>
    </row>
    <row r="5763" ht="22.5" customHeight="1">
      <c r="A5763" s="66"/>
      <c r="B5763" s="67" t="str">
        <f t="shared" si="16"/>
        <v>M: </v>
      </c>
      <c r="C5763" s="68"/>
      <c r="D5763" s="68">
        <v>46326.0</v>
      </c>
      <c r="E5763" s="66">
        <v>1.0</v>
      </c>
      <c r="F5763" s="66" t="str">
        <f>IFERROR(__xludf.DUMMYFUNCTION("GOOGLETRANSLATE(A5763,""en"",""pt"")"),"#VALUE!")</f>
        <v>#VALUE!</v>
      </c>
      <c r="G5763" s="69"/>
    </row>
    <row r="5764" ht="22.5" customHeight="1">
      <c r="A5764" s="66"/>
      <c r="B5764" s="67" t="str">
        <f t="shared" si="16"/>
        <v>M: </v>
      </c>
      <c r="C5764" s="68"/>
      <c r="D5764" s="68">
        <v>46326.0</v>
      </c>
      <c r="E5764" s="66">
        <v>2.0</v>
      </c>
      <c r="F5764" s="66" t="str">
        <f>IFERROR(__xludf.DUMMYFUNCTION("GOOGLETRANSLATE(A5764,""en"",""pt"")"),"#VALUE!")</f>
        <v>#VALUE!</v>
      </c>
      <c r="G5764" s="69"/>
    </row>
    <row r="5765" ht="22.5" customHeight="1">
      <c r="A5765" s="66"/>
      <c r="B5765" s="67" t="str">
        <f t="shared" si="16"/>
        <v>M: </v>
      </c>
      <c r="C5765" s="68"/>
      <c r="D5765" s="68">
        <v>46326.0</v>
      </c>
      <c r="E5765" s="66">
        <v>3.0</v>
      </c>
      <c r="F5765" s="66" t="str">
        <f>IFERROR(__xludf.DUMMYFUNCTION("GOOGLETRANSLATE(A5765,""en"",""pt"")"),"#VALUE!")</f>
        <v>#VALUE!</v>
      </c>
      <c r="G5765" s="69"/>
    </row>
    <row r="5766" ht="22.5" customHeight="1">
      <c r="A5766" s="66"/>
      <c r="B5766" s="67" t="str">
        <f t="shared" si="16"/>
        <v>M: </v>
      </c>
      <c r="C5766" s="68"/>
      <c r="D5766" s="68">
        <v>46326.0</v>
      </c>
      <c r="E5766" s="66">
        <v>4.0</v>
      </c>
      <c r="F5766" s="66" t="str">
        <f>IFERROR(__xludf.DUMMYFUNCTION("GOOGLETRANSLATE(A5766,""en"",""pt"")"),"#VALUE!")</f>
        <v>#VALUE!</v>
      </c>
      <c r="G5766" s="69"/>
    </row>
    <row r="5767" ht="22.5" customHeight="1">
      <c r="A5767" s="66"/>
      <c r="B5767" s="67" t="str">
        <f t="shared" si="16"/>
        <v>M: </v>
      </c>
      <c r="C5767" s="68"/>
      <c r="D5767" s="68">
        <v>46326.0</v>
      </c>
      <c r="E5767" s="66">
        <v>5.0</v>
      </c>
      <c r="F5767" s="66" t="str">
        <f>IFERROR(__xludf.DUMMYFUNCTION("GOOGLETRANSLATE(A5767,""en"",""pt"")"),"#VALUE!")</f>
        <v>#VALUE!</v>
      </c>
      <c r="G5767" s="69"/>
    </row>
    <row r="5768" ht="22.5" customHeight="1">
      <c r="A5768" s="66"/>
      <c r="B5768" s="67" t="str">
        <f t="shared" si="16"/>
        <v>M: </v>
      </c>
      <c r="C5768" s="68"/>
      <c r="D5768" s="68">
        <v>46326.0</v>
      </c>
      <c r="E5768" s="66">
        <v>6.0</v>
      </c>
      <c r="F5768" s="66" t="str">
        <f>IFERROR(__xludf.DUMMYFUNCTION("GOOGLETRANSLATE(A5768,""en"",""pt"")"),"#VALUE!")</f>
        <v>#VALUE!</v>
      </c>
      <c r="G5768" s="69"/>
    </row>
    <row r="5769" ht="22.5" customHeight="1">
      <c r="A5769" s="66"/>
      <c r="B5769" s="67" t="str">
        <f t="shared" si="16"/>
        <v>M: </v>
      </c>
      <c r="C5769" s="68"/>
      <c r="D5769" s="68">
        <v>46326.0</v>
      </c>
      <c r="E5769" s="66">
        <v>7.0</v>
      </c>
      <c r="F5769" s="66" t="str">
        <f>IFERROR(__xludf.DUMMYFUNCTION("GOOGLETRANSLATE(A5769,""en"",""pt"")"),"#VALUE!")</f>
        <v>#VALUE!</v>
      </c>
      <c r="G5769" s="69"/>
    </row>
    <row r="5770" ht="22.5" customHeight="1">
      <c r="A5770" s="66"/>
      <c r="B5770" s="67" t="str">
        <f t="shared" si="16"/>
        <v>M: </v>
      </c>
      <c r="C5770" s="68"/>
      <c r="D5770" s="68">
        <v>46326.0</v>
      </c>
      <c r="E5770" s="66">
        <v>8.0</v>
      </c>
      <c r="F5770" s="66" t="str">
        <f>IFERROR(__xludf.DUMMYFUNCTION("GOOGLETRANSLATE(A5770,""en"",""pt"")"),"#VALUE!")</f>
        <v>#VALUE!</v>
      </c>
      <c r="G5770" s="69"/>
    </row>
    <row r="5771" ht="22.5" customHeight="1">
      <c r="A5771" s="66"/>
      <c r="B5771" s="67" t="str">
        <f t="shared" si="16"/>
        <v>M: </v>
      </c>
      <c r="C5771" s="68"/>
      <c r="D5771" s="68">
        <v>46326.0</v>
      </c>
      <c r="E5771" s="66">
        <v>9.0</v>
      </c>
      <c r="F5771" s="66" t="str">
        <f>IFERROR(__xludf.DUMMYFUNCTION("GOOGLETRANSLATE(A5771,""en"",""pt"")"),"#VALUE!")</f>
        <v>#VALUE!</v>
      </c>
      <c r="G5771" s="69"/>
    </row>
    <row r="5772" ht="22.5" customHeight="1">
      <c r="A5772" s="66"/>
      <c r="B5772" s="67" t="str">
        <f t="shared" si="16"/>
        <v>M: </v>
      </c>
      <c r="C5772" s="68"/>
      <c r="D5772" s="68">
        <v>46327.0</v>
      </c>
      <c r="E5772" s="66">
        <v>10.0</v>
      </c>
      <c r="F5772" s="66" t="str">
        <f>IFERROR(__xludf.DUMMYFUNCTION("GOOGLETRANSLATE(A5772,""en"",""pt"")"),"#VALUE!")</f>
        <v>#VALUE!</v>
      </c>
      <c r="G5772" s="69"/>
    </row>
    <row r="5773" ht="22.5" customHeight="1">
      <c r="A5773" s="66"/>
      <c r="B5773" s="67" t="str">
        <f t="shared" si="16"/>
        <v>M: </v>
      </c>
      <c r="C5773" s="68"/>
      <c r="D5773" s="68">
        <v>46327.0</v>
      </c>
      <c r="E5773" s="66">
        <v>1.0</v>
      </c>
      <c r="F5773" s="66" t="str">
        <f>IFERROR(__xludf.DUMMYFUNCTION("GOOGLETRANSLATE(A5773,""en"",""pt"")"),"#VALUE!")</f>
        <v>#VALUE!</v>
      </c>
      <c r="G5773" s="69"/>
    </row>
    <row r="5774" ht="22.5" customHeight="1">
      <c r="A5774" s="66"/>
      <c r="B5774" s="67" t="str">
        <f t="shared" si="16"/>
        <v>M: </v>
      </c>
      <c r="C5774" s="68"/>
      <c r="D5774" s="68">
        <v>46327.0</v>
      </c>
      <c r="E5774" s="66">
        <v>2.0</v>
      </c>
      <c r="F5774" s="66" t="str">
        <f>IFERROR(__xludf.DUMMYFUNCTION("GOOGLETRANSLATE(A5774,""en"",""pt"")"),"#VALUE!")</f>
        <v>#VALUE!</v>
      </c>
      <c r="G5774" s="69"/>
    </row>
    <row r="5775" ht="22.5" customHeight="1">
      <c r="A5775" s="66"/>
      <c r="B5775" s="67" t="str">
        <f t="shared" si="16"/>
        <v>M: </v>
      </c>
      <c r="C5775" s="68"/>
      <c r="D5775" s="68">
        <v>46327.0</v>
      </c>
      <c r="E5775" s="66">
        <v>3.0</v>
      </c>
      <c r="F5775" s="66" t="str">
        <f>IFERROR(__xludf.DUMMYFUNCTION("GOOGLETRANSLATE(A5775,""en"",""pt"")"),"#VALUE!")</f>
        <v>#VALUE!</v>
      </c>
      <c r="G5775" s="69"/>
    </row>
    <row r="5776" ht="22.5" customHeight="1">
      <c r="A5776" s="66"/>
      <c r="B5776" s="67" t="str">
        <f t="shared" si="16"/>
        <v>M: </v>
      </c>
      <c r="C5776" s="68"/>
      <c r="D5776" s="68">
        <v>46327.0</v>
      </c>
      <c r="E5776" s="66">
        <v>4.0</v>
      </c>
      <c r="F5776" s="66" t="str">
        <f>IFERROR(__xludf.DUMMYFUNCTION("GOOGLETRANSLATE(A5776,""en"",""pt"")"),"#VALUE!")</f>
        <v>#VALUE!</v>
      </c>
      <c r="G5776" s="69"/>
    </row>
    <row r="5777" ht="22.5" customHeight="1">
      <c r="A5777" s="66"/>
      <c r="B5777" s="67" t="str">
        <f t="shared" si="16"/>
        <v>M: </v>
      </c>
      <c r="C5777" s="68"/>
      <c r="D5777" s="68">
        <v>46327.0</v>
      </c>
      <c r="E5777" s="66">
        <v>5.0</v>
      </c>
      <c r="F5777" s="66" t="str">
        <f>IFERROR(__xludf.DUMMYFUNCTION("GOOGLETRANSLATE(A5777,""en"",""pt"")"),"#VALUE!")</f>
        <v>#VALUE!</v>
      </c>
      <c r="G5777" s="69"/>
    </row>
    <row r="5778" ht="22.5" customHeight="1">
      <c r="A5778" s="66"/>
      <c r="B5778" s="67" t="str">
        <f t="shared" si="16"/>
        <v>M: </v>
      </c>
      <c r="C5778" s="68"/>
      <c r="D5778" s="68">
        <v>46327.0</v>
      </c>
      <c r="E5778" s="66">
        <v>6.0</v>
      </c>
      <c r="F5778" s="66" t="str">
        <f>IFERROR(__xludf.DUMMYFUNCTION("GOOGLETRANSLATE(A5778,""en"",""pt"")"),"#VALUE!")</f>
        <v>#VALUE!</v>
      </c>
      <c r="G5778" s="69"/>
    </row>
    <row r="5779" ht="22.5" customHeight="1">
      <c r="A5779" s="66"/>
      <c r="B5779" s="67" t="str">
        <f t="shared" si="16"/>
        <v>M: </v>
      </c>
      <c r="C5779" s="68"/>
      <c r="D5779" s="68">
        <v>46327.0</v>
      </c>
      <c r="E5779" s="66">
        <v>7.0</v>
      </c>
      <c r="F5779" s="66" t="str">
        <f>IFERROR(__xludf.DUMMYFUNCTION("GOOGLETRANSLATE(A5779,""en"",""pt"")"),"#VALUE!")</f>
        <v>#VALUE!</v>
      </c>
      <c r="G5779" s="69"/>
    </row>
    <row r="5780" ht="22.5" customHeight="1">
      <c r="A5780" s="66"/>
      <c r="B5780" s="67" t="str">
        <f t="shared" si="16"/>
        <v>M: </v>
      </c>
      <c r="C5780" s="68"/>
      <c r="D5780" s="68">
        <v>46327.0</v>
      </c>
      <c r="E5780" s="66">
        <v>8.0</v>
      </c>
      <c r="F5780" s="66" t="str">
        <f>IFERROR(__xludf.DUMMYFUNCTION("GOOGLETRANSLATE(A5780,""en"",""pt"")"),"#VALUE!")</f>
        <v>#VALUE!</v>
      </c>
      <c r="G5780" s="69"/>
    </row>
    <row r="5781" ht="22.5" customHeight="1">
      <c r="A5781" s="66"/>
      <c r="B5781" s="67" t="str">
        <f t="shared" si="16"/>
        <v>M: </v>
      </c>
      <c r="C5781" s="68"/>
      <c r="D5781" s="68">
        <v>46327.0</v>
      </c>
      <c r="E5781" s="66">
        <v>9.0</v>
      </c>
      <c r="F5781" s="66" t="str">
        <f>IFERROR(__xludf.DUMMYFUNCTION("GOOGLETRANSLATE(A5781,""en"",""pt"")"),"#VALUE!")</f>
        <v>#VALUE!</v>
      </c>
      <c r="G5781" s="69"/>
    </row>
    <row r="5782" ht="22.5" customHeight="1">
      <c r="A5782" s="66"/>
      <c r="B5782" s="67" t="str">
        <f t="shared" si="16"/>
        <v>M: </v>
      </c>
      <c r="C5782" s="68"/>
      <c r="D5782" s="68">
        <v>46328.0</v>
      </c>
      <c r="E5782" s="66">
        <v>10.0</v>
      </c>
      <c r="F5782" s="66" t="str">
        <f>IFERROR(__xludf.DUMMYFUNCTION("GOOGLETRANSLATE(A5782,""en"",""pt"")"),"#VALUE!")</f>
        <v>#VALUE!</v>
      </c>
      <c r="G5782" s="69"/>
    </row>
    <row r="5783" ht="22.5" customHeight="1">
      <c r="A5783" s="66"/>
      <c r="B5783" s="67" t="str">
        <f t="shared" si="16"/>
        <v>M: </v>
      </c>
      <c r="C5783" s="68"/>
      <c r="D5783" s="68">
        <v>46328.0</v>
      </c>
      <c r="E5783" s="66">
        <v>1.0</v>
      </c>
      <c r="F5783" s="66" t="str">
        <f>IFERROR(__xludf.DUMMYFUNCTION("GOOGLETRANSLATE(A5783,""en"",""pt"")"),"#VALUE!")</f>
        <v>#VALUE!</v>
      </c>
      <c r="G5783" s="69"/>
    </row>
    <row r="5784" ht="22.5" customHeight="1">
      <c r="A5784" s="66"/>
      <c r="B5784" s="67" t="str">
        <f t="shared" si="16"/>
        <v>M: </v>
      </c>
      <c r="C5784" s="68"/>
      <c r="D5784" s="68">
        <v>46328.0</v>
      </c>
      <c r="E5784" s="66">
        <v>2.0</v>
      </c>
      <c r="F5784" s="66" t="str">
        <f>IFERROR(__xludf.DUMMYFUNCTION("GOOGLETRANSLATE(A5784,""en"",""pt"")"),"#VALUE!")</f>
        <v>#VALUE!</v>
      </c>
      <c r="G5784" s="69"/>
    </row>
    <row r="5785" ht="22.5" customHeight="1">
      <c r="A5785" s="66"/>
      <c r="B5785" s="67" t="str">
        <f t="shared" si="16"/>
        <v>M: </v>
      </c>
      <c r="C5785" s="68"/>
      <c r="D5785" s="68">
        <v>46328.0</v>
      </c>
      <c r="E5785" s="66">
        <v>3.0</v>
      </c>
      <c r="F5785" s="66" t="str">
        <f>IFERROR(__xludf.DUMMYFUNCTION("GOOGLETRANSLATE(A5785,""en"",""pt"")"),"#VALUE!")</f>
        <v>#VALUE!</v>
      </c>
      <c r="G5785" s="69"/>
    </row>
    <row r="5786" ht="22.5" customHeight="1">
      <c r="A5786" s="66"/>
      <c r="B5786" s="67" t="str">
        <f t="shared" si="16"/>
        <v>M: </v>
      </c>
      <c r="C5786" s="68"/>
      <c r="D5786" s="68">
        <v>46328.0</v>
      </c>
      <c r="E5786" s="66">
        <v>4.0</v>
      </c>
      <c r="F5786" s="66" t="str">
        <f>IFERROR(__xludf.DUMMYFUNCTION("GOOGLETRANSLATE(A5786,""en"",""pt"")"),"#VALUE!")</f>
        <v>#VALUE!</v>
      </c>
      <c r="G5786" s="69"/>
    </row>
    <row r="5787" ht="22.5" customHeight="1">
      <c r="A5787" s="66"/>
      <c r="B5787" s="67" t="str">
        <f t="shared" si="16"/>
        <v>M: </v>
      </c>
      <c r="C5787" s="68"/>
      <c r="D5787" s="68">
        <v>46328.0</v>
      </c>
      <c r="E5787" s="66">
        <v>5.0</v>
      </c>
      <c r="F5787" s="66" t="str">
        <f>IFERROR(__xludf.DUMMYFUNCTION("GOOGLETRANSLATE(A5787,""en"",""pt"")"),"#VALUE!")</f>
        <v>#VALUE!</v>
      </c>
      <c r="G5787" s="69"/>
    </row>
    <row r="5788" ht="22.5" customHeight="1">
      <c r="A5788" s="66"/>
      <c r="B5788" s="67" t="str">
        <f t="shared" si="16"/>
        <v>M: </v>
      </c>
      <c r="C5788" s="68"/>
      <c r="D5788" s="68">
        <v>46328.0</v>
      </c>
      <c r="E5788" s="66">
        <v>6.0</v>
      </c>
      <c r="F5788" s="66" t="str">
        <f>IFERROR(__xludf.DUMMYFUNCTION("GOOGLETRANSLATE(A5788,""en"",""pt"")"),"#VALUE!")</f>
        <v>#VALUE!</v>
      </c>
      <c r="G5788" s="69"/>
    </row>
    <row r="5789" ht="22.5" customHeight="1">
      <c r="A5789" s="66"/>
      <c r="B5789" s="67" t="str">
        <f t="shared" si="16"/>
        <v>M: </v>
      </c>
      <c r="C5789" s="68"/>
      <c r="D5789" s="68">
        <v>46328.0</v>
      </c>
      <c r="E5789" s="66">
        <v>7.0</v>
      </c>
      <c r="F5789" s="66" t="str">
        <f>IFERROR(__xludf.DUMMYFUNCTION("GOOGLETRANSLATE(A5789,""en"",""pt"")"),"#VALUE!")</f>
        <v>#VALUE!</v>
      </c>
      <c r="G5789" s="69"/>
    </row>
    <row r="5790" ht="22.5" customHeight="1">
      <c r="A5790" s="66"/>
      <c r="B5790" s="67" t="str">
        <f t="shared" si="16"/>
        <v>M: </v>
      </c>
      <c r="C5790" s="68"/>
      <c r="D5790" s="68">
        <v>46328.0</v>
      </c>
      <c r="E5790" s="66">
        <v>8.0</v>
      </c>
      <c r="F5790" s="66" t="str">
        <f>IFERROR(__xludf.DUMMYFUNCTION("GOOGLETRANSLATE(A5790,""en"",""pt"")"),"#VALUE!")</f>
        <v>#VALUE!</v>
      </c>
      <c r="G5790" s="69"/>
    </row>
    <row r="5791" ht="22.5" customHeight="1">
      <c r="A5791" s="66"/>
      <c r="B5791" s="67" t="str">
        <f t="shared" si="16"/>
        <v>M: </v>
      </c>
      <c r="C5791" s="68"/>
      <c r="D5791" s="68">
        <v>46328.0</v>
      </c>
      <c r="E5791" s="66">
        <v>9.0</v>
      </c>
      <c r="F5791" s="66" t="str">
        <f>IFERROR(__xludf.DUMMYFUNCTION("GOOGLETRANSLATE(A5791,""en"",""pt"")"),"#VALUE!")</f>
        <v>#VALUE!</v>
      </c>
      <c r="G5791" s="69"/>
    </row>
    <row r="5792" ht="22.5" customHeight="1">
      <c r="A5792" s="66"/>
      <c r="B5792" s="67" t="str">
        <f t="shared" si="16"/>
        <v>M: </v>
      </c>
      <c r="C5792" s="68"/>
      <c r="D5792" s="68">
        <v>46329.0</v>
      </c>
      <c r="E5792" s="66">
        <v>10.0</v>
      </c>
      <c r="F5792" s="66" t="str">
        <f>IFERROR(__xludf.DUMMYFUNCTION("GOOGLETRANSLATE(A5792,""en"",""pt"")"),"#VALUE!")</f>
        <v>#VALUE!</v>
      </c>
      <c r="G5792" s="69"/>
    </row>
    <row r="5793" ht="22.5" customHeight="1">
      <c r="A5793" s="66"/>
      <c r="B5793" s="67" t="str">
        <f t="shared" si="16"/>
        <v>M: </v>
      </c>
      <c r="C5793" s="68"/>
      <c r="D5793" s="68">
        <v>46329.0</v>
      </c>
      <c r="E5793" s="66">
        <v>1.0</v>
      </c>
      <c r="F5793" s="66" t="str">
        <f>IFERROR(__xludf.DUMMYFUNCTION("GOOGLETRANSLATE(A5793,""en"",""pt"")"),"#VALUE!")</f>
        <v>#VALUE!</v>
      </c>
      <c r="G5793" s="69"/>
    </row>
    <row r="5794" ht="22.5" customHeight="1">
      <c r="A5794" s="66"/>
      <c r="B5794" s="67" t="str">
        <f t="shared" si="16"/>
        <v>M: </v>
      </c>
      <c r="C5794" s="68"/>
      <c r="D5794" s="68">
        <v>46329.0</v>
      </c>
      <c r="E5794" s="66">
        <v>2.0</v>
      </c>
      <c r="F5794" s="66" t="str">
        <f>IFERROR(__xludf.DUMMYFUNCTION("GOOGLETRANSLATE(A5794,""en"",""pt"")"),"#VALUE!")</f>
        <v>#VALUE!</v>
      </c>
      <c r="G5794" s="69"/>
    </row>
    <row r="5795" ht="22.5" customHeight="1">
      <c r="A5795" s="66"/>
      <c r="B5795" s="67" t="str">
        <f t="shared" si="16"/>
        <v>M: </v>
      </c>
      <c r="C5795" s="68"/>
      <c r="D5795" s="68">
        <v>46329.0</v>
      </c>
      <c r="E5795" s="66">
        <v>3.0</v>
      </c>
      <c r="F5795" s="66" t="str">
        <f>IFERROR(__xludf.DUMMYFUNCTION("GOOGLETRANSLATE(A5795,""en"",""pt"")"),"#VALUE!")</f>
        <v>#VALUE!</v>
      </c>
      <c r="G5795" s="69"/>
    </row>
    <row r="5796" ht="22.5" customHeight="1">
      <c r="A5796" s="66"/>
      <c r="B5796" s="67" t="str">
        <f t="shared" si="16"/>
        <v>M: </v>
      </c>
      <c r="C5796" s="68"/>
      <c r="D5796" s="68">
        <v>46329.0</v>
      </c>
      <c r="E5796" s="66">
        <v>4.0</v>
      </c>
      <c r="F5796" s="66" t="str">
        <f>IFERROR(__xludf.DUMMYFUNCTION("GOOGLETRANSLATE(A5796,""en"",""pt"")"),"#VALUE!")</f>
        <v>#VALUE!</v>
      </c>
      <c r="G5796" s="69"/>
    </row>
    <row r="5797" ht="22.5" customHeight="1">
      <c r="A5797" s="66"/>
      <c r="B5797" s="67" t="str">
        <f t="shared" si="16"/>
        <v>M: </v>
      </c>
      <c r="C5797" s="68"/>
      <c r="D5797" s="68">
        <v>46329.0</v>
      </c>
      <c r="E5797" s="66">
        <v>5.0</v>
      </c>
      <c r="F5797" s="66" t="str">
        <f>IFERROR(__xludf.DUMMYFUNCTION("GOOGLETRANSLATE(A5797,""en"",""pt"")"),"#VALUE!")</f>
        <v>#VALUE!</v>
      </c>
      <c r="G5797" s="69"/>
    </row>
    <row r="5798" ht="22.5" customHeight="1">
      <c r="A5798" s="66"/>
      <c r="B5798" s="67" t="str">
        <f t="shared" si="16"/>
        <v>M: </v>
      </c>
      <c r="C5798" s="68"/>
      <c r="D5798" s="68">
        <v>46329.0</v>
      </c>
      <c r="E5798" s="66">
        <v>6.0</v>
      </c>
      <c r="F5798" s="66" t="str">
        <f>IFERROR(__xludf.DUMMYFUNCTION("GOOGLETRANSLATE(A5798,""en"",""pt"")"),"#VALUE!")</f>
        <v>#VALUE!</v>
      </c>
      <c r="G5798" s="69"/>
    </row>
    <row r="5799" ht="22.5" customHeight="1">
      <c r="A5799" s="66"/>
      <c r="B5799" s="67" t="str">
        <f t="shared" si="16"/>
        <v>M: </v>
      </c>
      <c r="C5799" s="68"/>
      <c r="D5799" s="68">
        <v>46329.0</v>
      </c>
      <c r="E5799" s="66">
        <v>7.0</v>
      </c>
      <c r="F5799" s="66" t="str">
        <f>IFERROR(__xludf.DUMMYFUNCTION("GOOGLETRANSLATE(A5799,""en"",""pt"")"),"#VALUE!")</f>
        <v>#VALUE!</v>
      </c>
      <c r="G5799" s="69"/>
    </row>
    <row r="5800" ht="22.5" customHeight="1">
      <c r="A5800" s="66"/>
      <c r="B5800" s="67" t="str">
        <f t="shared" si="16"/>
        <v>M: </v>
      </c>
      <c r="C5800" s="68"/>
      <c r="D5800" s="68">
        <v>46329.0</v>
      </c>
      <c r="E5800" s="66">
        <v>8.0</v>
      </c>
      <c r="F5800" s="66" t="str">
        <f>IFERROR(__xludf.DUMMYFUNCTION("GOOGLETRANSLATE(A5800,""en"",""pt"")"),"#VALUE!")</f>
        <v>#VALUE!</v>
      </c>
      <c r="G5800" s="69"/>
    </row>
    <row r="5801" ht="22.5" customHeight="1">
      <c r="A5801" s="66"/>
      <c r="B5801" s="67" t="str">
        <f t="shared" si="16"/>
        <v>M: </v>
      </c>
      <c r="C5801" s="68"/>
      <c r="D5801" s="68">
        <v>46329.0</v>
      </c>
      <c r="E5801" s="66">
        <v>9.0</v>
      </c>
      <c r="F5801" s="66" t="str">
        <f>IFERROR(__xludf.DUMMYFUNCTION("GOOGLETRANSLATE(A5801,""en"",""pt"")"),"#VALUE!")</f>
        <v>#VALUE!</v>
      </c>
      <c r="G5801" s="69"/>
    </row>
    <row r="5802" ht="22.5" customHeight="1">
      <c r="A5802" s="66"/>
      <c r="B5802" s="67" t="str">
        <f t="shared" si="16"/>
        <v>M: </v>
      </c>
      <c r="C5802" s="68"/>
      <c r="D5802" s="68">
        <v>46330.0</v>
      </c>
      <c r="E5802" s="66">
        <v>10.0</v>
      </c>
      <c r="F5802" s="66" t="str">
        <f>IFERROR(__xludf.DUMMYFUNCTION("GOOGLETRANSLATE(A5802,""en"",""pt"")"),"#VALUE!")</f>
        <v>#VALUE!</v>
      </c>
      <c r="G5802" s="69"/>
    </row>
    <row r="5803" ht="22.5" customHeight="1">
      <c r="A5803" s="66"/>
      <c r="B5803" s="67" t="str">
        <f t="shared" si="16"/>
        <v>M: </v>
      </c>
      <c r="C5803" s="68"/>
      <c r="D5803" s="68">
        <v>46330.0</v>
      </c>
      <c r="E5803" s="66">
        <v>1.0</v>
      </c>
      <c r="F5803" s="66" t="str">
        <f>IFERROR(__xludf.DUMMYFUNCTION("GOOGLETRANSLATE(A5803,""en"",""pt"")"),"#VALUE!")</f>
        <v>#VALUE!</v>
      </c>
      <c r="G5803" s="69"/>
    </row>
    <row r="5804" ht="22.5" customHeight="1">
      <c r="A5804" s="66"/>
      <c r="B5804" s="67" t="str">
        <f t="shared" si="16"/>
        <v>M: </v>
      </c>
      <c r="C5804" s="68"/>
      <c r="D5804" s="68">
        <v>46330.0</v>
      </c>
      <c r="E5804" s="66">
        <v>2.0</v>
      </c>
      <c r="F5804" s="66" t="str">
        <f>IFERROR(__xludf.DUMMYFUNCTION("GOOGLETRANSLATE(A5804,""en"",""pt"")"),"#VALUE!")</f>
        <v>#VALUE!</v>
      </c>
      <c r="G5804" s="69"/>
    </row>
    <row r="5805" ht="22.5" customHeight="1">
      <c r="A5805" s="66"/>
      <c r="B5805" s="67" t="str">
        <f t="shared" si="16"/>
        <v>M: </v>
      </c>
      <c r="C5805" s="68"/>
      <c r="D5805" s="68">
        <v>46330.0</v>
      </c>
      <c r="E5805" s="66">
        <v>3.0</v>
      </c>
      <c r="F5805" s="66" t="str">
        <f>IFERROR(__xludf.DUMMYFUNCTION("GOOGLETRANSLATE(A5805,""en"",""pt"")"),"#VALUE!")</f>
        <v>#VALUE!</v>
      </c>
      <c r="G5805" s="69"/>
    </row>
    <row r="5806" ht="22.5" customHeight="1">
      <c r="A5806" s="66"/>
      <c r="B5806" s="67" t="str">
        <f t="shared" si="16"/>
        <v>M: </v>
      </c>
      <c r="C5806" s="68"/>
      <c r="D5806" s="68">
        <v>46330.0</v>
      </c>
      <c r="E5806" s="66">
        <v>4.0</v>
      </c>
      <c r="F5806" s="66" t="str">
        <f>IFERROR(__xludf.DUMMYFUNCTION("GOOGLETRANSLATE(A5806,""en"",""pt"")"),"#VALUE!")</f>
        <v>#VALUE!</v>
      </c>
      <c r="G5806" s="69"/>
    </row>
    <row r="5807" ht="22.5" customHeight="1">
      <c r="A5807" s="66"/>
      <c r="B5807" s="67" t="str">
        <f t="shared" si="16"/>
        <v>M: </v>
      </c>
      <c r="C5807" s="68"/>
      <c r="D5807" s="68">
        <v>46330.0</v>
      </c>
      <c r="E5807" s="66">
        <v>5.0</v>
      </c>
      <c r="F5807" s="66" t="str">
        <f>IFERROR(__xludf.DUMMYFUNCTION("GOOGLETRANSLATE(A5807,""en"",""pt"")"),"#VALUE!")</f>
        <v>#VALUE!</v>
      </c>
      <c r="G5807" s="69"/>
    </row>
    <row r="5808" ht="22.5" customHeight="1">
      <c r="A5808" s="66"/>
      <c r="B5808" s="67" t="str">
        <f t="shared" si="16"/>
        <v>M: </v>
      </c>
      <c r="C5808" s="68"/>
      <c r="D5808" s="68">
        <v>46330.0</v>
      </c>
      <c r="E5808" s="66">
        <v>6.0</v>
      </c>
      <c r="F5808" s="66" t="str">
        <f>IFERROR(__xludf.DUMMYFUNCTION("GOOGLETRANSLATE(A5808,""en"",""pt"")"),"#VALUE!")</f>
        <v>#VALUE!</v>
      </c>
      <c r="G5808" s="69"/>
    </row>
    <row r="5809" ht="22.5" customHeight="1">
      <c r="A5809" s="66"/>
      <c r="B5809" s="67" t="str">
        <f t="shared" si="16"/>
        <v>M: </v>
      </c>
      <c r="C5809" s="68"/>
      <c r="D5809" s="68">
        <v>46330.0</v>
      </c>
      <c r="E5809" s="66">
        <v>7.0</v>
      </c>
      <c r="F5809" s="66" t="str">
        <f>IFERROR(__xludf.DUMMYFUNCTION("GOOGLETRANSLATE(A5809,""en"",""pt"")"),"#VALUE!")</f>
        <v>#VALUE!</v>
      </c>
      <c r="G5809" s="69"/>
    </row>
    <row r="5810" ht="22.5" customHeight="1">
      <c r="A5810" s="66"/>
      <c r="B5810" s="67" t="str">
        <f t="shared" si="16"/>
        <v>M: </v>
      </c>
      <c r="C5810" s="68"/>
      <c r="D5810" s="68">
        <v>46330.0</v>
      </c>
      <c r="E5810" s="66">
        <v>8.0</v>
      </c>
      <c r="F5810" s="66" t="str">
        <f>IFERROR(__xludf.DUMMYFUNCTION("GOOGLETRANSLATE(A5810,""en"",""pt"")"),"#VALUE!")</f>
        <v>#VALUE!</v>
      </c>
      <c r="G5810" s="69"/>
    </row>
    <row r="5811" ht="22.5" customHeight="1">
      <c r="A5811" s="66"/>
      <c r="B5811" s="67" t="str">
        <f t="shared" si="16"/>
        <v>M: </v>
      </c>
      <c r="C5811" s="68"/>
      <c r="D5811" s="68">
        <v>46330.0</v>
      </c>
      <c r="E5811" s="66">
        <v>9.0</v>
      </c>
      <c r="F5811" s="66" t="str">
        <f>IFERROR(__xludf.DUMMYFUNCTION("GOOGLETRANSLATE(A5811,""en"",""pt"")"),"#VALUE!")</f>
        <v>#VALUE!</v>
      </c>
      <c r="G5811" s="69"/>
    </row>
    <row r="5812" ht="22.5" customHeight="1">
      <c r="A5812" s="66"/>
      <c r="B5812" s="67" t="str">
        <f t="shared" si="16"/>
        <v>M: </v>
      </c>
      <c r="C5812" s="68"/>
      <c r="D5812" s="68">
        <v>46331.0</v>
      </c>
      <c r="E5812" s="66">
        <v>10.0</v>
      </c>
      <c r="F5812" s="66" t="str">
        <f>IFERROR(__xludf.DUMMYFUNCTION("GOOGLETRANSLATE(A5812,""en"",""pt"")"),"#VALUE!")</f>
        <v>#VALUE!</v>
      </c>
      <c r="G5812" s="69"/>
    </row>
    <row r="5813" ht="22.5" customHeight="1">
      <c r="A5813" s="66"/>
      <c r="B5813" s="67" t="str">
        <f t="shared" si="16"/>
        <v>M: </v>
      </c>
      <c r="C5813" s="68"/>
      <c r="D5813" s="68">
        <v>46331.0</v>
      </c>
      <c r="E5813" s="66">
        <v>1.0</v>
      </c>
      <c r="F5813" s="66" t="str">
        <f>IFERROR(__xludf.DUMMYFUNCTION("GOOGLETRANSLATE(A5813,""en"",""pt"")"),"#VALUE!")</f>
        <v>#VALUE!</v>
      </c>
      <c r="G5813" s="69"/>
    </row>
    <row r="5814" ht="22.5" customHeight="1">
      <c r="A5814" s="66"/>
      <c r="B5814" s="67" t="str">
        <f t="shared" si="16"/>
        <v>M: </v>
      </c>
      <c r="C5814" s="68"/>
      <c r="D5814" s="68">
        <v>46331.0</v>
      </c>
      <c r="E5814" s="66">
        <v>2.0</v>
      </c>
      <c r="F5814" s="66" t="str">
        <f>IFERROR(__xludf.DUMMYFUNCTION("GOOGLETRANSLATE(A5814,""en"",""pt"")"),"#VALUE!")</f>
        <v>#VALUE!</v>
      </c>
      <c r="G5814" s="69"/>
    </row>
    <row r="5815" ht="22.5" customHeight="1">
      <c r="A5815" s="66"/>
      <c r="B5815" s="67" t="str">
        <f t="shared" si="16"/>
        <v>M: </v>
      </c>
      <c r="C5815" s="68"/>
      <c r="D5815" s="68">
        <v>46331.0</v>
      </c>
      <c r="E5815" s="66">
        <v>3.0</v>
      </c>
      <c r="F5815" s="66" t="str">
        <f>IFERROR(__xludf.DUMMYFUNCTION("GOOGLETRANSLATE(A5815,""en"",""pt"")"),"#VALUE!")</f>
        <v>#VALUE!</v>
      </c>
      <c r="G5815" s="69"/>
    </row>
    <row r="5816" ht="22.5" customHeight="1">
      <c r="A5816" s="66"/>
      <c r="B5816" s="67" t="str">
        <f t="shared" si="16"/>
        <v>M: </v>
      </c>
      <c r="C5816" s="68"/>
      <c r="D5816" s="68">
        <v>46331.0</v>
      </c>
      <c r="E5816" s="66">
        <v>4.0</v>
      </c>
      <c r="F5816" s="66" t="str">
        <f>IFERROR(__xludf.DUMMYFUNCTION("GOOGLETRANSLATE(A5816,""en"",""pt"")"),"#VALUE!")</f>
        <v>#VALUE!</v>
      </c>
      <c r="G5816" s="69"/>
    </row>
    <row r="5817" ht="22.5" customHeight="1">
      <c r="A5817" s="66"/>
      <c r="B5817" s="67" t="str">
        <f t="shared" si="16"/>
        <v>M: </v>
      </c>
      <c r="C5817" s="68"/>
      <c r="D5817" s="68">
        <v>46331.0</v>
      </c>
      <c r="E5817" s="66">
        <v>5.0</v>
      </c>
      <c r="F5817" s="66" t="str">
        <f>IFERROR(__xludf.DUMMYFUNCTION("GOOGLETRANSLATE(A5817,""en"",""pt"")"),"#VALUE!")</f>
        <v>#VALUE!</v>
      </c>
      <c r="G5817" s="69"/>
    </row>
    <row r="5818" ht="22.5" customHeight="1">
      <c r="A5818" s="66"/>
      <c r="B5818" s="67" t="str">
        <f t="shared" si="16"/>
        <v>M: </v>
      </c>
      <c r="C5818" s="68"/>
      <c r="D5818" s="68">
        <v>46331.0</v>
      </c>
      <c r="E5818" s="66">
        <v>6.0</v>
      </c>
      <c r="F5818" s="66" t="str">
        <f>IFERROR(__xludf.DUMMYFUNCTION("GOOGLETRANSLATE(A5818,""en"",""pt"")"),"#VALUE!")</f>
        <v>#VALUE!</v>
      </c>
      <c r="G5818" s="69"/>
    </row>
    <row r="5819" ht="22.5" customHeight="1">
      <c r="A5819" s="66"/>
      <c r="B5819" s="67" t="str">
        <f t="shared" si="16"/>
        <v>M: </v>
      </c>
      <c r="C5819" s="68"/>
      <c r="D5819" s="68">
        <v>46331.0</v>
      </c>
      <c r="E5819" s="66">
        <v>7.0</v>
      </c>
      <c r="F5819" s="66" t="str">
        <f>IFERROR(__xludf.DUMMYFUNCTION("GOOGLETRANSLATE(A5819,""en"",""pt"")"),"#VALUE!")</f>
        <v>#VALUE!</v>
      </c>
      <c r="G5819" s="69"/>
    </row>
    <row r="5820" ht="22.5" customHeight="1">
      <c r="A5820" s="66"/>
      <c r="B5820" s="67" t="str">
        <f t="shared" si="16"/>
        <v>M: </v>
      </c>
      <c r="C5820" s="68"/>
      <c r="D5820" s="68">
        <v>46331.0</v>
      </c>
      <c r="E5820" s="66">
        <v>8.0</v>
      </c>
      <c r="F5820" s="66" t="str">
        <f>IFERROR(__xludf.DUMMYFUNCTION("GOOGLETRANSLATE(A5820,""en"",""pt"")"),"#VALUE!")</f>
        <v>#VALUE!</v>
      </c>
      <c r="G5820" s="69"/>
    </row>
    <row r="5821" ht="22.5" customHeight="1">
      <c r="A5821" s="66"/>
      <c r="B5821" s="67" t="str">
        <f t="shared" si="16"/>
        <v>M: </v>
      </c>
      <c r="C5821" s="68"/>
      <c r="D5821" s="68">
        <v>46331.0</v>
      </c>
      <c r="E5821" s="66">
        <v>9.0</v>
      </c>
      <c r="F5821" s="66" t="str">
        <f>IFERROR(__xludf.DUMMYFUNCTION("GOOGLETRANSLATE(A5821,""en"",""pt"")"),"#VALUE!")</f>
        <v>#VALUE!</v>
      </c>
      <c r="G5821" s="69"/>
    </row>
    <row r="5822" ht="22.5" customHeight="1">
      <c r="A5822" s="66"/>
      <c r="B5822" s="67" t="str">
        <f t="shared" si="16"/>
        <v>M: </v>
      </c>
      <c r="C5822" s="68"/>
      <c r="D5822" s="68">
        <v>46332.0</v>
      </c>
      <c r="E5822" s="66">
        <v>10.0</v>
      </c>
      <c r="F5822" s="66" t="str">
        <f>IFERROR(__xludf.DUMMYFUNCTION("GOOGLETRANSLATE(A5822,""en"",""pt"")"),"#VALUE!")</f>
        <v>#VALUE!</v>
      </c>
      <c r="G5822" s="69"/>
    </row>
    <row r="5823" ht="22.5" customHeight="1">
      <c r="A5823" s="66"/>
      <c r="B5823" s="67" t="str">
        <f t="shared" si="16"/>
        <v>M: </v>
      </c>
      <c r="C5823" s="68"/>
      <c r="D5823" s="68">
        <v>46332.0</v>
      </c>
      <c r="E5823" s="66">
        <v>1.0</v>
      </c>
      <c r="F5823" s="66" t="str">
        <f>IFERROR(__xludf.DUMMYFUNCTION("GOOGLETRANSLATE(A5823,""en"",""pt"")"),"#VALUE!")</f>
        <v>#VALUE!</v>
      </c>
      <c r="G5823" s="69"/>
    </row>
    <row r="5824" ht="22.5" customHeight="1">
      <c r="A5824" s="66"/>
      <c r="B5824" s="67" t="str">
        <f t="shared" si="16"/>
        <v>M: </v>
      </c>
      <c r="C5824" s="68"/>
      <c r="D5824" s="68">
        <v>46332.0</v>
      </c>
      <c r="E5824" s="66">
        <v>2.0</v>
      </c>
      <c r="F5824" s="66" t="str">
        <f>IFERROR(__xludf.DUMMYFUNCTION("GOOGLETRANSLATE(A5824,""en"",""pt"")"),"#VALUE!")</f>
        <v>#VALUE!</v>
      </c>
      <c r="G5824" s="69"/>
    </row>
    <row r="5825" ht="22.5" customHeight="1">
      <c r="A5825" s="66"/>
      <c r="B5825" s="67" t="str">
        <f t="shared" si="16"/>
        <v>M: </v>
      </c>
      <c r="C5825" s="68"/>
      <c r="D5825" s="68">
        <v>46332.0</v>
      </c>
      <c r="E5825" s="66">
        <v>3.0</v>
      </c>
      <c r="F5825" s="66" t="str">
        <f>IFERROR(__xludf.DUMMYFUNCTION("GOOGLETRANSLATE(A5825,""en"",""pt"")"),"#VALUE!")</f>
        <v>#VALUE!</v>
      </c>
      <c r="G5825" s="69"/>
    </row>
    <row r="5826" ht="22.5" customHeight="1">
      <c r="A5826" s="66"/>
      <c r="B5826" s="67" t="str">
        <f t="shared" si="16"/>
        <v>M: </v>
      </c>
      <c r="C5826" s="68"/>
      <c r="D5826" s="68">
        <v>46332.0</v>
      </c>
      <c r="E5826" s="66">
        <v>4.0</v>
      </c>
      <c r="F5826" s="66" t="str">
        <f>IFERROR(__xludf.DUMMYFUNCTION("GOOGLETRANSLATE(A5826,""en"",""pt"")"),"#VALUE!")</f>
        <v>#VALUE!</v>
      </c>
      <c r="G5826" s="69"/>
    </row>
    <row r="5827" ht="22.5" customHeight="1">
      <c r="A5827" s="66"/>
      <c r="B5827" s="67" t="str">
        <f t="shared" si="16"/>
        <v>M: </v>
      </c>
      <c r="C5827" s="68"/>
      <c r="D5827" s="68">
        <v>46332.0</v>
      </c>
      <c r="E5827" s="66">
        <v>5.0</v>
      </c>
      <c r="F5827" s="66" t="str">
        <f>IFERROR(__xludf.DUMMYFUNCTION("GOOGLETRANSLATE(A5827,""en"",""pt"")"),"#VALUE!")</f>
        <v>#VALUE!</v>
      </c>
      <c r="G5827" s="69"/>
    </row>
    <row r="5828" ht="22.5" customHeight="1">
      <c r="A5828" s="66"/>
      <c r="B5828" s="67" t="str">
        <f t="shared" si="16"/>
        <v>M: </v>
      </c>
      <c r="C5828" s="68"/>
      <c r="D5828" s="68">
        <v>46332.0</v>
      </c>
      <c r="E5828" s="66">
        <v>6.0</v>
      </c>
      <c r="F5828" s="66" t="str">
        <f>IFERROR(__xludf.DUMMYFUNCTION("GOOGLETRANSLATE(A5828,""en"",""pt"")"),"#VALUE!")</f>
        <v>#VALUE!</v>
      </c>
      <c r="G5828" s="69"/>
    </row>
    <row r="5829" ht="22.5" customHeight="1">
      <c r="A5829" s="66"/>
      <c r="B5829" s="67" t="str">
        <f t="shared" si="16"/>
        <v>M: </v>
      </c>
      <c r="C5829" s="68"/>
      <c r="D5829" s="68">
        <v>46332.0</v>
      </c>
      <c r="E5829" s="66">
        <v>7.0</v>
      </c>
      <c r="F5829" s="66" t="str">
        <f>IFERROR(__xludf.DUMMYFUNCTION("GOOGLETRANSLATE(A5829,""en"",""pt"")"),"#VALUE!")</f>
        <v>#VALUE!</v>
      </c>
      <c r="G5829" s="69"/>
    </row>
    <row r="5830" ht="22.5" customHeight="1">
      <c r="A5830" s="66"/>
      <c r="B5830" s="67" t="str">
        <f t="shared" si="16"/>
        <v>M: </v>
      </c>
      <c r="C5830" s="68"/>
      <c r="D5830" s="68">
        <v>46332.0</v>
      </c>
      <c r="E5830" s="66">
        <v>8.0</v>
      </c>
      <c r="F5830" s="66" t="str">
        <f>IFERROR(__xludf.DUMMYFUNCTION("GOOGLETRANSLATE(A5830,""en"",""pt"")"),"#VALUE!")</f>
        <v>#VALUE!</v>
      </c>
      <c r="G5830" s="69"/>
    </row>
    <row r="5831" ht="22.5" customHeight="1">
      <c r="A5831" s="66"/>
      <c r="B5831" s="67" t="str">
        <f t="shared" si="16"/>
        <v>M: </v>
      </c>
      <c r="C5831" s="68"/>
      <c r="D5831" s="68">
        <v>46332.0</v>
      </c>
      <c r="E5831" s="66">
        <v>9.0</v>
      </c>
      <c r="F5831" s="66" t="str">
        <f>IFERROR(__xludf.DUMMYFUNCTION("GOOGLETRANSLATE(A5831,""en"",""pt"")"),"#VALUE!")</f>
        <v>#VALUE!</v>
      </c>
      <c r="G5831" s="69"/>
    </row>
    <row r="5832" ht="22.5" customHeight="1">
      <c r="A5832" s="66"/>
      <c r="B5832" s="67" t="str">
        <f t="shared" si="16"/>
        <v>M: </v>
      </c>
      <c r="C5832" s="68"/>
      <c r="D5832" s="68">
        <v>46333.0</v>
      </c>
      <c r="E5832" s="66">
        <v>10.0</v>
      </c>
      <c r="F5832" s="66" t="str">
        <f>IFERROR(__xludf.DUMMYFUNCTION("GOOGLETRANSLATE(A5832,""en"",""pt"")"),"#VALUE!")</f>
        <v>#VALUE!</v>
      </c>
      <c r="G5832" s="69"/>
    </row>
    <row r="5833" ht="22.5" customHeight="1">
      <c r="A5833" s="66"/>
      <c r="B5833" s="67" t="str">
        <f t="shared" si="16"/>
        <v>M: </v>
      </c>
      <c r="C5833" s="68"/>
      <c r="D5833" s="68">
        <v>46333.0</v>
      </c>
      <c r="E5833" s="66">
        <v>1.0</v>
      </c>
      <c r="F5833" s="66" t="str">
        <f>IFERROR(__xludf.DUMMYFUNCTION("GOOGLETRANSLATE(A5833,""en"",""pt"")"),"#VALUE!")</f>
        <v>#VALUE!</v>
      </c>
      <c r="G5833" s="69"/>
    </row>
    <row r="5834" ht="22.5" customHeight="1">
      <c r="A5834" s="66"/>
      <c r="B5834" s="67" t="str">
        <f t="shared" si="16"/>
        <v>M: </v>
      </c>
      <c r="C5834" s="68"/>
      <c r="D5834" s="68">
        <v>46333.0</v>
      </c>
      <c r="E5834" s="66">
        <v>2.0</v>
      </c>
      <c r="F5834" s="66" t="str">
        <f>IFERROR(__xludf.DUMMYFUNCTION("GOOGLETRANSLATE(A5834,""en"",""pt"")"),"#VALUE!")</f>
        <v>#VALUE!</v>
      </c>
      <c r="G5834" s="69"/>
    </row>
    <row r="5835" ht="22.5" customHeight="1">
      <c r="A5835" s="66"/>
      <c r="B5835" s="67" t="str">
        <f t="shared" si="16"/>
        <v>M: </v>
      </c>
      <c r="C5835" s="68"/>
      <c r="D5835" s="68">
        <v>46333.0</v>
      </c>
      <c r="E5835" s="66">
        <v>3.0</v>
      </c>
      <c r="F5835" s="66" t="str">
        <f>IFERROR(__xludf.DUMMYFUNCTION("GOOGLETRANSLATE(A5835,""en"",""pt"")"),"#VALUE!")</f>
        <v>#VALUE!</v>
      </c>
      <c r="G5835" s="69"/>
    </row>
    <row r="5836" ht="22.5" customHeight="1">
      <c r="A5836" s="66"/>
      <c r="B5836" s="67" t="str">
        <f t="shared" si="16"/>
        <v>M: </v>
      </c>
      <c r="C5836" s="68"/>
      <c r="D5836" s="68">
        <v>46333.0</v>
      </c>
      <c r="E5836" s="66">
        <v>4.0</v>
      </c>
      <c r="F5836" s="66" t="str">
        <f>IFERROR(__xludf.DUMMYFUNCTION("GOOGLETRANSLATE(A5836,""en"",""pt"")"),"#VALUE!")</f>
        <v>#VALUE!</v>
      </c>
      <c r="G5836" s="69"/>
    </row>
    <row r="5837" ht="22.5" customHeight="1">
      <c r="A5837" s="66"/>
      <c r="B5837" s="67" t="str">
        <f t="shared" si="16"/>
        <v>M: </v>
      </c>
      <c r="C5837" s="68"/>
      <c r="D5837" s="68">
        <v>46333.0</v>
      </c>
      <c r="E5837" s="66">
        <v>5.0</v>
      </c>
      <c r="F5837" s="66" t="str">
        <f>IFERROR(__xludf.DUMMYFUNCTION("GOOGLETRANSLATE(A5837,""en"",""pt"")"),"#VALUE!")</f>
        <v>#VALUE!</v>
      </c>
      <c r="G5837" s="69"/>
    </row>
    <row r="5838" ht="22.5" customHeight="1">
      <c r="A5838" s="66"/>
      <c r="B5838" s="67" t="str">
        <f t="shared" si="16"/>
        <v>M: </v>
      </c>
      <c r="C5838" s="68"/>
      <c r="D5838" s="68">
        <v>46333.0</v>
      </c>
      <c r="E5838" s="66">
        <v>6.0</v>
      </c>
      <c r="F5838" s="66" t="str">
        <f>IFERROR(__xludf.DUMMYFUNCTION("GOOGLETRANSLATE(A5838,""en"",""pt"")"),"#VALUE!")</f>
        <v>#VALUE!</v>
      </c>
      <c r="G5838" s="69"/>
    </row>
    <row r="5839" ht="22.5" customHeight="1">
      <c r="A5839" s="66"/>
      <c r="B5839" s="67" t="str">
        <f t="shared" si="16"/>
        <v>M: </v>
      </c>
      <c r="C5839" s="68"/>
      <c r="D5839" s="68">
        <v>46333.0</v>
      </c>
      <c r="E5839" s="66">
        <v>7.0</v>
      </c>
      <c r="F5839" s="66" t="str">
        <f>IFERROR(__xludf.DUMMYFUNCTION("GOOGLETRANSLATE(A5839,""en"",""pt"")"),"#VALUE!")</f>
        <v>#VALUE!</v>
      </c>
      <c r="G5839" s="69"/>
    </row>
    <row r="5840" ht="22.5" customHeight="1">
      <c r="A5840" s="66"/>
      <c r="B5840" s="67" t="str">
        <f t="shared" si="16"/>
        <v>M: </v>
      </c>
      <c r="C5840" s="68"/>
      <c r="D5840" s="68">
        <v>46333.0</v>
      </c>
      <c r="E5840" s="66">
        <v>8.0</v>
      </c>
      <c r="F5840" s="66" t="str">
        <f>IFERROR(__xludf.DUMMYFUNCTION("GOOGLETRANSLATE(A5840,""en"",""pt"")"),"#VALUE!")</f>
        <v>#VALUE!</v>
      </c>
      <c r="G5840" s="69"/>
    </row>
    <row r="5841" ht="22.5" customHeight="1">
      <c r="A5841" s="66"/>
      <c r="B5841" s="67" t="str">
        <f t="shared" si="16"/>
        <v>M: </v>
      </c>
      <c r="C5841" s="68"/>
      <c r="D5841" s="68">
        <v>46333.0</v>
      </c>
      <c r="E5841" s="66">
        <v>9.0</v>
      </c>
      <c r="F5841" s="66" t="str">
        <f>IFERROR(__xludf.DUMMYFUNCTION("GOOGLETRANSLATE(A5841,""en"",""pt"")"),"#VALUE!")</f>
        <v>#VALUE!</v>
      </c>
      <c r="G5841" s="69"/>
    </row>
    <row r="5842" ht="22.5" customHeight="1">
      <c r="A5842" s="66"/>
      <c r="B5842" s="67" t="str">
        <f t="shared" si="16"/>
        <v>M: </v>
      </c>
      <c r="C5842" s="68"/>
      <c r="D5842" s="68">
        <v>46334.0</v>
      </c>
      <c r="E5842" s="66">
        <v>10.0</v>
      </c>
      <c r="F5842" s="66" t="str">
        <f>IFERROR(__xludf.DUMMYFUNCTION("GOOGLETRANSLATE(A5842,""en"",""pt"")"),"#VALUE!")</f>
        <v>#VALUE!</v>
      </c>
      <c r="G5842" s="69"/>
    </row>
    <row r="5843" ht="22.5" customHeight="1">
      <c r="A5843" s="66"/>
      <c r="B5843" s="67" t="str">
        <f t="shared" si="16"/>
        <v>M: </v>
      </c>
      <c r="C5843" s="68"/>
      <c r="D5843" s="68">
        <v>46334.0</v>
      </c>
      <c r="E5843" s="66">
        <v>1.0</v>
      </c>
      <c r="F5843" s="66" t="str">
        <f>IFERROR(__xludf.DUMMYFUNCTION("GOOGLETRANSLATE(A5843,""en"",""pt"")"),"#VALUE!")</f>
        <v>#VALUE!</v>
      </c>
      <c r="G5843" s="69"/>
    </row>
    <row r="5844" ht="22.5" customHeight="1">
      <c r="A5844" s="66"/>
      <c r="B5844" s="67" t="str">
        <f t="shared" si="16"/>
        <v>M: </v>
      </c>
      <c r="C5844" s="68"/>
      <c r="D5844" s="68">
        <v>46334.0</v>
      </c>
      <c r="E5844" s="66">
        <v>2.0</v>
      </c>
      <c r="F5844" s="66" t="str">
        <f>IFERROR(__xludf.DUMMYFUNCTION("GOOGLETRANSLATE(A5844,""en"",""pt"")"),"#VALUE!")</f>
        <v>#VALUE!</v>
      </c>
      <c r="G5844" s="69"/>
    </row>
    <row r="5845" ht="22.5" customHeight="1">
      <c r="A5845" s="66"/>
      <c r="B5845" s="67" t="str">
        <f t="shared" si="16"/>
        <v>M: </v>
      </c>
      <c r="C5845" s="68"/>
      <c r="D5845" s="68">
        <v>46334.0</v>
      </c>
      <c r="E5845" s="66">
        <v>3.0</v>
      </c>
      <c r="F5845" s="66" t="str">
        <f>IFERROR(__xludf.DUMMYFUNCTION("GOOGLETRANSLATE(A5845,""en"",""pt"")"),"#VALUE!")</f>
        <v>#VALUE!</v>
      </c>
      <c r="G5845" s="69"/>
    </row>
    <row r="5846" ht="22.5" customHeight="1">
      <c r="A5846" s="66"/>
      <c r="B5846" s="67" t="str">
        <f t="shared" si="16"/>
        <v>M: </v>
      </c>
      <c r="C5846" s="68"/>
      <c r="D5846" s="68">
        <v>46334.0</v>
      </c>
      <c r="E5846" s="66">
        <v>4.0</v>
      </c>
      <c r="F5846" s="66" t="str">
        <f>IFERROR(__xludf.DUMMYFUNCTION("GOOGLETRANSLATE(A5846,""en"",""pt"")"),"#VALUE!")</f>
        <v>#VALUE!</v>
      </c>
      <c r="G5846" s="69"/>
    </row>
    <row r="5847" ht="22.5" customHeight="1">
      <c r="A5847" s="66"/>
      <c r="B5847" s="67" t="str">
        <f t="shared" si="16"/>
        <v>M: </v>
      </c>
      <c r="C5847" s="68"/>
      <c r="D5847" s="68">
        <v>46334.0</v>
      </c>
      <c r="E5847" s="66">
        <v>5.0</v>
      </c>
      <c r="F5847" s="66" t="str">
        <f>IFERROR(__xludf.DUMMYFUNCTION("GOOGLETRANSLATE(A5847,""en"",""pt"")"),"#VALUE!")</f>
        <v>#VALUE!</v>
      </c>
      <c r="G5847" s="69"/>
    </row>
    <row r="5848" ht="22.5" customHeight="1">
      <c r="A5848" s="66"/>
      <c r="B5848" s="67" t="str">
        <f t="shared" si="16"/>
        <v>M: </v>
      </c>
      <c r="C5848" s="68"/>
      <c r="D5848" s="68">
        <v>46334.0</v>
      </c>
      <c r="E5848" s="66">
        <v>6.0</v>
      </c>
      <c r="F5848" s="66" t="str">
        <f>IFERROR(__xludf.DUMMYFUNCTION("GOOGLETRANSLATE(A5848,""en"",""pt"")"),"#VALUE!")</f>
        <v>#VALUE!</v>
      </c>
      <c r="G5848" s="69"/>
    </row>
    <row r="5849" ht="22.5" customHeight="1">
      <c r="A5849" s="66"/>
      <c r="B5849" s="67" t="str">
        <f t="shared" si="16"/>
        <v>M: </v>
      </c>
      <c r="C5849" s="68"/>
      <c r="D5849" s="68">
        <v>46334.0</v>
      </c>
      <c r="E5849" s="66">
        <v>7.0</v>
      </c>
      <c r="F5849" s="66" t="str">
        <f>IFERROR(__xludf.DUMMYFUNCTION("GOOGLETRANSLATE(A5849,""en"",""pt"")"),"#VALUE!")</f>
        <v>#VALUE!</v>
      </c>
      <c r="G5849" s="69"/>
    </row>
    <row r="5850" ht="22.5" customHeight="1">
      <c r="A5850" s="66"/>
      <c r="B5850" s="67" t="str">
        <f t="shared" si="16"/>
        <v>M: </v>
      </c>
      <c r="C5850" s="68"/>
      <c r="D5850" s="68">
        <v>46334.0</v>
      </c>
      <c r="E5850" s="66">
        <v>8.0</v>
      </c>
      <c r="F5850" s="66" t="str">
        <f>IFERROR(__xludf.DUMMYFUNCTION("GOOGLETRANSLATE(A5850,""en"",""pt"")"),"#VALUE!")</f>
        <v>#VALUE!</v>
      </c>
      <c r="G5850" s="69"/>
    </row>
    <row r="5851" ht="22.5" customHeight="1">
      <c r="A5851" s="66"/>
      <c r="B5851" s="67" t="str">
        <f t="shared" si="16"/>
        <v>M: </v>
      </c>
      <c r="C5851" s="68"/>
      <c r="D5851" s="68">
        <v>46334.0</v>
      </c>
      <c r="E5851" s="66">
        <v>9.0</v>
      </c>
      <c r="F5851" s="66" t="str">
        <f>IFERROR(__xludf.DUMMYFUNCTION("GOOGLETRANSLATE(A5851,""en"",""pt"")"),"#VALUE!")</f>
        <v>#VALUE!</v>
      </c>
      <c r="G5851" s="69"/>
    </row>
    <row r="5852" ht="22.5" customHeight="1">
      <c r="A5852" s="66"/>
      <c r="B5852" s="67" t="str">
        <f t="shared" si="16"/>
        <v>M: </v>
      </c>
      <c r="C5852" s="68"/>
      <c r="D5852" s="68">
        <v>46335.0</v>
      </c>
      <c r="E5852" s="66">
        <v>10.0</v>
      </c>
      <c r="F5852" s="66" t="str">
        <f>IFERROR(__xludf.DUMMYFUNCTION("GOOGLETRANSLATE(A5852,""en"",""pt"")"),"#VALUE!")</f>
        <v>#VALUE!</v>
      </c>
      <c r="G5852" s="69"/>
    </row>
    <row r="5853" ht="22.5" customHeight="1">
      <c r="A5853" s="66"/>
      <c r="B5853" s="67" t="str">
        <f t="shared" si="16"/>
        <v>M: </v>
      </c>
      <c r="C5853" s="68"/>
      <c r="D5853" s="68">
        <v>46335.0</v>
      </c>
      <c r="E5853" s="66">
        <v>1.0</v>
      </c>
      <c r="F5853" s="66" t="str">
        <f>IFERROR(__xludf.DUMMYFUNCTION("GOOGLETRANSLATE(A5853,""en"",""pt"")"),"#VALUE!")</f>
        <v>#VALUE!</v>
      </c>
      <c r="G5853" s="69"/>
    </row>
    <row r="5854" ht="22.5" customHeight="1">
      <c r="A5854" s="66"/>
      <c r="B5854" s="67" t="str">
        <f t="shared" si="16"/>
        <v>M: </v>
      </c>
      <c r="C5854" s="68"/>
      <c r="D5854" s="68">
        <v>46335.0</v>
      </c>
      <c r="E5854" s="66">
        <v>2.0</v>
      </c>
      <c r="F5854" s="66" t="str">
        <f>IFERROR(__xludf.DUMMYFUNCTION("GOOGLETRANSLATE(A5854,""en"",""pt"")"),"#VALUE!")</f>
        <v>#VALUE!</v>
      </c>
      <c r="G5854" s="69"/>
    </row>
    <row r="5855" ht="22.5" customHeight="1">
      <c r="A5855" s="66"/>
      <c r="B5855" s="67" t="str">
        <f t="shared" si="16"/>
        <v>M: </v>
      </c>
      <c r="C5855" s="68"/>
      <c r="D5855" s="68">
        <v>46335.0</v>
      </c>
      <c r="E5855" s="66">
        <v>3.0</v>
      </c>
      <c r="F5855" s="66" t="str">
        <f>IFERROR(__xludf.DUMMYFUNCTION("GOOGLETRANSLATE(A5855,""en"",""pt"")"),"#VALUE!")</f>
        <v>#VALUE!</v>
      </c>
      <c r="G5855" s="69"/>
    </row>
    <row r="5856" ht="22.5" customHeight="1">
      <c r="A5856" s="66"/>
      <c r="B5856" s="67" t="str">
        <f t="shared" si="16"/>
        <v>M: </v>
      </c>
      <c r="C5856" s="68"/>
      <c r="D5856" s="68">
        <v>46335.0</v>
      </c>
      <c r="E5856" s="66">
        <v>4.0</v>
      </c>
      <c r="F5856" s="66" t="str">
        <f>IFERROR(__xludf.DUMMYFUNCTION("GOOGLETRANSLATE(A5856,""en"",""pt"")"),"#VALUE!")</f>
        <v>#VALUE!</v>
      </c>
      <c r="G5856" s="69"/>
    </row>
    <row r="5857" ht="22.5" customHeight="1">
      <c r="A5857" s="66"/>
      <c r="B5857" s="67" t="str">
        <f t="shared" si="16"/>
        <v>M: </v>
      </c>
      <c r="C5857" s="68"/>
      <c r="D5857" s="68">
        <v>46335.0</v>
      </c>
      <c r="E5857" s="66">
        <v>5.0</v>
      </c>
      <c r="F5857" s="66" t="str">
        <f>IFERROR(__xludf.DUMMYFUNCTION("GOOGLETRANSLATE(A5857,""en"",""pt"")"),"#VALUE!")</f>
        <v>#VALUE!</v>
      </c>
      <c r="G5857" s="69"/>
    </row>
    <row r="5858" ht="22.5" customHeight="1">
      <c r="A5858" s="66"/>
      <c r="B5858" s="67" t="str">
        <f t="shared" si="16"/>
        <v>M: </v>
      </c>
      <c r="C5858" s="68"/>
      <c r="D5858" s="68">
        <v>46335.0</v>
      </c>
      <c r="E5858" s="66">
        <v>6.0</v>
      </c>
      <c r="F5858" s="66" t="str">
        <f>IFERROR(__xludf.DUMMYFUNCTION("GOOGLETRANSLATE(A5858,""en"",""pt"")"),"#VALUE!")</f>
        <v>#VALUE!</v>
      </c>
      <c r="G5858" s="69"/>
    </row>
    <row r="5859" ht="22.5" customHeight="1">
      <c r="A5859" s="66"/>
      <c r="B5859" s="67" t="str">
        <f t="shared" si="16"/>
        <v>M: </v>
      </c>
      <c r="C5859" s="68"/>
      <c r="D5859" s="68">
        <v>46335.0</v>
      </c>
      <c r="E5859" s="66">
        <v>7.0</v>
      </c>
      <c r="F5859" s="66" t="str">
        <f>IFERROR(__xludf.DUMMYFUNCTION("GOOGLETRANSLATE(A5859,""en"",""pt"")"),"#VALUE!")</f>
        <v>#VALUE!</v>
      </c>
      <c r="G5859" s="69"/>
    </row>
    <row r="5860" ht="22.5" customHeight="1">
      <c r="A5860" s="66"/>
      <c r="B5860" s="67" t="str">
        <f t="shared" si="16"/>
        <v>M: </v>
      </c>
      <c r="C5860" s="68"/>
      <c r="D5860" s="68">
        <v>46335.0</v>
      </c>
      <c r="E5860" s="66">
        <v>8.0</v>
      </c>
      <c r="F5860" s="66" t="str">
        <f>IFERROR(__xludf.DUMMYFUNCTION("GOOGLETRANSLATE(A5860,""en"",""pt"")"),"#VALUE!")</f>
        <v>#VALUE!</v>
      </c>
      <c r="G5860" s="69"/>
    </row>
    <row r="5861" ht="22.5" customHeight="1">
      <c r="A5861" s="66"/>
      <c r="B5861" s="67" t="str">
        <f t="shared" si="16"/>
        <v>M: </v>
      </c>
      <c r="C5861" s="68"/>
      <c r="D5861" s="68">
        <v>46335.0</v>
      </c>
      <c r="E5861" s="66">
        <v>9.0</v>
      </c>
      <c r="F5861" s="66" t="str">
        <f>IFERROR(__xludf.DUMMYFUNCTION("GOOGLETRANSLATE(A5861,""en"",""pt"")"),"#VALUE!")</f>
        <v>#VALUE!</v>
      </c>
      <c r="G5861" s="69"/>
    </row>
    <row r="5862" ht="22.5" customHeight="1">
      <c r="A5862" s="66"/>
      <c r="B5862" s="67" t="str">
        <f t="shared" si="16"/>
        <v>M: </v>
      </c>
      <c r="C5862" s="68"/>
      <c r="D5862" s="68">
        <v>46336.0</v>
      </c>
      <c r="E5862" s="66">
        <v>10.0</v>
      </c>
      <c r="F5862" s="66" t="str">
        <f>IFERROR(__xludf.DUMMYFUNCTION("GOOGLETRANSLATE(A5862,""en"",""pt"")"),"#VALUE!")</f>
        <v>#VALUE!</v>
      </c>
      <c r="G5862" s="69"/>
    </row>
    <row r="5863" ht="22.5" customHeight="1">
      <c r="A5863" s="66"/>
      <c r="B5863" s="67" t="str">
        <f t="shared" si="16"/>
        <v>M: </v>
      </c>
      <c r="C5863" s="68"/>
      <c r="D5863" s="68">
        <v>46336.0</v>
      </c>
      <c r="E5863" s="66">
        <v>1.0</v>
      </c>
      <c r="F5863" s="66" t="str">
        <f>IFERROR(__xludf.DUMMYFUNCTION("GOOGLETRANSLATE(A5863,""en"",""pt"")"),"#VALUE!")</f>
        <v>#VALUE!</v>
      </c>
      <c r="G5863" s="69"/>
    </row>
    <row r="5864" ht="22.5" customHeight="1">
      <c r="A5864" s="66"/>
      <c r="B5864" s="67" t="str">
        <f t="shared" si="16"/>
        <v>M: </v>
      </c>
      <c r="C5864" s="68"/>
      <c r="D5864" s="68">
        <v>46336.0</v>
      </c>
      <c r="E5864" s="66">
        <v>2.0</v>
      </c>
      <c r="F5864" s="66" t="str">
        <f>IFERROR(__xludf.DUMMYFUNCTION("GOOGLETRANSLATE(A5864,""en"",""pt"")"),"#VALUE!")</f>
        <v>#VALUE!</v>
      </c>
      <c r="G5864" s="69"/>
    </row>
    <row r="5865" ht="22.5" customHeight="1">
      <c r="A5865" s="66"/>
      <c r="B5865" s="67" t="str">
        <f t="shared" si="16"/>
        <v>M: </v>
      </c>
      <c r="C5865" s="68"/>
      <c r="D5865" s="68">
        <v>46336.0</v>
      </c>
      <c r="E5865" s="66">
        <v>3.0</v>
      </c>
      <c r="F5865" s="66" t="str">
        <f>IFERROR(__xludf.DUMMYFUNCTION("GOOGLETRANSLATE(A5865,""en"",""pt"")"),"#VALUE!")</f>
        <v>#VALUE!</v>
      </c>
      <c r="G5865" s="69"/>
    </row>
    <row r="5866" ht="22.5" customHeight="1">
      <c r="A5866" s="66"/>
      <c r="B5866" s="67" t="str">
        <f t="shared" si="16"/>
        <v>M: </v>
      </c>
      <c r="C5866" s="68"/>
      <c r="D5866" s="68">
        <v>46336.0</v>
      </c>
      <c r="E5866" s="66">
        <v>4.0</v>
      </c>
      <c r="F5866" s="66" t="str">
        <f>IFERROR(__xludf.DUMMYFUNCTION("GOOGLETRANSLATE(A5866,""en"",""pt"")"),"#VALUE!")</f>
        <v>#VALUE!</v>
      </c>
      <c r="G5866" s="69"/>
    </row>
    <row r="5867" ht="22.5" customHeight="1">
      <c r="A5867" s="66"/>
      <c r="B5867" s="67" t="str">
        <f t="shared" si="16"/>
        <v>M: </v>
      </c>
      <c r="C5867" s="68"/>
      <c r="D5867" s="68">
        <v>46336.0</v>
      </c>
      <c r="E5867" s="66">
        <v>5.0</v>
      </c>
      <c r="F5867" s="66" t="str">
        <f>IFERROR(__xludf.DUMMYFUNCTION("GOOGLETRANSLATE(A5867,""en"",""pt"")"),"#VALUE!")</f>
        <v>#VALUE!</v>
      </c>
      <c r="G5867" s="69"/>
    </row>
    <row r="5868" ht="22.5" customHeight="1">
      <c r="A5868" s="66"/>
      <c r="B5868" s="67" t="str">
        <f t="shared" si="16"/>
        <v>M: </v>
      </c>
      <c r="C5868" s="68"/>
      <c r="D5868" s="68">
        <v>46336.0</v>
      </c>
      <c r="E5868" s="66">
        <v>6.0</v>
      </c>
      <c r="F5868" s="66" t="str">
        <f>IFERROR(__xludf.DUMMYFUNCTION("GOOGLETRANSLATE(A5868,""en"",""pt"")"),"#VALUE!")</f>
        <v>#VALUE!</v>
      </c>
      <c r="G5868" s="69"/>
    </row>
    <row r="5869" ht="22.5" customHeight="1">
      <c r="A5869" s="66"/>
      <c r="B5869" s="67" t="str">
        <f t="shared" si="16"/>
        <v>M: </v>
      </c>
      <c r="C5869" s="68"/>
      <c r="D5869" s="68">
        <v>46336.0</v>
      </c>
      <c r="E5869" s="66">
        <v>7.0</v>
      </c>
      <c r="F5869" s="66" t="str">
        <f>IFERROR(__xludf.DUMMYFUNCTION("GOOGLETRANSLATE(A5869,""en"",""pt"")"),"#VALUE!")</f>
        <v>#VALUE!</v>
      </c>
      <c r="G5869" s="69"/>
    </row>
    <row r="5870" ht="22.5" customHeight="1">
      <c r="A5870" s="66"/>
      <c r="B5870" s="67" t="str">
        <f t="shared" si="16"/>
        <v>M: </v>
      </c>
      <c r="C5870" s="68"/>
      <c r="D5870" s="68">
        <v>46336.0</v>
      </c>
      <c r="E5870" s="66">
        <v>8.0</v>
      </c>
      <c r="F5870" s="66" t="str">
        <f>IFERROR(__xludf.DUMMYFUNCTION("GOOGLETRANSLATE(A5870,""en"",""pt"")"),"#VALUE!")</f>
        <v>#VALUE!</v>
      </c>
      <c r="G5870" s="69"/>
    </row>
    <row r="5871" ht="22.5" customHeight="1">
      <c r="A5871" s="66"/>
      <c r="B5871" s="67" t="str">
        <f t="shared" si="16"/>
        <v>M: </v>
      </c>
      <c r="C5871" s="68"/>
      <c r="D5871" s="68">
        <v>46336.0</v>
      </c>
      <c r="E5871" s="66">
        <v>9.0</v>
      </c>
      <c r="F5871" s="66" t="str">
        <f>IFERROR(__xludf.DUMMYFUNCTION("GOOGLETRANSLATE(A5871,""en"",""pt"")"),"#VALUE!")</f>
        <v>#VALUE!</v>
      </c>
      <c r="G5871" s="69"/>
    </row>
    <row r="5872" ht="22.5" customHeight="1">
      <c r="A5872" s="66"/>
      <c r="B5872" s="67" t="str">
        <f t="shared" si="16"/>
        <v>M: </v>
      </c>
      <c r="C5872" s="68"/>
      <c r="D5872" s="68">
        <v>46337.0</v>
      </c>
      <c r="E5872" s="66">
        <v>10.0</v>
      </c>
      <c r="F5872" s="66" t="str">
        <f>IFERROR(__xludf.DUMMYFUNCTION("GOOGLETRANSLATE(A5872,""en"",""pt"")"),"#VALUE!")</f>
        <v>#VALUE!</v>
      </c>
      <c r="G5872" s="69"/>
    </row>
    <row r="5873" ht="22.5" customHeight="1">
      <c r="A5873" s="66"/>
      <c r="B5873" s="67" t="str">
        <f t="shared" si="16"/>
        <v>M: </v>
      </c>
      <c r="C5873" s="68"/>
      <c r="D5873" s="68">
        <v>46337.0</v>
      </c>
      <c r="E5873" s="66">
        <v>1.0</v>
      </c>
      <c r="F5873" s="66" t="str">
        <f>IFERROR(__xludf.DUMMYFUNCTION("GOOGLETRANSLATE(A5873,""en"",""pt"")"),"#VALUE!")</f>
        <v>#VALUE!</v>
      </c>
      <c r="G5873" s="69"/>
    </row>
    <row r="5874" ht="22.5" customHeight="1">
      <c r="A5874" s="66"/>
      <c r="B5874" s="67" t="str">
        <f t="shared" si="16"/>
        <v>M: </v>
      </c>
      <c r="C5874" s="68"/>
      <c r="D5874" s="68">
        <v>46337.0</v>
      </c>
      <c r="E5874" s="66">
        <v>2.0</v>
      </c>
      <c r="F5874" s="66" t="str">
        <f>IFERROR(__xludf.DUMMYFUNCTION("GOOGLETRANSLATE(A5874,""en"",""pt"")"),"#VALUE!")</f>
        <v>#VALUE!</v>
      </c>
      <c r="G5874" s="69"/>
    </row>
    <row r="5875" ht="22.5" customHeight="1">
      <c r="A5875" s="66"/>
      <c r="B5875" s="67" t="str">
        <f t="shared" si="16"/>
        <v>M: </v>
      </c>
      <c r="C5875" s="68"/>
      <c r="D5875" s="68">
        <v>46337.0</v>
      </c>
      <c r="E5875" s="66">
        <v>3.0</v>
      </c>
      <c r="F5875" s="66" t="str">
        <f>IFERROR(__xludf.DUMMYFUNCTION("GOOGLETRANSLATE(A5875,""en"",""pt"")"),"#VALUE!")</f>
        <v>#VALUE!</v>
      </c>
      <c r="G5875" s="69"/>
    </row>
    <row r="5876" ht="22.5" customHeight="1">
      <c r="A5876" s="66"/>
      <c r="B5876" s="67" t="str">
        <f t="shared" si="16"/>
        <v>M: </v>
      </c>
      <c r="C5876" s="68"/>
      <c r="D5876" s="68">
        <v>46337.0</v>
      </c>
      <c r="E5876" s="66">
        <v>4.0</v>
      </c>
      <c r="F5876" s="66" t="str">
        <f>IFERROR(__xludf.DUMMYFUNCTION("GOOGLETRANSLATE(A5876,""en"",""pt"")"),"#VALUE!")</f>
        <v>#VALUE!</v>
      </c>
      <c r="G5876" s="69"/>
    </row>
    <row r="5877" ht="22.5" customHeight="1">
      <c r="A5877" s="66"/>
      <c r="B5877" s="67" t="str">
        <f t="shared" si="16"/>
        <v>M: </v>
      </c>
      <c r="C5877" s="68"/>
      <c r="D5877" s="68">
        <v>46337.0</v>
      </c>
      <c r="E5877" s="66">
        <v>5.0</v>
      </c>
      <c r="F5877" s="66" t="str">
        <f>IFERROR(__xludf.DUMMYFUNCTION("GOOGLETRANSLATE(A5877,""en"",""pt"")"),"#VALUE!")</f>
        <v>#VALUE!</v>
      </c>
      <c r="G5877" s="69"/>
    </row>
    <row r="5878" ht="22.5" customHeight="1">
      <c r="A5878" s="66"/>
      <c r="B5878" s="67" t="str">
        <f t="shared" si="16"/>
        <v>M: </v>
      </c>
      <c r="C5878" s="68"/>
      <c r="D5878" s="68">
        <v>46337.0</v>
      </c>
      <c r="E5878" s="66">
        <v>6.0</v>
      </c>
      <c r="F5878" s="66" t="str">
        <f>IFERROR(__xludf.DUMMYFUNCTION("GOOGLETRANSLATE(A5878,""en"",""pt"")"),"#VALUE!")</f>
        <v>#VALUE!</v>
      </c>
      <c r="G5878" s="69"/>
    </row>
    <row r="5879" ht="22.5" customHeight="1">
      <c r="A5879" s="66"/>
      <c r="B5879" s="67" t="str">
        <f t="shared" si="16"/>
        <v>M: </v>
      </c>
      <c r="C5879" s="68"/>
      <c r="D5879" s="68">
        <v>46337.0</v>
      </c>
      <c r="E5879" s="66">
        <v>7.0</v>
      </c>
      <c r="F5879" s="66" t="str">
        <f>IFERROR(__xludf.DUMMYFUNCTION("GOOGLETRANSLATE(A5879,""en"",""pt"")"),"#VALUE!")</f>
        <v>#VALUE!</v>
      </c>
      <c r="G5879" s="69"/>
    </row>
    <row r="5880" ht="22.5" customHeight="1">
      <c r="A5880" s="66"/>
      <c r="B5880" s="67" t="str">
        <f t="shared" si="16"/>
        <v>M: </v>
      </c>
      <c r="C5880" s="68"/>
      <c r="D5880" s="68">
        <v>46337.0</v>
      </c>
      <c r="E5880" s="66">
        <v>8.0</v>
      </c>
      <c r="F5880" s="66" t="str">
        <f>IFERROR(__xludf.DUMMYFUNCTION("GOOGLETRANSLATE(A5880,""en"",""pt"")"),"#VALUE!")</f>
        <v>#VALUE!</v>
      </c>
      <c r="G5880" s="69"/>
    </row>
    <row r="5881" ht="22.5" customHeight="1">
      <c r="A5881" s="66"/>
      <c r="B5881" s="67" t="str">
        <f t="shared" si="16"/>
        <v>M: </v>
      </c>
      <c r="C5881" s="68"/>
      <c r="D5881" s="68">
        <v>46337.0</v>
      </c>
      <c r="E5881" s="66">
        <v>9.0</v>
      </c>
      <c r="F5881" s="66" t="str">
        <f>IFERROR(__xludf.DUMMYFUNCTION("GOOGLETRANSLATE(A5881,""en"",""pt"")"),"#VALUE!")</f>
        <v>#VALUE!</v>
      </c>
      <c r="G5881" s="69"/>
    </row>
    <row r="5882" ht="22.5" customHeight="1">
      <c r="A5882" s="66"/>
      <c r="B5882" s="67" t="str">
        <f t="shared" si="16"/>
        <v>M: </v>
      </c>
      <c r="C5882" s="68"/>
      <c r="D5882" s="68">
        <v>46338.0</v>
      </c>
      <c r="E5882" s="66">
        <v>10.0</v>
      </c>
      <c r="F5882" s="66" t="str">
        <f>IFERROR(__xludf.DUMMYFUNCTION("GOOGLETRANSLATE(A5882,""en"",""pt"")"),"#VALUE!")</f>
        <v>#VALUE!</v>
      </c>
      <c r="G5882" s="69"/>
    </row>
    <row r="5883" ht="22.5" customHeight="1">
      <c r="A5883" s="66"/>
      <c r="B5883" s="67" t="str">
        <f t="shared" si="16"/>
        <v>M: </v>
      </c>
      <c r="C5883" s="68"/>
      <c r="D5883" s="68">
        <v>46338.0</v>
      </c>
      <c r="E5883" s="66">
        <v>1.0</v>
      </c>
      <c r="F5883" s="66" t="str">
        <f>IFERROR(__xludf.DUMMYFUNCTION("GOOGLETRANSLATE(A5883,""en"",""pt"")"),"#VALUE!")</f>
        <v>#VALUE!</v>
      </c>
      <c r="G5883" s="69"/>
    </row>
    <row r="5884" ht="22.5" customHeight="1">
      <c r="A5884" s="66"/>
      <c r="B5884" s="67" t="str">
        <f t="shared" si="16"/>
        <v>M: </v>
      </c>
      <c r="C5884" s="68"/>
      <c r="D5884" s="68">
        <v>46338.0</v>
      </c>
      <c r="E5884" s="66">
        <v>2.0</v>
      </c>
      <c r="F5884" s="66" t="str">
        <f>IFERROR(__xludf.DUMMYFUNCTION("GOOGLETRANSLATE(A5884,""en"",""pt"")"),"#VALUE!")</f>
        <v>#VALUE!</v>
      </c>
      <c r="G5884" s="69"/>
    </row>
    <row r="5885" ht="22.5" customHeight="1">
      <c r="A5885" s="66"/>
      <c r="B5885" s="67" t="str">
        <f t="shared" si="16"/>
        <v>M: </v>
      </c>
      <c r="C5885" s="68"/>
      <c r="D5885" s="68">
        <v>46338.0</v>
      </c>
      <c r="E5885" s="66">
        <v>3.0</v>
      </c>
      <c r="F5885" s="66" t="str">
        <f>IFERROR(__xludf.DUMMYFUNCTION("GOOGLETRANSLATE(A5885,""en"",""pt"")"),"#VALUE!")</f>
        <v>#VALUE!</v>
      </c>
      <c r="G5885" s="69"/>
    </row>
    <row r="5886" ht="22.5" customHeight="1">
      <c r="A5886" s="66"/>
      <c r="B5886" s="67" t="str">
        <f t="shared" si="16"/>
        <v>M: </v>
      </c>
      <c r="C5886" s="68"/>
      <c r="D5886" s="68">
        <v>46338.0</v>
      </c>
      <c r="E5886" s="66">
        <v>4.0</v>
      </c>
      <c r="F5886" s="66" t="str">
        <f>IFERROR(__xludf.DUMMYFUNCTION("GOOGLETRANSLATE(A5886,""en"",""pt"")"),"#VALUE!")</f>
        <v>#VALUE!</v>
      </c>
      <c r="G5886" s="69"/>
    </row>
    <row r="5887" ht="22.5" customHeight="1">
      <c r="A5887" s="66"/>
      <c r="B5887" s="67" t="str">
        <f t="shared" si="16"/>
        <v>M: </v>
      </c>
      <c r="C5887" s="68"/>
      <c r="D5887" s="68">
        <v>46338.0</v>
      </c>
      <c r="E5887" s="66">
        <v>5.0</v>
      </c>
      <c r="F5887" s="66" t="str">
        <f>IFERROR(__xludf.DUMMYFUNCTION("GOOGLETRANSLATE(A5887,""en"",""pt"")"),"#VALUE!")</f>
        <v>#VALUE!</v>
      </c>
      <c r="G5887" s="69"/>
    </row>
    <row r="5888" ht="22.5" customHeight="1">
      <c r="A5888" s="66"/>
      <c r="B5888" s="67" t="str">
        <f t="shared" si="16"/>
        <v>M: </v>
      </c>
      <c r="C5888" s="68"/>
      <c r="D5888" s="68">
        <v>46338.0</v>
      </c>
      <c r="E5888" s="66">
        <v>6.0</v>
      </c>
      <c r="F5888" s="66" t="str">
        <f>IFERROR(__xludf.DUMMYFUNCTION("GOOGLETRANSLATE(A5888,""en"",""pt"")"),"#VALUE!")</f>
        <v>#VALUE!</v>
      </c>
      <c r="G5888" s="69"/>
    </row>
    <row r="5889" ht="22.5" customHeight="1">
      <c r="A5889" s="66"/>
      <c r="B5889" s="67" t="str">
        <f t="shared" si="16"/>
        <v>M: </v>
      </c>
      <c r="C5889" s="68"/>
      <c r="D5889" s="68">
        <v>46338.0</v>
      </c>
      <c r="E5889" s="66">
        <v>7.0</v>
      </c>
      <c r="F5889" s="66" t="str">
        <f>IFERROR(__xludf.DUMMYFUNCTION("GOOGLETRANSLATE(A5889,""en"",""pt"")"),"#VALUE!")</f>
        <v>#VALUE!</v>
      </c>
      <c r="G5889" s="69"/>
    </row>
    <row r="5890" ht="22.5" customHeight="1">
      <c r="A5890" s="66"/>
      <c r="B5890" s="67" t="str">
        <f t="shared" si="16"/>
        <v>M: </v>
      </c>
      <c r="C5890" s="68"/>
      <c r="D5890" s="68">
        <v>46338.0</v>
      </c>
      <c r="E5890" s="66">
        <v>8.0</v>
      </c>
      <c r="F5890" s="66" t="str">
        <f>IFERROR(__xludf.DUMMYFUNCTION("GOOGLETRANSLATE(A5890,""en"",""pt"")"),"#VALUE!")</f>
        <v>#VALUE!</v>
      </c>
      <c r="G5890" s="69"/>
    </row>
    <row r="5891" ht="22.5" customHeight="1">
      <c r="A5891" s="66"/>
      <c r="B5891" s="67" t="str">
        <f t="shared" si="16"/>
        <v>M: </v>
      </c>
      <c r="C5891" s="68"/>
      <c r="D5891" s="68">
        <v>46338.0</v>
      </c>
      <c r="E5891" s="66">
        <v>9.0</v>
      </c>
      <c r="F5891" s="66" t="str">
        <f>IFERROR(__xludf.DUMMYFUNCTION("GOOGLETRANSLATE(A5891,""en"",""pt"")"),"#VALUE!")</f>
        <v>#VALUE!</v>
      </c>
      <c r="G5891" s="69"/>
    </row>
    <row r="5892" ht="22.5" customHeight="1">
      <c r="A5892" s="66"/>
      <c r="B5892" s="67" t="str">
        <f t="shared" si="16"/>
        <v>M: </v>
      </c>
      <c r="C5892" s="68"/>
      <c r="D5892" s="68">
        <v>46339.0</v>
      </c>
      <c r="E5892" s="66">
        <v>10.0</v>
      </c>
      <c r="F5892" s="66" t="str">
        <f>IFERROR(__xludf.DUMMYFUNCTION("GOOGLETRANSLATE(A5892,""en"",""pt"")"),"#VALUE!")</f>
        <v>#VALUE!</v>
      </c>
      <c r="G5892" s="69"/>
    </row>
    <row r="5893" ht="22.5" customHeight="1">
      <c r="A5893" s="66"/>
      <c r="B5893" s="67" t="str">
        <f t="shared" si="16"/>
        <v>M: </v>
      </c>
      <c r="C5893" s="68"/>
      <c r="D5893" s="68">
        <v>46339.0</v>
      </c>
      <c r="E5893" s="66">
        <v>1.0</v>
      </c>
      <c r="F5893" s="66" t="str">
        <f>IFERROR(__xludf.DUMMYFUNCTION("GOOGLETRANSLATE(A5893,""en"",""pt"")"),"#VALUE!")</f>
        <v>#VALUE!</v>
      </c>
      <c r="G5893" s="69"/>
    </row>
    <row r="5894" ht="22.5" customHeight="1">
      <c r="A5894" s="66"/>
      <c r="B5894" s="67" t="str">
        <f t="shared" si="16"/>
        <v>M: </v>
      </c>
      <c r="C5894" s="68"/>
      <c r="D5894" s="68">
        <v>46339.0</v>
      </c>
      <c r="E5894" s="66">
        <v>2.0</v>
      </c>
      <c r="F5894" s="66" t="str">
        <f>IFERROR(__xludf.DUMMYFUNCTION("GOOGLETRANSLATE(A5894,""en"",""pt"")"),"#VALUE!")</f>
        <v>#VALUE!</v>
      </c>
      <c r="G5894" s="69"/>
    </row>
    <row r="5895" ht="22.5" customHeight="1">
      <c r="A5895" s="66"/>
      <c r="B5895" s="67" t="str">
        <f t="shared" si="16"/>
        <v>M: </v>
      </c>
      <c r="C5895" s="68"/>
      <c r="D5895" s="68">
        <v>46339.0</v>
      </c>
      <c r="E5895" s="66">
        <v>3.0</v>
      </c>
      <c r="F5895" s="66" t="str">
        <f>IFERROR(__xludf.DUMMYFUNCTION("GOOGLETRANSLATE(A5895,""en"",""pt"")"),"#VALUE!")</f>
        <v>#VALUE!</v>
      </c>
      <c r="G5895" s="69"/>
    </row>
    <row r="5896" ht="22.5" customHeight="1">
      <c r="A5896" s="66"/>
      <c r="B5896" s="67" t="str">
        <f t="shared" si="16"/>
        <v>M: </v>
      </c>
      <c r="C5896" s="68"/>
      <c r="D5896" s="68">
        <v>46339.0</v>
      </c>
      <c r="E5896" s="66">
        <v>4.0</v>
      </c>
      <c r="F5896" s="66" t="str">
        <f>IFERROR(__xludf.DUMMYFUNCTION("GOOGLETRANSLATE(A5896,""en"",""pt"")"),"#VALUE!")</f>
        <v>#VALUE!</v>
      </c>
      <c r="G5896" s="69"/>
    </row>
    <row r="5897" ht="22.5" customHeight="1">
      <c r="A5897" s="66"/>
      <c r="B5897" s="67" t="str">
        <f t="shared" si="16"/>
        <v>M: </v>
      </c>
      <c r="C5897" s="68"/>
      <c r="D5897" s="68">
        <v>46339.0</v>
      </c>
      <c r="E5897" s="66">
        <v>5.0</v>
      </c>
      <c r="F5897" s="66" t="str">
        <f>IFERROR(__xludf.DUMMYFUNCTION("GOOGLETRANSLATE(A5897,""en"",""pt"")"),"#VALUE!")</f>
        <v>#VALUE!</v>
      </c>
      <c r="G5897" s="69"/>
    </row>
    <row r="5898" ht="22.5" customHeight="1">
      <c r="A5898" s="66"/>
      <c r="B5898" s="67" t="str">
        <f t="shared" si="16"/>
        <v>M: </v>
      </c>
      <c r="C5898" s="68"/>
      <c r="D5898" s="68">
        <v>46339.0</v>
      </c>
      <c r="E5898" s="66">
        <v>6.0</v>
      </c>
      <c r="F5898" s="66" t="str">
        <f>IFERROR(__xludf.DUMMYFUNCTION("GOOGLETRANSLATE(A5898,""en"",""pt"")"),"#VALUE!")</f>
        <v>#VALUE!</v>
      </c>
      <c r="G5898" s="69"/>
    </row>
    <row r="5899" ht="22.5" customHeight="1">
      <c r="A5899" s="66"/>
      <c r="B5899" s="67" t="str">
        <f t="shared" si="16"/>
        <v>M: </v>
      </c>
      <c r="C5899" s="68"/>
      <c r="D5899" s="68">
        <v>46339.0</v>
      </c>
      <c r="E5899" s="66">
        <v>7.0</v>
      </c>
      <c r="F5899" s="66" t="str">
        <f>IFERROR(__xludf.DUMMYFUNCTION("GOOGLETRANSLATE(A5899,""en"",""pt"")"),"#VALUE!")</f>
        <v>#VALUE!</v>
      </c>
      <c r="G5899" s="69"/>
    </row>
    <row r="5900" ht="22.5" customHeight="1">
      <c r="A5900" s="66"/>
      <c r="B5900" s="67" t="str">
        <f t="shared" si="16"/>
        <v>M: </v>
      </c>
      <c r="C5900" s="68"/>
      <c r="D5900" s="68">
        <v>46339.0</v>
      </c>
      <c r="E5900" s="66">
        <v>8.0</v>
      </c>
      <c r="F5900" s="66" t="str">
        <f>IFERROR(__xludf.DUMMYFUNCTION("GOOGLETRANSLATE(A5900,""en"",""pt"")"),"#VALUE!")</f>
        <v>#VALUE!</v>
      </c>
      <c r="G5900" s="69"/>
    </row>
    <row r="5901" ht="22.5" customHeight="1">
      <c r="A5901" s="66"/>
      <c r="B5901" s="67" t="str">
        <f t="shared" si="16"/>
        <v>M: </v>
      </c>
      <c r="C5901" s="68"/>
      <c r="D5901" s="68">
        <v>46339.0</v>
      </c>
      <c r="E5901" s="66">
        <v>9.0</v>
      </c>
      <c r="F5901" s="66" t="str">
        <f>IFERROR(__xludf.DUMMYFUNCTION("GOOGLETRANSLATE(A5901,""en"",""pt"")"),"#VALUE!")</f>
        <v>#VALUE!</v>
      </c>
      <c r="G5901" s="69"/>
    </row>
    <row r="5902" ht="22.5" customHeight="1">
      <c r="A5902" s="66"/>
      <c r="B5902" s="67" t="str">
        <f t="shared" si="16"/>
        <v>M: </v>
      </c>
      <c r="C5902" s="68"/>
      <c r="D5902" s="68">
        <v>46340.0</v>
      </c>
      <c r="E5902" s="66">
        <v>10.0</v>
      </c>
      <c r="F5902" s="66" t="str">
        <f>IFERROR(__xludf.DUMMYFUNCTION("GOOGLETRANSLATE(A5902,""en"",""pt"")"),"#VALUE!")</f>
        <v>#VALUE!</v>
      </c>
      <c r="G5902" s="69"/>
    </row>
    <row r="5903" ht="22.5" customHeight="1">
      <c r="A5903" s="66"/>
      <c r="B5903" s="67" t="str">
        <f t="shared" si="16"/>
        <v>M: </v>
      </c>
      <c r="C5903" s="68"/>
      <c r="D5903" s="68">
        <v>46340.0</v>
      </c>
      <c r="E5903" s="66">
        <v>1.0</v>
      </c>
      <c r="F5903" s="66" t="str">
        <f>IFERROR(__xludf.DUMMYFUNCTION("GOOGLETRANSLATE(A5903,""en"",""pt"")"),"#VALUE!")</f>
        <v>#VALUE!</v>
      </c>
      <c r="G5903" s="69"/>
    </row>
    <row r="5904" ht="22.5" customHeight="1">
      <c r="A5904" s="66"/>
      <c r="B5904" s="67" t="str">
        <f t="shared" si="16"/>
        <v>M: </v>
      </c>
      <c r="C5904" s="68"/>
      <c r="D5904" s="68">
        <v>46340.0</v>
      </c>
      <c r="E5904" s="66">
        <v>2.0</v>
      </c>
      <c r="F5904" s="66" t="str">
        <f>IFERROR(__xludf.DUMMYFUNCTION("GOOGLETRANSLATE(A5904,""en"",""pt"")"),"#VALUE!")</f>
        <v>#VALUE!</v>
      </c>
      <c r="G5904" s="69"/>
    </row>
    <row r="5905" ht="22.5" customHeight="1">
      <c r="A5905" s="66"/>
      <c r="B5905" s="67" t="str">
        <f t="shared" si="16"/>
        <v>M: </v>
      </c>
      <c r="C5905" s="68"/>
      <c r="D5905" s="68">
        <v>46340.0</v>
      </c>
      <c r="E5905" s="66">
        <v>3.0</v>
      </c>
      <c r="F5905" s="66" t="str">
        <f>IFERROR(__xludf.DUMMYFUNCTION("GOOGLETRANSLATE(A5905,""en"",""pt"")"),"#VALUE!")</f>
        <v>#VALUE!</v>
      </c>
      <c r="G5905" s="69"/>
    </row>
    <row r="5906" ht="22.5" customHeight="1">
      <c r="A5906" s="66"/>
      <c r="B5906" s="67" t="str">
        <f t="shared" si="16"/>
        <v>M: </v>
      </c>
      <c r="C5906" s="68"/>
      <c r="D5906" s="68">
        <v>46340.0</v>
      </c>
      <c r="E5906" s="66">
        <v>4.0</v>
      </c>
      <c r="F5906" s="66" t="str">
        <f>IFERROR(__xludf.DUMMYFUNCTION("GOOGLETRANSLATE(A5906,""en"",""pt"")"),"#VALUE!")</f>
        <v>#VALUE!</v>
      </c>
      <c r="G5906" s="69"/>
    </row>
    <row r="5907" ht="22.5" customHeight="1">
      <c r="A5907" s="66"/>
      <c r="B5907" s="67" t="str">
        <f t="shared" si="16"/>
        <v>M: </v>
      </c>
      <c r="C5907" s="68"/>
      <c r="D5907" s="68">
        <v>46340.0</v>
      </c>
      <c r="E5907" s="66">
        <v>5.0</v>
      </c>
      <c r="F5907" s="66" t="str">
        <f>IFERROR(__xludf.DUMMYFUNCTION("GOOGLETRANSLATE(A5907,""en"",""pt"")"),"#VALUE!")</f>
        <v>#VALUE!</v>
      </c>
      <c r="G5907" s="69"/>
    </row>
    <row r="5908" ht="22.5" customHeight="1">
      <c r="A5908" s="66"/>
      <c r="B5908" s="67" t="str">
        <f t="shared" si="16"/>
        <v>M: </v>
      </c>
      <c r="C5908" s="68"/>
      <c r="D5908" s="68">
        <v>46340.0</v>
      </c>
      <c r="E5908" s="66">
        <v>6.0</v>
      </c>
      <c r="F5908" s="66" t="str">
        <f>IFERROR(__xludf.DUMMYFUNCTION("GOOGLETRANSLATE(A5908,""en"",""pt"")"),"#VALUE!")</f>
        <v>#VALUE!</v>
      </c>
      <c r="G5908" s="69"/>
    </row>
    <row r="5909" ht="22.5" customHeight="1">
      <c r="A5909" s="66"/>
      <c r="B5909" s="67" t="str">
        <f t="shared" si="16"/>
        <v>M: </v>
      </c>
      <c r="C5909" s="68"/>
      <c r="D5909" s="68">
        <v>46340.0</v>
      </c>
      <c r="E5909" s="66">
        <v>7.0</v>
      </c>
      <c r="F5909" s="66" t="str">
        <f>IFERROR(__xludf.DUMMYFUNCTION("GOOGLETRANSLATE(A5909,""en"",""pt"")"),"#VALUE!")</f>
        <v>#VALUE!</v>
      </c>
      <c r="G5909" s="69"/>
    </row>
    <row r="5910" ht="22.5" customHeight="1">
      <c r="A5910" s="66"/>
      <c r="B5910" s="67" t="str">
        <f t="shared" si="16"/>
        <v>M: </v>
      </c>
      <c r="C5910" s="68"/>
      <c r="D5910" s="68">
        <v>46340.0</v>
      </c>
      <c r="E5910" s="66">
        <v>8.0</v>
      </c>
      <c r="F5910" s="66" t="str">
        <f>IFERROR(__xludf.DUMMYFUNCTION("GOOGLETRANSLATE(A5910,""en"",""pt"")"),"#VALUE!")</f>
        <v>#VALUE!</v>
      </c>
      <c r="G5910" s="69"/>
    </row>
    <row r="5911" ht="22.5" customHeight="1">
      <c r="A5911" s="66"/>
      <c r="B5911" s="67" t="str">
        <f t="shared" si="16"/>
        <v>M: </v>
      </c>
      <c r="C5911" s="68"/>
      <c r="D5911" s="68">
        <v>46340.0</v>
      </c>
      <c r="E5911" s="66">
        <v>9.0</v>
      </c>
      <c r="F5911" s="66" t="str">
        <f>IFERROR(__xludf.DUMMYFUNCTION("GOOGLETRANSLATE(A5911,""en"",""pt"")"),"#VALUE!")</f>
        <v>#VALUE!</v>
      </c>
      <c r="G5911" s="69"/>
    </row>
    <row r="5912" ht="22.5" customHeight="1">
      <c r="A5912" s="66"/>
      <c r="B5912" s="67" t="str">
        <f t="shared" si="16"/>
        <v>M: </v>
      </c>
      <c r="C5912" s="68"/>
      <c r="D5912" s="68">
        <v>46341.0</v>
      </c>
      <c r="E5912" s="66">
        <v>10.0</v>
      </c>
      <c r="F5912" s="66" t="str">
        <f>IFERROR(__xludf.DUMMYFUNCTION("GOOGLETRANSLATE(A5912,""en"",""pt"")"),"#VALUE!")</f>
        <v>#VALUE!</v>
      </c>
      <c r="G5912" s="69"/>
    </row>
    <row r="5913" ht="22.5" customHeight="1">
      <c r="A5913" s="66"/>
      <c r="B5913" s="67" t="str">
        <f t="shared" si="16"/>
        <v>M: </v>
      </c>
      <c r="C5913" s="68"/>
      <c r="D5913" s="68">
        <v>46341.0</v>
      </c>
      <c r="E5913" s="66">
        <v>1.0</v>
      </c>
      <c r="F5913" s="66" t="str">
        <f>IFERROR(__xludf.DUMMYFUNCTION("GOOGLETRANSLATE(A5913,""en"",""pt"")"),"#VALUE!")</f>
        <v>#VALUE!</v>
      </c>
      <c r="G5913" s="69"/>
    </row>
    <row r="5914" ht="22.5" customHeight="1">
      <c r="A5914" s="66"/>
      <c r="B5914" s="67" t="str">
        <f t="shared" si="16"/>
        <v>M: </v>
      </c>
      <c r="C5914" s="68"/>
      <c r="D5914" s="68">
        <v>46341.0</v>
      </c>
      <c r="E5914" s="66">
        <v>2.0</v>
      </c>
      <c r="F5914" s="66" t="str">
        <f>IFERROR(__xludf.DUMMYFUNCTION("GOOGLETRANSLATE(A5914,""en"",""pt"")"),"#VALUE!")</f>
        <v>#VALUE!</v>
      </c>
      <c r="G5914" s="69"/>
    </row>
    <row r="5915" ht="22.5" customHeight="1">
      <c r="A5915" s="66"/>
      <c r="B5915" s="67" t="str">
        <f t="shared" si="16"/>
        <v>M: </v>
      </c>
      <c r="C5915" s="68"/>
      <c r="D5915" s="68">
        <v>46341.0</v>
      </c>
      <c r="E5915" s="66">
        <v>3.0</v>
      </c>
      <c r="F5915" s="66" t="str">
        <f>IFERROR(__xludf.DUMMYFUNCTION("GOOGLETRANSLATE(A5915,""en"",""pt"")"),"#VALUE!")</f>
        <v>#VALUE!</v>
      </c>
      <c r="G5915" s="69"/>
    </row>
    <row r="5916" ht="22.5" customHeight="1">
      <c r="A5916" s="66"/>
      <c r="B5916" s="67" t="str">
        <f t="shared" si="16"/>
        <v>M: </v>
      </c>
      <c r="C5916" s="68"/>
      <c r="D5916" s="68">
        <v>46341.0</v>
      </c>
      <c r="E5916" s="66">
        <v>4.0</v>
      </c>
      <c r="F5916" s="66" t="str">
        <f>IFERROR(__xludf.DUMMYFUNCTION("GOOGLETRANSLATE(A5916,""en"",""pt"")"),"#VALUE!")</f>
        <v>#VALUE!</v>
      </c>
      <c r="G5916" s="69"/>
    </row>
    <row r="5917" ht="22.5" customHeight="1">
      <c r="A5917" s="66"/>
      <c r="B5917" s="67" t="str">
        <f t="shared" si="16"/>
        <v>M: </v>
      </c>
      <c r="C5917" s="68"/>
      <c r="D5917" s="68">
        <v>46341.0</v>
      </c>
      <c r="E5917" s="66">
        <v>5.0</v>
      </c>
      <c r="F5917" s="66" t="str">
        <f>IFERROR(__xludf.DUMMYFUNCTION("GOOGLETRANSLATE(A5917,""en"",""pt"")"),"#VALUE!")</f>
        <v>#VALUE!</v>
      </c>
      <c r="G5917" s="69"/>
    </row>
    <row r="5918" ht="22.5" customHeight="1">
      <c r="A5918" s="66"/>
      <c r="B5918" s="67" t="str">
        <f t="shared" si="16"/>
        <v>M: </v>
      </c>
      <c r="C5918" s="68"/>
      <c r="D5918" s="68">
        <v>46341.0</v>
      </c>
      <c r="E5918" s="66">
        <v>6.0</v>
      </c>
      <c r="F5918" s="66" t="str">
        <f>IFERROR(__xludf.DUMMYFUNCTION("GOOGLETRANSLATE(A5918,""en"",""pt"")"),"#VALUE!")</f>
        <v>#VALUE!</v>
      </c>
      <c r="G5918" s="69"/>
    </row>
    <row r="5919" ht="22.5" customHeight="1">
      <c r="A5919" s="66"/>
      <c r="B5919" s="67" t="str">
        <f t="shared" si="16"/>
        <v>M: </v>
      </c>
      <c r="C5919" s="68"/>
      <c r="D5919" s="68">
        <v>46341.0</v>
      </c>
      <c r="E5919" s="66">
        <v>7.0</v>
      </c>
      <c r="F5919" s="66" t="str">
        <f>IFERROR(__xludf.DUMMYFUNCTION("GOOGLETRANSLATE(A5919,""en"",""pt"")"),"#VALUE!")</f>
        <v>#VALUE!</v>
      </c>
      <c r="G5919" s="69"/>
    </row>
    <row r="5920" ht="22.5" customHeight="1">
      <c r="A5920" s="66"/>
      <c r="B5920" s="67" t="str">
        <f t="shared" si="16"/>
        <v>M: </v>
      </c>
      <c r="C5920" s="68"/>
      <c r="D5920" s="68">
        <v>46341.0</v>
      </c>
      <c r="E5920" s="66">
        <v>8.0</v>
      </c>
      <c r="F5920" s="66" t="str">
        <f>IFERROR(__xludf.DUMMYFUNCTION("GOOGLETRANSLATE(A5920,""en"",""pt"")"),"#VALUE!")</f>
        <v>#VALUE!</v>
      </c>
      <c r="G5920" s="69"/>
    </row>
    <row r="5921" ht="22.5" customHeight="1">
      <c r="A5921" s="66"/>
      <c r="B5921" s="67" t="str">
        <f t="shared" si="16"/>
        <v>M: </v>
      </c>
      <c r="C5921" s="68"/>
      <c r="D5921" s="68">
        <v>46341.0</v>
      </c>
      <c r="E5921" s="66">
        <v>9.0</v>
      </c>
      <c r="F5921" s="66" t="str">
        <f>IFERROR(__xludf.DUMMYFUNCTION("GOOGLETRANSLATE(A5921,""en"",""pt"")"),"#VALUE!")</f>
        <v>#VALUE!</v>
      </c>
      <c r="G5921" s="69"/>
    </row>
    <row r="5922" ht="22.5" customHeight="1">
      <c r="A5922" s="66"/>
      <c r="B5922" s="67" t="str">
        <f t="shared" si="16"/>
        <v>M: </v>
      </c>
      <c r="C5922" s="68"/>
      <c r="D5922" s="68">
        <v>46342.0</v>
      </c>
      <c r="E5922" s="66">
        <v>10.0</v>
      </c>
      <c r="F5922" s="66" t="str">
        <f>IFERROR(__xludf.DUMMYFUNCTION("GOOGLETRANSLATE(A5922,""en"",""pt"")"),"#VALUE!")</f>
        <v>#VALUE!</v>
      </c>
      <c r="G5922" s="69"/>
    </row>
    <row r="5923" ht="22.5" customHeight="1">
      <c r="A5923" s="66"/>
      <c r="B5923" s="67" t="str">
        <f t="shared" si="16"/>
        <v>M: </v>
      </c>
      <c r="C5923" s="68"/>
      <c r="D5923" s="68">
        <v>46342.0</v>
      </c>
      <c r="E5923" s="66">
        <v>1.0</v>
      </c>
      <c r="F5923" s="66" t="str">
        <f>IFERROR(__xludf.DUMMYFUNCTION("GOOGLETRANSLATE(A5923,""en"",""pt"")"),"#VALUE!")</f>
        <v>#VALUE!</v>
      </c>
      <c r="G5923" s="69"/>
    </row>
    <row r="5924" ht="22.5" customHeight="1">
      <c r="A5924" s="66"/>
      <c r="B5924" s="67" t="str">
        <f t="shared" si="16"/>
        <v>M: </v>
      </c>
      <c r="C5924" s="68"/>
      <c r="D5924" s="68">
        <v>46342.0</v>
      </c>
      <c r="E5924" s="66">
        <v>2.0</v>
      </c>
      <c r="F5924" s="66" t="str">
        <f>IFERROR(__xludf.DUMMYFUNCTION("GOOGLETRANSLATE(A5924,""en"",""pt"")"),"#VALUE!")</f>
        <v>#VALUE!</v>
      </c>
      <c r="G5924" s="69"/>
    </row>
    <row r="5925" ht="22.5" customHeight="1">
      <c r="A5925" s="66"/>
      <c r="B5925" s="67" t="str">
        <f t="shared" si="16"/>
        <v>M: </v>
      </c>
      <c r="C5925" s="68"/>
      <c r="D5925" s="68">
        <v>46342.0</v>
      </c>
      <c r="E5925" s="66">
        <v>3.0</v>
      </c>
      <c r="F5925" s="66" t="str">
        <f>IFERROR(__xludf.DUMMYFUNCTION("GOOGLETRANSLATE(A5925,""en"",""pt"")"),"#VALUE!")</f>
        <v>#VALUE!</v>
      </c>
      <c r="G5925" s="69"/>
    </row>
    <row r="5926" ht="22.5" customHeight="1">
      <c r="A5926" s="66"/>
      <c r="B5926" s="67" t="str">
        <f t="shared" si="16"/>
        <v>M: </v>
      </c>
      <c r="C5926" s="68"/>
      <c r="D5926" s="68">
        <v>46342.0</v>
      </c>
      <c r="E5926" s="66">
        <v>4.0</v>
      </c>
      <c r="F5926" s="66" t="str">
        <f>IFERROR(__xludf.DUMMYFUNCTION("GOOGLETRANSLATE(A5926,""en"",""pt"")"),"#VALUE!")</f>
        <v>#VALUE!</v>
      </c>
      <c r="G5926" s="69"/>
    </row>
    <row r="5927" ht="22.5" customHeight="1">
      <c r="A5927" s="66"/>
      <c r="B5927" s="67" t="str">
        <f t="shared" si="16"/>
        <v>M: </v>
      </c>
      <c r="C5927" s="68"/>
      <c r="D5927" s="68">
        <v>46342.0</v>
      </c>
      <c r="E5927" s="66">
        <v>5.0</v>
      </c>
      <c r="F5927" s="66" t="str">
        <f>IFERROR(__xludf.DUMMYFUNCTION("GOOGLETRANSLATE(A5927,""en"",""pt"")"),"#VALUE!")</f>
        <v>#VALUE!</v>
      </c>
      <c r="G5927" s="69"/>
    </row>
    <row r="5928" ht="22.5" customHeight="1">
      <c r="A5928" s="66"/>
      <c r="B5928" s="67" t="str">
        <f t="shared" si="16"/>
        <v>M: </v>
      </c>
      <c r="C5928" s="68"/>
      <c r="D5928" s="68">
        <v>46342.0</v>
      </c>
      <c r="E5928" s="66">
        <v>6.0</v>
      </c>
      <c r="F5928" s="66" t="str">
        <f>IFERROR(__xludf.DUMMYFUNCTION("GOOGLETRANSLATE(A5928,""en"",""pt"")"),"#VALUE!")</f>
        <v>#VALUE!</v>
      </c>
      <c r="G5928" s="69"/>
    </row>
    <row r="5929" ht="22.5" customHeight="1">
      <c r="A5929" s="66"/>
      <c r="B5929" s="67" t="str">
        <f t="shared" si="16"/>
        <v>M: </v>
      </c>
      <c r="C5929" s="68"/>
      <c r="D5929" s="68">
        <v>46342.0</v>
      </c>
      <c r="E5929" s="66">
        <v>7.0</v>
      </c>
      <c r="F5929" s="66" t="str">
        <f>IFERROR(__xludf.DUMMYFUNCTION("GOOGLETRANSLATE(A5929,""en"",""pt"")"),"#VALUE!")</f>
        <v>#VALUE!</v>
      </c>
      <c r="G5929" s="69"/>
    </row>
    <row r="5930" ht="22.5" customHeight="1">
      <c r="A5930" s="66"/>
      <c r="B5930" s="67" t="str">
        <f t="shared" si="16"/>
        <v>M: </v>
      </c>
      <c r="C5930" s="68"/>
      <c r="D5930" s="68">
        <v>46342.0</v>
      </c>
      <c r="E5930" s="66">
        <v>8.0</v>
      </c>
      <c r="F5930" s="66" t="str">
        <f>IFERROR(__xludf.DUMMYFUNCTION("GOOGLETRANSLATE(A5930,""en"",""pt"")"),"#VALUE!")</f>
        <v>#VALUE!</v>
      </c>
      <c r="G5930" s="69"/>
    </row>
    <row r="5931" ht="22.5" customHeight="1">
      <c r="A5931" s="66"/>
      <c r="B5931" s="67" t="str">
        <f t="shared" si="16"/>
        <v>M: </v>
      </c>
      <c r="C5931" s="68"/>
      <c r="D5931" s="68">
        <v>46342.0</v>
      </c>
      <c r="E5931" s="66">
        <v>9.0</v>
      </c>
      <c r="F5931" s="66" t="str">
        <f>IFERROR(__xludf.DUMMYFUNCTION("GOOGLETRANSLATE(A5931,""en"",""pt"")"),"#VALUE!")</f>
        <v>#VALUE!</v>
      </c>
      <c r="G5931" s="69"/>
    </row>
    <row r="5932" ht="22.5" customHeight="1">
      <c r="A5932" s="66"/>
      <c r="B5932" s="67" t="str">
        <f t="shared" si="16"/>
        <v>M: </v>
      </c>
      <c r="C5932" s="68"/>
      <c r="D5932" s="68">
        <v>46343.0</v>
      </c>
      <c r="E5932" s="66">
        <v>10.0</v>
      </c>
      <c r="F5932" s="66" t="str">
        <f>IFERROR(__xludf.DUMMYFUNCTION("GOOGLETRANSLATE(A5932,""en"",""pt"")"),"#VALUE!")</f>
        <v>#VALUE!</v>
      </c>
      <c r="G5932" s="69"/>
    </row>
    <row r="5933" ht="22.5" customHeight="1">
      <c r="A5933" s="66"/>
      <c r="B5933" s="67" t="str">
        <f t="shared" si="16"/>
        <v>M: </v>
      </c>
      <c r="C5933" s="68"/>
      <c r="D5933" s="68">
        <v>46343.0</v>
      </c>
      <c r="E5933" s="66">
        <v>1.0</v>
      </c>
      <c r="F5933" s="66" t="str">
        <f>IFERROR(__xludf.DUMMYFUNCTION("GOOGLETRANSLATE(A5933,""en"",""pt"")"),"#VALUE!")</f>
        <v>#VALUE!</v>
      </c>
      <c r="G5933" s="69"/>
    </row>
    <row r="5934" ht="22.5" customHeight="1">
      <c r="A5934" s="66"/>
      <c r="B5934" s="67" t="str">
        <f t="shared" si="16"/>
        <v>M: </v>
      </c>
      <c r="C5934" s="68"/>
      <c r="D5934" s="68">
        <v>46343.0</v>
      </c>
      <c r="E5934" s="66">
        <v>2.0</v>
      </c>
      <c r="F5934" s="66" t="str">
        <f>IFERROR(__xludf.DUMMYFUNCTION("GOOGLETRANSLATE(A5934,""en"",""pt"")"),"#VALUE!")</f>
        <v>#VALUE!</v>
      </c>
      <c r="G5934" s="69"/>
    </row>
    <row r="5935" ht="22.5" customHeight="1">
      <c r="A5935" s="66"/>
      <c r="B5935" s="67" t="str">
        <f t="shared" si="16"/>
        <v>M: </v>
      </c>
      <c r="C5935" s="68"/>
      <c r="D5935" s="68">
        <v>46343.0</v>
      </c>
      <c r="E5935" s="66">
        <v>3.0</v>
      </c>
      <c r="F5935" s="66" t="str">
        <f>IFERROR(__xludf.DUMMYFUNCTION("GOOGLETRANSLATE(A5935,""en"",""pt"")"),"#VALUE!")</f>
        <v>#VALUE!</v>
      </c>
      <c r="G5935" s="69"/>
    </row>
    <row r="5936" ht="22.5" customHeight="1">
      <c r="A5936" s="66"/>
      <c r="B5936" s="67" t="str">
        <f t="shared" si="16"/>
        <v>M: </v>
      </c>
      <c r="C5936" s="68"/>
      <c r="D5936" s="68">
        <v>46343.0</v>
      </c>
      <c r="E5936" s="66">
        <v>4.0</v>
      </c>
      <c r="F5936" s="66" t="str">
        <f>IFERROR(__xludf.DUMMYFUNCTION("GOOGLETRANSLATE(A5936,""en"",""pt"")"),"#VALUE!")</f>
        <v>#VALUE!</v>
      </c>
      <c r="G5936" s="69"/>
    </row>
    <row r="5937" ht="22.5" customHeight="1">
      <c r="A5937" s="66"/>
      <c r="B5937" s="67" t="str">
        <f t="shared" si="16"/>
        <v>M: </v>
      </c>
      <c r="C5937" s="68"/>
      <c r="D5937" s="68">
        <v>46343.0</v>
      </c>
      <c r="E5937" s="66">
        <v>5.0</v>
      </c>
      <c r="F5937" s="66" t="str">
        <f>IFERROR(__xludf.DUMMYFUNCTION("GOOGLETRANSLATE(A5937,""en"",""pt"")"),"#VALUE!")</f>
        <v>#VALUE!</v>
      </c>
      <c r="G5937" s="69"/>
    </row>
    <row r="5938" ht="22.5" customHeight="1">
      <c r="A5938" s="66"/>
      <c r="B5938" s="67" t="str">
        <f t="shared" si="16"/>
        <v>M: </v>
      </c>
      <c r="C5938" s="68"/>
      <c r="D5938" s="68">
        <v>46343.0</v>
      </c>
      <c r="E5938" s="66">
        <v>6.0</v>
      </c>
      <c r="F5938" s="66" t="str">
        <f>IFERROR(__xludf.DUMMYFUNCTION("GOOGLETRANSLATE(A5938,""en"",""pt"")"),"#VALUE!")</f>
        <v>#VALUE!</v>
      </c>
      <c r="G5938" s="69"/>
    </row>
    <row r="5939" ht="22.5" customHeight="1">
      <c r="A5939" s="66"/>
      <c r="B5939" s="67" t="str">
        <f t="shared" si="16"/>
        <v>M: </v>
      </c>
      <c r="C5939" s="68"/>
      <c r="D5939" s="68">
        <v>46343.0</v>
      </c>
      <c r="E5939" s="66">
        <v>7.0</v>
      </c>
      <c r="F5939" s="66" t="str">
        <f>IFERROR(__xludf.DUMMYFUNCTION("GOOGLETRANSLATE(A5939,""en"",""pt"")"),"#VALUE!")</f>
        <v>#VALUE!</v>
      </c>
      <c r="G5939" s="69"/>
    </row>
    <row r="5940" ht="22.5" customHeight="1">
      <c r="A5940" s="66"/>
      <c r="B5940" s="67" t="str">
        <f t="shared" si="16"/>
        <v>M: </v>
      </c>
      <c r="C5940" s="68"/>
      <c r="D5940" s="68">
        <v>46343.0</v>
      </c>
      <c r="E5940" s="66">
        <v>8.0</v>
      </c>
      <c r="F5940" s="66" t="str">
        <f>IFERROR(__xludf.DUMMYFUNCTION("GOOGLETRANSLATE(A5940,""en"",""pt"")"),"#VALUE!")</f>
        <v>#VALUE!</v>
      </c>
      <c r="G5940" s="69"/>
    </row>
    <row r="5941" ht="22.5" customHeight="1">
      <c r="A5941" s="66"/>
      <c r="B5941" s="67" t="str">
        <f t="shared" si="16"/>
        <v>M: </v>
      </c>
      <c r="C5941" s="68"/>
      <c r="D5941" s="68">
        <v>46343.0</v>
      </c>
      <c r="E5941" s="66">
        <v>9.0</v>
      </c>
      <c r="F5941" s="66" t="str">
        <f>IFERROR(__xludf.DUMMYFUNCTION("GOOGLETRANSLATE(A5941,""en"",""pt"")"),"#VALUE!")</f>
        <v>#VALUE!</v>
      </c>
      <c r="G5941" s="69"/>
    </row>
    <row r="5942" ht="22.5" customHeight="1">
      <c r="A5942" s="66"/>
      <c r="B5942" s="67" t="str">
        <f t="shared" si="16"/>
        <v>M: </v>
      </c>
      <c r="C5942" s="68"/>
      <c r="D5942" s="68">
        <v>46344.0</v>
      </c>
      <c r="E5942" s="66">
        <v>10.0</v>
      </c>
      <c r="F5942" s="66" t="str">
        <f>IFERROR(__xludf.DUMMYFUNCTION("GOOGLETRANSLATE(A5942,""en"",""pt"")"),"#VALUE!")</f>
        <v>#VALUE!</v>
      </c>
      <c r="G5942" s="69"/>
    </row>
    <row r="5943" ht="22.5" customHeight="1">
      <c r="A5943" s="66"/>
      <c r="B5943" s="67" t="str">
        <f t="shared" si="16"/>
        <v>M: </v>
      </c>
      <c r="C5943" s="68"/>
      <c r="D5943" s="68">
        <v>46344.0</v>
      </c>
      <c r="E5943" s="66">
        <v>1.0</v>
      </c>
      <c r="F5943" s="66" t="str">
        <f>IFERROR(__xludf.DUMMYFUNCTION("GOOGLETRANSLATE(A5943,""en"",""pt"")"),"#VALUE!")</f>
        <v>#VALUE!</v>
      </c>
      <c r="G5943" s="69"/>
    </row>
    <row r="5944" ht="22.5" customHeight="1">
      <c r="A5944" s="66"/>
      <c r="B5944" s="67" t="str">
        <f t="shared" si="16"/>
        <v>M: </v>
      </c>
      <c r="C5944" s="68"/>
      <c r="D5944" s="68">
        <v>46344.0</v>
      </c>
      <c r="E5944" s="66">
        <v>2.0</v>
      </c>
      <c r="F5944" s="66" t="str">
        <f>IFERROR(__xludf.DUMMYFUNCTION("GOOGLETRANSLATE(A5944,""en"",""pt"")"),"#VALUE!")</f>
        <v>#VALUE!</v>
      </c>
      <c r="G5944" s="69"/>
    </row>
    <row r="5945" ht="22.5" customHeight="1">
      <c r="A5945" s="66"/>
      <c r="B5945" s="67" t="str">
        <f t="shared" si="16"/>
        <v>M: </v>
      </c>
      <c r="C5945" s="68"/>
      <c r="D5945" s="68">
        <v>46344.0</v>
      </c>
      <c r="E5945" s="66">
        <v>3.0</v>
      </c>
      <c r="F5945" s="66" t="str">
        <f>IFERROR(__xludf.DUMMYFUNCTION("GOOGLETRANSLATE(A5945,""en"",""pt"")"),"#VALUE!")</f>
        <v>#VALUE!</v>
      </c>
      <c r="G5945" s="69"/>
    </row>
    <row r="5946" ht="22.5" customHeight="1">
      <c r="A5946" s="66"/>
      <c r="B5946" s="67" t="str">
        <f t="shared" si="16"/>
        <v>M: </v>
      </c>
      <c r="C5946" s="68"/>
      <c r="D5946" s="68">
        <v>46344.0</v>
      </c>
      <c r="E5946" s="66">
        <v>4.0</v>
      </c>
      <c r="F5946" s="66" t="str">
        <f>IFERROR(__xludf.DUMMYFUNCTION("GOOGLETRANSLATE(A5946,""en"",""pt"")"),"#VALUE!")</f>
        <v>#VALUE!</v>
      </c>
      <c r="G5946" s="69"/>
    </row>
    <row r="5947" ht="22.5" customHeight="1">
      <c r="A5947" s="66"/>
      <c r="B5947" s="67" t="str">
        <f t="shared" si="16"/>
        <v>M: </v>
      </c>
      <c r="C5947" s="68"/>
      <c r="D5947" s="68">
        <v>46344.0</v>
      </c>
      <c r="E5947" s="66">
        <v>5.0</v>
      </c>
      <c r="F5947" s="66" t="str">
        <f>IFERROR(__xludf.DUMMYFUNCTION("GOOGLETRANSLATE(A5947,""en"",""pt"")"),"#VALUE!")</f>
        <v>#VALUE!</v>
      </c>
      <c r="G5947" s="69"/>
    </row>
    <row r="5948" ht="22.5" customHeight="1">
      <c r="A5948" s="66"/>
      <c r="B5948" s="67" t="str">
        <f t="shared" si="16"/>
        <v>M: </v>
      </c>
      <c r="C5948" s="68"/>
      <c r="D5948" s="68">
        <v>46344.0</v>
      </c>
      <c r="E5948" s="66">
        <v>6.0</v>
      </c>
      <c r="F5948" s="66" t="str">
        <f>IFERROR(__xludf.DUMMYFUNCTION("GOOGLETRANSLATE(A5948,""en"",""pt"")"),"#VALUE!")</f>
        <v>#VALUE!</v>
      </c>
      <c r="G5948" s="69"/>
    </row>
    <row r="5949" ht="22.5" customHeight="1">
      <c r="A5949" s="66"/>
      <c r="B5949" s="67" t="str">
        <f t="shared" si="16"/>
        <v>M: </v>
      </c>
      <c r="C5949" s="68"/>
      <c r="D5949" s="68">
        <v>46344.0</v>
      </c>
      <c r="E5949" s="66">
        <v>7.0</v>
      </c>
      <c r="F5949" s="66" t="str">
        <f>IFERROR(__xludf.DUMMYFUNCTION("GOOGLETRANSLATE(A5949,""en"",""pt"")"),"#VALUE!")</f>
        <v>#VALUE!</v>
      </c>
      <c r="G5949" s="69"/>
    </row>
    <row r="5950" ht="22.5" customHeight="1">
      <c r="A5950" s="66"/>
      <c r="B5950" s="67" t="str">
        <f t="shared" si="16"/>
        <v>M: </v>
      </c>
      <c r="C5950" s="68"/>
      <c r="D5950" s="68">
        <v>46344.0</v>
      </c>
      <c r="E5950" s="66">
        <v>8.0</v>
      </c>
      <c r="F5950" s="66" t="str">
        <f>IFERROR(__xludf.DUMMYFUNCTION("GOOGLETRANSLATE(A5950,""en"",""pt"")"),"#VALUE!")</f>
        <v>#VALUE!</v>
      </c>
      <c r="G5950" s="69"/>
    </row>
    <row r="5951" ht="22.5" customHeight="1">
      <c r="A5951" s="66"/>
      <c r="B5951" s="67" t="str">
        <f t="shared" si="16"/>
        <v>M: </v>
      </c>
      <c r="C5951" s="68"/>
      <c r="D5951" s="68">
        <v>46344.0</v>
      </c>
      <c r="E5951" s="66">
        <v>9.0</v>
      </c>
      <c r="F5951" s="66" t="str">
        <f>IFERROR(__xludf.DUMMYFUNCTION("GOOGLETRANSLATE(A5951,""en"",""pt"")"),"#VALUE!")</f>
        <v>#VALUE!</v>
      </c>
      <c r="G5951" s="69"/>
    </row>
    <row r="5952" ht="22.5" customHeight="1">
      <c r="A5952" s="66"/>
      <c r="B5952" s="67" t="str">
        <f t="shared" si="16"/>
        <v>M: </v>
      </c>
      <c r="C5952" s="68"/>
      <c r="D5952" s="68">
        <v>46345.0</v>
      </c>
      <c r="E5952" s="66">
        <v>10.0</v>
      </c>
      <c r="F5952" s="66" t="str">
        <f>IFERROR(__xludf.DUMMYFUNCTION("GOOGLETRANSLATE(A5952,""en"",""pt"")"),"#VALUE!")</f>
        <v>#VALUE!</v>
      </c>
      <c r="G5952" s="69"/>
    </row>
    <row r="5953" ht="22.5" customHeight="1">
      <c r="A5953" s="66"/>
      <c r="B5953" s="67" t="str">
        <f t="shared" si="16"/>
        <v>M: </v>
      </c>
      <c r="C5953" s="68"/>
      <c r="D5953" s="68">
        <v>46345.0</v>
      </c>
      <c r="E5953" s="66">
        <v>1.0</v>
      </c>
      <c r="F5953" s="66" t="str">
        <f>IFERROR(__xludf.DUMMYFUNCTION("GOOGLETRANSLATE(A5953,""en"",""pt"")"),"#VALUE!")</f>
        <v>#VALUE!</v>
      </c>
      <c r="G5953" s="69"/>
    </row>
    <row r="5954" ht="22.5" customHeight="1">
      <c r="A5954" s="66"/>
      <c r="B5954" s="67" t="str">
        <f t="shared" si="16"/>
        <v>M: </v>
      </c>
      <c r="C5954" s="68"/>
      <c r="D5954" s="68">
        <v>46345.0</v>
      </c>
      <c r="E5954" s="66">
        <v>2.0</v>
      </c>
      <c r="F5954" s="66" t="str">
        <f>IFERROR(__xludf.DUMMYFUNCTION("GOOGLETRANSLATE(A5954,""en"",""pt"")"),"#VALUE!")</f>
        <v>#VALUE!</v>
      </c>
      <c r="G5954" s="69"/>
    </row>
    <row r="5955" ht="22.5" customHeight="1">
      <c r="A5955" s="66"/>
      <c r="B5955" s="67" t="str">
        <f t="shared" si="16"/>
        <v>M: </v>
      </c>
      <c r="C5955" s="68"/>
      <c r="D5955" s="68">
        <v>46345.0</v>
      </c>
      <c r="E5955" s="66">
        <v>3.0</v>
      </c>
      <c r="F5955" s="66" t="str">
        <f>IFERROR(__xludf.DUMMYFUNCTION("GOOGLETRANSLATE(A5955,""en"",""pt"")"),"#VALUE!")</f>
        <v>#VALUE!</v>
      </c>
      <c r="G5955" s="69"/>
    </row>
    <row r="5956" ht="22.5" customHeight="1">
      <c r="A5956" s="66"/>
      <c r="B5956" s="67" t="str">
        <f t="shared" si="16"/>
        <v>M: </v>
      </c>
      <c r="C5956" s="68"/>
      <c r="D5956" s="68">
        <v>46345.0</v>
      </c>
      <c r="E5956" s="66">
        <v>4.0</v>
      </c>
      <c r="F5956" s="66" t="str">
        <f>IFERROR(__xludf.DUMMYFUNCTION("GOOGLETRANSLATE(A5956,""en"",""pt"")"),"#VALUE!")</f>
        <v>#VALUE!</v>
      </c>
      <c r="G5956" s="69"/>
    </row>
    <row r="5957" ht="22.5" customHeight="1">
      <c r="A5957" s="66"/>
      <c r="B5957" s="67" t="str">
        <f t="shared" si="16"/>
        <v>M: </v>
      </c>
      <c r="C5957" s="68"/>
      <c r="D5957" s="68">
        <v>46345.0</v>
      </c>
      <c r="E5957" s="66">
        <v>5.0</v>
      </c>
      <c r="F5957" s="66" t="str">
        <f>IFERROR(__xludf.DUMMYFUNCTION("GOOGLETRANSLATE(A5957,""en"",""pt"")"),"#VALUE!")</f>
        <v>#VALUE!</v>
      </c>
      <c r="G5957" s="69"/>
    </row>
    <row r="5958" ht="22.5" customHeight="1">
      <c r="A5958" s="66"/>
      <c r="B5958" s="67" t="str">
        <f t="shared" si="16"/>
        <v>M: </v>
      </c>
      <c r="C5958" s="68"/>
      <c r="D5958" s="68">
        <v>46345.0</v>
      </c>
      <c r="E5958" s="66">
        <v>6.0</v>
      </c>
      <c r="F5958" s="66" t="str">
        <f>IFERROR(__xludf.DUMMYFUNCTION("GOOGLETRANSLATE(A5958,""en"",""pt"")"),"#VALUE!")</f>
        <v>#VALUE!</v>
      </c>
      <c r="G5958" s="69"/>
    </row>
    <row r="5959" ht="22.5" customHeight="1">
      <c r="A5959" s="66"/>
      <c r="B5959" s="67" t="str">
        <f t="shared" si="16"/>
        <v>M: </v>
      </c>
      <c r="C5959" s="68"/>
      <c r="D5959" s="68">
        <v>46345.0</v>
      </c>
      <c r="E5959" s="66">
        <v>7.0</v>
      </c>
      <c r="F5959" s="66" t="str">
        <f>IFERROR(__xludf.DUMMYFUNCTION("GOOGLETRANSLATE(A5959,""en"",""pt"")"),"#VALUE!")</f>
        <v>#VALUE!</v>
      </c>
      <c r="G5959" s="69"/>
    </row>
    <row r="5960" ht="22.5" customHeight="1">
      <c r="A5960" s="66"/>
      <c r="B5960" s="67" t="str">
        <f t="shared" si="16"/>
        <v>M: </v>
      </c>
      <c r="C5960" s="68"/>
      <c r="D5960" s="68">
        <v>46345.0</v>
      </c>
      <c r="E5960" s="66">
        <v>8.0</v>
      </c>
      <c r="F5960" s="66" t="str">
        <f>IFERROR(__xludf.DUMMYFUNCTION("GOOGLETRANSLATE(A5960,""en"",""pt"")"),"#VALUE!")</f>
        <v>#VALUE!</v>
      </c>
      <c r="G5960" s="69"/>
    </row>
    <row r="5961" ht="22.5" customHeight="1">
      <c r="A5961" s="66"/>
      <c r="B5961" s="67" t="str">
        <f t="shared" si="16"/>
        <v>M: </v>
      </c>
      <c r="C5961" s="68"/>
      <c r="D5961" s="68">
        <v>46345.0</v>
      </c>
      <c r="E5961" s="66">
        <v>9.0</v>
      </c>
      <c r="F5961" s="66" t="str">
        <f>IFERROR(__xludf.DUMMYFUNCTION("GOOGLETRANSLATE(A5961,""en"",""pt"")"),"#VALUE!")</f>
        <v>#VALUE!</v>
      </c>
      <c r="G5961" s="69"/>
    </row>
    <row r="5962" ht="22.5" customHeight="1">
      <c r="A5962" s="66"/>
      <c r="B5962" s="67" t="str">
        <f t="shared" si="16"/>
        <v>M: </v>
      </c>
      <c r="C5962" s="68"/>
      <c r="D5962" s="68">
        <v>46346.0</v>
      </c>
      <c r="E5962" s="66">
        <v>10.0</v>
      </c>
      <c r="F5962" s="66" t="str">
        <f>IFERROR(__xludf.DUMMYFUNCTION("GOOGLETRANSLATE(A5962,""en"",""pt"")"),"#VALUE!")</f>
        <v>#VALUE!</v>
      </c>
      <c r="G5962" s="69"/>
    </row>
    <row r="5963" ht="22.5" customHeight="1">
      <c r="A5963" s="66"/>
      <c r="B5963" s="67" t="str">
        <f t="shared" si="16"/>
        <v>M: </v>
      </c>
      <c r="C5963" s="68"/>
      <c r="D5963" s="68">
        <v>46346.0</v>
      </c>
      <c r="E5963" s="66">
        <v>1.0</v>
      </c>
      <c r="F5963" s="66" t="str">
        <f>IFERROR(__xludf.DUMMYFUNCTION("GOOGLETRANSLATE(A5963,""en"",""pt"")"),"#VALUE!")</f>
        <v>#VALUE!</v>
      </c>
      <c r="G5963" s="69"/>
    </row>
    <row r="5964" ht="22.5" customHeight="1">
      <c r="A5964" s="66"/>
      <c r="B5964" s="67" t="str">
        <f t="shared" si="16"/>
        <v>M: </v>
      </c>
      <c r="C5964" s="68"/>
      <c r="D5964" s="68">
        <v>46346.0</v>
      </c>
      <c r="E5964" s="66">
        <v>2.0</v>
      </c>
      <c r="F5964" s="66" t="str">
        <f>IFERROR(__xludf.DUMMYFUNCTION("GOOGLETRANSLATE(A5964,""en"",""pt"")"),"#VALUE!")</f>
        <v>#VALUE!</v>
      </c>
      <c r="G5964" s="69"/>
    </row>
    <row r="5965" ht="22.5" customHeight="1">
      <c r="A5965" s="66"/>
      <c r="B5965" s="67" t="str">
        <f t="shared" si="16"/>
        <v>M: </v>
      </c>
      <c r="C5965" s="68"/>
      <c r="D5965" s="68">
        <v>46346.0</v>
      </c>
      <c r="E5965" s="66">
        <v>3.0</v>
      </c>
      <c r="F5965" s="66" t="str">
        <f>IFERROR(__xludf.DUMMYFUNCTION("GOOGLETRANSLATE(A5965,""en"",""pt"")"),"#VALUE!")</f>
        <v>#VALUE!</v>
      </c>
      <c r="G5965" s="69"/>
    </row>
    <row r="5966" ht="22.5" customHeight="1">
      <c r="A5966" s="66"/>
      <c r="B5966" s="67" t="str">
        <f t="shared" si="16"/>
        <v>M: </v>
      </c>
      <c r="C5966" s="68"/>
      <c r="D5966" s="68">
        <v>46346.0</v>
      </c>
      <c r="E5966" s="66">
        <v>4.0</v>
      </c>
      <c r="F5966" s="66" t="str">
        <f>IFERROR(__xludf.DUMMYFUNCTION("GOOGLETRANSLATE(A5966,""en"",""pt"")"),"#VALUE!")</f>
        <v>#VALUE!</v>
      </c>
      <c r="G5966" s="69"/>
    </row>
    <row r="5967" ht="22.5" customHeight="1">
      <c r="A5967" s="66"/>
      <c r="B5967" s="67" t="str">
        <f t="shared" si="16"/>
        <v>M: </v>
      </c>
      <c r="C5967" s="68"/>
      <c r="D5967" s="68">
        <v>46346.0</v>
      </c>
      <c r="E5967" s="66">
        <v>5.0</v>
      </c>
      <c r="F5967" s="66" t="str">
        <f>IFERROR(__xludf.DUMMYFUNCTION("GOOGLETRANSLATE(A5967,""en"",""pt"")"),"#VALUE!")</f>
        <v>#VALUE!</v>
      </c>
      <c r="G5967" s="69"/>
    </row>
    <row r="5968" ht="22.5" customHeight="1">
      <c r="A5968" s="66"/>
      <c r="B5968" s="67" t="str">
        <f t="shared" si="16"/>
        <v>M: </v>
      </c>
      <c r="C5968" s="68"/>
      <c r="D5968" s="68">
        <v>46346.0</v>
      </c>
      <c r="E5968" s="66">
        <v>6.0</v>
      </c>
      <c r="F5968" s="66" t="str">
        <f>IFERROR(__xludf.DUMMYFUNCTION("GOOGLETRANSLATE(A5968,""en"",""pt"")"),"#VALUE!")</f>
        <v>#VALUE!</v>
      </c>
      <c r="G5968" s="69"/>
    </row>
    <row r="5969" ht="22.5" customHeight="1">
      <c r="A5969" s="66"/>
      <c r="B5969" s="67" t="str">
        <f t="shared" si="16"/>
        <v>M: </v>
      </c>
      <c r="C5969" s="68"/>
      <c r="D5969" s="68">
        <v>46346.0</v>
      </c>
      <c r="E5969" s="66">
        <v>7.0</v>
      </c>
      <c r="F5969" s="66" t="str">
        <f>IFERROR(__xludf.DUMMYFUNCTION("GOOGLETRANSLATE(A5969,""en"",""pt"")"),"#VALUE!")</f>
        <v>#VALUE!</v>
      </c>
      <c r="G5969" s="69"/>
    </row>
    <row r="5970" ht="22.5" customHeight="1">
      <c r="A5970" s="66"/>
      <c r="B5970" s="67" t="str">
        <f t="shared" si="16"/>
        <v>M: </v>
      </c>
      <c r="C5970" s="68"/>
      <c r="D5970" s="68">
        <v>46346.0</v>
      </c>
      <c r="E5970" s="66">
        <v>8.0</v>
      </c>
      <c r="F5970" s="66" t="str">
        <f>IFERROR(__xludf.DUMMYFUNCTION("GOOGLETRANSLATE(A5970,""en"",""pt"")"),"#VALUE!")</f>
        <v>#VALUE!</v>
      </c>
      <c r="G5970" s="69"/>
    </row>
    <row r="5971" ht="22.5" customHeight="1">
      <c r="A5971" s="66"/>
      <c r="B5971" s="67" t="str">
        <f t="shared" si="16"/>
        <v>M: </v>
      </c>
      <c r="C5971" s="68"/>
      <c r="D5971" s="68">
        <v>46346.0</v>
      </c>
      <c r="E5971" s="66">
        <v>9.0</v>
      </c>
      <c r="F5971" s="66" t="str">
        <f>IFERROR(__xludf.DUMMYFUNCTION("GOOGLETRANSLATE(A5971,""en"",""pt"")"),"#VALUE!")</f>
        <v>#VALUE!</v>
      </c>
      <c r="G5971" s="69"/>
    </row>
    <row r="5972" ht="22.5" customHeight="1">
      <c r="A5972" s="66"/>
      <c r="B5972" s="67" t="str">
        <f t="shared" si="16"/>
        <v>M: </v>
      </c>
      <c r="C5972" s="68"/>
      <c r="D5972" s="68">
        <v>46347.0</v>
      </c>
      <c r="E5972" s="66">
        <v>10.0</v>
      </c>
      <c r="F5972" s="66" t="str">
        <f>IFERROR(__xludf.DUMMYFUNCTION("GOOGLETRANSLATE(A5972,""en"",""pt"")"),"#VALUE!")</f>
        <v>#VALUE!</v>
      </c>
      <c r="G5972" s="69"/>
    </row>
    <row r="5973" ht="22.5" customHeight="1">
      <c r="A5973" s="66"/>
      <c r="B5973" s="67" t="str">
        <f t="shared" si="16"/>
        <v>M: </v>
      </c>
      <c r="C5973" s="68"/>
      <c r="D5973" s="68">
        <v>46347.0</v>
      </c>
      <c r="E5973" s="66">
        <v>1.0</v>
      </c>
      <c r="F5973" s="66" t="str">
        <f>IFERROR(__xludf.DUMMYFUNCTION("GOOGLETRANSLATE(A5973,""en"",""pt"")"),"#VALUE!")</f>
        <v>#VALUE!</v>
      </c>
      <c r="G5973" s="69"/>
    </row>
    <row r="5974" ht="22.5" customHeight="1">
      <c r="A5974" s="66"/>
      <c r="B5974" s="67" t="str">
        <f t="shared" si="16"/>
        <v>M: </v>
      </c>
      <c r="C5974" s="68"/>
      <c r="D5974" s="68">
        <v>46347.0</v>
      </c>
      <c r="E5974" s="66">
        <v>2.0</v>
      </c>
      <c r="F5974" s="66" t="str">
        <f>IFERROR(__xludf.DUMMYFUNCTION("GOOGLETRANSLATE(A5974,""en"",""pt"")"),"#VALUE!")</f>
        <v>#VALUE!</v>
      </c>
      <c r="G5974" s="69"/>
    </row>
    <row r="5975" ht="22.5" customHeight="1">
      <c r="A5975" s="66"/>
      <c r="B5975" s="67" t="str">
        <f t="shared" si="16"/>
        <v>M: </v>
      </c>
      <c r="C5975" s="68"/>
      <c r="D5975" s="68">
        <v>46347.0</v>
      </c>
      <c r="E5975" s="66">
        <v>3.0</v>
      </c>
      <c r="F5975" s="66" t="str">
        <f>IFERROR(__xludf.DUMMYFUNCTION("GOOGLETRANSLATE(A5975,""en"",""pt"")"),"#VALUE!")</f>
        <v>#VALUE!</v>
      </c>
      <c r="G5975" s="69"/>
    </row>
    <row r="5976" ht="22.5" customHeight="1">
      <c r="A5976" s="66"/>
      <c r="B5976" s="67" t="str">
        <f t="shared" si="16"/>
        <v>M: </v>
      </c>
      <c r="C5976" s="68"/>
      <c r="D5976" s="68">
        <v>46347.0</v>
      </c>
      <c r="E5976" s="66">
        <v>4.0</v>
      </c>
      <c r="F5976" s="66" t="str">
        <f>IFERROR(__xludf.DUMMYFUNCTION("GOOGLETRANSLATE(A5976,""en"",""pt"")"),"#VALUE!")</f>
        <v>#VALUE!</v>
      </c>
      <c r="G5976" s="69"/>
    </row>
    <row r="5977" ht="22.5" customHeight="1">
      <c r="A5977" s="66"/>
      <c r="B5977" s="67" t="str">
        <f t="shared" si="16"/>
        <v>M: </v>
      </c>
      <c r="C5977" s="68"/>
      <c r="D5977" s="68">
        <v>46347.0</v>
      </c>
      <c r="E5977" s="66">
        <v>5.0</v>
      </c>
      <c r="F5977" s="66" t="str">
        <f>IFERROR(__xludf.DUMMYFUNCTION("GOOGLETRANSLATE(A5977,""en"",""pt"")"),"#VALUE!")</f>
        <v>#VALUE!</v>
      </c>
      <c r="G5977" s="69"/>
    </row>
    <row r="5978" ht="22.5" customHeight="1">
      <c r="A5978" s="66"/>
      <c r="B5978" s="67" t="str">
        <f t="shared" si="16"/>
        <v>M: </v>
      </c>
      <c r="C5978" s="68"/>
      <c r="D5978" s="68">
        <v>46347.0</v>
      </c>
      <c r="E5978" s="66">
        <v>6.0</v>
      </c>
      <c r="F5978" s="66" t="str">
        <f>IFERROR(__xludf.DUMMYFUNCTION("GOOGLETRANSLATE(A5978,""en"",""pt"")"),"#VALUE!")</f>
        <v>#VALUE!</v>
      </c>
      <c r="G5978" s="69"/>
    </row>
    <row r="5979" ht="22.5" customHeight="1">
      <c r="A5979" s="66"/>
      <c r="B5979" s="67" t="str">
        <f t="shared" si="16"/>
        <v>M: </v>
      </c>
      <c r="C5979" s="68"/>
      <c r="D5979" s="68">
        <v>46347.0</v>
      </c>
      <c r="E5979" s="66">
        <v>7.0</v>
      </c>
      <c r="F5979" s="66" t="str">
        <f>IFERROR(__xludf.DUMMYFUNCTION("GOOGLETRANSLATE(A5979,""en"",""pt"")"),"#VALUE!")</f>
        <v>#VALUE!</v>
      </c>
      <c r="G5979" s="69"/>
    </row>
    <row r="5980" ht="22.5" customHeight="1">
      <c r="A5980" s="66"/>
      <c r="B5980" s="67" t="str">
        <f t="shared" si="16"/>
        <v>M: </v>
      </c>
      <c r="C5980" s="68"/>
      <c r="D5980" s="68">
        <v>46347.0</v>
      </c>
      <c r="E5980" s="66">
        <v>8.0</v>
      </c>
      <c r="F5980" s="66" t="str">
        <f>IFERROR(__xludf.DUMMYFUNCTION("GOOGLETRANSLATE(A5980,""en"",""pt"")"),"#VALUE!")</f>
        <v>#VALUE!</v>
      </c>
      <c r="G5980" s="69"/>
    </row>
    <row r="5981" ht="22.5" customHeight="1">
      <c r="A5981" s="66"/>
      <c r="B5981" s="67" t="str">
        <f t="shared" si="16"/>
        <v>M: </v>
      </c>
      <c r="C5981" s="68"/>
      <c r="D5981" s="68">
        <v>46347.0</v>
      </c>
      <c r="E5981" s="66">
        <v>9.0</v>
      </c>
      <c r="F5981" s="66" t="str">
        <f>IFERROR(__xludf.DUMMYFUNCTION("GOOGLETRANSLATE(A5981,""en"",""pt"")"),"#VALUE!")</f>
        <v>#VALUE!</v>
      </c>
      <c r="G5981" s="69"/>
    </row>
    <row r="5982" ht="22.5" customHeight="1">
      <c r="A5982" s="66"/>
      <c r="B5982" s="67" t="str">
        <f t="shared" si="16"/>
        <v>M: </v>
      </c>
      <c r="C5982" s="68"/>
      <c r="D5982" s="68">
        <v>46348.0</v>
      </c>
      <c r="E5982" s="66">
        <v>10.0</v>
      </c>
      <c r="F5982" s="66" t="str">
        <f>IFERROR(__xludf.DUMMYFUNCTION("GOOGLETRANSLATE(A5982,""en"",""pt"")"),"#VALUE!")</f>
        <v>#VALUE!</v>
      </c>
      <c r="G5982" s="69"/>
    </row>
    <row r="5983" ht="22.5" customHeight="1">
      <c r="A5983" s="66"/>
      <c r="B5983" s="67" t="str">
        <f t="shared" si="16"/>
        <v>M: </v>
      </c>
      <c r="C5983" s="68"/>
      <c r="D5983" s="68">
        <v>46348.0</v>
      </c>
      <c r="E5983" s="66">
        <v>1.0</v>
      </c>
      <c r="F5983" s="66" t="str">
        <f>IFERROR(__xludf.DUMMYFUNCTION("GOOGLETRANSLATE(A5983,""en"",""pt"")"),"#VALUE!")</f>
        <v>#VALUE!</v>
      </c>
      <c r="G5983" s="69"/>
    </row>
    <row r="5984" ht="22.5" customHeight="1">
      <c r="A5984" s="66"/>
      <c r="B5984" s="67" t="str">
        <f t="shared" si="16"/>
        <v>M: </v>
      </c>
      <c r="C5984" s="68"/>
      <c r="D5984" s="68">
        <v>46348.0</v>
      </c>
      <c r="E5984" s="66">
        <v>2.0</v>
      </c>
      <c r="F5984" s="66" t="str">
        <f>IFERROR(__xludf.DUMMYFUNCTION("GOOGLETRANSLATE(A5984,""en"",""pt"")"),"#VALUE!")</f>
        <v>#VALUE!</v>
      </c>
      <c r="G5984" s="69"/>
    </row>
    <row r="5985" ht="22.5" customHeight="1">
      <c r="A5985" s="66"/>
      <c r="B5985" s="67" t="str">
        <f t="shared" si="16"/>
        <v>M: </v>
      </c>
      <c r="C5985" s="68"/>
      <c r="D5985" s="68">
        <v>46348.0</v>
      </c>
      <c r="E5985" s="66">
        <v>3.0</v>
      </c>
      <c r="F5985" s="66" t="str">
        <f>IFERROR(__xludf.DUMMYFUNCTION("GOOGLETRANSLATE(A5985,""en"",""pt"")"),"#VALUE!")</f>
        <v>#VALUE!</v>
      </c>
      <c r="G5985" s="69"/>
    </row>
    <row r="5986" ht="22.5" customHeight="1">
      <c r="A5986" s="66"/>
      <c r="B5986" s="67" t="str">
        <f t="shared" si="16"/>
        <v>M: </v>
      </c>
      <c r="C5986" s="68"/>
      <c r="D5986" s="68">
        <v>46348.0</v>
      </c>
      <c r="E5986" s="66">
        <v>4.0</v>
      </c>
      <c r="F5986" s="66" t="str">
        <f>IFERROR(__xludf.DUMMYFUNCTION("GOOGLETRANSLATE(A5986,""en"",""pt"")"),"#VALUE!")</f>
        <v>#VALUE!</v>
      </c>
      <c r="G5986" s="69"/>
    </row>
    <row r="5987" ht="22.5" customHeight="1">
      <c r="A5987" s="66"/>
      <c r="B5987" s="67" t="str">
        <f t="shared" si="16"/>
        <v>M: </v>
      </c>
      <c r="C5987" s="68"/>
      <c r="D5987" s="68">
        <v>46348.0</v>
      </c>
      <c r="E5987" s="66">
        <v>5.0</v>
      </c>
      <c r="F5987" s="66" t="str">
        <f>IFERROR(__xludf.DUMMYFUNCTION("GOOGLETRANSLATE(A5987,""en"",""pt"")"),"#VALUE!")</f>
        <v>#VALUE!</v>
      </c>
      <c r="G5987" s="69"/>
    </row>
    <row r="5988" ht="22.5" customHeight="1">
      <c r="A5988" s="66"/>
      <c r="B5988" s="67" t="str">
        <f t="shared" si="16"/>
        <v>M: </v>
      </c>
      <c r="C5988" s="68"/>
      <c r="D5988" s="68">
        <v>46348.0</v>
      </c>
      <c r="E5988" s="66">
        <v>6.0</v>
      </c>
      <c r="F5988" s="66" t="str">
        <f>IFERROR(__xludf.DUMMYFUNCTION("GOOGLETRANSLATE(A5988,""en"",""pt"")"),"#VALUE!")</f>
        <v>#VALUE!</v>
      </c>
      <c r="G5988" s="69"/>
    </row>
    <row r="5989" ht="22.5" customHeight="1">
      <c r="A5989" s="66"/>
      <c r="B5989" s="67" t="str">
        <f t="shared" si="16"/>
        <v>M: </v>
      </c>
      <c r="C5989" s="68"/>
      <c r="D5989" s="68">
        <v>46348.0</v>
      </c>
      <c r="E5989" s="66">
        <v>7.0</v>
      </c>
      <c r="F5989" s="66" t="str">
        <f>IFERROR(__xludf.DUMMYFUNCTION("GOOGLETRANSLATE(A5989,""en"",""pt"")"),"#VALUE!")</f>
        <v>#VALUE!</v>
      </c>
      <c r="G5989" s="69"/>
    </row>
    <row r="5990" ht="22.5" customHeight="1">
      <c r="A5990" s="66"/>
      <c r="B5990" s="67" t="str">
        <f t="shared" si="16"/>
        <v>M: </v>
      </c>
      <c r="C5990" s="68"/>
      <c r="D5990" s="68">
        <v>46348.0</v>
      </c>
      <c r="E5990" s="66">
        <v>8.0</v>
      </c>
      <c r="F5990" s="66" t="str">
        <f>IFERROR(__xludf.DUMMYFUNCTION("GOOGLETRANSLATE(A5990,""en"",""pt"")"),"#VALUE!")</f>
        <v>#VALUE!</v>
      </c>
      <c r="G5990" s="69"/>
    </row>
    <row r="5991" ht="22.5" customHeight="1">
      <c r="A5991" s="66"/>
      <c r="B5991" s="67" t="str">
        <f t="shared" si="16"/>
        <v>M: </v>
      </c>
      <c r="C5991" s="68"/>
      <c r="D5991" s="68">
        <v>46348.0</v>
      </c>
      <c r="E5991" s="66">
        <v>9.0</v>
      </c>
      <c r="F5991" s="66" t="str">
        <f>IFERROR(__xludf.DUMMYFUNCTION("GOOGLETRANSLATE(A5991,""en"",""pt"")"),"#VALUE!")</f>
        <v>#VALUE!</v>
      </c>
      <c r="G5991" s="69"/>
    </row>
    <row r="5992" ht="22.5" customHeight="1">
      <c r="A5992" s="66"/>
      <c r="B5992" s="67" t="str">
        <f t="shared" si="16"/>
        <v>M: </v>
      </c>
      <c r="C5992" s="68"/>
      <c r="D5992" s="68">
        <v>46349.0</v>
      </c>
      <c r="E5992" s="66">
        <v>10.0</v>
      </c>
      <c r="F5992" s="66" t="str">
        <f>IFERROR(__xludf.DUMMYFUNCTION("GOOGLETRANSLATE(A5992,""en"",""pt"")"),"#VALUE!")</f>
        <v>#VALUE!</v>
      </c>
      <c r="G5992" s="69"/>
    </row>
    <row r="5993" ht="22.5" customHeight="1">
      <c r="A5993" s="66"/>
      <c r="B5993" s="67" t="str">
        <f t="shared" si="16"/>
        <v>M: </v>
      </c>
      <c r="C5993" s="68"/>
      <c r="D5993" s="68">
        <v>46349.0</v>
      </c>
      <c r="E5993" s="66">
        <v>1.0</v>
      </c>
      <c r="F5993" s="66" t="str">
        <f>IFERROR(__xludf.DUMMYFUNCTION("GOOGLETRANSLATE(A5993,""en"",""pt"")"),"#VALUE!")</f>
        <v>#VALUE!</v>
      </c>
      <c r="G5993" s="69"/>
    </row>
    <row r="5994" ht="22.5" customHeight="1">
      <c r="A5994" s="66"/>
      <c r="B5994" s="67" t="str">
        <f t="shared" si="16"/>
        <v>M: </v>
      </c>
      <c r="C5994" s="68"/>
      <c r="D5994" s="68">
        <v>46349.0</v>
      </c>
      <c r="E5994" s="66">
        <v>2.0</v>
      </c>
      <c r="F5994" s="66" t="str">
        <f>IFERROR(__xludf.DUMMYFUNCTION("GOOGLETRANSLATE(A5994,""en"",""pt"")"),"#VALUE!")</f>
        <v>#VALUE!</v>
      </c>
      <c r="G5994" s="69"/>
    </row>
    <row r="5995" ht="22.5" customHeight="1">
      <c r="A5995" s="66"/>
      <c r="B5995" s="67" t="str">
        <f t="shared" si="16"/>
        <v>M: </v>
      </c>
      <c r="C5995" s="68"/>
      <c r="D5995" s="68">
        <v>46349.0</v>
      </c>
      <c r="E5995" s="66">
        <v>3.0</v>
      </c>
      <c r="F5995" s="66" t="str">
        <f>IFERROR(__xludf.DUMMYFUNCTION("GOOGLETRANSLATE(A5995,""en"",""pt"")"),"#VALUE!")</f>
        <v>#VALUE!</v>
      </c>
      <c r="G5995" s="69"/>
    </row>
    <row r="5996" ht="22.5" customHeight="1">
      <c r="A5996" s="66"/>
      <c r="B5996" s="67" t="str">
        <f t="shared" si="16"/>
        <v>M: </v>
      </c>
      <c r="C5996" s="68"/>
      <c r="D5996" s="68">
        <v>46349.0</v>
      </c>
      <c r="E5996" s="66">
        <v>4.0</v>
      </c>
      <c r="F5996" s="66" t="str">
        <f>IFERROR(__xludf.DUMMYFUNCTION("GOOGLETRANSLATE(A5996,""en"",""pt"")"),"#VALUE!")</f>
        <v>#VALUE!</v>
      </c>
      <c r="G5996" s="69"/>
    </row>
    <row r="5997" ht="22.5" customHeight="1">
      <c r="A5997" s="66"/>
      <c r="B5997" s="67" t="str">
        <f t="shared" si="16"/>
        <v>M: </v>
      </c>
      <c r="C5997" s="68"/>
      <c r="D5997" s="68">
        <v>46349.0</v>
      </c>
      <c r="E5997" s="66">
        <v>5.0</v>
      </c>
      <c r="F5997" s="66" t="str">
        <f>IFERROR(__xludf.DUMMYFUNCTION("GOOGLETRANSLATE(A5997,""en"",""pt"")"),"#VALUE!")</f>
        <v>#VALUE!</v>
      </c>
      <c r="G5997" s="69"/>
    </row>
    <row r="5998" ht="22.5" customHeight="1">
      <c r="A5998" s="66"/>
      <c r="B5998" s="67" t="str">
        <f t="shared" si="16"/>
        <v>M: </v>
      </c>
      <c r="C5998" s="68"/>
      <c r="D5998" s="68">
        <v>46349.0</v>
      </c>
      <c r="E5998" s="66">
        <v>6.0</v>
      </c>
      <c r="F5998" s="66" t="str">
        <f>IFERROR(__xludf.DUMMYFUNCTION("GOOGLETRANSLATE(A5998,""en"",""pt"")"),"#VALUE!")</f>
        <v>#VALUE!</v>
      </c>
      <c r="G5998" s="69"/>
    </row>
    <row r="5999" ht="22.5" customHeight="1">
      <c r="A5999" s="66"/>
      <c r="B5999" s="67" t="str">
        <f t="shared" si="16"/>
        <v>M: </v>
      </c>
      <c r="C5999" s="68"/>
      <c r="D5999" s="68">
        <v>46349.0</v>
      </c>
      <c r="E5999" s="66">
        <v>7.0</v>
      </c>
      <c r="F5999" s="66" t="str">
        <f>IFERROR(__xludf.DUMMYFUNCTION("GOOGLETRANSLATE(A5999,""en"",""pt"")"),"#VALUE!")</f>
        <v>#VALUE!</v>
      </c>
      <c r="G5999" s="69"/>
    </row>
    <row r="6000" ht="22.5" customHeight="1">
      <c r="A6000" s="66"/>
      <c r="B6000" s="67" t="str">
        <f t="shared" si="16"/>
        <v>M: </v>
      </c>
      <c r="C6000" s="68"/>
      <c r="D6000" s="68">
        <v>46349.0</v>
      </c>
      <c r="E6000" s="66">
        <v>8.0</v>
      </c>
      <c r="F6000" s="66" t="str">
        <f>IFERROR(__xludf.DUMMYFUNCTION("GOOGLETRANSLATE(A6000,""en"",""pt"")"),"#VALUE!")</f>
        <v>#VALUE!</v>
      </c>
      <c r="G6000" s="69"/>
    </row>
    <row r="6001" ht="22.5" customHeight="1">
      <c r="A6001" s="66"/>
      <c r="B6001" s="67" t="str">
        <f t="shared" si="16"/>
        <v>M: </v>
      </c>
      <c r="C6001" s="68"/>
      <c r="D6001" s="68">
        <v>46349.0</v>
      </c>
      <c r="E6001" s="66">
        <v>9.0</v>
      </c>
      <c r="F6001" s="66" t="str">
        <f>IFERROR(__xludf.DUMMYFUNCTION("GOOGLETRANSLATE(A6001,""en"",""pt"")"),"#VALUE!")</f>
        <v>#VALUE!</v>
      </c>
      <c r="G6001" s="69"/>
    </row>
    <row r="6002" ht="22.5" customHeight="1">
      <c r="A6002" s="66"/>
      <c r="B6002" s="67" t="str">
        <f t="shared" si="16"/>
        <v>M: </v>
      </c>
      <c r="C6002" s="68"/>
      <c r="D6002" s="68">
        <v>46350.0</v>
      </c>
      <c r="E6002" s="66">
        <v>10.0</v>
      </c>
      <c r="F6002" s="66" t="str">
        <f>IFERROR(__xludf.DUMMYFUNCTION("GOOGLETRANSLATE(A6002,""en"",""pt"")"),"#VALUE!")</f>
        <v>#VALUE!</v>
      </c>
      <c r="G6002" s="69"/>
    </row>
    <row r="6003" ht="22.5" customHeight="1">
      <c r="A6003" s="66"/>
      <c r="B6003" s="67" t="str">
        <f t="shared" si="16"/>
        <v>M: </v>
      </c>
      <c r="C6003" s="68"/>
      <c r="D6003" s="68">
        <v>46350.0</v>
      </c>
      <c r="E6003" s="66">
        <v>1.0</v>
      </c>
      <c r="F6003" s="66" t="str">
        <f>IFERROR(__xludf.DUMMYFUNCTION("GOOGLETRANSLATE(A6003,""en"",""pt"")"),"#VALUE!")</f>
        <v>#VALUE!</v>
      </c>
      <c r="G6003" s="69"/>
    </row>
    <row r="6004" ht="22.5" customHeight="1">
      <c r="A6004" s="66"/>
      <c r="B6004" s="67" t="str">
        <f t="shared" si="16"/>
        <v>M: </v>
      </c>
      <c r="C6004" s="68"/>
      <c r="D6004" s="68">
        <v>46350.0</v>
      </c>
      <c r="E6004" s="66">
        <v>2.0</v>
      </c>
      <c r="F6004" s="66" t="str">
        <f>IFERROR(__xludf.DUMMYFUNCTION("GOOGLETRANSLATE(A6004,""en"",""pt"")"),"#VALUE!")</f>
        <v>#VALUE!</v>
      </c>
      <c r="G6004" s="69"/>
    </row>
    <row r="6005" ht="22.5" customHeight="1">
      <c r="A6005" s="66"/>
      <c r="B6005" s="67" t="str">
        <f t="shared" si="16"/>
        <v>M: </v>
      </c>
      <c r="C6005" s="68"/>
      <c r="D6005" s="68">
        <v>46350.0</v>
      </c>
      <c r="E6005" s="66">
        <v>3.0</v>
      </c>
      <c r="F6005" s="66" t="str">
        <f>IFERROR(__xludf.DUMMYFUNCTION("GOOGLETRANSLATE(A6005,""en"",""pt"")"),"#VALUE!")</f>
        <v>#VALUE!</v>
      </c>
      <c r="G6005" s="69"/>
    </row>
    <row r="6006" ht="22.5" customHeight="1">
      <c r="A6006" s="66"/>
      <c r="B6006" s="67" t="str">
        <f t="shared" si="16"/>
        <v>M: </v>
      </c>
      <c r="C6006" s="68"/>
      <c r="D6006" s="68">
        <v>46350.0</v>
      </c>
      <c r="E6006" s="66">
        <v>4.0</v>
      </c>
      <c r="F6006" s="66" t="str">
        <f>IFERROR(__xludf.DUMMYFUNCTION("GOOGLETRANSLATE(A6006,""en"",""pt"")"),"#VALUE!")</f>
        <v>#VALUE!</v>
      </c>
      <c r="G6006" s="69"/>
    </row>
    <row r="6007" ht="22.5" customHeight="1">
      <c r="A6007" s="66"/>
      <c r="B6007" s="67" t="str">
        <f t="shared" si="16"/>
        <v>M: </v>
      </c>
      <c r="C6007" s="68"/>
      <c r="D6007" s="68">
        <v>46350.0</v>
      </c>
      <c r="E6007" s="66">
        <v>5.0</v>
      </c>
      <c r="F6007" s="66" t="str">
        <f>IFERROR(__xludf.DUMMYFUNCTION("GOOGLETRANSLATE(A6007,""en"",""pt"")"),"#VALUE!")</f>
        <v>#VALUE!</v>
      </c>
      <c r="G6007" s="69"/>
    </row>
    <row r="6008" ht="22.5" customHeight="1">
      <c r="A6008" s="66"/>
      <c r="B6008" s="67" t="str">
        <f t="shared" si="16"/>
        <v>M: </v>
      </c>
      <c r="C6008" s="68"/>
      <c r="D6008" s="68">
        <v>46350.0</v>
      </c>
      <c r="E6008" s="66">
        <v>6.0</v>
      </c>
      <c r="F6008" s="66" t="str">
        <f>IFERROR(__xludf.DUMMYFUNCTION("GOOGLETRANSLATE(A6008,""en"",""pt"")"),"#VALUE!")</f>
        <v>#VALUE!</v>
      </c>
      <c r="G6008" s="69"/>
    </row>
    <row r="6009" ht="22.5" customHeight="1">
      <c r="A6009" s="66"/>
      <c r="B6009" s="67" t="str">
        <f t="shared" si="16"/>
        <v>M: </v>
      </c>
      <c r="C6009" s="68"/>
      <c r="D6009" s="68">
        <v>46350.0</v>
      </c>
      <c r="E6009" s="66">
        <v>7.0</v>
      </c>
      <c r="F6009" s="66" t="str">
        <f>IFERROR(__xludf.DUMMYFUNCTION("GOOGLETRANSLATE(A6009,""en"",""pt"")"),"#VALUE!")</f>
        <v>#VALUE!</v>
      </c>
      <c r="G6009" s="69"/>
    </row>
    <row r="6010" ht="22.5" customHeight="1">
      <c r="A6010" s="66"/>
      <c r="B6010" s="67" t="str">
        <f t="shared" si="16"/>
        <v>M: </v>
      </c>
      <c r="C6010" s="68"/>
      <c r="D6010" s="68">
        <v>46350.0</v>
      </c>
      <c r="E6010" s="66">
        <v>8.0</v>
      </c>
      <c r="F6010" s="66" t="str">
        <f>IFERROR(__xludf.DUMMYFUNCTION("GOOGLETRANSLATE(A6010,""en"",""pt"")"),"#VALUE!")</f>
        <v>#VALUE!</v>
      </c>
      <c r="G6010" s="69"/>
    </row>
    <row r="6011" ht="22.5" customHeight="1">
      <c r="A6011" s="66"/>
      <c r="B6011" s="67" t="str">
        <f t="shared" si="16"/>
        <v>M: </v>
      </c>
      <c r="C6011" s="68"/>
      <c r="D6011" s="68">
        <v>46350.0</v>
      </c>
      <c r="E6011" s="66">
        <v>9.0</v>
      </c>
      <c r="F6011" s="66" t="str">
        <f>IFERROR(__xludf.DUMMYFUNCTION("GOOGLETRANSLATE(A6011,""en"",""pt"")"),"#VALUE!")</f>
        <v>#VALUE!</v>
      </c>
      <c r="G6011" s="69"/>
    </row>
    <row r="6012" ht="22.5" customHeight="1">
      <c r="A6012" s="66"/>
      <c r="B6012" s="67" t="str">
        <f t="shared" si="16"/>
        <v>M: </v>
      </c>
      <c r="C6012" s="68"/>
      <c r="D6012" s="68">
        <v>46351.0</v>
      </c>
      <c r="E6012" s="66">
        <v>10.0</v>
      </c>
      <c r="F6012" s="66" t="str">
        <f>IFERROR(__xludf.DUMMYFUNCTION("GOOGLETRANSLATE(A6012,""en"",""pt"")"),"#VALUE!")</f>
        <v>#VALUE!</v>
      </c>
      <c r="G6012" s="69"/>
    </row>
    <row r="6013" ht="22.5" customHeight="1">
      <c r="A6013" s="66"/>
      <c r="B6013" s="67" t="str">
        <f t="shared" si="16"/>
        <v>M: </v>
      </c>
      <c r="C6013" s="68"/>
      <c r="D6013" s="68">
        <v>46351.0</v>
      </c>
      <c r="E6013" s="66">
        <v>1.0</v>
      </c>
      <c r="F6013" s="66" t="str">
        <f>IFERROR(__xludf.DUMMYFUNCTION("GOOGLETRANSLATE(A6013,""en"",""pt"")"),"#VALUE!")</f>
        <v>#VALUE!</v>
      </c>
      <c r="G6013" s="69"/>
    </row>
    <row r="6014" ht="22.5" customHeight="1">
      <c r="A6014" s="66"/>
      <c r="B6014" s="67" t="str">
        <f t="shared" si="16"/>
        <v>M: </v>
      </c>
      <c r="C6014" s="68"/>
      <c r="D6014" s="68">
        <v>46351.0</v>
      </c>
      <c r="E6014" s="66">
        <v>2.0</v>
      </c>
      <c r="F6014" s="66" t="str">
        <f>IFERROR(__xludf.DUMMYFUNCTION("GOOGLETRANSLATE(A6014,""en"",""pt"")"),"#VALUE!")</f>
        <v>#VALUE!</v>
      </c>
      <c r="G6014" s="69"/>
    </row>
    <row r="6015" ht="22.5" customHeight="1">
      <c r="A6015" s="66"/>
      <c r="B6015" s="67" t="str">
        <f t="shared" si="16"/>
        <v>M: </v>
      </c>
      <c r="C6015" s="68"/>
      <c r="D6015" s="68">
        <v>46351.0</v>
      </c>
      <c r="E6015" s="66">
        <v>3.0</v>
      </c>
      <c r="F6015" s="66" t="str">
        <f>IFERROR(__xludf.DUMMYFUNCTION("GOOGLETRANSLATE(A6015,""en"",""pt"")"),"#VALUE!")</f>
        <v>#VALUE!</v>
      </c>
      <c r="G6015" s="69"/>
    </row>
    <row r="6016" ht="22.5" customHeight="1">
      <c r="A6016" s="66"/>
      <c r="B6016" s="67" t="str">
        <f t="shared" si="16"/>
        <v>M: </v>
      </c>
      <c r="C6016" s="68"/>
      <c r="D6016" s="68">
        <v>46351.0</v>
      </c>
      <c r="E6016" s="66">
        <v>4.0</v>
      </c>
      <c r="F6016" s="66" t="str">
        <f>IFERROR(__xludf.DUMMYFUNCTION("GOOGLETRANSLATE(A6016,""en"",""pt"")"),"#VALUE!")</f>
        <v>#VALUE!</v>
      </c>
      <c r="G6016" s="69"/>
    </row>
    <row r="6017" ht="22.5" customHeight="1">
      <c r="A6017" s="66"/>
      <c r="B6017" s="67" t="str">
        <f t="shared" si="16"/>
        <v>M: </v>
      </c>
      <c r="C6017" s="68"/>
      <c r="D6017" s="68">
        <v>46351.0</v>
      </c>
      <c r="E6017" s="66">
        <v>5.0</v>
      </c>
      <c r="F6017" s="66" t="str">
        <f>IFERROR(__xludf.DUMMYFUNCTION("GOOGLETRANSLATE(A6017,""en"",""pt"")"),"#VALUE!")</f>
        <v>#VALUE!</v>
      </c>
      <c r="G6017" s="69"/>
    </row>
    <row r="6018" ht="22.5" customHeight="1">
      <c r="A6018" s="66"/>
      <c r="B6018" s="67" t="str">
        <f t="shared" si="16"/>
        <v>M: </v>
      </c>
      <c r="C6018" s="68"/>
      <c r="D6018" s="68">
        <v>46351.0</v>
      </c>
      <c r="E6018" s="66">
        <v>6.0</v>
      </c>
      <c r="F6018" s="66" t="str">
        <f>IFERROR(__xludf.DUMMYFUNCTION("GOOGLETRANSLATE(A6018,""en"",""pt"")"),"#VALUE!")</f>
        <v>#VALUE!</v>
      </c>
      <c r="G6018" s="69"/>
    </row>
    <row r="6019" ht="22.5" customHeight="1">
      <c r="A6019" s="66"/>
      <c r="B6019" s="67" t="str">
        <f t="shared" si="16"/>
        <v>M: </v>
      </c>
      <c r="C6019" s="68"/>
      <c r="D6019" s="68">
        <v>46351.0</v>
      </c>
      <c r="E6019" s="66">
        <v>7.0</v>
      </c>
      <c r="F6019" s="66" t="str">
        <f>IFERROR(__xludf.DUMMYFUNCTION("GOOGLETRANSLATE(A6019,""en"",""pt"")"),"#VALUE!")</f>
        <v>#VALUE!</v>
      </c>
      <c r="G6019" s="69"/>
    </row>
    <row r="6020" ht="22.5" customHeight="1">
      <c r="A6020" s="66"/>
      <c r="B6020" s="67" t="str">
        <f t="shared" si="16"/>
        <v>M: </v>
      </c>
      <c r="C6020" s="68"/>
      <c r="D6020" s="68">
        <v>46351.0</v>
      </c>
      <c r="E6020" s="66">
        <v>8.0</v>
      </c>
      <c r="F6020" s="66" t="str">
        <f>IFERROR(__xludf.DUMMYFUNCTION("GOOGLETRANSLATE(A6020,""en"",""pt"")"),"#VALUE!")</f>
        <v>#VALUE!</v>
      </c>
      <c r="G6020" s="69"/>
    </row>
    <row r="6021" ht="22.5" customHeight="1">
      <c r="A6021" s="66"/>
      <c r="B6021" s="67" t="str">
        <f t="shared" si="16"/>
        <v>M: </v>
      </c>
      <c r="C6021" s="68"/>
      <c r="D6021" s="68">
        <v>46351.0</v>
      </c>
      <c r="E6021" s="66">
        <v>9.0</v>
      </c>
      <c r="F6021" s="66" t="str">
        <f>IFERROR(__xludf.DUMMYFUNCTION("GOOGLETRANSLATE(A6021,""en"",""pt"")"),"#VALUE!")</f>
        <v>#VALUE!</v>
      </c>
      <c r="G6021" s="69"/>
    </row>
    <row r="6022" ht="22.5" customHeight="1">
      <c r="A6022" s="66"/>
      <c r="B6022" s="67" t="str">
        <f t="shared" si="16"/>
        <v>M: </v>
      </c>
      <c r="C6022" s="68"/>
      <c r="D6022" s="68">
        <v>46352.0</v>
      </c>
      <c r="E6022" s="66">
        <v>10.0</v>
      </c>
      <c r="F6022" s="66" t="str">
        <f>IFERROR(__xludf.DUMMYFUNCTION("GOOGLETRANSLATE(A6022,""en"",""pt"")"),"#VALUE!")</f>
        <v>#VALUE!</v>
      </c>
      <c r="G6022" s="69"/>
    </row>
    <row r="6023" ht="22.5" customHeight="1">
      <c r="A6023" s="66"/>
      <c r="B6023" s="67" t="str">
        <f t="shared" si="16"/>
        <v>M: </v>
      </c>
      <c r="C6023" s="68"/>
      <c r="D6023" s="68">
        <v>46352.0</v>
      </c>
      <c r="E6023" s="66">
        <v>1.0</v>
      </c>
      <c r="F6023" s="66" t="str">
        <f>IFERROR(__xludf.DUMMYFUNCTION("GOOGLETRANSLATE(A6023,""en"",""pt"")"),"#VALUE!")</f>
        <v>#VALUE!</v>
      </c>
      <c r="G6023" s="69"/>
    </row>
    <row r="6024" ht="22.5" customHeight="1">
      <c r="A6024" s="66"/>
      <c r="B6024" s="67" t="str">
        <f t="shared" si="16"/>
        <v>M: </v>
      </c>
      <c r="C6024" s="68"/>
      <c r="D6024" s="68">
        <v>46352.0</v>
      </c>
      <c r="E6024" s="66">
        <v>2.0</v>
      </c>
      <c r="F6024" s="66" t="str">
        <f>IFERROR(__xludf.DUMMYFUNCTION("GOOGLETRANSLATE(A6024,""en"",""pt"")"),"#VALUE!")</f>
        <v>#VALUE!</v>
      </c>
      <c r="G6024" s="69"/>
    </row>
    <row r="6025" ht="22.5" customHeight="1">
      <c r="A6025" s="66"/>
      <c r="B6025" s="67" t="str">
        <f t="shared" si="16"/>
        <v>M: </v>
      </c>
      <c r="C6025" s="68"/>
      <c r="D6025" s="68">
        <v>46352.0</v>
      </c>
      <c r="E6025" s="66">
        <v>3.0</v>
      </c>
      <c r="F6025" s="66" t="str">
        <f>IFERROR(__xludf.DUMMYFUNCTION("GOOGLETRANSLATE(A6025,""en"",""pt"")"),"#VALUE!")</f>
        <v>#VALUE!</v>
      </c>
      <c r="G6025" s="69"/>
    </row>
    <row r="6026" ht="22.5" customHeight="1">
      <c r="A6026" s="66"/>
      <c r="B6026" s="67" t="str">
        <f t="shared" si="16"/>
        <v>M: </v>
      </c>
      <c r="C6026" s="68"/>
      <c r="D6026" s="68">
        <v>46352.0</v>
      </c>
      <c r="E6026" s="66">
        <v>4.0</v>
      </c>
      <c r="F6026" s="66" t="str">
        <f>IFERROR(__xludf.DUMMYFUNCTION("GOOGLETRANSLATE(A6026,""en"",""pt"")"),"#VALUE!")</f>
        <v>#VALUE!</v>
      </c>
      <c r="G6026" s="69"/>
    </row>
    <row r="6027" ht="22.5" customHeight="1">
      <c r="A6027" s="66"/>
      <c r="B6027" s="67" t="str">
        <f t="shared" si="16"/>
        <v>M: </v>
      </c>
      <c r="C6027" s="68"/>
      <c r="D6027" s="68">
        <v>46352.0</v>
      </c>
      <c r="E6027" s="66">
        <v>5.0</v>
      </c>
      <c r="F6027" s="66" t="str">
        <f>IFERROR(__xludf.DUMMYFUNCTION("GOOGLETRANSLATE(A6027,""en"",""pt"")"),"#VALUE!")</f>
        <v>#VALUE!</v>
      </c>
      <c r="G6027" s="69"/>
    </row>
    <row r="6028" ht="22.5" customHeight="1">
      <c r="A6028" s="66"/>
      <c r="B6028" s="67" t="str">
        <f t="shared" si="16"/>
        <v>M: </v>
      </c>
      <c r="C6028" s="68"/>
      <c r="D6028" s="68">
        <v>46352.0</v>
      </c>
      <c r="E6028" s="66">
        <v>6.0</v>
      </c>
      <c r="F6028" s="66" t="str">
        <f>IFERROR(__xludf.DUMMYFUNCTION("GOOGLETRANSLATE(A6028,""en"",""pt"")"),"#VALUE!")</f>
        <v>#VALUE!</v>
      </c>
      <c r="G6028" s="69"/>
    </row>
    <row r="6029" ht="22.5" customHeight="1">
      <c r="A6029" s="66"/>
      <c r="B6029" s="67" t="str">
        <f t="shared" si="16"/>
        <v>M: </v>
      </c>
      <c r="C6029" s="68"/>
      <c r="D6029" s="68">
        <v>46352.0</v>
      </c>
      <c r="E6029" s="66">
        <v>7.0</v>
      </c>
      <c r="F6029" s="66" t="str">
        <f>IFERROR(__xludf.DUMMYFUNCTION("GOOGLETRANSLATE(A6029,""en"",""pt"")"),"#VALUE!")</f>
        <v>#VALUE!</v>
      </c>
      <c r="G6029" s="69"/>
    </row>
    <row r="6030" ht="22.5" customHeight="1">
      <c r="A6030" s="66"/>
      <c r="B6030" s="67" t="str">
        <f t="shared" si="16"/>
        <v>M: </v>
      </c>
      <c r="C6030" s="68"/>
      <c r="D6030" s="68">
        <v>46352.0</v>
      </c>
      <c r="E6030" s="66">
        <v>8.0</v>
      </c>
      <c r="F6030" s="66" t="str">
        <f>IFERROR(__xludf.DUMMYFUNCTION("GOOGLETRANSLATE(A6030,""en"",""pt"")"),"#VALUE!")</f>
        <v>#VALUE!</v>
      </c>
      <c r="G6030" s="69"/>
    </row>
    <row r="6031" ht="22.5" customHeight="1">
      <c r="A6031" s="66"/>
      <c r="B6031" s="67" t="str">
        <f t="shared" si="16"/>
        <v>M: </v>
      </c>
      <c r="C6031" s="68"/>
      <c r="D6031" s="68">
        <v>46352.0</v>
      </c>
      <c r="E6031" s="66">
        <v>9.0</v>
      </c>
      <c r="F6031" s="66" t="str">
        <f>IFERROR(__xludf.DUMMYFUNCTION("GOOGLETRANSLATE(A6031,""en"",""pt"")"),"#VALUE!")</f>
        <v>#VALUE!</v>
      </c>
      <c r="G6031" s="69"/>
    </row>
    <row r="6032" ht="22.5" customHeight="1">
      <c r="A6032" s="66"/>
      <c r="B6032" s="67" t="str">
        <f t="shared" si="16"/>
        <v>M: </v>
      </c>
      <c r="C6032" s="68"/>
      <c r="D6032" s="68">
        <v>46353.0</v>
      </c>
      <c r="E6032" s="66">
        <v>10.0</v>
      </c>
      <c r="F6032" s="66" t="str">
        <f>IFERROR(__xludf.DUMMYFUNCTION("GOOGLETRANSLATE(A6032,""en"",""pt"")"),"#VALUE!")</f>
        <v>#VALUE!</v>
      </c>
      <c r="G6032" s="69"/>
    </row>
    <row r="6033" ht="22.5" customHeight="1">
      <c r="A6033" s="66"/>
      <c r="B6033" s="67" t="str">
        <f t="shared" si="16"/>
        <v>M: </v>
      </c>
      <c r="C6033" s="68"/>
      <c r="D6033" s="68">
        <v>46353.0</v>
      </c>
      <c r="E6033" s="66">
        <v>1.0</v>
      </c>
      <c r="F6033" s="66" t="str">
        <f>IFERROR(__xludf.DUMMYFUNCTION("GOOGLETRANSLATE(A6033,""en"",""pt"")"),"#VALUE!")</f>
        <v>#VALUE!</v>
      </c>
      <c r="G6033" s="69"/>
    </row>
    <row r="6034" ht="22.5" customHeight="1">
      <c r="A6034" s="66"/>
      <c r="B6034" s="67" t="str">
        <f t="shared" si="16"/>
        <v>M: </v>
      </c>
      <c r="C6034" s="68"/>
      <c r="D6034" s="68">
        <v>46353.0</v>
      </c>
      <c r="E6034" s="66">
        <v>2.0</v>
      </c>
      <c r="F6034" s="66" t="str">
        <f>IFERROR(__xludf.DUMMYFUNCTION("GOOGLETRANSLATE(A6034,""en"",""pt"")"),"#VALUE!")</f>
        <v>#VALUE!</v>
      </c>
      <c r="G6034" s="69"/>
    </row>
    <row r="6035" ht="22.5" customHeight="1">
      <c r="A6035" s="66"/>
      <c r="B6035" s="67" t="str">
        <f t="shared" si="16"/>
        <v>M: </v>
      </c>
      <c r="C6035" s="68"/>
      <c r="D6035" s="68">
        <v>46353.0</v>
      </c>
      <c r="E6035" s="66">
        <v>3.0</v>
      </c>
      <c r="F6035" s="66" t="str">
        <f>IFERROR(__xludf.DUMMYFUNCTION("GOOGLETRANSLATE(A6035,""en"",""pt"")"),"#VALUE!")</f>
        <v>#VALUE!</v>
      </c>
      <c r="G6035" s="69"/>
    </row>
    <row r="6036" ht="22.5" customHeight="1">
      <c r="A6036" s="66"/>
      <c r="B6036" s="67" t="str">
        <f t="shared" si="16"/>
        <v>M: </v>
      </c>
      <c r="C6036" s="68"/>
      <c r="D6036" s="68">
        <v>46353.0</v>
      </c>
      <c r="E6036" s="66">
        <v>4.0</v>
      </c>
      <c r="F6036" s="66" t="str">
        <f>IFERROR(__xludf.DUMMYFUNCTION("GOOGLETRANSLATE(A6036,""en"",""pt"")"),"#VALUE!")</f>
        <v>#VALUE!</v>
      </c>
      <c r="G6036" s="69"/>
    </row>
    <row r="6037" ht="22.5" customHeight="1">
      <c r="A6037" s="66"/>
      <c r="B6037" s="67" t="str">
        <f t="shared" si="16"/>
        <v>M: </v>
      </c>
      <c r="C6037" s="68"/>
      <c r="D6037" s="68">
        <v>46353.0</v>
      </c>
      <c r="E6037" s="66">
        <v>5.0</v>
      </c>
      <c r="F6037" s="66" t="str">
        <f>IFERROR(__xludf.DUMMYFUNCTION("GOOGLETRANSLATE(A6037,""en"",""pt"")"),"#VALUE!")</f>
        <v>#VALUE!</v>
      </c>
      <c r="G6037" s="69"/>
    </row>
    <row r="6038" ht="22.5" customHeight="1">
      <c r="A6038" s="66"/>
      <c r="B6038" s="67" t="str">
        <f t="shared" si="16"/>
        <v>M: </v>
      </c>
      <c r="C6038" s="68"/>
      <c r="D6038" s="68">
        <v>46353.0</v>
      </c>
      <c r="E6038" s="66">
        <v>6.0</v>
      </c>
      <c r="F6038" s="66" t="str">
        <f>IFERROR(__xludf.DUMMYFUNCTION("GOOGLETRANSLATE(A6038,""en"",""pt"")"),"#VALUE!")</f>
        <v>#VALUE!</v>
      </c>
      <c r="G6038" s="69"/>
    </row>
    <row r="6039" ht="22.5" customHeight="1">
      <c r="A6039" s="66"/>
      <c r="B6039" s="67" t="str">
        <f t="shared" si="16"/>
        <v>M: </v>
      </c>
      <c r="C6039" s="68"/>
      <c r="D6039" s="68">
        <v>46353.0</v>
      </c>
      <c r="E6039" s="66">
        <v>7.0</v>
      </c>
      <c r="F6039" s="66" t="str">
        <f>IFERROR(__xludf.DUMMYFUNCTION("GOOGLETRANSLATE(A6039,""en"",""pt"")"),"#VALUE!")</f>
        <v>#VALUE!</v>
      </c>
      <c r="G6039" s="69"/>
    </row>
    <row r="6040" ht="22.5" customHeight="1">
      <c r="A6040" s="66"/>
      <c r="B6040" s="67" t="str">
        <f t="shared" si="16"/>
        <v>M: </v>
      </c>
      <c r="C6040" s="68"/>
      <c r="D6040" s="68">
        <v>46353.0</v>
      </c>
      <c r="E6040" s="66">
        <v>8.0</v>
      </c>
      <c r="F6040" s="66" t="str">
        <f>IFERROR(__xludf.DUMMYFUNCTION("GOOGLETRANSLATE(A6040,""en"",""pt"")"),"#VALUE!")</f>
        <v>#VALUE!</v>
      </c>
      <c r="G6040" s="69"/>
    </row>
    <row r="6041" ht="22.5" customHeight="1">
      <c r="A6041" s="66"/>
      <c r="B6041" s="67" t="str">
        <f t="shared" si="16"/>
        <v>M: </v>
      </c>
      <c r="C6041" s="68"/>
      <c r="D6041" s="68">
        <v>46353.0</v>
      </c>
      <c r="E6041" s="66">
        <v>9.0</v>
      </c>
      <c r="F6041" s="66" t="str">
        <f>IFERROR(__xludf.DUMMYFUNCTION("GOOGLETRANSLATE(A6041,""en"",""pt"")"),"#VALUE!")</f>
        <v>#VALUE!</v>
      </c>
      <c r="G6041" s="69"/>
    </row>
    <row r="6042" ht="22.5" customHeight="1">
      <c r="A6042" s="66"/>
      <c r="B6042" s="67" t="str">
        <f t="shared" si="16"/>
        <v>M: </v>
      </c>
      <c r="C6042" s="68"/>
      <c r="D6042" s="68">
        <v>46354.0</v>
      </c>
      <c r="E6042" s="66">
        <v>10.0</v>
      </c>
      <c r="F6042" s="66" t="str">
        <f>IFERROR(__xludf.DUMMYFUNCTION("GOOGLETRANSLATE(A6042,""en"",""pt"")"),"#VALUE!")</f>
        <v>#VALUE!</v>
      </c>
      <c r="G6042" s="69"/>
    </row>
    <row r="6043" ht="22.5" customHeight="1">
      <c r="A6043" s="66"/>
      <c r="B6043" s="67" t="str">
        <f t="shared" si="16"/>
        <v>M: </v>
      </c>
      <c r="C6043" s="68"/>
      <c r="D6043" s="68">
        <v>46354.0</v>
      </c>
      <c r="E6043" s="66">
        <v>1.0</v>
      </c>
      <c r="F6043" s="66" t="str">
        <f>IFERROR(__xludf.DUMMYFUNCTION("GOOGLETRANSLATE(A6043,""en"",""pt"")"),"#VALUE!")</f>
        <v>#VALUE!</v>
      </c>
      <c r="G6043" s="69"/>
    </row>
    <row r="6044" ht="22.5" customHeight="1">
      <c r="A6044" s="66"/>
      <c r="B6044" s="67" t="str">
        <f t="shared" si="16"/>
        <v>M: </v>
      </c>
      <c r="C6044" s="68"/>
      <c r="D6044" s="68">
        <v>46354.0</v>
      </c>
      <c r="E6044" s="66">
        <v>2.0</v>
      </c>
      <c r="F6044" s="66" t="str">
        <f>IFERROR(__xludf.DUMMYFUNCTION("GOOGLETRANSLATE(A6044,""en"",""pt"")"),"#VALUE!")</f>
        <v>#VALUE!</v>
      </c>
      <c r="G6044" s="69"/>
    </row>
    <row r="6045" ht="22.5" customHeight="1">
      <c r="A6045" s="66"/>
      <c r="B6045" s="67" t="str">
        <f t="shared" si="16"/>
        <v>M: </v>
      </c>
      <c r="C6045" s="68"/>
      <c r="D6045" s="68">
        <v>46354.0</v>
      </c>
      <c r="E6045" s="66">
        <v>3.0</v>
      </c>
      <c r="F6045" s="66" t="str">
        <f>IFERROR(__xludf.DUMMYFUNCTION("GOOGLETRANSLATE(A6045,""en"",""pt"")"),"#VALUE!")</f>
        <v>#VALUE!</v>
      </c>
      <c r="G6045" s="69"/>
    </row>
    <row r="6046" ht="22.5" customHeight="1">
      <c r="A6046" s="66"/>
      <c r="B6046" s="67" t="str">
        <f t="shared" si="16"/>
        <v>M: </v>
      </c>
      <c r="C6046" s="68"/>
      <c r="D6046" s="68">
        <v>46354.0</v>
      </c>
      <c r="E6046" s="66">
        <v>4.0</v>
      </c>
      <c r="F6046" s="66" t="str">
        <f>IFERROR(__xludf.DUMMYFUNCTION("GOOGLETRANSLATE(A6046,""en"",""pt"")"),"#VALUE!")</f>
        <v>#VALUE!</v>
      </c>
      <c r="G6046" s="69"/>
    </row>
    <row r="6047" ht="22.5" customHeight="1">
      <c r="A6047" s="66"/>
      <c r="B6047" s="67" t="str">
        <f t="shared" si="16"/>
        <v>M: </v>
      </c>
      <c r="C6047" s="68"/>
      <c r="D6047" s="68">
        <v>46354.0</v>
      </c>
      <c r="E6047" s="66">
        <v>5.0</v>
      </c>
      <c r="F6047" s="66" t="str">
        <f>IFERROR(__xludf.DUMMYFUNCTION("GOOGLETRANSLATE(A6047,""en"",""pt"")"),"#VALUE!")</f>
        <v>#VALUE!</v>
      </c>
      <c r="G6047" s="69"/>
    </row>
    <row r="6048" ht="22.5" customHeight="1">
      <c r="A6048" s="66"/>
      <c r="B6048" s="67" t="str">
        <f t="shared" si="16"/>
        <v>M: </v>
      </c>
      <c r="C6048" s="68"/>
      <c r="D6048" s="68">
        <v>46354.0</v>
      </c>
      <c r="E6048" s="66">
        <v>6.0</v>
      </c>
      <c r="F6048" s="66" t="str">
        <f>IFERROR(__xludf.DUMMYFUNCTION("GOOGLETRANSLATE(A6048,""en"",""pt"")"),"#VALUE!")</f>
        <v>#VALUE!</v>
      </c>
      <c r="G6048" s="69"/>
    </row>
    <row r="6049" ht="22.5" customHeight="1">
      <c r="A6049" s="66"/>
      <c r="B6049" s="67" t="str">
        <f t="shared" si="16"/>
        <v>M: </v>
      </c>
      <c r="C6049" s="68"/>
      <c r="D6049" s="68">
        <v>46354.0</v>
      </c>
      <c r="E6049" s="66">
        <v>7.0</v>
      </c>
      <c r="F6049" s="66" t="str">
        <f>IFERROR(__xludf.DUMMYFUNCTION("GOOGLETRANSLATE(A6049,""en"",""pt"")"),"#VALUE!")</f>
        <v>#VALUE!</v>
      </c>
      <c r="G6049" s="69"/>
    </row>
    <row r="6050" ht="22.5" customHeight="1">
      <c r="A6050" s="66"/>
      <c r="B6050" s="67" t="str">
        <f t="shared" si="16"/>
        <v>M: </v>
      </c>
      <c r="C6050" s="68"/>
      <c r="D6050" s="68">
        <v>46354.0</v>
      </c>
      <c r="E6050" s="66">
        <v>8.0</v>
      </c>
      <c r="F6050" s="66" t="str">
        <f>IFERROR(__xludf.DUMMYFUNCTION("GOOGLETRANSLATE(A6050,""en"",""pt"")"),"#VALUE!")</f>
        <v>#VALUE!</v>
      </c>
      <c r="G6050" s="69"/>
    </row>
    <row r="6051" ht="22.5" customHeight="1">
      <c r="A6051" s="66"/>
      <c r="B6051" s="67" t="str">
        <f t="shared" si="16"/>
        <v>M: </v>
      </c>
      <c r="C6051" s="68"/>
      <c r="D6051" s="68">
        <v>46354.0</v>
      </c>
      <c r="E6051" s="66">
        <v>9.0</v>
      </c>
      <c r="F6051" s="66" t="str">
        <f>IFERROR(__xludf.DUMMYFUNCTION("GOOGLETRANSLATE(A6051,""en"",""pt"")"),"#VALUE!")</f>
        <v>#VALUE!</v>
      </c>
      <c r="G6051" s="69"/>
    </row>
    <row r="6052" ht="22.5" customHeight="1">
      <c r="A6052" s="66"/>
      <c r="B6052" s="67" t="str">
        <f t="shared" si="16"/>
        <v>M: </v>
      </c>
      <c r="C6052" s="68"/>
      <c r="D6052" s="68">
        <v>46355.0</v>
      </c>
      <c r="E6052" s="66">
        <v>10.0</v>
      </c>
      <c r="F6052" s="66" t="str">
        <f>IFERROR(__xludf.DUMMYFUNCTION("GOOGLETRANSLATE(A6052,""en"",""pt"")"),"#VALUE!")</f>
        <v>#VALUE!</v>
      </c>
      <c r="G6052" s="69"/>
    </row>
    <row r="6053" ht="22.5" customHeight="1">
      <c r="A6053" s="66"/>
      <c r="B6053" s="67" t="str">
        <f t="shared" si="16"/>
        <v>M: </v>
      </c>
      <c r="C6053" s="68"/>
      <c r="D6053" s="68">
        <v>46355.0</v>
      </c>
      <c r="E6053" s="66">
        <v>1.0</v>
      </c>
      <c r="F6053" s="66" t="str">
        <f>IFERROR(__xludf.DUMMYFUNCTION("GOOGLETRANSLATE(A6053,""en"",""pt"")"),"#VALUE!")</f>
        <v>#VALUE!</v>
      </c>
      <c r="G6053" s="69"/>
    </row>
    <row r="6054" ht="22.5" customHeight="1">
      <c r="A6054" s="66"/>
      <c r="B6054" s="67" t="str">
        <f t="shared" si="16"/>
        <v>M: </v>
      </c>
      <c r="C6054" s="68"/>
      <c r="D6054" s="68">
        <v>46355.0</v>
      </c>
      <c r="E6054" s="66">
        <v>2.0</v>
      </c>
      <c r="F6054" s="66" t="str">
        <f>IFERROR(__xludf.DUMMYFUNCTION("GOOGLETRANSLATE(A6054,""en"",""pt"")"),"#VALUE!")</f>
        <v>#VALUE!</v>
      </c>
      <c r="G6054" s="69"/>
    </row>
    <row r="6055" ht="22.5" customHeight="1">
      <c r="A6055" s="66"/>
      <c r="B6055" s="67" t="str">
        <f t="shared" si="16"/>
        <v>M: </v>
      </c>
      <c r="C6055" s="68"/>
      <c r="D6055" s="68">
        <v>46355.0</v>
      </c>
      <c r="E6055" s="66">
        <v>3.0</v>
      </c>
      <c r="F6055" s="66" t="str">
        <f>IFERROR(__xludf.DUMMYFUNCTION("GOOGLETRANSLATE(A6055,""en"",""pt"")"),"#VALUE!")</f>
        <v>#VALUE!</v>
      </c>
      <c r="G6055" s="69"/>
    </row>
    <row r="6056" ht="22.5" customHeight="1">
      <c r="A6056" s="66"/>
      <c r="B6056" s="67" t="str">
        <f t="shared" si="16"/>
        <v>M: </v>
      </c>
      <c r="C6056" s="68"/>
      <c r="D6056" s="68">
        <v>46355.0</v>
      </c>
      <c r="E6056" s="66">
        <v>4.0</v>
      </c>
      <c r="F6056" s="66" t="str">
        <f>IFERROR(__xludf.DUMMYFUNCTION("GOOGLETRANSLATE(A6056,""en"",""pt"")"),"#VALUE!")</f>
        <v>#VALUE!</v>
      </c>
      <c r="G6056" s="69"/>
    </row>
    <row r="6057" ht="22.5" customHeight="1">
      <c r="A6057" s="66"/>
      <c r="B6057" s="67" t="str">
        <f t="shared" si="16"/>
        <v>M: </v>
      </c>
      <c r="C6057" s="68"/>
      <c r="D6057" s="68">
        <v>46355.0</v>
      </c>
      <c r="E6057" s="66">
        <v>5.0</v>
      </c>
      <c r="F6057" s="66" t="str">
        <f>IFERROR(__xludf.DUMMYFUNCTION("GOOGLETRANSLATE(A6057,""en"",""pt"")"),"#VALUE!")</f>
        <v>#VALUE!</v>
      </c>
      <c r="G6057" s="69"/>
    </row>
    <row r="6058" ht="22.5" customHeight="1">
      <c r="A6058" s="66"/>
      <c r="B6058" s="67" t="str">
        <f t="shared" si="16"/>
        <v>M: </v>
      </c>
      <c r="C6058" s="68"/>
      <c r="D6058" s="68">
        <v>46355.0</v>
      </c>
      <c r="E6058" s="66">
        <v>6.0</v>
      </c>
      <c r="F6058" s="66" t="str">
        <f>IFERROR(__xludf.DUMMYFUNCTION("GOOGLETRANSLATE(A6058,""en"",""pt"")"),"#VALUE!")</f>
        <v>#VALUE!</v>
      </c>
      <c r="G6058" s="69"/>
    </row>
    <row r="6059" ht="22.5" customHeight="1">
      <c r="A6059" s="66"/>
      <c r="B6059" s="67" t="str">
        <f t="shared" si="16"/>
        <v>M: </v>
      </c>
      <c r="C6059" s="68"/>
      <c r="D6059" s="68">
        <v>46355.0</v>
      </c>
      <c r="E6059" s="66">
        <v>7.0</v>
      </c>
      <c r="F6059" s="66" t="str">
        <f>IFERROR(__xludf.DUMMYFUNCTION("GOOGLETRANSLATE(A6059,""en"",""pt"")"),"#VALUE!")</f>
        <v>#VALUE!</v>
      </c>
      <c r="G6059" s="69"/>
    </row>
    <row r="6060" ht="22.5" customHeight="1">
      <c r="A6060" s="66"/>
      <c r="B6060" s="67" t="str">
        <f t="shared" si="16"/>
        <v>M: </v>
      </c>
      <c r="C6060" s="68"/>
      <c r="D6060" s="68">
        <v>46355.0</v>
      </c>
      <c r="E6060" s="66">
        <v>8.0</v>
      </c>
      <c r="F6060" s="66" t="str">
        <f>IFERROR(__xludf.DUMMYFUNCTION("GOOGLETRANSLATE(A6060,""en"",""pt"")"),"#VALUE!")</f>
        <v>#VALUE!</v>
      </c>
      <c r="G6060" s="69"/>
    </row>
    <row r="6061" ht="22.5" customHeight="1">
      <c r="A6061" s="66"/>
      <c r="B6061" s="67" t="str">
        <f t="shared" si="16"/>
        <v>M: </v>
      </c>
      <c r="C6061" s="68"/>
      <c r="D6061" s="68">
        <v>46355.0</v>
      </c>
      <c r="E6061" s="66">
        <v>9.0</v>
      </c>
      <c r="F6061" s="66" t="str">
        <f>IFERROR(__xludf.DUMMYFUNCTION("GOOGLETRANSLATE(A6061,""en"",""pt"")"),"#VALUE!")</f>
        <v>#VALUE!</v>
      </c>
      <c r="G6061" s="69"/>
    </row>
    <row r="6062" ht="22.5" customHeight="1">
      <c r="A6062" s="66"/>
      <c r="B6062" s="67" t="str">
        <f t="shared" si="16"/>
        <v>M: </v>
      </c>
      <c r="C6062" s="68"/>
      <c r="D6062" s="68">
        <v>46356.0</v>
      </c>
      <c r="E6062" s="66">
        <v>10.0</v>
      </c>
      <c r="F6062" s="66" t="str">
        <f>IFERROR(__xludf.DUMMYFUNCTION("GOOGLETRANSLATE(A6062,""en"",""pt"")"),"#VALUE!")</f>
        <v>#VALUE!</v>
      </c>
      <c r="G6062" s="69"/>
    </row>
    <row r="6063" ht="22.5" customHeight="1">
      <c r="A6063" s="66"/>
      <c r="B6063" s="67" t="str">
        <f t="shared" si="16"/>
        <v>M: </v>
      </c>
      <c r="C6063" s="68"/>
      <c r="D6063" s="68">
        <v>46356.0</v>
      </c>
      <c r="E6063" s="66">
        <v>1.0</v>
      </c>
      <c r="F6063" s="66" t="str">
        <f>IFERROR(__xludf.DUMMYFUNCTION("GOOGLETRANSLATE(A6063,""en"",""pt"")"),"#VALUE!")</f>
        <v>#VALUE!</v>
      </c>
      <c r="G6063" s="69"/>
    </row>
    <row r="6064" ht="22.5" customHeight="1">
      <c r="A6064" s="66"/>
      <c r="B6064" s="67" t="str">
        <f t="shared" si="16"/>
        <v>M: </v>
      </c>
      <c r="C6064" s="68"/>
      <c r="D6064" s="68">
        <v>46356.0</v>
      </c>
      <c r="E6064" s="66">
        <v>2.0</v>
      </c>
      <c r="F6064" s="66" t="str">
        <f>IFERROR(__xludf.DUMMYFUNCTION("GOOGLETRANSLATE(A6064,""en"",""pt"")"),"#VALUE!")</f>
        <v>#VALUE!</v>
      </c>
      <c r="G6064" s="69"/>
    </row>
    <row r="6065" ht="22.5" customHeight="1">
      <c r="A6065" s="66"/>
      <c r="B6065" s="67" t="str">
        <f t="shared" si="16"/>
        <v>M: </v>
      </c>
      <c r="C6065" s="68"/>
      <c r="D6065" s="68">
        <v>46356.0</v>
      </c>
      <c r="E6065" s="66">
        <v>3.0</v>
      </c>
      <c r="F6065" s="66" t="str">
        <f>IFERROR(__xludf.DUMMYFUNCTION("GOOGLETRANSLATE(A6065,""en"",""pt"")"),"#VALUE!")</f>
        <v>#VALUE!</v>
      </c>
      <c r="G6065" s="69"/>
    </row>
    <row r="6066" ht="22.5" customHeight="1">
      <c r="A6066" s="66"/>
      <c r="B6066" s="67" t="str">
        <f t="shared" si="16"/>
        <v>M: </v>
      </c>
      <c r="C6066" s="68"/>
      <c r="D6066" s="68">
        <v>46356.0</v>
      </c>
      <c r="E6066" s="66">
        <v>4.0</v>
      </c>
      <c r="F6066" s="66" t="str">
        <f>IFERROR(__xludf.DUMMYFUNCTION("GOOGLETRANSLATE(A6066,""en"",""pt"")"),"#VALUE!")</f>
        <v>#VALUE!</v>
      </c>
      <c r="G6066" s="69"/>
    </row>
    <row r="6067" ht="22.5" customHeight="1">
      <c r="A6067" s="66"/>
      <c r="B6067" s="67" t="str">
        <f t="shared" si="16"/>
        <v>M: </v>
      </c>
      <c r="C6067" s="68"/>
      <c r="D6067" s="68">
        <v>46356.0</v>
      </c>
      <c r="E6067" s="66">
        <v>5.0</v>
      </c>
      <c r="F6067" s="66" t="str">
        <f>IFERROR(__xludf.DUMMYFUNCTION("GOOGLETRANSLATE(A6067,""en"",""pt"")"),"#VALUE!")</f>
        <v>#VALUE!</v>
      </c>
      <c r="G6067" s="69"/>
    </row>
    <row r="6068" ht="22.5" customHeight="1">
      <c r="A6068" s="66"/>
      <c r="B6068" s="67" t="str">
        <f t="shared" si="16"/>
        <v>M: </v>
      </c>
      <c r="C6068" s="68"/>
      <c r="D6068" s="68">
        <v>46356.0</v>
      </c>
      <c r="E6068" s="66">
        <v>6.0</v>
      </c>
      <c r="F6068" s="66" t="str">
        <f>IFERROR(__xludf.DUMMYFUNCTION("GOOGLETRANSLATE(A6068,""en"",""pt"")"),"#VALUE!")</f>
        <v>#VALUE!</v>
      </c>
      <c r="G6068" s="69"/>
    </row>
    <row r="6069" ht="22.5" customHeight="1">
      <c r="A6069" s="66"/>
      <c r="B6069" s="67" t="str">
        <f t="shared" si="16"/>
        <v>M: </v>
      </c>
      <c r="C6069" s="68"/>
      <c r="D6069" s="68">
        <v>46356.0</v>
      </c>
      <c r="E6069" s="66">
        <v>7.0</v>
      </c>
      <c r="F6069" s="66" t="str">
        <f>IFERROR(__xludf.DUMMYFUNCTION("GOOGLETRANSLATE(A6069,""en"",""pt"")"),"#VALUE!")</f>
        <v>#VALUE!</v>
      </c>
      <c r="G6069" s="69"/>
    </row>
    <row r="6070" ht="22.5" customHeight="1">
      <c r="A6070" s="66"/>
      <c r="B6070" s="67" t="str">
        <f t="shared" si="16"/>
        <v>M: </v>
      </c>
      <c r="C6070" s="68"/>
      <c r="D6070" s="68">
        <v>46356.0</v>
      </c>
      <c r="E6070" s="66">
        <v>8.0</v>
      </c>
      <c r="F6070" s="66" t="str">
        <f>IFERROR(__xludf.DUMMYFUNCTION("GOOGLETRANSLATE(A6070,""en"",""pt"")"),"#VALUE!")</f>
        <v>#VALUE!</v>
      </c>
      <c r="G6070" s="69"/>
    </row>
    <row r="6071" ht="22.5" customHeight="1">
      <c r="A6071" s="66"/>
      <c r="B6071" s="67" t="str">
        <f t="shared" si="16"/>
        <v>M: </v>
      </c>
      <c r="C6071" s="68"/>
      <c r="D6071" s="68">
        <v>46356.0</v>
      </c>
      <c r="E6071" s="66">
        <v>9.0</v>
      </c>
      <c r="F6071" s="66" t="str">
        <f>IFERROR(__xludf.DUMMYFUNCTION("GOOGLETRANSLATE(A6071,""en"",""pt"")"),"#VALUE!")</f>
        <v>#VALUE!</v>
      </c>
      <c r="G6071" s="69"/>
    </row>
    <row r="6072" ht="22.5" customHeight="1">
      <c r="A6072" s="66"/>
      <c r="B6072" s="67" t="str">
        <f t="shared" si="16"/>
        <v>M: </v>
      </c>
      <c r="C6072" s="68"/>
      <c r="D6072" s="68">
        <v>46357.0</v>
      </c>
      <c r="E6072" s="66">
        <v>10.0</v>
      </c>
      <c r="F6072" s="66" t="str">
        <f>IFERROR(__xludf.DUMMYFUNCTION("GOOGLETRANSLATE(A6072,""en"",""pt"")"),"#VALUE!")</f>
        <v>#VALUE!</v>
      </c>
      <c r="G6072" s="69"/>
    </row>
    <row r="6073" ht="22.5" customHeight="1">
      <c r="A6073" s="66"/>
      <c r="B6073" s="67" t="str">
        <f t="shared" si="16"/>
        <v>M: </v>
      </c>
      <c r="C6073" s="68"/>
      <c r="D6073" s="68">
        <v>46357.0</v>
      </c>
      <c r="E6073" s="66">
        <v>1.0</v>
      </c>
      <c r="F6073" s="66" t="str">
        <f>IFERROR(__xludf.DUMMYFUNCTION("GOOGLETRANSLATE(A6073,""en"",""pt"")"),"#VALUE!")</f>
        <v>#VALUE!</v>
      </c>
      <c r="G6073" s="69"/>
    </row>
    <row r="6074" ht="22.5" customHeight="1">
      <c r="A6074" s="66"/>
      <c r="B6074" s="67" t="str">
        <f t="shared" si="16"/>
        <v>M: </v>
      </c>
      <c r="C6074" s="68"/>
      <c r="D6074" s="68">
        <v>46357.0</v>
      </c>
      <c r="E6074" s="66">
        <v>2.0</v>
      </c>
      <c r="F6074" s="66" t="str">
        <f>IFERROR(__xludf.DUMMYFUNCTION("GOOGLETRANSLATE(A6074,""en"",""pt"")"),"#VALUE!")</f>
        <v>#VALUE!</v>
      </c>
      <c r="G6074" s="69"/>
    </row>
    <row r="6075" ht="22.5" customHeight="1">
      <c r="A6075" s="66"/>
      <c r="B6075" s="67" t="str">
        <f t="shared" si="16"/>
        <v>M: </v>
      </c>
      <c r="C6075" s="68"/>
      <c r="D6075" s="68">
        <v>46357.0</v>
      </c>
      <c r="E6075" s="66">
        <v>3.0</v>
      </c>
      <c r="F6075" s="66" t="str">
        <f>IFERROR(__xludf.DUMMYFUNCTION("GOOGLETRANSLATE(A6075,""en"",""pt"")"),"#VALUE!")</f>
        <v>#VALUE!</v>
      </c>
      <c r="G6075" s="69"/>
    </row>
    <row r="6076" ht="22.5" customHeight="1">
      <c r="A6076" s="66"/>
      <c r="B6076" s="67" t="str">
        <f t="shared" si="16"/>
        <v>M: </v>
      </c>
      <c r="C6076" s="68"/>
      <c r="D6076" s="68">
        <v>46357.0</v>
      </c>
      <c r="E6076" s="66">
        <v>4.0</v>
      </c>
      <c r="F6076" s="66" t="str">
        <f>IFERROR(__xludf.DUMMYFUNCTION("GOOGLETRANSLATE(A6076,""en"",""pt"")"),"#VALUE!")</f>
        <v>#VALUE!</v>
      </c>
      <c r="G6076" s="69"/>
    </row>
    <row r="6077" ht="22.5" customHeight="1">
      <c r="A6077" s="66"/>
      <c r="B6077" s="67" t="str">
        <f t="shared" si="16"/>
        <v>M: </v>
      </c>
      <c r="C6077" s="68"/>
      <c r="D6077" s="68">
        <v>46357.0</v>
      </c>
      <c r="E6077" s="66">
        <v>5.0</v>
      </c>
      <c r="F6077" s="66" t="str">
        <f>IFERROR(__xludf.DUMMYFUNCTION("GOOGLETRANSLATE(A6077,""en"",""pt"")"),"#VALUE!")</f>
        <v>#VALUE!</v>
      </c>
      <c r="G6077" s="69"/>
    </row>
    <row r="6078" ht="22.5" customHeight="1">
      <c r="A6078" s="66"/>
      <c r="B6078" s="67" t="str">
        <f t="shared" si="16"/>
        <v>M: </v>
      </c>
      <c r="C6078" s="68"/>
      <c r="D6078" s="68">
        <v>46357.0</v>
      </c>
      <c r="E6078" s="66">
        <v>6.0</v>
      </c>
      <c r="F6078" s="66" t="str">
        <f>IFERROR(__xludf.DUMMYFUNCTION("GOOGLETRANSLATE(A6078,""en"",""pt"")"),"#VALUE!")</f>
        <v>#VALUE!</v>
      </c>
      <c r="G6078" s="69"/>
    </row>
    <row r="6079" ht="22.5" customHeight="1">
      <c r="A6079" s="66"/>
      <c r="B6079" s="67" t="str">
        <f t="shared" si="16"/>
        <v>M: </v>
      </c>
      <c r="C6079" s="68"/>
      <c r="D6079" s="68">
        <v>46357.0</v>
      </c>
      <c r="E6079" s="66">
        <v>7.0</v>
      </c>
      <c r="F6079" s="66" t="str">
        <f>IFERROR(__xludf.DUMMYFUNCTION("GOOGLETRANSLATE(A6079,""en"",""pt"")"),"#VALUE!")</f>
        <v>#VALUE!</v>
      </c>
      <c r="G6079" s="69"/>
    </row>
    <row r="6080" ht="22.5" customHeight="1">
      <c r="A6080" s="66"/>
      <c r="B6080" s="67" t="str">
        <f t="shared" si="16"/>
        <v>M: </v>
      </c>
      <c r="C6080" s="68"/>
      <c r="D6080" s="68">
        <v>46357.0</v>
      </c>
      <c r="E6080" s="66">
        <v>8.0</v>
      </c>
      <c r="F6080" s="66" t="str">
        <f>IFERROR(__xludf.DUMMYFUNCTION("GOOGLETRANSLATE(A6080,""en"",""pt"")"),"#VALUE!")</f>
        <v>#VALUE!</v>
      </c>
      <c r="G6080" s="69"/>
    </row>
    <row r="6081" ht="22.5" customHeight="1">
      <c r="A6081" s="66"/>
      <c r="B6081" s="67" t="str">
        <f t="shared" si="16"/>
        <v>M: </v>
      </c>
      <c r="C6081" s="68"/>
      <c r="D6081" s="68">
        <v>46357.0</v>
      </c>
      <c r="E6081" s="66">
        <v>9.0</v>
      </c>
      <c r="F6081" s="66" t="str">
        <f>IFERROR(__xludf.DUMMYFUNCTION("GOOGLETRANSLATE(A6081,""en"",""pt"")"),"#VALUE!")</f>
        <v>#VALUE!</v>
      </c>
      <c r="G6081" s="69"/>
    </row>
    <row r="6082" ht="22.5" customHeight="1">
      <c r="A6082" s="66"/>
      <c r="B6082" s="67" t="str">
        <f t="shared" si="16"/>
        <v>M: </v>
      </c>
      <c r="C6082" s="68"/>
      <c r="D6082" s="68">
        <v>46358.0</v>
      </c>
      <c r="E6082" s="66">
        <v>10.0</v>
      </c>
      <c r="F6082" s="66" t="str">
        <f>IFERROR(__xludf.DUMMYFUNCTION("GOOGLETRANSLATE(A6082,""en"",""pt"")"),"#VALUE!")</f>
        <v>#VALUE!</v>
      </c>
      <c r="G6082" s="69"/>
    </row>
    <row r="6083" ht="22.5" customHeight="1">
      <c r="A6083" s="66"/>
      <c r="B6083" s="67" t="str">
        <f t="shared" si="16"/>
        <v>M: </v>
      </c>
      <c r="C6083" s="68"/>
      <c r="D6083" s="68">
        <v>46358.0</v>
      </c>
      <c r="E6083" s="66">
        <v>1.0</v>
      </c>
      <c r="F6083" s="66" t="str">
        <f>IFERROR(__xludf.DUMMYFUNCTION("GOOGLETRANSLATE(A6083,""en"",""pt"")"),"#VALUE!")</f>
        <v>#VALUE!</v>
      </c>
      <c r="G6083" s="69"/>
    </row>
    <row r="6084" ht="22.5" customHeight="1">
      <c r="A6084" s="66"/>
      <c r="B6084" s="67" t="str">
        <f t="shared" si="16"/>
        <v>M: </v>
      </c>
      <c r="C6084" s="68"/>
      <c r="D6084" s="68">
        <v>46358.0</v>
      </c>
      <c r="E6084" s="66">
        <v>2.0</v>
      </c>
      <c r="F6084" s="66" t="str">
        <f>IFERROR(__xludf.DUMMYFUNCTION("GOOGLETRANSLATE(A6084,""en"",""pt"")"),"#VALUE!")</f>
        <v>#VALUE!</v>
      </c>
      <c r="G6084" s="69"/>
    </row>
    <row r="6085" ht="22.5" customHeight="1">
      <c r="A6085" s="66"/>
      <c r="B6085" s="67" t="str">
        <f t="shared" si="16"/>
        <v>M: </v>
      </c>
      <c r="C6085" s="68"/>
      <c r="D6085" s="68">
        <v>46358.0</v>
      </c>
      <c r="E6085" s="66">
        <v>3.0</v>
      </c>
      <c r="F6085" s="66" t="str">
        <f>IFERROR(__xludf.DUMMYFUNCTION("GOOGLETRANSLATE(A6085,""en"",""pt"")"),"#VALUE!")</f>
        <v>#VALUE!</v>
      </c>
      <c r="G6085" s="69"/>
    </row>
    <row r="6086" ht="22.5" customHeight="1">
      <c r="A6086" s="66"/>
      <c r="B6086" s="67" t="str">
        <f t="shared" si="16"/>
        <v>M: </v>
      </c>
      <c r="C6086" s="68"/>
      <c r="D6086" s="68">
        <v>46358.0</v>
      </c>
      <c r="E6086" s="66">
        <v>4.0</v>
      </c>
      <c r="F6086" s="66" t="str">
        <f>IFERROR(__xludf.DUMMYFUNCTION("GOOGLETRANSLATE(A6086,""en"",""pt"")"),"#VALUE!")</f>
        <v>#VALUE!</v>
      </c>
      <c r="G6086" s="69"/>
    </row>
    <row r="6087" ht="22.5" customHeight="1">
      <c r="A6087" s="66"/>
      <c r="B6087" s="67" t="str">
        <f t="shared" si="16"/>
        <v>M: </v>
      </c>
      <c r="C6087" s="68"/>
      <c r="D6087" s="68">
        <v>46358.0</v>
      </c>
      <c r="E6087" s="66">
        <v>5.0</v>
      </c>
      <c r="F6087" s="66" t="str">
        <f>IFERROR(__xludf.DUMMYFUNCTION("GOOGLETRANSLATE(A6087,""en"",""pt"")"),"#VALUE!")</f>
        <v>#VALUE!</v>
      </c>
      <c r="G6087" s="69"/>
    </row>
    <row r="6088" ht="22.5" customHeight="1">
      <c r="A6088" s="66"/>
      <c r="B6088" s="67" t="str">
        <f t="shared" si="16"/>
        <v>M: </v>
      </c>
      <c r="C6088" s="68"/>
      <c r="D6088" s="68">
        <v>46358.0</v>
      </c>
      <c r="E6088" s="66">
        <v>6.0</v>
      </c>
      <c r="F6088" s="66" t="str">
        <f>IFERROR(__xludf.DUMMYFUNCTION("GOOGLETRANSLATE(A6088,""en"",""pt"")"),"#VALUE!")</f>
        <v>#VALUE!</v>
      </c>
      <c r="G6088" s="69"/>
    </row>
    <row r="6089" ht="22.5" customHeight="1">
      <c r="A6089" s="66"/>
      <c r="B6089" s="67" t="str">
        <f t="shared" si="16"/>
        <v>M: </v>
      </c>
      <c r="C6089" s="68"/>
      <c r="D6089" s="68">
        <v>46358.0</v>
      </c>
      <c r="E6089" s="66">
        <v>7.0</v>
      </c>
      <c r="F6089" s="66" t="str">
        <f>IFERROR(__xludf.DUMMYFUNCTION("GOOGLETRANSLATE(A6089,""en"",""pt"")"),"#VALUE!")</f>
        <v>#VALUE!</v>
      </c>
      <c r="G6089" s="69"/>
    </row>
    <row r="6090" ht="22.5" customHeight="1">
      <c r="A6090" s="66"/>
      <c r="B6090" s="67" t="str">
        <f t="shared" si="16"/>
        <v>M: </v>
      </c>
      <c r="C6090" s="68"/>
      <c r="D6090" s="68">
        <v>46358.0</v>
      </c>
      <c r="E6090" s="66">
        <v>8.0</v>
      </c>
      <c r="F6090" s="66" t="str">
        <f>IFERROR(__xludf.DUMMYFUNCTION("GOOGLETRANSLATE(A6090,""en"",""pt"")"),"#VALUE!")</f>
        <v>#VALUE!</v>
      </c>
      <c r="G6090" s="69"/>
    </row>
    <row r="6091" ht="22.5" customHeight="1">
      <c r="A6091" s="66"/>
      <c r="B6091" s="67" t="str">
        <f t="shared" si="16"/>
        <v>M: </v>
      </c>
      <c r="C6091" s="68"/>
      <c r="D6091" s="68">
        <v>46358.0</v>
      </c>
      <c r="E6091" s="66">
        <v>9.0</v>
      </c>
      <c r="F6091" s="66" t="str">
        <f>IFERROR(__xludf.DUMMYFUNCTION("GOOGLETRANSLATE(A6091,""en"",""pt"")"),"#VALUE!")</f>
        <v>#VALUE!</v>
      </c>
      <c r="G6091" s="69"/>
    </row>
    <row r="6092" ht="22.5" customHeight="1">
      <c r="A6092" s="66"/>
      <c r="B6092" s="67" t="str">
        <f t="shared" si="16"/>
        <v>M: </v>
      </c>
      <c r="C6092" s="68"/>
      <c r="D6092" s="68">
        <v>46359.0</v>
      </c>
      <c r="E6092" s="66">
        <v>10.0</v>
      </c>
      <c r="F6092" s="66" t="str">
        <f>IFERROR(__xludf.DUMMYFUNCTION("GOOGLETRANSLATE(A6092,""en"",""pt"")"),"#VALUE!")</f>
        <v>#VALUE!</v>
      </c>
      <c r="G6092" s="69"/>
    </row>
    <row r="6093" ht="22.5" customHeight="1">
      <c r="A6093" s="66"/>
      <c r="B6093" s="67" t="str">
        <f t="shared" si="16"/>
        <v>M: </v>
      </c>
      <c r="C6093" s="68"/>
      <c r="D6093" s="68">
        <v>46359.0</v>
      </c>
      <c r="E6093" s="66">
        <v>1.0</v>
      </c>
      <c r="F6093" s="66" t="str">
        <f>IFERROR(__xludf.DUMMYFUNCTION("GOOGLETRANSLATE(A6093,""en"",""pt"")"),"#VALUE!")</f>
        <v>#VALUE!</v>
      </c>
      <c r="G6093" s="69"/>
    </row>
    <row r="6094" ht="22.5" customHeight="1">
      <c r="A6094" s="66"/>
      <c r="B6094" s="67" t="str">
        <f t="shared" si="16"/>
        <v>M: </v>
      </c>
      <c r="C6094" s="68"/>
      <c r="D6094" s="68">
        <v>46359.0</v>
      </c>
      <c r="E6094" s="66">
        <v>2.0</v>
      </c>
      <c r="F6094" s="66" t="str">
        <f>IFERROR(__xludf.DUMMYFUNCTION("GOOGLETRANSLATE(A6094,""en"",""pt"")"),"#VALUE!")</f>
        <v>#VALUE!</v>
      </c>
      <c r="G6094" s="69"/>
    </row>
    <row r="6095" ht="22.5" customHeight="1">
      <c r="A6095" s="66"/>
      <c r="B6095" s="67" t="str">
        <f t="shared" si="16"/>
        <v>M: </v>
      </c>
      <c r="C6095" s="68"/>
      <c r="D6095" s="68">
        <v>46359.0</v>
      </c>
      <c r="E6095" s="66">
        <v>3.0</v>
      </c>
      <c r="F6095" s="66" t="str">
        <f>IFERROR(__xludf.DUMMYFUNCTION("GOOGLETRANSLATE(A6095,""en"",""pt"")"),"#VALUE!")</f>
        <v>#VALUE!</v>
      </c>
      <c r="G6095" s="69"/>
    </row>
    <row r="6096" ht="22.5" customHeight="1">
      <c r="A6096" s="66"/>
      <c r="B6096" s="67" t="str">
        <f t="shared" si="16"/>
        <v>M: </v>
      </c>
      <c r="C6096" s="68"/>
      <c r="D6096" s="68">
        <v>46359.0</v>
      </c>
      <c r="E6096" s="66">
        <v>4.0</v>
      </c>
      <c r="F6096" s="66" t="str">
        <f>IFERROR(__xludf.DUMMYFUNCTION("GOOGLETRANSLATE(A6096,""en"",""pt"")"),"#VALUE!")</f>
        <v>#VALUE!</v>
      </c>
      <c r="G6096" s="69"/>
    </row>
    <row r="6097" ht="22.5" customHeight="1">
      <c r="A6097" s="66"/>
      <c r="B6097" s="67" t="str">
        <f t="shared" si="16"/>
        <v>M: </v>
      </c>
      <c r="C6097" s="68"/>
      <c r="D6097" s="68">
        <v>46359.0</v>
      </c>
      <c r="E6097" s="66">
        <v>5.0</v>
      </c>
      <c r="F6097" s="66" t="str">
        <f>IFERROR(__xludf.DUMMYFUNCTION("GOOGLETRANSLATE(A6097,""en"",""pt"")"),"#VALUE!")</f>
        <v>#VALUE!</v>
      </c>
      <c r="G6097" s="69"/>
    </row>
    <row r="6098" ht="22.5" customHeight="1">
      <c r="A6098" s="66"/>
      <c r="B6098" s="67" t="str">
        <f t="shared" si="16"/>
        <v>M: </v>
      </c>
      <c r="C6098" s="68"/>
      <c r="D6098" s="68">
        <v>46359.0</v>
      </c>
      <c r="E6098" s="66">
        <v>6.0</v>
      </c>
      <c r="F6098" s="66" t="str">
        <f>IFERROR(__xludf.DUMMYFUNCTION("GOOGLETRANSLATE(A6098,""en"",""pt"")"),"#VALUE!")</f>
        <v>#VALUE!</v>
      </c>
      <c r="G6098" s="69"/>
    </row>
    <row r="6099" ht="22.5" customHeight="1">
      <c r="A6099" s="66"/>
      <c r="B6099" s="67" t="str">
        <f t="shared" si="16"/>
        <v>M: </v>
      </c>
      <c r="C6099" s="68"/>
      <c r="D6099" s="68">
        <v>46359.0</v>
      </c>
      <c r="E6099" s="66">
        <v>7.0</v>
      </c>
      <c r="F6099" s="66" t="str">
        <f>IFERROR(__xludf.DUMMYFUNCTION("GOOGLETRANSLATE(A6099,""en"",""pt"")"),"#VALUE!")</f>
        <v>#VALUE!</v>
      </c>
      <c r="G6099" s="69"/>
    </row>
    <row r="6100" ht="22.5" customHeight="1">
      <c r="A6100" s="66"/>
      <c r="B6100" s="67" t="str">
        <f t="shared" si="16"/>
        <v>M: </v>
      </c>
      <c r="C6100" s="68"/>
      <c r="D6100" s="68">
        <v>46359.0</v>
      </c>
      <c r="E6100" s="66">
        <v>8.0</v>
      </c>
      <c r="F6100" s="66" t="str">
        <f>IFERROR(__xludf.DUMMYFUNCTION("GOOGLETRANSLATE(A6100,""en"",""pt"")"),"#VALUE!")</f>
        <v>#VALUE!</v>
      </c>
      <c r="G6100" s="69"/>
    </row>
    <row r="6101" ht="22.5" customHeight="1">
      <c r="A6101" s="66"/>
      <c r="B6101" s="67" t="str">
        <f t="shared" si="16"/>
        <v>M: </v>
      </c>
      <c r="C6101" s="68"/>
      <c r="D6101" s="68">
        <v>46359.0</v>
      </c>
      <c r="E6101" s="66">
        <v>9.0</v>
      </c>
      <c r="F6101" s="66" t="str">
        <f>IFERROR(__xludf.DUMMYFUNCTION("GOOGLETRANSLATE(A6101,""en"",""pt"")"),"#VALUE!")</f>
        <v>#VALUE!</v>
      </c>
      <c r="G6101" s="69"/>
    </row>
    <row r="6102" ht="22.5" customHeight="1">
      <c r="A6102" s="66"/>
      <c r="B6102" s="67" t="str">
        <f t="shared" si="16"/>
        <v>M: </v>
      </c>
      <c r="C6102" s="68"/>
      <c r="D6102" s="68">
        <v>46360.0</v>
      </c>
      <c r="E6102" s="66">
        <v>10.0</v>
      </c>
      <c r="F6102" s="66" t="str">
        <f>IFERROR(__xludf.DUMMYFUNCTION("GOOGLETRANSLATE(A6102,""en"",""pt"")"),"#VALUE!")</f>
        <v>#VALUE!</v>
      </c>
      <c r="G6102" s="69"/>
    </row>
    <row r="6103" ht="22.5" customHeight="1">
      <c r="A6103" s="66"/>
      <c r="B6103" s="67" t="str">
        <f t="shared" si="16"/>
        <v>M: </v>
      </c>
      <c r="C6103" s="68"/>
      <c r="D6103" s="68">
        <v>46360.0</v>
      </c>
      <c r="E6103" s="66">
        <v>1.0</v>
      </c>
      <c r="F6103" s="66" t="str">
        <f>IFERROR(__xludf.DUMMYFUNCTION("GOOGLETRANSLATE(A6103,""en"",""pt"")"),"#VALUE!")</f>
        <v>#VALUE!</v>
      </c>
      <c r="G6103" s="69"/>
    </row>
    <row r="6104" ht="22.5" customHeight="1">
      <c r="A6104" s="66"/>
      <c r="B6104" s="67" t="str">
        <f t="shared" si="16"/>
        <v>M: </v>
      </c>
      <c r="C6104" s="68"/>
      <c r="D6104" s="68">
        <v>46360.0</v>
      </c>
      <c r="E6104" s="66">
        <v>2.0</v>
      </c>
      <c r="F6104" s="66" t="str">
        <f>IFERROR(__xludf.DUMMYFUNCTION("GOOGLETRANSLATE(A6104,""en"",""pt"")"),"#VALUE!")</f>
        <v>#VALUE!</v>
      </c>
      <c r="G6104" s="69"/>
    </row>
    <row r="6105" ht="22.5" customHeight="1">
      <c r="A6105" s="66"/>
      <c r="B6105" s="67" t="str">
        <f t="shared" si="16"/>
        <v>M: </v>
      </c>
      <c r="C6105" s="68"/>
      <c r="D6105" s="68">
        <v>46360.0</v>
      </c>
      <c r="E6105" s="66">
        <v>3.0</v>
      </c>
      <c r="F6105" s="66" t="str">
        <f>IFERROR(__xludf.DUMMYFUNCTION("GOOGLETRANSLATE(A6105,""en"",""pt"")"),"#VALUE!")</f>
        <v>#VALUE!</v>
      </c>
      <c r="G6105" s="69"/>
    </row>
    <row r="6106" ht="22.5" customHeight="1">
      <c r="A6106" s="66"/>
      <c r="B6106" s="67" t="str">
        <f t="shared" si="16"/>
        <v>M: </v>
      </c>
      <c r="C6106" s="68"/>
      <c r="D6106" s="68">
        <v>46360.0</v>
      </c>
      <c r="E6106" s="66">
        <v>4.0</v>
      </c>
      <c r="F6106" s="66" t="str">
        <f>IFERROR(__xludf.DUMMYFUNCTION("GOOGLETRANSLATE(A6106,""en"",""pt"")"),"#VALUE!")</f>
        <v>#VALUE!</v>
      </c>
      <c r="G6106" s="69"/>
    </row>
    <row r="6107" ht="22.5" customHeight="1">
      <c r="A6107" s="66"/>
      <c r="B6107" s="67" t="str">
        <f t="shared" si="16"/>
        <v>M: </v>
      </c>
      <c r="C6107" s="68"/>
      <c r="D6107" s="68">
        <v>46360.0</v>
      </c>
      <c r="E6107" s="66">
        <v>5.0</v>
      </c>
      <c r="F6107" s="66" t="str">
        <f>IFERROR(__xludf.DUMMYFUNCTION("GOOGLETRANSLATE(A6107,""en"",""pt"")"),"#VALUE!")</f>
        <v>#VALUE!</v>
      </c>
      <c r="G6107" s="69"/>
    </row>
    <row r="6108" ht="22.5" customHeight="1">
      <c r="A6108" s="66"/>
      <c r="B6108" s="67" t="str">
        <f t="shared" si="16"/>
        <v>M: </v>
      </c>
      <c r="C6108" s="68"/>
      <c r="D6108" s="68">
        <v>46360.0</v>
      </c>
      <c r="E6108" s="66">
        <v>6.0</v>
      </c>
      <c r="F6108" s="66" t="str">
        <f>IFERROR(__xludf.DUMMYFUNCTION("GOOGLETRANSLATE(A6108,""en"",""pt"")"),"#VALUE!")</f>
        <v>#VALUE!</v>
      </c>
      <c r="G6108" s="69"/>
    </row>
    <row r="6109" ht="22.5" customHeight="1">
      <c r="A6109" s="66"/>
      <c r="B6109" s="67" t="str">
        <f t="shared" si="16"/>
        <v>M: </v>
      </c>
      <c r="C6109" s="68"/>
      <c r="D6109" s="68">
        <v>46360.0</v>
      </c>
      <c r="E6109" s="66">
        <v>7.0</v>
      </c>
      <c r="F6109" s="66" t="str">
        <f>IFERROR(__xludf.DUMMYFUNCTION("GOOGLETRANSLATE(A6109,""en"",""pt"")"),"#VALUE!")</f>
        <v>#VALUE!</v>
      </c>
      <c r="G6109" s="69"/>
    </row>
    <row r="6110" ht="22.5" customHeight="1">
      <c r="A6110" s="66"/>
      <c r="B6110" s="67" t="str">
        <f t="shared" si="16"/>
        <v>M: </v>
      </c>
      <c r="C6110" s="68"/>
      <c r="D6110" s="68">
        <v>46360.0</v>
      </c>
      <c r="E6110" s="66">
        <v>8.0</v>
      </c>
      <c r="F6110" s="66" t="str">
        <f>IFERROR(__xludf.DUMMYFUNCTION("GOOGLETRANSLATE(A6110,""en"",""pt"")"),"#VALUE!")</f>
        <v>#VALUE!</v>
      </c>
      <c r="G6110" s="69"/>
    </row>
    <row r="6111" ht="22.5" customHeight="1">
      <c r="A6111" s="66"/>
      <c r="B6111" s="67" t="str">
        <f t="shared" si="16"/>
        <v>M: </v>
      </c>
      <c r="C6111" s="68"/>
      <c r="D6111" s="68">
        <v>46360.0</v>
      </c>
      <c r="E6111" s="66">
        <v>9.0</v>
      </c>
      <c r="F6111" s="66" t="str">
        <f>IFERROR(__xludf.DUMMYFUNCTION("GOOGLETRANSLATE(A6111,""en"",""pt"")"),"#VALUE!")</f>
        <v>#VALUE!</v>
      </c>
      <c r="G6111" s="69"/>
    </row>
    <row r="6112" ht="22.5" customHeight="1">
      <c r="A6112" s="66"/>
      <c r="B6112" s="67" t="str">
        <f t="shared" si="16"/>
        <v>M: </v>
      </c>
      <c r="C6112" s="68"/>
      <c r="D6112" s="68">
        <v>46361.0</v>
      </c>
      <c r="E6112" s="66">
        <v>10.0</v>
      </c>
      <c r="F6112" s="66" t="str">
        <f>IFERROR(__xludf.DUMMYFUNCTION("GOOGLETRANSLATE(A6112,""en"",""pt"")"),"#VALUE!")</f>
        <v>#VALUE!</v>
      </c>
      <c r="G6112" s="69"/>
    </row>
    <row r="6113" ht="22.5" customHeight="1">
      <c r="A6113" s="66"/>
      <c r="B6113" s="67" t="str">
        <f t="shared" si="16"/>
        <v>M: </v>
      </c>
      <c r="C6113" s="68"/>
      <c r="D6113" s="68">
        <v>46361.0</v>
      </c>
      <c r="E6113" s="66">
        <v>1.0</v>
      </c>
      <c r="F6113" s="66" t="str">
        <f>IFERROR(__xludf.DUMMYFUNCTION("GOOGLETRANSLATE(A6113,""en"",""pt"")"),"#VALUE!")</f>
        <v>#VALUE!</v>
      </c>
      <c r="G6113" s="69"/>
    </row>
    <row r="6114" ht="22.5" customHeight="1">
      <c r="A6114" s="66"/>
      <c r="B6114" s="67" t="str">
        <f t="shared" si="16"/>
        <v>M: </v>
      </c>
      <c r="C6114" s="68"/>
      <c r="D6114" s="68">
        <v>46361.0</v>
      </c>
      <c r="E6114" s="66">
        <v>2.0</v>
      </c>
      <c r="F6114" s="66" t="str">
        <f>IFERROR(__xludf.DUMMYFUNCTION("GOOGLETRANSLATE(A6114,""en"",""pt"")"),"#VALUE!")</f>
        <v>#VALUE!</v>
      </c>
      <c r="G6114" s="69"/>
    </row>
    <row r="6115" ht="22.5" customHeight="1">
      <c r="A6115" s="66"/>
      <c r="B6115" s="67" t="str">
        <f t="shared" si="16"/>
        <v>M: </v>
      </c>
      <c r="C6115" s="68"/>
      <c r="D6115" s="68">
        <v>46361.0</v>
      </c>
      <c r="E6115" s="66">
        <v>3.0</v>
      </c>
      <c r="F6115" s="66" t="str">
        <f>IFERROR(__xludf.DUMMYFUNCTION("GOOGLETRANSLATE(A6115,""en"",""pt"")"),"#VALUE!")</f>
        <v>#VALUE!</v>
      </c>
      <c r="G6115" s="69"/>
    </row>
    <row r="6116" ht="22.5" customHeight="1">
      <c r="A6116" s="66"/>
      <c r="B6116" s="67" t="str">
        <f t="shared" si="16"/>
        <v>M: </v>
      </c>
      <c r="C6116" s="68"/>
      <c r="D6116" s="68">
        <v>46361.0</v>
      </c>
      <c r="E6116" s="66">
        <v>4.0</v>
      </c>
      <c r="F6116" s="66" t="str">
        <f>IFERROR(__xludf.DUMMYFUNCTION("GOOGLETRANSLATE(A6116,""en"",""pt"")"),"#VALUE!")</f>
        <v>#VALUE!</v>
      </c>
      <c r="G6116" s="69"/>
    </row>
    <row r="6117" ht="22.5" customHeight="1">
      <c r="A6117" s="66"/>
      <c r="B6117" s="67" t="str">
        <f t="shared" si="16"/>
        <v>M: </v>
      </c>
      <c r="C6117" s="68"/>
      <c r="D6117" s="68">
        <v>46361.0</v>
      </c>
      <c r="E6117" s="66">
        <v>5.0</v>
      </c>
      <c r="F6117" s="66" t="str">
        <f>IFERROR(__xludf.DUMMYFUNCTION("GOOGLETRANSLATE(A6117,""en"",""pt"")"),"#VALUE!")</f>
        <v>#VALUE!</v>
      </c>
      <c r="G6117" s="69"/>
    </row>
    <row r="6118" ht="22.5" customHeight="1">
      <c r="A6118" s="66"/>
      <c r="B6118" s="67" t="str">
        <f t="shared" si="16"/>
        <v>M: </v>
      </c>
      <c r="C6118" s="68"/>
      <c r="D6118" s="68">
        <v>46361.0</v>
      </c>
      <c r="E6118" s="66">
        <v>6.0</v>
      </c>
      <c r="F6118" s="66" t="str">
        <f>IFERROR(__xludf.DUMMYFUNCTION("GOOGLETRANSLATE(A6118,""en"",""pt"")"),"#VALUE!")</f>
        <v>#VALUE!</v>
      </c>
      <c r="G6118" s="69"/>
    </row>
    <row r="6119" ht="22.5" customHeight="1">
      <c r="A6119" s="66"/>
      <c r="B6119" s="67" t="str">
        <f t="shared" si="16"/>
        <v>M: </v>
      </c>
      <c r="C6119" s="68"/>
      <c r="D6119" s="68">
        <v>46361.0</v>
      </c>
      <c r="E6119" s="66">
        <v>7.0</v>
      </c>
      <c r="F6119" s="66" t="str">
        <f>IFERROR(__xludf.DUMMYFUNCTION("GOOGLETRANSLATE(A6119,""en"",""pt"")"),"#VALUE!")</f>
        <v>#VALUE!</v>
      </c>
      <c r="G6119" s="69"/>
    </row>
    <row r="6120" ht="22.5" customHeight="1">
      <c r="A6120" s="66"/>
      <c r="B6120" s="67" t="str">
        <f t="shared" si="16"/>
        <v>M: </v>
      </c>
      <c r="C6120" s="68"/>
      <c r="D6120" s="68">
        <v>46361.0</v>
      </c>
      <c r="E6120" s="66">
        <v>8.0</v>
      </c>
      <c r="F6120" s="66" t="str">
        <f>IFERROR(__xludf.DUMMYFUNCTION("GOOGLETRANSLATE(A6120,""en"",""pt"")"),"#VALUE!")</f>
        <v>#VALUE!</v>
      </c>
      <c r="G6120" s="69"/>
    </row>
    <row r="6121" ht="22.5" customHeight="1">
      <c r="A6121" s="66"/>
      <c r="B6121" s="67" t="str">
        <f t="shared" si="16"/>
        <v>M: </v>
      </c>
      <c r="C6121" s="68"/>
      <c r="D6121" s="68">
        <v>46361.0</v>
      </c>
      <c r="E6121" s="66">
        <v>9.0</v>
      </c>
      <c r="F6121" s="66" t="str">
        <f>IFERROR(__xludf.DUMMYFUNCTION("GOOGLETRANSLATE(A6121,""en"",""pt"")"),"#VALUE!")</f>
        <v>#VALUE!</v>
      </c>
      <c r="G6121" s="69"/>
    </row>
    <row r="6122" ht="22.5" customHeight="1">
      <c r="A6122" s="66"/>
      <c r="B6122" s="67" t="str">
        <f t="shared" si="16"/>
        <v>M: </v>
      </c>
      <c r="C6122" s="68"/>
      <c r="D6122" s="68">
        <v>46362.0</v>
      </c>
      <c r="E6122" s="66">
        <v>10.0</v>
      </c>
      <c r="F6122" s="66" t="str">
        <f>IFERROR(__xludf.DUMMYFUNCTION("GOOGLETRANSLATE(A6122,""en"",""pt"")"),"#VALUE!")</f>
        <v>#VALUE!</v>
      </c>
      <c r="G6122" s="69"/>
    </row>
    <row r="6123" ht="22.5" customHeight="1">
      <c r="A6123" s="66"/>
      <c r="B6123" s="67" t="str">
        <f t="shared" si="16"/>
        <v>M: </v>
      </c>
      <c r="C6123" s="68"/>
      <c r="D6123" s="68">
        <v>46362.0</v>
      </c>
      <c r="E6123" s="66">
        <v>1.0</v>
      </c>
      <c r="F6123" s="66" t="str">
        <f>IFERROR(__xludf.DUMMYFUNCTION("GOOGLETRANSLATE(A6123,""en"",""pt"")"),"#VALUE!")</f>
        <v>#VALUE!</v>
      </c>
      <c r="G6123" s="69"/>
    </row>
    <row r="6124" ht="22.5" customHeight="1">
      <c r="A6124" s="66"/>
      <c r="B6124" s="67" t="str">
        <f t="shared" si="16"/>
        <v>M: </v>
      </c>
      <c r="C6124" s="68"/>
      <c r="D6124" s="68">
        <v>46362.0</v>
      </c>
      <c r="E6124" s="66">
        <v>2.0</v>
      </c>
      <c r="F6124" s="66" t="str">
        <f>IFERROR(__xludf.DUMMYFUNCTION("GOOGLETRANSLATE(A6124,""en"",""pt"")"),"#VALUE!")</f>
        <v>#VALUE!</v>
      </c>
      <c r="G6124" s="69"/>
    </row>
    <row r="6125" ht="22.5" customHeight="1">
      <c r="A6125" s="66"/>
      <c r="B6125" s="67" t="str">
        <f t="shared" si="16"/>
        <v>M: </v>
      </c>
      <c r="C6125" s="68"/>
      <c r="D6125" s="68">
        <v>46362.0</v>
      </c>
      <c r="E6125" s="66">
        <v>3.0</v>
      </c>
      <c r="F6125" s="66" t="str">
        <f>IFERROR(__xludf.DUMMYFUNCTION("GOOGLETRANSLATE(A6125,""en"",""pt"")"),"#VALUE!")</f>
        <v>#VALUE!</v>
      </c>
      <c r="G6125" s="69"/>
    </row>
    <row r="6126" ht="22.5" customHeight="1">
      <c r="A6126" s="66"/>
      <c r="B6126" s="67" t="str">
        <f t="shared" si="16"/>
        <v>M: </v>
      </c>
      <c r="C6126" s="68"/>
      <c r="D6126" s="68">
        <v>46362.0</v>
      </c>
      <c r="E6126" s="66">
        <v>4.0</v>
      </c>
      <c r="F6126" s="66" t="str">
        <f>IFERROR(__xludf.DUMMYFUNCTION("GOOGLETRANSLATE(A6126,""en"",""pt"")"),"#VALUE!")</f>
        <v>#VALUE!</v>
      </c>
      <c r="G6126" s="69"/>
    </row>
    <row r="6127" ht="22.5" customHeight="1">
      <c r="A6127" s="66"/>
      <c r="B6127" s="67" t="str">
        <f t="shared" si="16"/>
        <v>M: </v>
      </c>
      <c r="C6127" s="68"/>
      <c r="D6127" s="68">
        <v>46362.0</v>
      </c>
      <c r="E6127" s="66">
        <v>5.0</v>
      </c>
      <c r="F6127" s="66" t="str">
        <f>IFERROR(__xludf.DUMMYFUNCTION("GOOGLETRANSLATE(A6127,""en"",""pt"")"),"#VALUE!")</f>
        <v>#VALUE!</v>
      </c>
      <c r="G6127" s="69"/>
    </row>
    <row r="6128" ht="22.5" customHeight="1">
      <c r="A6128" s="66"/>
      <c r="B6128" s="67" t="str">
        <f t="shared" si="16"/>
        <v>M: </v>
      </c>
      <c r="C6128" s="68"/>
      <c r="D6128" s="68">
        <v>46362.0</v>
      </c>
      <c r="E6128" s="66">
        <v>6.0</v>
      </c>
      <c r="F6128" s="66" t="str">
        <f>IFERROR(__xludf.DUMMYFUNCTION("GOOGLETRANSLATE(A6128,""en"",""pt"")"),"#VALUE!")</f>
        <v>#VALUE!</v>
      </c>
      <c r="G6128" s="69"/>
    </row>
    <row r="6129" ht="22.5" customHeight="1">
      <c r="A6129" s="66"/>
      <c r="B6129" s="67" t="str">
        <f t="shared" si="16"/>
        <v>M: </v>
      </c>
      <c r="C6129" s="68"/>
      <c r="D6129" s="68">
        <v>46362.0</v>
      </c>
      <c r="E6129" s="66">
        <v>7.0</v>
      </c>
      <c r="F6129" s="66" t="str">
        <f>IFERROR(__xludf.DUMMYFUNCTION("GOOGLETRANSLATE(A6129,""en"",""pt"")"),"#VALUE!")</f>
        <v>#VALUE!</v>
      </c>
      <c r="G6129" s="69"/>
    </row>
    <row r="6130" ht="22.5" customHeight="1">
      <c r="A6130" s="66"/>
      <c r="B6130" s="67" t="str">
        <f t="shared" si="16"/>
        <v>M: </v>
      </c>
      <c r="C6130" s="68"/>
      <c r="D6130" s="68">
        <v>46362.0</v>
      </c>
      <c r="E6130" s="66">
        <v>8.0</v>
      </c>
      <c r="F6130" s="66" t="str">
        <f>IFERROR(__xludf.DUMMYFUNCTION("GOOGLETRANSLATE(A6130,""en"",""pt"")"),"#VALUE!")</f>
        <v>#VALUE!</v>
      </c>
      <c r="G6130" s="69"/>
    </row>
    <row r="6131" ht="22.5" customHeight="1">
      <c r="A6131" s="66"/>
      <c r="B6131" s="67" t="str">
        <f t="shared" si="16"/>
        <v>M: </v>
      </c>
      <c r="C6131" s="68"/>
      <c r="D6131" s="68">
        <v>46362.0</v>
      </c>
      <c r="E6131" s="66">
        <v>9.0</v>
      </c>
      <c r="F6131" s="66" t="str">
        <f>IFERROR(__xludf.DUMMYFUNCTION("GOOGLETRANSLATE(A6131,""en"",""pt"")"),"#VALUE!")</f>
        <v>#VALUE!</v>
      </c>
      <c r="G6131" s="69"/>
    </row>
    <row r="6132" ht="22.5" customHeight="1">
      <c r="A6132" s="66"/>
      <c r="B6132" s="67" t="str">
        <f t="shared" si="16"/>
        <v>M: </v>
      </c>
      <c r="C6132" s="68"/>
      <c r="D6132" s="68">
        <v>46363.0</v>
      </c>
      <c r="E6132" s="66">
        <v>10.0</v>
      </c>
      <c r="F6132" s="66" t="str">
        <f>IFERROR(__xludf.DUMMYFUNCTION("GOOGLETRANSLATE(A6132,""en"",""pt"")"),"#VALUE!")</f>
        <v>#VALUE!</v>
      </c>
      <c r="G6132" s="69"/>
    </row>
    <row r="6133" ht="22.5" customHeight="1">
      <c r="A6133" s="66"/>
      <c r="B6133" s="67" t="str">
        <f t="shared" si="16"/>
        <v>M: </v>
      </c>
      <c r="C6133" s="68"/>
      <c r="D6133" s="68">
        <v>46363.0</v>
      </c>
      <c r="E6133" s="66">
        <v>1.0</v>
      </c>
      <c r="F6133" s="66" t="str">
        <f>IFERROR(__xludf.DUMMYFUNCTION("GOOGLETRANSLATE(A6133,""en"",""pt"")"),"#VALUE!")</f>
        <v>#VALUE!</v>
      </c>
      <c r="G6133" s="69"/>
    </row>
    <row r="6134" ht="22.5" customHeight="1">
      <c r="A6134" s="66"/>
      <c r="B6134" s="67" t="str">
        <f t="shared" si="16"/>
        <v>M: </v>
      </c>
      <c r="C6134" s="68"/>
      <c r="D6134" s="68">
        <v>46363.0</v>
      </c>
      <c r="E6134" s="66">
        <v>2.0</v>
      </c>
      <c r="F6134" s="66" t="str">
        <f>IFERROR(__xludf.DUMMYFUNCTION("GOOGLETRANSLATE(A6134,""en"",""pt"")"),"#VALUE!")</f>
        <v>#VALUE!</v>
      </c>
      <c r="G6134" s="69"/>
    </row>
    <row r="6135" ht="22.5" customHeight="1">
      <c r="A6135" s="66"/>
      <c r="B6135" s="67" t="str">
        <f t="shared" si="16"/>
        <v>M: </v>
      </c>
      <c r="C6135" s="68"/>
      <c r="D6135" s="68">
        <v>46363.0</v>
      </c>
      <c r="E6135" s="66">
        <v>3.0</v>
      </c>
      <c r="F6135" s="66" t="str">
        <f>IFERROR(__xludf.DUMMYFUNCTION("GOOGLETRANSLATE(A6135,""en"",""pt"")"),"#VALUE!")</f>
        <v>#VALUE!</v>
      </c>
      <c r="G6135" s="69"/>
    </row>
    <row r="6136" ht="22.5" customHeight="1">
      <c r="A6136" s="66"/>
      <c r="B6136" s="67" t="str">
        <f t="shared" si="16"/>
        <v>M: </v>
      </c>
      <c r="C6136" s="68"/>
      <c r="D6136" s="68">
        <v>46363.0</v>
      </c>
      <c r="E6136" s="66">
        <v>4.0</v>
      </c>
      <c r="F6136" s="66" t="str">
        <f>IFERROR(__xludf.DUMMYFUNCTION("GOOGLETRANSLATE(A6136,""en"",""pt"")"),"#VALUE!")</f>
        <v>#VALUE!</v>
      </c>
      <c r="G6136" s="69"/>
    </row>
    <row r="6137" ht="22.5" customHeight="1">
      <c r="A6137" s="66"/>
      <c r="B6137" s="67" t="str">
        <f t="shared" si="16"/>
        <v>M: </v>
      </c>
      <c r="C6137" s="68"/>
      <c r="D6137" s="68">
        <v>46363.0</v>
      </c>
      <c r="E6137" s="66">
        <v>5.0</v>
      </c>
      <c r="F6137" s="66" t="str">
        <f>IFERROR(__xludf.DUMMYFUNCTION("GOOGLETRANSLATE(A6137,""en"",""pt"")"),"#VALUE!")</f>
        <v>#VALUE!</v>
      </c>
      <c r="G6137" s="69"/>
    </row>
    <row r="6138" ht="22.5" customHeight="1">
      <c r="A6138" s="66"/>
      <c r="B6138" s="67" t="str">
        <f t="shared" si="16"/>
        <v>M: </v>
      </c>
      <c r="C6138" s="68"/>
      <c r="D6138" s="68">
        <v>46363.0</v>
      </c>
      <c r="E6138" s="66">
        <v>6.0</v>
      </c>
      <c r="F6138" s="66" t="str">
        <f>IFERROR(__xludf.DUMMYFUNCTION("GOOGLETRANSLATE(A6138,""en"",""pt"")"),"#VALUE!")</f>
        <v>#VALUE!</v>
      </c>
      <c r="G6138" s="69"/>
    </row>
    <row r="6139" ht="22.5" customHeight="1">
      <c r="A6139" s="66"/>
      <c r="B6139" s="67" t="str">
        <f t="shared" si="16"/>
        <v>M: </v>
      </c>
      <c r="C6139" s="68"/>
      <c r="D6139" s="68">
        <v>46363.0</v>
      </c>
      <c r="E6139" s="66">
        <v>7.0</v>
      </c>
      <c r="F6139" s="66" t="str">
        <f>IFERROR(__xludf.DUMMYFUNCTION("GOOGLETRANSLATE(A6139,""en"",""pt"")"),"#VALUE!")</f>
        <v>#VALUE!</v>
      </c>
      <c r="G6139" s="69"/>
    </row>
    <row r="6140" ht="22.5" customHeight="1">
      <c r="A6140" s="66"/>
      <c r="B6140" s="67" t="str">
        <f t="shared" si="16"/>
        <v>M: </v>
      </c>
      <c r="C6140" s="68"/>
      <c r="D6140" s="68">
        <v>46363.0</v>
      </c>
      <c r="E6140" s="66">
        <v>8.0</v>
      </c>
      <c r="F6140" s="66" t="str">
        <f>IFERROR(__xludf.DUMMYFUNCTION("GOOGLETRANSLATE(A6140,""en"",""pt"")"),"#VALUE!")</f>
        <v>#VALUE!</v>
      </c>
      <c r="G6140" s="69"/>
    </row>
    <row r="6141" ht="22.5" customHeight="1">
      <c r="A6141" s="66"/>
      <c r="B6141" s="67" t="str">
        <f t="shared" si="16"/>
        <v>M: </v>
      </c>
      <c r="C6141" s="68"/>
      <c r="D6141" s="68">
        <v>46363.0</v>
      </c>
      <c r="E6141" s="66">
        <v>9.0</v>
      </c>
      <c r="F6141" s="66" t="str">
        <f>IFERROR(__xludf.DUMMYFUNCTION("GOOGLETRANSLATE(A6141,""en"",""pt"")"),"#VALUE!")</f>
        <v>#VALUE!</v>
      </c>
      <c r="G6141" s="69"/>
    </row>
    <row r="6142" ht="22.5" customHeight="1">
      <c r="A6142" s="66"/>
      <c r="B6142" s="67" t="str">
        <f t="shared" si="16"/>
        <v>M: </v>
      </c>
      <c r="C6142" s="68"/>
      <c r="D6142" s="68">
        <v>46364.0</v>
      </c>
      <c r="E6142" s="66">
        <v>10.0</v>
      </c>
      <c r="F6142" s="66" t="str">
        <f>IFERROR(__xludf.DUMMYFUNCTION("GOOGLETRANSLATE(A6142,""en"",""pt"")"),"#VALUE!")</f>
        <v>#VALUE!</v>
      </c>
      <c r="G6142" s="69"/>
    </row>
    <row r="6143" ht="22.5" customHeight="1">
      <c r="A6143" s="66"/>
      <c r="B6143" s="67" t="str">
        <f t="shared" si="16"/>
        <v>M: </v>
      </c>
      <c r="C6143" s="68"/>
      <c r="D6143" s="68">
        <v>46364.0</v>
      </c>
      <c r="E6143" s="66">
        <v>1.0</v>
      </c>
      <c r="F6143" s="66" t="str">
        <f>IFERROR(__xludf.DUMMYFUNCTION("GOOGLETRANSLATE(A6143,""en"",""pt"")"),"#VALUE!")</f>
        <v>#VALUE!</v>
      </c>
      <c r="G6143" s="69"/>
    </row>
    <row r="6144" ht="22.5" customHeight="1">
      <c r="A6144" s="66"/>
      <c r="B6144" s="67" t="str">
        <f t="shared" si="16"/>
        <v>M: </v>
      </c>
      <c r="C6144" s="68"/>
      <c r="D6144" s="68">
        <v>46364.0</v>
      </c>
      <c r="E6144" s="66">
        <v>2.0</v>
      </c>
      <c r="F6144" s="66" t="str">
        <f>IFERROR(__xludf.DUMMYFUNCTION("GOOGLETRANSLATE(A6144,""en"",""pt"")"),"#VALUE!")</f>
        <v>#VALUE!</v>
      </c>
      <c r="G6144" s="69"/>
    </row>
    <row r="6145" ht="22.5" customHeight="1">
      <c r="A6145" s="66"/>
      <c r="B6145" s="67" t="str">
        <f t="shared" si="16"/>
        <v>M: </v>
      </c>
      <c r="C6145" s="68"/>
      <c r="D6145" s="68">
        <v>46364.0</v>
      </c>
      <c r="E6145" s="66">
        <v>3.0</v>
      </c>
      <c r="F6145" s="66" t="str">
        <f>IFERROR(__xludf.DUMMYFUNCTION("GOOGLETRANSLATE(A6145,""en"",""pt"")"),"#VALUE!")</f>
        <v>#VALUE!</v>
      </c>
      <c r="G6145" s="69"/>
    </row>
    <row r="6146" ht="22.5" customHeight="1">
      <c r="A6146" s="66"/>
      <c r="B6146" s="67" t="str">
        <f t="shared" si="16"/>
        <v>M: </v>
      </c>
      <c r="C6146" s="68"/>
      <c r="D6146" s="68">
        <v>46364.0</v>
      </c>
      <c r="E6146" s="66">
        <v>4.0</v>
      </c>
      <c r="F6146" s="66" t="str">
        <f>IFERROR(__xludf.DUMMYFUNCTION("GOOGLETRANSLATE(A6146,""en"",""pt"")"),"#VALUE!")</f>
        <v>#VALUE!</v>
      </c>
      <c r="G6146" s="69"/>
    </row>
    <row r="6147" ht="22.5" customHeight="1">
      <c r="A6147" s="66"/>
      <c r="B6147" s="67" t="str">
        <f t="shared" si="16"/>
        <v>M: </v>
      </c>
      <c r="C6147" s="68"/>
      <c r="D6147" s="68">
        <v>46364.0</v>
      </c>
      <c r="E6147" s="66">
        <v>5.0</v>
      </c>
      <c r="F6147" s="66" t="str">
        <f>IFERROR(__xludf.DUMMYFUNCTION("GOOGLETRANSLATE(A6147,""en"",""pt"")"),"#VALUE!")</f>
        <v>#VALUE!</v>
      </c>
      <c r="G6147" s="69"/>
    </row>
    <row r="6148" ht="22.5" customHeight="1">
      <c r="A6148" s="66"/>
      <c r="B6148" s="67" t="str">
        <f t="shared" si="16"/>
        <v>M: </v>
      </c>
      <c r="C6148" s="68"/>
      <c r="D6148" s="68">
        <v>46364.0</v>
      </c>
      <c r="E6148" s="66">
        <v>6.0</v>
      </c>
      <c r="F6148" s="66" t="str">
        <f>IFERROR(__xludf.DUMMYFUNCTION("GOOGLETRANSLATE(A6148,""en"",""pt"")"),"#VALUE!")</f>
        <v>#VALUE!</v>
      </c>
      <c r="G6148" s="69"/>
    </row>
    <row r="6149" ht="22.5" customHeight="1">
      <c r="A6149" s="66"/>
      <c r="B6149" s="67" t="str">
        <f t="shared" si="16"/>
        <v>M: </v>
      </c>
      <c r="C6149" s="68"/>
      <c r="D6149" s="68">
        <v>46364.0</v>
      </c>
      <c r="E6149" s="66">
        <v>7.0</v>
      </c>
      <c r="F6149" s="66" t="str">
        <f>IFERROR(__xludf.DUMMYFUNCTION("GOOGLETRANSLATE(A6149,""en"",""pt"")"),"#VALUE!")</f>
        <v>#VALUE!</v>
      </c>
      <c r="G6149" s="69"/>
    </row>
    <row r="6150" ht="22.5" customHeight="1">
      <c r="A6150" s="66"/>
      <c r="B6150" s="67" t="str">
        <f t="shared" si="16"/>
        <v>M: </v>
      </c>
      <c r="C6150" s="68"/>
      <c r="D6150" s="68">
        <v>46364.0</v>
      </c>
      <c r="E6150" s="66">
        <v>8.0</v>
      </c>
      <c r="F6150" s="66" t="str">
        <f>IFERROR(__xludf.DUMMYFUNCTION("GOOGLETRANSLATE(A6150,""en"",""pt"")"),"#VALUE!")</f>
        <v>#VALUE!</v>
      </c>
      <c r="G6150" s="69"/>
    </row>
    <row r="6151" ht="22.5" customHeight="1">
      <c r="A6151" s="66"/>
      <c r="B6151" s="67" t="str">
        <f t="shared" si="16"/>
        <v>M: </v>
      </c>
      <c r="C6151" s="68"/>
      <c r="D6151" s="68">
        <v>46364.0</v>
      </c>
      <c r="E6151" s="66">
        <v>9.0</v>
      </c>
      <c r="F6151" s="66" t="str">
        <f>IFERROR(__xludf.DUMMYFUNCTION("GOOGLETRANSLATE(A6151,""en"",""pt"")"),"#VALUE!")</f>
        <v>#VALUE!</v>
      </c>
      <c r="G6151" s="69"/>
    </row>
    <row r="6152" ht="22.5" customHeight="1">
      <c r="A6152" s="66"/>
      <c r="B6152" s="67" t="str">
        <f t="shared" si="16"/>
        <v>M: </v>
      </c>
      <c r="C6152" s="68"/>
      <c r="D6152" s="68">
        <v>46365.0</v>
      </c>
      <c r="E6152" s="66">
        <v>10.0</v>
      </c>
      <c r="F6152" s="66" t="str">
        <f>IFERROR(__xludf.DUMMYFUNCTION("GOOGLETRANSLATE(A6152,""en"",""pt"")"),"#VALUE!")</f>
        <v>#VALUE!</v>
      </c>
      <c r="G6152" s="69"/>
    </row>
    <row r="6153" ht="22.5" customHeight="1">
      <c r="A6153" s="66"/>
      <c r="B6153" s="67" t="str">
        <f t="shared" si="16"/>
        <v>M: </v>
      </c>
      <c r="C6153" s="68"/>
      <c r="D6153" s="68">
        <v>46365.0</v>
      </c>
      <c r="E6153" s="66">
        <v>1.0</v>
      </c>
      <c r="F6153" s="66" t="str">
        <f>IFERROR(__xludf.DUMMYFUNCTION("GOOGLETRANSLATE(A6153,""en"",""pt"")"),"#VALUE!")</f>
        <v>#VALUE!</v>
      </c>
      <c r="G6153" s="69"/>
    </row>
    <row r="6154" ht="22.5" customHeight="1">
      <c r="A6154" s="66"/>
      <c r="B6154" s="67" t="str">
        <f t="shared" si="16"/>
        <v>M: </v>
      </c>
      <c r="C6154" s="68"/>
      <c r="D6154" s="68">
        <v>46365.0</v>
      </c>
      <c r="E6154" s="66">
        <v>2.0</v>
      </c>
      <c r="F6154" s="66" t="str">
        <f>IFERROR(__xludf.DUMMYFUNCTION("GOOGLETRANSLATE(A6154,""en"",""pt"")"),"#VALUE!")</f>
        <v>#VALUE!</v>
      </c>
      <c r="G6154" s="69"/>
    </row>
    <row r="6155" ht="22.5" customHeight="1">
      <c r="A6155" s="66"/>
      <c r="B6155" s="67" t="str">
        <f t="shared" si="16"/>
        <v>M: </v>
      </c>
      <c r="C6155" s="68"/>
      <c r="D6155" s="68">
        <v>46365.0</v>
      </c>
      <c r="E6155" s="66">
        <v>3.0</v>
      </c>
      <c r="F6155" s="66" t="str">
        <f>IFERROR(__xludf.DUMMYFUNCTION("GOOGLETRANSLATE(A6155,""en"",""pt"")"),"#VALUE!")</f>
        <v>#VALUE!</v>
      </c>
      <c r="G6155" s="69"/>
    </row>
    <row r="6156" ht="22.5" customHeight="1">
      <c r="A6156" s="66"/>
      <c r="B6156" s="67" t="str">
        <f t="shared" si="16"/>
        <v>M: </v>
      </c>
      <c r="C6156" s="68"/>
      <c r="D6156" s="68">
        <v>46365.0</v>
      </c>
      <c r="E6156" s="66">
        <v>4.0</v>
      </c>
      <c r="F6156" s="66" t="str">
        <f>IFERROR(__xludf.DUMMYFUNCTION("GOOGLETRANSLATE(A6156,""en"",""pt"")"),"#VALUE!")</f>
        <v>#VALUE!</v>
      </c>
      <c r="G6156" s="69"/>
    </row>
    <row r="6157" ht="22.5" customHeight="1">
      <c r="A6157" s="66"/>
      <c r="B6157" s="67" t="str">
        <f t="shared" si="16"/>
        <v>M: </v>
      </c>
      <c r="C6157" s="68"/>
      <c r="D6157" s="68">
        <v>46365.0</v>
      </c>
      <c r="E6157" s="66">
        <v>5.0</v>
      </c>
      <c r="F6157" s="66" t="str">
        <f>IFERROR(__xludf.DUMMYFUNCTION("GOOGLETRANSLATE(A6157,""en"",""pt"")"),"#VALUE!")</f>
        <v>#VALUE!</v>
      </c>
      <c r="G6157" s="69"/>
    </row>
    <row r="6158" ht="22.5" customHeight="1">
      <c r="A6158" s="66"/>
      <c r="B6158" s="67" t="str">
        <f t="shared" si="16"/>
        <v>M: </v>
      </c>
      <c r="C6158" s="68"/>
      <c r="D6158" s="68">
        <v>46365.0</v>
      </c>
      <c r="E6158" s="66">
        <v>6.0</v>
      </c>
      <c r="F6158" s="66" t="str">
        <f>IFERROR(__xludf.DUMMYFUNCTION("GOOGLETRANSLATE(A6158,""en"",""pt"")"),"#VALUE!")</f>
        <v>#VALUE!</v>
      </c>
      <c r="G6158" s="69"/>
    </row>
    <row r="6159" ht="22.5" customHeight="1">
      <c r="A6159" s="66"/>
      <c r="B6159" s="67" t="str">
        <f t="shared" si="16"/>
        <v>M: </v>
      </c>
      <c r="C6159" s="68"/>
      <c r="D6159" s="68">
        <v>46365.0</v>
      </c>
      <c r="E6159" s="66">
        <v>7.0</v>
      </c>
      <c r="F6159" s="66" t="str">
        <f>IFERROR(__xludf.DUMMYFUNCTION("GOOGLETRANSLATE(A6159,""en"",""pt"")"),"#VALUE!")</f>
        <v>#VALUE!</v>
      </c>
      <c r="G6159" s="69"/>
    </row>
    <row r="6160" ht="22.5" customHeight="1">
      <c r="A6160" s="66"/>
      <c r="B6160" s="67" t="str">
        <f t="shared" si="16"/>
        <v>M: </v>
      </c>
      <c r="C6160" s="68"/>
      <c r="D6160" s="68">
        <v>46365.0</v>
      </c>
      <c r="E6160" s="66">
        <v>8.0</v>
      </c>
      <c r="F6160" s="66" t="str">
        <f>IFERROR(__xludf.DUMMYFUNCTION("GOOGLETRANSLATE(A6160,""en"",""pt"")"),"#VALUE!")</f>
        <v>#VALUE!</v>
      </c>
      <c r="G6160" s="69"/>
    </row>
    <row r="6161" ht="22.5" customHeight="1">
      <c r="A6161" s="66"/>
      <c r="B6161" s="67" t="str">
        <f t="shared" si="16"/>
        <v>M: </v>
      </c>
      <c r="C6161" s="68"/>
      <c r="D6161" s="68">
        <v>46365.0</v>
      </c>
      <c r="E6161" s="66">
        <v>9.0</v>
      </c>
      <c r="F6161" s="66" t="str">
        <f>IFERROR(__xludf.DUMMYFUNCTION("GOOGLETRANSLATE(A6161,""en"",""pt"")"),"#VALUE!")</f>
        <v>#VALUE!</v>
      </c>
      <c r="G6161" s="69"/>
    </row>
    <row r="6162" ht="22.5" customHeight="1">
      <c r="A6162" s="66"/>
      <c r="B6162" s="67" t="str">
        <f t="shared" si="16"/>
        <v>M: </v>
      </c>
      <c r="C6162" s="68"/>
      <c r="D6162" s="68">
        <v>46366.0</v>
      </c>
      <c r="E6162" s="66">
        <v>10.0</v>
      </c>
      <c r="F6162" s="66" t="str">
        <f>IFERROR(__xludf.DUMMYFUNCTION("GOOGLETRANSLATE(A6162,""en"",""pt"")"),"#VALUE!")</f>
        <v>#VALUE!</v>
      </c>
      <c r="G6162" s="69"/>
    </row>
    <row r="6163" ht="22.5" customHeight="1">
      <c r="A6163" s="66"/>
      <c r="B6163" s="67" t="str">
        <f t="shared" si="16"/>
        <v>M: </v>
      </c>
      <c r="C6163" s="68"/>
      <c r="D6163" s="68">
        <v>46366.0</v>
      </c>
      <c r="E6163" s="66">
        <v>1.0</v>
      </c>
      <c r="F6163" s="66" t="str">
        <f>IFERROR(__xludf.DUMMYFUNCTION("GOOGLETRANSLATE(A6163,""en"",""pt"")"),"#VALUE!")</f>
        <v>#VALUE!</v>
      </c>
      <c r="G6163" s="69"/>
    </row>
    <row r="6164" ht="22.5" customHeight="1">
      <c r="A6164" s="66"/>
      <c r="B6164" s="67" t="str">
        <f t="shared" si="16"/>
        <v>M: </v>
      </c>
      <c r="C6164" s="68"/>
      <c r="D6164" s="68">
        <v>46366.0</v>
      </c>
      <c r="E6164" s="66">
        <v>2.0</v>
      </c>
      <c r="F6164" s="66" t="str">
        <f>IFERROR(__xludf.DUMMYFUNCTION("GOOGLETRANSLATE(A6164,""en"",""pt"")"),"#VALUE!")</f>
        <v>#VALUE!</v>
      </c>
      <c r="G6164" s="69"/>
    </row>
    <row r="6165" ht="22.5" customHeight="1">
      <c r="A6165" s="66"/>
      <c r="B6165" s="67" t="str">
        <f t="shared" si="16"/>
        <v>M: </v>
      </c>
      <c r="C6165" s="68"/>
      <c r="D6165" s="68">
        <v>46366.0</v>
      </c>
      <c r="E6165" s="66">
        <v>3.0</v>
      </c>
      <c r="F6165" s="66" t="str">
        <f>IFERROR(__xludf.DUMMYFUNCTION("GOOGLETRANSLATE(A6165,""en"",""pt"")"),"#VALUE!")</f>
        <v>#VALUE!</v>
      </c>
      <c r="G6165" s="69"/>
    </row>
    <row r="6166" ht="22.5" customHeight="1">
      <c r="A6166" s="66"/>
      <c r="B6166" s="67" t="str">
        <f t="shared" si="16"/>
        <v>M: </v>
      </c>
      <c r="C6166" s="68"/>
      <c r="D6166" s="68">
        <v>46366.0</v>
      </c>
      <c r="E6166" s="66">
        <v>4.0</v>
      </c>
      <c r="F6166" s="66" t="str">
        <f>IFERROR(__xludf.DUMMYFUNCTION("GOOGLETRANSLATE(A6166,""en"",""pt"")"),"#VALUE!")</f>
        <v>#VALUE!</v>
      </c>
      <c r="G6166" s="69"/>
    </row>
    <row r="6167" ht="22.5" customHeight="1">
      <c r="A6167" s="66"/>
      <c r="B6167" s="67" t="str">
        <f t="shared" si="16"/>
        <v>M: </v>
      </c>
      <c r="C6167" s="68"/>
      <c r="D6167" s="68">
        <v>46366.0</v>
      </c>
      <c r="E6167" s="66">
        <v>5.0</v>
      </c>
      <c r="F6167" s="66" t="str">
        <f>IFERROR(__xludf.DUMMYFUNCTION("GOOGLETRANSLATE(A6167,""en"",""pt"")"),"#VALUE!")</f>
        <v>#VALUE!</v>
      </c>
      <c r="G6167" s="69"/>
    </row>
    <row r="6168" ht="22.5" customHeight="1">
      <c r="A6168" s="66"/>
      <c r="B6168" s="67" t="str">
        <f t="shared" si="16"/>
        <v>M: </v>
      </c>
      <c r="C6168" s="68"/>
      <c r="D6168" s="68">
        <v>46366.0</v>
      </c>
      <c r="E6168" s="66">
        <v>6.0</v>
      </c>
      <c r="F6168" s="66" t="str">
        <f>IFERROR(__xludf.DUMMYFUNCTION("GOOGLETRANSLATE(A6168,""en"",""pt"")"),"#VALUE!")</f>
        <v>#VALUE!</v>
      </c>
      <c r="G6168" s="69"/>
    </row>
    <row r="6169" ht="22.5" customHeight="1">
      <c r="A6169" s="66"/>
      <c r="B6169" s="67" t="str">
        <f t="shared" si="16"/>
        <v>M: </v>
      </c>
      <c r="C6169" s="68"/>
      <c r="D6169" s="68">
        <v>46366.0</v>
      </c>
      <c r="E6169" s="66">
        <v>7.0</v>
      </c>
      <c r="F6169" s="66" t="str">
        <f>IFERROR(__xludf.DUMMYFUNCTION("GOOGLETRANSLATE(A6169,""en"",""pt"")"),"#VALUE!")</f>
        <v>#VALUE!</v>
      </c>
      <c r="G6169" s="69"/>
    </row>
    <row r="6170" ht="22.5" customHeight="1">
      <c r="A6170" s="66"/>
      <c r="B6170" s="67" t="str">
        <f t="shared" si="16"/>
        <v>M: </v>
      </c>
      <c r="C6170" s="68"/>
      <c r="D6170" s="68">
        <v>46366.0</v>
      </c>
      <c r="E6170" s="66">
        <v>8.0</v>
      </c>
      <c r="F6170" s="66" t="str">
        <f>IFERROR(__xludf.DUMMYFUNCTION("GOOGLETRANSLATE(A6170,""en"",""pt"")"),"#VALUE!")</f>
        <v>#VALUE!</v>
      </c>
      <c r="G6170" s="69"/>
    </row>
    <row r="6171" ht="22.5" customHeight="1">
      <c r="A6171" s="66"/>
      <c r="B6171" s="67" t="str">
        <f t="shared" si="16"/>
        <v>M: </v>
      </c>
      <c r="C6171" s="68"/>
      <c r="D6171" s="68">
        <v>46366.0</v>
      </c>
      <c r="E6171" s="66">
        <v>9.0</v>
      </c>
      <c r="F6171" s="66" t="str">
        <f>IFERROR(__xludf.DUMMYFUNCTION("GOOGLETRANSLATE(A6171,""en"",""pt"")"),"#VALUE!")</f>
        <v>#VALUE!</v>
      </c>
      <c r="G6171" s="69"/>
    </row>
    <row r="6172" ht="22.5" customHeight="1">
      <c r="A6172" s="66"/>
      <c r="B6172" s="67" t="str">
        <f t="shared" si="16"/>
        <v>M: </v>
      </c>
      <c r="C6172" s="68"/>
      <c r="D6172" s="68">
        <v>46367.0</v>
      </c>
      <c r="E6172" s="66">
        <v>10.0</v>
      </c>
      <c r="F6172" s="66" t="str">
        <f>IFERROR(__xludf.DUMMYFUNCTION("GOOGLETRANSLATE(A6172,""en"",""pt"")"),"#VALUE!")</f>
        <v>#VALUE!</v>
      </c>
      <c r="G6172" s="69"/>
    </row>
    <row r="6173" ht="22.5" customHeight="1">
      <c r="A6173" s="66"/>
      <c r="B6173" s="67" t="str">
        <f t="shared" si="16"/>
        <v>M: </v>
      </c>
      <c r="C6173" s="68"/>
      <c r="D6173" s="68">
        <v>46367.0</v>
      </c>
      <c r="E6173" s="66">
        <v>1.0</v>
      </c>
      <c r="F6173" s="66" t="str">
        <f>IFERROR(__xludf.DUMMYFUNCTION("GOOGLETRANSLATE(A6173,""en"",""pt"")"),"#VALUE!")</f>
        <v>#VALUE!</v>
      </c>
      <c r="G6173" s="69"/>
    </row>
    <row r="6174" ht="22.5" customHeight="1">
      <c r="A6174" s="66"/>
      <c r="B6174" s="67" t="str">
        <f t="shared" si="16"/>
        <v>M: </v>
      </c>
      <c r="C6174" s="68"/>
      <c r="D6174" s="68">
        <v>46367.0</v>
      </c>
      <c r="E6174" s="66">
        <v>2.0</v>
      </c>
      <c r="F6174" s="66" t="str">
        <f>IFERROR(__xludf.DUMMYFUNCTION("GOOGLETRANSLATE(A6174,""en"",""pt"")"),"#VALUE!")</f>
        <v>#VALUE!</v>
      </c>
      <c r="G6174" s="69"/>
    </row>
    <row r="6175" ht="22.5" customHeight="1">
      <c r="A6175" s="66"/>
      <c r="B6175" s="67" t="str">
        <f t="shared" si="16"/>
        <v>M: </v>
      </c>
      <c r="C6175" s="68"/>
      <c r="D6175" s="68">
        <v>46367.0</v>
      </c>
      <c r="E6175" s="66">
        <v>3.0</v>
      </c>
      <c r="F6175" s="66" t="str">
        <f>IFERROR(__xludf.DUMMYFUNCTION("GOOGLETRANSLATE(A6175,""en"",""pt"")"),"#VALUE!")</f>
        <v>#VALUE!</v>
      </c>
      <c r="G6175" s="69"/>
    </row>
    <row r="6176" ht="22.5" customHeight="1">
      <c r="A6176" s="66"/>
      <c r="B6176" s="67" t="str">
        <f t="shared" si="16"/>
        <v>M: </v>
      </c>
      <c r="C6176" s="68"/>
      <c r="D6176" s="68">
        <v>46367.0</v>
      </c>
      <c r="E6176" s="66">
        <v>4.0</v>
      </c>
      <c r="F6176" s="66" t="str">
        <f>IFERROR(__xludf.DUMMYFUNCTION("GOOGLETRANSLATE(A6176,""en"",""pt"")"),"#VALUE!")</f>
        <v>#VALUE!</v>
      </c>
      <c r="G6176" s="69"/>
    </row>
    <row r="6177" ht="22.5" customHeight="1">
      <c r="A6177" s="66"/>
      <c r="B6177" s="67" t="str">
        <f t="shared" si="16"/>
        <v>M: </v>
      </c>
      <c r="C6177" s="68"/>
      <c r="D6177" s="68">
        <v>46367.0</v>
      </c>
      <c r="E6177" s="66">
        <v>5.0</v>
      </c>
      <c r="F6177" s="66" t="str">
        <f>IFERROR(__xludf.DUMMYFUNCTION("GOOGLETRANSLATE(A6177,""en"",""pt"")"),"#VALUE!")</f>
        <v>#VALUE!</v>
      </c>
      <c r="G6177" s="69"/>
    </row>
    <row r="6178" ht="22.5" customHeight="1">
      <c r="A6178" s="66"/>
      <c r="B6178" s="67" t="str">
        <f t="shared" si="16"/>
        <v>M: </v>
      </c>
      <c r="C6178" s="68"/>
      <c r="D6178" s="68">
        <v>46367.0</v>
      </c>
      <c r="E6178" s="66">
        <v>6.0</v>
      </c>
      <c r="F6178" s="66" t="str">
        <f>IFERROR(__xludf.DUMMYFUNCTION("GOOGLETRANSLATE(A6178,""en"",""pt"")"),"#VALUE!")</f>
        <v>#VALUE!</v>
      </c>
      <c r="G6178" s="69"/>
    </row>
    <row r="6179" ht="22.5" customHeight="1">
      <c r="A6179" s="66"/>
      <c r="B6179" s="67" t="str">
        <f t="shared" si="16"/>
        <v>M: </v>
      </c>
      <c r="C6179" s="68"/>
      <c r="D6179" s="68">
        <v>46367.0</v>
      </c>
      <c r="E6179" s="66">
        <v>7.0</v>
      </c>
      <c r="F6179" s="66" t="str">
        <f>IFERROR(__xludf.DUMMYFUNCTION("GOOGLETRANSLATE(A6179,""en"",""pt"")"),"#VALUE!")</f>
        <v>#VALUE!</v>
      </c>
      <c r="G6179" s="69"/>
    </row>
    <row r="6180" ht="22.5" customHeight="1">
      <c r="A6180" s="66"/>
      <c r="B6180" s="67" t="str">
        <f t="shared" si="16"/>
        <v>M: </v>
      </c>
      <c r="C6180" s="68"/>
      <c r="D6180" s="68">
        <v>46367.0</v>
      </c>
      <c r="E6180" s="66">
        <v>8.0</v>
      </c>
      <c r="F6180" s="66" t="str">
        <f>IFERROR(__xludf.DUMMYFUNCTION("GOOGLETRANSLATE(A6180,""en"",""pt"")"),"#VALUE!")</f>
        <v>#VALUE!</v>
      </c>
      <c r="G6180" s="69"/>
    </row>
    <row r="6181" ht="22.5" customHeight="1">
      <c r="A6181" s="66"/>
      <c r="B6181" s="67" t="str">
        <f t="shared" si="16"/>
        <v>M: </v>
      </c>
      <c r="C6181" s="68"/>
      <c r="D6181" s="68">
        <v>46367.0</v>
      </c>
      <c r="E6181" s="66">
        <v>9.0</v>
      </c>
      <c r="F6181" s="66" t="str">
        <f>IFERROR(__xludf.DUMMYFUNCTION("GOOGLETRANSLATE(A6181,""en"",""pt"")"),"#VALUE!")</f>
        <v>#VALUE!</v>
      </c>
      <c r="G6181" s="69"/>
    </row>
    <row r="6182" ht="22.5" customHeight="1">
      <c r="A6182" s="66"/>
      <c r="B6182" s="67" t="str">
        <f t="shared" si="16"/>
        <v>M: </v>
      </c>
      <c r="C6182" s="68"/>
      <c r="D6182" s="68">
        <v>46368.0</v>
      </c>
      <c r="E6182" s="66">
        <v>10.0</v>
      </c>
      <c r="F6182" s="66" t="str">
        <f>IFERROR(__xludf.DUMMYFUNCTION("GOOGLETRANSLATE(A6182,""en"",""pt"")"),"#VALUE!")</f>
        <v>#VALUE!</v>
      </c>
      <c r="G6182" s="69"/>
    </row>
    <row r="6183" ht="22.5" customHeight="1">
      <c r="A6183" s="66"/>
      <c r="B6183" s="67" t="str">
        <f t="shared" si="16"/>
        <v>M: </v>
      </c>
      <c r="C6183" s="68"/>
      <c r="D6183" s="68">
        <v>46368.0</v>
      </c>
      <c r="E6183" s="66">
        <v>1.0</v>
      </c>
      <c r="F6183" s="66" t="str">
        <f>IFERROR(__xludf.DUMMYFUNCTION("GOOGLETRANSLATE(A6183,""en"",""pt"")"),"#VALUE!")</f>
        <v>#VALUE!</v>
      </c>
      <c r="G6183" s="69"/>
    </row>
    <row r="6184" ht="22.5" customHeight="1">
      <c r="A6184" s="66"/>
      <c r="B6184" s="67" t="str">
        <f t="shared" si="16"/>
        <v>M: </v>
      </c>
      <c r="C6184" s="68"/>
      <c r="D6184" s="68">
        <v>46368.0</v>
      </c>
      <c r="E6184" s="66">
        <v>2.0</v>
      </c>
      <c r="F6184" s="66" t="str">
        <f>IFERROR(__xludf.DUMMYFUNCTION("GOOGLETRANSLATE(A6184,""en"",""pt"")"),"#VALUE!")</f>
        <v>#VALUE!</v>
      </c>
      <c r="G6184" s="69"/>
    </row>
    <row r="6185" ht="22.5" customHeight="1">
      <c r="A6185" s="66"/>
      <c r="B6185" s="67" t="str">
        <f t="shared" si="16"/>
        <v>M: </v>
      </c>
      <c r="C6185" s="68"/>
      <c r="D6185" s="68">
        <v>46368.0</v>
      </c>
      <c r="E6185" s="66">
        <v>3.0</v>
      </c>
      <c r="F6185" s="66" t="str">
        <f>IFERROR(__xludf.DUMMYFUNCTION("GOOGLETRANSLATE(A6185,""en"",""pt"")"),"#VALUE!")</f>
        <v>#VALUE!</v>
      </c>
      <c r="G6185" s="69"/>
    </row>
    <row r="6186" ht="22.5" customHeight="1">
      <c r="A6186" s="66"/>
      <c r="B6186" s="67" t="str">
        <f t="shared" si="16"/>
        <v>M: </v>
      </c>
      <c r="C6186" s="68"/>
      <c r="D6186" s="68">
        <v>46368.0</v>
      </c>
      <c r="E6186" s="66">
        <v>4.0</v>
      </c>
      <c r="F6186" s="66" t="str">
        <f>IFERROR(__xludf.DUMMYFUNCTION("GOOGLETRANSLATE(A6186,""en"",""pt"")"),"#VALUE!")</f>
        <v>#VALUE!</v>
      </c>
      <c r="G6186" s="69"/>
    </row>
    <row r="6187" ht="22.5" customHeight="1">
      <c r="A6187" s="66"/>
      <c r="B6187" s="67" t="str">
        <f t="shared" si="16"/>
        <v>M: </v>
      </c>
      <c r="C6187" s="68"/>
      <c r="D6187" s="68">
        <v>46368.0</v>
      </c>
      <c r="E6187" s="66">
        <v>5.0</v>
      </c>
      <c r="F6187" s="66" t="str">
        <f>IFERROR(__xludf.DUMMYFUNCTION("GOOGLETRANSLATE(A6187,""en"",""pt"")"),"#VALUE!")</f>
        <v>#VALUE!</v>
      </c>
      <c r="G6187" s="69"/>
    </row>
    <row r="6188" ht="22.5" customHeight="1">
      <c r="A6188" s="66"/>
      <c r="B6188" s="67" t="str">
        <f t="shared" si="16"/>
        <v>M: </v>
      </c>
      <c r="C6188" s="68"/>
      <c r="D6188" s="68">
        <v>46368.0</v>
      </c>
      <c r="E6188" s="66">
        <v>6.0</v>
      </c>
      <c r="F6188" s="66" t="str">
        <f>IFERROR(__xludf.DUMMYFUNCTION("GOOGLETRANSLATE(A6188,""en"",""pt"")"),"#VALUE!")</f>
        <v>#VALUE!</v>
      </c>
      <c r="G6188" s="69"/>
    </row>
    <row r="6189" ht="22.5" customHeight="1">
      <c r="A6189" s="66"/>
      <c r="B6189" s="67" t="str">
        <f t="shared" si="16"/>
        <v>M: </v>
      </c>
      <c r="C6189" s="68"/>
      <c r="D6189" s="68">
        <v>46368.0</v>
      </c>
      <c r="E6189" s="66">
        <v>7.0</v>
      </c>
      <c r="F6189" s="66" t="str">
        <f>IFERROR(__xludf.DUMMYFUNCTION("GOOGLETRANSLATE(A6189,""en"",""pt"")"),"#VALUE!")</f>
        <v>#VALUE!</v>
      </c>
      <c r="G6189" s="69"/>
    </row>
    <row r="6190" ht="22.5" customHeight="1">
      <c r="A6190" s="66"/>
      <c r="B6190" s="67" t="str">
        <f t="shared" si="16"/>
        <v>M: </v>
      </c>
      <c r="C6190" s="68"/>
      <c r="D6190" s="68">
        <v>46368.0</v>
      </c>
      <c r="E6190" s="66">
        <v>8.0</v>
      </c>
      <c r="F6190" s="66" t="str">
        <f>IFERROR(__xludf.DUMMYFUNCTION("GOOGLETRANSLATE(A6190,""en"",""pt"")"),"#VALUE!")</f>
        <v>#VALUE!</v>
      </c>
      <c r="G6190" s="69"/>
    </row>
    <row r="6191" ht="22.5" customHeight="1">
      <c r="A6191" s="66"/>
      <c r="B6191" s="67" t="str">
        <f t="shared" si="16"/>
        <v>M: </v>
      </c>
      <c r="C6191" s="68"/>
      <c r="D6191" s="68">
        <v>46368.0</v>
      </c>
      <c r="E6191" s="66">
        <v>9.0</v>
      </c>
      <c r="F6191" s="66" t="str">
        <f>IFERROR(__xludf.DUMMYFUNCTION("GOOGLETRANSLATE(A6191,""en"",""pt"")"),"#VALUE!")</f>
        <v>#VALUE!</v>
      </c>
      <c r="G6191" s="69"/>
    </row>
    <row r="6192" ht="22.5" customHeight="1">
      <c r="A6192" s="66"/>
      <c r="B6192" s="67" t="str">
        <f t="shared" si="16"/>
        <v>M: </v>
      </c>
      <c r="C6192" s="68"/>
      <c r="D6192" s="68">
        <v>46369.0</v>
      </c>
      <c r="E6192" s="66">
        <v>10.0</v>
      </c>
      <c r="F6192" s="66" t="str">
        <f>IFERROR(__xludf.DUMMYFUNCTION("GOOGLETRANSLATE(A6192,""en"",""pt"")"),"#VALUE!")</f>
        <v>#VALUE!</v>
      </c>
      <c r="G6192" s="69"/>
    </row>
    <row r="6193" ht="22.5" customHeight="1">
      <c r="A6193" s="66"/>
      <c r="B6193" s="67" t="str">
        <f t="shared" si="16"/>
        <v>M: </v>
      </c>
      <c r="C6193" s="68"/>
      <c r="D6193" s="68">
        <v>46369.0</v>
      </c>
      <c r="E6193" s="66">
        <v>1.0</v>
      </c>
      <c r="F6193" s="66" t="str">
        <f>IFERROR(__xludf.DUMMYFUNCTION("GOOGLETRANSLATE(A6193,""en"",""pt"")"),"#VALUE!")</f>
        <v>#VALUE!</v>
      </c>
      <c r="G6193" s="69"/>
    </row>
    <row r="6194" ht="22.5" customHeight="1">
      <c r="A6194" s="66"/>
      <c r="B6194" s="67" t="str">
        <f t="shared" si="16"/>
        <v>M: </v>
      </c>
      <c r="C6194" s="68"/>
      <c r="D6194" s="68">
        <v>46369.0</v>
      </c>
      <c r="E6194" s="66">
        <v>2.0</v>
      </c>
      <c r="F6194" s="66" t="str">
        <f>IFERROR(__xludf.DUMMYFUNCTION("GOOGLETRANSLATE(A6194,""en"",""pt"")"),"#VALUE!")</f>
        <v>#VALUE!</v>
      </c>
      <c r="G6194" s="69"/>
    </row>
    <row r="6195" ht="22.5" customHeight="1">
      <c r="A6195" s="66"/>
      <c r="B6195" s="67" t="str">
        <f t="shared" si="16"/>
        <v>M: </v>
      </c>
      <c r="C6195" s="68"/>
      <c r="D6195" s="68">
        <v>46369.0</v>
      </c>
      <c r="E6195" s="66">
        <v>3.0</v>
      </c>
      <c r="F6195" s="66" t="str">
        <f>IFERROR(__xludf.DUMMYFUNCTION("GOOGLETRANSLATE(A6195,""en"",""pt"")"),"#VALUE!")</f>
        <v>#VALUE!</v>
      </c>
      <c r="G6195" s="69"/>
    </row>
    <row r="6196" ht="22.5" customHeight="1">
      <c r="A6196" s="66"/>
      <c r="B6196" s="67" t="str">
        <f t="shared" si="16"/>
        <v>M: </v>
      </c>
      <c r="C6196" s="68"/>
      <c r="D6196" s="68">
        <v>46369.0</v>
      </c>
      <c r="E6196" s="66">
        <v>4.0</v>
      </c>
      <c r="F6196" s="66" t="str">
        <f>IFERROR(__xludf.DUMMYFUNCTION("GOOGLETRANSLATE(A6196,""en"",""pt"")"),"#VALUE!")</f>
        <v>#VALUE!</v>
      </c>
      <c r="G6196" s="69"/>
    </row>
    <row r="6197" ht="22.5" customHeight="1">
      <c r="A6197" s="66"/>
      <c r="B6197" s="67" t="str">
        <f t="shared" si="16"/>
        <v>M: </v>
      </c>
      <c r="C6197" s="68"/>
      <c r="D6197" s="68">
        <v>46369.0</v>
      </c>
      <c r="E6197" s="66">
        <v>5.0</v>
      </c>
      <c r="F6197" s="66" t="str">
        <f>IFERROR(__xludf.DUMMYFUNCTION("GOOGLETRANSLATE(A6197,""en"",""pt"")"),"#VALUE!")</f>
        <v>#VALUE!</v>
      </c>
      <c r="G6197" s="69"/>
    </row>
    <row r="6198" ht="22.5" customHeight="1">
      <c r="A6198" s="66"/>
      <c r="B6198" s="67" t="str">
        <f t="shared" si="16"/>
        <v>M: </v>
      </c>
      <c r="C6198" s="68"/>
      <c r="D6198" s="68">
        <v>46369.0</v>
      </c>
      <c r="E6198" s="66">
        <v>6.0</v>
      </c>
      <c r="F6198" s="66" t="str">
        <f>IFERROR(__xludf.DUMMYFUNCTION("GOOGLETRANSLATE(A6198,""en"",""pt"")"),"#VALUE!")</f>
        <v>#VALUE!</v>
      </c>
      <c r="G6198" s="69"/>
    </row>
    <row r="6199" ht="22.5" customHeight="1">
      <c r="A6199" s="66"/>
      <c r="B6199" s="67" t="str">
        <f t="shared" si="16"/>
        <v>M: </v>
      </c>
      <c r="C6199" s="68"/>
      <c r="D6199" s="68">
        <v>46369.0</v>
      </c>
      <c r="E6199" s="66">
        <v>7.0</v>
      </c>
      <c r="F6199" s="66" t="str">
        <f>IFERROR(__xludf.DUMMYFUNCTION("GOOGLETRANSLATE(A6199,""en"",""pt"")"),"#VALUE!")</f>
        <v>#VALUE!</v>
      </c>
      <c r="G6199" s="69"/>
    </row>
    <row r="6200" ht="22.5" customHeight="1">
      <c r="A6200" s="66"/>
      <c r="B6200" s="67" t="str">
        <f t="shared" si="16"/>
        <v>M: </v>
      </c>
      <c r="C6200" s="68"/>
      <c r="D6200" s="68">
        <v>46369.0</v>
      </c>
      <c r="E6200" s="66">
        <v>8.0</v>
      </c>
      <c r="F6200" s="66" t="str">
        <f>IFERROR(__xludf.DUMMYFUNCTION("GOOGLETRANSLATE(A6200,""en"",""pt"")"),"#VALUE!")</f>
        <v>#VALUE!</v>
      </c>
      <c r="G6200" s="69"/>
    </row>
    <row r="6201" ht="22.5" customHeight="1">
      <c r="A6201" s="66"/>
      <c r="B6201" s="67" t="str">
        <f t="shared" si="16"/>
        <v>M: </v>
      </c>
      <c r="C6201" s="68"/>
      <c r="D6201" s="68">
        <v>46369.0</v>
      </c>
      <c r="E6201" s="66">
        <v>9.0</v>
      </c>
      <c r="F6201" s="66" t="str">
        <f>IFERROR(__xludf.DUMMYFUNCTION("GOOGLETRANSLATE(A6201,""en"",""pt"")"),"#VALUE!")</f>
        <v>#VALUE!</v>
      </c>
      <c r="G6201" s="69"/>
    </row>
    <row r="6202" ht="22.5" customHeight="1">
      <c r="A6202" s="66"/>
      <c r="B6202" s="67" t="str">
        <f t="shared" si="16"/>
        <v>M: </v>
      </c>
      <c r="C6202" s="68"/>
      <c r="D6202" s="68">
        <v>46370.0</v>
      </c>
      <c r="E6202" s="66">
        <v>10.0</v>
      </c>
      <c r="F6202" s="66" t="str">
        <f>IFERROR(__xludf.DUMMYFUNCTION("GOOGLETRANSLATE(A6202,""en"",""pt"")"),"#VALUE!")</f>
        <v>#VALUE!</v>
      </c>
      <c r="G6202" s="69"/>
    </row>
    <row r="6203" ht="22.5" customHeight="1">
      <c r="A6203" s="66"/>
      <c r="B6203" s="67" t="str">
        <f t="shared" si="16"/>
        <v>M: </v>
      </c>
      <c r="C6203" s="68"/>
      <c r="D6203" s="68">
        <v>46370.0</v>
      </c>
      <c r="E6203" s="66">
        <v>1.0</v>
      </c>
      <c r="F6203" s="66" t="str">
        <f>IFERROR(__xludf.DUMMYFUNCTION("GOOGLETRANSLATE(A6203,""en"",""pt"")"),"#VALUE!")</f>
        <v>#VALUE!</v>
      </c>
      <c r="G6203" s="69"/>
    </row>
    <row r="6204" ht="22.5" customHeight="1">
      <c r="A6204" s="66"/>
      <c r="B6204" s="67" t="str">
        <f t="shared" si="16"/>
        <v>M: </v>
      </c>
      <c r="C6204" s="68"/>
      <c r="D6204" s="68">
        <v>46370.0</v>
      </c>
      <c r="E6204" s="66">
        <v>2.0</v>
      </c>
      <c r="F6204" s="66" t="str">
        <f>IFERROR(__xludf.DUMMYFUNCTION("GOOGLETRANSLATE(A6204,""en"",""pt"")"),"#VALUE!")</f>
        <v>#VALUE!</v>
      </c>
      <c r="G6204" s="69"/>
    </row>
    <row r="6205" ht="22.5" customHeight="1">
      <c r="A6205" s="66"/>
      <c r="B6205" s="67" t="str">
        <f t="shared" si="16"/>
        <v>M: </v>
      </c>
      <c r="C6205" s="68"/>
      <c r="D6205" s="68">
        <v>46370.0</v>
      </c>
      <c r="E6205" s="66">
        <v>3.0</v>
      </c>
      <c r="F6205" s="66" t="str">
        <f>IFERROR(__xludf.DUMMYFUNCTION("GOOGLETRANSLATE(A6205,""en"",""pt"")"),"#VALUE!")</f>
        <v>#VALUE!</v>
      </c>
      <c r="G6205" s="69"/>
    </row>
    <row r="6206" ht="22.5" customHeight="1">
      <c r="A6206" s="66"/>
      <c r="B6206" s="67" t="str">
        <f t="shared" si="16"/>
        <v>M: </v>
      </c>
      <c r="C6206" s="68"/>
      <c r="D6206" s="68">
        <v>46370.0</v>
      </c>
      <c r="E6206" s="66">
        <v>4.0</v>
      </c>
      <c r="F6206" s="66" t="str">
        <f>IFERROR(__xludf.DUMMYFUNCTION("GOOGLETRANSLATE(A6206,""en"",""pt"")"),"#VALUE!")</f>
        <v>#VALUE!</v>
      </c>
      <c r="G6206" s="69"/>
    </row>
    <row r="6207" ht="22.5" customHeight="1">
      <c r="A6207" s="66"/>
      <c r="B6207" s="67" t="str">
        <f t="shared" si="16"/>
        <v>M: </v>
      </c>
      <c r="C6207" s="68"/>
      <c r="D6207" s="68">
        <v>46370.0</v>
      </c>
      <c r="E6207" s="66">
        <v>5.0</v>
      </c>
      <c r="F6207" s="66" t="str">
        <f>IFERROR(__xludf.DUMMYFUNCTION("GOOGLETRANSLATE(A6207,""en"",""pt"")"),"#VALUE!")</f>
        <v>#VALUE!</v>
      </c>
      <c r="G6207" s="69"/>
    </row>
    <row r="6208" ht="22.5" customHeight="1">
      <c r="A6208" s="66"/>
      <c r="B6208" s="67" t="str">
        <f t="shared" si="16"/>
        <v>M: </v>
      </c>
      <c r="C6208" s="68"/>
      <c r="D6208" s="68">
        <v>46370.0</v>
      </c>
      <c r="E6208" s="66">
        <v>6.0</v>
      </c>
      <c r="F6208" s="66" t="str">
        <f>IFERROR(__xludf.DUMMYFUNCTION("GOOGLETRANSLATE(A6208,""en"",""pt"")"),"#VALUE!")</f>
        <v>#VALUE!</v>
      </c>
      <c r="G6208" s="69"/>
    </row>
    <row r="6209" ht="22.5" customHeight="1">
      <c r="A6209" s="66"/>
      <c r="B6209" s="67" t="str">
        <f t="shared" si="16"/>
        <v>M: </v>
      </c>
      <c r="C6209" s="68"/>
      <c r="D6209" s="68">
        <v>46370.0</v>
      </c>
      <c r="E6209" s="66">
        <v>7.0</v>
      </c>
      <c r="F6209" s="66" t="str">
        <f>IFERROR(__xludf.DUMMYFUNCTION("GOOGLETRANSLATE(A6209,""en"",""pt"")"),"#VALUE!")</f>
        <v>#VALUE!</v>
      </c>
      <c r="G6209" s="69"/>
    </row>
    <row r="6210" ht="22.5" customHeight="1">
      <c r="A6210" s="66"/>
      <c r="B6210" s="67" t="str">
        <f t="shared" si="16"/>
        <v>M: </v>
      </c>
      <c r="C6210" s="68"/>
      <c r="D6210" s="68">
        <v>46370.0</v>
      </c>
      <c r="E6210" s="66">
        <v>8.0</v>
      </c>
      <c r="F6210" s="66" t="str">
        <f>IFERROR(__xludf.DUMMYFUNCTION("GOOGLETRANSLATE(A6210,""en"",""pt"")"),"#VALUE!")</f>
        <v>#VALUE!</v>
      </c>
      <c r="G6210" s="69"/>
    </row>
    <row r="6211" ht="22.5" customHeight="1">
      <c r="A6211" s="66"/>
      <c r="B6211" s="67" t="str">
        <f t="shared" si="16"/>
        <v>M: </v>
      </c>
      <c r="C6211" s="68"/>
      <c r="D6211" s="68">
        <v>46370.0</v>
      </c>
      <c r="E6211" s="66">
        <v>9.0</v>
      </c>
      <c r="F6211" s="66" t="str">
        <f>IFERROR(__xludf.DUMMYFUNCTION("GOOGLETRANSLATE(A6211,""en"",""pt"")"),"#VALUE!")</f>
        <v>#VALUE!</v>
      </c>
      <c r="G6211" s="69"/>
    </row>
    <row r="6212" ht="22.5" customHeight="1">
      <c r="A6212" s="66"/>
      <c r="B6212" s="67" t="str">
        <f t="shared" si="16"/>
        <v>M: </v>
      </c>
      <c r="C6212" s="68"/>
      <c r="D6212" s="68">
        <v>46371.0</v>
      </c>
      <c r="E6212" s="66">
        <v>10.0</v>
      </c>
      <c r="F6212" s="66" t="str">
        <f>IFERROR(__xludf.DUMMYFUNCTION("GOOGLETRANSLATE(A6212,""en"",""pt"")"),"#VALUE!")</f>
        <v>#VALUE!</v>
      </c>
      <c r="G6212" s="69"/>
    </row>
    <row r="6213" ht="22.5" customHeight="1">
      <c r="A6213" s="66"/>
      <c r="B6213" s="67" t="str">
        <f t="shared" si="16"/>
        <v>M: </v>
      </c>
      <c r="C6213" s="68"/>
      <c r="D6213" s="68">
        <v>46371.0</v>
      </c>
      <c r="E6213" s="66">
        <v>1.0</v>
      </c>
      <c r="F6213" s="66" t="str">
        <f>IFERROR(__xludf.DUMMYFUNCTION("GOOGLETRANSLATE(A6213,""en"",""pt"")"),"#VALUE!")</f>
        <v>#VALUE!</v>
      </c>
      <c r="G6213" s="69"/>
    </row>
    <row r="6214" ht="22.5" customHeight="1">
      <c r="A6214" s="66"/>
      <c r="B6214" s="67" t="str">
        <f t="shared" si="16"/>
        <v>M: </v>
      </c>
      <c r="C6214" s="68"/>
      <c r="D6214" s="68">
        <v>46371.0</v>
      </c>
      <c r="E6214" s="66">
        <v>2.0</v>
      </c>
      <c r="F6214" s="66" t="str">
        <f>IFERROR(__xludf.DUMMYFUNCTION("GOOGLETRANSLATE(A6214,""en"",""pt"")"),"#VALUE!")</f>
        <v>#VALUE!</v>
      </c>
      <c r="G6214" s="69"/>
    </row>
    <row r="6215" ht="22.5" customHeight="1">
      <c r="A6215" s="66"/>
      <c r="B6215" s="67" t="str">
        <f t="shared" si="16"/>
        <v>M: </v>
      </c>
      <c r="C6215" s="68"/>
      <c r="D6215" s="68">
        <v>46371.0</v>
      </c>
      <c r="E6215" s="66">
        <v>3.0</v>
      </c>
      <c r="F6215" s="66" t="str">
        <f>IFERROR(__xludf.DUMMYFUNCTION("GOOGLETRANSLATE(A6215,""en"",""pt"")"),"#VALUE!")</f>
        <v>#VALUE!</v>
      </c>
      <c r="G6215" s="69"/>
    </row>
    <row r="6216" ht="22.5" customHeight="1">
      <c r="A6216" s="66"/>
      <c r="B6216" s="67" t="str">
        <f t="shared" si="16"/>
        <v>M: </v>
      </c>
      <c r="C6216" s="68"/>
      <c r="D6216" s="68">
        <v>46371.0</v>
      </c>
      <c r="E6216" s="66">
        <v>4.0</v>
      </c>
      <c r="F6216" s="66" t="str">
        <f>IFERROR(__xludf.DUMMYFUNCTION("GOOGLETRANSLATE(A6216,""en"",""pt"")"),"#VALUE!")</f>
        <v>#VALUE!</v>
      </c>
      <c r="G6216" s="69"/>
    </row>
    <row r="6217" ht="22.5" customHeight="1">
      <c r="A6217" s="66"/>
      <c r="B6217" s="67" t="str">
        <f t="shared" si="16"/>
        <v>M: </v>
      </c>
      <c r="C6217" s="68"/>
      <c r="D6217" s="68">
        <v>46371.0</v>
      </c>
      <c r="E6217" s="66">
        <v>5.0</v>
      </c>
      <c r="F6217" s="66" t="str">
        <f>IFERROR(__xludf.DUMMYFUNCTION("GOOGLETRANSLATE(A6217,""en"",""pt"")"),"#VALUE!")</f>
        <v>#VALUE!</v>
      </c>
      <c r="G6217" s="69"/>
    </row>
    <row r="6218" ht="22.5" customHeight="1">
      <c r="A6218" s="66"/>
      <c r="B6218" s="67" t="str">
        <f t="shared" si="16"/>
        <v>M: </v>
      </c>
      <c r="C6218" s="68"/>
      <c r="D6218" s="68">
        <v>46371.0</v>
      </c>
      <c r="E6218" s="66">
        <v>6.0</v>
      </c>
      <c r="F6218" s="66" t="str">
        <f>IFERROR(__xludf.DUMMYFUNCTION("GOOGLETRANSLATE(A6218,""en"",""pt"")"),"#VALUE!")</f>
        <v>#VALUE!</v>
      </c>
      <c r="G6218" s="69"/>
    </row>
    <row r="6219" ht="22.5" customHeight="1">
      <c r="A6219" s="66"/>
      <c r="B6219" s="67" t="str">
        <f t="shared" si="16"/>
        <v>M: </v>
      </c>
      <c r="C6219" s="68"/>
      <c r="D6219" s="68">
        <v>46371.0</v>
      </c>
      <c r="E6219" s="66">
        <v>7.0</v>
      </c>
      <c r="F6219" s="66" t="str">
        <f>IFERROR(__xludf.DUMMYFUNCTION("GOOGLETRANSLATE(A6219,""en"",""pt"")"),"#VALUE!")</f>
        <v>#VALUE!</v>
      </c>
      <c r="G6219" s="69"/>
    </row>
    <row r="6220" ht="22.5" customHeight="1">
      <c r="A6220" s="66"/>
      <c r="B6220" s="67" t="str">
        <f t="shared" si="16"/>
        <v>M: </v>
      </c>
      <c r="C6220" s="68"/>
      <c r="D6220" s="68">
        <v>46371.0</v>
      </c>
      <c r="E6220" s="66">
        <v>8.0</v>
      </c>
      <c r="F6220" s="66" t="str">
        <f>IFERROR(__xludf.DUMMYFUNCTION("GOOGLETRANSLATE(A6220,""en"",""pt"")"),"#VALUE!")</f>
        <v>#VALUE!</v>
      </c>
      <c r="G6220" s="69"/>
    </row>
    <row r="6221" ht="22.5" customHeight="1">
      <c r="A6221" s="66"/>
      <c r="B6221" s="67" t="str">
        <f t="shared" si="16"/>
        <v>M: </v>
      </c>
      <c r="C6221" s="68"/>
      <c r="D6221" s="68">
        <v>46371.0</v>
      </c>
      <c r="E6221" s="66">
        <v>9.0</v>
      </c>
      <c r="F6221" s="66" t="str">
        <f>IFERROR(__xludf.DUMMYFUNCTION("GOOGLETRANSLATE(A6221,""en"",""pt"")"),"#VALUE!")</f>
        <v>#VALUE!</v>
      </c>
      <c r="G6221" s="69"/>
    </row>
    <row r="6222" ht="22.5" customHeight="1">
      <c r="A6222" s="66"/>
      <c r="B6222" s="67" t="str">
        <f t="shared" si="16"/>
        <v>M: </v>
      </c>
      <c r="C6222" s="68"/>
      <c r="D6222" s="68">
        <v>46372.0</v>
      </c>
      <c r="E6222" s="66">
        <v>10.0</v>
      </c>
      <c r="F6222" s="66" t="str">
        <f>IFERROR(__xludf.DUMMYFUNCTION("GOOGLETRANSLATE(A6222,""en"",""pt"")"),"#VALUE!")</f>
        <v>#VALUE!</v>
      </c>
      <c r="G6222" s="69"/>
    </row>
    <row r="6223" ht="22.5" customHeight="1">
      <c r="A6223" s="66"/>
      <c r="B6223" s="67" t="str">
        <f t="shared" si="16"/>
        <v>M: </v>
      </c>
      <c r="C6223" s="68"/>
      <c r="D6223" s="68">
        <v>46372.0</v>
      </c>
      <c r="E6223" s="66">
        <v>1.0</v>
      </c>
      <c r="F6223" s="66" t="str">
        <f>IFERROR(__xludf.DUMMYFUNCTION("GOOGLETRANSLATE(A6223,""en"",""pt"")"),"#VALUE!")</f>
        <v>#VALUE!</v>
      </c>
      <c r="G6223" s="69"/>
    </row>
    <row r="6224" ht="22.5" customHeight="1">
      <c r="A6224" s="66"/>
      <c r="B6224" s="67" t="str">
        <f t="shared" si="16"/>
        <v>M: </v>
      </c>
      <c r="C6224" s="68"/>
      <c r="D6224" s="68">
        <v>46372.0</v>
      </c>
      <c r="E6224" s="66">
        <v>2.0</v>
      </c>
      <c r="F6224" s="66" t="str">
        <f>IFERROR(__xludf.DUMMYFUNCTION("GOOGLETRANSLATE(A6224,""en"",""pt"")"),"#VALUE!")</f>
        <v>#VALUE!</v>
      </c>
      <c r="G6224" s="69"/>
    </row>
    <row r="6225" ht="22.5" customHeight="1">
      <c r="A6225" s="66"/>
      <c r="B6225" s="67" t="str">
        <f t="shared" si="16"/>
        <v>M: </v>
      </c>
      <c r="C6225" s="68"/>
      <c r="D6225" s="68">
        <v>46372.0</v>
      </c>
      <c r="E6225" s="66">
        <v>3.0</v>
      </c>
      <c r="F6225" s="66" t="str">
        <f>IFERROR(__xludf.DUMMYFUNCTION("GOOGLETRANSLATE(A6225,""en"",""pt"")"),"#VALUE!")</f>
        <v>#VALUE!</v>
      </c>
      <c r="G6225" s="69"/>
    </row>
    <row r="6226" ht="22.5" customHeight="1">
      <c r="A6226" s="66"/>
      <c r="B6226" s="67" t="str">
        <f t="shared" si="16"/>
        <v>M: </v>
      </c>
      <c r="C6226" s="68"/>
      <c r="D6226" s="68">
        <v>46372.0</v>
      </c>
      <c r="E6226" s="66">
        <v>4.0</v>
      </c>
      <c r="F6226" s="66" t="str">
        <f>IFERROR(__xludf.DUMMYFUNCTION("GOOGLETRANSLATE(A6226,""en"",""pt"")"),"#VALUE!")</f>
        <v>#VALUE!</v>
      </c>
      <c r="G6226" s="69"/>
    </row>
    <row r="6227" ht="22.5" customHeight="1">
      <c r="A6227" s="66"/>
      <c r="B6227" s="67" t="str">
        <f t="shared" si="16"/>
        <v>M: </v>
      </c>
      <c r="C6227" s="68"/>
      <c r="D6227" s="68">
        <v>46372.0</v>
      </c>
      <c r="E6227" s="66">
        <v>5.0</v>
      </c>
      <c r="F6227" s="66" t="str">
        <f>IFERROR(__xludf.DUMMYFUNCTION("GOOGLETRANSLATE(A6227,""en"",""pt"")"),"#VALUE!")</f>
        <v>#VALUE!</v>
      </c>
      <c r="G6227" s="69"/>
    </row>
    <row r="6228" ht="22.5" customHeight="1">
      <c r="A6228" s="66"/>
      <c r="B6228" s="67" t="str">
        <f t="shared" si="16"/>
        <v>M: </v>
      </c>
      <c r="C6228" s="68"/>
      <c r="D6228" s="68">
        <v>46372.0</v>
      </c>
      <c r="E6228" s="66">
        <v>6.0</v>
      </c>
      <c r="F6228" s="66" t="str">
        <f>IFERROR(__xludf.DUMMYFUNCTION("GOOGLETRANSLATE(A6228,""en"",""pt"")"),"#VALUE!")</f>
        <v>#VALUE!</v>
      </c>
      <c r="G6228" s="69"/>
    </row>
    <row r="6229" ht="22.5" customHeight="1">
      <c r="A6229" s="66"/>
      <c r="B6229" s="67" t="str">
        <f t="shared" si="16"/>
        <v>M: </v>
      </c>
      <c r="C6229" s="68"/>
      <c r="D6229" s="68">
        <v>46372.0</v>
      </c>
      <c r="E6229" s="66">
        <v>7.0</v>
      </c>
      <c r="F6229" s="66" t="str">
        <f>IFERROR(__xludf.DUMMYFUNCTION("GOOGLETRANSLATE(A6229,""en"",""pt"")"),"#VALUE!")</f>
        <v>#VALUE!</v>
      </c>
      <c r="G6229" s="69"/>
    </row>
    <row r="6230" ht="22.5" customHeight="1">
      <c r="A6230" s="66"/>
      <c r="B6230" s="67" t="str">
        <f t="shared" si="16"/>
        <v>M: </v>
      </c>
      <c r="C6230" s="68"/>
      <c r="D6230" s="68">
        <v>46372.0</v>
      </c>
      <c r="E6230" s="66">
        <v>8.0</v>
      </c>
      <c r="F6230" s="66" t="str">
        <f>IFERROR(__xludf.DUMMYFUNCTION("GOOGLETRANSLATE(A6230,""en"",""pt"")"),"#VALUE!")</f>
        <v>#VALUE!</v>
      </c>
      <c r="G6230" s="69"/>
    </row>
    <row r="6231" ht="22.5" customHeight="1">
      <c r="A6231" s="66"/>
      <c r="B6231" s="67" t="str">
        <f t="shared" si="16"/>
        <v>M: </v>
      </c>
      <c r="C6231" s="68"/>
      <c r="D6231" s="68">
        <v>46372.0</v>
      </c>
      <c r="E6231" s="66">
        <v>9.0</v>
      </c>
      <c r="F6231" s="66" t="str">
        <f>IFERROR(__xludf.DUMMYFUNCTION("GOOGLETRANSLATE(A6231,""en"",""pt"")"),"#VALUE!")</f>
        <v>#VALUE!</v>
      </c>
      <c r="G6231" s="69"/>
    </row>
    <row r="6232" ht="22.5" customHeight="1">
      <c r="A6232" s="66"/>
      <c r="B6232" s="67" t="str">
        <f t="shared" si="16"/>
        <v>M: </v>
      </c>
      <c r="C6232" s="68"/>
      <c r="D6232" s="68">
        <v>46373.0</v>
      </c>
      <c r="E6232" s="66">
        <v>10.0</v>
      </c>
      <c r="F6232" s="66" t="str">
        <f>IFERROR(__xludf.DUMMYFUNCTION("GOOGLETRANSLATE(A6232,""en"",""pt"")"),"#VALUE!")</f>
        <v>#VALUE!</v>
      </c>
      <c r="G6232" s="69"/>
    </row>
    <row r="6233" ht="22.5" customHeight="1">
      <c r="A6233" s="66"/>
      <c r="B6233" s="67" t="str">
        <f t="shared" si="16"/>
        <v>M: </v>
      </c>
      <c r="C6233" s="68"/>
      <c r="D6233" s="68">
        <v>46373.0</v>
      </c>
      <c r="E6233" s="66">
        <v>1.0</v>
      </c>
      <c r="F6233" s="66" t="str">
        <f>IFERROR(__xludf.DUMMYFUNCTION("GOOGLETRANSLATE(A6233,""en"",""pt"")"),"#VALUE!")</f>
        <v>#VALUE!</v>
      </c>
      <c r="G6233" s="69"/>
    </row>
    <row r="6234" ht="22.5" customHeight="1">
      <c r="A6234" s="66"/>
      <c r="B6234" s="67" t="str">
        <f t="shared" si="16"/>
        <v>M: </v>
      </c>
      <c r="C6234" s="68"/>
      <c r="D6234" s="68">
        <v>46373.0</v>
      </c>
      <c r="E6234" s="66">
        <v>2.0</v>
      </c>
      <c r="F6234" s="66" t="str">
        <f>IFERROR(__xludf.DUMMYFUNCTION("GOOGLETRANSLATE(A6234,""en"",""pt"")"),"#VALUE!")</f>
        <v>#VALUE!</v>
      </c>
      <c r="G6234" s="69"/>
    </row>
    <row r="6235" ht="22.5" customHeight="1">
      <c r="A6235" s="66"/>
      <c r="B6235" s="67" t="str">
        <f t="shared" si="16"/>
        <v>M: </v>
      </c>
      <c r="C6235" s="68"/>
      <c r="D6235" s="68">
        <v>46373.0</v>
      </c>
      <c r="E6235" s="66">
        <v>3.0</v>
      </c>
      <c r="F6235" s="66" t="str">
        <f>IFERROR(__xludf.DUMMYFUNCTION("GOOGLETRANSLATE(A6235,""en"",""pt"")"),"#VALUE!")</f>
        <v>#VALUE!</v>
      </c>
      <c r="G6235" s="69"/>
    </row>
    <row r="6236" ht="22.5" customHeight="1">
      <c r="A6236" s="66"/>
      <c r="B6236" s="67" t="str">
        <f t="shared" si="16"/>
        <v>M: </v>
      </c>
      <c r="C6236" s="68"/>
      <c r="D6236" s="68">
        <v>46373.0</v>
      </c>
      <c r="E6236" s="66">
        <v>4.0</v>
      </c>
      <c r="F6236" s="66" t="str">
        <f>IFERROR(__xludf.DUMMYFUNCTION("GOOGLETRANSLATE(A6236,""en"",""pt"")"),"#VALUE!")</f>
        <v>#VALUE!</v>
      </c>
      <c r="G6236" s="69"/>
    </row>
    <row r="6237" ht="22.5" customHeight="1">
      <c r="A6237" s="66"/>
      <c r="B6237" s="67" t="str">
        <f t="shared" si="16"/>
        <v>M: </v>
      </c>
      <c r="C6237" s="68"/>
      <c r="D6237" s="68">
        <v>46373.0</v>
      </c>
      <c r="E6237" s="66">
        <v>5.0</v>
      </c>
      <c r="F6237" s="66" t="str">
        <f>IFERROR(__xludf.DUMMYFUNCTION("GOOGLETRANSLATE(A6237,""en"",""pt"")"),"#VALUE!")</f>
        <v>#VALUE!</v>
      </c>
      <c r="G6237" s="69"/>
    </row>
    <row r="6238" ht="22.5" customHeight="1">
      <c r="A6238" s="66"/>
      <c r="B6238" s="67" t="str">
        <f t="shared" si="16"/>
        <v>M: </v>
      </c>
      <c r="C6238" s="68"/>
      <c r="D6238" s="68">
        <v>46373.0</v>
      </c>
      <c r="E6238" s="66">
        <v>6.0</v>
      </c>
      <c r="F6238" s="66" t="str">
        <f>IFERROR(__xludf.DUMMYFUNCTION("GOOGLETRANSLATE(A6238,""en"",""pt"")"),"#VALUE!")</f>
        <v>#VALUE!</v>
      </c>
      <c r="G6238" s="69"/>
    </row>
    <row r="6239" ht="22.5" customHeight="1">
      <c r="A6239" s="66"/>
      <c r="B6239" s="67" t="str">
        <f t="shared" si="16"/>
        <v>M: </v>
      </c>
      <c r="C6239" s="68"/>
      <c r="D6239" s="68">
        <v>46373.0</v>
      </c>
      <c r="E6239" s="66">
        <v>7.0</v>
      </c>
      <c r="F6239" s="66" t="str">
        <f>IFERROR(__xludf.DUMMYFUNCTION("GOOGLETRANSLATE(A6239,""en"",""pt"")"),"#VALUE!")</f>
        <v>#VALUE!</v>
      </c>
      <c r="G6239" s="69"/>
    </row>
    <row r="6240" ht="22.5" customHeight="1">
      <c r="A6240" s="66"/>
      <c r="B6240" s="67" t="str">
        <f t="shared" si="16"/>
        <v>M: </v>
      </c>
      <c r="C6240" s="68"/>
      <c r="D6240" s="68">
        <v>46373.0</v>
      </c>
      <c r="E6240" s="66">
        <v>8.0</v>
      </c>
      <c r="F6240" s="66" t="str">
        <f>IFERROR(__xludf.DUMMYFUNCTION("GOOGLETRANSLATE(A6240,""en"",""pt"")"),"#VALUE!")</f>
        <v>#VALUE!</v>
      </c>
      <c r="G6240" s="69"/>
    </row>
    <row r="6241" ht="22.5" customHeight="1">
      <c r="A6241" s="66"/>
      <c r="B6241" s="67" t="str">
        <f t="shared" si="16"/>
        <v>M: </v>
      </c>
      <c r="C6241" s="68"/>
      <c r="D6241" s="68">
        <v>46373.0</v>
      </c>
      <c r="E6241" s="66">
        <v>9.0</v>
      </c>
      <c r="F6241" s="66" t="str">
        <f>IFERROR(__xludf.DUMMYFUNCTION("GOOGLETRANSLATE(A6241,""en"",""pt"")"),"#VALUE!")</f>
        <v>#VALUE!</v>
      </c>
      <c r="G6241" s="69"/>
    </row>
    <row r="6242" ht="22.5" customHeight="1">
      <c r="A6242" s="66"/>
      <c r="B6242" s="67" t="str">
        <f t="shared" si="16"/>
        <v>M: </v>
      </c>
      <c r="C6242" s="68"/>
      <c r="D6242" s="68">
        <v>46374.0</v>
      </c>
      <c r="E6242" s="66">
        <v>10.0</v>
      </c>
      <c r="F6242" s="66" t="str">
        <f>IFERROR(__xludf.DUMMYFUNCTION("GOOGLETRANSLATE(A6242,""en"",""pt"")"),"#VALUE!")</f>
        <v>#VALUE!</v>
      </c>
      <c r="G6242" s="69"/>
    </row>
    <row r="6243" ht="22.5" customHeight="1">
      <c r="A6243" s="66"/>
      <c r="B6243" s="67" t="str">
        <f t="shared" si="16"/>
        <v>M: </v>
      </c>
      <c r="C6243" s="68"/>
      <c r="D6243" s="68">
        <v>46374.0</v>
      </c>
      <c r="E6243" s="66">
        <v>1.0</v>
      </c>
      <c r="F6243" s="66" t="str">
        <f>IFERROR(__xludf.DUMMYFUNCTION("GOOGLETRANSLATE(A6243,""en"",""pt"")"),"#VALUE!")</f>
        <v>#VALUE!</v>
      </c>
      <c r="G6243" s="69"/>
    </row>
    <row r="6244" ht="22.5" customHeight="1">
      <c r="A6244" s="66"/>
      <c r="B6244" s="67" t="str">
        <f t="shared" si="16"/>
        <v>M: </v>
      </c>
      <c r="C6244" s="68"/>
      <c r="D6244" s="68">
        <v>46374.0</v>
      </c>
      <c r="E6244" s="66">
        <v>2.0</v>
      </c>
      <c r="F6244" s="66" t="str">
        <f>IFERROR(__xludf.DUMMYFUNCTION("GOOGLETRANSLATE(A6244,""en"",""pt"")"),"#VALUE!")</f>
        <v>#VALUE!</v>
      </c>
      <c r="G6244" s="69"/>
    </row>
    <row r="6245" ht="22.5" customHeight="1">
      <c r="A6245" s="66"/>
      <c r="B6245" s="67" t="str">
        <f t="shared" si="16"/>
        <v>M: </v>
      </c>
      <c r="C6245" s="68"/>
      <c r="D6245" s="68">
        <v>46374.0</v>
      </c>
      <c r="E6245" s="66">
        <v>3.0</v>
      </c>
      <c r="F6245" s="66" t="str">
        <f>IFERROR(__xludf.DUMMYFUNCTION("GOOGLETRANSLATE(A6245,""en"",""pt"")"),"#VALUE!")</f>
        <v>#VALUE!</v>
      </c>
      <c r="G6245" s="69"/>
    </row>
    <row r="6246" ht="22.5" customHeight="1">
      <c r="A6246" s="66"/>
      <c r="B6246" s="67" t="str">
        <f t="shared" si="16"/>
        <v>M: </v>
      </c>
      <c r="C6246" s="68"/>
      <c r="D6246" s="68">
        <v>46374.0</v>
      </c>
      <c r="E6246" s="66">
        <v>4.0</v>
      </c>
      <c r="F6246" s="66" t="str">
        <f>IFERROR(__xludf.DUMMYFUNCTION("GOOGLETRANSLATE(A6246,""en"",""pt"")"),"#VALUE!")</f>
        <v>#VALUE!</v>
      </c>
      <c r="G6246" s="69"/>
    </row>
    <row r="6247" ht="22.5" customHeight="1">
      <c r="A6247" s="66"/>
      <c r="B6247" s="67" t="str">
        <f t="shared" si="16"/>
        <v>M: </v>
      </c>
      <c r="C6247" s="68"/>
      <c r="D6247" s="68">
        <v>46374.0</v>
      </c>
      <c r="E6247" s="66">
        <v>5.0</v>
      </c>
      <c r="F6247" s="66" t="str">
        <f>IFERROR(__xludf.DUMMYFUNCTION("GOOGLETRANSLATE(A6247,""en"",""pt"")"),"#VALUE!")</f>
        <v>#VALUE!</v>
      </c>
      <c r="G6247" s="69"/>
    </row>
    <row r="6248" ht="22.5" customHeight="1">
      <c r="A6248" s="66"/>
      <c r="B6248" s="67" t="str">
        <f t="shared" si="16"/>
        <v>M: </v>
      </c>
      <c r="C6248" s="68"/>
      <c r="D6248" s="68">
        <v>46374.0</v>
      </c>
      <c r="E6248" s="66">
        <v>6.0</v>
      </c>
      <c r="F6248" s="66" t="str">
        <f>IFERROR(__xludf.DUMMYFUNCTION("GOOGLETRANSLATE(A6248,""en"",""pt"")"),"#VALUE!")</f>
        <v>#VALUE!</v>
      </c>
      <c r="G6248" s="69"/>
    </row>
    <row r="6249" ht="22.5" customHeight="1">
      <c r="A6249" s="66"/>
      <c r="B6249" s="67" t="str">
        <f t="shared" si="16"/>
        <v>M: </v>
      </c>
      <c r="C6249" s="68"/>
      <c r="D6249" s="68">
        <v>46374.0</v>
      </c>
      <c r="E6249" s="66">
        <v>7.0</v>
      </c>
      <c r="F6249" s="66" t="str">
        <f>IFERROR(__xludf.DUMMYFUNCTION("GOOGLETRANSLATE(A6249,""en"",""pt"")"),"#VALUE!")</f>
        <v>#VALUE!</v>
      </c>
      <c r="G6249" s="69"/>
    </row>
    <row r="6250" ht="22.5" customHeight="1">
      <c r="A6250" s="66"/>
      <c r="B6250" s="67" t="str">
        <f t="shared" si="16"/>
        <v>M: </v>
      </c>
      <c r="C6250" s="68"/>
      <c r="D6250" s="68">
        <v>46374.0</v>
      </c>
      <c r="E6250" s="66">
        <v>8.0</v>
      </c>
      <c r="F6250" s="66" t="str">
        <f>IFERROR(__xludf.DUMMYFUNCTION("GOOGLETRANSLATE(A6250,""en"",""pt"")"),"#VALUE!")</f>
        <v>#VALUE!</v>
      </c>
      <c r="G6250" s="69"/>
    </row>
    <row r="6251" ht="22.5" customHeight="1">
      <c r="A6251" s="66"/>
      <c r="B6251" s="67" t="str">
        <f t="shared" si="16"/>
        <v>M: </v>
      </c>
      <c r="C6251" s="68"/>
      <c r="D6251" s="68">
        <v>46374.0</v>
      </c>
      <c r="E6251" s="66">
        <v>9.0</v>
      </c>
      <c r="F6251" s="66" t="str">
        <f>IFERROR(__xludf.DUMMYFUNCTION("GOOGLETRANSLATE(A6251,""en"",""pt"")"),"#VALUE!")</f>
        <v>#VALUE!</v>
      </c>
      <c r="G6251" s="69"/>
    </row>
    <row r="6252" ht="22.5" customHeight="1">
      <c r="A6252" s="66"/>
      <c r="B6252" s="67" t="str">
        <f t="shared" si="16"/>
        <v>M: </v>
      </c>
      <c r="C6252" s="68"/>
      <c r="D6252" s="68">
        <v>46375.0</v>
      </c>
      <c r="E6252" s="66">
        <v>10.0</v>
      </c>
      <c r="F6252" s="66" t="str">
        <f>IFERROR(__xludf.DUMMYFUNCTION("GOOGLETRANSLATE(A6252,""en"",""pt"")"),"#VALUE!")</f>
        <v>#VALUE!</v>
      </c>
      <c r="G6252" s="69"/>
    </row>
    <row r="6253" ht="22.5" customHeight="1">
      <c r="A6253" s="66"/>
      <c r="B6253" s="67" t="str">
        <f t="shared" si="16"/>
        <v>M: </v>
      </c>
      <c r="C6253" s="68"/>
      <c r="D6253" s="68">
        <v>46375.0</v>
      </c>
      <c r="E6253" s="66">
        <v>1.0</v>
      </c>
      <c r="F6253" s="66" t="str">
        <f>IFERROR(__xludf.DUMMYFUNCTION("GOOGLETRANSLATE(A6253,""en"",""pt"")"),"#VALUE!")</f>
        <v>#VALUE!</v>
      </c>
      <c r="G6253" s="69"/>
    </row>
    <row r="6254" ht="22.5" customHeight="1">
      <c r="A6254" s="66"/>
      <c r="B6254" s="67" t="str">
        <f t="shared" si="16"/>
        <v>M: </v>
      </c>
      <c r="C6254" s="68"/>
      <c r="D6254" s="68">
        <v>46375.0</v>
      </c>
      <c r="E6254" s="66">
        <v>2.0</v>
      </c>
      <c r="F6254" s="66" t="str">
        <f>IFERROR(__xludf.DUMMYFUNCTION("GOOGLETRANSLATE(A6254,""en"",""pt"")"),"#VALUE!")</f>
        <v>#VALUE!</v>
      </c>
      <c r="G6254" s="69"/>
    </row>
    <row r="6255" ht="22.5" customHeight="1">
      <c r="A6255" s="66"/>
      <c r="B6255" s="67" t="str">
        <f t="shared" si="16"/>
        <v>M: </v>
      </c>
      <c r="C6255" s="68"/>
      <c r="D6255" s="68">
        <v>46375.0</v>
      </c>
      <c r="E6255" s="66">
        <v>3.0</v>
      </c>
      <c r="F6255" s="66" t="str">
        <f>IFERROR(__xludf.DUMMYFUNCTION("GOOGLETRANSLATE(A6255,""en"",""pt"")"),"#VALUE!")</f>
        <v>#VALUE!</v>
      </c>
      <c r="G6255" s="69"/>
    </row>
    <row r="6256" ht="22.5" customHeight="1">
      <c r="A6256" s="66"/>
      <c r="B6256" s="67" t="str">
        <f t="shared" si="16"/>
        <v>M: </v>
      </c>
      <c r="C6256" s="68"/>
      <c r="D6256" s="68">
        <v>46375.0</v>
      </c>
      <c r="E6256" s="66">
        <v>4.0</v>
      </c>
      <c r="F6256" s="66" t="str">
        <f>IFERROR(__xludf.DUMMYFUNCTION("GOOGLETRANSLATE(A6256,""en"",""pt"")"),"#VALUE!")</f>
        <v>#VALUE!</v>
      </c>
      <c r="G6256" s="69"/>
    </row>
    <row r="6257" ht="22.5" customHeight="1">
      <c r="A6257" s="66"/>
      <c r="B6257" s="67" t="str">
        <f t="shared" si="16"/>
        <v>M: </v>
      </c>
      <c r="C6257" s="68"/>
      <c r="D6257" s="68">
        <v>46375.0</v>
      </c>
      <c r="E6257" s="66">
        <v>5.0</v>
      </c>
      <c r="F6257" s="66" t="str">
        <f>IFERROR(__xludf.DUMMYFUNCTION("GOOGLETRANSLATE(A6257,""en"",""pt"")"),"#VALUE!")</f>
        <v>#VALUE!</v>
      </c>
      <c r="G6257" s="69"/>
    </row>
    <row r="6258" ht="22.5" customHeight="1">
      <c r="A6258" s="66"/>
      <c r="B6258" s="67" t="str">
        <f t="shared" si="16"/>
        <v>M: </v>
      </c>
      <c r="C6258" s="68"/>
      <c r="D6258" s="68">
        <v>46375.0</v>
      </c>
      <c r="E6258" s="66">
        <v>6.0</v>
      </c>
      <c r="F6258" s="66" t="str">
        <f>IFERROR(__xludf.DUMMYFUNCTION("GOOGLETRANSLATE(A6258,""en"",""pt"")"),"#VALUE!")</f>
        <v>#VALUE!</v>
      </c>
      <c r="G6258" s="69"/>
    </row>
    <row r="6259" ht="22.5" customHeight="1">
      <c r="A6259" s="66"/>
      <c r="B6259" s="67" t="str">
        <f t="shared" si="16"/>
        <v>M: </v>
      </c>
      <c r="C6259" s="68"/>
      <c r="D6259" s="68">
        <v>46375.0</v>
      </c>
      <c r="E6259" s="66">
        <v>7.0</v>
      </c>
      <c r="F6259" s="66" t="str">
        <f>IFERROR(__xludf.DUMMYFUNCTION("GOOGLETRANSLATE(A6259,""en"",""pt"")"),"#VALUE!")</f>
        <v>#VALUE!</v>
      </c>
      <c r="G6259" s="69"/>
    </row>
    <row r="6260" ht="22.5" customHeight="1">
      <c r="A6260" s="66"/>
      <c r="B6260" s="67" t="str">
        <f t="shared" si="16"/>
        <v>M: </v>
      </c>
      <c r="C6260" s="68"/>
      <c r="D6260" s="68">
        <v>46375.0</v>
      </c>
      <c r="E6260" s="66">
        <v>8.0</v>
      </c>
      <c r="F6260" s="66" t="str">
        <f>IFERROR(__xludf.DUMMYFUNCTION("GOOGLETRANSLATE(A6260,""en"",""pt"")"),"#VALUE!")</f>
        <v>#VALUE!</v>
      </c>
      <c r="G6260" s="69"/>
    </row>
    <row r="6261" ht="22.5" customHeight="1">
      <c r="A6261" s="66"/>
      <c r="B6261" s="67" t="str">
        <f t="shared" si="16"/>
        <v>M: </v>
      </c>
      <c r="C6261" s="68"/>
      <c r="D6261" s="68">
        <v>46375.0</v>
      </c>
      <c r="E6261" s="66">
        <v>9.0</v>
      </c>
      <c r="F6261" s="66" t="str">
        <f>IFERROR(__xludf.DUMMYFUNCTION("GOOGLETRANSLATE(A6261,""en"",""pt"")"),"#VALUE!")</f>
        <v>#VALUE!</v>
      </c>
      <c r="G6261" s="69"/>
    </row>
    <row r="6262" ht="22.5" customHeight="1">
      <c r="A6262" s="66"/>
      <c r="B6262" s="67" t="str">
        <f t="shared" si="16"/>
        <v>M: </v>
      </c>
      <c r="C6262" s="68"/>
      <c r="D6262" s="68">
        <v>46376.0</v>
      </c>
      <c r="E6262" s="66">
        <v>10.0</v>
      </c>
      <c r="F6262" s="66" t="str">
        <f>IFERROR(__xludf.DUMMYFUNCTION("GOOGLETRANSLATE(A6262,""en"",""pt"")"),"#VALUE!")</f>
        <v>#VALUE!</v>
      </c>
      <c r="G6262" s="69"/>
    </row>
    <row r="6263" ht="22.5" customHeight="1">
      <c r="A6263" s="66"/>
      <c r="B6263" s="67" t="str">
        <f t="shared" si="16"/>
        <v>M: </v>
      </c>
      <c r="C6263" s="68"/>
      <c r="D6263" s="68">
        <v>46376.0</v>
      </c>
      <c r="E6263" s="66">
        <v>1.0</v>
      </c>
      <c r="F6263" s="66" t="str">
        <f>IFERROR(__xludf.DUMMYFUNCTION("GOOGLETRANSLATE(A6263,""en"",""pt"")"),"#VALUE!")</f>
        <v>#VALUE!</v>
      </c>
      <c r="G6263" s="69"/>
    </row>
    <row r="6264" ht="22.5" customHeight="1">
      <c r="A6264" s="66"/>
      <c r="B6264" s="67" t="str">
        <f t="shared" si="16"/>
        <v>M: </v>
      </c>
      <c r="C6264" s="68"/>
      <c r="D6264" s="68">
        <v>46376.0</v>
      </c>
      <c r="E6264" s="66">
        <v>2.0</v>
      </c>
      <c r="F6264" s="66" t="str">
        <f>IFERROR(__xludf.DUMMYFUNCTION("GOOGLETRANSLATE(A6264,""en"",""pt"")"),"#VALUE!")</f>
        <v>#VALUE!</v>
      </c>
      <c r="G6264" s="69"/>
    </row>
    <row r="6265" ht="22.5" customHeight="1">
      <c r="A6265" s="66"/>
      <c r="B6265" s="67" t="str">
        <f t="shared" si="16"/>
        <v>M: </v>
      </c>
      <c r="C6265" s="68"/>
      <c r="D6265" s="68">
        <v>46376.0</v>
      </c>
      <c r="E6265" s="66">
        <v>3.0</v>
      </c>
      <c r="F6265" s="66" t="str">
        <f>IFERROR(__xludf.DUMMYFUNCTION("GOOGLETRANSLATE(A6265,""en"",""pt"")"),"#VALUE!")</f>
        <v>#VALUE!</v>
      </c>
      <c r="G6265" s="69"/>
    </row>
    <row r="6266" ht="22.5" customHeight="1">
      <c r="A6266" s="66"/>
      <c r="B6266" s="67" t="str">
        <f t="shared" si="16"/>
        <v>M: </v>
      </c>
      <c r="C6266" s="68"/>
      <c r="D6266" s="68">
        <v>46376.0</v>
      </c>
      <c r="E6266" s="66">
        <v>4.0</v>
      </c>
      <c r="F6266" s="66" t="str">
        <f>IFERROR(__xludf.DUMMYFUNCTION("GOOGLETRANSLATE(A6266,""en"",""pt"")"),"#VALUE!")</f>
        <v>#VALUE!</v>
      </c>
      <c r="G6266" s="69"/>
    </row>
    <row r="6267" ht="22.5" customHeight="1">
      <c r="A6267" s="66"/>
      <c r="B6267" s="67" t="str">
        <f t="shared" si="16"/>
        <v>M: </v>
      </c>
      <c r="C6267" s="68"/>
      <c r="D6267" s="68">
        <v>46376.0</v>
      </c>
      <c r="E6267" s="66">
        <v>5.0</v>
      </c>
      <c r="F6267" s="66" t="str">
        <f>IFERROR(__xludf.DUMMYFUNCTION("GOOGLETRANSLATE(A6267,""en"",""pt"")"),"#VALUE!")</f>
        <v>#VALUE!</v>
      </c>
      <c r="G6267" s="69"/>
    </row>
    <row r="6268" ht="22.5" customHeight="1">
      <c r="A6268" s="66"/>
      <c r="B6268" s="67" t="str">
        <f t="shared" si="16"/>
        <v>M: </v>
      </c>
      <c r="C6268" s="68"/>
      <c r="D6268" s="68">
        <v>46376.0</v>
      </c>
      <c r="E6268" s="66">
        <v>6.0</v>
      </c>
      <c r="F6268" s="66" t="str">
        <f>IFERROR(__xludf.DUMMYFUNCTION("GOOGLETRANSLATE(A6268,""en"",""pt"")"),"#VALUE!")</f>
        <v>#VALUE!</v>
      </c>
      <c r="G6268" s="69"/>
    </row>
    <row r="6269" ht="22.5" customHeight="1">
      <c r="A6269" s="66"/>
      <c r="B6269" s="67" t="str">
        <f t="shared" si="16"/>
        <v>M: </v>
      </c>
      <c r="C6269" s="68"/>
      <c r="D6269" s="68">
        <v>46376.0</v>
      </c>
      <c r="E6269" s="66">
        <v>7.0</v>
      </c>
      <c r="F6269" s="66" t="str">
        <f>IFERROR(__xludf.DUMMYFUNCTION("GOOGLETRANSLATE(A6269,""en"",""pt"")"),"#VALUE!")</f>
        <v>#VALUE!</v>
      </c>
      <c r="G6269" s="69"/>
    </row>
    <row r="6270" ht="22.5" customHeight="1">
      <c r="A6270" s="66"/>
      <c r="B6270" s="67" t="str">
        <f t="shared" si="16"/>
        <v>M: </v>
      </c>
      <c r="C6270" s="68"/>
      <c r="D6270" s="68">
        <v>46376.0</v>
      </c>
      <c r="E6270" s="66">
        <v>8.0</v>
      </c>
      <c r="F6270" s="66" t="str">
        <f>IFERROR(__xludf.DUMMYFUNCTION("GOOGLETRANSLATE(A6270,""en"",""pt"")"),"#VALUE!")</f>
        <v>#VALUE!</v>
      </c>
      <c r="G6270" s="69"/>
    </row>
    <row r="6271" ht="22.5" customHeight="1">
      <c r="A6271" s="66"/>
      <c r="B6271" s="67" t="str">
        <f t="shared" si="16"/>
        <v>M: </v>
      </c>
      <c r="C6271" s="68"/>
      <c r="D6271" s="68">
        <v>46376.0</v>
      </c>
      <c r="E6271" s="66">
        <v>9.0</v>
      </c>
      <c r="F6271" s="66" t="str">
        <f>IFERROR(__xludf.DUMMYFUNCTION("GOOGLETRANSLATE(A6271,""en"",""pt"")"),"#VALUE!")</f>
        <v>#VALUE!</v>
      </c>
      <c r="G6271" s="69"/>
    </row>
    <row r="6272" ht="22.5" customHeight="1">
      <c r="A6272" s="66"/>
      <c r="B6272" s="67" t="str">
        <f t="shared" si="16"/>
        <v>M: </v>
      </c>
      <c r="C6272" s="68"/>
      <c r="D6272" s="68">
        <v>46377.0</v>
      </c>
      <c r="E6272" s="66">
        <v>10.0</v>
      </c>
      <c r="F6272" s="66" t="str">
        <f>IFERROR(__xludf.DUMMYFUNCTION("GOOGLETRANSLATE(A6272,""en"",""pt"")"),"#VALUE!")</f>
        <v>#VALUE!</v>
      </c>
      <c r="G6272" s="69"/>
    </row>
    <row r="6273" ht="22.5" customHeight="1">
      <c r="A6273" s="66"/>
      <c r="B6273" s="67" t="str">
        <f t="shared" si="16"/>
        <v>M: </v>
      </c>
      <c r="C6273" s="68"/>
      <c r="D6273" s="68">
        <v>46377.0</v>
      </c>
      <c r="E6273" s="66">
        <v>1.0</v>
      </c>
      <c r="F6273" s="66" t="str">
        <f>IFERROR(__xludf.DUMMYFUNCTION("GOOGLETRANSLATE(A6273,""en"",""pt"")"),"#VALUE!")</f>
        <v>#VALUE!</v>
      </c>
      <c r="G6273" s="69"/>
    </row>
    <row r="6274" ht="22.5" customHeight="1">
      <c r="A6274" s="66"/>
      <c r="B6274" s="67" t="str">
        <f t="shared" si="16"/>
        <v>M: </v>
      </c>
      <c r="C6274" s="68"/>
      <c r="D6274" s="68">
        <v>46377.0</v>
      </c>
      <c r="E6274" s="66">
        <v>2.0</v>
      </c>
      <c r="F6274" s="66" t="str">
        <f>IFERROR(__xludf.DUMMYFUNCTION("GOOGLETRANSLATE(A6274,""en"",""pt"")"),"#VALUE!")</f>
        <v>#VALUE!</v>
      </c>
      <c r="G6274" s="69"/>
    </row>
    <row r="6275" ht="22.5" customHeight="1">
      <c r="A6275" s="66"/>
      <c r="B6275" s="67" t="str">
        <f t="shared" si="16"/>
        <v>M: </v>
      </c>
      <c r="C6275" s="68"/>
      <c r="D6275" s="68">
        <v>46377.0</v>
      </c>
      <c r="E6275" s="66">
        <v>3.0</v>
      </c>
      <c r="F6275" s="66" t="str">
        <f>IFERROR(__xludf.DUMMYFUNCTION("GOOGLETRANSLATE(A6275,""en"",""pt"")"),"#VALUE!")</f>
        <v>#VALUE!</v>
      </c>
      <c r="G6275" s="69"/>
    </row>
    <row r="6276" ht="22.5" customHeight="1">
      <c r="A6276" s="66"/>
      <c r="B6276" s="67" t="str">
        <f t="shared" si="16"/>
        <v>M: </v>
      </c>
      <c r="C6276" s="68"/>
      <c r="D6276" s="68">
        <v>46377.0</v>
      </c>
      <c r="E6276" s="66">
        <v>4.0</v>
      </c>
      <c r="F6276" s="66" t="str">
        <f>IFERROR(__xludf.DUMMYFUNCTION("GOOGLETRANSLATE(A6276,""en"",""pt"")"),"#VALUE!")</f>
        <v>#VALUE!</v>
      </c>
      <c r="G6276" s="69"/>
    </row>
    <row r="6277" ht="22.5" customHeight="1">
      <c r="A6277" s="66"/>
      <c r="B6277" s="67" t="str">
        <f t="shared" si="16"/>
        <v>M: </v>
      </c>
      <c r="C6277" s="68"/>
      <c r="D6277" s="68">
        <v>46377.0</v>
      </c>
      <c r="E6277" s="66">
        <v>5.0</v>
      </c>
      <c r="F6277" s="66" t="str">
        <f>IFERROR(__xludf.DUMMYFUNCTION("GOOGLETRANSLATE(A6277,""en"",""pt"")"),"#VALUE!")</f>
        <v>#VALUE!</v>
      </c>
      <c r="G6277" s="69"/>
    </row>
    <row r="6278" ht="22.5" customHeight="1">
      <c r="A6278" s="66"/>
      <c r="B6278" s="67" t="str">
        <f t="shared" si="16"/>
        <v>M: </v>
      </c>
      <c r="C6278" s="68"/>
      <c r="D6278" s="68">
        <v>46377.0</v>
      </c>
      <c r="E6278" s="66">
        <v>6.0</v>
      </c>
      <c r="F6278" s="66" t="str">
        <f>IFERROR(__xludf.DUMMYFUNCTION("GOOGLETRANSLATE(A6278,""en"",""pt"")"),"#VALUE!")</f>
        <v>#VALUE!</v>
      </c>
      <c r="G6278" s="69"/>
    </row>
    <row r="6279" ht="22.5" customHeight="1">
      <c r="A6279" s="66"/>
      <c r="B6279" s="67" t="str">
        <f t="shared" si="16"/>
        <v>M: </v>
      </c>
      <c r="C6279" s="68"/>
      <c r="D6279" s="68">
        <v>46377.0</v>
      </c>
      <c r="E6279" s="66">
        <v>7.0</v>
      </c>
      <c r="F6279" s="66" t="str">
        <f>IFERROR(__xludf.DUMMYFUNCTION("GOOGLETRANSLATE(A6279,""en"",""pt"")"),"#VALUE!")</f>
        <v>#VALUE!</v>
      </c>
      <c r="G6279" s="69"/>
    </row>
    <row r="6280" ht="22.5" customHeight="1">
      <c r="A6280" s="66"/>
      <c r="B6280" s="67" t="str">
        <f t="shared" si="16"/>
        <v>M: </v>
      </c>
      <c r="C6280" s="68"/>
      <c r="D6280" s="68">
        <v>46377.0</v>
      </c>
      <c r="E6280" s="66">
        <v>8.0</v>
      </c>
      <c r="F6280" s="66" t="str">
        <f>IFERROR(__xludf.DUMMYFUNCTION("GOOGLETRANSLATE(A6280,""en"",""pt"")"),"#VALUE!")</f>
        <v>#VALUE!</v>
      </c>
      <c r="G6280" s="69"/>
    </row>
    <row r="6281" ht="22.5" customHeight="1">
      <c r="A6281" s="66"/>
      <c r="B6281" s="67" t="str">
        <f t="shared" si="16"/>
        <v>M: </v>
      </c>
      <c r="C6281" s="68"/>
      <c r="D6281" s="68">
        <v>46377.0</v>
      </c>
      <c r="E6281" s="66">
        <v>9.0</v>
      </c>
      <c r="F6281" s="66" t="str">
        <f>IFERROR(__xludf.DUMMYFUNCTION("GOOGLETRANSLATE(A6281,""en"",""pt"")"),"#VALUE!")</f>
        <v>#VALUE!</v>
      </c>
      <c r="G6281" s="69"/>
    </row>
    <row r="6282" ht="22.5" customHeight="1">
      <c r="A6282" s="66"/>
      <c r="B6282" s="67" t="str">
        <f t="shared" si="16"/>
        <v>M: </v>
      </c>
      <c r="C6282" s="68"/>
      <c r="D6282" s="68">
        <v>46378.0</v>
      </c>
      <c r="E6282" s="66">
        <v>10.0</v>
      </c>
      <c r="F6282" s="66" t="str">
        <f>IFERROR(__xludf.DUMMYFUNCTION("GOOGLETRANSLATE(A6282,""en"",""pt"")"),"#VALUE!")</f>
        <v>#VALUE!</v>
      </c>
      <c r="G6282" s="69"/>
    </row>
    <row r="6283" ht="22.5" customHeight="1">
      <c r="A6283" s="66"/>
      <c r="B6283" s="67" t="str">
        <f t="shared" si="16"/>
        <v>M: </v>
      </c>
      <c r="C6283" s="68"/>
      <c r="D6283" s="68">
        <v>46378.0</v>
      </c>
      <c r="E6283" s="66">
        <v>1.0</v>
      </c>
      <c r="F6283" s="66" t="str">
        <f>IFERROR(__xludf.DUMMYFUNCTION("GOOGLETRANSLATE(A6283,""en"",""pt"")"),"#VALUE!")</f>
        <v>#VALUE!</v>
      </c>
      <c r="G6283" s="69"/>
    </row>
    <row r="6284" ht="22.5" customHeight="1">
      <c r="A6284" s="66"/>
      <c r="B6284" s="67" t="str">
        <f t="shared" si="16"/>
        <v>M: </v>
      </c>
      <c r="C6284" s="68"/>
      <c r="D6284" s="68">
        <v>46378.0</v>
      </c>
      <c r="E6284" s="66">
        <v>2.0</v>
      </c>
      <c r="F6284" s="66" t="str">
        <f>IFERROR(__xludf.DUMMYFUNCTION("GOOGLETRANSLATE(A6284,""en"",""pt"")"),"#VALUE!")</f>
        <v>#VALUE!</v>
      </c>
      <c r="G6284" s="69"/>
    </row>
    <row r="6285" ht="22.5" customHeight="1">
      <c r="A6285" s="66"/>
      <c r="B6285" s="67" t="str">
        <f t="shared" si="16"/>
        <v>M: </v>
      </c>
      <c r="C6285" s="68"/>
      <c r="D6285" s="68">
        <v>46378.0</v>
      </c>
      <c r="E6285" s="66">
        <v>3.0</v>
      </c>
      <c r="F6285" s="66" t="str">
        <f>IFERROR(__xludf.DUMMYFUNCTION("GOOGLETRANSLATE(A6285,""en"",""pt"")"),"#VALUE!")</f>
        <v>#VALUE!</v>
      </c>
      <c r="G6285" s="69"/>
    </row>
    <row r="6286" ht="22.5" customHeight="1">
      <c r="A6286" s="66"/>
      <c r="B6286" s="67" t="str">
        <f t="shared" si="16"/>
        <v>M: </v>
      </c>
      <c r="C6286" s="68"/>
      <c r="D6286" s="68">
        <v>46378.0</v>
      </c>
      <c r="E6286" s="66">
        <v>4.0</v>
      </c>
      <c r="F6286" s="66" t="str">
        <f>IFERROR(__xludf.DUMMYFUNCTION("GOOGLETRANSLATE(A6286,""en"",""pt"")"),"#VALUE!")</f>
        <v>#VALUE!</v>
      </c>
      <c r="G6286" s="69"/>
    </row>
    <row r="6287" ht="22.5" customHeight="1">
      <c r="A6287" s="66"/>
      <c r="B6287" s="67" t="str">
        <f t="shared" si="16"/>
        <v>M: </v>
      </c>
      <c r="C6287" s="68"/>
      <c r="D6287" s="68">
        <v>46378.0</v>
      </c>
      <c r="E6287" s="66">
        <v>5.0</v>
      </c>
      <c r="F6287" s="66" t="str">
        <f>IFERROR(__xludf.DUMMYFUNCTION("GOOGLETRANSLATE(A6287,""en"",""pt"")"),"#VALUE!")</f>
        <v>#VALUE!</v>
      </c>
      <c r="G6287" s="69"/>
    </row>
    <row r="6288" ht="22.5" customHeight="1">
      <c r="A6288" s="66"/>
      <c r="B6288" s="67" t="str">
        <f t="shared" si="16"/>
        <v>M: </v>
      </c>
      <c r="C6288" s="68"/>
      <c r="D6288" s="68">
        <v>46378.0</v>
      </c>
      <c r="E6288" s="66">
        <v>6.0</v>
      </c>
      <c r="F6288" s="66" t="str">
        <f>IFERROR(__xludf.DUMMYFUNCTION("GOOGLETRANSLATE(A6288,""en"",""pt"")"),"#VALUE!")</f>
        <v>#VALUE!</v>
      </c>
      <c r="G6288" s="69"/>
    </row>
    <row r="6289" ht="22.5" customHeight="1">
      <c r="A6289" s="66"/>
      <c r="B6289" s="67" t="str">
        <f t="shared" si="16"/>
        <v>M: </v>
      </c>
      <c r="C6289" s="68"/>
      <c r="D6289" s="68">
        <v>46378.0</v>
      </c>
      <c r="E6289" s="66">
        <v>7.0</v>
      </c>
      <c r="F6289" s="66" t="str">
        <f>IFERROR(__xludf.DUMMYFUNCTION("GOOGLETRANSLATE(A6289,""en"",""pt"")"),"#VALUE!")</f>
        <v>#VALUE!</v>
      </c>
      <c r="G6289" s="69"/>
    </row>
    <row r="6290" ht="22.5" customHeight="1">
      <c r="A6290" s="66"/>
      <c r="B6290" s="67" t="str">
        <f t="shared" si="16"/>
        <v>M: </v>
      </c>
      <c r="C6290" s="68"/>
      <c r="D6290" s="68">
        <v>46378.0</v>
      </c>
      <c r="E6290" s="66">
        <v>8.0</v>
      </c>
      <c r="F6290" s="66" t="str">
        <f>IFERROR(__xludf.DUMMYFUNCTION("GOOGLETRANSLATE(A6290,""en"",""pt"")"),"#VALUE!")</f>
        <v>#VALUE!</v>
      </c>
      <c r="G6290" s="69"/>
    </row>
    <row r="6291" ht="22.5" customHeight="1">
      <c r="A6291" s="66"/>
      <c r="B6291" s="67" t="str">
        <f t="shared" si="16"/>
        <v>M: </v>
      </c>
      <c r="C6291" s="68"/>
      <c r="D6291" s="68">
        <v>46378.0</v>
      </c>
      <c r="E6291" s="66">
        <v>9.0</v>
      </c>
      <c r="F6291" s="66" t="str">
        <f>IFERROR(__xludf.DUMMYFUNCTION("GOOGLETRANSLATE(A6291,""en"",""pt"")"),"#VALUE!")</f>
        <v>#VALUE!</v>
      </c>
      <c r="G6291" s="69"/>
    </row>
    <row r="6292" ht="22.5" customHeight="1">
      <c r="A6292" s="66"/>
      <c r="B6292" s="67" t="str">
        <f t="shared" si="16"/>
        <v>M: </v>
      </c>
      <c r="C6292" s="68"/>
      <c r="D6292" s="68">
        <v>46379.0</v>
      </c>
      <c r="E6292" s="66">
        <v>10.0</v>
      </c>
      <c r="F6292" s="66" t="str">
        <f>IFERROR(__xludf.DUMMYFUNCTION("GOOGLETRANSLATE(A6292,""en"",""pt"")"),"#VALUE!")</f>
        <v>#VALUE!</v>
      </c>
      <c r="G6292" s="69"/>
    </row>
    <row r="6293" ht="22.5" customHeight="1">
      <c r="A6293" s="66"/>
      <c r="B6293" s="67" t="str">
        <f t="shared" si="16"/>
        <v>M: </v>
      </c>
      <c r="C6293" s="68"/>
      <c r="D6293" s="68">
        <v>46379.0</v>
      </c>
      <c r="E6293" s="66">
        <v>1.0</v>
      </c>
      <c r="F6293" s="66" t="str">
        <f>IFERROR(__xludf.DUMMYFUNCTION("GOOGLETRANSLATE(A6293,""en"",""pt"")"),"#VALUE!")</f>
        <v>#VALUE!</v>
      </c>
      <c r="G6293" s="69"/>
    </row>
    <row r="6294" ht="22.5" customHeight="1">
      <c r="A6294" s="66"/>
      <c r="B6294" s="67" t="str">
        <f t="shared" si="16"/>
        <v>M: </v>
      </c>
      <c r="C6294" s="68"/>
      <c r="D6294" s="68">
        <v>46379.0</v>
      </c>
      <c r="E6294" s="66">
        <v>2.0</v>
      </c>
      <c r="F6294" s="66" t="str">
        <f>IFERROR(__xludf.DUMMYFUNCTION("GOOGLETRANSLATE(A6294,""en"",""pt"")"),"#VALUE!")</f>
        <v>#VALUE!</v>
      </c>
      <c r="G6294" s="69"/>
    </row>
    <row r="6295" ht="22.5" customHeight="1">
      <c r="A6295" s="66"/>
      <c r="B6295" s="67" t="str">
        <f t="shared" si="16"/>
        <v>M: </v>
      </c>
      <c r="C6295" s="68"/>
      <c r="D6295" s="68">
        <v>46379.0</v>
      </c>
      <c r="E6295" s="66">
        <v>3.0</v>
      </c>
      <c r="F6295" s="66" t="str">
        <f>IFERROR(__xludf.DUMMYFUNCTION("GOOGLETRANSLATE(A6295,""en"",""pt"")"),"#VALUE!")</f>
        <v>#VALUE!</v>
      </c>
      <c r="G6295" s="69"/>
    </row>
    <row r="6296" ht="22.5" customHeight="1">
      <c r="A6296" s="66"/>
      <c r="B6296" s="67" t="str">
        <f t="shared" si="16"/>
        <v>M: </v>
      </c>
      <c r="C6296" s="68"/>
      <c r="D6296" s="68">
        <v>46379.0</v>
      </c>
      <c r="E6296" s="66">
        <v>4.0</v>
      </c>
      <c r="F6296" s="66" t="str">
        <f>IFERROR(__xludf.DUMMYFUNCTION("GOOGLETRANSLATE(A6296,""en"",""pt"")"),"#VALUE!")</f>
        <v>#VALUE!</v>
      </c>
      <c r="G6296" s="69"/>
    </row>
    <row r="6297" ht="22.5" customHeight="1">
      <c r="A6297" s="66"/>
      <c r="B6297" s="67" t="str">
        <f t="shared" si="16"/>
        <v>M: </v>
      </c>
      <c r="C6297" s="68"/>
      <c r="D6297" s="68">
        <v>46379.0</v>
      </c>
      <c r="E6297" s="66">
        <v>5.0</v>
      </c>
      <c r="F6297" s="66" t="str">
        <f>IFERROR(__xludf.DUMMYFUNCTION("GOOGLETRANSLATE(A6297,""en"",""pt"")"),"#VALUE!")</f>
        <v>#VALUE!</v>
      </c>
      <c r="G6297" s="69"/>
    </row>
    <row r="6298" ht="22.5" customHeight="1">
      <c r="A6298" s="66"/>
      <c r="B6298" s="67" t="str">
        <f t="shared" si="16"/>
        <v>M: </v>
      </c>
      <c r="C6298" s="68"/>
      <c r="D6298" s="68">
        <v>46379.0</v>
      </c>
      <c r="E6298" s="66">
        <v>6.0</v>
      </c>
      <c r="F6298" s="66" t="str">
        <f>IFERROR(__xludf.DUMMYFUNCTION("GOOGLETRANSLATE(A6298,""en"",""pt"")"),"#VALUE!")</f>
        <v>#VALUE!</v>
      </c>
      <c r="G6298" s="69"/>
    </row>
    <row r="6299" ht="22.5" customHeight="1">
      <c r="A6299" s="66"/>
      <c r="B6299" s="67" t="str">
        <f t="shared" si="16"/>
        <v>M: </v>
      </c>
      <c r="C6299" s="68"/>
      <c r="D6299" s="68">
        <v>46379.0</v>
      </c>
      <c r="E6299" s="66">
        <v>7.0</v>
      </c>
      <c r="F6299" s="66" t="str">
        <f>IFERROR(__xludf.DUMMYFUNCTION("GOOGLETRANSLATE(A6299,""en"",""pt"")"),"#VALUE!")</f>
        <v>#VALUE!</v>
      </c>
      <c r="G6299" s="69"/>
    </row>
    <row r="6300" ht="22.5" customHeight="1">
      <c r="A6300" s="66"/>
      <c r="B6300" s="67" t="str">
        <f t="shared" si="16"/>
        <v>M: </v>
      </c>
      <c r="C6300" s="68"/>
      <c r="D6300" s="68">
        <v>46379.0</v>
      </c>
      <c r="E6300" s="66">
        <v>8.0</v>
      </c>
      <c r="F6300" s="66" t="str">
        <f>IFERROR(__xludf.DUMMYFUNCTION("GOOGLETRANSLATE(A6300,""en"",""pt"")"),"#VALUE!")</f>
        <v>#VALUE!</v>
      </c>
      <c r="G6300" s="69"/>
    </row>
    <row r="6301" ht="22.5" customHeight="1">
      <c r="A6301" s="66"/>
      <c r="B6301" s="67" t="str">
        <f t="shared" si="16"/>
        <v>M: </v>
      </c>
      <c r="C6301" s="68"/>
      <c r="D6301" s="68">
        <v>46379.0</v>
      </c>
      <c r="E6301" s="66">
        <v>9.0</v>
      </c>
      <c r="F6301" s="66" t="str">
        <f>IFERROR(__xludf.DUMMYFUNCTION("GOOGLETRANSLATE(A6301,""en"",""pt"")"),"#VALUE!")</f>
        <v>#VALUE!</v>
      </c>
      <c r="G6301" s="69"/>
    </row>
    <row r="6302" ht="22.5" customHeight="1">
      <c r="A6302" s="66"/>
      <c r="B6302" s="67" t="str">
        <f t="shared" si="16"/>
        <v>M: </v>
      </c>
      <c r="C6302" s="68"/>
      <c r="D6302" s="68">
        <v>46380.0</v>
      </c>
      <c r="E6302" s="66">
        <v>10.0</v>
      </c>
      <c r="F6302" s="66" t="str">
        <f>IFERROR(__xludf.DUMMYFUNCTION("GOOGLETRANSLATE(A6302,""en"",""pt"")"),"#VALUE!")</f>
        <v>#VALUE!</v>
      </c>
      <c r="G6302" s="69"/>
    </row>
    <row r="6303" ht="22.5" customHeight="1">
      <c r="A6303" s="66"/>
      <c r="B6303" s="67" t="str">
        <f t="shared" si="16"/>
        <v>M: </v>
      </c>
      <c r="C6303" s="68"/>
      <c r="D6303" s="68">
        <v>46380.0</v>
      </c>
      <c r="E6303" s="66">
        <v>1.0</v>
      </c>
      <c r="F6303" s="66" t="str">
        <f>IFERROR(__xludf.DUMMYFUNCTION("GOOGLETRANSLATE(A6303,""en"",""pt"")"),"#VALUE!")</f>
        <v>#VALUE!</v>
      </c>
      <c r="G6303" s="69"/>
    </row>
    <row r="6304" ht="22.5" customHeight="1">
      <c r="A6304" s="66"/>
      <c r="B6304" s="67" t="str">
        <f t="shared" si="16"/>
        <v>M: </v>
      </c>
      <c r="C6304" s="68"/>
      <c r="D6304" s="68">
        <v>46380.0</v>
      </c>
      <c r="E6304" s="66">
        <v>2.0</v>
      </c>
      <c r="F6304" s="66" t="str">
        <f>IFERROR(__xludf.DUMMYFUNCTION("GOOGLETRANSLATE(A6304,""en"",""pt"")"),"#VALUE!")</f>
        <v>#VALUE!</v>
      </c>
      <c r="G6304" s="69"/>
    </row>
    <row r="6305" ht="22.5" customHeight="1">
      <c r="A6305" s="66"/>
      <c r="B6305" s="67" t="str">
        <f t="shared" si="16"/>
        <v>M: </v>
      </c>
      <c r="C6305" s="68"/>
      <c r="D6305" s="68">
        <v>46380.0</v>
      </c>
      <c r="E6305" s="66">
        <v>3.0</v>
      </c>
      <c r="F6305" s="66" t="str">
        <f>IFERROR(__xludf.DUMMYFUNCTION("GOOGLETRANSLATE(A6305,""en"",""pt"")"),"#VALUE!")</f>
        <v>#VALUE!</v>
      </c>
      <c r="G6305" s="69"/>
    </row>
    <row r="6306" ht="22.5" customHeight="1">
      <c r="A6306" s="66"/>
      <c r="B6306" s="67" t="str">
        <f t="shared" si="16"/>
        <v>M: </v>
      </c>
      <c r="C6306" s="68"/>
      <c r="D6306" s="68">
        <v>46380.0</v>
      </c>
      <c r="E6306" s="66">
        <v>4.0</v>
      </c>
      <c r="F6306" s="66" t="str">
        <f>IFERROR(__xludf.DUMMYFUNCTION("GOOGLETRANSLATE(A6306,""en"",""pt"")"),"#VALUE!")</f>
        <v>#VALUE!</v>
      </c>
      <c r="G6306" s="69"/>
    </row>
    <row r="6307" ht="22.5" customHeight="1">
      <c r="A6307" s="66"/>
      <c r="B6307" s="67" t="str">
        <f t="shared" si="16"/>
        <v>M: </v>
      </c>
      <c r="C6307" s="68"/>
      <c r="D6307" s="68">
        <v>46380.0</v>
      </c>
      <c r="E6307" s="66">
        <v>5.0</v>
      </c>
      <c r="F6307" s="66" t="str">
        <f>IFERROR(__xludf.DUMMYFUNCTION("GOOGLETRANSLATE(A6307,""en"",""pt"")"),"#VALUE!")</f>
        <v>#VALUE!</v>
      </c>
      <c r="G6307" s="69"/>
    </row>
    <row r="6308" ht="22.5" customHeight="1">
      <c r="A6308" s="66"/>
      <c r="B6308" s="67" t="str">
        <f t="shared" si="16"/>
        <v>M: </v>
      </c>
      <c r="C6308" s="68"/>
      <c r="D6308" s="68">
        <v>46380.0</v>
      </c>
      <c r="E6308" s="66">
        <v>6.0</v>
      </c>
      <c r="F6308" s="66" t="str">
        <f>IFERROR(__xludf.DUMMYFUNCTION("GOOGLETRANSLATE(A6308,""en"",""pt"")"),"#VALUE!")</f>
        <v>#VALUE!</v>
      </c>
      <c r="G6308" s="69"/>
    </row>
    <row r="6309" ht="22.5" customHeight="1">
      <c r="A6309" s="66"/>
      <c r="B6309" s="67" t="str">
        <f t="shared" si="16"/>
        <v>M: </v>
      </c>
      <c r="C6309" s="68"/>
      <c r="D6309" s="68">
        <v>46380.0</v>
      </c>
      <c r="E6309" s="66">
        <v>7.0</v>
      </c>
      <c r="F6309" s="66" t="str">
        <f>IFERROR(__xludf.DUMMYFUNCTION("GOOGLETRANSLATE(A6309,""en"",""pt"")"),"#VALUE!")</f>
        <v>#VALUE!</v>
      </c>
      <c r="G6309" s="69"/>
    </row>
    <row r="6310" ht="22.5" customHeight="1">
      <c r="A6310" s="66"/>
      <c r="B6310" s="67" t="str">
        <f t="shared" si="16"/>
        <v>M: </v>
      </c>
      <c r="C6310" s="68"/>
      <c r="D6310" s="68">
        <v>46380.0</v>
      </c>
      <c r="E6310" s="66">
        <v>8.0</v>
      </c>
      <c r="F6310" s="66" t="str">
        <f>IFERROR(__xludf.DUMMYFUNCTION("GOOGLETRANSLATE(A6310,""en"",""pt"")"),"#VALUE!")</f>
        <v>#VALUE!</v>
      </c>
      <c r="G6310" s="69"/>
    </row>
    <row r="6311" ht="22.5" customHeight="1">
      <c r="A6311" s="66"/>
      <c r="B6311" s="67" t="str">
        <f t="shared" si="16"/>
        <v>M: </v>
      </c>
      <c r="C6311" s="68"/>
      <c r="D6311" s="68">
        <v>46380.0</v>
      </c>
      <c r="E6311" s="66">
        <v>9.0</v>
      </c>
      <c r="F6311" s="66" t="str">
        <f>IFERROR(__xludf.DUMMYFUNCTION("GOOGLETRANSLATE(A6311,""en"",""pt"")"),"#VALUE!")</f>
        <v>#VALUE!</v>
      </c>
      <c r="G6311" s="69"/>
    </row>
    <row r="6312" ht="22.5" customHeight="1">
      <c r="A6312" s="66"/>
      <c r="B6312" s="67" t="str">
        <f t="shared" si="16"/>
        <v>M: </v>
      </c>
      <c r="C6312" s="68"/>
      <c r="D6312" s="68">
        <v>46381.0</v>
      </c>
      <c r="E6312" s="66">
        <v>10.0</v>
      </c>
      <c r="F6312" s="66" t="str">
        <f>IFERROR(__xludf.DUMMYFUNCTION("GOOGLETRANSLATE(A6312,""en"",""pt"")"),"#VALUE!")</f>
        <v>#VALUE!</v>
      </c>
      <c r="G6312" s="69"/>
    </row>
    <row r="6313" ht="22.5" customHeight="1">
      <c r="A6313" s="66"/>
      <c r="B6313" s="67" t="str">
        <f t="shared" si="16"/>
        <v>M: </v>
      </c>
      <c r="C6313" s="68"/>
      <c r="D6313" s="68">
        <v>46381.0</v>
      </c>
      <c r="E6313" s="66">
        <v>1.0</v>
      </c>
      <c r="F6313" s="66" t="str">
        <f>IFERROR(__xludf.DUMMYFUNCTION("GOOGLETRANSLATE(A6313,""en"",""pt"")"),"#VALUE!")</f>
        <v>#VALUE!</v>
      </c>
      <c r="G6313" s="69"/>
    </row>
    <row r="6314" ht="22.5" customHeight="1">
      <c r="A6314" s="66"/>
      <c r="B6314" s="67" t="str">
        <f t="shared" si="16"/>
        <v>M: </v>
      </c>
      <c r="C6314" s="68"/>
      <c r="D6314" s="68">
        <v>46381.0</v>
      </c>
      <c r="E6314" s="66">
        <v>2.0</v>
      </c>
      <c r="F6314" s="66" t="str">
        <f>IFERROR(__xludf.DUMMYFUNCTION("GOOGLETRANSLATE(A6314,""en"",""pt"")"),"#VALUE!")</f>
        <v>#VALUE!</v>
      </c>
      <c r="G6314" s="69"/>
    </row>
    <row r="6315" ht="22.5" customHeight="1">
      <c r="A6315" s="66"/>
      <c r="B6315" s="67" t="str">
        <f t="shared" si="16"/>
        <v>M: </v>
      </c>
      <c r="C6315" s="68"/>
      <c r="D6315" s="68">
        <v>46381.0</v>
      </c>
      <c r="E6315" s="66">
        <v>3.0</v>
      </c>
      <c r="F6315" s="66" t="str">
        <f>IFERROR(__xludf.DUMMYFUNCTION("GOOGLETRANSLATE(A6315,""en"",""pt"")"),"#VALUE!")</f>
        <v>#VALUE!</v>
      </c>
      <c r="G6315" s="69"/>
    </row>
    <row r="6316" ht="22.5" customHeight="1">
      <c r="A6316" s="66"/>
      <c r="B6316" s="67" t="str">
        <f t="shared" si="16"/>
        <v>M: </v>
      </c>
      <c r="C6316" s="68"/>
      <c r="D6316" s="68">
        <v>46381.0</v>
      </c>
      <c r="E6316" s="66">
        <v>4.0</v>
      </c>
      <c r="F6316" s="66" t="str">
        <f>IFERROR(__xludf.DUMMYFUNCTION("GOOGLETRANSLATE(A6316,""en"",""pt"")"),"#VALUE!")</f>
        <v>#VALUE!</v>
      </c>
      <c r="G6316" s="69"/>
    </row>
    <row r="6317" ht="22.5" customHeight="1">
      <c r="A6317" s="66"/>
      <c r="B6317" s="67" t="str">
        <f t="shared" si="16"/>
        <v>M: </v>
      </c>
      <c r="C6317" s="68"/>
      <c r="D6317" s="68">
        <v>46381.0</v>
      </c>
      <c r="E6317" s="66">
        <v>5.0</v>
      </c>
      <c r="F6317" s="66" t="str">
        <f>IFERROR(__xludf.DUMMYFUNCTION("GOOGLETRANSLATE(A6317,""en"",""pt"")"),"#VALUE!")</f>
        <v>#VALUE!</v>
      </c>
      <c r="G6317" s="69"/>
    </row>
    <row r="6318" ht="22.5" customHeight="1">
      <c r="A6318" s="66"/>
      <c r="B6318" s="67" t="str">
        <f t="shared" si="16"/>
        <v>M: </v>
      </c>
      <c r="C6318" s="68"/>
      <c r="D6318" s="68">
        <v>46381.0</v>
      </c>
      <c r="E6318" s="66">
        <v>6.0</v>
      </c>
      <c r="F6318" s="66" t="str">
        <f>IFERROR(__xludf.DUMMYFUNCTION("GOOGLETRANSLATE(A6318,""en"",""pt"")"),"#VALUE!")</f>
        <v>#VALUE!</v>
      </c>
      <c r="G6318" s="69"/>
    </row>
    <row r="6319" ht="22.5" customHeight="1">
      <c r="A6319" s="66"/>
      <c r="B6319" s="67" t="str">
        <f t="shared" si="16"/>
        <v>M: </v>
      </c>
      <c r="C6319" s="68"/>
      <c r="D6319" s="68">
        <v>46381.0</v>
      </c>
      <c r="E6319" s="66">
        <v>7.0</v>
      </c>
      <c r="F6319" s="66" t="str">
        <f>IFERROR(__xludf.DUMMYFUNCTION("GOOGLETRANSLATE(A6319,""en"",""pt"")"),"#VALUE!")</f>
        <v>#VALUE!</v>
      </c>
      <c r="G6319" s="69"/>
    </row>
    <row r="6320" ht="22.5" customHeight="1">
      <c r="A6320" s="66"/>
      <c r="B6320" s="67" t="str">
        <f t="shared" si="16"/>
        <v>M: </v>
      </c>
      <c r="C6320" s="68"/>
      <c r="D6320" s="68">
        <v>46381.0</v>
      </c>
      <c r="E6320" s="66">
        <v>8.0</v>
      </c>
      <c r="F6320" s="66" t="str">
        <f>IFERROR(__xludf.DUMMYFUNCTION("GOOGLETRANSLATE(A6320,""en"",""pt"")"),"#VALUE!")</f>
        <v>#VALUE!</v>
      </c>
      <c r="G6320" s="69"/>
    </row>
    <row r="6321" ht="22.5" customHeight="1">
      <c r="A6321" s="66"/>
      <c r="B6321" s="67" t="str">
        <f t="shared" si="16"/>
        <v>M: </v>
      </c>
      <c r="C6321" s="68"/>
      <c r="D6321" s="68">
        <v>46381.0</v>
      </c>
      <c r="E6321" s="66">
        <v>9.0</v>
      </c>
      <c r="F6321" s="66" t="str">
        <f>IFERROR(__xludf.DUMMYFUNCTION("GOOGLETRANSLATE(A6321,""en"",""pt"")"),"#VALUE!")</f>
        <v>#VALUE!</v>
      </c>
      <c r="G6321" s="69"/>
    </row>
    <row r="6322" ht="22.5" customHeight="1">
      <c r="A6322" s="66"/>
      <c r="B6322" s="67" t="str">
        <f t="shared" si="16"/>
        <v>M: </v>
      </c>
      <c r="C6322" s="68"/>
      <c r="D6322" s="68">
        <v>46382.0</v>
      </c>
      <c r="E6322" s="66">
        <v>10.0</v>
      </c>
      <c r="F6322" s="66" t="str">
        <f>IFERROR(__xludf.DUMMYFUNCTION("GOOGLETRANSLATE(A6322,""en"",""pt"")"),"#VALUE!")</f>
        <v>#VALUE!</v>
      </c>
      <c r="G6322" s="69"/>
    </row>
    <row r="6323" ht="22.5" customHeight="1">
      <c r="A6323" s="66"/>
      <c r="B6323" s="67" t="str">
        <f t="shared" si="16"/>
        <v>M: </v>
      </c>
      <c r="C6323" s="68"/>
      <c r="D6323" s="68">
        <v>46382.0</v>
      </c>
      <c r="E6323" s="66">
        <v>1.0</v>
      </c>
      <c r="F6323" s="66" t="str">
        <f>IFERROR(__xludf.DUMMYFUNCTION("GOOGLETRANSLATE(A6323,""en"",""pt"")"),"#VALUE!")</f>
        <v>#VALUE!</v>
      </c>
      <c r="G6323" s="69"/>
    </row>
    <row r="6324" ht="22.5" customHeight="1">
      <c r="A6324" s="66"/>
      <c r="B6324" s="67" t="str">
        <f t="shared" si="16"/>
        <v>M: </v>
      </c>
      <c r="C6324" s="68"/>
      <c r="D6324" s="68">
        <v>46382.0</v>
      </c>
      <c r="E6324" s="66">
        <v>2.0</v>
      </c>
      <c r="F6324" s="66" t="str">
        <f>IFERROR(__xludf.DUMMYFUNCTION("GOOGLETRANSLATE(A6324,""en"",""pt"")"),"#VALUE!")</f>
        <v>#VALUE!</v>
      </c>
      <c r="G6324" s="69"/>
    </row>
    <row r="6325" ht="22.5" customHeight="1">
      <c r="A6325" s="66"/>
      <c r="B6325" s="67" t="str">
        <f t="shared" si="16"/>
        <v>M: </v>
      </c>
      <c r="C6325" s="68"/>
      <c r="D6325" s="68">
        <v>46382.0</v>
      </c>
      <c r="E6325" s="66">
        <v>3.0</v>
      </c>
      <c r="F6325" s="66" t="str">
        <f>IFERROR(__xludf.DUMMYFUNCTION("GOOGLETRANSLATE(A6325,""en"",""pt"")"),"#VALUE!")</f>
        <v>#VALUE!</v>
      </c>
      <c r="G6325" s="69"/>
    </row>
    <row r="6326" ht="22.5" customHeight="1">
      <c r="A6326" s="66"/>
      <c r="B6326" s="67" t="str">
        <f t="shared" si="16"/>
        <v>M: </v>
      </c>
      <c r="C6326" s="68"/>
      <c r="D6326" s="68">
        <v>46382.0</v>
      </c>
      <c r="E6326" s="66">
        <v>4.0</v>
      </c>
      <c r="F6326" s="66" t="str">
        <f>IFERROR(__xludf.DUMMYFUNCTION("GOOGLETRANSLATE(A6326,""en"",""pt"")"),"#VALUE!")</f>
        <v>#VALUE!</v>
      </c>
      <c r="G6326" s="69"/>
    </row>
    <row r="6327" ht="22.5" customHeight="1">
      <c r="A6327" s="66"/>
      <c r="B6327" s="67" t="str">
        <f t="shared" si="16"/>
        <v>M: </v>
      </c>
      <c r="C6327" s="68"/>
      <c r="D6327" s="68">
        <v>46382.0</v>
      </c>
      <c r="E6327" s="66">
        <v>5.0</v>
      </c>
      <c r="F6327" s="66" t="str">
        <f>IFERROR(__xludf.DUMMYFUNCTION("GOOGLETRANSLATE(A6327,""en"",""pt"")"),"#VALUE!")</f>
        <v>#VALUE!</v>
      </c>
      <c r="G6327" s="69"/>
    </row>
    <row r="6328" ht="22.5" customHeight="1">
      <c r="A6328" s="66"/>
      <c r="B6328" s="67" t="str">
        <f t="shared" si="16"/>
        <v>M: </v>
      </c>
      <c r="C6328" s="68"/>
      <c r="D6328" s="68">
        <v>46382.0</v>
      </c>
      <c r="E6328" s="66">
        <v>6.0</v>
      </c>
      <c r="F6328" s="66" t="str">
        <f>IFERROR(__xludf.DUMMYFUNCTION("GOOGLETRANSLATE(A6328,""en"",""pt"")"),"#VALUE!")</f>
        <v>#VALUE!</v>
      </c>
      <c r="G6328" s="69"/>
    </row>
    <row r="6329" ht="22.5" customHeight="1">
      <c r="A6329" s="66"/>
      <c r="B6329" s="67" t="str">
        <f t="shared" si="16"/>
        <v>M: </v>
      </c>
      <c r="C6329" s="68"/>
      <c r="D6329" s="68">
        <v>46382.0</v>
      </c>
      <c r="E6329" s="66">
        <v>7.0</v>
      </c>
      <c r="F6329" s="66" t="str">
        <f>IFERROR(__xludf.DUMMYFUNCTION("GOOGLETRANSLATE(A6329,""en"",""pt"")"),"#VALUE!")</f>
        <v>#VALUE!</v>
      </c>
      <c r="G6329" s="69"/>
    </row>
    <row r="6330" ht="22.5" customHeight="1">
      <c r="A6330" s="66"/>
      <c r="B6330" s="67" t="str">
        <f t="shared" si="16"/>
        <v>M: </v>
      </c>
      <c r="C6330" s="68"/>
      <c r="D6330" s="68">
        <v>46382.0</v>
      </c>
      <c r="E6330" s="66">
        <v>8.0</v>
      </c>
      <c r="F6330" s="66" t="str">
        <f>IFERROR(__xludf.DUMMYFUNCTION("GOOGLETRANSLATE(A6330,""en"",""pt"")"),"#VALUE!")</f>
        <v>#VALUE!</v>
      </c>
      <c r="G6330" s="69"/>
    </row>
    <row r="6331" ht="22.5" customHeight="1">
      <c r="A6331" s="66"/>
      <c r="B6331" s="67" t="str">
        <f t="shared" si="16"/>
        <v>M: </v>
      </c>
      <c r="C6331" s="68"/>
      <c r="D6331" s="68">
        <v>46382.0</v>
      </c>
      <c r="E6331" s="66">
        <v>9.0</v>
      </c>
      <c r="F6331" s="66" t="str">
        <f>IFERROR(__xludf.DUMMYFUNCTION("GOOGLETRANSLATE(A6331,""en"",""pt"")"),"#VALUE!")</f>
        <v>#VALUE!</v>
      </c>
      <c r="G6331" s="69"/>
    </row>
    <row r="6332" ht="22.5" customHeight="1">
      <c r="A6332" s="66"/>
      <c r="B6332" s="67" t="str">
        <f t="shared" si="16"/>
        <v>M: </v>
      </c>
      <c r="C6332" s="68"/>
      <c r="D6332" s="68">
        <v>46383.0</v>
      </c>
      <c r="E6332" s="66">
        <v>10.0</v>
      </c>
      <c r="F6332" s="66" t="str">
        <f>IFERROR(__xludf.DUMMYFUNCTION("GOOGLETRANSLATE(A6332,""en"",""pt"")"),"#VALUE!")</f>
        <v>#VALUE!</v>
      </c>
      <c r="G6332" s="69"/>
    </row>
    <row r="6333" ht="22.5" customHeight="1">
      <c r="A6333" s="66"/>
      <c r="B6333" s="67" t="str">
        <f t="shared" si="16"/>
        <v>M: </v>
      </c>
      <c r="C6333" s="68"/>
      <c r="D6333" s="68">
        <v>46383.0</v>
      </c>
      <c r="E6333" s="66">
        <v>1.0</v>
      </c>
      <c r="F6333" s="66" t="str">
        <f>IFERROR(__xludf.DUMMYFUNCTION("GOOGLETRANSLATE(A6333,""en"",""pt"")"),"#VALUE!")</f>
        <v>#VALUE!</v>
      </c>
      <c r="G6333" s="69"/>
    </row>
    <row r="6334" ht="22.5" customHeight="1">
      <c r="A6334" s="66"/>
      <c r="B6334" s="67" t="str">
        <f t="shared" si="16"/>
        <v>M: </v>
      </c>
      <c r="C6334" s="68"/>
      <c r="D6334" s="68">
        <v>46383.0</v>
      </c>
      <c r="E6334" s="66">
        <v>2.0</v>
      </c>
      <c r="F6334" s="66" t="str">
        <f>IFERROR(__xludf.DUMMYFUNCTION("GOOGLETRANSLATE(A6334,""en"",""pt"")"),"#VALUE!")</f>
        <v>#VALUE!</v>
      </c>
      <c r="G6334" s="69"/>
    </row>
    <row r="6335" ht="22.5" customHeight="1">
      <c r="A6335" s="66"/>
      <c r="B6335" s="67" t="str">
        <f t="shared" si="16"/>
        <v>M: </v>
      </c>
      <c r="C6335" s="68"/>
      <c r="D6335" s="68">
        <v>46383.0</v>
      </c>
      <c r="E6335" s="66">
        <v>3.0</v>
      </c>
      <c r="F6335" s="66" t="str">
        <f>IFERROR(__xludf.DUMMYFUNCTION("GOOGLETRANSLATE(A6335,""en"",""pt"")"),"#VALUE!")</f>
        <v>#VALUE!</v>
      </c>
      <c r="G6335" s="69"/>
    </row>
    <row r="6336" ht="22.5" customHeight="1">
      <c r="A6336" s="66"/>
      <c r="B6336" s="67" t="str">
        <f t="shared" si="16"/>
        <v>M: </v>
      </c>
      <c r="C6336" s="68"/>
      <c r="D6336" s="68">
        <v>46383.0</v>
      </c>
      <c r="E6336" s="66">
        <v>4.0</v>
      </c>
      <c r="F6336" s="66" t="str">
        <f>IFERROR(__xludf.DUMMYFUNCTION("GOOGLETRANSLATE(A6336,""en"",""pt"")"),"#VALUE!")</f>
        <v>#VALUE!</v>
      </c>
      <c r="G6336" s="69"/>
    </row>
    <row r="6337" ht="22.5" customHeight="1">
      <c r="A6337" s="66"/>
      <c r="B6337" s="67" t="str">
        <f t="shared" si="16"/>
        <v>M: </v>
      </c>
      <c r="C6337" s="68"/>
      <c r="D6337" s="68">
        <v>46383.0</v>
      </c>
      <c r="E6337" s="66">
        <v>5.0</v>
      </c>
      <c r="F6337" s="66" t="str">
        <f>IFERROR(__xludf.DUMMYFUNCTION("GOOGLETRANSLATE(A6337,""en"",""pt"")"),"#VALUE!")</f>
        <v>#VALUE!</v>
      </c>
      <c r="G6337" s="69"/>
    </row>
    <row r="6338" ht="22.5" customHeight="1">
      <c r="A6338" s="66"/>
      <c r="B6338" s="67" t="str">
        <f t="shared" si="16"/>
        <v>M: </v>
      </c>
      <c r="C6338" s="68"/>
      <c r="D6338" s="68">
        <v>46383.0</v>
      </c>
      <c r="E6338" s="66">
        <v>6.0</v>
      </c>
      <c r="F6338" s="66" t="str">
        <f>IFERROR(__xludf.DUMMYFUNCTION("GOOGLETRANSLATE(A6338,""en"",""pt"")"),"#VALUE!")</f>
        <v>#VALUE!</v>
      </c>
      <c r="G6338" s="69"/>
    </row>
    <row r="6339" ht="22.5" customHeight="1">
      <c r="A6339" s="66"/>
      <c r="B6339" s="67" t="str">
        <f t="shared" si="16"/>
        <v>M: </v>
      </c>
      <c r="C6339" s="68"/>
      <c r="D6339" s="68">
        <v>46383.0</v>
      </c>
      <c r="E6339" s="66">
        <v>7.0</v>
      </c>
      <c r="F6339" s="66" t="str">
        <f>IFERROR(__xludf.DUMMYFUNCTION("GOOGLETRANSLATE(A6339,""en"",""pt"")"),"#VALUE!")</f>
        <v>#VALUE!</v>
      </c>
      <c r="G6339" s="69"/>
    </row>
    <row r="6340" ht="22.5" customHeight="1">
      <c r="A6340" s="66"/>
      <c r="B6340" s="67" t="str">
        <f t="shared" si="16"/>
        <v>M: </v>
      </c>
      <c r="C6340" s="68"/>
      <c r="D6340" s="68">
        <v>46383.0</v>
      </c>
      <c r="E6340" s="66">
        <v>8.0</v>
      </c>
      <c r="F6340" s="66" t="str">
        <f>IFERROR(__xludf.DUMMYFUNCTION("GOOGLETRANSLATE(A6340,""en"",""pt"")"),"#VALUE!")</f>
        <v>#VALUE!</v>
      </c>
      <c r="G6340" s="69"/>
    </row>
    <row r="6341" ht="22.5" customHeight="1">
      <c r="A6341" s="66"/>
      <c r="B6341" s="67" t="str">
        <f t="shared" si="16"/>
        <v>M: </v>
      </c>
      <c r="C6341" s="68"/>
      <c r="D6341" s="68">
        <v>46383.0</v>
      </c>
      <c r="E6341" s="66">
        <v>9.0</v>
      </c>
      <c r="F6341" s="66" t="str">
        <f>IFERROR(__xludf.DUMMYFUNCTION("GOOGLETRANSLATE(A6341,""en"",""pt"")"),"#VALUE!")</f>
        <v>#VALUE!</v>
      </c>
      <c r="G6341" s="69"/>
    </row>
    <row r="6342" ht="22.5" customHeight="1">
      <c r="A6342" s="66"/>
      <c r="B6342" s="67" t="str">
        <f t="shared" si="16"/>
        <v>M: </v>
      </c>
      <c r="C6342" s="68"/>
      <c r="D6342" s="68">
        <v>46384.0</v>
      </c>
      <c r="E6342" s="66">
        <v>10.0</v>
      </c>
      <c r="F6342" s="66" t="str">
        <f>IFERROR(__xludf.DUMMYFUNCTION("GOOGLETRANSLATE(A6342,""en"",""pt"")"),"#VALUE!")</f>
        <v>#VALUE!</v>
      </c>
      <c r="G6342" s="69"/>
    </row>
    <row r="6343" ht="22.5" customHeight="1">
      <c r="A6343" s="66"/>
      <c r="B6343" s="67" t="str">
        <f t="shared" si="16"/>
        <v>M: </v>
      </c>
      <c r="C6343" s="68"/>
      <c r="D6343" s="68">
        <v>46384.0</v>
      </c>
      <c r="E6343" s="66">
        <v>1.0</v>
      </c>
      <c r="F6343" s="66" t="str">
        <f>IFERROR(__xludf.DUMMYFUNCTION("GOOGLETRANSLATE(A6343,""en"",""pt"")"),"#VALUE!")</f>
        <v>#VALUE!</v>
      </c>
      <c r="G6343" s="69"/>
    </row>
    <row r="6344" ht="22.5" customHeight="1">
      <c r="A6344" s="66"/>
      <c r="B6344" s="67" t="str">
        <f t="shared" si="16"/>
        <v>M: </v>
      </c>
      <c r="C6344" s="68"/>
      <c r="D6344" s="68">
        <v>46384.0</v>
      </c>
      <c r="E6344" s="66">
        <v>2.0</v>
      </c>
      <c r="F6344" s="66" t="str">
        <f>IFERROR(__xludf.DUMMYFUNCTION("GOOGLETRANSLATE(A6344,""en"",""pt"")"),"#VALUE!")</f>
        <v>#VALUE!</v>
      </c>
      <c r="G6344" s="69"/>
    </row>
    <row r="6345" ht="22.5" customHeight="1">
      <c r="A6345" s="66"/>
      <c r="B6345" s="67" t="str">
        <f t="shared" si="16"/>
        <v>M: </v>
      </c>
      <c r="C6345" s="68"/>
      <c r="D6345" s="68">
        <v>46384.0</v>
      </c>
      <c r="E6345" s="66">
        <v>3.0</v>
      </c>
      <c r="F6345" s="66" t="str">
        <f>IFERROR(__xludf.DUMMYFUNCTION("GOOGLETRANSLATE(A6345,""en"",""pt"")"),"#VALUE!")</f>
        <v>#VALUE!</v>
      </c>
      <c r="G6345" s="69"/>
    </row>
    <row r="6346" ht="22.5" customHeight="1">
      <c r="A6346" s="66"/>
      <c r="B6346" s="67" t="str">
        <f t="shared" si="16"/>
        <v>M: </v>
      </c>
      <c r="C6346" s="68"/>
      <c r="D6346" s="68">
        <v>46384.0</v>
      </c>
      <c r="E6346" s="66">
        <v>4.0</v>
      </c>
      <c r="F6346" s="66" t="str">
        <f>IFERROR(__xludf.DUMMYFUNCTION("GOOGLETRANSLATE(A6346,""en"",""pt"")"),"#VALUE!")</f>
        <v>#VALUE!</v>
      </c>
      <c r="G6346" s="69"/>
    </row>
    <row r="6347" ht="22.5" customHeight="1">
      <c r="A6347" s="66"/>
      <c r="B6347" s="67" t="str">
        <f t="shared" si="16"/>
        <v>M: </v>
      </c>
      <c r="C6347" s="68"/>
      <c r="D6347" s="68">
        <v>46384.0</v>
      </c>
      <c r="E6347" s="66">
        <v>5.0</v>
      </c>
      <c r="F6347" s="66" t="str">
        <f>IFERROR(__xludf.DUMMYFUNCTION("GOOGLETRANSLATE(A6347,""en"",""pt"")"),"#VALUE!")</f>
        <v>#VALUE!</v>
      </c>
      <c r="G6347" s="69"/>
    </row>
    <row r="6348" ht="22.5" customHeight="1">
      <c r="A6348" s="66"/>
      <c r="B6348" s="67" t="str">
        <f t="shared" si="16"/>
        <v>M: </v>
      </c>
      <c r="C6348" s="68"/>
      <c r="D6348" s="68">
        <v>46384.0</v>
      </c>
      <c r="E6348" s="66">
        <v>6.0</v>
      </c>
      <c r="F6348" s="66" t="str">
        <f>IFERROR(__xludf.DUMMYFUNCTION("GOOGLETRANSLATE(A6348,""en"",""pt"")"),"#VALUE!")</f>
        <v>#VALUE!</v>
      </c>
      <c r="G6348" s="69"/>
    </row>
    <row r="6349" ht="22.5" customHeight="1">
      <c r="A6349" s="66"/>
      <c r="B6349" s="67" t="str">
        <f t="shared" si="16"/>
        <v>M: </v>
      </c>
      <c r="C6349" s="68"/>
      <c r="D6349" s="68">
        <v>46384.0</v>
      </c>
      <c r="E6349" s="66">
        <v>7.0</v>
      </c>
      <c r="F6349" s="66" t="str">
        <f>IFERROR(__xludf.DUMMYFUNCTION("GOOGLETRANSLATE(A6349,""en"",""pt"")"),"#VALUE!")</f>
        <v>#VALUE!</v>
      </c>
      <c r="G6349" s="69"/>
    </row>
    <row r="6350" ht="22.5" customHeight="1">
      <c r="A6350" s="66"/>
      <c r="B6350" s="67" t="str">
        <f t="shared" si="16"/>
        <v>M: </v>
      </c>
      <c r="C6350" s="68"/>
      <c r="D6350" s="68">
        <v>46384.0</v>
      </c>
      <c r="E6350" s="66">
        <v>8.0</v>
      </c>
      <c r="F6350" s="66" t="str">
        <f>IFERROR(__xludf.DUMMYFUNCTION("GOOGLETRANSLATE(A6350,""en"",""pt"")"),"#VALUE!")</f>
        <v>#VALUE!</v>
      </c>
      <c r="G6350" s="69"/>
    </row>
    <row r="6351" ht="22.5" customHeight="1">
      <c r="A6351" s="66"/>
      <c r="B6351" s="67" t="str">
        <f t="shared" si="16"/>
        <v>M: </v>
      </c>
      <c r="C6351" s="68"/>
      <c r="D6351" s="68">
        <v>46384.0</v>
      </c>
      <c r="E6351" s="66">
        <v>9.0</v>
      </c>
      <c r="F6351" s="66" t="str">
        <f>IFERROR(__xludf.DUMMYFUNCTION("GOOGLETRANSLATE(A6351,""en"",""pt"")"),"#VALUE!")</f>
        <v>#VALUE!</v>
      </c>
      <c r="G6351" s="69"/>
    </row>
    <row r="6352" ht="22.5" customHeight="1">
      <c r="A6352" s="66"/>
      <c r="B6352" s="67" t="str">
        <f t="shared" si="16"/>
        <v>M: </v>
      </c>
      <c r="C6352" s="68"/>
      <c r="D6352" s="68">
        <v>46385.0</v>
      </c>
      <c r="E6352" s="66">
        <v>10.0</v>
      </c>
      <c r="F6352" s="66" t="str">
        <f>IFERROR(__xludf.DUMMYFUNCTION("GOOGLETRANSLATE(A6352,""en"",""pt"")"),"#VALUE!")</f>
        <v>#VALUE!</v>
      </c>
      <c r="G6352" s="69"/>
    </row>
    <row r="6353" ht="22.5" customHeight="1">
      <c r="A6353" s="66"/>
      <c r="B6353" s="67" t="str">
        <f t="shared" si="16"/>
        <v>M: </v>
      </c>
      <c r="C6353" s="68"/>
      <c r="D6353" s="68">
        <v>46385.0</v>
      </c>
      <c r="E6353" s="66">
        <v>1.0</v>
      </c>
      <c r="F6353" s="66" t="str">
        <f>IFERROR(__xludf.DUMMYFUNCTION("GOOGLETRANSLATE(A6353,""en"",""pt"")"),"#VALUE!")</f>
        <v>#VALUE!</v>
      </c>
      <c r="G6353" s="69"/>
    </row>
    <row r="6354" ht="22.5" customHeight="1">
      <c r="A6354" s="66"/>
      <c r="B6354" s="67" t="str">
        <f t="shared" si="16"/>
        <v>M: </v>
      </c>
      <c r="C6354" s="68"/>
      <c r="D6354" s="68">
        <v>46385.0</v>
      </c>
      <c r="E6354" s="66">
        <v>2.0</v>
      </c>
      <c r="F6354" s="66" t="str">
        <f>IFERROR(__xludf.DUMMYFUNCTION("GOOGLETRANSLATE(A6354,""en"",""pt"")"),"#VALUE!")</f>
        <v>#VALUE!</v>
      </c>
      <c r="G6354" s="69"/>
    </row>
    <row r="6355" ht="22.5" customHeight="1">
      <c r="A6355" s="66"/>
      <c r="B6355" s="67" t="str">
        <f t="shared" si="16"/>
        <v>M: </v>
      </c>
      <c r="C6355" s="68"/>
      <c r="D6355" s="68">
        <v>46385.0</v>
      </c>
      <c r="E6355" s="66">
        <v>3.0</v>
      </c>
      <c r="F6355" s="66" t="str">
        <f>IFERROR(__xludf.DUMMYFUNCTION("GOOGLETRANSLATE(A6355,""en"",""pt"")"),"#VALUE!")</f>
        <v>#VALUE!</v>
      </c>
      <c r="G6355" s="69"/>
    </row>
    <row r="6356" ht="22.5" customHeight="1">
      <c r="A6356" s="66"/>
      <c r="B6356" s="67" t="str">
        <f t="shared" si="16"/>
        <v>M: </v>
      </c>
      <c r="C6356" s="68"/>
      <c r="D6356" s="68">
        <v>46385.0</v>
      </c>
      <c r="E6356" s="66">
        <v>4.0</v>
      </c>
      <c r="F6356" s="66" t="str">
        <f>IFERROR(__xludf.DUMMYFUNCTION("GOOGLETRANSLATE(A6356,""en"",""pt"")"),"#VALUE!")</f>
        <v>#VALUE!</v>
      </c>
      <c r="G6356" s="69"/>
    </row>
    <row r="6357" ht="22.5" customHeight="1">
      <c r="A6357" s="66"/>
      <c r="B6357" s="67" t="str">
        <f t="shared" si="16"/>
        <v>M: </v>
      </c>
      <c r="C6357" s="68"/>
      <c r="D6357" s="68">
        <v>46385.0</v>
      </c>
      <c r="E6357" s="66">
        <v>5.0</v>
      </c>
      <c r="F6357" s="66" t="str">
        <f>IFERROR(__xludf.DUMMYFUNCTION("GOOGLETRANSLATE(A6357,""en"",""pt"")"),"#VALUE!")</f>
        <v>#VALUE!</v>
      </c>
      <c r="G6357" s="69"/>
    </row>
    <row r="6358" ht="22.5" customHeight="1">
      <c r="A6358" s="66"/>
      <c r="B6358" s="67" t="str">
        <f t="shared" si="16"/>
        <v>M: </v>
      </c>
      <c r="C6358" s="68"/>
      <c r="D6358" s="68">
        <v>46385.0</v>
      </c>
      <c r="E6358" s="66">
        <v>6.0</v>
      </c>
      <c r="F6358" s="66" t="str">
        <f>IFERROR(__xludf.DUMMYFUNCTION("GOOGLETRANSLATE(A6358,""en"",""pt"")"),"#VALUE!")</f>
        <v>#VALUE!</v>
      </c>
      <c r="G6358" s="69"/>
    </row>
    <row r="6359" ht="22.5" customHeight="1">
      <c r="A6359" s="66"/>
      <c r="B6359" s="67" t="str">
        <f t="shared" si="16"/>
        <v>M: </v>
      </c>
      <c r="C6359" s="68"/>
      <c r="D6359" s="68">
        <v>46385.0</v>
      </c>
      <c r="E6359" s="66">
        <v>7.0</v>
      </c>
      <c r="F6359" s="66" t="str">
        <f>IFERROR(__xludf.DUMMYFUNCTION("GOOGLETRANSLATE(A6359,""en"",""pt"")"),"#VALUE!")</f>
        <v>#VALUE!</v>
      </c>
      <c r="G6359" s="69"/>
    </row>
    <row r="6360" ht="22.5" customHeight="1">
      <c r="A6360" s="66"/>
      <c r="B6360" s="67" t="str">
        <f t="shared" si="16"/>
        <v>M: </v>
      </c>
      <c r="C6360" s="68"/>
      <c r="D6360" s="68">
        <v>46385.0</v>
      </c>
      <c r="E6360" s="66">
        <v>8.0</v>
      </c>
      <c r="F6360" s="66" t="str">
        <f>IFERROR(__xludf.DUMMYFUNCTION("GOOGLETRANSLATE(A6360,""en"",""pt"")"),"#VALUE!")</f>
        <v>#VALUE!</v>
      </c>
      <c r="G6360" s="69"/>
    </row>
    <row r="6361" ht="22.5" customHeight="1">
      <c r="A6361" s="66"/>
      <c r="B6361" s="67" t="str">
        <f t="shared" si="16"/>
        <v>M: </v>
      </c>
      <c r="C6361" s="68"/>
      <c r="D6361" s="68">
        <v>46385.0</v>
      </c>
      <c r="E6361" s="66">
        <v>9.0</v>
      </c>
      <c r="F6361" s="66" t="str">
        <f>IFERROR(__xludf.DUMMYFUNCTION("GOOGLETRANSLATE(A6361,""en"",""pt"")"),"#VALUE!")</f>
        <v>#VALUE!</v>
      </c>
      <c r="G6361" s="69"/>
    </row>
    <row r="6362" ht="22.5" customHeight="1">
      <c r="A6362" s="66"/>
      <c r="B6362" s="67" t="str">
        <f t="shared" si="16"/>
        <v>M: </v>
      </c>
      <c r="C6362" s="68"/>
      <c r="D6362" s="68">
        <v>46386.0</v>
      </c>
      <c r="E6362" s="66">
        <v>10.0</v>
      </c>
      <c r="F6362" s="66" t="str">
        <f>IFERROR(__xludf.DUMMYFUNCTION("GOOGLETRANSLATE(A6362,""en"",""pt"")"),"#VALUE!")</f>
        <v>#VALUE!</v>
      </c>
      <c r="G6362" s="69"/>
    </row>
    <row r="6363" ht="22.5" customHeight="1">
      <c r="A6363" s="66"/>
      <c r="B6363" s="67" t="str">
        <f t="shared" si="16"/>
        <v>M: </v>
      </c>
      <c r="C6363" s="68"/>
      <c r="D6363" s="68">
        <v>46386.0</v>
      </c>
      <c r="E6363" s="66">
        <v>1.0</v>
      </c>
      <c r="F6363" s="66" t="str">
        <f>IFERROR(__xludf.DUMMYFUNCTION("GOOGLETRANSLATE(A6363,""en"",""pt"")"),"#VALUE!")</f>
        <v>#VALUE!</v>
      </c>
      <c r="G6363" s="69"/>
    </row>
    <row r="6364" ht="22.5" customHeight="1">
      <c r="A6364" s="66"/>
      <c r="B6364" s="67" t="str">
        <f t="shared" si="16"/>
        <v>M: </v>
      </c>
      <c r="C6364" s="68"/>
      <c r="D6364" s="68">
        <v>46386.0</v>
      </c>
      <c r="E6364" s="66">
        <v>2.0</v>
      </c>
      <c r="F6364" s="66" t="str">
        <f>IFERROR(__xludf.DUMMYFUNCTION("GOOGLETRANSLATE(A6364,""en"",""pt"")"),"#VALUE!")</f>
        <v>#VALUE!</v>
      </c>
      <c r="G6364" s="69"/>
    </row>
    <row r="6365" ht="22.5" customHeight="1">
      <c r="A6365" s="66"/>
      <c r="B6365" s="67" t="str">
        <f t="shared" si="16"/>
        <v>M: </v>
      </c>
      <c r="C6365" s="68"/>
      <c r="D6365" s="68">
        <v>46386.0</v>
      </c>
      <c r="E6365" s="66">
        <v>3.0</v>
      </c>
      <c r="F6365" s="66" t="str">
        <f>IFERROR(__xludf.DUMMYFUNCTION("GOOGLETRANSLATE(A6365,""en"",""pt"")"),"#VALUE!")</f>
        <v>#VALUE!</v>
      </c>
      <c r="G6365" s="69"/>
    </row>
    <row r="6366" ht="22.5" customHeight="1">
      <c r="A6366" s="66"/>
      <c r="B6366" s="67" t="str">
        <f t="shared" si="16"/>
        <v>M: </v>
      </c>
      <c r="C6366" s="68"/>
      <c r="D6366" s="68">
        <v>46386.0</v>
      </c>
      <c r="E6366" s="66">
        <v>4.0</v>
      </c>
      <c r="F6366" s="66" t="str">
        <f>IFERROR(__xludf.DUMMYFUNCTION("GOOGLETRANSLATE(A6366,""en"",""pt"")"),"#VALUE!")</f>
        <v>#VALUE!</v>
      </c>
      <c r="G6366" s="69"/>
    </row>
    <row r="6367" ht="22.5" customHeight="1">
      <c r="A6367" s="66"/>
      <c r="B6367" s="67" t="str">
        <f t="shared" si="16"/>
        <v>M: </v>
      </c>
      <c r="C6367" s="68"/>
      <c r="D6367" s="68">
        <v>46386.0</v>
      </c>
      <c r="E6367" s="66">
        <v>5.0</v>
      </c>
      <c r="F6367" s="66" t="str">
        <f>IFERROR(__xludf.DUMMYFUNCTION("GOOGLETRANSLATE(A6367,""en"",""pt"")"),"#VALUE!")</f>
        <v>#VALUE!</v>
      </c>
      <c r="G6367" s="69"/>
    </row>
    <row r="6368" ht="22.5" customHeight="1">
      <c r="A6368" s="66"/>
      <c r="B6368" s="67" t="str">
        <f t="shared" si="16"/>
        <v>M: </v>
      </c>
      <c r="C6368" s="68"/>
      <c r="D6368" s="68">
        <v>46386.0</v>
      </c>
      <c r="E6368" s="66">
        <v>6.0</v>
      </c>
      <c r="F6368" s="66" t="str">
        <f>IFERROR(__xludf.DUMMYFUNCTION("GOOGLETRANSLATE(A6368,""en"",""pt"")"),"#VALUE!")</f>
        <v>#VALUE!</v>
      </c>
      <c r="G6368" s="69"/>
    </row>
    <row r="6369" ht="22.5" customHeight="1">
      <c r="A6369" s="66"/>
      <c r="B6369" s="67" t="str">
        <f t="shared" si="16"/>
        <v>M: </v>
      </c>
      <c r="C6369" s="68"/>
      <c r="D6369" s="68">
        <v>46386.0</v>
      </c>
      <c r="E6369" s="66">
        <v>7.0</v>
      </c>
      <c r="F6369" s="66" t="str">
        <f>IFERROR(__xludf.DUMMYFUNCTION("GOOGLETRANSLATE(A6369,""en"",""pt"")"),"#VALUE!")</f>
        <v>#VALUE!</v>
      </c>
      <c r="G6369" s="69"/>
    </row>
    <row r="6370" ht="22.5" customHeight="1">
      <c r="A6370" s="66"/>
      <c r="B6370" s="67" t="str">
        <f t="shared" si="16"/>
        <v>M: </v>
      </c>
      <c r="C6370" s="68"/>
      <c r="D6370" s="68">
        <v>46386.0</v>
      </c>
      <c r="E6370" s="66">
        <v>8.0</v>
      </c>
      <c r="F6370" s="66" t="str">
        <f>IFERROR(__xludf.DUMMYFUNCTION("GOOGLETRANSLATE(A6370,""en"",""pt"")"),"#VALUE!")</f>
        <v>#VALUE!</v>
      </c>
      <c r="G6370" s="69"/>
    </row>
    <row r="6371" ht="22.5" customHeight="1">
      <c r="A6371" s="66"/>
      <c r="B6371" s="67" t="str">
        <f t="shared" si="16"/>
        <v>M: </v>
      </c>
      <c r="C6371" s="68"/>
      <c r="D6371" s="68">
        <v>46386.0</v>
      </c>
      <c r="E6371" s="66">
        <v>9.0</v>
      </c>
      <c r="F6371" s="66" t="str">
        <f>IFERROR(__xludf.DUMMYFUNCTION("GOOGLETRANSLATE(A6371,""en"",""pt"")"),"#VALUE!")</f>
        <v>#VALUE!</v>
      </c>
      <c r="G6371" s="69"/>
    </row>
    <row r="6372" ht="22.5" customHeight="1">
      <c r="A6372" s="66"/>
      <c r="B6372" s="67" t="str">
        <f t="shared" si="16"/>
        <v>M: </v>
      </c>
      <c r="C6372" s="68"/>
      <c r="D6372" s="68">
        <v>46387.0</v>
      </c>
      <c r="E6372" s="66">
        <v>10.0</v>
      </c>
      <c r="F6372" s="66" t="str">
        <f>IFERROR(__xludf.DUMMYFUNCTION("GOOGLETRANSLATE(A6372,""en"",""pt"")"),"#VALUE!")</f>
        <v>#VALUE!</v>
      </c>
      <c r="G6372" s="69"/>
    </row>
    <row r="6373" ht="22.5" customHeight="1">
      <c r="A6373" s="66"/>
      <c r="B6373" s="67" t="str">
        <f t="shared" si="16"/>
        <v>M: </v>
      </c>
      <c r="C6373" s="68"/>
      <c r="D6373" s="68">
        <v>46387.0</v>
      </c>
      <c r="E6373" s="66">
        <v>1.0</v>
      </c>
      <c r="F6373" s="66" t="str">
        <f>IFERROR(__xludf.DUMMYFUNCTION("GOOGLETRANSLATE(A6373,""en"",""pt"")"),"#VALUE!")</f>
        <v>#VALUE!</v>
      </c>
      <c r="G6373" s="69"/>
    </row>
    <row r="6374" ht="22.5" customHeight="1">
      <c r="A6374" s="66"/>
      <c r="B6374" s="67" t="str">
        <f t="shared" si="16"/>
        <v>M: </v>
      </c>
      <c r="C6374" s="68"/>
      <c r="D6374" s="68">
        <v>46387.0</v>
      </c>
      <c r="E6374" s="66">
        <v>2.0</v>
      </c>
      <c r="F6374" s="66" t="str">
        <f>IFERROR(__xludf.DUMMYFUNCTION("GOOGLETRANSLATE(A6374,""en"",""pt"")"),"#VALUE!")</f>
        <v>#VALUE!</v>
      </c>
      <c r="G6374" s="69"/>
    </row>
    <row r="6375" ht="22.5" customHeight="1">
      <c r="A6375" s="66"/>
      <c r="B6375" s="67" t="str">
        <f t="shared" si="16"/>
        <v>M: </v>
      </c>
      <c r="C6375" s="68"/>
      <c r="D6375" s="68">
        <v>46387.0</v>
      </c>
      <c r="E6375" s="66">
        <v>3.0</v>
      </c>
      <c r="F6375" s="66" t="str">
        <f>IFERROR(__xludf.DUMMYFUNCTION("GOOGLETRANSLATE(A6375,""en"",""pt"")"),"#VALUE!")</f>
        <v>#VALUE!</v>
      </c>
      <c r="G6375" s="69"/>
    </row>
    <row r="6376" ht="22.5" customHeight="1">
      <c r="A6376" s="66"/>
      <c r="B6376" s="67" t="str">
        <f t="shared" si="16"/>
        <v>M: </v>
      </c>
      <c r="C6376" s="68"/>
      <c r="D6376" s="68">
        <v>46387.0</v>
      </c>
      <c r="E6376" s="66">
        <v>4.0</v>
      </c>
      <c r="F6376" s="66" t="str">
        <f>IFERROR(__xludf.DUMMYFUNCTION("GOOGLETRANSLATE(A6376,""en"",""pt"")"),"#VALUE!")</f>
        <v>#VALUE!</v>
      </c>
      <c r="G6376" s="69"/>
    </row>
    <row r="6377" ht="22.5" customHeight="1">
      <c r="A6377" s="66"/>
      <c r="B6377" s="67" t="str">
        <f t="shared" si="16"/>
        <v>M: </v>
      </c>
      <c r="C6377" s="68"/>
      <c r="D6377" s="68">
        <v>46387.0</v>
      </c>
      <c r="E6377" s="66">
        <v>5.0</v>
      </c>
      <c r="F6377" s="66" t="str">
        <f>IFERROR(__xludf.DUMMYFUNCTION("GOOGLETRANSLATE(A6377,""en"",""pt"")"),"#VALUE!")</f>
        <v>#VALUE!</v>
      </c>
      <c r="G6377" s="69"/>
    </row>
    <row r="6378" ht="22.5" customHeight="1">
      <c r="A6378" s="66"/>
      <c r="B6378" s="67" t="str">
        <f t="shared" si="16"/>
        <v>M: </v>
      </c>
      <c r="C6378" s="68"/>
      <c r="D6378" s="68">
        <v>46387.0</v>
      </c>
      <c r="E6378" s="66">
        <v>6.0</v>
      </c>
      <c r="F6378" s="66" t="str">
        <f>IFERROR(__xludf.DUMMYFUNCTION("GOOGLETRANSLATE(A6378,""en"",""pt"")"),"#VALUE!")</f>
        <v>#VALUE!</v>
      </c>
      <c r="G6378" s="69"/>
    </row>
    <row r="6379" ht="22.5" customHeight="1">
      <c r="A6379" s="66"/>
      <c r="B6379" s="67" t="str">
        <f t="shared" si="16"/>
        <v>M: </v>
      </c>
      <c r="C6379" s="68"/>
      <c r="D6379" s="68">
        <v>46387.0</v>
      </c>
      <c r="E6379" s="66">
        <v>7.0</v>
      </c>
      <c r="F6379" s="66" t="str">
        <f>IFERROR(__xludf.DUMMYFUNCTION("GOOGLETRANSLATE(A6379,""en"",""pt"")"),"#VALUE!")</f>
        <v>#VALUE!</v>
      </c>
      <c r="G6379" s="69"/>
    </row>
    <row r="6380" ht="22.5" customHeight="1">
      <c r="A6380" s="66"/>
      <c r="B6380" s="67" t="str">
        <f t="shared" si="16"/>
        <v>M: </v>
      </c>
      <c r="C6380" s="68"/>
      <c r="D6380" s="68">
        <v>46387.0</v>
      </c>
      <c r="E6380" s="66">
        <v>8.0</v>
      </c>
      <c r="F6380" s="66" t="str">
        <f>IFERROR(__xludf.DUMMYFUNCTION("GOOGLETRANSLATE(A6380,""en"",""pt"")"),"#VALUE!")</f>
        <v>#VALUE!</v>
      </c>
      <c r="G6380" s="69"/>
    </row>
    <row r="6381" ht="22.5" customHeight="1">
      <c r="A6381" s="66"/>
      <c r="B6381" s="67" t="str">
        <f t="shared" si="16"/>
        <v>M: </v>
      </c>
      <c r="C6381" s="68"/>
      <c r="D6381" s="68">
        <v>46387.0</v>
      </c>
      <c r="E6381" s="66">
        <v>9.0</v>
      </c>
      <c r="F6381" s="66" t="str">
        <f>IFERROR(__xludf.DUMMYFUNCTION("GOOGLETRANSLATE(A6381,""en"",""pt"")"),"#VALUE!")</f>
        <v>#VALUE!</v>
      </c>
      <c r="G6381" s="69"/>
    </row>
    <row r="6382" ht="22.5" customHeight="1">
      <c r="A6382" s="66"/>
      <c r="B6382" s="67" t="str">
        <f t="shared" si="16"/>
        <v>M: </v>
      </c>
      <c r="C6382" s="68"/>
      <c r="D6382" s="68">
        <v>46388.0</v>
      </c>
      <c r="E6382" s="66">
        <v>10.0</v>
      </c>
      <c r="F6382" s="66" t="str">
        <f>IFERROR(__xludf.DUMMYFUNCTION("GOOGLETRANSLATE(A6382,""en"",""pt"")"),"#VALUE!")</f>
        <v>#VALUE!</v>
      </c>
      <c r="G6382" s="69"/>
    </row>
    <row r="6383" ht="22.5" customHeight="1">
      <c r="A6383" s="66"/>
      <c r="B6383" s="67" t="str">
        <f t="shared" si="16"/>
        <v>M: </v>
      </c>
      <c r="C6383" s="68"/>
      <c r="D6383" s="68">
        <v>46388.0</v>
      </c>
      <c r="E6383" s="66">
        <v>1.0</v>
      </c>
      <c r="F6383" s="66" t="str">
        <f>IFERROR(__xludf.DUMMYFUNCTION("GOOGLETRANSLATE(A6383,""en"",""pt"")"),"#VALUE!")</f>
        <v>#VALUE!</v>
      </c>
      <c r="G6383" s="69"/>
    </row>
    <row r="6384" ht="22.5" customHeight="1">
      <c r="A6384" s="66"/>
      <c r="B6384" s="67" t="str">
        <f t="shared" si="16"/>
        <v>M: </v>
      </c>
      <c r="C6384" s="68"/>
      <c r="D6384" s="68">
        <v>46388.0</v>
      </c>
      <c r="E6384" s="66">
        <v>2.0</v>
      </c>
      <c r="F6384" s="66" t="str">
        <f>IFERROR(__xludf.DUMMYFUNCTION("GOOGLETRANSLATE(A6384,""en"",""pt"")"),"#VALUE!")</f>
        <v>#VALUE!</v>
      </c>
      <c r="G6384" s="69"/>
    </row>
    <row r="6385" ht="22.5" customHeight="1">
      <c r="A6385" s="66"/>
      <c r="B6385" s="67" t="str">
        <f t="shared" si="16"/>
        <v>M: </v>
      </c>
      <c r="C6385" s="68"/>
      <c r="D6385" s="68">
        <v>46388.0</v>
      </c>
      <c r="E6385" s="66">
        <v>3.0</v>
      </c>
      <c r="F6385" s="66" t="str">
        <f>IFERROR(__xludf.DUMMYFUNCTION("GOOGLETRANSLATE(A6385,""en"",""pt"")"),"#VALUE!")</f>
        <v>#VALUE!</v>
      </c>
      <c r="G6385" s="69"/>
    </row>
    <row r="6386" ht="22.5" customHeight="1">
      <c r="A6386" s="66"/>
      <c r="B6386" s="67" t="str">
        <f t="shared" si="16"/>
        <v>M: </v>
      </c>
      <c r="C6386" s="68"/>
      <c r="D6386" s="68">
        <v>46388.0</v>
      </c>
      <c r="E6386" s="66">
        <v>4.0</v>
      </c>
      <c r="F6386" s="66" t="str">
        <f>IFERROR(__xludf.DUMMYFUNCTION("GOOGLETRANSLATE(A6386,""en"",""pt"")"),"#VALUE!")</f>
        <v>#VALUE!</v>
      </c>
      <c r="G6386" s="69"/>
    </row>
    <row r="6387" ht="22.5" customHeight="1">
      <c r="A6387" s="66"/>
      <c r="B6387" s="67" t="str">
        <f t="shared" si="16"/>
        <v>M: </v>
      </c>
      <c r="C6387" s="68"/>
      <c r="D6387" s="68">
        <v>46388.0</v>
      </c>
      <c r="E6387" s="66">
        <v>5.0</v>
      </c>
      <c r="F6387" s="66" t="str">
        <f>IFERROR(__xludf.DUMMYFUNCTION("GOOGLETRANSLATE(A6387,""en"",""pt"")"),"#VALUE!")</f>
        <v>#VALUE!</v>
      </c>
      <c r="G6387" s="69"/>
    </row>
    <row r="6388" ht="22.5" customHeight="1">
      <c r="A6388" s="66"/>
      <c r="B6388" s="67" t="str">
        <f t="shared" si="16"/>
        <v>M: </v>
      </c>
      <c r="C6388" s="68"/>
      <c r="D6388" s="68">
        <v>46388.0</v>
      </c>
      <c r="E6388" s="66">
        <v>6.0</v>
      </c>
      <c r="F6388" s="66" t="str">
        <f>IFERROR(__xludf.DUMMYFUNCTION("GOOGLETRANSLATE(A6388,""en"",""pt"")"),"#VALUE!")</f>
        <v>#VALUE!</v>
      </c>
      <c r="G6388" s="69"/>
    </row>
    <row r="6389" ht="22.5" customHeight="1">
      <c r="A6389" s="66"/>
      <c r="B6389" s="67" t="str">
        <f t="shared" si="16"/>
        <v>M: </v>
      </c>
      <c r="C6389" s="68"/>
      <c r="D6389" s="68">
        <v>46388.0</v>
      </c>
      <c r="E6389" s="66">
        <v>7.0</v>
      </c>
      <c r="F6389" s="66" t="str">
        <f>IFERROR(__xludf.DUMMYFUNCTION("GOOGLETRANSLATE(A6389,""en"",""pt"")"),"#VALUE!")</f>
        <v>#VALUE!</v>
      </c>
      <c r="G6389" s="69"/>
    </row>
    <row r="6390" ht="22.5" customHeight="1">
      <c r="A6390" s="66"/>
      <c r="B6390" s="67" t="str">
        <f t="shared" si="16"/>
        <v>M: </v>
      </c>
      <c r="C6390" s="68"/>
      <c r="D6390" s="68">
        <v>46388.0</v>
      </c>
      <c r="E6390" s="66">
        <v>8.0</v>
      </c>
      <c r="F6390" s="66" t="str">
        <f>IFERROR(__xludf.DUMMYFUNCTION("GOOGLETRANSLATE(A6390,""en"",""pt"")"),"#VALUE!")</f>
        <v>#VALUE!</v>
      </c>
      <c r="G6390" s="69"/>
    </row>
    <row r="6391" ht="22.5" customHeight="1">
      <c r="A6391" s="66"/>
      <c r="B6391" s="67" t="str">
        <f t="shared" si="16"/>
        <v>M: </v>
      </c>
      <c r="C6391" s="68"/>
      <c r="D6391" s="68">
        <v>46388.0</v>
      </c>
      <c r="E6391" s="66">
        <v>9.0</v>
      </c>
      <c r="F6391" s="66" t="str">
        <f>IFERROR(__xludf.DUMMYFUNCTION("GOOGLETRANSLATE(A6391,""en"",""pt"")"),"#VALUE!")</f>
        <v>#VALUE!</v>
      </c>
      <c r="G6391" s="69"/>
    </row>
    <row r="6392" ht="22.5" customHeight="1">
      <c r="A6392" s="66"/>
      <c r="B6392" s="67" t="str">
        <f t="shared" si="16"/>
        <v>M: </v>
      </c>
      <c r="C6392" s="68"/>
      <c r="D6392" s="68">
        <v>46389.0</v>
      </c>
      <c r="E6392" s="66">
        <v>10.0</v>
      </c>
      <c r="F6392" s="66" t="str">
        <f>IFERROR(__xludf.DUMMYFUNCTION("GOOGLETRANSLATE(A6392,""en"",""pt"")"),"#VALUE!")</f>
        <v>#VALUE!</v>
      </c>
      <c r="G6392" s="69"/>
    </row>
    <row r="6393" ht="22.5" customHeight="1">
      <c r="A6393" s="66"/>
      <c r="B6393" s="67" t="str">
        <f t="shared" si="16"/>
        <v>M: </v>
      </c>
      <c r="C6393" s="68"/>
      <c r="D6393" s="68">
        <v>46389.0</v>
      </c>
      <c r="E6393" s="66">
        <v>1.0</v>
      </c>
      <c r="F6393" s="66" t="str">
        <f>IFERROR(__xludf.DUMMYFUNCTION("GOOGLETRANSLATE(A6393,""en"",""pt"")"),"#VALUE!")</f>
        <v>#VALUE!</v>
      </c>
      <c r="G6393" s="69"/>
    </row>
    <row r="6394" ht="22.5" customHeight="1">
      <c r="A6394" s="66"/>
      <c r="B6394" s="67" t="str">
        <f t="shared" si="16"/>
        <v>M: </v>
      </c>
      <c r="C6394" s="68"/>
      <c r="D6394" s="68">
        <v>46389.0</v>
      </c>
      <c r="E6394" s="66">
        <v>2.0</v>
      </c>
      <c r="F6394" s="66" t="str">
        <f>IFERROR(__xludf.DUMMYFUNCTION("GOOGLETRANSLATE(A6394,""en"",""pt"")"),"#VALUE!")</f>
        <v>#VALUE!</v>
      </c>
      <c r="G6394" s="69"/>
    </row>
    <row r="6395" ht="22.5" customHeight="1">
      <c r="A6395" s="66"/>
      <c r="B6395" s="67" t="str">
        <f t="shared" si="16"/>
        <v>M: </v>
      </c>
      <c r="C6395" s="68"/>
      <c r="D6395" s="68">
        <v>46389.0</v>
      </c>
      <c r="E6395" s="66">
        <v>3.0</v>
      </c>
      <c r="F6395" s="66" t="str">
        <f>IFERROR(__xludf.DUMMYFUNCTION("GOOGLETRANSLATE(A6395,""en"",""pt"")"),"#VALUE!")</f>
        <v>#VALUE!</v>
      </c>
      <c r="G6395" s="69"/>
    </row>
    <row r="6396" ht="22.5" customHeight="1">
      <c r="A6396" s="66"/>
      <c r="B6396" s="67" t="str">
        <f t="shared" si="16"/>
        <v>M: </v>
      </c>
      <c r="C6396" s="68"/>
      <c r="D6396" s="68">
        <v>46389.0</v>
      </c>
      <c r="E6396" s="66">
        <v>4.0</v>
      </c>
      <c r="F6396" s="66" t="str">
        <f>IFERROR(__xludf.DUMMYFUNCTION("GOOGLETRANSLATE(A6396,""en"",""pt"")"),"#VALUE!")</f>
        <v>#VALUE!</v>
      </c>
      <c r="G6396" s="69"/>
    </row>
    <row r="6397" ht="22.5" customHeight="1">
      <c r="A6397" s="66"/>
      <c r="B6397" s="67" t="str">
        <f t="shared" si="16"/>
        <v>M: </v>
      </c>
      <c r="C6397" s="68"/>
      <c r="D6397" s="68">
        <v>46389.0</v>
      </c>
      <c r="E6397" s="66">
        <v>5.0</v>
      </c>
      <c r="F6397" s="66" t="str">
        <f>IFERROR(__xludf.DUMMYFUNCTION("GOOGLETRANSLATE(A6397,""en"",""pt"")"),"#VALUE!")</f>
        <v>#VALUE!</v>
      </c>
      <c r="G6397" s="69"/>
    </row>
    <row r="6398" ht="22.5" customHeight="1">
      <c r="A6398" s="66"/>
      <c r="B6398" s="67" t="str">
        <f t="shared" si="16"/>
        <v>M: </v>
      </c>
      <c r="C6398" s="68"/>
      <c r="D6398" s="68">
        <v>46389.0</v>
      </c>
      <c r="E6398" s="66">
        <v>6.0</v>
      </c>
      <c r="F6398" s="66" t="str">
        <f>IFERROR(__xludf.DUMMYFUNCTION("GOOGLETRANSLATE(A6398,""en"",""pt"")"),"#VALUE!")</f>
        <v>#VALUE!</v>
      </c>
      <c r="G6398" s="69"/>
    </row>
    <row r="6399" ht="22.5" customHeight="1">
      <c r="A6399" s="66"/>
      <c r="B6399" s="67" t="str">
        <f t="shared" si="16"/>
        <v>M: </v>
      </c>
      <c r="C6399" s="68"/>
      <c r="D6399" s="68">
        <v>46389.0</v>
      </c>
      <c r="E6399" s="66">
        <v>7.0</v>
      </c>
      <c r="F6399" s="66" t="str">
        <f>IFERROR(__xludf.DUMMYFUNCTION("GOOGLETRANSLATE(A6399,""en"",""pt"")"),"#VALUE!")</f>
        <v>#VALUE!</v>
      </c>
      <c r="G6399" s="69"/>
    </row>
    <row r="6400" ht="22.5" customHeight="1">
      <c r="A6400" s="66"/>
      <c r="B6400" s="67" t="str">
        <f t="shared" si="16"/>
        <v>M: </v>
      </c>
      <c r="C6400" s="68"/>
      <c r="D6400" s="68">
        <v>46389.0</v>
      </c>
      <c r="E6400" s="66">
        <v>8.0</v>
      </c>
      <c r="F6400" s="66" t="str">
        <f>IFERROR(__xludf.DUMMYFUNCTION("GOOGLETRANSLATE(A6400,""en"",""pt"")"),"#VALUE!")</f>
        <v>#VALUE!</v>
      </c>
      <c r="G6400" s="69"/>
    </row>
    <row r="6401" ht="22.5" customHeight="1">
      <c r="A6401" s="66"/>
      <c r="B6401" s="67" t="str">
        <f t="shared" si="16"/>
        <v>M: </v>
      </c>
      <c r="C6401" s="68"/>
      <c r="D6401" s="68">
        <v>46389.0</v>
      </c>
      <c r="E6401" s="66">
        <v>9.0</v>
      </c>
      <c r="F6401" s="66" t="str">
        <f>IFERROR(__xludf.DUMMYFUNCTION("GOOGLETRANSLATE(A6401,""en"",""pt"")"),"#VALUE!")</f>
        <v>#VALUE!</v>
      </c>
      <c r="G6401" s="69"/>
    </row>
    <row r="6402" ht="22.5" customHeight="1">
      <c r="A6402" s="66"/>
      <c r="B6402" s="67" t="str">
        <f t="shared" si="16"/>
        <v>M: </v>
      </c>
      <c r="C6402" s="68"/>
      <c r="D6402" s="68">
        <v>46390.0</v>
      </c>
      <c r="E6402" s="66">
        <v>10.0</v>
      </c>
      <c r="F6402" s="66" t="str">
        <f>IFERROR(__xludf.DUMMYFUNCTION("GOOGLETRANSLATE(A6402,""en"",""pt"")"),"#VALUE!")</f>
        <v>#VALUE!</v>
      </c>
      <c r="G6402" s="69"/>
    </row>
    <row r="6403" ht="22.5" customHeight="1">
      <c r="A6403" s="66"/>
      <c r="B6403" s="67" t="str">
        <f t="shared" si="16"/>
        <v>M: </v>
      </c>
      <c r="C6403" s="68"/>
      <c r="D6403" s="68">
        <v>46390.0</v>
      </c>
      <c r="E6403" s="66">
        <v>1.0</v>
      </c>
      <c r="F6403" s="66" t="str">
        <f>IFERROR(__xludf.DUMMYFUNCTION("GOOGLETRANSLATE(A6403,""en"",""pt"")"),"#VALUE!")</f>
        <v>#VALUE!</v>
      </c>
      <c r="G6403" s="69"/>
    </row>
    <row r="6404" ht="22.5" customHeight="1">
      <c r="A6404" s="66"/>
      <c r="B6404" s="67" t="str">
        <f t="shared" si="16"/>
        <v>M: </v>
      </c>
      <c r="C6404" s="68"/>
      <c r="D6404" s="68">
        <v>46390.0</v>
      </c>
      <c r="E6404" s="66">
        <v>2.0</v>
      </c>
      <c r="F6404" s="66" t="str">
        <f>IFERROR(__xludf.DUMMYFUNCTION("GOOGLETRANSLATE(A6404,""en"",""pt"")"),"#VALUE!")</f>
        <v>#VALUE!</v>
      </c>
      <c r="G6404" s="69"/>
    </row>
    <row r="6405" ht="22.5" customHeight="1">
      <c r="A6405" s="66"/>
      <c r="B6405" s="67" t="str">
        <f t="shared" si="16"/>
        <v>M: </v>
      </c>
      <c r="C6405" s="68"/>
      <c r="D6405" s="68">
        <v>46390.0</v>
      </c>
      <c r="E6405" s="66">
        <v>3.0</v>
      </c>
      <c r="F6405" s="66" t="str">
        <f>IFERROR(__xludf.DUMMYFUNCTION("GOOGLETRANSLATE(A6405,""en"",""pt"")"),"#VALUE!")</f>
        <v>#VALUE!</v>
      </c>
      <c r="G6405" s="69"/>
    </row>
    <row r="6406" ht="22.5" customHeight="1">
      <c r="A6406" s="66"/>
      <c r="B6406" s="67" t="str">
        <f t="shared" si="16"/>
        <v>M: </v>
      </c>
      <c r="C6406" s="68"/>
      <c r="D6406" s="68">
        <v>46390.0</v>
      </c>
      <c r="E6406" s="66">
        <v>4.0</v>
      </c>
      <c r="F6406" s="66" t="str">
        <f>IFERROR(__xludf.DUMMYFUNCTION("GOOGLETRANSLATE(A6406,""en"",""pt"")"),"#VALUE!")</f>
        <v>#VALUE!</v>
      </c>
      <c r="G6406" s="69"/>
    </row>
    <row r="6407" ht="22.5" customHeight="1">
      <c r="A6407" s="66"/>
      <c r="B6407" s="67" t="str">
        <f t="shared" si="16"/>
        <v>M: </v>
      </c>
      <c r="C6407" s="68"/>
      <c r="D6407" s="68">
        <v>46390.0</v>
      </c>
      <c r="E6407" s="66">
        <v>5.0</v>
      </c>
      <c r="F6407" s="66" t="str">
        <f>IFERROR(__xludf.DUMMYFUNCTION("GOOGLETRANSLATE(A6407,""en"",""pt"")"),"#VALUE!")</f>
        <v>#VALUE!</v>
      </c>
      <c r="G6407" s="69"/>
    </row>
    <row r="6408" ht="22.5" customHeight="1">
      <c r="A6408" s="66"/>
      <c r="B6408" s="67" t="str">
        <f t="shared" si="16"/>
        <v>M: </v>
      </c>
      <c r="C6408" s="68"/>
      <c r="D6408" s="68">
        <v>46390.0</v>
      </c>
      <c r="E6408" s="66">
        <v>6.0</v>
      </c>
      <c r="F6408" s="66" t="str">
        <f>IFERROR(__xludf.DUMMYFUNCTION("GOOGLETRANSLATE(A6408,""en"",""pt"")"),"#VALUE!")</f>
        <v>#VALUE!</v>
      </c>
      <c r="G6408" s="69"/>
    </row>
    <row r="6409" ht="22.5" customHeight="1">
      <c r="A6409" s="66"/>
      <c r="B6409" s="67" t="str">
        <f t="shared" si="16"/>
        <v>M: </v>
      </c>
      <c r="C6409" s="68"/>
      <c r="D6409" s="68">
        <v>46390.0</v>
      </c>
      <c r="E6409" s="66">
        <v>7.0</v>
      </c>
      <c r="F6409" s="66" t="str">
        <f>IFERROR(__xludf.DUMMYFUNCTION("GOOGLETRANSLATE(A6409,""en"",""pt"")"),"#VALUE!")</f>
        <v>#VALUE!</v>
      </c>
      <c r="G6409" s="69"/>
    </row>
    <row r="6410" ht="22.5" customHeight="1">
      <c r="A6410" s="66"/>
      <c r="B6410" s="67" t="str">
        <f t="shared" si="16"/>
        <v>M: </v>
      </c>
      <c r="C6410" s="68"/>
      <c r="D6410" s="68">
        <v>46390.0</v>
      </c>
      <c r="E6410" s="66">
        <v>8.0</v>
      </c>
      <c r="F6410" s="66" t="str">
        <f>IFERROR(__xludf.DUMMYFUNCTION("GOOGLETRANSLATE(A6410,""en"",""pt"")"),"#VALUE!")</f>
        <v>#VALUE!</v>
      </c>
      <c r="G6410" s="69"/>
    </row>
    <row r="6411" ht="22.5" customHeight="1">
      <c r="A6411" s="66"/>
      <c r="B6411" s="67" t="str">
        <f t="shared" si="16"/>
        <v>M: </v>
      </c>
      <c r="C6411" s="68"/>
      <c r="D6411" s="68">
        <v>46390.0</v>
      </c>
      <c r="E6411" s="66">
        <v>9.0</v>
      </c>
      <c r="F6411" s="66" t="str">
        <f>IFERROR(__xludf.DUMMYFUNCTION("GOOGLETRANSLATE(A6411,""en"",""pt"")"),"#VALUE!")</f>
        <v>#VALUE!</v>
      </c>
      <c r="G6411" s="69"/>
    </row>
    <row r="6412" ht="22.5" customHeight="1">
      <c r="A6412" s="66"/>
      <c r="B6412" s="67" t="str">
        <f t="shared" si="16"/>
        <v>M: </v>
      </c>
      <c r="C6412" s="68"/>
      <c r="D6412" s="68">
        <v>46391.0</v>
      </c>
      <c r="E6412" s="66">
        <v>10.0</v>
      </c>
      <c r="F6412" s="66" t="str">
        <f>IFERROR(__xludf.DUMMYFUNCTION("GOOGLETRANSLATE(A6412,""en"",""pt"")"),"#VALUE!")</f>
        <v>#VALUE!</v>
      </c>
      <c r="G6412" s="69"/>
    </row>
    <row r="6413" ht="22.5" customHeight="1">
      <c r="A6413" s="66"/>
      <c r="B6413" s="67" t="str">
        <f t="shared" si="16"/>
        <v>M: </v>
      </c>
      <c r="C6413" s="68"/>
      <c r="D6413" s="68">
        <v>46391.0</v>
      </c>
      <c r="E6413" s="66">
        <v>1.0</v>
      </c>
      <c r="F6413" s="66" t="str">
        <f>IFERROR(__xludf.DUMMYFUNCTION("GOOGLETRANSLATE(A6413,""en"",""pt"")"),"#VALUE!")</f>
        <v>#VALUE!</v>
      </c>
      <c r="G6413" s="69"/>
    </row>
    <row r="6414" ht="22.5" customHeight="1">
      <c r="A6414" s="66"/>
      <c r="B6414" s="67" t="str">
        <f t="shared" si="16"/>
        <v>M: </v>
      </c>
      <c r="C6414" s="68"/>
      <c r="D6414" s="68">
        <v>46391.0</v>
      </c>
      <c r="E6414" s="66">
        <v>2.0</v>
      </c>
      <c r="F6414" s="66" t="str">
        <f>IFERROR(__xludf.DUMMYFUNCTION("GOOGLETRANSLATE(A6414,""en"",""pt"")"),"#VALUE!")</f>
        <v>#VALUE!</v>
      </c>
      <c r="G6414" s="69"/>
    </row>
    <row r="6415" ht="22.5" customHeight="1">
      <c r="A6415" s="66"/>
      <c r="B6415" s="67" t="str">
        <f t="shared" si="16"/>
        <v>M: </v>
      </c>
      <c r="C6415" s="68"/>
      <c r="D6415" s="68">
        <v>46391.0</v>
      </c>
      <c r="E6415" s="66">
        <v>3.0</v>
      </c>
      <c r="F6415" s="66" t="str">
        <f>IFERROR(__xludf.DUMMYFUNCTION("GOOGLETRANSLATE(A6415,""en"",""pt"")"),"#VALUE!")</f>
        <v>#VALUE!</v>
      </c>
      <c r="G6415" s="69"/>
    </row>
    <row r="6416" ht="22.5" customHeight="1">
      <c r="A6416" s="66"/>
      <c r="B6416" s="67" t="str">
        <f t="shared" si="16"/>
        <v>M: </v>
      </c>
      <c r="C6416" s="68"/>
      <c r="D6416" s="68">
        <v>46391.0</v>
      </c>
      <c r="E6416" s="66">
        <v>4.0</v>
      </c>
      <c r="F6416" s="66" t="str">
        <f>IFERROR(__xludf.DUMMYFUNCTION("GOOGLETRANSLATE(A6416,""en"",""pt"")"),"#VALUE!")</f>
        <v>#VALUE!</v>
      </c>
      <c r="G6416" s="69"/>
    </row>
    <row r="6417" ht="22.5" customHeight="1">
      <c r="A6417" s="66"/>
      <c r="B6417" s="67" t="str">
        <f t="shared" si="16"/>
        <v>M: </v>
      </c>
      <c r="C6417" s="68"/>
      <c r="D6417" s="68">
        <v>46391.0</v>
      </c>
      <c r="E6417" s="66">
        <v>5.0</v>
      </c>
      <c r="F6417" s="66" t="str">
        <f>IFERROR(__xludf.DUMMYFUNCTION("GOOGLETRANSLATE(A6417,""en"",""pt"")"),"#VALUE!")</f>
        <v>#VALUE!</v>
      </c>
      <c r="G6417" s="69"/>
    </row>
    <row r="6418" ht="22.5" customHeight="1">
      <c r="A6418" s="66"/>
      <c r="B6418" s="67" t="str">
        <f t="shared" si="16"/>
        <v>M: </v>
      </c>
      <c r="C6418" s="68"/>
      <c r="D6418" s="68">
        <v>46391.0</v>
      </c>
      <c r="E6418" s="66">
        <v>6.0</v>
      </c>
      <c r="F6418" s="66" t="str">
        <f>IFERROR(__xludf.DUMMYFUNCTION("GOOGLETRANSLATE(A6418,""en"",""pt"")"),"#VALUE!")</f>
        <v>#VALUE!</v>
      </c>
      <c r="G6418" s="69"/>
    </row>
    <row r="6419" ht="22.5" customHeight="1">
      <c r="A6419" s="66"/>
      <c r="B6419" s="67" t="str">
        <f t="shared" si="16"/>
        <v>M: </v>
      </c>
      <c r="C6419" s="68"/>
      <c r="D6419" s="68">
        <v>46391.0</v>
      </c>
      <c r="E6419" s="66">
        <v>7.0</v>
      </c>
      <c r="F6419" s="66" t="str">
        <f>IFERROR(__xludf.DUMMYFUNCTION("GOOGLETRANSLATE(A6419,""en"",""pt"")"),"#VALUE!")</f>
        <v>#VALUE!</v>
      </c>
      <c r="G6419" s="69"/>
    </row>
    <row r="6420" ht="22.5" customHeight="1">
      <c r="A6420" s="66"/>
      <c r="B6420" s="67" t="str">
        <f t="shared" si="16"/>
        <v>M: </v>
      </c>
      <c r="C6420" s="68"/>
      <c r="D6420" s="68">
        <v>46391.0</v>
      </c>
      <c r="E6420" s="66">
        <v>8.0</v>
      </c>
      <c r="F6420" s="66" t="str">
        <f>IFERROR(__xludf.DUMMYFUNCTION("GOOGLETRANSLATE(A6420,""en"",""pt"")"),"#VALUE!")</f>
        <v>#VALUE!</v>
      </c>
      <c r="G6420" s="69"/>
    </row>
    <row r="6421" ht="22.5" customHeight="1">
      <c r="A6421" s="66"/>
      <c r="B6421" s="67" t="str">
        <f t="shared" si="16"/>
        <v>M: </v>
      </c>
      <c r="C6421" s="68"/>
      <c r="D6421" s="68">
        <v>46391.0</v>
      </c>
      <c r="E6421" s="66">
        <v>9.0</v>
      </c>
      <c r="F6421" s="66" t="str">
        <f>IFERROR(__xludf.DUMMYFUNCTION("GOOGLETRANSLATE(A6421,""en"",""pt"")"),"#VALUE!")</f>
        <v>#VALUE!</v>
      </c>
      <c r="G6421" s="69"/>
    </row>
    <row r="6422" ht="22.5" customHeight="1">
      <c r="A6422" s="66"/>
      <c r="B6422" s="67" t="str">
        <f t="shared" si="16"/>
        <v>M: </v>
      </c>
      <c r="C6422" s="68"/>
      <c r="D6422" s="68">
        <v>46392.0</v>
      </c>
      <c r="E6422" s="66">
        <v>10.0</v>
      </c>
      <c r="F6422" s="66" t="str">
        <f>IFERROR(__xludf.DUMMYFUNCTION("GOOGLETRANSLATE(A6422,""en"",""pt"")"),"#VALUE!")</f>
        <v>#VALUE!</v>
      </c>
      <c r="G6422" s="69"/>
    </row>
    <row r="6423" ht="22.5" customHeight="1">
      <c r="A6423" s="66"/>
      <c r="B6423" s="67" t="str">
        <f t="shared" si="16"/>
        <v>M: </v>
      </c>
      <c r="C6423" s="68"/>
      <c r="D6423" s="68">
        <v>46392.0</v>
      </c>
      <c r="E6423" s="66">
        <v>1.0</v>
      </c>
      <c r="F6423" s="66" t="str">
        <f>IFERROR(__xludf.DUMMYFUNCTION("GOOGLETRANSLATE(A6423,""en"",""pt"")"),"#VALUE!")</f>
        <v>#VALUE!</v>
      </c>
      <c r="G6423" s="69"/>
    </row>
    <row r="6424" ht="22.5" customHeight="1">
      <c r="A6424" s="66"/>
      <c r="B6424" s="67" t="str">
        <f t="shared" si="16"/>
        <v>M: </v>
      </c>
      <c r="C6424" s="68"/>
      <c r="D6424" s="68">
        <v>46392.0</v>
      </c>
      <c r="E6424" s="66">
        <v>2.0</v>
      </c>
      <c r="F6424" s="66" t="str">
        <f>IFERROR(__xludf.DUMMYFUNCTION("GOOGLETRANSLATE(A6424,""en"",""pt"")"),"#VALUE!")</f>
        <v>#VALUE!</v>
      </c>
      <c r="G6424" s="69"/>
    </row>
    <row r="6425" ht="22.5" customHeight="1">
      <c r="A6425" s="66"/>
      <c r="B6425" s="67" t="str">
        <f t="shared" si="16"/>
        <v>M: </v>
      </c>
      <c r="C6425" s="68"/>
      <c r="D6425" s="68">
        <v>46392.0</v>
      </c>
      <c r="E6425" s="66">
        <v>3.0</v>
      </c>
      <c r="F6425" s="66" t="str">
        <f>IFERROR(__xludf.DUMMYFUNCTION("GOOGLETRANSLATE(A6425,""en"",""pt"")"),"#VALUE!")</f>
        <v>#VALUE!</v>
      </c>
      <c r="G6425" s="69"/>
    </row>
    <row r="6426" ht="22.5" customHeight="1">
      <c r="A6426" s="66"/>
      <c r="B6426" s="67" t="str">
        <f t="shared" si="16"/>
        <v>M: </v>
      </c>
      <c r="C6426" s="68"/>
      <c r="D6426" s="68">
        <v>46392.0</v>
      </c>
      <c r="E6426" s="66">
        <v>4.0</v>
      </c>
      <c r="F6426" s="66" t="str">
        <f>IFERROR(__xludf.DUMMYFUNCTION("GOOGLETRANSLATE(A6426,""en"",""pt"")"),"#VALUE!")</f>
        <v>#VALUE!</v>
      </c>
      <c r="G6426" s="69"/>
    </row>
    <row r="6427" ht="22.5" customHeight="1">
      <c r="A6427" s="66"/>
      <c r="B6427" s="67" t="str">
        <f t="shared" si="16"/>
        <v>M: </v>
      </c>
      <c r="C6427" s="68"/>
      <c r="D6427" s="68">
        <v>46392.0</v>
      </c>
      <c r="E6427" s="66">
        <v>5.0</v>
      </c>
      <c r="F6427" s="66" t="str">
        <f>IFERROR(__xludf.DUMMYFUNCTION("GOOGLETRANSLATE(A6427,""en"",""pt"")"),"#VALUE!")</f>
        <v>#VALUE!</v>
      </c>
      <c r="G6427" s="69"/>
    </row>
    <row r="6428" ht="22.5" customHeight="1">
      <c r="A6428" s="66"/>
      <c r="B6428" s="67" t="str">
        <f t="shared" si="16"/>
        <v>M: </v>
      </c>
      <c r="C6428" s="68"/>
      <c r="D6428" s="68">
        <v>46392.0</v>
      </c>
      <c r="E6428" s="66">
        <v>6.0</v>
      </c>
      <c r="F6428" s="66" t="str">
        <f>IFERROR(__xludf.DUMMYFUNCTION("GOOGLETRANSLATE(A6428,""en"",""pt"")"),"#VALUE!")</f>
        <v>#VALUE!</v>
      </c>
      <c r="G6428" s="69"/>
    </row>
    <row r="6429" ht="22.5" customHeight="1">
      <c r="A6429" s="66"/>
      <c r="B6429" s="67" t="str">
        <f t="shared" si="16"/>
        <v>M: </v>
      </c>
      <c r="C6429" s="68"/>
      <c r="D6429" s="68">
        <v>46392.0</v>
      </c>
      <c r="E6429" s="66">
        <v>7.0</v>
      </c>
      <c r="F6429" s="66" t="str">
        <f>IFERROR(__xludf.DUMMYFUNCTION("GOOGLETRANSLATE(A6429,""en"",""pt"")"),"#VALUE!")</f>
        <v>#VALUE!</v>
      </c>
      <c r="G6429" s="69"/>
    </row>
    <row r="6430" ht="22.5" customHeight="1">
      <c r="A6430" s="66"/>
      <c r="B6430" s="67" t="str">
        <f t="shared" si="16"/>
        <v>M: </v>
      </c>
      <c r="C6430" s="68"/>
      <c r="D6430" s="68">
        <v>46392.0</v>
      </c>
      <c r="E6430" s="66">
        <v>8.0</v>
      </c>
      <c r="F6430" s="66" t="str">
        <f>IFERROR(__xludf.DUMMYFUNCTION("GOOGLETRANSLATE(A6430,""en"",""pt"")"),"#VALUE!")</f>
        <v>#VALUE!</v>
      </c>
      <c r="G6430" s="69"/>
    </row>
    <row r="6431" ht="22.5" customHeight="1">
      <c r="A6431" s="66"/>
      <c r="B6431" s="67" t="str">
        <f t="shared" si="16"/>
        <v>M: </v>
      </c>
      <c r="C6431" s="68"/>
      <c r="D6431" s="68">
        <v>46392.0</v>
      </c>
      <c r="E6431" s="66">
        <v>9.0</v>
      </c>
      <c r="F6431" s="66" t="str">
        <f>IFERROR(__xludf.DUMMYFUNCTION("GOOGLETRANSLATE(A6431,""en"",""pt"")"),"#VALUE!")</f>
        <v>#VALUE!</v>
      </c>
      <c r="G6431" s="69"/>
    </row>
    <row r="6432" ht="22.5" customHeight="1">
      <c r="A6432" s="66"/>
      <c r="B6432" s="67" t="str">
        <f t="shared" si="16"/>
        <v>M: </v>
      </c>
      <c r="C6432" s="68"/>
      <c r="D6432" s="68">
        <v>46393.0</v>
      </c>
      <c r="E6432" s="66">
        <v>10.0</v>
      </c>
      <c r="F6432" s="66" t="str">
        <f>IFERROR(__xludf.DUMMYFUNCTION("GOOGLETRANSLATE(A6432,""en"",""pt"")"),"#VALUE!")</f>
        <v>#VALUE!</v>
      </c>
      <c r="G6432" s="69"/>
    </row>
    <row r="6433" ht="22.5" customHeight="1">
      <c r="A6433" s="66"/>
      <c r="B6433" s="67" t="str">
        <f t="shared" si="16"/>
        <v>M: </v>
      </c>
      <c r="C6433" s="68"/>
      <c r="D6433" s="68">
        <v>46393.0</v>
      </c>
      <c r="E6433" s="66">
        <v>1.0</v>
      </c>
      <c r="F6433" s="66" t="str">
        <f>IFERROR(__xludf.DUMMYFUNCTION("GOOGLETRANSLATE(A6433,""en"",""pt"")"),"#VALUE!")</f>
        <v>#VALUE!</v>
      </c>
      <c r="G6433" s="69"/>
    </row>
    <row r="6434" ht="22.5" customHeight="1">
      <c r="A6434" s="66"/>
      <c r="B6434" s="67" t="str">
        <f t="shared" si="16"/>
        <v>M: </v>
      </c>
      <c r="C6434" s="68"/>
      <c r="D6434" s="68">
        <v>46393.0</v>
      </c>
      <c r="E6434" s="66">
        <v>2.0</v>
      </c>
      <c r="F6434" s="66" t="str">
        <f>IFERROR(__xludf.DUMMYFUNCTION("GOOGLETRANSLATE(A6434,""en"",""pt"")"),"#VALUE!")</f>
        <v>#VALUE!</v>
      </c>
      <c r="G6434" s="69"/>
    </row>
    <row r="6435" ht="22.5" customHeight="1">
      <c r="A6435" s="66"/>
      <c r="B6435" s="67" t="str">
        <f t="shared" si="16"/>
        <v>M: </v>
      </c>
      <c r="C6435" s="68"/>
      <c r="D6435" s="68">
        <v>46393.0</v>
      </c>
      <c r="E6435" s="66">
        <v>3.0</v>
      </c>
      <c r="F6435" s="66" t="str">
        <f>IFERROR(__xludf.DUMMYFUNCTION("GOOGLETRANSLATE(A6435,""en"",""pt"")"),"#VALUE!")</f>
        <v>#VALUE!</v>
      </c>
      <c r="G6435" s="69"/>
    </row>
    <row r="6436" ht="22.5" customHeight="1">
      <c r="A6436" s="66"/>
      <c r="B6436" s="67" t="str">
        <f t="shared" si="16"/>
        <v>M: </v>
      </c>
      <c r="C6436" s="68"/>
      <c r="D6436" s="68">
        <v>46393.0</v>
      </c>
      <c r="E6436" s="66">
        <v>4.0</v>
      </c>
      <c r="F6436" s="66" t="str">
        <f>IFERROR(__xludf.DUMMYFUNCTION("GOOGLETRANSLATE(A6436,""en"",""pt"")"),"#VALUE!")</f>
        <v>#VALUE!</v>
      </c>
      <c r="G6436" s="69"/>
    </row>
    <row r="6437" ht="22.5" customHeight="1">
      <c r="A6437" s="66"/>
      <c r="B6437" s="67" t="str">
        <f t="shared" si="16"/>
        <v>M: </v>
      </c>
      <c r="C6437" s="68"/>
      <c r="D6437" s="68">
        <v>46393.0</v>
      </c>
      <c r="E6437" s="66">
        <v>5.0</v>
      </c>
      <c r="F6437" s="66" t="str">
        <f>IFERROR(__xludf.DUMMYFUNCTION("GOOGLETRANSLATE(A6437,""en"",""pt"")"),"#VALUE!")</f>
        <v>#VALUE!</v>
      </c>
      <c r="G6437" s="69"/>
    </row>
    <row r="6438" ht="22.5" customHeight="1">
      <c r="A6438" s="66"/>
      <c r="B6438" s="67" t="str">
        <f t="shared" si="16"/>
        <v>M: </v>
      </c>
      <c r="C6438" s="68"/>
      <c r="D6438" s="68">
        <v>46393.0</v>
      </c>
      <c r="E6438" s="66">
        <v>6.0</v>
      </c>
      <c r="F6438" s="66" t="str">
        <f>IFERROR(__xludf.DUMMYFUNCTION("GOOGLETRANSLATE(A6438,""en"",""pt"")"),"#VALUE!")</f>
        <v>#VALUE!</v>
      </c>
      <c r="G6438" s="69"/>
    </row>
    <row r="6439" ht="22.5" customHeight="1">
      <c r="A6439" s="66"/>
      <c r="B6439" s="67" t="str">
        <f t="shared" si="16"/>
        <v>M: </v>
      </c>
      <c r="C6439" s="68"/>
      <c r="D6439" s="68">
        <v>46393.0</v>
      </c>
      <c r="E6439" s="66">
        <v>7.0</v>
      </c>
      <c r="F6439" s="66" t="str">
        <f>IFERROR(__xludf.DUMMYFUNCTION("GOOGLETRANSLATE(A6439,""en"",""pt"")"),"#VALUE!")</f>
        <v>#VALUE!</v>
      </c>
      <c r="G6439" s="69"/>
    </row>
    <row r="6440" ht="22.5" customHeight="1">
      <c r="A6440" s="66"/>
      <c r="B6440" s="67" t="str">
        <f t="shared" si="16"/>
        <v>M: </v>
      </c>
      <c r="C6440" s="68"/>
      <c r="D6440" s="68">
        <v>46393.0</v>
      </c>
      <c r="E6440" s="66">
        <v>8.0</v>
      </c>
      <c r="F6440" s="66" t="str">
        <f>IFERROR(__xludf.DUMMYFUNCTION("GOOGLETRANSLATE(A6440,""en"",""pt"")"),"#VALUE!")</f>
        <v>#VALUE!</v>
      </c>
      <c r="G6440" s="69"/>
    </row>
    <row r="6441" ht="22.5" customHeight="1">
      <c r="A6441" s="66"/>
      <c r="B6441" s="67" t="str">
        <f t="shared" si="16"/>
        <v>M: </v>
      </c>
      <c r="C6441" s="68"/>
      <c r="D6441" s="68">
        <v>46393.0</v>
      </c>
      <c r="E6441" s="66">
        <v>9.0</v>
      </c>
      <c r="F6441" s="66" t="str">
        <f>IFERROR(__xludf.DUMMYFUNCTION("GOOGLETRANSLATE(A6441,""en"",""pt"")"),"#VALUE!")</f>
        <v>#VALUE!</v>
      </c>
      <c r="G6441" s="69"/>
    </row>
    <row r="6442" ht="22.5" customHeight="1">
      <c r="A6442" s="66"/>
      <c r="B6442" s="67" t="str">
        <f t="shared" si="16"/>
        <v>M: </v>
      </c>
      <c r="C6442" s="68"/>
      <c r="D6442" s="68">
        <v>46394.0</v>
      </c>
      <c r="E6442" s="66">
        <v>10.0</v>
      </c>
      <c r="F6442" s="66" t="str">
        <f>IFERROR(__xludf.DUMMYFUNCTION("GOOGLETRANSLATE(A6442,""en"",""pt"")"),"#VALUE!")</f>
        <v>#VALUE!</v>
      </c>
      <c r="G6442" s="69"/>
    </row>
    <row r="6443" ht="22.5" customHeight="1">
      <c r="A6443" s="66"/>
      <c r="B6443" s="67" t="str">
        <f t="shared" si="16"/>
        <v>M: </v>
      </c>
      <c r="C6443" s="68"/>
      <c r="D6443" s="68">
        <v>46394.0</v>
      </c>
      <c r="E6443" s="66">
        <v>1.0</v>
      </c>
      <c r="F6443" s="66" t="str">
        <f>IFERROR(__xludf.DUMMYFUNCTION("GOOGLETRANSLATE(A6443,""en"",""pt"")"),"#VALUE!")</f>
        <v>#VALUE!</v>
      </c>
      <c r="G6443" s="69"/>
    </row>
    <row r="6444" ht="22.5" customHeight="1">
      <c r="A6444" s="66"/>
      <c r="B6444" s="67" t="str">
        <f t="shared" si="16"/>
        <v>M: </v>
      </c>
      <c r="C6444" s="68"/>
      <c r="D6444" s="68">
        <v>46394.0</v>
      </c>
      <c r="E6444" s="66">
        <v>2.0</v>
      </c>
      <c r="F6444" s="66" t="str">
        <f>IFERROR(__xludf.DUMMYFUNCTION("GOOGLETRANSLATE(A6444,""en"",""pt"")"),"#VALUE!")</f>
        <v>#VALUE!</v>
      </c>
      <c r="G6444" s="69"/>
    </row>
    <row r="6445" ht="22.5" customHeight="1">
      <c r="A6445" s="66"/>
      <c r="B6445" s="67" t="str">
        <f t="shared" si="16"/>
        <v>M: </v>
      </c>
      <c r="C6445" s="68"/>
      <c r="D6445" s="68">
        <v>46394.0</v>
      </c>
      <c r="E6445" s="66">
        <v>3.0</v>
      </c>
      <c r="F6445" s="66" t="str">
        <f>IFERROR(__xludf.DUMMYFUNCTION("GOOGLETRANSLATE(A6445,""en"",""pt"")"),"#VALUE!")</f>
        <v>#VALUE!</v>
      </c>
      <c r="G6445" s="69"/>
    </row>
    <row r="6446" ht="22.5" customHeight="1">
      <c r="A6446" s="66"/>
      <c r="B6446" s="67" t="str">
        <f t="shared" si="16"/>
        <v>M: </v>
      </c>
      <c r="C6446" s="68"/>
      <c r="D6446" s="68">
        <v>46394.0</v>
      </c>
      <c r="E6446" s="66">
        <v>4.0</v>
      </c>
      <c r="F6446" s="66" t="str">
        <f>IFERROR(__xludf.DUMMYFUNCTION("GOOGLETRANSLATE(A6446,""en"",""pt"")"),"#VALUE!")</f>
        <v>#VALUE!</v>
      </c>
      <c r="G6446" s="69"/>
    </row>
    <row r="6447" ht="22.5" customHeight="1">
      <c r="A6447" s="66"/>
      <c r="B6447" s="67" t="str">
        <f t="shared" si="16"/>
        <v>M: </v>
      </c>
      <c r="C6447" s="68"/>
      <c r="D6447" s="68">
        <v>46394.0</v>
      </c>
      <c r="E6447" s="66">
        <v>5.0</v>
      </c>
      <c r="F6447" s="66" t="str">
        <f>IFERROR(__xludf.DUMMYFUNCTION("GOOGLETRANSLATE(A6447,""en"",""pt"")"),"#VALUE!")</f>
        <v>#VALUE!</v>
      </c>
      <c r="G6447" s="69"/>
    </row>
    <row r="6448" ht="22.5" customHeight="1">
      <c r="A6448" s="66"/>
      <c r="B6448" s="67" t="str">
        <f t="shared" si="16"/>
        <v>M: </v>
      </c>
      <c r="C6448" s="68"/>
      <c r="D6448" s="68">
        <v>46394.0</v>
      </c>
      <c r="E6448" s="66">
        <v>6.0</v>
      </c>
      <c r="F6448" s="66" t="str">
        <f>IFERROR(__xludf.DUMMYFUNCTION("GOOGLETRANSLATE(A6448,""en"",""pt"")"),"#VALUE!")</f>
        <v>#VALUE!</v>
      </c>
      <c r="G6448" s="69"/>
    </row>
    <row r="6449" ht="22.5" customHeight="1">
      <c r="A6449" s="66"/>
      <c r="B6449" s="67" t="str">
        <f t="shared" si="16"/>
        <v>M: </v>
      </c>
      <c r="C6449" s="68"/>
      <c r="D6449" s="68">
        <v>46394.0</v>
      </c>
      <c r="E6449" s="66">
        <v>7.0</v>
      </c>
      <c r="F6449" s="66" t="str">
        <f>IFERROR(__xludf.DUMMYFUNCTION("GOOGLETRANSLATE(A6449,""en"",""pt"")"),"#VALUE!")</f>
        <v>#VALUE!</v>
      </c>
      <c r="G6449" s="69"/>
    </row>
    <row r="6450" ht="22.5" customHeight="1">
      <c r="A6450" s="66"/>
      <c r="B6450" s="67" t="str">
        <f t="shared" si="16"/>
        <v>M: </v>
      </c>
      <c r="C6450" s="68"/>
      <c r="D6450" s="68">
        <v>46394.0</v>
      </c>
      <c r="E6450" s="66">
        <v>8.0</v>
      </c>
      <c r="F6450" s="66" t="str">
        <f>IFERROR(__xludf.DUMMYFUNCTION("GOOGLETRANSLATE(A6450,""en"",""pt"")"),"#VALUE!")</f>
        <v>#VALUE!</v>
      </c>
      <c r="G6450" s="69"/>
    </row>
    <row r="6451" ht="22.5" customHeight="1">
      <c r="A6451" s="66"/>
      <c r="B6451" s="67" t="str">
        <f t="shared" si="16"/>
        <v>M: </v>
      </c>
      <c r="C6451" s="68"/>
      <c r="D6451" s="68">
        <v>46394.0</v>
      </c>
      <c r="E6451" s="66">
        <v>9.0</v>
      </c>
      <c r="F6451" s="66" t="str">
        <f>IFERROR(__xludf.DUMMYFUNCTION("GOOGLETRANSLATE(A6451,""en"",""pt"")"),"#VALUE!")</f>
        <v>#VALUE!</v>
      </c>
      <c r="G6451" s="69"/>
    </row>
    <row r="6452" ht="22.5" customHeight="1">
      <c r="A6452" s="66"/>
      <c r="B6452" s="67" t="str">
        <f t="shared" si="16"/>
        <v>M: </v>
      </c>
      <c r="C6452" s="68"/>
      <c r="D6452" s="68">
        <v>46395.0</v>
      </c>
      <c r="E6452" s="66">
        <v>10.0</v>
      </c>
      <c r="F6452" s="66" t="str">
        <f>IFERROR(__xludf.DUMMYFUNCTION("GOOGLETRANSLATE(A6452,""en"",""pt"")"),"#VALUE!")</f>
        <v>#VALUE!</v>
      </c>
      <c r="G6452" s="69"/>
    </row>
    <row r="6453" ht="22.5" customHeight="1">
      <c r="A6453" s="66"/>
      <c r="B6453" s="67" t="str">
        <f t="shared" si="16"/>
        <v>M: </v>
      </c>
      <c r="C6453" s="68"/>
      <c r="D6453" s="68">
        <v>46395.0</v>
      </c>
      <c r="E6453" s="66">
        <v>1.0</v>
      </c>
      <c r="F6453" s="66" t="str">
        <f>IFERROR(__xludf.DUMMYFUNCTION("GOOGLETRANSLATE(A6453,""en"",""pt"")"),"#VALUE!")</f>
        <v>#VALUE!</v>
      </c>
      <c r="G6453" s="69"/>
    </row>
    <row r="6454" ht="22.5" customHeight="1">
      <c r="A6454" s="66"/>
      <c r="B6454" s="67" t="str">
        <f t="shared" si="16"/>
        <v>M: </v>
      </c>
      <c r="C6454" s="68"/>
      <c r="D6454" s="68">
        <v>46395.0</v>
      </c>
      <c r="E6454" s="66">
        <v>2.0</v>
      </c>
      <c r="F6454" s="66" t="str">
        <f>IFERROR(__xludf.DUMMYFUNCTION("GOOGLETRANSLATE(A6454,""en"",""pt"")"),"#VALUE!")</f>
        <v>#VALUE!</v>
      </c>
      <c r="G6454" s="69"/>
    </row>
    <row r="6455" ht="22.5" customHeight="1">
      <c r="A6455" s="66"/>
      <c r="B6455" s="67" t="str">
        <f t="shared" si="16"/>
        <v>M: </v>
      </c>
      <c r="C6455" s="68"/>
      <c r="D6455" s="68">
        <v>46395.0</v>
      </c>
      <c r="E6455" s="66">
        <v>3.0</v>
      </c>
      <c r="F6455" s="66" t="str">
        <f>IFERROR(__xludf.DUMMYFUNCTION("GOOGLETRANSLATE(A6455,""en"",""pt"")"),"#VALUE!")</f>
        <v>#VALUE!</v>
      </c>
      <c r="G6455" s="69"/>
    </row>
    <row r="6456" ht="22.5" customHeight="1">
      <c r="A6456" s="66"/>
      <c r="B6456" s="67" t="str">
        <f t="shared" si="16"/>
        <v>M: </v>
      </c>
      <c r="C6456" s="68"/>
      <c r="D6456" s="68">
        <v>46395.0</v>
      </c>
      <c r="E6456" s="66">
        <v>4.0</v>
      </c>
      <c r="F6456" s="66" t="str">
        <f>IFERROR(__xludf.DUMMYFUNCTION("GOOGLETRANSLATE(A6456,""en"",""pt"")"),"#VALUE!")</f>
        <v>#VALUE!</v>
      </c>
      <c r="G6456" s="69"/>
    </row>
    <row r="6457" ht="22.5" customHeight="1">
      <c r="A6457" s="66"/>
      <c r="B6457" s="67" t="str">
        <f t="shared" si="16"/>
        <v>M: </v>
      </c>
      <c r="C6457" s="68"/>
      <c r="D6457" s="68">
        <v>46395.0</v>
      </c>
      <c r="E6457" s="66">
        <v>5.0</v>
      </c>
      <c r="F6457" s="66" t="str">
        <f>IFERROR(__xludf.DUMMYFUNCTION("GOOGLETRANSLATE(A6457,""en"",""pt"")"),"#VALUE!")</f>
        <v>#VALUE!</v>
      </c>
      <c r="G6457" s="69"/>
    </row>
    <row r="6458" ht="22.5" customHeight="1">
      <c r="A6458" s="66"/>
      <c r="B6458" s="67" t="str">
        <f t="shared" si="16"/>
        <v>M: </v>
      </c>
      <c r="C6458" s="68"/>
      <c r="D6458" s="68">
        <v>46395.0</v>
      </c>
      <c r="E6458" s="66">
        <v>6.0</v>
      </c>
      <c r="F6458" s="66" t="str">
        <f>IFERROR(__xludf.DUMMYFUNCTION("GOOGLETRANSLATE(A6458,""en"",""pt"")"),"#VALUE!")</f>
        <v>#VALUE!</v>
      </c>
      <c r="G6458" s="69"/>
    </row>
    <row r="6459" ht="22.5" customHeight="1">
      <c r="A6459" s="66"/>
      <c r="B6459" s="67" t="str">
        <f t="shared" si="16"/>
        <v>M: </v>
      </c>
      <c r="C6459" s="68"/>
      <c r="D6459" s="68">
        <v>46395.0</v>
      </c>
      <c r="E6459" s="66">
        <v>7.0</v>
      </c>
      <c r="F6459" s="66" t="str">
        <f>IFERROR(__xludf.DUMMYFUNCTION("GOOGLETRANSLATE(A6459,""en"",""pt"")"),"#VALUE!")</f>
        <v>#VALUE!</v>
      </c>
      <c r="G6459" s="69"/>
    </row>
    <row r="6460" ht="22.5" customHeight="1">
      <c r="A6460" s="66"/>
      <c r="B6460" s="67" t="str">
        <f t="shared" si="16"/>
        <v>M: </v>
      </c>
      <c r="C6460" s="68"/>
      <c r="D6460" s="68">
        <v>46395.0</v>
      </c>
      <c r="E6460" s="66">
        <v>8.0</v>
      </c>
      <c r="F6460" s="66" t="str">
        <f>IFERROR(__xludf.DUMMYFUNCTION("GOOGLETRANSLATE(A6460,""en"",""pt"")"),"#VALUE!")</f>
        <v>#VALUE!</v>
      </c>
      <c r="G6460" s="69"/>
    </row>
    <row r="6461" ht="22.5" customHeight="1">
      <c r="A6461" s="66"/>
      <c r="B6461" s="67" t="str">
        <f t="shared" si="16"/>
        <v>M: </v>
      </c>
      <c r="C6461" s="68"/>
      <c r="D6461" s="68">
        <v>46395.0</v>
      </c>
      <c r="E6461" s="66">
        <v>9.0</v>
      </c>
      <c r="F6461" s="66" t="str">
        <f>IFERROR(__xludf.DUMMYFUNCTION("GOOGLETRANSLATE(A6461,""en"",""pt"")"),"#VALUE!")</f>
        <v>#VALUE!</v>
      </c>
      <c r="G6461" s="69"/>
    </row>
    <row r="6462" ht="22.5" customHeight="1">
      <c r="A6462" s="66"/>
      <c r="B6462" s="67" t="str">
        <f t="shared" si="16"/>
        <v>M: </v>
      </c>
      <c r="C6462" s="68"/>
      <c r="D6462" s="68">
        <v>46396.0</v>
      </c>
      <c r="E6462" s="66">
        <v>10.0</v>
      </c>
      <c r="F6462" s="66" t="str">
        <f>IFERROR(__xludf.DUMMYFUNCTION("GOOGLETRANSLATE(A6462,""en"",""pt"")"),"#VALUE!")</f>
        <v>#VALUE!</v>
      </c>
      <c r="G6462" s="69"/>
    </row>
    <row r="6463" ht="22.5" customHeight="1">
      <c r="A6463" s="66"/>
      <c r="B6463" s="67" t="str">
        <f t="shared" si="16"/>
        <v>M: </v>
      </c>
      <c r="C6463" s="68"/>
      <c r="D6463" s="68">
        <v>46396.0</v>
      </c>
      <c r="E6463" s="66">
        <v>1.0</v>
      </c>
      <c r="F6463" s="66" t="str">
        <f>IFERROR(__xludf.DUMMYFUNCTION("GOOGLETRANSLATE(A6463,""en"",""pt"")"),"#VALUE!")</f>
        <v>#VALUE!</v>
      </c>
      <c r="G6463" s="69"/>
    </row>
    <row r="6464" ht="22.5" customHeight="1">
      <c r="A6464" s="66"/>
      <c r="B6464" s="67" t="str">
        <f t="shared" si="16"/>
        <v>M: </v>
      </c>
      <c r="C6464" s="68"/>
      <c r="D6464" s="68">
        <v>46396.0</v>
      </c>
      <c r="E6464" s="66">
        <v>2.0</v>
      </c>
      <c r="F6464" s="66" t="str">
        <f>IFERROR(__xludf.DUMMYFUNCTION("GOOGLETRANSLATE(A6464,""en"",""pt"")"),"#VALUE!")</f>
        <v>#VALUE!</v>
      </c>
      <c r="G6464" s="69"/>
    </row>
    <row r="6465" ht="22.5" customHeight="1">
      <c r="A6465" s="66"/>
      <c r="B6465" s="67" t="str">
        <f t="shared" si="16"/>
        <v>M: </v>
      </c>
      <c r="C6465" s="68"/>
      <c r="D6465" s="68">
        <v>46396.0</v>
      </c>
      <c r="E6465" s="66">
        <v>3.0</v>
      </c>
      <c r="F6465" s="66" t="str">
        <f>IFERROR(__xludf.DUMMYFUNCTION("GOOGLETRANSLATE(A6465,""en"",""pt"")"),"#VALUE!")</f>
        <v>#VALUE!</v>
      </c>
      <c r="G6465" s="69"/>
    </row>
    <row r="6466" ht="22.5" customHeight="1">
      <c r="A6466" s="66"/>
      <c r="B6466" s="67" t="str">
        <f t="shared" si="16"/>
        <v>M: </v>
      </c>
      <c r="C6466" s="68"/>
      <c r="D6466" s="68">
        <v>46396.0</v>
      </c>
      <c r="E6466" s="66">
        <v>4.0</v>
      </c>
      <c r="F6466" s="66" t="str">
        <f>IFERROR(__xludf.DUMMYFUNCTION("GOOGLETRANSLATE(A6466,""en"",""pt"")"),"#VALUE!")</f>
        <v>#VALUE!</v>
      </c>
      <c r="G6466" s="69"/>
    </row>
    <row r="6467" ht="22.5" customHeight="1">
      <c r="A6467" s="66"/>
      <c r="B6467" s="67" t="str">
        <f t="shared" si="16"/>
        <v>M: </v>
      </c>
      <c r="C6467" s="68"/>
      <c r="D6467" s="68">
        <v>46396.0</v>
      </c>
      <c r="E6467" s="66">
        <v>5.0</v>
      </c>
      <c r="F6467" s="66" t="str">
        <f>IFERROR(__xludf.DUMMYFUNCTION("GOOGLETRANSLATE(A6467,""en"",""pt"")"),"#VALUE!")</f>
        <v>#VALUE!</v>
      </c>
      <c r="G6467" s="69"/>
    </row>
    <row r="6468" ht="22.5" customHeight="1">
      <c r="A6468" s="66"/>
      <c r="B6468" s="67" t="str">
        <f t="shared" si="16"/>
        <v>M: </v>
      </c>
      <c r="C6468" s="68"/>
      <c r="D6468" s="68">
        <v>46396.0</v>
      </c>
      <c r="E6468" s="66">
        <v>6.0</v>
      </c>
      <c r="F6468" s="66" t="str">
        <f>IFERROR(__xludf.DUMMYFUNCTION("GOOGLETRANSLATE(A6468,""en"",""pt"")"),"#VALUE!")</f>
        <v>#VALUE!</v>
      </c>
      <c r="G6468" s="69"/>
    </row>
    <row r="6469" ht="22.5" customHeight="1">
      <c r="A6469" s="66"/>
      <c r="B6469" s="67" t="str">
        <f t="shared" si="16"/>
        <v>M: </v>
      </c>
      <c r="C6469" s="68"/>
      <c r="D6469" s="68">
        <v>46396.0</v>
      </c>
      <c r="E6469" s="66">
        <v>7.0</v>
      </c>
      <c r="F6469" s="66" t="str">
        <f>IFERROR(__xludf.DUMMYFUNCTION("GOOGLETRANSLATE(A6469,""en"",""pt"")"),"#VALUE!")</f>
        <v>#VALUE!</v>
      </c>
      <c r="G6469" s="69"/>
    </row>
    <row r="6470" ht="22.5" customHeight="1">
      <c r="A6470" s="66"/>
      <c r="B6470" s="67" t="str">
        <f t="shared" si="16"/>
        <v>M: </v>
      </c>
      <c r="C6470" s="68"/>
      <c r="D6470" s="68">
        <v>46396.0</v>
      </c>
      <c r="E6470" s="66">
        <v>8.0</v>
      </c>
      <c r="F6470" s="66" t="str">
        <f>IFERROR(__xludf.DUMMYFUNCTION("GOOGLETRANSLATE(A6470,""en"",""pt"")"),"#VALUE!")</f>
        <v>#VALUE!</v>
      </c>
      <c r="G6470" s="69"/>
    </row>
    <row r="6471" ht="22.5" customHeight="1">
      <c r="A6471" s="66"/>
      <c r="B6471" s="67" t="str">
        <f t="shared" si="16"/>
        <v>M: </v>
      </c>
      <c r="C6471" s="68"/>
      <c r="D6471" s="68">
        <v>46396.0</v>
      </c>
      <c r="E6471" s="66">
        <v>9.0</v>
      </c>
      <c r="F6471" s="66" t="str">
        <f>IFERROR(__xludf.DUMMYFUNCTION("GOOGLETRANSLATE(A6471,""en"",""pt"")"),"#VALUE!")</f>
        <v>#VALUE!</v>
      </c>
      <c r="G6471" s="69"/>
    </row>
    <row r="6472" ht="22.5" customHeight="1">
      <c r="A6472" s="66"/>
      <c r="B6472" s="67" t="str">
        <f t="shared" si="16"/>
        <v>M: </v>
      </c>
      <c r="C6472" s="68"/>
      <c r="D6472" s="68">
        <v>46397.0</v>
      </c>
      <c r="E6472" s="66">
        <v>10.0</v>
      </c>
      <c r="F6472" s="66" t="str">
        <f>IFERROR(__xludf.DUMMYFUNCTION("GOOGLETRANSLATE(A6472,""en"",""pt"")"),"#VALUE!")</f>
        <v>#VALUE!</v>
      </c>
      <c r="G6472" s="69"/>
    </row>
    <row r="6473" ht="22.5" customHeight="1">
      <c r="A6473" s="66"/>
      <c r="B6473" s="67" t="str">
        <f t="shared" si="16"/>
        <v>M: </v>
      </c>
      <c r="C6473" s="68"/>
      <c r="D6473" s="68">
        <v>46397.0</v>
      </c>
      <c r="E6473" s="66">
        <v>1.0</v>
      </c>
      <c r="F6473" s="66" t="str">
        <f>IFERROR(__xludf.DUMMYFUNCTION("GOOGLETRANSLATE(A6473,""en"",""pt"")"),"#VALUE!")</f>
        <v>#VALUE!</v>
      </c>
      <c r="G6473" s="69"/>
    </row>
    <row r="6474" ht="22.5" customHeight="1">
      <c r="A6474" s="66"/>
      <c r="B6474" s="67" t="str">
        <f t="shared" si="16"/>
        <v>M: </v>
      </c>
      <c r="C6474" s="68"/>
      <c r="D6474" s="68">
        <v>46397.0</v>
      </c>
      <c r="E6474" s="66">
        <v>2.0</v>
      </c>
      <c r="F6474" s="66" t="str">
        <f>IFERROR(__xludf.DUMMYFUNCTION("GOOGLETRANSLATE(A6474,""en"",""pt"")"),"#VALUE!")</f>
        <v>#VALUE!</v>
      </c>
      <c r="G6474" s="69"/>
    </row>
    <row r="6475" ht="22.5" customHeight="1">
      <c r="A6475" s="66"/>
      <c r="B6475" s="67" t="str">
        <f t="shared" si="16"/>
        <v>M: </v>
      </c>
      <c r="C6475" s="68"/>
      <c r="D6475" s="68">
        <v>46397.0</v>
      </c>
      <c r="E6475" s="66">
        <v>3.0</v>
      </c>
      <c r="F6475" s="66" t="str">
        <f>IFERROR(__xludf.DUMMYFUNCTION("GOOGLETRANSLATE(A6475,""en"",""pt"")"),"#VALUE!")</f>
        <v>#VALUE!</v>
      </c>
      <c r="G6475" s="69"/>
    </row>
    <row r="6476" ht="22.5" customHeight="1">
      <c r="A6476" s="66"/>
      <c r="B6476" s="67" t="str">
        <f t="shared" si="16"/>
        <v>M: </v>
      </c>
      <c r="C6476" s="68"/>
      <c r="D6476" s="68">
        <v>46397.0</v>
      </c>
      <c r="E6476" s="66">
        <v>4.0</v>
      </c>
      <c r="F6476" s="66" t="str">
        <f>IFERROR(__xludf.DUMMYFUNCTION("GOOGLETRANSLATE(A6476,""en"",""pt"")"),"#VALUE!")</f>
        <v>#VALUE!</v>
      </c>
      <c r="G6476" s="69"/>
    </row>
    <row r="6477" ht="22.5" customHeight="1">
      <c r="A6477" s="66"/>
      <c r="B6477" s="67" t="str">
        <f t="shared" si="16"/>
        <v>M: </v>
      </c>
      <c r="C6477" s="68"/>
      <c r="D6477" s="68">
        <v>46397.0</v>
      </c>
      <c r="E6477" s="66">
        <v>5.0</v>
      </c>
      <c r="F6477" s="66" t="str">
        <f>IFERROR(__xludf.DUMMYFUNCTION("GOOGLETRANSLATE(A6477,""en"",""pt"")"),"#VALUE!")</f>
        <v>#VALUE!</v>
      </c>
      <c r="G6477" s="69"/>
    </row>
    <row r="6478" ht="22.5" customHeight="1">
      <c r="A6478" s="66"/>
      <c r="B6478" s="67" t="str">
        <f t="shared" si="16"/>
        <v>M: </v>
      </c>
      <c r="C6478" s="68"/>
      <c r="D6478" s="68">
        <v>46397.0</v>
      </c>
      <c r="E6478" s="66">
        <v>6.0</v>
      </c>
      <c r="F6478" s="66" t="str">
        <f>IFERROR(__xludf.DUMMYFUNCTION("GOOGLETRANSLATE(A6478,""en"",""pt"")"),"#VALUE!")</f>
        <v>#VALUE!</v>
      </c>
      <c r="G6478" s="69"/>
    </row>
    <row r="6479" ht="22.5" customHeight="1">
      <c r="A6479" s="66"/>
      <c r="B6479" s="67" t="str">
        <f t="shared" si="16"/>
        <v>M: </v>
      </c>
      <c r="C6479" s="68"/>
      <c r="D6479" s="68">
        <v>46397.0</v>
      </c>
      <c r="E6479" s="66">
        <v>7.0</v>
      </c>
      <c r="F6479" s="66" t="str">
        <f>IFERROR(__xludf.DUMMYFUNCTION("GOOGLETRANSLATE(A6479,""en"",""pt"")"),"#VALUE!")</f>
        <v>#VALUE!</v>
      </c>
      <c r="G6479" s="69"/>
    </row>
    <row r="6480" ht="22.5" customHeight="1">
      <c r="A6480" s="66"/>
      <c r="B6480" s="67" t="str">
        <f t="shared" si="16"/>
        <v>M: </v>
      </c>
      <c r="C6480" s="68"/>
      <c r="D6480" s="68">
        <v>46397.0</v>
      </c>
      <c r="E6480" s="66">
        <v>8.0</v>
      </c>
      <c r="F6480" s="66" t="str">
        <f>IFERROR(__xludf.DUMMYFUNCTION("GOOGLETRANSLATE(A6480,""en"",""pt"")"),"#VALUE!")</f>
        <v>#VALUE!</v>
      </c>
      <c r="G6480" s="69"/>
    </row>
    <row r="6481" ht="22.5" customHeight="1">
      <c r="A6481" s="66"/>
      <c r="B6481" s="67" t="str">
        <f t="shared" si="16"/>
        <v>M: </v>
      </c>
      <c r="C6481" s="68"/>
      <c r="D6481" s="68">
        <v>46397.0</v>
      </c>
      <c r="E6481" s="66">
        <v>9.0</v>
      </c>
      <c r="F6481" s="66" t="str">
        <f>IFERROR(__xludf.DUMMYFUNCTION("GOOGLETRANSLATE(A6481,""en"",""pt"")"),"#VALUE!")</f>
        <v>#VALUE!</v>
      </c>
      <c r="G6481" s="69"/>
    </row>
    <row r="6482" ht="22.5" customHeight="1">
      <c r="A6482" s="66"/>
      <c r="B6482" s="67" t="str">
        <f t="shared" si="16"/>
        <v>M: </v>
      </c>
      <c r="C6482" s="68"/>
      <c r="D6482" s="68">
        <v>46398.0</v>
      </c>
      <c r="E6482" s="66">
        <v>10.0</v>
      </c>
      <c r="F6482" s="66" t="str">
        <f>IFERROR(__xludf.DUMMYFUNCTION("GOOGLETRANSLATE(A6482,""en"",""pt"")"),"#VALUE!")</f>
        <v>#VALUE!</v>
      </c>
      <c r="G6482" s="69"/>
    </row>
    <row r="6483" ht="22.5" customHeight="1">
      <c r="A6483" s="66"/>
      <c r="B6483" s="67" t="str">
        <f t="shared" si="16"/>
        <v>M: </v>
      </c>
      <c r="C6483" s="68"/>
      <c r="D6483" s="68">
        <v>46398.0</v>
      </c>
      <c r="E6483" s="66">
        <v>1.0</v>
      </c>
      <c r="F6483" s="66" t="str">
        <f>IFERROR(__xludf.DUMMYFUNCTION("GOOGLETRANSLATE(A6483,""en"",""pt"")"),"#VALUE!")</f>
        <v>#VALUE!</v>
      </c>
      <c r="G6483" s="69"/>
    </row>
    <row r="6484" ht="22.5" customHeight="1">
      <c r="A6484" s="66"/>
      <c r="B6484" s="67" t="str">
        <f t="shared" si="16"/>
        <v>M: </v>
      </c>
      <c r="C6484" s="68"/>
      <c r="D6484" s="68">
        <v>46398.0</v>
      </c>
      <c r="E6484" s="66">
        <v>2.0</v>
      </c>
      <c r="F6484" s="66" t="str">
        <f>IFERROR(__xludf.DUMMYFUNCTION("GOOGLETRANSLATE(A6484,""en"",""pt"")"),"#VALUE!")</f>
        <v>#VALUE!</v>
      </c>
      <c r="G6484" s="69"/>
    </row>
    <row r="6485" ht="22.5" customHeight="1">
      <c r="A6485" s="66"/>
      <c r="B6485" s="67" t="str">
        <f t="shared" si="16"/>
        <v>M: </v>
      </c>
      <c r="C6485" s="68"/>
      <c r="D6485" s="68">
        <v>46398.0</v>
      </c>
      <c r="E6485" s="66">
        <v>3.0</v>
      </c>
      <c r="F6485" s="66" t="str">
        <f>IFERROR(__xludf.DUMMYFUNCTION("GOOGLETRANSLATE(A6485,""en"",""pt"")"),"#VALUE!")</f>
        <v>#VALUE!</v>
      </c>
      <c r="G6485" s="69"/>
    </row>
    <row r="6486" ht="22.5" customHeight="1">
      <c r="A6486" s="66"/>
      <c r="B6486" s="67" t="str">
        <f t="shared" si="16"/>
        <v>M: </v>
      </c>
      <c r="C6486" s="68"/>
      <c r="D6486" s="68">
        <v>46398.0</v>
      </c>
      <c r="E6486" s="66">
        <v>4.0</v>
      </c>
      <c r="F6486" s="66" t="str">
        <f>IFERROR(__xludf.DUMMYFUNCTION("GOOGLETRANSLATE(A6486,""en"",""pt"")"),"#VALUE!")</f>
        <v>#VALUE!</v>
      </c>
      <c r="G6486" s="69"/>
    </row>
    <row r="6487" ht="22.5" customHeight="1">
      <c r="A6487" s="66"/>
      <c r="B6487" s="67" t="str">
        <f t="shared" si="16"/>
        <v>M: </v>
      </c>
      <c r="C6487" s="68"/>
      <c r="D6487" s="68">
        <v>46398.0</v>
      </c>
      <c r="E6487" s="66">
        <v>5.0</v>
      </c>
      <c r="F6487" s="66" t="str">
        <f>IFERROR(__xludf.DUMMYFUNCTION("GOOGLETRANSLATE(A6487,""en"",""pt"")"),"#VALUE!")</f>
        <v>#VALUE!</v>
      </c>
      <c r="G6487" s="69"/>
    </row>
    <row r="6488" ht="22.5" customHeight="1">
      <c r="A6488" s="66"/>
      <c r="B6488" s="67" t="str">
        <f t="shared" si="16"/>
        <v>M: </v>
      </c>
      <c r="C6488" s="68"/>
      <c r="D6488" s="68">
        <v>46398.0</v>
      </c>
      <c r="E6488" s="66">
        <v>6.0</v>
      </c>
      <c r="F6488" s="66" t="str">
        <f>IFERROR(__xludf.DUMMYFUNCTION("GOOGLETRANSLATE(A6488,""en"",""pt"")"),"#VALUE!")</f>
        <v>#VALUE!</v>
      </c>
      <c r="G6488" s="69"/>
    </row>
    <row r="6489" ht="22.5" customHeight="1">
      <c r="A6489" s="66"/>
      <c r="B6489" s="67" t="str">
        <f t="shared" si="16"/>
        <v>M: </v>
      </c>
      <c r="C6489" s="68"/>
      <c r="D6489" s="68">
        <v>46398.0</v>
      </c>
      <c r="E6489" s="66">
        <v>7.0</v>
      </c>
      <c r="F6489" s="66" t="str">
        <f>IFERROR(__xludf.DUMMYFUNCTION("GOOGLETRANSLATE(A6489,""en"",""pt"")"),"#VALUE!")</f>
        <v>#VALUE!</v>
      </c>
      <c r="G6489" s="69"/>
    </row>
    <row r="6490" ht="22.5" customHeight="1">
      <c r="A6490" s="66"/>
      <c r="B6490" s="67" t="str">
        <f t="shared" si="16"/>
        <v>M: </v>
      </c>
      <c r="C6490" s="68"/>
      <c r="D6490" s="68">
        <v>46398.0</v>
      </c>
      <c r="E6490" s="66">
        <v>8.0</v>
      </c>
      <c r="F6490" s="66" t="str">
        <f>IFERROR(__xludf.DUMMYFUNCTION("GOOGLETRANSLATE(A6490,""en"",""pt"")"),"#VALUE!")</f>
        <v>#VALUE!</v>
      </c>
      <c r="G6490" s="69"/>
    </row>
    <row r="6491" ht="22.5" customHeight="1">
      <c r="A6491" s="66"/>
      <c r="B6491" s="67" t="str">
        <f t="shared" si="16"/>
        <v>M: </v>
      </c>
      <c r="C6491" s="68"/>
      <c r="D6491" s="68">
        <v>46398.0</v>
      </c>
      <c r="E6491" s="66">
        <v>9.0</v>
      </c>
      <c r="F6491" s="66" t="str">
        <f>IFERROR(__xludf.DUMMYFUNCTION("GOOGLETRANSLATE(A6491,""en"",""pt"")"),"#VALUE!")</f>
        <v>#VALUE!</v>
      </c>
      <c r="G6491" s="69"/>
    </row>
    <row r="6492" ht="22.5" customHeight="1">
      <c r="A6492" s="66"/>
      <c r="B6492" s="67" t="str">
        <f t="shared" si="16"/>
        <v>M: </v>
      </c>
      <c r="C6492" s="68"/>
      <c r="D6492" s="68">
        <v>46399.0</v>
      </c>
      <c r="E6492" s="66">
        <v>10.0</v>
      </c>
      <c r="F6492" s="66" t="str">
        <f>IFERROR(__xludf.DUMMYFUNCTION("GOOGLETRANSLATE(A6492,""en"",""pt"")"),"#VALUE!")</f>
        <v>#VALUE!</v>
      </c>
      <c r="G6492" s="69"/>
    </row>
    <row r="6493" ht="22.5" customHeight="1">
      <c r="A6493" s="66"/>
      <c r="B6493" s="67" t="str">
        <f t="shared" si="16"/>
        <v>M: </v>
      </c>
      <c r="C6493" s="68"/>
      <c r="D6493" s="68">
        <v>46399.0</v>
      </c>
      <c r="E6493" s="66">
        <v>1.0</v>
      </c>
      <c r="F6493" s="66" t="str">
        <f>IFERROR(__xludf.DUMMYFUNCTION("GOOGLETRANSLATE(A6493,""en"",""pt"")"),"#VALUE!")</f>
        <v>#VALUE!</v>
      </c>
      <c r="G6493" s="69"/>
    </row>
    <row r="6494" ht="22.5" customHeight="1">
      <c r="A6494" s="66"/>
      <c r="B6494" s="67" t="str">
        <f t="shared" si="16"/>
        <v>M: </v>
      </c>
      <c r="C6494" s="68"/>
      <c r="D6494" s="68">
        <v>46399.0</v>
      </c>
      <c r="E6494" s="66">
        <v>2.0</v>
      </c>
      <c r="F6494" s="66" t="str">
        <f>IFERROR(__xludf.DUMMYFUNCTION("GOOGLETRANSLATE(A6494,""en"",""pt"")"),"#VALUE!")</f>
        <v>#VALUE!</v>
      </c>
      <c r="G6494" s="69"/>
    </row>
    <row r="6495" ht="22.5" customHeight="1">
      <c r="A6495" s="66"/>
      <c r="B6495" s="67" t="str">
        <f t="shared" si="16"/>
        <v>M: </v>
      </c>
      <c r="C6495" s="68"/>
      <c r="D6495" s="68">
        <v>46399.0</v>
      </c>
      <c r="E6495" s="66">
        <v>3.0</v>
      </c>
      <c r="F6495" s="66" t="str">
        <f>IFERROR(__xludf.DUMMYFUNCTION("GOOGLETRANSLATE(A6495,""en"",""pt"")"),"#VALUE!")</f>
        <v>#VALUE!</v>
      </c>
      <c r="G6495" s="69"/>
    </row>
    <row r="6496" ht="22.5" customHeight="1">
      <c r="A6496" s="66"/>
      <c r="B6496" s="67" t="str">
        <f t="shared" si="16"/>
        <v>M: </v>
      </c>
      <c r="C6496" s="68"/>
      <c r="D6496" s="68">
        <v>46399.0</v>
      </c>
      <c r="E6496" s="66">
        <v>4.0</v>
      </c>
      <c r="F6496" s="66" t="str">
        <f>IFERROR(__xludf.DUMMYFUNCTION("GOOGLETRANSLATE(A6496,""en"",""pt"")"),"#VALUE!")</f>
        <v>#VALUE!</v>
      </c>
      <c r="G6496" s="69"/>
    </row>
    <row r="6497" ht="22.5" customHeight="1">
      <c r="A6497" s="66"/>
      <c r="B6497" s="67" t="str">
        <f t="shared" si="16"/>
        <v>M: </v>
      </c>
      <c r="C6497" s="68"/>
      <c r="D6497" s="68">
        <v>46399.0</v>
      </c>
      <c r="E6497" s="66">
        <v>5.0</v>
      </c>
      <c r="F6497" s="66" t="str">
        <f>IFERROR(__xludf.DUMMYFUNCTION("GOOGLETRANSLATE(A6497,""en"",""pt"")"),"#VALUE!")</f>
        <v>#VALUE!</v>
      </c>
      <c r="G6497" s="69"/>
    </row>
    <row r="6498" ht="22.5" customHeight="1">
      <c r="A6498" s="66"/>
      <c r="B6498" s="67" t="str">
        <f t="shared" si="16"/>
        <v>M: </v>
      </c>
      <c r="C6498" s="68"/>
      <c r="D6498" s="68">
        <v>46399.0</v>
      </c>
      <c r="E6498" s="66">
        <v>6.0</v>
      </c>
      <c r="F6498" s="66" t="str">
        <f>IFERROR(__xludf.DUMMYFUNCTION("GOOGLETRANSLATE(A6498,""en"",""pt"")"),"#VALUE!")</f>
        <v>#VALUE!</v>
      </c>
      <c r="G6498" s="69"/>
    </row>
    <row r="6499" ht="22.5" customHeight="1">
      <c r="A6499" s="66"/>
      <c r="B6499" s="67" t="str">
        <f t="shared" si="16"/>
        <v>M: </v>
      </c>
      <c r="C6499" s="68"/>
      <c r="D6499" s="68">
        <v>46399.0</v>
      </c>
      <c r="E6499" s="66">
        <v>7.0</v>
      </c>
      <c r="F6499" s="66" t="str">
        <f>IFERROR(__xludf.DUMMYFUNCTION("GOOGLETRANSLATE(A6499,""en"",""pt"")"),"#VALUE!")</f>
        <v>#VALUE!</v>
      </c>
      <c r="G6499" s="69"/>
    </row>
    <row r="6500" ht="22.5" customHeight="1">
      <c r="A6500" s="66"/>
      <c r="B6500" s="67" t="str">
        <f t="shared" si="16"/>
        <v>M: </v>
      </c>
      <c r="C6500" s="68"/>
      <c r="D6500" s="68">
        <v>46399.0</v>
      </c>
      <c r="E6500" s="66">
        <v>8.0</v>
      </c>
      <c r="F6500" s="66" t="str">
        <f>IFERROR(__xludf.DUMMYFUNCTION("GOOGLETRANSLATE(A6500,""en"",""pt"")"),"#VALUE!")</f>
        <v>#VALUE!</v>
      </c>
      <c r="G6500" s="69"/>
    </row>
    <row r="6501" ht="22.5" customHeight="1">
      <c r="A6501" s="66"/>
      <c r="B6501" s="67" t="str">
        <f t="shared" si="16"/>
        <v>M: </v>
      </c>
      <c r="C6501" s="68"/>
      <c r="D6501" s="68">
        <v>46399.0</v>
      </c>
      <c r="E6501" s="66">
        <v>9.0</v>
      </c>
      <c r="F6501" s="66" t="str">
        <f>IFERROR(__xludf.DUMMYFUNCTION("GOOGLETRANSLATE(A6501,""en"",""pt"")"),"#VALUE!")</f>
        <v>#VALUE!</v>
      </c>
      <c r="G6501" s="69"/>
    </row>
    <row r="6502" ht="22.5" customHeight="1">
      <c r="A6502" s="66"/>
      <c r="B6502" s="67" t="str">
        <f t="shared" si="16"/>
        <v>M: </v>
      </c>
      <c r="C6502" s="68"/>
      <c r="D6502" s="68">
        <v>46400.0</v>
      </c>
      <c r="E6502" s="66">
        <v>10.0</v>
      </c>
      <c r="F6502" s="66" t="str">
        <f>IFERROR(__xludf.DUMMYFUNCTION("GOOGLETRANSLATE(A6502,""en"",""pt"")"),"#VALUE!")</f>
        <v>#VALUE!</v>
      </c>
      <c r="G6502" s="69"/>
    </row>
    <row r="6503" ht="22.5" customHeight="1">
      <c r="A6503" s="66"/>
      <c r="B6503" s="67" t="str">
        <f t="shared" si="16"/>
        <v>M: </v>
      </c>
      <c r="C6503" s="68"/>
      <c r="D6503" s="68">
        <v>46400.0</v>
      </c>
      <c r="E6503" s="66">
        <v>1.0</v>
      </c>
      <c r="F6503" s="66" t="str">
        <f>IFERROR(__xludf.DUMMYFUNCTION("GOOGLETRANSLATE(A6503,""en"",""pt"")"),"#VALUE!")</f>
        <v>#VALUE!</v>
      </c>
      <c r="G6503" s="69"/>
    </row>
    <row r="6504" ht="22.5" customHeight="1">
      <c r="A6504" s="66"/>
      <c r="B6504" s="67" t="str">
        <f t="shared" si="16"/>
        <v>M: </v>
      </c>
      <c r="C6504" s="68"/>
      <c r="D6504" s="68">
        <v>46400.0</v>
      </c>
      <c r="E6504" s="66">
        <v>2.0</v>
      </c>
      <c r="F6504" s="66" t="str">
        <f>IFERROR(__xludf.DUMMYFUNCTION("GOOGLETRANSLATE(A6504,""en"",""pt"")"),"#VALUE!")</f>
        <v>#VALUE!</v>
      </c>
      <c r="G6504" s="69"/>
    </row>
    <row r="6505" ht="22.5" customHeight="1">
      <c r="A6505" s="66"/>
      <c r="B6505" s="67" t="str">
        <f t="shared" si="16"/>
        <v>M: </v>
      </c>
      <c r="C6505" s="68"/>
      <c r="D6505" s="68">
        <v>46400.0</v>
      </c>
      <c r="E6505" s="66">
        <v>3.0</v>
      </c>
      <c r="F6505" s="66" t="str">
        <f>IFERROR(__xludf.DUMMYFUNCTION("GOOGLETRANSLATE(A6505,""en"",""pt"")"),"#VALUE!")</f>
        <v>#VALUE!</v>
      </c>
      <c r="G6505" s="69"/>
    </row>
    <row r="6506" ht="22.5" customHeight="1">
      <c r="A6506" s="66"/>
      <c r="B6506" s="67" t="str">
        <f t="shared" si="16"/>
        <v>M: </v>
      </c>
      <c r="C6506" s="68"/>
      <c r="D6506" s="68">
        <v>46400.0</v>
      </c>
      <c r="E6506" s="66">
        <v>4.0</v>
      </c>
      <c r="F6506" s="66" t="str">
        <f>IFERROR(__xludf.DUMMYFUNCTION("GOOGLETRANSLATE(A6506,""en"",""pt"")"),"#VALUE!")</f>
        <v>#VALUE!</v>
      </c>
      <c r="G6506" s="69"/>
    </row>
    <row r="6507" ht="22.5" customHeight="1">
      <c r="A6507" s="66"/>
      <c r="B6507" s="67" t="str">
        <f t="shared" si="16"/>
        <v>M: </v>
      </c>
      <c r="C6507" s="68"/>
      <c r="D6507" s="68">
        <v>46400.0</v>
      </c>
      <c r="E6507" s="66">
        <v>5.0</v>
      </c>
      <c r="F6507" s="66" t="str">
        <f>IFERROR(__xludf.DUMMYFUNCTION("GOOGLETRANSLATE(A6507,""en"",""pt"")"),"#VALUE!")</f>
        <v>#VALUE!</v>
      </c>
      <c r="G6507" s="69"/>
    </row>
    <row r="6508" ht="22.5" customHeight="1">
      <c r="A6508" s="66"/>
      <c r="B6508" s="67" t="str">
        <f t="shared" si="16"/>
        <v>M: </v>
      </c>
      <c r="C6508" s="68"/>
      <c r="D6508" s="68">
        <v>46400.0</v>
      </c>
      <c r="E6508" s="66">
        <v>6.0</v>
      </c>
      <c r="F6508" s="66" t="str">
        <f>IFERROR(__xludf.DUMMYFUNCTION("GOOGLETRANSLATE(A6508,""en"",""pt"")"),"#VALUE!")</f>
        <v>#VALUE!</v>
      </c>
      <c r="G6508" s="69"/>
    </row>
    <row r="6509" ht="22.5" customHeight="1">
      <c r="A6509" s="66"/>
      <c r="B6509" s="67" t="str">
        <f t="shared" si="16"/>
        <v>M: </v>
      </c>
      <c r="C6509" s="68"/>
      <c r="D6509" s="68">
        <v>46400.0</v>
      </c>
      <c r="E6509" s="66">
        <v>7.0</v>
      </c>
      <c r="F6509" s="66" t="str">
        <f>IFERROR(__xludf.DUMMYFUNCTION("GOOGLETRANSLATE(A6509,""en"",""pt"")"),"#VALUE!")</f>
        <v>#VALUE!</v>
      </c>
      <c r="G6509" s="69"/>
    </row>
    <row r="6510" ht="22.5" customHeight="1">
      <c r="A6510" s="66"/>
      <c r="B6510" s="67" t="str">
        <f t="shared" si="16"/>
        <v>M: </v>
      </c>
      <c r="C6510" s="68"/>
      <c r="D6510" s="68">
        <v>46400.0</v>
      </c>
      <c r="E6510" s="66">
        <v>8.0</v>
      </c>
      <c r="F6510" s="66" t="str">
        <f>IFERROR(__xludf.DUMMYFUNCTION("GOOGLETRANSLATE(A6510,""en"",""pt"")"),"#VALUE!")</f>
        <v>#VALUE!</v>
      </c>
      <c r="G6510" s="69"/>
    </row>
    <row r="6511" ht="22.5" customHeight="1">
      <c r="A6511" s="66"/>
      <c r="B6511" s="67" t="str">
        <f t="shared" si="16"/>
        <v>M: </v>
      </c>
      <c r="C6511" s="68"/>
      <c r="D6511" s="68">
        <v>46400.0</v>
      </c>
      <c r="E6511" s="66">
        <v>9.0</v>
      </c>
      <c r="F6511" s="66" t="str">
        <f>IFERROR(__xludf.DUMMYFUNCTION("GOOGLETRANSLATE(A6511,""en"",""pt"")"),"#VALUE!")</f>
        <v>#VALUE!</v>
      </c>
      <c r="G6511" s="69"/>
    </row>
    <row r="6512" ht="22.5" customHeight="1">
      <c r="A6512" s="66"/>
      <c r="B6512" s="67" t="str">
        <f t="shared" si="16"/>
        <v>M: </v>
      </c>
      <c r="C6512" s="68"/>
      <c r="D6512" s="68">
        <v>46401.0</v>
      </c>
      <c r="E6512" s="66">
        <v>10.0</v>
      </c>
      <c r="F6512" s="66" t="str">
        <f>IFERROR(__xludf.DUMMYFUNCTION("GOOGLETRANSLATE(A6512,""en"",""pt"")"),"#VALUE!")</f>
        <v>#VALUE!</v>
      </c>
      <c r="G6512" s="69"/>
    </row>
    <row r="6513" ht="22.5" customHeight="1">
      <c r="A6513" s="66"/>
      <c r="B6513" s="67" t="str">
        <f t="shared" si="16"/>
        <v>M: </v>
      </c>
      <c r="C6513" s="68"/>
      <c r="D6513" s="68">
        <v>46401.0</v>
      </c>
      <c r="E6513" s="66">
        <v>1.0</v>
      </c>
      <c r="F6513" s="66" t="str">
        <f>IFERROR(__xludf.DUMMYFUNCTION("GOOGLETRANSLATE(A6513,""en"",""pt"")"),"#VALUE!")</f>
        <v>#VALUE!</v>
      </c>
      <c r="G6513" s="69"/>
    </row>
    <row r="6514" ht="22.5" customHeight="1">
      <c r="A6514" s="66"/>
      <c r="B6514" s="67" t="str">
        <f t="shared" si="16"/>
        <v>M: </v>
      </c>
      <c r="C6514" s="68"/>
      <c r="D6514" s="68">
        <v>46401.0</v>
      </c>
      <c r="E6514" s="66">
        <v>2.0</v>
      </c>
      <c r="F6514" s="66" t="str">
        <f>IFERROR(__xludf.DUMMYFUNCTION("GOOGLETRANSLATE(A6514,""en"",""pt"")"),"#VALUE!")</f>
        <v>#VALUE!</v>
      </c>
      <c r="G6514" s="69"/>
    </row>
    <row r="6515" ht="22.5" customHeight="1">
      <c r="A6515" s="66"/>
      <c r="B6515" s="67" t="str">
        <f t="shared" si="16"/>
        <v>M: </v>
      </c>
      <c r="C6515" s="68"/>
      <c r="D6515" s="68">
        <v>46401.0</v>
      </c>
      <c r="E6515" s="66">
        <v>3.0</v>
      </c>
      <c r="F6515" s="66" t="str">
        <f>IFERROR(__xludf.DUMMYFUNCTION("GOOGLETRANSLATE(A6515,""en"",""pt"")"),"#VALUE!")</f>
        <v>#VALUE!</v>
      </c>
      <c r="G6515" s="69"/>
    </row>
    <row r="6516" ht="22.5" customHeight="1">
      <c r="A6516" s="66"/>
      <c r="B6516" s="67" t="str">
        <f t="shared" si="16"/>
        <v>M: </v>
      </c>
      <c r="C6516" s="68"/>
      <c r="D6516" s="68">
        <v>46401.0</v>
      </c>
      <c r="E6516" s="66">
        <v>4.0</v>
      </c>
      <c r="F6516" s="66" t="str">
        <f>IFERROR(__xludf.DUMMYFUNCTION("GOOGLETRANSLATE(A6516,""en"",""pt"")"),"#VALUE!")</f>
        <v>#VALUE!</v>
      </c>
      <c r="G6516" s="69"/>
    </row>
    <row r="6517" ht="22.5" customHeight="1">
      <c r="A6517" s="66"/>
      <c r="B6517" s="67" t="str">
        <f t="shared" si="16"/>
        <v>M: </v>
      </c>
      <c r="C6517" s="68"/>
      <c r="D6517" s="68">
        <v>46401.0</v>
      </c>
      <c r="E6517" s="66">
        <v>5.0</v>
      </c>
      <c r="F6517" s="66" t="str">
        <f>IFERROR(__xludf.DUMMYFUNCTION("GOOGLETRANSLATE(A6517,""en"",""pt"")"),"#VALUE!")</f>
        <v>#VALUE!</v>
      </c>
      <c r="G6517" s="69"/>
    </row>
    <row r="6518" ht="22.5" customHeight="1">
      <c r="A6518" s="66"/>
      <c r="B6518" s="67" t="str">
        <f t="shared" si="16"/>
        <v>M: </v>
      </c>
      <c r="C6518" s="68"/>
      <c r="D6518" s="68">
        <v>46401.0</v>
      </c>
      <c r="E6518" s="66">
        <v>6.0</v>
      </c>
      <c r="F6518" s="66" t="str">
        <f>IFERROR(__xludf.DUMMYFUNCTION("GOOGLETRANSLATE(A6518,""en"",""pt"")"),"#VALUE!")</f>
        <v>#VALUE!</v>
      </c>
      <c r="G6518" s="69"/>
    </row>
    <row r="6519" ht="22.5" customHeight="1">
      <c r="A6519" s="66"/>
      <c r="B6519" s="67" t="str">
        <f t="shared" si="16"/>
        <v>M: </v>
      </c>
      <c r="C6519" s="68"/>
      <c r="D6519" s="68">
        <v>46401.0</v>
      </c>
      <c r="E6519" s="66">
        <v>7.0</v>
      </c>
      <c r="F6519" s="66" t="str">
        <f>IFERROR(__xludf.DUMMYFUNCTION("GOOGLETRANSLATE(A6519,""en"",""pt"")"),"#VALUE!")</f>
        <v>#VALUE!</v>
      </c>
      <c r="G6519" s="69"/>
    </row>
    <row r="6520" ht="22.5" customHeight="1">
      <c r="A6520" s="66"/>
      <c r="B6520" s="67" t="str">
        <f t="shared" si="16"/>
        <v>M: </v>
      </c>
      <c r="C6520" s="68"/>
      <c r="D6520" s="68">
        <v>46401.0</v>
      </c>
      <c r="E6520" s="66">
        <v>8.0</v>
      </c>
      <c r="F6520" s="66" t="str">
        <f>IFERROR(__xludf.DUMMYFUNCTION("GOOGLETRANSLATE(A6520,""en"",""pt"")"),"#VALUE!")</f>
        <v>#VALUE!</v>
      </c>
      <c r="G6520" s="69"/>
    </row>
    <row r="6521" ht="22.5" customHeight="1">
      <c r="A6521" s="66"/>
      <c r="B6521" s="67" t="str">
        <f t="shared" si="16"/>
        <v>M: </v>
      </c>
      <c r="C6521" s="68"/>
      <c r="D6521" s="68">
        <v>46401.0</v>
      </c>
      <c r="E6521" s="66">
        <v>9.0</v>
      </c>
      <c r="F6521" s="66" t="str">
        <f>IFERROR(__xludf.DUMMYFUNCTION("GOOGLETRANSLATE(A6521,""en"",""pt"")"),"#VALUE!")</f>
        <v>#VALUE!</v>
      </c>
      <c r="G6521" s="69"/>
    </row>
    <row r="6522" ht="22.5" customHeight="1">
      <c r="A6522" s="66"/>
      <c r="B6522" s="67" t="str">
        <f t="shared" si="16"/>
        <v>M: </v>
      </c>
      <c r="C6522" s="68"/>
      <c r="D6522" s="68">
        <v>46402.0</v>
      </c>
      <c r="E6522" s="66">
        <v>10.0</v>
      </c>
      <c r="F6522" s="66" t="str">
        <f>IFERROR(__xludf.DUMMYFUNCTION("GOOGLETRANSLATE(A6522,""en"",""pt"")"),"#VALUE!")</f>
        <v>#VALUE!</v>
      </c>
      <c r="G6522" s="69"/>
    </row>
    <row r="6523" ht="22.5" customHeight="1">
      <c r="A6523" s="66"/>
      <c r="B6523" s="67" t="str">
        <f t="shared" si="16"/>
        <v>M: </v>
      </c>
      <c r="C6523" s="68"/>
      <c r="D6523" s="68">
        <v>46402.0</v>
      </c>
      <c r="E6523" s="66">
        <v>1.0</v>
      </c>
      <c r="F6523" s="66" t="str">
        <f>IFERROR(__xludf.DUMMYFUNCTION("GOOGLETRANSLATE(A6523,""en"",""pt"")"),"#VALUE!")</f>
        <v>#VALUE!</v>
      </c>
      <c r="G6523" s="69"/>
    </row>
    <row r="6524" ht="22.5" customHeight="1">
      <c r="A6524" s="66"/>
      <c r="B6524" s="67" t="str">
        <f t="shared" si="16"/>
        <v>M: </v>
      </c>
      <c r="C6524" s="68"/>
      <c r="D6524" s="68">
        <v>46402.0</v>
      </c>
      <c r="E6524" s="66">
        <v>2.0</v>
      </c>
      <c r="F6524" s="66" t="str">
        <f>IFERROR(__xludf.DUMMYFUNCTION("GOOGLETRANSLATE(A6524,""en"",""pt"")"),"#VALUE!")</f>
        <v>#VALUE!</v>
      </c>
      <c r="G6524" s="69"/>
    </row>
    <row r="6525" ht="22.5" customHeight="1">
      <c r="A6525" s="66"/>
      <c r="B6525" s="67" t="str">
        <f t="shared" si="16"/>
        <v>M: </v>
      </c>
      <c r="C6525" s="68"/>
      <c r="D6525" s="68">
        <v>46402.0</v>
      </c>
      <c r="E6525" s="66">
        <v>3.0</v>
      </c>
      <c r="F6525" s="66" t="str">
        <f>IFERROR(__xludf.DUMMYFUNCTION("GOOGLETRANSLATE(A6525,""en"",""pt"")"),"#VALUE!")</f>
        <v>#VALUE!</v>
      </c>
      <c r="G6525" s="69"/>
    </row>
    <row r="6526" ht="22.5" customHeight="1">
      <c r="A6526" s="66"/>
      <c r="B6526" s="67" t="str">
        <f t="shared" si="16"/>
        <v>M: </v>
      </c>
      <c r="C6526" s="68"/>
      <c r="D6526" s="68">
        <v>46402.0</v>
      </c>
      <c r="E6526" s="66">
        <v>4.0</v>
      </c>
      <c r="F6526" s="66" t="str">
        <f>IFERROR(__xludf.DUMMYFUNCTION("GOOGLETRANSLATE(A6526,""en"",""pt"")"),"#VALUE!")</f>
        <v>#VALUE!</v>
      </c>
      <c r="G6526" s="69"/>
    </row>
    <row r="6527" ht="22.5" customHeight="1">
      <c r="A6527" s="66"/>
      <c r="B6527" s="67" t="str">
        <f t="shared" si="16"/>
        <v>M: </v>
      </c>
      <c r="C6527" s="68"/>
      <c r="D6527" s="68">
        <v>46402.0</v>
      </c>
      <c r="E6527" s="66">
        <v>5.0</v>
      </c>
      <c r="F6527" s="66" t="str">
        <f>IFERROR(__xludf.DUMMYFUNCTION("GOOGLETRANSLATE(A6527,""en"",""pt"")"),"#VALUE!")</f>
        <v>#VALUE!</v>
      </c>
      <c r="G6527" s="69"/>
    </row>
    <row r="6528" ht="22.5" customHeight="1">
      <c r="A6528" s="66"/>
      <c r="B6528" s="67" t="str">
        <f t="shared" si="16"/>
        <v>M: </v>
      </c>
      <c r="C6528" s="68"/>
      <c r="D6528" s="68">
        <v>46402.0</v>
      </c>
      <c r="E6528" s="66">
        <v>6.0</v>
      </c>
      <c r="F6528" s="66" t="str">
        <f>IFERROR(__xludf.DUMMYFUNCTION("GOOGLETRANSLATE(A6528,""en"",""pt"")"),"#VALUE!")</f>
        <v>#VALUE!</v>
      </c>
      <c r="G6528" s="69"/>
    </row>
    <row r="6529" ht="22.5" customHeight="1">
      <c r="A6529" s="66"/>
      <c r="B6529" s="67" t="str">
        <f t="shared" si="16"/>
        <v>M: </v>
      </c>
      <c r="C6529" s="68"/>
      <c r="D6529" s="68">
        <v>46402.0</v>
      </c>
      <c r="E6529" s="66">
        <v>7.0</v>
      </c>
      <c r="F6529" s="66" t="str">
        <f>IFERROR(__xludf.DUMMYFUNCTION("GOOGLETRANSLATE(A6529,""en"",""pt"")"),"#VALUE!")</f>
        <v>#VALUE!</v>
      </c>
      <c r="G6529" s="69"/>
    </row>
    <row r="6530" ht="22.5" customHeight="1">
      <c r="A6530" s="66"/>
      <c r="B6530" s="67" t="str">
        <f t="shared" si="16"/>
        <v>M: </v>
      </c>
      <c r="C6530" s="68"/>
      <c r="D6530" s="68">
        <v>46402.0</v>
      </c>
      <c r="E6530" s="66">
        <v>8.0</v>
      </c>
      <c r="F6530" s="66" t="str">
        <f>IFERROR(__xludf.DUMMYFUNCTION("GOOGLETRANSLATE(A6530,""en"",""pt"")"),"#VALUE!")</f>
        <v>#VALUE!</v>
      </c>
      <c r="G6530" s="69"/>
    </row>
    <row r="6531" ht="22.5" customHeight="1">
      <c r="A6531" s="66"/>
      <c r="B6531" s="67" t="str">
        <f t="shared" si="16"/>
        <v>M: </v>
      </c>
      <c r="C6531" s="68"/>
      <c r="D6531" s="68">
        <v>46402.0</v>
      </c>
      <c r="E6531" s="66">
        <v>9.0</v>
      </c>
      <c r="F6531" s="66" t="str">
        <f>IFERROR(__xludf.DUMMYFUNCTION("GOOGLETRANSLATE(A6531,""en"",""pt"")"),"#VALUE!")</f>
        <v>#VALUE!</v>
      </c>
      <c r="G6531" s="69"/>
    </row>
    <row r="6532" ht="22.5" customHeight="1">
      <c r="A6532" s="66"/>
      <c r="B6532" s="67" t="str">
        <f t="shared" si="16"/>
        <v>M: </v>
      </c>
      <c r="C6532" s="68"/>
      <c r="D6532" s="68">
        <v>46403.0</v>
      </c>
      <c r="E6532" s="66">
        <v>10.0</v>
      </c>
      <c r="F6532" s="66" t="str">
        <f>IFERROR(__xludf.DUMMYFUNCTION("GOOGLETRANSLATE(A6532,""en"",""pt"")"),"#VALUE!")</f>
        <v>#VALUE!</v>
      </c>
      <c r="G6532" s="69"/>
    </row>
    <row r="6533" ht="22.5" customHeight="1">
      <c r="A6533" s="66"/>
      <c r="B6533" s="67" t="str">
        <f t="shared" si="16"/>
        <v>M: </v>
      </c>
      <c r="C6533" s="68"/>
      <c r="D6533" s="68">
        <v>46403.0</v>
      </c>
      <c r="E6533" s="66">
        <v>1.0</v>
      </c>
      <c r="F6533" s="66" t="str">
        <f>IFERROR(__xludf.DUMMYFUNCTION("GOOGLETRANSLATE(A6533,""en"",""pt"")"),"#VALUE!")</f>
        <v>#VALUE!</v>
      </c>
      <c r="G6533" s="69"/>
    </row>
    <row r="6534" ht="22.5" customHeight="1">
      <c r="A6534" s="66"/>
      <c r="B6534" s="67" t="str">
        <f t="shared" si="16"/>
        <v>M: </v>
      </c>
      <c r="C6534" s="68"/>
      <c r="D6534" s="68">
        <v>46403.0</v>
      </c>
      <c r="E6534" s="66">
        <v>2.0</v>
      </c>
      <c r="F6534" s="66" t="str">
        <f>IFERROR(__xludf.DUMMYFUNCTION("GOOGLETRANSLATE(A6534,""en"",""pt"")"),"#VALUE!")</f>
        <v>#VALUE!</v>
      </c>
      <c r="G6534" s="69"/>
    </row>
    <row r="6535" ht="22.5" customHeight="1">
      <c r="A6535" s="66"/>
      <c r="B6535" s="67" t="str">
        <f t="shared" si="16"/>
        <v>M: </v>
      </c>
      <c r="C6535" s="68"/>
      <c r="D6535" s="68">
        <v>46403.0</v>
      </c>
      <c r="E6535" s="66">
        <v>3.0</v>
      </c>
      <c r="F6535" s="66" t="str">
        <f>IFERROR(__xludf.DUMMYFUNCTION("GOOGLETRANSLATE(A6535,""en"",""pt"")"),"#VALUE!")</f>
        <v>#VALUE!</v>
      </c>
      <c r="G6535" s="69"/>
    </row>
    <row r="6536" ht="22.5" customHeight="1">
      <c r="A6536" s="66"/>
      <c r="B6536" s="67" t="str">
        <f t="shared" si="16"/>
        <v>M: </v>
      </c>
      <c r="C6536" s="68"/>
      <c r="D6536" s="68">
        <v>46403.0</v>
      </c>
      <c r="E6536" s="66">
        <v>4.0</v>
      </c>
      <c r="F6536" s="66" t="str">
        <f>IFERROR(__xludf.DUMMYFUNCTION("GOOGLETRANSLATE(A6536,""en"",""pt"")"),"#VALUE!")</f>
        <v>#VALUE!</v>
      </c>
      <c r="G6536" s="69"/>
    </row>
    <row r="6537" ht="22.5" customHeight="1">
      <c r="A6537" s="66"/>
      <c r="B6537" s="67" t="str">
        <f t="shared" si="16"/>
        <v>M: </v>
      </c>
      <c r="C6537" s="68"/>
      <c r="D6537" s="68">
        <v>46403.0</v>
      </c>
      <c r="E6537" s="66">
        <v>5.0</v>
      </c>
      <c r="F6537" s="66" t="str">
        <f>IFERROR(__xludf.DUMMYFUNCTION("GOOGLETRANSLATE(A6537,""en"",""pt"")"),"#VALUE!")</f>
        <v>#VALUE!</v>
      </c>
      <c r="G6537" s="69"/>
    </row>
    <row r="6538" ht="22.5" customHeight="1">
      <c r="A6538" s="66"/>
      <c r="B6538" s="67" t="str">
        <f t="shared" si="16"/>
        <v>M: </v>
      </c>
      <c r="C6538" s="68"/>
      <c r="D6538" s="68">
        <v>46403.0</v>
      </c>
      <c r="E6538" s="66">
        <v>6.0</v>
      </c>
      <c r="F6538" s="66" t="str">
        <f>IFERROR(__xludf.DUMMYFUNCTION("GOOGLETRANSLATE(A6538,""en"",""pt"")"),"#VALUE!")</f>
        <v>#VALUE!</v>
      </c>
      <c r="G6538" s="69"/>
    </row>
    <row r="6539" ht="22.5" customHeight="1">
      <c r="A6539" s="66"/>
      <c r="B6539" s="67" t="str">
        <f t="shared" si="16"/>
        <v>M: </v>
      </c>
      <c r="C6539" s="68"/>
      <c r="D6539" s="68">
        <v>46403.0</v>
      </c>
      <c r="E6539" s="66">
        <v>7.0</v>
      </c>
      <c r="F6539" s="66" t="str">
        <f>IFERROR(__xludf.DUMMYFUNCTION("GOOGLETRANSLATE(A6539,""en"",""pt"")"),"#VALUE!")</f>
        <v>#VALUE!</v>
      </c>
      <c r="G6539" s="69"/>
    </row>
    <row r="6540" ht="22.5" customHeight="1">
      <c r="A6540" s="66"/>
      <c r="B6540" s="67" t="str">
        <f t="shared" si="16"/>
        <v>M: </v>
      </c>
      <c r="C6540" s="68"/>
      <c r="D6540" s="68">
        <v>46403.0</v>
      </c>
      <c r="E6540" s="66">
        <v>8.0</v>
      </c>
      <c r="F6540" s="66" t="str">
        <f>IFERROR(__xludf.DUMMYFUNCTION("GOOGLETRANSLATE(A6540,""en"",""pt"")"),"#VALUE!")</f>
        <v>#VALUE!</v>
      </c>
      <c r="G6540" s="69"/>
    </row>
    <row r="6541" ht="22.5" customHeight="1">
      <c r="A6541" s="66"/>
      <c r="B6541" s="67" t="str">
        <f t="shared" si="16"/>
        <v>M: </v>
      </c>
      <c r="C6541" s="68"/>
      <c r="D6541" s="68">
        <v>46403.0</v>
      </c>
      <c r="E6541" s="66">
        <v>9.0</v>
      </c>
      <c r="F6541" s="66" t="str">
        <f>IFERROR(__xludf.DUMMYFUNCTION("GOOGLETRANSLATE(A6541,""en"",""pt"")"),"#VALUE!")</f>
        <v>#VALUE!</v>
      </c>
      <c r="G6541" s="69"/>
    </row>
    <row r="6542" ht="22.5" customHeight="1">
      <c r="A6542" s="66"/>
      <c r="B6542" s="67" t="str">
        <f t="shared" si="16"/>
        <v>M: </v>
      </c>
      <c r="C6542" s="68"/>
      <c r="D6542" s="68">
        <v>46404.0</v>
      </c>
      <c r="E6542" s="66">
        <v>10.0</v>
      </c>
      <c r="F6542" s="66" t="str">
        <f>IFERROR(__xludf.DUMMYFUNCTION("GOOGLETRANSLATE(A6542,""en"",""pt"")"),"#VALUE!")</f>
        <v>#VALUE!</v>
      </c>
      <c r="G6542" s="69"/>
    </row>
    <row r="6543" ht="22.5" customHeight="1">
      <c r="A6543" s="66"/>
      <c r="B6543" s="67" t="str">
        <f t="shared" si="16"/>
        <v>M: </v>
      </c>
      <c r="C6543" s="68"/>
      <c r="D6543" s="68">
        <v>46404.0</v>
      </c>
      <c r="E6543" s="66">
        <v>1.0</v>
      </c>
      <c r="F6543" s="66" t="str">
        <f>IFERROR(__xludf.DUMMYFUNCTION("GOOGLETRANSLATE(A6543,""en"",""pt"")"),"#VALUE!")</f>
        <v>#VALUE!</v>
      </c>
      <c r="G6543" s="69"/>
    </row>
    <row r="6544" ht="22.5" customHeight="1">
      <c r="A6544" s="66"/>
      <c r="B6544" s="67" t="str">
        <f t="shared" si="16"/>
        <v>M: </v>
      </c>
      <c r="C6544" s="68"/>
      <c r="D6544" s="68">
        <v>46404.0</v>
      </c>
      <c r="E6544" s="66">
        <v>2.0</v>
      </c>
      <c r="F6544" s="66" t="str">
        <f>IFERROR(__xludf.DUMMYFUNCTION("GOOGLETRANSLATE(A6544,""en"",""pt"")"),"#VALUE!")</f>
        <v>#VALUE!</v>
      </c>
      <c r="G6544" s="69"/>
    </row>
    <row r="6545" ht="22.5" customHeight="1">
      <c r="A6545" s="66"/>
      <c r="B6545" s="67" t="str">
        <f t="shared" si="16"/>
        <v>M: </v>
      </c>
      <c r="C6545" s="68"/>
      <c r="D6545" s="68">
        <v>46404.0</v>
      </c>
      <c r="E6545" s="66">
        <v>3.0</v>
      </c>
      <c r="F6545" s="66" t="str">
        <f>IFERROR(__xludf.DUMMYFUNCTION("GOOGLETRANSLATE(A6545,""en"",""pt"")"),"#VALUE!")</f>
        <v>#VALUE!</v>
      </c>
      <c r="G6545" s="69"/>
    </row>
    <row r="6546" ht="22.5" customHeight="1">
      <c r="A6546" s="66"/>
      <c r="B6546" s="67" t="str">
        <f t="shared" si="16"/>
        <v>M: </v>
      </c>
      <c r="C6546" s="68"/>
      <c r="D6546" s="68">
        <v>46404.0</v>
      </c>
      <c r="E6546" s="66">
        <v>4.0</v>
      </c>
      <c r="F6546" s="66" t="str">
        <f>IFERROR(__xludf.DUMMYFUNCTION("GOOGLETRANSLATE(A6546,""en"",""pt"")"),"#VALUE!")</f>
        <v>#VALUE!</v>
      </c>
      <c r="G6546" s="69"/>
    </row>
    <row r="6547" ht="22.5" customHeight="1">
      <c r="A6547" s="66"/>
      <c r="B6547" s="67" t="str">
        <f t="shared" si="16"/>
        <v>M: </v>
      </c>
      <c r="C6547" s="68"/>
      <c r="D6547" s="68">
        <v>46404.0</v>
      </c>
      <c r="E6547" s="66">
        <v>5.0</v>
      </c>
      <c r="F6547" s="66" t="str">
        <f>IFERROR(__xludf.DUMMYFUNCTION("GOOGLETRANSLATE(A6547,""en"",""pt"")"),"#VALUE!")</f>
        <v>#VALUE!</v>
      </c>
      <c r="G6547" s="69"/>
    </row>
    <row r="6548" ht="22.5" customHeight="1">
      <c r="A6548" s="66"/>
      <c r="B6548" s="67" t="str">
        <f t="shared" si="16"/>
        <v>M: </v>
      </c>
      <c r="C6548" s="68"/>
      <c r="D6548" s="68">
        <v>46404.0</v>
      </c>
      <c r="E6548" s="66">
        <v>6.0</v>
      </c>
      <c r="F6548" s="66" t="str">
        <f>IFERROR(__xludf.DUMMYFUNCTION("GOOGLETRANSLATE(A6548,""en"",""pt"")"),"#VALUE!")</f>
        <v>#VALUE!</v>
      </c>
      <c r="G6548" s="69"/>
    </row>
    <row r="6549" ht="22.5" customHeight="1">
      <c r="A6549" s="66"/>
      <c r="B6549" s="67" t="str">
        <f t="shared" si="16"/>
        <v>M: </v>
      </c>
      <c r="C6549" s="68"/>
      <c r="D6549" s="68">
        <v>46404.0</v>
      </c>
      <c r="E6549" s="66">
        <v>7.0</v>
      </c>
      <c r="F6549" s="66" t="str">
        <f>IFERROR(__xludf.DUMMYFUNCTION("GOOGLETRANSLATE(A6549,""en"",""pt"")"),"#VALUE!")</f>
        <v>#VALUE!</v>
      </c>
      <c r="G6549" s="69"/>
    </row>
    <row r="6550" ht="22.5" customHeight="1">
      <c r="A6550" s="66"/>
      <c r="B6550" s="67" t="str">
        <f t="shared" si="16"/>
        <v>M: </v>
      </c>
      <c r="C6550" s="68"/>
      <c r="D6550" s="68">
        <v>46404.0</v>
      </c>
      <c r="E6550" s="66">
        <v>8.0</v>
      </c>
      <c r="F6550" s="66" t="str">
        <f>IFERROR(__xludf.DUMMYFUNCTION("GOOGLETRANSLATE(A6550,""en"",""pt"")"),"#VALUE!")</f>
        <v>#VALUE!</v>
      </c>
      <c r="G6550" s="69"/>
    </row>
    <row r="6551" ht="22.5" customHeight="1">
      <c r="A6551" s="66"/>
      <c r="B6551" s="67" t="str">
        <f t="shared" si="16"/>
        <v>M: </v>
      </c>
      <c r="C6551" s="68"/>
      <c r="D6551" s="68">
        <v>46404.0</v>
      </c>
      <c r="E6551" s="66">
        <v>9.0</v>
      </c>
      <c r="F6551" s="66" t="str">
        <f>IFERROR(__xludf.DUMMYFUNCTION("GOOGLETRANSLATE(A6551,""en"",""pt"")"),"#VALUE!")</f>
        <v>#VALUE!</v>
      </c>
      <c r="G6551" s="69"/>
    </row>
    <row r="6552" ht="22.5" customHeight="1">
      <c r="A6552" s="66"/>
      <c r="B6552" s="67" t="str">
        <f t="shared" si="16"/>
        <v>M: </v>
      </c>
      <c r="C6552" s="68"/>
      <c r="D6552" s="68">
        <v>46405.0</v>
      </c>
      <c r="E6552" s="66">
        <v>10.0</v>
      </c>
      <c r="F6552" s="66" t="str">
        <f>IFERROR(__xludf.DUMMYFUNCTION("GOOGLETRANSLATE(A6552,""en"",""pt"")"),"#VALUE!")</f>
        <v>#VALUE!</v>
      </c>
      <c r="G6552" s="69"/>
    </row>
    <row r="6553" ht="22.5" customHeight="1">
      <c r="A6553" s="66"/>
      <c r="B6553" s="67" t="str">
        <f t="shared" si="16"/>
        <v>M: </v>
      </c>
      <c r="C6553" s="68"/>
      <c r="D6553" s="68">
        <v>46405.0</v>
      </c>
      <c r="E6553" s="66">
        <v>1.0</v>
      </c>
      <c r="F6553" s="66" t="str">
        <f>IFERROR(__xludf.DUMMYFUNCTION("GOOGLETRANSLATE(A6553,""en"",""pt"")"),"#VALUE!")</f>
        <v>#VALUE!</v>
      </c>
      <c r="G6553" s="69"/>
    </row>
    <row r="6554" ht="22.5" customHeight="1">
      <c r="A6554" s="66"/>
      <c r="B6554" s="67" t="str">
        <f t="shared" si="16"/>
        <v>M: </v>
      </c>
      <c r="C6554" s="68"/>
      <c r="D6554" s="68">
        <v>46405.0</v>
      </c>
      <c r="E6554" s="66">
        <v>2.0</v>
      </c>
      <c r="F6554" s="66" t="str">
        <f>IFERROR(__xludf.DUMMYFUNCTION("GOOGLETRANSLATE(A6554,""en"",""pt"")"),"#VALUE!")</f>
        <v>#VALUE!</v>
      </c>
      <c r="G6554" s="69"/>
    </row>
    <row r="6555" ht="22.5" customHeight="1">
      <c r="A6555" s="66"/>
      <c r="B6555" s="67" t="str">
        <f t="shared" si="16"/>
        <v>M: </v>
      </c>
      <c r="C6555" s="68"/>
      <c r="D6555" s="68">
        <v>46405.0</v>
      </c>
      <c r="E6555" s="66">
        <v>3.0</v>
      </c>
      <c r="F6555" s="66" t="str">
        <f>IFERROR(__xludf.DUMMYFUNCTION("GOOGLETRANSLATE(A6555,""en"",""pt"")"),"#VALUE!")</f>
        <v>#VALUE!</v>
      </c>
      <c r="G6555" s="69"/>
    </row>
    <row r="6556" ht="22.5" customHeight="1">
      <c r="A6556" s="66"/>
      <c r="B6556" s="67" t="str">
        <f t="shared" si="16"/>
        <v>M: </v>
      </c>
      <c r="C6556" s="68"/>
      <c r="D6556" s="68">
        <v>46405.0</v>
      </c>
      <c r="E6556" s="66">
        <v>4.0</v>
      </c>
      <c r="F6556" s="66" t="str">
        <f>IFERROR(__xludf.DUMMYFUNCTION("GOOGLETRANSLATE(A6556,""en"",""pt"")"),"#VALUE!")</f>
        <v>#VALUE!</v>
      </c>
      <c r="G6556" s="69"/>
    </row>
    <row r="6557" ht="22.5" customHeight="1">
      <c r="A6557" s="66"/>
      <c r="B6557" s="67" t="str">
        <f t="shared" si="16"/>
        <v>M: </v>
      </c>
      <c r="C6557" s="68"/>
      <c r="D6557" s="68">
        <v>46405.0</v>
      </c>
      <c r="E6557" s="66">
        <v>5.0</v>
      </c>
      <c r="F6557" s="66" t="str">
        <f>IFERROR(__xludf.DUMMYFUNCTION("GOOGLETRANSLATE(A6557,""en"",""pt"")"),"#VALUE!")</f>
        <v>#VALUE!</v>
      </c>
      <c r="G6557" s="69"/>
    </row>
    <row r="6558" ht="22.5" customHeight="1">
      <c r="A6558" s="66"/>
      <c r="B6558" s="67" t="str">
        <f t="shared" si="16"/>
        <v>M: </v>
      </c>
      <c r="C6558" s="68"/>
      <c r="D6558" s="68">
        <v>46405.0</v>
      </c>
      <c r="E6558" s="66">
        <v>6.0</v>
      </c>
      <c r="F6558" s="66" t="str">
        <f>IFERROR(__xludf.DUMMYFUNCTION("GOOGLETRANSLATE(A6558,""en"",""pt"")"),"#VALUE!")</f>
        <v>#VALUE!</v>
      </c>
      <c r="G6558" s="69"/>
    </row>
    <row r="6559" ht="22.5" customHeight="1">
      <c r="A6559" s="66"/>
      <c r="B6559" s="67" t="str">
        <f t="shared" si="16"/>
        <v>M: </v>
      </c>
      <c r="C6559" s="68"/>
      <c r="D6559" s="68">
        <v>46405.0</v>
      </c>
      <c r="E6559" s="66">
        <v>7.0</v>
      </c>
      <c r="F6559" s="66" t="str">
        <f>IFERROR(__xludf.DUMMYFUNCTION("GOOGLETRANSLATE(A6559,""en"",""pt"")"),"#VALUE!")</f>
        <v>#VALUE!</v>
      </c>
      <c r="G6559" s="69"/>
    </row>
    <row r="6560" ht="22.5" customHeight="1">
      <c r="A6560" s="66"/>
      <c r="B6560" s="67" t="str">
        <f t="shared" si="16"/>
        <v>M: </v>
      </c>
      <c r="C6560" s="68"/>
      <c r="D6560" s="68">
        <v>46405.0</v>
      </c>
      <c r="E6560" s="66">
        <v>8.0</v>
      </c>
      <c r="F6560" s="66" t="str">
        <f>IFERROR(__xludf.DUMMYFUNCTION("GOOGLETRANSLATE(A6560,""en"",""pt"")"),"#VALUE!")</f>
        <v>#VALUE!</v>
      </c>
      <c r="G6560" s="69"/>
    </row>
    <row r="6561" ht="22.5" customHeight="1">
      <c r="A6561" s="66"/>
      <c r="B6561" s="67" t="str">
        <f t="shared" si="16"/>
        <v>M: </v>
      </c>
      <c r="C6561" s="68"/>
      <c r="D6561" s="68">
        <v>46405.0</v>
      </c>
      <c r="E6561" s="66">
        <v>9.0</v>
      </c>
      <c r="F6561" s="66" t="str">
        <f>IFERROR(__xludf.DUMMYFUNCTION("GOOGLETRANSLATE(A6561,""en"",""pt"")"),"#VALUE!")</f>
        <v>#VALUE!</v>
      </c>
      <c r="G6561" s="69"/>
    </row>
    <row r="6562" ht="22.5" customHeight="1">
      <c r="A6562" s="66"/>
      <c r="B6562" s="67" t="str">
        <f t="shared" si="16"/>
        <v>M: </v>
      </c>
      <c r="C6562" s="68"/>
      <c r="D6562" s="68">
        <v>46406.0</v>
      </c>
      <c r="E6562" s="66">
        <v>10.0</v>
      </c>
      <c r="F6562" s="66" t="str">
        <f>IFERROR(__xludf.DUMMYFUNCTION("GOOGLETRANSLATE(A6562,""en"",""pt"")"),"#VALUE!")</f>
        <v>#VALUE!</v>
      </c>
      <c r="G6562" s="69"/>
    </row>
    <row r="6563" ht="22.5" customHeight="1">
      <c r="A6563" s="66"/>
      <c r="B6563" s="67" t="str">
        <f t="shared" si="16"/>
        <v>M: </v>
      </c>
      <c r="C6563" s="68"/>
      <c r="D6563" s="68">
        <v>46406.0</v>
      </c>
      <c r="E6563" s="66">
        <v>1.0</v>
      </c>
      <c r="F6563" s="66" t="str">
        <f>IFERROR(__xludf.DUMMYFUNCTION("GOOGLETRANSLATE(A6563,""en"",""pt"")"),"#VALUE!")</f>
        <v>#VALUE!</v>
      </c>
      <c r="G6563" s="69"/>
    </row>
    <row r="6564" ht="22.5" customHeight="1">
      <c r="A6564" s="66"/>
      <c r="B6564" s="67" t="str">
        <f t="shared" si="16"/>
        <v>M: </v>
      </c>
      <c r="C6564" s="68"/>
      <c r="D6564" s="68">
        <v>46406.0</v>
      </c>
      <c r="E6564" s="66">
        <v>2.0</v>
      </c>
      <c r="F6564" s="66" t="str">
        <f>IFERROR(__xludf.DUMMYFUNCTION("GOOGLETRANSLATE(A6564,""en"",""pt"")"),"#VALUE!")</f>
        <v>#VALUE!</v>
      </c>
      <c r="G6564" s="69"/>
    </row>
    <row r="6565" ht="22.5" customHeight="1">
      <c r="A6565" s="66"/>
      <c r="B6565" s="67" t="str">
        <f t="shared" si="16"/>
        <v>M: </v>
      </c>
      <c r="C6565" s="68"/>
      <c r="D6565" s="68">
        <v>46406.0</v>
      </c>
      <c r="E6565" s="66">
        <v>3.0</v>
      </c>
      <c r="F6565" s="66" t="str">
        <f>IFERROR(__xludf.DUMMYFUNCTION("GOOGLETRANSLATE(A6565,""en"",""pt"")"),"#VALUE!")</f>
        <v>#VALUE!</v>
      </c>
      <c r="G6565" s="69"/>
    </row>
    <row r="6566" ht="22.5" customHeight="1">
      <c r="A6566" s="66"/>
      <c r="B6566" s="67" t="str">
        <f t="shared" si="16"/>
        <v>M: </v>
      </c>
      <c r="C6566" s="68"/>
      <c r="D6566" s="68">
        <v>46406.0</v>
      </c>
      <c r="E6566" s="66">
        <v>4.0</v>
      </c>
      <c r="F6566" s="66" t="str">
        <f>IFERROR(__xludf.DUMMYFUNCTION("GOOGLETRANSLATE(A6566,""en"",""pt"")"),"#VALUE!")</f>
        <v>#VALUE!</v>
      </c>
      <c r="G6566" s="69"/>
    </row>
    <row r="6567" ht="22.5" customHeight="1">
      <c r="A6567" s="66"/>
      <c r="B6567" s="67" t="str">
        <f t="shared" si="16"/>
        <v>M: </v>
      </c>
      <c r="C6567" s="68"/>
      <c r="D6567" s="68">
        <v>46406.0</v>
      </c>
      <c r="E6567" s="66">
        <v>5.0</v>
      </c>
      <c r="F6567" s="66" t="str">
        <f>IFERROR(__xludf.DUMMYFUNCTION("GOOGLETRANSLATE(A6567,""en"",""pt"")"),"#VALUE!")</f>
        <v>#VALUE!</v>
      </c>
      <c r="G6567" s="69"/>
    </row>
    <row r="6568" ht="22.5" customHeight="1">
      <c r="A6568" s="66"/>
      <c r="B6568" s="67" t="str">
        <f t="shared" si="16"/>
        <v>M: </v>
      </c>
      <c r="C6568" s="68"/>
      <c r="D6568" s="68">
        <v>46406.0</v>
      </c>
      <c r="E6568" s="66">
        <v>6.0</v>
      </c>
      <c r="F6568" s="66" t="str">
        <f>IFERROR(__xludf.DUMMYFUNCTION("GOOGLETRANSLATE(A6568,""en"",""pt"")"),"#VALUE!")</f>
        <v>#VALUE!</v>
      </c>
      <c r="G6568" s="69"/>
    </row>
    <row r="6569" ht="22.5" customHeight="1">
      <c r="A6569" s="66"/>
      <c r="B6569" s="67" t="str">
        <f t="shared" si="16"/>
        <v>M: </v>
      </c>
      <c r="C6569" s="68"/>
      <c r="D6569" s="68">
        <v>46406.0</v>
      </c>
      <c r="E6569" s="66">
        <v>7.0</v>
      </c>
      <c r="F6569" s="66" t="str">
        <f>IFERROR(__xludf.DUMMYFUNCTION("GOOGLETRANSLATE(A6569,""en"",""pt"")"),"#VALUE!")</f>
        <v>#VALUE!</v>
      </c>
      <c r="G6569" s="69"/>
    </row>
    <row r="6570" ht="22.5" customHeight="1">
      <c r="A6570" s="66"/>
      <c r="B6570" s="67" t="str">
        <f t="shared" si="16"/>
        <v>M: </v>
      </c>
      <c r="C6570" s="68"/>
      <c r="D6570" s="68">
        <v>46406.0</v>
      </c>
      <c r="E6570" s="66">
        <v>8.0</v>
      </c>
      <c r="F6570" s="66" t="str">
        <f>IFERROR(__xludf.DUMMYFUNCTION("GOOGLETRANSLATE(A6570,""en"",""pt"")"),"#VALUE!")</f>
        <v>#VALUE!</v>
      </c>
      <c r="G6570" s="69"/>
    </row>
    <row r="6571" ht="22.5" customHeight="1">
      <c r="A6571" s="66"/>
      <c r="B6571" s="67" t="str">
        <f t="shared" si="16"/>
        <v>M: </v>
      </c>
      <c r="C6571" s="68"/>
      <c r="D6571" s="68">
        <v>46406.0</v>
      </c>
      <c r="E6571" s="66">
        <v>9.0</v>
      </c>
      <c r="F6571" s="66" t="str">
        <f>IFERROR(__xludf.DUMMYFUNCTION("GOOGLETRANSLATE(A6571,""en"",""pt"")"),"#VALUE!")</f>
        <v>#VALUE!</v>
      </c>
      <c r="G6571" s="69"/>
    </row>
    <row r="6572" ht="22.5" customHeight="1">
      <c r="A6572" s="66"/>
      <c r="B6572" s="67" t="str">
        <f t="shared" si="16"/>
        <v>M: </v>
      </c>
      <c r="C6572" s="68"/>
      <c r="D6572" s="68">
        <v>46407.0</v>
      </c>
      <c r="E6572" s="66">
        <v>10.0</v>
      </c>
      <c r="F6572" s="66" t="str">
        <f>IFERROR(__xludf.DUMMYFUNCTION("GOOGLETRANSLATE(A6572,""en"",""pt"")"),"#VALUE!")</f>
        <v>#VALUE!</v>
      </c>
      <c r="G6572" s="69"/>
    </row>
    <row r="6573" ht="22.5" customHeight="1">
      <c r="A6573" s="66"/>
      <c r="B6573" s="67" t="str">
        <f t="shared" si="16"/>
        <v>M: </v>
      </c>
      <c r="C6573" s="68"/>
      <c r="D6573" s="68">
        <v>46407.0</v>
      </c>
      <c r="E6573" s="66">
        <v>1.0</v>
      </c>
      <c r="F6573" s="66" t="str">
        <f>IFERROR(__xludf.DUMMYFUNCTION("GOOGLETRANSLATE(A6573,""en"",""pt"")"),"#VALUE!")</f>
        <v>#VALUE!</v>
      </c>
      <c r="G6573" s="69"/>
    </row>
    <row r="6574" ht="22.5" customHeight="1">
      <c r="A6574" s="66"/>
      <c r="B6574" s="67" t="str">
        <f t="shared" si="16"/>
        <v>M: </v>
      </c>
      <c r="C6574" s="68"/>
      <c r="D6574" s="68">
        <v>46407.0</v>
      </c>
      <c r="E6574" s="66">
        <v>2.0</v>
      </c>
      <c r="F6574" s="66" t="str">
        <f>IFERROR(__xludf.DUMMYFUNCTION("GOOGLETRANSLATE(A6574,""en"",""pt"")"),"#VALUE!")</f>
        <v>#VALUE!</v>
      </c>
      <c r="G6574" s="69"/>
    </row>
    <row r="6575" ht="22.5" customHeight="1">
      <c r="A6575" s="66"/>
      <c r="B6575" s="67" t="str">
        <f t="shared" si="16"/>
        <v>M: </v>
      </c>
      <c r="C6575" s="68"/>
      <c r="D6575" s="68">
        <v>46407.0</v>
      </c>
      <c r="E6575" s="66">
        <v>3.0</v>
      </c>
      <c r="F6575" s="66" t="str">
        <f>IFERROR(__xludf.DUMMYFUNCTION("GOOGLETRANSLATE(A6575,""en"",""pt"")"),"#VALUE!")</f>
        <v>#VALUE!</v>
      </c>
      <c r="G6575" s="69"/>
    </row>
    <row r="6576" ht="22.5" customHeight="1">
      <c r="A6576" s="66"/>
      <c r="B6576" s="67" t="str">
        <f t="shared" si="16"/>
        <v>M: </v>
      </c>
      <c r="C6576" s="68"/>
      <c r="D6576" s="68">
        <v>46407.0</v>
      </c>
      <c r="E6576" s="66">
        <v>4.0</v>
      </c>
      <c r="F6576" s="66" t="str">
        <f>IFERROR(__xludf.DUMMYFUNCTION("GOOGLETRANSLATE(A6576,""en"",""pt"")"),"#VALUE!")</f>
        <v>#VALUE!</v>
      </c>
      <c r="G6576" s="69"/>
    </row>
    <row r="6577" ht="22.5" customHeight="1">
      <c r="A6577" s="66"/>
      <c r="B6577" s="67" t="str">
        <f t="shared" si="16"/>
        <v>M: </v>
      </c>
      <c r="C6577" s="68"/>
      <c r="D6577" s="68">
        <v>46407.0</v>
      </c>
      <c r="E6577" s="66">
        <v>5.0</v>
      </c>
      <c r="F6577" s="66" t="str">
        <f>IFERROR(__xludf.DUMMYFUNCTION("GOOGLETRANSLATE(A6577,""en"",""pt"")"),"#VALUE!")</f>
        <v>#VALUE!</v>
      </c>
      <c r="G6577" s="69"/>
    </row>
    <row r="6578" ht="22.5" customHeight="1">
      <c r="A6578" s="66"/>
      <c r="B6578" s="67" t="str">
        <f t="shared" si="16"/>
        <v>M: </v>
      </c>
      <c r="C6578" s="68"/>
      <c r="D6578" s="68">
        <v>46407.0</v>
      </c>
      <c r="E6578" s="66">
        <v>6.0</v>
      </c>
      <c r="F6578" s="66" t="str">
        <f>IFERROR(__xludf.DUMMYFUNCTION("GOOGLETRANSLATE(A6578,""en"",""pt"")"),"#VALUE!")</f>
        <v>#VALUE!</v>
      </c>
      <c r="G6578" s="69"/>
    </row>
    <row r="6579" ht="22.5" customHeight="1">
      <c r="A6579" s="66"/>
      <c r="B6579" s="67" t="str">
        <f t="shared" si="16"/>
        <v>M: </v>
      </c>
      <c r="C6579" s="68"/>
      <c r="D6579" s="68">
        <v>46407.0</v>
      </c>
      <c r="E6579" s="66">
        <v>7.0</v>
      </c>
      <c r="F6579" s="66" t="str">
        <f>IFERROR(__xludf.DUMMYFUNCTION("GOOGLETRANSLATE(A6579,""en"",""pt"")"),"#VALUE!")</f>
        <v>#VALUE!</v>
      </c>
      <c r="G6579" s="69"/>
    </row>
    <row r="6580" ht="22.5" customHeight="1">
      <c r="A6580" s="66"/>
      <c r="B6580" s="67" t="str">
        <f t="shared" si="16"/>
        <v>M: </v>
      </c>
      <c r="C6580" s="68"/>
      <c r="D6580" s="68">
        <v>46407.0</v>
      </c>
      <c r="E6580" s="66">
        <v>8.0</v>
      </c>
      <c r="F6580" s="66" t="str">
        <f>IFERROR(__xludf.DUMMYFUNCTION("GOOGLETRANSLATE(A6580,""en"",""pt"")"),"#VALUE!")</f>
        <v>#VALUE!</v>
      </c>
      <c r="G6580" s="69"/>
    </row>
    <row r="6581" ht="22.5" customHeight="1">
      <c r="A6581" s="66"/>
      <c r="B6581" s="67" t="str">
        <f t="shared" si="16"/>
        <v>M: </v>
      </c>
      <c r="C6581" s="68"/>
      <c r="D6581" s="68">
        <v>46407.0</v>
      </c>
      <c r="E6581" s="66">
        <v>9.0</v>
      </c>
      <c r="F6581" s="66" t="str">
        <f>IFERROR(__xludf.DUMMYFUNCTION("GOOGLETRANSLATE(A6581,""en"",""pt"")"),"#VALUE!")</f>
        <v>#VALUE!</v>
      </c>
      <c r="G6581" s="69"/>
    </row>
    <row r="6582" ht="22.5" customHeight="1">
      <c r="A6582" s="66"/>
      <c r="B6582" s="67" t="str">
        <f t="shared" si="16"/>
        <v>M: </v>
      </c>
      <c r="C6582" s="68"/>
      <c r="D6582" s="68">
        <v>46408.0</v>
      </c>
      <c r="E6582" s="66">
        <v>10.0</v>
      </c>
      <c r="F6582" s="66" t="str">
        <f>IFERROR(__xludf.DUMMYFUNCTION("GOOGLETRANSLATE(A6582,""en"",""pt"")"),"#VALUE!")</f>
        <v>#VALUE!</v>
      </c>
      <c r="G6582" s="69"/>
    </row>
    <row r="6583" ht="22.5" customHeight="1">
      <c r="A6583" s="66"/>
      <c r="B6583" s="67" t="str">
        <f t="shared" si="16"/>
        <v>M: </v>
      </c>
      <c r="C6583" s="68"/>
      <c r="D6583" s="68">
        <v>46408.0</v>
      </c>
      <c r="E6583" s="66">
        <v>1.0</v>
      </c>
      <c r="F6583" s="66" t="str">
        <f>IFERROR(__xludf.DUMMYFUNCTION("GOOGLETRANSLATE(A6583,""en"",""pt"")"),"#VALUE!")</f>
        <v>#VALUE!</v>
      </c>
      <c r="G6583" s="69"/>
    </row>
    <row r="6584" ht="22.5" customHeight="1">
      <c r="A6584" s="66"/>
      <c r="B6584" s="67" t="str">
        <f t="shared" si="16"/>
        <v>M: </v>
      </c>
      <c r="C6584" s="68"/>
      <c r="D6584" s="68">
        <v>46408.0</v>
      </c>
      <c r="E6584" s="66">
        <v>2.0</v>
      </c>
      <c r="F6584" s="66" t="str">
        <f>IFERROR(__xludf.DUMMYFUNCTION("GOOGLETRANSLATE(A6584,""en"",""pt"")"),"#VALUE!")</f>
        <v>#VALUE!</v>
      </c>
      <c r="G6584" s="69"/>
    </row>
    <row r="6585" ht="22.5" customHeight="1">
      <c r="A6585" s="66"/>
      <c r="B6585" s="67" t="str">
        <f t="shared" si="16"/>
        <v>M: </v>
      </c>
      <c r="C6585" s="68"/>
      <c r="D6585" s="68">
        <v>46408.0</v>
      </c>
      <c r="E6585" s="66">
        <v>3.0</v>
      </c>
      <c r="F6585" s="66" t="str">
        <f>IFERROR(__xludf.DUMMYFUNCTION("GOOGLETRANSLATE(A6585,""en"",""pt"")"),"#VALUE!")</f>
        <v>#VALUE!</v>
      </c>
      <c r="G6585" s="69"/>
    </row>
    <row r="6586" ht="22.5" customHeight="1">
      <c r="A6586" s="66"/>
      <c r="B6586" s="67" t="str">
        <f t="shared" si="16"/>
        <v>M: </v>
      </c>
      <c r="C6586" s="68"/>
      <c r="D6586" s="68">
        <v>46408.0</v>
      </c>
      <c r="E6586" s="66">
        <v>4.0</v>
      </c>
      <c r="F6586" s="66" t="str">
        <f>IFERROR(__xludf.DUMMYFUNCTION("GOOGLETRANSLATE(A6586,""en"",""pt"")"),"#VALUE!")</f>
        <v>#VALUE!</v>
      </c>
      <c r="G6586" s="69"/>
    </row>
    <row r="6587" ht="22.5" customHeight="1">
      <c r="A6587" s="66"/>
      <c r="B6587" s="67" t="str">
        <f t="shared" si="16"/>
        <v>M: </v>
      </c>
      <c r="C6587" s="68"/>
      <c r="D6587" s="68">
        <v>46408.0</v>
      </c>
      <c r="E6587" s="66">
        <v>5.0</v>
      </c>
      <c r="F6587" s="66" t="str">
        <f>IFERROR(__xludf.DUMMYFUNCTION("GOOGLETRANSLATE(A6587,""en"",""pt"")"),"#VALUE!")</f>
        <v>#VALUE!</v>
      </c>
      <c r="G6587" s="69"/>
    </row>
    <row r="6588" ht="22.5" customHeight="1">
      <c r="A6588" s="66"/>
      <c r="B6588" s="67" t="str">
        <f t="shared" si="16"/>
        <v>M: </v>
      </c>
      <c r="C6588" s="68"/>
      <c r="D6588" s="68">
        <v>46408.0</v>
      </c>
      <c r="E6588" s="66">
        <v>6.0</v>
      </c>
      <c r="F6588" s="66" t="str">
        <f>IFERROR(__xludf.DUMMYFUNCTION("GOOGLETRANSLATE(A6588,""en"",""pt"")"),"#VALUE!")</f>
        <v>#VALUE!</v>
      </c>
      <c r="G6588" s="69"/>
    </row>
    <row r="6589" ht="22.5" customHeight="1">
      <c r="A6589" s="66"/>
      <c r="B6589" s="67" t="str">
        <f t="shared" si="16"/>
        <v>M: </v>
      </c>
      <c r="C6589" s="68"/>
      <c r="D6589" s="68">
        <v>46408.0</v>
      </c>
      <c r="E6589" s="66">
        <v>7.0</v>
      </c>
      <c r="F6589" s="66" t="str">
        <f>IFERROR(__xludf.DUMMYFUNCTION("GOOGLETRANSLATE(A6589,""en"",""pt"")"),"#VALUE!")</f>
        <v>#VALUE!</v>
      </c>
      <c r="G6589" s="69"/>
    </row>
    <row r="6590" ht="22.5" customHeight="1">
      <c r="A6590" s="66"/>
      <c r="B6590" s="67" t="str">
        <f t="shared" si="16"/>
        <v>M: </v>
      </c>
      <c r="C6590" s="68"/>
      <c r="D6590" s="68">
        <v>46408.0</v>
      </c>
      <c r="E6590" s="66">
        <v>8.0</v>
      </c>
      <c r="F6590" s="66" t="str">
        <f>IFERROR(__xludf.DUMMYFUNCTION("GOOGLETRANSLATE(A6590,""en"",""pt"")"),"#VALUE!")</f>
        <v>#VALUE!</v>
      </c>
      <c r="G6590" s="69"/>
    </row>
    <row r="6591" ht="22.5" customHeight="1">
      <c r="A6591" s="66"/>
      <c r="B6591" s="67" t="str">
        <f t="shared" si="16"/>
        <v>M: </v>
      </c>
      <c r="C6591" s="68"/>
      <c r="D6591" s="68">
        <v>46408.0</v>
      </c>
      <c r="E6591" s="66">
        <v>9.0</v>
      </c>
      <c r="F6591" s="66" t="str">
        <f>IFERROR(__xludf.DUMMYFUNCTION("GOOGLETRANSLATE(A6591,""en"",""pt"")"),"#VALUE!")</f>
        <v>#VALUE!</v>
      </c>
      <c r="G6591" s="69"/>
    </row>
    <row r="6592" ht="22.5" customHeight="1">
      <c r="A6592" s="66"/>
      <c r="B6592" s="67" t="str">
        <f t="shared" si="16"/>
        <v>M: </v>
      </c>
      <c r="C6592" s="68"/>
      <c r="D6592" s="68">
        <v>46409.0</v>
      </c>
      <c r="E6592" s="66">
        <v>10.0</v>
      </c>
      <c r="F6592" s="66" t="str">
        <f>IFERROR(__xludf.DUMMYFUNCTION("GOOGLETRANSLATE(A6592,""en"",""pt"")"),"#VALUE!")</f>
        <v>#VALUE!</v>
      </c>
      <c r="G6592" s="69"/>
    </row>
    <row r="6593" ht="22.5" customHeight="1">
      <c r="A6593" s="66"/>
      <c r="B6593" s="67" t="str">
        <f t="shared" si="16"/>
        <v>M: </v>
      </c>
      <c r="C6593" s="68"/>
      <c r="D6593" s="68">
        <v>46409.0</v>
      </c>
      <c r="E6593" s="66">
        <v>1.0</v>
      </c>
      <c r="F6593" s="66" t="str">
        <f>IFERROR(__xludf.DUMMYFUNCTION("GOOGLETRANSLATE(A6593,""en"",""pt"")"),"#VALUE!")</f>
        <v>#VALUE!</v>
      </c>
      <c r="G6593" s="69"/>
    </row>
    <row r="6594" ht="22.5" customHeight="1">
      <c r="A6594" s="66"/>
      <c r="B6594" s="67" t="str">
        <f t="shared" si="16"/>
        <v>M: </v>
      </c>
      <c r="C6594" s="68"/>
      <c r="D6594" s="68">
        <v>46409.0</v>
      </c>
      <c r="E6594" s="66">
        <v>2.0</v>
      </c>
      <c r="F6594" s="66" t="str">
        <f>IFERROR(__xludf.DUMMYFUNCTION("GOOGLETRANSLATE(A6594,""en"",""pt"")"),"#VALUE!")</f>
        <v>#VALUE!</v>
      </c>
      <c r="G6594" s="69"/>
    </row>
    <row r="6595" ht="22.5" customHeight="1">
      <c r="A6595" s="66"/>
      <c r="B6595" s="67" t="str">
        <f t="shared" si="16"/>
        <v>M: </v>
      </c>
      <c r="C6595" s="68"/>
      <c r="D6595" s="68">
        <v>46409.0</v>
      </c>
      <c r="E6595" s="66">
        <v>3.0</v>
      </c>
      <c r="F6595" s="66" t="str">
        <f>IFERROR(__xludf.DUMMYFUNCTION("GOOGLETRANSLATE(A6595,""en"",""pt"")"),"#VALUE!")</f>
        <v>#VALUE!</v>
      </c>
      <c r="G6595" s="69"/>
    </row>
    <row r="6596" ht="22.5" customHeight="1">
      <c r="A6596" s="66"/>
      <c r="B6596" s="67" t="str">
        <f t="shared" si="16"/>
        <v>M: </v>
      </c>
      <c r="C6596" s="68"/>
      <c r="D6596" s="68">
        <v>46409.0</v>
      </c>
      <c r="E6596" s="66">
        <v>4.0</v>
      </c>
      <c r="F6596" s="66" t="str">
        <f>IFERROR(__xludf.DUMMYFUNCTION("GOOGLETRANSLATE(A6596,""en"",""pt"")"),"#VALUE!")</f>
        <v>#VALUE!</v>
      </c>
      <c r="G6596" s="69"/>
    </row>
    <row r="6597" ht="22.5" customHeight="1">
      <c r="A6597" s="66"/>
      <c r="B6597" s="67" t="str">
        <f t="shared" si="16"/>
        <v>M: </v>
      </c>
      <c r="C6597" s="68"/>
      <c r="D6597" s="68">
        <v>46409.0</v>
      </c>
      <c r="E6597" s="66">
        <v>5.0</v>
      </c>
      <c r="F6597" s="66" t="str">
        <f>IFERROR(__xludf.DUMMYFUNCTION("GOOGLETRANSLATE(A6597,""en"",""pt"")"),"#VALUE!")</f>
        <v>#VALUE!</v>
      </c>
      <c r="G6597" s="69"/>
    </row>
    <row r="6598" ht="22.5" customHeight="1">
      <c r="A6598" s="66"/>
      <c r="B6598" s="67" t="str">
        <f t="shared" si="16"/>
        <v>M: </v>
      </c>
      <c r="C6598" s="68"/>
      <c r="D6598" s="68">
        <v>46409.0</v>
      </c>
      <c r="E6598" s="66">
        <v>6.0</v>
      </c>
      <c r="F6598" s="66" t="str">
        <f>IFERROR(__xludf.DUMMYFUNCTION("GOOGLETRANSLATE(A6598,""en"",""pt"")"),"#VALUE!")</f>
        <v>#VALUE!</v>
      </c>
      <c r="G6598" s="69"/>
    </row>
    <row r="6599" ht="22.5" customHeight="1">
      <c r="A6599" s="66"/>
      <c r="B6599" s="67" t="str">
        <f t="shared" si="16"/>
        <v>M: </v>
      </c>
      <c r="C6599" s="68"/>
      <c r="D6599" s="68">
        <v>46409.0</v>
      </c>
      <c r="E6599" s="66">
        <v>7.0</v>
      </c>
      <c r="F6599" s="66" t="str">
        <f>IFERROR(__xludf.DUMMYFUNCTION("GOOGLETRANSLATE(A6599,""en"",""pt"")"),"#VALUE!")</f>
        <v>#VALUE!</v>
      </c>
      <c r="G6599" s="69"/>
    </row>
    <row r="6600" ht="22.5" customHeight="1">
      <c r="A6600" s="66"/>
      <c r="B6600" s="67" t="str">
        <f t="shared" si="16"/>
        <v>M: </v>
      </c>
      <c r="C6600" s="68"/>
      <c r="D6600" s="68">
        <v>46409.0</v>
      </c>
      <c r="E6600" s="66">
        <v>8.0</v>
      </c>
      <c r="F6600" s="66" t="str">
        <f>IFERROR(__xludf.DUMMYFUNCTION("GOOGLETRANSLATE(A6600,""en"",""pt"")"),"#VALUE!")</f>
        <v>#VALUE!</v>
      </c>
      <c r="G6600" s="69"/>
    </row>
    <row r="6601" ht="22.5" customHeight="1">
      <c r="A6601" s="66"/>
      <c r="B6601" s="67" t="str">
        <f t="shared" si="16"/>
        <v>M: </v>
      </c>
      <c r="C6601" s="68"/>
      <c r="D6601" s="68">
        <v>46409.0</v>
      </c>
      <c r="E6601" s="66">
        <v>9.0</v>
      </c>
      <c r="F6601" s="66" t="str">
        <f>IFERROR(__xludf.DUMMYFUNCTION("GOOGLETRANSLATE(A6601,""en"",""pt"")"),"#VALUE!")</f>
        <v>#VALUE!</v>
      </c>
      <c r="G6601" s="69"/>
    </row>
    <row r="6602" ht="22.5" customHeight="1">
      <c r="A6602" s="66"/>
      <c r="B6602" s="67" t="str">
        <f t="shared" si="16"/>
        <v>M: </v>
      </c>
      <c r="C6602" s="68"/>
      <c r="D6602" s="68">
        <v>46410.0</v>
      </c>
      <c r="E6602" s="66">
        <v>10.0</v>
      </c>
      <c r="F6602" s="66" t="str">
        <f>IFERROR(__xludf.DUMMYFUNCTION("GOOGLETRANSLATE(A6602,""en"",""pt"")"),"#VALUE!")</f>
        <v>#VALUE!</v>
      </c>
      <c r="G6602" s="69"/>
    </row>
    <row r="6603" ht="22.5" customHeight="1">
      <c r="A6603" s="66"/>
      <c r="B6603" s="67" t="str">
        <f t="shared" si="16"/>
        <v>M: </v>
      </c>
      <c r="C6603" s="68"/>
      <c r="D6603" s="68">
        <v>46410.0</v>
      </c>
      <c r="E6603" s="66">
        <v>1.0</v>
      </c>
      <c r="F6603" s="66" t="str">
        <f>IFERROR(__xludf.DUMMYFUNCTION("GOOGLETRANSLATE(A6603,""en"",""pt"")"),"#VALUE!")</f>
        <v>#VALUE!</v>
      </c>
      <c r="G6603" s="69"/>
    </row>
    <row r="6604" ht="22.5" customHeight="1">
      <c r="A6604" s="66"/>
      <c r="B6604" s="67" t="str">
        <f t="shared" si="16"/>
        <v>M: </v>
      </c>
      <c r="C6604" s="68"/>
      <c r="D6604" s="68">
        <v>46410.0</v>
      </c>
      <c r="E6604" s="66">
        <v>2.0</v>
      </c>
      <c r="F6604" s="66" t="str">
        <f>IFERROR(__xludf.DUMMYFUNCTION("GOOGLETRANSLATE(A6604,""en"",""pt"")"),"#VALUE!")</f>
        <v>#VALUE!</v>
      </c>
      <c r="G6604" s="69"/>
    </row>
    <row r="6605" ht="22.5" customHeight="1">
      <c r="A6605" s="66"/>
      <c r="B6605" s="67" t="str">
        <f t="shared" si="16"/>
        <v>M: </v>
      </c>
      <c r="C6605" s="68"/>
      <c r="D6605" s="68">
        <v>46410.0</v>
      </c>
      <c r="E6605" s="66">
        <v>3.0</v>
      </c>
      <c r="F6605" s="66" t="str">
        <f>IFERROR(__xludf.DUMMYFUNCTION("GOOGLETRANSLATE(A6605,""en"",""pt"")"),"#VALUE!")</f>
        <v>#VALUE!</v>
      </c>
      <c r="G6605" s="69"/>
    </row>
    <row r="6606" ht="22.5" customHeight="1">
      <c r="A6606" s="66"/>
      <c r="B6606" s="67" t="str">
        <f t="shared" si="16"/>
        <v>M: </v>
      </c>
      <c r="C6606" s="68"/>
      <c r="D6606" s="68">
        <v>46410.0</v>
      </c>
      <c r="E6606" s="66">
        <v>4.0</v>
      </c>
      <c r="F6606" s="66" t="str">
        <f>IFERROR(__xludf.DUMMYFUNCTION("GOOGLETRANSLATE(A6606,""en"",""pt"")"),"#VALUE!")</f>
        <v>#VALUE!</v>
      </c>
      <c r="G6606" s="69"/>
    </row>
    <row r="6607" ht="22.5" customHeight="1">
      <c r="A6607" s="66"/>
      <c r="B6607" s="67" t="str">
        <f t="shared" si="16"/>
        <v>M: </v>
      </c>
      <c r="C6607" s="68"/>
      <c r="D6607" s="68">
        <v>46410.0</v>
      </c>
      <c r="E6607" s="66">
        <v>5.0</v>
      </c>
      <c r="F6607" s="66" t="str">
        <f>IFERROR(__xludf.DUMMYFUNCTION("GOOGLETRANSLATE(A6607,""en"",""pt"")"),"#VALUE!")</f>
        <v>#VALUE!</v>
      </c>
      <c r="G6607" s="69"/>
    </row>
    <row r="6608" ht="22.5" customHeight="1">
      <c r="A6608" s="66"/>
      <c r="B6608" s="67" t="str">
        <f t="shared" si="16"/>
        <v>M: </v>
      </c>
      <c r="C6608" s="68"/>
      <c r="D6608" s="68">
        <v>46410.0</v>
      </c>
      <c r="E6608" s="66">
        <v>6.0</v>
      </c>
      <c r="F6608" s="66" t="str">
        <f>IFERROR(__xludf.DUMMYFUNCTION("GOOGLETRANSLATE(A6608,""en"",""pt"")"),"#VALUE!")</f>
        <v>#VALUE!</v>
      </c>
      <c r="G6608" s="69"/>
    </row>
    <row r="6609" ht="22.5" customHeight="1">
      <c r="A6609" s="66"/>
      <c r="B6609" s="67" t="str">
        <f t="shared" si="16"/>
        <v>M: </v>
      </c>
      <c r="C6609" s="68"/>
      <c r="D6609" s="68">
        <v>46410.0</v>
      </c>
      <c r="E6609" s="66">
        <v>7.0</v>
      </c>
      <c r="F6609" s="66" t="str">
        <f>IFERROR(__xludf.DUMMYFUNCTION("GOOGLETRANSLATE(A6609,""en"",""pt"")"),"#VALUE!")</f>
        <v>#VALUE!</v>
      </c>
      <c r="G6609" s="69"/>
    </row>
    <row r="6610" ht="22.5" customHeight="1">
      <c r="A6610" s="66"/>
      <c r="B6610" s="67" t="str">
        <f t="shared" si="16"/>
        <v>M: </v>
      </c>
      <c r="C6610" s="68"/>
      <c r="D6610" s="68">
        <v>46410.0</v>
      </c>
      <c r="E6610" s="66">
        <v>8.0</v>
      </c>
      <c r="F6610" s="66" t="str">
        <f>IFERROR(__xludf.DUMMYFUNCTION("GOOGLETRANSLATE(A6610,""en"",""pt"")"),"#VALUE!")</f>
        <v>#VALUE!</v>
      </c>
      <c r="G6610" s="69"/>
    </row>
    <row r="6611" ht="22.5" customHeight="1">
      <c r="A6611" s="66"/>
      <c r="B6611" s="67" t="str">
        <f t="shared" si="16"/>
        <v>M: </v>
      </c>
      <c r="C6611" s="68"/>
      <c r="D6611" s="68">
        <v>46410.0</v>
      </c>
      <c r="E6611" s="66">
        <v>9.0</v>
      </c>
      <c r="F6611" s="66" t="str">
        <f>IFERROR(__xludf.DUMMYFUNCTION("GOOGLETRANSLATE(A6611,""en"",""pt"")"),"#VALUE!")</f>
        <v>#VALUE!</v>
      </c>
      <c r="G6611" s="69"/>
    </row>
    <row r="6612" ht="22.5" customHeight="1">
      <c r="A6612" s="66"/>
      <c r="B6612" s="67" t="str">
        <f t="shared" si="16"/>
        <v>M: </v>
      </c>
      <c r="C6612" s="68"/>
      <c r="D6612" s="68">
        <v>46411.0</v>
      </c>
      <c r="E6612" s="66">
        <v>10.0</v>
      </c>
      <c r="F6612" s="66" t="str">
        <f>IFERROR(__xludf.DUMMYFUNCTION("GOOGLETRANSLATE(A6612,""en"",""pt"")"),"#VALUE!")</f>
        <v>#VALUE!</v>
      </c>
      <c r="G6612" s="69"/>
    </row>
    <row r="6613" ht="22.5" customHeight="1">
      <c r="A6613" s="66"/>
      <c r="B6613" s="67" t="str">
        <f t="shared" si="16"/>
        <v>M: </v>
      </c>
      <c r="C6613" s="68"/>
      <c r="D6613" s="68">
        <v>46411.0</v>
      </c>
      <c r="E6613" s="66">
        <v>1.0</v>
      </c>
      <c r="F6613" s="66" t="str">
        <f>IFERROR(__xludf.DUMMYFUNCTION("GOOGLETRANSLATE(A6613,""en"",""pt"")"),"#VALUE!")</f>
        <v>#VALUE!</v>
      </c>
      <c r="G6613" s="69"/>
    </row>
    <row r="6614" ht="22.5" customHeight="1">
      <c r="A6614" s="66"/>
      <c r="B6614" s="67" t="str">
        <f t="shared" si="16"/>
        <v>M: </v>
      </c>
      <c r="C6614" s="68"/>
      <c r="D6614" s="68">
        <v>46411.0</v>
      </c>
      <c r="E6614" s="66">
        <v>2.0</v>
      </c>
      <c r="F6614" s="66" t="str">
        <f>IFERROR(__xludf.DUMMYFUNCTION("GOOGLETRANSLATE(A6614,""en"",""pt"")"),"#VALUE!")</f>
        <v>#VALUE!</v>
      </c>
      <c r="G6614" s="69"/>
    </row>
    <row r="6615" ht="22.5" customHeight="1">
      <c r="A6615" s="66"/>
      <c r="B6615" s="67" t="str">
        <f t="shared" si="16"/>
        <v>M: </v>
      </c>
      <c r="C6615" s="68"/>
      <c r="D6615" s="68">
        <v>46411.0</v>
      </c>
      <c r="E6615" s="66">
        <v>3.0</v>
      </c>
      <c r="F6615" s="66" t="str">
        <f>IFERROR(__xludf.DUMMYFUNCTION("GOOGLETRANSLATE(A6615,""en"",""pt"")"),"#VALUE!")</f>
        <v>#VALUE!</v>
      </c>
      <c r="G6615" s="69"/>
    </row>
    <row r="6616" ht="22.5" customHeight="1">
      <c r="A6616" s="66"/>
      <c r="B6616" s="67" t="str">
        <f t="shared" si="16"/>
        <v>M: </v>
      </c>
      <c r="C6616" s="68"/>
      <c r="D6616" s="68">
        <v>46411.0</v>
      </c>
      <c r="E6616" s="66">
        <v>4.0</v>
      </c>
      <c r="F6616" s="66" t="str">
        <f>IFERROR(__xludf.DUMMYFUNCTION("GOOGLETRANSLATE(A6616,""en"",""pt"")"),"#VALUE!")</f>
        <v>#VALUE!</v>
      </c>
      <c r="G6616" s="69"/>
    </row>
    <row r="6617" ht="22.5" customHeight="1">
      <c r="A6617" s="66"/>
      <c r="B6617" s="67" t="str">
        <f t="shared" si="16"/>
        <v>M: </v>
      </c>
      <c r="C6617" s="68"/>
      <c r="D6617" s="68">
        <v>46411.0</v>
      </c>
      <c r="E6617" s="66">
        <v>5.0</v>
      </c>
      <c r="F6617" s="66" t="str">
        <f>IFERROR(__xludf.DUMMYFUNCTION("GOOGLETRANSLATE(A6617,""en"",""pt"")"),"#VALUE!")</f>
        <v>#VALUE!</v>
      </c>
      <c r="G6617" s="69"/>
    </row>
    <row r="6618" ht="22.5" customHeight="1">
      <c r="A6618" s="66"/>
      <c r="B6618" s="67" t="str">
        <f t="shared" si="16"/>
        <v>M: </v>
      </c>
      <c r="C6618" s="68"/>
      <c r="D6618" s="68">
        <v>46411.0</v>
      </c>
      <c r="E6618" s="66">
        <v>6.0</v>
      </c>
      <c r="F6618" s="66" t="str">
        <f>IFERROR(__xludf.DUMMYFUNCTION("GOOGLETRANSLATE(A6618,""en"",""pt"")"),"#VALUE!")</f>
        <v>#VALUE!</v>
      </c>
      <c r="G6618" s="69"/>
    </row>
    <row r="6619" ht="22.5" customHeight="1">
      <c r="A6619" s="66"/>
      <c r="B6619" s="67" t="str">
        <f t="shared" si="16"/>
        <v>M: </v>
      </c>
      <c r="C6619" s="68"/>
      <c r="D6619" s="68">
        <v>46411.0</v>
      </c>
      <c r="E6619" s="66">
        <v>7.0</v>
      </c>
      <c r="F6619" s="66" t="str">
        <f>IFERROR(__xludf.DUMMYFUNCTION("GOOGLETRANSLATE(A6619,""en"",""pt"")"),"#VALUE!")</f>
        <v>#VALUE!</v>
      </c>
      <c r="G6619" s="69"/>
    </row>
    <row r="6620" ht="22.5" customHeight="1">
      <c r="A6620" s="66"/>
      <c r="B6620" s="67" t="str">
        <f t="shared" si="16"/>
        <v>M: </v>
      </c>
      <c r="C6620" s="68"/>
      <c r="D6620" s="68">
        <v>46411.0</v>
      </c>
      <c r="E6620" s="66">
        <v>8.0</v>
      </c>
      <c r="F6620" s="66" t="str">
        <f>IFERROR(__xludf.DUMMYFUNCTION("GOOGLETRANSLATE(A6620,""en"",""pt"")"),"#VALUE!")</f>
        <v>#VALUE!</v>
      </c>
      <c r="G6620" s="69"/>
    </row>
    <row r="6621" ht="22.5" customHeight="1">
      <c r="A6621" s="66"/>
      <c r="B6621" s="67" t="str">
        <f t="shared" si="16"/>
        <v>M: </v>
      </c>
      <c r="C6621" s="68"/>
      <c r="D6621" s="68">
        <v>46411.0</v>
      </c>
      <c r="E6621" s="66">
        <v>9.0</v>
      </c>
      <c r="F6621" s="66" t="str">
        <f>IFERROR(__xludf.DUMMYFUNCTION("GOOGLETRANSLATE(A6621,""en"",""pt"")"),"#VALUE!")</f>
        <v>#VALUE!</v>
      </c>
      <c r="G6621" s="69"/>
    </row>
    <row r="6622" ht="22.5" customHeight="1">
      <c r="A6622" s="66"/>
      <c r="B6622" s="67" t="str">
        <f t="shared" si="16"/>
        <v>M: </v>
      </c>
      <c r="C6622" s="68"/>
      <c r="D6622" s="68">
        <v>46412.0</v>
      </c>
      <c r="E6622" s="66">
        <v>10.0</v>
      </c>
      <c r="F6622" s="66" t="str">
        <f>IFERROR(__xludf.DUMMYFUNCTION("GOOGLETRANSLATE(A6622,""en"",""pt"")"),"#VALUE!")</f>
        <v>#VALUE!</v>
      </c>
      <c r="G6622" s="69"/>
    </row>
    <row r="6623" ht="22.5" customHeight="1">
      <c r="A6623" s="66"/>
      <c r="B6623" s="67" t="str">
        <f t="shared" si="16"/>
        <v>M: </v>
      </c>
      <c r="C6623" s="68"/>
      <c r="D6623" s="68">
        <v>46412.0</v>
      </c>
      <c r="E6623" s="66">
        <v>1.0</v>
      </c>
      <c r="F6623" s="66" t="str">
        <f>IFERROR(__xludf.DUMMYFUNCTION("GOOGLETRANSLATE(A6623,""en"",""pt"")"),"#VALUE!")</f>
        <v>#VALUE!</v>
      </c>
      <c r="G6623" s="69"/>
    </row>
    <row r="6624" ht="22.5" customHeight="1">
      <c r="A6624" s="66"/>
      <c r="B6624" s="67" t="str">
        <f t="shared" si="16"/>
        <v>M: </v>
      </c>
      <c r="C6624" s="68"/>
      <c r="D6624" s="68">
        <v>46412.0</v>
      </c>
      <c r="E6624" s="66">
        <v>2.0</v>
      </c>
      <c r="F6624" s="66" t="str">
        <f>IFERROR(__xludf.DUMMYFUNCTION("GOOGLETRANSLATE(A6624,""en"",""pt"")"),"#VALUE!")</f>
        <v>#VALUE!</v>
      </c>
      <c r="G6624" s="69"/>
    </row>
    <row r="6625" ht="22.5" customHeight="1">
      <c r="A6625" s="66"/>
      <c r="B6625" s="67" t="str">
        <f t="shared" si="16"/>
        <v>M: </v>
      </c>
      <c r="C6625" s="68"/>
      <c r="D6625" s="68">
        <v>46412.0</v>
      </c>
      <c r="E6625" s="66">
        <v>3.0</v>
      </c>
      <c r="F6625" s="66" t="str">
        <f>IFERROR(__xludf.DUMMYFUNCTION("GOOGLETRANSLATE(A6625,""en"",""pt"")"),"#VALUE!")</f>
        <v>#VALUE!</v>
      </c>
      <c r="G6625" s="69"/>
    </row>
    <row r="6626" ht="22.5" customHeight="1">
      <c r="A6626" s="66"/>
      <c r="B6626" s="67" t="str">
        <f t="shared" si="16"/>
        <v>M: </v>
      </c>
      <c r="C6626" s="68"/>
      <c r="D6626" s="68">
        <v>46412.0</v>
      </c>
      <c r="E6626" s="66">
        <v>4.0</v>
      </c>
      <c r="F6626" s="66" t="str">
        <f>IFERROR(__xludf.DUMMYFUNCTION("GOOGLETRANSLATE(A6626,""en"",""pt"")"),"#VALUE!")</f>
        <v>#VALUE!</v>
      </c>
      <c r="G6626" s="69"/>
    </row>
    <row r="6627" ht="22.5" customHeight="1">
      <c r="A6627" s="66"/>
      <c r="B6627" s="67" t="str">
        <f t="shared" si="16"/>
        <v>M: </v>
      </c>
      <c r="C6627" s="68"/>
      <c r="D6627" s="68">
        <v>46412.0</v>
      </c>
      <c r="E6627" s="66">
        <v>5.0</v>
      </c>
      <c r="F6627" s="66" t="str">
        <f>IFERROR(__xludf.DUMMYFUNCTION("GOOGLETRANSLATE(A6627,""en"",""pt"")"),"#VALUE!")</f>
        <v>#VALUE!</v>
      </c>
      <c r="G6627" s="69"/>
    </row>
    <row r="6628" ht="22.5" customHeight="1">
      <c r="A6628" s="66"/>
      <c r="B6628" s="67" t="str">
        <f t="shared" si="16"/>
        <v>M: </v>
      </c>
      <c r="C6628" s="68"/>
      <c r="D6628" s="68">
        <v>46412.0</v>
      </c>
      <c r="E6628" s="66">
        <v>6.0</v>
      </c>
      <c r="F6628" s="66" t="str">
        <f>IFERROR(__xludf.DUMMYFUNCTION("GOOGLETRANSLATE(A6628,""en"",""pt"")"),"#VALUE!")</f>
        <v>#VALUE!</v>
      </c>
      <c r="G6628" s="69"/>
    </row>
    <row r="6629" ht="22.5" customHeight="1">
      <c r="A6629" s="66"/>
      <c r="B6629" s="67" t="str">
        <f t="shared" si="16"/>
        <v>M: </v>
      </c>
      <c r="C6629" s="68"/>
      <c r="D6629" s="68">
        <v>46412.0</v>
      </c>
      <c r="E6629" s="66">
        <v>7.0</v>
      </c>
      <c r="F6629" s="66" t="str">
        <f>IFERROR(__xludf.DUMMYFUNCTION("GOOGLETRANSLATE(A6629,""en"",""pt"")"),"#VALUE!")</f>
        <v>#VALUE!</v>
      </c>
      <c r="G6629" s="69"/>
    </row>
    <row r="6630" ht="22.5" customHeight="1">
      <c r="A6630" s="66"/>
      <c r="B6630" s="67" t="str">
        <f t="shared" si="16"/>
        <v>M: </v>
      </c>
      <c r="C6630" s="68"/>
      <c r="D6630" s="68">
        <v>46412.0</v>
      </c>
      <c r="E6630" s="66">
        <v>8.0</v>
      </c>
      <c r="F6630" s="66" t="str">
        <f>IFERROR(__xludf.DUMMYFUNCTION("GOOGLETRANSLATE(A6630,""en"",""pt"")"),"#VALUE!")</f>
        <v>#VALUE!</v>
      </c>
      <c r="G6630" s="69"/>
    </row>
    <row r="6631" ht="22.5" customHeight="1">
      <c r="A6631" s="66"/>
      <c r="B6631" s="67" t="str">
        <f t="shared" si="16"/>
        <v>M: </v>
      </c>
      <c r="C6631" s="68"/>
      <c r="D6631" s="68">
        <v>46412.0</v>
      </c>
      <c r="E6631" s="66">
        <v>9.0</v>
      </c>
      <c r="F6631" s="66" t="str">
        <f>IFERROR(__xludf.DUMMYFUNCTION("GOOGLETRANSLATE(A6631,""en"",""pt"")"),"#VALUE!")</f>
        <v>#VALUE!</v>
      </c>
      <c r="G6631" s="69"/>
    </row>
    <row r="6632" ht="22.5" customHeight="1">
      <c r="A6632" s="66"/>
      <c r="B6632" s="67" t="str">
        <f t="shared" si="16"/>
        <v>M: </v>
      </c>
      <c r="C6632" s="68"/>
      <c r="D6632" s="68">
        <v>46413.0</v>
      </c>
      <c r="E6632" s="66">
        <v>10.0</v>
      </c>
      <c r="F6632" s="66" t="str">
        <f>IFERROR(__xludf.DUMMYFUNCTION("GOOGLETRANSLATE(A6632,""en"",""pt"")"),"#VALUE!")</f>
        <v>#VALUE!</v>
      </c>
      <c r="G6632" s="69"/>
    </row>
    <row r="6633" ht="22.5" customHeight="1">
      <c r="A6633" s="66"/>
      <c r="B6633" s="67" t="str">
        <f t="shared" si="16"/>
        <v>M: </v>
      </c>
      <c r="C6633" s="68"/>
      <c r="D6633" s="68">
        <v>46413.0</v>
      </c>
      <c r="E6633" s="66">
        <v>1.0</v>
      </c>
      <c r="F6633" s="66" t="str">
        <f>IFERROR(__xludf.DUMMYFUNCTION("GOOGLETRANSLATE(A6633,""en"",""pt"")"),"#VALUE!")</f>
        <v>#VALUE!</v>
      </c>
      <c r="G6633" s="69"/>
    </row>
    <row r="6634" ht="22.5" customHeight="1">
      <c r="A6634" s="66"/>
      <c r="B6634" s="67" t="str">
        <f t="shared" si="16"/>
        <v>M: </v>
      </c>
      <c r="C6634" s="68"/>
      <c r="D6634" s="68">
        <v>46413.0</v>
      </c>
      <c r="E6634" s="66">
        <v>2.0</v>
      </c>
      <c r="F6634" s="66" t="str">
        <f>IFERROR(__xludf.DUMMYFUNCTION("GOOGLETRANSLATE(A6634,""en"",""pt"")"),"#VALUE!")</f>
        <v>#VALUE!</v>
      </c>
      <c r="G6634" s="69"/>
    </row>
    <row r="6635" ht="22.5" customHeight="1">
      <c r="A6635" s="66"/>
      <c r="B6635" s="67" t="str">
        <f t="shared" si="16"/>
        <v>M: </v>
      </c>
      <c r="C6635" s="68"/>
      <c r="D6635" s="68">
        <v>46413.0</v>
      </c>
      <c r="E6635" s="66">
        <v>3.0</v>
      </c>
      <c r="F6635" s="66" t="str">
        <f>IFERROR(__xludf.DUMMYFUNCTION("GOOGLETRANSLATE(A6635,""en"",""pt"")"),"#VALUE!")</f>
        <v>#VALUE!</v>
      </c>
      <c r="G6635" s="69"/>
    </row>
    <row r="6636" ht="22.5" customHeight="1">
      <c r="A6636" s="66"/>
      <c r="B6636" s="67" t="str">
        <f t="shared" si="16"/>
        <v>M: </v>
      </c>
      <c r="C6636" s="68"/>
      <c r="D6636" s="68">
        <v>46413.0</v>
      </c>
      <c r="E6636" s="66">
        <v>4.0</v>
      </c>
      <c r="F6636" s="66" t="str">
        <f>IFERROR(__xludf.DUMMYFUNCTION("GOOGLETRANSLATE(A6636,""en"",""pt"")"),"#VALUE!")</f>
        <v>#VALUE!</v>
      </c>
      <c r="G6636" s="69"/>
    </row>
    <row r="6637" ht="22.5" customHeight="1">
      <c r="A6637" s="66"/>
      <c r="B6637" s="67" t="str">
        <f t="shared" si="16"/>
        <v>M: </v>
      </c>
      <c r="C6637" s="68"/>
      <c r="D6637" s="68">
        <v>46413.0</v>
      </c>
      <c r="E6637" s="66">
        <v>5.0</v>
      </c>
      <c r="F6637" s="66" t="str">
        <f>IFERROR(__xludf.DUMMYFUNCTION("GOOGLETRANSLATE(A6637,""en"",""pt"")"),"#VALUE!")</f>
        <v>#VALUE!</v>
      </c>
      <c r="G6637" s="69"/>
    </row>
    <row r="6638" ht="22.5" customHeight="1">
      <c r="A6638" s="66"/>
      <c r="B6638" s="67" t="str">
        <f t="shared" si="16"/>
        <v>M: </v>
      </c>
      <c r="C6638" s="68"/>
      <c r="D6638" s="68">
        <v>46413.0</v>
      </c>
      <c r="E6638" s="66">
        <v>6.0</v>
      </c>
      <c r="F6638" s="66" t="str">
        <f>IFERROR(__xludf.DUMMYFUNCTION("GOOGLETRANSLATE(A6638,""en"",""pt"")"),"#VALUE!")</f>
        <v>#VALUE!</v>
      </c>
      <c r="G6638" s="69"/>
    </row>
    <row r="6639" ht="22.5" customHeight="1">
      <c r="A6639" s="66"/>
      <c r="B6639" s="67" t="str">
        <f t="shared" si="16"/>
        <v>M: </v>
      </c>
      <c r="C6639" s="68"/>
      <c r="D6639" s="68">
        <v>46413.0</v>
      </c>
      <c r="E6639" s="66">
        <v>7.0</v>
      </c>
      <c r="F6639" s="66" t="str">
        <f>IFERROR(__xludf.DUMMYFUNCTION("GOOGLETRANSLATE(A6639,""en"",""pt"")"),"#VALUE!")</f>
        <v>#VALUE!</v>
      </c>
      <c r="G6639" s="69"/>
    </row>
    <row r="6640" ht="22.5" customHeight="1">
      <c r="A6640" s="66"/>
      <c r="B6640" s="67" t="str">
        <f t="shared" si="16"/>
        <v>M: </v>
      </c>
      <c r="C6640" s="68"/>
      <c r="D6640" s="68">
        <v>46413.0</v>
      </c>
      <c r="E6640" s="66">
        <v>8.0</v>
      </c>
      <c r="F6640" s="66" t="str">
        <f>IFERROR(__xludf.DUMMYFUNCTION("GOOGLETRANSLATE(A6640,""en"",""pt"")"),"#VALUE!")</f>
        <v>#VALUE!</v>
      </c>
      <c r="G6640" s="69"/>
    </row>
    <row r="6641" ht="22.5" customHeight="1">
      <c r="A6641" s="66"/>
      <c r="B6641" s="67" t="str">
        <f t="shared" si="16"/>
        <v>M: </v>
      </c>
      <c r="C6641" s="68"/>
      <c r="D6641" s="68">
        <v>46413.0</v>
      </c>
      <c r="E6641" s="66">
        <v>9.0</v>
      </c>
      <c r="F6641" s="66" t="str">
        <f>IFERROR(__xludf.DUMMYFUNCTION("GOOGLETRANSLATE(A6641,""en"",""pt"")"),"#VALUE!")</f>
        <v>#VALUE!</v>
      </c>
      <c r="G6641" s="69"/>
    </row>
    <row r="6642" ht="22.5" customHeight="1">
      <c r="A6642" s="66"/>
      <c r="B6642" s="67" t="str">
        <f t="shared" si="16"/>
        <v>M: </v>
      </c>
      <c r="C6642" s="68"/>
      <c r="D6642" s="68">
        <v>46414.0</v>
      </c>
      <c r="E6642" s="66">
        <v>10.0</v>
      </c>
      <c r="F6642" s="66" t="str">
        <f>IFERROR(__xludf.DUMMYFUNCTION("GOOGLETRANSLATE(A6642,""en"",""pt"")"),"#VALUE!")</f>
        <v>#VALUE!</v>
      </c>
      <c r="G6642" s="69"/>
    </row>
    <row r="6643" ht="22.5" customHeight="1">
      <c r="A6643" s="66"/>
      <c r="B6643" s="67" t="str">
        <f t="shared" si="16"/>
        <v>M: </v>
      </c>
      <c r="C6643" s="68"/>
      <c r="D6643" s="68">
        <v>46414.0</v>
      </c>
      <c r="E6643" s="66">
        <v>1.0</v>
      </c>
      <c r="F6643" s="66" t="str">
        <f>IFERROR(__xludf.DUMMYFUNCTION("GOOGLETRANSLATE(A6643,""en"",""pt"")"),"#VALUE!")</f>
        <v>#VALUE!</v>
      </c>
      <c r="G6643" s="69"/>
    </row>
    <row r="6644" ht="22.5" customHeight="1">
      <c r="A6644" s="66"/>
      <c r="B6644" s="67" t="str">
        <f t="shared" si="16"/>
        <v>M: </v>
      </c>
      <c r="C6644" s="68"/>
      <c r="D6644" s="68">
        <v>46414.0</v>
      </c>
      <c r="E6644" s="66">
        <v>2.0</v>
      </c>
      <c r="F6644" s="66" t="str">
        <f>IFERROR(__xludf.DUMMYFUNCTION("GOOGLETRANSLATE(A6644,""en"",""pt"")"),"#VALUE!")</f>
        <v>#VALUE!</v>
      </c>
      <c r="G6644" s="69"/>
    </row>
    <row r="6645" ht="22.5" customHeight="1">
      <c r="A6645" s="66"/>
      <c r="B6645" s="67" t="str">
        <f t="shared" si="16"/>
        <v>M: </v>
      </c>
      <c r="C6645" s="68"/>
      <c r="D6645" s="68">
        <v>46414.0</v>
      </c>
      <c r="E6645" s="66">
        <v>3.0</v>
      </c>
      <c r="F6645" s="66" t="str">
        <f>IFERROR(__xludf.DUMMYFUNCTION("GOOGLETRANSLATE(A6645,""en"",""pt"")"),"#VALUE!")</f>
        <v>#VALUE!</v>
      </c>
      <c r="G6645" s="69"/>
    </row>
    <row r="6646" ht="22.5" customHeight="1">
      <c r="A6646" s="66"/>
      <c r="B6646" s="67" t="str">
        <f t="shared" si="16"/>
        <v>M: </v>
      </c>
      <c r="C6646" s="68"/>
      <c r="D6646" s="68">
        <v>46414.0</v>
      </c>
      <c r="E6646" s="66">
        <v>4.0</v>
      </c>
      <c r="F6646" s="66" t="str">
        <f>IFERROR(__xludf.DUMMYFUNCTION("GOOGLETRANSLATE(A6646,""en"",""pt"")"),"#VALUE!")</f>
        <v>#VALUE!</v>
      </c>
      <c r="G6646" s="69"/>
    </row>
    <row r="6647" ht="22.5" customHeight="1">
      <c r="A6647" s="66"/>
      <c r="B6647" s="67" t="str">
        <f t="shared" si="16"/>
        <v>M: </v>
      </c>
      <c r="C6647" s="68"/>
      <c r="D6647" s="68">
        <v>46414.0</v>
      </c>
      <c r="E6647" s="66">
        <v>5.0</v>
      </c>
      <c r="F6647" s="66" t="str">
        <f>IFERROR(__xludf.DUMMYFUNCTION("GOOGLETRANSLATE(A6647,""en"",""pt"")"),"#VALUE!")</f>
        <v>#VALUE!</v>
      </c>
      <c r="G6647" s="69"/>
    </row>
    <row r="6648" ht="22.5" customHeight="1">
      <c r="A6648" s="66"/>
      <c r="B6648" s="67" t="str">
        <f t="shared" si="16"/>
        <v>M: </v>
      </c>
      <c r="C6648" s="68"/>
      <c r="D6648" s="68">
        <v>46414.0</v>
      </c>
      <c r="E6648" s="66">
        <v>6.0</v>
      </c>
      <c r="F6648" s="66" t="str">
        <f>IFERROR(__xludf.DUMMYFUNCTION("GOOGLETRANSLATE(A6648,""en"",""pt"")"),"#VALUE!")</f>
        <v>#VALUE!</v>
      </c>
      <c r="G6648" s="69"/>
    </row>
    <row r="6649" ht="22.5" customHeight="1">
      <c r="A6649" s="66"/>
      <c r="B6649" s="67" t="str">
        <f t="shared" si="16"/>
        <v>M: </v>
      </c>
      <c r="C6649" s="68"/>
      <c r="D6649" s="68">
        <v>46414.0</v>
      </c>
      <c r="E6649" s="66">
        <v>7.0</v>
      </c>
      <c r="F6649" s="66" t="str">
        <f>IFERROR(__xludf.DUMMYFUNCTION("GOOGLETRANSLATE(A6649,""en"",""pt"")"),"#VALUE!")</f>
        <v>#VALUE!</v>
      </c>
      <c r="G6649" s="69"/>
    </row>
    <row r="6650" ht="22.5" customHeight="1">
      <c r="A6650" s="66"/>
      <c r="B6650" s="67" t="str">
        <f t="shared" si="16"/>
        <v>M: </v>
      </c>
      <c r="C6650" s="68"/>
      <c r="D6650" s="68">
        <v>46414.0</v>
      </c>
      <c r="E6650" s="66">
        <v>8.0</v>
      </c>
      <c r="F6650" s="66" t="str">
        <f>IFERROR(__xludf.DUMMYFUNCTION("GOOGLETRANSLATE(A6650,""en"",""pt"")"),"#VALUE!")</f>
        <v>#VALUE!</v>
      </c>
      <c r="G6650" s="69"/>
    </row>
    <row r="6651" ht="22.5" customHeight="1">
      <c r="A6651" s="66"/>
      <c r="B6651" s="67" t="str">
        <f t="shared" si="16"/>
        <v>M: </v>
      </c>
      <c r="C6651" s="68"/>
      <c r="D6651" s="68">
        <v>46414.0</v>
      </c>
      <c r="E6651" s="66">
        <v>9.0</v>
      </c>
      <c r="F6651" s="66" t="str">
        <f>IFERROR(__xludf.DUMMYFUNCTION("GOOGLETRANSLATE(A6651,""en"",""pt"")"),"#VALUE!")</f>
        <v>#VALUE!</v>
      </c>
      <c r="G6651" s="69"/>
    </row>
    <row r="6652" ht="22.5" customHeight="1">
      <c r="A6652" s="66"/>
      <c r="B6652" s="67" t="str">
        <f t="shared" si="16"/>
        <v>M: </v>
      </c>
      <c r="C6652" s="68"/>
      <c r="D6652" s="68">
        <v>46415.0</v>
      </c>
      <c r="E6652" s="66">
        <v>10.0</v>
      </c>
      <c r="F6652" s="66" t="str">
        <f>IFERROR(__xludf.DUMMYFUNCTION("GOOGLETRANSLATE(A6652,""en"",""pt"")"),"#VALUE!")</f>
        <v>#VALUE!</v>
      </c>
      <c r="G6652" s="69"/>
    </row>
    <row r="6653" ht="22.5" customHeight="1">
      <c r="A6653" s="66"/>
      <c r="B6653" s="67" t="str">
        <f t="shared" si="16"/>
        <v>M: </v>
      </c>
      <c r="C6653" s="68"/>
      <c r="D6653" s="68">
        <v>46415.0</v>
      </c>
      <c r="E6653" s="66">
        <v>1.0</v>
      </c>
      <c r="F6653" s="66" t="str">
        <f>IFERROR(__xludf.DUMMYFUNCTION("GOOGLETRANSLATE(A6653,""en"",""pt"")"),"#VALUE!")</f>
        <v>#VALUE!</v>
      </c>
      <c r="G6653" s="69"/>
    </row>
    <row r="6654" ht="22.5" customHeight="1">
      <c r="A6654" s="66"/>
      <c r="B6654" s="67" t="str">
        <f t="shared" si="16"/>
        <v>M: </v>
      </c>
      <c r="C6654" s="68"/>
      <c r="D6654" s="68">
        <v>46415.0</v>
      </c>
      <c r="E6654" s="66">
        <v>2.0</v>
      </c>
      <c r="F6654" s="66" t="str">
        <f>IFERROR(__xludf.DUMMYFUNCTION("GOOGLETRANSLATE(A6654,""en"",""pt"")"),"#VALUE!")</f>
        <v>#VALUE!</v>
      </c>
      <c r="G6654" s="69"/>
    </row>
    <row r="6655" ht="22.5" customHeight="1">
      <c r="A6655" s="66"/>
      <c r="B6655" s="67" t="str">
        <f t="shared" si="16"/>
        <v>M: </v>
      </c>
      <c r="C6655" s="68"/>
      <c r="D6655" s="68">
        <v>46415.0</v>
      </c>
      <c r="E6655" s="66">
        <v>3.0</v>
      </c>
      <c r="F6655" s="66" t="str">
        <f>IFERROR(__xludf.DUMMYFUNCTION("GOOGLETRANSLATE(A6655,""en"",""pt"")"),"#VALUE!")</f>
        <v>#VALUE!</v>
      </c>
      <c r="G6655" s="69"/>
    </row>
    <row r="6656" ht="22.5" customHeight="1">
      <c r="A6656" s="66"/>
      <c r="B6656" s="67" t="str">
        <f t="shared" si="16"/>
        <v>M: </v>
      </c>
      <c r="C6656" s="68"/>
      <c r="D6656" s="68">
        <v>46415.0</v>
      </c>
      <c r="E6656" s="66">
        <v>4.0</v>
      </c>
      <c r="F6656" s="66" t="str">
        <f>IFERROR(__xludf.DUMMYFUNCTION("GOOGLETRANSLATE(A6656,""en"",""pt"")"),"#VALUE!")</f>
        <v>#VALUE!</v>
      </c>
      <c r="G6656" s="69"/>
    </row>
    <row r="6657" ht="22.5" customHeight="1">
      <c r="A6657" s="66"/>
      <c r="B6657" s="67" t="str">
        <f t="shared" si="16"/>
        <v>M: </v>
      </c>
      <c r="C6657" s="68"/>
      <c r="D6657" s="68">
        <v>46415.0</v>
      </c>
      <c r="E6657" s="66">
        <v>5.0</v>
      </c>
      <c r="F6657" s="66" t="str">
        <f>IFERROR(__xludf.DUMMYFUNCTION("GOOGLETRANSLATE(A6657,""en"",""pt"")"),"#VALUE!")</f>
        <v>#VALUE!</v>
      </c>
      <c r="G6657" s="69"/>
    </row>
    <row r="6658" ht="22.5" customHeight="1">
      <c r="A6658" s="66"/>
      <c r="B6658" s="67" t="str">
        <f t="shared" si="16"/>
        <v>M: </v>
      </c>
      <c r="C6658" s="68"/>
      <c r="D6658" s="68">
        <v>46415.0</v>
      </c>
      <c r="E6658" s="66">
        <v>6.0</v>
      </c>
      <c r="F6658" s="66" t="str">
        <f>IFERROR(__xludf.DUMMYFUNCTION("GOOGLETRANSLATE(A6658,""en"",""pt"")"),"#VALUE!")</f>
        <v>#VALUE!</v>
      </c>
      <c r="G6658" s="69"/>
    </row>
    <row r="6659" ht="22.5" customHeight="1">
      <c r="A6659" s="66"/>
      <c r="B6659" s="67" t="str">
        <f t="shared" si="16"/>
        <v>M: </v>
      </c>
      <c r="C6659" s="68"/>
      <c r="D6659" s="68">
        <v>46415.0</v>
      </c>
      <c r="E6659" s="66">
        <v>7.0</v>
      </c>
      <c r="F6659" s="66" t="str">
        <f>IFERROR(__xludf.DUMMYFUNCTION("GOOGLETRANSLATE(A6659,""en"",""pt"")"),"#VALUE!")</f>
        <v>#VALUE!</v>
      </c>
      <c r="G6659" s="69"/>
    </row>
    <row r="6660" ht="22.5" customHeight="1">
      <c r="A6660" s="66"/>
      <c r="B6660" s="67" t="str">
        <f t="shared" si="16"/>
        <v>M: </v>
      </c>
      <c r="C6660" s="68"/>
      <c r="D6660" s="68">
        <v>46415.0</v>
      </c>
      <c r="E6660" s="66">
        <v>8.0</v>
      </c>
      <c r="F6660" s="66" t="str">
        <f>IFERROR(__xludf.DUMMYFUNCTION("GOOGLETRANSLATE(A6660,""en"",""pt"")"),"#VALUE!")</f>
        <v>#VALUE!</v>
      </c>
      <c r="G6660" s="69"/>
    </row>
    <row r="6661" ht="22.5" customHeight="1">
      <c r="A6661" s="66"/>
      <c r="B6661" s="67" t="str">
        <f t="shared" si="16"/>
        <v>M: </v>
      </c>
      <c r="C6661" s="68"/>
      <c r="D6661" s="68">
        <v>46415.0</v>
      </c>
      <c r="E6661" s="66">
        <v>9.0</v>
      </c>
      <c r="F6661" s="66" t="str">
        <f>IFERROR(__xludf.DUMMYFUNCTION("GOOGLETRANSLATE(A6661,""en"",""pt"")"),"#VALUE!")</f>
        <v>#VALUE!</v>
      </c>
      <c r="G6661" s="69"/>
    </row>
    <row r="6662" ht="22.5" customHeight="1">
      <c r="A6662" s="66"/>
      <c r="B6662" s="67" t="str">
        <f t="shared" si="16"/>
        <v>M: </v>
      </c>
      <c r="C6662" s="68"/>
      <c r="D6662" s="68">
        <v>46416.0</v>
      </c>
      <c r="E6662" s="66">
        <v>10.0</v>
      </c>
      <c r="F6662" s="66" t="str">
        <f>IFERROR(__xludf.DUMMYFUNCTION("GOOGLETRANSLATE(A6662,""en"",""pt"")"),"#VALUE!")</f>
        <v>#VALUE!</v>
      </c>
      <c r="G6662" s="69"/>
    </row>
    <row r="6663" ht="22.5" customHeight="1">
      <c r="A6663" s="66"/>
      <c r="B6663" s="67" t="str">
        <f t="shared" si="16"/>
        <v>M: </v>
      </c>
      <c r="C6663" s="68"/>
      <c r="D6663" s="68">
        <v>46416.0</v>
      </c>
      <c r="E6663" s="66">
        <v>1.0</v>
      </c>
      <c r="F6663" s="66" t="str">
        <f>IFERROR(__xludf.DUMMYFUNCTION("GOOGLETRANSLATE(A6663,""en"",""pt"")"),"#VALUE!")</f>
        <v>#VALUE!</v>
      </c>
      <c r="G6663" s="69"/>
    </row>
    <row r="6664" ht="22.5" customHeight="1">
      <c r="A6664" s="66"/>
      <c r="B6664" s="67" t="str">
        <f t="shared" si="16"/>
        <v>M: </v>
      </c>
      <c r="C6664" s="68"/>
      <c r="D6664" s="68">
        <v>46416.0</v>
      </c>
      <c r="E6664" s="66">
        <v>2.0</v>
      </c>
      <c r="F6664" s="66" t="str">
        <f>IFERROR(__xludf.DUMMYFUNCTION("GOOGLETRANSLATE(A6664,""en"",""pt"")"),"#VALUE!")</f>
        <v>#VALUE!</v>
      </c>
      <c r="G6664" s="69"/>
    </row>
    <row r="6665" ht="22.5" customHeight="1">
      <c r="A6665" s="66"/>
      <c r="B6665" s="67" t="str">
        <f t="shared" si="16"/>
        <v>M: </v>
      </c>
      <c r="C6665" s="68"/>
      <c r="D6665" s="68">
        <v>46416.0</v>
      </c>
      <c r="E6665" s="66">
        <v>3.0</v>
      </c>
      <c r="F6665" s="66" t="str">
        <f>IFERROR(__xludf.DUMMYFUNCTION("GOOGLETRANSLATE(A6665,""en"",""pt"")"),"#VALUE!")</f>
        <v>#VALUE!</v>
      </c>
      <c r="G6665" s="69"/>
    </row>
    <row r="6666" ht="22.5" customHeight="1">
      <c r="A6666" s="66"/>
      <c r="B6666" s="67" t="str">
        <f t="shared" si="16"/>
        <v>M: </v>
      </c>
      <c r="C6666" s="68"/>
      <c r="D6666" s="68">
        <v>46416.0</v>
      </c>
      <c r="E6666" s="66">
        <v>4.0</v>
      </c>
      <c r="F6666" s="66" t="str">
        <f>IFERROR(__xludf.DUMMYFUNCTION("GOOGLETRANSLATE(A6666,""en"",""pt"")"),"#VALUE!")</f>
        <v>#VALUE!</v>
      </c>
      <c r="G6666" s="69"/>
    </row>
    <row r="6667" ht="22.5" customHeight="1">
      <c r="A6667" s="66"/>
      <c r="B6667" s="67" t="str">
        <f t="shared" si="16"/>
        <v>M: </v>
      </c>
      <c r="C6667" s="68"/>
      <c r="D6667" s="68">
        <v>46416.0</v>
      </c>
      <c r="E6667" s="66">
        <v>5.0</v>
      </c>
      <c r="F6667" s="66" t="str">
        <f>IFERROR(__xludf.DUMMYFUNCTION("GOOGLETRANSLATE(A6667,""en"",""pt"")"),"#VALUE!")</f>
        <v>#VALUE!</v>
      </c>
      <c r="G6667" s="69"/>
    </row>
    <row r="6668" ht="22.5" customHeight="1">
      <c r="A6668" s="66"/>
      <c r="B6668" s="67" t="str">
        <f t="shared" si="16"/>
        <v>M: </v>
      </c>
      <c r="C6668" s="68"/>
      <c r="D6668" s="68">
        <v>46416.0</v>
      </c>
      <c r="E6668" s="66">
        <v>6.0</v>
      </c>
      <c r="F6668" s="66" t="str">
        <f>IFERROR(__xludf.DUMMYFUNCTION("GOOGLETRANSLATE(A6668,""en"",""pt"")"),"#VALUE!")</f>
        <v>#VALUE!</v>
      </c>
      <c r="G6668" s="69"/>
    </row>
    <row r="6669" ht="22.5" customHeight="1">
      <c r="A6669" s="66"/>
      <c r="B6669" s="67" t="str">
        <f t="shared" si="16"/>
        <v>M: </v>
      </c>
      <c r="C6669" s="68"/>
      <c r="D6669" s="68">
        <v>46416.0</v>
      </c>
      <c r="E6669" s="66">
        <v>7.0</v>
      </c>
      <c r="F6669" s="66" t="str">
        <f>IFERROR(__xludf.DUMMYFUNCTION("GOOGLETRANSLATE(A6669,""en"",""pt"")"),"#VALUE!")</f>
        <v>#VALUE!</v>
      </c>
      <c r="G6669" s="69"/>
    </row>
    <row r="6670" ht="22.5" customHeight="1">
      <c r="A6670" s="66"/>
      <c r="B6670" s="67" t="str">
        <f t="shared" si="16"/>
        <v>M: </v>
      </c>
      <c r="C6670" s="68"/>
      <c r="D6670" s="68">
        <v>46416.0</v>
      </c>
      <c r="E6670" s="66">
        <v>8.0</v>
      </c>
      <c r="F6670" s="66" t="str">
        <f>IFERROR(__xludf.DUMMYFUNCTION("GOOGLETRANSLATE(A6670,""en"",""pt"")"),"#VALUE!")</f>
        <v>#VALUE!</v>
      </c>
      <c r="G6670" s="69"/>
    </row>
    <row r="6671" ht="22.5" customHeight="1">
      <c r="A6671" s="66"/>
      <c r="B6671" s="67" t="str">
        <f t="shared" si="16"/>
        <v>M: </v>
      </c>
      <c r="C6671" s="68"/>
      <c r="D6671" s="68">
        <v>46416.0</v>
      </c>
      <c r="E6671" s="66">
        <v>9.0</v>
      </c>
      <c r="F6671" s="66" t="str">
        <f>IFERROR(__xludf.DUMMYFUNCTION("GOOGLETRANSLATE(A6671,""en"",""pt"")"),"#VALUE!")</f>
        <v>#VALUE!</v>
      </c>
      <c r="G6671" s="69"/>
    </row>
    <row r="6672" ht="22.5" customHeight="1">
      <c r="A6672" s="66"/>
      <c r="B6672" s="67" t="str">
        <f t="shared" si="16"/>
        <v>M: </v>
      </c>
      <c r="C6672" s="68"/>
      <c r="D6672" s="68">
        <v>46417.0</v>
      </c>
      <c r="E6672" s="66">
        <v>10.0</v>
      </c>
      <c r="F6672" s="66" t="str">
        <f>IFERROR(__xludf.DUMMYFUNCTION("GOOGLETRANSLATE(A6672,""en"",""pt"")"),"#VALUE!")</f>
        <v>#VALUE!</v>
      </c>
      <c r="G6672" s="69"/>
    </row>
    <row r="6673" ht="22.5" customHeight="1">
      <c r="A6673" s="66"/>
      <c r="B6673" s="67" t="str">
        <f t="shared" si="16"/>
        <v>M: </v>
      </c>
      <c r="C6673" s="68"/>
      <c r="D6673" s="68">
        <v>46417.0</v>
      </c>
      <c r="E6673" s="66">
        <v>1.0</v>
      </c>
      <c r="F6673" s="66" t="str">
        <f>IFERROR(__xludf.DUMMYFUNCTION("GOOGLETRANSLATE(A6673,""en"",""pt"")"),"#VALUE!")</f>
        <v>#VALUE!</v>
      </c>
      <c r="G6673" s="69"/>
    </row>
    <row r="6674" ht="22.5" customHeight="1">
      <c r="A6674" s="66"/>
      <c r="B6674" s="67" t="str">
        <f t="shared" si="16"/>
        <v>M: </v>
      </c>
      <c r="C6674" s="68"/>
      <c r="D6674" s="68">
        <v>46417.0</v>
      </c>
      <c r="E6674" s="66">
        <v>2.0</v>
      </c>
      <c r="F6674" s="66" t="str">
        <f>IFERROR(__xludf.DUMMYFUNCTION("GOOGLETRANSLATE(A6674,""en"",""pt"")"),"#VALUE!")</f>
        <v>#VALUE!</v>
      </c>
      <c r="G6674" s="69"/>
    </row>
    <row r="6675" ht="22.5" customHeight="1">
      <c r="A6675" s="66"/>
      <c r="B6675" s="67" t="str">
        <f t="shared" si="16"/>
        <v>M: </v>
      </c>
      <c r="C6675" s="68"/>
      <c r="D6675" s="68">
        <v>46417.0</v>
      </c>
      <c r="E6675" s="66">
        <v>3.0</v>
      </c>
      <c r="F6675" s="66" t="str">
        <f>IFERROR(__xludf.DUMMYFUNCTION("GOOGLETRANSLATE(A6675,""en"",""pt"")"),"#VALUE!")</f>
        <v>#VALUE!</v>
      </c>
      <c r="G6675" s="69"/>
    </row>
    <row r="6676" ht="22.5" customHeight="1">
      <c r="A6676" s="66"/>
      <c r="B6676" s="67" t="str">
        <f t="shared" si="16"/>
        <v>M: </v>
      </c>
      <c r="C6676" s="68"/>
      <c r="D6676" s="68">
        <v>46417.0</v>
      </c>
      <c r="E6676" s="66">
        <v>4.0</v>
      </c>
      <c r="F6676" s="66" t="str">
        <f>IFERROR(__xludf.DUMMYFUNCTION("GOOGLETRANSLATE(A6676,""en"",""pt"")"),"#VALUE!")</f>
        <v>#VALUE!</v>
      </c>
      <c r="G6676" s="69"/>
    </row>
    <row r="6677" ht="22.5" customHeight="1">
      <c r="A6677" s="66"/>
      <c r="B6677" s="67" t="str">
        <f t="shared" si="16"/>
        <v>M: </v>
      </c>
      <c r="C6677" s="68"/>
      <c r="D6677" s="68">
        <v>46417.0</v>
      </c>
      <c r="E6677" s="66">
        <v>5.0</v>
      </c>
      <c r="F6677" s="66" t="str">
        <f>IFERROR(__xludf.DUMMYFUNCTION("GOOGLETRANSLATE(A6677,""en"",""pt"")"),"#VALUE!")</f>
        <v>#VALUE!</v>
      </c>
      <c r="G6677" s="69"/>
    </row>
    <row r="6678" ht="22.5" customHeight="1">
      <c r="A6678" s="66"/>
      <c r="B6678" s="67" t="str">
        <f t="shared" si="16"/>
        <v>M: </v>
      </c>
      <c r="C6678" s="68"/>
      <c r="D6678" s="68">
        <v>46417.0</v>
      </c>
      <c r="E6678" s="66">
        <v>6.0</v>
      </c>
      <c r="F6678" s="66" t="str">
        <f>IFERROR(__xludf.DUMMYFUNCTION("GOOGLETRANSLATE(A6678,""en"",""pt"")"),"#VALUE!")</f>
        <v>#VALUE!</v>
      </c>
      <c r="G6678" s="69"/>
    </row>
    <row r="6679" ht="22.5" customHeight="1">
      <c r="A6679" s="66"/>
      <c r="B6679" s="67" t="str">
        <f t="shared" si="16"/>
        <v>M: </v>
      </c>
      <c r="C6679" s="68"/>
      <c r="D6679" s="68">
        <v>46417.0</v>
      </c>
      <c r="E6679" s="66">
        <v>7.0</v>
      </c>
      <c r="F6679" s="66" t="str">
        <f>IFERROR(__xludf.DUMMYFUNCTION("GOOGLETRANSLATE(A6679,""en"",""pt"")"),"#VALUE!")</f>
        <v>#VALUE!</v>
      </c>
      <c r="G6679" s="69"/>
    </row>
    <row r="6680" ht="22.5" customHeight="1">
      <c r="A6680" s="66"/>
      <c r="B6680" s="67" t="str">
        <f t="shared" si="16"/>
        <v>M: </v>
      </c>
      <c r="C6680" s="68"/>
      <c r="D6680" s="68">
        <v>46417.0</v>
      </c>
      <c r="E6680" s="66">
        <v>8.0</v>
      </c>
      <c r="F6680" s="66" t="str">
        <f>IFERROR(__xludf.DUMMYFUNCTION("GOOGLETRANSLATE(A6680,""en"",""pt"")"),"#VALUE!")</f>
        <v>#VALUE!</v>
      </c>
      <c r="G6680" s="69"/>
    </row>
    <row r="6681" ht="22.5" customHeight="1">
      <c r="A6681" s="66"/>
      <c r="B6681" s="67" t="str">
        <f t="shared" si="16"/>
        <v>M: </v>
      </c>
      <c r="C6681" s="68"/>
      <c r="D6681" s="68">
        <v>46417.0</v>
      </c>
      <c r="E6681" s="66">
        <v>9.0</v>
      </c>
      <c r="F6681" s="66" t="str">
        <f>IFERROR(__xludf.DUMMYFUNCTION("GOOGLETRANSLATE(A6681,""en"",""pt"")"),"#VALUE!")</f>
        <v>#VALUE!</v>
      </c>
      <c r="G6681" s="69"/>
    </row>
    <row r="6682" ht="22.5" customHeight="1">
      <c r="A6682" s="66"/>
      <c r="B6682" s="67" t="str">
        <f t="shared" si="16"/>
        <v>M: </v>
      </c>
      <c r="C6682" s="68"/>
      <c r="D6682" s="68">
        <v>46418.0</v>
      </c>
      <c r="E6682" s="66">
        <v>10.0</v>
      </c>
      <c r="F6682" s="66" t="str">
        <f>IFERROR(__xludf.DUMMYFUNCTION("GOOGLETRANSLATE(A6682,""en"",""pt"")"),"#VALUE!")</f>
        <v>#VALUE!</v>
      </c>
      <c r="G6682" s="69"/>
    </row>
    <row r="6683" ht="22.5" customHeight="1">
      <c r="A6683" s="66"/>
      <c r="B6683" s="67" t="str">
        <f t="shared" si="16"/>
        <v>M: </v>
      </c>
      <c r="C6683" s="68"/>
      <c r="D6683" s="68">
        <v>46418.0</v>
      </c>
      <c r="E6683" s="66">
        <v>1.0</v>
      </c>
      <c r="F6683" s="66" t="str">
        <f>IFERROR(__xludf.DUMMYFUNCTION("GOOGLETRANSLATE(A6683,""en"",""pt"")"),"#VALUE!")</f>
        <v>#VALUE!</v>
      </c>
      <c r="G6683" s="69"/>
    </row>
    <row r="6684" ht="22.5" customHeight="1">
      <c r="A6684" s="66"/>
      <c r="B6684" s="67" t="str">
        <f t="shared" si="16"/>
        <v>M: </v>
      </c>
      <c r="C6684" s="68"/>
      <c r="D6684" s="68">
        <v>46418.0</v>
      </c>
      <c r="E6684" s="66">
        <v>2.0</v>
      </c>
      <c r="F6684" s="66" t="str">
        <f>IFERROR(__xludf.DUMMYFUNCTION("GOOGLETRANSLATE(A6684,""en"",""pt"")"),"#VALUE!")</f>
        <v>#VALUE!</v>
      </c>
      <c r="G6684" s="69"/>
    </row>
    <row r="6685" ht="22.5" customHeight="1">
      <c r="A6685" s="66"/>
      <c r="B6685" s="67" t="str">
        <f t="shared" si="16"/>
        <v>M: </v>
      </c>
      <c r="C6685" s="68"/>
      <c r="D6685" s="68">
        <v>46418.0</v>
      </c>
      <c r="E6685" s="66">
        <v>3.0</v>
      </c>
      <c r="F6685" s="66" t="str">
        <f>IFERROR(__xludf.DUMMYFUNCTION("GOOGLETRANSLATE(A6685,""en"",""pt"")"),"#VALUE!")</f>
        <v>#VALUE!</v>
      </c>
      <c r="G6685" s="69"/>
    </row>
    <row r="6686" ht="22.5" customHeight="1">
      <c r="A6686" s="66"/>
      <c r="B6686" s="67" t="str">
        <f t="shared" si="16"/>
        <v>M: </v>
      </c>
      <c r="C6686" s="68"/>
      <c r="D6686" s="68">
        <v>46418.0</v>
      </c>
      <c r="E6686" s="66">
        <v>4.0</v>
      </c>
      <c r="F6686" s="66" t="str">
        <f>IFERROR(__xludf.DUMMYFUNCTION("GOOGLETRANSLATE(A6686,""en"",""pt"")"),"#VALUE!")</f>
        <v>#VALUE!</v>
      </c>
      <c r="G6686" s="69"/>
    </row>
    <row r="6687" ht="22.5" customHeight="1">
      <c r="A6687" s="66"/>
      <c r="B6687" s="67" t="str">
        <f t="shared" si="16"/>
        <v>M: </v>
      </c>
      <c r="C6687" s="68"/>
      <c r="D6687" s="68">
        <v>46418.0</v>
      </c>
      <c r="E6687" s="66">
        <v>5.0</v>
      </c>
      <c r="F6687" s="66" t="str">
        <f>IFERROR(__xludf.DUMMYFUNCTION("GOOGLETRANSLATE(A6687,""en"",""pt"")"),"#VALUE!")</f>
        <v>#VALUE!</v>
      </c>
      <c r="G6687" s="69"/>
    </row>
    <row r="6688" ht="22.5" customHeight="1">
      <c r="A6688" s="66"/>
      <c r="B6688" s="67" t="str">
        <f t="shared" si="16"/>
        <v>M: </v>
      </c>
      <c r="C6688" s="68"/>
      <c r="D6688" s="68">
        <v>46418.0</v>
      </c>
      <c r="E6688" s="66">
        <v>6.0</v>
      </c>
      <c r="F6688" s="66" t="str">
        <f>IFERROR(__xludf.DUMMYFUNCTION("GOOGLETRANSLATE(A6688,""en"",""pt"")"),"#VALUE!")</f>
        <v>#VALUE!</v>
      </c>
      <c r="G6688" s="69"/>
    </row>
    <row r="6689" ht="22.5" customHeight="1">
      <c r="A6689" s="66"/>
      <c r="B6689" s="67" t="str">
        <f t="shared" si="16"/>
        <v>M: </v>
      </c>
      <c r="C6689" s="68"/>
      <c r="D6689" s="68">
        <v>46418.0</v>
      </c>
      <c r="E6689" s="66">
        <v>7.0</v>
      </c>
      <c r="F6689" s="66" t="str">
        <f>IFERROR(__xludf.DUMMYFUNCTION("GOOGLETRANSLATE(A6689,""en"",""pt"")"),"#VALUE!")</f>
        <v>#VALUE!</v>
      </c>
      <c r="G6689" s="69"/>
    </row>
    <row r="6690" ht="22.5" customHeight="1">
      <c r="A6690" s="66"/>
      <c r="B6690" s="67" t="str">
        <f t="shared" si="16"/>
        <v>M: </v>
      </c>
      <c r="C6690" s="68"/>
      <c r="D6690" s="68">
        <v>46418.0</v>
      </c>
      <c r="E6690" s="66">
        <v>8.0</v>
      </c>
      <c r="F6690" s="66" t="str">
        <f>IFERROR(__xludf.DUMMYFUNCTION("GOOGLETRANSLATE(A6690,""en"",""pt"")"),"#VALUE!")</f>
        <v>#VALUE!</v>
      </c>
      <c r="G6690" s="69"/>
    </row>
    <row r="6691" ht="22.5" customHeight="1">
      <c r="A6691" s="66"/>
      <c r="B6691" s="67" t="str">
        <f t="shared" si="16"/>
        <v>M: </v>
      </c>
      <c r="C6691" s="68"/>
      <c r="D6691" s="68">
        <v>46418.0</v>
      </c>
      <c r="E6691" s="66">
        <v>9.0</v>
      </c>
      <c r="F6691" s="66" t="str">
        <f>IFERROR(__xludf.DUMMYFUNCTION("GOOGLETRANSLATE(A6691,""en"",""pt"")"),"#VALUE!")</f>
        <v>#VALUE!</v>
      </c>
      <c r="G6691" s="69"/>
    </row>
    <row r="6692" ht="22.5" customHeight="1">
      <c r="A6692" s="66"/>
      <c r="B6692" s="67" t="str">
        <f t="shared" si="16"/>
        <v>M: </v>
      </c>
      <c r="C6692" s="68"/>
      <c r="D6692" s="68">
        <v>46419.0</v>
      </c>
      <c r="E6692" s="66">
        <v>10.0</v>
      </c>
      <c r="F6692" s="66" t="str">
        <f>IFERROR(__xludf.DUMMYFUNCTION("GOOGLETRANSLATE(A6692,""en"",""pt"")"),"#VALUE!")</f>
        <v>#VALUE!</v>
      </c>
      <c r="G6692" s="69"/>
    </row>
    <row r="6693" ht="22.5" customHeight="1">
      <c r="A6693" s="66"/>
      <c r="B6693" s="67" t="str">
        <f t="shared" si="16"/>
        <v>M: </v>
      </c>
      <c r="C6693" s="68"/>
      <c r="D6693" s="68">
        <v>46419.0</v>
      </c>
      <c r="E6693" s="66">
        <v>1.0</v>
      </c>
      <c r="F6693" s="66" t="str">
        <f>IFERROR(__xludf.DUMMYFUNCTION("GOOGLETRANSLATE(A6693,""en"",""pt"")"),"#VALUE!")</f>
        <v>#VALUE!</v>
      </c>
      <c r="G6693" s="69"/>
    </row>
    <row r="6694" ht="22.5" customHeight="1">
      <c r="A6694" s="66"/>
      <c r="B6694" s="67" t="str">
        <f t="shared" si="16"/>
        <v>M: </v>
      </c>
      <c r="C6694" s="68"/>
      <c r="D6694" s="68">
        <v>46419.0</v>
      </c>
      <c r="E6694" s="66">
        <v>2.0</v>
      </c>
      <c r="F6694" s="66" t="str">
        <f>IFERROR(__xludf.DUMMYFUNCTION("GOOGLETRANSLATE(A6694,""en"",""pt"")"),"#VALUE!")</f>
        <v>#VALUE!</v>
      </c>
      <c r="G6694" s="69"/>
    </row>
    <row r="6695" ht="22.5" customHeight="1">
      <c r="A6695" s="66"/>
      <c r="B6695" s="67" t="str">
        <f t="shared" si="16"/>
        <v>M: </v>
      </c>
      <c r="C6695" s="68"/>
      <c r="D6695" s="68">
        <v>46419.0</v>
      </c>
      <c r="E6695" s="66">
        <v>3.0</v>
      </c>
      <c r="F6695" s="66" t="str">
        <f>IFERROR(__xludf.DUMMYFUNCTION("GOOGLETRANSLATE(A6695,""en"",""pt"")"),"#VALUE!")</f>
        <v>#VALUE!</v>
      </c>
      <c r="G6695" s="69"/>
    </row>
    <row r="6696" ht="22.5" customHeight="1">
      <c r="A6696" s="66"/>
      <c r="B6696" s="67" t="str">
        <f t="shared" si="16"/>
        <v>M: </v>
      </c>
      <c r="C6696" s="68"/>
      <c r="D6696" s="68">
        <v>46419.0</v>
      </c>
      <c r="E6696" s="66">
        <v>4.0</v>
      </c>
      <c r="F6696" s="66" t="str">
        <f>IFERROR(__xludf.DUMMYFUNCTION("GOOGLETRANSLATE(A6696,""en"",""pt"")"),"#VALUE!")</f>
        <v>#VALUE!</v>
      </c>
      <c r="G6696" s="69"/>
    </row>
    <row r="6697" ht="22.5" customHeight="1">
      <c r="A6697" s="66"/>
      <c r="B6697" s="67" t="str">
        <f t="shared" si="16"/>
        <v>M: </v>
      </c>
      <c r="C6697" s="68"/>
      <c r="D6697" s="68">
        <v>46419.0</v>
      </c>
      <c r="E6697" s="66">
        <v>5.0</v>
      </c>
      <c r="F6697" s="66" t="str">
        <f>IFERROR(__xludf.DUMMYFUNCTION("GOOGLETRANSLATE(A6697,""en"",""pt"")"),"#VALUE!")</f>
        <v>#VALUE!</v>
      </c>
      <c r="G6697" s="69"/>
    </row>
    <row r="6698" ht="22.5" customHeight="1">
      <c r="A6698" s="66"/>
      <c r="B6698" s="67" t="str">
        <f t="shared" si="16"/>
        <v>M: </v>
      </c>
      <c r="C6698" s="68"/>
      <c r="D6698" s="68">
        <v>46419.0</v>
      </c>
      <c r="E6698" s="66">
        <v>6.0</v>
      </c>
      <c r="F6698" s="66" t="str">
        <f>IFERROR(__xludf.DUMMYFUNCTION("GOOGLETRANSLATE(A6698,""en"",""pt"")"),"#VALUE!")</f>
        <v>#VALUE!</v>
      </c>
      <c r="G6698" s="69"/>
    </row>
    <row r="6699" ht="22.5" customHeight="1">
      <c r="A6699" s="66"/>
      <c r="B6699" s="67" t="str">
        <f t="shared" si="16"/>
        <v>M: </v>
      </c>
      <c r="C6699" s="68"/>
      <c r="D6699" s="68">
        <v>46419.0</v>
      </c>
      <c r="E6699" s="66">
        <v>7.0</v>
      </c>
      <c r="F6699" s="66" t="str">
        <f>IFERROR(__xludf.DUMMYFUNCTION("GOOGLETRANSLATE(A6699,""en"",""pt"")"),"#VALUE!")</f>
        <v>#VALUE!</v>
      </c>
      <c r="G6699" s="69"/>
    </row>
    <row r="6700" ht="22.5" customHeight="1">
      <c r="A6700" s="66"/>
      <c r="B6700" s="67" t="str">
        <f t="shared" si="16"/>
        <v>M: </v>
      </c>
      <c r="C6700" s="68"/>
      <c r="D6700" s="68">
        <v>46419.0</v>
      </c>
      <c r="E6700" s="66">
        <v>8.0</v>
      </c>
      <c r="F6700" s="66" t="str">
        <f>IFERROR(__xludf.DUMMYFUNCTION("GOOGLETRANSLATE(A6700,""en"",""pt"")"),"#VALUE!")</f>
        <v>#VALUE!</v>
      </c>
      <c r="G6700" s="69"/>
    </row>
    <row r="6701" ht="22.5" customHeight="1">
      <c r="A6701" s="66"/>
      <c r="B6701" s="67" t="str">
        <f t="shared" si="16"/>
        <v>M: </v>
      </c>
      <c r="C6701" s="68"/>
      <c r="D6701" s="68">
        <v>46419.0</v>
      </c>
      <c r="E6701" s="66">
        <v>9.0</v>
      </c>
      <c r="F6701" s="66" t="str">
        <f>IFERROR(__xludf.DUMMYFUNCTION("GOOGLETRANSLATE(A6701,""en"",""pt"")"),"#VALUE!")</f>
        <v>#VALUE!</v>
      </c>
      <c r="G6701" s="69"/>
    </row>
    <row r="6702" ht="22.5" customHeight="1">
      <c r="A6702" s="66"/>
      <c r="B6702" s="67" t="str">
        <f t="shared" si="16"/>
        <v>M: </v>
      </c>
      <c r="C6702" s="68"/>
      <c r="D6702" s="68">
        <v>46420.0</v>
      </c>
      <c r="E6702" s="66">
        <v>10.0</v>
      </c>
      <c r="F6702" s="66" t="str">
        <f>IFERROR(__xludf.DUMMYFUNCTION("GOOGLETRANSLATE(A6702,""en"",""pt"")"),"#VALUE!")</f>
        <v>#VALUE!</v>
      </c>
      <c r="G6702" s="69"/>
    </row>
    <row r="6703" ht="22.5" customHeight="1">
      <c r="A6703" s="66"/>
      <c r="B6703" s="67" t="str">
        <f t="shared" si="16"/>
        <v>M: </v>
      </c>
      <c r="C6703" s="68"/>
      <c r="D6703" s="68">
        <v>46420.0</v>
      </c>
      <c r="E6703" s="66">
        <v>1.0</v>
      </c>
      <c r="F6703" s="66" t="str">
        <f>IFERROR(__xludf.DUMMYFUNCTION("GOOGLETRANSLATE(A6703,""en"",""pt"")"),"#VALUE!")</f>
        <v>#VALUE!</v>
      </c>
      <c r="G6703" s="69"/>
    </row>
    <row r="6704" ht="22.5" customHeight="1">
      <c r="A6704" s="66"/>
      <c r="B6704" s="67" t="str">
        <f t="shared" si="16"/>
        <v>M: </v>
      </c>
      <c r="C6704" s="68"/>
      <c r="D6704" s="68">
        <v>46420.0</v>
      </c>
      <c r="E6704" s="66">
        <v>2.0</v>
      </c>
      <c r="F6704" s="66" t="str">
        <f>IFERROR(__xludf.DUMMYFUNCTION("GOOGLETRANSLATE(A6704,""en"",""pt"")"),"#VALUE!")</f>
        <v>#VALUE!</v>
      </c>
      <c r="G6704" s="69"/>
    </row>
    <row r="6705" ht="22.5" customHeight="1">
      <c r="A6705" s="66"/>
      <c r="B6705" s="67" t="str">
        <f t="shared" si="16"/>
        <v>M: </v>
      </c>
      <c r="C6705" s="68"/>
      <c r="D6705" s="68">
        <v>46420.0</v>
      </c>
      <c r="E6705" s="66">
        <v>3.0</v>
      </c>
      <c r="F6705" s="66" t="str">
        <f>IFERROR(__xludf.DUMMYFUNCTION("GOOGLETRANSLATE(A6705,""en"",""pt"")"),"#VALUE!")</f>
        <v>#VALUE!</v>
      </c>
      <c r="G6705" s="69"/>
    </row>
    <row r="6706" ht="22.5" customHeight="1">
      <c r="A6706" s="66"/>
      <c r="B6706" s="67" t="str">
        <f t="shared" si="16"/>
        <v>M: </v>
      </c>
      <c r="C6706" s="68"/>
      <c r="D6706" s="68">
        <v>46420.0</v>
      </c>
      <c r="E6706" s="66">
        <v>4.0</v>
      </c>
      <c r="F6706" s="66" t="str">
        <f>IFERROR(__xludf.DUMMYFUNCTION("GOOGLETRANSLATE(A6706,""en"",""pt"")"),"#VALUE!")</f>
        <v>#VALUE!</v>
      </c>
      <c r="G6706" s="69"/>
    </row>
    <row r="6707" ht="22.5" customHeight="1">
      <c r="A6707" s="66"/>
      <c r="B6707" s="67" t="str">
        <f t="shared" si="16"/>
        <v>M: </v>
      </c>
      <c r="C6707" s="68"/>
      <c r="D6707" s="68">
        <v>46420.0</v>
      </c>
      <c r="E6707" s="66">
        <v>5.0</v>
      </c>
      <c r="F6707" s="66" t="str">
        <f>IFERROR(__xludf.DUMMYFUNCTION("GOOGLETRANSLATE(A6707,""en"",""pt"")"),"#VALUE!")</f>
        <v>#VALUE!</v>
      </c>
      <c r="G6707" s="69"/>
    </row>
    <row r="6708" ht="22.5" customHeight="1">
      <c r="A6708" s="66"/>
      <c r="B6708" s="67" t="str">
        <f t="shared" si="16"/>
        <v>M: </v>
      </c>
      <c r="C6708" s="68"/>
      <c r="D6708" s="68">
        <v>46420.0</v>
      </c>
      <c r="E6708" s="66">
        <v>6.0</v>
      </c>
      <c r="F6708" s="66" t="str">
        <f>IFERROR(__xludf.DUMMYFUNCTION("GOOGLETRANSLATE(A6708,""en"",""pt"")"),"#VALUE!")</f>
        <v>#VALUE!</v>
      </c>
      <c r="G6708" s="69"/>
    </row>
    <row r="6709" ht="22.5" customHeight="1">
      <c r="A6709" s="66"/>
      <c r="B6709" s="67" t="str">
        <f t="shared" si="16"/>
        <v>M: </v>
      </c>
      <c r="C6709" s="68"/>
      <c r="D6709" s="68">
        <v>46420.0</v>
      </c>
      <c r="E6709" s="66">
        <v>7.0</v>
      </c>
      <c r="F6709" s="66" t="str">
        <f>IFERROR(__xludf.DUMMYFUNCTION("GOOGLETRANSLATE(A6709,""en"",""pt"")"),"#VALUE!")</f>
        <v>#VALUE!</v>
      </c>
      <c r="G6709" s="69"/>
    </row>
    <row r="6710" ht="22.5" customHeight="1">
      <c r="A6710" s="66"/>
      <c r="B6710" s="67" t="str">
        <f t="shared" si="16"/>
        <v>M: </v>
      </c>
      <c r="C6710" s="68"/>
      <c r="D6710" s="68">
        <v>46420.0</v>
      </c>
      <c r="E6710" s="66">
        <v>8.0</v>
      </c>
      <c r="F6710" s="66" t="str">
        <f>IFERROR(__xludf.DUMMYFUNCTION("GOOGLETRANSLATE(A6710,""en"",""pt"")"),"#VALUE!")</f>
        <v>#VALUE!</v>
      </c>
      <c r="G6710" s="69"/>
    </row>
    <row r="6711" ht="22.5" customHeight="1">
      <c r="A6711" s="66"/>
      <c r="B6711" s="67" t="str">
        <f t="shared" si="16"/>
        <v>M: </v>
      </c>
      <c r="C6711" s="68"/>
      <c r="D6711" s="68">
        <v>46420.0</v>
      </c>
      <c r="E6711" s="66">
        <v>9.0</v>
      </c>
      <c r="F6711" s="66" t="str">
        <f>IFERROR(__xludf.DUMMYFUNCTION("GOOGLETRANSLATE(A6711,""en"",""pt"")"),"#VALUE!")</f>
        <v>#VALUE!</v>
      </c>
      <c r="G6711" s="69"/>
    </row>
    <row r="6712" ht="22.5" customHeight="1">
      <c r="A6712" s="66"/>
      <c r="B6712" s="67" t="str">
        <f t="shared" si="16"/>
        <v>M: </v>
      </c>
      <c r="C6712" s="68"/>
      <c r="D6712" s="68">
        <v>46421.0</v>
      </c>
      <c r="E6712" s="66">
        <v>10.0</v>
      </c>
      <c r="F6712" s="66" t="str">
        <f>IFERROR(__xludf.DUMMYFUNCTION("GOOGLETRANSLATE(A6712,""en"",""pt"")"),"#VALUE!")</f>
        <v>#VALUE!</v>
      </c>
      <c r="G6712" s="69"/>
    </row>
    <row r="6713" ht="22.5" customHeight="1">
      <c r="A6713" s="66"/>
      <c r="B6713" s="67" t="str">
        <f t="shared" si="16"/>
        <v>M: </v>
      </c>
      <c r="C6713" s="68"/>
      <c r="D6713" s="68">
        <v>46421.0</v>
      </c>
      <c r="E6713" s="66">
        <v>1.0</v>
      </c>
      <c r="F6713" s="66" t="str">
        <f>IFERROR(__xludf.DUMMYFUNCTION("GOOGLETRANSLATE(A6713,""en"",""pt"")"),"#VALUE!")</f>
        <v>#VALUE!</v>
      </c>
      <c r="G6713" s="69"/>
    </row>
    <row r="6714" ht="22.5" customHeight="1">
      <c r="A6714" s="66"/>
      <c r="B6714" s="67" t="str">
        <f t="shared" si="16"/>
        <v>M: </v>
      </c>
      <c r="C6714" s="68"/>
      <c r="D6714" s="68">
        <v>46421.0</v>
      </c>
      <c r="E6714" s="66">
        <v>2.0</v>
      </c>
      <c r="F6714" s="66" t="str">
        <f>IFERROR(__xludf.DUMMYFUNCTION("GOOGLETRANSLATE(A6714,""en"",""pt"")"),"#VALUE!")</f>
        <v>#VALUE!</v>
      </c>
      <c r="G6714" s="69"/>
    </row>
    <row r="6715" ht="22.5" customHeight="1">
      <c r="A6715" s="66"/>
      <c r="B6715" s="67" t="str">
        <f t="shared" si="16"/>
        <v>M: </v>
      </c>
      <c r="C6715" s="68"/>
      <c r="D6715" s="68">
        <v>46421.0</v>
      </c>
      <c r="E6715" s="66">
        <v>3.0</v>
      </c>
      <c r="F6715" s="66" t="str">
        <f>IFERROR(__xludf.DUMMYFUNCTION("GOOGLETRANSLATE(A6715,""en"",""pt"")"),"#VALUE!")</f>
        <v>#VALUE!</v>
      </c>
      <c r="G6715" s="69"/>
    </row>
    <row r="6716" ht="22.5" customHeight="1">
      <c r="A6716" s="66"/>
      <c r="B6716" s="67" t="str">
        <f t="shared" si="16"/>
        <v>M: </v>
      </c>
      <c r="C6716" s="68"/>
      <c r="D6716" s="68">
        <v>46421.0</v>
      </c>
      <c r="E6716" s="66">
        <v>4.0</v>
      </c>
      <c r="F6716" s="66" t="str">
        <f>IFERROR(__xludf.DUMMYFUNCTION("GOOGLETRANSLATE(A6716,""en"",""pt"")"),"#VALUE!")</f>
        <v>#VALUE!</v>
      </c>
      <c r="G6716" s="69"/>
    </row>
    <row r="6717" ht="22.5" customHeight="1">
      <c r="A6717" s="66"/>
      <c r="B6717" s="67" t="str">
        <f t="shared" si="16"/>
        <v>M: </v>
      </c>
      <c r="C6717" s="68"/>
      <c r="D6717" s="68">
        <v>46421.0</v>
      </c>
      <c r="E6717" s="66">
        <v>5.0</v>
      </c>
      <c r="F6717" s="66" t="str">
        <f>IFERROR(__xludf.DUMMYFUNCTION("GOOGLETRANSLATE(A6717,""en"",""pt"")"),"#VALUE!")</f>
        <v>#VALUE!</v>
      </c>
      <c r="G6717" s="69"/>
    </row>
    <row r="6718" ht="22.5" customHeight="1">
      <c r="A6718" s="66"/>
      <c r="B6718" s="67" t="str">
        <f t="shared" si="16"/>
        <v>M: </v>
      </c>
      <c r="C6718" s="68"/>
      <c r="D6718" s="68">
        <v>46421.0</v>
      </c>
      <c r="E6718" s="66">
        <v>6.0</v>
      </c>
      <c r="F6718" s="66" t="str">
        <f>IFERROR(__xludf.DUMMYFUNCTION("GOOGLETRANSLATE(A6718,""en"",""pt"")"),"#VALUE!")</f>
        <v>#VALUE!</v>
      </c>
      <c r="G6718" s="69"/>
    </row>
    <row r="6719" ht="22.5" customHeight="1">
      <c r="A6719" s="66"/>
      <c r="B6719" s="67" t="str">
        <f t="shared" si="16"/>
        <v>M: </v>
      </c>
      <c r="C6719" s="68"/>
      <c r="D6719" s="68">
        <v>46421.0</v>
      </c>
      <c r="E6719" s="66">
        <v>7.0</v>
      </c>
      <c r="F6719" s="66" t="str">
        <f>IFERROR(__xludf.DUMMYFUNCTION("GOOGLETRANSLATE(A6719,""en"",""pt"")"),"#VALUE!")</f>
        <v>#VALUE!</v>
      </c>
      <c r="G6719" s="69"/>
    </row>
    <row r="6720" ht="22.5" customHeight="1">
      <c r="A6720" s="66"/>
      <c r="B6720" s="67" t="str">
        <f t="shared" si="16"/>
        <v>M: </v>
      </c>
      <c r="C6720" s="68"/>
      <c r="D6720" s="68">
        <v>46421.0</v>
      </c>
      <c r="E6720" s="66">
        <v>8.0</v>
      </c>
      <c r="F6720" s="66" t="str">
        <f>IFERROR(__xludf.DUMMYFUNCTION("GOOGLETRANSLATE(A6720,""en"",""pt"")"),"#VALUE!")</f>
        <v>#VALUE!</v>
      </c>
      <c r="G6720" s="69"/>
    </row>
    <row r="6721" ht="22.5" customHeight="1">
      <c r="A6721" s="66"/>
      <c r="B6721" s="67" t="str">
        <f t="shared" si="16"/>
        <v>M: </v>
      </c>
      <c r="C6721" s="68"/>
      <c r="D6721" s="68">
        <v>46421.0</v>
      </c>
      <c r="E6721" s="66">
        <v>9.0</v>
      </c>
      <c r="F6721" s="66" t="str">
        <f>IFERROR(__xludf.DUMMYFUNCTION("GOOGLETRANSLATE(A6721,""en"",""pt"")"),"#VALUE!")</f>
        <v>#VALUE!</v>
      </c>
      <c r="G6721" s="69"/>
    </row>
    <row r="6722" ht="22.5" customHeight="1">
      <c r="A6722" s="66"/>
      <c r="B6722" s="67" t="str">
        <f t="shared" si="16"/>
        <v>M: </v>
      </c>
      <c r="C6722" s="68"/>
      <c r="D6722" s="68">
        <v>46422.0</v>
      </c>
      <c r="E6722" s="66">
        <v>10.0</v>
      </c>
      <c r="F6722" s="66" t="str">
        <f>IFERROR(__xludf.DUMMYFUNCTION("GOOGLETRANSLATE(A6722,""en"",""pt"")"),"#VALUE!")</f>
        <v>#VALUE!</v>
      </c>
      <c r="G6722" s="69"/>
    </row>
    <row r="6723" ht="22.5" customHeight="1">
      <c r="A6723" s="66"/>
      <c r="B6723" s="67" t="str">
        <f t="shared" si="16"/>
        <v>M: </v>
      </c>
      <c r="C6723" s="68"/>
      <c r="D6723" s="68">
        <v>46422.0</v>
      </c>
      <c r="E6723" s="66">
        <v>1.0</v>
      </c>
      <c r="F6723" s="66" t="str">
        <f>IFERROR(__xludf.DUMMYFUNCTION("GOOGLETRANSLATE(A6723,""en"",""pt"")"),"#VALUE!")</f>
        <v>#VALUE!</v>
      </c>
      <c r="G6723" s="69"/>
    </row>
    <row r="6724" ht="22.5" customHeight="1">
      <c r="A6724" s="66"/>
      <c r="B6724" s="67" t="str">
        <f t="shared" si="16"/>
        <v>M: </v>
      </c>
      <c r="C6724" s="68"/>
      <c r="D6724" s="68">
        <v>46422.0</v>
      </c>
      <c r="E6724" s="66">
        <v>2.0</v>
      </c>
      <c r="F6724" s="66" t="str">
        <f>IFERROR(__xludf.DUMMYFUNCTION("GOOGLETRANSLATE(A6724,""en"",""pt"")"),"#VALUE!")</f>
        <v>#VALUE!</v>
      </c>
      <c r="G6724" s="69"/>
    </row>
    <row r="6725" ht="22.5" customHeight="1">
      <c r="A6725" s="66"/>
      <c r="B6725" s="67" t="str">
        <f t="shared" si="16"/>
        <v>M: </v>
      </c>
      <c r="C6725" s="68"/>
      <c r="D6725" s="68">
        <v>46422.0</v>
      </c>
      <c r="E6725" s="66">
        <v>3.0</v>
      </c>
      <c r="F6725" s="66" t="str">
        <f>IFERROR(__xludf.DUMMYFUNCTION("GOOGLETRANSLATE(A6725,""en"",""pt"")"),"#VALUE!")</f>
        <v>#VALUE!</v>
      </c>
      <c r="G6725" s="69"/>
    </row>
    <row r="6726" ht="22.5" customHeight="1">
      <c r="A6726" s="66"/>
      <c r="B6726" s="67" t="str">
        <f t="shared" si="16"/>
        <v>M: </v>
      </c>
      <c r="C6726" s="68"/>
      <c r="D6726" s="68">
        <v>46422.0</v>
      </c>
      <c r="E6726" s="66">
        <v>4.0</v>
      </c>
      <c r="F6726" s="66" t="str">
        <f>IFERROR(__xludf.DUMMYFUNCTION("GOOGLETRANSLATE(A6726,""en"",""pt"")"),"#VALUE!")</f>
        <v>#VALUE!</v>
      </c>
      <c r="G6726" s="69"/>
    </row>
    <row r="6727" ht="22.5" customHeight="1">
      <c r="A6727" s="66"/>
      <c r="B6727" s="67" t="str">
        <f t="shared" si="16"/>
        <v>M: </v>
      </c>
      <c r="C6727" s="68"/>
      <c r="D6727" s="68">
        <v>46422.0</v>
      </c>
      <c r="E6727" s="66">
        <v>5.0</v>
      </c>
      <c r="F6727" s="66" t="str">
        <f>IFERROR(__xludf.DUMMYFUNCTION("GOOGLETRANSLATE(A6727,""en"",""pt"")"),"#VALUE!")</f>
        <v>#VALUE!</v>
      </c>
      <c r="G6727" s="69"/>
    </row>
    <row r="6728" ht="22.5" customHeight="1">
      <c r="A6728" s="66"/>
      <c r="B6728" s="67" t="str">
        <f t="shared" si="16"/>
        <v>M: </v>
      </c>
      <c r="C6728" s="68"/>
      <c r="D6728" s="68">
        <v>46422.0</v>
      </c>
      <c r="E6728" s="66">
        <v>6.0</v>
      </c>
      <c r="F6728" s="66" t="str">
        <f>IFERROR(__xludf.DUMMYFUNCTION("GOOGLETRANSLATE(A6728,""en"",""pt"")"),"#VALUE!")</f>
        <v>#VALUE!</v>
      </c>
      <c r="G6728" s="69"/>
    </row>
    <row r="6729" ht="22.5" customHeight="1">
      <c r="A6729" s="66"/>
      <c r="B6729" s="67" t="str">
        <f t="shared" si="16"/>
        <v>M: </v>
      </c>
      <c r="C6729" s="68"/>
      <c r="D6729" s="68">
        <v>46422.0</v>
      </c>
      <c r="E6729" s="66">
        <v>7.0</v>
      </c>
      <c r="F6729" s="66" t="str">
        <f>IFERROR(__xludf.DUMMYFUNCTION("GOOGLETRANSLATE(A6729,""en"",""pt"")"),"#VALUE!")</f>
        <v>#VALUE!</v>
      </c>
      <c r="G6729" s="69"/>
    </row>
    <row r="6730" ht="22.5" customHeight="1">
      <c r="A6730" s="66"/>
      <c r="B6730" s="67" t="str">
        <f t="shared" si="16"/>
        <v>M: </v>
      </c>
      <c r="C6730" s="68"/>
      <c r="D6730" s="68">
        <v>46422.0</v>
      </c>
      <c r="E6730" s="66">
        <v>8.0</v>
      </c>
      <c r="F6730" s="66" t="str">
        <f>IFERROR(__xludf.DUMMYFUNCTION("GOOGLETRANSLATE(A6730,""en"",""pt"")"),"#VALUE!")</f>
        <v>#VALUE!</v>
      </c>
      <c r="G6730" s="69"/>
    </row>
    <row r="6731" ht="22.5" customHeight="1">
      <c r="A6731" s="66"/>
      <c r="B6731" s="67" t="str">
        <f t="shared" si="16"/>
        <v>M: </v>
      </c>
      <c r="C6731" s="68"/>
      <c r="D6731" s="68">
        <v>46422.0</v>
      </c>
      <c r="E6731" s="66">
        <v>9.0</v>
      </c>
      <c r="F6731" s="66" t="str">
        <f>IFERROR(__xludf.DUMMYFUNCTION("GOOGLETRANSLATE(A6731,""en"",""pt"")"),"#VALUE!")</f>
        <v>#VALUE!</v>
      </c>
      <c r="G6731" s="69"/>
    </row>
    <row r="6732" ht="22.5" customHeight="1">
      <c r="A6732" s="66"/>
      <c r="B6732" s="67" t="str">
        <f t="shared" si="16"/>
        <v>M: </v>
      </c>
      <c r="C6732" s="68"/>
      <c r="D6732" s="68">
        <v>46423.0</v>
      </c>
      <c r="E6732" s="66">
        <v>10.0</v>
      </c>
      <c r="F6732" s="66" t="str">
        <f>IFERROR(__xludf.DUMMYFUNCTION("GOOGLETRANSLATE(A6732,""en"",""pt"")"),"#VALUE!")</f>
        <v>#VALUE!</v>
      </c>
      <c r="G6732" s="69"/>
    </row>
    <row r="6733" ht="22.5" customHeight="1">
      <c r="A6733" s="66"/>
      <c r="B6733" s="67" t="str">
        <f t="shared" si="16"/>
        <v>M: </v>
      </c>
      <c r="C6733" s="68"/>
      <c r="D6733" s="68">
        <v>46423.0</v>
      </c>
      <c r="E6733" s="66">
        <v>1.0</v>
      </c>
      <c r="F6733" s="66" t="str">
        <f>IFERROR(__xludf.DUMMYFUNCTION("GOOGLETRANSLATE(A6733,""en"",""pt"")"),"#VALUE!")</f>
        <v>#VALUE!</v>
      </c>
      <c r="G6733" s="69"/>
    </row>
    <row r="6734" ht="22.5" customHeight="1">
      <c r="A6734" s="66"/>
      <c r="B6734" s="67" t="str">
        <f t="shared" si="16"/>
        <v>M: </v>
      </c>
      <c r="C6734" s="68"/>
      <c r="D6734" s="68">
        <v>46423.0</v>
      </c>
      <c r="E6734" s="66">
        <v>2.0</v>
      </c>
      <c r="F6734" s="66" t="str">
        <f>IFERROR(__xludf.DUMMYFUNCTION("GOOGLETRANSLATE(A6734,""en"",""pt"")"),"#VALUE!")</f>
        <v>#VALUE!</v>
      </c>
      <c r="G6734" s="69"/>
    </row>
    <row r="6735" ht="22.5" customHeight="1">
      <c r="A6735" s="66"/>
      <c r="B6735" s="67" t="str">
        <f t="shared" si="16"/>
        <v>M: </v>
      </c>
      <c r="C6735" s="68"/>
      <c r="D6735" s="68">
        <v>46423.0</v>
      </c>
      <c r="E6735" s="66">
        <v>3.0</v>
      </c>
      <c r="F6735" s="66" t="str">
        <f>IFERROR(__xludf.DUMMYFUNCTION("GOOGLETRANSLATE(A6735,""en"",""pt"")"),"#VALUE!")</f>
        <v>#VALUE!</v>
      </c>
      <c r="G6735" s="69"/>
    </row>
    <row r="6736" ht="22.5" customHeight="1">
      <c r="A6736" s="66"/>
      <c r="B6736" s="67" t="str">
        <f t="shared" si="16"/>
        <v>M: </v>
      </c>
      <c r="C6736" s="68"/>
      <c r="D6736" s="68">
        <v>46423.0</v>
      </c>
      <c r="E6736" s="66">
        <v>4.0</v>
      </c>
      <c r="F6736" s="66" t="str">
        <f>IFERROR(__xludf.DUMMYFUNCTION("GOOGLETRANSLATE(A6736,""en"",""pt"")"),"#VALUE!")</f>
        <v>#VALUE!</v>
      </c>
      <c r="G6736" s="69"/>
    </row>
    <row r="6737" ht="22.5" customHeight="1">
      <c r="A6737" s="66"/>
      <c r="B6737" s="67" t="str">
        <f t="shared" si="16"/>
        <v>M: </v>
      </c>
      <c r="C6737" s="68"/>
      <c r="D6737" s="68">
        <v>46423.0</v>
      </c>
      <c r="E6737" s="66">
        <v>5.0</v>
      </c>
      <c r="F6737" s="66" t="str">
        <f>IFERROR(__xludf.DUMMYFUNCTION("GOOGLETRANSLATE(A6737,""en"",""pt"")"),"#VALUE!")</f>
        <v>#VALUE!</v>
      </c>
      <c r="G6737" s="69"/>
    </row>
    <row r="6738" ht="22.5" customHeight="1">
      <c r="A6738" s="66"/>
      <c r="B6738" s="67" t="str">
        <f t="shared" si="16"/>
        <v>M: </v>
      </c>
      <c r="C6738" s="68"/>
      <c r="D6738" s="68">
        <v>46423.0</v>
      </c>
      <c r="E6738" s="66">
        <v>6.0</v>
      </c>
      <c r="F6738" s="66" t="str">
        <f>IFERROR(__xludf.DUMMYFUNCTION("GOOGLETRANSLATE(A6738,""en"",""pt"")"),"#VALUE!")</f>
        <v>#VALUE!</v>
      </c>
      <c r="G6738" s="69"/>
    </row>
    <row r="6739" ht="22.5" customHeight="1">
      <c r="A6739" s="66"/>
      <c r="B6739" s="67" t="str">
        <f t="shared" si="16"/>
        <v>M: </v>
      </c>
      <c r="C6739" s="68"/>
      <c r="D6739" s="68">
        <v>46423.0</v>
      </c>
      <c r="E6739" s="66">
        <v>7.0</v>
      </c>
      <c r="F6739" s="66" t="str">
        <f>IFERROR(__xludf.DUMMYFUNCTION("GOOGLETRANSLATE(A6739,""en"",""pt"")"),"#VALUE!")</f>
        <v>#VALUE!</v>
      </c>
      <c r="G6739" s="69"/>
    </row>
    <row r="6740" ht="22.5" customHeight="1">
      <c r="A6740" s="66"/>
      <c r="B6740" s="67" t="str">
        <f t="shared" si="16"/>
        <v>M: </v>
      </c>
      <c r="C6740" s="68"/>
      <c r="D6740" s="68">
        <v>46423.0</v>
      </c>
      <c r="E6740" s="66">
        <v>8.0</v>
      </c>
      <c r="F6740" s="66" t="str">
        <f>IFERROR(__xludf.DUMMYFUNCTION("GOOGLETRANSLATE(A6740,""en"",""pt"")"),"#VALUE!")</f>
        <v>#VALUE!</v>
      </c>
      <c r="G6740" s="69"/>
    </row>
    <row r="6741" ht="22.5" customHeight="1">
      <c r="A6741" s="66"/>
      <c r="B6741" s="67" t="str">
        <f t="shared" si="16"/>
        <v>M: </v>
      </c>
      <c r="C6741" s="68"/>
      <c r="D6741" s="68">
        <v>46423.0</v>
      </c>
      <c r="E6741" s="66">
        <v>9.0</v>
      </c>
      <c r="F6741" s="66" t="str">
        <f>IFERROR(__xludf.DUMMYFUNCTION("GOOGLETRANSLATE(A6741,""en"",""pt"")"),"#VALUE!")</f>
        <v>#VALUE!</v>
      </c>
      <c r="G6741" s="69"/>
    </row>
    <row r="6742" ht="22.5" customHeight="1">
      <c r="A6742" s="66"/>
      <c r="B6742" s="67" t="str">
        <f t="shared" si="16"/>
        <v>M: </v>
      </c>
      <c r="C6742" s="68"/>
      <c r="D6742" s="68">
        <v>46424.0</v>
      </c>
      <c r="E6742" s="66">
        <v>10.0</v>
      </c>
      <c r="F6742" s="66" t="str">
        <f>IFERROR(__xludf.DUMMYFUNCTION("GOOGLETRANSLATE(A6742,""en"",""pt"")"),"#VALUE!")</f>
        <v>#VALUE!</v>
      </c>
      <c r="G6742" s="69"/>
    </row>
    <row r="6743" ht="22.5" customHeight="1">
      <c r="A6743" s="66"/>
      <c r="B6743" s="67" t="str">
        <f t="shared" si="16"/>
        <v>M: </v>
      </c>
      <c r="C6743" s="68"/>
      <c r="D6743" s="68">
        <v>46424.0</v>
      </c>
      <c r="E6743" s="66">
        <v>1.0</v>
      </c>
      <c r="F6743" s="66" t="str">
        <f>IFERROR(__xludf.DUMMYFUNCTION("GOOGLETRANSLATE(A6743,""en"",""pt"")"),"#VALUE!")</f>
        <v>#VALUE!</v>
      </c>
      <c r="G6743" s="69"/>
    </row>
    <row r="6744" ht="22.5" customHeight="1">
      <c r="A6744" s="66"/>
      <c r="B6744" s="67" t="str">
        <f t="shared" si="16"/>
        <v>M: </v>
      </c>
      <c r="C6744" s="68"/>
      <c r="D6744" s="68">
        <v>46424.0</v>
      </c>
      <c r="E6744" s="66">
        <v>2.0</v>
      </c>
      <c r="F6744" s="66" t="str">
        <f>IFERROR(__xludf.DUMMYFUNCTION("GOOGLETRANSLATE(A6744,""en"",""pt"")"),"#VALUE!")</f>
        <v>#VALUE!</v>
      </c>
      <c r="G6744" s="69"/>
    </row>
    <row r="6745" ht="22.5" customHeight="1">
      <c r="A6745" s="66"/>
      <c r="B6745" s="67" t="str">
        <f t="shared" si="16"/>
        <v>M: </v>
      </c>
      <c r="C6745" s="68"/>
      <c r="D6745" s="68">
        <v>46424.0</v>
      </c>
      <c r="E6745" s="66">
        <v>3.0</v>
      </c>
      <c r="F6745" s="66" t="str">
        <f>IFERROR(__xludf.DUMMYFUNCTION("GOOGLETRANSLATE(A6745,""en"",""pt"")"),"#VALUE!")</f>
        <v>#VALUE!</v>
      </c>
      <c r="G6745" s="69"/>
    </row>
    <row r="6746" ht="22.5" customHeight="1">
      <c r="A6746" s="66"/>
      <c r="B6746" s="67" t="str">
        <f t="shared" si="16"/>
        <v>M: </v>
      </c>
      <c r="C6746" s="68"/>
      <c r="D6746" s="68">
        <v>46424.0</v>
      </c>
      <c r="E6746" s="66">
        <v>4.0</v>
      </c>
      <c r="F6746" s="66" t="str">
        <f>IFERROR(__xludf.DUMMYFUNCTION("GOOGLETRANSLATE(A6746,""en"",""pt"")"),"#VALUE!")</f>
        <v>#VALUE!</v>
      </c>
      <c r="G6746" s="69"/>
    </row>
    <row r="6747" ht="22.5" customHeight="1">
      <c r="A6747" s="66"/>
      <c r="B6747" s="67" t="str">
        <f t="shared" si="16"/>
        <v>M: </v>
      </c>
      <c r="C6747" s="68"/>
      <c r="D6747" s="68">
        <v>46424.0</v>
      </c>
      <c r="E6747" s="66">
        <v>5.0</v>
      </c>
      <c r="F6747" s="66" t="str">
        <f>IFERROR(__xludf.DUMMYFUNCTION("GOOGLETRANSLATE(A6747,""en"",""pt"")"),"#VALUE!")</f>
        <v>#VALUE!</v>
      </c>
      <c r="G6747" s="69"/>
    </row>
    <row r="6748" ht="22.5" customHeight="1">
      <c r="A6748" s="66"/>
      <c r="B6748" s="67" t="str">
        <f t="shared" si="16"/>
        <v>M: </v>
      </c>
      <c r="C6748" s="68"/>
      <c r="D6748" s="68">
        <v>46424.0</v>
      </c>
      <c r="E6748" s="66">
        <v>6.0</v>
      </c>
      <c r="F6748" s="66" t="str">
        <f>IFERROR(__xludf.DUMMYFUNCTION("GOOGLETRANSLATE(A6748,""en"",""pt"")"),"#VALUE!")</f>
        <v>#VALUE!</v>
      </c>
      <c r="G6748" s="69"/>
    </row>
    <row r="6749" ht="22.5" customHeight="1">
      <c r="A6749" s="66"/>
      <c r="B6749" s="67" t="str">
        <f t="shared" si="16"/>
        <v>M: </v>
      </c>
      <c r="C6749" s="68"/>
      <c r="D6749" s="68">
        <v>46424.0</v>
      </c>
      <c r="E6749" s="66">
        <v>7.0</v>
      </c>
      <c r="F6749" s="66" t="str">
        <f>IFERROR(__xludf.DUMMYFUNCTION("GOOGLETRANSLATE(A6749,""en"",""pt"")"),"#VALUE!")</f>
        <v>#VALUE!</v>
      </c>
      <c r="G6749" s="69"/>
    </row>
    <row r="6750" ht="22.5" customHeight="1">
      <c r="A6750" s="66"/>
      <c r="B6750" s="67" t="str">
        <f t="shared" si="16"/>
        <v>M: </v>
      </c>
      <c r="C6750" s="68"/>
      <c r="D6750" s="68">
        <v>46424.0</v>
      </c>
      <c r="E6750" s="66">
        <v>8.0</v>
      </c>
      <c r="F6750" s="66" t="str">
        <f>IFERROR(__xludf.DUMMYFUNCTION("GOOGLETRANSLATE(A6750,""en"",""pt"")"),"#VALUE!")</f>
        <v>#VALUE!</v>
      </c>
      <c r="G6750" s="69"/>
    </row>
    <row r="6751" ht="22.5" customHeight="1">
      <c r="A6751" s="66"/>
      <c r="B6751" s="67" t="str">
        <f t="shared" si="16"/>
        <v>M: </v>
      </c>
      <c r="C6751" s="68"/>
      <c r="D6751" s="68">
        <v>46424.0</v>
      </c>
      <c r="E6751" s="66">
        <v>9.0</v>
      </c>
      <c r="F6751" s="66" t="str">
        <f>IFERROR(__xludf.DUMMYFUNCTION("GOOGLETRANSLATE(A6751,""en"",""pt"")"),"#VALUE!")</f>
        <v>#VALUE!</v>
      </c>
      <c r="G6751" s="69"/>
    </row>
    <row r="6752" ht="22.5" customHeight="1">
      <c r="A6752" s="66"/>
      <c r="B6752" s="67" t="str">
        <f t="shared" si="16"/>
        <v>M: </v>
      </c>
      <c r="C6752" s="68"/>
      <c r="D6752" s="68">
        <v>46425.0</v>
      </c>
      <c r="E6752" s="66">
        <v>10.0</v>
      </c>
      <c r="F6752" s="66" t="str">
        <f>IFERROR(__xludf.DUMMYFUNCTION("GOOGLETRANSLATE(A6752,""en"",""pt"")"),"#VALUE!")</f>
        <v>#VALUE!</v>
      </c>
      <c r="G6752" s="69"/>
    </row>
    <row r="6753" ht="22.5" customHeight="1">
      <c r="A6753" s="66"/>
      <c r="B6753" s="67" t="str">
        <f t="shared" si="16"/>
        <v>M: </v>
      </c>
      <c r="C6753" s="68"/>
      <c r="D6753" s="68">
        <v>46425.0</v>
      </c>
      <c r="E6753" s="66">
        <v>1.0</v>
      </c>
      <c r="F6753" s="66" t="str">
        <f>IFERROR(__xludf.DUMMYFUNCTION("GOOGLETRANSLATE(A6753,""en"",""pt"")"),"#VALUE!")</f>
        <v>#VALUE!</v>
      </c>
      <c r="G6753" s="69"/>
    </row>
    <row r="6754" ht="22.5" customHeight="1">
      <c r="A6754" s="66"/>
      <c r="B6754" s="67" t="str">
        <f t="shared" si="16"/>
        <v>M: </v>
      </c>
      <c r="C6754" s="68"/>
      <c r="D6754" s="68">
        <v>46425.0</v>
      </c>
      <c r="E6754" s="66">
        <v>2.0</v>
      </c>
      <c r="F6754" s="66" t="str">
        <f>IFERROR(__xludf.DUMMYFUNCTION("GOOGLETRANSLATE(A6754,""en"",""pt"")"),"#VALUE!")</f>
        <v>#VALUE!</v>
      </c>
      <c r="G6754" s="69"/>
    </row>
    <row r="6755" ht="22.5" customHeight="1">
      <c r="A6755" s="66"/>
      <c r="B6755" s="67" t="str">
        <f t="shared" si="16"/>
        <v>M: </v>
      </c>
      <c r="C6755" s="68"/>
      <c r="D6755" s="68">
        <v>46425.0</v>
      </c>
      <c r="E6755" s="66">
        <v>3.0</v>
      </c>
      <c r="F6755" s="66" t="str">
        <f>IFERROR(__xludf.DUMMYFUNCTION("GOOGLETRANSLATE(A6755,""en"",""pt"")"),"#VALUE!")</f>
        <v>#VALUE!</v>
      </c>
      <c r="G6755" s="69"/>
    </row>
    <row r="6756" ht="22.5" customHeight="1">
      <c r="A6756" s="66"/>
      <c r="B6756" s="67" t="str">
        <f t="shared" si="16"/>
        <v>M: </v>
      </c>
      <c r="C6756" s="68"/>
      <c r="D6756" s="68">
        <v>46425.0</v>
      </c>
      <c r="E6756" s="66">
        <v>4.0</v>
      </c>
      <c r="F6756" s="66" t="str">
        <f>IFERROR(__xludf.DUMMYFUNCTION("GOOGLETRANSLATE(A6756,""en"",""pt"")"),"#VALUE!")</f>
        <v>#VALUE!</v>
      </c>
      <c r="G6756" s="69"/>
    </row>
    <row r="6757" ht="22.5" customHeight="1">
      <c r="A6757" s="66"/>
      <c r="B6757" s="67" t="str">
        <f t="shared" si="16"/>
        <v>M: </v>
      </c>
      <c r="C6757" s="68"/>
      <c r="D6757" s="68">
        <v>46425.0</v>
      </c>
      <c r="E6757" s="66">
        <v>5.0</v>
      </c>
      <c r="F6757" s="66" t="str">
        <f>IFERROR(__xludf.DUMMYFUNCTION("GOOGLETRANSLATE(A6757,""en"",""pt"")"),"#VALUE!")</f>
        <v>#VALUE!</v>
      </c>
      <c r="G6757" s="69"/>
    </row>
    <row r="6758" ht="22.5" customHeight="1">
      <c r="A6758" s="66"/>
      <c r="B6758" s="67" t="str">
        <f t="shared" si="16"/>
        <v>M: </v>
      </c>
      <c r="C6758" s="68"/>
      <c r="D6758" s="68">
        <v>46425.0</v>
      </c>
      <c r="E6758" s="66">
        <v>6.0</v>
      </c>
      <c r="F6758" s="66" t="str">
        <f>IFERROR(__xludf.DUMMYFUNCTION("GOOGLETRANSLATE(A6758,""en"",""pt"")"),"#VALUE!")</f>
        <v>#VALUE!</v>
      </c>
      <c r="G6758" s="69"/>
    </row>
    <row r="6759" ht="22.5" customHeight="1">
      <c r="A6759" s="66"/>
      <c r="B6759" s="67" t="str">
        <f t="shared" si="16"/>
        <v>M: </v>
      </c>
      <c r="C6759" s="68"/>
      <c r="D6759" s="68">
        <v>46425.0</v>
      </c>
      <c r="E6759" s="66">
        <v>7.0</v>
      </c>
      <c r="F6759" s="66" t="str">
        <f>IFERROR(__xludf.DUMMYFUNCTION("GOOGLETRANSLATE(A6759,""en"",""pt"")"),"#VALUE!")</f>
        <v>#VALUE!</v>
      </c>
      <c r="G6759" s="69"/>
    </row>
    <row r="6760" ht="22.5" customHeight="1">
      <c r="A6760" s="66"/>
      <c r="B6760" s="67" t="str">
        <f t="shared" si="16"/>
        <v>M: </v>
      </c>
      <c r="C6760" s="68"/>
      <c r="D6760" s="68">
        <v>46425.0</v>
      </c>
      <c r="E6760" s="66">
        <v>8.0</v>
      </c>
      <c r="F6760" s="66" t="str">
        <f>IFERROR(__xludf.DUMMYFUNCTION("GOOGLETRANSLATE(A6760,""en"",""pt"")"),"#VALUE!")</f>
        <v>#VALUE!</v>
      </c>
      <c r="G6760" s="69"/>
    </row>
    <row r="6761" ht="22.5" customHeight="1">
      <c r="A6761" s="66"/>
      <c r="B6761" s="67" t="str">
        <f t="shared" si="16"/>
        <v>M: </v>
      </c>
      <c r="C6761" s="68"/>
      <c r="D6761" s="68">
        <v>46425.0</v>
      </c>
      <c r="E6761" s="66">
        <v>9.0</v>
      </c>
      <c r="F6761" s="66" t="str">
        <f>IFERROR(__xludf.DUMMYFUNCTION("GOOGLETRANSLATE(A6761,""en"",""pt"")"),"#VALUE!")</f>
        <v>#VALUE!</v>
      </c>
      <c r="G6761" s="69"/>
    </row>
    <row r="6762" ht="22.5" customHeight="1">
      <c r="A6762" s="66"/>
      <c r="B6762" s="67" t="str">
        <f t="shared" si="16"/>
        <v>M: </v>
      </c>
      <c r="C6762" s="68"/>
      <c r="D6762" s="68">
        <v>46426.0</v>
      </c>
      <c r="E6762" s="66">
        <v>10.0</v>
      </c>
      <c r="F6762" s="66" t="str">
        <f>IFERROR(__xludf.DUMMYFUNCTION("GOOGLETRANSLATE(A6762,""en"",""pt"")"),"#VALUE!")</f>
        <v>#VALUE!</v>
      </c>
      <c r="G6762" s="69"/>
    </row>
    <row r="6763" ht="22.5" customHeight="1">
      <c r="A6763" s="66"/>
      <c r="B6763" s="67" t="str">
        <f t="shared" si="16"/>
        <v>M: </v>
      </c>
      <c r="C6763" s="68"/>
      <c r="D6763" s="68">
        <v>46426.0</v>
      </c>
      <c r="E6763" s="66">
        <v>1.0</v>
      </c>
      <c r="F6763" s="66" t="str">
        <f>IFERROR(__xludf.DUMMYFUNCTION("GOOGLETRANSLATE(A6763,""en"",""pt"")"),"#VALUE!")</f>
        <v>#VALUE!</v>
      </c>
      <c r="G6763" s="69"/>
    </row>
    <row r="6764" ht="22.5" customHeight="1">
      <c r="A6764" s="66"/>
      <c r="B6764" s="67" t="str">
        <f t="shared" si="16"/>
        <v>M: </v>
      </c>
      <c r="C6764" s="68"/>
      <c r="D6764" s="68">
        <v>46426.0</v>
      </c>
      <c r="E6764" s="66">
        <v>2.0</v>
      </c>
      <c r="F6764" s="66" t="str">
        <f>IFERROR(__xludf.DUMMYFUNCTION("GOOGLETRANSLATE(A6764,""en"",""pt"")"),"#VALUE!")</f>
        <v>#VALUE!</v>
      </c>
      <c r="G6764" s="69"/>
    </row>
    <row r="6765" ht="22.5" customHeight="1">
      <c r="A6765" s="66"/>
      <c r="B6765" s="67" t="str">
        <f t="shared" si="16"/>
        <v>M: </v>
      </c>
      <c r="C6765" s="68"/>
      <c r="D6765" s="68">
        <v>46426.0</v>
      </c>
      <c r="E6765" s="66">
        <v>3.0</v>
      </c>
      <c r="F6765" s="66" t="str">
        <f>IFERROR(__xludf.DUMMYFUNCTION("GOOGLETRANSLATE(A6765,""en"",""pt"")"),"#VALUE!")</f>
        <v>#VALUE!</v>
      </c>
      <c r="G6765" s="69"/>
    </row>
    <row r="6766" ht="22.5" customHeight="1">
      <c r="A6766" s="66"/>
      <c r="B6766" s="67" t="str">
        <f t="shared" si="16"/>
        <v>M: </v>
      </c>
      <c r="C6766" s="68"/>
      <c r="D6766" s="68">
        <v>46426.0</v>
      </c>
      <c r="E6766" s="66">
        <v>4.0</v>
      </c>
      <c r="F6766" s="66" t="str">
        <f>IFERROR(__xludf.DUMMYFUNCTION("GOOGLETRANSLATE(A6766,""en"",""pt"")"),"#VALUE!")</f>
        <v>#VALUE!</v>
      </c>
      <c r="G6766" s="69"/>
    </row>
    <row r="6767" ht="22.5" customHeight="1">
      <c r="A6767" s="66"/>
      <c r="B6767" s="67" t="str">
        <f t="shared" si="16"/>
        <v>M: </v>
      </c>
      <c r="C6767" s="68"/>
      <c r="D6767" s="68">
        <v>46426.0</v>
      </c>
      <c r="E6767" s="66">
        <v>5.0</v>
      </c>
      <c r="F6767" s="66" t="str">
        <f>IFERROR(__xludf.DUMMYFUNCTION("GOOGLETRANSLATE(A6767,""en"",""pt"")"),"#VALUE!")</f>
        <v>#VALUE!</v>
      </c>
      <c r="G6767" s="69"/>
    </row>
    <row r="6768" ht="22.5" customHeight="1">
      <c r="A6768" s="66"/>
      <c r="B6768" s="67" t="str">
        <f t="shared" si="16"/>
        <v>M: </v>
      </c>
      <c r="C6768" s="68"/>
      <c r="D6768" s="68">
        <v>46426.0</v>
      </c>
      <c r="E6768" s="66">
        <v>6.0</v>
      </c>
      <c r="F6768" s="66" t="str">
        <f>IFERROR(__xludf.DUMMYFUNCTION("GOOGLETRANSLATE(A6768,""en"",""pt"")"),"#VALUE!")</f>
        <v>#VALUE!</v>
      </c>
      <c r="G6768" s="69"/>
    </row>
    <row r="6769" ht="22.5" customHeight="1">
      <c r="A6769" s="66"/>
      <c r="B6769" s="67" t="str">
        <f t="shared" si="16"/>
        <v>M: </v>
      </c>
      <c r="C6769" s="68"/>
      <c r="D6769" s="68">
        <v>46426.0</v>
      </c>
      <c r="E6769" s="66">
        <v>7.0</v>
      </c>
      <c r="F6769" s="66" t="str">
        <f>IFERROR(__xludf.DUMMYFUNCTION("GOOGLETRANSLATE(A6769,""en"",""pt"")"),"#VALUE!")</f>
        <v>#VALUE!</v>
      </c>
      <c r="G6769" s="69"/>
    </row>
    <row r="6770" ht="22.5" customHeight="1">
      <c r="A6770" s="66"/>
      <c r="B6770" s="67" t="str">
        <f t="shared" si="16"/>
        <v>M: </v>
      </c>
      <c r="C6770" s="68"/>
      <c r="D6770" s="68">
        <v>46426.0</v>
      </c>
      <c r="E6770" s="66">
        <v>8.0</v>
      </c>
      <c r="F6770" s="66" t="str">
        <f>IFERROR(__xludf.DUMMYFUNCTION("GOOGLETRANSLATE(A6770,""en"",""pt"")"),"#VALUE!")</f>
        <v>#VALUE!</v>
      </c>
      <c r="G6770" s="69"/>
    </row>
    <row r="6771" ht="22.5" customHeight="1">
      <c r="A6771" s="66"/>
      <c r="B6771" s="67" t="str">
        <f t="shared" si="16"/>
        <v>M: </v>
      </c>
      <c r="C6771" s="68"/>
      <c r="D6771" s="68">
        <v>46426.0</v>
      </c>
      <c r="E6771" s="66">
        <v>9.0</v>
      </c>
      <c r="F6771" s="66" t="str">
        <f>IFERROR(__xludf.DUMMYFUNCTION("GOOGLETRANSLATE(A6771,""en"",""pt"")"),"#VALUE!")</f>
        <v>#VALUE!</v>
      </c>
      <c r="G6771" s="69"/>
    </row>
    <row r="6772" ht="22.5" customHeight="1">
      <c r="A6772" s="66"/>
      <c r="B6772" s="67" t="str">
        <f t="shared" si="16"/>
        <v>M: </v>
      </c>
      <c r="C6772" s="68"/>
      <c r="D6772" s="68">
        <v>46427.0</v>
      </c>
      <c r="E6772" s="66">
        <v>10.0</v>
      </c>
      <c r="F6772" s="66" t="str">
        <f>IFERROR(__xludf.DUMMYFUNCTION("GOOGLETRANSLATE(A6772,""en"",""pt"")"),"#VALUE!")</f>
        <v>#VALUE!</v>
      </c>
      <c r="G6772" s="69"/>
    </row>
    <row r="6773" ht="22.5" customHeight="1">
      <c r="A6773" s="66"/>
      <c r="B6773" s="67" t="str">
        <f t="shared" si="16"/>
        <v>M: </v>
      </c>
      <c r="C6773" s="68"/>
      <c r="D6773" s="68">
        <v>46427.0</v>
      </c>
      <c r="E6773" s="66">
        <v>1.0</v>
      </c>
      <c r="F6773" s="66" t="str">
        <f>IFERROR(__xludf.DUMMYFUNCTION("GOOGLETRANSLATE(A6773,""en"",""pt"")"),"#VALUE!")</f>
        <v>#VALUE!</v>
      </c>
      <c r="G6773" s="69"/>
    </row>
    <row r="6774" ht="22.5" customHeight="1">
      <c r="A6774" s="66"/>
      <c r="B6774" s="67" t="str">
        <f t="shared" si="16"/>
        <v>M: </v>
      </c>
      <c r="C6774" s="68"/>
      <c r="D6774" s="68">
        <v>46427.0</v>
      </c>
      <c r="E6774" s="66">
        <v>2.0</v>
      </c>
      <c r="F6774" s="66" t="str">
        <f>IFERROR(__xludf.DUMMYFUNCTION("GOOGLETRANSLATE(A6774,""en"",""pt"")"),"#VALUE!")</f>
        <v>#VALUE!</v>
      </c>
      <c r="G6774" s="69"/>
    </row>
    <row r="6775" ht="22.5" customHeight="1">
      <c r="A6775" s="66"/>
      <c r="B6775" s="67" t="str">
        <f t="shared" si="16"/>
        <v>M: </v>
      </c>
      <c r="C6775" s="68"/>
      <c r="D6775" s="68">
        <v>46427.0</v>
      </c>
      <c r="E6775" s="66">
        <v>3.0</v>
      </c>
      <c r="F6775" s="66" t="str">
        <f>IFERROR(__xludf.DUMMYFUNCTION("GOOGLETRANSLATE(A6775,""en"",""pt"")"),"#VALUE!")</f>
        <v>#VALUE!</v>
      </c>
      <c r="G6775" s="69"/>
    </row>
    <row r="6776" ht="22.5" customHeight="1">
      <c r="A6776" s="66"/>
      <c r="B6776" s="67" t="str">
        <f t="shared" si="16"/>
        <v>M: </v>
      </c>
      <c r="C6776" s="68"/>
      <c r="D6776" s="68">
        <v>46427.0</v>
      </c>
      <c r="E6776" s="66">
        <v>4.0</v>
      </c>
      <c r="F6776" s="66" t="str">
        <f>IFERROR(__xludf.DUMMYFUNCTION("GOOGLETRANSLATE(A6776,""en"",""pt"")"),"#VALUE!")</f>
        <v>#VALUE!</v>
      </c>
      <c r="G6776" s="69"/>
    </row>
    <row r="6777" ht="22.5" customHeight="1">
      <c r="A6777" s="66"/>
      <c r="B6777" s="67" t="str">
        <f t="shared" si="16"/>
        <v>M: </v>
      </c>
      <c r="C6777" s="68"/>
      <c r="D6777" s="68">
        <v>46427.0</v>
      </c>
      <c r="E6777" s="66">
        <v>5.0</v>
      </c>
      <c r="F6777" s="66" t="str">
        <f>IFERROR(__xludf.DUMMYFUNCTION("GOOGLETRANSLATE(A6777,""en"",""pt"")"),"#VALUE!")</f>
        <v>#VALUE!</v>
      </c>
      <c r="G6777" s="69"/>
    </row>
    <row r="6778" ht="22.5" customHeight="1">
      <c r="A6778" s="66"/>
      <c r="B6778" s="67" t="str">
        <f t="shared" si="16"/>
        <v>M: </v>
      </c>
      <c r="C6778" s="68"/>
      <c r="D6778" s="68">
        <v>46427.0</v>
      </c>
      <c r="E6778" s="66">
        <v>6.0</v>
      </c>
      <c r="F6778" s="66" t="str">
        <f>IFERROR(__xludf.DUMMYFUNCTION("GOOGLETRANSLATE(A6778,""en"",""pt"")"),"#VALUE!")</f>
        <v>#VALUE!</v>
      </c>
      <c r="G6778" s="69"/>
    </row>
    <row r="6779" ht="22.5" customHeight="1">
      <c r="A6779" s="66"/>
      <c r="B6779" s="67" t="str">
        <f t="shared" si="16"/>
        <v>M: </v>
      </c>
      <c r="C6779" s="68"/>
      <c r="D6779" s="68">
        <v>46427.0</v>
      </c>
      <c r="E6779" s="66">
        <v>7.0</v>
      </c>
      <c r="F6779" s="66" t="str">
        <f>IFERROR(__xludf.DUMMYFUNCTION("GOOGLETRANSLATE(A6779,""en"",""pt"")"),"#VALUE!")</f>
        <v>#VALUE!</v>
      </c>
      <c r="G6779" s="69"/>
    </row>
    <row r="6780" ht="22.5" customHeight="1">
      <c r="A6780" s="66"/>
      <c r="B6780" s="67" t="str">
        <f t="shared" si="16"/>
        <v>M: </v>
      </c>
      <c r="C6780" s="68"/>
      <c r="D6780" s="68">
        <v>46427.0</v>
      </c>
      <c r="E6780" s="66">
        <v>8.0</v>
      </c>
      <c r="F6780" s="66" t="str">
        <f>IFERROR(__xludf.DUMMYFUNCTION("GOOGLETRANSLATE(A6780,""en"",""pt"")"),"#VALUE!")</f>
        <v>#VALUE!</v>
      </c>
      <c r="G6780" s="69"/>
    </row>
    <row r="6781" ht="22.5" customHeight="1">
      <c r="A6781" s="66"/>
      <c r="B6781" s="67" t="str">
        <f t="shared" si="16"/>
        <v>M: </v>
      </c>
      <c r="C6781" s="68"/>
      <c r="D6781" s="68">
        <v>46427.0</v>
      </c>
      <c r="E6781" s="66">
        <v>9.0</v>
      </c>
      <c r="F6781" s="66" t="str">
        <f>IFERROR(__xludf.DUMMYFUNCTION("GOOGLETRANSLATE(A6781,""en"",""pt"")"),"#VALUE!")</f>
        <v>#VALUE!</v>
      </c>
      <c r="G6781" s="69"/>
    </row>
    <row r="6782" ht="22.5" customHeight="1">
      <c r="A6782" s="66"/>
      <c r="B6782" s="67" t="str">
        <f t="shared" si="16"/>
        <v>M: </v>
      </c>
      <c r="C6782" s="68"/>
      <c r="D6782" s="68">
        <v>46428.0</v>
      </c>
      <c r="E6782" s="66">
        <v>10.0</v>
      </c>
      <c r="F6782" s="66" t="str">
        <f>IFERROR(__xludf.DUMMYFUNCTION("GOOGLETRANSLATE(A6782,""en"",""pt"")"),"#VALUE!")</f>
        <v>#VALUE!</v>
      </c>
      <c r="G6782" s="69"/>
    </row>
    <row r="6783" ht="22.5" customHeight="1">
      <c r="A6783" s="66"/>
      <c r="B6783" s="67" t="str">
        <f t="shared" si="16"/>
        <v>M: </v>
      </c>
      <c r="C6783" s="68"/>
      <c r="D6783" s="68">
        <v>46428.0</v>
      </c>
      <c r="E6783" s="66">
        <v>1.0</v>
      </c>
      <c r="F6783" s="66" t="str">
        <f>IFERROR(__xludf.DUMMYFUNCTION("GOOGLETRANSLATE(A6783,""en"",""pt"")"),"#VALUE!")</f>
        <v>#VALUE!</v>
      </c>
      <c r="G6783" s="69"/>
    </row>
    <row r="6784" ht="22.5" customHeight="1">
      <c r="A6784" s="66"/>
      <c r="B6784" s="67" t="str">
        <f t="shared" si="16"/>
        <v>M: </v>
      </c>
      <c r="C6784" s="68"/>
      <c r="D6784" s="68">
        <v>46428.0</v>
      </c>
      <c r="E6784" s="66">
        <v>2.0</v>
      </c>
      <c r="F6784" s="66" t="str">
        <f>IFERROR(__xludf.DUMMYFUNCTION("GOOGLETRANSLATE(A6784,""en"",""pt"")"),"#VALUE!")</f>
        <v>#VALUE!</v>
      </c>
      <c r="G6784" s="69"/>
    </row>
    <row r="6785" ht="22.5" customHeight="1">
      <c r="A6785" s="66"/>
      <c r="B6785" s="67" t="str">
        <f t="shared" si="16"/>
        <v>M: </v>
      </c>
      <c r="C6785" s="68"/>
      <c r="D6785" s="68">
        <v>46428.0</v>
      </c>
      <c r="E6785" s="66">
        <v>3.0</v>
      </c>
      <c r="F6785" s="66" t="str">
        <f>IFERROR(__xludf.DUMMYFUNCTION("GOOGLETRANSLATE(A6785,""en"",""pt"")"),"#VALUE!")</f>
        <v>#VALUE!</v>
      </c>
      <c r="G6785" s="69"/>
    </row>
    <row r="6786" ht="22.5" customHeight="1">
      <c r="A6786" s="66"/>
      <c r="B6786" s="67" t="str">
        <f t="shared" si="16"/>
        <v>M: </v>
      </c>
      <c r="C6786" s="68"/>
      <c r="D6786" s="68">
        <v>46428.0</v>
      </c>
      <c r="E6786" s="66">
        <v>4.0</v>
      </c>
      <c r="F6786" s="66" t="str">
        <f>IFERROR(__xludf.DUMMYFUNCTION("GOOGLETRANSLATE(A6786,""en"",""pt"")"),"#VALUE!")</f>
        <v>#VALUE!</v>
      </c>
      <c r="G6786" s="69"/>
    </row>
    <row r="6787" ht="22.5" customHeight="1">
      <c r="A6787" s="66"/>
      <c r="B6787" s="67" t="str">
        <f t="shared" si="16"/>
        <v>M: </v>
      </c>
      <c r="C6787" s="68"/>
      <c r="D6787" s="68">
        <v>46428.0</v>
      </c>
      <c r="E6787" s="66">
        <v>5.0</v>
      </c>
      <c r="F6787" s="66" t="str">
        <f>IFERROR(__xludf.DUMMYFUNCTION("GOOGLETRANSLATE(A6787,""en"",""pt"")"),"#VALUE!")</f>
        <v>#VALUE!</v>
      </c>
      <c r="G6787" s="69"/>
    </row>
    <row r="6788" ht="22.5" customHeight="1">
      <c r="A6788" s="66"/>
      <c r="B6788" s="67" t="str">
        <f t="shared" si="16"/>
        <v>M: </v>
      </c>
      <c r="C6788" s="68"/>
      <c r="D6788" s="68">
        <v>46428.0</v>
      </c>
      <c r="E6788" s="66">
        <v>6.0</v>
      </c>
      <c r="F6788" s="66" t="str">
        <f>IFERROR(__xludf.DUMMYFUNCTION("GOOGLETRANSLATE(A6788,""en"",""pt"")"),"#VALUE!")</f>
        <v>#VALUE!</v>
      </c>
      <c r="G6788" s="69"/>
    </row>
    <row r="6789" ht="22.5" customHeight="1">
      <c r="A6789" s="66"/>
      <c r="B6789" s="67" t="str">
        <f t="shared" si="16"/>
        <v>M: </v>
      </c>
      <c r="C6789" s="68"/>
      <c r="D6789" s="68">
        <v>46428.0</v>
      </c>
      <c r="E6789" s="66">
        <v>7.0</v>
      </c>
      <c r="F6789" s="66" t="str">
        <f>IFERROR(__xludf.DUMMYFUNCTION("GOOGLETRANSLATE(A6789,""en"",""pt"")"),"#VALUE!")</f>
        <v>#VALUE!</v>
      </c>
      <c r="G6789" s="69"/>
    </row>
    <row r="6790" ht="22.5" customHeight="1">
      <c r="A6790" s="66"/>
      <c r="B6790" s="67" t="str">
        <f t="shared" si="16"/>
        <v>M: </v>
      </c>
      <c r="C6790" s="68"/>
      <c r="D6790" s="68">
        <v>46428.0</v>
      </c>
      <c r="E6790" s="66">
        <v>8.0</v>
      </c>
      <c r="F6790" s="66" t="str">
        <f>IFERROR(__xludf.DUMMYFUNCTION("GOOGLETRANSLATE(A6790,""en"",""pt"")"),"#VALUE!")</f>
        <v>#VALUE!</v>
      </c>
      <c r="G6790" s="69"/>
    </row>
    <row r="6791" ht="22.5" customHeight="1">
      <c r="A6791" s="66"/>
      <c r="B6791" s="67" t="str">
        <f t="shared" si="16"/>
        <v>M: </v>
      </c>
      <c r="C6791" s="68"/>
      <c r="D6791" s="68">
        <v>46428.0</v>
      </c>
      <c r="E6791" s="66">
        <v>9.0</v>
      </c>
      <c r="F6791" s="66" t="str">
        <f>IFERROR(__xludf.DUMMYFUNCTION("GOOGLETRANSLATE(A6791,""en"",""pt"")"),"#VALUE!")</f>
        <v>#VALUE!</v>
      </c>
      <c r="G6791" s="69"/>
    </row>
    <row r="6792" ht="22.5" customHeight="1">
      <c r="A6792" s="66"/>
      <c r="B6792" s="67" t="str">
        <f t="shared" si="16"/>
        <v>M: </v>
      </c>
      <c r="C6792" s="68"/>
      <c r="D6792" s="68">
        <v>46429.0</v>
      </c>
      <c r="E6792" s="66">
        <v>10.0</v>
      </c>
      <c r="F6792" s="66" t="str">
        <f>IFERROR(__xludf.DUMMYFUNCTION("GOOGLETRANSLATE(A6792,""en"",""pt"")"),"#VALUE!")</f>
        <v>#VALUE!</v>
      </c>
      <c r="G6792" s="69"/>
    </row>
    <row r="6793" ht="22.5" customHeight="1">
      <c r="A6793" s="66"/>
      <c r="B6793" s="67" t="str">
        <f t="shared" si="16"/>
        <v>M: </v>
      </c>
      <c r="C6793" s="68"/>
      <c r="D6793" s="68">
        <v>46429.0</v>
      </c>
      <c r="E6793" s="66">
        <v>1.0</v>
      </c>
      <c r="F6793" s="66" t="str">
        <f>IFERROR(__xludf.DUMMYFUNCTION("GOOGLETRANSLATE(A6793,""en"",""pt"")"),"#VALUE!")</f>
        <v>#VALUE!</v>
      </c>
      <c r="G6793" s="69"/>
    </row>
    <row r="6794" ht="22.5" customHeight="1">
      <c r="A6794" s="66"/>
      <c r="B6794" s="67" t="str">
        <f t="shared" si="16"/>
        <v>M: </v>
      </c>
      <c r="C6794" s="68"/>
      <c r="D6794" s="68">
        <v>46429.0</v>
      </c>
      <c r="E6794" s="66">
        <v>2.0</v>
      </c>
      <c r="F6794" s="66" t="str">
        <f>IFERROR(__xludf.DUMMYFUNCTION("GOOGLETRANSLATE(A6794,""en"",""pt"")"),"#VALUE!")</f>
        <v>#VALUE!</v>
      </c>
      <c r="G6794" s="69"/>
    </row>
    <row r="6795" ht="22.5" customHeight="1">
      <c r="A6795" s="66"/>
      <c r="B6795" s="67" t="str">
        <f t="shared" si="16"/>
        <v>M: </v>
      </c>
      <c r="C6795" s="68"/>
      <c r="D6795" s="68">
        <v>46429.0</v>
      </c>
      <c r="E6795" s="66">
        <v>3.0</v>
      </c>
      <c r="F6795" s="66" t="str">
        <f>IFERROR(__xludf.DUMMYFUNCTION("GOOGLETRANSLATE(A6795,""en"",""pt"")"),"#VALUE!")</f>
        <v>#VALUE!</v>
      </c>
      <c r="G6795" s="69"/>
    </row>
    <row r="6796" ht="22.5" customHeight="1">
      <c r="A6796" s="66"/>
      <c r="B6796" s="67" t="str">
        <f t="shared" si="16"/>
        <v>M: </v>
      </c>
      <c r="C6796" s="68"/>
      <c r="D6796" s="68">
        <v>46429.0</v>
      </c>
      <c r="E6796" s="66">
        <v>4.0</v>
      </c>
      <c r="F6796" s="66" t="str">
        <f>IFERROR(__xludf.DUMMYFUNCTION("GOOGLETRANSLATE(A6796,""en"",""pt"")"),"#VALUE!")</f>
        <v>#VALUE!</v>
      </c>
      <c r="G6796" s="69"/>
    </row>
    <row r="6797" ht="22.5" customHeight="1">
      <c r="A6797" s="66"/>
      <c r="B6797" s="67" t="str">
        <f t="shared" si="16"/>
        <v>M: </v>
      </c>
      <c r="C6797" s="68"/>
      <c r="D6797" s="68">
        <v>46429.0</v>
      </c>
      <c r="E6797" s="66">
        <v>5.0</v>
      </c>
      <c r="F6797" s="66" t="str">
        <f>IFERROR(__xludf.DUMMYFUNCTION("GOOGLETRANSLATE(A6797,""en"",""pt"")"),"#VALUE!")</f>
        <v>#VALUE!</v>
      </c>
      <c r="G6797" s="69"/>
    </row>
    <row r="6798" ht="22.5" customHeight="1">
      <c r="A6798" s="66"/>
      <c r="B6798" s="67" t="str">
        <f t="shared" si="16"/>
        <v>M: </v>
      </c>
      <c r="C6798" s="68"/>
      <c r="D6798" s="68">
        <v>46429.0</v>
      </c>
      <c r="E6798" s="66">
        <v>6.0</v>
      </c>
      <c r="F6798" s="66" t="str">
        <f>IFERROR(__xludf.DUMMYFUNCTION("GOOGLETRANSLATE(A6798,""en"",""pt"")"),"#VALUE!")</f>
        <v>#VALUE!</v>
      </c>
      <c r="G6798" s="69"/>
    </row>
    <row r="6799" ht="22.5" customHeight="1">
      <c r="A6799" s="66"/>
      <c r="B6799" s="67" t="str">
        <f t="shared" si="16"/>
        <v>M: </v>
      </c>
      <c r="C6799" s="68"/>
      <c r="D6799" s="68">
        <v>46429.0</v>
      </c>
      <c r="E6799" s="66">
        <v>7.0</v>
      </c>
      <c r="F6799" s="66" t="str">
        <f>IFERROR(__xludf.DUMMYFUNCTION("GOOGLETRANSLATE(A6799,""en"",""pt"")"),"#VALUE!")</f>
        <v>#VALUE!</v>
      </c>
      <c r="G6799" s="69"/>
    </row>
    <row r="6800" ht="22.5" customHeight="1">
      <c r="A6800" s="66"/>
      <c r="B6800" s="67" t="str">
        <f t="shared" si="16"/>
        <v>M: </v>
      </c>
      <c r="C6800" s="68"/>
      <c r="D6800" s="68">
        <v>46429.0</v>
      </c>
      <c r="E6800" s="66">
        <v>8.0</v>
      </c>
      <c r="F6800" s="66" t="str">
        <f>IFERROR(__xludf.DUMMYFUNCTION("GOOGLETRANSLATE(A6800,""en"",""pt"")"),"#VALUE!")</f>
        <v>#VALUE!</v>
      </c>
      <c r="G6800" s="69"/>
    </row>
    <row r="6801" ht="22.5" customHeight="1">
      <c r="A6801" s="66"/>
      <c r="B6801" s="67" t="str">
        <f t="shared" si="16"/>
        <v>M: </v>
      </c>
      <c r="C6801" s="68"/>
      <c r="D6801" s="68">
        <v>46429.0</v>
      </c>
      <c r="E6801" s="66">
        <v>9.0</v>
      </c>
      <c r="F6801" s="66" t="str">
        <f>IFERROR(__xludf.DUMMYFUNCTION("GOOGLETRANSLATE(A6801,""en"",""pt"")"),"#VALUE!")</f>
        <v>#VALUE!</v>
      </c>
      <c r="G6801" s="69"/>
    </row>
    <row r="6802" ht="22.5" customHeight="1">
      <c r="A6802" s="66"/>
      <c r="B6802" s="67" t="str">
        <f t="shared" si="16"/>
        <v>M: </v>
      </c>
      <c r="C6802" s="68"/>
      <c r="D6802" s="68">
        <v>46430.0</v>
      </c>
      <c r="E6802" s="66">
        <v>10.0</v>
      </c>
      <c r="F6802" s="66" t="str">
        <f>IFERROR(__xludf.DUMMYFUNCTION("GOOGLETRANSLATE(A6802,""en"",""pt"")"),"#VALUE!")</f>
        <v>#VALUE!</v>
      </c>
      <c r="G6802" s="69"/>
    </row>
    <row r="6803" ht="22.5" customHeight="1">
      <c r="A6803" s="66"/>
      <c r="B6803" s="67" t="str">
        <f t="shared" si="16"/>
        <v>M: </v>
      </c>
      <c r="C6803" s="68"/>
      <c r="D6803" s="68">
        <v>46430.0</v>
      </c>
      <c r="E6803" s="66">
        <v>1.0</v>
      </c>
      <c r="F6803" s="66" t="str">
        <f>IFERROR(__xludf.DUMMYFUNCTION("GOOGLETRANSLATE(A6803,""en"",""pt"")"),"#VALUE!")</f>
        <v>#VALUE!</v>
      </c>
      <c r="G6803" s="69"/>
    </row>
    <row r="6804" ht="22.5" customHeight="1">
      <c r="A6804" s="66"/>
      <c r="B6804" s="67" t="str">
        <f t="shared" si="16"/>
        <v>M: </v>
      </c>
      <c r="C6804" s="68"/>
      <c r="D6804" s="68">
        <v>46430.0</v>
      </c>
      <c r="E6804" s="66">
        <v>2.0</v>
      </c>
      <c r="F6804" s="66" t="str">
        <f>IFERROR(__xludf.DUMMYFUNCTION("GOOGLETRANSLATE(A6804,""en"",""pt"")"),"#VALUE!")</f>
        <v>#VALUE!</v>
      </c>
      <c r="G6804" s="69"/>
    </row>
    <row r="6805" ht="22.5" customHeight="1">
      <c r="A6805" s="66"/>
      <c r="B6805" s="67" t="str">
        <f t="shared" si="16"/>
        <v>M: </v>
      </c>
      <c r="C6805" s="68"/>
      <c r="D6805" s="68">
        <v>46430.0</v>
      </c>
      <c r="E6805" s="66">
        <v>3.0</v>
      </c>
      <c r="F6805" s="66" t="str">
        <f>IFERROR(__xludf.DUMMYFUNCTION("GOOGLETRANSLATE(A6805,""en"",""pt"")"),"#VALUE!")</f>
        <v>#VALUE!</v>
      </c>
      <c r="G6805" s="69"/>
    </row>
    <row r="6806" ht="22.5" customHeight="1">
      <c r="A6806" s="66"/>
      <c r="B6806" s="67" t="str">
        <f t="shared" si="16"/>
        <v>M: </v>
      </c>
      <c r="C6806" s="68"/>
      <c r="D6806" s="68">
        <v>46430.0</v>
      </c>
      <c r="E6806" s="66">
        <v>4.0</v>
      </c>
      <c r="F6806" s="66" t="str">
        <f>IFERROR(__xludf.DUMMYFUNCTION("GOOGLETRANSLATE(A6806,""en"",""pt"")"),"#VALUE!")</f>
        <v>#VALUE!</v>
      </c>
      <c r="G6806" s="69"/>
    </row>
    <row r="6807" ht="22.5" customHeight="1">
      <c r="A6807" s="66"/>
      <c r="B6807" s="67" t="str">
        <f t="shared" si="16"/>
        <v>M: </v>
      </c>
      <c r="C6807" s="68"/>
      <c r="D6807" s="68">
        <v>46430.0</v>
      </c>
      <c r="E6807" s="66">
        <v>5.0</v>
      </c>
      <c r="F6807" s="66" t="str">
        <f>IFERROR(__xludf.DUMMYFUNCTION("GOOGLETRANSLATE(A6807,""en"",""pt"")"),"#VALUE!")</f>
        <v>#VALUE!</v>
      </c>
      <c r="G6807" s="69"/>
    </row>
    <row r="6808" ht="22.5" customHeight="1">
      <c r="A6808" s="66"/>
      <c r="B6808" s="67" t="str">
        <f t="shared" si="16"/>
        <v>M: </v>
      </c>
      <c r="C6808" s="68"/>
      <c r="D6808" s="68">
        <v>46430.0</v>
      </c>
      <c r="E6808" s="66">
        <v>6.0</v>
      </c>
      <c r="F6808" s="66" t="str">
        <f>IFERROR(__xludf.DUMMYFUNCTION("GOOGLETRANSLATE(A6808,""en"",""pt"")"),"#VALUE!")</f>
        <v>#VALUE!</v>
      </c>
      <c r="G6808" s="69"/>
    </row>
    <row r="6809" ht="22.5" customHeight="1">
      <c r="A6809" s="66"/>
      <c r="B6809" s="67" t="str">
        <f t="shared" si="16"/>
        <v>M: </v>
      </c>
      <c r="C6809" s="68"/>
      <c r="D6809" s="68">
        <v>46430.0</v>
      </c>
      <c r="E6809" s="66">
        <v>7.0</v>
      </c>
      <c r="F6809" s="66" t="str">
        <f>IFERROR(__xludf.DUMMYFUNCTION("GOOGLETRANSLATE(A6809,""en"",""pt"")"),"#VALUE!")</f>
        <v>#VALUE!</v>
      </c>
      <c r="G6809" s="69"/>
    </row>
    <row r="6810" ht="22.5" customHeight="1">
      <c r="A6810" s="66"/>
      <c r="B6810" s="67" t="str">
        <f t="shared" si="16"/>
        <v>M: </v>
      </c>
      <c r="C6810" s="68"/>
      <c r="D6810" s="68">
        <v>46430.0</v>
      </c>
      <c r="E6810" s="66">
        <v>8.0</v>
      </c>
      <c r="F6810" s="66" t="str">
        <f>IFERROR(__xludf.DUMMYFUNCTION("GOOGLETRANSLATE(A6810,""en"",""pt"")"),"#VALUE!")</f>
        <v>#VALUE!</v>
      </c>
      <c r="G6810" s="69"/>
    </row>
    <row r="6811" ht="22.5" customHeight="1">
      <c r="A6811" s="66"/>
      <c r="B6811" s="67" t="str">
        <f t="shared" si="16"/>
        <v>M: </v>
      </c>
      <c r="C6811" s="68"/>
      <c r="D6811" s="68">
        <v>46430.0</v>
      </c>
      <c r="E6811" s="66">
        <v>9.0</v>
      </c>
      <c r="F6811" s="66" t="str">
        <f>IFERROR(__xludf.DUMMYFUNCTION("GOOGLETRANSLATE(A6811,""en"",""pt"")"),"#VALUE!")</f>
        <v>#VALUE!</v>
      </c>
      <c r="G6811" s="69"/>
    </row>
    <row r="6812" ht="22.5" customHeight="1">
      <c r="A6812" s="66"/>
      <c r="B6812" s="67" t="str">
        <f t="shared" si="16"/>
        <v>M: </v>
      </c>
      <c r="C6812" s="68"/>
      <c r="D6812" s="68">
        <v>46431.0</v>
      </c>
      <c r="E6812" s="66">
        <v>10.0</v>
      </c>
      <c r="F6812" s="66" t="str">
        <f>IFERROR(__xludf.DUMMYFUNCTION("GOOGLETRANSLATE(A6812,""en"",""pt"")"),"#VALUE!")</f>
        <v>#VALUE!</v>
      </c>
      <c r="G6812" s="69"/>
    </row>
    <row r="6813" ht="22.5" customHeight="1">
      <c r="A6813" s="66"/>
      <c r="B6813" s="67" t="str">
        <f t="shared" si="16"/>
        <v>M: </v>
      </c>
      <c r="C6813" s="68"/>
      <c r="D6813" s="68">
        <v>46431.0</v>
      </c>
      <c r="E6813" s="66">
        <v>1.0</v>
      </c>
      <c r="F6813" s="66" t="str">
        <f>IFERROR(__xludf.DUMMYFUNCTION("GOOGLETRANSLATE(A6813,""en"",""pt"")"),"#VALUE!")</f>
        <v>#VALUE!</v>
      </c>
      <c r="G6813" s="69"/>
    </row>
    <row r="6814" ht="22.5" customHeight="1">
      <c r="A6814" s="66"/>
      <c r="B6814" s="67" t="str">
        <f t="shared" si="16"/>
        <v>M: </v>
      </c>
      <c r="C6814" s="68"/>
      <c r="D6814" s="68">
        <v>46431.0</v>
      </c>
      <c r="E6814" s="66">
        <v>2.0</v>
      </c>
      <c r="F6814" s="66" t="str">
        <f>IFERROR(__xludf.DUMMYFUNCTION("GOOGLETRANSLATE(A6814,""en"",""pt"")"),"#VALUE!")</f>
        <v>#VALUE!</v>
      </c>
      <c r="G6814" s="69"/>
    </row>
    <row r="6815" ht="22.5" customHeight="1">
      <c r="A6815" s="66"/>
      <c r="B6815" s="67" t="str">
        <f t="shared" si="16"/>
        <v>M: </v>
      </c>
      <c r="C6815" s="68"/>
      <c r="D6815" s="68">
        <v>46431.0</v>
      </c>
      <c r="E6815" s="66">
        <v>3.0</v>
      </c>
      <c r="F6815" s="66" t="str">
        <f>IFERROR(__xludf.DUMMYFUNCTION("GOOGLETRANSLATE(A6815,""en"",""pt"")"),"#VALUE!")</f>
        <v>#VALUE!</v>
      </c>
      <c r="G6815" s="69"/>
    </row>
    <row r="6816" ht="22.5" customHeight="1">
      <c r="A6816" s="66"/>
      <c r="B6816" s="67" t="str">
        <f t="shared" si="16"/>
        <v>M: </v>
      </c>
      <c r="C6816" s="68"/>
      <c r="D6816" s="68">
        <v>46431.0</v>
      </c>
      <c r="E6816" s="66">
        <v>4.0</v>
      </c>
      <c r="F6816" s="66" t="str">
        <f>IFERROR(__xludf.DUMMYFUNCTION("GOOGLETRANSLATE(A6816,""en"",""pt"")"),"#VALUE!")</f>
        <v>#VALUE!</v>
      </c>
      <c r="G6816" s="69"/>
    </row>
    <row r="6817" ht="22.5" customHeight="1">
      <c r="A6817" s="66"/>
      <c r="B6817" s="67" t="str">
        <f t="shared" si="16"/>
        <v>M: </v>
      </c>
      <c r="C6817" s="68"/>
      <c r="D6817" s="68">
        <v>46431.0</v>
      </c>
      <c r="E6817" s="66">
        <v>5.0</v>
      </c>
      <c r="F6817" s="66" t="str">
        <f>IFERROR(__xludf.DUMMYFUNCTION("GOOGLETRANSLATE(A6817,""en"",""pt"")"),"#VALUE!")</f>
        <v>#VALUE!</v>
      </c>
      <c r="G6817" s="69"/>
    </row>
    <row r="6818" ht="22.5" customHeight="1">
      <c r="A6818" s="66"/>
      <c r="B6818" s="67" t="str">
        <f t="shared" si="16"/>
        <v>M: </v>
      </c>
      <c r="C6818" s="68"/>
      <c r="D6818" s="68">
        <v>46431.0</v>
      </c>
      <c r="E6818" s="66">
        <v>6.0</v>
      </c>
      <c r="F6818" s="66" t="str">
        <f>IFERROR(__xludf.DUMMYFUNCTION("GOOGLETRANSLATE(A6818,""en"",""pt"")"),"#VALUE!")</f>
        <v>#VALUE!</v>
      </c>
      <c r="G6818" s="69"/>
    </row>
    <row r="6819" ht="22.5" customHeight="1">
      <c r="A6819" s="66"/>
      <c r="B6819" s="67" t="str">
        <f t="shared" si="16"/>
        <v>M: </v>
      </c>
      <c r="C6819" s="68"/>
      <c r="D6819" s="68">
        <v>46431.0</v>
      </c>
      <c r="E6819" s="66">
        <v>7.0</v>
      </c>
      <c r="F6819" s="66" t="str">
        <f>IFERROR(__xludf.DUMMYFUNCTION("GOOGLETRANSLATE(A6819,""en"",""pt"")"),"#VALUE!")</f>
        <v>#VALUE!</v>
      </c>
      <c r="G6819" s="69"/>
    </row>
    <row r="6820" ht="22.5" customHeight="1">
      <c r="A6820" s="66"/>
      <c r="B6820" s="67" t="str">
        <f t="shared" si="16"/>
        <v>M: </v>
      </c>
      <c r="C6820" s="68"/>
      <c r="D6820" s="68">
        <v>46431.0</v>
      </c>
      <c r="E6820" s="66">
        <v>8.0</v>
      </c>
      <c r="F6820" s="66" t="str">
        <f>IFERROR(__xludf.DUMMYFUNCTION("GOOGLETRANSLATE(A6820,""en"",""pt"")"),"#VALUE!")</f>
        <v>#VALUE!</v>
      </c>
      <c r="G6820" s="69"/>
    </row>
    <row r="6821" ht="22.5" customHeight="1">
      <c r="A6821" s="66"/>
      <c r="B6821" s="67" t="str">
        <f t="shared" si="16"/>
        <v>M: </v>
      </c>
      <c r="C6821" s="68"/>
      <c r="D6821" s="68">
        <v>46431.0</v>
      </c>
      <c r="E6821" s="66">
        <v>9.0</v>
      </c>
      <c r="F6821" s="66" t="str">
        <f>IFERROR(__xludf.DUMMYFUNCTION("GOOGLETRANSLATE(A6821,""en"",""pt"")"),"#VALUE!")</f>
        <v>#VALUE!</v>
      </c>
      <c r="G6821" s="69"/>
    </row>
    <row r="6822" ht="22.5" customHeight="1">
      <c r="A6822" s="66"/>
      <c r="B6822" s="67" t="str">
        <f t="shared" si="16"/>
        <v>M: </v>
      </c>
      <c r="C6822" s="68"/>
      <c r="D6822" s="68">
        <v>46432.0</v>
      </c>
      <c r="E6822" s="66">
        <v>10.0</v>
      </c>
      <c r="F6822" s="66" t="str">
        <f>IFERROR(__xludf.DUMMYFUNCTION("GOOGLETRANSLATE(A6822,""en"",""pt"")"),"#VALUE!")</f>
        <v>#VALUE!</v>
      </c>
      <c r="G6822" s="69"/>
    </row>
    <row r="6823" ht="22.5" customHeight="1">
      <c r="A6823" s="66"/>
      <c r="B6823" s="67" t="str">
        <f t="shared" si="16"/>
        <v>M: </v>
      </c>
      <c r="C6823" s="68"/>
      <c r="D6823" s="68">
        <v>46432.0</v>
      </c>
      <c r="E6823" s="66">
        <v>1.0</v>
      </c>
      <c r="F6823" s="66" t="str">
        <f>IFERROR(__xludf.DUMMYFUNCTION("GOOGLETRANSLATE(A6823,""en"",""pt"")"),"#VALUE!")</f>
        <v>#VALUE!</v>
      </c>
      <c r="G6823" s="69"/>
    </row>
    <row r="6824" ht="22.5" customHeight="1">
      <c r="A6824" s="66"/>
      <c r="B6824" s="67" t="str">
        <f t="shared" si="16"/>
        <v>M: </v>
      </c>
      <c r="C6824" s="68"/>
      <c r="D6824" s="68">
        <v>46432.0</v>
      </c>
      <c r="E6824" s="66">
        <v>2.0</v>
      </c>
      <c r="F6824" s="66" t="str">
        <f>IFERROR(__xludf.DUMMYFUNCTION("GOOGLETRANSLATE(A6824,""en"",""pt"")"),"#VALUE!")</f>
        <v>#VALUE!</v>
      </c>
      <c r="G6824" s="69"/>
    </row>
    <row r="6825" ht="22.5" customHeight="1">
      <c r="A6825" s="66"/>
      <c r="B6825" s="67" t="str">
        <f t="shared" si="16"/>
        <v>M: </v>
      </c>
      <c r="C6825" s="68"/>
      <c r="D6825" s="68">
        <v>46432.0</v>
      </c>
      <c r="E6825" s="66">
        <v>3.0</v>
      </c>
      <c r="F6825" s="66" t="str">
        <f>IFERROR(__xludf.DUMMYFUNCTION("GOOGLETRANSLATE(A6825,""en"",""pt"")"),"#VALUE!")</f>
        <v>#VALUE!</v>
      </c>
      <c r="G6825" s="69"/>
    </row>
    <row r="6826" ht="22.5" customHeight="1">
      <c r="A6826" s="66"/>
      <c r="B6826" s="67" t="str">
        <f t="shared" si="16"/>
        <v>M: </v>
      </c>
      <c r="C6826" s="68"/>
      <c r="D6826" s="68">
        <v>46432.0</v>
      </c>
      <c r="E6826" s="66">
        <v>4.0</v>
      </c>
      <c r="F6826" s="66" t="str">
        <f>IFERROR(__xludf.DUMMYFUNCTION("GOOGLETRANSLATE(A6826,""en"",""pt"")"),"#VALUE!")</f>
        <v>#VALUE!</v>
      </c>
      <c r="G6826" s="69"/>
    </row>
    <row r="6827" ht="22.5" customHeight="1">
      <c r="A6827" s="66"/>
      <c r="B6827" s="67" t="str">
        <f t="shared" si="16"/>
        <v>M: </v>
      </c>
      <c r="C6827" s="68"/>
      <c r="D6827" s="68">
        <v>46432.0</v>
      </c>
      <c r="E6827" s="66">
        <v>5.0</v>
      </c>
      <c r="F6827" s="66" t="str">
        <f>IFERROR(__xludf.DUMMYFUNCTION("GOOGLETRANSLATE(A6827,""en"",""pt"")"),"#VALUE!")</f>
        <v>#VALUE!</v>
      </c>
      <c r="G6827" s="69"/>
    </row>
    <row r="6828" ht="22.5" customHeight="1">
      <c r="A6828" s="66"/>
      <c r="B6828" s="67" t="str">
        <f t="shared" si="16"/>
        <v>M: </v>
      </c>
      <c r="C6828" s="68"/>
      <c r="D6828" s="68">
        <v>46432.0</v>
      </c>
      <c r="E6828" s="66">
        <v>6.0</v>
      </c>
      <c r="F6828" s="66" t="str">
        <f>IFERROR(__xludf.DUMMYFUNCTION("GOOGLETRANSLATE(A6828,""en"",""pt"")"),"#VALUE!")</f>
        <v>#VALUE!</v>
      </c>
      <c r="G6828" s="69"/>
    </row>
    <row r="6829" ht="22.5" customHeight="1">
      <c r="A6829" s="66"/>
      <c r="B6829" s="67" t="str">
        <f t="shared" si="16"/>
        <v>M: </v>
      </c>
      <c r="C6829" s="68"/>
      <c r="D6829" s="68">
        <v>46432.0</v>
      </c>
      <c r="E6829" s="66">
        <v>7.0</v>
      </c>
      <c r="F6829" s="66" t="str">
        <f>IFERROR(__xludf.DUMMYFUNCTION("GOOGLETRANSLATE(A6829,""en"",""pt"")"),"#VALUE!")</f>
        <v>#VALUE!</v>
      </c>
      <c r="G6829" s="69"/>
    </row>
    <row r="6830" ht="22.5" customHeight="1">
      <c r="A6830" s="66"/>
      <c r="B6830" s="67" t="str">
        <f t="shared" si="16"/>
        <v>M: </v>
      </c>
      <c r="C6830" s="68"/>
      <c r="D6830" s="68">
        <v>46432.0</v>
      </c>
      <c r="E6830" s="66">
        <v>8.0</v>
      </c>
      <c r="F6830" s="66" t="str">
        <f>IFERROR(__xludf.DUMMYFUNCTION("GOOGLETRANSLATE(A6830,""en"",""pt"")"),"#VALUE!")</f>
        <v>#VALUE!</v>
      </c>
      <c r="G6830" s="69"/>
    </row>
    <row r="6831" ht="22.5" customHeight="1">
      <c r="A6831" s="66"/>
      <c r="B6831" s="67" t="str">
        <f t="shared" si="16"/>
        <v>M: </v>
      </c>
      <c r="C6831" s="68"/>
      <c r="D6831" s="68">
        <v>46432.0</v>
      </c>
      <c r="E6831" s="66">
        <v>9.0</v>
      </c>
      <c r="F6831" s="66" t="str">
        <f>IFERROR(__xludf.DUMMYFUNCTION("GOOGLETRANSLATE(A6831,""en"",""pt"")"),"#VALUE!")</f>
        <v>#VALUE!</v>
      </c>
      <c r="G6831" s="69"/>
    </row>
    <row r="6832" ht="22.5" customHeight="1">
      <c r="A6832" s="66"/>
      <c r="B6832" s="67" t="str">
        <f t="shared" si="16"/>
        <v>M: </v>
      </c>
      <c r="C6832" s="68"/>
      <c r="D6832" s="68">
        <v>46433.0</v>
      </c>
      <c r="E6832" s="66">
        <v>10.0</v>
      </c>
      <c r="F6832" s="66" t="str">
        <f>IFERROR(__xludf.DUMMYFUNCTION("GOOGLETRANSLATE(A6832,""en"",""pt"")"),"#VALUE!")</f>
        <v>#VALUE!</v>
      </c>
      <c r="G6832" s="69"/>
    </row>
    <row r="6833" ht="22.5" customHeight="1">
      <c r="A6833" s="66"/>
      <c r="B6833" s="67" t="str">
        <f t="shared" si="16"/>
        <v>M: </v>
      </c>
      <c r="C6833" s="68"/>
      <c r="D6833" s="68">
        <v>46433.0</v>
      </c>
      <c r="E6833" s="66">
        <v>1.0</v>
      </c>
      <c r="F6833" s="66" t="str">
        <f>IFERROR(__xludf.DUMMYFUNCTION("GOOGLETRANSLATE(A6833,""en"",""pt"")"),"#VALUE!")</f>
        <v>#VALUE!</v>
      </c>
      <c r="G6833" s="69"/>
    </row>
    <row r="6834" ht="22.5" customHeight="1">
      <c r="A6834" s="66"/>
      <c r="B6834" s="67" t="str">
        <f t="shared" si="16"/>
        <v>M: </v>
      </c>
      <c r="C6834" s="68"/>
      <c r="D6834" s="68">
        <v>46433.0</v>
      </c>
      <c r="E6834" s="66">
        <v>2.0</v>
      </c>
      <c r="F6834" s="66" t="str">
        <f>IFERROR(__xludf.DUMMYFUNCTION("GOOGLETRANSLATE(A6834,""en"",""pt"")"),"#VALUE!")</f>
        <v>#VALUE!</v>
      </c>
      <c r="G6834" s="69"/>
    </row>
    <row r="6835" ht="22.5" customHeight="1">
      <c r="A6835" s="66"/>
      <c r="B6835" s="67" t="str">
        <f t="shared" si="16"/>
        <v>M: </v>
      </c>
      <c r="C6835" s="68"/>
      <c r="D6835" s="68">
        <v>46433.0</v>
      </c>
      <c r="E6835" s="66">
        <v>3.0</v>
      </c>
      <c r="F6835" s="66" t="str">
        <f>IFERROR(__xludf.DUMMYFUNCTION("GOOGLETRANSLATE(A6835,""en"",""pt"")"),"#VALUE!")</f>
        <v>#VALUE!</v>
      </c>
      <c r="G6835" s="69"/>
    </row>
    <row r="6836" ht="22.5" customHeight="1">
      <c r="A6836" s="66"/>
      <c r="B6836" s="67" t="str">
        <f t="shared" si="16"/>
        <v>M: </v>
      </c>
      <c r="C6836" s="68"/>
      <c r="D6836" s="68">
        <v>46433.0</v>
      </c>
      <c r="E6836" s="66">
        <v>4.0</v>
      </c>
      <c r="F6836" s="66" t="str">
        <f>IFERROR(__xludf.DUMMYFUNCTION("GOOGLETRANSLATE(A6836,""en"",""pt"")"),"#VALUE!")</f>
        <v>#VALUE!</v>
      </c>
      <c r="G6836" s="69"/>
    </row>
    <row r="6837" ht="22.5" customHeight="1">
      <c r="A6837" s="66"/>
      <c r="B6837" s="67" t="str">
        <f t="shared" si="16"/>
        <v>M: </v>
      </c>
      <c r="C6837" s="68"/>
      <c r="D6837" s="68">
        <v>46433.0</v>
      </c>
      <c r="E6837" s="66">
        <v>5.0</v>
      </c>
      <c r="F6837" s="66" t="str">
        <f>IFERROR(__xludf.DUMMYFUNCTION("GOOGLETRANSLATE(A6837,""en"",""pt"")"),"#VALUE!")</f>
        <v>#VALUE!</v>
      </c>
      <c r="G6837" s="69"/>
    </row>
    <row r="6838" ht="22.5" customHeight="1">
      <c r="A6838" s="66"/>
      <c r="B6838" s="67" t="str">
        <f t="shared" si="16"/>
        <v>M: </v>
      </c>
      <c r="C6838" s="68"/>
      <c r="D6838" s="68">
        <v>46433.0</v>
      </c>
      <c r="E6838" s="66">
        <v>6.0</v>
      </c>
      <c r="F6838" s="66" t="str">
        <f>IFERROR(__xludf.DUMMYFUNCTION("GOOGLETRANSLATE(A6838,""en"",""pt"")"),"#VALUE!")</f>
        <v>#VALUE!</v>
      </c>
      <c r="G6838" s="69"/>
    </row>
    <row r="6839" ht="22.5" customHeight="1">
      <c r="A6839" s="66"/>
      <c r="B6839" s="67" t="str">
        <f t="shared" si="16"/>
        <v>M: </v>
      </c>
      <c r="C6839" s="68"/>
      <c r="D6839" s="68">
        <v>46433.0</v>
      </c>
      <c r="E6839" s="66">
        <v>7.0</v>
      </c>
      <c r="F6839" s="66" t="str">
        <f>IFERROR(__xludf.DUMMYFUNCTION("GOOGLETRANSLATE(A6839,""en"",""pt"")"),"#VALUE!")</f>
        <v>#VALUE!</v>
      </c>
      <c r="G6839" s="69"/>
    </row>
    <row r="6840" ht="22.5" customHeight="1">
      <c r="A6840" s="66"/>
      <c r="B6840" s="67" t="str">
        <f t="shared" si="16"/>
        <v>M: </v>
      </c>
      <c r="C6840" s="68"/>
      <c r="D6840" s="68">
        <v>46433.0</v>
      </c>
      <c r="E6840" s="66">
        <v>8.0</v>
      </c>
      <c r="F6840" s="66" t="str">
        <f>IFERROR(__xludf.DUMMYFUNCTION("GOOGLETRANSLATE(A6840,""en"",""pt"")"),"#VALUE!")</f>
        <v>#VALUE!</v>
      </c>
      <c r="G6840" s="69"/>
    </row>
    <row r="6841" ht="22.5" customHeight="1">
      <c r="A6841" s="66"/>
      <c r="B6841" s="67" t="str">
        <f t="shared" si="16"/>
        <v>M: </v>
      </c>
      <c r="C6841" s="68"/>
      <c r="D6841" s="68">
        <v>46433.0</v>
      </c>
      <c r="E6841" s="66">
        <v>9.0</v>
      </c>
      <c r="F6841" s="66" t="str">
        <f>IFERROR(__xludf.DUMMYFUNCTION("GOOGLETRANSLATE(A6841,""en"",""pt"")"),"#VALUE!")</f>
        <v>#VALUE!</v>
      </c>
      <c r="G6841" s="69"/>
    </row>
    <row r="6842" ht="22.5" customHeight="1">
      <c r="A6842" s="66"/>
      <c r="B6842" s="67" t="str">
        <f t="shared" si="16"/>
        <v>M: </v>
      </c>
      <c r="C6842" s="68"/>
      <c r="D6842" s="68">
        <v>46434.0</v>
      </c>
      <c r="E6842" s="66">
        <v>10.0</v>
      </c>
      <c r="F6842" s="66" t="str">
        <f>IFERROR(__xludf.DUMMYFUNCTION("GOOGLETRANSLATE(A6842,""en"",""pt"")"),"#VALUE!")</f>
        <v>#VALUE!</v>
      </c>
      <c r="G6842" s="69"/>
    </row>
    <row r="6843" ht="22.5" customHeight="1">
      <c r="A6843" s="66"/>
      <c r="B6843" s="67" t="str">
        <f t="shared" si="16"/>
        <v>M: </v>
      </c>
      <c r="C6843" s="68"/>
      <c r="D6843" s="68">
        <v>46434.0</v>
      </c>
      <c r="E6843" s="66">
        <v>1.0</v>
      </c>
      <c r="F6843" s="66" t="str">
        <f>IFERROR(__xludf.DUMMYFUNCTION("GOOGLETRANSLATE(A6843,""en"",""pt"")"),"#VALUE!")</f>
        <v>#VALUE!</v>
      </c>
      <c r="G6843" s="69"/>
    </row>
    <row r="6844" ht="22.5" customHeight="1">
      <c r="A6844" s="66"/>
      <c r="B6844" s="67" t="str">
        <f t="shared" si="16"/>
        <v>M: </v>
      </c>
      <c r="C6844" s="68"/>
      <c r="D6844" s="68">
        <v>46434.0</v>
      </c>
      <c r="E6844" s="66">
        <v>2.0</v>
      </c>
      <c r="F6844" s="66" t="str">
        <f>IFERROR(__xludf.DUMMYFUNCTION("GOOGLETRANSLATE(A6844,""en"",""pt"")"),"#VALUE!")</f>
        <v>#VALUE!</v>
      </c>
      <c r="G6844" s="69"/>
    </row>
    <row r="6845" ht="22.5" customHeight="1">
      <c r="A6845" s="66"/>
      <c r="B6845" s="67" t="str">
        <f t="shared" si="16"/>
        <v>M: </v>
      </c>
      <c r="C6845" s="68"/>
      <c r="D6845" s="68">
        <v>46434.0</v>
      </c>
      <c r="E6845" s="66">
        <v>3.0</v>
      </c>
      <c r="F6845" s="66" t="str">
        <f>IFERROR(__xludf.DUMMYFUNCTION("GOOGLETRANSLATE(A6845,""en"",""pt"")"),"#VALUE!")</f>
        <v>#VALUE!</v>
      </c>
      <c r="G6845" s="69"/>
    </row>
    <row r="6846" ht="22.5" customHeight="1">
      <c r="A6846" s="66"/>
      <c r="B6846" s="67" t="str">
        <f t="shared" si="16"/>
        <v>M: </v>
      </c>
      <c r="C6846" s="68"/>
      <c r="D6846" s="68">
        <v>46434.0</v>
      </c>
      <c r="E6846" s="66">
        <v>4.0</v>
      </c>
      <c r="F6846" s="66" t="str">
        <f>IFERROR(__xludf.DUMMYFUNCTION("GOOGLETRANSLATE(A6846,""en"",""pt"")"),"#VALUE!")</f>
        <v>#VALUE!</v>
      </c>
      <c r="G6846" s="69"/>
    </row>
    <row r="6847" ht="22.5" customHeight="1">
      <c r="A6847" s="66"/>
      <c r="B6847" s="67" t="str">
        <f t="shared" si="16"/>
        <v>M: </v>
      </c>
      <c r="C6847" s="68"/>
      <c r="D6847" s="68">
        <v>46434.0</v>
      </c>
      <c r="E6847" s="66">
        <v>5.0</v>
      </c>
      <c r="F6847" s="66" t="str">
        <f>IFERROR(__xludf.DUMMYFUNCTION("GOOGLETRANSLATE(A6847,""en"",""pt"")"),"#VALUE!")</f>
        <v>#VALUE!</v>
      </c>
      <c r="G6847" s="69"/>
    </row>
    <row r="6848" ht="22.5" customHeight="1">
      <c r="A6848" s="66"/>
      <c r="B6848" s="67" t="str">
        <f t="shared" si="16"/>
        <v>M: </v>
      </c>
      <c r="C6848" s="68"/>
      <c r="D6848" s="68">
        <v>46434.0</v>
      </c>
      <c r="E6848" s="66">
        <v>6.0</v>
      </c>
      <c r="F6848" s="66" t="str">
        <f>IFERROR(__xludf.DUMMYFUNCTION("GOOGLETRANSLATE(A6848,""en"",""pt"")"),"#VALUE!")</f>
        <v>#VALUE!</v>
      </c>
      <c r="G6848" s="69"/>
    </row>
    <row r="6849" ht="22.5" customHeight="1">
      <c r="A6849" s="66"/>
      <c r="B6849" s="67" t="str">
        <f t="shared" si="16"/>
        <v>M: </v>
      </c>
      <c r="C6849" s="68"/>
      <c r="D6849" s="68">
        <v>46434.0</v>
      </c>
      <c r="E6849" s="66">
        <v>7.0</v>
      </c>
      <c r="F6849" s="66" t="str">
        <f>IFERROR(__xludf.DUMMYFUNCTION("GOOGLETRANSLATE(A6849,""en"",""pt"")"),"#VALUE!")</f>
        <v>#VALUE!</v>
      </c>
      <c r="G6849" s="69"/>
    </row>
    <row r="6850" ht="22.5" customHeight="1">
      <c r="A6850" s="66"/>
      <c r="B6850" s="67" t="str">
        <f t="shared" si="16"/>
        <v>M: </v>
      </c>
      <c r="C6850" s="68"/>
      <c r="D6850" s="68">
        <v>46434.0</v>
      </c>
      <c r="E6850" s="66">
        <v>8.0</v>
      </c>
      <c r="F6850" s="66" t="str">
        <f>IFERROR(__xludf.DUMMYFUNCTION("GOOGLETRANSLATE(A6850,""en"",""pt"")"),"#VALUE!")</f>
        <v>#VALUE!</v>
      </c>
      <c r="G6850" s="69"/>
    </row>
    <row r="6851" ht="22.5" customHeight="1">
      <c r="A6851" s="66"/>
      <c r="B6851" s="67" t="str">
        <f t="shared" si="16"/>
        <v>M: </v>
      </c>
      <c r="C6851" s="68"/>
      <c r="D6851" s="68">
        <v>46434.0</v>
      </c>
      <c r="E6851" s="66">
        <v>9.0</v>
      </c>
      <c r="F6851" s="66" t="str">
        <f>IFERROR(__xludf.DUMMYFUNCTION("GOOGLETRANSLATE(A6851,""en"",""pt"")"),"#VALUE!")</f>
        <v>#VALUE!</v>
      </c>
      <c r="G6851" s="69"/>
    </row>
    <row r="6852" ht="22.5" customHeight="1">
      <c r="A6852" s="66"/>
      <c r="B6852" s="67" t="str">
        <f t="shared" si="16"/>
        <v>M: </v>
      </c>
      <c r="C6852" s="68"/>
      <c r="D6852" s="68">
        <v>46435.0</v>
      </c>
      <c r="E6852" s="66">
        <v>10.0</v>
      </c>
      <c r="F6852" s="66" t="str">
        <f>IFERROR(__xludf.DUMMYFUNCTION("GOOGLETRANSLATE(A6852,""en"",""pt"")"),"#VALUE!")</f>
        <v>#VALUE!</v>
      </c>
      <c r="G6852" s="69"/>
    </row>
    <row r="6853" ht="22.5" customHeight="1">
      <c r="A6853" s="66"/>
      <c r="B6853" s="67" t="str">
        <f t="shared" si="16"/>
        <v>M: </v>
      </c>
      <c r="C6853" s="68"/>
      <c r="D6853" s="68">
        <v>46435.0</v>
      </c>
      <c r="E6853" s="66">
        <v>1.0</v>
      </c>
      <c r="F6853" s="66" t="str">
        <f>IFERROR(__xludf.DUMMYFUNCTION("GOOGLETRANSLATE(A6853,""en"",""pt"")"),"#VALUE!")</f>
        <v>#VALUE!</v>
      </c>
      <c r="G6853" s="69"/>
    </row>
    <row r="6854" ht="22.5" customHeight="1">
      <c r="A6854" s="66"/>
      <c r="B6854" s="67" t="str">
        <f t="shared" si="16"/>
        <v>M: </v>
      </c>
      <c r="C6854" s="68"/>
      <c r="D6854" s="68">
        <v>46435.0</v>
      </c>
      <c r="E6854" s="66">
        <v>2.0</v>
      </c>
      <c r="F6854" s="66" t="str">
        <f>IFERROR(__xludf.DUMMYFUNCTION("GOOGLETRANSLATE(A6854,""en"",""pt"")"),"#VALUE!")</f>
        <v>#VALUE!</v>
      </c>
      <c r="G6854" s="69"/>
    </row>
    <row r="6855" ht="22.5" customHeight="1">
      <c r="A6855" s="66"/>
      <c r="B6855" s="67" t="str">
        <f t="shared" si="16"/>
        <v>M: </v>
      </c>
      <c r="C6855" s="68"/>
      <c r="D6855" s="68">
        <v>46435.0</v>
      </c>
      <c r="E6855" s="66">
        <v>3.0</v>
      </c>
      <c r="F6855" s="66" t="str">
        <f>IFERROR(__xludf.DUMMYFUNCTION("GOOGLETRANSLATE(A6855,""en"",""pt"")"),"#VALUE!")</f>
        <v>#VALUE!</v>
      </c>
      <c r="G6855" s="69"/>
    </row>
    <row r="6856" ht="22.5" customHeight="1">
      <c r="A6856" s="66"/>
      <c r="B6856" s="67" t="str">
        <f t="shared" si="16"/>
        <v>M: </v>
      </c>
      <c r="C6856" s="68"/>
      <c r="D6856" s="68">
        <v>46435.0</v>
      </c>
      <c r="E6856" s="66">
        <v>4.0</v>
      </c>
      <c r="F6856" s="66" t="str">
        <f>IFERROR(__xludf.DUMMYFUNCTION("GOOGLETRANSLATE(A6856,""en"",""pt"")"),"#VALUE!")</f>
        <v>#VALUE!</v>
      </c>
      <c r="G6856" s="69"/>
    </row>
    <row r="6857" ht="22.5" customHeight="1">
      <c r="A6857" s="66"/>
      <c r="B6857" s="67" t="str">
        <f t="shared" si="16"/>
        <v>M: </v>
      </c>
      <c r="C6857" s="68"/>
      <c r="D6857" s="68">
        <v>46435.0</v>
      </c>
      <c r="E6857" s="66">
        <v>5.0</v>
      </c>
      <c r="F6857" s="66" t="str">
        <f>IFERROR(__xludf.DUMMYFUNCTION("GOOGLETRANSLATE(A6857,""en"",""pt"")"),"#VALUE!")</f>
        <v>#VALUE!</v>
      </c>
      <c r="G6857" s="69"/>
    </row>
    <row r="6858" ht="22.5" customHeight="1">
      <c r="A6858" s="66"/>
      <c r="B6858" s="67" t="str">
        <f t="shared" si="16"/>
        <v>M: </v>
      </c>
      <c r="C6858" s="68"/>
      <c r="D6858" s="68">
        <v>46435.0</v>
      </c>
      <c r="E6858" s="66">
        <v>6.0</v>
      </c>
      <c r="F6858" s="66" t="str">
        <f>IFERROR(__xludf.DUMMYFUNCTION("GOOGLETRANSLATE(A6858,""en"",""pt"")"),"#VALUE!")</f>
        <v>#VALUE!</v>
      </c>
      <c r="G6858" s="69"/>
    </row>
    <row r="6859" ht="22.5" customHeight="1">
      <c r="A6859" s="66"/>
      <c r="B6859" s="67" t="str">
        <f t="shared" si="16"/>
        <v>M: </v>
      </c>
      <c r="C6859" s="68"/>
      <c r="D6859" s="68">
        <v>46435.0</v>
      </c>
      <c r="E6859" s="66">
        <v>7.0</v>
      </c>
      <c r="F6859" s="66" t="str">
        <f>IFERROR(__xludf.DUMMYFUNCTION("GOOGLETRANSLATE(A6859,""en"",""pt"")"),"#VALUE!")</f>
        <v>#VALUE!</v>
      </c>
      <c r="G6859" s="69"/>
    </row>
    <row r="6860" ht="22.5" customHeight="1">
      <c r="A6860" s="66"/>
      <c r="B6860" s="67" t="str">
        <f t="shared" si="16"/>
        <v>M: </v>
      </c>
      <c r="C6860" s="68"/>
      <c r="D6860" s="68">
        <v>46435.0</v>
      </c>
      <c r="E6860" s="66">
        <v>8.0</v>
      </c>
      <c r="F6860" s="66" t="str">
        <f>IFERROR(__xludf.DUMMYFUNCTION("GOOGLETRANSLATE(A6860,""en"",""pt"")"),"#VALUE!")</f>
        <v>#VALUE!</v>
      </c>
      <c r="G6860" s="69"/>
    </row>
    <row r="6861" ht="22.5" customHeight="1">
      <c r="A6861" s="66"/>
      <c r="B6861" s="67" t="str">
        <f t="shared" si="16"/>
        <v>M: </v>
      </c>
      <c r="C6861" s="68"/>
      <c r="D6861" s="68">
        <v>46435.0</v>
      </c>
      <c r="E6861" s="66">
        <v>9.0</v>
      </c>
      <c r="F6861" s="66" t="str">
        <f>IFERROR(__xludf.DUMMYFUNCTION("GOOGLETRANSLATE(A6861,""en"",""pt"")"),"#VALUE!")</f>
        <v>#VALUE!</v>
      </c>
      <c r="G6861" s="69"/>
    </row>
    <row r="6862" ht="22.5" customHeight="1">
      <c r="A6862" s="66"/>
      <c r="B6862" s="67" t="str">
        <f t="shared" si="16"/>
        <v>M: </v>
      </c>
      <c r="C6862" s="68"/>
      <c r="D6862" s="68">
        <v>46436.0</v>
      </c>
      <c r="E6862" s="66">
        <v>10.0</v>
      </c>
      <c r="F6862" s="66" t="str">
        <f>IFERROR(__xludf.DUMMYFUNCTION("GOOGLETRANSLATE(A6862,""en"",""pt"")"),"#VALUE!")</f>
        <v>#VALUE!</v>
      </c>
      <c r="G6862" s="69"/>
    </row>
    <row r="6863" ht="22.5" customHeight="1">
      <c r="A6863" s="66"/>
      <c r="B6863" s="67" t="str">
        <f t="shared" si="16"/>
        <v>M: </v>
      </c>
      <c r="C6863" s="68"/>
      <c r="D6863" s="68">
        <v>46436.0</v>
      </c>
      <c r="E6863" s="66">
        <v>1.0</v>
      </c>
      <c r="F6863" s="66" t="str">
        <f>IFERROR(__xludf.DUMMYFUNCTION("GOOGLETRANSLATE(A6863,""en"",""pt"")"),"#VALUE!")</f>
        <v>#VALUE!</v>
      </c>
      <c r="G6863" s="69"/>
    </row>
    <row r="6864" ht="22.5" customHeight="1">
      <c r="A6864" s="66"/>
      <c r="B6864" s="67" t="str">
        <f t="shared" si="16"/>
        <v>M: </v>
      </c>
      <c r="C6864" s="68"/>
      <c r="D6864" s="68">
        <v>46436.0</v>
      </c>
      <c r="E6864" s="66">
        <v>2.0</v>
      </c>
      <c r="F6864" s="66" t="str">
        <f>IFERROR(__xludf.DUMMYFUNCTION("GOOGLETRANSLATE(A6864,""en"",""pt"")"),"#VALUE!")</f>
        <v>#VALUE!</v>
      </c>
      <c r="G6864" s="69"/>
    </row>
    <row r="6865" ht="22.5" customHeight="1">
      <c r="A6865" s="66"/>
      <c r="B6865" s="67" t="str">
        <f t="shared" si="16"/>
        <v>M: </v>
      </c>
      <c r="C6865" s="68"/>
      <c r="D6865" s="68">
        <v>46436.0</v>
      </c>
      <c r="E6865" s="66">
        <v>3.0</v>
      </c>
      <c r="F6865" s="66" t="str">
        <f>IFERROR(__xludf.DUMMYFUNCTION("GOOGLETRANSLATE(A6865,""en"",""pt"")"),"#VALUE!")</f>
        <v>#VALUE!</v>
      </c>
      <c r="G6865" s="69"/>
    </row>
    <row r="6866" ht="22.5" customHeight="1">
      <c r="A6866" s="66"/>
      <c r="B6866" s="67" t="str">
        <f t="shared" si="16"/>
        <v>M: </v>
      </c>
      <c r="C6866" s="68"/>
      <c r="D6866" s="68">
        <v>46436.0</v>
      </c>
      <c r="E6866" s="66">
        <v>4.0</v>
      </c>
      <c r="F6866" s="66" t="str">
        <f>IFERROR(__xludf.DUMMYFUNCTION("GOOGLETRANSLATE(A6866,""en"",""pt"")"),"#VALUE!")</f>
        <v>#VALUE!</v>
      </c>
      <c r="G6866" s="69"/>
    </row>
    <row r="6867" ht="22.5" customHeight="1">
      <c r="A6867" s="66"/>
      <c r="B6867" s="67" t="str">
        <f t="shared" si="16"/>
        <v>M: </v>
      </c>
      <c r="C6867" s="68"/>
      <c r="D6867" s="68">
        <v>46436.0</v>
      </c>
      <c r="E6867" s="66">
        <v>5.0</v>
      </c>
      <c r="F6867" s="66" t="str">
        <f>IFERROR(__xludf.DUMMYFUNCTION("GOOGLETRANSLATE(A6867,""en"",""pt"")"),"#VALUE!")</f>
        <v>#VALUE!</v>
      </c>
      <c r="G6867" s="69"/>
    </row>
    <row r="6868" ht="22.5" customHeight="1">
      <c r="A6868" s="66"/>
      <c r="B6868" s="67" t="str">
        <f t="shared" si="16"/>
        <v>M: </v>
      </c>
      <c r="C6868" s="68"/>
      <c r="D6868" s="68">
        <v>46436.0</v>
      </c>
      <c r="E6868" s="66">
        <v>6.0</v>
      </c>
      <c r="F6868" s="66" t="str">
        <f>IFERROR(__xludf.DUMMYFUNCTION("GOOGLETRANSLATE(A6868,""en"",""pt"")"),"#VALUE!")</f>
        <v>#VALUE!</v>
      </c>
      <c r="G6868" s="69"/>
    </row>
    <row r="6869" ht="22.5" customHeight="1">
      <c r="A6869" s="66"/>
      <c r="B6869" s="67" t="str">
        <f t="shared" si="16"/>
        <v>M: </v>
      </c>
      <c r="C6869" s="68"/>
      <c r="D6869" s="68">
        <v>46436.0</v>
      </c>
      <c r="E6869" s="66">
        <v>7.0</v>
      </c>
      <c r="F6869" s="66" t="str">
        <f>IFERROR(__xludf.DUMMYFUNCTION("GOOGLETRANSLATE(A6869,""en"",""pt"")"),"#VALUE!")</f>
        <v>#VALUE!</v>
      </c>
      <c r="G6869" s="69"/>
    </row>
    <row r="6870" ht="22.5" customHeight="1">
      <c r="A6870" s="66"/>
      <c r="B6870" s="67" t="str">
        <f t="shared" si="16"/>
        <v>M: </v>
      </c>
      <c r="C6870" s="68"/>
      <c r="D6870" s="68">
        <v>46436.0</v>
      </c>
      <c r="E6870" s="66">
        <v>8.0</v>
      </c>
      <c r="F6870" s="66" t="str">
        <f>IFERROR(__xludf.DUMMYFUNCTION("GOOGLETRANSLATE(A6870,""en"",""pt"")"),"#VALUE!")</f>
        <v>#VALUE!</v>
      </c>
      <c r="G6870" s="69"/>
    </row>
    <row r="6871" ht="22.5" customHeight="1">
      <c r="A6871" s="66"/>
      <c r="B6871" s="67" t="str">
        <f t="shared" si="16"/>
        <v>M: </v>
      </c>
      <c r="C6871" s="68"/>
      <c r="D6871" s="68">
        <v>46436.0</v>
      </c>
      <c r="E6871" s="66">
        <v>9.0</v>
      </c>
      <c r="F6871" s="66" t="str">
        <f>IFERROR(__xludf.DUMMYFUNCTION("GOOGLETRANSLATE(A6871,""en"",""pt"")"),"#VALUE!")</f>
        <v>#VALUE!</v>
      </c>
      <c r="G6871" s="69"/>
    </row>
    <row r="6872" ht="22.5" customHeight="1">
      <c r="A6872" s="66"/>
      <c r="B6872" s="67" t="str">
        <f t="shared" si="16"/>
        <v>M: </v>
      </c>
      <c r="C6872" s="68"/>
      <c r="D6872" s="68">
        <v>46437.0</v>
      </c>
      <c r="E6872" s="66">
        <v>10.0</v>
      </c>
      <c r="F6872" s="66" t="str">
        <f>IFERROR(__xludf.DUMMYFUNCTION("GOOGLETRANSLATE(A6872,""en"",""pt"")"),"#VALUE!")</f>
        <v>#VALUE!</v>
      </c>
      <c r="G6872" s="69"/>
    </row>
    <row r="6873" ht="22.5" customHeight="1">
      <c r="A6873" s="66"/>
      <c r="B6873" s="67" t="str">
        <f t="shared" si="16"/>
        <v>M: </v>
      </c>
      <c r="C6873" s="68"/>
      <c r="D6873" s="68">
        <v>46437.0</v>
      </c>
      <c r="E6873" s="66">
        <v>1.0</v>
      </c>
      <c r="F6873" s="66" t="str">
        <f>IFERROR(__xludf.DUMMYFUNCTION("GOOGLETRANSLATE(A6873,""en"",""pt"")"),"#VALUE!")</f>
        <v>#VALUE!</v>
      </c>
      <c r="G6873" s="69"/>
    </row>
    <row r="6874" ht="22.5" customHeight="1">
      <c r="A6874" s="66"/>
      <c r="B6874" s="67" t="str">
        <f t="shared" si="16"/>
        <v>M: </v>
      </c>
      <c r="C6874" s="68"/>
      <c r="D6874" s="68">
        <v>46437.0</v>
      </c>
      <c r="E6874" s="66">
        <v>2.0</v>
      </c>
      <c r="F6874" s="66" t="str">
        <f>IFERROR(__xludf.DUMMYFUNCTION("GOOGLETRANSLATE(A6874,""en"",""pt"")"),"#VALUE!")</f>
        <v>#VALUE!</v>
      </c>
      <c r="G6874" s="69"/>
    </row>
    <row r="6875" ht="22.5" customHeight="1">
      <c r="A6875" s="66"/>
      <c r="B6875" s="67" t="str">
        <f t="shared" si="16"/>
        <v>M: </v>
      </c>
      <c r="C6875" s="68"/>
      <c r="D6875" s="68">
        <v>46437.0</v>
      </c>
      <c r="E6875" s="66">
        <v>3.0</v>
      </c>
      <c r="F6875" s="66" t="str">
        <f>IFERROR(__xludf.DUMMYFUNCTION("GOOGLETRANSLATE(A6875,""en"",""pt"")"),"#VALUE!")</f>
        <v>#VALUE!</v>
      </c>
      <c r="G6875" s="69"/>
    </row>
    <row r="6876" ht="22.5" customHeight="1">
      <c r="A6876" s="66"/>
      <c r="B6876" s="67" t="str">
        <f t="shared" si="16"/>
        <v>M: </v>
      </c>
      <c r="C6876" s="68"/>
      <c r="D6876" s="68">
        <v>46437.0</v>
      </c>
      <c r="E6876" s="66">
        <v>4.0</v>
      </c>
      <c r="F6876" s="66" t="str">
        <f>IFERROR(__xludf.DUMMYFUNCTION("GOOGLETRANSLATE(A6876,""en"",""pt"")"),"#VALUE!")</f>
        <v>#VALUE!</v>
      </c>
      <c r="G6876" s="69"/>
    </row>
    <row r="6877" ht="22.5" customHeight="1">
      <c r="A6877" s="66"/>
      <c r="B6877" s="67" t="str">
        <f t="shared" si="16"/>
        <v>M: </v>
      </c>
      <c r="C6877" s="68"/>
      <c r="D6877" s="68">
        <v>46437.0</v>
      </c>
      <c r="E6877" s="66">
        <v>5.0</v>
      </c>
      <c r="F6877" s="66" t="str">
        <f>IFERROR(__xludf.DUMMYFUNCTION("GOOGLETRANSLATE(A6877,""en"",""pt"")"),"#VALUE!")</f>
        <v>#VALUE!</v>
      </c>
      <c r="G6877" s="69"/>
    </row>
    <row r="6878" ht="22.5" customHeight="1">
      <c r="A6878" s="66"/>
      <c r="B6878" s="67" t="str">
        <f t="shared" si="16"/>
        <v>M: </v>
      </c>
      <c r="C6878" s="68"/>
      <c r="D6878" s="68">
        <v>46437.0</v>
      </c>
      <c r="E6878" s="66">
        <v>6.0</v>
      </c>
      <c r="F6878" s="66" t="str">
        <f>IFERROR(__xludf.DUMMYFUNCTION("GOOGLETRANSLATE(A6878,""en"",""pt"")"),"#VALUE!")</f>
        <v>#VALUE!</v>
      </c>
      <c r="G6878" s="69"/>
    </row>
    <row r="6879" ht="22.5" customHeight="1">
      <c r="A6879" s="66"/>
      <c r="B6879" s="67" t="str">
        <f t="shared" si="16"/>
        <v>M: </v>
      </c>
      <c r="C6879" s="68"/>
      <c r="D6879" s="68">
        <v>46437.0</v>
      </c>
      <c r="E6879" s="66">
        <v>7.0</v>
      </c>
      <c r="F6879" s="66" t="str">
        <f>IFERROR(__xludf.DUMMYFUNCTION("GOOGLETRANSLATE(A6879,""en"",""pt"")"),"#VALUE!")</f>
        <v>#VALUE!</v>
      </c>
      <c r="G6879" s="69"/>
    </row>
    <row r="6880" ht="22.5" customHeight="1">
      <c r="A6880" s="66"/>
      <c r="B6880" s="67" t="str">
        <f t="shared" si="16"/>
        <v>M: </v>
      </c>
      <c r="C6880" s="68"/>
      <c r="D6880" s="68">
        <v>46437.0</v>
      </c>
      <c r="E6880" s="66">
        <v>8.0</v>
      </c>
      <c r="F6880" s="66" t="str">
        <f>IFERROR(__xludf.DUMMYFUNCTION("GOOGLETRANSLATE(A6880,""en"",""pt"")"),"#VALUE!")</f>
        <v>#VALUE!</v>
      </c>
      <c r="G6880" s="69"/>
    </row>
    <row r="6881" ht="22.5" customHeight="1">
      <c r="A6881" s="66"/>
      <c r="B6881" s="67" t="str">
        <f t="shared" si="16"/>
        <v>M: </v>
      </c>
      <c r="C6881" s="68"/>
      <c r="D6881" s="68">
        <v>46437.0</v>
      </c>
      <c r="E6881" s="66">
        <v>9.0</v>
      </c>
      <c r="F6881" s="66" t="str">
        <f>IFERROR(__xludf.DUMMYFUNCTION("GOOGLETRANSLATE(A6881,""en"",""pt"")"),"#VALUE!")</f>
        <v>#VALUE!</v>
      </c>
      <c r="G6881" s="69"/>
    </row>
    <row r="6882" ht="22.5" customHeight="1">
      <c r="A6882" s="66"/>
      <c r="B6882" s="67" t="str">
        <f t="shared" si="16"/>
        <v>M: </v>
      </c>
      <c r="C6882" s="68"/>
      <c r="D6882" s="68">
        <v>46438.0</v>
      </c>
      <c r="E6882" s="66">
        <v>10.0</v>
      </c>
      <c r="F6882" s="66" t="str">
        <f>IFERROR(__xludf.DUMMYFUNCTION("GOOGLETRANSLATE(A6882,""en"",""pt"")"),"#VALUE!")</f>
        <v>#VALUE!</v>
      </c>
      <c r="G6882" s="69"/>
    </row>
    <row r="6883" ht="22.5" customHeight="1">
      <c r="A6883" s="66"/>
      <c r="B6883" s="67" t="str">
        <f t="shared" si="16"/>
        <v>M: </v>
      </c>
      <c r="C6883" s="68"/>
      <c r="D6883" s="68">
        <v>46438.0</v>
      </c>
      <c r="E6883" s="66">
        <v>1.0</v>
      </c>
      <c r="F6883" s="66" t="str">
        <f>IFERROR(__xludf.DUMMYFUNCTION("GOOGLETRANSLATE(A6883,""en"",""pt"")"),"#VALUE!")</f>
        <v>#VALUE!</v>
      </c>
      <c r="G6883" s="69"/>
    </row>
    <row r="6884" ht="22.5" customHeight="1">
      <c r="A6884" s="66"/>
      <c r="B6884" s="67" t="str">
        <f t="shared" si="16"/>
        <v>M: </v>
      </c>
      <c r="C6884" s="68"/>
      <c r="D6884" s="68">
        <v>46438.0</v>
      </c>
      <c r="E6884" s="66">
        <v>2.0</v>
      </c>
      <c r="F6884" s="66" t="str">
        <f>IFERROR(__xludf.DUMMYFUNCTION("GOOGLETRANSLATE(A6884,""en"",""pt"")"),"#VALUE!")</f>
        <v>#VALUE!</v>
      </c>
      <c r="G6884" s="69"/>
    </row>
    <row r="6885" ht="22.5" customHeight="1">
      <c r="A6885" s="66"/>
      <c r="B6885" s="67" t="str">
        <f t="shared" si="16"/>
        <v>M: </v>
      </c>
      <c r="C6885" s="68"/>
      <c r="D6885" s="68">
        <v>46438.0</v>
      </c>
      <c r="E6885" s="66">
        <v>3.0</v>
      </c>
      <c r="F6885" s="66" t="str">
        <f>IFERROR(__xludf.DUMMYFUNCTION("GOOGLETRANSLATE(A6885,""en"",""pt"")"),"#VALUE!")</f>
        <v>#VALUE!</v>
      </c>
      <c r="G6885" s="69"/>
    </row>
    <row r="6886" ht="22.5" customHeight="1">
      <c r="A6886" s="66"/>
      <c r="B6886" s="67" t="str">
        <f t="shared" si="16"/>
        <v>M: </v>
      </c>
      <c r="C6886" s="68"/>
      <c r="D6886" s="68">
        <v>46438.0</v>
      </c>
      <c r="E6886" s="66">
        <v>4.0</v>
      </c>
      <c r="F6886" s="66" t="str">
        <f>IFERROR(__xludf.DUMMYFUNCTION("GOOGLETRANSLATE(A6886,""en"",""pt"")"),"#VALUE!")</f>
        <v>#VALUE!</v>
      </c>
      <c r="G6886" s="69"/>
    </row>
    <row r="6887" ht="22.5" customHeight="1">
      <c r="A6887" s="66"/>
      <c r="B6887" s="67" t="str">
        <f t="shared" si="16"/>
        <v>M: </v>
      </c>
      <c r="C6887" s="68"/>
      <c r="D6887" s="68">
        <v>46438.0</v>
      </c>
      <c r="E6887" s="66">
        <v>5.0</v>
      </c>
      <c r="F6887" s="66" t="str">
        <f>IFERROR(__xludf.DUMMYFUNCTION("GOOGLETRANSLATE(A6887,""en"",""pt"")"),"#VALUE!")</f>
        <v>#VALUE!</v>
      </c>
      <c r="G6887" s="69"/>
    </row>
    <row r="6888" ht="22.5" customHeight="1">
      <c r="A6888" s="66"/>
      <c r="B6888" s="67" t="str">
        <f t="shared" si="16"/>
        <v>M: </v>
      </c>
      <c r="C6888" s="68"/>
      <c r="D6888" s="68">
        <v>46438.0</v>
      </c>
      <c r="E6888" s="66">
        <v>6.0</v>
      </c>
      <c r="F6888" s="66" t="str">
        <f>IFERROR(__xludf.DUMMYFUNCTION("GOOGLETRANSLATE(A6888,""en"",""pt"")"),"#VALUE!")</f>
        <v>#VALUE!</v>
      </c>
      <c r="G6888" s="69"/>
    </row>
    <row r="6889" ht="22.5" customHeight="1">
      <c r="A6889" s="66"/>
      <c r="B6889" s="67" t="str">
        <f t="shared" si="16"/>
        <v>M: </v>
      </c>
      <c r="C6889" s="68"/>
      <c r="D6889" s="68">
        <v>46438.0</v>
      </c>
      <c r="E6889" s="66">
        <v>7.0</v>
      </c>
      <c r="F6889" s="66" t="str">
        <f>IFERROR(__xludf.DUMMYFUNCTION("GOOGLETRANSLATE(A6889,""en"",""pt"")"),"#VALUE!")</f>
        <v>#VALUE!</v>
      </c>
      <c r="G6889" s="69"/>
    </row>
    <row r="6890" ht="22.5" customHeight="1">
      <c r="A6890" s="66"/>
      <c r="B6890" s="67" t="str">
        <f t="shared" si="16"/>
        <v>M: </v>
      </c>
      <c r="C6890" s="68"/>
      <c r="D6890" s="68">
        <v>46438.0</v>
      </c>
      <c r="E6890" s="66">
        <v>8.0</v>
      </c>
      <c r="F6890" s="66" t="str">
        <f>IFERROR(__xludf.DUMMYFUNCTION("GOOGLETRANSLATE(A6890,""en"",""pt"")"),"#VALUE!")</f>
        <v>#VALUE!</v>
      </c>
      <c r="G6890" s="69"/>
    </row>
    <row r="6891" ht="22.5" customHeight="1">
      <c r="A6891" s="66"/>
      <c r="B6891" s="67" t="str">
        <f t="shared" si="16"/>
        <v>M: </v>
      </c>
      <c r="C6891" s="68"/>
      <c r="D6891" s="68">
        <v>46438.0</v>
      </c>
      <c r="E6891" s="66">
        <v>9.0</v>
      </c>
      <c r="F6891" s="66" t="str">
        <f>IFERROR(__xludf.DUMMYFUNCTION("GOOGLETRANSLATE(A6891,""en"",""pt"")"),"#VALUE!")</f>
        <v>#VALUE!</v>
      </c>
      <c r="G6891" s="69"/>
    </row>
    <row r="6892" ht="22.5" customHeight="1">
      <c r="A6892" s="66"/>
      <c r="B6892" s="67" t="str">
        <f t="shared" si="16"/>
        <v>M: </v>
      </c>
      <c r="C6892" s="68"/>
      <c r="D6892" s="68">
        <v>46439.0</v>
      </c>
      <c r="E6892" s="66">
        <v>10.0</v>
      </c>
      <c r="F6892" s="66" t="str">
        <f>IFERROR(__xludf.DUMMYFUNCTION("GOOGLETRANSLATE(A6892,""en"",""pt"")"),"#VALUE!")</f>
        <v>#VALUE!</v>
      </c>
      <c r="G6892" s="69"/>
    </row>
    <row r="6893" ht="22.5" customHeight="1">
      <c r="A6893" s="66"/>
      <c r="B6893" s="67" t="str">
        <f t="shared" si="16"/>
        <v>M: </v>
      </c>
      <c r="C6893" s="68"/>
      <c r="D6893" s="68">
        <v>46439.0</v>
      </c>
      <c r="E6893" s="66">
        <v>1.0</v>
      </c>
      <c r="F6893" s="66" t="str">
        <f>IFERROR(__xludf.DUMMYFUNCTION("GOOGLETRANSLATE(A6893,""en"",""pt"")"),"#VALUE!")</f>
        <v>#VALUE!</v>
      </c>
      <c r="G6893" s="69"/>
    </row>
    <row r="6894" ht="22.5" customHeight="1">
      <c r="A6894" s="66"/>
      <c r="B6894" s="67" t="str">
        <f t="shared" si="16"/>
        <v>M: </v>
      </c>
      <c r="C6894" s="68"/>
      <c r="D6894" s="68">
        <v>46439.0</v>
      </c>
      <c r="E6894" s="66">
        <v>2.0</v>
      </c>
      <c r="F6894" s="66" t="str">
        <f>IFERROR(__xludf.DUMMYFUNCTION("GOOGLETRANSLATE(A6894,""en"",""pt"")"),"#VALUE!")</f>
        <v>#VALUE!</v>
      </c>
      <c r="G6894" s="69"/>
    </row>
    <row r="6895" ht="22.5" customHeight="1">
      <c r="A6895" s="66"/>
      <c r="B6895" s="67" t="str">
        <f t="shared" si="16"/>
        <v>M: </v>
      </c>
      <c r="C6895" s="68"/>
      <c r="D6895" s="68">
        <v>46439.0</v>
      </c>
      <c r="E6895" s="66">
        <v>3.0</v>
      </c>
      <c r="F6895" s="66" t="str">
        <f>IFERROR(__xludf.DUMMYFUNCTION("GOOGLETRANSLATE(A6895,""en"",""pt"")"),"#VALUE!")</f>
        <v>#VALUE!</v>
      </c>
      <c r="G6895" s="69"/>
    </row>
    <row r="6896" ht="22.5" customHeight="1">
      <c r="A6896" s="66"/>
      <c r="B6896" s="67" t="str">
        <f t="shared" si="16"/>
        <v>M: </v>
      </c>
      <c r="C6896" s="68"/>
      <c r="D6896" s="68">
        <v>46439.0</v>
      </c>
      <c r="E6896" s="66">
        <v>4.0</v>
      </c>
      <c r="F6896" s="66" t="str">
        <f>IFERROR(__xludf.DUMMYFUNCTION("GOOGLETRANSLATE(A6896,""en"",""pt"")"),"#VALUE!")</f>
        <v>#VALUE!</v>
      </c>
      <c r="G6896" s="69"/>
    </row>
    <row r="6897" ht="22.5" customHeight="1">
      <c r="A6897" s="66"/>
      <c r="B6897" s="67" t="str">
        <f t="shared" si="16"/>
        <v>M: </v>
      </c>
      <c r="C6897" s="68"/>
      <c r="D6897" s="68">
        <v>46439.0</v>
      </c>
      <c r="E6897" s="66">
        <v>5.0</v>
      </c>
      <c r="F6897" s="66" t="str">
        <f>IFERROR(__xludf.DUMMYFUNCTION("GOOGLETRANSLATE(A6897,""en"",""pt"")"),"#VALUE!")</f>
        <v>#VALUE!</v>
      </c>
      <c r="G6897" s="69"/>
    </row>
    <row r="6898" ht="22.5" customHeight="1">
      <c r="A6898" s="66"/>
      <c r="B6898" s="67" t="str">
        <f t="shared" si="16"/>
        <v>M: </v>
      </c>
      <c r="C6898" s="68"/>
      <c r="D6898" s="68">
        <v>46439.0</v>
      </c>
      <c r="E6898" s="66">
        <v>6.0</v>
      </c>
      <c r="F6898" s="66" t="str">
        <f>IFERROR(__xludf.DUMMYFUNCTION("GOOGLETRANSLATE(A6898,""en"",""pt"")"),"#VALUE!")</f>
        <v>#VALUE!</v>
      </c>
      <c r="G6898" s="69"/>
    </row>
    <row r="6899" ht="22.5" customHeight="1">
      <c r="A6899" s="66"/>
      <c r="B6899" s="67" t="str">
        <f t="shared" si="16"/>
        <v>M: </v>
      </c>
      <c r="C6899" s="68"/>
      <c r="D6899" s="68">
        <v>46439.0</v>
      </c>
      <c r="E6899" s="66">
        <v>7.0</v>
      </c>
      <c r="F6899" s="66" t="str">
        <f>IFERROR(__xludf.DUMMYFUNCTION("GOOGLETRANSLATE(A6899,""en"",""pt"")"),"#VALUE!")</f>
        <v>#VALUE!</v>
      </c>
      <c r="G6899" s="69"/>
    </row>
    <row r="6900" ht="22.5" customHeight="1">
      <c r="A6900" s="66"/>
      <c r="B6900" s="67" t="str">
        <f t="shared" si="16"/>
        <v>M: </v>
      </c>
      <c r="C6900" s="68"/>
      <c r="D6900" s="68">
        <v>46439.0</v>
      </c>
      <c r="E6900" s="66">
        <v>8.0</v>
      </c>
      <c r="F6900" s="66" t="str">
        <f>IFERROR(__xludf.DUMMYFUNCTION("GOOGLETRANSLATE(A6900,""en"",""pt"")"),"#VALUE!")</f>
        <v>#VALUE!</v>
      </c>
      <c r="G6900" s="69"/>
    </row>
    <row r="6901" ht="22.5" customHeight="1">
      <c r="A6901" s="66"/>
      <c r="B6901" s="67" t="str">
        <f t="shared" si="16"/>
        <v>M: </v>
      </c>
      <c r="C6901" s="68"/>
      <c r="D6901" s="68">
        <v>46439.0</v>
      </c>
      <c r="E6901" s="66">
        <v>9.0</v>
      </c>
      <c r="F6901" s="66" t="str">
        <f>IFERROR(__xludf.DUMMYFUNCTION("GOOGLETRANSLATE(A6901,""en"",""pt"")"),"#VALUE!")</f>
        <v>#VALUE!</v>
      </c>
      <c r="G6901" s="69"/>
    </row>
    <row r="6902" ht="22.5" customHeight="1">
      <c r="A6902" s="66"/>
      <c r="B6902" s="67" t="str">
        <f t="shared" si="16"/>
        <v>M: </v>
      </c>
      <c r="C6902" s="68"/>
      <c r="D6902" s="68">
        <v>46440.0</v>
      </c>
      <c r="E6902" s="66">
        <v>10.0</v>
      </c>
      <c r="F6902" s="66" t="str">
        <f>IFERROR(__xludf.DUMMYFUNCTION("GOOGLETRANSLATE(A6902,""en"",""pt"")"),"#VALUE!")</f>
        <v>#VALUE!</v>
      </c>
      <c r="G6902" s="69"/>
    </row>
    <row r="6903" ht="22.5" customHeight="1">
      <c r="A6903" s="66"/>
      <c r="B6903" s="67" t="str">
        <f t="shared" si="16"/>
        <v>M: </v>
      </c>
      <c r="C6903" s="68"/>
      <c r="D6903" s="68">
        <v>46440.0</v>
      </c>
      <c r="E6903" s="66">
        <v>1.0</v>
      </c>
      <c r="F6903" s="66" t="str">
        <f>IFERROR(__xludf.DUMMYFUNCTION("GOOGLETRANSLATE(A6903,""en"",""pt"")"),"#VALUE!")</f>
        <v>#VALUE!</v>
      </c>
      <c r="G6903" s="69"/>
    </row>
    <row r="6904" ht="22.5" customHeight="1">
      <c r="A6904" s="66"/>
      <c r="B6904" s="67" t="str">
        <f t="shared" si="16"/>
        <v>M: </v>
      </c>
      <c r="C6904" s="68"/>
      <c r="D6904" s="68">
        <v>46440.0</v>
      </c>
      <c r="E6904" s="66">
        <v>2.0</v>
      </c>
      <c r="F6904" s="66" t="str">
        <f>IFERROR(__xludf.DUMMYFUNCTION("GOOGLETRANSLATE(A6904,""en"",""pt"")"),"#VALUE!")</f>
        <v>#VALUE!</v>
      </c>
      <c r="G6904" s="69"/>
    </row>
    <row r="6905" ht="22.5" customHeight="1">
      <c r="A6905" s="66"/>
      <c r="B6905" s="67" t="str">
        <f t="shared" si="16"/>
        <v>M: </v>
      </c>
      <c r="C6905" s="68"/>
      <c r="D6905" s="68">
        <v>46440.0</v>
      </c>
      <c r="E6905" s="66">
        <v>3.0</v>
      </c>
      <c r="F6905" s="66" t="str">
        <f>IFERROR(__xludf.DUMMYFUNCTION("GOOGLETRANSLATE(A6905,""en"",""pt"")"),"#VALUE!")</f>
        <v>#VALUE!</v>
      </c>
      <c r="G6905" s="69"/>
    </row>
    <row r="6906" ht="22.5" customHeight="1">
      <c r="A6906" s="66"/>
      <c r="B6906" s="67" t="str">
        <f t="shared" si="16"/>
        <v>M: </v>
      </c>
      <c r="C6906" s="68"/>
      <c r="D6906" s="68">
        <v>46440.0</v>
      </c>
      <c r="E6906" s="66">
        <v>4.0</v>
      </c>
      <c r="F6906" s="66" t="str">
        <f>IFERROR(__xludf.DUMMYFUNCTION("GOOGLETRANSLATE(A6906,""en"",""pt"")"),"#VALUE!")</f>
        <v>#VALUE!</v>
      </c>
      <c r="G6906" s="69"/>
    </row>
    <row r="6907" ht="22.5" customHeight="1">
      <c r="A6907" s="66"/>
      <c r="B6907" s="67" t="str">
        <f t="shared" si="16"/>
        <v>M: </v>
      </c>
      <c r="C6907" s="68"/>
      <c r="D6907" s="68">
        <v>46440.0</v>
      </c>
      <c r="E6907" s="66">
        <v>5.0</v>
      </c>
      <c r="F6907" s="66" t="str">
        <f>IFERROR(__xludf.DUMMYFUNCTION("GOOGLETRANSLATE(A6907,""en"",""pt"")"),"#VALUE!")</f>
        <v>#VALUE!</v>
      </c>
      <c r="G6907" s="69"/>
    </row>
    <row r="6908" ht="22.5" customHeight="1">
      <c r="A6908" s="66"/>
      <c r="B6908" s="67" t="str">
        <f t="shared" si="16"/>
        <v>M: </v>
      </c>
      <c r="C6908" s="68"/>
      <c r="D6908" s="68">
        <v>46440.0</v>
      </c>
      <c r="E6908" s="66">
        <v>6.0</v>
      </c>
      <c r="F6908" s="66" t="str">
        <f>IFERROR(__xludf.DUMMYFUNCTION("GOOGLETRANSLATE(A6908,""en"",""pt"")"),"#VALUE!")</f>
        <v>#VALUE!</v>
      </c>
      <c r="G6908" s="69"/>
    </row>
    <row r="6909" ht="22.5" customHeight="1">
      <c r="A6909" s="66"/>
      <c r="B6909" s="67" t="str">
        <f t="shared" si="16"/>
        <v>M: </v>
      </c>
      <c r="C6909" s="68"/>
      <c r="D6909" s="68">
        <v>46440.0</v>
      </c>
      <c r="E6909" s="66">
        <v>7.0</v>
      </c>
      <c r="F6909" s="66" t="str">
        <f>IFERROR(__xludf.DUMMYFUNCTION("GOOGLETRANSLATE(A6909,""en"",""pt"")"),"#VALUE!")</f>
        <v>#VALUE!</v>
      </c>
      <c r="G6909" s="69"/>
    </row>
    <row r="6910" ht="22.5" customHeight="1">
      <c r="A6910" s="66"/>
      <c r="B6910" s="67" t="str">
        <f t="shared" si="16"/>
        <v>M: </v>
      </c>
      <c r="C6910" s="68"/>
      <c r="D6910" s="68">
        <v>46440.0</v>
      </c>
      <c r="E6910" s="66">
        <v>8.0</v>
      </c>
      <c r="F6910" s="66" t="str">
        <f>IFERROR(__xludf.DUMMYFUNCTION("GOOGLETRANSLATE(A6910,""en"",""pt"")"),"#VALUE!")</f>
        <v>#VALUE!</v>
      </c>
      <c r="G6910" s="69"/>
    </row>
    <row r="6911" ht="22.5" customHeight="1">
      <c r="A6911" s="66"/>
      <c r="B6911" s="67" t="str">
        <f t="shared" si="16"/>
        <v>M: </v>
      </c>
      <c r="C6911" s="68"/>
      <c r="D6911" s="68">
        <v>46440.0</v>
      </c>
      <c r="E6911" s="66">
        <v>9.0</v>
      </c>
      <c r="F6911" s="66" t="str">
        <f>IFERROR(__xludf.DUMMYFUNCTION("GOOGLETRANSLATE(A6911,""en"",""pt"")"),"#VALUE!")</f>
        <v>#VALUE!</v>
      </c>
      <c r="G6911" s="69"/>
    </row>
    <row r="6912" ht="22.5" customHeight="1">
      <c r="A6912" s="66"/>
      <c r="B6912" s="67" t="str">
        <f t="shared" si="16"/>
        <v>M: </v>
      </c>
      <c r="C6912" s="68"/>
      <c r="D6912" s="68">
        <v>46441.0</v>
      </c>
      <c r="E6912" s="66">
        <v>10.0</v>
      </c>
      <c r="F6912" s="66" t="str">
        <f>IFERROR(__xludf.DUMMYFUNCTION("GOOGLETRANSLATE(A6912,""en"",""pt"")"),"#VALUE!")</f>
        <v>#VALUE!</v>
      </c>
      <c r="G6912" s="69"/>
    </row>
    <row r="6913" ht="22.5" customHeight="1">
      <c r="A6913" s="66"/>
      <c r="B6913" s="67" t="str">
        <f t="shared" si="16"/>
        <v>M: </v>
      </c>
      <c r="C6913" s="68"/>
      <c r="D6913" s="68">
        <v>46441.0</v>
      </c>
      <c r="E6913" s="66">
        <v>1.0</v>
      </c>
      <c r="F6913" s="66" t="str">
        <f>IFERROR(__xludf.DUMMYFUNCTION("GOOGLETRANSLATE(A6913,""en"",""pt"")"),"#VALUE!")</f>
        <v>#VALUE!</v>
      </c>
      <c r="G6913" s="69"/>
    </row>
    <row r="6914" ht="22.5" customHeight="1">
      <c r="A6914" s="66"/>
      <c r="B6914" s="67" t="str">
        <f t="shared" si="16"/>
        <v>M: </v>
      </c>
      <c r="C6914" s="68"/>
      <c r="D6914" s="68">
        <v>46441.0</v>
      </c>
      <c r="E6914" s="66">
        <v>2.0</v>
      </c>
      <c r="F6914" s="66" t="str">
        <f>IFERROR(__xludf.DUMMYFUNCTION("GOOGLETRANSLATE(A6914,""en"",""pt"")"),"#VALUE!")</f>
        <v>#VALUE!</v>
      </c>
      <c r="G6914" s="69"/>
    </row>
    <row r="6915" ht="22.5" customHeight="1">
      <c r="A6915" s="66"/>
      <c r="B6915" s="67" t="str">
        <f t="shared" si="16"/>
        <v>M: </v>
      </c>
      <c r="C6915" s="68"/>
      <c r="D6915" s="68">
        <v>46441.0</v>
      </c>
      <c r="E6915" s="66">
        <v>3.0</v>
      </c>
      <c r="F6915" s="66" t="str">
        <f>IFERROR(__xludf.DUMMYFUNCTION("GOOGLETRANSLATE(A6915,""en"",""pt"")"),"#VALUE!")</f>
        <v>#VALUE!</v>
      </c>
      <c r="G6915" s="69"/>
    </row>
    <row r="6916" ht="22.5" customHeight="1">
      <c r="A6916" s="66"/>
      <c r="B6916" s="67" t="str">
        <f t="shared" si="16"/>
        <v>M: </v>
      </c>
      <c r="C6916" s="68"/>
      <c r="D6916" s="68">
        <v>46441.0</v>
      </c>
      <c r="E6916" s="66">
        <v>4.0</v>
      </c>
      <c r="F6916" s="66" t="str">
        <f>IFERROR(__xludf.DUMMYFUNCTION("GOOGLETRANSLATE(A6916,""en"",""pt"")"),"#VALUE!")</f>
        <v>#VALUE!</v>
      </c>
      <c r="G6916" s="69"/>
    </row>
    <row r="6917" ht="22.5" customHeight="1">
      <c r="A6917" s="66"/>
      <c r="B6917" s="67" t="str">
        <f t="shared" si="16"/>
        <v>M: </v>
      </c>
      <c r="C6917" s="68"/>
      <c r="D6917" s="68">
        <v>46441.0</v>
      </c>
      <c r="E6917" s="66">
        <v>5.0</v>
      </c>
      <c r="F6917" s="66" t="str">
        <f>IFERROR(__xludf.DUMMYFUNCTION("GOOGLETRANSLATE(A6917,""en"",""pt"")"),"#VALUE!")</f>
        <v>#VALUE!</v>
      </c>
      <c r="G6917" s="69"/>
    </row>
    <row r="6918" ht="22.5" customHeight="1">
      <c r="A6918" s="66"/>
      <c r="B6918" s="67" t="str">
        <f t="shared" si="16"/>
        <v>M: </v>
      </c>
      <c r="C6918" s="68"/>
      <c r="D6918" s="68">
        <v>46441.0</v>
      </c>
      <c r="E6918" s="66">
        <v>6.0</v>
      </c>
      <c r="F6918" s="66" t="str">
        <f>IFERROR(__xludf.DUMMYFUNCTION("GOOGLETRANSLATE(A6918,""en"",""pt"")"),"#VALUE!")</f>
        <v>#VALUE!</v>
      </c>
      <c r="G6918" s="69"/>
    </row>
    <row r="6919" ht="22.5" customHeight="1">
      <c r="A6919" s="66"/>
      <c r="B6919" s="67" t="str">
        <f t="shared" si="16"/>
        <v>M: </v>
      </c>
      <c r="C6919" s="68"/>
      <c r="D6919" s="68">
        <v>46441.0</v>
      </c>
      <c r="E6919" s="66">
        <v>7.0</v>
      </c>
      <c r="F6919" s="66" t="str">
        <f>IFERROR(__xludf.DUMMYFUNCTION("GOOGLETRANSLATE(A6919,""en"",""pt"")"),"#VALUE!")</f>
        <v>#VALUE!</v>
      </c>
      <c r="G6919" s="69"/>
    </row>
    <row r="6920" ht="22.5" customHeight="1">
      <c r="A6920" s="66"/>
      <c r="B6920" s="67" t="str">
        <f t="shared" si="16"/>
        <v>M: </v>
      </c>
      <c r="C6920" s="68"/>
      <c r="D6920" s="68">
        <v>46441.0</v>
      </c>
      <c r="E6920" s="66">
        <v>8.0</v>
      </c>
      <c r="F6920" s="66" t="str">
        <f>IFERROR(__xludf.DUMMYFUNCTION("GOOGLETRANSLATE(A6920,""en"",""pt"")"),"#VALUE!")</f>
        <v>#VALUE!</v>
      </c>
      <c r="G6920" s="69"/>
    </row>
    <row r="6921" ht="22.5" customHeight="1">
      <c r="A6921" s="66"/>
      <c r="B6921" s="67" t="str">
        <f t="shared" si="16"/>
        <v>M: </v>
      </c>
      <c r="C6921" s="68"/>
      <c r="D6921" s="68">
        <v>46441.0</v>
      </c>
      <c r="E6921" s="66">
        <v>9.0</v>
      </c>
      <c r="F6921" s="66" t="str">
        <f>IFERROR(__xludf.DUMMYFUNCTION("GOOGLETRANSLATE(A6921,""en"",""pt"")"),"#VALUE!")</f>
        <v>#VALUE!</v>
      </c>
      <c r="G6921" s="69"/>
    </row>
    <row r="6922" ht="22.5" customHeight="1">
      <c r="A6922" s="66"/>
      <c r="B6922" s="67" t="str">
        <f t="shared" si="16"/>
        <v>M: </v>
      </c>
      <c r="C6922" s="68"/>
      <c r="D6922" s="68">
        <v>46442.0</v>
      </c>
      <c r="E6922" s="66">
        <v>10.0</v>
      </c>
      <c r="F6922" s="66" t="str">
        <f>IFERROR(__xludf.DUMMYFUNCTION("GOOGLETRANSLATE(A6922,""en"",""pt"")"),"#VALUE!")</f>
        <v>#VALUE!</v>
      </c>
      <c r="G6922" s="69"/>
    </row>
    <row r="6923" ht="22.5" customHeight="1">
      <c r="A6923" s="66"/>
      <c r="B6923" s="67" t="str">
        <f t="shared" si="16"/>
        <v>M: </v>
      </c>
      <c r="C6923" s="68"/>
      <c r="D6923" s="68">
        <v>46442.0</v>
      </c>
      <c r="E6923" s="66">
        <v>1.0</v>
      </c>
      <c r="F6923" s="66" t="str">
        <f>IFERROR(__xludf.DUMMYFUNCTION("GOOGLETRANSLATE(A6923,""en"",""pt"")"),"#VALUE!")</f>
        <v>#VALUE!</v>
      </c>
      <c r="G6923" s="69"/>
    </row>
    <row r="6924" ht="22.5" customHeight="1">
      <c r="A6924" s="66"/>
      <c r="B6924" s="67" t="str">
        <f t="shared" si="16"/>
        <v>M: </v>
      </c>
      <c r="C6924" s="68"/>
      <c r="D6924" s="68">
        <v>46442.0</v>
      </c>
      <c r="E6924" s="66">
        <v>2.0</v>
      </c>
      <c r="F6924" s="66" t="str">
        <f>IFERROR(__xludf.DUMMYFUNCTION("GOOGLETRANSLATE(A6924,""en"",""pt"")"),"#VALUE!")</f>
        <v>#VALUE!</v>
      </c>
      <c r="G6924" s="69"/>
    </row>
    <row r="6925" ht="22.5" customHeight="1">
      <c r="A6925" s="66"/>
      <c r="B6925" s="67" t="str">
        <f t="shared" si="16"/>
        <v>M: </v>
      </c>
      <c r="C6925" s="68"/>
      <c r="D6925" s="68">
        <v>46442.0</v>
      </c>
      <c r="E6925" s="66">
        <v>3.0</v>
      </c>
      <c r="F6925" s="66" t="str">
        <f>IFERROR(__xludf.DUMMYFUNCTION("GOOGLETRANSLATE(A6925,""en"",""pt"")"),"#VALUE!")</f>
        <v>#VALUE!</v>
      </c>
      <c r="G6925" s="69"/>
    </row>
    <row r="6926" ht="22.5" customHeight="1">
      <c r="A6926" s="66"/>
      <c r="B6926" s="67" t="str">
        <f t="shared" si="16"/>
        <v>M: </v>
      </c>
      <c r="C6926" s="68"/>
      <c r="D6926" s="68">
        <v>46442.0</v>
      </c>
      <c r="E6926" s="66">
        <v>4.0</v>
      </c>
      <c r="F6926" s="66" t="str">
        <f>IFERROR(__xludf.DUMMYFUNCTION("GOOGLETRANSLATE(A6926,""en"",""pt"")"),"#VALUE!")</f>
        <v>#VALUE!</v>
      </c>
      <c r="G6926" s="69"/>
    </row>
    <row r="6927" ht="22.5" customHeight="1">
      <c r="A6927" s="66"/>
      <c r="B6927" s="67" t="str">
        <f t="shared" si="16"/>
        <v>M: </v>
      </c>
      <c r="C6927" s="68"/>
      <c r="D6927" s="68">
        <v>46442.0</v>
      </c>
      <c r="E6927" s="66">
        <v>5.0</v>
      </c>
      <c r="F6927" s="66" t="str">
        <f>IFERROR(__xludf.DUMMYFUNCTION("GOOGLETRANSLATE(A6927,""en"",""pt"")"),"#VALUE!")</f>
        <v>#VALUE!</v>
      </c>
      <c r="G6927" s="69"/>
    </row>
    <row r="6928" ht="22.5" customHeight="1">
      <c r="A6928" s="66"/>
      <c r="B6928" s="67" t="str">
        <f t="shared" si="16"/>
        <v>M: </v>
      </c>
      <c r="C6928" s="68"/>
      <c r="D6928" s="68">
        <v>46442.0</v>
      </c>
      <c r="E6928" s="66">
        <v>6.0</v>
      </c>
      <c r="F6928" s="66" t="str">
        <f>IFERROR(__xludf.DUMMYFUNCTION("GOOGLETRANSLATE(A6928,""en"",""pt"")"),"#VALUE!")</f>
        <v>#VALUE!</v>
      </c>
      <c r="G6928" s="69"/>
    </row>
    <row r="6929" ht="22.5" customHeight="1">
      <c r="A6929" s="66"/>
      <c r="B6929" s="67" t="str">
        <f t="shared" si="16"/>
        <v>M: </v>
      </c>
      <c r="C6929" s="68"/>
      <c r="D6929" s="68">
        <v>46442.0</v>
      </c>
      <c r="E6929" s="66">
        <v>7.0</v>
      </c>
      <c r="F6929" s="66" t="str">
        <f>IFERROR(__xludf.DUMMYFUNCTION("GOOGLETRANSLATE(A6929,""en"",""pt"")"),"#VALUE!")</f>
        <v>#VALUE!</v>
      </c>
      <c r="G6929" s="69"/>
    </row>
    <row r="6930" ht="22.5" customHeight="1">
      <c r="A6930" s="66"/>
      <c r="B6930" s="67" t="str">
        <f t="shared" si="16"/>
        <v>M: </v>
      </c>
      <c r="C6930" s="68"/>
      <c r="D6930" s="68">
        <v>46442.0</v>
      </c>
      <c r="E6930" s="66">
        <v>8.0</v>
      </c>
      <c r="F6930" s="66" t="str">
        <f>IFERROR(__xludf.DUMMYFUNCTION("GOOGLETRANSLATE(A6930,""en"",""pt"")"),"#VALUE!")</f>
        <v>#VALUE!</v>
      </c>
      <c r="G6930" s="69"/>
    </row>
    <row r="6931" ht="22.5" customHeight="1">
      <c r="A6931" s="66"/>
      <c r="B6931" s="67" t="str">
        <f t="shared" si="16"/>
        <v>M: </v>
      </c>
      <c r="C6931" s="68"/>
      <c r="D6931" s="68">
        <v>46442.0</v>
      </c>
      <c r="E6931" s="66">
        <v>9.0</v>
      </c>
      <c r="F6931" s="66" t="str">
        <f>IFERROR(__xludf.DUMMYFUNCTION("GOOGLETRANSLATE(A6931,""en"",""pt"")"),"#VALUE!")</f>
        <v>#VALUE!</v>
      </c>
      <c r="G6931" s="69"/>
    </row>
    <row r="6932" ht="22.5" customHeight="1">
      <c r="A6932" s="66"/>
      <c r="B6932" s="67" t="str">
        <f t="shared" si="16"/>
        <v>M: </v>
      </c>
      <c r="C6932" s="68"/>
      <c r="D6932" s="68">
        <v>46443.0</v>
      </c>
      <c r="E6932" s="66">
        <v>10.0</v>
      </c>
      <c r="F6932" s="66" t="str">
        <f>IFERROR(__xludf.DUMMYFUNCTION("GOOGLETRANSLATE(A6932,""en"",""pt"")"),"#VALUE!")</f>
        <v>#VALUE!</v>
      </c>
      <c r="G6932" s="69"/>
    </row>
    <row r="6933" ht="22.5" customHeight="1">
      <c r="A6933" s="66"/>
      <c r="B6933" s="67" t="str">
        <f t="shared" si="16"/>
        <v>M: </v>
      </c>
      <c r="C6933" s="68"/>
      <c r="D6933" s="68">
        <v>46443.0</v>
      </c>
      <c r="E6933" s="66">
        <v>1.0</v>
      </c>
      <c r="F6933" s="66" t="str">
        <f>IFERROR(__xludf.DUMMYFUNCTION("GOOGLETRANSLATE(A6933,""en"",""pt"")"),"#VALUE!")</f>
        <v>#VALUE!</v>
      </c>
      <c r="G6933" s="69"/>
    </row>
    <row r="6934" ht="22.5" customHeight="1">
      <c r="A6934" s="66"/>
      <c r="B6934" s="67" t="str">
        <f t="shared" si="16"/>
        <v>M: </v>
      </c>
      <c r="C6934" s="68"/>
      <c r="D6934" s="68">
        <v>46443.0</v>
      </c>
      <c r="E6934" s="66">
        <v>2.0</v>
      </c>
      <c r="F6934" s="66" t="str">
        <f>IFERROR(__xludf.DUMMYFUNCTION("GOOGLETRANSLATE(A6934,""en"",""pt"")"),"#VALUE!")</f>
        <v>#VALUE!</v>
      </c>
      <c r="G6934" s="69"/>
    </row>
    <row r="6935" ht="22.5" customHeight="1">
      <c r="A6935" s="66"/>
      <c r="B6935" s="67" t="str">
        <f t="shared" si="16"/>
        <v>M: </v>
      </c>
      <c r="C6935" s="68"/>
      <c r="D6935" s="68">
        <v>46443.0</v>
      </c>
      <c r="E6935" s="66">
        <v>3.0</v>
      </c>
      <c r="F6935" s="66" t="str">
        <f>IFERROR(__xludf.DUMMYFUNCTION("GOOGLETRANSLATE(A6935,""en"",""pt"")"),"#VALUE!")</f>
        <v>#VALUE!</v>
      </c>
      <c r="G6935" s="69"/>
    </row>
    <row r="6936" ht="22.5" customHeight="1">
      <c r="A6936" s="66"/>
      <c r="B6936" s="67" t="str">
        <f t="shared" si="16"/>
        <v>M: </v>
      </c>
      <c r="C6936" s="68"/>
      <c r="D6936" s="68">
        <v>46443.0</v>
      </c>
      <c r="E6936" s="66">
        <v>4.0</v>
      </c>
      <c r="F6936" s="66" t="str">
        <f>IFERROR(__xludf.DUMMYFUNCTION("GOOGLETRANSLATE(A6936,""en"",""pt"")"),"#VALUE!")</f>
        <v>#VALUE!</v>
      </c>
      <c r="G6936" s="69"/>
    </row>
    <row r="6937" ht="22.5" customHeight="1">
      <c r="A6937" s="66"/>
      <c r="B6937" s="67" t="str">
        <f t="shared" si="16"/>
        <v>M: </v>
      </c>
      <c r="C6937" s="68"/>
      <c r="D6937" s="68">
        <v>46443.0</v>
      </c>
      <c r="E6937" s="66">
        <v>5.0</v>
      </c>
      <c r="F6937" s="66" t="str">
        <f>IFERROR(__xludf.DUMMYFUNCTION("GOOGLETRANSLATE(A6937,""en"",""pt"")"),"#VALUE!")</f>
        <v>#VALUE!</v>
      </c>
      <c r="G6937" s="69"/>
    </row>
    <row r="6938" ht="22.5" customHeight="1">
      <c r="A6938" s="66"/>
      <c r="B6938" s="67" t="str">
        <f t="shared" si="16"/>
        <v>M: </v>
      </c>
      <c r="C6938" s="68"/>
      <c r="D6938" s="68">
        <v>46443.0</v>
      </c>
      <c r="E6938" s="66">
        <v>6.0</v>
      </c>
      <c r="F6938" s="66" t="str">
        <f>IFERROR(__xludf.DUMMYFUNCTION("GOOGLETRANSLATE(A6938,""en"",""pt"")"),"#VALUE!")</f>
        <v>#VALUE!</v>
      </c>
      <c r="G6938" s="69"/>
    </row>
    <row r="6939" ht="22.5" customHeight="1">
      <c r="A6939" s="66"/>
      <c r="B6939" s="67" t="str">
        <f t="shared" si="16"/>
        <v>M: </v>
      </c>
      <c r="C6939" s="68"/>
      <c r="D6939" s="68">
        <v>46443.0</v>
      </c>
      <c r="E6939" s="66">
        <v>7.0</v>
      </c>
      <c r="F6939" s="66" t="str">
        <f>IFERROR(__xludf.DUMMYFUNCTION("GOOGLETRANSLATE(A6939,""en"",""pt"")"),"#VALUE!")</f>
        <v>#VALUE!</v>
      </c>
      <c r="G6939" s="69"/>
    </row>
    <row r="6940" ht="22.5" customHeight="1">
      <c r="A6940" s="66"/>
      <c r="B6940" s="67" t="str">
        <f t="shared" si="16"/>
        <v>M: </v>
      </c>
      <c r="C6940" s="68"/>
      <c r="D6940" s="68">
        <v>46443.0</v>
      </c>
      <c r="E6940" s="66">
        <v>8.0</v>
      </c>
      <c r="F6940" s="66" t="str">
        <f>IFERROR(__xludf.DUMMYFUNCTION("GOOGLETRANSLATE(A6940,""en"",""pt"")"),"#VALUE!")</f>
        <v>#VALUE!</v>
      </c>
      <c r="G6940" s="69"/>
    </row>
    <row r="6941" ht="22.5" customHeight="1">
      <c r="A6941" s="66"/>
      <c r="B6941" s="67" t="str">
        <f t="shared" si="16"/>
        <v>M: </v>
      </c>
      <c r="C6941" s="68"/>
      <c r="D6941" s="68">
        <v>46443.0</v>
      </c>
      <c r="E6941" s="66">
        <v>9.0</v>
      </c>
      <c r="F6941" s="66" t="str">
        <f>IFERROR(__xludf.DUMMYFUNCTION("GOOGLETRANSLATE(A6941,""en"",""pt"")"),"#VALUE!")</f>
        <v>#VALUE!</v>
      </c>
      <c r="G6941" s="69"/>
    </row>
    <row r="6942" ht="22.5" customHeight="1">
      <c r="A6942" s="66"/>
      <c r="B6942" s="67" t="str">
        <f t="shared" si="16"/>
        <v>M: </v>
      </c>
      <c r="C6942" s="68"/>
      <c r="D6942" s="68">
        <v>46444.0</v>
      </c>
      <c r="E6942" s="66">
        <v>10.0</v>
      </c>
      <c r="F6942" s="66" t="str">
        <f>IFERROR(__xludf.DUMMYFUNCTION("GOOGLETRANSLATE(A6942,""en"",""pt"")"),"#VALUE!")</f>
        <v>#VALUE!</v>
      </c>
      <c r="G6942" s="69"/>
    </row>
    <row r="6943" ht="22.5" customHeight="1">
      <c r="A6943" s="66"/>
      <c r="B6943" s="67" t="str">
        <f t="shared" si="16"/>
        <v>M: </v>
      </c>
      <c r="C6943" s="68"/>
      <c r="D6943" s="68">
        <v>46444.0</v>
      </c>
      <c r="E6943" s="66">
        <v>1.0</v>
      </c>
      <c r="F6943" s="66" t="str">
        <f>IFERROR(__xludf.DUMMYFUNCTION("GOOGLETRANSLATE(A6943,""en"",""pt"")"),"#VALUE!")</f>
        <v>#VALUE!</v>
      </c>
      <c r="G6943" s="69"/>
    </row>
    <row r="6944" ht="22.5" customHeight="1">
      <c r="A6944" s="66"/>
      <c r="B6944" s="67" t="str">
        <f t="shared" si="16"/>
        <v>M: </v>
      </c>
      <c r="C6944" s="68"/>
      <c r="D6944" s="68">
        <v>46444.0</v>
      </c>
      <c r="E6944" s="66">
        <v>2.0</v>
      </c>
      <c r="F6944" s="66" t="str">
        <f>IFERROR(__xludf.DUMMYFUNCTION("GOOGLETRANSLATE(A6944,""en"",""pt"")"),"#VALUE!")</f>
        <v>#VALUE!</v>
      </c>
      <c r="G6944" s="69"/>
    </row>
    <row r="6945" ht="22.5" customHeight="1">
      <c r="A6945" s="66"/>
      <c r="B6945" s="67" t="str">
        <f t="shared" si="16"/>
        <v>M: </v>
      </c>
      <c r="C6945" s="68"/>
      <c r="D6945" s="68">
        <v>46444.0</v>
      </c>
      <c r="E6945" s="66">
        <v>3.0</v>
      </c>
      <c r="F6945" s="66" t="str">
        <f>IFERROR(__xludf.DUMMYFUNCTION("GOOGLETRANSLATE(A6945,""en"",""pt"")"),"#VALUE!")</f>
        <v>#VALUE!</v>
      </c>
      <c r="G6945" s="69"/>
    </row>
    <row r="6946" ht="22.5" customHeight="1">
      <c r="A6946" s="66"/>
      <c r="B6946" s="67" t="str">
        <f t="shared" si="16"/>
        <v>M: </v>
      </c>
      <c r="C6946" s="68"/>
      <c r="D6946" s="68">
        <v>46444.0</v>
      </c>
      <c r="E6946" s="66">
        <v>4.0</v>
      </c>
      <c r="F6946" s="66" t="str">
        <f>IFERROR(__xludf.DUMMYFUNCTION("GOOGLETRANSLATE(A6946,""en"",""pt"")"),"#VALUE!")</f>
        <v>#VALUE!</v>
      </c>
      <c r="G6946" s="69"/>
    </row>
    <row r="6947" ht="22.5" customHeight="1">
      <c r="A6947" s="66"/>
      <c r="B6947" s="67" t="str">
        <f t="shared" si="16"/>
        <v>M: </v>
      </c>
      <c r="C6947" s="68"/>
      <c r="D6947" s="68">
        <v>46444.0</v>
      </c>
      <c r="E6947" s="66">
        <v>5.0</v>
      </c>
      <c r="F6947" s="66" t="str">
        <f>IFERROR(__xludf.DUMMYFUNCTION("GOOGLETRANSLATE(A6947,""en"",""pt"")"),"#VALUE!")</f>
        <v>#VALUE!</v>
      </c>
      <c r="G6947" s="69"/>
    </row>
    <row r="6948" ht="22.5" customHeight="1">
      <c r="A6948" s="66"/>
      <c r="B6948" s="67" t="str">
        <f t="shared" si="16"/>
        <v>M: </v>
      </c>
      <c r="C6948" s="68"/>
      <c r="D6948" s="68">
        <v>46444.0</v>
      </c>
      <c r="E6948" s="66">
        <v>6.0</v>
      </c>
      <c r="F6948" s="66" t="str">
        <f>IFERROR(__xludf.DUMMYFUNCTION("GOOGLETRANSLATE(A6948,""en"",""pt"")"),"#VALUE!")</f>
        <v>#VALUE!</v>
      </c>
      <c r="G6948" s="69"/>
    </row>
    <row r="6949" ht="22.5" customHeight="1">
      <c r="A6949" s="66"/>
      <c r="B6949" s="67" t="str">
        <f t="shared" si="16"/>
        <v>M: </v>
      </c>
      <c r="C6949" s="68"/>
      <c r="D6949" s="68">
        <v>46444.0</v>
      </c>
      <c r="E6949" s="66">
        <v>7.0</v>
      </c>
      <c r="F6949" s="66" t="str">
        <f>IFERROR(__xludf.DUMMYFUNCTION("GOOGLETRANSLATE(A6949,""en"",""pt"")"),"#VALUE!")</f>
        <v>#VALUE!</v>
      </c>
      <c r="G6949" s="69"/>
    </row>
    <row r="6950" ht="22.5" customHeight="1">
      <c r="A6950" s="66"/>
      <c r="B6950" s="67" t="str">
        <f t="shared" si="16"/>
        <v>M: </v>
      </c>
      <c r="C6950" s="68"/>
      <c r="D6950" s="68">
        <v>46444.0</v>
      </c>
      <c r="E6950" s="66">
        <v>8.0</v>
      </c>
      <c r="F6950" s="66" t="str">
        <f>IFERROR(__xludf.DUMMYFUNCTION("GOOGLETRANSLATE(A6950,""en"",""pt"")"),"#VALUE!")</f>
        <v>#VALUE!</v>
      </c>
      <c r="G6950" s="69"/>
    </row>
    <row r="6951" ht="22.5" customHeight="1">
      <c r="A6951" s="66"/>
      <c r="B6951" s="67" t="str">
        <f t="shared" si="16"/>
        <v>M: </v>
      </c>
      <c r="C6951" s="68"/>
      <c r="D6951" s="68">
        <v>46444.0</v>
      </c>
      <c r="E6951" s="66">
        <v>9.0</v>
      </c>
      <c r="F6951" s="66" t="str">
        <f>IFERROR(__xludf.DUMMYFUNCTION("GOOGLETRANSLATE(A6951,""en"",""pt"")"),"#VALUE!")</f>
        <v>#VALUE!</v>
      </c>
      <c r="G6951" s="69"/>
    </row>
    <row r="6952" ht="22.5" customHeight="1">
      <c r="A6952" s="66"/>
      <c r="B6952" s="67" t="str">
        <f t="shared" si="16"/>
        <v>M: </v>
      </c>
      <c r="C6952" s="68"/>
      <c r="D6952" s="68">
        <v>46445.0</v>
      </c>
      <c r="E6952" s="66">
        <v>10.0</v>
      </c>
      <c r="F6952" s="66" t="str">
        <f>IFERROR(__xludf.DUMMYFUNCTION("GOOGLETRANSLATE(A6952,""en"",""pt"")"),"#VALUE!")</f>
        <v>#VALUE!</v>
      </c>
      <c r="G6952" s="69"/>
    </row>
    <row r="6953" ht="22.5" customHeight="1">
      <c r="A6953" s="66"/>
      <c r="B6953" s="67" t="str">
        <f t="shared" si="16"/>
        <v>M: </v>
      </c>
      <c r="C6953" s="68"/>
      <c r="D6953" s="68">
        <v>46445.0</v>
      </c>
      <c r="E6953" s="66">
        <v>1.0</v>
      </c>
      <c r="F6953" s="66" t="str">
        <f>IFERROR(__xludf.DUMMYFUNCTION("GOOGLETRANSLATE(A6953,""en"",""pt"")"),"#VALUE!")</f>
        <v>#VALUE!</v>
      </c>
      <c r="G6953" s="69"/>
    </row>
    <row r="6954" ht="22.5" customHeight="1">
      <c r="A6954" s="66"/>
      <c r="B6954" s="67" t="str">
        <f t="shared" si="16"/>
        <v>M: </v>
      </c>
      <c r="C6954" s="68"/>
      <c r="D6954" s="68">
        <v>46445.0</v>
      </c>
      <c r="E6954" s="66">
        <v>2.0</v>
      </c>
      <c r="F6954" s="66" t="str">
        <f>IFERROR(__xludf.DUMMYFUNCTION("GOOGLETRANSLATE(A6954,""en"",""pt"")"),"#VALUE!")</f>
        <v>#VALUE!</v>
      </c>
      <c r="G6954" s="69"/>
    </row>
    <row r="6955" ht="22.5" customHeight="1">
      <c r="A6955" s="66"/>
      <c r="B6955" s="67" t="str">
        <f t="shared" si="16"/>
        <v>M: </v>
      </c>
      <c r="C6955" s="68"/>
      <c r="D6955" s="68">
        <v>46445.0</v>
      </c>
      <c r="E6955" s="66">
        <v>3.0</v>
      </c>
      <c r="F6955" s="66" t="str">
        <f>IFERROR(__xludf.DUMMYFUNCTION("GOOGLETRANSLATE(A6955,""en"",""pt"")"),"#VALUE!")</f>
        <v>#VALUE!</v>
      </c>
      <c r="G6955" s="69"/>
    </row>
    <row r="6956" ht="22.5" customHeight="1">
      <c r="A6956" s="66"/>
      <c r="B6956" s="67" t="str">
        <f t="shared" si="16"/>
        <v>M: </v>
      </c>
      <c r="C6956" s="68"/>
      <c r="D6956" s="68">
        <v>46445.0</v>
      </c>
      <c r="E6956" s="66">
        <v>4.0</v>
      </c>
      <c r="F6956" s="66" t="str">
        <f>IFERROR(__xludf.DUMMYFUNCTION("GOOGLETRANSLATE(A6956,""en"",""pt"")"),"#VALUE!")</f>
        <v>#VALUE!</v>
      </c>
      <c r="G6956" s="69"/>
    </row>
    <row r="6957" ht="22.5" customHeight="1">
      <c r="A6957" s="66"/>
      <c r="B6957" s="67" t="str">
        <f t="shared" si="16"/>
        <v>M: </v>
      </c>
      <c r="C6957" s="68"/>
      <c r="D6957" s="68">
        <v>46445.0</v>
      </c>
      <c r="E6957" s="66">
        <v>5.0</v>
      </c>
      <c r="F6957" s="66" t="str">
        <f>IFERROR(__xludf.DUMMYFUNCTION("GOOGLETRANSLATE(A6957,""en"",""pt"")"),"#VALUE!")</f>
        <v>#VALUE!</v>
      </c>
      <c r="G6957" s="69"/>
    </row>
    <row r="6958" ht="22.5" customHeight="1">
      <c r="A6958" s="66"/>
      <c r="B6958" s="67" t="str">
        <f t="shared" si="16"/>
        <v>M: </v>
      </c>
      <c r="C6958" s="68"/>
      <c r="D6958" s="68">
        <v>46445.0</v>
      </c>
      <c r="E6958" s="66">
        <v>6.0</v>
      </c>
      <c r="F6958" s="66" t="str">
        <f>IFERROR(__xludf.DUMMYFUNCTION("GOOGLETRANSLATE(A6958,""en"",""pt"")"),"#VALUE!")</f>
        <v>#VALUE!</v>
      </c>
      <c r="G6958" s="69"/>
    </row>
    <row r="6959" ht="22.5" customHeight="1">
      <c r="A6959" s="66"/>
      <c r="B6959" s="67" t="str">
        <f t="shared" si="16"/>
        <v>M: </v>
      </c>
      <c r="C6959" s="68"/>
      <c r="D6959" s="68">
        <v>46445.0</v>
      </c>
      <c r="E6959" s="66">
        <v>7.0</v>
      </c>
      <c r="F6959" s="66" t="str">
        <f>IFERROR(__xludf.DUMMYFUNCTION("GOOGLETRANSLATE(A6959,""en"",""pt"")"),"#VALUE!")</f>
        <v>#VALUE!</v>
      </c>
      <c r="G6959" s="69"/>
    </row>
    <row r="6960" ht="22.5" customHeight="1">
      <c r="A6960" s="66"/>
      <c r="B6960" s="67" t="str">
        <f t="shared" si="16"/>
        <v>M: </v>
      </c>
      <c r="C6960" s="68"/>
      <c r="D6960" s="68">
        <v>46445.0</v>
      </c>
      <c r="E6960" s="66">
        <v>8.0</v>
      </c>
      <c r="F6960" s="66" t="str">
        <f>IFERROR(__xludf.DUMMYFUNCTION("GOOGLETRANSLATE(A6960,""en"",""pt"")"),"#VALUE!")</f>
        <v>#VALUE!</v>
      </c>
      <c r="G6960" s="69"/>
    </row>
    <row r="6961" ht="22.5" customHeight="1">
      <c r="A6961" s="66"/>
      <c r="B6961" s="67" t="str">
        <f t="shared" si="16"/>
        <v>M: </v>
      </c>
      <c r="C6961" s="68"/>
      <c r="D6961" s="68">
        <v>46445.0</v>
      </c>
      <c r="E6961" s="66">
        <v>9.0</v>
      </c>
      <c r="F6961" s="66" t="str">
        <f>IFERROR(__xludf.DUMMYFUNCTION("GOOGLETRANSLATE(A6961,""en"",""pt"")"),"#VALUE!")</f>
        <v>#VALUE!</v>
      </c>
      <c r="G6961" s="69"/>
    </row>
    <row r="6962" ht="22.5" customHeight="1">
      <c r="A6962" s="66"/>
      <c r="B6962" s="67" t="str">
        <f t="shared" si="16"/>
        <v>M: </v>
      </c>
      <c r="C6962" s="68"/>
      <c r="D6962" s="68">
        <v>46446.0</v>
      </c>
      <c r="E6962" s="66">
        <v>10.0</v>
      </c>
      <c r="F6962" s="66" t="str">
        <f>IFERROR(__xludf.DUMMYFUNCTION("GOOGLETRANSLATE(A6962,""en"",""pt"")"),"#VALUE!")</f>
        <v>#VALUE!</v>
      </c>
      <c r="G6962" s="69"/>
    </row>
    <row r="6963" ht="22.5" customHeight="1">
      <c r="A6963" s="66"/>
      <c r="B6963" s="67" t="str">
        <f t="shared" si="16"/>
        <v>M: </v>
      </c>
      <c r="C6963" s="68"/>
      <c r="D6963" s="68">
        <v>46446.0</v>
      </c>
      <c r="E6963" s="66">
        <v>1.0</v>
      </c>
      <c r="F6963" s="66" t="str">
        <f>IFERROR(__xludf.DUMMYFUNCTION("GOOGLETRANSLATE(A6963,""en"",""pt"")"),"#VALUE!")</f>
        <v>#VALUE!</v>
      </c>
      <c r="G6963" s="69"/>
    </row>
    <row r="6964" ht="22.5" customHeight="1">
      <c r="A6964" s="66"/>
      <c r="B6964" s="67" t="str">
        <f t="shared" si="16"/>
        <v>M: </v>
      </c>
      <c r="C6964" s="68"/>
      <c r="D6964" s="68">
        <v>46446.0</v>
      </c>
      <c r="E6964" s="66">
        <v>2.0</v>
      </c>
      <c r="F6964" s="66" t="str">
        <f>IFERROR(__xludf.DUMMYFUNCTION("GOOGLETRANSLATE(A6964,""en"",""pt"")"),"#VALUE!")</f>
        <v>#VALUE!</v>
      </c>
      <c r="G6964" s="69"/>
    </row>
    <row r="6965" ht="22.5" customHeight="1">
      <c r="A6965" s="66"/>
      <c r="B6965" s="67" t="str">
        <f t="shared" si="16"/>
        <v>M: </v>
      </c>
      <c r="C6965" s="68"/>
      <c r="D6965" s="68">
        <v>46446.0</v>
      </c>
      <c r="E6965" s="66">
        <v>3.0</v>
      </c>
      <c r="F6965" s="66" t="str">
        <f>IFERROR(__xludf.DUMMYFUNCTION("GOOGLETRANSLATE(A6965,""en"",""pt"")"),"#VALUE!")</f>
        <v>#VALUE!</v>
      </c>
      <c r="G6965" s="69"/>
    </row>
    <row r="6966" ht="22.5" customHeight="1">
      <c r="A6966" s="66"/>
      <c r="B6966" s="67" t="str">
        <f t="shared" si="16"/>
        <v>M: </v>
      </c>
      <c r="C6966" s="68"/>
      <c r="D6966" s="68">
        <v>46446.0</v>
      </c>
      <c r="E6966" s="66">
        <v>4.0</v>
      </c>
      <c r="F6966" s="66" t="str">
        <f>IFERROR(__xludf.DUMMYFUNCTION("GOOGLETRANSLATE(A6966,""en"",""pt"")"),"#VALUE!")</f>
        <v>#VALUE!</v>
      </c>
      <c r="G6966" s="69"/>
    </row>
    <row r="6967" ht="22.5" customHeight="1">
      <c r="A6967" s="66"/>
      <c r="B6967" s="67" t="str">
        <f t="shared" si="16"/>
        <v>M: </v>
      </c>
      <c r="C6967" s="68"/>
      <c r="D6967" s="68">
        <v>46446.0</v>
      </c>
      <c r="E6967" s="66">
        <v>5.0</v>
      </c>
      <c r="F6967" s="66" t="str">
        <f>IFERROR(__xludf.DUMMYFUNCTION("GOOGLETRANSLATE(A6967,""en"",""pt"")"),"#VALUE!")</f>
        <v>#VALUE!</v>
      </c>
      <c r="G6967" s="69"/>
    </row>
    <row r="6968" ht="22.5" customHeight="1">
      <c r="A6968" s="66"/>
      <c r="B6968" s="67" t="str">
        <f t="shared" si="16"/>
        <v>M: </v>
      </c>
      <c r="C6968" s="68"/>
      <c r="D6968" s="68">
        <v>46446.0</v>
      </c>
      <c r="E6968" s="66">
        <v>6.0</v>
      </c>
      <c r="F6968" s="66" t="str">
        <f>IFERROR(__xludf.DUMMYFUNCTION("GOOGLETRANSLATE(A6968,""en"",""pt"")"),"#VALUE!")</f>
        <v>#VALUE!</v>
      </c>
      <c r="G6968" s="69"/>
    </row>
    <row r="6969" ht="22.5" customHeight="1">
      <c r="A6969" s="66"/>
      <c r="B6969" s="67" t="str">
        <f t="shared" si="16"/>
        <v>M: </v>
      </c>
      <c r="C6969" s="68"/>
      <c r="D6969" s="68">
        <v>46446.0</v>
      </c>
      <c r="E6969" s="66">
        <v>7.0</v>
      </c>
      <c r="F6969" s="66" t="str">
        <f>IFERROR(__xludf.DUMMYFUNCTION("GOOGLETRANSLATE(A6969,""en"",""pt"")"),"#VALUE!")</f>
        <v>#VALUE!</v>
      </c>
      <c r="G6969" s="69"/>
    </row>
    <row r="6970" ht="22.5" customHeight="1">
      <c r="A6970" s="66"/>
      <c r="B6970" s="67" t="str">
        <f t="shared" si="16"/>
        <v>M: </v>
      </c>
      <c r="C6970" s="68"/>
      <c r="D6970" s="68">
        <v>46446.0</v>
      </c>
      <c r="E6970" s="66">
        <v>8.0</v>
      </c>
      <c r="F6970" s="66" t="str">
        <f>IFERROR(__xludf.DUMMYFUNCTION("GOOGLETRANSLATE(A6970,""en"",""pt"")"),"#VALUE!")</f>
        <v>#VALUE!</v>
      </c>
      <c r="G6970" s="69"/>
    </row>
    <row r="6971" ht="22.5" customHeight="1">
      <c r="A6971" s="66"/>
      <c r="B6971" s="67" t="str">
        <f t="shared" si="16"/>
        <v>M: </v>
      </c>
      <c r="C6971" s="68"/>
      <c r="D6971" s="68">
        <v>46446.0</v>
      </c>
      <c r="E6971" s="66">
        <v>9.0</v>
      </c>
      <c r="F6971" s="66" t="str">
        <f>IFERROR(__xludf.DUMMYFUNCTION("GOOGLETRANSLATE(A6971,""en"",""pt"")"),"#VALUE!")</f>
        <v>#VALUE!</v>
      </c>
      <c r="G6971" s="69"/>
    </row>
    <row r="6972" ht="22.5" customHeight="1">
      <c r="A6972" s="66"/>
      <c r="B6972" s="67" t="str">
        <f t="shared" si="16"/>
        <v>M: </v>
      </c>
      <c r="C6972" s="68"/>
      <c r="D6972" s="68">
        <v>46447.0</v>
      </c>
      <c r="E6972" s="66">
        <v>10.0</v>
      </c>
      <c r="F6972" s="66" t="str">
        <f>IFERROR(__xludf.DUMMYFUNCTION("GOOGLETRANSLATE(A6972,""en"",""pt"")"),"#VALUE!")</f>
        <v>#VALUE!</v>
      </c>
      <c r="G6972" s="69"/>
    </row>
    <row r="6973" ht="22.5" customHeight="1">
      <c r="A6973" s="66"/>
      <c r="B6973" s="67" t="str">
        <f t="shared" si="16"/>
        <v>M: </v>
      </c>
      <c r="C6973" s="68"/>
      <c r="D6973" s="68">
        <v>46447.0</v>
      </c>
      <c r="E6973" s="66">
        <v>1.0</v>
      </c>
      <c r="F6973" s="66" t="str">
        <f>IFERROR(__xludf.DUMMYFUNCTION("GOOGLETRANSLATE(A6973,""en"",""pt"")"),"#VALUE!")</f>
        <v>#VALUE!</v>
      </c>
      <c r="G6973" s="69"/>
    </row>
    <row r="6974" ht="22.5" customHeight="1">
      <c r="A6974" s="66"/>
      <c r="B6974" s="67" t="str">
        <f t="shared" si="16"/>
        <v>M: </v>
      </c>
      <c r="C6974" s="68"/>
      <c r="D6974" s="68">
        <v>46447.0</v>
      </c>
      <c r="E6974" s="66">
        <v>2.0</v>
      </c>
      <c r="F6974" s="66" t="str">
        <f>IFERROR(__xludf.DUMMYFUNCTION("GOOGLETRANSLATE(A6974,""en"",""pt"")"),"#VALUE!")</f>
        <v>#VALUE!</v>
      </c>
      <c r="G6974" s="69"/>
    </row>
    <row r="6975" ht="22.5" customHeight="1">
      <c r="A6975" s="66"/>
      <c r="B6975" s="67" t="str">
        <f t="shared" si="16"/>
        <v>M: </v>
      </c>
      <c r="C6975" s="68"/>
      <c r="D6975" s="68">
        <v>46447.0</v>
      </c>
      <c r="E6975" s="66">
        <v>3.0</v>
      </c>
      <c r="F6975" s="66" t="str">
        <f>IFERROR(__xludf.DUMMYFUNCTION("GOOGLETRANSLATE(A6975,""en"",""pt"")"),"#VALUE!")</f>
        <v>#VALUE!</v>
      </c>
      <c r="G6975" s="69"/>
    </row>
    <row r="6976" ht="22.5" customHeight="1">
      <c r="A6976" s="66"/>
      <c r="B6976" s="67" t="str">
        <f t="shared" si="16"/>
        <v>M: </v>
      </c>
      <c r="C6976" s="68"/>
      <c r="D6976" s="68">
        <v>46447.0</v>
      </c>
      <c r="E6976" s="66">
        <v>4.0</v>
      </c>
      <c r="F6976" s="66" t="str">
        <f>IFERROR(__xludf.DUMMYFUNCTION("GOOGLETRANSLATE(A6976,""en"",""pt"")"),"#VALUE!")</f>
        <v>#VALUE!</v>
      </c>
      <c r="G6976" s="69"/>
    </row>
    <row r="6977" ht="22.5" customHeight="1">
      <c r="A6977" s="66"/>
      <c r="B6977" s="67" t="str">
        <f t="shared" si="16"/>
        <v>M: </v>
      </c>
      <c r="C6977" s="68"/>
      <c r="D6977" s="68">
        <v>46447.0</v>
      </c>
      <c r="E6977" s="66">
        <v>5.0</v>
      </c>
      <c r="F6977" s="66" t="str">
        <f>IFERROR(__xludf.DUMMYFUNCTION("GOOGLETRANSLATE(A6977,""en"",""pt"")"),"#VALUE!")</f>
        <v>#VALUE!</v>
      </c>
      <c r="G6977" s="69"/>
    </row>
    <row r="6978" ht="22.5" customHeight="1">
      <c r="A6978" s="66"/>
      <c r="B6978" s="67" t="str">
        <f t="shared" si="16"/>
        <v>M: </v>
      </c>
      <c r="C6978" s="68"/>
      <c r="D6978" s="68">
        <v>46447.0</v>
      </c>
      <c r="E6978" s="66">
        <v>6.0</v>
      </c>
      <c r="F6978" s="66" t="str">
        <f>IFERROR(__xludf.DUMMYFUNCTION("GOOGLETRANSLATE(A6978,""en"",""pt"")"),"#VALUE!")</f>
        <v>#VALUE!</v>
      </c>
      <c r="G6978" s="69"/>
    </row>
    <row r="6979" ht="22.5" customHeight="1">
      <c r="A6979" s="66"/>
      <c r="B6979" s="67" t="str">
        <f t="shared" si="16"/>
        <v>M: </v>
      </c>
      <c r="C6979" s="68"/>
      <c r="D6979" s="68">
        <v>46447.0</v>
      </c>
      <c r="E6979" s="66">
        <v>7.0</v>
      </c>
      <c r="F6979" s="66" t="str">
        <f>IFERROR(__xludf.DUMMYFUNCTION("GOOGLETRANSLATE(A6979,""en"",""pt"")"),"#VALUE!")</f>
        <v>#VALUE!</v>
      </c>
      <c r="G6979" s="69"/>
    </row>
    <row r="6980" ht="22.5" customHeight="1">
      <c r="A6980" s="66"/>
      <c r="B6980" s="67" t="str">
        <f t="shared" si="16"/>
        <v>M: </v>
      </c>
      <c r="C6980" s="68"/>
      <c r="D6980" s="68">
        <v>46447.0</v>
      </c>
      <c r="E6980" s="66">
        <v>8.0</v>
      </c>
      <c r="F6980" s="66" t="str">
        <f>IFERROR(__xludf.DUMMYFUNCTION("GOOGLETRANSLATE(A6980,""en"",""pt"")"),"#VALUE!")</f>
        <v>#VALUE!</v>
      </c>
      <c r="G6980" s="69"/>
    </row>
    <row r="6981" ht="22.5" customHeight="1">
      <c r="A6981" s="66"/>
      <c r="B6981" s="67" t="str">
        <f t="shared" si="16"/>
        <v>M: </v>
      </c>
      <c r="C6981" s="68"/>
      <c r="D6981" s="68">
        <v>46447.0</v>
      </c>
      <c r="E6981" s="66">
        <v>9.0</v>
      </c>
      <c r="F6981" s="66" t="str">
        <f>IFERROR(__xludf.DUMMYFUNCTION("GOOGLETRANSLATE(A6981,""en"",""pt"")"),"#VALUE!")</f>
        <v>#VALUE!</v>
      </c>
      <c r="G6981" s="69"/>
    </row>
    <row r="6982" ht="22.5" customHeight="1">
      <c r="A6982" s="66"/>
      <c r="B6982" s="67" t="str">
        <f t="shared" si="16"/>
        <v>M: </v>
      </c>
      <c r="C6982" s="68"/>
      <c r="D6982" s="68">
        <v>46448.0</v>
      </c>
      <c r="E6982" s="66">
        <v>10.0</v>
      </c>
      <c r="F6982" s="66" t="str">
        <f>IFERROR(__xludf.DUMMYFUNCTION("GOOGLETRANSLATE(A6982,""en"",""pt"")"),"#VALUE!")</f>
        <v>#VALUE!</v>
      </c>
      <c r="G6982" s="69"/>
    </row>
    <row r="6983" ht="22.5" customHeight="1">
      <c r="A6983" s="66"/>
      <c r="B6983" s="67" t="str">
        <f t="shared" si="16"/>
        <v>M: </v>
      </c>
      <c r="C6983" s="68"/>
      <c r="D6983" s="68">
        <v>46448.0</v>
      </c>
      <c r="E6983" s="66">
        <v>1.0</v>
      </c>
      <c r="F6983" s="66" t="str">
        <f>IFERROR(__xludf.DUMMYFUNCTION("GOOGLETRANSLATE(A6983,""en"",""pt"")"),"#VALUE!")</f>
        <v>#VALUE!</v>
      </c>
      <c r="G6983" s="69"/>
    </row>
    <row r="6984" ht="22.5" customHeight="1">
      <c r="A6984" s="66"/>
      <c r="B6984" s="67" t="str">
        <f t="shared" si="16"/>
        <v>M: </v>
      </c>
      <c r="C6984" s="68"/>
      <c r="D6984" s="68">
        <v>46448.0</v>
      </c>
      <c r="E6984" s="66">
        <v>2.0</v>
      </c>
      <c r="F6984" s="66" t="str">
        <f>IFERROR(__xludf.DUMMYFUNCTION("GOOGLETRANSLATE(A6984,""en"",""pt"")"),"#VALUE!")</f>
        <v>#VALUE!</v>
      </c>
      <c r="G6984" s="69"/>
    </row>
    <row r="6985" ht="22.5" customHeight="1">
      <c r="A6985" s="66"/>
      <c r="B6985" s="67" t="str">
        <f t="shared" si="16"/>
        <v>M: </v>
      </c>
      <c r="C6985" s="68"/>
      <c r="D6985" s="68">
        <v>46448.0</v>
      </c>
      <c r="E6985" s="66">
        <v>3.0</v>
      </c>
      <c r="F6985" s="66" t="str">
        <f>IFERROR(__xludf.DUMMYFUNCTION("GOOGLETRANSLATE(A6985,""en"",""pt"")"),"#VALUE!")</f>
        <v>#VALUE!</v>
      </c>
      <c r="G6985" s="69"/>
    </row>
    <row r="6986" ht="22.5" customHeight="1">
      <c r="A6986" s="66"/>
      <c r="B6986" s="67" t="str">
        <f t="shared" si="16"/>
        <v>M: </v>
      </c>
      <c r="C6986" s="68"/>
      <c r="D6986" s="68">
        <v>46448.0</v>
      </c>
      <c r="E6986" s="66">
        <v>4.0</v>
      </c>
      <c r="F6986" s="66" t="str">
        <f>IFERROR(__xludf.DUMMYFUNCTION("GOOGLETRANSLATE(A6986,""en"",""pt"")"),"#VALUE!")</f>
        <v>#VALUE!</v>
      </c>
      <c r="G6986" s="69"/>
    </row>
    <row r="6987" ht="22.5" customHeight="1">
      <c r="A6987" s="66"/>
      <c r="B6987" s="67" t="str">
        <f t="shared" si="16"/>
        <v>M: </v>
      </c>
      <c r="C6987" s="68"/>
      <c r="D6987" s="68">
        <v>46448.0</v>
      </c>
      <c r="E6987" s="66">
        <v>5.0</v>
      </c>
      <c r="F6987" s="66" t="str">
        <f>IFERROR(__xludf.DUMMYFUNCTION("GOOGLETRANSLATE(A6987,""en"",""pt"")"),"#VALUE!")</f>
        <v>#VALUE!</v>
      </c>
      <c r="G6987" s="69"/>
    </row>
    <row r="6988" ht="22.5" customHeight="1">
      <c r="A6988" s="66"/>
      <c r="B6988" s="67" t="str">
        <f t="shared" si="16"/>
        <v>M: </v>
      </c>
      <c r="C6988" s="68"/>
      <c r="D6988" s="68">
        <v>46448.0</v>
      </c>
      <c r="E6988" s="66">
        <v>6.0</v>
      </c>
      <c r="F6988" s="66" t="str">
        <f>IFERROR(__xludf.DUMMYFUNCTION("GOOGLETRANSLATE(A6988,""en"",""pt"")"),"#VALUE!")</f>
        <v>#VALUE!</v>
      </c>
      <c r="G6988" s="69"/>
    </row>
    <row r="6989" ht="22.5" customHeight="1">
      <c r="A6989" s="66"/>
      <c r="B6989" s="67" t="str">
        <f t="shared" si="16"/>
        <v>M: </v>
      </c>
      <c r="C6989" s="68"/>
      <c r="D6989" s="68">
        <v>46448.0</v>
      </c>
      <c r="E6989" s="66">
        <v>7.0</v>
      </c>
      <c r="F6989" s="66" t="str">
        <f>IFERROR(__xludf.DUMMYFUNCTION("GOOGLETRANSLATE(A6989,""en"",""pt"")"),"#VALUE!")</f>
        <v>#VALUE!</v>
      </c>
      <c r="G6989" s="69"/>
    </row>
    <row r="6990" ht="22.5" customHeight="1">
      <c r="A6990" s="66"/>
      <c r="B6990" s="67" t="str">
        <f t="shared" si="16"/>
        <v>M: </v>
      </c>
      <c r="C6990" s="68"/>
      <c r="D6990" s="68">
        <v>46448.0</v>
      </c>
      <c r="E6990" s="66">
        <v>8.0</v>
      </c>
      <c r="F6990" s="66" t="str">
        <f>IFERROR(__xludf.DUMMYFUNCTION("GOOGLETRANSLATE(A6990,""en"",""pt"")"),"#VALUE!")</f>
        <v>#VALUE!</v>
      </c>
      <c r="G6990" s="69"/>
    </row>
    <row r="6991" ht="22.5" customHeight="1">
      <c r="A6991" s="66"/>
      <c r="B6991" s="67" t="str">
        <f t="shared" si="16"/>
        <v>M: </v>
      </c>
      <c r="C6991" s="68"/>
      <c r="D6991" s="68">
        <v>46448.0</v>
      </c>
      <c r="E6991" s="66">
        <v>9.0</v>
      </c>
      <c r="F6991" s="66" t="str">
        <f>IFERROR(__xludf.DUMMYFUNCTION("GOOGLETRANSLATE(A6991,""en"",""pt"")"),"#VALUE!")</f>
        <v>#VALUE!</v>
      </c>
      <c r="G6991" s="69"/>
    </row>
    <row r="6992" ht="22.5" customHeight="1">
      <c r="A6992" s="66"/>
      <c r="B6992" s="67" t="str">
        <f t="shared" si="16"/>
        <v>M: </v>
      </c>
      <c r="C6992" s="68"/>
      <c r="D6992" s="68">
        <v>46449.0</v>
      </c>
      <c r="E6992" s="66">
        <v>10.0</v>
      </c>
      <c r="F6992" s="66" t="str">
        <f>IFERROR(__xludf.DUMMYFUNCTION("GOOGLETRANSLATE(A6992,""en"",""pt"")"),"#VALUE!")</f>
        <v>#VALUE!</v>
      </c>
      <c r="G6992" s="69"/>
    </row>
    <row r="6993" ht="22.5" customHeight="1">
      <c r="A6993" s="66"/>
      <c r="B6993" s="67" t="str">
        <f t="shared" si="16"/>
        <v>M: </v>
      </c>
      <c r="C6993" s="68"/>
      <c r="D6993" s="68">
        <v>46449.0</v>
      </c>
      <c r="E6993" s="66">
        <v>1.0</v>
      </c>
      <c r="F6993" s="66" t="str">
        <f>IFERROR(__xludf.DUMMYFUNCTION("GOOGLETRANSLATE(A6993,""en"",""pt"")"),"#VALUE!")</f>
        <v>#VALUE!</v>
      </c>
      <c r="G6993" s="69"/>
    </row>
    <row r="6994" ht="22.5" customHeight="1">
      <c r="A6994" s="66"/>
      <c r="B6994" s="67" t="str">
        <f t="shared" si="16"/>
        <v>M: </v>
      </c>
      <c r="C6994" s="68"/>
      <c r="D6994" s="68">
        <v>46449.0</v>
      </c>
      <c r="E6994" s="66">
        <v>2.0</v>
      </c>
      <c r="F6994" s="66" t="str">
        <f>IFERROR(__xludf.DUMMYFUNCTION("GOOGLETRANSLATE(A6994,""en"",""pt"")"),"#VALUE!")</f>
        <v>#VALUE!</v>
      </c>
      <c r="G6994" s="69"/>
    </row>
    <row r="6995" ht="22.5" customHeight="1">
      <c r="A6995" s="66"/>
      <c r="B6995" s="67" t="str">
        <f t="shared" si="16"/>
        <v>M: </v>
      </c>
      <c r="C6995" s="68"/>
      <c r="D6995" s="68">
        <v>46449.0</v>
      </c>
      <c r="E6995" s="66">
        <v>3.0</v>
      </c>
      <c r="F6995" s="66" t="str">
        <f>IFERROR(__xludf.DUMMYFUNCTION("GOOGLETRANSLATE(A6995,""en"",""pt"")"),"#VALUE!")</f>
        <v>#VALUE!</v>
      </c>
      <c r="G6995" s="69"/>
    </row>
    <row r="6996" ht="22.5" customHeight="1">
      <c r="A6996" s="66"/>
      <c r="B6996" s="67" t="str">
        <f t="shared" si="16"/>
        <v>M: </v>
      </c>
      <c r="C6996" s="68"/>
      <c r="D6996" s="68">
        <v>46449.0</v>
      </c>
      <c r="E6996" s="66">
        <v>4.0</v>
      </c>
      <c r="F6996" s="66" t="str">
        <f>IFERROR(__xludf.DUMMYFUNCTION("GOOGLETRANSLATE(A6996,""en"",""pt"")"),"#VALUE!")</f>
        <v>#VALUE!</v>
      </c>
      <c r="G6996" s="69"/>
    </row>
    <row r="6997" ht="22.5" customHeight="1">
      <c r="A6997" s="66"/>
      <c r="B6997" s="67" t="str">
        <f t="shared" si="16"/>
        <v>M: </v>
      </c>
      <c r="C6997" s="68"/>
      <c r="D6997" s="68">
        <v>46449.0</v>
      </c>
      <c r="E6997" s="66">
        <v>5.0</v>
      </c>
      <c r="F6997" s="66" t="str">
        <f>IFERROR(__xludf.DUMMYFUNCTION("GOOGLETRANSLATE(A6997,""en"",""pt"")"),"#VALUE!")</f>
        <v>#VALUE!</v>
      </c>
      <c r="G6997" s="69"/>
    </row>
    <row r="6998" ht="22.5" customHeight="1">
      <c r="A6998" s="66"/>
      <c r="B6998" s="67" t="str">
        <f t="shared" si="16"/>
        <v>M: </v>
      </c>
      <c r="C6998" s="68"/>
      <c r="D6998" s="68">
        <v>46449.0</v>
      </c>
      <c r="E6998" s="66">
        <v>6.0</v>
      </c>
      <c r="F6998" s="66" t="str">
        <f>IFERROR(__xludf.DUMMYFUNCTION("GOOGLETRANSLATE(A6998,""en"",""pt"")"),"#VALUE!")</f>
        <v>#VALUE!</v>
      </c>
      <c r="G6998" s="69"/>
    </row>
    <row r="6999" ht="22.5" customHeight="1">
      <c r="A6999" s="66"/>
      <c r="B6999" s="67" t="str">
        <f t="shared" si="16"/>
        <v>M: </v>
      </c>
      <c r="C6999" s="68"/>
      <c r="D6999" s="68">
        <v>46449.0</v>
      </c>
      <c r="E6999" s="66">
        <v>7.0</v>
      </c>
      <c r="F6999" s="66" t="str">
        <f>IFERROR(__xludf.DUMMYFUNCTION("GOOGLETRANSLATE(A6999,""en"",""pt"")"),"#VALUE!")</f>
        <v>#VALUE!</v>
      </c>
      <c r="G6999" s="69"/>
    </row>
    <row r="7000" ht="22.5" customHeight="1">
      <c r="A7000" s="66"/>
      <c r="B7000" s="67" t="str">
        <f t="shared" si="16"/>
        <v>M: </v>
      </c>
      <c r="C7000" s="68"/>
      <c r="D7000" s="68">
        <v>46449.0</v>
      </c>
      <c r="E7000" s="66">
        <v>8.0</v>
      </c>
      <c r="F7000" s="66" t="str">
        <f>IFERROR(__xludf.DUMMYFUNCTION("GOOGLETRANSLATE(A7000,""en"",""pt"")"),"#VALUE!")</f>
        <v>#VALUE!</v>
      </c>
      <c r="G7000" s="69"/>
    </row>
    <row r="7001" ht="22.5" customHeight="1">
      <c r="A7001" s="66"/>
      <c r="B7001" s="67" t="str">
        <f t="shared" si="16"/>
        <v>M: </v>
      </c>
      <c r="C7001" s="68"/>
      <c r="D7001" s="68">
        <v>46449.0</v>
      </c>
      <c r="E7001" s="66">
        <v>9.0</v>
      </c>
      <c r="F7001" s="66" t="str">
        <f>IFERROR(__xludf.DUMMYFUNCTION("GOOGLETRANSLATE(A7001,""en"",""pt"")"),"#VALUE!")</f>
        <v>#VALUE!</v>
      </c>
      <c r="G7001" s="69"/>
    </row>
    <row r="7002" ht="22.5" customHeight="1">
      <c r="A7002" s="66"/>
      <c r="B7002" s="67" t="str">
        <f t="shared" si="16"/>
        <v>M: </v>
      </c>
      <c r="C7002" s="68"/>
      <c r="D7002" s="68">
        <v>46450.0</v>
      </c>
      <c r="E7002" s="66">
        <v>10.0</v>
      </c>
      <c r="F7002" s="66" t="str">
        <f>IFERROR(__xludf.DUMMYFUNCTION("GOOGLETRANSLATE(A7002,""en"",""pt"")"),"#VALUE!")</f>
        <v>#VALUE!</v>
      </c>
      <c r="G7002" s="69"/>
    </row>
    <row r="7003" ht="22.5" customHeight="1">
      <c r="A7003" s="66"/>
      <c r="B7003" s="67" t="str">
        <f t="shared" si="16"/>
        <v>M: </v>
      </c>
      <c r="C7003" s="68"/>
      <c r="D7003" s="68">
        <v>46450.0</v>
      </c>
      <c r="E7003" s="66">
        <v>1.0</v>
      </c>
      <c r="F7003" s="66" t="str">
        <f>IFERROR(__xludf.DUMMYFUNCTION("GOOGLETRANSLATE(A7003,""en"",""pt"")"),"#VALUE!")</f>
        <v>#VALUE!</v>
      </c>
      <c r="G7003" s="69"/>
    </row>
    <row r="7004" ht="22.5" customHeight="1">
      <c r="A7004" s="66"/>
      <c r="B7004" s="67" t="str">
        <f t="shared" si="16"/>
        <v>M: </v>
      </c>
      <c r="C7004" s="68"/>
      <c r="D7004" s="68">
        <v>46450.0</v>
      </c>
      <c r="E7004" s="66">
        <v>2.0</v>
      </c>
      <c r="F7004" s="66" t="str">
        <f>IFERROR(__xludf.DUMMYFUNCTION("GOOGLETRANSLATE(A7004,""en"",""pt"")"),"#VALUE!")</f>
        <v>#VALUE!</v>
      </c>
      <c r="G7004" s="69"/>
    </row>
    <row r="7005" ht="22.5" customHeight="1">
      <c r="A7005" s="66"/>
      <c r="B7005" s="67" t="str">
        <f t="shared" si="16"/>
        <v>M: </v>
      </c>
      <c r="C7005" s="68"/>
      <c r="D7005" s="68">
        <v>46450.0</v>
      </c>
      <c r="E7005" s="66">
        <v>3.0</v>
      </c>
      <c r="F7005" s="66" t="str">
        <f>IFERROR(__xludf.DUMMYFUNCTION("GOOGLETRANSLATE(A7005,""en"",""pt"")"),"#VALUE!")</f>
        <v>#VALUE!</v>
      </c>
      <c r="G7005" s="69"/>
    </row>
    <row r="7006" ht="22.5" customHeight="1">
      <c r="A7006" s="66"/>
      <c r="B7006" s="67" t="str">
        <f t="shared" si="16"/>
        <v>M: </v>
      </c>
      <c r="C7006" s="68"/>
      <c r="D7006" s="68">
        <v>46450.0</v>
      </c>
      <c r="E7006" s="66">
        <v>4.0</v>
      </c>
      <c r="F7006" s="66" t="str">
        <f>IFERROR(__xludf.DUMMYFUNCTION("GOOGLETRANSLATE(A7006,""en"",""pt"")"),"#VALUE!")</f>
        <v>#VALUE!</v>
      </c>
      <c r="G7006" s="69"/>
    </row>
    <row r="7007" ht="22.5" customHeight="1">
      <c r="A7007" s="66"/>
      <c r="B7007" s="67" t="str">
        <f t="shared" si="16"/>
        <v>M: </v>
      </c>
      <c r="C7007" s="68"/>
      <c r="D7007" s="68">
        <v>46450.0</v>
      </c>
      <c r="E7007" s="66">
        <v>5.0</v>
      </c>
      <c r="F7007" s="66" t="str">
        <f>IFERROR(__xludf.DUMMYFUNCTION("GOOGLETRANSLATE(A7007,""en"",""pt"")"),"#VALUE!")</f>
        <v>#VALUE!</v>
      </c>
      <c r="G7007" s="69"/>
    </row>
    <row r="7008" ht="22.5" customHeight="1">
      <c r="A7008" s="66"/>
      <c r="B7008" s="67" t="str">
        <f t="shared" si="16"/>
        <v>M: </v>
      </c>
      <c r="C7008" s="68"/>
      <c r="D7008" s="68">
        <v>46450.0</v>
      </c>
      <c r="E7008" s="66">
        <v>6.0</v>
      </c>
      <c r="F7008" s="66" t="str">
        <f>IFERROR(__xludf.DUMMYFUNCTION("GOOGLETRANSLATE(A7008,""en"",""pt"")"),"#VALUE!")</f>
        <v>#VALUE!</v>
      </c>
      <c r="G7008" s="69"/>
    </row>
    <row r="7009" ht="22.5" customHeight="1">
      <c r="A7009" s="66"/>
      <c r="B7009" s="67" t="str">
        <f t="shared" si="16"/>
        <v>M: </v>
      </c>
      <c r="C7009" s="68"/>
      <c r="D7009" s="68">
        <v>46450.0</v>
      </c>
      <c r="E7009" s="66">
        <v>7.0</v>
      </c>
      <c r="F7009" s="66" t="str">
        <f>IFERROR(__xludf.DUMMYFUNCTION("GOOGLETRANSLATE(A7009,""en"",""pt"")"),"#VALUE!")</f>
        <v>#VALUE!</v>
      </c>
      <c r="G7009" s="69"/>
    </row>
    <row r="7010" ht="22.5" customHeight="1">
      <c r="A7010" s="66"/>
      <c r="B7010" s="67" t="str">
        <f t="shared" si="16"/>
        <v>M: </v>
      </c>
      <c r="C7010" s="68"/>
      <c r="D7010" s="68">
        <v>46450.0</v>
      </c>
      <c r="E7010" s="66">
        <v>8.0</v>
      </c>
      <c r="F7010" s="66" t="str">
        <f>IFERROR(__xludf.DUMMYFUNCTION("GOOGLETRANSLATE(A7010,""en"",""pt"")"),"#VALUE!")</f>
        <v>#VALUE!</v>
      </c>
      <c r="G7010" s="69"/>
    </row>
    <row r="7011" ht="22.5" customHeight="1">
      <c r="A7011" s="66"/>
      <c r="B7011" s="67" t="str">
        <f t="shared" si="16"/>
        <v>M: </v>
      </c>
      <c r="C7011" s="68"/>
      <c r="D7011" s="68">
        <v>46450.0</v>
      </c>
      <c r="E7011" s="66">
        <v>9.0</v>
      </c>
      <c r="F7011" s="66" t="str">
        <f>IFERROR(__xludf.DUMMYFUNCTION("GOOGLETRANSLATE(A7011,""en"",""pt"")"),"#VALUE!")</f>
        <v>#VALUE!</v>
      </c>
      <c r="G7011" s="69"/>
    </row>
    <row r="7012" ht="22.5" customHeight="1">
      <c r="A7012" s="66"/>
      <c r="B7012" s="67" t="str">
        <f t="shared" si="16"/>
        <v>M: </v>
      </c>
      <c r="C7012" s="68"/>
      <c r="D7012" s="68">
        <v>46451.0</v>
      </c>
      <c r="E7012" s="66">
        <v>10.0</v>
      </c>
      <c r="F7012" s="66" t="str">
        <f>IFERROR(__xludf.DUMMYFUNCTION("GOOGLETRANSLATE(A7012,""en"",""pt"")"),"#VALUE!")</f>
        <v>#VALUE!</v>
      </c>
      <c r="G7012" s="69"/>
    </row>
    <row r="7013" ht="22.5" customHeight="1">
      <c r="A7013" s="66"/>
      <c r="B7013" s="67" t="str">
        <f t="shared" si="16"/>
        <v>M: </v>
      </c>
      <c r="C7013" s="68"/>
      <c r="D7013" s="68">
        <v>46451.0</v>
      </c>
      <c r="E7013" s="66">
        <v>1.0</v>
      </c>
      <c r="F7013" s="66" t="str">
        <f>IFERROR(__xludf.DUMMYFUNCTION("GOOGLETRANSLATE(A7013,""en"",""pt"")"),"#VALUE!")</f>
        <v>#VALUE!</v>
      </c>
      <c r="G7013" s="69"/>
    </row>
    <row r="7014" ht="22.5" customHeight="1">
      <c r="A7014" s="66"/>
      <c r="B7014" s="67" t="str">
        <f t="shared" si="16"/>
        <v>M: </v>
      </c>
      <c r="C7014" s="68"/>
      <c r="D7014" s="68">
        <v>46451.0</v>
      </c>
      <c r="E7014" s="66">
        <v>2.0</v>
      </c>
      <c r="F7014" s="66" t="str">
        <f>IFERROR(__xludf.DUMMYFUNCTION("GOOGLETRANSLATE(A7014,""en"",""pt"")"),"#VALUE!")</f>
        <v>#VALUE!</v>
      </c>
      <c r="G7014" s="69"/>
    </row>
    <row r="7015" ht="22.5" customHeight="1">
      <c r="A7015" s="66"/>
      <c r="B7015" s="67" t="str">
        <f t="shared" si="16"/>
        <v>M: </v>
      </c>
      <c r="C7015" s="68"/>
      <c r="D7015" s="68">
        <v>46451.0</v>
      </c>
      <c r="E7015" s="66">
        <v>3.0</v>
      </c>
      <c r="F7015" s="66" t="str">
        <f>IFERROR(__xludf.DUMMYFUNCTION("GOOGLETRANSLATE(A7015,""en"",""pt"")"),"#VALUE!")</f>
        <v>#VALUE!</v>
      </c>
      <c r="G7015" s="69"/>
    </row>
    <row r="7016" ht="22.5" customHeight="1">
      <c r="A7016" s="66"/>
      <c r="B7016" s="67" t="str">
        <f t="shared" si="16"/>
        <v>M: </v>
      </c>
      <c r="C7016" s="68"/>
      <c r="D7016" s="68">
        <v>46451.0</v>
      </c>
      <c r="E7016" s="66">
        <v>4.0</v>
      </c>
      <c r="F7016" s="66" t="str">
        <f>IFERROR(__xludf.DUMMYFUNCTION("GOOGLETRANSLATE(A7016,""en"",""pt"")"),"#VALUE!")</f>
        <v>#VALUE!</v>
      </c>
      <c r="G7016" s="69"/>
    </row>
    <row r="7017" ht="22.5" customHeight="1">
      <c r="A7017" s="66"/>
      <c r="B7017" s="67" t="str">
        <f t="shared" si="16"/>
        <v>M: </v>
      </c>
      <c r="C7017" s="68"/>
      <c r="D7017" s="68">
        <v>46451.0</v>
      </c>
      <c r="E7017" s="66">
        <v>5.0</v>
      </c>
      <c r="F7017" s="66" t="str">
        <f>IFERROR(__xludf.DUMMYFUNCTION("GOOGLETRANSLATE(A7017,""en"",""pt"")"),"#VALUE!")</f>
        <v>#VALUE!</v>
      </c>
      <c r="G7017" s="69"/>
    </row>
    <row r="7018" ht="22.5" customHeight="1">
      <c r="A7018" s="66"/>
      <c r="B7018" s="67" t="str">
        <f t="shared" si="16"/>
        <v>M: </v>
      </c>
      <c r="C7018" s="68"/>
      <c r="D7018" s="68">
        <v>46451.0</v>
      </c>
      <c r="E7018" s="66">
        <v>6.0</v>
      </c>
      <c r="F7018" s="66" t="str">
        <f>IFERROR(__xludf.DUMMYFUNCTION("GOOGLETRANSLATE(A7018,""en"",""pt"")"),"#VALUE!")</f>
        <v>#VALUE!</v>
      </c>
      <c r="G7018" s="69"/>
    </row>
    <row r="7019" ht="22.5" customHeight="1">
      <c r="A7019" s="66"/>
      <c r="B7019" s="67" t="str">
        <f t="shared" si="16"/>
        <v>M: </v>
      </c>
      <c r="C7019" s="68"/>
      <c r="D7019" s="68">
        <v>46451.0</v>
      </c>
      <c r="E7019" s="66">
        <v>7.0</v>
      </c>
      <c r="F7019" s="66" t="str">
        <f>IFERROR(__xludf.DUMMYFUNCTION("GOOGLETRANSLATE(A7019,""en"",""pt"")"),"#VALUE!")</f>
        <v>#VALUE!</v>
      </c>
      <c r="G7019" s="69"/>
    </row>
    <row r="7020" ht="22.5" customHeight="1">
      <c r="A7020" s="66"/>
      <c r="B7020" s="67" t="str">
        <f t="shared" si="16"/>
        <v>M: </v>
      </c>
      <c r="C7020" s="68"/>
      <c r="D7020" s="68">
        <v>46451.0</v>
      </c>
      <c r="E7020" s="66">
        <v>8.0</v>
      </c>
      <c r="F7020" s="66" t="str">
        <f>IFERROR(__xludf.DUMMYFUNCTION("GOOGLETRANSLATE(A7020,""en"",""pt"")"),"#VALUE!")</f>
        <v>#VALUE!</v>
      </c>
      <c r="G7020" s="69"/>
    </row>
    <row r="7021" ht="22.5" customHeight="1">
      <c r="A7021" s="66"/>
      <c r="B7021" s="67" t="str">
        <f t="shared" si="16"/>
        <v>M: </v>
      </c>
      <c r="C7021" s="68"/>
      <c r="D7021" s="68">
        <v>46451.0</v>
      </c>
      <c r="E7021" s="66">
        <v>9.0</v>
      </c>
      <c r="F7021" s="66" t="str">
        <f>IFERROR(__xludf.DUMMYFUNCTION("GOOGLETRANSLATE(A7021,""en"",""pt"")"),"#VALUE!")</f>
        <v>#VALUE!</v>
      </c>
      <c r="G7021" s="69"/>
    </row>
    <row r="7022" ht="22.5" customHeight="1">
      <c r="A7022" s="66"/>
      <c r="B7022" s="67" t="str">
        <f t="shared" si="16"/>
        <v>M: </v>
      </c>
      <c r="C7022" s="68"/>
      <c r="D7022" s="68">
        <v>46452.0</v>
      </c>
      <c r="E7022" s="66">
        <v>10.0</v>
      </c>
      <c r="F7022" s="66" t="str">
        <f>IFERROR(__xludf.DUMMYFUNCTION("GOOGLETRANSLATE(A7022,""en"",""pt"")"),"#VALUE!")</f>
        <v>#VALUE!</v>
      </c>
      <c r="G7022" s="69"/>
    </row>
    <row r="7023" ht="22.5" customHeight="1">
      <c r="A7023" s="66"/>
      <c r="B7023" s="67" t="str">
        <f t="shared" si="16"/>
        <v>M: </v>
      </c>
      <c r="C7023" s="68"/>
      <c r="D7023" s="68">
        <v>46452.0</v>
      </c>
      <c r="E7023" s="66">
        <v>1.0</v>
      </c>
      <c r="F7023" s="66" t="str">
        <f>IFERROR(__xludf.DUMMYFUNCTION("GOOGLETRANSLATE(A7023,""en"",""pt"")"),"#VALUE!")</f>
        <v>#VALUE!</v>
      </c>
      <c r="G7023" s="69"/>
    </row>
    <row r="7024" ht="22.5" customHeight="1">
      <c r="A7024" s="66"/>
      <c r="B7024" s="67" t="str">
        <f t="shared" si="16"/>
        <v>M: </v>
      </c>
      <c r="C7024" s="68"/>
      <c r="D7024" s="68">
        <v>46452.0</v>
      </c>
      <c r="E7024" s="66">
        <v>2.0</v>
      </c>
      <c r="F7024" s="66" t="str">
        <f>IFERROR(__xludf.DUMMYFUNCTION("GOOGLETRANSLATE(A7024,""en"",""pt"")"),"#VALUE!")</f>
        <v>#VALUE!</v>
      </c>
      <c r="G7024" s="69"/>
    </row>
    <row r="7025" ht="22.5" customHeight="1">
      <c r="A7025" s="66"/>
      <c r="B7025" s="67" t="str">
        <f t="shared" si="16"/>
        <v>M: </v>
      </c>
      <c r="C7025" s="68"/>
      <c r="D7025" s="68">
        <v>46452.0</v>
      </c>
      <c r="E7025" s="66">
        <v>3.0</v>
      </c>
      <c r="F7025" s="66" t="str">
        <f>IFERROR(__xludf.DUMMYFUNCTION("GOOGLETRANSLATE(A7025,""en"",""pt"")"),"#VALUE!")</f>
        <v>#VALUE!</v>
      </c>
      <c r="G7025" s="69"/>
    </row>
    <row r="7026" ht="22.5" customHeight="1">
      <c r="A7026" s="66"/>
      <c r="B7026" s="67" t="str">
        <f t="shared" si="16"/>
        <v>M: </v>
      </c>
      <c r="C7026" s="68"/>
      <c r="D7026" s="68">
        <v>46452.0</v>
      </c>
      <c r="E7026" s="66">
        <v>4.0</v>
      </c>
      <c r="F7026" s="66" t="str">
        <f>IFERROR(__xludf.DUMMYFUNCTION("GOOGLETRANSLATE(A7026,""en"",""pt"")"),"#VALUE!")</f>
        <v>#VALUE!</v>
      </c>
      <c r="G7026" s="69"/>
    </row>
    <row r="7027" ht="22.5" customHeight="1">
      <c r="A7027" s="66"/>
      <c r="B7027" s="67" t="str">
        <f t="shared" si="16"/>
        <v>M: </v>
      </c>
      <c r="C7027" s="68"/>
      <c r="D7027" s="68">
        <v>46452.0</v>
      </c>
      <c r="E7027" s="66">
        <v>5.0</v>
      </c>
      <c r="F7027" s="66" t="str">
        <f>IFERROR(__xludf.DUMMYFUNCTION("GOOGLETRANSLATE(A7027,""en"",""pt"")"),"#VALUE!")</f>
        <v>#VALUE!</v>
      </c>
      <c r="G7027" s="69"/>
    </row>
    <row r="7028" ht="22.5" customHeight="1">
      <c r="A7028" s="66"/>
      <c r="B7028" s="67" t="str">
        <f t="shared" si="16"/>
        <v>M: </v>
      </c>
      <c r="C7028" s="68"/>
      <c r="D7028" s="68">
        <v>46452.0</v>
      </c>
      <c r="E7028" s="66">
        <v>6.0</v>
      </c>
      <c r="F7028" s="66" t="str">
        <f>IFERROR(__xludf.DUMMYFUNCTION("GOOGLETRANSLATE(A7028,""en"",""pt"")"),"#VALUE!")</f>
        <v>#VALUE!</v>
      </c>
      <c r="G7028" s="69"/>
    </row>
    <row r="7029" ht="22.5" customHeight="1">
      <c r="A7029" s="66"/>
      <c r="B7029" s="67" t="str">
        <f t="shared" si="16"/>
        <v>M: </v>
      </c>
      <c r="C7029" s="68"/>
      <c r="D7029" s="68">
        <v>46452.0</v>
      </c>
      <c r="E7029" s="66">
        <v>7.0</v>
      </c>
      <c r="F7029" s="66" t="str">
        <f>IFERROR(__xludf.DUMMYFUNCTION("GOOGLETRANSLATE(A7029,""en"",""pt"")"),"#VALUE!")</f>
        <v>#VALUE!</v>
      </c>
      <c r="G7029" s="69"/>
    </row>
    <row r="7030" ht="22.5" customHeight="1">
      <c r="A7030" s="66"/>
      <c r="B7030" s="67" t="str">
        <f t="shared" si="16"/>
        <v>M: </v>
      </c>
      <c r="C7030" s="68"/>
      <c r="D7030" s="68">
        <v>46452.0</v>
      </c>
      <c r="E7030" s="66">
        <v>8.0</v>
      </c>
      <c r="F7030" s="66" t="str">
        <f>IFERROR(__xludf.DUMMYFUNCTION("GOOGLETRANSLATE(A7030,""en"",""pt"")"),"#VALUE!")</f>
        <v>#VALUE!</v>
      </c>
      <c r="G7030" s="69"/>
    </row>
    <row r="7031" ht="22.5" customHeight="1">
      <c r="A7031" s="66"/>
      <c r="B7031" s="67" t="str">
        <f t="shared" si="16"/>
        <v>M: </v>
      </c>
      <c r="C7031" s="68"/>
      <c r="D7031" s="68">
        <v>46452.0</v>
      </c>
      <c r="E7031" s="66">
        <v>9.0</v>
      </c>
      <c r="F7031" s="66" t="str">
        <f>IFERROR(__xludf.DUMMYFUNCTION("GOOGLETRANSLATE(A7031,""en"",""pt"")"),"#VALUE!")</f>
        <v>#VALUE!</v>
      </c>
      <c r="G7031" s="69"/>
    </row>
    <row r="7032" ht="22.5" customHeight="1">
      <c r="A7032" s="66"/>
      <c r="B7032" s="67" t="str">
        <f t="shared" si="16"/>
        <v>M: </v>
      </c>
      <c r="C7032" s="68"/>
      <c r="D7032" s="68">
        <v>46453.0</v>
      </c>
      <c r="E7032" s="66">
        <v>10.0</v>
      </c>
      <c r="F7032" s="66" t="str">
        <f>IFERROR(__xludf.DUMMYFUNCTION("GOOGLETRANSLATE(A7032,""en"",""pt"")"),"#VALUE!")</f>
        <v>#VALUE!</v>
      </c>
      <c r="G7032" s="69"/>
    </row>
    <row r="7033" ht="22.5" customHeight="1">
      <c r="A7033" s="66"/>
      <c r="B7033" s="67" t="str">
        <f t="shared" si="16"/>
        <v>M: </v>
      </c>
      <c r="C7033" s="68"/>
      <c r="D7033" s="68">
        <v>46453.0</v>
      </c>
      <c r="E7033" s="66">
        <v>1.0</v>
      </c>
      <c r="F7033" s="66" t="str">
        <f>IFERROR(__xludf.DUMMYFUNCTION("GOOGLETRANSLATE(A7033,""en"",""pt"")"),"#VALUE!")</f>
        <v>#VALUE!</v>
      </c>
      <c r="G7033" s="69"/>
    </row>
    <row r="7034" ht="22.5" customHeight="1">
      <c r="A7034" s="66"/>
      <c r="B7034" s="67" t="str">
        <f t="shared" si="16"/>
        <v>M: </v>
      </c>
      <c r="C7034" s="68"/>
      <c r="D7034" s="68">
        <v>46453.0</v>
      </c>
      <c r="E7034" s="66">
        <v>2.0</v>
      </c>
      <c r="F7034" s="66" t="str">
        <f>IFERROR(__xludf.DUMMYFUNCTION("GOOGLETRANSLATE(A7034,""en"",""pt"")"),"#VALUE!")</f>
        <v>#VALUE!</v>
      </c>
      <c r="G7034" s="69"/>
    </row>
    <row r="7035" ht="22.5" customHeight="1">
      <c r="A7035" s="66"/>
      <c r="B7035" s="67" t="str">
        <f t="shared" si="16"/>
        <v>M: </v>
      </c>
      <c r="C7035" s="68"/>
      <c r="D7035" s="68">
        <v>46453.0</v>
      </c>
      <c r="E7035" s="66">
        <v>3.0</v>
      </c>
      <c r="F7035" s="66" t="str">
        <f>IFERROR(__xludf.DUMMYFUNCTION("GOOGLETRANSLATE(A7035,""en"",""pt"")"),"#VALUE!")</f>
        <v>#VALUE!</v>
      </c>
      <c r="G7035" s="69"/>
    </row>
    <row r="7036" ht="22.5" customHeight="1">
      <c r="A7036" s="66"/>
      <c r="B7036" s="67" t="str">
        <f t="shared" si="16"/>
        <v>M: </v>
      </c>
      <c r="C7036" s="68"/>
      <c r="D7036" s="68">
        <v>46453.0</v>
      </c>
      <c r="E7036" s="66">
        <v>4.0</v>
      </c>
      <c r="F7036" s="66" t="str">
        <f>IFERROR(__xludf.DUMMYFUNCTION("GOOGLETRANSLATE(A7036,""en"",""pt"")"),"#VALUE!")</f>
        <v>#VALUE!</v>
      </c>
      <c r="G7036" s="69"/>
    </row>
    <row r="7037" ht="22.5" customHeight="1">
      <c r="A7037" s="66"/>
      <c r="B7037" s="67" t="str">
        <f t="shared" si="16"/>
        <v>M: </v>
      </c>
      <c r="C7037" s="68"/>
      <c r="D7037" s="68">
        <v>46453.0</v>
      </c>
      <c r="E7037" s="66">
        <v>5.0</v>
      </c>
      <c r="F7037" s="66" t="str">
        <f>IFERROR(__xludf.DUMMYFUNCTION("GOOGLETRANSLATE(A7037,""en"",""pt"")"),"#VALUE!")</f>
        <v>#VALUE!</v>
      </c>
      <c r="G7037" s="69"/>
    </row>
    <row r="7038" ht="22.5" customHeight="1">
      <c r="A7038" s="66"/>
      <c r="B7038" s="67" t="str">
        <f t="shared" si="16"/>
        <v>M: </v>
      </c>
      <c r="C7038" s="68"/>
      <c r="D7038" s="68">
        <v>46453.0</v>
      </c>
      <c r="E7038" s="66">
        <v>6.0</v>
      </c>
      <c r="F7038" s="66" t="str">
        <f>IFERROR(__xludf.DUMMYFUNCTION("GOOGLETRANSLATE(A7038,""en"",""pt"")"),"#VALUE!")</f>
        <v>#VALUE!</v>
      </c>
      <c r="G7038" s="69"/>
    </row>
    <row r="7039" ht="22.5" customHeight="1">
      <c r="A7039" s="66"/>
      <c r="B7039" s="67" t="str">
        <f t="shared" si="16"/>
        <v>M: </v>
      </c>
      <c r="C7039" s="68"/>
      <c r="D7039" s="68">
        <v>46453.0</v>
      </c>
      <c r="E7039" s="66">
        <v>7.0</v>
      </c>
      <c r="F7039" s="66" t="str">
        <f>IFERROR(__xludf.DUMMYFUNCTION("GOOGLETRANSLATE(A7039,""en"",""pt"")"),"#VALUE!")</f>
        <v>#VALUE!</v>
      </c>
      <c r="G7039" s="69"/>
    </row>
    <row r="7040" ht="22.5" customHeight="1">
      <c r="A7040" s="66"/>
      <c r="B7040" s="67" t="str">
        <f t="shared" si="16"/>
        <v>M: </v>
      </c>
      <c r="C7040" s="68"/>
      <c r="D7040" s="68">
        <v>46453.0</v>
      </c>
      <c r="E7040" s="66">
        <v>8.0</v>
      </c>
      <c r="F7040" s="66" t="str">
        <f>IFERROR(__xludf.DUMMYFUNCTION("GOOGLETRANSLATE(A7040,""en"",""pt"")"),"#VALUE!")</f>
        <v>#VALUE!</v>
      </c>
      <c r="G7040" s="69"/>
    </row>
    <row r="7041" ht="22.5" customHeight="1">
      <c r="A7041" s="66"/>
      <c r="B7041" s="67" t="str">
        <f t="shared" si="16"/>
        <v>M: </v>
      </c>
      <c r="C7041" s="68"/>
      <c r="D7041" s="68">
        <v>46453.0</v>
      </c>
      <c r="E7041" s="66">
        <v>9.0</v>
      </c>
      <c r="F7041" s="66" t="str">
        <f>IFERROR(__xludf.DUMMYFUNCTION("GOOGLETRANSLATE(A7041,""en"",""pt"")"),"#VALUE!")</f>
        <v>#VALUE!</v>
      </c>
      <c r="G7041" s="69"/>
    </row>
    <row r="7042" ht="22.5" customHeight="1">
      <c r="A7042" s="66"/>
      <c r="B7042" s="67" t="str">
        <f t="shared" si="16"/>
        <v>M: </v>
      </c>
      <c r="C7042" s="68"/>
      <c r="D7042" s="68">
        <v>46454.0</v>
      </c>
      <c r="E7042" s="66">
        <v>10.0</v>
      </c>
      <c r="F7042" s="66" t="str">
        <f>IFERROR(__xludf.DUMMYFUNCTION("GOOGLETRANSLATE(A7042,""en"",""pt"")"),"#VALUE!")</f>
        <v>#VALUE!</v>
      </c>
      <c r="G7042" s="69"/>
    </row>
    <row r="7043" ht="22.5" customHeight="1">
      <c r="A7043" s="66"/>
      <c r="B7043" s="67" t="str">
        <f t="shared" si="16"/>
        <v>M: </v>
      </c>
      <c r="C7043" s="68"/>
      <c r="D7043" s="68">
        <v>46454.0</v>
      </c>
      <c r="E7043" s="66">
        <v>1.0</v>
      </c>
      <c r="F7043" s="66" t="str">
        <f>IFERROR(__xludf.DUMMYFUNCTION("GOOGLETRANSLATE(A7043,""en"",""pt"")"),"#VALUE!")</f>
        <v>#VALUE!</v>
      </c>
      <c r="G7043" s="69"/>
    </row>
    <row r="7044" ht="22.5" customHeight="1">
      <c r="A7044" s="66"/>
      <c r="B7044" s="67" t="str">
        <f t="shared" si="16"/>
        <v>M: </v>
      </c>
      <c r="C7044" s="68"/>
      <c r="D7044" s="68">
        <v>46454.0</v>
      </c>
      <c r="E7044" s="66">
        <v>2.0</v>
      </c>
      <c r="F7044" s="66" t="str">
        <f>IFERROR(__xludf.DUMMYFUNCTION("GOOGLETRANSLATE(A7044,""en"",""pt"")"),"#VALUE!")</f>
        <v>#VALUE!</v>
      </c>
      <c r="G7044" s="69"/>
    </row>
    <row r="7045" ht="22.5" customHeight="1">
      <c r="A7045" s="66"/>
      <c r="B7045" s="67" t="str">
        <f t="shared" si="16"/>
        <v>M: </v>
      </c>
      <c r="C7045" s="68"/>
      <c r="D7045" s="68">
        <v>46454.0</v>
      </c>
      <c r="E7045" s="66">
        <v>3.0</v>
      </c>
      <c r="F7045" s="66" t="str">
        <f>IFERROR(__xludf.DUMMYFUNCTION("GOOGLETRANSLATE(A7045,""en"",""pt"")"),"#VALUE!")</f>
        <v>#VALUE!</v>
      </c>
      <c r="G7045" s="69"/>
    </row>
    <row r="7046" ht="22.5" customHeight="1">
      <c r="A7046" s="66"/>
      <c r="B7046" s="67" t="str">
        <f t="shared" si="16"/>
        <v>M: </v>
      </c>
      <c r="C7046" s="68"/>
      <c r="D7046" s="68">
        <v>46454.0</v>
      </c>
      <c r="E7046" s="66">
        <v>4.0</v>
      </c>
      <c r="F7046" s="66" t="str">
        <f>IFERROR(__xludf.DUMMYFUNCTION("GOOGLETRANSLATE(A7046,""en"",""pt"")"),"#VALUE!")</f>
        <v>#VALUE!</v>
      </c>
      <c r="G7046" s="69"/>
    </row>
    <row r="7047" ht="22.5" customHeight="1">
      <c r="A7047" s="66"/>
      <c r="B7047" s="67" t="str">
        <f t="shared" si="16"/>
        <v>M: </v>
      </c>
      <c r="C7047" s="68"/>
      <c r="D7047" s="68">
        <v>46454.0</v>
      </c>
      <c r="E7047" s="66">
        <v>5.0</v>
      </c>
      <c r="F7047" s="66" t="str">
        <f>IFERROR(__xludf.DUMMYFUNCTION("GOOGLETRANSLATE(A7047,""en"",""pt"")"),"#VALUE!")</f>
        <v>#VALUE!</v>
      </c>
      <c r="G7047" s="69"/>
    </row>
    <row r="7048" ht="22.5" customHeight="1">
      <c r="A7048" s="66"/>
      <c r="B7048" s="67" t="str">
        <f t="shared" si="16"/>
        <v>M: </v>
      </c>
      <c r="C7048" s="68"/>
      <c r="D7048" s="68">
        <v>46454.0</v>
      </c>
      <c r="E7048" s="66">
        <v>6.0</v>
      </c>
      <c r="F7048" s="66" t="str">
        <f>IFERROR(__xludf.DUMMYFUNCTION("GOOGLETRANSLATE(A7048,""en"",""pt"")"),"#VALUE!")</f>
        <v>#VALUE!</v>
      </c>
      <c r="G7048" s="69"/>
    </row>
    <row r="7049" ht="22.5" customHeight="1">
      <c r="A7049" s="66"/>
      <c r="B7049" s="67" t="str">
        <f t="shared" si="16"/>
        <v>M: </v>
      </c>
      <c r="C7049" s="68"/>
      <c r="D7049" s="68">
        <v>46454.0</v>
      </c>
      <c r="E7049" s="66">
        <v>7.0</v>
      </c>
      <c r="F7049" s="66" t="str">
        <f>IFERROR(__xludf.DUMMYFUNCTION("GOOGLETRANSLATE(A7049,""en"",""pt"")"),"#VALUE!")</f>
        <v>#VALUE!</v>
      </c>
      <c r="G7049" s="69"/>
    </row>
    <row r="7050" ht="22.5" customHeight="1">
      <c r="A7050" s="66"/>
      <c r="B7050" s="67" t="str">
        <f t="shared" si="16"/>
        <v>M: </v>
      </c>
      <c r="C7050" s="68"/>
      <c r="D7050" s="68">
        <v>46454.0</v>
      </c>
      <c r="E7050" s="66">
        <v>8.0</v>
      </c>
      <c r="F7050" s="66" t="str">
        <f>IFERROR(__xludf.DUMMYFUNCTION("GOOGLETRANSLATE(A7050,""en"",""pt"")"),"#VALUE!")</f>
        <v>#VALUE!</v>
      </c>
      <c r="G7050" s="69"/>
    </row>
    <row r="7051" ht="22.5" customHeight="1">
      <c r="A7051" s="66"/>
      <c r="B7051" s="67" t="str">
        <f t="shared" si="16"/>
        <v>M: </v>
      </c>
      <c r="C7051" s="68"/>
      <c r="D7051" s="68">
        <v>46454.0</v>
      </c>
      <c r="E7051" s="66">
        <v>9.0</v>
      </c>
      <c r="F7051" s="66" t="str">
        <f>IFERROR(__xludf.DUMMYFUNCTION("GOOGLETRANSLATE(A7051,""en"",""pt"")"),"#VALUE!")</f>
        <v>#VALUE!</v>
      </c>
      <c r="G7051" s="69"/>
    </row>
    <row r="7052" ht="22.5" customHeight="1">
      <c r="A7052" s="66"/>
      <c r="B7052" s="67" t="str">
        <f t="shared" si="16"/>
        <v>M: </v>
      </c>
      <c r="C7052" s="68"/>
      <c r="D7052" s="68">
        <v>46455.0</v>
      </c>
      <c r="E7052" s="66">
        <v>10.0</v>
      </c>
      <c r="F7052" s="66" t="str">
        <f>IFERROR(__xludf.DUMMYFUNCTION("GOOGLETRANSLATE(A7052,""en"",""pt"")"),"#VALUE!")</f>
        <v>#VALUE!</v>
      </c>
      <c r="G7052" s="69"/>
    </row>
    <row r="7053" ht="22.5" customHeight="1">
      <c r="A7053" s="66"/>
      <c r="B7053" s="67" t="str">
        <f t="shared" si="16"/>
        <v>M: </v>
      </c>
      <c r="C7053" s="68"/>
      <c r="D7053" s="68">
        <v>46455.0</v>
      </c>
      <c r="E7053" s="66">
        <v>1.0</v>
      </c>
      <c r="F7053" s="66" t="str">
        <f>IFERROR(__xludf.DUMMYFUNCTION("GOOGLETRANSLATE(A7053,""en"",""pt"")"),"#VALUE!")</f>
        <v>#VALUE!</v>
      </c>
      <c r="G7053" s="69"/>
    </row>
    <row r="7054" ht="22.5" customHeight="1">
      <c r="A7054" s="66"/>
      <c r="B7054" s="67" t="str">
        <f t="shared" si="16"/>
        <v>M: </v>
      </c>
      <c r="C7054" s="68"/>
      <c r="D7054" s="68">
        <v>46455.0</v>
      </c>
      <c r="E7054" s="66">
        <v>2.0</v>
      </c>
      <c r="F7054" s="66" t="str">
        <f>IFERROR(__xludf.DUMMYFUNCTION("GOOGLETRANSLATE(A7054,""en"",""pt"")"),"#VALUE!")</f>
        <v>#VALUE!</v>
      </c>
      <c r="G7054" s="69"/>
    </row>
    <row r="7055" ht="22.5" customHeight="1">
      <c r="A7055" s="66"/>
      <c r="B7055" s="67" t="str">
        <f t="shared" si="16"/>
        <v>M: </v>
      </c>
      <c r="C7055" s="68"/>
      <c r="D7055" s="68">
        <v>46455.0</v>
      </c>
      <c r="E7055" s="66">
        <v>3.0</v>
      </c>
      <c r="F7055" s="66" t="str">
        <f>IFERROR(__xludf.DUMMYFUNCTION("GOOGLETRANSLATE(A7055,""en"",""pt"")"),"#VALUE!")</f>
        <v>#VALUE!</v>
      </c>
      <c r="G7055" s="69"/>
    </row>
    <row r="7056" ht="22.5" customHeight="1">
      <c r="A7056" s="66"/>
      <c r="B7056" s="67" t="str">
        <f t="shared" si="16"/>
        <v>M: </v>
      </c>
      <c r="C7056" s="68"/>
      <c r="D7056" s="68">
        <v>46455.0</v>
      </c>
      <c r="E7056" s="66">
        <v>4.0</v>
      </c>
      <c r="F7056" s="66" t="str">
        <f>IFERROR(__xludf.DUMMYFUNCTION("GOOGLETRANSLATE(A7056,""en"",""pt"")"),"#VALUE!")</f>
        <v>#VALUE!</v>
      </c>
      <c r="G7056" s="69"/>
    </row>
    <row r="7057" ht="22.5" customHeight="1">
      <c r="A7057" s="66"/>
      <c r="B7057" s="67" t="str">
        <f t="shared" si="16"/>
        <v>M: </v>
      </c>
      <c r="C7057" s="68"/>
      <c r="D7057" s="68">
        <v>46455.0</v>
      </c>
      <c r="E7057" s="66">
        <v>5.0</v>
      </c>
      <c r="F7057" s="66" t="str">
        <f>IFERROR(__xludf.DUMMYFUNCTION("GOOGLETRANSLATE(A7057,""en"",""pt"")"),"#VALUE!")</f>
        <v>#VALUE!</v>
      </c>
      <c r="G7057" s="69"/>
    </row>
    <row r="7058" ht="22.5" customHeight="1">
      <c r="A7058" s="66"/>
      <c r="B7058" s="67" t="str">
        <f t="shared" si="16"/>
        <v>M: </v>
      </c>
      <c r="C7058" s="68"/>
      <c r="D7058" s="68">
        <v>46455.0</v>
      </c>
      <c r="E7058" s="66">
        <v>6.0</v>
      </c>
      <c r="F7058" s="66" t="str">
        <f>IFERROR(__xludf.DUMMYFUNCTION("GOOGLETRANSLATE(A7058,""en"",""pt"")"),"#VALUE!")</f>
        <v>#VALUE!</v>
      </c>
      <c r="G7058" s="69"/>
    </row>
    <row r="7059" ht="22.5" customHeight="1">
      <c r="A7059" s="66"/>
      <c r="B7059" s="67" t="str">
        <f t="shared" si="16"/>
        <v>M: </v>
      </c>
      <c r="C7059" s="68"/>
      <c r="D7059" s="68">
        <v>46455.0</v>
      </c>
      <c r="E7059" s="66">
        <v>7.0</v>
      </c>
      <c r="F7059" s="66" t="str">
        <f>IFERROR(__xludf.DUMMYFUNCTION("GOOGLETRANSLATE(A7059,""en"",""pt"")"),"#VALUE!")</f>
        <v>#VALUE!</v>
      </c>
      <c r="G7059" s="69"/>
    </row>
    <row r="7060" ht="22.5" customHeight="1">
      <c r="A7060" s="66"/>
      <c r="B7060" s="67" t="str">
        <f t="shared" si="16"/>
        <v>M: </v>
      </c>
      <c r="C7060" s="68"/>
      <c r="D7060" s="68">
        <v>46455.0</v>
      </c>
      <c r="E7060" s="66">
        <v>8.0</v>
      </c>
      <c r="F7060" s="66" t="str">
        <f>IFERROR(__xludf.DUMMYFUNCTION("GOOGLETRANSLATE(A7060,""en"",""pt"")"),"#VALUE!")</f>
        <v>#VALUE!</v>
      </c>
      <c r="G7060" s="69"/>
    </row>
    <row r="7061" ht="22.5" customHeight="1">
      <c r="A7061" s="66"/>
      <c r="B7061" s="67" t="str">
        <f t="shared" si="16"/>
        <v>M: </v>
      </c>
      <c r="C7061" s="68"/>
      <c r="D7061" s="68">
        <v>46455.0</v>
      </c>
      <c r="E7061" s="66">
        <v>9.0</v>
      </c>
      <c r="F7061" s="66" t="str">
        <f>IFERROR(__xludf.DUMMYFUNCTION("GOOGLETRANSLATE(A7061,""en"",""pt"")"),"#VALUE!")</f>
        <v>#VALUE!</v>
      </c>
      <c r="G7061" s="69"/>
    </row>
    <row r="7062" ht="22.5" customHeight="1">
      <c r="A7062" s="66"/>
      <c r="B7062" s="67" t="str">
        <f t="shared" si="16"/>
        <v>M: </v>
      </c>
      <c r="C7062" s="68"/>
      <c r="D7062" s="68">
        <v>46456.0</v>
      </c>
      <c r="E7062" s="66">
        <v>10.0</v>
      </c>
      <c r="F7062" s="66" t="str">
        <f>IFERROR(__xludf.DUMMYFUNCTION("GOOGLETRANSLATE(A7062,""en"",""pt"")"),"#VALUE!")</f>
        <v>#VALUE!</v>
      </c>
      <c r="G7062" s="69"/>
    </row>
    <row r="7063" ht="22.5" customHeight="1">
      <c r="A7063" s="66"/>
      <c r="B7063" s="67" t="str">
        <f t="shared" si="16"/>
        <v>M: </v>
      </c>
      <c r="C7063" s="68"/>
      <c r="D7063" s="68">
        <v>46456.0</v>
      </c>
      <c r="E7063" s="66">
        <v>1.0</v>
      </c>
      <c r="F7063" s="66" t="str">
        <f>IFERROR(__xludf.DUMMYFUNCTION("GOOGLETRANSLATE(A7063,""en"",""pt"")"),"#VALUE!")</f>
        <v>#VALUE!</v>
      </c>
      <c r="G7063" s="69"/>
    </row>
    <row r="7064" ht="22.5" customHeight="1">
      <c r="A7064" s="66"/>
      <c r="B7064" s="67" t="str">
        <f t="shared" si="16"/>
        <v>M: </v>
      </c>
      <c r="C7064" s="68"/>
      <c r="D7064" s="68">
        <v>46456.0</v>
      </c>
      <c r="E7064" s="66">
        <v>2.0</v>
      </c>
      <c r="F7064" s="66" t="str">
        <f>IFERROR(__xludf.DUMMYFUNCTION("GOOGLETRANSLATE(A7064,""en"",""pt"")"),"#VALUE!")</f>
        <v>#VALUE!</v>
      </c>
      <c r="G7064" s="69"/>
    </row>
    <row r="7065" ht="22.5" customHeight="1">
      <c r="A7065" s="66"/>
      <c r="B7065" s="67" t="str">
        <f t="shared" si="16"/>
        <v>M: </v>
      </c>
      <c r="C7065" s="68"/>
      <c r="D7065" s="68">
        <v>46456.0</v>
      </c>
      <c r="E7065" s="66">
        <v>3.0</v>
      </c>
      <c r="F7065" s="66" t="str">
        <f>IFERROR(__xludf.DUMMYFUNCTION("GOOGLETRANSLATE(A7065,""en"",""pt"")"),"#VALUE!")</f>
        <v>#VALUE!</v>
      </c>
      <c r="G7065" s="69"/>
    </row>
    <row r="7066" ht="22.5" customHeight="1">
      <c r="A7066" s="66"/>
      <c r="B7066" s="67" t="str">
        <f t="shared" si="16"/>
        <v>M: </v>
      </c>
      <c r="C7066" s="68"/>
      <c r="D7066" s="68">
        <v>46456.0</v>
      </c>
      <c r="E7066" s="66">
        <v>4.0</v>
      </c>
      <c r="F7066" s="66" t="str">
        <f>IFERROR(__xludf.DUMMYFUNCTION("GOOGLETRANSLATE(A7066,""en"",""pt"")"),"#VALUE!")</f>
        <v>#VALUE!</v>
      </c>
      <c r="G7066" s="69"/>
    </row>
    <row r="7067" ht="22.5" customHeight="1">
      <c r="A7067" s="66"/>
      <c r="B7067" s="67" t="str">
        <f t="shared" si="16"/>
        <v>M: </v>
      </c>
      <c r="C7067" s="68"/>
      <c r="D7067" s="68">
        <v>46456.0</v>
      </c>
      <c r="E7067" s="66">
        <v>5.0</v>
      </c>
      <c r="F7067" s="66" t="str">
        <f>IFERROR(__xludf.DUMMYFUNCTION("GOOGLETRANSLATE(A7067,""en"",""pt"")"),"#VALUE!")</f>
        <v>#VALUE!</v>
      </c>
      <c r="G7067" s="69"/>
    </row>
    <row r="7068" ht="22.5" customHeight="1">
      <c r="A7068" s="66"/>
      <c r="B7068" s="67" t="str">
        <f t="shared" si="16"/>
        <v>M: </v>
      </c>
      <c r="C7068" s="68"/>
      <c r="D7068" s="68">
        <v>46456.0</v>
      </c>
      <c r="E7068" s="66">
        <v>6.0</v>
      </c>
      <c r="F7068" s="66" t="str">
        <f>IFERROR(__xludf.DUMMYFUNCTION("GOOGLETRANSLATE(A7068,""en"",""pt"")"),"#VALUE!")</f>
        <v>#VALUE!</v>
      </c>
      <c r="G7068" s="69"/>
    </row>
    <row r="7069" ht="22.5" customHeight="1">
      <c r="A7069" s="66"/>
      <c r="B7069" s="67" t="str">
        <f t="shared" si="16"/>
        <v>M: </v>
      </c>
      <c r="C7069" s="68"/>
      <c r="D7069" s="68">
        <v>46456.0</v>
      </c>
      <c r="E7069" s="66">
        <v>7.0</v>
      </c>
      <c r="F7069" s="66" t="str">
        <f>IFERROR(__xludf.DUMMYFUNCTION("GOOGLETRANSLATE(A7069,""en"",""pt"")"),"#VALUE!")</f>
        <v>#VALUE!</v>
      </c>
      <c r="G7069" s="69"/>
    </row>
    <row r="7070" ht="22.5" customHeight="1">
      <c r="A7070" s="66"/>
      <c r="B7070" s="67" t="str">
        <f t="shared" si="16"/>
        <v>M: </v>
      </c>
      <c r="C7070" s="68"/>
      <c r="D7070" s="68">
        <v>46456.0</v>
      </c>
      <c r="E7070" s="66">
        <v>8.0</v>
      </c>
      <c r="F7070" s="66" t="str">
        <f>IFERROR(__xludf.DUMMYFUNCTION("GOOGLETRANSLATE(A7070,""en"",""pt"")"),"#VALUE!")</f>
        <v>#VALUE!</v>
      </c>
      <c r="G7070" s="69"/>
    </row>
    <row r="7071" ht="22.5" customHeight="1">
      <c r="A7071" s="66"/>
      <c r="B7071" s="67" t="str">
        <f t="shared" si="16"/>
        <v>M: </v>
      </c>
      <c r="C7071" s="68"/>
      <c r="D7071" s="68">
        <v>46456.0</v>
      </c>
      <c r="E7071" s="66">
        <v>9.0</v>
      </c>
      <c r="F7071" s="66" t="str">
        <f>IFERROR(__xludf.DUMMYFUNCTION("GOOGLETRANSLATE(A7071,""en"",""pt"")"),"#VALUE!")</f>
        <v>#VALUE!</v>
      </c>
      <c r="G7071" s="69"/>
    </row>
    <row r="7072" ht="22.5" customHeight="1">
      <c r="A7072" s="66"/>
      <c r="B7072" s="67" t="str">
        <f t="shared" si="16"/>
        <v>M: </v>
      </c>
      <c r="C7072" s="68"/>
      <c r="D7072" s="68">
        <v>46457.0</v>
      </c>
      <c r="E7072" s="66">
        <v>10.0</v>
      </c>
      <c r="F7072" s="66" t="str">
        <f>IFERROR(__xludf.DUMMYFUNCTION("GOOGLETRANSLATE(A7072,""en"",""pt"")"),"#VALUE!")</f>
        <v>#VALUE!</v>
      </c>
      <c r="G7072" s="69"/>
    </row>
    <row r="7073" ht="22.5" customHeight="1">
      <c r="A7073" s="66"/>
      <c r="B7073" s="67" t="str">
        <f t="shared" si="16"/>
        <v>M: </v>
      </c>
      <c r="C7073" s="68"/>
      <c r="D7073" s="68">
        <v>46457.0</v>
      </c>
      <c r="E7073" s="66">
        <v>1.0</v>
      </c>
      <c r="F7073" s="66" t="str">
        <f>IFERROR(__xludf.DUMMYFUNCTION("GOOGLETRANSLATE(A7073,""en"",""pt"")"),"#VALUE!")</f>
        <v>#VALUE!</v>
      </c>
      <c r="G7073" s="69"/>
    </row>
    <row r="7074" ht="22.5" customHeight="1">
      <c r="A7074" s="66"/>
      <c r="B7074" s="67" t="str">
        <f t="shared" si="16"/>
        <v>M: </v>
      </c>
      <c r="C7074" s="68"/>
      <c r="D7074" s="68">
        <v>46457.0</v>
      </c>
      <c r="E7074" s="66">
        <v>2.0</v>
      </c>
      <c r="F7074" s="66" t="str">
        <f>IFERROR(__xludf.DUMMYFUNCTION("GOOGLETRANSLATE(A7074,""en"",""pt"")"),"#VALUE!")</f>
        <v>#VALUE!</v>
      </c>
      <c r="G7074" s="69"/>
    </row>
    <row r="7075" ht="22.5" customHeight="1">
      <c r="A7075" s="66"/>
      <c r="B7075" s="67" t="str">
        <f t="shared" si="16"/>
        <v>M: </v>
      </c>
      <c r="C7075" s="68"/>
      <c r="D7075" s="68">
        <v>46457.0</v>
      </c>
      <c r="E7075" s="66">
        <v>3.0</v>
      </c>
      <c r="F7075" s="66" t="str">
        <f>IFERROR(__xludf.DUMMYFUNCTION("GOOGLETRANSLATE(A7075,""en"",""pt"")"),"#VALUE!")</f>
        <v>#VALUE!</v>
      </c>
      <c r="G7075" s="69"/>
    </row>
    <row r="7076" ht="22.5" customHeight="1">
      <c r="A7076" s="66"/>
      <c r="B7076" s="67" t="str">
        <f t="shared" si="16"/>
        <v>M: </v>
      </c>
      <c r="C7076" s="68"/>
      <c r="D7076" s="68">
        <v>46457.0</v>
      </c>
      <c r="E7076" s="66">
        <v>4.0</v>
      </c>
      <c r="F7076" s="66" t="str">
        <f>IFERROR(__xludf.DUMMYFUNCTION("GOOGLETRANSLATE(A7076,""en"",""pt"")"),"#VALUE!")</f>
        <v>#VALUE!</v>
      </c>
      <c r="G7076" s="69"/>
    </row>
    <row r="7077" ht="22.5" customHeight="1">
      <c r="A7077" s="66"/>
      <c r="B7077" s="67" t="str">
        <f t="shared" si="16"/>
        <v>M: </v>
      </c>
      <c r="C7077" s="68"/>
      <c r="D7077" s="68">
        <v>46457.0</v>
      </c>
      <c r="E7077" s="66">
        <v>5.0</v>
      </c>
      <c r="F7077" s="66" t="str">
        <f>IFERROR(__xludf.DUMMYFUNCTION("GOOGLETRANSLATE(A7077,""en"",""pt"")"),"#VALUE!")</f>
        <v>#VALUE!</v>
      </c>
      <c r="G7077" s="69"/>
    </row>
    <row r="7078" ht="22.5" customHeight="1">
      <c r="A7078" s="66"/>
      <c r="B7078" s="67" t="str">
        <f t="shared" si="16"/>
        <v>M: </v>
      </c>
      <c r="C7078" s="68"/>
      <c r="D7078" s="68">
        <v>46457.0</v>
      </c>
      <c r="E7078" s="66">
        <v>6.0</v>
      </c>
      <c r="F7078" s="66" t="str">
        <f>IFERROR(__xludf.DUMMYFUNCTION("GOOGLETRANSLATE(A7078,""en"",""pt"")"),"#VALUE!")</f>
        <v>#VALUE!</v>
      </c>
      <c r="G7078" s="69"/>
    </row>
    <row r="7079" ht="22.5" customHeight="1">
      <c r="A7079" s="66"/>
      <c r="B7079" s="67" t="str">
        <f t="shared" si="16"/>
        <v>M: </v>
      </c>
      <c r="C7079" s="68"/>
      <c r="D7079" s="68">
        <v>46457.0</v>
      </c>
      <c r="E7079" s="66">
        <v>7.0</v>
      </c>
      <c r="F7079" s="66" t="str">
        <f>IFERROR(__xludf.DUMMYFUNCTION("GOOGLETRANSLATE(A7079,""en"",""pt"")"),"#VALUE!")</f>
        <v>#VALUE!</v>
      </c>
      <c r="G7079" s="69"/>
    </row>
    <row r="7080" ht="22.5" customHeight="1">
      <c r="A7080" s="66"/>
      <c r="B7080" s="67" t="str">
        <f t="shared" si="16"/>
        <v>M: </v>
      </c>
      <c r="C7080" s="68"/>
      <c r="D7080" s="68">
        <v>46457.0</v>
      </c>
      <c r="E7080" s="66">
        <v>8.0</v>
      </c>
      <c r="F7080" s="66" t="str">
        <f>IFERROR(__xludf.DUMMYFUNCTION("GOOGLETRANSLATE(A7080,""en"",""pt"")"),"#VALUE!")</f>
        <v>#VALUE!</v>
      </c>
      <c r="G7080" s="69"/>
    </row>
    <row r="7081" ht="22.5" customHeight="1">
      <c r="A7081" s="66"/>
      <c r="B7081" s="67" t="str">
        <f t="shared" si="16"/>
        <v>M: </v>
      </c>
      <c r="C7081" s="68"/>
      <c r="D7081" s="68">
        <v>46457.0</v>
      </c>
      <c r="E7081" s="66">
        <v>9.0</v>
      </c>
      <c r="F7081" s="66" t="str">
        <f>IFERROR(__xludf.DUMMYFUNCTION("GOOGLETRANSLATE(A7081,""en"",""pt"")"),"#VALUE!")</f>
        <v>#VALUE!</v>
      </c>
      <c r="G7081" s="69"/>
    </row>
    <row r="7082" ht="22.5" customHeight="1">
      <c r="A7082" s="66"/>
      <c r="B7082" s="67" t="str">
        <f t="shared" si="16"/>
        <v>M: </v>
      </c>
      <c r="C7082" s="68"/>
      <c r="D7082" s="68">
        <v>46458.0</v>
      </c>
      <c r="E7082" s="66">
        <v>10.0</v>
      </c>
      <c r="F7082" s="66" t="str">
        <f>IFERROR(__xludf.DUMMYFUNCTION("GOOGLETRANSLATE(A7082,""en"",""pt"")"),"#VALUE!")</f>
        <v>#VALUE!</v>
      </c>
      <c r="G7082" s="69"/>
    </row>
    <row r="7083" ht="22.5" customHeight="1">
      <c r="A7083" s="66"/>
      <c r="B7083" s="67" t="str">
        <f t="shared" si="16"/>
        <v>M: </v>
      </c>
      <c r="C7083" s="68"/>
      <c r="D7083" s="68">
        <v>46458.0</v>
      </c>
      <c r="E7083" s="66">
        <v>1.0</v>
      </c>
      <c r="F7083" s="66" t="str">
        <f>IFERROR(__xludf.DUMMYFUNCTION("GOOGLETRANSLATE(A7083,""en"",""pt"")"),"#VALUE!")</f>
        <v>#VALUE!</v>
      </c>
      <c r="G7083" s="69"/>
    </row>
    <row r="7084" ht="22.5" customHeight="1">
      <c r="A7084" s="66"/>
      <c r="B7084" s="67" t="str">
        <f t="shared" si="16"/>
        <v>M: </v>
      </c>
      <c r="C7084" s="68"/>
      <c r="D7084" s="68">
        <v>46458.0</v>
      </c>
      <c r="E7084" s="66">
        <v>2.0</v>
      </c>
      <c r="F7084" s="66" t="str">
        <f>IFERROR(__xludf.DUMMYFUNCTION("GOOGLETRANSLATE(A7084,""en"",""pt"")"),"#VALUE!")</f>
        <v>#VALUE!</v>
      </c>
      <c r="G7084" s="69"/>
    </row>
    <row r="7085" ht="22.5" customHeight="1">
      <c r="A7085" s="66"/>
      <c r="B7085" s="67" t="str">
        <f t="shared" si="16"/>
        <v>M: </v>
      </c>
      <c r="C7085" s="68"/>
      <c r="D7085" s="68">
        <v>46458.0</v>
      </c>
      <c r="E7085" s="66">
        <v>3.0</v>
      </c>
      <c r="F7085" s="66" t="str">
        <f>IFERROR(__xludf.DUMMYFUNCTION("GOOGLETRANSLATE(A7085,""en"",""pt"")"),"#VALUE!")</f>
        <v>#VALUE!</v>
      </c>
      <c r="G7085" s="69"/>
    </row>
    <row r="7086" ht="22.5" customHeight="1">
      <c r="A7086" s="66"/>
      <c r="B7086" s="67" t="str">
        <f t="shared" si="16"/>
        <v>M: </v>
      </c>
      <c r="C7086" s="68"/>
      <c r="D7086" s="68">
        <v>46458.0</v>
      </c>
      <c r="E7086" s="66">
        <v>4.0</v>
      </c>
      <c r="F7086" s="66" t="str">
        <f>IFERROR(__xludf.DUMMYFUNCTION("GOOGLETRANSLATE(A7086,""en"",""pt"")"),"#VALUE!")</f>
        <v>#VALUE!</v>
      </c>
      <c r="G7086" s="69"/>
    </row>
    <row r="7087" ht="22.5" customHeight="1">
      <c r="A7087" s="66"/>
      <c r="B7087" s="67" t="str">
        <f t="shared" si="16"/>
        <v>M: </v>
      </c>
      <c r="C7087" s="68"/>
      <c r="D7087" s="68">
        <v>46458.0</v>
      </c>
      <c r="E7087" s="66">
        <v>5.0</v>
      </c>
      <c r="F7087" s="66" t="str">
        <f>IFERROR(__xludf.DUMMYFUNCTION("GOOGLETRANSLATE(A7087,""en"",""pt"")"),"#VALUE!")</f>
        <v>#VALUE!</v>
      </c>
      <c r="G7087" s="69"/>
    </row>
    <row r="7088" ht="22.5" customHeight="1">
      <c r="A7088" s="66"/>
      <c r="B7088" s="67" t="str">
        <f t="shared" si="16"/>
        <v>M: </v>
      </c>
      <c r="C7088" s="68"/>
      <c r="D7088" s="68">
        <v>46458.0</v>
      </c>
      <c r="E7088" s="66">
        <v>6.0</v>
      </c>
      <c r="F7088" s="66" t="str">
        <f>IFERROR(__xludf.DUMMYFUNCTION("GOOGLETRANSLATE(A7088,""en"",""pt"")"),"#VALUE!")</f>
        <v>#VALUE!</v>
      </c>
      <c r="G7088" s="69"/>
    </row>
    <row r="7089" ht="22.5" customHeight="1">
      <c r="A7089" s="66"/>
      <c r="B7089" s="67" t="str">
        <f t="shared" si="16"/>
        <v>M: </v>
      </c>
      <c r="C7089" s="68"/>
      <c r="D7089" s="68">
        <v>46458.0</v>
      </c>
      <c r="E7089" s="66">
        <v>7.0</v>
      </c>
      <c r="F7089" s="66" t="str">
        <f>IFERROR(__xludf.DUMMYFUNCTION("GOOGLETRANSLATE(A7089,""en"",""pt"")"),"#VALUE!")</f>
        <v>#VALUE!</v>
      </c>
      <c r="G7089" s="69"/>
    </row>
    <row r="7090" ht="22.5" customHeight="1">
      <c r="A7090" s="66"/>
      <c r="B7090" s="67" t="str">
        <f t="shared" si="16"/>
        <v>M: </v>
      </c>
      <c r="C7090" s="68"/>
      <c r="D7090" s="68">
        <v>46458.0</v>
      </c>
      <c r="E7090" s="66">
        <v>8.0</v>
      </c>
      <c r="F7090" s="66" t="str">
        <f>IFERROR(__xludf.DUMMYFUNCTION("GOOGLETRANSLATE(A7090,""en"",""pt"")"),"#VALUE!")</f>
        <v>#VALUE!</v>
      </c>
      <c r="G7090" s="69"/>
    </row>
    <row r="7091" ht="22.5" customHeight="1">
      <c r="A7091" s="66"/>
      <c r="B7091" s="67" t="str">
        <f t="shared" si="16"/>
        <v>M: </v>
      </c>
      <c r="C7091" s="68"/>
      <c r="D7091" s="68">
        <v>46458.0</v>
      </c>
      <c r="E7091" s="66">
        <v>9.0</v>
      </c>
      <c r="F7091" s="66" t="str">
        <f>IFERROR(__xludf.DUMMYFUNCTION("GOOGLETRANSLATE(A7091,""en"",""pt"")"),"#VALUE!")</f>
        <v>#VALUE!</v>
      </c>
      <c r="G7091" s="69"/>
    </row>
    <row r="7092" ht="22.5" customHeight="1">
      <c r="A7092" s="66"/>
      <c r="B7092" s="67" t="str">
        <f t="shared" si="16"/>
        <v>M: </v>
      </c>
      <c r="C7092" s="68"/>
      <c r="D7092" s="68">
        <v>46459.0</v>
      </c>
      <c r="E7092" s="66">
        <v>10.0</v>
      </c>
      <c r="F7092" s="66" t="str">
        <f>IFERROR(__xludf.DUMMYFUNCTION("GOOGLETRANSLATE(A7092,""en"",""pt"")"),"#VALUE!")</f>
        <v>#VALUE!</v>
      </c>
      <c r="G7092" s="69"/>
    </row>
    <row r="7093" ht="22.5" customHeight="1">
      <c r="A7093" s="66"/>
      <c r="B7093" s="67" t="str">
        <f t="shared" si="16"/>
        <v>M: </v>
      </c>
      <c r="C7093" s="68"/>
      <c r="D7093" s="68">
        <v>46459.0</v>
      </c>
      <c r="E7093" s="66">
        <v>1.0</v>
      </c>
      <c r="F7093" s="66" t="str">
        <f>IFERROR(__xludf.DUMMYFUNCTION("GOOGLETRANSLATE(A7093,""en"",""pt"")"),"#VALUE!")</f>
        <v>#VALUE!</v>
      </c>
      <c r="G7093" s="69"/>
    </row>
    <row r="7094" ht="22.5" customHeight="1">
      <c r="A7094" s="66"/>
      <c r="B7094" s="67" t="str">
        <f t="shared" si="16"/>
        <v>M: </v>
      </c>
      <c r="C7094" s="68"/>
      <c r="D7094" s="68">
        <v>46459.0</v>
      </c>
      <c r="E7094" s="66">
        <v>2.0</v>
      </c>
      <c r="F7094" s="66" t="str">
        <f>IFERROR(__xludf.DUMMYFUNCTION("GOOGLETRANSLATE(A7094,""en"",""pt"")"),"#VALUE!")</f>
        <v>#VALUE!</v>
      </c>
      <c r="G7094" s="69"/>
    </row>
    <row r="7095" ht="22.5" customHeight="1">
      <c r="A7095" s="66"/>
      <c r="B7095" s="67" t="str">
        <f t="shared" si="16"/>
        <v>M: </v>
      </c>
      <c r="C7095" s="68"/>
      <c r="D7095" s="68">
        <v>46459.0</v>
      </c>
      <c r="E7095" s="66">
        <v>3.0</v>
      </c>
      <c r="F7095" s="66" t="str">
        <f>IFERROR(__xludf.DUMMYFUNCTION("GOOGLETRANSLATE(A7095,""en"",""pt"")"),"#VALUE!")</f>
        <v>#VALUE!</v>
      </c>
      <c r="G7095" s="69"/>
    </row>
    <row r="7096" ht="22.5" customHeight="1">
      <c r="A7096" s="66"/>
      <c r="B7096" s="67" t="str">
        <f t="shared" si="16"/>
        <v>M: </v>
      </c>
      <c r="C7096" s="68"/>
      <c r="D7096" s="68">
        <v>46459.0</v>
      </c>
      <c r="E7096" s="66">
        <v>4.0</v>
      </c>
      <c r="F7096" s="66" t="str">
        <f>IFERROR(__xludf.DUMMYFUNCTION("GOOGLETRANSLATE(A7096,""en"",""pt"")"),"#VALUE!")</f>
        <v>#VALUE!</v>
      </c>
      <c r="G7096" s="69"/>
    </row>
    <row r="7097" ht="22.5" customHeight="1">
      <c r="A7097" s="66"/>
      <c r="B7097" s="67" t="str">
        <f t="shared" si="16"/>
        <v>M: </v>
      </c>
      <c r="C7097" s="68"/>
      <c r="D7097" s="68">
        <v>46459.0</v>
      </c>
      <c r="E7097" s="66">
        <v>5.0</v>
      </c>
      <c r="F7097" s="66" t="str">
        <f>IFERROR(__xludf.DUMMYFUNCTION("GOOGLETRANSLATE(A7097,""en"",""pt"")"),"#VALUE!")</f>
        <v>#VALUE!</v>
      </c>
      <c r="G7097" s="69"/>
    </row>
    <row r="7098" ht="22.5" customHeight="1">
      <c r="A7098" s="66"/>
      <c r="B7098" s="67" t="str">
        <f t="shared" si="16"/>
        <v>M: </v>
      </c>
      <c r="C7098" s="68"/>
      <c r="D7098" s="68">
        <v>46459.0</v>
      </c>
      <c r="E7098" s="66">
        <v>6.0</v>
      </c>
      <c r="F7098" s="66" t="str">
        <f>IFERROR(__xludf.DUMMYFUNCTION("GOOGLETRANSLATE(A7098,""en"",""pt"")"),"#VALUE!")</f>
        <v>#VALUE!</v>
      </c>
      <c r="G7098" s="69"/>
    </row>
    <row r="7099" ht="22.5" customHeight="1">
      <c r="A7099" s="66"/>
      <c r="B7099" s="67" t="str">
        <f t="shared" si="16"/>
        <v>M: </v>
      </c>
      <c r="C7099" s="68"/>
      <c r="D7099" s="68">
        <v>46459.0</v>
      </c>
      <c r="E7099" s="66">
        <v>7.0</v>
      </c>
      <c r="F7099" s="66" t="str">
        <f>IFERROR(__xludf.DUMMYFUNCTION("GOOGLETRANSLATE(A7099,""en"",""pt"")"),"#VALUE!")</f>
        <v>#VALUE!</v>
      </c>
      <c r="G7099" s="69"/>
    </row>
    <row r="7100" ht="22.5" customHeight="1">
      <c r="A7100" s="66"/>
      <c r="B7100" s="67" t="str">
        <f t="shared" si="16"/>
        <v>M: </v>
      </c>
      <c r="C7100" s="68"/>
      <c r="D7100" s="68">
        <v>46459.0</v>
      </c>
      <c r="E7100" s="66">
        <v>8.0</v>
      </c>
      <c r="F7100" s="66" t="str">
        <f>IFERROR(__xludf.DUMMYFUNCTION("GOOGLETRANSLATE(A7100,""en"",""pt"")"),"#VALUE!")</f>
        <v>#VALUE!</v>
      </c>
      <c r="G7100" s="69"/>
    </row>
    <row r="7101" ht="22.5" customHeight="1">
      <c r="A7101" s="66"/>
      <c r="B7101" s="67" t="str">
        <f t="shared" si="16"/>
        <v>M: </v>
      </c>
      <c r="C7101" s="68"/>
      <c r="D7101" s="68">
        <v>46459.0</v>
      </c>
      <c r="E7101" s="66">
        <v>9.0</v>
      </c>
      <c r="F7101" s="66" t="str">
        <f>IFERROR(__xludf.DUMMYFUNCTION("GOOGLETRANSLATE(A7101,""en"",""pt"")"),"#VALUE!")</f>
        <v>#VALUE!</v>
      </c>
      <c r="G7101" s="69"/>
    </row>
    <row r="7102" ht="22.5" customHeight="1">
      <c r="A7102" s="66"/>
      <c r="B7102" s="67" t="str">
        <f t="shared" si="16"/>
        <v>M: </v>
      </c>
      <c r="C7102" s="68"/>
      <c r="D7102" s="68">
        <v>46460.0</v>
      </c>
      <c r="E7102" s="66">
        <v>10.0</v>
      </c>
      <c r="F7102" s="66" t="str">
        <f>IFERROR(__xludf.DUMMYFUNCTION("GOOGLETRANSLATE(A7102,""en"",""pt"")"),"#VALUE!")</f>
        <v>#VALUE!</v>
      </c>
      <c r="G7102" s="69"/>
    </row>
    <row r="7103" ht="22.5" customHeight="1">
      <c r="A7103" s="66"/>
      <c r="B7103" s="67" t="str">
        <f t="shared" si="16"/>
        <v>M: </v>
      </c>
      <c r="C7103" s="68"/>
      <c r="D7103" s="68">
        <v>46460.0</v>
      </c>
      <c r="E7103" s="66">
        <v>1.0</v>
      </c>
      <c r="F7103" s="66" t="str">
        <f>IFERROR(__xludf.DUMMYFUNCTION("GOOGLETRANSLATE(A7103,""en"",""pt"")"),"#VALUE!")</f>
        <v>#VALUE!</v>
      </c>
      <c r="G7103" s="69"/>
    </row>
    <row r="7104" ht="22.5" customHeight="1">
      <c r="A7104" s="66"/>
      <c r="B7104" s="67" t="str">
        <f t="shared" si="16"/>
        <v>M: </v>
      </c>
      <c r="C7104" s="68"/>
      <c r="D7104" s="68">
        <v>46460.0</v>
      </c>
      <c r="E7104" s="66">
        <v>2.0</v>
      </c>
      <c r="F7104" s="66" t="str">
        <f>IFERROR(__xludf.DUMMYFUNCTION("GOOGLETRANSLATE(A7104,""en"",""pt"")"),"#VALUE!")</f>
        <v>#VALUE!</v>
      </c>
      <c r="G7104" s="69"/>
    </row>
    <row r="7105" ht="22.5" customHeight="1">
      <c r="A7105" s="66"/>
      <c r="B7105" s="67" t="str">
        <f t="shared" si="16"/>
        <v>M: </v>
      </c>
      <c r="C7105" s="68"/>
      <c r="D7105" s="68">
        <v>46460.0</v>
      </c>
      <c r="E7105" s="66">
        <v>3.0</v>
      </c>
      <c r="F7105" s="66" t="str">
        <f>IFERROR(__xludf.DUMMYFUNCTION("GOOGLETRANSLATE(A7105,""en"",""pt"")"),"#VALUE!")</f>
        <v>#VALUE!</v>
      </c>
      <c r="G7105" s="69"/>
    </row>
    <row r="7106" ht="22.5" customHeight="1">
      <c r="A7106" s="66"/>
      <c r="B7106" s="67" t="str">
        <f t="shared" si="16"/>
        <v>M: </v>
      </c>
      <c r="C7106" s="68"/>
      <c r="D7106" s="68">
        <v>46460.0</v>
      </c>
      <c r="E7106" s="66">
        <v>4.0</v>
      </c>
      <c r="F7106" s="66" t="str">
        <f>IFERROR(__xludf.DUMMYFUNCTION("GOOGLETRANSLATE(A7106,""en"",""pt"")"),"#VALUE!")</f>
        <v>#VALUE!</v>
      </c>
      <c r="G7106" s="69"/>
    </row>
    <row r="7107" ht="22.5" customHeight="1">
      <c r="A7107" s="66"/>
      <c r="B7107" s="67" t="str">
        <f t="shared" si="16"/>
        <v>M: </v>
      </c>
      <c r="C7107" s="68"/>
      <c r="D7107" s="68">
        <v>46460.0</v>
      </c>
      <c r="E7107" s="66">
        <v>5.0</v>
      </c>
      <c r="F7107" s="66" t="str">
        <f>IFERROR(__xludf.DUMMYFUNCTION("GOOGLETRANSLATE(A7107,""en"",""pt"")"),"#VALUE!")</f>
        <v>#VALUE!</v>
      </c>
      <c r="G7107" s="69"/>
    </row>
    <row r="7108" ht="22.5" customHeight="1">
      <c r="A7108" s="66"/>
      <c r="B7108" s="67" t="str">
        <f t="shared" si="16"/>
        <v>M: </v>
      </c>
      <c r="C7108" s="68"/>
      <c r="D7108" s="68">
        <v>46460.0</v>
      </c>
      <c r="E7108" s="66">
        <v>6.0</v>
      </c>
      <c r="F7108" s="66" t="str">
        <f>IFERROR(__xludf.DUMMYFUNCTION("GOOGLETRANSLATE(A7108,""en"",""pt"")"),"#VALUE!")</f>
        <v>#VALUE!</v>
      </c>
      <c r="G7108" s="69"/>
    </row>
    <row r="7109" ht="22.5" customHeight="1">
      <c r="A7109" s="66"/>
      <c r="B7109" s="67" t="str">
        <f t="shared" si="16"/>
        <v>M: </v>
      </c>
      <c r="C7109" s="68"/>
      <c r="D7109" s="68">
        <v>46460.0</v>
      </c>
      <c r="E7109" s="66">
        <v>7.0</v>
      </c>
      <c r="F7109" s="66" t="str">
        <f>IFERROR(__xludf.DUMMYFUNCTION("GOOGLETRANSLATE(A7109,""en"",""pt"")"),"#VALUE!")</f>
        <v>#VALUE!</v>
      </c>
      <c r="G7109" s="69"/>
    </row>
    <row r="7110" ht="22.5" customHeight="1">
      <c r="A7110" s="66"/>
      <c r="B7110" s="67" t="str">
        <f t="shared" si="16"/>
        <v>M: </v>
      </c>
      <c r="C7110" s="68"/>
      <c r="D7110" s="68">
        <v>46460.0</v>
      </c>
      <c r="E7110" s="66">
        <v>8.0</v>
      </c>
      <c r="F7110" s="66" t="str">
        <f>IFERROR(__xludf.DUMMYFUNCTION("GOOGLETRANSLATE(A7110,""en"",""pt"")"),"#VALUE!")</f>
        <v>#VALUE!</v>
      </c>
      <c r="G7110" s="69"/>
    </row>
    <row r="7111" ht="22.5" customHeight="1">
      <c r="A7111" s="66"/>
      <c r="B7111" s="67" t="str">
        <f t="shared" si="16"/>
        <v>M: </v>
      </c>
      <c r="C7111" s="68"/>
      <c r="D7111" s="68">
        <v>46460.0</v>
      </c>
      <c r="E7111" s="66">
        <v>9.0</v>
      </c>
      <c r="F7111" s="66" t="str">
        <f>IFERROR(__xludf.DUMMYFUNCTION("GOOGLETRANSLATE(A7111,""en"",""pt"")"),"#VALUE!")</f>
        <v>#VALUE!</v>
      </c>
      <c r="G7111" s="69"/>
    </row>
    <row r="7112" ht="22.5" customHeight="1">
      <c r="A7112" s="66"/>
      <c r="B7112" s="67" t="str">
        <f t="shared" si="16"/>
        <v>M: </v>
      </c>
      <c r="C7112" s="68"/>
      <c r="D7112" s="68">
        <v>46461.0</v>
      </c>
      <c r="E7112" s="66">
        <v>10.0</v>
      </c>
      <c r="F7112" s="66" t="str">
        <f>IFERROR(__xludf.DUMMYFUNCTION("GOOGLETRANSLATE(A7112,""en"",""pt"")"),"#VALUE!")</f>
        <v>#VALUE!</v>
      </c>
      <c r="G7112" s="69"/>
    </row>
    <row r="7113" ht="22.5" customHeight="1">
      <c r="A7113" s="66"/>
      <c r="B7113" s="67" t="str">
        <f t="shared" si="16"/>
        <v>M: </v>
      </c>
      <c r="C7113" s="68"/>
      <c r="D7113" s="68">
        <v>46461.0</v>
      </c>
      <c r="E7113" s="66">
        <v>1.0</v>
      </c>
      <c r="F7113" s="66" t="str">
        <f>IFERROR(__xludf.DUMMYFUNCTION("GOOGLETRANSLATE(A7113,""en"",""pt"")"),"#VALUE!")</f>
        <v>#VALUE!</v>
      </c>
      <c r="G7113" s="69"/>
    </row>
    <row r="7114" ht="22.5" customHeight="1">
      <c r="A7114" s="66"/>
      <c r="B7114" s="67" t="str">
        <f t="shared" si="16"/>
        <v>M: </v>
      </c>
      <c r="C7114" s="68"/>
      <c r="D7114" s="68">
        <v>46461.0</v>
      </c>
      <c r="E7114" s="66">
        <v>2.0</v>
      </c>
      <c r="F7114" s="66" t="str">
        <f>IFERROR(__xludf.DUMMYFUNCTION("GOOGLETRANSLATE(A7114,""en"",""pt"")"),"#VALUE!")</f>
        <v>#VALUE!</v>
      </c>
      <c r="G7114" s="69"/>
    </row>
    <row r="7115" ht="22.5" customHeight="1">
      <c r="A7115" s="66"/>
      <c r="B7115" s="67" t="str">
        <f t="shared" si="16"/>
        <v>M: </v>
      </c>
      <c r="C7115" s="68"/>
      <c r="D7115" s="68">
        <v>46461.0</v>
      </c>
      <c r="E7115" s="66">
        <v>3.0</v>
      </c>
      <c r="F7115" s="66" t="str">
        <f>IFERROR(__xludf.DUMMYFUNCTION("GOOGLETRANSLATE(A7115,""en"",""pt"")"),"#VALUE!")</f>
        <v>#VALUE!</v>
      </c>
      <c r="G7115" s="69"/>
    </row>
    <row r="7116" ht="22.5" customHeight="1">
      <c r="A7116" s="66"/>
      <c r="B7116" s="67" t="str">
        <f t="shared" si="16"/>
        <v>M: </v>
      </c>
      <c r="C7116" s="68"/>
      <c r="D7116" s="68">
        <v>46461.0</v>
      </c>
      <c r="E7116" s="66">
        <v>4.0</v>
      </c>
      <c r="F7116" s="66" t="str">
        <f>IFERROR(__xludf.DUMMYFUNCTION("GOOGLETRANSLATE(A7116,""en"",""pt"")"),"#VALUE!")</f>
        <v>#VALUE!</v>
      </c>
      <c r="G7116" s="69"/>
    </row>
    <row r="7117" ht="22.5" customHeight="1">
      <c r="A7117" s="66"/>
      <c r="B7117" s="67" t="str">
        <f t="shared" si="16"/>
        <v>M: </v>
      </c>
      <c r="C7117" s="68"/>
      <c r="D7117" s="68">
        <v>46461.0</v>
      </c>
      <c r="E7117" s="66">
        <v>5.0</v>
      </c>
      <c r="F7117" s="66" t="str">
        <f>IFERROR(__xludf.DUMMYFUNCTION("GOOGLETRANSLATE(A7117,""en"",""pt"")"),"#VALUE!")</f>
        <v>#VALUE!</v>
      </c>
      <c r="G7117" s="69"/>
    </row>
    <row r="7118" ht="22.5" customHeight="1">
      <c r="A7118" s="66"/>
      <c r="B7118" s="67" t="str">
        <f t="shared" si="16"/>
        <v>M: </v>
      </c>
      <c r="C7118" s="68"/>
      <c r="D7118" s="68">
        <v>46461.0</v>
      </c>
      <c r="E7118" s="66">
        <v>6.0</v>
      </c>
      <c r="F7118" s="66" t="str">
        <f>IFERROR(__xludf.DUMMYFUNCTION("GOOGLETRANSLATE(A7118,""en"",""pt"")"),"#VALUE!")</f>
        <v>#VALUE!</v>
      </c>
      <c r="G7118" s="69"/>
    </row>
    <row r="7119" ht="22.5" customHeight="1">
      <c r="A7119" s="66"/>
      <c r="B7119" s="67" t="str">
        <f t="shared" si="16"/>
        <v>M: </v>
      </c>
      <c r="C7119" s="68"/>
      <c r="D7119" s="68">
        <v>46461.0</v>
      </c>
      <c r="E7119" s="66">
        <v>7.0</v>
      </c>
      <c r="F7119" s="66" t="str">
        <f>IFERROR(__xludf.DUMMYFUNCTION("GOOGLETRANSLATE(A7119,""en"",""pt"")"),"#VALUE!")</f>
        <v>#VALUE!</v>
      </c>
      <c r="G7119" s="69"/>
    </row>
    <row r="7120" ht="22.5" customHeight="1">
      <c r="A7120" s="66"/>
      <c r="B7120" s="67" t="str">
        <f t="shared" si="16"/>
        <v>M: </v>
      </c>
      <c r="C7120" s="68"/>
      <c r="D7120" s="68">
        <v>46461.0</v>
      </c>
      <c r="E7120" s="66">
        <v>8.0</v>
      </c>
      <c r="F7120" s="66" t="str">
        <f>IFERROR(__xludf.DUMMYFUNCTION("GOOGLETRANSLATE(A7120,""en"",""pt"")"),"#VALUE!")</f>
        <v>#VALUE!</v>
      </c>
      <c r="G7120" s="69"/>
    </row>
    <row r="7121" ht="22.5" customHeight="1">
      <c r="A7121" s="66"/>
      <c r="B7121" s="67" t="str">
        <f t="shared" si="16"/>
        <v>M: </v>
      </c>
      <c r="C7121" s="68"/>
      <c r="D7121" s="68">
        <v>46461.0</v>
      </c>
      <c r="E7121" s="66">
        <v>9.0</v>
      </c>
      <c r="F7121" s="66" t="str">
        <f>IFERROR(__xludf.DUMMYFUNCTION("GOOGLETRANSLATE(A7121,""en"",""pt"")"),"#VALUE!")</f>
        <v>#VALUE!</v>
      </c>
      <c r="G7121" s="69"/>
    </row>
    <row r="7122" ht="22.5" customHeight="1">
      <c r="A7122" s="66"/>
      <c r="B7122" s="67" t="str">
        <f t="shared" si="16"/>
        <v>M: </v>
      </c>
      <c r="C7122" s="68"/>
      <c r="D7122" s="68">
        <v>46462.0</v>
      </c>
      <c r="E7122" s="66">
        <v>10.0</v>
      </c>
      <c r="F7122" s="66" t="str">
        <f>IFERROR(__xludf.DUMMYFUNCTION("GOOGLETRANSLATE(A7122,""en"",""pt"")"),"#VALUE!")</f>
        <v>#VALUE!</v>
      </c>
      <c r="G7122" s="69"/>
    </row>
    <row r="7123" ht="22.5" customHeight="1">
      <c r="A7123" s="66"/>
      <c r="B7123" s="67" t="str">
        <f t="shared" si="16"/>
        <v>M: </v>
      </c>
      <c r="C7123" s="68"/>
      <c r="D7123" s="68">
        <v>46462.0</v>
      </c>
      <c r="E7123" s="66">
        <v>1.0</v>
      </c>
      <c r="F7123" s="66" t="str">
        <f>IFERROR(__xludf.DUMMYFUNCTION("GOOGLETRANSLATE(A7123,""en"",""pt"")"),"#VALUE!")</f>
        <v>#VALUE!</v>
      </c>
      <c r="G7123" s="69"/>
    </row>
    <row r="7124" ht="22.5" customHeight="1">
      <c r="A7124" s="66"/>
      <c r="B7124" s="67" t="str">
        <f t="shared" si="16"/>
        <v>M: </v>
      </c>
      <c r="C7124" s="68"/>
      <c r="D7124" s="68">
        <v>46462.0</v>
      </c>
      <c r="E7124" s="66">
        <v>2.0</v>
      </c>
      <c r="F7124" s="66" t="str">
        <f>IFERROR(__xludf.DUMMYFUNCTION("GOOGLETRANSLATE(A7124,""en"",""pt"")"),"#VALUE!")</f>
        <v>#VALUE!</v>
      </c>
      <c r="G7124" s="69"/>
    </row>
    <row r="7125" ht="22.5" customHeight="1">
      <c r="A7125" s="66"/>
      <c r="B7125" s="67" t="str">
        <f t="shared" si="16"/>
        <v>M: </v>
      </c>
      <c r="C7125" s="68"/>
      <c r="D7125" s="68">
        <v>46462.0</v>
      </c>
      <c r="E7125" s="66">
        <v>3.0</v>
      </c>
      <c r="F7125" s="66" t="str">
        <f>IFERROR(__xludf.DUMMYFUNCTION("GOOGLETRANSLATE(A7125,""en"",""pt"")"),"#VALUE!")</f>
        <v>#VALUE!</v>
      </c>
      <c r="G7125" s="69"/>
    </row>
    <row r="7126" ht="22.5" customHeight="1">
      <c r="A7126" s="66"/>
      <c r="B7126" s="67" t="str">
        <f t="shared" si="16"/>
        <v>M: </v>
      </c>
      <c r="C7126" s="68"/>
      <c r="D7126" s="68">
        <v>46462.0</v>
      </c>
      <c r="E7126" s="66">
        <v>4.0</v>
      </c>
      <c r="F7126" s="66" t="str">
        <f>IFERROR(__xludf.DUMMYFUNCTION("GOOGLETRANSLATE(A7126,""en"",""pt"")"),"#VALUE!")</f>
        <v>#VALUE!</v>
      </c>
      <c r="G7126" s="69"/>
    </row>
    <row r="7127" ht="22.5" customHeight="1">
      <c r="A7127" s="66"/>
      <c r="B7127" s="67" t="str">
        <f t="shared" si="16"/>
        <v>M: </v>
      </c>
      <c r="C7127" s="68"/>
      <c r="D7127" s="68">
        <v>46462.0</v>
      </c>
      <c r="E7127" s="66">
        <v>5.0</v>
      </c>
      <c r="F7127" s="66" t="str">
        <f>IFERROR(__xludf.DUMMYFUNCTION("GOOGLETRANSLATE(A7127,""en"",""pt"")"),"#VALUE!")</f>
        <v>#VALUE!</v>
      </c>
      <c r="G7127" s="69"/>
    </row>
    <row r="7128" ht="22.5" customHeight="1">
      <c r="A7128" s="66"/>
      <c r="B7128" s="67" t="str">
        <f t="shared" si="16"/>
        <v>M: </v>
      </c>
      <c r="C7128" s="68"/>
      <c r="D7128" s="68">
        <v>46462.0</v>
      </c>
      <c r="E7128" s="66">
        <v>6.0</v>
      </c>
      <c r="F7128" s="66" t="str">
        <f>IFERROR(__xludf.DUMMYFUNCTION("GOOGLETRANSLATE(A7128,""en"",""pt"")"),"#VALUE!")</f>
        <v>#VALUE!</v>
      </c>
      <c r="G7128" s="69"/>
    </row>
    <row r="7129" ht="22.5" customHeight="1">
      <c r="A7129" s="66"/>
      <c r="B7129" s="67" t="str">
        <f t="shared" si="16"/>
        <v>M: </v>
      </c>
      <c r="C7129" s="68"/>
      <c r="D7129" s="68">
        <v>46462.0</v>
      </c>
      <c r="E7129" s="66">
        <v>7.0</v>
      </c>
      <c r="F7129" s="66" t="str">
        <f>IFERROR(__xludf.DUMMYFUNCTION("GOOGLETRANSLATE(A7129,""en"",""pt"")"),"#VALUE!")</f>
        <v>#VALUE!</v>
      </c>
      <c r="G7129" s="69"/>
    </row>
    <row r="7130" ht="22.5" customHeight="1">
      <c r="A7130" s="66"/>
      <c r="B7130" s="67" t="str">
        <f t="shared" si="16"/>
        <v>M: </v>
      </c>
      <c r="C7130" s="68"/>
      <c r="D7130" s="68">
        <v>46462.0</v>
      </c>
      <c r="E7130" s="66">
        <v>8.0</v>
      </c>
      <c r="F7130" s="66" t="str">
        <f>IFERROR(__xludf.DUMMYFUNCTION("GOOGLETRANSLATE(A7130,""en"",""pt"")"),"#VALUE!")</f>
        <v>#VALUE!</v>
      </c>
      <c r="G7130" s="69"/>
    </row>
    <row r="7131" ht="22.5" customHeight="1">
      <c r="A7131" s="66"/>
      <c r="B7131" s="67" t="str">
        <f t="shared" si="16"/>
        <v>M: </v>
      </c>
      <c r="C7131" s="68"/>
      <c r="D7131" s="68">
        <v>46462.0</v>
      </c>
      <c r="E7131" s="66">
        <v>9.0</v>
      </c>
      <c r="F7131" s="66" t="str">
        <f>IFERROR(__xludf.DUMMYFUNCTION("GOOGLETRANSLATE(A7131,""en"",""pt"")"),"#VALUE!")</f>
        <v>#VALUE!</v>
      </c>
      <c r="G7131" s="69"/>
    </row>
    <row r="7132" ht="22.5" customHeight="1">
      <c r="A7132" s="66"/>
      <c r="B7132" s="67" t="str">
        <f t="shared" si="16"/>
        <v>M: </v>
      </c>
      <c r="C7132" s="68"/>
      <c r="D7132" s="68">
        <v>46463.0</v>
      </c>
      <c r="E7132" s="66">
        <v>10.0</v>
      </c>
      <c r="F7132" s="66" t="str">
        <f>IFERROR(__xludf.DUMMYFUNCTION("GOOGLETRANSLATE(A7132,""en"",""pt"")"),"#VALUE!")</f>
        <v>#VALUE!</v>
      </c>
      <c r="G7132" s="69"/>
    </row>
    <row r="7133" ht="22.5" customHeight="1">
      <c r="A7133" s="66"/>
      <c r="B7133" s="67" t="str">
        <f t="shared" si="16"/>
        <v>M: </v>
      </c>
      <c r="C7133" s="68"/>
      <c r="D7133" s="68">
        <v>46463.0</v>
      </c>
      <c r="E7133" s="66">
        <v>1.0</v>
      </c>
      <c r="F7133" s="66" t="str">
        <f>IFERROR(__xludf.DUMMYFUNCTION("GOOGLETRANSLATE(A7133,""en"",""pt"")"),"#VALUE!")</f>
        <v>#VALUE!</v>
      </c>
      <c r="G7133" s="69"/>
    </row>
    <row r="7134" ht="22.5" customHeight="1">
      <c r="A7134" s="66"/>
      <c r="B7134" s="67" t="str">
        <f t="shared" si="16"/>
        <v>M: </v>
      </c>
      <c r="C7134" s="68"/>
      <c r="D7134" s="68">
        <v>46463.0</v>
      </c>
      <c r="E7134" s="66">
        <v>2.0</v>
      </c>
      <c r="F7134" s="66" t="str">
        <f>IFERROR(__xludf.DUMMYFUNCTION("GOOGLETRANSLATE(A7134,""en"",""pt"")"),"#VALUE!")</f>
        <v>#VALUE!</v>
      </c>
      <c r="G7134" s="69"/>
    </row>
    <row r="7135" ht="22.5" customHeight="1">
      <c r="A7135" s="66"/>
      <c r="B7135" s="67" t="str">
        <f t="shared" si="16"/>
        <v>M: </v>
      </c>
      <c r="C7135" s="68"/>
      <c r="D7135" s="68">
        <v>46463.0</v>
      </c>
      <c r="E7135" s="66">
        <v>3.0</v>
      </c>
      <c r="F7135" s="66" t="str">
        <f>IFERROR(__xludf.DUMMYFUNCTION("GOOGLETRANSLATE(A7135,""en"",""pt"")"),"#VALUE!")</f>
        <v>#VALUE!</v>
      </c>
      <c r="G7135" s="69"/>
    </row>
    <row r="7136" ht="22.5" customHeight="1">
      <c r="A7136" s="66"/>
      <c r="B7136" s="67" t="str">
        <f t="shared" si="16"/>
        <v>M: </v>
      </c>
      <c r="C7136" s="68"/>
      <c r="D7136" s="68">
        <v>46463.0</v>
      </c>
      <c r="E7136" s="66">
        <v>4.0</v>
      </c>
      <c r="F7136" s="66" t="str">
        <f>IFERROR(__xludf.DUMMYFUNCTION("GOOGLETRANSLATE(A7136,""en"",""pt"")"),"#VALUE!")</f>
        <v>#VALUE!</v>
      </c>
      <c r="G7136" s="69"/>
    </row>
    <row r="7137" ht="22.5" customHeight="1">
      <c r="A7137" s="66"/>
      <c r="B7137" s="67" t="str">
        <f t="shared" si="16"/>
        <v>M: </v>
      </c>
      <c r="C7137" s="68"/>
      <c r="D7137" s="68">
        <v>46463.0</v>
      </c>
      <c r="E7137" s="66">
        <v>5.0</v>
      </c>
      <c r="F7137" s="66" t="str">
        <f>IFERROR(__xludf.DUMMYFUNCTION("GOOGLETRANSLATE(A7137,""en"",""pt"")"),"#VALUE!")</f>
        <v>#VALUE!</v>
      </c>
      <c r="G7137" s="69"/>
    </row>
    <row r="7138" ht="22.5" customHeight="1">
      <c r="A7138" s="66"/>
      <c r="B7138" s="67" t="str">
        <f t="shared" si="16"/>
        <v>M: </v>
      </c>
      <c r="C7138" s="68"/>
      <c r="D7138" s="68">
        <v>46463.0</v>
      </c>
      <c r="E7138" s="66">
        <v>6.0</v>
      </c>
      <c r="F7138" s="66" t="str">
        <f>IFERROR(__xludf.DUMMYFUNCTION("GOOGLETRANSLATE(A7138,""en"",""pt"")"),"#VALUE!")</f>
        <v>#VALUE!</v>
      </c>
      <c r="G7138" s="69"/>
    </row>
    <row r="7139" ht="22.5" customHeight="1">
      <c r="A7139" s="66"/>
      <c r="B7139" s="67" t="str">
        <f t="shared" si="16"/>
        <v>M: </v>
      </c>
      <c r="C7139" s="68"/>
      <c r="D7139" s="68">
        <v>46463.0</v>
      </c>
      <c r="E7139" s="66">
        <v>7.0</v>
      </c>
      <c r="F7139" s="66" t="str">
        <f>IFERROR(__xludf.DUMMYFUNCTION("GOOGLETRANSLATE(A7139,""en"",""pt"")"),"#VALUE!")</f>
        <v>#VALUE!</v>
      </c>
      <c r="G7139" s="69"/>
    </row>
    <row r="7140" ht="22.5" customHeight="1">
      <c r="A7140" s="66"/>
      <c r="B7140" s="67" t="str">
        <f t="shared" si="16"/>
        <v>M: </v>
      </c>
      <c r="C7140" s="68"/>
      <c r="D7140" s="68">
        <v>46463.0</v>
      </c>
      <c r="E7140" s="66">
        <v>8.0</v>
      </c>
      <c r="F7140" s="66" t="str">
        <f>IFERROR(__xludf.DUMMYFUNCTION("GOOGLETRANSLATE(A7140,""en"",""pt"")"),"#VALUE!")</f>
        <v>#VALUE!</v>
      </c>
      <c r="G7140" s="69"/>
    </row>
    <row r="7141" ht="22.5" customHeight="1">
      <c r="A7141" s="66"/>
      <c r="B7141" s="67" t="str">
        <f t="shared" si="16"/>
        <v>M: </v>
      </c>
      <c r="C7141" s="68"/>
      <c r="D7141" s="68">
        <v>46463.0</v>
      </c>
      <c r="E7141" s="66">
        <v>9.0</v>
      </c>
      <c r="F7141" s="66" t="str">
        <f>IFERROR(__xludf.DUMMYFUNCTION("GOOGLETRANSLATE(A7141,""en"",""pt"")"),"#VALUE!")</f>
        <v>#VALUE!</v>
      </c>
      <c r="G7141" s="69"/>
    </row>
    <row r="7142" ht="22.5" customHeight="1">
      <c r="A7142" s="66"/>
      <c r="B7142" s="67" t="str">
        <f t="shared" si="16"/>
        <v>M: </v>
      </c>
      <c r="C7142" s="68"/>
      <c r="D7142" s="68">
        <v>46464.0</v>
      </c>
      <c r="E7142" s="66">
        <v>10.0</v>
      </c>
      <c r="F7142" s="66" t="str">
        <f>IFERROR(__xludf.DUMMYFUNCTION("GOOGLETRANSLATE(A7142,""en"",""pt"")"),"#VALUE!")</f>
        <v>#VALUE!</v>
      </c>
      <c r="G7142" s="69"/>
    </row>
    <row r="7143" ht="22.5" customHeight="1">
      <c r="A7143" s="66"/>
      <c r="B7143" s="67" t="str">
        <f t="shared" si="16"/>
        <v>M: </v>
      </c>
      <c r="C7143" s="68"/>
      <c r="D7143" s="68">
        <v>46464.0</v>
      </c>
      <c r="E7143" s="66">
        <v>1.0</v>
      </c>
      <c r="F7143" s="66" t="str">
        <f>IFERROR(__xludf.DUMMYFUNCTION("GOOGLETRANSLATE(A7143,""en"",""pt"")"),"#VALUE!")</f>
        <v>#VALUE!</v>
      </c>
      <c r="G7143" s="69"/>
    </row>
    <row r="7144" ht="22.5" customHeight="1">
      <c r="A7144" s="66"/>
      <c r="B7144" s="67" t="str">
        <f t="shared" si="16"/>
        <v>M: </v>
      </c>
      <c r="C7144" s="68"/>
      <c r="D7144" s="68">
        <v>46464.0</v>
      </c>
      <c r="E7144" s="66">
        <v>2.0</v>
      </c>
      <c r="F7144" s="66" t="str">
        <f>IFERROR(__xludf.DUMMYFUNCTION("GOOGLETRANSLATE(A7144,""en"",""pt"")"),"#VALUE!")</f>
        <v>#VALUE!</v>
      </c>
      <c r="G7144" s="69"/>
    </row>
    <row r="7145" ht="22.5" customHeight="1">
      <c r="A7145" s="66"/>
      <c r="B7145" s="67" t="str">
        <f t="shared" si="16"/>
        <v>M: </v>
      </c>
      <c r="C7145" s="68"/>
      <c r="D7145" s="68">
        <v>46464.0</v>
      </c>
      <c r="E7145" s="66">
        <v>3.0</v>
      </c>
      <c r="F7145" s="66" t="str">
        <f>IFERROR(__xludf.DUMMYFUNCTION("GOOGLETRANSLATE(A7145,""en"",""pt"")"),"#VALUE!")</f>
        <v>#VALUE!</v>
      </c>
      <c r="G7145" s="69"/>
    </row>
    <row r="7146" ht="22.5" customHeight="1">
      <c r="A7146" s="66"/>
      <c r="B7146" s="67" t="str">
        <f t="shared" si="16"/>
        <v>M: </v>
      </c>
      <c r="C7146" s="68"/>
      <c r="D7146" s="68">
        <v>46464.0</v>
      </c>
      <c r="E7146" s="66">
        <v>4.0</v>
      </c>
      <c r="F7146" s="66" t="str">
        <f>IFERROR(__xludf.DUMMYFUNCTION("GOOGLETRANSLATE(A7146,""en"",""pt"")"),"#VALUE!")</f>
        <v>#VALUE!</v>
      </c>
      <c r="G7146" s="69"/>
    </row>
    <row r="7147" ht="22.5" customHeight="1">
      <c r="A7147" s="66"/>
      <c r="B7147" s="67" t="str">
        <f t="shared" si="16"/>
        <v>M: </v>
      </c>
      <c r="C7147" s="68"/>
      <c r="D7147" s="68">
        <v>46464.0</v>
      </c>
      <c r="E7147" s="66">
        <v>5.0</v>
      </c>
      <c r="F7147" s="66" t="str">
        <f>IFERROR(__xludf.DUMMYFUNCTION("GOOGLETRANSLATE(A7147,""en"",""pt"")"),"#VALUE!")</f>
        <v>#VALUE!</v>
      </c>
      <c r="G7147" s="69"/>
    </row>
    <row r="7148" ht="22.5" customHeight="1">
      <c r="A7148" s="66"/>
      <c r="B7148" s="67" t="str">
        <f t="shared" si="16"/>
        <v>M: </v>
      </c>
      <c r="C7148" s="68"/>
      <c r="D7148" s="68">
        <v>46464.0</v>
      </c>
      <c r="E7148" s="66">
        <v>6.0</v>
      </c>
      <c r="F7148" s="66" t="str">
        <f>IFERROR(__xludf.DUMMYFUNCTION("GOOGLETRANSLATE(A7148,""en"",""pt"")"),"#VALUE!")</f>
        <v>#VALUE!</v>
      </c>
      <c r="G7148" s="69"/>
    </row>
    <row r="7149" ht="22.5" customHeight="1">
      <c r="A7149" s="66"/>
      <c r="B7149" s="67" t="str">
        <f t="shared" si="16"/>
        <v>M: </v>
      </c>
      <c r="C7149" s="68"/>
      <c r="D7149" s="68">
        <v>46464.0</v>
      </c>
      <c r="E7149" s="66">
        <v>7.0</v>
      </c>
      <c r="F7149" s="66" t="str">
        <f>IFERROR(__xludf.DUMMYFUNCTION("GOOGLETRANSLATE(A7149,""en"",""pt"")"),"#VALUE!")</f>
        <v>#VALUE!</v>
      </c>
      <c r="G7149" s="69"/>
    </row>
    <row r="7150" ht="22.5" customHeight="1">
      <c r="A7150" s="66"/>
      <c r="B7150" s="67" t="str">
        <f t="shared" si="16"/>
        <v>M: </v>
      </c>
      <c r="C7150" s="68"/>
      <c r="D7150" s="68">
        <v>46464.0</v>
      </c>
      <c r="E7150" s="66">
        <v>8.0</v>
      </c>
      <c r="F7150" s="66" t="str">
        <f>IFERROR(__xludf.DUMMYFUNCTION("GOOGLETRANSLATE(A7150,""en"",""pt"")"),"#VALUE!")</f>
        <v>#VALUE!</v>
      </c>
      <c r="G7150" s="69"/>
    </row>
    <row r="7151" ht="22.5" customHeight="1">
      <c r="A7151" s="66"/>
      <c r="B7151" s="67" t="str">
        <f t="shared" si="16"/>
        <v>M: </v>
      </c>
      <c r="C7151" s="68"/>
      <c r="D7151" s="68">
        <v>46464.0</v>
      </c>
      <c r="E7151" s="66">
        <v>9.0</v>
      </c>
      <c r="F7151" s="66" t="str">
        <f>IFERROR(__xludf.DUMMYFUNCTION("GOOGLETRANSLATE(A7151,""en"",""pt"")"),"#VALUE!")</f>
        <v>#VALUE!</v>
      </c>
      <c r="G7151" s="69"/>
    </row>
    <row r="7152" ht="22.5" customHeight="1">
      <c r="A7152" s="66"/>
      <c r="B7152" s="67" t="str">
        <f t="shared" si="16"/>
        <v>M: </v>
      </c>
      <c r="C7152" s="68"/>
      <c r="D7152" s="68">
        <v>46465.0</v>
      </c>
      <c r="E7152" s="66">
        <v>10.0</v>
      </c>
      <c r="F7152" s="66" t="str">
        <f>IFERROR(__xludf.DUMMYFUNCTION("GOOGLETRANSLATE(A7152,""en"",""pt"")"),"#VALUE!")</f>
        <v>#VALUE!</v>
      </c>
      <c r="G7152" s="69"/>
    </row>
    <row r="7153" ht="22.5" customHeight="1">
      <c r="A7153" s="66"/>
      <c r="B7153" s="67" t="str">
        <f t="shared" si="16"/>
        <v>M: </v>
      </c>
      <c r="C7153" s="68"/>
      <c r="D7153" s="68">
        <v>46465.0</v>
      </c>
      <c r="E7153" s="66">
        <v>1.0</v>
      </c>
      <c r="F7153" s="66" t="str">
        <f>IFERROR(__xludf.DUMMYFUNCTION("GOOGLETRANSLATE(A7153,""en"",""pt"")"),"#VALUE!")</f>
        <v>#VALUE!</v>
      </c>
      <c r="G7153" s="69"/>
    </row>
    <row r="7154" ht="22.5" customHeight="1">
      <c r="A7154" s="66"/>
      <c r="B7154" s="67" t="str">
        <f t="shared" si="16"/>
        <v>M: </v>
      </c>
      <c r="C7154" s="68"/>
      <c r="D7154" s="68">
        <v>46465.0</v>
      </c>
      <c r="E7154" s="66">
        <v>2.0</v>
      </c>
      <c r="F7154" s="66" t="str">
        <f>IFERROR(__xludf.DUMMYFUNCTION("GOOGLETRANSLATE(A7154,""en"",""pt"")"),"#VALUE!")</f>
        <v>#VALUE!</v>
      </c>
      <c r="G7154" s="69"/>
    </row>
    <row r="7155" ht="22.5" customHeight="1">
      <c r="A7155" s="66"/>
      <c r="B7155" s="67" t="str">
        <f t="shared" si="16"/>
        <v>M: </v>
      </c>
      <c r="C7155" s="68"/>
      <c r="D7155" s="68">
        <v>46465.0</v>
      </c>
      <c r="E7155" s="66">
        <v>3.0</v>
      </c>
      <c r="F7155" s="66" t="str">
        <f>IFERROR(__xludf.DUMMYFUNCTION("GOOGLETRANSLATE(A7155,""en"",""pt"")"),"#VALUE!")</f>
        <v>#VALUE!</v>
      </c>
      <c r="G7155" s="69"/>
    </row>
    <row r="7156" ht="22.5" customHeight="1">
      <c r="A7156" s="66"/>
      <c r="B7156" s="67" t="str">
        <f t="shared" si="16"/>
        <v>M: </v>
      </c>
      <c r="C7156" s="68"/>
      <c r="D7156" s="68">
        <v>46465.0</v>
      </c>
      <c r="E7156" s="66">
        <v>4.0</v>
      </c>
      <c r="F7156" s="66" t="str">
        <f>IFERROR(__xludf.DUMMYFUNCTION("GOOGLETRANSLATE(A7156,""en"",""pt"")"),"#VALUE!")</f>
        <v>#VALUE!</v>
      </c>
      <c r="G7156" s="69"/>
    </row>
    <row r="7157" ht="22.5" customHeight="1">
      <c r="A7157" s="66"/>
      <c r="B7157" s="67" t="str">
        <f t="shared" si="16"/>
        <v>M: </v>
      </c>
      <c r="C7157" s="68"/>
      <c r="D7157" s="68">
        <v>46465.0</v>
      </c>
      <c r="E7157" s="66">
        <v>5.0</v>
      </c>
      <c r="F7157" s="66" t="str">
        <f>IFERROR(__xludf.DUMMYFUNCTION("GOOGLETRANSLATE(A7157,""en"",""pt"")"),"#VALUE!")</f>
        <v>#VALUE!</v>
      </c>
      <c r="G7157" s="69"/>
    </row>
    <row r="7158" ht="22.5" customHeight="1">
      <c r="A7158" s="66"/>
      <c r="B7158" s="67" t="str">
        <f t="shared" si="16"/>
        <v>M: </v>
      </c>
      <c r="C7158" s="68"/>
      <c r="D7158" s="68">
        <v>46465.0</v>
      </c>
      <c r="E7158" s="66">
        <v>6.0</v>
      </c>
      <c r="F7158" s="66" t="str">
        <f>IFERROR(__xludf.DUMMYFUNCTION("GOOGLETRANSLATE(A7158,""en"",""pt"")"),"#VALUE!")</f>
        <v>#VALUE!</v>
      </c>
      <c r="G7158" s="69"/>
    </row>
    <row r="7159" ht="22.5" customHeight="1">
      <c r="A7159" s="66"/>
      <c r="B7159" s="67" t="str">
        <f t="shared" si="16"/>
        <v>M: </v>
      </c>
      <c r="C7159" s="68"/>
      <c r="D7159" s="68">
        <v>46465.0</v>
      </c>
      <c r="E7159" s="66">
        <v>7.0</v>
      </c>
      <c r="F7159" s="66" t="str">
        <f>IFERROR(__xludf.DUMMYFUNCTION("GOOGLETRANSLATE(A7159,""en"",""pt"")"),"#VALUE!")</f>
        <v>#VALUE!</v>
      </c>
      <c r="G7159" s="69"/>
    </row>
    <row r="7160" ht="22.5" customHeight="1">
      <c r="A7160" s="66"/>
      <c r="B7160" s="67" t="str">
        <f t="shared" si="16"/>
        <v>M: </v>
      </c>
      <c r="C7160" s="68"/>
      <c r="D7160" s="68">
        <v>46465.0</v>
      </c>
      <c r="E7160" s="66">
        <v>8.0</v>
      </c>
      <c r="F7160" s="66" t="str">
        <f>IFERROR(__xludf.DUMMYFUNCTION("GOOGLETRANSLATE(A7160,""en"",""pt"")"),"#VALUE!")</f>
        <v>#VALUE!</v>
      </c>
      <c r="G7160" s="69"/>
    </row>
    <row r="7161" ht="22.5" customHeight="1">
      <c r="A7161" s="66"/>
      <c r="B7161" s="67" t="str">
        <f t="shared" si="16"/>
        <v>M: </v>
      </c>
      <c r="C7161" s="68"/>
      <c r="D7161" s="68">
        <v>46465.0</v>
      </c>
      <c r="E7161" s="66">
        <v>9.0</v>
      </c>
      <c r="F7161" s="66" t="str">
        <f>IFERROR(__xludf.DUMMYFUNCTION("GOOGLETRANSLATE(A7161,""en"",""pt"")"),"#VALUE!")</f>
        <v>#VALUE!</v>
      </c>
      <c r="G7161" s="69"/>
    </row>
    <row r="7162" ht="22.5" customHeight="1">
      <c r="A7162" s="66"/>
      <c r="B7162" s="67" t="str">
        <f t="shared" si="16"/>
        <v>M: </v>
      </c>
      <c r="C7162" s="68"/>
      <c r="D7162" s="68">
        <v>46466.0</v>
      </c>
      <c r="E7162" s="66">
        <v>10.0</v>
      </c>
      <c r="F7162" s="66" t="str">
        <f>IFERROR(__xludf.DUMMYFUNCTION("GOOGLETRANSLATE(A7162,""en"",""pt"")"),"#VALUE!")</f>
        <v>#VALUE!</v>
      </c>
      <c r="G7162" s="69"/>
    </row>
    <row r="7163" ht="22.5" customHeight="1">
      <c r="A7163" s="66"/>
      <c r="B7163" s="67" t="str">
        <f t="shared" si="16"/>
        <v>M: </v>
      </c>
      <c r="C7163" s="68"/>
      <c r="D7163" s="68">
        <v>46466.0</v>
      </c>
      <c r="E7163" s="66">
        <v>1.0</v>
      </c>
      <c r="F7163" s="66" t="str">
        <f>IFERROR(__xludf.DUMMYFUNCTION("GOOGLETRANSLATE(A7163,""en"",""pt"")"),"#VALUE!")</f>
        <v>#VALUE!</v>
      </c>
      <c r="G7163" s="69"/>
    </row>
    <row r="7164" ht="22.5" customHeight="1">
      <c r="A7164" s="66"/>
      <c r="B7164" s="67" t="str">
        <f t="shared" si="16"/>
        <v>M: </v>
      </c>
      <c r="C7164" s="68"/>
      <c r="D7164" s="68">
        <v>46466.0</v>
      </c>
      <c r="E7164" s="66">
        <v>2.0</v>
      </c>
      <c r="F7164" s="66" t="str">
        <f>IFERROR(__xludf.DUMMYFUNCTION("GOOGLETRANSLATE(A7164,""en"",""pt"")"),"#VALUE!")</f>
        <v>#VALUE!</v>
      </c>
      <c r="G7164" s="69"/>
    </row>
    <row r="7165" ht="22.5" customHeight="1">
      <c r="A7165" s="66"/>
      <c r="B7165" s="67" t="str">
        <f t="shared" si="16"/>
        <v>M: </v>
      </c>
      <c r="C7165" s="68"/>
      <c r="D7165" s="68">
        <v>46466.0</v>
      </c>
      <c r="E7165" s="66">
        <v>3.0</v>
      </c>
      <c r="F7165" s="66" t="str">
        <f>IFERROR(__xludf.DUMMYFUNCTION("GOOGLETRANSLATE(A7165,""en"",""pt"")"),"#VALUE!")</f>
        <v>#VALUE!</v>
      </c>
      <c r="G7165" s="69"/>
    </row>
    <row r="7166" ht="22.5" customHeight="1">
      <c r="A7166" s="66"/>
      <c r="B7166" s="67" t="str">
        <f t="shared" si="16"/>
        <v>M: </v>
      </c>
      <c r="C7166" s="68"/>
      <c r="D7166" s="68">
        <v>46466.0</v>
      </c>
      <c r="E7166" s="66">
        <v>4.0</v>
      </c>
      <c r="F7166" s="66" t="str">
        <f>IFERROR(__xludf.DUMMYFUNCTION("GOOGLETRANSLATE(A7166,""en"",""pt"")"),"#VALUE!")</f>
        <v>#VALUE!</v>
      </c>
      <c r="G7166" s="69"/>
    </row>
    <row r="7167" ht="22.5" customHeight="1">
      <c r="A7167" s="66"/>
      <c r="B7167" s="67" t="str">
        <f t="shared" si="16"/>
        <v>M: </v>
      </c>
      <c r="C7167" s="68"/>
      <c r="D7167" s="68">
        <v>46466.0</v>
      </c>
      <c r="E7167" s="66">
        <v>5.0</v>
      </c>
      <c r="F7167" s="66" t="str">
        <f>IFERROR(__xludf.DUMMYFUNCTION("GOOGLETRANSLATE(A7167,""en"",""pt"")"),"#VALUE!")</f>
        <v>#VALUE!</v>
      </c>
      <c r="G7167" s="69"/>
    </row>
    <row r="7168" ht="22.5" customHeight="1">
      <c r="A7168" s="66"/>
      <c r="B7168" s="67" t="str">
        <f t="shared" si="16"/>
        <v>M: </v>
      </c>
      <c r="C7168" s="68"/>
      <c r="D7168" s="68">
        <v>46466.0</v>
      </c>
      <c r="E7168" s="66">
        <v>6.0</v>
      </c>
      <c r="F7168" s="66" t="str">
        <f>IFERROR(__xludf.DUMMYFUNCTION("GOOGLETRANSLATE(A7168,""en"",""pt"")"),"#VALUE!")</f>
        <v>#VALUE!</v>
      </c>
      <c r="G7168" s="69"/>
    </row>
    <row r="7169" ht="22.5" customHeight="1">
      <c r="A7169" s="66"/>
      <c r="B7169" s="67" t="str">
        <f t="shared" si="16"/>
        <v>M: </v>
      </c>
      <c r="C7169" s="68"/>
      <c r="D7169" s="68">
        <v>46466.0</v>
      </c>
      <c r="E7169" s="66">
        <v>7.0</v>
      </c>
      <c r="F7169" s="66" t="str">
        <f>IFERROR(__xludf.DUMMYFUNCTION("GOOGLETRANSLATE(A7169,""en"",""pt"")"),"#VALUE!")</f>
        <v>#VALUE!</v>
      </c>
      <c r="G7169" s="69"/>
    </row>
    <row r="7170" ht="22.5" customHeight="1">
      <c r="A7170" s="66"/>
      <c r="B7170" s="67" t="str">
        <f t="shared" si="16"/>
        <v>M: </v>
      </c>
      <c r="C7170" s="68"/>
      <c r="D7170" s="68">
        <v>46466.0</v>
      </c>
      <c r="E7170" s="66">
        <v>8.0</v>
      </c>
      <c r="F7170" s="66" t="str">
        <f>IFERROR(__xludf.DUMMYFUNCTION("GOOGLETRANSLATE(A7170,""en"",""pt"")"),"#VALUE!")</f>
        <v>#VALUE!</v>
      </c>
      <c r="G7170" s="69"/>
    </row>
    <row r="7171" ht="22.5" customHeight="1">
      <c r="A7171" s="66"/>
      <c r="B7171" s="67" t="str">
        <f t="shared" si="16"/>
        <v>M: </v>
      </c>
      <c r="C7171" s="68"/>
      <c r="D7171" s="68">
        <v>46466.0</v>
      </c>
      <c r="E7171" s="66">
        <v>9.0</v>
      </c>
      <c r="F7171" s="66" t="str">
        <f>IFERROR(__xludf.DUMMYFUNCTION("GOOGLETRANSLATE(A7171,""en"",""pt"")"),"#VALUE!")</f>
        <v>#VALUE!</v>
      </c>
      <c r="G7171" s="69"/>
    </row>
    <row r="7172" ht="22.5" customHeight="1">
      <c r="A7172" s="66"/>
      <c r="B7172" s="67" t="str">
        <f t="shared" si="16"/>
        <v>M: </v>
      </c>
      <c r="C7172" s="68"/>
      <c r="D7172" s="68">
        <v>46467.0</v>
      </c>
      <c r="E7172" s="66">
        <v>10.0</v>
      </c>
      <c r="F7172" s="66" t="str">
        <f>IFERROR(__xludf.DUMMYFUNCTION("GOOGLETRANSLATE(A7172,""en"",""pt"")"),"#VALUE!")</f>
        <v>#VALUE!</v>
      </c>
      <c r="G7172" s="69"/>
    </row>
    <row r="7173" ht="22.5" customHeight="1">
      <c r="A7173" s="66"/>
      <c r="B7173" s="67" t="str">
        <f t="shared" si="16"/>
        <v>M: </v>
      </c>
      <c r="C7173" s="68"/>
      <c r="D7173" s="68">
        <v>46467.0</v>
      </c>
      <c r="E7173" s="66">
        <v>1.0</v>
      </c>
      <c r="F7173" s="66" t="str">
        <f>IFERROR(__xludf.DUMMYFUNCTION("GOOGLETRANSLATE(A7173,""en"",""pt"")"),"#VALUE!")</f>
        <v>#VALUE!</v>
      </c>
      <c r="G7173" s="69"/>
    </row>
    <row r="7174" ht="22.5" customHeight="1">
      <c r="A7174" s="66"/>
      <c r="B7174" s="67" t="str">
        <f t="shared" si="16"/>
        <v>M: </v>
      </c>
      <c r="C7174" s="68"/>
      <c r="D7174" s="68">
        <v>46467.0</v>
      </c>
      <c r="E7174" s="66">
        <v>2.0</v>
      </c>
      <c r="F7174" s="66" t="str">
        <f>IFERROR(__xludf.DUMMYFUNCTION("GOOGLETRANSLATE(A7174,""en"",""pt"")"),"#VALUE!")</f>
        <v>#VALUE!</v>
      </c>
      <c r="G7174" s="69"/>
    </row>
    <row r="7175" ht="22.5" customHeight="1">
      <c r="A7175" s="66"/>
      <c r="B7175" s="67" t="str">
        <f t="shared" si="16"/>
        <v>M: </v>
      </c>
      <c r="C7175" s="68"/>
      <c r="D7175" s="68">
        <v>46467.0</v>
      </c>
      <c r="E7175" s="66">
        <v>3.0</v>
      </c>
      <c r="F7175" s="66" t="str">
        <f>IFERROR(__xludf.DUMMYFUNCTION("GOOGLETRANSLATE(A7175,""en"",""pt"")"),"#VALUE!")</f>
        <v>#VALUE!</v>
      </c>
      <c r="G7175" s="69"/>
    </row>
    <row r="7176" ht="22.5" customHeight="1">
      <c r="A7176" s="66"/>
      <c r="B7176" s="67" t="str">
        <f t="shared" si="16"/>
        <v>M: </v>
      </c>
      <c r="C7176" s="68"/>
      <c r="D7176" s="68">
        <v>46467.0</v>
      </c>
      <c r="E7176" s="66">
        <v>4.0</v>
      </c>
      <c r="F7176" s="66" t="str">
        <f>IFERROR(__xludf.DUMMYFUNCTION("GOOGLETRANSLATE(A7176,""en"",""pt"")"),"#VALUE!")</f>
        <v>#VALUE!</v>
      </c>
      <c r="G7176" s="69"/>
    </row>
    <row r="7177" ht="22.5" customHeight="1">
      <c r="A7177" s="66"/>
      <c r="B7177" s="67" t="str">
        <f t="shared" si="16"/>
        <v>M: </v>
      </c>
      <c r="C7177" s="68"/>
      <c r="D7177" s="68">
        <v>46467.0</v>
      </c>
      <c r="E7177" s="66">
        <v>5.0</v>
      </c>
      <c r="F7177" s="66" t="str">
        <f>IFERROR(__xludf.DUMMYFUNCTION("GOOGLETRANSLATE(A7177,""en"",""pt"")"),"#VALUE!")</f>
        <v>#VALUE!</v>
      </c>
      <c r="G7177" s="69"/>
    </row>
    <row r="7178" ht="22.5" customHeight="1">
      <c r="A7178" s="66"/>
      <c r="B7178" s="67" t="str">
        <f t="shared" si="16"/>
        <v>M: </v>
      </c>
      <c r="C7178" s="68"/>
      <c r="D7178" s="68">
        <v>46467.0</v>
      </c>
      <c r="E7178" s="66">
        <v>6.0</v>
      </c>
      <c r="F7178" s="66" t="str">
        <f>IFERROR(__xludf.DUMMYFUNCTION("GOOGLETRANSLATE(A7178,""en"",""pt"")"),"#VALUE!")</f>
        <v>#VALUE!</v>
      </c>
      <c r="G7178" s="69"/>
    </row>
    <row r="7179" ht="22.5" customHeight="1">
      <c r="A7179" s="66"/>
      <c r="B7179" s="67" t="str">
        <f t="shared" si="16"/>
        <v>M: </v>
      </c>
      <c r="C7179" s="68"/>
      <c r="D7179" s="68">
        <v>46467.0</v>
      </c>
      <c r="E7179" s="66">
        <v>7.0</v>
      </c>
      <c r="F7179" s="66" t="str">
        <f>IFERROR(__xludf.DUMMYFUNCTION("GOOGLETRANSLATE(A7179,""en"",""pt"")"),"#VALUE!")</f>
        <v>#VALUE!</v>
      </c>
      <c r="G7179" s="69"/>
    </row>
    <row r="7180" ht="22.5" customHeight="1">
      <c r="A7180" s="66"/>
      <c r="B7180" s="67" t="str">
        <f t="shared" si="16"/>
        <v>M: </v>
      </c>
      <c r="C7180" s="68"/>
      <c r="D7180" s="68">
        <v>46467.0</v>
      </c>
      <c r="E7180" s="66">
        <v>8.0</v>
      </c>
      <c r="F7180" s="66" t="str">
        <f>IFERROR(__xludf.DUMMYFUNCTION("GOOGLETRANSLATE(A7180,""en"",""pt"")"),"#VALUE!")</f>
        <v>#VALUE!</v>
      </c>
      <c r="G7180" s="69"/>
    </row>
    <row r="7181" ht="22.5" customHeight="1">
      <c r="A7181" s="66"/>
      <c r="B7181" s="67" t="str">
        <f t="shared" si="16"/>
        <v>M: </v>
      </c>
      <c r="C7181" s="68"/>
      <c r="D7181" s="68">
        <v>46467.0</v>
      </c>
      <c r="E7181" s="66">
        <v>9.0</v>
      </c>
      <c r="F7181" s="66" t="str">
        <f>IFERROR(__xludf.DUMMYFUNCTION("GOOGLETRANSLATE(A7181,""en"",""pt"")"),"#VALUE!")</f>
        <v>#VALUE!</v>
      </c>
      <c r="G7181" s="69"/>
    </row>
    <row r="7182" ht="22.5" customHeight="1">
      <c r="A7182" s="66"/>
      <c r="B7182" s="67" t="str">
        <f t="shared" si="16"/>
        <v>M: </v>
      </c>
      <c r="C7182" s="68"/>
      <c r="D7182" s="68">
        <v>46468.0</v>
      </c>
      <c r="E7182" s="66">
        <v>10.0</v>
      </c>
      <c r="F7182" s="66" t="str">
        <f>IFERROR(__xludf.DUMMYFUNCTION("GOOGLETRANSLATE(A7182,""en"",""pt"")"),"#VALUE!")</f>
        <v>#VALUE!</v>
      </c>
      <c r="G7182" s="69"/>
    </row>
    <row r="7183" ht="22.5" customHeight="1">
      <c r="A7183" s="66"/>
      <c r="B7183" s="67" t="str">
        <f t="shared" si="16"/>
        <v>M: </v>
      </c>
      <c r="C7183" s="68"/>
      <c r="D7183" s="68">
        <v>46468.0</v>
      </c>
      <c r="E7183" s="66">
        <v>1.0</v>
      </c>
      <c r="F7183" s="66" t="str">
        <f>IFERROR(__xludf.DUMMYFUNCTION("GOOGLETRANSLATE(A7183,""en"",""pt"")"),"#VALUE!")</f>
        <v>#VALUE!</v>
      </c>
      <c r="G7183" s="69"/>
    </row>
    <row r="7184" ht="22.5" customHeight="1">
      <c r="A7184" s="66"/>
      <c r="B7184" s="67" t="str">
        <f t="shared" si="16"/>
        <v>M: </v>
      </c>
      <c r="C7184" s="68"/>
      <c r="D7184" s="68">
        <v>46468.0</v>
      </c>
      <c r="E7184" s="66">
        <v>2.0</v>
      </c>
      <c r="F7184" s="66" t="str">
        <f>IFERROR(__xludf.DUMMYFUNCTION("GOOGLETRANSLATE(A7184,""en"",""pt"")"),"#VALUE!")</f>
        <v>#VALUE!</v>
      </c>
      <c r="G7184" s="69"/>
    </row>
    <row r="7185" ht="22.5" customHeight="1">
      <c r="A7185" s="66"/>
      <c r="B7185" s="67" t="str">
        <f t="shared" si="16"/>
        <v>M: </v>
      </c>
      <c r="C7185" s="68"/>
      <c r="D7185" s="68">
        <v>46468.0</v>
      </c>
      <c r="E7185" s="66">
        <v>3.0</v>
      </c>
      <c r="F7185" s="66" t="str">
        <f>IFERROR(__xludf.DUMMYFUNCTION("GOOGLETRANSLATE(A7185,""en"",""pt"")"),"#VALUE!")</f>
        <v>#VALUE!</v>
      </c>
      <c r="G7185" s="69"/>
    </row>
    <row r="7186" ht="22.5" customHeight="1">
      <c r="A7186" s="66"/>
      <c r="B7186" s="67" t="str">
        <f t="shared" si="16"/>
        <v>M: </v>
      </c>
      <c r="C7186" s="68"/>
      <c r="D7186" s="68">
        <v>46468.0</v>
      </c>
      <c r="E7186" s="66">
        <v>4.0</v>
      </c>
      <c r="F7186" s="66" t="str">
        <f>IFERROR(__xludf.DUMMYFUNCTION("GOOGLETRANSLATE(A7186,""en"",""pt"")"),"#VALUE!")</f>
        <v>#VALUE!</v>
      </c>
      <c r="G7186" s="69"/>
    </row>
    <row r="7187" ht="22.5" customHeight="1">
      <c r="A7187" s="66"/>
      <c r="B7187" s="67" t="str">
        <f t="shared" si="16"/>
        <v>M: </v>
      </c>
      <c r="C7187" s="68"/>
      <c r="D7187" s="68">
        <v>46468.0</v>
      </c>
      <c r="E7187" s="66">
        <v>5.0</v>
      </c>
      <c r="F7187" s="66" t="str">
        <f>IFERROR(__xludf.DUMMYFUNCTION("GOOGLETRANSLATE(A7187,""en"",""pt"")"),"#VALUE!")</f>
        <v>#VALUE!</v>
      </c>
      <c r="G7187" s="69"/>
    </row>
    <row r="7188" ht="22.5" customHeight="1">
      <c r="A7188" s="66"/>
      <c r="B7188" s="67" t="str">
        <f t="shared" si="16"/>
        <v>M: </v>
      </c>
      <c r="C7188" s="68"/>
      <c r="D7188" s="68">
        <v>46468.0</v>
      </c>
      <c r="E7188" s="66">
        <v>6.0</v>
      </c>
      <c r="F7188" s="66" t="str">
        <f>IFERROR(__xludf.DUMMYFUNCTION("GOOGLETRANSLATE(A7188,""en"",""pt"")"),"#VALUE!")</f>
        <v>#VALUE!</v>
      </c>
      <c r="G7188" s="69"/>
    </row>
    <row r="7189" ht="22.5" customHeight="1">
      <c r="A7189" s="66"/>
      <c r="B7189" s="67" t="str">
        <f t="shared" si="16"/>
        <v>M: </v>
      </c>
      <c r="C7189" s="68"/>
      <c r="D7189" s="68">
        <v>46468.0</v>
      </c>
      <c r="E7189" s="66">
        <v>7.0</v>
      </c>
      <c r="F7189" s="66" t="str">
        <f>IFERROR(__xludf.DUMMYFUNCTION("GOOGLETRANSLATE(A7189,""en"",""pt"")"),"#VALUE!")</f>
        <v>#VALUE!</v>
      </c>
      <c r="G7189" s="69"/>
    </row>
    <row r="7190" ht="22.5" customHeight="1">
      <c r="A7190" s="66"/>
      <c r="B7190" s="67" t="str">
        <f t="shared" si="16"/>
        <v>M: </v>
      </c>
      <c r="C7190" s="68"/>
      <c r="D7190" s="68">
        <v>46468.0</v>
      </c>
      <c r="E7190" s="66">
        <v>8.0</v>
      </c>
      <c r="F7190" s="66" t="str">
        <f>IFERROR(__xludf.DUMMYFUNCTION("GOOGLETRANSLATE(A7190,""en"",""pt"")"),"#VALUE!")</f>
        <v>#VALUE!</v>
      </c>
      <c r="G7190" s="69"/>
    </row>
    <row r="7191" ht="22.5" customHeight="1">
      <c r="A7191" s="66"/>
      <c r="B7191" s="67" t="str">
        <f t="shared" si="16"/>
        <v>M: </v>
      </c>
      <c r="C7191" s="68"/>
      <c r="D7191" s="68">
        <v>46468.0</v>
      </c>
      <c r="E7191" s="66">
        <v>9.0</v>
      </c>
      <c r="F7191" s="66" t="str">
        <f>IFERROR(__xludf.DUMMYFUNCTION("GOOGLETRANSLATE(A7191,""en"",""pt"")"),"#VALUE!")</f>
        <v>#VALUE!</v>
      </c>
      <c r="G7191" s="69"/>
    </row>
    <row r="7192" ht="22.5" customHeight="1">
      <c r="A7192" s="66"/>
      <c r="B7192" s="67" t="str">
        <f t="shared" si="16"/>
        <v>M: </v>
      </c>
      <c r="C7192" s="68"/>
      <c r="D7192" s="68">
        <v>46469.0</v>
      </c>
      <c r="E7192" s="66">
        <v>10.0</v>
      </c>
      <c r="F7192" s="66" t="str">
        <f>IFERROR(__xludf.DUMMYFUNCTION("GOOGLETRANSLATE(A7192,""en"",""pt"")"),"#VALUE!")</f>
        <v>#VALUE!</v>
      </c>
      <c r="G7192" s="69"/>
    </row>
    <row r="7193" ht="22.5" customHeight="1">
      <c r="A7193" s="66"/>
      <c r="B7193" s="67" t="str">
        <f t="shared" si="16"/>
        <v>M: </v>
      </c>
      <c r="C7193" s="68"/>
      <c r="D7193" s="68">
        <v>46469.0</v>
      </c>
      <c r="E7193" s="66">
        <v>1.0</v>
      </c>
      <c r="F7193" s="66" t="str">
        <f>IFERROR(__xludf.DUMMYFUNCTION("GOOGLETRANSLATE(A7193,""en"",""pt"")"),"#VALUE!")</f>
        <v>#VALUE!</v>
      </c>
      <c r="G7193" s="69"/>
    </row>
    <row r="7194" ht="22.5" customHeight="1">
      <c r="A7194" s="66"/>
      <c r="B7194" s="67" t="str">
        <f t="shared" si="16"/>
        <v>M: </v>
      </c>
      <c r="C7194" s="68"/>
      <c r="D7194" s="68">
        <v>46469.0</v>
      </c>
      <c r="E7194" s="66">
        <v>2.0</v>
      </c>
      <c r="F7194" s="66" t="str">
        <f>IFERROR(__xludf.DUMMYFUNCTION("GOOGLETRANSLATE(A7194,""en"",""pt"")"),"#VALUE!")</f>
        <v>#VALUE!</v>
      </c>
      <c r="G7194" s="69"/>
    </row>
    <row r="7195" ht="22.5" customHeight="1">
      <c r="A7195" s="66"/>
      <c r="B7195" s="67" t="str">
        <f t="shared" si="16"/>
        <v>M: </v>
      </c>
      <c r="C7195" s="68"/>
      <c r="D7195" s="68">
        <v>46469.0</v>
      </c>
      <c r="E7195" s="66">
        <v>3.0</v>
      </c>
      <c r="F7195" s="66" t="str">
        <f>IFERROR(__xludf.DUMMYFUNCTION("GOOGLETRANSLATE(A7195,""en"",""pt"")"),"#VALUE!")</f>
        <v>#VALUE!</v>
      </c>
      <c r="G7195" s="69"/>
    </row>
    <row r="7196" ht="22.5" customHeight="1">
      <c r="A7196" s="66"/>
      <c r="B7196" s="67" t="str">
        <f t="shared" si="16"/>
        <v>M: </v>
      </c>
      <c r="C7196" s="68"/>
      <c r="D7196" s="68">
        <v>46469.0</v>
      </c>
      <c r="E7196" s="66">
        <v>4.0</v>
      </c>
      <c r="F7196" s="66" t="str">
        <f>IFERROR(__xludf.DUMMYFUNCTION("GOOGLETRANSLATE(A7196,""en"",""pt"")"),"#VALUE!")</f>
        <v>#VALUE!</v>
      </c>
      <c r="G7196" s="69"/>
    </row>
    <row r="7197" ht="22.5" customHeight="1">
      <c r="A7197" s="66"/>
      <c r="B7197" s="67" t="str">
        <f t="shared" si="16"/>
        <v>M: </v>
      </c>
      <c r="C7197" s="68"/>
      <c r="D7197" s="68">
        <v>46469.0</v>
      </c>
      <c r="E7197" s="66">
        <v>5.0</v>
      </c>
      <c r="F7197" s="66" t="str">
        <f>IFERROR(__xludf.DUMMYFUNCTION("GOOGLETRANSLATE(A7197,""en"",""pt"")"),"#VALUE!")</f>
        <v>#VALUE!</v>
      </c>
      <c r="G7197" s="69"/>
    </row>
    <row r="7198" ht="22.5" customHeight="1">
      <c r="A7198" s="66"/>
      <c r="B7198" s="67" t="str">
        <f t="shared" si="16"/>
        <v>M: </v>
      </c>
      <c r="C7198" s="68"/>
      <c r="D7198" s="68">
        <v>46469.0</v>
      </c>
      <c r="E7198" s="66">
        <v>6.0</v>
      </c>
      <c r="F7198" s="66" t="str">
        <f>IFERROR(__xludf.DUMMYFUNCTION("GOOGLETRANSLATE(A7198,""en"",""pt"")"),"#VALUE!")</f>
        <v>#VALUE!</v>
      </c>
      <c r="G7198" s="69"/>
    </row>
    <row r="7199" ht="22.5" customHeight="1">
      <c r="A7199" s="66"/>
      <c r="B7199" s="67" t="str">
        <f t="shared" si="16"/>
        <v>M: </v>
      </c>
      <c r="C7199" s="68"/>
      <c r="D7199" s="68">
        <v>46469.0</v>
      </c>
      <c r="E7199" s="66">
        <v>7.0</v>
      </c>
      <c r="F7199" s="66" t="str">
        <f>IFERROR(__xludf.DUMMYFUNCTION("GOOGLETRANSLATE(A7199,""en"",""pt"")"),"#VALUE!")</f>
        <v>#VALUE!</v>
      </c>
      <c r="G7199" s="69"/>
    </row>
    <row r="7200" ht="22.5" customHeight="1">
      <c r="A7200" s="66"/>
      <c r="B7200" s="67" t="str">
        <f t="shared" si="16"/>
        <v>M: </v>
      </c>
      <c r="C7200" s="68"/>
      <c r="D7200" s="68">
        <v>46469.0</v>
      </c>
      <c r="E7200" s="66">
        <v>8.0</v>
      </c>
      <c r="F7200" s="66" t="str">
        <f>IFERROR(__xludf.DUMMYFUNCTION("GOOGLETRANSLATE(A7200,""en"",""pt"")"),"#VALUE!")</f>
        <v>#VALUE!</v>
      </c>
      <c r="G7200" s="69"/>
    </row>
    <row r="7201" ht="22.5" customHeight="1">
      <c r="A7201" s="66"/>
      <c r="B7201" s="67" t="str">
        <f t="shared" si="16"/>
        <v>M: </v>
      </c>
      <c r="C7201" s="68"/>
      <c r="D7201" s="68">
        <v>46469.0</v>
      </c>
      <c r="E7201" s="66">
        <v>9.0</v>
      </c>
      <c r="F7201" s="66" t="str">
        <f>IFERROR(__xludf.DUMMYFUNCTION("GOOGLETRANSLATE(A7201,""en"",""pt"")"),"#VALUE!")</f>
        <v>#VALUE!</v>
      </c>
      <c r="G7201" s="69"/>
    </row>
    <row r="7202" ht="22.5" customHeight="1">
      <c r="A7202" s="66"/>
      <c r="B7202" s="67" t="str">
        <f t="shared" si="16"/>
        <v>M: </v>
      </c>
      <c r="C7202" s="68"/>
      <c r="D7202" s="68">
        <v>46470.0</v>
      </c>
      <c r="E7202" s="66">
        <v>10.0</v>
      </c>
      <c r="F7202" s="66" t="str">
        <f>IFERROR(__xludf.DUMMYFUNCTION("GOOGLETRANSLATE(A7202,""en"",""pt"")"),"#VALUE!")</f>
        <v>#VALUE!</v>
      </c>
      <c r="G7202" s="69"/>
    </row>
    <row r="7203" ht="22.5" customHeight="1">
      <c r="A7203" s="66"/>
      <c r="B7203" s="67" t="str">
        <f t="shared" si="16"/>
        <v>M: </v>
      </c>
      <c r="C7203" s="68"/>
      <c r="D7203" s="68">
        <v>46470.0</v>
      </c>
      <c r="E7203" s="66">
        <v>1.0</v>
      </c>
      <c r="F7203" s="66" t="str">
        <f>IFERROR(__xludf.DUMMYFUNCTION("GOOGLETRANSLATE(A7203,""en"",""pt"")"),"#VALUE!")</f>
        <v>#VALUE!</v>
      </c>
      <c r="G7203" s="69"/>
    </row>
    <row r="7204" ht="22.5" customHeight="1">
      <c r="A7204" s="66"/>
      <c r="B7204" s="67" t="str">
        <f t="shared" si="16"/>
        <v>M: </v>
      </c>
      <c r="C7204" s="68"/>
      <c r="D7204" s="68">
        <v>46470.0</v>
      </c>
      <c r="E7204" s="66">
        <v>2.0</v>
      </c>
      <c r="F7204" s="66" t="str">
        <f>IFERROR(__xludf.DUMMYFUNCTION("GOOGLETRANSLATE(A7204,""en"",""pt"")"),"#VALUE!")</f>
        <v>#VALUE!</v>
      </c>
      <c r="G7204" s="69"/>
    </row>
    <row r="7205" ht="22.5" customHeight="1">
      <c r="A7205" s="66"/>
      <c r="B7205" s="67" t="str">
        <f t="shared" si="16"/>
        <v>M: </v>
      </c>
      <c r="C7205" s="68"/>
      <c r="D7205" s="68">
        <v>46470.0</v>
      </c>
      <c r="E7205" s="66">
        <v>3.0</v>
      </c>
      <c r="F7205" s="66" t="str">
        <f>IFERROR(__xludf.DUMMYFUNCTION("GOOGLETRANSLATE(A7205,""en"",""pt"")"),"#VALUE!")</f>
        <v>#VALUE!</v>
      </c>
      <c r="G7205" s="69"/>
    </row>
    <row r="7206" ht="22.5" customHeight="1">
      <c r="A7206" s="66"/>
      <c r="B7206" s="67" t="str">
        <f t="shared" si="16"/>
        <v>M: </v>
      </c>
      <c r="C7206" s="68"/>
      <c r="D7206" s="68">
        <v>46470.0</v>
      </c>
      <c r="E7206" s="66">
        <v>4.0</v>
      </c>
      <c r="F7206" s="66" t="str">
        <f>IFERROR(__xludf.DUMMYFUNCTION("GOOGLETRANSLATE(A7206,""en"",""pt"")"),"#VALUE!")</f>
        <v>#VALUE!</v>
      </c>
      <c r="G7206" s="69"/>
    </row>
    <row r="7207" ht="22.5" customHeight="1">
      <c r="A7207" s="66"/>
      <c r="B7207" s="67" t="str">
        <f t="shared" si="16"/>
        <v>M: </v>
      </c>
      <c r="C7207" s="68"/>
      <c r="D7207" s="68">
        <v>46470.0</v>
      </c>
      <c r="E7207" s="66">
        <v>5.0</v>
      </c>
      <c r="F7207" s="66" t="str">
        <f>IFERROR(__xludf.DUMMYFUNCTION("GOOGLETRANSLATE(A7207,""en"",""pt"")"),"#VALUE!")</f>
        <v>#VALUE!</v>
      </c>
      <c r="G7207" s="69"/>
    </row>
    <row r="7208" ht="22.5" customHeight="1">
      <c r="A7208" s="66"/>
      <c r="B7208" s="67" t="str">
        <f t="shared" si="16"/>
        <v>M: </v>
      </c>
      <c r="C7208" s="68"/>
      <c r="D7208" s="68">
        <v>46470.0</v>
      </c>
      <c r="E7208" s="66">
        <v>6.0</v>
      </c>
      <c r="F7208" s="66" t="str">
        <f>IFERROR(__xludf.DUMMYFUNCTION("GOOGLETRANSLATE(A7208,""en"",""pt"")"),"#VALUE!")</f>
        <v>#VALUE!</v>
      </c>
      <c r="G7208" s="69"/>
    </row>
    <row r="7209" ht="22.5" customHeight="1">
      <c r="A7209" s="66"/>
      <c r="B7209" s="67" t="str">
        <f t="shared" si="16"/>
        <v>M: </v>
      </c>
      <c r="C7209" s="68"/>
      <c r="D7209" s="68">
        <v>46470.0</v>
      </c>
      <c r="E7209" s="66">
        <v>7.0</v>
      </c>
      <c r="F7209" s="66" t="str">
        <f>IFERROR(__xludf.DUMMYFUNCTION("GOOGLETRANSLATE(A7209,""en"",""pt"")"),"#VALUE!")</f>
        <v>#VALUE!</v>
      </c>
      <c r="G7209" s="69"/>
    </row>
    <row r="7210" ht="22.5" customHeight="1">
      <c r="A7210" s="66"/>
      <c r="B7210" s="67" t="str">
        <f t="shared" si="16"/>
        <v>M: </v>
      </c>
      <c r="C7210" s="68"/>
      <c r="D7210" s="68">
        <v>46470.0</v>
      </c>
      <c r="E7210" s="66">
        <v>8.0</v>
      </c>
      <c r="F7210" s="66" t="str">
        <f>IFERROR(__xludf.DUMMYFUNCTION("GOOGLETRANSLATE(A7210,""en"",""pt"")"),"#VALUE!")</f>
        <v>#VALUE!</v>
      </c>
      <c r="G7210" s="69"/>
    </row>
    <row r="7211" ht="22.5" customHeight="1">
      <c r="A7211" s="66"/>
      <c r="B7211" s="67" t="str">
        <f t="shared" si="16"/>
        <v>M: </v>
      </c>
      <c r="C7211" s="68"/>
      <c r="D7211" s="68">
        <v>46470.0</v>
      </c>
      <c r="E7211" s="66">
        <v>9.0</v>
      </c>
      <c r="F7211" s="66" t="str">
        <f>IFERROR(__xludf.DUMMYFUNCTION("GOOGLETRANSLATE(A7211,""en"",""pt"")"),"#VALUE!")</f>
        <v>#VALUE!</v>
      </c>
      <c r="G7211" s="69"/>
    </row>
    <row r="7212" ht="22.5" customHeight="1">
      <c r="A7212" s="66"/>
      <c r="B7212" s="67" t="str">
        <f t="shared" si="16"/>
        <v>M: </v>
      </c>
      <c r="C7212" s="68"/>
      <c r="D7212" s="68">
        <v>46471.0</v>
      </c>
      <c r="E7212" s="66">
        <v>10.0</v>
      </c>
      <c r="F7212" s="66" t="str">
        <f>IFERROR(__xludf.DUMMYFUNCTION("GOOGLETRANSLATE(A7212,""en"",""pt"")"),"#VALUE!")</f>
        <v>#VALUE!</v>
      </c>
      <c r="G7212" s="69"/>
    </row>
    <row r="7213" ht="22.5" customHeight="1">
      <c r="A7213" s="66"/>
      <c r="B7213" s="67" t="str">
        <f t="shared" si="16"/>
        <v>M: </v>
      </c>
      <c r="C7213" s="68"/>
      <c r="D7213" s="68">
        <v>46471.0</v>
      </c>
      <c r="E7213" s="66">
        <v>1.0</v>
      </c>
      <c r="F7213" s="66" t="str">
        <f>IFERROR(__xludf.DUMMYFUNCTION("GOOGLETRANSLATE(A7213,""en"",""pt"")"),"#VALUE!")</f>
        <v>#VALUE!</v>
      </c>
      <c r="G7213" s="69"/>
    </row>
    <row r="7214" ht="22.5" customHeight="1">
      <c r="A7214" s="66"/>
      <c r="B7214" s="67" t="str">
        <f t="shared" si="16"/>
        <v>M: </v>
      </c>
      <c r="C7214" s="68"/>
      <c r="D7214" s="68">
        <v>46471.0</v>
      </c>
      <c r="E7214" s="66">
        <v>2.0</v>
      </c>
      <c r="F7214" s="66" t="str">
        <f>IFERROR(__xludf.DUMMYFUNCTION("GOOGLETRANSLATE(A7214,""en"",""pt"")"),"#VALUE!")</f>
        <v>#VALUE!</v>
      </c>
      <c r="G7214" s="69"/>
    </row>
    <row r="7215" ht="22.5" customHeight="1">
      <c r="A7215" s="66"/>
      <c r="B7215" s="67" t="str">
        <f t="shared" si="16"/>
        <v>M: </v>
      </c>
      <c r="C7215" s="68"/>
      <c r="D7215" s="68">
        <v>46471.0</v>
      </c>
      <c r="E7215" s="66">
        <v>3.0</v>
      </c>
      <c r="F7215" s="66" t="str">
        <f>IFERROR(__xludf.DUMMYFUNCTION("GOOGLETRANSLATE(A7215,""en"",""pt"")"),"#VALUE!")</f>
        <v>#VALUE!</v>
      </c>
      <c r="G7215" s="69"/>
    </row>
    <row r="7216" ht="22.5" customHeight="1">
      <c r="A7216" s="66"/>
      <c r="B7216" s="67" t="str">
        <f t="shared" si="16"/>
        <v>M: </v>
      </c>
      <c r="C7216" s="68"/>
      <c r="D7216" s="68">
        <v>46471.0</v>
      </c>
      <c r="E7216" s="66">
        <v>4.0</v>
      </c>
      <c r="F7216" s="66" t="str">
        <f>IFERROR(__xludf.DUMMYFUNCTION("GOOGLETRANSLATE(A7216,""en"",""pt"")"),"#VALUE!")</f>
        <v>#VALUE!</v>
      </c>
      <c r="G7216" s="69"/>
    </row>
    <row r="7217" ht="22.5" customHeight="1">
      <c r="A7217" s="66"/>
      <c r="B7217" s="67" t="str">
        <f t="shared" si="16"/>
        <v>M: </v>
      </c>
      <c r="C7217" s="68"/>
      <c r="D7217" s="68">
        <v>46471.0</v>
      </c>
      <c r="E7217" s="66">
        <v>5.0</v>
      </c>
      <c r="F7217" s="66" t="str">
        <f>IFERROR(__xludf.DUMMYFUNCTION("GOOGLETRANSLATE(A7217,""en"",""pt"")"),"#VALUE!")</f>
        <v>#VALUE!</v>
      </c>
      <c r="G7217" s="69"/>
    </row>
    <row r="7218" ht="22.5" customHeight="1">
      <c r="A7218" s="66"/>
      <c r="B7218" s="67" t="str">
        <f t="shared" si="16"/>
        <v>M: </v>
      </c>
      <c r="C7218" s="68"/>
      <c r="D7218" s="68">
        <v>46471.0</v>
      </c>
      <c r="E7218" s="66">
        <v>6.0</v>
      </c>
      <c r="F7218" s="66" t="str">
        <f>IFERROR(__xludf.DUMMYFUNCTION("GOOGLETRANSLATE(A7218,""en"",""pt"")"),"#VALUE!")</f>
        <v>#VALUE!</v>
      </c>
      <c r="G7218" s="69"/>
    </row>
    <row r="7219" ht="22.5" customHeight="1">
      <c r="A7219" s="66"/>
      <c r="B7219" s="67" t="str">
        <f t="shared" si="16"/>
        <v>M: </v>
      </c>
      <c r="C7219" s="68"/>
      <c r="D7219" s="68">
        <v>46471.0</v>
      </c>
      <c r="E7219" s="66">
        <v>7.0</v>
      </c>
      <c r="F7219" s="66" t="str">
        <f>IFERROR(__xludf.DUMMYFUNCTION("GOOGLETRANSLATE(A7219,""en"",""pt"")"),"#VALUE!")</f>
        <v>#VALUE!</v>
      </c>
      <c r="G7219" s="69"/>
    </row>
    <row r="7220" ht="22.5" customHeight="1">
      <c r="A7220" s="66"/>
      <c r="B7220" s="67" t="str">
        <f t="shared" si="16"/>
        <v>M: </v>
      </c>
      <c r="C7220" s="68"/>
      <c r="D7220" s="68">
        <v>46471.0</v>
      </c>
      <c r="E7220" s="66">
        <v>8.0</v>
      </c>
      <c r="F7220" s="66" t="str">
        <f>IFERROR(__xludf.DUMMYFUNCTION("GOOGLETRANSLATE(A7220,""en"",""pt"")"),"#VALUE!")</f>
        <v>#VALUE!</v>
      </c>
      <c r="G7220" s="69"/>
    </row>
    <row r="7221" ht="22.5" customHeight="1">
      <c r="A7221" s="66"/>
      <c r="B7221" s="67" t="str">
        <f t="shared" si="16"/>
        <v>M: </v>
      </c>
      <c r="C7221" s="68"/>
      <c r="D7221" s="68">
        <v>46471.0</v>
      </c>
      <c r="E7221" s="66">
        <v>9.0</v>
      </c>
      <c r="F7221" s="66" t="str">
        <f>IFERROR(__xludf.DUMMYFUNCTION("GOOGLETRANSLATE(A7221,""en"",""pt"")"),"#VALUE!")</f>
        <v>#VALUE!</v>
      </c>
      <c r="G7221" s="69"/>
    </row>
    <row r="7222" ht="22.5" customHeight="1">
      <c r="A7222" s="66"/>
      <c r="B7222" s="67" t="str">
        <f t="shared" si="16"/>
        <v>M: </v>
      </c>
      <c r="C7222" s="68"/>
      <c r="D7222" s="68">
        <v>46472.0</v>
      </c>
      <c r="E7222" s="66">
        <v>10.0</v>
      </c>
      <c r="F7222" s="66" t="str">
        <f>IFERROR(__xludf.DUMMYFUNCTION("GOOGLETRANSLATE(A7222,""en"",""pt"")"),"#VALUE!")</f>
        <v>#VALUE!</v>
      </c>
      <c r="G7222" s="69"/>
    </row>
    <row r="7223" ht="22.5" customHeight="1">
      <c r="A7223" s="66"/>
      <c r="B7223" s="67" t="str">
        <f t="shared" si="16"/>
        <v>M: </v>
      </c>
      <c r="C7223" s="68"/>
      <c r="D7223" s="68">
        <v>46472.0</v>
      </c>
      <c r="E7223" s="66">
        <v>1.0</v>
      </c>
      <c r="F7223" s="66" t="str">
        <f>IFERROR(__xludf.DUMMYFUNCTION("GOOGLETRANSLATE(A7223,""en"",""pt"")"),"#VALUE!")</f>
        <v>#VALUE!</v>
      </c>
      <c r="G7223" s="69"/>
    </row>
    <row r="7224" ht="22.5" customHeight="1">
      <c r="A7224" s="66"/>
      <c r="B7224" s="67" t="str">
        <f t="shared" si="16"/>
        <v>M: </v>
      </c>
      <c r="C7224" s="68"/>
      <c r="D7224" s="68">
        <v>46472.0</v>
      </c>
      <c r="E7224" s="66">
        <v>2.0</v>
      </c>
      <c r="F7224" s="66" t="str">
        <f>IFERROR(__xludf.DUMMYFUNCTION("GOOGLETRANSLATE(A7224,""en"",""pt"")"),"#VALUE!")</f>
        <v>#VALUE!</v>
      </c>
      <c r="G7224" s="69"/>
    </row>
    <row r="7225" ht="22.5" customHeight="1">
      <c r="A7225" s="66"/>
      <c r="B7225" s="67" t="str">
        <f t="shared" si="16"/>
        <v>M: </v>
      </c>
      <c r="C7225" s="68"/>
      <c r="D7225" s="68">
        <v>46472.0</v>
      </c>
      <c r="E7225" s="66">
        <v>3.0</v>
      </c>
      <c r="F7225" s="66" t="str">
        <f>IFERROR(__xludf.DUMMYFUNCTION("GOOGLETRANSLATE(A7225,""en"",""pt"")"),"#VALUE!")</f>
        <v>#VALUE!</v>
      </c>
      <c r="G7225" s="69"/>
    </row>
    <row r="7226" ht="22.5" customHeight="1">
      <c r="A7226" s="66"/>
      <c r="B7226" s="67" t="str">
        <f t="shared" si="16"/>
        <v>M: </v>
      </c>
      <c r="C7226" s="68"/>
      <c r="D7226" s="68">
        <v>46472.0</v>
      </c>
      <c r="E7226" s="66">
        <v>4.0</v>
      </c>
      <c r="F7226" s="66" t="str">
        <f>IFERROR(__xludf.DUMMYFUNCTION("GOOGLETRANSLATE(A7226,""en"",""pt"")"),"#VALUE!")</f>
        <v>#VALUE!</v>
      </c>
      <c r="G7226" s="69"/>
    </row>
    <row r="7227" ht="22.5" customHeight="1">
      <c r="A7227" s="66"/>
      <c r="B7227" s="67" t="str">
        <f t="shared" si="16"/>
        <v>M: </v>
      </c>
      <c r="C7227" s="68"/>
      <c r="D7227" s="68">
        <v>46472.0</v>
      </c>
      <c r="E7227" s="66">
        <v>5.0</v>
      </c>
      <c r="F7227" s="66" t="str">
        <f>IFERROR(__xludf.DUMMYFUNCTION("GOOGLETRANSLATE(A7227,""en"",""pt"")"),"#VALUE!")</f>
        <v>#VALUE!</v>
      </c>
      <c r="G7227" s="69"/>
    </row>
    <row r="7228" ht="22.5" customHeight="1">
      <c r="A7228" s="66"/>
      <c r="B7228" s="67" t="str">
        <f t="shared" si="16"/>
        <v>M: </v>
      </c>
      <c r="C7228" s="68"/>
      <c r="D7228" s="68">
        <v>46472.0</v>
      </c>
      <c r="E7228" s="66">
        <v>6.0</v>
      </c>
      <c r="F7228" s="66" t="str">
        <f>IFERROR(__xludf.DUMMYFUNCTION("GOOGLETRANSLATE(A7228,""en"",""pt"")"),"#VALUE!")</f>
        <v>#VALUE!</v>
      </c>
      <c r="G7228" s="69"/>
    </row>
    <row r="7229" ht="22.5" customHeight="1">
      <c r="A7229" s="66"/>
      <c r="B7229" s="67" t="str">
        <f t="shared" si="16"/>
        <v>M: </v>
      </c>
      <c r="C7229" s="68"/>
      <c r="D7229" s="68">
        <v>46472.0</v>
      </c>
      <c r="E7229" s="66">
        <v>7.0</v>
      </c>
      <c r="F7229" s="66" t="str">
        <f>IFERROR(__xludf.DUMMYFUNCTION("GOOGLETRANSLATE(A7229,""en"",""pt"")"),"#VALUE!")</f>
        <v>#VALUE!</v>
      </c>
      <c r="G7229" s="69"/>
    </row>
    <row r="7230" ht="22.5" customHeight="1">
      <c r="A7230" s="66"/>
      <c r="B7230" s="67" t="str">
        <f t="shared" si="16"/>
        <v>M: </v>
      </c>
      <c r="C7230" s="68"/>
      <c r="D7230" s="68">
        <v>46472.0</v>
      </c>
      <c r="E7230" s="66">
        <v>8.0</v>
      </c>
      <c r="F7230" s="66" t="str">
        <f>IFERROR(__xludf.DUMMYFUNCTION("GOOGLETRANSLATE(A7230,""en"",""pt"")"),"#VALUE!")</f>
        <v>#VALUE!</v>
      </c>
      <c r="G7230" s="69"/>
    </row>
    <row r="7231" ht="22.5" customHeight="1">
      <c r="A7231" s="66"/>
      <c r="B7231" s="67" t="str">
        <f t="shared" si="16"/>
        <v>M: </v>
      </c>
      <c r="C7231" s="68"/>
      <c r="D7231" s="68">
        <v>46472.0</v>
      </c>
      <c r="E7231" s="66">
        <v>9.0</v>
      </c>
      <c r="F7231" s="66" t="str">
        <f>IFERROR(__xludf.DUMMYFUNCTION("GOOGLETRANSLATE(A7231,""en"",""pt"")"),"#VALUE!")</f>
        <v>#VALUE!</v>
      </c>
      <c r="G7231" s="69"/>
    </row>
    <row r="7232" ht="22.5" customHeight="1">
      <c r="A7232" s="66"/>
      <c r="B7232" s="67" t="str">
        <f t="shared" si="16"/>
        <v>M: </v>
      </c>
      <c r="C7232" s="68"/>
      <c r="D7232" s="68">
        <v>46473.0</v>
      </c>
      <c r="E7232" s="66">
        <v>10.0</v>
      </c>
      <c r="F7232" s="66" t="str">
        <f>IFERROR(__xludf.DUMMYFUNCTION("GOOGLETRANSLATE(A7232,""en"",""pt"")"),"#VALUE!")</f>
        <v>#VALUE!</v>
      </c>
      <c r="G7232" s="69"/>
    </row>
    <row r="7233" ht="22.5" customHeight="1">
      <c r="A7233" s="66"/>
      <c r="B7233" s="67" t="str">
        <f t="shared" si="16"/>
        <v>M: </v>
      </c>
      <c r="C7233" s="68"/>
      <c r="D7233" s="68">
        <v>46473.0</v>
      </c>
      <c r="E7233" s="66">
        <v>1.0</v>
      </c>
      <c r="F7233" s="66" t="str">
        <f>IFERROR(__xludf.DUMMYFUNCTION("GOOGLETRANSLATE(A7233,""en"",""pt"")"),"#VALUE!")</f>
        <v>#VALUE!</v>
      </c>
      <c r="G7233" s="69"/>
    </row>
    <row r="7234" ht="22.5" customHeight="1">
      <c r="A7234" s="66"/>
      <c r="B7234" s="67" t="str">
        <f t="shared" si="16"/>
        <v>M: </v>
      </c>
      <c r="C7234" s="68"/>
      <c r="D7234" s="68">
        <v>46473.0</v>
      </c>
      <c r="E7234" s="66">
        <v>2.0</v>
      </c>
      <c r="F7234" s="66" t="str">
        <f>IFERROR(__xludf.DUMMYFUNCTION("GOOGLETRANSLATE(A7234,""en"",""pt"")"),"#VALUE!")</f>
        <v>#VALUE!</v>
      </c>
      <c r="G7234" s="69"/>
    </row>
    <row r="7235" ht="22.5" customHeight="1">
      <c r="A7235" s="66"/>
      <c r="B7235" s="67" t="str">
        <f t="shared" si="16"/>
        <v>M: </v>
      </c>
      <c r="C7235" s="68"/>
      <c r="D7235" s="68">
        <v>46473.0</v>
      </c>
      <c r="E7235" s="66">
        <v>3.0</v>
      </c>
      <c r="F7235" s="66" t="str">
        <f>IFERROR(__xludf.DUMMYFUNCTION("GOOGLETRANSLATE(A7235,""en"",""pt"")"),"#VALUE!")</f>
        <v>#VALUE!</v>
      </c>
      <c r="G7235" s="69"/>
    </row>
    <row r="7236" ht="22.5" customHeight="1">
      <c r="A7236" s="66"/>
      <c r="B7236" s="67" t="str">
        <f t="shared" si="16"/>
        <v>M: </v>
      </c>
      <c r="C7236" s="68"/>
      <c r="D7236" s="68">
        <v>46473.0</v>
      </c>
      <c r="E7236" s="66">
        <v>4.0</v>
      </c>
      <c r="F7236" s="66" t="str">
        <f>IFERROR(__xludf.DUMMYFUNCTION("GOOGLETRANSLATE(A7236,""en"",""pt"")"),"#VALUE!")</f>
        <v>#VALUE!</v>
      </c>
      <c r="G7236" s="69"/>
    </row>
    <row r="7237" ht="22.5" customHeight="1">
      <c r="A7237" s="66"/>
      <c r="B7237" s="67" t="str">
        <f t="shared" si="16"/>
        <v>M: </v>
      </c>
      <c r="C7237" s="68"/>
      <c r="D7237" s="68">
        <v>46473.0</v>
      </c>
      <c r="E7237" s="66">
        <v>5.0</v>
      </c>
      <c r="F7237" s="66" t="str">
        <f>IFERROR(__xludf.DUMMYFUNCTION("GOOGLETRANSLATE(A7237,""en"",""pt"")"),"#VALUE!")</f>
        <v>#VALUE!</v>
      </c>
      <c r="G7237" s="69"/>
    </row>
    <row r="7238" ht="22.5" customHeight="1">
      <c r="A7238" s="66"/>
      <c r="B7238" s="67" t="str">
        <f t="shared" si="16"/>
        <v>M: </v>
      </c>
      <c r="C7238" s="68"/>
      <c r="D7238" s="68">
        <v>46473.0</v>
      </c>
      <c r="E7238" s="66">
        <v>6.0</v>
      </c>
      <c r="F7238" s="66" t="str">
        <f>IFERROR(__xludf.DUMMYFUNCTION("GOOGLETRANSLATE(A7238,""en"",""pt"")"),"#VALUE!")</f>
        <v>#VALUE!</v>
      </c>
      <c r="G7238" s="69"/>
    </row>
    <row r="7239" ht="22.5" customHeight="1">
      <c r="A7239" s="66"/>
      <c r="B7239" s="67" t="str">
        <f t="shared" si="16"/>
        <v>M: </v>
      </c>
      <c r="C7239" s="68"/>
      <c r="D7239" s="68">
        <v>46473.0</v>
      </c>
      <c r="E7239" s="66">
        <v>7.0</v>
      </c>
      <c r="F7239" s="66" t="str">
        <f>IFERROR(__xludf.DUMMYFUNCTION("GOOGLETRANSLATE(A7239,""en"",""pt"")"),"#VALUE!")</f>
        <v>#VALUE!</v>
      </c>
      <c r="G7239" s="69"/>
    </row>
    <row r="7240" ht="22.5" customHeight="1">
      <c r="A7240" s="66"/>
      <c r="B7240" s="67" t="str">
        <f t="shared" si="16"/>
        <v>M: </v>
      </c>
      <c r="C7240" s="68"/>
      <c r="D7240" s="68">
        <v>46473.0</v>
      </c>
      <c r="E7240" s="66">
        <v>8.0</v>
      </c>
      <c r="F7240" s="66" t="str">
        <f>IFERROR(__xludf.DUMMYFUNCTION("GOOGLETRANSLATE(A7240,""en"",""pt"")"),"#VALUE!")</f>
        <v>#VALUE!</v>
      </c>
      <c r="G7240" s="69"/>
    </row>
    <row r="7241" ht="22.5" customHeight="1">
      <c r="A7241" s="66"/>
      <c r="B7241" s="67" t="str">
        <f t="shared" si="16"/>
        <v>M: </v>
      </c>
      <c r="C7241" s="68"/>
      <c r="D7241" s="68">
        <v>46473.0</v>
      </c>
      <c r="E7241" s="66">
        <v>9.0</v>
      </c>
      <c r="F7241" s="66" t="str">
        <f>IFERROR(__xludf.DUMMYFUNCTION("GOOGLETRANSLATE(A7241,""en"",""pt"")"),"#VALUE!")</f>
        <v>#VALUE!</v>
      </c>
      <c r="G7241" s="69"/>
    </row>
    <row r="7242" ht="22.5" customHeight="1">
      <c r="A7242" s="66"/>
      <c r="B7242" s="67" t="str">
        <f t="shared" si="16"/>
        <v>M: </v>
      </c>
      <c r="C7242" s="68"/>
      <c r="D7242" s="68">
        <v>46474.0</v>
      </c>
      <c r="E7242" s="66">
        <v>10.0</v>
      </c>
      <c r="F7242" s="66" t="str">
        <f>IFERROR(__xludf.DUMMYFUNCTION("GOOGLETRANSLATE(A7242,""en"",""pt"")"),"#VALUE!")</f>
        <v>#VALUE!</v>
      </c>
      <c r="G7242" s="69"/>
    </row>
    <row r="7243" ht="22.5" customHeight="1">
      <c r="A7243" s="66"/>
      <c r="B7243" s="67" t="str">
        <f t="shared" si="16"/>
        <v>M: </v>
      </c>
      <c r="C7243" s="68"/>
      <c r="D7243" s="68">
        <v>46474.0</v>
      </c>
      <c r="E7243" s="66">
        <v>1.0</v>
      </c>
      <c r="F7243" s="66" t="str">
        <f>IFERROR(__xludf.DUMMYFUNCTION("GOOGLETRANSLATE(A7243,""en"",""pt"")"),"#VALUE!")</f>
        <v>#VALUE!</v>
      </c>
      <c r="G7243" s="69"/>
    </row>
    <row r="7244" ht="22.5" customHeight="1">
      <c r="A7244" s="66"/>
      <c r="B7244" s="67" t="str">
        <f t="shared" si="16"/>
        <v>M: </v>
      </c>
      <c r="C7244" s="68"/>
      <c r="D7244" s="68">
        <v>46474.0</v>
      </c>
      <c r="E7244" s="66">
        <v>2.0</v>
      </c>
      <c r="F7244" s="66" t="str">
        <f>IFERROR(__xludf.DUMMYFUNCTION("GOOGLETRANSLATE(A7244,""en"",""pt"")"),"#VALUE!")</f>
        <v>#VALUE!</v>
      </c>
      <c r="G7244" s="69"/>
    </row>
    <row r="7245" ht="22.5" customHeight="1">
      <c r="A7245" s="66"/>
      <c r="B7245" s="67" t="str">
        <f t="shared" si="16"/>
        <v>M: </v>
      </c>
      <c r="C7245" s="68"/>
      <c r="D7245" s="68">
        <v>46474.0</v>
      </c>
      <c r="E7245" s="66">
        <v>3.0</v>
      </c>
      <c r="F7245" s="66" t="str">
        <f>IFERROR(__xludf.DUMMYFUNCTION("GOOGLETRANSLATE(A7245,""en"",""pt"")"),"#VALUE!")</f>
        <v>#VALUE!</v>
      </c>
      <c r="G7245" s="69"/>
    </row>
    <row r="7246" ht="22.5" customHeight="1">
      <c r="A7246" s="66"/>
      <c r="B7246" s="67" t="str">
        <f t="shared" si="16"/>
        <v>M: </v>
      </c>
      <c r="C7246" s="68"/>
      <c r="D7246" s="68">
        <v>46474.0</v>
      </c>
      <c r="E7246" s="66">
        <v>4.0</v>
      </c>
      <c r="F7246" s="66" t="str">
        <f>IFERROR(__xludf.DUMMYFUNCTION("GOOGLETRANSLATE(A7246,""en"",""pt"")"),"#VALUE!")</f>
        <v>#VALUE!</v>
      </c>
      <c r="G7246" s="69"/>
    </row>
    <row r="7247" ht="22.5" customHeight="1">
      <c r="A7247" s="66"/>
      <c r="B7247" s="67" t="str">
        <f t="shared" si="16"/>
        <v>M: </v>
      </c>
      <c r="C7247" s="68"/>
      <c r="D7247" s="68">
        <v>46474.0</v>
      </c>
      <c r="E7247" s="66">
        <v>5.0</v>
      </c>
      <c r="F7247" s="66" t="str">
        <f>IFERROR(__xludf.DUMMYFUNCTION("GOOGLETRANSLATE(A7247,""en"",""pt"")"),"#VALUE!")</f>
        <v>#VALUE!</v>
      </c>
      <c r="G7247" s="69"/>
    </row>
    <row r="7248" ht="22.5" customHeight="1">
      <c r="A7248" s="66"/>
      <c r="B7248" s="67" t="str">
        <f t="shared" si="16"/>
        <v>M: </v>
      </c>
      <c r="C7248" s="68"/>
      <c r="D7248" s="68">
        <v>46474.0</v>
      </c>
      <c r="E7248" s="66">
        <v>6.0</v>
      </c>
      <c r="F7248" s="66" t="str">
        <f>IFERROR(__xludf.DUMMYFUNCTION("GOOGLETRANSLATE(A7248,""en"",""pt"")"),"#VALUE!")</f>
        <v>#VALUE!</v>
      </c>
      <c r="G7248" s="69"/>
    </row>
    <row r="7249" ht="22.5" customHeight="1">
      <c r="A7249" s="66"/>
      <c r="B7249" s="67" t="str">
        <f t="shared" si="16"/>
        <v>M: </v>
      </c>
      <c r="C7249" s="68"/>
      <c r="D7249" s="68">
        <v>46474.0</v>
      </c>
      <c r="E7249" s="66">
        <v>7.0</v>
      </c>
      <c r="F7249" s="66" t="str">
        <f>IFERROR(__xludf.DUMMYFUNCTION("GOOGLETRANSLATE(A7249,""en"",""pt"")"),"#VALUE!")</f>
        <v>#VALUE!</v>
      </c>
      <c r="G7249" s="69"/>
    </row>
    <row r="7250" ht="22.5" customHeight="1">
      <c r="A7250" s="66"/>
      <c r="B7250" s="67" t="str">
        <f t="shared" si="16"/>
        <v>M: </v>
      </c>
      <c r="C7250" s="68"/>
      <c r="D7250" s="68">
        <v>46474.0</v>
      </c>
      <c r="E7250" s="66">
        <v>8.0</v>
      </c>
      <c r="F7250" s="66" t="str">
        <f>IFERROR(__xludf.DUMMYFUNCTION("GOOGLETRANSLATE(A7250,""en"",""pt"")"),"#VALUE!")</f>
        <v>#VALUE!</v>
      </c>
      <c r="G7250" s="69"/>
    </row>
    <row r="7251" ht="22.5" customHeight="1">
      <c r="A7251" s="66"/>
      <c r="B7251" s="67" t="str">
        <f t="shared" si="16"/>
        <v>M: </v>
      </c>
      <c r="C7251" s="68"/>
      <c r="D7251" s="68">
        <v>46474.0</v>
      </c>
      <c r="E7251" s="66">
        <v>9.0</v>
      </c>
      <c r="F7251" s="66" t="str">
        <f>IFERROR(__xludf.DUMMYFUNCTION("GOOGLETRANSLATE(A7251,""en"",""pt"")"),"#VALUE!")</f>
        <v>#VALUE!</v>
      </c>
      <c r="G7251" s="69"/>
    </row>
    <row r="7252" ht="22.5" customHeight="1">
      <c r="A7252" s="66"/>
      <c r="B7252" s="67" t="str">
        <f t="shared" si="16"/>
        <v>M: </v>
      </c>
      <c r="C7252" s="68"/>
      <c r="D7252" s="68">
        <v>46475.0</v>
      </c>
      <c r="E7252" s="66">
        <v>10.0</v>
      </c>
      <c r="F7252" s="66" t="str">
        <f>IFERROR(__xludf.DUMMYFUNCTION("GOOGLETRANSLATE(A7252,""en"",""pt"")"),"#VALUE!")</f>
        <v>#VALUE!</v>
      </c>
      <c r="G7252" s="69"/>
    </row>
    <row r="7253" ht="22.5" customHeight="1">
      <c r="A7253" s="66"/>
      <c r="B7253" s="67" t="str">
        <f t="shared" si="16"/>
        <v>M: </v>
      </c>
      <c r="C7253" s="68"/>
      <c r="D7253" s="68">
        <v>46475.0</v>
      </c>
      <c r="E7253" s="66">
        <v>1.0</v>
      </c>
      <c r="F7253" s="66" t="str">
        <f>IFERROR(__xludf.DUMMYFUNCTION("GOOGLETRANSLATE(A7253,""en"",""pt"")"),"#VALUE!")</f>
        <v>#VALUE!</v>
      </c>
      <c r="G7253" s="69"/>
    </row>
    <row r="7254" ht="22.5" customHeight="1">
      <c r="A7254" s="66"/>
      <c r="B7254" s="67" t="str">
        <f t="shared" si="16"/>
        <v>M: </v>
      </c>
      <c r="C7254" s="68"/>
      <c r="D7254" s="68">
        <v>46475.0</v>
      </c>
      <c r="E7254" s="66">
        <v>2.0</v>
      </c>
      <c r="F7254" s="66" t="str">
        <f>IFERROR(__xludf.DUMMYFUNCTION("GOOGLETRANSLATE(A7254,""en"",""pt"")"),"#VALUE!")</f>
        <v>#VALUE!</v>
      </c>
      <c r="G7254" s="69"/>
    </row>
    <row r="7255" ht="22.5" customHeight="1">
      <c r="A7255" s="66"/>
      <c r="B7255" s="67" t="str">
        <f t="shared" si="16"/>
        <v>M: </v>
      </c>
      <c r="C7255" s="68"/>
      <c r="D7255" s="68">
        <v>46475.0</v>
      </c>
      <c r="E7255" s="66">
        <v>3.0</v>
      </c>
      <c r="F7255" s="66" t="str">
        <f>IFERROR(__xludf.DUMMYFUNCTION("GOOGLETRANSLATE(A7255,""en"",""pt"")"),"#VALUE!")</f>
        <v>#VALUE!</v>
      </c>
      <c r="G7255" s="69"/>
    </row>
    <row r="7256" ht="22.5" customHeight="1">
      <c r="A7256" s="66"/>
      <c r="B7256" s="67" t="str">
        <f t="shared" si="16"/>
        <v>M: </v>
      </c>
      <c r="C7256" s="68"/>
      <c r="D7256" s="68">
        <v>46475.0</v>
      </c>
      <c r="E7256" s="66">
        <v>4.0</v>
      </c>
      <c r="F7256" s="66" t="str">
        <f>IFERROR(__xludf.DUMMYFUNCTION("GOOGLETRANSLATE(A7256,""en"",""pt"")"),"#VALUE!")</f>
        <v>#VALUE!</v>
      </c>
      <c r="G7256" s="69"/>
    </row>
    <row r="7257" ht="22.5" customHeight="1">
      <c r="A7257" s="66"/>
      <c r="B7257" s="67" t="str">
        <f t="shared" si="16"/>
        <v>M: </v>
      </c>
      <c r="C7257" s="68"/>
      <c r="D7257" s="68">
        <v>46475.0</v>
      </c>
      <c r="E7257" s="66">
        <v>5.0</v>
      </c>
      <c r="F7257" s="66" t="str">
        <f>IFERROR(__xludf.DUMMYFUNCTION("GOOGLETRANSLATE(A7257,""en"",""pt"")"),"#VALUE!")</f>
        <v>#VALUE!</v>
      </c>
      <c r="G7257" s="69"/>
    </row>
    <row r="7258" ht="22.5" customHeight="1">
      <c r="A7258" s="66"/>
      <c r="B7258" s="67" t="str">
        <f t="shared" si="16"/>
        <v>M: </v>
      </c>
      <c r="C7258" s="68"/>
      <c r="D7258" s="68">
        <v>46475.0</v>
      </c>
      <c r="E7258" s="66">
        <v>6.0</v>
      </c>
      <c r="F7258" s="66" t="str">
        <f>IFERROR(__xludf.DUMMYFUNCTION("GOOGLETRANSLATE(A7258,""en"",""pt"")"),"#VALUE!")</f>
        <v>#VALUE!</v>
      </c>
      <c r="G7258" s="69"/>
    </row>
    <row r="7259" ht="22.5" customHeight="1">
      <c r="A7259" s="66"/>
      <c r="B7259" s="67" t="str">
        <f t="shared" si="16"/>
        <v>M: </v>
      </c>
      <c r="C7259" s="68"/>
      <c r="D7259" s="68">
        <v>46475.0</v>
      </c>
      <c r="E7259" s="66">
        <v>7.0</v>
      </c>
      <c r="F7259" s="66" t="str">
        <f>IFERROR(__xludf.DUMMYFUNCTION("GOOGLETRANSLATE(A7259,""en"",""pt"")"),"#VALUE!")</f>
        <v>#VALUE!</v>
      </c>
      <c r="G7259" s="69"/>
    </row>
    <row r="7260" ht="22.5" customHeight="1">
      <c r="A7260" s="66"/>
      <c r="B7260" s="67" t="str">
        <f t="shared" si="16"/>
        <v>M: </v>
      </c>
      <c r="C7260" s="68"/>
      <c r="D7260" s="68">
        <v>46475.0</v>
      </c>
      <c r="E7260" s="66">
        <v>8.0</v>
      </c>
      <c r="F7260" s="66" t="str">
        <f>IFERROR(__xludf.DUMMYFUNCTION("GOOGLETRANSLATE(A7260,""en"",""pt"")"),"#VALUE!")</f>
        <v>#VALUE!</v>
      </c>
      <c r="G7260" s="69"/>
    </row>
    <row r="7261" ht="22.5" customHeight="1">
      <c r="A7261" s="66"/>
      <c r="B7261" s="67" t="str">
        <f t="shared" si="16"/>
        <v>M: </v>
      </c>
      <c r="C7261" s="68"/>
      <c r="D7261" s="68">
        <v>46475.0</v>
      </c>
      <c r="E7261" s="66">
        <v>9.0</v>
      </c>
      <c r="F7261" s="66" t="str">
        <f>IFERROR(__xludf.DUMMYFUNCTION("GOOGLETRANSLATE(A7261,""en"",""pt"")"),"#VALUE!")</f>
        <v>#VALUE!</v>
      </c>
      <c r="G7261" s="69"/>
    </row>
    <row r="7262" ht="22.5" customHeight="1">
      <c r="A7262" s="66"/>
      <c r="B7262" s="67" t="str">
        <f t="shared" si="16"/>
        <v>M: </v>
      </c>
      <c r="C7262" s="68"/>
      <c r="D7262" s="68">
        <v>46476.0</v>
      </c>
      <c r="E7262" s="66">
        <v>10.0</v>
      </c>
      <c r="F7262" s="66" t="str">
        <f>IFERROR(__xludf.DUMMYFUNCTION("GOOGLETRANSLATE(A7262,""en"",""pt"")"),"#VALUE!")</f>
        <v>#VALUE!</v>
      </c>
      <c r="G7262" s="69"/>
    </row>
    <row r="7263" ht="22.5" customHeight="1">
      <c r="A7263" s="66"/>
      <c r="B7263" s="67" t="str">
        <f t="shared" si="16"/>
        <v>M: </v>
      </c>
      <c r="C7263" s="68"/>
      <c r="D7263" s="68">
        <v>46476.0</v>
      </c>
      <c r="E7263" s="66">
        <v>1.0</v>
      </c>
      <c r="F7263" s="66" t="str">
        <f>IFERROR(__xludf.DUMMYFUNCTION("GOOGLETRANSLATE(A7263,""en"",""pt"")"),"#VALUE!")</f>
        <v>#VALUE!</v>
      </c>
      <c r="G7263" s="69"/>
    </row>
    <row r="7264" ht="22.5" customHeight="1">
      <c r="A7264" s="66"/>
      <c r="B7264" s="67" t="str">
        <f t="shared" si="16"/>
        <v>M: </v>
      </c>
      <c r="C7264" s="68"/>
      <c r="D7264" s="68">
        <v>46476.0</v>
      </c>
      <c r="E7264" s="66">
        <v>2.0</v>
      </c>
      <c r="F7264" s="66" t="str">
        <f>IFERROR(__xludf.DUMMYFUNCTION("GOOGLETRANSLATE(A7264,""en"",""pt"")"),"#VALUE!")</f>
        <v>#VALUE!</v>
      </c>
      <c r="G7264" s="69"/>
    </row>
    <row r="7265" ht="22.5" customHeight="1">
      <c r="A7265" s="66"/>
      <c r="B7265" s="67" t="str">
        <f t="shared" si="16"/>
        <v>M: </v>
      </c>
      <c r="C7265" s="68"/>
      <c r="D7265" s="68">
        <v>46476.0</v>
      </c>
      <c r="E7265" s="66">
        <v>3.0</v>
      </c>
      <c r="F7265" s="66" t="str">
        <f>IFERROR(__xludf.DUMMYFUNCTION("GOOGLETRANSLATE(A7265,""en"",""pt"")"),"#VALUE!")</f>
        <v>#VALUE!</v>
      </c>
      <c r="G7265" s="69"/>
    </row>
    <row r="7266" ht="22.5" customHeight="1">
      <c r="A7266" s="66"/>
      <c r="B7266" s="67" t="str">
        <f t="shared" si="16"/>
        <v>M: </v>
      </c>
      <c r="C7266" s="68"/>
      <c r="D7266" s="68">
        <v>46476.0</v>
      </c>
      <c r="E7266" s="66">
        <v>4.0</v>
      </c>
      <c r="F7266" s="66" t="str">
        <f>IFERROR(__xludf.DUMMYFUNCTION("GOOGLETRANSLATE(A7266,""en"",""pt"")"),"#VALUE!")</f>
        <v>#VALUE!</v>
      </c>
      <c r="G7266" s="69"/>
    </row>
    <row r="7267" ht="22.5" customHeight="1">
      <c r="A7267" s="66"/>
      <c r="B7267" s="67" t="str">
        <f t="shared" si="16"/>
        <v>M: </v>
      </c>
      <c r="C7267" s="68"/>
      <c r="D7267" s="68">
        <v>46476.0</v>
      </c>
      <c r="E7267" s="66">
        <v>5.0</v>
      </c>
      <c r="F7267" s="66" t="str">
        <f>IFERROR(__xludf.DUMMYFUNCTION("GOOGLETRANSLATE(A7267,""en"",""pt"")"),"#VALUE!")</f>
        <v>#VALUE!</v>
      </c>
      <c r="G7267" s="69"/>
    </row>
    <row r="7268" ht="22.5" customHeight="1">
      <c r="A7268" s="66"/>
      <c r="B7268" s="67" t="str">
        <f t="shared" si="16"/>
        <v>M: </v>
      </c>
      <c r="C7268" s="68"/>
      <c r="D7268" s="68">
        <v>46476.0</v>
      </c>
      <c r="E7268" s="66">
        <v>6.0</v>
      </c>
      <c r="F7268" s="66" t="str">
        <f>IFERROR(__xludf.DUMMYFUNCTION("GOOGLETRANSLATE(A7268,""en"",""pt"")"),"#VALUE!")</f>
        <v>#VALUE!</v>
      </c>
      <c r="G7268" s="69"/>
    </row>
    <row r="7269" ht="22.5" customHeight="1">
      <c r="A7269" s="66"/>
      <c r="B7269" s="67" t="str">
        <f t="shared" si="16"/>
        <v>M: </v>
      </c>
      <c r="C7269" s="68"/>
      <c r="D7269" s="68">
        <v>46476.0</v>
      </c>
      <c r="E7269" s="66">
        <v>7.0</v>
      </c>
      <c r="F7269" s="66" t="str">
        <f>IFERROR(__xludf.DUMMYFUNCTION("GOOGLETRANSLATE(A7269,""en"",""pt"")"),"#VALUE!")</f>
        <v>#VALUE!</v>
      </c>
      <c r="G7269" s="69"/>
    </row>
    <row r="7270" ht="22.5" customHeight="1">
      <c r="A7270" s="66"/>
      <c r="B7270" s="67" t="str">
        <f t="shared" si="16"/>
        <v>M: </v>
      </c>
      <c r="C7270" s="68"/>
      <c r="D7270" s="68">
        <v>46476.0</v>
      </c>
      <c r="E7270" s="66">
        <v>8.0</v>
      </c>
      <c r="F7270" s="66" t="str">
        <f>IFERROR(__xludf.DUMMYFUNCTION("GOOGLETRANSLATE(A7270,""en"",""pt"")"),"#VALUE!")</f>
        <v>#VALUE!</v>
      </c>
      <c r="G7270" s="69"/>
    </row>
    <row r="7271" ht="22.5" customHeight="1">
      <c r="A7271" s="66"/>
      <c r="B7271" s="67" t="str">
        <f t="shared" si="16"/>
        <v>M: </v>
      </c>
      <c r="C7271" s="68"/>
      <c r="D7271" s="68">
        <v>46476.0</v>
      </c>
      <c r="E7271" s="66">
        <v>9.0</v>
      </c>
      <c r="F7271" s="66" t="str">
        <f>IFERROR(__xludf.DUMMYFUNCTION("GOOGLETRANSLATE(A7271,""en"",""pt"")"),"#VALUE!")</f>
        <v>#VALUE!</v>
      </c>
      <c r="G7271" s="69"/>
    </row>
    <row r="7272" ht="22.5" customHeight="1">
      <c r="A7272" s="66"/>
      <c r="B7272" s="67" t="str">
        <f t="shared" si="16"/>
        <v>M: </v>
      </c>
      <c r="C7272" s="68"/>
      <c r="D7272" s="68">
        <v>46477.0</v>
      </c>
      <c r="E7272" s="66">
        <v>10.0</v>
      </c>
      <c r="F7272" s="66" t="str">
        <f>IFERROR(__xludf.DUMMYFUNCTION("GOOGLETRANSLATE(A7272,""en"",""pt"")"),"#VALUE!")</f>
        <v>#VALUE!</v>
      </c>
      <c r="G7272" s="69"/>
    </row>
    <row r="7273" ht="22.5" customHeight="1">
      <c r="A7273" s="66"/>
      <c r="B7273" s="67" t="str">
        <f t="shared" si="16"/>
        <v>M: </v>
      </c>
      <c r="C7273" s="68"/>
      <c r="D7273" s="68">
        <v>46477.0</v>
      </c>
      <c r="E7273" s="66">
        <v>1.0</v>
      </c>
      <c r="F7273" s="66" t="str">
        <f>IFERROR(__xludf.DUMMYFUNCTION("GOOGLETRANSLATE(A7273,""en"",""pt"")"),"#VALUE!")</f>
        <v>#VALUE!</v>
      </c>
      <c r="G7273" s="69"/>
    </row>
    <row r="7274" ht="22.5" customHeight="1">
      <c r="A7274" s="66"/>
      <c r="B7274" s="67" t="str">
        <f t="shared" si="16"/>
        <v>M: </v>
      </c>
      <c r="C7274" s="68"/>
      <c r="D7274" s="68">
        <v>46477.0</v>
      </c>
      <c r="E7274" s="66">
        <v>2.0</v>
      </c>
      <c r="F7274" s="66" t="str">
        <f>IFERROR(__xludf.DUMMYFUNCTION("GOOGLETRANSLATE(A7274,""en"",""pt"")"),"#VALUE!")</f>
        <v>#VALUE!</v>
      </c>
      <c r="G7274" s="69"/>
    </row>
    <row r="7275" ht="22.5" customHeight="1">
      <c r="A7275" s="66"/>
      <c r="B7275" s="67" t="str">
        <f t="shared" si="16"/>
        <v>M: </v>
      </c>
      <c r="C7275" s="68"/>
      <c r="D7275" s="68">
        <v>46477.0</v>
      </c>
      <c r="E7275" s="66">
        <v>3.0</v>
      </c>
      <c r="F7275" s="66" t="str">
        <f>IFERROR(__xludf.DUMMYFUNCTION("GOOGLETRANSLATE(A7275,""en"",""pt"")"),"#VALUE!")</f>
        <v>#VALUE!</v>
      </c>
      <c r="G7275" s="69"/>
    </row>
    <row r="7276" ht="22.5" customHeight="1">
      <c r="A7276" s="66"/>
      <c r="B7276" s="67" t="str">
        <f t="shared" si="16"/>
        <v>M: </v>
      </c>
      <c r="C7276" s="68"/>
      <c r="D7276" s="68">
        <v>46477.0</v>
      </c>
      <c r="E7276" s="66">
        <v>4.0</v>
      </c>
      <c r="F7276" s="66" t="str">
        <f>IFERROR(__xludf.DUMMYFUNCTION("GOOGLETRANSLATE(A7276,""en"",""pt"")"),"#VALUE!")</f>
        <v>#VALUE!</v>
      </c>
      <c r="G7276" s="69"/>
    </row>
    <row r="7277" ht="22.5" customHeight="1">
      <c r="A7277" s="66"/>
      <c r="B7277" s="67" t="str">
        <f t="shared" si="16"/>
        <v>M: </v>
      </c>
      <c r="C7277" s="68"/>
      <c r="D7277" s="68">
        <v>46477.0</v>
      </c>
      <c r="E7277" s="66">
        <v>5.0</v>
      </c>
      <c r="F7277" s="66" t="str">
        <f>IFERROR(__xludf.DUMMYFUNCTION("GOOGLETRANSLATE(A7277,""en"",""pt"")"),"#VALUE!")</f>
        <v>#VALUE!</v>
      </c>
      <c r="G7277" s="69"/>
    </row>
    <row r="7278" ht="22.5" customHeight="1">
      <c r="A7278" s="66"/>
      <c r="B7278" s="67" t="str">
        <f t="shared" si="16"/>
        <v>M: </v>
      </c>
      <c r="C7278" s="68"/>
      <c r="D7278" s="68">
        <v>46477.0</v>
      </c>
      <c r="E7278" s="66">
        <v>6.0</v>
      </c>
      <c r="F7278" s="66" t="str">
        <f>IFERROR(__xludf.DUMMYFUNCTION("GOOGLETRANSLATE(A7278,""en"",""pt"")"),"#VALUE!")</f>
        <v>#VALUE!</v>
      </c>
      <c r="G7278" s="69"/>
    </row>
    <row r="7279" ht="22.5" customHeight="1">
      <c r="A7279" s="66"/>
      <c r="B7279" s="67" t="str">
        <f t="shared" si="16"/>
        <v>M: </v>
      </c>
      <c r="C7279" s="68"/>
      <c r="D7279" s="68">
        <v>46477.0</v>
      </c>
      <c r="E7279" s="66">
        <v>7.0</v>
      </c>
      <c r="F7279" s="66" t="str">
        <f>IFERROR(__xludf.DUMMYFUNCTION("GOOGLETRANSLATE(A7279,""en"",""pt"")"),"#VALUE!")</f>
        <v>#VALUE!</v>
      </c>
      <c r="G7279" s="69"/>
    </row>
    <row r="7280" ht="22.5" customHeight="1">
      <c r="A7280" s="66"/>
      <c r="B7280" s="67" t="str">
        <f t="shared" si="16"/>
        <v>M: </v>
      </c>
      <c r="C7280" s="68"/>
      <c r="D7280" s="68">
        <v>46477.0</v>
      </c>
      <c r="E7280" s="66">
        <v>8.0</v>
      </c>
      <c r="F7280" s="66" t="str">
        <f>IFERROR(__xludf.DUMMYFUNCTION("GOOGLETRANSLATE(A7280,""en"",""pt"")"),"#VALUE!")</f>
        <v>#VALUE!</v>
      </c>
      <c r="G7280" s="69"/>
    </row>
    <row r="7281" ht="22.5" customHeight="1">
      <c r="A7281" s="66"/>
      <c r="B7281" s="67" t="str">
        <f t="shared" si="16"/>
        <v>M: </v>
      </c>
      <c r="C7281" s="68"/>
      <c r="D7281" s="68">
        <v>46477.0</v>
      </c>
      <c r="E7281" s="66">
        <v>9.0</v>
      </c>
      <c r="F7281" s="66" t="str">
        <f>IFERROR(__xludf.DUMMYFUNCTION("GOOGLETRANSLATE(A7281,""en"",""pt"")"),"#VALUE!")</f>
        <v>#VALUE!</v>
      </c>
      <c r="G7281" s="69"/>
    </row>
    <row r="7282" ht="22.5" customHeight="1">
      <c r="A7282" s="66"/>
      <c r="B7282" s="67" t="str">
        <f t="shared" si="16"/>
        <v>M: </v>
      </c>
      <c r="C7282" s="68"/>
      <c r="D7282" s="68">
        <v>46478.0</v>
      </c>
      <c r="E7282" s="66">
        <v>10.0</v>
      </c>
      <c r="F7282" s="66" t="str">
        <f>IFERROR(__xludf.DUMMYFUNCTION("GOOGLETRANSLATE(A7282,""en"",""pt"")"),"#VALUE!")</f>
        <v>#VALUE!</v>
      </c>
      <c r="G7282" s="69"/>
    </row>
    <row r="7283" ht="22.5" customHeight="1">
      <c r="A7283" s="66"/>
      <c r="B7283" s="67" t="str">
        <f t="shared" si="16"/>
        <v>M: </v>
      </c>
      <c r="C7283" s="68"/>
      <c r="D7283" s="68">
        <v>46478.0</v>
      </c>
      <c r="E7283" s="66">
        <v>1.0</v>
      </c>
      <c r="F7283" s="66" t="str">
        <f>IFERROR(__xludf.DUMMYFUNCTION("GOOGLETRANSLATE(A7283,""en"",""pt"")"),"#VALUE!")</f>
        <v>#VALUE!</v>
      </c>
      <c r="G7283" s="69"/>
    </row>
    <row r="7284" ht="22.5" customHeight="1">
      <c r="A7284" s="66"/>
      <c r="B7284" s="67" t="str">
        <f t="shared" si="16"/>
        <v>M: </v>
      </c>
      <c r="C7284" s="68"/>
      <c r="D7284" s="68">
        <v>46478.0</v>
      </c>
      <c r="E7284" s="66">
        <v>2.0</v>
      </c>
      <c r="F7284" s="66" t="str">
        <f>IFERROR(__xludf.DUMMYFUNCTION("GOOGLETRANSLATE(A7284,""en"",""pt"")"),"#VALUE!")</f>
        <v>#VALUE!</v>
      </c>
      <c r="G7284" s="69"/>
    </row>
    <row r="7285" ht="22.5" customHeight="1">
      <c r="A7285" s="66"/>
      <c r="B7285" s="67" t="str">
        <f t="shared" si="16"/>
        <v>M: </v>
      </c>
      <c r="C7285" s="68"/>
      <c r="D7285" s="68">
        <v>46478.0</v>
      </c>
      <c r="E7285" s="66">
        <v>3.0</v>
      </c>
      <c r="F7285" s="66" t="str">
        <f>IFERROR(__xludf.DUMMYFUNCTION("GOOGLETRANSLATE(A7285,""en"",""pt"")"),"#VALUE!")</f>
        <v>#VALUE!</v>
      </c>
      <c r="G7285" s="69"/>
    </row>
    <row r="7286" ht="22.5" customHeight="1">
      <c r="A7286" s="66"/>
      <c r="B7286" s="67" t="str">
        <f t="shared" si="16"/>
        <v>M: </v>
      </c>
      <c r="C7286" s="68"/>
      <c r="D7286" s="68">
        <v>46478.0</v>
      </c>
      <c r="E7286" s="66">
        <v>4.0</v>
      </c>
      <c r="F7286" s="66" t="str">
        <f>IFERROR(__xludf.DUMMYFUNCTION("GOOGLETRANSLATE(A7286,""en"",""pt"")"),"#VALUE!")</f>
        <v>#VALUE!</v>
      </c>
      <c r="G7286" s="69"/>
    </row>
    <row r="7287" ht="22.5" customHeight="1">
      <c r="A7287" s="66"/>
      <c r="B7287" s="67" t="str">
        <f t="shared" si="16"/>
        <v>M: </v>
      </c>
      <c r="C7287" s="68"/>
      <c r="D7287" s="68">
        <v>46478.0</v>
      </c>
      <c r="E7287" s="66">
        <v>5.0</v>
      </c>
      <c r="F7287" s="66" t="str">
        <f>IFERROR(__xludf.DUMMYFUNCTION("GOOGLETRANSLATE(A7287,""en"",""pt"")"),"#VALUE!")</f>
        <v>#VALUE!</v>
      </c>
      <c r="G7287" s="69"/>
    </row>
    <row r="7288" ht="22.5" customHeight="1">
      <c r="A7288" s="66"/>
      <c r="B7288" s="67" t="str">
        <f t="shared" si="16"/>
        <v>M: </v>
      </c>
      <c r="C7288" s="68"/>
      <c r="D7288" s="68">
        <v>46478.0</v>
      </c>
      <c r="E7288" s="66">
        <v>6.0</v>
      </c>
      <c r="F7288" s="66" t="str">
        <f>IFERROR(__xludf.DUMMYFUNCTION("GOOGLETRANSLATE(A7288,""en"",""pt"")"),"#VALUE!")</f>
        <v>#VALUE!</v>
      </c>
      <c r="G7288" s="69"/>
    </row>
    <row r="7289" ht="22.5" customHeight="1">
      <c r="A7289" s="66"/>
      <c r="B7289" s="67" t="str">
        <f t="shared" si="16"/>
        <v>M: </v>
      </c>
      <c r="C7289" s="68"/>
      <c r="D7289" s="68">
        <v>46478.0</v>
      </c>
      <c r="E7289" s="66">
        <v>7.0</v>
      </c>
      <c r="F7289" s="66" t="str">
        <f>IFERROR(__xludf.DUMMYFUNCTION("GOOGLETRANSLATE(A7289,""en"",""pt"")"),"#VALUE!")</f>
        <v>#VALUE!</v>
      </c>
      <c r="G7289" s="69"/>
    </row>
    <row r="7290" ht="22.5" customHeight="1">
      <c r="A7290" s="66"/>
      <c r="B7290" s="67" t="str">
        <f t="shared" si="16"/>
        <v>M: </v>
      </c>
      <c r="C7290" s="68"/>
      <c r="D7290" s="68">
        <v>46478.0</v>
      </c>
      <c r="E7290" s="66">
        <v>8.0</v>
      </c>
      <c r="F7290" s="66" t="str">
        <f>IFERROR(__xludf.DUMMYFUNCTION("GOOGLETRANSLATE(A7290,""en"",""pt"")"),"#VALUE!")</f>
        <v>#VALUE!</v>
      </c>
      <c r="G7290" s="69"/>
    </row>
    <row r="7291" ht="22.5" customHeight="1">
      <c r="A7291" s="66"/>
      <c r="B7291" s="67" t="str">
        <f t="shared" si="16"/>
        <v>M: </v>
      </c>
      <c r="C7291" s="68"/>
      <c r="D7291" s="68">
        <v>46478.0</v>
      </c>
      <c r="E7291" s="66">
        <v>9.0</v>
      </c>
      <c r="F7291" s="66" t="str">
        <f>IFERROR(__xludf.DUMMYFUNCTION("GOOGLETRANSLATE(A7291,""en"",""pt"")"),"#VALUE!")</f>
        <v>#VALUE!</v>
      </c>
      <c r="G7291" s="69"/>
    </row>
    <row r="7292" ht="22.5" customHeight="1">
      <c r="A7292" s="66"/>
      <c r="B7292" s="67" t="str">
        <f t="shared" si="16"/>
        <v>M: </v>
      </c>
      <c r="C7292" s="68"/>
      <c r="D7292" s="68">
        <v>46479.0</v>
      </c>
      <c r="E7292" s="66">
        <v>10.0</v>
      </c>
      <c r="F7292" s="66" t="str">
        <f>IFERROR(__xludf.DUMMYFUNCTION("GOOGLETRANSLATE(A7292,""en"",""pt"")"),"#VALUE!")</f>
        <v>#VALUE!</v>
      </c>
      <c r="G7292" s="69"/>
    </row>
    <row r="7293" ht="22.5" customHeight="1">
      <c r="A7293" s="66"/>
      <c r="B7293" s="67" t="str">
        <f t="shared" si="16"/>
        <v>M: </v>
      </c>
      <c r="C7293" s="68"/>
      <c r="D7293" s="68">
        <v>46479.0</v>
      </c>
      <c r="E7293" s="66">
        <v>1.0</v>
      </c>
      <c r="F7293" s="66" t="str">
        <f>IFERROR(__xludf.DUMMYFUNCTION("GOOGLETRANSLATE(A7293,""en"",""pt"")"),"#VALUE!")</f>
        <v>#VALUE!</v>
      </c>
      <c r="G7293" s="69"/>
    </row>
    <row r="7294" ht="22.5" customHeight="1">
      <c r="A7294" s="66"/>
      <c r="B7294" s="67" t="str">
        <f t="shared" si="16"/>
        <v>M: </v>
      </c>
      <c r="C7294" s="68"/>
      <c r="D7294" s="68">
        <v>46479.0</v>
      </c>
      <c r="E7294" s="66">
        <v>2.0</v>
      </c>
      <c r="F7294" s="66" t="str">
        <f>IFERROR(__xludf.DUMMYFUNCTION("GOOGLETRANSLATE(A7294,""en"",""pt"")"),"#VALUE!")</f>
        <v>#VALUE!</v>
      </c>
      <c r="G7294" s="69"/>
    </row>
    <row r="7295" ht="22.5" customHeight="1">
      <c r="A7295" s="66"/>
      <c r="B7295" s="67" t="str">
        <f t="shared" si="16"/>
        <v>M: </v>
      </c>
      <c r="C7295" s="68"/>
      <c r="D7295" s="68">
        <v>46479.0</v>
      </c>
      <c r="E7295" s="66">
        <v>3.0</v>
      </c>
      <c r="F7295" s="66" t="str">
        <f>IFERROR(__xludf.DUMMYFUNCTION("GOOGLETRANSLATE(A7295,""en"",""pt"")"),"#VALUE!")</f>
        <v>#VALUE!</v>
      </c>
      <c r="G7295" s="69"/>
    </row>
    <row r="7296" ht="22.5" customHeight="1">
      <c r="A7296" s="66"/>
      <c r="B7296" s="67" t="str">
        <f t="shared" si="16"/>
        <v>M: </v>
      </c>
      <c r="C7296" s="68"/>
      <c r="D7296" s="68">
        <v>46479.0</v>
      </c>
      <c r="E7296" s="66">
        <v>4.0</v>
      </c>
      <c r="F7296" s="66" t="str">
        <f>IFERROR(__xludf.DUMMYFUNCTION("GOOGLETRANSLATE(A7296,""en"",""pt"")"),"#VALUE!")</f>
        <v>#VALUE!</v>
      </c>
      <c r="G7296" s="69"/>
    </row>
    <row r="7297" ht="22.5" customHeight="1">
      <c r="A7297" s="66"/>
      <c r="B7297" s="67" t="str">
        <f t="shared" si="16"/>
        <v>M: </v>
      </c>
      <c r="C7297" s="68"/>
      <c r="D7297" s="68">
        <v>46479.0</v>
      </c>
      <c r="E7297" s="66">
        <v>5.0</v>
      </c>
      <c r="F7297" s="66" t="str">
        <f>IFERROR(__xludf.DUMMYFUNCTION("GOOGLETRANSLATE(A7297,""en"",""pt"")"),"#VALUE!")</f>
        <v>#VALUE!</v>
      </c>
      <c r="G7297" s="69"/>
    </row>
    <row r="7298" ht="22.5" customHeight="1">
      <c r="A7298" s="66"/>
      <c r="B7298" s="67" t="str">
        <f t="shared" si="16"/>
        <v>M: </v>
      </c>
      <c r="C7298" s="68"/>
      <c r="D7298" s="68">
        <v>46479.0</v>
      </c>
      <c r="E7298" s="66">
        <v>6.0</v>
      </c>
      <c r="F7298" s="66" t="str">
        <f>IFERROR(__xludf.DUMMYFUNCTION("GOOGLETRANSLATE(A7298,""en"",""pt"")"),"#VALUE!")</f>
        <v>#VALUE!</v>
      </c>
      <c r="G7298" s="69"/>
    </row>
    <row r="7299" ht="22.5" customHeight="1">
      <c r="A7299" s="66"/>
      <c r="B7299" s="67" t="str">
        <f t="shared" si="16"/>
        <v>M: </v>
      </c>
      <c r="C7299" s="68"/>
      <c r="D7299" s="68">
        <v>46479.0</v>
      </c>
      <c r="E7299" s="66">
        <v>7.0</v>
      </c>
      <c r="F7299" s="66" t="str">
        <f>IFERROR(__xludf.DUMMYFUNCTION("GOOGLETRANSLATE(A7299,""en"",""pt"")"),"#VALUE!")</f>
        <v>#VALUE!</v>
      </c>
      <c r="G7299" s="69"/>
    </row>
    <row r="7300" ht="22.5" customHeight="1">
      <c r="A7300" s="66"/>
      <c r="B7300" s="67" t="str">
        <f t="shared" si="16"/>
        <v>M: </v>
      </c>
      <c r="C7300" s="68"/>
      <c r="D7300" s="68">
        <v>46479.0</v>
      </c>
      <c r="E7300" s="66">
        <v>8.0</v>
      </c>
      <c r="F7300" s="66" t="str">
        <f>IFERROR(__xludf.DUMMYFUNCTION("GOOGLETRANSLATE(A7300,""en"",""pt"")"),"#VALUE!")</f>
        <v>#VALUE!</v>
      </c>
      <c r="G7300" s="69"/>
    </row>
    <row r="7301" ht="22.5" customHeight="1">
      <c r="A7301" s="66"/>
      <c r="B7301" s="67" t="str">
        <f t="shared" si="16"/>
        <v>M: </v>
      </c>
      <c r="C7301" s="68"/>
      <c r="D7301" s="68">
        <v>46479.0</v>
      </c>
      <c r="E7301" s="66">
        <v>9.0</v>
      </c>
      <c r="F7301" s="66" t="str">
        <f>IFERROR(__xludf.DUMMYFUNCTION("GOOGLETRANSLATE(A7301,""en"",""pt"")"),"#VALUE!")</f>
        <v>#VALUE!</v>
      </c>
      <c r="G7301" s="69"/>
    </row>
    <row r="7302" ht="22.5" customHeight="1">
      <c r="A7302" s="66"/>
      <c r="B7302" s="67" t="str">
        <f t="shared" si="16"/>
        <v>M: </v>
      </c>
      <c r="C7302" s="68"/>
      <c r="D7302" s="68">
        <v>46480.0</v>
      </c>
      <c r="E7302" s="66">
        <v>10.0</v>
      </c>
      <c r="F7302" s="66" t="str">
        <f>IFERROR(__xludf.DUMMYFUNCTION("GOOGLETRANSLATE(A7302,""en"",""pt"")"),"#VALUE!")</f>
        <v>#VALUE!</v>
      </c>
      <c r="G7302" s="69"/>
    </row>
    <row r="7303" ht="22.5" customHeight="1">
      <c r="A7303" s="66"/>
      <c r="B7303" s="67" t="str">
        <f t="shared" si="16"/>
        <v>M: </v>
      </c>
      <c r="C7303" s="68"/>
      <c r="D7303" s="68">
        <v>46480.0</v>
      </c>
      <c r="E7303" s="66">
        <v>1.0</v>
      </c>
      <c r="F7303" s="66" t="str">
        <f>IFERROR(__xludf.DUMMYFUNCTION("GOOGLETRANSLATE(A7303,""en"",""pt"")"),"#VALUE!")</f>
        <v>#VALUE!</v>
      </c>
      <c r="G7303" s="69"/>
    </row>
    <row r="7304" ht="22.5" customHeight="1">
      <c r="A7304" s="66"/>
      <c r="B7304" s="67" t="str">
        <f t="shared" si="16"/>
        <v>M: </v>
      </c>
      <c r="C7304" s="68"/>
      <c r="D7304" s="68">
        <v>46480.0</v>
      </c>
      <c r="E7304" s="66">
        <v>2.0</v>
      </c>
      <c r="F7304" s="66" t="str">
        <f>IFERROR(__xludf.DUMMYFUNCTION("GOOGLETRANSLATE(A7304,""en"",""pt"")"),"#VALUE!")</f>
        <v>#VALUE!</v>
      </c>
      <c r="G7304" s="69"/>
    </row>
    <row r="7305" ht="22.5" customHeight="1">
      <c r="A7305" s="66"/>
      <c r="B7305" s="67" t="str">
        <f t="shared" si="16"/>
        <v>M: </v>
      </c>
      <c r="C7305" s="68"/>
      <c r="D7305" s="68">
        <v>46480.0</v>
      </c>
      <c r="E7305" s="66">
        <v>3.0</v>
      </c>
      <c r="F7305" s="66" t="str">
        <f>IFERROR(__xludf.DUMMYFUNCTION("GOOGLETRANSLATE(A7305,""en"",""pt"")"),"#VALUE!")</f>
        <v>#VALUE!</v>
      </c>
      <c r="G7305" s="69"/>
    </row>
    <row r="7306" ht="22.5" customHeight="1">
      <c r="A7306" s="66"/>
      <c r="B7306" s="67" t="str">
        <f t="shared" si="16"/>
        <v>M: </v>
      </c>
      <c r="C7306" s="68"/>
      <c r="D7306" s="68">
        <v>46480.0</v>
      </c>
      <c r="E7306" s="66">
        <v>4.0</v>
      </c>
      <c r="F7306" s="66" t="str">
        <f>IFERROR(__xludf.DUMMYFUNCTION("GOOGLETRANSLATE(A7306,""en"",""pt"")"),"#VALUE!")</f>
        <v>#VALUE!</v>
      </c>
      <c r="G7306" s="69"/>
    </row>
    <row r="7307" ht="22.5" customHeight="1">
      <c r="A7307" s="66"/>
      <c r="B7307" s="67" t="str">
        <f t="shared" si="16"/>
        <v>M: </v>
      </c>
      <c r="C7307" s="68"/>
      <c r="D7307" s="68">
        <v>46480.0</v>
      </c>
      <c r="E7307" s="66">
        <v>5.0</v>
      </c>
      <c r="F7307" s="66" t="str">
        <f>IFERROR(__xludf.DUMMYFUNCTION("GOOGLETRANSLATE(A7307,""en"",""pt"")"),"#VALUE!")</f>
        <v>#VALUE!</v>
      </c>
      <c r="G7307" s="69"/>
    </row>
    <row r="7308" ht="22.5" customHeight="1">
      <c r="A7308" s="66"/>
      <c r="B7308" s="67" t="str">
        <f t="shared" si="16"/>
        <v>M: </v>
      </c>
      <c r="C7308" s="68"/>
      <c r="D7308" s="68">
        <v>46480.0</v>
      </c>
      <c r="E7308" s="66">
        <v>6.0</v>
      </c>
      <c r="F7308" s="66" t="str">
        <f>IFERROR(__xludf.DUMMYFUNCTION("GOOGLETRANSLATE(A7308,""en"",""pt"")"),"#VALUE!")</f>
        <v>#VALUE!</v>
      </c>
      <c r="G7308" s="69"/>
    </row>
    <row r="7309" ht="22.5" customHeight="1">
      <c r="A7309" s="66"/>
      <c r="B7309" s="67" t="str">
        <f t="shared" si="16"/>
        <v>M: </v>
      </c>
      <c r="C7309" s="68"/>
      <c r="D7309" s="68">
        <v>46480.0</v>
      </c>
      <c r="E7309" s="66">
        <v>7.0</v>
      </c>
      <c r="F7309" s="66" t="str">
        <f>IFERROR(__xludf.DUMMYFUNCTION("GOOGLETRANSLATE(A7309,""en"",""pt"")"),"#VALUE!")</f>
        <v>#VALUE!</v>
      </c>
      <c r="G7309" s="69"/>
    </row>
    <row r="7310" ht="22.5" customHeight="1">
      <c r="A7310" s="66"/>
      <c r="B7310" s="67" t="str">
        <f t="shared" si="16"/>
        <v>M: </v>
      </c>
      <c r="C7310" s="68"/>
      <c r="D7310" s="68">
        <v>46480.0</v>
      </c>
      <c r="E7310" s="66">
        <v>8.0</v>
      </c>
      <c r="F7310" s="66" t="str">
        <f>IFERROR(__xludf.DUMMYFUNCTION("GOOGLETRANSLATE(A7310,""en"",""pt"")"),"#VALUE!")</f>
        <v>#VALUE!</v>
      </c>
      <c r="G7310" s="69"/>
    </row>
    <row r="7311" ht="22.5" customHeight="1">
      <c r="A7311" s="66"/>
      <c r="B7311" s="67" t="str">
        <f t="shared" si="16"/>
        <v>M: </v>
      </c>
      <c r="C7311" s="68"/>
      <c r="D7311" s="68">
        <v>46480.0</v>
      </c>
      <c r="E7311" s="66">
        <v>9.0</v>
      </c>
      <c r="F7311" s="66" t="str">
        <f>IFERROR(__xludf.DUMMYFUNCTION("GOOGLETRANSLATE(A7311,""en"",""pt"")"),"#VALUE!")</f>
        <v>#VALUE!</v>
      </c>
      <c r="G7311" s="69"/>
    </row>
    <row r="7312" ht="22.5" customHeight="1">
      <c r="A7312" s="66"/>
      <c r="B7312" s="67" t="str">
        <f t="shared" si="16"/>
        <v>M: </v>
      </c>
      <c r="C7312" s="68"/>
      <c r="D7312" s="68">
        <v>46481.0</v>
      </c>
      <c r="E7312" s="66">
        <v>10.0</v>
      </c>
      <c r="F7312" s="66" t="str">
        <f>IFERROR(__xludf.DUMMYFUNCTION("GOOGLETRANSLATE(A7312,""en"",""pt"")"),"#VALUE!")</f>
        <v>#VALUE!</v>
      </c>
      <c r="G7312" s="69"/>
    </row>
    <row r="7313" ht="22.5" customHeight="1">
      <c r="A7313" s="66"/>
      <c r="B7313" s="67" t="str">
        <f t="shared" si="16"/>
        <v>M: </v>
      </c>
      <c r="C7313" s="68"/>
      <c r="D7313" s="68">
        <v>46481.0</v>
      </c>
      <c r="E7313" s="66">
        <v>1.0</v>
      </c>
      <c r="F7313" s="66" t="str">
        <f>IFERROR(__xludf.DUMMYFUNCTION("GOOGLETRANSLATE(A7313,""en"",""pt"")"),"#VALUE!")</f>
        <v>#VALUE!</v>
      </c>
      <c r="G7313" s="69"/>
    </row>
    <row r="7314" ht="22.5" customHeight="1">
      <c r="A7314" s="66"/>
      <c r="B7314" s="67" t="str">
        <f t="shared" si="16"/>
        <v>M: </v>
      </c>
      <c r="C7314" s="68"/>
      <c r="D7314" s="68">
        <v>46481.0</v>
      </c>
      <c r="E7314" s="66">
        <v>2.0</v>
      </c>
      <c r="F7314" s="66" t="str">
        <f>IFERROR(__xludf.DUMMYFUNCTION("GOOGLETRANSLATE(A7314,""en"",""pt"")"),"#VALUE!")</f>
        <v>#VALUE!</v>
      </c>
      <c r="G7314" s="69"/>
    </row>
    <row r="7315" ht="22.5" customHeight="1">
      <c r="A7315" s="66"/>
      <c r="B7315" s="67" t="str">
        <f t="shared" si="16"/>
        <v>M: </v>
      </c>
      <c r="C7315" s="68"/>
      <c r="D7315" s="68">
        <v>46481.0</v>
      </c>
      <c r="E7315" s="66">
        <v>3.0</v>
      </c>
      <c r="F7315" s="66" t="str">
        <f>IFERROR(__xludf.DUMMYFUNCTION("GOOGLETRANSLATE(A7315,""en"",""pt"")"),"#VALUE!")</f>
        <v>#VALUE!</v>
      </c>
      <c r="G7315" s="69"/>
    </row>
    <row r="7316" ht="22.5" customHeight="1">
      <c r="A7316" s="66"/>
      <c r="B7316" s="67" t="str">
        <f t="shared" si="16"/>
        <v>M: </v>
      </c>
      <c r="C7316" s="68"/>
      <c r="D7316" s="68">
        <v>46481.0</v>
      </c>
      <c r="E7316" s="66">
        <v>4.0</v>
      </c>
      <c r="F7316" s="66" t="str">
        <f>IFERROR(__xludf.DUMMYFUNCTION("GOOGLETRANSLATE(A7316,""en"",""pt"")"),"#VALUE!")</f>
        <v>#VALUE!</v>
      </c>
      <c r="G7316" s="69"/>
    </row>
    <row r="7317" ht="22.5" customHeight="1">
      <c r="A7317" s="66"/>
      <c r="B7317" s="67" t="str">
        <f t="shared" si="16"/>
        <v>M: </v>
      </c>
      <c r="C7317" s="68"/>
      <c r="D7317" s="68">
        <v>46481.0</v>
      </c>
      <c r="E7317" s="66">
        <v>5.0</v>
      </c>
      <c r="F7317" s="66" t="str">
        <f>IFERROR(__xludf.DUMMYFUNCTION("GOOGLETRANSLATE(A7317,""en"",""pt"")"),"#VALUE!")</f>
        <v>#VALUE!</v>
      </c>
      <c r="G7317" s="69"/>
    </row>
    <row r="7318" ht="22.5" customHeight="1">
      <c r="A7318" s="66"/>
      <c r="B7318" s="67" t="str">
        <f t="shared" si="16"/>
        <v>M: </v>
      </c>
      <c r="C7318" s="68"/>
      <c r="D7318" s="68">
        <v>46481.0</v>
      </c>
      <c r="E7318" s="66">
        <v>6.0</v>
      </c>
      <c r="F7318" s="66" t="str">
        <f>IFERROR(__xludf.DUMMYFUNCTION("GOOGLETRANSLATE(A7318,""en"",""pt"")"),"#VALUE!")</f>
        <v>#VALUE!</v>
      </c>
      <c r="G7318" s="69"/>
    </row>
    <row r="7319" ht="22.5" customHeight="1">
      <c r="A7319" s="66"/>
      <c r="B7319" s="67" t="str">
        <f t="shared" si="16"/>
        <v>M: </v>
      </c>
      <c r="C7319" s="68"/>
      <c r="D7319" s="68">
        <v>46481.0</v>
      </c>
      <c r="E7319" s="66">
        <v>7.0</v>
      </c>
      <c r="F7319" s="66" t="str">
        <f>IFERROR(__xludf.DUMMYFUNCTION("GOOGLETRANSLATE(A7319,""en"",""pt"")"),"#VALUE!")</f>
        <v>#VALUE!</v>
      </c>
      <c r="G7319" s="69"/>
    </row>
    <row r="7320" ht="22.5" customHeight="1">
      <c r="A7320" s="66"/>
      <c r="B7320" s="67" t="str">
        <f t="shared" si="16"/>
        <v>M: </v>
      </c>
      <c r="C7320" s="68"/>
      <c r="D7320" s="68">
        <v>46481.0</v>
      </c>
      <c r="E7320" s="66">
        <v>8.0</v>
      </c>
      <c r="F7320" s="66" t="str">
        <f>IFERROR(__xludf.DUMMYFUNCTION("GOOGLETRANSLATE(A7320,""en"",""pt"")"),"#VALUE!")</f>
        <v>#VALUE!</v>
      </c>
      <c r="G7320" s="69"/>
    </row>
    <row r="7321" ht="22.5" customHeight="1">
      <c r="A7321" s="66"/>
      <c r="B7321" s="67" t="str">
        <f t="shared" si="16"/>
        <v>M: </v>
      </c>
      <c r="C7321" s="68"/>
      <c r="D7321" s="68">
        <v>46481.0</v>
      </c>
      <c r="E7321" s="66">
        <v>9.0</v>
      </c>
      <c r="F7321" s="66" t="str">
        <f>IFERROR(__xludf.DUMMYFUNCTION("GOOGLETRANSLATE(A7321,""en"",""pt"")"),"#VALUE!")</f>
        <v>#VALUE!</v>
      </c>
      <c r="G7321" s="69"/>
    </row>
    <row r="7322" ht="22.5" customHeight="1">
      <c r="A7322" s="66"/>
      <c r="B7322" s="67" t="str">
        <f t="shared" si="16"/>
        <v>M: </v>
      </c>
      <c r="C7322" s="68"/>
      <c r="D7322" s="68">
        <v>46482.0</v>
      </c>
      <c r="E7322" s="66">
        <v>10.0</v>
      </c>
      <c r="F7322" s="66" t="str">
        <f>IFERROR(__xludf.DUMMYFUNCTION("GOOGLETRANSLATE(A7322,""en"",""pt"")"),"#VALUE!")</f>
        <v>#VALUE!</v>
      </c>
      <c r="G7322" s="69"/>
    </row>
    <row r="7323" ht="22.5" customHeight="1">
      <c r="A7323" s="66"/>
      <c r="B7323" s="67" t="str">
        <f t="shared" si="16"/>
        <v>M: </v>
      </c>
      <c r="C7323" s="68"/>
      <c r="D7323" s="68">
        <v>46482.0</v>
      </c>
      <c r="E7323" s="66">
        <v>1.0</v>
      </c>
      <c r="F7323" s="66" t="str">
        <f>IFERROR(__xludf.DUMMYFUNCTION("GOOGLETRANSLATE(A7323,""en"",""pt"")"),"#VALUE!")</f>
        <v>#VALUE!</v>
      </c>
      <c r="G7323" s="69"/>
    </row>
    <row r="7324" ht="22.5" customHeight="1">
      <c r="A7324" s="66"/>
      <c r="B7324" s="67" t="str">
        <f t="shared" si="16"/>
        <v>M: </v>
      </c>
      <c r="C7324" s="68"/>
      <c r="D7324" s="68">
        <v>46482.0</v>
      </c>
      <c r="E7324" s="66">
        <v>2.0</v>
      </c>
      <c r="F7324" s="66" t="str">
        <f>IFERROR(__xludf.DUMMYFUNCTION("GOOGLETRANSLATE(A7324,""en"",""pt"")"),"#VALUE!")</f>
        <v>#VALUE!</v>
      </c>
      <c r="G7324" s="69"/>
    </row>
    <row r="7325" ht="22.5" customHeight="1">
      <c r="A7325" s="66"/>
      <c r="B7325" s="67" t="str">
        <f t="shared" si="16"/>
        <v>M: </v>
      </c>
      <c r="C7325" s="68"/>
      <c r="D7325" s="68">
        <v>46482.0</v>
      </c>
      <c r="E7325" s="66">
        <v>3.0</v>
      </c>
      <c r="F7325" s="66" t="str">
        <f>IFERROR(__xludf.DUMMYFUNCTION("GOOGLETRANSLATE(A7325,""en"",""pt"")"),"#VALUE!")</f>
        <v>#VALUE!</v>
      </c>
      <c r="G7325" s="69"/>
    </row>
    <row r="7326" ht="22.5" customHeight="1">
      <c r="A7326" s="66"/>
      <c r="B7326" s="67" t="str">
        <f t="shared" si="16"/>
        <v>M: </v>
      </c>
      <c r="C7326" s="68"/>
      <c r="D7326" s="68">
        <v>46482.0</v>
      </c>
      <c r="E7326" s="66">
        <v>4.0</v>
      </c>
      <c r="F7326" s="66" t="str">
        <f>IFERROR(__xludf.DUMMYFUNCTION("GOOGLETRANSLATE(A7326,""en"",""pt"")"),"#VALUE!")</f>
        <v>#VALUE!</v>
      </c>
      <c r="G7326" s="69"/>
    </row>
    <row r="7327" ht="22.5" customHeight="1">
      <c r="A7327" s="66"/>
      <c r="B7327" s="67" t="str">
        <f t="shared" si="16"/>
        <v>M: </v>
      </c>
      <c r="C7327" s="68"/>
      <c r="D7327" s="68">
        <v>46482.0</v>
      </c>
      <c r="E7327" s="66">
        <v>5.0</v>
      </c>
      <c r="F7327" s="66" t="str">
        <f>IFERROR(__xludf.DUMMYFUNCTION("GOOGLETRANSLATE(A7327,""en"",""pt"")"),"#VALUE!")</f>
        <v>#VALUE!</v>
      </c>
      <c r="G7327" s="69"/>
    </row>
    <row r="7328" ht="22.5" customHeight="1">
      <c r="A7328" s="66"/>
      <c r="B7328" s="67" t="str">
        <f t="shared" si="16"/>
        <v>M: </v>
      </c>
      <c r="C7328" s="68"/>
      <c r="D7328" s="68">
        <v>46482.0</v>
      </c>
      <c r="E7328" s="66">
        <v>6.0</v>
      </c>
      <c r="F7328" s="66" t="str">
        <f>IFERROR(__xludf.DUMMYFUNCTION("GOOGLETRANSLATE(A7328,""en"",""pt"")"),"#VALUE!")</f>
        <v>#VALUE!</v>
      </c>
      <c r="G7328" s="69"/>
    </row>
    <row r="7329" ht="22.5" customHeight="1">
      <c r="A7329" s="66"/>
      <c r="B7329" s="67" t="str">
        <f t="shared" si="16"/>
        <v>M: </v>
      </c>
      <c r="C7329" s="68"/>
      <c r="D7329" s="68">
        <v>46482.0</v>
      </c>
      <c r="E7329" s="66">
        <v>7.0</v>
      </c>
      <c r="F7329" s="66" t="str">
        <f>IFERROR(__xludf.DUMMYFUNCTION("GOOGLETRANSLATE(A7329,""en"",""pt"")"),"#VALUE!")</f>
        <v>#VALUE!</v>
      </c>
      <c r="G7329" s="69"/>
    </row>
    <row r="7330" ht="22.5" customHeight="1">
      <c r="A7330" s="66"/>
      <c r="B7330" s="67" t="str">
        <f t="shared" si="16"/>
        <v>M: </v>
      </c>
      <c r="C7330" s="68"/>
      <c r="D7330" s="68">
        <v>46482.0</v>
      </c>
      <c r="E7330" s="66">
        <v>8.0</v>
      </c>
      <c r="F7330" s="66" t="str">
        <f>IFERROR(__xludf.DUMMYFUNCTION("GOOGLETRANSLATE(A7330,""en"",""pt"")"),"#VALUE!")</f>
        <v>#VALUE!</v>
      </c>
      <c r="G7330" s="69"/>
    </row>
    <row r="7331" ht="22.5" customHeight="1">
      <c r="A7331" s="66"/>
      <c r="B7331" s="67" t="str">
        <f t="shared" si="16"/>
        <v>M: </v>
      </c>
      <c r="C7331" s="68"/>
      <c r="D7331" s="68">
        <v>46482.0</v>
      </c>
      <c r="E7331" s="66">
        <v>9.0</v>
      </c>
      <c r="F7331" s="66" t="str">
        <f>IFERROR(__xludf.DUMMYFUNCTION("GOOGLETRANSLATE(A7331,""en"",""pt"")"),"#VALUE!")</f>
        <v>#VALUE!</v>
      </c>
      <c r="G7331" s="69"/>
    </row>
    <row r="7332" ht="22.5" customHeight="1">
      <c r="A7332" s="66"/>
      <c r="B7332" s="67" t="str">
        <f t="shared" si="16"/>
        <v>M: </v>
      </c>
      <c r="C7332" s="68"/>
      <c r="D7332" s="68">
        <v>46483.0</v>
      </c>
      <c r="E7332" s="66">
        <v>10.0</v>
      </c>
      <c r="F7332" s="66" t="str">
        <f>IFERROR(__xludf.DUMMYFUNCTION("GOOGLETRANSLATE(A7332,""en"",""pt"")"),"#VALUE!")</f>
        <v>#VALUE!</v>
      </c>
      <c r="G7332" s="69"/>
    </row>
    <row r="7333" ht="22.5" customHeight="1">
      <c r="A7333" s="66"/>
      <c r="B7333" s="67" t="str">
        <f t="shared" si="16"/>
        <v>M: </v>
      </c>
      <c r="C7333" s="68"/>
      <c r="D7333" s="68">
        <v>46483.0</v>
      </c>
      <c r="E7333" s="66">
        <v>1.0</v>
      </c>
      <c r="F7333" s="66" t="str">
        <f>IFERROR(__xludf.DUMMYFUNCTION("GOOGLETRANSLATE(A7333,""en"",""pt"")"),"#VALUE!")</f>
        <v>#VALUE!</v>
      </c>
      <c r="G7333" s="69"/>
    </row>
    <row r="7334" ht="22.5" customHeight="1">
      <c r="A7334" s="66"/>
      <c r="B7334" s="67" t="str">
        <f t="shared" si="16"/>
        <v>M: </v>
      </c>
      <c r="C7334" s="68"/>
      <c r="D7334" s="68">
        <v>46483.0</v>
      </c>
      <c r="E7334" s="66">
        <v>2.0</v>
      </c>
      <c r="F7334" s="66" t="str">
        <f>IFERROR(__xludf.DUMMYFUNCTION("GOOGLETRANSLATE(A7334,""en"",""pt"")"),"#VALUE!")</f>
        <v>#VALUE!</v>
      </c>
      <c r="G7334" s="69"/>
    </row>
    <row r="7335" ht="22.5" customHeight="1">
      <c r="A7335" s="66"/>
      <c r="B7335" s="67" t="str">
        <f t="shared" si="16"/>
        <v>M: </v>
      </c>
      <c r="C7335" s="68"/>
      <c r="D7335" s="68">
        <v>46483.0</v>
      </c>
      <c r="E7335" s="66">
        <v>3.0</v>
      </c>
      <c r="F7335" s="66" t="str">
        <f>IFERROR(__xludf.DUMMYFUNCTION("GOOGLETRANSLATE(A7335,""en"",""pt"")"),"#VALUE!")</f>
        <v>#VALUE!</v>
      </c>
      <c r="G7335" s="69"/>
    </row>
    <row r="7336" ht="22.5" customHeight="1">
      <c r="A7336" s="66"/>
      <c r="B7336" s="67" t="str">
        <f t="shared" si="16"/>
        <v>M: </v>
      </c>
      <c r="C7336" s="68"/>
      <c r="D7336" s="68">
        <v>46483.0</v>
      </c>
      <c r="E7336" s="66">
        <v>4.0</v>
      </c>
      <c r="F7336" s="66" t="str">
        <f>IFERROR(__xludf.DUMMYFUNCTION("GOOGLETRANSLATE(A7336,""en"",""pt"")"),"#VALUE!")</f>
        <v>#VALUE!</v>
      </c>
      <c r="G7336" s="69"/>
    </row>
    <row r="7337" ht="22.5" customHeight="1">
      <c r="A7337" s="66"/>
      <c r="B7337" s="67" t="str">
        <f t="shared" si="16"/>
        <v>M: </v>
      </c>
      <c r="C7337" s="68"/>
      <c r="D7337" s="68">
        <v>46483.0</v>
      </c>
      <c r="E7337" s="66">
        <v>5.0</v>
      </c>
      <c r="F7337" s="66" t="str">
        <f>IFERROR(__xludf.DUMMYFUNCTION("GOOGLETRANSLATE(A7337,""en"",""pt"")"),"#VALUE!")</f>
        <v>#VALUE!</v>
      </c>
      <c r="G7337" s="69"/>
    </row>
    <row r="7338" ht="22.5" customHeight="1">
      <c r="A7338" s="66"/>
      <c r="B7338" s="67" t="str">
        <f t="shared" si="16"/>
        <v>M: </v>
      </c>
      <c r="C7338" s="68"/>
      <c r="D7338" s="68">
        <v>46483.0</v>
      </c>
      <c r="E7338" s="66">
        <v>6.0</v>
      </c>
      <c r="F7338" s="66" t="str">
        <f>IFERROR(__xludf.DUMMYFUNCTION("GOOGLETRANSLATE(A7338,""en"",""pt"")"),"#VALUE!")</f>
        <v>#VALUE!</v>
      </c>
      <c r="G7338" s="69"/>
    </row>
    <row r="7339" ht="22.5" customHeight="1">
      <c r="A7339" s="66"/>
      <c r="B7339" s="67" t="str">
        <f t="shared" si="16"/>
        <v>M: </v>
      </c>
      <c r="C7339" s="68"/>
      <c r="D7339" s="68">
        <v>46483.0</v>
      </c>
      <c r="E7339" s="66">
        <v>7.0</v>
      </c>
      <c r="F7339" s="66" t="str">
        <f>IFERROR(__xludf.DUMMYFUNCTION("GOOGLETRANSLATE(A7339,""en"",""pt"")"),"#VALUE!")</f>
        <v>#VALUE!</v>
      </c>
      <c r="G7339" s="69"/>
    </row>
    <row r="7340" ht="22.5" customHeight="1">
      <c r="A7340" s="66"/>
      <c r="B7340" s="67" t="str">
        <f t="shared" si="16"/>
        <v>M: </v>
      </c>
      <c r="C7340" s="68"/>
      <c r="D7340" s="68">
        <v>46483.0</v>
      </c>
      <c r="E7340" s="66">
        <v>8.0</v>
      </c>
      <c r="F7340" s="66" t="str">
        <f>IFERROR(__xludf.DUMMYFUNCTION("GOOGLETRANSLATE(A7340,""en"",""pt"")"),"#VALUE!")</f>
        <v>#VALUE!</v>
      </c>
      <c r="G7340" s="69"/>
    </row>
    <row r="7341" ht="22.5" customHeight="1">
      <c r="A7341" s="66"/>
      <c r="B7341" s="67" t="str">
        <f t="shared" si="16"/>
        <v>M: </v>
      </c>
      <c r="C7341" s="68"/>
      <c r="D7341" s="68">
        <v>46483.0</v>
      </c>
      <c r="E7341" s="66">
        <v>9.0</v>
      </c>
      <c r="F7341" s="66" t="str">
        <f>IFERROR(__xludf.DUMMYFUNCTION("GOOGLETRANSLATE(A7341,""en"",""pt"")"),"#VALUE!")</f>
        <v>#VALUE!</v>
      </c>
      <c r="G7341" s="69"/>
    </row>
    <row r="7342" ht="22.5" customHeight="1">
      <c r="A7342" s="66"/>
      <c r="B7342" s="67" t="str">
        <f t="shared" si="16"/>
        <v>M: </v>
      </c>
      <c r="C7342" s="68"/>
      <c r="D7342" s="68">
        <v>46484.0</v>
      </c>
      <c r="E7342" s="66">
        <v>10.0</v>
      </c>
      <c r="F7342" s="66" t="str">
        <f>IFERROR(__xludf.DUMMYFUNCTION("GOOGLETRANSLATE(A7342,""en"",""pt"")"),"#VALUE!")</f>
        <v>#VALUE!</v>
      </c>
      <c r="G7342" s="69"/>
    </row>
    <row r="7343" ht="22.5" customHeight="1">
      <c r="A7343" s="66"/>
      <c r="B7343" s="67" t="str">
        <f t="shared" si="16"/>
        <v>M: </v>
      </c>
      <c r="C7343" s="68"/>
      <c r="D7343" s="68">
        <v>46484.0</v>
      </c>
      <c r="E7343" s="66">
        <v>1.0</v>
      </c>
      <c r="F7343" s="66" t="str">
        <f>IFERROR(__xludf.DUMMYFUNCTION("GOOGLETRANSLATE(A7343,""en"",""pt"")"),"#VALUE!")</f>
        <v>#VALUE!</v>
      </c>
      <c r="G7343" s="69"/>
    </row>
    <row r="7344" ht="22.5" customHeight="1">
      <c r="A7344" s="66"/>
      <c r="B7344" s="67" t="str">
        <f t="shared" si="16"/>
        <v>M: </v>
      </c>
      <c r="C7344" s="68"/>
      <c r="D7344" s="68">
        <v>46484.0</v>
      </c>
      <c r="E7344" s="66">
        <v>2.0</v>
      </c>
      <c r="F7344" s="66" t="str">
        <f>IFERROR(__xludf.DUMMYFUNCTION("GOOGLETRANSLATE(A7344,""en"",""pt"")"),"#VALUE!")</f>
        <v>#VALUE!</v>
      </c>
      <c r="G7344" s="69"/>
    </row>
    <row r="7345" ht="22.5" customHeight="1">
      <c r="A7345" s="66"/>
      <c r="B7345" s="67" t="str">
        <f t="shared" si="16"/>
        <v>M: </v>
      </c>
      <c r="C7345" s="68"/>
      <c r="D7345" s="68">
        <v>46484.0</v>
      </c>
      <c r="E7345" s="66">
        <v>3.0</v>
      </c>
      <c r="F7345" s="66" t="str">
        <f>IFERROR(__xludf.DUMMYFUNCTION("GOOGLETRANSLATE(A7345,""en"",""pt"")"),"#VALUE!")</f>
        <v>#VALUE!</v>
      </c>
      <c r="G7345" s="69"/>
    </row>
    <row r="7346" ht="22.5" customHeight="1">
      <c r="A7346" s="66"/>
      <c r="B7346" s="67" t="str">
        <f t="shared" si="16"/>
        <v>M: </v>
      </c>
      <c r="C7346" s="68"/>
      <c r="D7346" s="68">
        <v>46484.0</v>
      </c>
      <c r="E7346" s="66">
        <v>4.0</v>
      </c>
      <c r="F7346" s="66" t="str">
        <f>IFERROR(__xludf.DUMMYFUNCTION("GOOGLETRANSLATE(A7346,""en"",""pt"")"),"#VALUE!")</f>
        <v>#VALUE!</v>
      </c>
      <c r="G7346" s="69"/>
    </row>
    <row r="7347" ht="22.5" customHeight="1">
      <c r="A7347" s="66"/>
      <c r="B7347" s="67" t="str">
        <f t="shared" si="16"/>
        <v>M: </v>
      </c>
      <c r="C7347" s="68"/>
      <c r="D7347" s="68">
        <v>46484.0</v>
      </c>
      <c r="E7347" s="66">
        <v>5.0</v>
      </c>
      <c r="F7347" s="66" t="str">
        <f>IFERROR(__xludf.DUMMYFUNCTION("GOOGLETRANSLATE(A7347,""en"",""pt"")"),"#VALUE!")</f>
        <v>#VALUE!</v>
      </c>
      <c r="G7347" s="69"/>
    </row>
    <row r="7348" ht="22.5" customHeight="1">
      <c r="A7348" s="66"/>
      <c r="B7348" s="67" t="str">
        <f t="shared" si="16"/>
        <v>M: </v>
      </c>
      <c r="C7348" s="68"/>
      <c r="D7348" s="68">
        <v>46484.0</v>
      </c>
      <c r="E7348" s="66">
        <v>6.0</v>
      </c>
      <c r="F7348" s="66" t="str">
        <f>IFERROR(__xludf.DUMMYFUNCTION("GOOGLETRANSLATE(A7348,""en"",""pt"")"),"#VALUE!")</f>
        <v>#VALUE!</v>
      </c>
      <c r="G7348" s="69"/>
    </row>
    <row r="7349" ht="22.5" customHeight="1">
      <c r="A7349" s="66"/>
      <c r="B7349" s="67" t="str">
        <f t="shared" si="16"/>
        <v>M: </v>
      </c>
      <c r="C7349" s="68"/>
      <c r="D7349" s="68">
        <v>46484.0</v>
      </c>
      <c r="E7349" s="66">
        <v>7.0</v>
      </c>
      <c r="F7349" s="66" t="str">
        <f>IFERROR(__xludf.DUMMYFUNCTION("GOOGLETRANSLATE(A7349,""en"",""pt"")"),"#VALUE!")</f>
        <v>#VALUE!</v>
      </c>
      <c r="G7349" s="69"/>
    </row>
    <row r="7350" ht="22.5" customHeight="1">
      <c r="A7350" s="66"/>
      <c r="B7350" s="67" t="str">
        <f t="shared" si="16"/>
        <v>M: </v>
      </c>
      <c r="C7350" s="68"/>
      <c r="D7350" s="68">
        <v>46484.0</v>
      </c>
      <c r="E7350" s="66">
        <v>8.0</v>
      </c>
      <c r="F7350" s="66" t="str">
        <f>IFERROR(__xludf.DUMMYFUNCTION("GOOGLETRANSLATE(A7350,""en"",""pt"")"),"#VALUE!")</f>
        <v>#VALUE!</v>
      </c>
      <c r="G7350" s="69"/>
    </row>
    <row r="7351" ht="22.5" customHeight="1">
      <c r="A7351" s="66"/>
      <c r="B7351" s="67" t="str">
        <f t="shared" si="16"/>
        <v>M: </v>
      </c>
      <c r="C7351" s="68"/>
      <c r="D7351" s="68">
        <v>46484.0</v>
      </c>
      <c r="E7351" s="66">
        <v>9.0</v>
      </c>
      <c r="F7351" s="66" t="str">
        <f>IFERROR(__xludf.DUMMYFUNCTION("GOOGLETRANSLATE(A7351,""en"",""pt"")"),"#VALUE!")</f>
        <v>#VALUE!</v>
      </c>
      <c r="G7351" s="69"/>
    </row>
    <row r="7352" ht="22.5" customHeight="1">
      <c r="A7352" s="66"/>
      <c r="B7352" s="67" t="str">
        <f t="shared" si="16"/>
        <v>M: </v>
      </c>
      <c r="C7352" s="68"/>
      <c r="D7352" s="68">
        <v>46485.0</v>
      </c>
      <c r="E7352" s="66">
        <v>10.0</v>
      </c>
      <c r="F7352" s="66" t="str">
        <f>IFERROR(__xludf.DUMMYFUNCTION("GOOGLETRANSLATE(A7352,""en"",""pt"")"),"#VALUE!")</f>
        <v>#VALUE!</v>
      </c>
      <c r="G7352" s="69"/>
    </row>
    <row r="7353" ht="22.5" customHeight="1">
      <c r="A7353" s="66"/>
      <c r="B7353" s="67" t="str">
        <f t="shared" si="16"/>
        <v>M: </v>
      </c>
      <c r="C7353" s="68"/>
      <c r="D7353" s="68">
        <v>46485.0</v>
      </c>
      <c r="E7353" s="66">
        <v>1.0</v>
      </c>
      <c r="F7353" s="66" t="str">
        <f>IFERROR(__xludf.DUMMYFUNCTION("GOOGLETRANSLATE(A7353,""en"",""pt"")"),"#VALUE!")</f>
        <v>#VALUE!</v>
      </c>
      <c r="G7353" s="69"/>
    </row>
    <row r="7354" ht="22.5" customHeight="1">
      <c r="A7354" s="66"/>
      <c r="B7354" s="67" t="str">
        <f t="shared" si="16"/>
        <v>M: </v>
      </c>
      <c r="C7354" s="68"/>
      <c r="D7354" s="68">
        <v>46485.0</v>
      </c>
      <c r="E7354" s="66">
        <v>2.0</v>
      </c>
      <c r="F7354" s="66" t="str">
        <f>IFERROR(__xludf.DUMMYFUNCTION("GOOGLETRANSLATE(A7354,""en"",""pt"")"),"#VALUE!")</f>
        <v>#VALUE!</v>
      </c>
      <c r="G7354" s="69"/>
    </row>
    <row r="7355" ht="22.5" customHeight="1">
      <c r="A7355" s="66"/>
      <c r="B7355" s="67" t="str">
        <f t="shared" si="16"/>
        <v>M: </v>
      </c>
      <c r="C7355" s="68"/>
      <c r="D7355" s="68">
        <v>46485.0</v>
      </c>
      <c r="E7355" s="66">
        <v>3.0</v>
      </c>
      <c r="F7355" s="66" t="str">
        <f>IFERROR(__xludf.DUMMYFUNCTION("GOOGLETRANSLATE(A7355,""en"",""pt"")"),"#VALUE!")</f>
        <v>#VALUE!</v>
      </c>
      <c r="G7355" s="69"/>
    </row>
    <row r="7356" ht="22.5" customHeight="1">
      <c r="A7356" s="66"/>
      <c r="B7356" s="67" t="str">
        <f t="shared" si="16"/>
        <v>M: </v>
      </c>
      <c r="C7356" s="68"/>
      <c r="D7356" s="68">
        <v>46485.0</v>
      </c>
      <c r="E7356" s="66">
        <v>4.0</v>
      </c>
      <c r="F7356" s="66" t="str">
        <f>IFERROR(__xludf.DUMMYFUNCTION("GOOGLETRANSLATE(A7356,""en"",""pt"")"),"#VALUE!")</f>
        <v>#VALUE!</v>
      </c>
      <c r="G7356" s="69"/>
    </row>
    <row r="7357" ht="22.5" customHeight="1">
      <c r="A7357" s="66"/>
      <c r="B7357" s="67" t="str">
        <f t="shared" si="16"/>
        <v>M: </v>
      </c>
      <c r="C7357" s="68"/>
      <c r="D7357" s="68">
        <v>46485.0</v>
      </c>
      <c r="E7357" s="66">
        <v>5.0</v>
      </c>
      <c r="F7357" s="66" t="str">
        <f>IFERROR(__xludf.DUMMYFUNCTION("GOOGLETRANSLATE(A7357,""en"",""pt"")"),"#VALUE!")</f>
        <v>#VALUE!</v>
      </c>
      <c r="G7357" s="69"/>
    </row>
    <row r="7358" ht="22.5" customHeight="1">
      <c r="A7358" s="66"/>
      <c r="B7358" s="67" t="str">
        <f t="shared" si="16"/>
        <v>M: </v>
      </c>
      <c r="C7358" s="68"/>
      <c r="D7358" s="68">
        <v>46485.0</v>
      </c>
      <c r="E7358" s="66">
        <v>6.0</v>
      </c>
      <c r="F7358" s="66" t="str">
        <f>IFERROR(__xludf.DUMMYFUNCTION("GOOGLETRANSLATE(A7358,""en"",""pt"")"),"#VALUE!")</f>
        <v>#VALUE!</v>
      </c>
      <c r="G7358" s="69"/>
    </row>
    <row r="7359" ht="22.5" customHeight="1">
      <c r="A7359" s="66"/>
      <c r="B7359" s="67" t="str">
        <f t="shared" si="16"/>
        <v>M: </v>
      </c>
      <c r="C7359" s="68"/>
      <c r="D7359" s="68">
        <v>46485.0</v>
      </c>
      <c r="E7359" s="66">
        <v>7.0</v>
      </c>
      <c r="F7359" s="66" t="str">
        <f>IFERROR(__xludf.DUMMYFUNCTION("GOOGLETRANSLATE(A7359,""en"",""pt"")"),"#VALUE!")</f>
        <v>#VALUE!</v>
      </c>
      <c r="G7359" s="69"/>
    </row>
    <row r="7360" ht="22.5" customHeight="1">
      <c r="A7360" s="66"/>
      <c r="B7360" s="67" t="str">
        <f t="shared" si="16"/>
        <v>M: </v>
      </c>
      <c r="C7360" s="68"/>
      <c r="D7360" s="68">
        <v>46485.0</v>
      </c>
      <c r="E7360" s="66">
        <v>8.0</v>
      </c>
      <c r="F7360" s="66" t="str">
        <f>IFERROR(__xludf.DUMMYFUNCTION("GOOGLETRANSLATE(A7360,""en"",""pt"")"),"#VALUE!")</f>
        <v>#VALUE!</v>
      </c>
      <c r="G7360" s="69"/>
    </row>
    <row r="7361" ht="22.5" customHeight="1">
      <c r="A7361" s="66"/>
      <c r="B7361" s="67" t="str">
        <f t="shared" si="16"/>
        <v>M: </v>
      </c>
      <c r="C7361" s="68"/>
      <c r="D7361" s="68">
        <v>46485.0</v>
      </c>
      <c r="E7361" s="66">
        <v>9.0</v>
      </c>
      <c r="F7361" s="66" t="str">
        <f>IFERROR(__xludf.DUMMYFUNCTION("GOOGLETRANSLATE(A7361,""en"",""pt"")"),"#VALUE!")</f>
        <v>#VALUE!</v>
      </c>
      <c r="G7361" s="69"/>
    </row>
    <row r="7362" ht="22.5" customHeight="1">
      <c r="A7362" s="66"/>
      <c r="B7362" s="67" t="str">
        <f t="shared" si="16"/>
        <v>M: </v>
      </c>
      <c r="C7362" s="68"/>
      <c r="D7362" s="68">
        <v>46486.0</v>
      </c>
      <c r="E7362" s="66">
        <v>10.0</v>
      </c>
      <c r="F7362" s="66" t="str">
        <f>IFERROR(__xludf.DUMMYFUNCTION("GOOGLETRANSLATE(A7362,""en"",""pt"")"),"#VALUE!")</f>
        <v>#VALUE!</v>
      </c>
      <c r="G7362" s="69"/>
    </row>
    <row r="7363" ht="22.5" customHeight="1">
      <c r="A7363" s="66"/>
      <c r="B7363" s="67" t="str">
        <f t="shared" si="16"/>
        <v>M: </v>
      </c>
      <c r="C7363" s="68"/>
      <c r="D7363" s="68">
        <v>46486.0</v>
      </c>
      <c r="E7363" s="66">
        <v>1.0</v>
      </c>
      <c r="F7363" s="66" t="str">
        <f>IFERROR(__xludf.DUMMYFUNCTION("GOOGLETRANSLATE(A7363,""en"",""pt"")"),"#VALUE!")</f>
        <v>#VALUE!</v>
      </c>
      <c r="G7363" s="69"/>
    </row>
    <row r="7364" ht="22.5" customHeight="1">
      <c r="A7364" s="66"/>
      <c r="B7364" s="67" t="str">
        <f t="shared" si="16"/>
        <v>M: </v>
      </c>
      <c r="C7364" s="68"/>
      <c r="D7364" s="68">
        <v>46486.0</v>
      </c>
      <c r="E7364" s="66">
        <v>2.0</v>
      </c>
      <c r="F7364" s="66" t="str">
        <f>IFERROR(__xludf.DUMMYFUNCTION("GOOGLETRANSLATE(A7364,""en"",""pt"")"),"#VALUE!")</f>
        <v>#VALUE!</v>
      </c>
      <c r="G7364" s="69"/>
    </row>
    <row r="7365" ht="22.5" customHeight="1">
      <c r="A7365" s="66"/>
      <c r="B7365" s="67" t="str">
        <f t="shared" si="16"/>
        <v>M: </v>
      </c>
      <c r="C7365" s="68"/>
      <c r="D7365" s="68">
        <v>46486.0</v>
      </c>
      <c r="E7365" s="66">
        <v>3.0</v>
      </c>
      <c r="F7365" s="66" t="str">
        <f>IFERROR(__xludf.DUMMYFUNCTION("GOOGLETRANSLATE(A7365,""en"",""pt"")"),"#VALUE!")</f>
        <v>#VALUE!</v>
      </c>
      <c r="G7365" s="69"/>
    </row>
    <row r="7366" ht="22.5" customHeight="1">
      <c r="A7366" s="66"/>
      <c r="B7366" s="67" t="str">
        <f t="shared" si="16"/>
        <v>M: </v>
      </c>
      <c r="C7366" s="68"/>
      <c r="D7366" s="68">
        <v>46486.0</v>
      </c>
      <c r="E7366" s="66">
        <v>4.0</v>
      </c>
      <c r="F7366" s="66" t="str">
        <f>IFERROR(__xludf.DUMMYFUNCTION("GOOGLETRANSLATE(A7366,""en"",""pt"")"),"#VALUE!")</f>
        <v>#VALUE!</v>
      </c>
      <c r="G7366" s="69"/>
    </row>
    <row r="7367" ht="22.5" customHeight="1">
      <c r="A7367" s="66"/>
      <c r="B7367" s="67" t="str">
        <f t="shared" si="16"/>
        <v>M: </v>
      </c>
      <c r="C7367" s="68"/>
      <c r="D7367" s="68">
        <v>46486.0</v>
      </c>
      <c r="E7367" s="66">
        <v>5.0</v>
      </c>
      <c r="F7367" s="66" t="str">
        <f>IFERROR(__xludf.DUMMYFUNCTION("GOOGLETRANSLATE(A7367,""en"",""pt"")"),"#VALUE!")</f>
        <v>#VALUE!</v>
      </c>
      <c r="G7367" s="69"/>
    </row>
    <row r="7368" ht="22.5" customHeight="1">
      <c r="A7368" s="66"/>
      <c r="B7368" s="67" t="str">
        <f t="shared" si="16"/>
        <v>M: </v>
      </c>
      <c r="C7368" s="68"/>
      <c r="D7368" s="68">
        <v>46486.0</v>
      </c>
      <c r="E7368" s="66">
        <v>6.0</v>
      </c>
      <c r="F7368" s="66" t="str">
        <f>IFERROR(__xludf.DUMMYFUNCTION("GOOGLETRANSLATE(A7368,""en"",""pt"")"),"#VALUE!")</f>
        <v>#VALUE!</v>
      </c>
      <c r="G7368" s="69"/>
    </row>
    <row r="7369" ht="22.5" customHeight="1">
      <c r="A7369" s="66"/>
      <c r="B7369" s="67" t="str">
        <f t="shared" si="16"/>
        <v>M: </v>
      </c>
      <c r="C7369" s="68"/>
      <c r="D7369" s="68">
        <v>46486.0</v>
      </c>
      <c r="E7369" s="66">
        <v>7.0</v>
      </c>
      <c r="F7369" s="66" t="str">
        <f>IFERROR(__xludf.DUMMYFUNCTION("GOOGLETRANSLATE(A7369,""en"",""pt"")"),"#VALUE!")</f>
        <v>#VALUE!</v>
      </c>
      <c r="G7369" s="69"/>
    </row>
    <row r="7370" ht="22.5" customHeight="1">
      <c r="A7370" s="66"/>
      <c r="B7370" s="67" t="str">
        <f t="shared" si="16"/>
        <v>M: </v>
      </c>
      <c r="C7370" s="68"/>
      <c r="D7370" s="68">
        <v>46486.0</v>
      </c>
      <c r="E7370" s="66">
        <v>8.0</v>
      </c>
      <c r="F7370" s="66" t="str">
        <f>IFERROR(__xludf.DUMMYFUNCTION("GOOGLETRANSLATE(A7370,""en"",""pt"")"),"#VALUE!")</f>
        <v>#VALUE!</v>
      </c>
      <c r="G7370" s="69"/>
    </row>
    <row r="7371" ht="22.5" customHeight="1">
      <c r="A7371" s="66"/>
      <c r="B7371" s="67" t="str">
        <f t="shared" si="16"/>
        <v>M: </v>
      </c>
      <c r="C7371" s="68"/>
      <c r="D7371" s="68">
        <v>46486.0</v>
      </c>
      <c r="E7371" s="66">
        <v>9.0</v>
      </c>
      <c r="F7371" s="66" t="str">
        <f>IFERROR(__xludf.DUMMYFUNCTION("GOOGLETRANSLATE(A7371,""en"",""pt"")"),"#VALUE!")</f>
        <v>#VALUE!</v>
      </c>
      <c r="G7371" s="69"/>
    </row>
    <row r="7372" ht="22.5" customHeight="1">
      <c r="A7372" s="66"/>
      <c r="B7372" s="67" t="str">
        <f t="shared" si="16"/>
        <v>M: </v>
      </c>
      <c r="C7372" s="68"/>
      <c r="D7372" s="68">
        <v>46487.0</v>
      </c>
      <c r="E7372" s="66">
        <v>10.0</v>
      </c>
      <c r="F7372" s="66" t="str">
        <f>IFERROR(__xludf.DUMMYFUNCTION("GOOGLETRANSLATE(A7372,""en"",""pt"")"),"#VALUE!")</f>
        <v>#VALUE!</v>
      </c>
      <c r="G7372" s="69"/>
    </row>
    <row r="7373" ht="22.5" customHeight="1">
      <c r="A7373" s="66"/>
      <c r="B7373" s="67" t="str">
        <f t="shared" si="16"/>
        <v>M: </v>
      </c>
      <c r="C7373" s="68"/>
      <c r="D7373" s="68">
        <v>46487.0</v>
      </c>
      <c r="E7373" s="66">
        <v>1.0</v>
      </c>
      <c r="F7373" s="66" t="str">
        <f>IFERROR(__xludf.DUMMYFUNCTION("GOOGLETRANSLATE(A7373,""en"",""pt"")"),"#VALUE!")</f>
        <v>#VALUE!</v>
      </c>
      <c r="G7373" s="69"/>
    </row>
    <row r="7374" ht="22.5" customHeight="1">
      <c r="A7374" s="66"/>
      <c r="B7374" s="67" t="str">
        <f t="shared" si="16"/>
        <v>M: </v>
      </c>
      <c r="C7374" s="68"/>
      <c r="D7374" s="68">
        <v>46487.0</v>
      </c>
      <c r="E7374" s="66">
        <v>2.0</v>
      </c>
      <c r="F7374" s="66" t="str">
        <f>IFERROR(__xludf.DUMMYFUNCTION("GOOGLETRANSLATE(A7374,""en"",""pt"")"),"#VALUE!")</f>
        <v>#VALUE!</v>
      </c>
      <c r="G7374" s="69"/>
    </row>
    <row r="7375" ht="22.5" customHeight="1">
      <c r="A7375" s="66"/>
      <c r="B7375" s="67" t="str">
        <f t="shared" si="16"/>
        <v>M: </v>
      </c>
      <c r="C7375" s="68"/>
      <c r="D7375" s="68">
        <v>46487.0</v>
      </c>
      <c r="E7375" s="66">
        <v>3.0</v>
      </c>
      <c r="F7375" s="66" t="str">
        <f>IFERROR(__xludf.DUMMYFUNCTION("GOOGLETRANSLATE(A7375,""en"",""pt"")"),"#VALUE!")</f>
        <v>#VALUE!</v>
      </c>
      <c r="G7375" s="69"/>
    </row>
    <row r="7376" ht="22.5" customHeight="1">
      <c r="A7376" s="66"/>
      <c r="B7376" s="67" t="str">
        <f t="shared" si="16"/>
        <v>M: </v>
      </c>
      <c r="C7376" s="68"/>
      <c r="D7376" s="68">
        <v>46487.0</v>
      </c>
      <c r="E7376" s="66">
        <v>4.0</v>
      </c>
      <c r="F7376" s="66" t="str">
        <f>IFERROR(__xludf.DUMMYFUNCTION("GOOGLETRANSLATE(A7376,""en"",""pt"")"),"#VALUE!")</f>
        <v>#VALUE!</v>
      </c>
      <c r="G7376" s="69"/>
    </row>
    <row r="7377" ht="22.5" customHeight="1">
      <c r="A7377" s="66"/>
      <c r="B7377" s="67" t="str">
        <f t="shared" si="16"/>
        <v>M: </v>
      </c>
      <c r="C7377" s="68"/>
      <c r="D7377" s="68">
        <v>46487.0</v>
      </c>
      <c r="E7377" s="66">
        <v>5.0</v>
      </c>
      <c r="F7377" s="66" t="str">
        <f>IFERROR(__xludf.DUMMYFUNCTION("GOOGLETRANSLATE(A7377,""en"",""pt"")"),"#VALUE!")</f>
        <v>#VALUE!</v>
      </c>
      <c r="G7377" s="69"/>
    </row>
    <row r="7378" ht="22.5" customHeight="1">
      <c r="A7378" s="66"/>
      <c r="B7378" s="67" t="str">
        <f t="shared" si="16"/>
        <v>M: </v>
      </c>
      <c r="C7378" s="68"/>
      <c r="D7378" s="68">
        <v>46487.0</v>
      </c>
      <c r="E7378" s="66">
        <v>6.0</v>
      </c>
      <c r="F7378" s="66" t="str">
        <f>IFERROR(__xludf.DUMMYFUNCTION("GOOGLETRANSLATE(A7378,""en"",""pt"")"),"#VALUE!")</f>
        <v>#VALUE!</v>
      </c>
      <c r="G7378" s="69"/>
    </row>
    <row r="7379" ht="22.5" customHeight="1">
      <c r="A7379" s="66"/>
      <c r="B7379" s="67" t="str">
        <f t="shared" si="16"/>
        <v>M: </v>
      </c>
      <c r="C7379" s="68"/>
      <c r="D7379" s="68">
        <v>46487.0</v>
      </c>
      <c r="E7379" s="66">
        <v>7.0</v>
      </c>
      <c r="F7379" s="66" t="str">
        <f>IFERROR(__xludf.DUMMYFUNCTION("GOOGLETRANSLATE(A7379,""en"",""pt"")"),"#VALUE!")</f>
        <v>#VALUE!</v>
      </c>
      <c r="G7379" s="69"/>
    </row>
    <row r="7380" ht="22.5" customHeight="1">
      <c r="A7380" s="66"/>
      <c r="B7380" s="67" t="str">
        <f t="shared" si="16"/>
        <v>M: </v>
      </c>
      <c r="C7380" s="68"/>
      <c r="D7380" s="68">
        <v>46487.0</v>
      </c>
      <c r="E7380" s="66">
        <v>8.0</v>
      </c>
      <c r="F7380" s="66" t="str">
        <f>IFERROR(__xludf.DUMMYFUNCTION("GOOGLETRANSLATE(A7380,""en"",""pt"")"),"#VALUE!")</f>
        <v>#VALUE!</v>
      </c>
      <c r="G7380" s="69"/>
    </row>
    <row r="7381" ht="22.5" customHeight="1">
      <c r="A7381" s="66"/>
      <c r="B7381" s="67" t="str">
        <f t="shared" si="16"/>
        <v>M: </v>
      </c>
      <c r="C7381" s="68"/>
      <c r="D7381" s="68">
        <v>46487.0</v>
      </c>
      <c r="E7381" s="66">
        <v>9.0</v>
      </c>
      <c r="F7381" s="66" t="str">
        <f>IFERROR(__xludf.DUMMYFUNCTION("GOOGLETRANSLATE(A7381,""en"",""pt"")"),"#VALUE!")</f>
        <v>#VALUE!</v>
      </c>
      <c r="G7381" s="69"/>
    </row>
    <row r="7382" ht="22.5" customHeight="1">
      <c r="A7382" s="66"/>
      <c r="B7382" s="67" t="str">
        <f t="shared" si="16"/>
        <v>M: </v>
      </c>
      <c r="C7382" s="68"/>
      <c r="D7382" s="68">
        <v>46488.0</v>
      </c>
      <c r="E7382" s="66">
        <v>10.0</v>
      </c>
      <c r="F7382" s="66" t="str">
        <f>IFERROR(__xludf.DUMMYFUNCTION("GOOGLETRANSLATE(A7382,""en"",""pt"")"),"#VALUE!")</f>
        <v>#VALUE!</v>
      </c>
      <c r="G7382" s="69"/>
    </row>
    <row r="7383" ht="22.5" customHeight="1">
      <c r="A7383" s="66"/>
      <c r="B7383" s="67" t="str">
        <f t="shared" si="16"/>
        <v>M: </v>
      </c>
      <c r="C7383" s="68"/>
      <c r="D7383" s="68">
        <v>46488.0</v>
      </c>
      <c r="E7383" s="66">
        <v>1.0</v>
      </c>
      <c r="F7383" s="66" t="str">
        <f>IFERROR(__xludf.DUMMYFUNCTION("GOOGLETRANSLATE(A7383,""en"",""pt"")"),"#VALUE!")</f>
        <v>#VALUE!</v>
      </c>
      <c r="G7383" s="69"/>
    </row>
    <row r="7384" ht="22.5" customHeight="1">
      <c r="A7384" s="66"/>
      <c r="B7384" s="67" t="str">
        <f t="shared" si="16"/>
        <v>M: </v>
      </c>
      <c r="C7384" s="68"/>
      <c r="D7384" s="68">
        <v>46488.0</v>
      </c>
      <c r="E7384" s="66">
        <v>2.0</v>
      </c>
      <c r="F7384" s="66" t="str">
        <f>IFERROR(__xludf.DUMMYFUNCTION("GOOGLETRANSLATE(A7384,""en"",""pt"")"),"#VALUE!")</f>
        <v>#VALUE!</v>
      </c>
      <c r="G7384" s="69"/>
    </row>
    <row r="7385" ht="22.5" customHeight="1">
      <c r="A7385" s="66"/>
      <c r="B7385" s="67" t="str">
        <f t="shared" si="16"/>
        <v>M: </v>
      </c>
      <c r="C7385" s="68"/>
      <c r="D7385" s="68">
        <v>46488.0</v>
      </c>
      <c r="E7385" s="66">
        <v>3.0</v>
      </c>
      <c r="F7385" s="66" t="str">
        <f>IFERROR(__xludf.DUMMYFUNCTION("GOOGLETRANSLATE(A7385,""en"",""pt"")"),"#VALUE!")</f>
        <v>#VALUE!</v>
      </c>
      <c r="G7385" s="69"/>
    </row>
    <row r="7386" ht="22.5" customHeight="1">
      <c r="A7386" s="66"/>
      <c r="B7386" s="67" t="str">
        <f t="shared" si="16"/>
        <v>M: </v>
      </c>
      <c r="C7386" s="68"/>
      <c r="D7386" s="68">
        <v>46488.0</v>
      </c>
      <c r="E7386" s="66">
        <v>4.0</v>
      </c>
      <c r="F7386" s="66" t="str">
        <f>IFERROR(__xludf.DUMMYFUNCTION("GOOGLETRANSLATE(A7386,""en"",""pt"")"),"#VALUE!")</f>
        <v>#VALUE!</v>
      </c>
      <c r="G7386" s="69"/>
    </row>
    <row r="7387" ht="22.5" customHeight="1">
      <c r="A7387" s="66"/>
      <c r="B7387" s="67" t="str">
        <f t="shared" si="16"/>
        <v>M: </v>
      </c>
      <c r="C7387" s="68"/>
      <c r="D7387" s="68">
        <v>46488.0</v>
      </c>
      <c r="E7387" s="66">
        <v>5.0</v>
      </c>
      <c r="F7387" s="66" t="str">
        <f>IFERROR(__xludf.DUMMYFUNCTION("GOOGLETRANSLATE(A7387,""en"",""pt"")"),"#VALUE!")</f>
        <v>#VALUE!</v>
      </c>
      <c r="G7387" s="69"/>
    </row>
    <row r="7388" ht="22.5" customHeight="1">
      <c r="A7388" s="66"/>
      <c r="B7388" s="67" t="str">
        <f t="shared" si="16"/>
        <v>M: </v>
      </c>
      <c r="C7388" s="68"/>
      <c r="D7388" s="68">
        <v>46488.0</v>
      </c>
      <c r="E7388" s="66">
        <v>6.0</v>
      </c>
      <c r="F7388" s="66" t="str">
        <f>IFERROR(__xludf.DUMMYFUNCTION("GOOGLETRANSLATE(A7388,""en"",""pt"")"),"#VALUE!")</f>
        <v>#VALUE!</v>
      </c>
      <c r="G7388" s="69"/>
    </row>
    <row r="7389" ht="22.5" customHeight="1">
      <c r="A7389" s="66"/>
      <c r="B7389" s="67" t="str">
        <f t="shared" si="16"/>
        <v>M: </v>
      </c>
      <c r="C7389" s="68"/>
      <c r="D7389" s="68">
        <v>46488.0</v>
      </c>
      <c r="E7389" s="66">
        <v>7.0</v>
      </c>
      <c r="F7389" s="66" t="str">
        <f>IFERROR(__xludf.DUMMYFUNCTION("GOOGLETRANSLATE(A7389,""en"",""pt"")"),"#VALUE!")</f>
        <v>#VALUE!</v>
      </c>
      <c r="G7389" s="69"/>
    </row>
    <row r="7390" ht="22.5" customHeight="1">
      <c r="A7390" s="66"/>
      <c r="B7390" s="67" t="str">
        <f t="shared" si="16"/>
        <v>M: </v>
      </c>
      <c r="C7390" s="68"/>
      <c r="D7390" s="68">
        <v>46488.0</v>
      </c>
      <c r="E7390" s="66">
        <v>8.0</v>
      </c>
      <c r="F7390" s="66" t="str">
        <f>IFERROR(__xludf.DUMMYFUNCTION("GOOGLETRANSLATE(A7390,""en"",""pt"")"),"#VALUE!")</f>
        <v>#VALUE!</v>
      </c>
      <c r="G7390" s="69"/>
    </row>
    <row r="7391" ht="22.5" customHeight="1">
      <c r="A7391" s="66"/>
      <c r="B7391" s="67" t="str">
        <f t="shared" si="16"/>
        <v>M: </v>
      </c>
      <c r="C7391" s="68"/>
      <c r="D7391" s="68">
        <v>46488.0</v>
      </c>
      <c r="E7391" s="66">
        <v>9.0</v>
      </c>
      <c r="F7391" s="66" t="str">
        <f>IFERROR(__xludf.DUMMYFUNCTION("GOOGLETRANSLATE(A7391,""en"",""pt"")"),"#VALUE!")</f>
        <v>#VALUE!</v>
      </c>
      <c r="G7391" s="69"/>
    </row>
    <row r="7392" ht="22.5" customHeight="1">
      <c r="A7392" s="66"/>
      <c r="B7392" s="67" t="str">
        <f t="shared" si="16"/>
        <v>M: </v>
      </c>
      <c r="C7392" s="68"/>
      <c r="D7392" s="68">
        <v>46489.0</v>
      </c>
      <c r="E7392" s="66">
        <v>10.0</v>
      </c>
      <c r="F7392" s="66" t="str">
        <f>IFERROR(__xludf.DUMMYFUNCTION("GOOGLETRANSLATE(A7392,""en"",""pt"")"),"#VALUE!")</f>
        <v>#VALUE!</v>
      </c>
      <c r="G7392" s="69"/>
    </row>
    <row r="7393" ht="22.5" customHeight="1">
      <c r="A7393" s="66"/>
      <c r="B7393" s="67" t="str">
        <f t="shared" si="16"/>
        <v>M: </v>
      </c>
      <c r="C7393" s="68"/>
      <c r="D7393" s="68">
        <v>46489.0</v>
      </c>
      <c r="E7393" s="66">
        <v>1.0</v>
      </c>
      <c r="F7393" s="66" t="str">
        <f>IFERROR(__xludf.DUMMYFUNCTION("GOOGLETRANSLATE(A7393,""en"",""pt"")"),"#VALUE!")</f>
        <v>#VALUE!</v>
      </c>
      <c r="G7393" s="69"/>
    </row>
    <row r="7394" ht="22.5" customHeight="1">
      <c r="A7394" s="66"/>
      <c r="B7394" s="67" t="str">
        <f t="shared" si="16"/>
        <v>M: </v>
      </c>
      <c r="C7394" s="68"/>
      <c r="D7394" s="68">
        <v>46489.0</v>
      </c>
      <c r="E7394" s="66">
        <v>2.0</v>
      </c>
      <c r="F7394" s="66" t="str">
        <f>IFERROR(__xludf.DUMMYFUNCTION("GOOGLETRANSLATE(A7394,""en"",""pt"")"),"#VALUE!")</f>
        <v>#VALUE!</v>
      </c>
      <c r="G7394" s="69"/>
    </row>
    <row r="7395" ht="22.5" customHeight="1">
      <c r="A7395" s="66"/>
      <c r="B7395" s="67" t="str">
        <f t="shared" si="16"/>
        <v>M: </v>
      </c>
      <c r="C7395" s="68"/>
      <c r="D7395" s="68">
        <v>46489.0</v>
      </c>
      <c r="E7395" s="66">
        <v>3.0</v>
      </c>
      <c r="F7395" s="66" t="str">
        <f>IFERROR(__xludf.DUMMYFUNCTION("GOOGLETRANSLATE(A7395,""en"",""pt"")"),"#VALUE!")</f>
        <v>#VALUE!</v>
      </c>
      <c r="G7395" s="69"/>
    </row>
    <row r="7396" ht="22.5" customHeight="1">
      <c r="A7396" s="66"/>
      <c r="B7396" s="67" t="str">
        <f t="shared" si="16"/>
        <v>M: </v>
      </c>
      <c r="C7396" s="68"/>
      <c r="D7396" s="68">
        <v>46489.0</v>
      </c>
      <c r="E7396" s="66">
        <v>4.0</v>
      </c>
      <c r="F7396" s="66" t="str">
        <f>IFERROR(__xludf.DUMMYFUNCTION("GOOGLETRANSLATE(A7396,""en"",""pt"")"),"#VALUE!")</f>
        <v>#VALUE!</v>
      </c>
      <c r="G7396" s="69"/>
    </row>
    <row r="7397" ht="22.5" customHeight="1">
      <c r="A7397" s="66"/>
      <c r="B7397" s="67" t="str">
        <f t="shared" si="16"/>
        <v>M: </v>
      </c>
      <c r="C7397" s="68"/>
      <c r="D7397" s="68">
        <v>46489.0</v>
      </c>
      <c r="E7397" s="66">
        <v>5.0</v>
      </c>
      <c r="F7397" s="66" t="str">
        <f>IFERROR(__xludf.DUMMYFUNCTION("GOOGLETRANSLATE(A7397,""en"",""pt"")"),"#VALUE!")</f>
        <v>#VALUE!</v>
      </c>
      <c r="G7397" s="69"/>
    </row>
    <row r="7398" ht="22.5" customHeight="1">
      <c r="A7398" s="66"/>
      <c r="B7398" s="67" t="str">
        <f t="shared" si="16"/>
        <v>M: </v>
      </c>
      <c r="C7398" s="68"/>
      <c r="D7398" s="68">
        <v>46489.0</v>
      </c>
      <c r="E7398" s="66">
        <v>6.0</v>
      </c>
      <c r="F7398" s="66" t="str">
        <f>IFERROR(__xludf.DUMMYFUNCTION("GOOGLETRANSLATE(A7398,""en"",""pt"")"),"#VALUE!")</f>
        <v>#VALUE!</v>
      </c>
      <c r="G7398" s="69"/>
    </row>
    <row r="7399" ht="22.5" customHeight="1">
      <c r="A7399" s="66"/>
      <c r="B7399" s="67" t="str">
        <f t="shared" si="16"/>
        <v>M: </v>
      </c>
      <c r="C7399" s="68"/>
      <c r="D7399" s="68">
        <v>46489.0</v>
      </c>
      <c r="E7399" s="66">
        <v>7.0</v>
      </c>
      <c r="F7399" s="66" t="str">
        <f>IFERROR(__xludf.DUMMYFUNCTION("GOOGLETRANSLATE(A7399,""en"",""pt"")"),"#VALUE!")</f>
        <v>#VALUE!</v>
      </c>
      <c r="G7399" s="69"/>
    </row>
    <row r="7400" ht="22.5" customHeight="1">
      <c r="A7400" s="66"/>
      <c r="B7400" s="67" t="str">
        <f t="shared" si="16"/>
        <v>M: </v>
      </c>
      <c r="C7400" s="68"/>
      <c r="D7400" s="68">
        <v>46489.0</v>
      </c>
      <c r="E7400" s="66">
        <v>8.0</v>
      </c>
      <c r="F7400" s="66" t="str">
        <f>IFERROR(__xludf.DUMMYFUNCTION("GOOGLETRANSLATE(A7400,""en"",""pt"")"),"#VALUE!")</f>
        <v>#VALUE!</v>
      </c>
      <c r="G7400" s="69"/>
    </row>
    <row r="7401" ht="22.5" customHeight="1">
      <c r="A7401" s="66"/>
      <c r="B7401" s="67" t="str">
        <f t="shared" si="16"/>
        <v>M: </v>
      </c>
      <c r="C7401" s="68"/>
      <c r="D7401" s="68">
        <v>46489.0</v>
      </c>
      <c r="E7401" s="66">
        <v>9.0</v>
      </c>
      <c r="F7401" s="66" t="str">
        <f>IFERROR(__xludf.DUMMYFUNCTION("GOOGLETRANSLATE(A7401,""en"",""pt"")"),"#VALUE!")</f>
        <v>#VALUE!</v>
      </c>
      <c r="G7401" s="69"/>
    </row>
    <row r="7402" ht="22.5" customHeight="1">
      <c r="A7402" s="66"/>
      <c r="B7402" s="67" t="str">
        <f t="shared" si="16"/>
        <v>M: </v>
      </c>
      <c r="C7402" s="68"/>
      <c r="D7402" s="68">
        <v>46490.0</v>
      </c>
      <c r="E7402" s="66">
        <v>10.0</v>
      </c>
      <c r="F7402" s="66" t="str">
        <f>IFERROR(__xludf.DUMMYFUNCTION("GOOGLETRANSLATE(A7402,""en"",""pt"")"),"#VALUE!")</f>
        <v>#VALUE!</v>
      </c>
      <c r="G7402" s="69"/>
    </row>
    <row r="7403" ht="22.5" customHeight="1">
      <c r="A7403" s="66"/>
      <c r="B7403" s="67" t="str">
        <f t="shared" si="16"/>
        <v>M: </v>
      </c>
      <c r="C7403" s="68"/>
      <c r="D7403" s="68">
        <v>46490.0</v>
      </c>
      <c r="E7403" s="66">
        <v>1.0</v>
      </c>
      <c r="F7403" s="66" t="str">
        <f>IFERROR(__xludf.DUMMYFUNCTION("GOOGLETRANSLATE(A7403,""en"",""pt"")"),"#VALUE!")</f>
        <v>#VALUE!</v>
      </c>
      <c r="G7403" s="69"/>
    </row>
    <row r="7404" ht="22.5" customHeight="1">
      <c r="A7404" s="66"/>
      <c r="B7404" s="67" t="str">
        <f t="shared" si="16"/>
        <v>M: </v>
      </c>
      <c r="C7404" s="68"/>
      <c r="D7404" s="68">
        <v>46490.0</v>
      </c>
      <c r="E7404" s="66">
        <v>2.0</v>
      </c>
      <c r="F7404" s="66" t="str">
        <f>IFERROR(__xludf.DUMMYFUNCTION("GOOGLETRANSLATE(A7404,""en"",""pt"")"),"#VALUE!")</f>
        <v>#VALUE!</v>
      </c>
      <c r="G7404" s="69"/>
    </row>
    <row r="7405" ht="22.5" customHeight="1">
      <c r="A7405" s="66"/>
      <c r="B7405" s="67" t="str">
        <f t="shared" si="16"/>
        <v>M: </v>
      </c>
      <c r="C7405" s="68"/>
      <c r="D7405" s="68">
        <v>46490.0</v>
      </c>
      <c r="E7405" s="66">
        <v>3.0</v>
      </c>
      <c r="F7405" s="66" t="str">
        <f>IFERROR(__xludf.DUMMYFUNCTION("GOOGLETRANSLATE(A7405,""en"",""pt"")"),"#VALUE!")</f>
        <v>#VALUE!</v>
      </c>
      <c r="G7405" s="69"/>
    </row>
    <row r="7406" ht="22.5" customHeight="1">
      <c r="A7406" s="66"/>
      <c r="B7406" s="67" t="str">
        <f t="shared" si="16"/>
        <v>M: </v>
      </c>
      <c r="C7406" s="68"/>
      <c r="D7406" s="68">
        <v>46490.0</v>
      </c>
      <c r="E7406" s="66">
        <v>4.0</v>
      </c>
      <c r="F7406" s="66" t="str">
        <f>IFERROR(__xludf.DUMMYFUNCTION("GOOGLETRANSLATE(A7406,""en"",""pt"")"),"#VALUE!")</f>
        <v>#VALUE!</v>
      </c>
      <c r="G7406" s="69"/>
    </row>
    <row r="7407" ht="22.5" customHeight="1">
      <c r="A7407" s="66"/>
      <c r="B7407" s="67" t="str">
        <f t="shared" si="16"/>
        <v>M: </v>
      </c>
      <c r="C7407" s="68"/>
      <c r="D7407" s="68">
        <v>46490.0</v>
      </c>
      <c r="E7407" s="66">
        <v>5.0</v>
      </c>
      <c r="F7407" s="66" t="str">
        <f>IFERROR(__xludf.DUMMYFUNCTION("GOOGLETRANSLATE(A7407,""en"",""pt"")"),"#VALUE!")</f>
        <v>#VALUE!</v>
      </c>
      <c r="G7407" s="69"/>
    </row>
    <row r="7408" ht="22.5" customHeight="1">
      <c r="A7408" s="66"/>
      <c r="B7408" s="67" t="str">
        <f t="shared" si="16"/>
        <v>M: </v>
      </c>
      <c r="C7408" s="68"/>
      <c r="D7408" s="68">
        <v>46490.0</v>
      </c>
      <c r="E7408" s="66">
        <v>6.0</v>
      </c>
      <c r="F7408" s="66" t="str">
        <f>IFERROR(__xludf.DUMMYFUNCTION("GOOGLETRANSLATE(A7408,""en"",""pt"")"),"#VALUE!")</f>
        <v>#VALUE!</v>
      </c>
      <c r="G7408" s="69"/>
    </row>
    <row r="7409" ht="22.5" customHeight="1">
      <c r="A7409" s="66"/>
      <c r="B7409" s="67" t="str">
        <f t="shared" si="16"/>
        <v>M: </v>
      </c>
      <c r="C7409" s="68"/>
      <c r="D7409" s="68">
        <v>46490.0</v>
      </c>
      <c r="E7409" s="66">
        <v>7.0</v>
      </c>
      <c r="F7409" s="66" t="str">
        <f>IFERROR(__xludf.DUMMYFUNCTION("GOOGLETRANSLATE(A7409,""en"",""pt"")"),"#VALUE!")</f>
        <v>#VALUE!</v>
      </c>
      <c r="G7409" s="69"/>
    </row>
    <row r="7410" ht="22.5" customHeight="1">
      <c r="A7410" s="66"/>
      <c r="B7410" s="67" t="str">
        <f t="shared" si="16"/>
        <v>M: </v>
      </c>
      <c r="C7410" s="68"/>
      <c r="D7410" s="68">
        <v>46490.0</v>
      </c>
      <c r="E7410" s="66">
        <v>8.0</v>
      </c>
      <c r="F7410" s="66" t="str">
        <f>IFERROR(__xludf.DUMMYFUNCTION("GOOGLETRANSLATE(A7410,""en"",""pt"")"),"#VALUE!")</f>
        <v>#VALUE!</v>
      </c>
      <c r="G7410" s="69"/>
    </row>
    <row r="7411" ht="22.5" customHeight="1">
      <c r="A7411" s="66"/>
      <c r="B7411" s="67" t="str">
        <f t="shared" si="16"/>
        <v>M: </v>
      </c>
      <c r="C7411" s="68"/>
      <c r="D7411" s="68">
        <v>46490.0</v>
      </c>
      <c r="E7411" s="66">
        <v>9.0</v>
      </c>
      <c r="F7411" s="66" t="str">
        <f>IFERROR(__xludf.DUMMYFUNCTION("GOOGLETRANSLATE(A7411,""en"",""pt"")"),"#VALUE!")</f>
        <v>#VALUE!</v>
      </c>
      <c r="G7411" s="69"/>
    </row>
    <row r="7412" ht="22.5" customHeight="1">
      <c r="A7412" s="66"/>
      <c r="B7412" s="67" t="str">
        <f t="shared" si="16"/>
        <v>M: </v>
      </c>
      <c r="C7412" s="68"/>
      <c r="D7412" s="68">
        <v>46491.0</v>
      </c>
      <c r="E7412" s="66">
        <v>10.0</v>
      </c>
      <c r="F7412" s="66" t="str">
        <f>IFERROR(__xludf.DUMMYFUNCTION("GOOGLETRANSLATE(A7412,""en"",""pt"")"),"#VALUE!")</f>
        <v>#VALUE!</v>
      </c>
      <c r="G7412" s="69"/>
    </row>
    <row r="7413" ht="22.5" customHeight="1">
      <c r="A7413" s="66"/>
      <c r="B7413" s="67" t="str">
        <f t="shared" si="16"/>
        <v>M: </v>
      </c>
      <c r="C7413" s="68"/>
      <c r="D7413" s="68">
        <v>46491.0</v>
      </c>
      <c r="E7413" s="66">
        <v>1.0</v>
      </c>
      <c r="F7413" s="66" t="str">
        <f>IFERROR(__xludf.DUMMYFUNCTION("GOOGLETRANSLATE(A7413,""en"",""pt"")"),"#VALUE!")</f>
        <v>#VALUE!</v>
      </c>
      <c r="G7413" s="69"/>
    </row>
    <row r="7414" ht="22.5" customHeight="1">
      <c r="A7414" s="66"/>
      <c r="B7414" s="67" t="str">
        <f t="shared" si="16"/>
        <v>M: </v>
      </c>
      <c r="C7414" s="68"/>
      <c r="D7414" s="68">
        <v>46491.0</v>
      </c>
      <c r="E7414" s="66">
        <v>2.0</v>
      </c>
      <c r="F7414" s="66" t="str">
        <f>IFERROR(__xludf.DUMMYFUNCTION("GOOGLETRANSLATE(A7414,""en"",""pt"")"),"#VALUE!")</f>
        <v>#VALUE!</v>
      </c>
      <c r="G7414" s="69"/>
    </row>
    <row r="7415" ht="22.5" customHeight="1">
      <c r="A7415" s="66"/>
      <c r="B7415" s="67" t="str">
        <f t="shared" si="16"/>
        <v>M: </v>
      </c>
      <c r="C7415" s="68"/>
      <c r="D7415" s="68">
        <v>46491.0</v>
      </c>
      <c r="E7415" s="66">
        <v>3.0</v>
      </c>
      <c r="F7415" s="66" t="str">
        <f>IFERROR(__xludf.DUMMYFUNCTION("GOOGLETRANSLATE(A7415,""en"",""pt"")"),"#VALUE!")</f>
        <v>#VALUE!</v>
      </c>
      <c r="G7415" s="69"/>
    </row>
    <row r="7416" ht="22.5" customHeight="1">
      <c r="A7416" s="66"/>
      <c r="B7416" s="67" t="str">
        <f t="shared" si="16"/>
        <v>M: </v>
      </c>
      <c r="C7416" s="68"/>
      <c r="D7416" s="68">
        <v>46491.0</v>
      </c>
      <c r="E7416" s="66">
        <v>4.0</v>
      </c>
      <c r="F7416" s="66" t="str">
        <f>IFERROR(__xludf.DUMMYFUNCTION("GOOGLETRANSLATE(A7416,""en"",""pt"")"),"#VALUE!")</f>
        <v>#VALUE!</v>
      </c>
      <c r="G7416" s="69"/>
    </row>
    <row r="7417" ht="22.5" customHeight="1">
      <c r="A7417" s="66"/>
      <c r="B7417" s="67" t="str">
        <f t="shared" si="16"/>
        <v>M: </v>
      </c>
      <c r="C7417" s="68"/>
      <c r="D7417" s="68">
        <v>46491.0</v>
      </c>
      <c r="E7417" s="66">
        <v>5.0</v>
      </c>
      <c r="F7417" s="66" t="str">
        <f>IFERROR(__xludf.DUMMYFUNCTION("GOOGLETRANSLATE(A7417,""en"",""pt"")"),"#VALUE!")</f>
        <v>#VALUE!</v>
      </c>
      <c r="G7417" s="69"/>
    </row>
    <row r="7418" ht="22.5" customHeight="1">
      <c r="A7418" s="66"/>
      <c r="B7418" s="67" t="str">
        <f t="shared" si="16"/>
        <v>M: </v>
      </c>
      <c r="C7418" s="68"/>
      <c r="D7418" s="68">
        <v>46491.0</v>
      </c>
      <c r="E7418" s="66">
        <v>6.0</v>
      </c>
      <c r="F7418" s="66" t="str">
        <f>IFERROR(__xludf.DUMMYFUNCTION("GOOGLETRANSLATE(A7418,""en"",""pt"")"),"#VALUE!")</f>
        <v>#VALUE!</v>
      </c>
      <c r="G7418" s="69"/>
    </row>
    <row r="7419" ht="22.5" customHeight="1">
      <c r="A7419" s="66"/>
      <c r="B7419" s="67" t="str">
        <f t="shared" si="16"/>
        <v>M: </v>
      </c>
      <c r="C7419" s="68"/>
      <c r="D7419" s="68">
        <v>46491.0</v>
      </c>
      <c r="E7419" s="66">
        <v>7.0</v>
      </c>
      <c r="F7419" s="66" t="str">
        <f>IFERROR(__xludf.DUMMYFUNCTION("GOOGLETRANSLATE(A7419,""en"",""pt"")"),"#VALUE!")</f>
        <v>#VALUE!</v>
      </c>
      <c r="G7419" s="69"/>
    </row>
    <row r="7420" ht="22.5" customHeight="1">
      <c r="A7420" s="66"/>
      <c r="B7420" s="67" t="str">
        <f t="shared" si="16"/>
        <v>M: </v>
      </c>
      <c r="C7420" s="68"/>
      <c r="D7420" s="68">
        <v>46491.0</v>
      </c>
      <c r="E7420" s="66">
        <v>8.0</v>
      </c>
      <c r="F7420" s="66" t="str">
        <f>IFERROR(__xludf.DUMMYFUNCTION("GOOGLETRANSLATE(A7420,""en"",""pt"")"),"#VALUE!")</f>
        <v>#VALUE!</v>
      </c>
      <c r="G7420" s="69"/>
    </row>
    <row r="7421" ht="22.5" customHeight="1">
      <c r="A7421" s="66"/>
      <c r="B7421" s="67" t="str">
        <f t="shared" si="16"/>
        <v>M: </v>
      </c>
      <c r="C7421" s="68"/>
      <c r="D7421" s="68">
        <v>46491.0</v>
      </c>
      <c r="E7421" s="66">
        <v>9.0</v>
      </c>
      <c r="F7421" s="66" t="str">
        <f>IFERROR(__xludf.DUMMYFUNCTION("GOOGLETRANSLATE(A7421,""en"",""pt"")"),"#VALUE!")</f>
        <v>#VALUE!</v>
      </c>
      <c r="G7421" s="69"/>
    </row>
    <row r="7422" ht="22.5" customHeight="1">
      <c r="A7422" s="66"/>
      <c r="B7422" s="67" t="str">
        <f t="shared" si="16"/>
        <v>M: </v>
      </c>
      <c r="C7422" s="68"/>
      <c r="D7422" s="68">
        <v>46492.0</v>
      </c>
      <c r="E7422" s="66">
        <v>10.0</v>
      </c>
      <c r="F7422" s="66" t="str">
        <f>IFERROR(__xludf.DUMMYFUNCTION("GOOGLETRANSLATE(A7422,""en"",""pt"")"),"#VALUE!")</f>
        <v>#VALUE!</v>
      </c>
      <c r="G7422" s="69"/>
    </row>
    <row r="7423" ht="22.5" customHeight="1">
      <c r="A7423" s="66"/>
      <c r="B7423" s="67" t="str">
        <f t="shared" si="16"/>
        <v>M: </v>
      </c>
      <c r="C7423" s="68"/>
      <c r="D7423" s="68">
        <v>46492.0</v>
      </c>
      <c r="E7423" s="66">
        <v>1.0</v>
      </c>
      <c r="F7423" s="66" t="str">
        <f>IFERROR(__xludf.DUMMYFUNCTION("GOOGLETRANSLATE(A7423,""en"",""pt"")"),"#VALUE!")</f>
        <v>#VALUE!</v>
      </c>
      <c r="G7423" s="69"/>
    </row>
    <row r="7424" ht="22.5" customHeight="1">
      <c r="A7424" s="66"/>
      <c r="B7424" s="67" t="str">
        <f t="shared" si="16"/>
        <v>M: </v>
      </c>
      <c r="C7424" s="68"/>
      <c r="D7424" s="68">
        <v>46492.0</v>
      </c>
      <c r="E7424" s="66">
        <v>2.0</v>
      </c>
      <c r="F7424" s="66" t="str">
        <f>IFERROR(__xludf.DUMMYFUNCTION("GOOGLETRANSLATE(A7424,""en"",""pt"")"),"#VALUE!")</f>
        <v>#VALUE!</v>
      </c>
      <c r="G7424" s="69"/>
    </row>
    <row r="7425" ht="22.5" customHeight="1">
      <c r="A7425" s="66"/>
      <c r="B7425" s="67" t="str">
        <f t="shared" si="16"/>
        <v>M: </v>
      </c>
      <c r="C7425" s="68"/>
      <c r="D7425" s="68">
        <v>46492.0</v>
      </c>
      <c r="E7425" s="66">
        <v>3.0</v>
      </c>
      <c r="F7425" s="66" t="str">
        <f>IFERROR(__xludf.DUMMYFUNCTION("GOOGLETRANSLATE(A7425,""en"",""pt"")"),"#VALUE!")</f>
        <v>#VALUE!</v>
      </c>
      <c r="G7425" s="69"/>
    </row>
    <row r="7426" ht="22.5" customHeight="1">
      <c r="A7426" s="66"/>
      <c r="B7426" s="67" t="str">
        <f t="shared" si="16"/>
        <v>M: </v>
      </c>
      <c r="C7426" s="68"/>
      <c r="D7426" s="68">
        <v>46492.0</v>
      </c>
      <c r="E7426" s="66">
        <v>4.0</v>
      </c>
      <c r="F7426" s="66" t="str">
        <f>IFERROR(__xludf.DUMMYFUNCTION("GOOGLETRANSLATE(A7426,""en"",""pt"")"),"#VALUE!")</f>
        <v>#VALUE!</v>
      </c>
      <c r="G7426" s="69"/>
    </row>
    <row r="7427" ht="22.5" customHeight="1">
      <c r="A7427" s="66"/>
      <c r="B7427" s="67" t="str">
        <f t="shared" si="16"/>
        <v>M: </v>
      </c>
      <c r="C7427" s="68"/>
      <c r="D7427" s="68">
        <v>46492.0</v>
      </c>
      <c r="E7427" s="66">
        <v>5.0</v>
      </c>
      <c r="F7427" s="66" t="str">
        <f>IFERROR(__xludf.DUMMYFUNCTION("GOOGLETRANSLATE(A7427,""en"",""pt"")"),"#VALUE!")</f>
        <v>#VALUE!</v>
      </c>
      <c r="G7427" s="69"/>
    </row>
    <row r="7428" ht="22.5" customHeight="1">
      <c r="A7428" s="66"/>
      <c r="B7428" s="67" t="str">
        <f t="shared" si="16"/>
        <v>M: </v>
      </c>
      <c r="C7428" s="68"/>
      <c r="D7428" s="68">
        <v>46492.0</v>
      </c>
      <c r="E7428" s="66">
        <v>6.0</v>
      </c>
      <c r="F7428" s="66" t="str">
        <f>IFERROR(__xludf.DUMMYFUNCTION("GOOGLETRANSLATE(A7428,""en"",""pt"")"),"#VALUE!")</f>
        <v>#VALUE!</v>
      </c>
      <c r="G7428" s="69"/>
    </row>
    <row r="7429" ht="22.5" customHeight="1">
      <c r="A7429" s="66"/>
      <c r="B7429" s="67" t="str">
        <f t="shared" si="16"/>
        <v>M: </v>
      </c>
      <c r="C7429" s="68"/>
      <c r="D7429" s="68">
        <v>46492.0</v>
      </c>
      <c r="E7429" s="66">
        <v>7.0</v>
      </c>
      <c r="F7429" s="66" t="str">
        <f>IFERROR(__xludf.DUMMYFUNCTION("GOOGLETRANSLATE(A7429,""en"",""pt"")"),"#VALUE!")</f>
        <v>#VALUE!</v>
      </c>
      <c r="G7429" s="69"/>
    </row>
    <row r="7430" ht="22.5" customHeight="1">
      <c r="A7430" s="66"/>
      <c r="B7430" s="67" t="str">
        <f t="shared" si="16"/>
        <v>M: </v>
      </c>
      <c r="C7430" s="68"/>
      <c r="D7430" s="68">
        <v>46492.0</v>
      </c>
      <c r="E7430" s="66">
        <v>8.0</v>
      </c>
      <c r="F7430" s="66" t="str">
        <f>IFERROR(__xludf.DUMMYFUNCTION("GOOGLETRANSLATE(A7430,""en"",""pt"")"),"#VALUE!")</f>
        <v>#VALUE!</v>
      </c>
      <c r="G7430" s="69"/>
    </row>
    <row r="7431" ht="22.5" customHeight="1">
      <c r="A7431" s="66"/>
      <c r="B7431" s="67" t="str">
        <f t="shared" si="16"/>
        <v>M: </v>
      </c>
      <c r="C7431" s="68"/>
      <c r="D7431" s="68">
        <v>46492.0</v>
      </c>
      <c r="E7431" s="66">
        <v>9.0</v>
      </c>
      <c r="F7431" s="66" t="str">
        <f>IFERROR(__xludf.DUMMYFUNCTION("GOOGLETRANSLATE(A7431,""en"",""pt"")"),"#VALUE!")</f>
        <v>#VALUE!</v>
      </c>
      <c r="G7431" s="69"/>
    </row>
    <row r="7432" ht="22.5" customHeight="1">
      <c r="A7432" s="66"/>
      <c r="B7432" s="67" t="str">
        <f t="shared" si="16"/>
        <v>M: </v>
      </c>
      <c r="C7432" s="68"/>
      <c r="D7432" s="68">
        <v>46493.0</v>
      </c>
      <c r="E7432" s="66">
        <v>10.0</v>
      </c>
      <c r="F7432" s="66" t="str">
        <f>IFERROR(__xludf.DUMMYFUNCTION("GOOGLETRANSLATE(A7432,""en"",""pt"")"),"#VALUE!")</f>
        <v>#VALUE!</v>
      </c>
      <c r="G7432" s="69"/>
    </row>
    <row r="7433" ht="22.5" customHeight="1">
      <c r="A7433" s="66"/>
      <c r="B7433" s="67" t="str">
        <f t="shared" si="16"/>
        <v>M: </v>
      </c>
      <c r="C7433" s="68"/>
      <c r="D7433" s="68">
        <v>46493.0</v>
      </c>
      <c r="E7433" s="66">
        <v>1.0</v>
      </c>
      <c r="F7433" s="66" t="str">
        <f>IFERROR(__xludf.DUMMYFUNCTION("GOOGLETRANSLATE(A7433,""en"",""pt"")"),"#VALUE!")</f>
        <v>#VALUE!</v>
      </c>
      <c r="G7433" s="69"/>
    </row>
    <row r="7434" ht="22.5" customHeight="1">
      <c r="A7434" s="66"/>
      <c r="B7434" s="67" t="str">
        <f t="shared" si="16"/>
        <v>M: </v>
      </c>
      <c r="C7434" s="68"/>
      <c r="D7434" s="68">
        <v>46493.0</v>
      </c>
      <c r="E7434" s="66">
        <v>2.0</v>
      </c>
      <c r="F7434" s="66" t="str">
        <f>IFERROR(__xludf.DUMMYFUNCTION("GOOGLETRANSLATE(A7434,""en"",""pt"")"),"#VALUE!")</f>
        <v>#VALUE!</v>
      </c>
      <c r="G7434" s="69"/>
    </row>
    <row r="7435" ht="22.5" customHeight="1">
      <c r="A7435" s="66"/>
      <c r="B7435" s="67" t="str">
        <f t="shared" si="16"/>
        <v>M: </v>
      </c>
      <c r="C7435" s="68"/>
      <c r="D7435" s="68">
        <v>46493.0</v>
      </c>
      <c r="E7435" s="66">
        <v>3.0</v>
      </c>
      <c r="F7435" s="66" t="str">
        <f>IFERROR(__xludf.DUMMYFUNCTION("GOOGLETRANSLATE(A7435,""en"",""pt"")"),"#VALUE!")</f>
        <v>#VALUE!</v>
      </c>
      <c r="G7435" s="69"/>
    </row>
    <row r="7436" ht="22.5" customHeight="1">
      <c r="A7436" s="66"/>
      <c r="B7436" s="67" t="str">
        <f t="shared" si="16"/>
        <v>M: </v>
      </c>
      <c r="C7436" s="68"/>
      <c r="D7436" s="68">
        <v>46493.0</v>
      </c>
      <c r="E7436" s="66">
        <v>4.0</v>
      </c>
      <c r="F7436" s="66" t="str">
        <f>IFERROR(__xludf.DUMMYFUNCTION("GOOGLETRANSLATE(A7436,""en"",""pt"")"),"#VALUE!")</f>
        <v>#VALUE!</v>
      </c>
      <c r="G7436" s="69"/>
    </row>
    <row r="7437" ht="22.5" customHeight="1">
      <c r="A7437" s="66"/>
      <c r="B7437" s="67" t="str">
        <f t="shared" si="16"/>
        <v>M: </v>
      </c>
      <c r="C7437" s="68"/>
      <c r="D7437" s="68">
        <v>46493.0</v>
      </c>
      <c r="E7437" s="66">
        <v>5.0</v>
      </c>
      <c r="F7437" s="66" t="str">
        <f>IFERROR(__xludf.DUMMYFUNCTION("GOOGLETRANSLATE(A7437,""en"",""pt"")"),"#VALUE!")</f>
        <v>#VALUE!</v>
      </c>
      <c r="G7437" s="69"/>
    </row>
    <row r="7438" ht="22.5" customHeight="1">
      <c r="A7438" s="66"/>
      <c r="B7438" s="67" t="str">
        <f t="shared" si="16"/>
        <v>M: </v>
      </c>
      <c r="C7438" s="68"/>
      <c r="D7438" s="68">
        <v>46493.0</v>
      </c>
      <c r="E7438" s="66">
        <v>6.0</v>
      </c>
      <c r="F7438" s="66" t="str">
        <f>IFERROR(__xludf.DUMMYFUNCTION("GOOGLETRANSLATE(A7438,""en"",""pt"")"),"#VALUE!")</f>
        <v>#VALUE!</v>
      </c>
      <c r="G7438" s="69"/>
    </row>
    <row r="7439" ht="22.5" customHeight="1">
      <c r="A7439" s="66"/>
      <c r="B7439" s="67" t="str">
        <f t="shared" si="16"/>
        <v>M: </v>
      </c>
      <c r="C7439" s="68"/>
      <c r="D7439" s="68">
        <v>46493.0</v>
      </c>
      <c r="E7439" s="66">
        <v>7.0</v>
      </c>
      <c r="F7439" s="66" t="str">
        <f>IFERROR(__xludf.DUMMYFUNCTION("GOOGLETRANSLATE(A7439,""en"",""pt"")"),"#VALUE!")</f>
        <v>#VALUE!</v>
      </c>
      <c r="G7439" s="69"/>
    </row>
    <row r="7440" ht="22.5" customHeight="1">
      <c r="A7440" s="66"/>
      <c r="B7440" s="67" t="str">
        <f t="shared" si="16"/>
        <v>M: </v>
      </c>
      <c r="C7440" s="68"/>
      <c r="D7440" s="68">
        <v>46493.0</v>
      </c>
      <c r="E7440" s="66">
        <v>8.0</v>
      </c>
      <c r="F7440" s="66" t="str">
        <f>IFERROR(__xludf.DUMMYFUNCTION("GOOGLETRANSLATE(A7440,""en"",""pt"")"),"#VALUE!")</f>
        <v>#VALUE!</v>
      </c>
      <c r="G7440" s="69"/>
    </row>
    <row r="7441" ht="22.5" customHeight="1">
      <c r="A7441" s="66"/>
      <c r="B7441" s="67" t="str">
        <f t="shared" si="16"/>
        <v>M: </v>
      </c>
      <c r="C7441" s="68"/>
      <c r="D7441" s="68">
        <v>46493.0</v>
      </c>
      <c r="E7441" s="66">
        <v>9.0</v>
      </c>
      <c r="F7441" s="66" t="str">
        <f>IFERROR(__xludf.DUMMYFUNCTION("GOOGLETRANSLATE(A7441,""en"",""pt"")"),"#VALUE!")</f>
        <v>#VALUE!</v>
      </c>
      <c r="G7441" s="69"/>
    </row>
    <row r="7442" ht="22.5" customHeight="1">
      <c r="A7442" s="66"/>
      <c r="B7442" s="67" t="str">
        <f t="shared" si="16"/>
        <v>M: </v>
      </c>
      <c r="C7442" s="68"/>
      <c r="D7442" s="68">
        <v>46494.0</v>
      </c>
      <c r="E7442" s="66">
        <v>10.0</v>
      </c>
      <c r="F7442" s="66" t="str">
        <f>IFERROR(__xludf.DUMMYFUNCTION("GOOGLETRANSLATE(A7442,""en"",""pt"")"),"#VALUE!")</f>
        <v>#VALUE!</v>
      </c>
      <c r="G7442" s="69"/>
    </row>
    <row r="7443" ht="22.5" customHeight="1">
      <c r="A7443" s="66"/>
      <c r="B7443" s="67" t="str">
        <f t="shared" si="16"/>
        <v>M: </v>
      </c>
      <c r="C7443" s="68"/>
      <c r="D7443" s="68">
        <v>46494.0</v>
      </c>
      <c r="E7443" s="66">
        <v>1.0</v>
      </c>
      <c r="F7443" s="66" t="str">
        <f>IFERROR(__xludf.DUMMYFUNCTION("GOOGLETRANSLATE(A7443,""en"",""pt"")"),"#VALUE!")</f>
        <v>#VALUE!</v>
      </c>
      <c r="G7443" s="69"/>
    </row>
    <row r="7444" ht="22.5" customHeight="1">
      <c r="A7444" s="66"/>
      <c r="B7444" s="67" t="str">
        <f t="shared" si="16"/>
        <v>M: </v>
      </c>
      <c r="C7444" s="68"/>
      <c r="D7444" s="68">
        <v>46494.0</v>
      </c>
      <c r="E7444" s="66">
        <v>2.0</v>
      </c>
      <c r="F7444" s="66" t="str">
        <f>IFERROR(__xludf.DUMMYFUNCTION("GOOGLETRANSLATE(A7444,""en"",""pt"")"),"#VALUE!")</f>
        <v>#VALUE!</v>
      </c>
      <c r="G7444" s="69"/>
    </row>
    <row r="7445" ht="22.5" customHeight="1">
      <c r="A7445" s="66"/>
      <c r="B7445" s="67" t="str">
        <f t="shared" si="16"/>
        <v>M: </v>
      </c>
      <c r="C7445" s="68"/>
      <c r="D7445" s="68">
        <v>46494.0</v>
      </c>
      <c r="E7445" s="66">
        <v>3.0</v>
      </c>
      <c r="F7445" s="66" t="str">
        <f>IFERROR(__xludf.DUMMYFUNCTION("GOOGLETRANSLATE(A7445,""en"",""pt"")"),"#VALUE!")</f>
        <v>#VALUE!</v>
      </c>
      <c r="G7445" s="69"/>
    </row>
    <row r="7446" ht="22.5" customHeight="1">
      <c r="A7446" s="66"/>
      <c r="B7446" s="67" t="str">
        <f t="shared" si="16"/>
        <v>M: </v>
      </c>
      <c r="C7446" s="68"/>
      <c r="D7446" s="68">
        <v>46494.0</v>
      </c>
      <c r="E7446" s="66">
        <v>4.0</v>
      </c>
      <c r="F7446" s="66" t="str">
        <f>IFERROR(__xludf.DUMMYFUNCTION("GOOGLETRANSLATE(A7446,""en"",""pt"")"),"#VALUE!")</f>
        <v>#VALUE!</v>
      </c>
      <c r="G7446" s="69"/>
    </row>
    <row r="7447" ht="22.5" customHeight="1">
      <c r="A7447" s="66"/>
      <c r="B7447" s="67" t="str">
        <f t="shared" si="16"/>
        <v>M: </v>
      </c>
      <c r="C7447" s="68"/>
      <c r="D7447" s="68">
        <v>46494.0</v>
      </c>
      <c r="E7447" s="66">
        <v>5.0</v>
      </c>
      <c r="F7447" s="66" t="str">
        <f>IFERROR(__xludf.DUMMYFUNCTION("GOOGLETRANSLATE(A7447,""en"",""pt"")"),"#VALUE!")</f>
        <v>#VALUE!</v>
      </c>
      <c r="G7447" s="69"/>
    </row>
    <row r="7448" ht="22.5" customHeight="1">
      <c r="A7448" s="66"/>
      <c r="B7448" s="67" t="str">
        <f t="shared" si="16"/>
        <v>M: </v>
      </c>
      <c r="C7448" s="68"/>
      <c r="D7448" s="68">
        <v>46494.0</v>
      </c>
      <c r="E7448" s="66">
        <v>6.0</v>
      </c>
      <c r="F7448" s="66" t="str">
        <f>IFERROR(__xludf.DUMMYFUNCTION("GOOGLETRANSLATE(A7448,""en"",""pt"")"),"#VALUE!")</f>
        <v>#VALUE!</v>
      </c>
      <c r="G7448" s="69"/>
    </row>
    <row r="7449" ht="22.5" customHeight="1">
      <c r="A7449" s="66"/>
      <c r="B7449" s="67" t="str">
        <f t="shared" si="16"/>
        <v>M: </v>
      </c>
      <c r="C7449" s="68"/>
      <c r="D7449" s="68">
        <v>46494.0</v>
      </c>
      <c r="E7449" s="66">
        <v>7.0</v>
      </c>
      <c r="F7449" s="66" t="str">
        <f>IFERROR(__xludf.DUMMYFUNCTION("GOOGLETRANSLATE(A7449,""en"",""pt"")"),"#VALUE!")</f>
        <v>#VALUE!</v>
      </c>
      <c r="G7449" s="69"/>
    </row>
    <row r="7450" ht="22.5" customHeight="1">
      <c r="A7450" s="66"/>
      <c r="B7450" s="67" t="str">
        <f t="shared" si="16"/>
        <v>M: </v>
      </c>
      <c r="C7450" s="68"/>
      <c r="D7450" s="68">
        <v>46494.0</v>
      </c>
      <c r="E7450" s="66">
        <v>8.0</v>
      </c>
      <c r="F7450" s="66" t="str">
        <f>IFERROR(__xludf.DUMMYFUNCTION("GOOGLETRANSLATE(A7450,""en"",""pt"")"),"#VALUE!")</f>
        <v>#VALUE!</v>
      </c>
      <c r="G7450" s="69"/>
    </row>
    <row r="7451" ht="22.5" customHeight="1">
      <c r="A7451" s="66"/>
      <c r="B7451" s="67" t="str">
        <f t="shared" si="16"/>
        <v>M: </v>
      </c>
      <c r="C7451" s="68"/>
      <c r="D7451" s="68">
        <v>46494.0</v>
      </c>
      <c r="E7451" s="66">
        <v>9.0</v>
      </c>
      <c r="F7451" s="66" t="str">
        <f>IFERROR(__xludf.DUMMYFUNCTION("GOOGLETRANSLATE(A7451,""en"",""pt"")"),"#VALUE!")</f>
        <v>#VALUE!</v>
      </c>
      <c r="G7451" s="69"/>
    </row>
    <row r="7452" ht="22.5" customHeight="1">
      <c r="A7452" s="66"/>
      <c r="B7452" s="67" t="str">
        <f t="shared" si="16"/>
        <v>M: </v>
      </c>
      <c r="C7452" s="68"/>
      <c r="D7452" s="68">
        <v>46495.0</v>
      </c>
      <c r="E7452" s="66">
        <v>10.0</v>
      </c>
      <c r="F7452" s="66" t="str">
        <f>IFERROR(__xludf.DUMMYFUNCTION("GOOGLETRANSLATE(A7452,""en"",""pt"")"),"#VALUE!")</f>
        <v>#VALUE!</v>
      </c>
      <c r="G7452" s="69"/>
    </row>
    <row r="7453" ht="22.5" customHeight="1">
      <c r="A7453" s="66"/>
      <c r="B7453" s="67" t="str">
        <f t="shared" si="16"/>
        <v>M: </v>
      </c>
      <c r="C7453" s="68"/>
      <c r="D7453" s="68">
        <v>46495.0</v>
      </c>
      <c r="E7453" s="66">
        <v>1.0</v>
      </c>
      <c r="F7453" s="66" t="str">
        <f>IFERROR(__xludf.DUMMYFUNCTION("GOOGLETRANSLATE(A7453,""en"",""pt"")"),"#VALUE!")</f>
        <v>#VALUE!</v>
      </c>
      <c r="G7453" s="69"/>
    </row>
    <row r="7454" ht="22.5" customHeight="1">
      <c r="A7454" s="66"/>
      <c r="B7454" s="67" t="str">
        <f t="shared" si="16"/>
        <v>M: </v>
      </c>
      <c r="C7454" s="68"/>
      <c r="D7454" s="68">
        <v>46495.0</v>
      </c>
      <c r="E7454" s="66">
        <v>2.0</v>
      </c>
      <c r="F7454" s="66" t="str">
        <f>IFERROR(__xludf.DUMMYFUNCTION("GOOGLETRANSLATE(A7454,""en"",""pt"")"),"#VALUE!")</f>
        <v>#VALUE!</v>
      </c>
      <c r="G7454" s="69"/>
    </row>
    <row r="7455" ht="22.5" customHeight="1">
      <c r="A7455" s="66"/>
      <c r="B7455" s="67" t="str">
        <f t="shared" si="16"/>
        <v>M: </v>
      </c>
      <c r="C7455" s="68"/>
      <c r="D7455" s="68">
        <v>46495.0</v>
      </c>
      <c r="E7455" s="66">
        <v>3.0</v>
      </c>
      <c r="F7455" s="66" t="str">
        <f>IFERROR(__xludf.DUMMYFUNCTION("GOOGLETRANSLATE(A7455,""en"",""pt"")"),"#VALUE!")</f>
        <v>#VALUE!</v>
      </c>
      <c r="G7455" s="69"/>
    </row>
    <row r="7456" ht="22.5" customHeight="1">
      <c r="A7456" s="66"/>
      <c r="B7456" s="67" t="str">
        <f t="shared" si="16"/>
        <v>M: </v>
      </c>
      <c r="C7456" s="68"/>
      <c r="D7456" s="68">
        <v>46495.0</v>
      </c>
      <c r="E7456" s="66">
        <v>4.0</v>
      </c>
      <c r="F7456" s="66" t="str">
        <f>IFERROR(__xludf.DUMMYFUNCTION("GOOGLETRANSLATE(A7456,""en"",""pt"")"),"#VALUE!")</f>
        <v>#VALUE!</v>
      </c>
      <c r="G7456" s="69"/>
    </row>
    <row r="7457" ht="22.5" customHeight="1">
      <c r="A7457" s="66"/>
      <c r="B7457" s="67" t="str">
        <f t="shared" si="16"/>
        <v>M: </v>
      </c>
      <c r="C7457" s="68"/>
      <c r="D7457" s="68">
        <v>46495.0</v>
      </c>
      <c r="E7457" s="66">
        <v>5.0</v>
      </c>
      <c r="F7457" s="66" t="str">
        <f>IFERROR(__xludf.DUMMYFUNCTION("GOOGLETRANSLATE(A7457,""en"",""pt"")"),"#VALUE!")</f>
        <v>#VALUE!</v>
      </c>
      <c r="G7457" s="69"/>
    </row>
    <row r="7458" ht="22.5" customHeight="1">
      <c r="A7458" s="66"/>
      <c r="B7458" s="67" t="str">
        <f t="shared" si="16"/>
        <v>M: </v>
      </c>
      <c r="C7458" s="68"/>
      <c r="D7458" s="68">
        <v>46495.0</v>
      </c>
      <c r="E7458" s="66">
        <v>6.0</v>
      </c>
      <c r="F7458" s="66" t="str">
        <f>IFERROR(__xludf.DUMMYFUNCTION("GOOGLETRANSLATE(A7458,""en"",""pt"")"),"#VALUE!")</f>
        <v>#VALUE!</v>
      </c>
      <c r="G7458" s="69"/>
    </row>
    <row r="7459" ht="22.5" customHeight="1">
      <c r="A7459" s="66"/>
      <c r="B7459" s="67" t="str">
        <f t="shared" si="16"/>
        <v>M: </v>
      </c>
      <c r="C7459" s="68"/>
      <c r="D7459" s="68">
        <v>46495.0</v>
      </c>
      <c r="E7459" s="66">
        <v>7.0</v>
      </c>
      <c r="F7459" s="66" t="str">
        <f>IFERROR(__xludf.DUMMYFUNCTION("GOOGLETRANSLATE(A7459,""en"",""pt"")"),"#VALUE!")</f>
        <v>#VALUE!</v>
      </c>
      <c r="G7459" s="69"/>
    </row>
    <row r="7460" ht="22.5" customHeight="1">
      <c r="A7460" s="66"/>
      <c r="B7460" s="67" t="str">
        <f t="shared" si="16"/>
        <v>M: </v>
      </c>
      <c r="C7460" s="68"/>
      <c r="D7460" s="68">
        <v>46495.0</v>
      </c>
      <c r="E7460" s="66">
        <v>8.0</v>
      </c>
      <c r="F7460" s="66" t="str">
        <f>IFERROR(__xludf.DUMMYFUNCTION("GOOGLETRANSLATE(A7460,""en"",""pt"")"),"#VALUE!")</f>
        <v>#VALUE!</v>
      </c>
      <c r="G7460" s="69"/>
    </row>
    <row r="7461" ht="22.5" customHeight="1">
      <c r="A7461" s="66"/>
      <c r="B7461" s="67" t="str">
        <f t="shared" si="16"/>
        <v>M: </v>
      </c>
      <c r="C7461" s="68"/>
      <c r="D7461" s="68">
        <v>46495.0</v>
      </c>
      <c r="E7461" s="66">
        <v>9.0</v>
      </c>
      <c r="F7461" s="66" t="str">
        <f>IFERROR(__xludf.DUMMYFUNCTION("GOOGLETRANSLATE(A7461,""en"",""pt"")"),"#VALUE!")</f>
        <v>#VALUE!</v>
      </c>
      <c r="G7461" s="69"/>
    </row>
    <row r="7462" ht="22.5" customHeight="1">
      <c r="A7462" s="66"/>
      <c r="B7462" s="67" t="str">
        <f t="shared" si="16"/>
        <v>M: </v>
      </c>
      <c r="C7462" s="68"/>
      <c r="D7462" s="68">
        <v>46496.0</v>
      </c>
      <c r="E7462" s="66">
        <v>10.0</v>
      </c>
      <c r="F7462" s="66" t="str">
        <f>IFERROR(__xludf.DUMMYFUNCTION("GOOGLETRANSLATE(A7462,""en"",""pt"")"),"#VALUE!")</f>
        <v>#VALUE!</v>
      </c>
      <c r="G7462" s="69"/>
    </row>
    <row r="7463" ht="22.5" customHeight="1">
      <c r="A7463" s="66"/>
      <c r="B7463" s="67" t="str">
        <f t="shared" si="16"/>
        <v>M: </v>
      </c>
      <c r="C7463" s="68"/>
      <c r="D7463" s="68">
        <v>46496.0</v>
      </c>
      <c r="E7463" s="66">
        <v>1.0</v>
      </c>
      <c r="F7463" s="66" t="str">
        <f>IFERROR(__xludf.DUMMYFUNCTION("GOOGLETRANSLATE(A7463,""en"",""pt"")"),"#VALUE!")</f>
        <v>#VALUE!</v>
      </c>
      <c r="G7463" s="69"/>
    </row>
    <row r="7464" ht="22.5" customHeight="1">
      <c r="A7464" s="66"/>
      <c r="B7464" s="67" t="str">
        <f t="shared" si="16"/>
        <v>M: </v>
      </c>
      <c r="C7464" s="68"/>
      <c r="D7464" s="68">
        <v>46496.0</v>
      </c>
      <c r="E7464" s="66">
        <v>2.0</v>
      </c>
      <c r="F7464" s="66" t="str">
        <f>IFERROR(__xludf.DUMMYFUNCTION("GOOGLETRANSLATE(A7464,""en"",""pt"")"),"#VALUE!")</f>
        <v>#VALUE!</v>
      </c>
      <c r="G7464" s="69"/>
    </row>
    <row r="7465" ht="22.5" customHeight="1">
      <c r="A7465" s="66"/>
      <c r="B7465" s="67" t="str">
        <f t="shared" si="16"/>
        <v>M: </v>
      </c>
      <c r="C7465" s="68"/>
      <c r="D7465" s="68">
        <v>46496.0</v>
      </c>
      <c r="E7465" s="66">
        <v>3.0</v>
      </c>
      <c r="F7465" s="66" t="str">
        <f>IFERROR(__xludf.DUMMYFUNCTION("GOOGLETRANSLATE(A7465,""en"",""pt"")"),"#VALUE!")</f>
        <v>#VALUE!</v>
      </c>
      <c r="G7465" s="69"/>
    </row>
    <row r="7466" ht="22.5" customHeight="1">
      <c r="A7466" s="66"/>
      <c r="B7466" s="67" t="str">
        <f t="shared" si="16"/>
        <v>M: </v>
      </c>
      <c r="C7466" s="68"/>
      <c r="D7466" s="68">
        <v>46496.0</v>
      </c>
      <c r="E7466" s="66">
        <v>4.0</v>
      </c>
      <c r="F7466" s="66" t="str">
        <f>IFERROR(__xludf.DUMMYFUNCTION("GOOGLETRANSLATE(A7466,""en"",""pt"")"),"#VALUE!")</f>
        <v>#VALUE!</v>
      </c>
      <c r="G7466" s="69"/>
    </row>
    <row r="7467" ht="22.5" customHeight="1">
      <c r="A7467" s="66"/>
      <c r="B7467" s="67" t="str">
        <f t="shared" si="16"/>
        <v>M: </v>
      </c>
      <c r="C7467" s="68"/>
      <c r="D7467" s="68">
        <v>46496.0</v>
      </c>
      <c r="E7467" s="66">
        <v>5.0</v>
      </c>
      <c r="F7467" s="66" t="str">
        <f>IFERROR(__xludf.DUMMYFUNCTION("GOOGLETRANSLATE(A7467,""en"",""pt"")"),"#VALUE!")</f>
        <v>#VALUE!</v>
      </c>
      <c r="G7467" s="69"/>
    </row>
    <row r="7468" ht="22.5" customHeight="1">
      <c r="A7468" s="66"/>
      <c r="B7468" s="67" t="str">
        <f t="shared" si="16"/>
        <v>M: </v>
      </c>
      <c r="C7468" s="68"/>
      <c r="D7468" s="68">
        <v>46496.0</v>
      </c>
      <c r="E7468" s="66">
        <v>6.0</v>
      </c>
      <c r="F7468" s="66" t="str">
        <f>IFERROR(__xludf.DUMMYFUNCTION("GOOGLETRANSLATE(A7468,""en"",""pt"")"),"#VALUE!")</f>
        <v>#VALUE!</v>
      </c>
      <c r="G7468" s="69"/>
    </row>
    <row r="7469" ht="22.5" customHeight="1">
      <c r="A7469" s="66"/>
      <c r="B7469" s="67" t="str">
        <f t="shared" si="16"/>
        <v>M: </v>
      </c>
      <c r="C7469" s="68"/>
      <c r="D7469" s="68">
        <v>46496.0</v>
      </c>
      <c r="E7469" s="66">
        <v>7.0</v>
      </c>
      <c r="F7469" s="66" t="str">
        <f>IFERROR(__xludf.DUMMYFUNCTION("GOOGLETRANSLATE(A7469,""en"",""pt"")"),"#VALUE!")</f>
        <v>#VALUE!</v>
      </c>
      <c r="G7469" s="69"/>
    </row>
    <row r="7470" ht="22.5" customHeight="1">
      <c r="A7470" s="66"/>
      <c r="B7470" s="67" t="str">
        <f t="shared" si="16"/>
        <v>M: </v>
      </c>
      <c r="C7470" s="68"/>
      <c r="D7470" s="68">
        <v>46496.0</v>
      </c>
      <c r="E7470" s="66">
        <v>8.0</v>
      </c>
      <c r="F7470" s="66" t="str">
        <f>IFERROR(__xludf.DUMMYFUNCTION("GOOGLETRANSLATE(A7470,""en"",""pt"")"),"#VALUE!")</f>
        <v>#VALUE!</v>
      </c>
      <c r="G7470" s="69"/>
    </row>
    <row r="7471" ht="22.5" customHeight="1">
      <c r="A7471" s="66"/>
      <c r="B7471" s="67" t="str">
        <f t="shared" si="16"/>
        <v>M: </v>
      </c>
      <c r="C7471" s="68"/>
      <c r="D7471" s="68">
        <v>46496.0</v>
      </c>
      <c r="E7471" s="66">
        <v>9.0</v>
      </c>
      <c r="F7471" s="66" t="str">
        <f>IFERROR(__xludf.DUMMYFUNCTION("GOOGLETRANSLATE(A7471,""en"",""pt"")"),"#VALUE!")</f>
        <v>#VALUE!</v>
      </c>
      <c r="G7471" s="69"/>
    </row>
    <row r="7472" ht="22.5" customHeight="1">
      <c r="A7472" s="66"/>
      <c r="B7472" s="67" t="str">
        <f t="shared" si="16"/>
        <v>M: </v>
      </c>
      <c r="C7472" s="68"/>
      <c r="D7472" s="68">
        <v>46497.0</v>
      </c>
      <c r="E7472" s="66">
        <v>10.0</v>
      </c>
      <c r="F7472" s="66" t="str">
        <f>IFERROR(__xludf.DUMMYFUNCTION("GOOGLETRANSLATE(A7472,""en"",""pt"")"),"#VALUE!")</f>
        <v>#VALUE!</v>
      </c>
      <c r="G7472" s="69"/>
    </row>
    <row r="7473" ht="22.5" customHeight="1">
      <c r="A7473" s="66"/>
      <c r="B7473" s="67" t="str">
        <f t="shared" si="16"/>
        <v>M: </v>
      </c>
      <c r="C7473" s="68"/>
      <c r="D7473" s="68">
        <v>46497.0</v>
      </c>
      <c r="E7473" s="66">
        <v>1.0</v>
      </c>
      <c r="F7473" s="66" t="str">
        <f>IFERROR(__xludf.DUMMYFUNCTION("GOOGLETRANSLATE(A7473,""en"",""pt"")"),"#VALUE!")</f>
        <v>#VALUE!</v>
      </c>
      <c r="G7473" s="69"/>
    </row>
    <row r="7474" ht="22.5" customHeight="1">
      <c r="A7474" s="66"/>
      <c r="B7474" s="67" t="str">
        <f t="shared" si="16"/>
        <v>M: </v>
      </c>
      <c r="C7474" s="68"/>
      <c r="D7474" s="68">
        <v>46497.0</v>
      </c>
      <c r="E7474" s="66">
        <v>2.0</v>
      </c>
      <c r="F7474" s="66" t="str">
        <f>IFERROR(__xludf.DUMMYFUNCTION("GOOGLETRANSLATE(A7474,""en"",""pt"")"),"#VALUE!")</f>
        <v>#VALUE!</v>
      </c>
      <c r="G7474" s="69"/>
    </row>
    <row r="7475" ht="22.5" customHeight="1">
      <c r="A7475" s="66"/>
      <c r="B7475" s="67" t="str">
        <f t="shared" si="16"/>
        <v>M: </v>
      </c>
      <c r="C7475" s="68"/>
      <c r="D7475" s="68">
        <v>46497.0</v>
      </c>
      <c r="E7475" s="66">
        <v>3.0</v>
      </c>
      <c r="F7475" s="66" t="str">
        <f>IFERROR(__xludf.DUMMYFUNCTION("GOOGLETRANSLATE(A7475,""en"",""pt"")"),"#VALUE!")</f>
        <v>#VALUE!</v>
      </c>
      <c r="G7475" s="69"/>
    </row>
    <row r="7476" ht="22.5" customHeight="1">
      <c r="A7476" s="66"/>
      <c r="B7476" s="67" t="str">
        <f t="shared" si="16"/>
        <v>M: </v>
      </c>
      <c r="C7476" s="68"/>
      <c r="D7476" s="68">
        <v>46497.0</v>
      </c>
      <c r="E7476" s="66">
        <v>4.0</v>
      </c>
      <c r="F7476" s="66" t="str">
        <f>IFERROR(__xludf.DUMMYFUNCTION("GOOGLETRANSLATE(A7476,""en"",""pt"")"),"#VALUE!")</f>
        <v>#VALUE!</v>
      </c>
      <c r="G7476" s="69"/>
    </row>
    <row r="7477" ht="22.5" customHeight="1">
      <c r="A7477" s="66"/>
      <c r="B7477" s="67" t="str">
        <f t="shared" si="16"/>
        <v>M: </v>
      </c>
      <c r="C7477" s="68"/>
      <c r="D7477" s="68">
        <v>46497.0</v>
      </c>
      <c r="E7477" s="66">
        <v>5.0</v>
      </c>
      <c r="F7477" s="66" t="str">
        <f>IFERROR(__xludf.DUMMYFUNCTION("GOOGLETRANSLATE(A7477,""en"",""pt"")"),"#VALUE!")</f>
        <v>#VALUE!</v>
      </c>
      <c r="G7477" s="69"/>
    </row>
    <row r="7478" ht="22.5" customHeight="1">
      <c r="A7478" s="66"/>
      <c r="B7478" s="67" t="str">
        <f t="shared" si="16"/>
        <v>M: </v>
      </c>
      <c r="C7478" s="68"/>
      <c r="D7478" s="68">
        <v>46497.0</v>
      </c>
      <c r="E7478" s="66">
        <v>6.0</v>
      </c>
      <c r="F7478" s="66" t="str">
        <f>IFERROR(__xludf.DUMMYFUNCTION("GOOGLETRANSLATE(A7478,""en"",""pt"")"),"#VALUE!")</f>
        <v>#VALUE!</v>
      </c>
      <c r="G7478" s="69"/>
    </row>
    <row r="7479" ht="22.5" customHeight="1">
      <c r="A7479" s="66"/>
      <c r="B7479" s="67" t="str">
        <f t="shared" si="16"/>
        <v>M: </v>
      </c>
      <c r="C7479" s="68"/>
      <c r="D7479" s="68">
        <v>46497.0</v>
      </c>
      <c r="E7479" s="66">
        <v>7.0</v>
      </c>
      <c r="F7479" s="66" t="str">
        <f>IFERROR(__xludf.DUMMYFUNCTION("GOOGLETRANSLATE(A7479,""en"",""pt"")"),"#VALUE!")</f>
        <v>#VALUE!</v>
      </c>
      <c r="G7479" s="69"/>
    </row>
    <row r="7480" ht="22.5" customHeight="1">
      <c r="A7480" s="66"/>
      <c r="B7480" s="67" t="str">
        <f t="shared" si="16"/>
        <v>M: </v>
      </c>
      <c r="C7480" s="68"/>
      <c r="D7480" s="68">
        <v>46497.0</v>
      </c>
      <c r="E7480" s="66">
        <v>8.0</v>
      </c>
      <c r="F7480" s="66" t="str">
        <f>IFERROR(__xludf.DUMMYFUNCTION("GOOGLETRANSLATE(A7480,""en"",""pt"")"),"#VALUE!")</f>
        <v>#VALUE!</v>
      </c>
      <c r="G7480" s="69"/>
    </row>
    <row r="7481" ht="22.5" customHeight="1">
      <c r="A7481" s="66"/>
      <c r="B7481" s="67" t="str">
        <f t="shared" si="16"/>
        <v>M: </v>
      </c>
      <c r="C7481" s="68"/>
      <c r="D7481" s="68">
        <v>46497.0</v>
      </c>
      <c r="E7481" s="66">
        <v>9.0</v>
      </c>
      <c r="F7481" s="66" t="str">
        <f>IFERROR(__xludf.DUMMYFUNCTION("GOOGLETRANSLATE(A7481,""en"",""pt"")"),"#VALUE!")</f>
        <v>#VALUE!</v>
      </c>
      <c r="G7481" s="69"/>
    </row>
    <row r="7482" ht="22.5" customHeight="1">
      <c r="A7482" s="66"/>
      <c r="B7482" s="67" t="str">
        <f t="shared" si="16"/>
        <v>M: </v>
      </c>
      <c r="C7482" s="68"/>
      <c r="D7482" s="68">
        <v>46498.0</v>
      </c>
      <c r="E7482" s="66">
        <v>10.0</v>
      </c>
      <c r="F7482" s="66" t="str">
        <f>IFERROR(__xludf.DUMMYFUNCTION("GOOGLETRANSLATE(A7482,""en"",""pt"")"),"#VALUE!")</f>
        <v>#VALUE!</v>
      </c>
      <c r="G7482" s="69"/>
    </row>
    <row r="7483" ht="22.5" customHeight="1">
      <c r="A7483" s="66"/>
      <c r="B7483" s="67" t="str">
        <f t="shared" si="16"/>
        <v>M: </v>
      </c>
      <c r="C7483" s="68"/>
      <c r="D7483" s="68">
        <v>46498.0</v>
      </c>
      <c r="E7483" s="66">
        <v>1.0</v>
      </c>
      <c r="F7483" s="66" t="str">
        <f>IFERROR(__xludf.DUMMYFUNCTION("GOOGLETRANSLATE(A7483,""en"",""pt"")"),"#VALUE!")</f>
        <v>#VALUE!</v>
      </c>
      <c r="G7483" s="69"/>
    </row>
    <row r="7484" ht="22.5" customHeight="1">
      <c r="A7484" s="66"/>
      <c r="B7484" s="67" t="str">
        <f t="shared" si="16"/>
        <v>M: </v>
      </c>
      <c r="C7484" s="68"/>
      <c r="D7484" s="68">
        <v>46498.0</v>
      </c>
      <c r="E7484" s="66">
        <v>2.0</v>
      </c>
      <c r="F7484" s="66" t="str">
        <f>IFERROR(__xludf.DUMMYFUNCTION("GOOGLETRANSLATE(A7484,""en"",""pt"")"),"#VALUE!")</f>
        <v>#VALUE!</v>
      </c>
      <c r="G7484" s="69"/>
    </row>
    <row r="7485" ht="22.5" customHeight="1">
      <c r="A7485" s="66"/>
      <c r="B7485" s="67" t="str">
        <f t="shared" si="16"/>
        <v>M: </v>
      </c>
      <c r="C7485" s="68"/>
      <c r="D7485" s="68">
        <v>46498.0</v>
      </c>
      <c r="E7485" s="66">
        <v>3.0</v>
      </c>
      <c r="F7485" s="66" t="str">
        <f>IFERROR(__xludf.DUMMYFUNCTION("GOOGLETRANSLATE(A7485,""en"",""pt"")"),"#VALUE!")</f>
        <v>#VALUE!</v>
      </c>
      <c r="G7485" s="69"/>
    </row>
    <row r="7486" ht="22.5" customHeight="1">
      <c r="A7486" s="66"/>
      <c r="B7486" s="67" t="str">
        <f t="shared" si="16"/>
        <v>M: </v>
      </c>
      <c r="C7486" s="68"/>
      <c r="D7486" s="68">
        <v>46498.0</v>
      </c>
      <c r="E7486" s="66">
        <v>4.0</v>
      </c>
      <c r="F7486" s="66" t="str">
        <f>IFERROR(__xludf.DUMMYFUNCTION("GOOGLETRANSLATE(A7486,""en"",""pt"")"),"#VALUE!")</f>
        <v>#VALUE!</v>
      </c>
      <c r="G7486" s="69"/>
    </row>
    <row r="7487" ht="22.5" customHeight="1">
      <c r="A7487" s="66"/>
      <c r="B7487" s="67" t="str">
        <f t="shared" si="16"/>
        <v>M: </v>
      </c>
      <c r="C7487" s="68"/>
      <c r="D7487" s="68">
        <v>46498.0</v>
      </c>
      <c r="E7487" s="66">
        <v>5.0</v>
      </c>
      <c r="F7487" s="66" t="str">
        <f>IFERROR(__xludf.DUMMYFUNCTION("GOOGLETRANSLATE(A7487,""en"",""pt"")"),"#VALUE!")</f>
        <v>#VALUE!</v>
      </c>
      <c r="G7487" s="69"/>
    </row>
    <row r="7488" ht="22.5" customHeight="1">
      <c r="A7488" s="66"/>
      <c r="B7488" s="67" t="str">
        <f t="shared" si="16"/>
        <v>M: </v>
      </c>
      <c r="C7488" s="68"/>
      <c r="D7488" s="68">
        <v>46498.0</v>
      </c>
      <c r="E7488" s="66">
        <v>6.0</v>
      </c>
      <c r="F7488" s="66" t="str">
        <f>IFERROR(__xludf.DUMMYFUNCTION("GOOGLETRANSLATE(A7488,""en"",""pt"")"),"#VALUE!")</f>
        <v>#VALUE!</v>
      </c>
      <c r="G7488" s="69"/>
    </row>
    <row r="7489" ht="22.5" customHeight="1">
      <c r="A7489" s="66"/>
      <c r="B7489" s="67" t="str">
        <f t="shared" si="16"/>
        <v>M: </v>
      </c>
      <c r="C7489" s="68"/>
      <c r="D7489" s="68">
        <v>46498.0</v>
      </c>
      <c r="E7489" s="66">
        <v>7.0</v>
      </c>
      <c r="F7489" s="66" t="str">
        <f>IFERROR(__xludf.DUMMYFUNCTION("GOOGLETRANSLATE(A7489,""en"",""pt"")"),"#VALUE!")</f>
        <v>#VALUE!</v>
      </c>
      <c r="G7489" s="69"/>
    </row>
    <row r="7490" ht="22.5" customHeight="1">
      <c r="A7490" s="66"/>
      <c r="B7490" s="67" t="str">
        <f t="shared" si="16"/>
        <v>M: </v>
      </c>
      <c r="C7490" s="68"/>
      <c r="D7490" s="68">
        <v>46498.0</v>
      </c>
      <c r="E7490" s="66">
        <v>8.0</v>
      </c>
      <c r="F7490" s="66" t="str">
        <f>IFERROR(__xludf.DUMMYFUNCTION("GOOGLETRANSLATE(A7490,""en"",""pt"")"),"#VALUE!")</f>
        <v>#VALUE!</v>
      </c>
      <c r="G7490" s="69"/>
    </row>
    <row r="7491" ht="22.5" customHeight="1">
      <c r="A7491" s="66"/>
      <c r="B7491" s="67" t="str">
        <f t="shared" si="16"/>
        <v>M: </v>
      </c>
      <c r="C7491" s="68"/>
      <c r="D7491" s="68">
        <v>46498.0</v>
      </c>
      <c r="E7491" s="66">
        <v>9.0</v>
      </c>
      <c r="F7491" s="66" t="str">
        <f>IFERROR(__xludf.DUMMYFUNCTION("GOOGLETRANSLATE(A7491,""en"",""pt"")"),"#VALUE!")</f>
        <v>#VALUE!</v>
      </c>
      <c r="G7491" s="69"/>
    </row>
    <row r="7492" ht="22.5" customHeight="1">
      <c r="A7492" s="66"/>
      <c r="B7492" s="67" t="str">
        <f t="shared" si="16"/>
        <v>M: </v>
      </c>
      <c r="C7492" s="68"/>
      <c r="D7492" s="68">
        <v>46499.0</v>
      </c>
      <c r="E7492" s="66">
        <v>10.0</v>
      </c>
      <c r="F7492" s="66" t="str">
        <f>IFERROR(__xludf.DUMMYFUNCTION("GOOGLETRANSLATE(A7492,""en"",""pt"")"),"#VALUE!")</f>
        <v>#VALUE!</v>
      </c>
      <c r="G7492" s="69"/>
    </row>
    <row r="7493" ht="22.5" customHeight="1">
      <c r="A7493" s="66"/>
      <c r="B7493" s="67" t="str">
        <f t="shared" si="16"/>
        <v>M: </v>
      </c>
      <c r="C7493" s="68"/>
      <c r="D7493" s="68">
        <v>46499.0</v>
      </c>
      <c r="E7493" s="66">
        <v>1.0</v>
      </c>
      <c r="F7493" s="66" t="str">
        <f>IFERROR(__xludf.DUMMYFUNCTION("GOOGLETRANSLATE(A7493,""en"",""pt"")"),"#VALUE!")</f>
        <v>#VALUE!</v>
      </c>
      <c r="G7493" s="69"/>
    </row>
    <row r="7494" ht="22.5" customHeight="1">
      <c r="A7494" s="66"/>
      <c r="B7494" s="67" t="str">
        <f t="shared" si="16"/>
        <v>M: </v>
      </c>
      <c r="C7494" s="68"/>
      <c r="D7494" s="68">
        <v>46499.0</v>
      </c>
      <c r="E7494" s="66">
        <v>2.0</v>
      </c>
      <c r="F7494" s="66" t="str">
        <f>IFERROR(__xludf.DUMMYFUNCTION("GOOGLETRANSLATE(A7494,""en"",""pt"")"),"#VALUE!")</f>
        <v>#VALUE!</v>
      </c>
      <c r="G7494" s="69"/>
    </row>
    <row r="7495" ht="22.5" customHeight="1">
      <c r="A7495" s="66"/>
      <c r="B7495" s="67" t="str">
        <f t="shared" si="16"/>
        <v>M: </v>
      </c>
      <c r="C7495" s="68"/>
      <c r="D7495" s="68">
        <v>46499.0</v>
      </c>
      <c r="E7495" s="66">
        <v>3.0</v>
      </c>
      <c r="F7495" s="66" t="str">
        <f>IFERROR(__xludf.DUMMYFUNCTION("GOOGLETRANSLATE(A7495,""en"",""pt"")"),"#VALUE!")</f>
        <v>#VALUE!</v>
      </c>
      <c r="G7495" s="69"/>
    </row>
    <row r="7496" ht="22.5" customHeight="1">
      <c r="A7496" s="66"/>
      <c r="B7496" s="67" t="str">
        <f t="shared" si="16"/>
        <v>M: </v>
      </c>
      <c r="C7496" s="68"/>
      <c r="D7496" s="68">
        <v>46499.0</v>
      </c>
      <c r="E7496" s="66">
        <v>4.0</v>
      </c>
      <c r="F7496" s="66" t="str">
        <f>IFERROR(__xludf.DUMMYFUNCTION("GOOGLETRANSLATE(A7496,""en"",""pt"")"),"#VALUE!")</f>
        <v>#VALUE!</v>
      </c>
      <c r="G7496" s="69"/>
    </row>
    <row r="7497" ht="22.5" customHeight="1">
      <c r="A7497" s="66"/>
      <c r="B7497" s="67" t="str">
        <f t="shared" si="16"/>
        <v>M: </v>
      </c>
      <c r="C7497" s="68"/>
      <c r="D7497" s="68">
        <v>46499.0</v>
      </c>
      <c r="E7497" s="66">
        <v>5.0</v>
      </c>
      <c r="F7497" s="66" t="str">
        <f>IFERROR(__xludf.DUMMYFUNCTION("GOOGLETRANSLATE(A7497,""en"",""pt"")"),"#VALUE!")</f>
        <v>#VALUE!</v>
      </c>
      <c r="G7497" s="69"/>
    </row>
    <row r="7498" ht="22.5" customHeight="1">
      <c r="A7498" s="66"/>
      <c r="B7498" s="67" t="str">
        <f t="shared" si="16"/>
        <v>M: </v>
      </c>
      <c r="C7498" s="68"/>
      <c r="D7498" s="68">
        <v>46499.0</v>
      </c>
      <c r="E7498" s="66">
        <v>6.0</v>
      </c>
      <c r="F7498" s="66" t="str">
        <f>IFERROR(__xludf.DUMMYFUNCTION("GOOGLETRANSLATE(A7498,""en"",""pt"")"),"#VALUE!")</f>
        <v>#VALUE!</v>
      </c>
      <c r="G7498" s="69"/>
    </row>
    <row r="7499" ht="22.5" customHeight="1">
      <c r="A7499" s="66"/>
      <c r="B7499" s="67" t="str">
        <f t="shared" si="16"/>
        <v>M: </v>
      </c>
      <c r="C7499" s="68"/>
      <c r="D7499" s="68">
        <v>46499.0</v>
      </c>
      <c r="E7499" s="66">
        <v>7.0</v>
      </c>
      <c r="F7499" s="66" t="str">
        <f>IFERROR(__xludf.DUMMYFUNCTION("GOOGLETRANSLATE(A7499,""en"",""pt"")"),"#VALUE!")</f>
        <v>#VALUE!</v>
      </c>
      <c r="G7499" s="69"/>
    </row>
    <row r="7500" ht="22.5" customHeight="1">
      <c r="A7500" s="66"/>
      <c r="B7500" s="67" t="str">
        <f t="shared" si="16"/>
        <v>M: </v>
      </c>
      <c r="C7500" s="68"/>
      <c r="D7500" s="68">
        <v>46499.0</v>
      </c>
      <c r="E7500" s="66">
        <v>8.0</v>
      </c>
      <c r="F7500" s="66" t="str">
        <f>IFERROR(__xludf.DUMMYFUNCTION("GOOGLETRANSLATE(A7500,""en"",""pt"")"),"#VALUE!")</f>
        <v>#VALUE!</v>
      </c>
      <c r="G7500" s="69"/>
    </row>
    <row r="7501" ht="22.5" customHeight="1">
      <c r="A7501" s="66"/>
      <c r="B7501" s="67" t="str">
        <f t="shared" si="16"/>
        <v>M: </v>
      </c>
      <c r="C7501" s="68"/>
      <c r="D7501" s="68">
        <v>46499.0</v>
      </c>
      <c r="E7501" s="66">
        <v>9.0</v>
      </c>
      <c r="F7501" s="66" t="str">
        <f>IFERROR(__xludf.DUMMYFUNCTION("GOOGLETRANSLATE(A7501,""en"",""pt"")"),"#VALUE!")</f>
        <v>#VALUE!</v>
      </c>
      <c r="G7501" s="69"/>
    </row>
    <row r="7502" ht="22.5" customHeight="1">
      <c r="A7502" s="66"/>
      <c r="B7502" s="67" t="str">
        <f t="shared" si="16"/>
        <v>M: </v>
      </c>
      <c r="C7502" s="68"/>
      <c r="D7502" s="68">
        <v>46500.0</v>
      </c>
      <c r="E7502" s="66">
        <v>10.0</v>
      </c>
      <c r="F7502" s="66" t="str">
        <f>IFERROR(__xludf.DUMMYFUNCTION("GOOGLETRANSLATE(A7502,""en"",""pt"")"),"#VALUE!")</f>
        <v>#VALUE!</v>
      </c>
      <c r="G7502" s="69"/>
    </row>
    <row r="7503" ht="22.5" customHeight="1">
      <c r="A7503" s="66"/>
      <c r="B7503" s="67" t="str">
        <f t="shared" si="16"/>
        <v>M: </v>
      </c>
      <c r="C7503" s="68"/>
      <c r="D7503" s="68">
        <v>46500.0</v>
      </c>
      <c r="E7503" s="66">
        <v>1.0</v>
      </c>
      <c r="F7503" s="66" t="str">
        <f>IFERROR(__xludf.DUMMYFUNCTION("GOOGLETRANSLATE(A7503,""en"",""pt"")"),"#VALUE!")</f>
        <v>#VALUE!</v>
      </c>
      <c r="G7503" s="69"/>
    </row>
    <row r="7504" ht="22.5" customHeight="1">
      <c r="A7504" s="66"/>
      <c r="B7504" s="67" t="str">
        <f t="shared" si="16"/>
        <v>M: </v>
      </c>
      <c r="C7504" s="68"/>
      <c r="D7504" s="68">
        <v>46500.0</v>
      </c>
      <c r="E7504" s="66">
        <v>2.0</v>
      </c>
      <c r="F7504" s="66" t="str">
        <f>IFERROR(__xludf.DUMMYFUNCTION("GOOGLETRANSLATE(A7504,""en"",""pt"")"),"#VALUE!")</f>
        <v>#VALUE!</v>
      </c>
      <c r="G7504" s="69"/>
    </row>
    <row r="7505" ht="22.5" customHeight="1">
      <c r="A7505" s="66"/>
      <c r="B7505" s="67" t="str">
        <f t="shared" si="16"/>
        <v>M: </v>
      </c>
      <c r="C7505" s="68"/>
      <c r="D7505" s="68">
        <v>46500.0</v>
      </c>
      <c r="E7505" s="66">
        <v>3.0</v>
      </c>
      <c r="F7505" s="66" t="str">
        <f>IFERROR(__xludf.DUMMYFUNCTION("GOOGLETRANSLATE(A7505,""en"",""pt"")"),"#VALUE!")</f>
        <v>#VALUE!</v>
      </c>
      <c r="G7505" s="69"/>
    </row>
    <row r="7506" ht="22.5" customHeight="1">
      <c r="A7506" s="66"/>
      <c r="B7506" s="67" t="str">
        <f t="shared" si="16"/>
        <v>M: </v>
      </c>
      <c r="C7506" s="68"/>
      <c r="D7506" s="68">
        <v>46500.0</v>
      </c>
      <c r="E7506" s="66">
        <v>4.0</v>
      </c>
      <c r="F7506" s="66" t="str">
        <f>IFERROR(__xludf.DUMMYFUNCTION("GOOGLETRANSLATE(A7506,""en"",""pt"")"),"#VALUE!")</f>
        <v>#VALUE!</v>
      </c>
      <c r="G7506" s="69"/>
    </row>
    <row r="7507" ht="22.5" customHeight="1">
      <c r="A7507" s="66"/>
      <c r="B7507" s="67" t="str">
        <f t="shared" si="16"/>
        <v>M: </v>
      </c>
      <c r="C7507" s="68"/>
      <c r="D7507" s="68">
        <v>46500.0</v>
      </c>
      <c r="E7507" s="66">
        <v>5.0</v>
      </c>
      <c r="F7507" s="66" t="str">
        <f>IFERROR(__xludf.DUMMYFUNCTION("GOOGLETRANSLATE(A7507,""en"",""pt"")"),"#VALUE!")</f>
        <v>#VALUE!</v>
      </c>
      <c r="G7507" s="69"/>
    </row>
    <row r="7508" ht="22.5" customHeight="1">
      <c r="A7508" s="66"/>
      <c r="B7508" s="67" t="str">
        <f t="shared" si="16"/>
        <v>M: </v>
      </c>
      <c r="C7508" s="68"/>
      <c r="D7508" s="68">
        <v>46500.0</v>
      </c>
      <c r="E7508" s="66">
        <v>6.0</v>
      </c>
      <c r="F7508" s="66" t="str">
        <f>IFERROR(__xludf.DUMMYFUNCTION("GOOGLETRANSLATE(A7508,""en"",""pt"")"),"#VALUE!")</f>
        <v>#VALUE!</v>
      </c>
      <c r="G7508" s="69"/>
    </row>
    <row r="7509" ht="22.5" customHeight="1">
      <c r="A7509" s="66"/>
      <c r="B7509" s="67" t="str">
        <f t="shared" si="16"/>
        <v>M: </v>
      </c>
      <c r="C7509" s="68"/>
      <c r="D7509" s="68">
        <v>46500.0</v>
      </c>
      <c r="E7509" s="66">
        <v>7.0</v>
      </c>
      <c r="F7509" s="66" t="str">
        <f>IFERROR(__xludf.DUMMYFUNCTION("GOOGLETRANSLATE(A7509,""en"",""pt"")"),"#VALUE!")</f>
        <v>#VALUE!</v>
      </c>
      <c r="G7509" s="69"/>
    </row>
    <row r="7510" ht="22.5" customHeight="1">
      <c r="A7510" s="66"/>
      <c r="B7510" s="67" t="str">
        <f t="shared" si="16"/>
        <v>M: </v>
      </c>
      <c r="C7510" s="68"/>
      <c r="D7510" s="68">
        <v>46500.0</v>
      </c>
      <c r="E7510" s="66">
        <v>8.0</v>
      </c>
      <c r="F7510" s="66" t="str">
        <f>IFERROR(__xludf.DUMMYFUNCTION("GOOGLETRANSLATE(A7510,""en"",""pt"")"),"#VALUE!")</f>
        <v>#VALUE!</v>
      </c>
      <c r="G7510" s="69"/>
    </row>
    <row r="7511" ht="22.5" customHeight="1">
      <c r="A7511" s="66"/>
      <c r="B7511" s="67" t="str">
        <f t="shared" si="16"/>
        <v>M: </v>
      </c>
      <c r="C7511" s="68"/>
      <c r="D7511" s="68">
        <v>46500.0</v>
      </c>
      <c r="E7511" s="66">
        <v>9.0</v>
      </c>
      <c r="F7511" s="66" t="str">
        <f>IFERROR(__xludf.DUMMYFUNCTION("GOOGLETRANSLATE(A7511,""en"",""pt"")"),"#VALUE!")</f>
        <v>#VALUE!</v>
      </c>
      <c r="G7511" s="69"/>
    </row>
    <row r="7512" ht="22.5" customHeight="1">
      <c r="A7512" s="66"/>
      <c r="B7512" s="67" t="str">
        <f t="shared" si="16"/>
        <v>M: </v>
      </c>
      <c r="C7512" s="68"/>
      <c r="D7512" s="68">
        <v>46501.0</v>
      </c>
      <c r="E7512" s="66">
        <v>10.0</v>
      </c>
      <c r="F7512" s="66" t="str">
        <f>IFERROR(__xludf.DUMMYFUNCTION("GOOGLETRANSLATE(A7512,""en"",""pt"")"),"#VALUE!")</f>
        <v>#VALUE!</v>
      </c>
      <c r="G7512" s="69"/>
    </row>
    <row r="7513" ht="22.5" customHeight="1">
      <c r="A7513" s="66"/>
      <c r="B7513" s="67" t="str">
        <f t="shared" si="16"/>
        <v>M: </v>
      </c>
      <c r="C7513" s="68"/>
      <c r="D7513" s="68">
        <v>46501.0</v>
      </c>
      <c r="E7513" s="66">
        <v>1.0</v>
      </c>
      <c r="F7513" s="66" t="str">
        <f>IFERROR(__xludf.DUMMYFUNCTION("GOOGLETRANSLATE(A7513,""en"",""pt"")"),"#VALUE!")</f>
        <v>#VALUE!</v>
      </c>
      <c r="G7513" s="69"/>
    </row>
    <row r="7514" ht="22.5" customHeight="1">
      <c r="A7514" s="66"/>
      <c r="B7514" s="67" t="str">
        <f t="shared" si="16"/>
        <v>M: </v>
      </c>
      <c r="C7514" s="68"/>
      <c r="D7514" s="68">
        <v>46501.0</v>
      </c>
      <c r="E7514" s="66">
        <v>2.0</v>
      </c>
      <c r="F7514" s="66" t="str">
        <f>IFERROR(__xludf.DUMMYFUNCTION("GOOGLETRANSLATE(A7514,""en"",""pt"")"),"#VALUE!")</f>
        <v>#VALUE!</v>
      </c>
      <c r="G7514" s="69"/>
    </row>
    <row r="7515" ht="22.5" customHeight="1">
      <c r="A7515" s="66"/>
      <c r="B7515" s="67" t="str">
        <f t="shared" si="16"/>
        <v>M: </v>
      </c>
      <c r="C7515" s="68"/>
      <c r="D7515" s="68">
        <v>46501.0</v>
      </c>
      <c r="E7515" s="66">
        <v>3.0</v>
      </c>
      <c r="F7515" s="66" t="str">
        <f>IFERROR(__xludf.DUMMYFUNCTION("GOOGLETRANSLATE(A7515,""en"",""pt"")"),"#VALUE!")</f>
        <v>#VALUE!</v>
      </c>
      <c r="G7515" s="69"/>
    </row>
    <row r="7516" ht="22.5" customHeight="1">
      <c r="A7516" s="66"/>
      <c r="B7516" s="67" t="str">
        <f t="shared" si="16"/>
        <v>M: </v>
      </c>
      <c r="C7516" s="68"/>
      <c r="D7516" s="68">
        <v>46501.0</v>
      </c>
      <c r="E7516" s="66">
        <v>4.0</v>
      </c>
      <c r="F7516" s="66" t="str">
        <f>IFERROR(__xludf.DUMMYFUNCTION("GOOGLETRANSLATE(A7516,""en"",""pt"")"),"#VALUE!")</f>
        <v>#VALUE!</v>
      </c>
      <c r="G7516" s="69"/>
    </row>
    <row r="7517" ht="22.5" customHeight="1">
      <c r="A7517" s="66"/>
      <c r="B7517" s="67" t="str">
        <f t="shared" si="16"/>
        <v>M: </v>
      </c>
      <c r="C7517" s="68"/>
      <c r="D7517" s="68">
        <v>46501.0</v>
      </c>
      <c r="E7517" s="66">
        <v>5.0</v>
      </c>
      <c r="F7517" s="66" t="str">
        <f>IFERROR(__xludf.DUMMYFUNCTION("GOOGLETRANSLATE(A7517,""en"",""pt"")"),"#VALUE!")</f>
        <v>#VALUE!</v>
      </c>
      <c r="G7517" s="69"/>
    </row>
    <row r="7518" ht="22.5" customHeight="1">
      <c r="A7518" s="66"/>
      <c r="B7518" s="67" t="str">
        <f t="shared" si="16"/>
        <v>M: </v>
      </c>
      <c r="C7518" s="68"/>
      <c r="D7518" s="68">
        <v>46501.0</v>
      </c>
      <c r="E7518" s="66">
        <v>6.0</v>
      </c>
      <c r="F7518" s="66" t="str">
        <f>IFERROR(__xludf.DUMMYFUNCTION("GOOGLETRANSLATE(A7518,""en"",""pt"")"),"#VALUE!")</f>
        <v>#VALUE!</v>
      </c>
      <c r="G7518" s="69"/>
    </row>
    <row r="7519" ht="22.5" customHeight="1">
      <c r="A7519" s="66"/>
      <c r="B7519" s="67" t="str">
        <f t="shared" si="16"/>
        <v>M: </v>
      </c>
      <c r="C7519" s="68"/>
      <c r="D7519" s="68">
        <v>46501.0</v>
      </c>
      <c r="E7519" s="66">
        <v>7.0</v>
      </c>
      <c r="F7519" s="66" t="str">
        <f>IFERROR(__xludf.DUMMYFUNCTION("GOOGLETRANSLATE(A7519,""en"",""pt"")"),"#VALUE!")</f>
        <v>#VALUE!</v>
      </c>
      <c r="G7519" s="69"/>
    </row>
    <row r="7520" ht="22.5" customHeight="1">
      <c r="A7520" s="66"/>
      <c r="B7520" s="67" t="str">
        <f t="shared" si="16"/>
        <v>M: </v>
      </c>
      <c r="C7520" s="68"/>
      <c r="D7520" s="68">
        <v>46501.0</v>
      </c>
      <c r="E7520" s="66">
        <v>8.0</v>
      </c>
      <c r="F7520" s="66" t="str">
        <f>IFERROR(__xludf.DUMMYFUNCTION("GOOGLETRANSLATE(A7520,""en"",""pt"")"),"#VALUE!")</f>
        <v>#VALUE!</v>
      </c>
      <c r="G7520" s="69"/>
    </row>
    <row r="7521" ht="22.5" customHeight="1">
      <c r="A7521" s="66"/>
      <c r="B7521" s="67" t="str">
        <f t="shared" si="16"/>
        <v>M: </v>
      </c>
      <c r="C7521" s="68"/>
      <c r="D7521" s="68">
        <v>46501.0</v>
      </c>
      <c r="E7521" s="66">
        <v>9.0</v>
      </c>
      <c r="F7521" s="66" t="str">
        <f>IFERROR(__xludf.DUMMYFUNCTION("GOOGLETRANSLATE(A7521,""en"",""pt"")"),"#VALUE!")</f>
        <v>#VALUE!</v>
      </c>
      <c r="G7521" s="69"/>
    </row>
    <row r="7522" ht="22.5" customHeight="1">
      <c r="A7522" s="66"/>
      <c r="B7522" s="67" t="str">
        <f t="shared" si="16"/>
        <v>M: </v>
      </c>
      <c r="C7522" s="68"/>
      <c r="D7522" s="68">
        <v>46502.0</v>
      </c>
      <c r="E7522" s="66">
        <v>10.0</v>
      </c>
      <c r="F7522" s="66" t="str">
        <f>IFERROR(__xludf.DUMMYFUNCTION("GOOGLETRANSLATE(A7522,""en"",""pt"")"),"#VALUE!")</f>
        <v>#VALUE!</v>
      </c>
      <c r="G7522" s="69"/>
    </row>
    <row r="7523" ht="22.5" customHeight="1">
      <c r="A7523" s="66"/>
      <c r="B7523" s="67" t="str">
        <f t="shared" si="16"/>
        <v>M: </v>
      </c>
      <c r="C7523" s="68"/>
      <c r="D7523" s="68">
        <v>46502.0</v>
      </c>
      <c r="E7523" s="66">
        <v>1.0</v>
      </c>
      <c r="F7523" s="66" t="str">
        <f>IFERROR(__xludf.DUMMYFUNCTION("GOOGLETRANSLATE(A7523,""en"",""pt"")"),"#VALUE!")</f>
        <v>#VALUE!</v>
      </c>
      <c r="G7523" s="69"/>
    </row>
    <row r="7524" ht="22.5" customHeight="1">
      <c r="A7524" s="66"/>
      <c r="B7524" s="67" t="str">
        <f t="shared" si="16"/>
        <v>M: </v>
      </c>
      <c r="C7524" s="68"/>
      <c r="D7524" s="68">
        <v>46502.0</v>
      </c>
      <c r="E7524" s="66">
        <v>2.0</v>
      </c>
      <c r="F7524" s="66" t="str">
        <f>IFERROR(__xludf.DUMMYFUNCTION("GOOGLETRANSLATE(A7524,""en"",""pt"")"),"#VALUE!")</f>
        <v>#VALUE!</v>
      </c>
      <c r="G7524" s="69"/>
    </row>
    <row r="7525" ht="22.5" customHeight="1">
      <c r="A7525" s="66"/>
      <c r="B7525" s="67" t="str">
        <f t="shared" si="16"/>
        <v>M: </v>
      </c>
      <c r="C7525" s="68"/>
      <c r="D7525" s="68">
        <v>46502.0</v>
      </c>
      <c r="E7525" s="66">
        <v>3.0</v>
      </c>
      <c r="F7525" s="66" t="str">
        <f>IFERROR(__xludf.DUMMYFUNCTION("GOOGLETRANSLATE(A7525,""en"",""pt"")"),"#VALUE!")</f>
        <v>#VALUE!</v>
      </c>
      <c r="G7525" s="69"/>
    </row>
    <row r="7526" ht="22.5" customHeight="1">
      <c r="A7526" s="66"/>
      <c r="B7526" s="67" t="str">
        <f t="shared" si="16"/>
        <v>M: </v>
      </c>
      <c r="C7526" s="68"/>
      <c r="D7526" s="68">
        <v>46502.0</v>
      </c>
      <c r="E7526" s="66">
        <v>4.0</v>
      </c>
      <c r="F7526" s="66" t="str">
        <f>IFERROR(__xludf.DUMMYFUNCTION("GOOGLETRANSLATE(A7526,""en"",""pt"")"),"#VALUE!")</f>
        <v>#VALUE!</v>
      </c>
      <c r="G7526" s="69"/>
    </row>
    <row r="7527" ht="22.5" customHeight="1">
      <c r="A7527" s="66"/>
      <c r="B7527" s="67" t="str">
        <f t="shared" si="16"/>
        <v>M: </v>
      </c>
      <c r="C7527" s="68"/>
      <c r="D7527" s="68">
        <v>46502.0</v>
      </c>
      <c r="E7527" s="66">
        <v>5.0</v>
      </c>
      <c r="F7527" s="66" t="str">
        <f>IFERROR(__xludf.DUMMYFUNCTION("GOOGLETRANSLATE(A7527,""en"",""pt"")"),"#VALUE!")</f>
        <v>#VALUE!</v>
      </c>
      <c r="G7527" s="69"/>
    </row>
    <row r="7528" ht="22.5" customHeight="1">
      <c r="A7528" s="66"/>
      <c r="B7528" s="67" t="str">
        <f t="shared" si="16"/>
        <v>M: </v>
      </c>
      <c r="C7528" s="68"/>
      <c r="D7528" s="68">
        <v>46502.0</v>
      </c>
      <c r="E7528" s="66">
        <v>6.0</v>
      </c>
      <c r="F7528" s="66" t="str">
        <f>IFERROR(__xludf.DUMMYFUNCTION("GOOGLETRANSLATE(A7528,""en"",""pt"")"),"#VALUE!")</f>
        <v>#VALUE!</v>
      </c>
      <c r="G7528" s="69"/>
    </row>
    <row r="7529" ht="22.5" customHeight="1">
      <c r="A7529" s="66"/>
      <c r="B7529" s="67" t="str">
        <f t="shared" si="16"/>
        <v>M: </v>
      </c>
      <c r="C7529" s="68"/>
      <c r="D7529" s="68">
        <v>46502.0</v>
      </c>
      <c r="E7529" s="66">
        <v>7.0</v>
      </c>
      <c r="F7529" s="66" t="str">
        <f>IFERROR(__xludf.DUMMYFUNCTION("GOOGLETRANSLATE(A7529,""en"",""pt"")"),"#VALUE!")</f>
        <v>#VALUE!</v>
      </c>
      <c r="G7529" s="69"/>
    </row>
    <row r="7530" ht="22.5" customHeight="1">
      <c r="A7530" s="66"/>
      <c r="B7530" s="67" t="str">
        <f t="shared" si="16"/>
        <v>M: </v>
      </c>
      <c r="C7530" s="68"/>
      <c r="D7530" s="68">
        <v>46502.0</v>
      </c>
      <c r="E7530" s="66">
        <v>8.0</v>
      </c>
      <c r="F7530" s="66" t="str">
        <f>IFERROR(__xludf.DUMMYFUNCTION("GOOGLETRANSLATE(A7530,""en"",""pt"")"),"#VALUE!")</f>
        <v>#VALUE!</v>
      </c>
      <c r="G7530" s="69"/>
    </row>
    <row r="7531" ht="22.5" customHeight="1">
      <c r="A7531" s="66"/>
      <c r="B7531" s="67" t="str">
        <f t="shared" si="16"/>
        <v>M: </v>
      </c>
      <c r="C7531" s="68"/>
      <c r="D7531" s="68">
        <v>46502.0</v>
      </c>
      <c r="E7531" s="66">
        <v>9.0</v>
      </c>
      <c r="F7531" s="66" t="str">
        <f>IFERROR(__xludf.DUMMYFUNCTION("GOOGLETRANSLATE(A7531,""en"",""pt"")"),"#VALUE!")</f>
        <v>#VALUE!</v>
      </c>
      <c r="G7531" s="69"/>
    </row>
    <row r="7532" ht="22.5" customHeight="1">
      <c r="A7532" s="66"/>
      <c r="B7532" s="67" t="str">
        <f t="shared" si="16"/>
        <v>M: </v>
      </c>
      <c r="C7532" s="68"/>
      <c r="D7532" s="68">
        <v>46503.0</v>
      </c>
      <c r="E7532" s="66">
        <v>10.0</v>
      </c>
      <c r="F7532" s="66" t="str">
        <f>IFERROR(__xludf.DUMMYFUNCTION("GOOGLETRANSLATE(A7532,""en"",""pt"")"),"#VALUE!")</f>
        <v>#VALUE!</v>
      </c>
      <c r="G7532" s="69"/>
    </row>
    <row r="7533" ht="22.5" customHeight="1">
      <c r="A7533" s="66"/>
      <c r="B7533" s="67" t="str">
        <f t="shared" si="16"/>
        <v>M: </v>
      </c>
      <c r="C7533" s="68"/>
      <c r="D7533" s="68">
        <v>46503.0</v>
      </c>
      <c r="E7533" s="66">
        <v>1.0</v>
      </c>
      <c r="F7533" s="66" t="str">
        <f>IFERROR(__xludf.DUMMYFUNCTION("GOOGLETRANSLATE(A7533,""en"",""pt"")"),"#VALUE!")</f>
        <v>#VALUE!</v>
      </c>
      <c r="G7533" s="69"/>
    </row>
    <row r="7534" ht="22.5" customHeight="1">
      <c r="A7534" s="66"/>
      <c r="B7534" s="67" t="str">
        <f t="shared" si="16"/>
        <v>M: </v>
      </c>
      <c r="C7534" s="68"/>
      <c r="D7534" s="68">
        <v>46503.0</v>
      </c>
      <c r="E7534" s="66">
        <v>2.0</v>
      </c>
      <c r="F7534" s="66" t="str">
        <f>IFERROR(__xludf.DUMMYFUNCTION("GOOGLETRANSLATE(A7534,""en"",""pt"")"),"#VALUE!")</f>
        <v>#VALUE!</v>
      </c>
      <c r="G7534" s="69"/>
    </row>
    <row r="7535" ht="22.5" customHeight="1">
      <c r="A7535" s="66"/>
      <c r="B7535" s="67" t="str">
        <f t="shared" si="16"/>
        <v>M: </v>
      </c>
      <c r="C7535" s="68"/>
      <c r="D7535" s="68">
        <v>46503.0</v>
      </c>
      <c r="E7535" s="66">
        <v>3.0</v>
      </c>
      <c r="F7535" s="66" t="str">
        <f>IFERROR(__xludf.DUMMYFUNCTION("GOOGLETRANSLATE(A7535,""en"",""pt"")"),"#VALUE!")</f>
        <v>#VALUE!</v>
      </c>
      <c r="G7535" s="69"/>
    </row>
    <row r="7536" ht="22.5" customHeight="1">
      <c r="A7536" s="66"/>
      <c r="B7536" s="67" t="str">
        <f t="shared" si="16"/>
        <v>M: </v>
      </c>
      <c r="C7536" s="68"/>
      <c r="D7536" s="68">
        <v>46503.0</v>
      </c>
      <c r="E7536" s="66">
        <v>4.0</v>
      </c>
      <c r="F7536" s="66" t="str">
        <f>IFERROR(__xludf.DUMMYFUNCTION("GOOGLETRANSLATE(A7536,""en"",""pt"")"),"#VALUE!")</f>
        <v>#VALUE!</v>
      </c>
      <c r="G7536" s="69"/>
    </row>
    <row r="7537" ht="22.5" customHeight="1">
      <c r="A7537" s="66"/>
      <c r="B7537" s="67" t="str">
        <f t="shared" si="16"/>
        <v>M: </v>
      </c>
      <c r="C7537" s="68"/>
      <c r="D7537" s="68">
        <v>46503.0</v>
      </c>
      <c r="E7537" s="66">
        <v>5.0</v>
      </c>
      <c r="F7537" s="66" t="str">
        <f>IFERROR(__xludf.DUMMYFUNCTION("GOOGLETRANSLATE(A7537,""en"",""pt"")"),"#VALUE!")</f>
        <v>#VALUE!</v>
      </c>
      <c r="G7537" s="69"/>
    </row>
    <row r="7538" ht="22.5" customHeight="1">
      <c r="A7538" s="66"/>
      <c r="B7538" s="67" t="str">
        <f t="shared" si="16"/>
        <v>M: </v>
      </c>
      <c r="C7538" s="68"/>
      <c r="D7538" s="68">
        <v>46503.0</v>
      </c>
      <c r="E7538" s="66">
        <v>6.0</v>
      </c>
      <c r="F7538" s="66" t="str">
        <f>IFERROR(__xludf.DUMMYFUNCTION("GOOGLETRANSLATE(A7538,""en"",""pt"")"),"#VALUE!")</f>
        <v>#VALUE!</v>
      </c>
      <c r="G7538" s="69"/>
    </row>
    <row r="7539" ht="22.5" customHeight="1">
      <c r="A7539" s="66"/>
      <c r="B7539" s="67" t="str">
        <f t="shared" si="16"/>
        <v>M: </v>
      </c>
      <c r="C7539" s="68"/>
      <c r="D7539" s="68">
        <v>46503.0</v>
      </c>
      <c r="E7539" s="66">
        <v>7.0</v>
      </c>
      <c r="F7539" s="66" t="str">
        <f>IFERROR(__xludf.DUMMYFUNCTION("GOOGLETRANSLATE(A7539,""en"",""pt"")"),"#VALUE!")</f>
        <v>#VALUE!</v>
      </c>
      <c r="G7539" s="69"/>
    </row>
    <row r="7540" ht="22.5" customHeight="1">
      <c r="A7540" s="66"/>
      <c r="B7540" s="67" t="str">
        <f t="shared" si="16"/>
        <v>M: </v>
      </c>
      <c r="C7540" s="68"/>
      <c r="D7540" s="68">
        <v>46503.0</v>
      </c>
      <c r="E7540" s="66">
        <v>8.0</v>
      </c>
      <c r="F7540" s="66" t="str">
        <f>IFERROR(__xludf.DUMMYFUNCTION("GOOGLETRANSLATE(A7540,""en"",""pt"")"),"#VALUE!")</f>
        <v>#VALUE!</v>
      </c>
      <c r="G7540" s="69"/>
    </row>
    <row r="7541" ht="22.5" customHeight="1">
      <c r="A7541" s="66"/>
      <c r="B7541" s="67" t="str">
        <f t="shared" si="16"/>
        <v>M: </v>
      </c>
      <c r="C7541" s="68"/>
      <c r="D7541" s="68">
        <v>46503.0</v>
      </c>
      <c r="E7541" s="66">
        <v>9.0</v>
      </c>
      <c r="F7541" s="66" t="str">
        <f>IFERROR(__xludf.DUMMYFUNCTION("GOOGLETRANSLATE(A7541,""en"",""pt"")"),"#VALUE!")</f>
        <v>#VALUE!</v>
      </c>
      <c r="G7541" s="69"/>
    </row>
    <row r="7542" ht="22.5" customHeight="1">
      <c r="A7542" s="66"/>
      <c r="B7542" s="67" t="str">
        <f t="shared" si="16"/>
        <v>M: </v>
      </c>
      <c r="C7542" s="68"/>
      <c r="D7542" s="68">
        <v>46504.0</v>
      </c>
      <c r="E7542" s="66">
        <v>10.0</v>
      </c>
      <c r="F7542" s="66" t="str">
        <f>IFERROR(__xludf.DUMMYFUNCTION("GOOGLETRANSLATE(A7542,""en"",""pt"")"),"#VALUE!")</f>
        <v>#VALUE!</v>
      </c>
      <c r="G7542" s="69"/>
    </row>
    <row r="7543" ht="22.5" customHeight="1">
      <c r="A7543" s="66"/>
      <c r="B7543" s="67" t="str">
        <f t="shared" si="16"/>
        <v>M: </v>
      </c>
      <c r="C7543" s="68"/>
      <c r="D7543" s="68">
        <v>46504.0</v>
      </c>
      <c r="E7543" s="66">
        <v>1.0</v>
      </c>
      <c r="F7543" s="66" t="str">
        <f>IFERROR(__xludf.DUMMYFUNCTION("GOOGLETRANSLATE(A7543,""en"",""pt"")"),"#VALUE!")</f>
        <v>#VALUE!</v>
      </c>
      <c r="G7543" s="69"/>
    </row>
    <row r="7544" ht="22.5" customHeight="1">
      <c r="A7544" s="66"/>
      <c r="B7544" s="67" t="str">
        <f t="shared" si="16"/>
        <v>M: </v>
      </c>
      <c r="C7544" s="68"/>
      <c r="D7544" s="68">
        <v>46504.0</v>
      </c>
      <c r="E7544" s="66">
        <v>2.0</v>
      </c>
      <c r="F7544" s="66" t="str">
        <f>IFERROR(__xludf.DUMMYFUNCTION("GOOGLETRANSLATE(A7544,""en"",""pt"")"),"#VALUE!")</f>
        <v>#VALUE!</v>
      </c>
      <c r="G7544" s="69"/>
    </row>
    <row r="7545" ht="22.5" customHeight="1">
      <c r="A7545" s="66"/>
      <c r="B7545" s="67" t="str">
        <f t="shared" si="16"/>
        <v>M: </v>
      </c>
      <c r="C7545" s="68"/>
      <c r="D7545" s="68">
        <v>46504.0</v>
      </c>
      <c r="E7545" s="66">
        <v>3.0</v>
      </c>
      <c r="F7545" s="66" t="str">
        <f>IFERROR(__xludf.DUMMYFUNCTION("GOOGLETRANSLATE(A7545,""en"",""pt"")"),"#VALUE!")</f>
        <v>#VALUE!</v>
      </c>
      <c r="G7545" s="69"/>
    </row>
    <row r="7546" ht="22.5" customHeight="1">
      <c r="A7546" s="66"/>
      <c r="B7546" s="67" t="str">
        <f t="shared" si="16"/>
        <v>M: </v>
      </c>
      <c r="C7546" s="68"/>
      <c r="D7546" s="68">
        <v>46504.0</v>
      </c>
      <c r="E7546" s="66">
        <v>4.0</v>
      </c>
      <c r="F7546" s="66" t="str">
        <f>IFERROR(__xludf.DUMMYFUNCTION("GOOGLETRANSLATE(A7546,""en"",""pt"")"),"#VALUE!")</f>
        <v>#VALUE!</v>
      </c>
      <c r="G7546" s="69"/>
    </row>
    <row r="7547" ht="22.5" customHeight="1">
      <c r="A7547" s="66"/>
      <c r="B7547" s="67" t="str">
        <f t="shared" si="16"/>
        <v>M: </v>
      </c>
      <c r="C7547" s="68"/>
      <c r="D7547" s="68">
        <v>46504.0</v>
      </c>
      <c r="E7547" s="66">
        <v>5.0</v>
      </c>
      <c r="F7547" s="66" t="str">
        <f>IFERROR(__xludf.DUMMYFUNCTION("GOOGLETRANSLATE(A7547,""en"",""pt"")"),"#VALUE!")</f>
        <v>#VALUE!</v>
      </c>
      <c r="G7547" s="69"/>
    </row>
    <row r="7548" ht="22.5" customHeight="1">
      <c r="A7548" s="66"/>
      <c r="B7548" s="67" t="str">
        <f t="shared" si="16"/>
        <v>M: </v>
      </c>
      <c r="C7548" s="68"/>
      <c r="D7548" s="68">
        <v>46504.0</v>
      </c>
      <c r="E7548" s="66">
        <v>6.0</v>
      </c>
      <c r="F7548" s="66" t="str">
        <f>IFERROR(__xludf.DUMMYFUNCTION("GOOGLETRANSLATE(A7548,""en"",""pt"")"),"#VALUE!")</f>
        <v>#VALUE!</v>
      </c>
      <c r="G7548" s="69"/>
    </row>
    <row r="7549" ht="22.5" customHeight="1">
      <c r="A7549" s="66"/>
      <c r="B7549" s="67" t="str">
        <f t="shared" si="16"/>
        <v>M: </v>
      </c>
      <c r="C7549" s="68"/>
      <c r="D7549" s="68">
        <v>46504.0</v>
      </c>
      <c r="E7549" s="66">
        <v>7.0</v>
      </c>
      <c r="F7549" s="66" t="str">
        <f>IFERROR(__xludf.DUMMYFUNCTION("GOOGLETRANSLATE(A7549,""en"",""pt"")"),"#VALUE!")</f>
        <v>#VALUE!</v>
      </c>
      <c r="G7549" s="69"/>
    </row>
    <row r="7550" ht="22.5" customHeight="1">
      <c r="A7550" s="66"/>
      <c r="B7550" s="67" t="str">
        <f t="shared" si="16"/>
        <v>M: </v>
      </c>
      <c r="C7550" s="68"/>
      <c r="D7550" s="68">
        <v>46504.0</v>
      </c>
      <c r="E7550" s="66">
        <v>8.0</v>
      </c>
      <c r="F7550" s="66" t="str">
        <f>IFERROR(__xludf.DUMMYFUNCTION("GOOGLETRANSLATE(A7550,""en"",""pt"")"),"#VALUE!")</f>
        <v>#VALUE!</v>
      </c>
      <c r="G7550" s="69"/>
    </row>
    <row r="7551" ht="22.5" customHeight="1">
      <c r="A7551" s="66"/>
      <c r="B7551" s="67" t="str">
        <f t="shared" si="16"/>
        <v>M: </v>
      </c>
      <c r="C7551" s="68"/>
      <c r="D7551" s="68">
        <v>46504.0</v>
      </c>
      <c r="E7551" s="66">
        <v>9.0</v>
      </c>
      <c r="F7551" s="66" t="str">
        <f>IFERROR(__xludf.DUMMYFUNCTION("GOOGLETRANSLATE(A7551,""en"",""pt"")"),"#VALUE!")</f>
        <v>#VALUE!</v>
      </c>
      <c r="G7551" s="69"/>
    </row>
    <row r="7552" ht="22.5" customHeight="1">
      <c r="A7552" s="66"/>
      <c r="B7552" s="67" t="str">
        <f t="shared" si="16"/>
        <v>M: </v>
      </c>
      <c r="C7552" s="68"/>
      <c r="D7552" s="68">
        <v>46505.0</v>
      </c>
      <c r="E7552" s="66">
        <v>10.0</v>
      </c>
      <c r="F7552" s="66" t="str">
        <f>IFERROR(__xludf.DUMMYFUNCTION("GOOGLETRANSLATE(A7552,""en"",""pt"")"),"#VALUE!")</f>
        <v>#VALUE!</v>
      </c>
      <c r="G7552" s="69"/>
    </row>
    <row r="7553" ht="22.5" customHeight="1">
      <c r="A7553" s="66"/>
      <c r="B7553" s="67" t="str">
        <f t="shared" si="16"/>
        <v>M: </v>
      </c>
      <c r="C7553" s="68"/>
      <c r="D7553" s="68">
        <v>46505.0</v>
      </c>
      <c r="E7553" s="66">
        <v>1.0</v>
      </c>
      <c r="F7553" s="66" t="str">
        <f>IFERROR(__xludf.DUMMYFUNCTION("GOOGLETRANSLATE(A7553,""en"",""pt"")"),"#VALUE!")</f>
        <v>#VALUE!</v>
      </c>
      <c r="G7553" s="69"/>
    </row>
    <row r="7554" ht="22.5" customHeight="1">
      <c r="A7554" s="66"/>
      <c r="B7554" s="67" t="str">
        <f t="shared" si="16"/>
        <v>M: </v>
      </c>
      <c r="C7554" s="68"/>
      <c r="D7554" s="68">
        <v>46505.0</v>
      </c>
      <c r="E7554" s="66">
        <v>2.0</v>
      </c>
      <c r="F7554" s="66" t="str">
        <f>IFERROR(__xludf.DUMMYFUNCTION("GOOGLETRANSLATE(A7554,""en"",""pt"")"),"#VALUE!")</f>
        <v>#VALUE!</v>
      </c>
      <c r="G7554" s="69"/>
    </row>
    <row r="7555" ht="22.5" customHeight="1">
      <c r="A7555" s="66"/>
      <c r="B7555" s="67" t="str">
        <f t="shared" si="16"/>
        <v>M: </v>
      </c>
      <c r="C7555" s="68"/>
      <c r="D7555" s="68">
        <v>46505.0</v>
      </c>
      <c r="E7555" s="66">
        <v>3.0</v>
      </c>
      <c r="F7555" s="66" t="str">
        <f>IFERROR(__xludf.DUMMYFUNCTION("GOOGLETRANSLATE(A7555,""en"",""pt"")"),"#VALUE!")</f>
        <v>#VALUE!</v>
      </c>
      <c r="G7555" s="69"/>
    </row>
    <row r="7556" ht="22.5" customHeight="1">
      <c r="A7556" s="66"/>
      <c r="B7556" s="67" t="str">
        <f t="shared" si="16"/>
        <v>M: </v>
      </c>
      <c r="C7556" s="68"/>
      <c r="D7556" s="68">
        <v>46505.0</v>
      </c>
      <c r="E7556" s="66">
        <v>4.0</v>
      </c>
      <c r="F7556" s="66" t="str">
        <f>IFERROR(__xludf.DUMMYFUNCTION("GOOGLETRANSLATE(A7556,""en"",""pt"")"),"#VALUE!")</f>
        <v>#VALUE!</v>
      </c>
      <c r="G7556" s="69"/>
    </row>
    <row r="7557" ht="22.5" customHeight="1">
      <c r="A7557" s="66"/>
      <c r="B7557" s="67" t="str">
        <f t="shared" si="16"/>
        <v>M: </v>
      </c>
      <c r="C7557" s="68"/>
      <c r="D7557" s="68">
        <v>46505.0</v>
      </c>
      <c r="E7557" s="66">
        <v>5.0</v>
      </c>
      <c r="F7557" s="66" t="str">
        <f>IFERROR(__xludf.DUMMYFUNCTION("GOOGLETRANSLATE(A7557,""en"",""pt"")"),"#VALUE!")</f>
        <v>#VALUE!</v>
      </c>
      <c r="G7557" s="69"/>
    </row>
    <row r="7558" ht="22.5" customHeight="1">
      <c r="A7558" s="66"/>
      <c r="B7558" s="67" t="str">
        <f t="shared" si="16"/>
        <v>M: </v>
      </c>
      <c r="C7558" s="68"/>
      <c r="D7558" s="68">
        <v>46505.0</v>
      </c>
      <c r="E7558" s="66">
        <v>6.0</v>
      </c>
      <c r="F7558" s="66" t="str">
        <f>IFERROR(__xludf.DUMMYFUNCTION("GOOGLETRANSLATE(A7558,""en"",""pt"")"),"#VALUE!")</f>
        <v>#VALUE!</v>
      </c>
      <c r="G7558" s="69"/>
    </row>
    <row r="7559" ht="22.5" customHeight="1">
      <c r="A7559" s="66"/>
      <c r="B7559" s="67" t="str">
        <f t="shared" si="16"/>
        <v>M: </v>
      </c>
      <c r="C7559" s="68"/>
      <c r="D7559" s="68">
        <v>46505.0</v>
      </c>
      <c r="E7559" s="66">
        <v>7.0</v>
      </c>
      <c r="F7559" s="66" t="str">
        <f>IFERROR(__xludf.DUMMYFUNCTION("GOOGLETRANSLATE(A7559,""en"",""pt"")"),"#VALUE!")</f>
        <v>#VALUE!</v>
      </c>
      <c r="G7559" s="69"/>
    </row>
    <row r="7560" ht="22.5" customHeight="1">
      <c r="A7560" s="66"/>
      <c r="B7560" s="67" t="str">
        <f t="shared" si="16"/>
        <v>M: </v>
      </c>
      <c r="C7560" s="68"/>
      <c r="D7560" s="68">
        <v>46505.0</v>
      </c>
      <c r="E7560" s="66">
        <v>8.0</v>
      </c>
      <c r="F7560" s="66" t="str">
        <f>IFERROR(__xludf.DUMMYFUNCTION("GOOGLETRANSLATE(A7560,""en"",""pt"")"),"#VALUE!")</f>
        <v>#VALUE!</v>
      </c>
      <c r="G7560" s="69"/>
    </row>
    <row r="7561" ht="22.5" customHeight="1">
      <c r="A7561" s="66"/>
      <c r="B7561" s="67" t="str">
        <f t="shared" si="16"/>
        <v>M: </v>
      </c>
      <c r="C7561" s="68"/>
      <c r="D7561" s="68">
        <v>46505.0</v>
      </c>
      <c r="E7561" s="66">
        <v>9.0</v>
      </c>
      <c r="F7561" s="66" t="str">
        <f>IFERROR(__xludf.DUMMYFUNCTION("GOOGLETRANSLATE(A7561,""en"",""pt"")"),"#VALUE!")</f>
        <v>#VALUE!</v>
      </c>
      <c r="G7561" s="69"/>
    </row>
    <row r="7562" ht="22.5" customHeight="1">
      <c r="A7562" s="66"/>
      <c r="B7562" s="67" t="str">
        <f t="shared" si="16"/>
        <v>M: </v>
      </c>
      <c r="C7562" s="68"/>
      <c r="D7562" s="68">
        <v>46506.0</v>
      </c>
      <c r="E7562" s="66">
        <v>10.0</v>
      </c>
      <c r="F7562" s="66" t="str">
        <f>IFERROR(__xludf.DUMMYFUNCTION("GOOGLETRANSLATE(A7562,""en"",""pt"")"),"#VALUE!")</f>
        <v>#VALUE!</v>
      </c>
      <c r="G7562" s="69"/>
    </row>
    <row r="7563" ht="22.5" customHeight="1">
      <c r="A7563" s="66"/>
      <c r="B7563" s="67" t="str">
        <f t="shared" si="16"/>
        <v>M: </v>
      </c>
      <c r="C7563" s="68"/>
      <c r="D7563" s="68">
        <v>46506.0</v>
      </c>
      <c r="E7563" s="66">
        <v>1.0</v>
      </c>
      <c r="F7563" s="66" t="str">
        <f>IFERROR(__xludf.DUMMYFUNCTION("GOOGLETRANSLATE(A7563,""en"",""pt"")"),"#VALUE!")</f>
        <v>#VALUE!</v>
      </c>
      <c r="G7563" s="69"/>
    </row>
    <row r="7564" ht="22.5" customHeight="1">
      <c r="A7564" s="66"/>
      <c r="B7564" s="67" t="str">
        <f t="shared" si="16"/>
        <v>M: </v>
      </c>
      <c r="C7564" s="68"/>
      <c r="D7564" s="68">
        <v>46506.0</v>
      </c>
      <c r="E7564" s="66">
        <v>2.0</v>
      </c>
      <c r="F7564" s="66" t="str">
        <f>IFERROR(__xludf.DUMMYFUNCTION("GOOGLETRANSLATE(A7564,""en"",""pt"")"),"#VALUE!")</f>
        <v>#VALUE!</v>
      </c>
      <c r="G7564" s="69"/>
    </row>
    <row r="7565" ht="22.5" customHeight="1">
      <c r="A7565" s="66"/>
      <c r="B7565" s="67" t="str">
        <f t="shared" si="16"/>
        <v>M: </v>
      </c>
      <c r="C7565" s="68"/>
      <c r="D7565" s="68">
        <v>46506.0</v>
      </c>
      <c r="E7565" s="66">
        <v>3.0</v>
      </c>
      <c r="F7565" s="66" t="str">
        <f>IFERROR(__xludf.DUMMYFUNCTION("GOOGLETRANSLATE(A7565,""en"",""pt"")"),"#VALUE!")</f>
        <v>#VALUE!</v>
      </c>
      <c r="G7565" s="69"/>
    </row>
    <row r="7566" ht="22.5" customHeight="1">
      <c r="A7566" s="66"/>
      <c r="B7566" s="67" t="str">
        <f t="shared" si="16"/>
        <v>M: </v>
      </c>
      <c r="C7566" s="68"/>
      <c r="D7566" s="68">
        <v>46506.0</v>
      </c>
      <c r="E7566" s="66">
        <v>4.0</v>
      </c>
      <c r="F7566" s="66" t="str">
        <f>IFERROR(__xludf.DUMMYFUNCTION("GOOGLETRANSLATE(A7566,""en"",""pt"")"),"#VALUE!")</f>
        <v>#VALUE!</v>
      </c>
      <c r="G7566" s="69"/>
    </row>
    <row r="7567" ht="22.5" customHeight="1">
      <c r="A7567" s="66"/>
      <c r="B7567" s="67" t="str">
        <f t="shared" si="16"/>
        <v>M: </v>
      </c>
      <c r="C7567" s="68"/>
      <c r="D7567" s="68">
        <v>46506.0</v>
      </c>
      <c r="E7567" s="66">
        <v>5.0</v>
      </c>
      <c r="F7567" s="66" t="str">
        <f>IFERROR(__xludf.DUMMYFUNCTION("GOOGLETRANSLATE(A7567,""en"",""pt"")"),"#VALUE!")</f>
        <v>#VALUE!</v>
      </c>
      <c r="G7567" s="69"/>
    </row>
    <row r="7568" ht="22.5" customHeight="1">
      <c r="A7568" s="66"/>
      <c r="B7568" s="67" t="str">
        <f t="shared" si="16"/>
        <v>M: </v>
      </c>
      <c r="C7568" s="68"/>
      <c r="D7568" s="68">
        <v>46506.0</v>
      </c>
      <c r="E7568" s="66">
        <v>6.0</v>
      </c>
      <c r="F7568" s="66" t="str">
        <f>IFERROR(__xludf.DUMMYFUNCTION("GOOGLETRANSLATE(A7568,""en"",""pt"")"),"#VALUE!")</f>
        <v>#VALUE!</v>
      </c>
      <c r="G7568" s="69"/>
    </row>
    <row r="7569" ht="22.5" customHeight="1">
      <c r="A7569" s="66"/>
      <c r="B7569" s="67" t="str">
        <f t="shared" si="16"/>
        <v>M: </v>
      </c>
      <c r="C7569" s="68"/>
      <c r="D7569" s="68">
        <v>46506.0</v>
      </c>
      <c r="E7569" s="66">
        <v>7.0</v>
      </c>
      <c r="F7569" s="66" t="str">
        <f>IFERROR(__xludf.DUMMYFUNCTION("GOOGLETRANSLATE(A7569,""en"",""pt"")"),"#VALUE!")</f>
        <v>#VALUE!</v>
      </c>
      <c r="G7569" s="69"/>
    </row>
    <row r="7570" ht="22.5" customHeight="1">
      <c r="A7570" s="66"/>
      <c r="B7570" s="67" t="str">
        <f t="shared" si="16"/>
        <v>M: </v>
      </c>
      <c r="C7570" s="68"/>
      <c r="D7570" s="68">
        <v>46506.0</v>
      </c>
      <c r="E7570" s="66">
        <v>8.0</v>
      </c>
      <c r="F7570" s="66" t="str">
        <f>IFERROR(__xludf.DUMMYFUNCTION("GOOGLETRANSLATE(A7570,""en"",""pt"")"),"#VALUE!")</f>
        <v>#VALUE!</v>
      </c>
      <c r="G7570" s="69"/>
    </row>
    <row r="7571" ht="22.5" customHeight="1">
      <c r="A7571" s="66"/>
      <c r="B7571" s="67" t="str">
        <f t="shared" si="16"/>
        <v>M: </v>
      </c>
      <c r="C7571" s="68"/>
      <c r="D7571" s="68">
        <v>46506.0</v>
      </c>
      <c r="E7571" s="66">
        <v>9.0</v>
      </c>
      <c r="F7571" s="66" t="str">
        <f>IFERROR(__xludf.DUMMYFUNCTION("GOOGLETRANSLATE(A7571,""en"",""pt"")"),"#VALUE!")</f>
        <v>#VALUE!</v>
      </c>
      <c r="G7571" s="69"/>
    </row>
    <row r="7572" ht="22.5" customHeight="1">
      <c r="A7572" s="66"/>
      <c r="B7572" s="67" t="str">
        <f t="shared" si="16"/>
        <v>M: </v>
      </c>
      <c r="C7572" s="68"/>
      <c r="D7572" s="68">
        <v>46507.0</v>
      </c>
      <c r="E7572" s="66">
        <v>10.0</v>
      </c>
      <c r="F7572" s="66" t="str">
        <f>IFERROR(__xludf.DUMMYFUNCTION("GOOGLETRANSLATE(A7572,""en"",""pt"")"),"#VALUE!")</f>
        <v>#VALUE!</v>
      </c>
      <c r="G7572" s="69"/>
    </row>
    <row r="7573" ht="22.5" customHeight="1">
      <c r="A7573" s="66"/>
      <c r="B7573" s="67" t="str">
        <f t="shared" si="16"/>
        <v>M: </v>
      </c>
      <c r="C7573" s="68"/>
      <c r="D7573" s="68">
        <v>46507.0</v>
      </c>
      <c r="E7573" s="66">
        <v>1.0</v>
      </c>
      <c r="F7573" s="66" t="str">
        <f>IFERROR(__xludf.DUMMYFUNCTION("GOOGLETRANSLATE(A7573,""en"",""pt"")"),"#VALUE!")</f>
        <v>#VALUE!</v>
      </c>
      <c r="G7573" s="69"/>
    </row>
    <row r="7574" ht="22.5" customHeight="1">
      <c r="A7574" s="66"/>
      <c r="B7574" s="67" t="str">
        <f t="shared" si="16"/>
        <v>M: </v>
      </c>
      <c r="C7574" s="68"/>
      <c r="D7574" s="68">
        <v>46507.0</v>
      </c>
      <c r="E7574" s="66">
        <v>2.0</v>
      </c>
      <c r="F7574" s="66" t="str">
        <f>IFERROR(__xludf.DUMMYFUNCTION("GOOGLETRANSLATE(A7574,""en"",""pt"")"),"#VALUE!")</f>
        <v>#VALUE!</v>
      </c>
      <c r="G7574" s="69"/>
    </row>
    <row r="7575" ht="22.5" customHeight="1">
      <c r="A7575" s="66"/>
      <c r="B7575" s="67" t="str">
        <f t="shared" si="16"/>
        <v>M: </v>
      </c>
      <c r="C7575" s="68"/>
      <c r="D7575" s="68">
        <v>46507.0</v>
      </c>
      <c r="E7575" s="66">
        <v>3.0</v>
      </c>
      <c r="F7575" s="66" t="str">
        <f>IFERROR(__xludf.DUMMYFUNCTION("GOOGLETRANSLATE(A7575,""en"",""pt"")"),"#VALUE!")</f>
        <v>#VALUE!</v>
      </c>
      <c r="G7575" s="69"/>
    </row>
    <row r="7576" ht="22.5" customHeight="1">
      <c r="A7576" s="66"/>
      <c r="B7576" s="67" t="str">
        <f t="shared" si="16"/>
        <v>M: </v>
      </c>
      <c r="C7576" s="68"/>
      <c r="D7576" s="68">
        <v>46507.0</v>
      </c>
      <c r="E7576" s="66">
        <v>4.0</v>
      </c>
      <c r="F7576" s="66" t="str">
        <f>IFERROR(__xludf.DUMMYFUNCTION("GOOGLETRANSLATE(A7576,""en"",""pt"")"),"#VALUE!")</f>
        <v>#VALUE!</v>
      </c>
      <c r="G7576" s="69"/>
    </row>
    <row r="7577" ht="22.5" customHeight="1">
      <c r="A7577" s="66"/>
      <c r="B7577" s="67" t="str">
        <f t="shared" si="16"/>
        <v>M: </v>
      </c>
      <c r="C7577" s="68"/>
      <c r="D7577" s="68">
        <v>46507.0</v>
      </c>
      <c r="E7577" s="66">
        <v>5.0</v>
      </c>
      <c r="F7577" s="66" t="str">
        <f>IFERROR(__xludf.DUMMYFUNCTION("GOOGLETRANSLATE(A7577,""en"",""pt"")"),"#VALUE!")</f>
        <v>#VALUE!</v>
      </c>
      <c r="G7577" s="69"/>
    </row>
    <row r="7578" ht="22.5" customHeight="1">
      <c r="A7578" s="66"/>
      <c r="B7578" s="67" t="str">
        <f t="shared" si="16"/>
        <v>M: </v>
      </c>
      <c r="C7578" s="68"/>
      <c r="D7578" s="68">
        <v>46507.0</v>
      </c>
      <c r="E7578" s="66">
        <v>6.0</v>
      </c>
      <c r="F7578" s="66" t="str">
        <f>IFERROR(__xludf.DUMMYFUNCTION("GOOGLETRANSLATE(A7578,""en"",""pt"")"),"#VALUE!")</f>
        <v>#VALUE!</v>
      </c>
      <c r="G7578" s="69"/>
    </row>
    <row r="7579" ht="22.5" customHeight="1">
      <c r="A7579" s="66"/>
      <c r="B7579" s="67" t="str">
        <f t="shared" si="16"/>
        <v>M: </v>
      </c>
      <c r="C7579" s="68"/>
      <c r="D7579" s="68">
        <v>46507.0</v>
      </c>
      <c r="E7579" s="66">
        <v>7.0</v>
      </c>
      <c r="F7579" s="66" t="str">
        <f>IFERROR(__xludf.DUMMYFUNCTION("GOOGLETRANSLATE(A7579,""en"",""pt"")"),"#VALUE!")</f>
        <v>#VALUE!</v>
      </c>
      <c r="G7579" s="69"/>
    </row>
    <row r="7580" ht="22.5" customHeight="1">
      <c r="A7580" s="66"/>
      <c r="B7580" s="67" t="str">
        <f t="shared" si="16"/>
        <v>M: </v>
      </c>
      <c r="C7580" s="68"/>
      <c r="D7580" s="68">
        <v>46507.0</v>
      </c>
      <c r="E7580" s="66">
        <v>8.0</v>
      </c>
      <c r="F7580" s="66" t="str">
        <f>IFERROR(__xludf.DUMMYFUNCTION("GOOGLETRANSLATE(A7580,""en"",""pt"")"),"#VALUE!")</f>
        <v>#VALUE!</v>
      </c>
      <c r="G7580" s="69"/>
    </row>
    <row r="7581" ht="22.5" customHeight="1">
      <c r="A7581" s="66"/>
      <c r="B7581" s="67" t="str">
        <f t="shared" si="16"/>
        <v>M: </v>
      </c>
      <c r="C7581" s="68"/>
      <c r="D7581" s="68">
        <v>46507.0</v>
      </c>
      <c r="E7581" s="66">
        <v>9.0</v>
      </c>
      <c r="F7581" s="66" t="str">
        <f>IFERROR(__xludf.DUMMYFUNCTION("GOOGLETRANSLATE(A7581,""en"",""pt"")"),"#VALUE!")</f>
        <v>#VALUE!</v>
      </c>
      <c r="G7581" s="69"/>
    </row>
    <row r="7582" ht="22.5" customHeight="1">
      <c r="A7582" s="66"/>
      <c r="B7582" s="67" t="str">
        <f t="shared" si="16"/>
        <v>M: </v>
      </c>
      <c r="C7582" s="68"/>
      <c r="D7582" s="68">
        <v>46508.0</v>
      </c>
      <c r="E7582" s="66">
        <v>10.0</v>
      </c>
      <c r="F7582" s="66" t="str">
        <f>IFERROR(__xludf.DUMMYFUNCTION("GOOGLETRANSLATE(A7582,""en"",""pt"")"),"#VALUE!")</f>
        <v>#VALUE!</v>
      </c>
      <c r="G7582" s="69"/>
    </row>
    <row r="7583" ht="22.5" customHeight="1">
      <c r="A7583" s="66"/>
      <c r="B7583" s="67" t="str">
        <f t="shared" si="16"/>
        <v>M: </v>
      </c>
      <c r="C7583" s="68"/>
      <c r="D7583" s="68">
        <v>46508.0</v>
      </c>
      <c r="E7583" s="66">
        <v>1.0</v>
      </c>
      <c r="F7583" s="66" t="str">
        <f>IFERROR(__xludf.DUMMYFUNCTION("GOOGLETRANSLATE(A7583,""en"",""pt"")"),"#VALUE!")</f>
        <v>#VALUE!</v>
      </c>
      <c r="G7583" s="69"/>
    </row>
    <row r="7584" ht="22.5" customHeight="1">
      <c r="A7584" s="66"/>
      <c r="B7584" s="67" t="str">
        <f t="shared" si="16"/>
        <v>M: </v>
      </c>
      <c r="C7584" s="68"/>
      <c r="D7584" s="68">
        <v>46508.0</v>
      </c>
      <c r="E7584" s="66">
        <v>2.0</v>
      </c>
      <c r="F7584" s="66" t="str">
        <f>IFERROR(__xludf.DUMMYFUNCTION("GOOGLETRANSLATE(A7584,""en"",""pt"")"),"#VALUE!")</f>
        <v>#VALUE!</v>
      </c>
      <c r="G7584" s="69"/>
    </row>
    <row r="7585" ht="22.5" customHeight="1">
      <c r="A7585" s="66"/>
      <c r="B7585" s="67" t="str">
        <f t="shared" si="16"/>
        <v>M: </v>
      </c>
      <c r="C7585" s="68"/>
      <c r="D7585" s="68">
        <v>46508.0</v>
      </c>
      <c r="E7585" s="66">
        <v>3.0</v>
      </c>
      <c r="F7585" s="66" t="str">
        <f>IFERROR(__xludf.DUMMYFUNCTION("GOOGLETRANSLATE(A7585,""en"",""pt"")"),"#VALUE!")</f>
        <v>#VALUE!</v>
      </c>
      <c r="G7585" s="69"/>
    </row>
    <row r="7586" ht="22.5" customHeight="1">
      <c r="A7586" s="66"/>
      <c r="B7586" s="67" t="str">
        <f t="shared" si="16"/>
        <v>M: </v>
      </c>
      <c r="C7586" s="68"/>
      <c r="D7586" s="68">
        <v>46508.0</v>
      </c>
      <c r="E7586" s="66">
        <v>4.0</v>
      </c>
      <c r="F7586" s="66" t="str">
        <f>IFERROR(__xludf.DUMMYFUNCTION("GOOGLETRANSLATE(A7586,""en"",""pt"")"),"#VALUE!")</f>
        <v>#VALUE!</v>
      </c>
      <c r="G7586" s="69"/>
    </row>
    <row r="7587" ht="22.5" customHeight="1">
      <c r="A7587" s="66"/>
      <c r="B7587" s="67" t="str">
        <f t="shared" si="16"/>
        <v>M: </v>
      </c>
      <c r="C7587" s="68"/>
      <c r="D7587" s="68">
        <v>46508.0</v>
      </c>
      <c r="E7587" s="66">
        <v>5.0</v>
      </c>
      <c r="F7587" s="66" t="str">
        <f>IFERROR(__xludf.DUMMYFUNCTION("GOOGLETRANSLATE(A7587,""en"",""pt"")"),"#VALUE!")</f>
        <v>#VALUE!</v>
      </c>
      <c r="G7587" s="69"/>
    </row>
    <row r="7588" ht="22.5" customHeight="1">
      <c r="A7588" s="66"/>
      <c r="B7588" s="67" t="str">
        <f t="shared" si="16"/>
        <v>M: </v>
      </c>
      <c r="C7588" s="68"/>
      <c r="D7588" s="68">
        <v>46508.0</v>
      </c>
      <c r="E7588" s="66">
        <v>6.0</v>
      </c>
      <c r="F7588" s="66" t="str">
        <f>IFERROR(__xludf.DUMMYFUNCTION("GOOGLETRANSLATE(A7588,""en"",""pt"")"),"#VALUE!")</f>
        <v>#VALUE!</v>
      </c>
      <c r="G7588" s="69"/>
    </row>
    <row r="7589" ht="22.5" customHeight="1">
      <c r="A7589" s="66"/>
      <c r="B7589" s="67" t="str">
        <f t="shared" si="16"/>
        <v>M: </v>
      </c>
      <c r="C7589" s="68"/>
      <c r="D7589" s="68">
        <v>46508.0</v>
      </c>
      <c r="E7589" s="66">
        <v>7.0</v>
      </c>
      <c r="F7589" s="66" t="str">
        <f>IFERROR(__xludf.DUMMYFUNCTION("GOOGLETRANSLATE(A7589,""en"",""pt"")"),"#VALUE!")</f>
        <v>#VALUE!</v>
      </c>
      <c r="G7589" s="69"/>
    </row>
    <row r="7590" ht="22.5" customHeight="1">
      <c r="A7590" s="66"/>
      <c r="B7590" s="67" t="str">
        <f t="shared" si="16"/>
        <v>M: </v>
      </c>
      <c r="C7590" s="68"/>
      <c r="D7590" s="68">
        <v>46508.0</v>
      </c>
      <c r="E7590" s="66">
        <v>8.0</v>
      </c>
      <c r="F7590" s="66" t="str">
        <f>IFERROR(__xludf.DUMMYFUNCTION("GOOGLETRANSLATE(A7590,""en"",""pt"")"),"#VALUE!")</f>
        <v>#VALUE!</v>
      </c>
      <c r="G7590" s="69"/>
    </row>
    <row r="7591" ht="22.5" customHeight="1">
      <c r="A7591" s="66"/>
      <c r="B7591" s="67" t="str">
        <f t="shared" si="16"/>
        <v>M: </v>
      </c>
      <c r="C7591" s="68"/>
      <c r="D7591" s="68">
        <v>46508.0</v>
      </c>
      <c r="E7591" s="66">
        <v>9.0</v>
      </c>
      <c r="F7591" s="66" t="str">
        <f>IFERROR(__xludf.DUMMYFUNCTION("GOOGLETRANSLATE(A7591,""en"",""pt"")"),"#VALUE!")</f>
        <v>#VALUE!</v>
      </c>
      <c r="G7591" s="69"/>
    </row>
    <row r="7592" ht="22.5" customHeight="1">
      <c r="A7592" s="66"/>
      <c r="B7592" s="67" t="str">
        <f t="shared" si="16"/>
        <v>M: </v>
      </c>
      <c r="C7592" s="68"/>
      <c r="D7592" s="68">
        <v>46509.0</v>
      </c>
      <c r="E7592" s="66">
        <v>10.0</v>
      </c>
      <c r="F7592" s="66" t="str">
        <f>IFERROR(__xludf.DUMMYFUNCTION("GOOGLETRANSLATE(A7592,""en"",""pt"")"),"#VALUE!")</f>
        <v>#VALUE!</v>
      </c>
      <c r="G7592" s="69"/>
    </row>
    <row r="7593" ht="22.5" customHeight="1">
      <c r="A7593" s="66"/>
      <c r="B7593" s="67" t="str">
        <f t="shared" si="16"/>
        <v>M: </v>
      </c>
      <c r="C7593" s="68"/>
      <c r="D7593" s="68">
        <v>46509.0</v>
      </c>
      <c r="E7593" s="66">
        <v>1.0</v>
      </c>
      <c r="F7593" s="66" t="str">
        <f>IFERROR(__xludf.DUMMYFUNCTION("GOOGLETRANSLATE(A7593,""en"",""pt"")"),"#VALUE!")</f>
        <v>#VALUE!</v>
      </c>
      <c r="G7593" s="69"/>
    </row>
    <row r="7594" ht="22.5" customHeight="1">
      <c r="A7594" s="66"/>
      <c r="B7594" s="67" t="str">
        <f t="shared" si="16"/>
        <v>M: </v>
      </c>
      <c r="C7594" s="68"/>
      <c r="D7594" s="68">
        <v>46509.0</v>
      </c>
      <c r="E7594" s="66">
        <v>2.0</v>
      </c>
      <c r="F7594" s="66" t="str">
        <f>IFERROR(__xludf.DUMMYFUNCTION("GOOGLETRANSLATE(A7594,""en"",""pt"")"),"#VALUE!")</f>
        <v>#VALUE!</v>
      </c>
      <c r="G7594" s="69"/>
    </row>
    <row r="7595" ht="22.5" customHeight="1">
      <c r="A7595" s="66"/>
      <c r="B7595" s="67" t="str">
        <f t="shared" si="16"/>
        <v>M: </v>
      </c>
      <c r="C7595" s="68"/>
      <c r="D7595" s="68">
        <v>46509.0</v>
      </c>
      <c r="E7595" s="66">
        <v>3.0</v>
      </c>
      <c r="F7595" s="66" t="str">
        <f>IFERROR(__xludf.DUMMYFUNCTION("GOOGLETRANSLATE(A7595,""en"",""pt"")"),"#VALUE!")</f>
        <v>#VALUE!</v>
      </c>
      <c r="G7595" s="69"/>
    </row>
    <row r="7596" ht="22.5" customHeight="1">
      <c r="A7596" s="66"/>
      <c r="B7596" s="67" t="str">
        <f t="shared" si="16"/>
        <v>M: </v>
      </c>
      <c r="C7596" s="68"/>
      <c r="D7596" s="68">
        <v>46509.0</v>
      </c>
      <c r="E7596" s="66">
        <v>4.0</v>
      </c>
      <c r="F7596" s="66" t="str">
        <f>IFERROR(__xludf.DUMMYFUNCTION("GOOGLETRANSLATE(A7596,""en"",""pt"")"),"#VALUE!")</f>
        <v>#VALUE!</v>
      </c>
      <c r="G7596" s="69"/>
    </row>
    <row r="7597" ht="22.5" customHeight="1">
      <c r="A7597" s="66"/>
      <c r="B7597" s="67" t="str">
        <f t="shared" si="16"/>
        <v>M: </v>
      </c>
      <c r="C7597" s="68"/>
      <c r="D7597" s="68">
        <v>46509.0</v>
      </c>
      <c r="E7597" s="66">
        <v>5.0</v>
      </c>
      <c r="F7597" s="66" t="str">
        <f>IFERROR(__xludf.DUMMYFUNCTION("GOOGLETRANSLATE(A7597,""en"",""pt"")"),"#VALUE!")</f>
        <v>#VALUE!</v>
      </c>
      <c r="G7597" s="69"/>
    </row>
    <row r="7598" ht="22.5" customHeight="1">
      <c r="A7598" s="66"/>
      <c r="B7598" s="67" t="str">
        <f t="shared" si="16"/>
        <v>M: </v>
      </c>
      <c r="C7598" s="68"/>
      <c r="D7598" s="68">
        <v>46509.0</v>
      </c>
      <c r="E7598" s="66">
        <v>6.0</v>
      </c>
      <c r="F7598" s="66" t="str">
        <f>IFERROR(__xludf.DUMMYFUNCTION("GOOGLETRANSLATE(A7598,""en"",""pt"")"),"#VALUE!")</f>
        <v>#VALUE!</v>
      </c>
      <c r="G7598" s="69"/>
    </row>
    <row r="7599" ht="22.5" customHeight="1">
      <c r="A7599" s="66"/>
      <c r="B7599" s="67" t="str">
        <f t="shared" si="16"/>
        <v>M: </v>
      </c>
      <c r="C7599" s="68"/>
      <c r="D7599" s="68">
        <v>46509.0</v>
      </c>
      <c r="E7599" s="66">
        <v>7.0</v>
      </c>
      <c r="F7599" s="66" t="str">
        <f>IFERROR(__xludf.DUMMYFUNCTION("GOOGLETRANSLATE(A7599,""en"",""pt"")"),"#VALUE!")</f>
        <v>#VALUE!</v>
      </c>
      <c r="G7599" s="69"/>
    </row>
    <row r="7600" ht="22.5" customHeight="1">
      <c r="A7600" s="66"/>
      <c r="B7600" s="67" t="str">
        <f t="shared" si="16"/>
        <v>M: </v>
      </c>
      <c r="C7600" s="68"/>
      <c r="D7600" s="68">
        <v>46509.0</v>
      </c>
      <c r="E7600" s="66">
        <v>8.0</v>
      </c>
      <c r="F7600" s="66" t="str">
        <f>IFERROR(__xludf.DUMMYFUNCTION("GOOGLETRANSLATE(A7600,""en"",""pt"")"),"#VALUE!")</f>
        <v>#VALUE!</v>
      </c>
      <c r="G7600" s="69"/>
    </row>
    <row r="7601" ht="22.5" customHeight="1">
      <c r="A7601" s="66"/>
      <c r="B7601" s="67" t="str">
        <f t="shared" si="16"/>
        <v>M: </v>
      </c>
      <c r="C7601" s="68"/>
      <c r="D7601" s="68">
        <v>46509.0</v>
      </c>
      <c r="E7601" s="66">
        <v>9.0</v>
      </c>
      <c r="F7601" s="66" t="str">
        <f>IFERROR(__xludf.DUMMYFUNCTION("GOOGLETRANSLATE(A7601,""en"",""pt"")"),"#VALUE!")</f>
        <v>#VALUE!</v>
      </c>
      <c r="G7601" s="69"/>
    </row>
    <row r="7602" ht="22.5" customHeight="1">
      <c r="A7602" s="66"/>
      <c r="B7602" s="67" t="str">
        <f t="shared" si="16"/>
        <v>M: </v>
      </c>
      <c r="C7602" s="68"/>
      <c r="D7602" s="68">
        <v>46510.0</v>
      </c>
      <c r="E7602" s="66">
        <v>10.0</v>
      </c>
      <c r="F7602" s="66" t="str">
        <f>IFERROR(__xludf.DUMMYFUNCTION("GOOGLETRANSLATE(A7602,""en"",""pt"")"),"#VALUE!")</f>
        <v>#VALUE!</v>
      </c>
      <c r="G7602" s="69"/>
    </row>
    <row r="7603" ht="22.5" customHeight="1">
      <c r="A7603" s="66"/>
      <c r="B7603" s="67" t="str">
        <f t="shared" si="16"/>
        <v>M: </v>
      </c>
      <c r="C7603" s="68"/>
      <c r="D7603" s="68">
        <v>46510.0</v>
      </c>
      <c r="E7603" s="66">
        <v>1.0</v>
      </c>
      <c r="F7603" s="66" t="str">
        <f>IFERROR(__xludf.DUMMYFUNCTION("GOOGLETRANSLATE(A7603,""en"",""pt"")"),"#VALUE!")</f>
        <v>#VALUE!</v>
      </c>
      <c r="G7603" s="69"/>
    </row>
    <row r="7604" ht="22.5" customHeight="1">
      <c r="A7604" s="66"/>
      <c r="B7604" s="67" t="str">
        <f t="shared" si="16"/>
        <v>M: </v>
      </c>
      <c r="C7604" s="68"/>
      <c r="D7604" s="68">
        <v>46510.0</v>
      </c>
      <c r="E7604" s="66">
        <v>2.0</v>
      </c>
      <c r="F7604" s="66" t="str">
        <f>IFERROR(__xludf.DUMMYFUNCTION("GOOGLETRANSLATE(A7604,""en"",""pt"")"),"#VALUE!")</f>
        <v>#VALUE!</v>
      </c>
      <c r="G7604" s="69"/>
    </row>
    <row r="7605" ht="22.5" customHeight="1">
      <c r="A7605" s="66"/>
      <c r="B7605" s="67" t="str">
        <f t="shared" si="16"/>
        <v>M: </v>
      </c>
      <c r="C7605" s="68"/>
      <c r="D7605" s="68">
        <v>46510.0</v>
      </c>
      <c r="E7605" s="66">
        <v>3.0</v>
      </c>
      <c r="F7605" s="66" t="str">
        <f>IFERROR(__xludf.DUMMYFUNCTION("GOOGLETRANSLATE(A7605,""en"",""pt"")"),"#VALUE!")</f>
        <v>#VALUE!</v>
      </c>
      <c r="G7605" s="69"/>
    </row>
    <row r="7606" ht="22.5" customHeight="1">
      <c r="A7606" s="66"/>
      <c r="B7606" s="67" t="str">
        <f t="shared" si="16"/>
        <v>M: </v>
      </c>
      <c r="C7606" s="68"/>
      <c r="D7606" s="68">
        <v>46510.0</v>
      </c>
      <c r="E7606" s="66">
        <v>4.0</v>
      </c>
      <c r="F7606" s="66" t="str">
        <f>IFERROR(__xludf.DUMMYFUNCTION("GOOGLETRANSLATE(A7606,""en"",""pt"")"),"#VALUE!")</f>
        <v>#VALUE!</v>
      </c>
      <c r="G7606" s="69"/>
    </row>
    <row r="7607" ht="22.5" customHeight="1">
      <c r="A7607" s="66"/>
      <c r="B7607" s="67" t="str">
        <f t="shared" si="16"/>
        <v>M: </v>
      </c>
      <c r="C7607" s="68"/>
      <c r="D7607" s="68">
        <v>46510.0</v>
      </c>
      <c r="E7607" s="66">
        <v>5.0</v>
      </c>
      <c r="F7607" s="66" t="str">
        <f>IFERROR(__xludf.DUMMYFUNCTION("GOOGLETRANSLATE(A7607,""en"",""pt"")"),"#VALUE!")</f>
        <v>#VALUE!</v>
      </c>
      <c r="G7607" s="69"/>
    </row>
    <row r="7608" ht="22.5" customHeight="1">
      <c r="A7608" s="66"/>
      <c r="B7608" s="67" t="str">
        <f t="shared" si="16"/>
        <v>M: </v>
      </c>
      <c r="C7608" s="68"/>
      <c r="D7608" s="68">
        <v>46510.0</v>
      </c>
      <c r="E7608" s="66">
        <v>6.0</v>
      </c>
      <c r="F7608" s="66" t="str">
        <f>IFERROR(__xludf.DUMMYFUNCTION("GOOGLETRANSLATE(A7608,""en"",""pt"")"),"#VALUE!")</f>
        <v>#VALUE!</v>
      </c>
      <c r="G7608" s="69"/>
    </row>
    <row r="7609" ht="22.5" customHeight="1">
      <c r="A7609" s="66"/>
      <c r="B7609" s="67" t="str">
        <f t="shared" si="16"/>
        <v>M: </v>
      </c>
      <c r="C7609" s="68"/>
      <c r="D7609" s="68">
        <v>46510.0</v>
      </c>
      <c r="E7609" s="66">
        <v>7.0</v>
      </c>
      <c r="F7609" s="66" t="str">
        <f>IFERROR(__xludf.DUMMYFUNCTION("GOOGLETRANSLATE(A7609,""en"",""pt"")"),"#VALUE!")</f>
        <v>#VALUE!</v>
      </c>
      <c r="G7609" s="69"/>
    </row>
    <row r="7610" ht="22.5" customHeight="1">
      <c r="A7610" s="66"/>
      <c r="B7610" s="67" t="str">
        <f t="shared" si="16"/>
        <v>M: </v>
      </c>
      <c r="C7610" s="68"/>
      <c r="D7610" s="68">
        <v>46510.0</v>
      </c>
      <c r="E7610" s="66">
        <v>8.0</v>
      </c>
      <c r="F7610" s="66" t="str">
        <f>IFERROR(__xludf.DUMMYFUNCTION("GOOGLETRANSLATE(A7610,""en"",""pt"")"),"#VALUE!")</f>
        <v>#VALUE!</v>
      </c>
      <c r="G7610" s="69"/>
    </row>
    <row r="7611" ht="22.5" customHeight="1">
      <c r="A7611" s="66"/>
      <c r="B7611" s="67" t="str">
        <f t="shared" si="16"/>
        <v>M: </v>
      </c>
      <c r="C7611" s="68"/>
      <c r="D7611" s="68">
        <v>46510.0</v>
      </c>
      <c r="E7611" s="66">
        <v>9.0</v>
      </c>
      <c r="F7611" s="66" t="str">
        <f>IFERROR(__xludf.DUMMYFUNCTION("GOOGLETRANSLATE(A7611,""en"",""pt"")"),"#VALUE!")</f>
        <v>#VALUE!</v>
      </c>
      <c r="G7611" s="69"/>
    </row>
    <row r="7612" ht="22.5" customHeight="1">
      <c r="A7612" s="66"/>
      <c r="B7612" s="67" t="str">
        <f t="shared" si="16"/>
        <v>M: </v>
      </c>
      <c r="C7612" s="68"/>
      <c r="D7612" s="68">
        <v>46511.0</v>
      </c>
      <c r="E7612" s="66">
        <v>10.0</v>
      </c>
      <c r="F7612" s="66" t="str">
        <f>IFERROR(__xludf.DUMMYFUNCTION("GOOGLETRANSLATE(A7612,""en"",""pt"")"),"#VALUE!")</f>
        <v>#VALUE!</v>
      </c>
      <c r="G7612" s="69"/>
    </row>
    <row r="7613" ht="22.5" customHeight="1">
      <c r="A7613" s="66"/>
      <c r="B7613" s="67" t="str">
        <f t="shared" si="16"/>
        <v>M: </v>
      </c>
      <c r="C7613" s="68"/>
      <c r="D7613" s="68">
        <v>46511.0</v>
      </c>
      <c r="E7613" s="66">
        <v>1.0</v>
      </c>
      <c r="F7613" s="66" t="str">
        <f>IFERROR(__xludf.DUMMYFUNCTION("GOOGLETRANSLATE(A7613,""en"",""pt"")"),"#VALUE!")</f>
        <v>#VALUE!</v>
      </c>
      <c r="G7613" s="69"/>
    </row>
    <row r="7614" ht="22.5" customHeight="1">
      <c r="A7614" s="66"/>
      <c r="B7614" s="67" t="str">
        <f t="shared" si="16"/>
        <v>M: </v>
      </c>
      <c r="C7614" s="68"/>
      <c r="D7614" s="68">
        <v>46511.0</v>
      </c>
      <c r="E7614" s="66">
        <v>2.0</v>
      </c>
      <c r="F7614" s="66" t="str">
        <f>IFERROR(__xludf.DUMMYFUNCTION("GOOGLETRANSLATE(A7614,""en"",""pt"")"),"#VALUE!")</f>
        <v>#VALUE!</v>
      </c>
      <c r="G7614" s="69"/>
    </row>
    <row r="7615" ht="22.5" customHeight="1">
      <c r="A7615" s="66"/>
      <c r="B7615" s="67" t="str">
        <f t="shared" si="16"/>
        <v>M: </v>
      </c>
      <c r="C7615" s="68"/>
      <c r="D7615" s="68">
        <v>46511.0</v>
      </c>
      <c r="E7615" s="66">
        <v>3.0</v>
      </c>
      <c r="F7615" s="66" t="str">
        <f>IFERROR(__xludf.DUMMYFUNCTION("GOOGLETRANSLATE(A7615,""en"",""pt"")"),"#VALUE!")</f>
        <v>#VALUE!</v>
      </c>
      <c r="G7615" s="69"/>
    </row>
    <row r="7616" ht="22.5" customHeight="1">
      <c r="A7616" s="66"/>
      <c r="B7616" s="67" t="str">
        <f t="shared" si="16"/>
        <v>M: </v>
      </c>
      <c r="C7616" s="68"/>
      <c r="D7616" s="68">
        <v>46511.0</v>
      </c>
      <c r="E7616" s="66">
        <v>4.0</v>
      </c>
      <c r="F7616" s="66" t="str">
        <f>IFERROR(__xludf.DUMMYFUNCTION("GOOGLETRANSLATE(A7616,""en"",""pt"")"),"#VALUE!")</f>
        <v>#VALUE!</v>
      </c>
      <c r="G7616" s="69"/>
    </row>
    <row r="7617" ht="22.5" customHeight="1">
      <c r="A7617" s="66"/>
      <c r="B7617" s="67" t="str">
        <f t="shared" si="16"/>
        <v>M: </v>
      </c>
      <c r="C7617" s="68"/>
      <c r="D7617" s="68">
        <v>46511.0</v>
      </c>
      <c r="E7617" s="66">
        <v>5.0</v>
      </c>
      <c r="F7617" s="66" t="str">
        <f>IFERROR(__xludf.DUMMYFUNCTION("GOOGLETRANSLATE(A7617,""en"",""pt"")"),"#VALUE!")</f>
        <v>#VALUE!</v>
      </c>
      <c r="G7617" s="69"/>
    </row>
    <row r="7618" ht="22.5" customHeight="1">
      <c r="A7618" s="66"/>
      <c r="B7618" s="67" t="str">
        <f t="shared" si="16"/>
        <v>M: </v>
      </c>
      <c r="C7618" s="68"/>
      <c r="D7618" s="68">
        <v>46511.0</v>
      </c>
      <c r="E7618" s="66">
        <v>6.0</v>
      </c>
      <c r="F7618" s="66" t="str">
        <f>IFERROR(__xludf.DUMMYFUNCTION("GOOGLETRANSLATE(A7618,""en"",""pt"")"),"#VALUE!")</f>
        <v>#VALUE!</v>
      </c>
      <c r="G7618" s="69"/>
    </row>
    <row r="7619" ht="22.5" customHeight="1">
      <c r="A7619" s="66"/>
      <c r="B7619" s="67" t="str">
        <f t="shared" si="16"/>
        <v>M: </v>
      </c>
      <c r="C7619" s="68"/>
      <c r="D7619" s="68">
        <v>46511.0</v>
      </c>
      <c r="E7619" s="66">
        <v>7.0</v>
      </c>
      <c r="F7619" s="66" t="str">
        <f>IFERROR(__xludf.DUMMYFUNCTION("GOOGLETRANSLATE(A7619,""en"",""pt"")"),"#VALUE!")</f>
        <v>#VALUE!</v>
      </c>
      <c r="G7619" s="69"/>
    </row>
    <row r="7620" ht="22.5" customHeight="1">
      <c r="A7620" s="66"/>
      <c r="B7620" s="67" t="str">
        <f t="shared" si="16"/>
        <v>M: </v>
      </c>
      <c r="C7620" s="68"/>
      <c r="D7620" s="68">
        <v>46511.0</v>
      </c>
      <c r="E7620" s="66">
        <v>8.0</v>
      </c>
      <c r="F7620" s="66" t="str">
        <f>IFERROR(__xludf.DUMMYFUNCTION("GOOGLETRANSLATE(A7620,""en"",""pt"")"),"#VALUE!")</f>
        <v>#VALUE!</v>
      </c>
      <c r="G7620" s="69"/>
    </row>
    <row r="7621" ht="22.5" customHeight="1">
      <c r="A7621" s="66"/>
      <c r="B7621" s="67" t="str">
        <f t="shared" si="16"/>
        <v>M: </v>
      </c>
      <c r="C7621" s="68"/>
      <c r="D7621" s="68">
        <v>46511.0</v>
      </c>
      <c r="E7621" s="66">
        <v>9.0</v>
      </c>
      <c r="F7621" s="66" t="str">
        <f>IFERROR(__xludf.DUMMYFUNCTION("GOOGLETRANSLATE(A7621,""en"",""pt"")"),"#VALUE!")</f>
        <v>#VALUE!</v>
      </c>
      <c r="G7621" s="69"/>
    </row>
    <row r="7622" ht="22.5" customHeight="1">
      <c r="A7622" s="66"/>
      <c r="B7622" s="67" t="str">
        <f t="shared" si="16"/>
        <v>M: </v>
      </c>
      <c r="C7622" s="68"/>
      <c r="D7622" s="68">
        <v>46512.0</v>
      </c>
      <c r="E7622" s="66">
        <v>10.0</v>
      </c>
      <c r="F7622" s="66" t="str">
        <f>IFERROR(__xludf.DUMMYFUNCTION("GOOGLETRANSLATE(A7622,""en"",""pt"")"),"#VALUE!")</f>
        <v>#VALUE!</v>
      </c>
      <c r="G7622" s="69"/>
    </row>
    <row r="7623" ht="22.5" customHeight="1">
      <c r="A7623" s="66"/>
      <c r="B7623" s="67" t="str">
        <f t="shared" si="16"/>
        <v>M: </v>
      </c>
      <c r="C7623" s="68"/>
      <c r="D7623" s="68">
        <v>46512.0</v>
      </c>
      <c r="E7623" s="66">
        <v>1.0</v>
      </c>
      <c r="F7623" s="66" t="str">
        <f>IFERROR(__xludf.DUMMYFUNCTION("GOOGLETRANSLATE(A7623,""en"",""pt"")"),"#VALUE!")</f>
        <v>#VALUE!</v>
      </c>
      <c r="G7623" s="69"/>
    </row>
    <row r="7624" ht="22.5" customHeight="1">
      <c r="A7624" s="66"/>
      <c r="B7624" s="67" t="str">
        <f t="shared" si="16"/>
        <v>M: </v>
      </c>
      <c r="C7624" s="68"/>
      <c r="D7624" s="68">
        <v>46512.0</v>
      </c>
      <c r="E7624" s="66">
        <v>2.0</v>
      </c>
      <c r="F7624" s="66" t="str">
        <f>IFERROR(__xludf.DUMMYFUNCTION("GOOGLETRANSLATE(A7624,""en"",""pt"")"),"#VALUE!")</f>
        <v>#VALUE!</v>
      </c>
      <c r="G7624" s="69"/>
    </row>
    <row r="7625" ht="22.5" customHeight="1">
      <c r="A7625" s="66"/>
      <c r="B7625" s="67" t="str">
        <f t="shared" si="16"/>
        <v>M: </v>
      </c>
      <c r="C7625" s="68"/>
      <c r="D7625" s="68">
        <v>46512.0</v>
      </c>
      <c r="E7625" s="66">
        <v>3.0</v>
      </c>
      <c r="F7625" s="66" t="str">
        <f>IFERROR(__xludf.DUMMYFUNCTION("GOOGLETRANSLATE(A7625,""en"",""pt"")"),"#VALUE!")</f>
        <v>#VALUE!</v>
      </c>
      <c r="G7625" s="69"/>
    </row>
    <row r="7626" ht="22.5" customHeight="1">
      <c r="A7626" s="66"/>
      <c r="B7626" s="67" t="str">
        <f t="shared" si="16"/>
        <v>M: </v>
      </c>
      <c r="C7626" s="68"/>
      <c r="D7626" s="68">
        <v>46512.0</v>
      </c>
      <c r="E7626" s="66">
        <v>4.0</v>
      </c>
      <c r="F7626" s="66" t="str">
        <f>IFERROR(__xludf.DUMMYFUNCTION("GOOGLETRANSLATE(A7626,""en"",""pt"")"),"#VALUE!")</f>
        <v>#VALUE!</v>
      </c>
      <c r="G7626" s="69"/>
    </row>
    <row r="7627" ht="22.5" customHeight="1">
      <c r="A7627" s="66"/>
      <c r="B7627" s="67" t="str">
        <f t="shared" si="16"/>
        <v>M: </v>
      </c>
      <c r="C7627" s="68"/>
      <c r="D7627" s="68">
        <v>46512.0</v>
      </c>
      <c r="E7627" s="66">
        <v>5.0</v>
      </c>
      <c r="F7627" s="66" t="str">
        <f>IFERROR(__xludf.DUMMYFUNCTION("GOOGLETRANSLATE(A7627,""en"",""pt"")"),"#VALUE!")</f>
        <v>#VALUE!</v>
      </c>
      <c r="G7627" s="69"/>
    </row>
    <row r="7628" ht="22.5" customHeight="1">
      <c r="A7628" s="66"/>
      <c r="B7628" s="67" t="str">
        <f t="shared" si="16"/>
        <v>M: </v>
      </c>
      <c r="C7628" s="68"/>
      <c r="D7628" s="68">
        <v>46512.0</v>
      </c>
      <c r="E7628" s="66">
        <v>6.0</v>
      </c>
      <c r="F7628" s="66" t="str">
        <f>IFERROR(__xludf.DUMMYFUNCTION("GOOGLETRANSLATE(A7628,""en"",""pt"")"),"#VALUE!")</f>
        <v>#VALUE!</v>
      </c>
      <c r="G7628" s="69"/>
    </row>
    <row r="7629" ht="22.5" customHeight="1">
      <c r="A7629" s="66"/>
      <c r="B7629" s="67" t="str">
        <f t="shared" si="16"/>
        <v>M: </v>
      </c>
      <c r="C7629" s="68"/>
      <c r="D7629" s="68">
        <v>46512.0</v>
      </c>
      <c r="E7629" s="66">
        <v>7.0</v>
      </c>
      <c r="F7629" s="66" t="str">
        <f>IFERROR(__xludf.DUMMYFUNCTION("GOOGLETRANSLATE(A7629,""en"",""pt"")"),"#VALUE!")</f>
        <v>#VALUE!</v>
      </c>
      <c r="G7629" s="69"/>
    </row>
    <row r="7630" ht="22.5" customHeight="1">
      <c r="A7630" s="66"/>
      <c r="B7630" s="67" t="str">
        <f t="shared" si="16"/>
        <v>M: </v>
      </c>
      <c r="C7630" s="68"/>
      <c r="D7630" s="68">
        <v>46512.0</v>
      </c>
      <c r="E7630" s="66">
        <v>8.0</v>
      </c>
      <c r="F7630" s="66" t="str">
        <f>IFERROR(__xludf.DUMMYFUNCTION("GOOGLETRANSLATE(A7630,""en"",""pt"")"),"#VALUE!")</f>
        <v>#VALUE!</v>
      </c>
      <c r="G7630" s="69"/>
    </row>
    <row r="7631" ht="22.5" customHeight="1">
      <c r="A7631" s="66"/>
      <c r="B7631" s="67" t="str">
        <f t="shared" si="16"/>
        <v>M: </v>
      </c>
      <c r="C7631" s="68"/>
      <c r="D7631" s="68">
        <v>46512.0</v>
      </c>
      <c r="E7631" s="66">
        <v>9.0</v>
      </c>
      <c r="F7631" s="66" t="str">
        <f>IFERROR(__xludf.DUMMYFUNCTION("GOOGLETRANSLATE(A7631,""en"",""pt"")"),"#VALUE!")</f>
        <v>#VALUE!</v>
      </c>
      <c r="G7631" s="69"/>
    </row>
    <row r="7632" ht="22.5" customHeight="1">
      <c r="A7632" s="66"/>
      <c r="B7632" s="67" t="str">
        <f t="shared" si="16"/>
        <v>M: </v>
      </c>
      <c r="C7632" s="68"/>
      <c r="D7632" s="68">
        <v>46513.0</v>
      </c>
      <c r="E7632" s="66">
        <v>10.0</v>
      </c>
      <c r="F7632" s="66" t="str">
        <f>IFERROR(__xludf.DUMMYFUNCTION("GOOGLETRANSLATE(A7632,""en"",""pt"")"),"#VALUE!")</f>
        <v>#VALUE!</v>
      </c>
      <c r="G7632" s="69"/>
    </row>
    <row r="7633" ht="22.5" customHeight="1">
      <c r="A7633" s="66"/>
      <c r="B7633" s="67" t="str">
        <f t="shared" si="16"/>
        <v>M: </v>
      </c>
      <c r="C7633" s="68"/>
      <c r="D7633" s="68">
        <v>46513.0</v>
      </c>
      <c r="E7633" s="66">
        <v>1.0</v>
      </c>
      <c r="F7633" s="66" t="str">
        <f>IFERROR(__xludf.DUMMYFUNCTION("GOOGLETRANSLATE(A7633,""en"",""pt"")"),"#VALUE!")</f>
        <v>#VALUE!</v>
      </c>
      <c r="G7633" s="69"/>
    </row>
    <row r="7634" ht="22.5" customHeight="1">
      <c r="A7634" s="66"/>
      <c r="B7634" s="67" t="str">
        <f t="shared" si="16"/>
        <v>M: </v>
      </c>
      <c r="C7634" s="68"/>
      <c r="D7634" s="68">
        <v>46513.0</v>
      </c>
      <c r="E7634" s="66">
        <v>2.0</v>
      </c>
      <c r="F7634" s="66" t="str">
        <f>IFERROR(__xludf.DUMMYFUNCTION("GOOGLETRANSLATE(A7634,""en"",""pt"")"),"#VALUE!")</f>
        <v>#VALUE!</v>
      </c>
      <c r="G7634" s="69"/>
    </row>
    <row r="7635" ht="22.5" customHeight="1">
      <c r="A7635" s="66"/>
      <c r="B7635" s="67" t="str">
        <f t="shared" si="16"/>
        <v>M: </v>
      </c>
      <c r="C7635" s="68"/>
      <c r="D7635" s="68">
        <v>46513.0</v>
      </c>
      <c r="E7635" s="66">
        <v>3.0</v>
      </c>
      <c r="F7635" s="66" t="str">
        <f>IFERROR(__xludf.DUMMYFUNCTION("GOOGLETRANSLATE(A7635,""en"",""pt"")"),"#VALUE!")</f>
        <v>#VALUE!</v>
      </c>
      <c r="G7635" s="69"/>
    </row>
    <row r="7636" ht="22.5" customHeight="1">
      <c r="A7636" s="66"/>
      <c r="B7636" s="67" t="str">
        <f t="shared" si="16"/>
        <v>M: </v>
      </c>
      <c r="C7636" s="68"/>
      <c r="D7636" s="68">
        <v>46513.0</v>
      </c>
      <c r="E7636" s="66">
        <v>4.0</v>
      </c>
      <c r="F7636" s="66" t="str">
        <f>IFERROR(__xludf.DUMMYFUNCTION("GOOGLETRANSLATE(A7636,""en"",""pt"")"),"#VALUE!")</f>
        <v>#VALUE!</v>
      </c>
      <c r="G7636" s="69"/>
    </row>
    <row r="7637" ht="22.5" customHeight="1">
      <c r="A7637" s="66"/>
      <c r="B7637" s="67" t="str">
        <f t="shared" si="16"/>
        <v>M: </v>
      </c>
      <c r="C7637" s="68"/>
      <c r="D7637" s="68">
        <v>46513.0</v>
      </c>
      <c r="E7637" s="66">
        <v>5.0</v>
      </c>
      <c r="F7637" s="66" t="str">
        <f>IFERROR(__xludf.DUMMYFUNCTION("GOOGLETRANSLATE(A7637,""en"",""pt"")"),"#VALUE!")</f>
        <v>#VALUE!</v>
      </c>
      <c r="G7637" s="69"/>
    </row>
    <row r="7638" ht="22.5" customHeight="1">
      <c r="A7638" s="66"/>
      <c r="B7638" s="67" t="str">
        <f t="shared" si="16"/>
        <v>M: </v>
      </c>
      <c r="C7638" s="68"/>
      <c r="D7638" s="68">
        <v>46513.0</v>
      </c>
      <c r="E7638" s="66">
        <v>6.0</v>
      </c>
      <c r="F7638" s="66" t="str">
        <f>IFERROR(__xludf.DUMMYFUNCTION("GOOGLETRANSLATE(A7638,""en"",""pt"")"),"#VALUE!")</f>
        <v>#VALUE!</v>
      </c>
      <c r="G7638" s="69"/>
    </row>
    <row r="7639" ht="22.5" customHeight="1">
      <c r="A7639" s="66"/>
      <c r="B7639" s="67" t="str">
        <f t="shared" si="16"/>
        <v>M: </v>
      </c>
      <c r="C7639" s="68"/>
      <c r="D7639" s="68">
        <v>46513.0</v>
      </c>
      <c r="E7639" s="66">
        <v>7.0</v>
      </c>
      <c r="F7639" s="66" t="str">
        <f>IFERROR(__xludf.DUMMYFUNCTION("GOOGLETRANSLATE(A7639,""en"",""pt"")"),"#VALUE!")</f>
        <v>#VALUE!</v>
      </c>
      <c r="G7639" s="69"/>
    </row>
    <row r="7640" ht="22.5" customHeight="1">
      <c r="A7640" s="66"/>
      <c r="B7640" s="67" t="str">
        <f t="shared" si="16"/>
        <v>M: </v>
      </c>
      <c r="C7640" s="68"/>
      <c r="D7640" s="68">
        <v>46513.0</v>
      </c>
      <c r="E7640" s="66">
        <v>8.0</v>
      </c>
      <c r="F7640" s="66" t="str">
        <f>IFERROR(__xludf.DUMMYFUNCTION("GOOGLETRANSLATE(A7640,""en"",""pt"")"),"#VALUE!")</f>
        <v>#VALUE!</v>
      </c>
      <c r="G7640" s="69"/>
    </row>
    <row r="7641" ht="22.5" customHeight="1">
      <c r="A7641" s="66"/>
      <c r="B7641" s="67" t="str">
        <f t="shared" si="16"/>
        <v>M: </v>
      </c>
      <c r="C7641" s="68"/>
      <c r="D7641" s="68">
        <v>46513.0</v>
      </c>
      <c r="E7641" s="66">
        <v>9.0</v>
      </c>
      <c r="F7641" s="66" t="str">
        <f>IFERROR(__xludf.DUMMYFUNCTION("GOOGLETRANSLATE(A7641,""en"",""pt"")"),"#VALUE!")</f>
        <v>#VALUE!</v>
      </c>
      <c r="G7641" s="69"/>
    </row>
    <row r="7642" ht="22.5" customHeight="1">
      <c r="A7642" s="66"/>
      <c r="B7642" s="67" t="str">
        <f t="shared" si="16"/>
        <v>M: </v>
      </c>
      <c r="C7642" s="68"/>
      <c r="D7642" s="68">
        <v>46514.0</v>
      </c>
      <c r="E7642" s="66">
        <v>10.0</v>
      </c>
      <c r="F7642" s="66" t="str">
        <f>IFERROR(__xludf.DUMMYFUNCTION("GOOGLETRANSLATE(A7642,""en"",""pt"")"),"#VALUE!")</f>
        <v>#VALUE!</v>
      </c>
      <c r="G7642" s="69"/>
    </row>
    <row r="7643" ht="22.5" customHeight="1">
      <c r="A7643" s="66"/>
      <c r="B7643" s="67" t="str">
        <f t="shared" si="16"/>
        <v>M: </v>
      </c>
      <c r="C7643" s="68"/>
      <c r="D7643" s="68">
        <v>46514.0</v>
      </c>
      <c r="E7643" s="66">
        <v>1.0</v>
      </c>
      <c r="F7643" s="66" t="str">
        <f>IFERROR(__xludf.DUMMYFUNCTION("GOOGLETRANSLATE(A7643,""en"",""pt"")"),"#VALUE!")</f>
        <v>#VALUE!</v>
      </c>
      <c r="G7643" s="69"/>
    </row>
    <row r="7644" ht="22.5" customHeight="1">
      <c r="A7644" s="66"/>
      <c r="B7644" s="67" t="str">
        <f t="shared" si="16"/>
        <v>M: </v>
      </c>
      <c r="C7644" s="68"/>
      <c r="D7644" s="68">
        <v>46514.0</v>
      </c>
      <c r="E7644" s="66">
        <v>2.0</v>
      </c>
      <c r="F7644" s="66" t="str">
        <f>IFERROR(__xludf.DUMMYFUNCTION("GOOGLETRANSLATE(A7644,""en"",""pt"")"),"#VALUE!")</f>
        <v>#VALUE!</v>
      </c>
      <c r="G7644" s="69"/>
    </row>
    <row r="7645" ht="22.5" customHeight="1">
      <c r="A7645" s="66"/>
      <c r="B7645" s="67" t="str">
        <f t="shared" si="16"/>
        <v>M: </v>
      </c>
      <c r="C7645" s="68"/>
      <c r="D7645" s="68">
        <v>46514.0</v>
      </c>
      <c r="E7645" s="66">
        <v>3.0</v>
      </c>
      <c r="F7645" s="66" t="str">
        <f>IFERROR(__xludf.DUMMYFUNCTION("GOOGLETRANSLATE(A7645,""en"",""pt"")"),"#VALUE!")</f>
        <v>#VALUE!</v>
      </c>
      <c r="G7645" s="69"/>
    </row>
    <row r="7646" ht="22.5" customHeight="1">
      <c r="A7646" s="66"/>
      <c r="B7646" s="67" t="str">
        <f t="shared" si="16"/>
        <v>M: </v>
      </c>
      <c r="C7646" s="68"/>
      <c r="D7646" s="68">
        <v>46514.0</v>
      </c>
      <c r="E7646" s="66">
        <v>4.0</v>
      </c>
      <c r="F7646" s="66" t="str">
        <f>IFERROR(__xludf.DUMMYFUNCTION("GOOGLETRANSLATE(A7646,""en"",""pt"")"),"#VALUE!")</f>
        <v>#VALUE!</v>
      </c>
      <c r="G7646" s="69"/>
    </row>
    <row r="7647" ht="22.5" customHeight="1">
      <c r="A7647" s="66"/>
      <c r="B7647" s="67" t="str">
        <f t="shared" si="16"/>
        <v>M: </v>
      </c>
      <c r="C7647" s="68"/>
      <c r="D7647" s="68">
        <v>46514.0</v>
      </c>
      <c r="E7647" s="66">
        <v>5.0</v>
      </c>
      <c r="F7647" s="66" t="str">
        <f>IFERROR(__xludf.DUMMYFUNCTION("GOOGLETRANSLATE(A7647,""en"",""pt"")"),"#VALUE!")</f>
        <v>#VALUE!</v>
      </c>
      <c r="G7647" s="69"/>
    </row>
    <row r="7648" ht="22.5" customHeight="1">
      <c r="A7648" s="66"/>
      <c r="B7648" s="67" t="str">
        <f t="shared" si="16"/>
        <v>M: </v>
      </c>
      <c r="C7648" s="68"/>
      <c r="D7648" s="68">
        <v>46514.0</v>
      </c>
      <c r="E7648" s="66">
        <v>6.0</v>
      </c>
      <c r="F7648" s="66" t="str">
        <f>IFERROR(__xludf.DUMMYFUNCTION("GOOGLETRANSLATE(A7648,""en"",""pt"")"),"#VALUE!")</f>
        <v>#VALUE!</v>
      </c>
      <c r="G7648" s="69"/>
    </row>
    <row r="7649" ht="22.5" customHeight="1">
      <c r="A7649" s="66"/>
      <c r="B7649" s="67" t="str">
        <f t="shared" si="16"/>
        <v>M: </v>
      </c>
      <c r="C7649" s="68"/>
      <c r="D7649" s="68">
        <v>46514.0</v>
      </c>
      <c r="E7649" s="66">
        <v>7.0</v>
      </c>
      <c r="F7649" s="66" t="str">
        <f>IFERROR(__xludf.DUMMYFUNCTION("GOOGLETRANSLATE(A7649,""en"",""pt"")"),"#VALUE!")</f>
        <v>#VALUE!</v>
      </c>
      <c r="G7649" s="69"/>
    </row>
    <row r="7650" ht="22.5" customHeight="1">
      <c r="A7650" s="66"/>
      <c r="B7650" s="67" t="str">
        <f t="shared" si="16"/>
        <v>M: </v>
      </c>
      <c r="C7650" s="68"/>
      <c r="D7650" s="68">
        <v>46514.0</v>
      </c>
      <c r="E7650" s="66">
        <v>8.0</v>
      </c>
      <c r="F7650" s="66" t="str">
        <f>IFERROR(__xludf.DUMMYFUNCTION("GOOGLETRANSLATE(A7650,""en"",""pt"")"),"#VALUE!")</f>
        <v>#VALUE!</v>
      </c>
      <c r="G7650" s="69"/>
    </row>
    <row r="7651" ht="22.5" customHeight="1">
      <c r="A7651" s="66"/>
      <c r="B7651" s="67" t="str">
        <f t="shared" si="16"/>
        <v>M: </v>
      </c>
      <c r="C7651" s="68"/>
      <c r="D7651" s="68">
        <v>46514.0</v>
      </c>
      <c r="E7651" s="66">
        <v>9.0</v>
      </c>
      <c r="F7651" s="66" t="str">
        <f>IFERROR(__xludf.DUMMYFUNCTION("GOOGLETRANSLATE(A7651,""en"",""pt"")"),"#VALUE!")</f>
        <v>#VALUE!</v>
      </c>
      <c r="G7651" s="69"/>
    </row>
    <row r="7652" ht="22.5" customHeight="1">
      <c r="A7652" s="66"/>
      <c r="B7652" s="67" t="str">
        <f t="shared" si="16"/>
        <v>M: </v>
      </c>
      <c r="C7652" s="68"/>
      <c r="D7652" s="68">
        <v>46515.0</v>
      </c>
      <c r="E7652" s="66">
        <v>10.0</v>
      </c>
      <c r="F7652" s="66" t="str">
        <f>IFERROR(__xludf.DUMMYFUNCTION("GOOGLETRANSLATE(A7652,""en"",""pt"")"),"#VALUE!")</f>
        <v>#VALUE!</v>
      </c>
      <c r="G7652" s="69"/>
    </row>
    <row r="7653" ht="22.5" customHeight="1">
      <c r="A7653" s="66"/>
      <c r="B7653" s="67" t="str">
        <f t="shared" si="16"/>
        <v>M: </v>
      </c>
      <c r="C7653" s="68"/>
      <c r="D7653" s="68">
        <v>46515.0</v>
      </c>
      <c r="E7653" s="66">
        <v>1.0</v>
      </c>
      <c r="F7653" s="66" t="str">
        <f>IFERROR(__xludf.DUMMYFUNCTION("GOOGLETRANSLATE(A7653,""en"",""pt"")"),"#VALUE!")</f>
        <v>#VALUE!</v>
      </c>
      <c r="G7653" s="69"/>
    </row>
    <row r="7654" ht="22.5" customHeight="1">
      <c r="A7654" s="66"/>
      <c r="B7654" s="67" t="str">
        <f t="shared" si="16"/>
        <v>M: </v>
      </c>
      <c r="C7654" s="68"/>
      <c r="D7654" s="68">
        <v>46515.0</v>
      </c>
      <c r="E7654" s="66">
        <v>2.0</v>
      </c>
      <c r="F7654" s="66" t="str">
        <f>IFERROR(__xludf.DUMMYFUNCTION("GOOGLETRANSLATE(A7654,""en"",""pt"")"),"#VALUE!")</f>
        <v>#VALUE!</v>
      </c>
      <c r="G7654" s="69"/>
    </row>
    <row r="7655" ht="22.5" customHeight="1">
      <c r="A7655" s="66"/>
      <c r="B7655" s="67" t="str">
        <f t="shared" si="16"/>
        <v>M: </v>
      </c>
      <c r="C7655" s="68"/>
      <c r="D7655" s="68">
        <v>46515.0</v>
      </c>
      <c r="E7655" s="66">
        <v>3.0</v>
      </c>
      <c r="F7655" s="66" t="str">
        <f>IFERROR(__xludf.DUMMYFUNCTION("GOOGLETRANSLATE(A7655,""en"",""pt"")"),"#VALUE!")</f>
        <v>#VALUE!</v>
      </c>
      <c r="G7655" s="69"/>
    </row>
    <row r="7656" ht="22.5" customHeight="1">
      <c r="A7656" s="66"/>
      <c r="B7656" s="67" t="str">
        <f t="shared" si="16"/>
        <v>M: </v>
      </c>
      <c r="C7656" s="68"/>
      <c r="D7656" s="68">
        <v>46515.0</v>
      </c>
      <c r="E7656" s="66">
        <v>4.0</v>
      </c>
      <c r="F7656" s="66" t="str">
        <f>IFERROR(__xludf.DUMMYFUNCTION("GOOGLETRANSLATE(A7656,""en"",""pt"")"),"#VALUE!")</f>
        <v>#VALUE!</v>
      </c>
      <c r="G7656" s="69"/>
    </row>
    <row r="7657" ht="22.5" customHeight="1">
      <c r="A7657" s="66"/>
      <c r="B7657" s="67" t="str">
        <f t="shared" si="16"/>
        <v>M: </v>
      </c>
      <c r="C7657" s="68"/>
      <c r="D7657" s="68">
        <v>46515.0</v>
      </c>
      <c r="E7657" s="66">
        <v>5.0</v>
      </c>
      <c r="F7657" s="66" t="str">
        <f>IFERROR(__xludf.DUMMYFUNCTION("GOOGLETRANSLATE(A7657,""en"",""pt"")"),"#VALUE!")</f>
        <v>#VALUE!</v>
      </c>
      <c r="G7657" s="69"/>
    </row>
    <row r="7658" ht="22.5" customHeight="1">
      <c r="A7658" s="66"/>
      <c r="B7658" s="67" t="str">
        <f t="shared" si="16"/>
        <v>M: </v>
      </c>
      <c r="C7658" s="68"/>
      <c r="D7658" s="68">
        <v>46515.0</v>
      </c>
      <c r="E7658" s="66">
        <v>6.0</v>
      </c>
      <c r="F7658" s="66" t="str">
        <f>IFERROR(__xludf.DUMMYFUNCTION("GOOGLETRANSLATE(A7658,""en"",""pt"")"),"#VALUE!")</f>
        <v>#VALUE!</v>
      </c>
      <c r="G7658" s="69"/>
    </row>
    <row r="7659" ht="22.5" customHeight="1">
      <c r="A7659" s="66"/>
      <c r="B7659" s="67" t="str">
        <f t="shared" si="16"/>
        <v>M: </v>
      </c>
      <c r="C7659" s="68"/>
      <c r="D7659" s="68">
        <v>46515.0</v>
      </c>
      <c r="E7659" s="66">
        <v>7.0</v>
      </c>
      <c r="F7659" s="66" t="str">
        <f>IFERROR(__xludf.DUMMYFUNCTION("GOOGLETRANSLATE(A7659,""en"",""pt"")"),"#VALUE!")</f>
        <v>#VALUE!</v>
      </c>
      <c r="G7659" s="69"/>
    </row>
    <row r="7660" ht="22.5" customHeight="1">
      <c r="A7660" s="66"/>
      <c r="B7660" s="67" t="str">
        <f t="shared" si="16"/>
        <v>M: </v>
      </c>
      <c r="C7660" s="68"/>
      <c r="D7660" s="68">
        <v>46515.0</v>
      </c>
      <c r="E7660" s="66">
        <v>8.0</v>
      </c>
      <c r="F7660" s="66" t="str">
        <f>IFERROR(__xludf.DUMMYFUNCTION("GOOGLETRANSLATE(A7660,""en"",""pt"")"),"#VALUE!")</f>
        <v>#VALUE!</v>
      </c>
      <c r="G7660" s="69"/>
    </row>
    <row r="7661" ht="22.5" customHeight="1">
      <c r="A7661" s="66"/>
      <c r="B7661" s="67" t="str">
        <f t="shared" si="16"/>
        <v>M: </v>
      </c>
      <c r="C7661" s="68"/>
      <c r="D7661" s="68">
        <v>46515.0</v>
      </c>
      <c r="E7661" s="66">
        <v>9.0</v>
      </c>
      <c r="F7661" s="66" t="str">
        <f>IFERROR(__xludf.DUMMYFUNCTION("GOOGLETRANSLATE(A7661,""en"",""pt"")"),"#VALUE!")</f>
        <v>#VALUE!</v>
      </c>
      <c r="G7661" s="69"/>
    </row>
    <row r="7662" ht="22.5" customHeight="1">
      <c r="A7662" s="66"/>
      <c r="B7662" s="67" t="str">
        <f t="shared" si="16"/>
        <v>M: </v>
      </c>
      <c r="C7662" s="68"/>
      <c r="D7662" s="68">
        <v>46516.0</v>
      </c>
      <c r="E7662" s="66">
        <v>10.0</v>
      </c>
      <c r="F7662" s="66" t="str">
        <f>IFERROR(__xludf.DUMMYFUNCTION("GOOGLETRANSLATE(A7662,""en"",""pt"")"),"#VALUE!")</f>
        <v>#VALUE!</v>
      </c>
      <c r="G7662" s="69"/>
    </row>
    <row r="7663" ht="22.5" customHeight="1">
      <c r="A7663" s="66"/>
      <c r="B7663" s="67" t="str">
        <f t="shared" si="16"/>
        <v>M: </v>
      </c>
      <c r="C7663" s="68"/>
      <c r="D7663" s="68">
        <v>46516.0</v>
      </c>
      <c r="E7663" s="66">
        <v>1.0</v>
      </c>
      <c r="F7663" s="66" t="str">
        <f>IFERROR(__xludf.DUMMYFUNCTION("GOOGLETRANSLATE(A7663,""en"",""pt"")"),"#VALUE!")</f>
        <v>#VALUE!</v>
      </c>
      <c r="G7663" s="69"/>
    </row>
    <row r="7664" ht="22.5" customHeight="1">
      <c r="A7664" s="66"/>
      <c r="B7664" s="67" t="str">
        <f t="shared" si="16"/>
        <v>M: </v>
      </c>
      <c r="C7664" s="68"/>
      <c r="D7664" s="68">
        <v>46516.0</v>
      </c>
      <c r="E7664" s="66">
        <v>2.0</v>
      </c>
      <c r="F7664" s="66" t="str">
        <f>IFERROR(__xludf.DUMMYFUNCTION("GOOGLETRANSLATE(A7664,""en"",""pt"")"),"#VALUE!")</f>
        <v>#VALUE!</v>
      </c>
      <c r="G7664" s="69"/>
    </row>
    <row r="7665" ht="22.5" customHeight="1">
      <c r="A7665" s="66"/>
      <c r="B7665" s="67" t="str">
        <f t="shared" si="16"/>
        <v>M: </v>
      </c>
      <c r="C7665" s="68"/>
      <c r="D7665" s="68">
        <v>46516.0</v>
      </c>
      <c r="E7665" s="66">
        <v>3.0</v>
      </c>
      <c r="F7665" s="66" t="str">
        <f>IFERROR(__xludf.DUMMYFUNCTION("GOOGLETRANSLATE(A7665,""en"",""pt"")"),"#VALUE!")</f>
        <v>#VALUE!</v>
      </c>
      <c r="G7665" s="69"/>
    </row>
    <row r="7666" ht="22.5" customHeight="1">
      <c r="A7666" s="66"/>
      <c r="B7666" s="67" t="str">
        <f t="shared" si="16"/>
        <v>M: </v>
      </c>
      <c r="C7666" s="68"/>
      <c r="D7666" s="68">
        <v>46516.0</v>
      </c>
      <c r="E7666" s="66">
        <v>4.0</v>
      </c>
      <c r="F7666" s="66" t="str">
        <f>IFERROR(__xludf.DUMMYFUNCTION("GOOGLETRANSLATE(A7666,""en"",""pt"")"),"#VALUE!")</f>
        <v>#VALUE!</v>
      </c>
      <c r="G7666" s="69"/>
    </row>
    <row r="7667" ht="22.5" customHeight="1">
      <c r="A7667" s="66"/>
      <c r="B7667" s="67" t="str">
        <f t="shared" si="16"/>
        <v>M: </v>
      </c>
      <c r="C7667" s="68"/>
      <c r="D7667" s="68">
        <v>46516.0</v>
      </c>
      <c r="E7667" s="66">
        <v>5.0</v>
      </c>
      <c r="F7667" s="66" t="str">
        <f>IFERROR(__xludf.DUMMYFUNCTION("GOOGLETRANSLATE(A7667,""en"",""pt"")"),"#VALUE!")</f>
        <v>#VALUE!</v>
      </c>
      <c r="G7667" s="69"/>
    </row>
    <row r="7668" ht="22.5" customHeight="1">
      <c r="A7668" s="66"/>
      <c r="B7668" s="67" t="str">
        <f t="shared" si="16"/>
        <v>M: </v>
      </c>
      <c r="C7668" s="68"/>
      <c r="D7668" s="68">
        <v>46516.0</v>
      </c>
      <c r="E7668" s="66">
        <v>6.0</v>
      </c>
      <c r="F7668" s="66" t="str">
        <f>IFERROR(__xludf.DUMMYFUNCTION("GOOGLETRANSLATE(A7668,""en"",""pt"")"),"#VALUE!")</f>
        <v>#VALUE!</v>
      </c>
      <c r="G7668" s="69"/>
    </row>
    <row r="7669" ht="22.5" customHeight="1">
      <c r="A7669" s="66"/>
      <c r="B7669" s="67" t="str">
        <f t="shared" si="16"/>
        <v>M: </v>
      </c>
      <c r="C7669" s="68"/>
      <c r="D7669" s="68">
        <v>46516.0</v>
      </c>
      <c r="E7669" s="66">
        <v>7.0</v>
      </c>
      <c r="F7669" s="66" t="str">
        <f>IFERROR(__xludf.DUMMYFUNCTION("GOOGLETRANSLATE(A7669,""en"",""pt"")"),"#VALUE!")</f>
        <v>#VALUE!</v>
      </c>
      <c r="G7669" s="69"/>
    </row>
    <row r="7670" ht="22.5" customHeight="1">
      <c r="A7670" s="66"/>
      <c r="B7670" s="67" t="str">
        <f t="shared" si="16"/>
        <v>M: </v>
      </c>
      <c r="C7670" s="68"/>
      <c r="D7670" s="68">
        <v>46516.0</v>
      </c>
      <c r="E7670" s="66">
        <v>8.0</v>
      </c>
      <c r="F7670" s="66" t="str">
        <f>IFERROR(__xludf.DUMMYFUNCTION("GOOGLETRANSLATE(A7670,""en"",""pt"")"),"#VALUE!")</f>
        <v>#VALUE!</v>
      </c>
      <c r="G7670" s="69"/>
    </row>
    <row r="7671" ht="22.5" customHeight="1">
      <c r="A7671" s="66"/>
      <c r="B7671" s="67" t="str">
        <f t="shared" si="16"/>
        <v>M: </v>
      </c>
      <c r="C7671" s="68"/>
      <c r="D7671" s="68">
        <v>46516.0</v>
      </c>
      <c r="E7671" s="66">
        <v>9.0</v>
      </c>
      <c r="F7671" s="66" t="str">
        <f>IFERROR(__xludf.DUMMYFUNCTION("GOOGLETRANSLATE(A7671,""en"",""pt"")"),"#VALUE!")</f>
        <v>#VALUE!</v>
      </c>
      <c r="G7671" s="69"/>
    </row>
    <row r="7672" ht="22.5" customHeight="1">
      <c r="A7672" s="66"/>
      <c r="B7672" s="67" t="str">
        <f t="shared" si="16"/>
        <v>M: </v>
      </c>
      <c r="C7672" s="68"/>
      <c r="D7672" s="68">
        <v>46517.0</v>
      </c>
      <c r="E7672" s="66">
        <v>10.0</v>
      </c>
      <c r="F7672" s="66" t="str">
        <f>IFERROR(__xludf.DUMMYFUNCTION("GOOGLETRANSLATE(A7672,""en"",""pt"")"),"#VALUE!")</f>
        <v>#VALUE!</v>
      </c>
      <c r="G7672" s="69"/>
    </row>
    <row r="7673" ht="22.5" customHeight="1">
      <c r="A7673" s="66"/>
      <c r="B7673" s="67" t="str">
        <f t="shared" si="16"/>
        <v>M: </v>
      </c>
      <c r="C7673" s="68"/>
      <c r="D7673" s="68">
        <v>46517.0</v>
      </c>
      <c r="E7673" s="66">
        <v>1.0</v>
      </c>
      <c r="F7673" s="66" t="str">
        <f>IFERROR(__xludf.DUMMYFUNCTION("GOOGLETRANSLATE(A7673,""en"",""pt"")"),"#VALUE!")</f>
        <v>#VALUE!</v>
      </c>
      <c r="G7673" s="69"/>
    </row>
    <row r="7674" ht="22.5" customHeight="1">
      <c r="A7674" s="66"/>
      <c r="B7674" s="67" t="str">
        <f t="shared" si="16"/>
        <v>M: </v>
      </c>
      <c r="C7674" s="68"/>
      <c r="D7674" s="68">
        <v>46517.0</v>
      </c>
      <c r="E7674" s="66">
        <v>2.0</v>
      </c>
      <c r="F7674" s="66" t="str">
        <f>IFERROR(__xludf.DUMMYFUNCTION("GOOGLETRANSLATE(A7674,""en"",""pt"")"),"#VALUE!")</f>
        <v>#VALUE!</v>
      </c>
      <c r="G7674" s="69"/>
    </row>
    <row r="7675" ht="22.5" customHeight="1">
      <c r="A7675" s="66"/>
      <c r="B7675" s="67" t="str">
        <f t="shared" si="16"/>
        <v>M: </v>
      </c>
      <c r="C7675" s="68"/>
      <c r="D7675" s="68">
        <v>46517.0</v>
      </c>
      <c r="E7675" s="66">
        <v>3.0</v>
      </c>
      <c r="F7675" s="66" t="str">
        <f>IFERROR(__xludf.DUMMYFUNCTION("GOOGLETRANSLATE(A7675,""en"",""pt"")"),"#VALUE!")</f>
        <v>#VALUE!</v>
      </c>
      <c r="G7675" s="69"/>
    </row>
    <row r="7676" ht="22.5" customHeight="1">
      <c r="A7676" s="66"/>
      <c r="B7676" s="67" t="str">
        <f t="shared" si="16"/>
        <v>M: </v>
      </c>
      <c r="C7676" s="68"/>
      <c r="D7676" s="68">
        <v>46517.0</v>
      </c>
      <c r="E7676" s="66">
        <v>4.0</v>
      </c>
      <c r="F7676" s="66" t="str">
        <f>IFERROR(__xludf.DUMMYFUNCTION("GOOGLETRANSLATE(A7676,""en"",""pt"")"),"#VALUE!")</f>
        <v>#VALUE!</v>
      </c>
      <c r="G7676" s="69"/>
    </row>
    <row r="7677" ht="22.5" customHeight="1">
      <c r="A7677" s="66"/>
      <c r="B7677" s="67" t="str">
        <f t="shared" si="16"/>
        <v>M: </v>
      </c>
      <c r="C7677" s="68"/>
      <c r="D7677" s="68">
        <v>46517.0</v>
      </c>
      <c r="E7677" s="66">
        <v>5.0</v>
      </c>
      <c r="F7677" s="66" t="str">
        <f>IFERROR(__xludf.DUMMYFUNCTION("GOOGLETRANSLATE(A7677,""en"",""pt"")"),"#VALUE!")</f>
        <v>#VALUE!</v>
      </c>
      <c r="G7677" s="69"/>
    </row>
    <row r="7678" ht="22.5" customHeight="1">
      <c r="A7678" s="66"/>
      <c r="B7678" s="67" t="str">
        <f t="shared" si="16"/>
        <v>M: </v>
      </c>
      <c r="C7678" s="68"/>
      <c r="D7678" s="68">
        <v>46517.0</v>
      </c>
      <c r="E7678" s="66">
        <v>6.0</v>
      </c>
      <c r="F7678" s="66" t="str">
        <f>IFERROR(__xludf.DUMMYFUNCTION("GOOGLETRANSLATE(A7678,""en"",""pt"")"),"#VALUE!")</f>
        <v>#VALUE!</v>
      </c>
      <c r="G7678" s="69"/>
    </row>
    <row r="7679" ht="22.5" customHeight="1">
      <c r="A7679" s="66"/>
      <c r="B7679" s="67" t="str">
        <f t="shared" si="16"/>
        <v>M: </v>
      </c>
      <c r="C7679" s="68"/>
      <c r="D7679" s="68">
        <v>46517.0</v>
      </c>
      <c r="E7679" s="66">
        <v>7.0</v>
      </c>
      <c r="F7679" s="66" t="str">
        <f>IFERROR(__xludf.DUMMYFUNCTION("GOOGLETRANSLATE(A7679,""en"",""pt"")"),"#VALUE!")</f>
        <v>#VALUE!</v>
      </c>
      <c r="G7679" s="69"/>
    </row>
    <row r="7680" ht="22.5" customHeight="1">
      <c r="A7680" s="66"/>
      <c r="B7680" s="67" t="str">
        <f t="shared" si="16"/>
        <v>M: </v>
      </c>
      <c r="C7680" s="68"/>
      <c r="D7680" s="68">
        <v>46517.0</v>
      </c>
      <c r="E7680" s="66">
        <v>8.0</v>
      </c>
      <c r="F7680" s="66" t="str">
        <f>IFERROR(__xludf.DUMMYFUNCTION("GOOGLETRANSLATE(A7680,""en"",""pt"")"),"#VALUE!")</f>
        <v>#VALUE!</v>
      </c>
      <c r="G7680" s="69"/>
    </row>
    <row r="7681" ht="22.5" customHeight="1">
      <c r="A7681" s="66"/>
      <c r="B7681" s="67" t="str">
        <f t="shared" si="16"/>
        <v>M: </v>
      </c>
      <c r="C7681" s="68"/>
      <c r="D7681" s="68">
        <v>46517.0</v>
      </c>
      <c r="E7681" s="66">
        <v>9.0</v>
      </c>
      <c r="F7681" s="66" t="str">
        <f>IFERROR(__xludf.DUMMYFUNCTION("GOOGLETRANSLATE(A7681,""en"",""pt"")"),"#VALUE!")</f>
        <v>#VALUE!</v>
      </c>
      <c r="G7681" s="69"/>
    </row>
    <row r="7682" ht="22.5" customHeight="1">
      <c r="A7682" s="66"/>
      <c r="B7682" s="67" t="str">
        <f t="shared" si="16"/>
        <v>M: </v>
      </c>
      <c r="C7682" s="68"/>
      <c r="D7682" s="68">
        <v>46518.0</v>
      </c>
      <c r="E7682" s="66">
        <v>10.0</v>
      </c>
      <c r="F7682" s="66" t="str">
        <f>IFERROR(__xludf.DUMMYFUNCTION("GOOGLETRANSLATE(A7682,""en"",""pt"")"),"#VALUE!")</f>
        <v>#VALUE!</v>
      </c>
      <c r="G7682" s="69"/>
    </row>
    <row r="7683" ht="22.5" customHeight="1">
      <c r="A7683" s="66"/>
      <c r="B7683" s="67" t="str">
        <f t="shared" si="16"/>
        <v>M: </v>
      </c>
      <c r="C7683" s="68"/>
      <c r="D7683" s="68">
        <v>46518.0</v>
      </c>
      <c r="E7683" s="66">
        <v>1.0</v>
      </c>
      <c r="F7683" s="66" t="str">
        <f>IFERROR(__xludf.DUMMYFUNCTION("GOOGLETRANSLATE(A7683,""en"",""pt"")"),"#VALUE!")</f>
        <v>#VALUE!</v>
      </c>
      <c r="G7683" s="69"/>
    </row>
    <row r="7684" ht="22.5" customHeight="1">
      <c r="A7684" s="66"/>
      <c r="B7684" s="67" t="str">
        <f t="shared" si="16"/>
        <v>M: </v>
      </c>
      <c r="C7684" s="68"/>
      <c r="D7684" s="68">
        <v>46518.0</v>
      </c>
      <c r="E7684" s="66">
        <v>2.0</v>
      </c>
      <c r="F7684" s="66" t="str">
        <f>IFERROR(__xludf.DUMMYFUNCTION("GOOGLETRANSLATE(A7684,""en"",""pt"")"),"#VALUE!")</f>
        <v>#VALUE!</v>
      </c>
      <c r="G7684" s="69"/>
    </row>
    <row r="7685" ht="22.5" customHeight="1">
      <c r="A7685" s="66"/>
      <c r="B7685" s="67" t="str">
        <f t="shared" si="16"/>
        <v>M: </v>
      </c>
      <c r="C7685" s="68"/>
      <c r="D7685" s="68">
        <v>46518.0</v>
      </c>
      <c r="E7685" s="66">
        <v>3.0</v>
      </c>
      <c r="F7685" s="66" t="str">
        <f>IFERROR(__xludf.DUMMYFUNCTION("GOOGLETRANSLATE(A7685,""en"",""pt"")"),"#VALUE!")</f>
        <v>#VALUE!</v>
      </c>
      <c r="G7685" s="69"/>
    </row>
    <row r="7686" ht="22.5" customHeight="1">
      <c r="A7686" s="66"/>
      <c r="B7686" s="67" t="str">
        <f t="shared" si="16"/>
        <v>M: </v>
      </c>
      <c r="C7686" s="68"/>
      <c r="D7686" s="68">
        <v>46518.0</v>
      </c>
      <c r="E7686" s="66">
        <v>4.0</v>
      </c>
      <c r="F7686" s="66" t="str">
        <f>IFERROR(__xludf.DUMMYFUNCTION("GOOGLETRANSLATE(A7686,""en"",""pt"")"),"#VALUE!")</f>
        <v>#VALUE!</v>
      </c>
      <c r="G7686" s="69"/>
    </row>
    <row r="7687" ht="22.5" customHeight="1">
      <c r="A7687" s="66"/>
      <c r="B7687" s="67" t="str">
        <f t="shared" si="16"/>
        <v>M: </v>
      </c>
      <c r="C7687" s="68"/>
      <c r="D7687" s="68">
        <v>46518.0</v>
      </c>
      <c r="E7687" s="66">
        <v>5.0</v>
      </c>
      <c r="F7687" s="66" t="str">
        <f>IFERROR(__xludf.DUMMYFUNCTION("GOOGLETRANSLATE(A7687,""en"",""pt"")"),"#VALUE!")</f>
        <v>#VALUE!</v>
      </c>
      <c r="G7687" s="69"/>
    </row>
    <row r="7688" ht="22.5" customHeight="1">
      <c r="A7688" s="66"/>
      <c r="B7688" s="67" t="str">
        <f t="shared" si="16"/>
        <v>M: </v>
      </c>
      <c r="C7688" s="68"/>
      <c r="D7688" s="68">
        <v>46518.0</v>
      </c>
      <c r="E7688" s="66">
        <v>6.0</v>
      </c>
      <c r="F7688" s="66" t="str">
        <f>IFERROR(__xludf.DUMMYFUNCTION("GOOGLETRANSLATE(A7688,""en"",""pt"")"),"#VALUE!")</f>
        <v>#VALUE!</v>
      </c>
      <c r="G7688" s="69"/>
    </row>
    <row r="7689" ht="22.5" customHeight="1">
      <c r="A7689" s="66"/>
      <c r="B7689" s="67" t="str">
        <f t="shared" si="16"/>
        <v>M: </v>
      </c>
      <c r="C7689" s="68"/>
      <c r="D7689" s="68">
        <v>46518.0</v>
      </c>
      <c r="E7689" s="66">
        <v>7.0</v>
      </c>
      <c r="F7689" s="66" t="str">
        <f>IFERROR(__xludf.DUMMYFUNCTION("GOOGLETRANSLATE(A7689,""en"",""pt"")"),"#VALUE!")</f>
        <v>#VALUE!</v>
      </c>
      <c r="G7689" s="69"/>
    </row>
    <row r="7690" ht="22.5" customHeight="1">
      <c r="A7690" s="66"/>
      <c r="B7690" s="67" t="str">
        <f t="shared" si="16"/>
        <v>M: </v>
      </c>
      <c r="C7690" s="68"/>
      <c r="D7690" s="68">
        <v>46518.0</v>
      </c>
      <c r="E7690" s="66">
        <v>8.0</v>
      </c>
      <c r="F7690" s="66" t="str">
        <f>IFERROR(__xludf.DUMMYFUNCTION("GOOGLETRANSLATE(A7690,""en"",""pt"")"),"#VALUE!")</f>
        <v>#VALUE!</v>
      </c>
      <c r="G7690" s="69"/>
    </row>
    <row r="7691" ht="22.5" customHeight="1">
      <c r="A7691" s="66"/>
      <c r="B7691" s="67" t="str">
        <f t="shared" si="16"/>
        <v>M: </v>
      </c>
      <c r="C7691" s="68"/>
      <c r="D7691" s="68">
        <v>46518.0</v>
      </c>
      <c r="E7691" s="66">
        <v>9.0</v>
      </c>
      <c r="F7691" s="66" t="str">
        <f>IFERROR(__xludf.DUMMYFUNCTION("GOOGLETRANSLATE(A7691,""en"",""pt"")"),"#VALUE!")</f>
        <v>#VALUE!</v>
      </c>
      <c r="G7691" s="69"/>
    </row>
    <row r="7692" ht="22.5" customHeight="1">
      <c r="A7692" s="66"/>
      <c r="B7692" s="67" t="str">
        <f t="shared" si="16"/>
        <v>M: </v>
      </c>
      <c r="C7692" s="68"/>
      <c r="D7692" s="68">
        <v>46519.0</v>
      </c>
      <c r="E7692" s="66">
        <v>10.0</v>
      </c>
      <c r="F7692" s="66" t="str">
        <f>IFERROR(__xludf.DUMMYFUNCTION("GOOGLETRANSLATE(A7692,""en"",""pt"")"),"#VALUE!")</f>
        <v>#VALUE!</v>
      </c>
      <c r="G7692" s="69"/>
    </row>
    <row r="7693" ht="22.5" customHeight="1">
      <c r="A7693" s="66"/>
      <c r="B7693" s="67" t="str">
        <f t="shared" si="16"/>
        <v>M: </v>
      </c>
      <c r="C7693" s="68"/>
      <c r="D7693" s="68">
        <v>46519.0</v>
      </c>
      <c r="E7693" s="66">
        <v>1.0</v>
      </c>
      <c r="F7693" s="66" t="str">
        <f>IFERROR(__xludf.DUMMYFUNCTION("GOOGLETRANSLATE(A7693,""en"",""pt"")"),"#VALUE!")</f>
        <v>#VALUE!</v>
      </c>
      <c r="G7693" s="69"/>
    </row>
    <row r="7694" ht="22.5" customHeight="1">
      <c r="A7694" s="66"/>
      <c r="B7694" s="67" t="str">
        <f t="shared" si="16"/>
        <v>M: </v>
      </c>
      <c r="C7694" s="68"/>
      <c r="D7694" s="68">
        <v>46519.0</v>
      </c>
      <c r="E7694" s="66">
        <v>2.0</v>
      </c>
      <c r="F7694" s="66" t="str">
        <f>IFERROR(__xludf.DUMMYFUNCTION("GOOGLETRANSLATE(A7694,""en"",""pt"")"),"#VALUE!")</f>
        <v>#VALUE!</v>
      </c>
      <c r="G7694" s="69"/>
    </row>
    <row r="7695" ht="22.5" customHeight="1">
      <c r="A7695" s="66"/>
      <c r="B7695" s="67" t="str">
        <f t="shared" si="16"/>
        <v>M: </v>
      </c>
      <c r="C7695" s="68"/>
      <c r="D7695" s="68">
        <v>46519.0</v>
      </c>
      <c r="E7695" s="66">
        <v>3.0</v>
      </c>
      <c r="F7695" s="66" t="str">
        <f>IFERROR(__xludf.DUMMYFUNCTION("GOOGLETRANSLATE(A7695,""en"",""pt"")"),"#VALUE!")</f>
        <v>#VALUE!</v>
      </c>
      <c r="G7695" s="69"/>
    </row>
    <row r="7696" ht="22.5" customHeight="1">
      <c r="A7696" s="66"/>
      <c r="B7696" s="67" t="str">
        <f t="shared" si="16"/>
        <v>M: </v>
      </c>
      <c r="C7696" s="68"/>
      <c r="D7696" s="68">
        <v>46519.0</v>
      </c>
      <c r="E7696" s="66">
        <v>4.0</v>
      </c>
      <c r="F7696" s="66" t="str">
        <f>IFERROR(__xludf.DUMMYFUNCTION("GOOGLETRANSLATE(A7696,""en"",""pt"")"),"#VALUE!")</f>
        <v>#VALUE!</v>
      </c>
      <c r="G7696" s="69"/>
    </row>
    <row r="7697" ht="22.5" customHeight="1">
      <c r="A7697" s="66"/>
      <c r="B7697" s="67" t="str">
        <f t="shared" si="16"/>
        <v>M: </v>
      </c>
      <c r="C7697" s="68"/>
      <c r="D7697" s="68">
        <v>46519.0</v>
      </c>
      <c r="E7697" s="66">
        <v>5.0</v>
      </c>
      <c r="F7697" s="66" t="str">
        <f>IFERROR(__xludf.DUMMYFUNCTION("GOOGLETRANSLATE(A7697,""en"",""pt"")"),"#VALUE!")</f>
        <v>#VALUE!</v>
      </c>
      <c r="G7697" s="69"/>
    </row>
    <row r="7698" ht="22.5" customHeight="1">
      <c r="A7698" s="66"/>
      <c r="B7698" s="67" t="str">
        <f t="shared" si="16"/>
        <v>M: </v>
      </c>
      <c r="C7698" s="68"/>
      <c r="D7698" s="68">
        <v>46519.0</v>
      </c>
      <c r="E7698" s="66">
        <v>6.0</v>
      </c>
      <c r="F7698" s="66" t="str">
        <f>IFERROR(__xludf.DUMMYFUNCTION("GOOGLETRANSLATE(A7698,""en"",""pt"")"),"#VALUE!")</f>
        <v>#VALUE!</v>
      </c>
      <c r="G7698" s="69"/>
    </row>
    <row r="7699" ht="22.5" customHeight="1">
      <c r="A7699" s="66"/>
      <c r="B7699" s="67" t="str">
        <f t="shared" si="16"/>
        <v>M: </v>
      </c>
      <c r="C7699" s="68"/>
      <c r="D7699" s="68">
        <v>46519.0</v>
      </c>
      <c r="E7699" s="66">
        <v>7.0</v>
      </c>
      <c r="F7699" s="66" t="str">
        <f>IFERROR(__xludf.DUMMYFUNCTION("GOOGLETRANSLATE(A7699,""en"",""pt"")"),"#VALUE!")</f>
        <v>#VALUE!</v>
      </c>
      <c r="G7699" s="69"/>
    </row>
    <row r="7700" ht="22.5" customHeight="1">
      <c r="A7700" s="66"/>
      <c r="B7700" s="67" t="str">
        <f t="shared" si="16"/>
        <v>M: </v>
      </c>
      <c r="C7700" s="68"/>
      <c r="D7700" s="68">
        <v>46519.0</v>
      </c>
      <c r="E7700" s="66">
        <v>8.0</v>
      </c>
      <c r="F7700" s="66" t="str">
        <f>IFERROR(__xludf.DUMMYFUNCTION("GOOGLETRANSLATE(A7700,""en"",""pt"")"),"#VALUE!")</f>
        <v>#VALUE!</v>
      </c>
      <c r="G7700" s="69"/>
    </row>
    <row r="7701" ht="22.5" customHeight="1">
      <c r="A7701" s="66"/>
      <c r="B7701" s="67" t="str">
        <f t="shared" si="16"/>
        <v>M: </v>
      </c>
      <c r="C7701" s="68"/>
      <c r="D7701" s="68">
        <v>46519.0</v>
      </c>
      <c r="E7701" s="66">
        <v>9.0</v>
      </c>
      <c r="F7701" s="66" t="str">
        <f>IFERROR(__xludf.DUMMYFUNCTION("GOOGLETRANSLATE(A7701,""en"",""pt"")"),"#VALUE!")</f>
        <v>#VALUE!</v>
      </c>
      <c r="G7701" s="69"/>
    </row>
    <row r="7702" ht="22.5" customHeight="1">
      <c r="A7702" s="66"/>
      <c r="B7702" s="67" t="str">
        <f t="shared" si="16"/>
        <v>M: </v>
      </c>
      <c r="C7702" s="68"/>
      <c r="D7702" s="68">
        <v>46520.0</v>
      </c>
      <c r="E7702" s="66">
        <v>10.0</v>
      </c>
      <c r="F7702" s="66" t="str">
        <f>IFERROR(__xludf.DUMMYFUNCTION("GOOGLETRANSLATE(A7702,""en"",""pt"")"),"#VALUE!")</f>
        <v>#VALUE!</v>
      </c>
      <c r="G7702" s="69"/>
    </row>
    <row r="7703" ht="22.5" customHeight="1">
      <c r="A7703" s="66"/>
      <c r="B7703" s="67" t="str">
        <f t="shared" si="16"/>
        <v>M: </v>
      </c>
      <c r="C7703" s="68"/>
      <c r="D7703" s="68">
        <v>46520.0</v>
      </c>
      <c r="E7703" s="66">
        <v>1.0</v>
      </c>
      <c r="F7703" s="66" t="str">
        <f>IFERROR(__xludf.DUMMYFUNCTION("GOOGLETRANSLATE(A7703,""en"",""pt"")"),"#VALUE!")</f>
        <v>#VALUE!</v>
      </c>
      <c r="G7703" s="69"/>
    </row>
    <row r="7704" ht="22.5" customHeight="1">
      <c r="A7704" s="66"/>
      <c r="B7704" s="67" t="str">
        <f t="shared" si="16"/>
        <v>M: </v>
      </c>
      <c r="C7704" s="68"/>
      <c r="D7704" s="68">
        <v>46520.0</v>
      </c>
      <c r="E7704" s="66">
        <v>2.0</v>
      </c>
      <c r="F7704" s="66" t="str">
        <f>IFERROR(__xludf.DUMMYFUNCTION("GOOGLETRANSLATE(A7704,""en"",""pt"")"),"#VALUE!")</f>
        <v>#VALUE!</v>
      </c>
      <c r="G7704" s="69"/>
    </row>
    <row r="7705" ht="22.5" customHeight="1">
      <c r="A7705" s="66"/>
      <c r="B7705" s="67" t="str">
        <f t="shared" si="16"/>
        <v>M: </v>
      </c>
      <c r="C7705" s="68"/>
      <c r="D7705" s="68">
        <v>46520.0</v>
      </c>
      <c r="E7705" s="66">
        <v>3.0</v>
      </c>
      <c r="F7705" s="66" t="str">
        <f>IFERROR(__xludf.DUMMYFUNCTION("GOOGLETRANSLATE(A7705,""en"",""pt"")"),"#VALUE!")</f>
        <v>#VALUE!</v>
      </c>
      <c r="G7705" s="69"/>
    </row>
    <row r="7706" ht="22.5" customHeight="1">
      <c r="A7706" s="66"/>
      <c r="B7706" s="67" t="str">
        <f t="shared" si="16"/>
        <v>M: </v>
      </c>
      <c r="C7706" s="68"/>
      <c r="D7706" s="68">
        <v>46520.0</v>
      </c>
      <c r="E7706" s="66">
        <v>4.0</v>
      </c>
      <c r="F7706" s="66" t="str">
        <f>IFERROR(__xludf.DUMMYFUNCTION("GOOGLETRANSLATE(A7706,""en"",""pt"")"),"#VALUE!")</f>
        <v>#VALUE!</v>
      </c>
      <c r="G7706" s="69"/>
    </row>
    <row r="7707" ht="22.5" customHeight="1">
      <c r="A7707" s="66"/>
      <c r="B7707" s="67" t="str">
        <f t="shared" si="16"/>
        <v>M: </v>
      </c>
      <c r="C7707" s="68"/>
      <c r="D7707" s="68">
        <v>46520.0</v>
      </c>
      <c r="E7707" s="66">
        <v>5.0</v>
      </c>
      <c r="F7707" s="66" t="str">
        <f>IFERROR(__xludf.DUMMYFUNCTION("GOOGLETRANSLATE(A7707,""en"",""pt"")"),"#VALUE!")</f>
        <v>#VALUE!</v>
      </c>
      <c r="G7707" s="69"/>
    </row>
    <row r="7708" ht="22.5" customHeight="1">
      <c r="A7708" s="66"/>
      <c r="B7708" s="67" t="str">
        <f t="shared" si="16"/>
        <v>M: </v>
      </c>
      <c r="C7708" s="68"/>
      <c r="D7708" s="68">
        <v>46520.0</v>
      </c>
      <c r="E7708" s="66">
        <v>6.0</v>
      </c>
      <c r="F7708" s="66" t="str">
        <f>IFERROR(__xludf.DUMMYFUNCTION("GOOGLETRANSLATE(A7708,""en"",""pt"")"),"#VALUE!")</f>
        <v>#VALUE!</v>
      </c>
      <c r="G7708" s="69"/>
    </row>
    <row r="7709" ht="22.5" customHeight="1">
      <c r="A7709" s="66"/>
      <c r="B7709" s="67" t="str">
        <f t="shared" si="16"/>
        <v>M: </v>
      </c>
      <c r="C7709" s="68"/>
      <c r="D7709" s="68">
        <v>46520.0</v>
      </c>
      <c r="E7709" s="66">
        <v>7.0</v>
      </c>
      <c r="F7709" s="66" t="str">
        <f>IFERROR(__xludf.DUMMYFUNCTION("GOOGLETRANSLATE(A7709,""en"",""pt"")"),"#VALUE!")</f>
        <v>#VALUE!</v>
      </c>
      <c r="G7709" s="69"/>
    </row>
    <row r="7710" ht="22.5" customHeight="1">
      <c r="A7710" s="66"/>
      <c r="B7710" s="67" t="str">
        <f t="shared" si="16"/>
        <v>M: </v>
      </c>
      <c r="C7710" s="68"/>
      <c r="D7710" s="68">
        <v>46520.0</v>
      </c>
      <c r="E7710" s="66">
        <v>8.0</v>
      </c>
      <c r="F7710" s="66" t="str">
        <f>IFERROR(__xludf.DUMMYFUNCTION("GOOGLETRANSLATE(A7710,""en"",""pt"")"),"#VALUE!")</f>
        <v>#VALUE!</v>
      </c>
      <c r="G7710" s="69"/>
    </row>
    <row r="7711" ht="22.5" customHeight="1">
      <c r="A7711" s="66"/>
      <c r="B7711" s="67" t="str">
        <f t="shared" si="16"/>
        <v>M: </v>
      </c>
      <c r="C7711" s="68"/>
      <c r="D7711" s="68">
        <v>46520.0</v>
      </c>
      <c r="E7711" s="66">
        <v>9.0</v>
      </c>
      <c r="F7711" s="66" t="str">
        <f>IFERROR(__xludf.DUMMYFUNCTION("GOOGLETRANSLATE(A7711,""en"",""pt"")"),"#VALUE!")</f>
        <v>#VALUE!</v>
      </c>
      <c r="G7711" s="69"/>
    </row>
    <row r="7712" ht="22.5" customHeight="1">
      <c r="A7712" s="66"/>
      <c r="B7712" s="67" t="str">
        <f t="shared" si="16"/>
        <v>M: </v>
      </c>
      <c r="C7712" s="68"/>
      <c r="D7712" s="68">
        <v>46521.0</v>
      </c>
      <c r="E7712" s="66">
        <v>10.0</v>
      </c>
      <c r="F7712" s="66" t="str">
        <f>IFERROR(__xludf.DUMMYFUNCTION("GOOGLETRANSLATE(A7712,""en"",""pt"")"),"#VALUE!")</f>
        <v>#VALUE!</v>
      </c>
      <c r="G7712" s="69"/>
    </row>
    <row r="7713" ht="22.5" customHeight="1">
      <c r="A7713" s="66"/>
      <c r="B7713" s="67" t="str">
        <f t="shared" si="16"/>
        <v>M: </v>
      </c>
      <c r="C7713" s="68"/>
      <c r="D7713" s="68">
        <v>46521.0</v>
      </c>
      <c r="E7713" s="66">
        <v>1.0</v>
      </c>
      <c r="F7713" s="66" t="str">
        <f>IFERROR(__xludf.DUMMYFUNCTION("GOOGLETRANSLATE(A7713,""en"",""pt"")"),"#VALUE!")</f>
        <v>#VALUE!</v>
      </c>
      <c r="G7713" s="69"/>
    </row>
    <row r="7714" ht="22.5" customHeight="1">
      <c r="A7714" s="66"/>
      <c r="B7714" s="67" t="str">
        <f t="shared" si="16"/>
        <v>M: </v>
      </c>
      <c r="C7714" s="68"/>
      <c r="D7714" s="68">
        <v>46521.0</v>
      </c>
      <c r="E7714" s="66">
        <v>2.0</v>
      </c>
      <c r="F7714" s="66" t="str">
        <f>IFERROR(__xludf.DUMMYFUNCTION("GOOGLETRANSLATE(A7714,""en"",""pt"")"),"#VALUE!")</f>
        <v>#VALUE!</v>
      </c>
      <c r="G7714" s="69"/>
    </row>
    <row r="7715" ht="22.5" customHeight="1">
      <c r="A7715" s="66"/>
      <c r="B7715" s="67" t="str">
        <f t="shared" si="16"/>
        <v>M: </v>
      </c>
      <c r="C7715" s="68"/>
      <c r="D7715" s="68">
        <v>46521.0</v>
      </c>
      <c r="E7715" s="66">
        <v>3.0</v>
      </c>
      <c r="F7715" s="66" t="str">
        <f>IFERROR(__xludf.DUMMYFUNCTION("GOOGLETRANSLATE(A7715,""en"",""pt"")"),"#VALUE!")</f>
        <v>#VALUE!</v>
      </c>
      <c r="G7715" s="69"/>
    </row>
    <row r="7716" ht="22.5" customHeight="1">
      <c r="A7716" s="66"/>
      <c r="B7716" s="67" t="str">
        <f t="shared" si="16"/>
        <v>M: </v>
      </c>
      <c r="C7716" s="68"/>
      <c r="D7716" s="68">
        <v>46521.0</v>
      </c>
      <c r="E7716" s="66">
        <v>4.0</v>
      </c>
      <c r="F7716" s="66" t="str">
        <f>IFERROR(__xludf.DUMMYFUNCTION("GOOGLETRANSLATE(A7716,""en"",""pt"")"),"#VALUE!")</f>
        <v>#VALUE!</v>
      </c>
      <c r="G7716" s="69"/>
    </row>
    <row r="7717" ht="22.5" customHeight="1">
      <c r="A7717" s="66"/>
      <c r="B7717" s="67" t="str">
        <f t="shared" si="16"/>
        <v>M: </v>
      </c>
      <c r="C7717" s="68"/>
      <c r="D7717" s="68">
        <v>46521.0</v>
      </c>
      <c r="E7717" s="66">
        <v>5.0</v>
      </c>
      <c r="F7717" s="66" t="str">
        <f>IFERROR(__xludf.DUMMYFUNCTION("GOOGLETRANSLATE(A7717,""en"",""pt"")"),"#VALUE!")</f>
        <v>#VALUE!</v>
      </c>
      <c r="G7717" s="69"/>
    </row>
    <row r="7718" ht="22.5" customHeight="1">
      <c r="A7718" s="66"/>
      <c r="B7718" s="67" t="str">
        <f t="shared" si="16"/>
        <v>M: </v>
      </c>
      <c r="C7718" s="68"/>
      <c r="D7718" s="68">
        <v>46521.0</v>
      </c>
      <c r="E7718" s="66">
        <v>6.0</v>
      </c>
      <c r="F7718" s="66" t="str">
        <f>IFERROR(__xludf.DUMMYFUNCTION("GOOGLETRANSLATE(A7718,""en"",""pt"")"),"#VALUE!")</f>
        <v>#VALUE!</v>
      </c>
      <c r="G7718" s="69"/>
    </row>
    <row r="7719" ht="22.5" customHeight="1">
      <c r="A7719" s="66"/>
      <c r="B7719" s="67" t="str">
        <f t="shared" si="16"/>
        <v>M: </v>
      </c>
      <c r="C7719" s="68"/>
      <c r="D7719" s="68">
        <v>46521.0</v>
      </c>
      <c r="E7719" s="66">
        <v>7.0</v>
      </c>
      <c r="F7719" s="66" t="str">
        <f>IFERROR(__xludf.DUMMYFUNCTION("GOOGLETRANSLATE(A7719,""en"",""pt"")"),"#VALUE!")</f>
        <v>#VALUE!</v>
      </c>
      <c r="G7719" s="69"/>
    </row>
    <row r="7720" ht="22.5" customHeight="1">
      <c r="A7720" s="66"/>
      <c r="B7720" s="67" t="str">
        <f t="shared" si="16"/>
        <v>M: </v>
      </c>
      <c r="C7720" s="68"/>
      <c r="D7720" s="68">
        <v>46521.0</v>
      </c>
      <c r="E7720" s="66">
        <v>8.0</v>
      </c>
      <c r="F7720" s="66" t="str">
        <f>IFERROR(__xludf.DUMMYFUNCTION("GOOGLETRANSLATE(A7720,""en"",""pt"")"),"#VALUE!")</f>
        <v>#VALUE!</v>
      </c>
      <c r="G7720" s="69"/>
    </row>
    <row r="7721" ht="22.5" customHeight="1">
      <c r="A7721" s="66"/>
      <c r="B7721" s="67" t="str">
        <f t="shared" si="16"/>
        <v>M: </v>
      </c>
      <c r="C7721" s="68"/>
      <c r="D7721" s="68">
        <v>46521.0</v>
      </c>
      <c r="E7721" s="66">
        <v>9.0</v>
      </c>
      <c r="F7721" s="66" t="str">
        <f>IFERROR(__xludf.DUMMYFUNCTION("GOOGLETRANSLATE(A7721,""en"",""pt"")"),"#VALUE!")</f>
        <v>#VALUE!</v>
      </c>
      <c r="G7721" s="69"/>
    </row>
    <row r="7722" ht="22.5" customHeight="1">
      <c r="A7722" s="66"/>
      <c r="B7722" s="67" t="str">
        <f t="shared" si="16"/>
        <v>M: </v>
      </c>
      <c r="C7722" s="68"/>
      <c r="D7722" s="68">
        <v>46522.0</v>
      </c>
      <c r="E7722" s="66">
        <v>10.0</v>
      </c>
      <c r="F7722" s="66" t="str">
        <f>IFERROR(__xludf.DUMMYFUNCTION("GOOGLETRANSLATE(A7722,""en"",""pt"")"),"#VALUE!")</f>
        <v>#VALUE!</v>
      </c>
      <c r="G7722" s="69"/>
    </row>
    <row r="7723" ht="22.5" customHeight="1">
      <c r="A7723" s="66"/>
      <c r="B7723" s="67" t="str">
        <f t="shared" si="16"/>
        <v>M: </v>
      </c>
      <c r="C7723" s="68"/>
      <c r="D7723" s="68">
        <v>46522.0</v>
      </c>
      <c r="E7723" s="66">
        <v>1.0</v>
      </c>
      <c r="F7723" s="66" t="str">
        <f>IFERROR(__xludf.DUMMYFUNCTION("GOOGLETRANSLATE(A7723,""en"",""pt"")"),"#VALUE!")</f>
        <v>#VALUE!</v>
      </c>
      <c r="G7723" s="69"/>
    </row>
    <row r="7724" ht="22.5" customHeight="1">
      <c r="A7724" s="66"/>
      <c r="B7724" s="67" t="str">
        <f t="shared" si="16"/>
        <v>M: </v>
      </c>
      <c r="C7724" s="68"/>
      <c r="D7724" s="68">
        <v>46522.0</v>
      </c>
      <c r="E7724" s="66">
        <v>2.0</v>
      </c>
      <c r="F7724" s="66" t="str">
        <f>IFERROR(__xludf.DUMMYFUNCTION("GOOGLETRANSLATE(A7724,""en"",""pt"")"),"#VALUE!")</f>
        <v>#VALUE!</v>
      </c>
      <c r="G7724" s="69"/>
    </row>
    <row r="7725" ht="22.5" customHeight="1">
      <c r="A7725" s="66"/>
      <c r="B7725" s="67" t="str">
        <f t="shared" si="16"/>
        <v>M: </v>
      </c>
      <c r="C7725" s="68"/>
      <c r="D7725" s="68">
        <v>46522.0</v>
      </c>
      <c r="E7725" s="66">
        <v>3.0</v>
      </c>
      <c r="F7725" s="66" t="str">
        <f>IFERROR(__xludf.DUMMYFUNCTION("GOOGLETRANSLATE(A7725,""en"",""pt"")"),"#VALUE!")</f>
        <v>#VALUE!</v>
      </c>
      <c r="G7725" s="69"/>
    </row>
    <row r="7726" ht="22.5" customHeight="1">
      <c r="A7726" s="66"/>
      <c r="B7726" s="67" t="str">
        <f t="shared" si="16"/>
        <v>M: </v>
      </c>
      <c r="C7726" s="68"/>
      <c r="D7726" s="68">
        <v>46522.0</v>
      </c>
      <c r="E7726" s="66">
        <v>4.0</v>
      </c>
      <c r="F7726" s="66" t="str">
        <f>IFERROR(__xludf.DUMMYFUNCTION("GOOGLETRANSLATE(A7726,""en"",""pt"")"),"#VALUE!")</f>
        <v>#VALUE!</v>
      </c>
      <c r="G7726" s="69"/>
    </row>
    <row r="7727" ht="22.5" customHeight="1">
      <c r="A7727" s="66"/>
      <c r="B7727" s="67" t="str">
        <f t="shared" si="16"/>
        <v>M: </v>
      </c>
      <c r="C7727" s="68"/>
      <c r="D7727" s="68">
        <v>46522.0</v>
      </c>
      <c r="E7727" s="66">
        <v>5.0</v>
      </c>
      <c r="F7727" s="66" t="str">
        <f>IFERROR(__xludf.DUMMYFUNCTION("GOOGLETRANSLATE(A7727,""en"",""pt"")"),"#VALUE!")</f>
        <v>#VALUE!</v>
      </c>
      <c r="G7727" s="69"/>
    </row>
    <row r="7728" ht="22.5" customHeight="1">
      <c r="A7728" s="66"/>
      <c r="B7728" s="67" t="str">
        <f t="shared" si="16"/>
        <v>M: </v>
      </c>
      <c r="C7728" s="68"/>
      <c r="D7728" s="68">
        <v>46522.0</v>
      </c>
      <c r="E7728" s="66">
        <v>6.0</v>
      </c>
      <c r="F7728" s="66" t="str">
        <f>IFERROR(__xludf.DUMMYFUNCTION("GOOGLETRANSLATE(A7728,""en"",""pt"")"),"#VALUE!")</f>
        <v>#VALUE!</v>
      </c>
      <c r="G7728" s="69"/>
    </row>
    <row r="7729" ht="22.5" customHeight="1">
      <c r="A7729" s="66"/>
      <c r="B7729" s="67" t="str">
        <f t="shared" si="16"/>
        <v>M: </v>
      </c>
      <c r="C7729" s="68"/>
      <c r="D7729" s="68">
        <v>46522.0</v>
      </c>
      <c r="E7729" s="66">
        <v>7.0</v>
      </c>
      <c r="F7729" s="66" t="str">
        <f>IFERROR(__xludf.DUMMYFUNCTION("GOOGLETRANSLATE(A7729,""en"",""pt"")"),"#VALUE!")</f>
        <v>#VALUE!</v>
      </c>
      <c r="G7729" s="69"/>
    </row>
    <row r="7730" ht="22.5" customHeight="1">
      <c r="A7730" s="66"/>
      <c r="B7730" s="67" t="str">
        <f t="shared" si="16"/>
        <v>M: </v>
      </c>
      <c r="C7730" s="68"/>
      <c r="D7730" s="68">
        <v>46522.0</v>
      </c>
      <c r="E7730" s="66">
        <v>8.0</v>
      </c>
      <c r="F7730" s="66" t="str">
        <f>IFERROR(__xludf.DUMMYFUNCTION("GOOGLETRANSLATE(A7730,""en"",""pt"")"),"#VALUE!")</f>
        <v>#VALUE!</v>
      </c>
      <c r="G7730" s="69"/>
    </row>
    <row r="7731" ht="22.5" customHeight="1">
      <c r="A7731" s="66"/>
      <c r="B7731" s="67" t="str">
        <f t="shared" si="16"/>
        <v>M: </v>
      </c>
      <c r="C7731" s="68"/>
      <c r="D7731" s="68">
        <v>46522.0</v>
      </c>
      <c r="E7731" s="66">
        <v>9.0</v>
      </c>
      <c r="F7731" s="66" t="str">
        <f>IFERROR(__xludf.DUMMYFUNCTION("GOOGLETRANSLATE(A7731,""en"",""pt"")"),"#VALUE!")</f>
        <v>#VALUE!</v>
      </c>
      <c r="G7731" s="69"/>
    </row>
    <row r="7732" ht="22.5" customHeight="1">
      <c r="A7732" s="66"/>
      <c r="B7732" s="67" t="str">
        <f t="shared" si="16"/>
        <v>M: </v>
      </c>
      <c r="C7732" s="68"/>
      <c r="D7732" s="68">
        <v>46523.0</v>
      </c>
      <c r="E7732" s="66">
        <v>10.0</v>
      </c>
      <c r="F7732" s="66" t="str">
        <f>IFERROR(__xludf.DUMMYFUNCTION("GOOGLETRANSLATE(A7732,""en"",""pt"")"),"#VALUE!")</f>
        <v>#VALUE!</v>
      </c>
      <c r="G7732" s="69"/>
    </row>
    <row r="7733" ht="22.5" customHeight="1">
      <c r="A7733" s="66"/>
      <c r="B7733" s="67" t="str">
        <f t="shared" si="16"/>
        <v>M: </v>
      </c>
      <c r="C7733" s="68"/>
      <c r="D7733" s="68">
        <v>46523.0</v>
      </c>
      <c r="E7733" s="66">
        <v>1.0</v>
      </c>
      <c r="F7733" s="66" t="str">
        <f>IFERROR(__xludf.DUMMYFUNCTION("GOOGLETRANSLATE(A7733,""en"",""pt"")"),"#VALUE!")</f>
        <v>#VALUE!</v>
      </c>
      <c r="G7733" s="69"/>
    </row>
    <row r="7734" ht="22.5" customHeight="1">
      <c r="A7734" s="66"/>
      <c r="B7734" s="67" t="str">
        <f t="shared" si="16"/>
        <v>M: </v>
      </c>
      <c r="C7734" s="68"/>
      <c r="D7734" s="68">
        <v>46523.0</v>
      </c>
      <c r="E7734" s="66">
        <v>2.0</v>
      </c>
      <c r="F7734" s="66" t="str">
        <f>IFERROR(__xludf.DUMMYFUNCTION("GOOGLETRANSLATE(A7734,""en"",""pt"")"),"#VALUE!")</f>
        <v>#VALUE!</v>
      </c>
      <c r="G7734" s="69"/>
    </row>
    <row r="7735" ht="22.5" customHeight="1">
      <c r="A7735" s="66"/>
      <c r="B7735" s="67" t="str">
        <f t="shared" si="16"/>
        <v>M: </v>
      </c>
      <c r="C7735" s="68"/>
      <c r="D7735" s="68">
        <v>46523.0</v>
      </c>
      <c r="E7735" s="66">
        <v>3.0</v>
      </c>
      <c r="F7735" s="66" t="str">
        <f>IFERROR(__xludf.DUMMYFUNCTION("GOOGLETRANSLATE(A7735,""en"",""pt"")"),"#VALUE!")</f>
        <v>#VALUE!</v>
      </c>
      <c r="G7735" s="69"/>
    </row>
    <row r="7736" ht="22.5" customHeight="1">
      <c r="A7736" s="66"/>
      <c r="B7736" s="67" t="str">
        <f t="shared" si="16"/>
        <v>M: </v>
      </c>
      <c r="C7736" s="68"/>
      <c r="D7736" s="68">
        <v>46523.0</v>
      </c>
      <c r="E7736" s="66">
        <v>4.0</v>
      </c>
      <c r="F7736" s="66" t="str">
        <f>IFERROR(__xludf.DUMMYFUNCTION("GOOGLETRANSLATE(A7736,""en"",""pt"")"),"#VALUE!")</f>
        <v>#VALUE!</v>
      </c>
      <c r="G7736" s="69"/>
    </row>
    <row r="7737" ht="22.5" customHeight="1">
      <c r="A7737" s="66"/>
      <c r="B7737" s="67" t="str">
        <f t="shared" si="16"/>
        <v>M: </v>
      </c>
      <c r="C7737" s="68"/>
      <c r="D7737" s="68">
        <v>46523.0</v>
      </c>
      <c r="E7737" s="66">
        <v>5.0</v>
      </c>
      <c r="F7737" s="66" t="str">
        <f>IFERROR(__xludf.DUMMYFUNCTION("GOOGLETRANSLATE(A7737,""en"",""pt"")"),"#VALUE!")</f>
        <v>#VALUE!</v>
      </c>
      <c r="G7737" s="69"/>
    </row>
    <row r="7738" ht="22.5" customHeight="1">
      <c r="A7738" s="66"/>
      <c r="B7738" s="67" t="str">
        <f t="shared" si="16"/>
        <v>M: </v>
      </c>
      <c r="C7738" s="68"/>
      <c r="D7738" s="68">
        <v>46523.0</v>
      </c>
      <c r="E7738" s="66">
        <v>6.0</v>
      </c>
      <c r="F7738" s="66" t="str">
        <f>IFERROR(__xludf.DUMMYFUNCTION("GOOGLETRANSLATE(A7738,""en"",""pt"")"),"#VALUE!")</f>
        <v>#VALUE!</v>
      </c>
      <c r="G7738" s="69"/>
    </row>
    <row r="7739" ht="22.5" customHeight="1">
      <c r="A7739" s="66"/>
      <c r="B7739" s="67" t="str">
        <f t="shared" si="16"/>
        <v>M: </v>
      </c>
      <c r="C7739" s="68"/>
      <c r="D7739" s="68">
        <v>46523.0</v>
      </c>
      <c r="E7739" s="66">
        <v>7.0</v>
      </c>
      <c r="F7739" s="66" t="str">
        <f>IFERROR(__xludf.DUMMYFUNCTION("GOOGLETRANSLATE(A7739,""en"",""pt"")"),"#VALUE!")</f>
        <v>#VALUE!</v>
      </c>
      <c r="G7739" s="69"/>
    </row>
    <row r="7740" ht="22.5" customHeight="1">
      <c r="A7740" s="66"/>
      <c r="B7740" s="67" t="str">
        <f t="shared" si="16"/>
        <v>M: </v>
      </c>
      <c r="C7740" s="68"/>
      <c r="D7740" s="68">
        <v>46523.0</v>
      </c>
      <c r="E7740" s="66">
        <v>8.0</v>
      </c>
      <c r="F7740" s="66" t="str">
        <f>IFERROR(__xludf.DUMMYFUNCTION("GOOGLETRANSLATE(A7740,""en"",""pt"")"),"#VALUE!")</f>
        <v>#VALUE!</v>
      </c>
      <c r="G7740" s="69"/>
    </row>
    <row r="7741" ht="22.5" customHeight="1">
      <c r="A7741" s="66"/>
      <c r="B7741" s="67" t="str">
        <f t="shared" si="16"/>
        <v>M: </v>
      </c>
      <c r="C7741" s="68"/>
      <c r="D7741" s="68">
        <v>46523.0</v>
      </c>
      <c r="E7741" s="66">
        <v>9.0</v>
      </c>
      <c r="F7741" s="66" t="str">
        <f>IFERROR(__xludf.DUMMYFUNCTION("GOOGLETRANSLATE(A7741,""en"",""pt"")"),"#VALUE!")</f>
        <v>#VALUE!</v>
      </c>
      <c r="G7741" s="69"/>
    </row>
    <row r="7742" ht="22.5" customHeight="1">
      <c r="A7742" s="66"/>
      <c r="B7742" s="67" t="str">
        <f t="shared" si="16"/>
        <v>M: </v>
      </c>
      <c r="C7742" s="68"/>
      <c r="D7742" s="68">
        <v>46524.0</v>
      </c>
      <c r="E7742" s="66">
        <v>10.0</v>
      </c>
      <c r="F7742" s="66" t="str">
        <f>IFERROR(__xludf.DUMMYFUNCTION("GOOGLETRANSLATE(A7742,""en"",""pt"")"),"#VALUE!")</f>
        <v>#VALUE!</v>
      </c>
      <c r="G7742" s="69"/>
    </row>
    <row r="7743" ht="22.5" customHeight="1">
      <c r="A7743" s="66"/>
      <c r="B7743" s="67" t="str">
        <f t="shared" si="16"/>
        <v>M: </v>
      </c>
      <c r="C7743" s="68"/>
      <c r="D7743" s="68">
        <v>46524.0</v>
      </c>
      <c r="E7743" s="66">
        <v>1.0</v>
      </c>
      <c r="F7743" s="66" t="str">
        <f>IFERROR(__xludf.DUMMYFUNCTION("GOOGLETRANSLATE(A7743,""en"",""pt"")"),"#VALUE!")</f>
        <v>#VALUE!</v>
      </c>
      <c r="G7743" s="69"/>
    </row>
    <row r="7744" ht="22.5" customHeight="1">
      <c r="A7744" s="66"/>
      <c r="B7744" s="67" t="str">
        <f t="shared" si="16"/>
        <v>M: </v>
      </c>
      <c r="C7744" s="68"/>
      <c r="D7744" s="68">
        <v>46524.0</v>
      </c>
      <c r="E7744" s="66">
        <v>2.0</v>
      </c>
      <c r="F7744" s="66" t="str">
        <f>IFERROR(__xludf.DUMMYFUNCTION("GOOGLETRANSLATE(A7744,""en"",""pt"")"),"#VALUE!")</f>
        <v>#VALUE!</v>
      </c>
      <c r="G7744" s="69"/>
    </row>
    <row r="7745" ht="22.5" customHeight="1">
      <c r="A7745" s="66"/>
      <c r="B7745" s="67" t="str">
        <f t="shared" si="16"/>
        <v>M: </v>
      </c>
      <c r="C7745" s="68"/>
      <c r="D7745" s="68">
        <v>46524.0</v>
      </c>
      <c r="E7745" s="66">
        <v>3.0</v>
      </c>
      <c r="F7745" s="66" t="str">
        <f>IFERROR(__xludf.DUMMYFUNCTION("GOOGLETRANSLATE(A7745,""en"",""pt"")"),"#VALUE!")</f>
        <v>#VALUE!</v>
      </c>
      <c r="G7745" s="69"/>
    </row>
    <row r="7746" ht="22.5" customHeight="1">
      <c r="A7746" s="66"/>
      <c r="B7746" s="67" t="str">
        <f t="shared" si="16"/>
        <v>M: </v>
      </c>
      <c r="C7746" s="68"/>
      <c r="D7746" s="68">
        <v>46524.0</v>
      </c>
      <c r="E7746" s="66">
        <v>4.0</v>
      </c>
      <c r="F7746" s="66" t="str">
        <f>IFERROR(__xludf.DUMMYFUNCTION("GOOGLETRANSLATE(A7746,""en"",""pt"")"),"#VALUE!")</f>
        <v>#VALUE!</v>
      </c>
      <c r="G7746" s="69"/>
    </row>
    <row r="7747" ht="22.5" customHeight="1">
      <c r="A7747" s="66"/>
      <c r="B7747" s="67" t="str">
        <f t="shared" si="16"/>
        <v>M: </v>
      </c>
      <c r="C7747" s="68"/>
      <c r="D7747" s="68">
        <v>46524.0</v>
      </c>
      <c r="E7747" s="66">
        <v>5.0</v>
      </c>
      <c r="F7747" s="66" t="str">
        <f>IFERROR(__xludf.DUMMYFUNCTION("GOOGLETRANSLATE(A7747,""en"",""pt"")"),"#VALUE!")</f>
        <v>#VALUE!</v>
      </c>
      <c r="G7747" s="69"/>
    </row>
    <row r="7748" ht="22.5" customHeight="1">
      <c r="A7748" s="66"/>
      <c r="B7748" s="67" t="str">
        <f t="shared" si="16"/>
        <v>M: </v>
      </c>
      <c r="C7748" s="68"/>
      <c r="D7748" s="68">
        <v>46524.0</v>
      </c>
      <c r="E7748" s="66">
        <v>6.0</v>
      </c>
      <c r="F7748" s="66" t="str">
        <f>IFERROR(__xludf.DUMMYFUNCTION("GOOGLETRANSLATE(A7748,""en"",""pt"")"),"#VALUE!")</f>
        <v>#VALUE!</v>
      </c>
      <c r="G7748" s="69"/>
    </row>
    <row r="7749" ht="22.5" customHeight="1">
      <c r="A7749" s="66"/>
      <c r="B7749" s="67" t="str">
        <f t="shared" si="16"/>
        <v>M: </v>
      </c>
      <c r="C7749" s="68"/>
      <c r="D7749" s="68">
        <v>46524.0</v>
      </c>
      <c r="E7749" s="66">
        <v>7.0</v>
      </c>
      <c r="F7749" s="66" t="str">
        <f>IFERROR(__xludf.DUMMYFUNCTION("GOOGLETRANSLATE(A7749,""en"",""pt"")"),"#VALUE!")</f>
        <v>#VALUE!</v>
      </c>
      <c r="G7749" s="69"/>
    </row>
    <row r="7750" ht="22.5" customHeight="1">
      <c r="A7750" s="66"/>
      <c r="B7750" s="67" t="str">
        <f t="shared" si="16"/>
        <v>M: </v>
      </c>
      <c r="C7750" s="68"/>
      <c r="D7750" s="68">
        <v>46524.0</v>
      </c>
      <c r="E7750" s="66">
        <v>8.0</v>
      </c>
      <c r="F7750" s="66" t="str">
        <f>IFERROR(__xludf.DUMMYFUNCTION("GOOGLETRANSLATE(A7750,""en"",""pt"")"),"#VALUE!")</f>
        <v>#VALUE!</v>
      </c>
      <c r="G7750" s="69"/>
    </row>
    <row r="7751" ht="22.5" customHeight="1">
      <c r="A7751" s="66"/>
      <c r="B7751" s="67" t="str">
        <f t="shared" si="16"/>
        <v>M: </v>
      </c>
      <c r="C7751" s="68"/>
      <c r="D7751" s="68">
        <v>46524.0</v>
      </c>
      <c r="E7751" s="66">
        <v>9.0</v>
      </c>
      <c r="F7751" s="66" t="str">
        <f>IFERROR(__xludf.DUMMYFUNCTION("GOOGLETRANSLATE(A7751,""en"",""pt"")"),"#VALUE!")</f>
        <v>#VALUE!</v>
      </c>
      <c r="G7751" s="69"/>
    </row>
    <row r="7752" ht="22.5" customHeight="1">
      <c r="A7752" s="66"/>
      <c r="B7752" s="67" t="str">
        <f t="shared" si="16"/>
        <v>M: </v>
      </c>
      <c r="C7752" s="68"/>
      <c r="D7752" s="68">
        <v>46525.0</v>
      </c>
      <c r="E7752" s="66">
        <v>10.0</v>
      </c>
      <c r="F7752" s="66" t="str">
        <f>IFERROR(__xludf.DUMMYFUNCTION("GOOGLETRANSLATE(A7752,""en"",""pt"")"),"#VALUE!")</f>
        <v>#VALUE!</v>
      </c>
      <c r="G7752" s="69"/>
    </row>
    <row r="7753" ht="22.5" customHeight="1">
      <c r="A7753" s="66"/>
      <c r="B7753" s="67" t="str">
        <f t="shared" si="16"/>
        <v>M: </v>
      </c>
      <c r="C7753" s="68"/>
      <c r="D7753" s="68">
        <v>46525.0</v>
      </c>
      <c r="E7753" s="66">
        <v>1.0</v>
      </c>
      <c r="F7753" s="66" t="str">
        <f>IFERROR(__xludf.DUMMYFUNCTION("GOOGLETRANSLATE(A7753,""en"",""pt"")"),"#VALUE!")</f>
        <v>#VALUE!</v>
      </c>
      <c r="G7753" s="69"/>
    </row>
    <row r="7754" ht="22.5" customHeight="1">
      <c r="A7754" s="66"/>
      <c r="B7754" s="67" t="str">
        <f t="shared" si="16"/>
        <v>M: </v>
      </c>
      <c r="C7754" s="68"/>
      <c r="D7754" s="68">
        <v>46525.0</v>
      </c>
      <c r="E7754" s="66">
        <v>2.0</v>
      </c>
      <c r="F7754" s="66" t="str">
        <f>IFERROR(__xludf.DUMMYFUNCTION("GOOGLETRANSLATE(A7754,""en"",""pt"")"),"#VALUE!")</f>
        <v>#VALUE!</v>
      </c>
      <c r="G7754" s="69"/>
    </row>
    <row r="7755" ht="22.5" customHeight="1">
      <c r="A7755" s="66"/>
      <c r="B7755" s="67" t="str">
        <f t="shared" si="16"/>
        <v>M: </v>
      </c>
      <c r="C7755" s="68"/>
      <c r="D7755" s="68">
        <v>46525.0</v>
      </c>
      <c r="E7755" s="66">
        <v>3.0</v>
      </c>
      <c r="F7755" s="66" t="str">
        <f>IFERROR(__xludf.DUMMYFUNCTION("GOOGLETRANSLATE(A7755,""en"",""pt"")"),"#VALUE!")</f>
        <v>#VALUE!</v>
      </c>
      <c r="G7755" s="69"/>
    </row>
    <row r="7756" ht="22.5" customHeight="1">
      <c r="A7756" s="66"/>
      <c r="B7756" s="67" t="str">
        <f t="shared" si="16"/>
        <v>M: </v>
      </c>
      <c r="C7756" s="68"/>
      <c r="D7756" s="68">
        <v>46525.0</v>
      </c>
      <c r="E7756" s="66">
        <v>4.0</v>
      </c>
      <c r="F7756" s="66" t="str">
        <f>IFERROR(__xludf.DUMMYFUNCTION("GOOGLETRANSLATE(A7756,""en"",""pt"")"),"#VALUE!")</f>
        <v>#VALUE!</v>
      </c>
      <c r="G7756" s="69"/>
    </row>
    <row r="7757" ht="22.5" customHeight="1">
      <c r="A7757" s="66"/>
      <c r="B7757" s="67" t="str">
        <f t="shared" si="16"/>
        <v>M: </v>
      </c>
      <c r="C7757" s="68"/>
      <c r="D7757" s="68">
        <v>46525.0</v>
      </c>
      <c r="E7757" s="66">
        <v>5.0</v>
      </c>
      <c r="F7757" s="66" t="str">
        <f>IFERROR(__xludf.DUMMYFUNCTION("GOOGLETRANSLATE(A7757,""en"",""pt"")"),"#VALUE!")</f>
        <v>#VALUE!</v>
      </c>
      <c r="G7757" s="69"/>
    </row>
    <row r="7758" ht="22.5" customHeight="1">
      <c r="A7758" s="66"/>
      <c r="B7758" s="67" t="str">
        <f t="shared" si="16"/>
        <v>M: </v>
      </c>
      <c r="C7758" s="68"/>
      <c r="D7758" s="68">
        <v>46525.0</v>
      </c>
      <c r="E7758" s="66">
        <v>6.0</v>
      </c>
      <c r="F7758" s="66" t="str">
        <f>IFERROR(__xludf.DUMMYFUNCTION("GOOGLETRANSLATE(A7758,""en"",""pt"")"),"#VALUE!")</f>
        <v>#VALUE!</v>
      </c>
      <c r="G7758" s="69"/>
    </row>
    <row r="7759" ht="22.5" customHeight="1">
      <c r="A7759" s="66"/>
      <c r="B7759" s="67" t="str">
        <f t="shared" si="16"/>
        <v>M: </v>
      </c>
      <c r="C7759" s="68"/>
      <c r="D7759" s="68">
        <v>46525.0</v>
      </c>
      <c r="E7759" s="66">
        <v>7.0</v>
      </c>
      <c r="F7759" s="66" t="str">
        <f>IFERROR(__xludf.DUMMYFUNCTION("GOOGLETRANSLATE(A7759,""en"",""pt"")"),"#VALUE!")</f>
        <v>#VALUE!</v>
      </c>
      <c r="G7759" s="69"/>
    </row>
    <row r="7760" ht="22.5" customHeight="1">
      <c r="A7760" s="66"/>
      <c r="B7760" s="67" t="str">
        <f t="shared" si="16"/>
        <v>M: </v>
      </c>
      <c r="C7760" s="68"/>
      <c r="D7760" s="68">
        <v>46525.0</v>
      </c>
      <c r="E7760" s="66">
        <v>8.0</v>
      </c>
      <c r="F7760" s="66" t="str">
        <f>IFERROR(__xludf.DUMMYFUNCTION("GOOGLETRANSLATE(A7760,""en"",""pt"")"),"#VALUE!")</f>
        <v>#VALUE!</v>
      </c>
      <c r="G7760" s="69"/>
    </row>
    <row r="7761" ht="22.5" customHeight="1">
      <c r="A7761" s="66"/>
      <c r="B7761" s="67" t="str">
        <f t="shared" si="16"/>
        <v>M: </v>
      </c>
      <c r="C7761" s="68"/>
      <c r="D7761" s="68">
        <v>46525.0</v>
      </c>
      <c r="E7761" s="66">
        <v>9.0</v>
      </c>
      <c r="F7761" s="66" t="str">
        <f>IFERROR(__xludf.DUMMYFUNCTION("GOOGLETRANSLATE(A7761,""en"",""pt"")"),"#VALUE!")</f>
        <v>#VALUE!</v>
      </c>
      <c r="G7761" s="69"/>
    </row>
    <row r="7762" ht="22.5" customHeight="1">
      <c r="A7762" s="66"/>
      <c r="B7762" s="67" t="str">
        <f t="shared" si="16"/>
        <v>M: </v>
      </c>
      <c r="C7762" s="68"/>
      <c r="D7762" s="68">
        <v>46526.0</v>
      </c>
      <c r="E7762" s="66">
        <v>10.0</v>
      </c>
      <c r="F7762" s="66" t="str">
        <f>IFERROR(__xludf.DUMMYFUNCTION("GOOGLETRANSLATE(A7762,""en"",""pt"")"),"#VALUE!")</f>
        <v>#VALUE!</v>
      </c>
      <c r="G7762" s="69"/>
    </row>
    <row r="7763" ht="22.5" customHeight="1">
      <c r="A7763" s="66"/>
      <c r="B7763" s="67" t="str">
        <f t="shared" si="16"/>
        <v>M: </v>
      </c>
      <c r="C7763" s="68"/>
      <c r="D7763" s="68">
        <v>46526.0</v>
      </c>
      <c r="E7763" s="66">
        <v>1.0</v>
      </c>
      <c r="F7763" s="66" t="str">
        <f>IFERROR(__xludf.DUMMYFUNCTION("GOOGLETRANSLATE(A7763,""en"",""pt"")"),"#VALUE!")</f>
        <v>#VALUE!</v>
      </c>
      <c r="G7763" s="69"/>
    </row>
    <row r="7764" ht="22.5" customHeight="1">
      <c r="A7764" s="66"/>
      <c r="B7764" s="67" t="str">
        <f t="shared" si="16"/>
        <v>M: </v>
      </c>
      <c r="C7764" s="68"/>
      <c r="D7764" s="68">
        <v>46526.0</v>
      </c>
      <c r="E7764" s="66">
        <v>2.0</v>
      </c>
      <c r="F7764" s="66" t="str">
        <f>IFERROR(__xludf.DUMMYFUNCTION("GOOGLETRANSLATE(A7764,""en"",""pt"")"),"#VALUE!")</f>
        <v>#VALUE!</v>
      </c>
      <c r="G7764" s="69"/>
    </row>
    <row r="7765" ht="22.5" customHeight="1">
      <c r="A7765" s="66"/>
      <c r="B7765" s="67" t="str">
        <f t="shared" si="16"/>
        <v>M: </v>
      </c>
      <c r="C7765" s="68"/>
      <c r="D7765" s="68">
        <v>46526.0</v>
      </c>
      <c r="E7765" s="66">
        <v>3.0</v>
      </c>
      <c r="F7765" s="66" t="str">
        <f>IFERROR(__xludf.DUMMYFUNCTION("GOOGLETRANSLATE(A7765,""en"",""pt"")"),"#VALUE!")</f>
        <v>#VALUE!</v>
      </c>
      <c r="G7765" s="69"/>
    </row>
    <row r="7766" ht="22.5" customHeight="1">
      <c r="A7766" s="66"/>
      <c r="B7766" s="67" t="str">
        <f t="shared" si="16"/>
        <v>M: </v>
      </c>
      <c r="C7766" s="68"/>
      <c r="D7766" s="68">
        <v>46526.0</v>
      </c>
      <c r="E7766" s="66">
        <v>4.0</v>
      </c>
      <c r="F7766" s="66" t="str">
        <f>IFERROR(__xludf.DUMMYFUNCTION("GOOGLETRANSLATE(A7766,""en"",""pt"")"),"#VALUE!")</f>
        <v>#VALUE!</v>
      </c>
      <c r="G7766" s="69"/>
    </row>
    <row r="7767" ht="22.5" customHeight="1">
      <c r="A7767" s="66"/>
      <c r="B7767" s="67" t="str">
        <f t="shared" si="16"/>
        <v>M: </v>
      </c>
      <c r="C7767" s="68"/>
      <c r="D7767" s="68">
        <v>46526.0</v>
      </c>
      <c r="E7767" s="66">
        <v>5.0</v>
      </c>
      <c r="F7767" s="66" t="str">
        <f>IFERROR(__xludf.DUMMYFUNCTION("GOOGLETRANSLATE(A7767,""en"",""pt"")"),"#VALUE!")</f>
        <v>#VALUE!</v>
      </c>
      <c r="G7767" s="69"/>
    </row>
    <row r="7768" ht="22.5" customHeight="1">
      <c r="A7768" s="66"/>
      <c r="B7768" s="67" t="str">
        <f t="shared" si="16"/>
        <v>M: </v>
      </c>
      <c r="C7768" s="68"/>
      <c r="D7768" s="68">
        <v>46526.0</v>
      </c>
      <c r="E7768" s="66">
        <v>6.0</v>
      </c>
      <c r="F7768" s="66" t="str">
        <f>IFERROR(__xludf.DUMMYFUNCTION("GOOGLETRANSLATE(A7768,""en"",""pt"")"),"#VALUE!")</f>
        <v>#VALUE!</v>
      </c>
      <c r="G7768" s="69"/>
    </row>
    <row r="7769" ht="22.5" customHeight="1">
      <c r="A7769" s="66"/>
      <c r="B7769" s="67" t="str">
        <f t="shared" si="16"/>
        <v>M: </v>
      </c>
      <c r="C7769" s="68"/>
      <c r="D7769" s="68">
        <v>46526.0</v>
      </c>
      <c r="E7769" s="66">
        <v>7.0</v>
      </c>
      <c r="F7769" s="66" t="str">
        <f>IFERROR(__xludf.DUMMYFUNCTION("GOOGLETRANSLATE(A7769,""en"",""pt"")"),"#VALUE!")</f>
        <v>#VALUE!</v>
      </c>
      <c r="G7769" s="69"/>
    </row>
    <row r="7770" ht="22.5" customHeight="1">
      <c r="A7770" s="66"/>
      <c r="B7770" s="67" t="str">
        <f t="shared" si="16"/>
        <v>M: </v>
      </c>
      <c r="C7770" s="68"/>
      <c r="D7770" s="68">
        <v>46526.0</v>
      </c>
      <c r="E7770" s="66">
        <v>8.0</v>
      </c>
      <c r="F7770" s="66" t="str">
        <f>IFERROR(__xludf.DUMMYFUNCTION("GOOGLETRANSLATE(A7770,""en"",""pt"")"),"#VALUE!")</f>
        <v>#VALUE!</v>
      </c>
      <c r="G7770" s="69"/>
    </row>
    <row r="7771" ht="22.5" customHeight="1">
      <c r="A7771" s="66"/>
      <c r="B7771" s="67" t="str">
        <f t="shared" si="16"/>
        <v>M: </v>
      </c>
      <c r="C7771" s="68"/>
      <c r="D7771" s="68">
        <v>46526.0</v>
      </c>
      <c r="E7771" s="66">
        <v>9.0</v>
      </c>
      <c r="F7771" s="66" t="str">
        <f>IFERROR(__xludf.DUMMYFUNCTION("GOOGLETRANSLATE(A7771,""en"",""pt"")"),"#VALUE!")</f>
        <v>#VALUE!</v>
      </c>
      <c r="G7771" s="69"/>
    </row>
    <row r="7772" ht="22.5" customHeight="1">
      <c r="A7772" s="66"/>
      <c r="B7772" s="67" t="str">
        <f t="shared" si="16"/>
        <v>M: </v>
      </c>
      <c r="C7772" s="68"/>
      <c r="D7772" s="68">
        <v>46527.0</v>
      </c>
      <c r="E7772" s="66">
        <v>10.0</v>
      </c>
      <c r="F7772" s="66" t="str">
        <f>IFERROR(__xludf.DUMMYFUNCTION("GOOGLETRANSLATE(A7772,""en"",""pt"")"),"#VALUE!")</f>
        <v>#VALUE!</v>
      </c>
      <c r="G7772" s="69"/>
    </row>
    <row r="7773" ht="22.5" customHeight="1">
      <c r="A7773" s="66"/>
      <c r="B7773" s="67" t="str">
        <f t="shared" si="16"/>
        <v>M: </v>
      </c>
      <c r="C7773" s="68"/>
      <c r="D7773" s="68">
        <v>46527.0</v>
      </c>
      <c r="E7773" s="66">
        <v>1.0</v>
      </c>
      <c r="F7773" s="66" t="str">
        <f>IFERROR(__xludf.DUMMYFUNCTION("GOOGLETRANSLATE(A7773,""en"",""pt"")"),"#VALUE!")</f>
        <v>#VALUE!</v>
      </c>
      <c r="G7773" s="69"/>
    </row>
    <row r="7774" ht="22.5" customHeight="1">
      <c r="A7774" s="66"/>
      <c r="B7774" s="67" t="str">
        <f t="shared" si="16"/>
        <v>M: </v>
      </c>
      <c r="C7774" s="68"/>
      <c r="D7774" s="68">
        <v>46527.0</v>
      </c>
      <c r="E7774" s="66">
        <v>2.0</v>
      </c>
      <c r="F7774" s="66" t="str">
        <f>IFERROR(__xludf.DUMMYFUNCTION("GOOGLETRANSLATE(A7774,""en"",""pt"")"),"#VALUE!")</f>
        <v>#VALUE!</v>
      </c>
      <c r="G7774" s="69"/>
    </row>
    <row r="7775" ht="22.5" customHeight="1">
      <c r="A7775" s="66"/>
      <c r="B7775" s="67" t="str">
        <f t="shared" si="16"/>
        <v>M: </v>
      </c>
      <c r="C7775" s="68"/>
      <c r="D7775" s="68">
        <v>46527.0</v>
      </c>
      <c r="E7775" s="66">
        <v>3.0</v>
      </c>
      <c r="F7775" s="66" t="str">
        <f>IFERROR(__xludf.DUMMYFUNCTION("GOOGLETRANSLATE(A7775,""en"",""pt"")"),"#VALUE!")</f>
        <v>#VALUE!</v>
      </c>
      <c r="G7775" s="69"/>
    </row>
    <row r="7776" ht="22.5" customHeight="1">
      <c r="A7776" s="66"/>
      <c r="B7776" s="67" t="str">
        <f t="shared" si="16"/>
        <v>M: </v>
      </c>
      <c r="C7776" s="68"/>
      <c r="D7776" s="68">
        <v>46527.0</v>
      </c>
      <c r="E7776" s="66">
        <v>4.0</v>
      </c>
      <c r="F7776" s="66" t="str">
        <f>IFERROR(__xludf.DUMMYFUNCTION("GOOGLETRANSLATE(A7776,""en"",""pt"")"),"#VALUE!")</f>
        <v>#VALUE!</v>
      </c>
      <c r="G7776" s="69"/>
    </row>
    <row r="7777" ht="22.5" customHeight="1">
      <c r="A7777" s="66"/>
      <c r="B7777" s="67" t="str">
        <f t="shared" si="16"/>
        <v>M: </v>
      </c>
      <c r="C7777" s="68"/>
      <c r="D7777" s="68">
        <v>46527.0</v>
      </c>
      <c r="E7777" s="66">
        <v>5.0</v>
      </c>
      <c r="F7777" s="66" t="str">
        <f>IFERROR(__xludf.DUMMYFUNCTION("GOOGLETRANSLATE(A7777,""en"",""pt"")"),"#VALUE!")</f>
        <v>#VALUE!</v>
      </c>
      <c r="G7777" s="69"/>
    </row>
    <row r="7778" ht="22.5" customHeight="1">
      <c r="A7778" s="66"/>
      <c r="B7778" s="67" t="str">
        <f t="shared" si="16"/>
        <v>M: </v>
      </c>
      <c r="C7778" s="68"/>
      <c r="D7778" s="68">
        <v>46527.0</v>
      </c>
      <c r="E7778" s="66">
        <v>6.0</v>
      </c>
      <c r="F7778" s="66" t="str">
        <f>IFERROR(__xludf.DUMMYFUNCTION("GOOGLETRANSLATE(A7778,""en"",""pt"")"),"#VALUE!")</f>
        <v>#VALUE!</v>
      </c>
      <c r="G7778" s="69"/>
    </row>
    <row r="7779" ht="22.5" customHeight="1">
      <c r="A7779" s="66"/>
      <c r="B7779" s="67" t="str">
        <f t="shared" si="16"/>
        <v>M: </v>
      </c>
      <c r="C7779" s="68"/>
      <c r="D7779" s="68">
        <v>46527.0</v>
      </c>
      <c r="E7779" s="66">
        <v>7.0</v>
      </c>
      <c r="F7779" s="66" t="str">
        <f>IFERROR(__xludf.DUMMYFUNCTION("GOOGLETRANSLATE(A7779,""en"",""pt"")"),"#VALUE!")</f>
        <v>#VALUE!</v>
      </c>
      <c r="G7779" s="69"/>
    </row>
    <row r="7780" ht="22.5" customHeight="1">
      <c r="A7780" s="66"/>
      <c r="B7780" s="67" t="str">
        <f t="shared" si="16"/>
        <v>M: </v>
      </c>
      <c r="C7780" s="68"/>
      <c r="D7780" s="68">
        <v>46527.0</v>
      </c>
      <c r="E7780" s="66">
        <v>8.0</v>
      </c>
      <c r="F7780" s="66" t="str">
        <f>IFERROR(__xludf.DUMMYFUNCTION("GOOGLETRANSLATE(A7780,""en"",""pt"")"),"#VALUE!")</f>
        <v>#VALUE!</v>
      </c>
      <c r="G7780" s="69"/>
    </row>
    <row r="7781" ht="22.5" customHeight="1">
      <c r="A7781" s="66"/>
      <c r="B7781" s="67" t="str">
        <f t="shared" si="16"/>
        <v>M: </v>
      </c>
      <c r="C7781" s="68"/>
      <c r="D7781" s="68">
        <v>46527.0</v>
      </c>
      <c r="E7781" s="66">
        <v>9.0</v>
      </c>
      <c r="F7781" s="66" t="str">
        <f>IFERROR(__xludf.DUMMYFUNCTION("GOOGLETRANSLATE(A7781,""en"",""pt"")"),"#VALUE!")</f>
        <v>#VALUE!</v>
      </c>
      <c r="G7781" s="69"/>
    </row>
    <row r="7782" ht="22.5" customHeight="1">
      <c r="A7782" s="66"/>
      <c r="B7782" s="67" t="str">
        <f t="shared" si="16"/>
        <v>M: </v>
      </c>
      <c r="C7782" s="68"/>
      <c r="D7782" s="68">
        <v>46528.0</v>
      </c>
      <c r="E7782" s="66">
        <v>10.0</v>
      </c>
      <c r="F7782" s="66" t="str">
        <f>IFERROR(__xludf.DUMMYFUNCTION("GOOGLETRANSLATE(A7782,""en"",""pt"")"),"#VALUE!")</f>
        <v>#VALUE!</v>
      </c>
      <c r="G7782" s="69"/>
    </row>
    <row r="7783" ht="22.5" customHeight="1">
      <c r="A7783" s="66"/>
      <c r="B7783" s="67" t="str">
        <f t="shared" si="16"/>
        <v>M: </v>
      </c>
      <c r="C7783" s="68"/>
      <c r="D7783" s="68">
        <v>46528.0</v>
      </c>
      <c r="E7783" s="66">
        <v>1.0</v>
      </c>
      <c r="F7783" s="66" t="str">
        <f>IFERROR(__xludf.DUMMYFUNCTION("GOOGLETRANSLATE(A7783,""en"",""pt"")"),"#VALUE!")</f>
        <v>#VALUE!</v>
      </c>
      <c r="G7783" s="69"/>
    </row>
    <row r="7784" ht="22.5" customHeight="1">
      <c r="A7784" s="66"/>
      <c r="B7784" s="67" t="str">
        <f t="shared" si="16"/>
        <v>M: </v>
      </c>
      <c r="C7784" s="68"/>
      <c r="D7784" s="68">
        <v>46528.0</v>
      </c>
      <c r="E7784" s="66">
        <v>2.0</v>
      </c>
      <c r="F7784" s="66" t="str">
        <f>IFERROR(__xludf.DUMMYFUNCTION("GOOGLETRANSLATE(A7784,""en"",""pt"")"),"#VALUE!")</f>
        <v>#VALUE!</v>
      </c>
      <c r="G7784" s="69"/>
    </row>
    <row r="7785" ht="22.5" customHeight="1">
      <c r="A7785" s="66"/>
      <c r="B7785" s="67" t="str">
        <f t="shared" si="16"/>
        <v>M: </v>
      </c>
      <c r="C7785" s="68"/>
      <c r="D7785" s="68">
        <v>46528.0</v>
      </c>
      <c r="E7785" s="66">
        <v>3.0</v>
      </c>
      <c r="F7785" s="66" t="str">
        <f>IFERROR(__xludf.DUMMYFUNCTION("GOOGLETRANSLATE(A7785,""en"",""pt"")"),"#VALUE!")</f>
        <v>#VALUE!</v>
      </c>
      <c r="G7785" s="69"/>
    </row>
    <row r="7786" ht="22.5" customHeight="1">
      <c r="A7786" s="66"/>
      <c r="B7786" s="67" t="str">
        <f t="shared" si="16"/>
        <v>M: </v>
      </c>
      <c r="C7786" s="68"/>
      <c r="D7786" s="68">
        <v>46528.0</v>
      </c>
      <c r="E7786" s="66">
        <v>4.0</v>
      </c>
      <c r="F7786" s="66" t="str">
        <f>IFERROR(__xludf.DUMMYFUNCTION("GOOGLETRANSLATE(A7786,""en"",""pt"")"),"#VALUE!")</f>
        <v>#VALUE!</v>
      </c>
      <c r="G7786" s="69"/>
    </row>
    <row r="7787" ht="22.5" customHeight="1">
      <c r="A7787" s="66"/>
      <c r="B7787" s="67" t="str">
        <f t="shared" si="16"/>
        <v>M: </v>
      </c>
      <c r="C7787" s="68"/>
      <c r="D7787" s="68">
        <v>46528.0</v>
      </c>
      <c r="E7787" s="66">
        <v>5.0</v>
      </c>
      <c r="F7787" s="66" t="str">
        <f>IFERROR(__xludf.DUMMYFUNCTION("GOOGLETRANSLATE(A7787,""en"",""pt"")"),"#VALUE!")</f>
        <v>#VALUE!</v>
      </c>
      <c r="G7787" s="69"/>
    </row>
    <row r="7788" ht="22.5" customHeight="1">
      <c r="A7788" s="66"/>
      <c r="B7788" s="67" t="str">
        <f t="shared" si="16"/>
        <v>M: </v>
      </c>
      <c r="C7788" s="68"/>
      <c r="D7788" s="68">
        <v>46528.0</v>
      </c>
      <c r="E7788" s="66">
        <v>6.0</v>
      </c>
      <c r="F7788" s="66" t="str">
        <f>IFERROR(__xludf.DUMMYFUNCTION("GOOGLETRANSLATE(A7788,""en"",""pt"")"),"#VALUE!")</f>
        <v>#VALUE!</v>
      </c>
      <c r="G7788" s="69"/>
    </row>
    <row r="7789" ht="22.5" customHeight="1">
      <c r="A7789" s="66"/>
      <c r="B7789" s="67" t="str">
        <f t="shared" si="16"/>
        <v>M: </v>
      </c>
      <c r="C7789" s="68"/>
      <c r="D7789" s="68">
        <v>46528.0</v>
      </c>
      <c r="E7789" s="66">
        <v>7.0</v>
      </c>
      <c r="F7789" s="66" t="str">
        <f>IFERROR(__xludf.DUMMYFUNCTION("GOOGLETRANSLATE(A7789,""en"",""pt"")"),"#VALUE!")</f>
        <v>#VALUE!</v>
      </c>
      <c r="G7789" s="69"/>
    </row>
    <row r="7790" ht="22.5" customHeight="1">
      <c r="A7790" s="66"/>
      <c r="B7790" s="67" t="str">
        <f t="shared" si="16"/>
        <v>M: </v>
      </c>
      <c r="C7790" s="68"/>
      <c r="D7790" s="68">
        <v>46528.0</v>
      </c>
      <c r="E7790" s="66">
        <v>8.0</v>
      </c>
      <c r="F7790" s="66" t="str">
        <f>IFERROR(__xludf.DUMMYFUNCTION("GOOGLETRANSLATE(A7790,""en"",""pt"")"),"#VALUE!")</f>
        <v>#VALUE!</v>
      </c>
      <c r="G7790" s="69"/>
    </row>
    <row r="7791" ht="22.5" customHeight="1">
      <c r="A7791" s="66"/>
      <c r="B7791" s="67" t="str">
        <f t="shared" si="16"/>
        <v>M: </v>
      </c>
      <c r="C7791" s="68"/>
      <c r="D7791" s="68">
        <v>46528.0</v>
      </c>
      <c r="E7791" s="66">
        <v>9.0</v>
      </c>
      <c r="F7791" s="66" t="str">
        <f>IFERROR(__xludf.DUMMYFUNCTION("GOOGLETRANSLATE(A7791,""en"",""pt"")"),"#VALUE!")</f>
        <v>#VALUE!</v>
      </c>
      <c r="G7791" s="69"/>
    </row>
    <row r="7792" ht="22.5" customHeight="1">
      <c r="A7792" s="66"/>
      <c r="B7792" s="67" t="str">
        <f t="shared" si="16"/>
        <v>M: </v>
      </c>
      <c r="C7792" s="68"/>
      <c r="D7792" s="68">
        <v>46529.0</v>
      </c>
      <c r="E7792" s="66">
        <v>10.0</v>
      </c>
      <c r="F7792" s="66" t="str">
        <f>IFERROR(__xludf.DUMMYFUNCTION("GOOGLETRANSLATE(A7792,""en"",""pt"")"),"#VALUE!")</f>
        <v>#VALUE!</v>
      </c>
      <c r="G7792" s="69"/>
    </row>
    <row r="7793" ht="22.5" customHeight="1">
      <c r="A7793" s="66"/>
      <c r="B7793" s="67" t="str">
        <f t="shared" si="16"/>
        <v>M: </v>
      </c>
      <c r="C7793" s="68"/>
      <c r="D7793" s="68">
        <v>46529.0</v>
      </c>
      <c r="E7793" s="66">
        <v>1.0</v>
      </c>
      <c r="F7793" s="66" t="str">
        <f>IFERROR(__xludf.DUMMYFUNCTION("GOOGLETRANSLATE(A7793,""en"",""pt"")"),"#VALUE!")</f>
        <v>#VALUE!</v>
      </c>
      <c r="G7793" s="69"/>
    </row>
    <row r="7794" ht="22.5" customHeight="1">
      <c r="A7794" s="66"/>
      <c r="B7794" s="67" t="str">
        <f t="shared" si="16"/>
        <v>M: </v>
      </c>
      <c r="C7794" s="68"/>
      <c r="D7794" s="68">
        <v>46529.0</v>
      </c>
      <c r="E7794" s="66">
        <v>2.0</v>
      </c>
      <c r="F7794" s="66" t="str">
        <f>IFERROR(__xludf.DUMMYFUNCTION("GOOGLETRANSLATE(A7794,""en"",""pt"")"),"#VALUE!")</f>
        <v>#VALUE!</v>
      </c>
      <c r="G7794" s="69"/>
    </row>
    <row r="7795" ht="22.5" customHeight="1">
      <c r="A7795" s="66"/>
      <c r="B7795" s="67" t="str">
        <f t="shared" si="16"/>
        <v>M: </v>
      </c>
      <c r="C7795" s="68"/>
      <c r="D7795" s="68">
        <v>46529.0</v>
      </c>
      <c r="E7795" s="66">
        <v>3.0</v>
      </c>
      <c r="F7795" s="66" t="str">
        <f>IFERROR(__xludf.DUMMYFUNCTION("GOOGLETRANSLATE(A7795,""en"",""pt"")"),"#VALUE!")</f>
        <v>#VALUE!</v>
      </c>
      <c r="G7795" s="69"/>
    </row>
    <row r="7796" ht="22.5" customHeight="1">
      <c r="A7796" s="66"/>
      <c r="B7796" s="67" t="str">
        <f t="shared" si="16"/>
        <v>M: </v>
      </c>
      <c r="C7796" s="68"/>
      <c r="D7796" s="68">
        <v>46529.0</v>
      </c>
      <c r="E7796" s="66">
        <v>4.0</v>
      </c>
      <c r="F7796" s="66" t="str">
        <f>IFERROR(__xludf.DUMMYFUNCTION("GOOGLETRANSLATE(A7796,""en"",""pt"")"),"#VALUE!")</f>
        <v>#VALUE!</v>
      </c>
      <c r="G7796" s="69"/>
    </row>
    <row r="7797" ht="22.5" customHeight="1">
      <c r="A7797" s="66"/>
      <c r="B7797" s="67" t="str">
        <f t="shared" si="16"/>
        <v>M: </v>
      </c>
      <c r="C7797" s="68"/>
      <c r="D7797" s="68">
        <v>46529.0</v>
      </c>
      <c r="E7797" s="66">
        <v>5.0</v>
      </c>
      <c r="F7797" s="66" t="str">
        <f>IFERROR(__xludf.DUMMYFUNCTION("GOOGLETRANSLATE(A7797,""en"",""pt"")"),"#VALUE!")</f>
        <v>#VALUE!</v>
      </c>
      <c r="G7797" s="69"/>
    </row>
    <row r="7798" ht="22.5" customHeight="1">
      <c r="A7798" s="66"/>
      <c r="B7798" s="67" t="str">
        <f t="shared" si="16"/>
        <v>M: </v>
      </c>
      <c r="C7798" s="68"/>
      <c r="D7798" s="68">
        <v>46529.0</v>
      </c>
      <c r="E7798" s="66">
        <v>6.0</v>
      </c>
      <c r="F7798" s="66" t="str">
        <f>IFERROR(__xludf.DUMMYFUNCTION("GOOGLETRANSLATE(A7798,""en"",""pt"")"),"#VALUE!")</f>
        <v>#VALUE!</v>
      </c>
      <c r="G7798" s="69"/>
    </row>
    <row r="7799" ht="22.5" customHeight="1">
      <c r="A7799" s="66"/>
      <c r="B7799" s="67" t="str">
        <f t="shared" si="16"/>
        <v>M: </v>
      </c>
      <c r="C7799" s="68"/>
      <c r="D7799" s="68">
        <v>46529.0</v>
      </c>
      <c r="E7799" s="66">
        <v>7.0</v>
      </c>
      <c r="F7799" s="66" t="str">
        <f>IFERROR(__xludf.DUMMYFUNCTION("GOOGLETRANSLATE(A7799,""en"",""pt"")"),"#VALUE!")</f>
        <v>#VALUE!</v>
      </c>
      <c r="G7799" s="69"/>
    </row>
    <row r="7800" ht="22.5" customHeight="1">
      <c r="A7800" s="66"/>
      <c r="B7800" s="67" t="str">
        <f t="shared" si="16"/>
        <v>M: </v>
      </c>
      <c r="C7800" s="68"/>
      <c r="D7800" s="68">
        <v>46529.0</v>
      </c>
      <c r="E7800" s="66">
        <v>8.0</v>
      </c>
      <c r="F7800" s="66" t="str">
        <f>IFERROR(__xludf.DUMMYFUNCTION("GOOGLETRANSLATE(A7800,""en"",""pt"")"),"#VALUE!")</f>
        <v>#VALUE!</v>
      </c>
      <c r="G7800" s="69"/>
    </row>
    <row r="7801" ht="22.5" customHeight="1">
      <c r="A7801" s="66"/>
      <c r="B7801" s="67" t="str">
        <f t="shared" si="16"/>
        <v>M: </v>
      </c>
      <c r="C7801" s="68"/>
      <c r="D7801" s="68">
        <v>46529.0</v>
      </c>
      <c r="E7801" s="66">
        <v>9.0</v>
      </c>
      <c r="F7801" s="66" t="str">
        <f>IFERROR(__xludf.DUMMYFUNCTION("GOOGLETRANSLATE(A7801,""en"",""pt"")"),"#VALUE!")</f>
        <v>#VALUE!</v>
      </c>
      <c r="G7801" s="69"/>
    </row>
    <row r="7802" ht="22.5" customHeight="1">
      <c r="A7802" s="66"/>
      <c r="B7802" s="67" t="str">
        <f t="shared" si="16"/>
        <v>M: </v>
      </c>
      <c r="C7802" s="68"/>
      <c r="D7802" s="68">
        <v>46530.0</v>
      </c>
      <c r="E7802" s="66">
        <v>10.0</v>
      </c>
      <c r="F7802" s="66" t="str">
        <f>IFERROR(__xludf.DUMMYFUNCTION("GOOGLETRANSLATE(A7802,""en"",""pt"")"),"#VALUE!")</f>
        <v>#VALUE!</v>
      </c>
      <c r="G7802" s="69"/>
    </row>
    <row r="7803" ht="22.5" customHeight="1">
      <c r="A7803" s="66"/>
      <c r="B7803" s="67" t="str">
        <f t="shared" si="16"/>
        <v>M: </v>
      </c>
      <c r="C7803" s="68"/>
      <c r="D7803" s="68">
        <v>46530.0</v>
      </c>
      <c r="E7803" s="66">
        <v>1.0</v>
      </c>
      <c r="F7803" s="66" t="str">
        <f>IFERROR(__xludf.DUMMYFUNCTION("GOOGLETRANSLATE(A7803,""en"",""pt"")"),"#VALUE!")</f>
        <v>#VALUE!</v>
      </c>
      <c r="G7803" s="69"/>
    </row>
    <row r="7804" ht="22.5" customHeight="1">
      <c r="A7804" s="66"/>
      <c r="B7804" s="67" t="str">
        <f t="shared" si="16"/>
        <v>M: </v>
      </c>
      <c r="C7804" s="68"/>
      <c r="D7804" s="68">
        <v>46530.0</v>
      </c>
      <c r="E7804" s="66">
        <v>2.0</v>
      </c>
      <c r="F7804" s="66" t="str">
        <f>IFERROR(__xludf.DUMMYFUNCTION("GOOGLETRANSLATE(A7804,""en"",""pt"")"),"#VALUE!")</f>
        <v>#VALUE!</v>
      </c>
      <c r="G7804" s="69"/>
    </row>
    <row r="7805" ht="22.5" customHeight="1">
      <c r="A7805" s="66"/>
      <c r="B7805" s="67" t="str">
        <f t="shared" si="16"/>
        <v>M: </v>
      </c>
      <c r="C7805" s="68"/>
      <c r="D7805" s="68">
        <v>46530.0</v>
      </c>
      <c r="E7805" s="66">
        <v>3.0</v>
      </c>
      <c r="F7805" s="66" t="str">
        <f>IFERROR(__xludf.DUMMYFUNCTION("GOOGLETRANSLATE(A7805,""en"",""pt"")"),"#VALUE!")</f>
        <v>#VALUE!</v>
      </c>
      <c r="G7805" s="69"/>
    </row>
    <row r="7806" ht="22.5" customHeight="1">
      <c r="A7806" s="66"/>
      <c r="B7806" s="67" t="str">
        <f t="shared" si="16"/>
        <v>M: </v>
      </c>
      <c r="C7806" s="68"/>
      <c r="D7806" s="68">
        <v>46530.0</v>
      </c>
      <c r="E7806" s="66">
        <v>4.0</v>
      </c>
      <c r="F7806" s="66" t="str">
        <f>IFERROR(__xludf.DUMMYFUNCTION("GOOGLETRANSLATE(A7806,""en"",""pt"")"),"#VALUE!")</f>
        <v>#VALUE!</v>
      </c>
      <c r="G7806" s="69"/>
    </row>
    <row r="7807" ht="22.5" customHeight="1">
      <c r="A7807" s="66"/>
      <c r="B7807" s="67" t="str">
        <f t="shared" si="16"/>
        <v>M: </v>
      </c>
      <c r="C7807" s="68"/>
      <c r="D7807" s="68">
        <v>46530.0</v>
      </c>
      <c r="E7807" s="66">
        <v>5.0</v>
      </c>
      <c r="F7807" s="66" t="str">
        <f>IFERROR(__xludf.DUMMYFUNCTION("GOOGLETRANSLATE(A7807,""en"",""pt"")"),"#VALUE!")</f>
        <v>#VALUE!</v>
      </c>
      <c r="G7807" s="69"/>
    </row>
    <row r="7808" ht="22.5" customHeight="1">
      <c r="A7808" s="66"/>
      <c r="B7808" s="67" t="str">
        <f t="shared" si="16"/>
        <v>M: </v>
      </c>
      <c r="C7808" s="68"/>
      <c r="D7808" s="68">
        <v>46530.0</v>
      </c>
      <c r="E7808" s="66">
        <v>6.0</v>
      </c>
      <c r="F7808" s="66" t="str">
        <f>IFERROR(__xludf.DUMMYFUNCTION("GOOGLETRANSLATE(A7808,""en"",""pt"")"),"#VALUE!")</f>
        <v>#VALUE!</v>
      </c>
      <c r="G7808" s="69"/>
    </row>
    <row r="7809" ht="22.5" customHeight="1">
      <c r="A7809" s="66"/>
      <c r="B7809" s="67" t="str">
        <f t="shared" si="16"/>
        <v>M: </v>
      </c>
      <c r="C7809" s="68"/>
      <c r="D7809" s="68">
        <v>46530.0</v>
      </c>
      <c r="E7809" s="66">
        <v>7.0</v>
      </c>
      <c r="F7809" s="66" t="str">
        <f>IFERROR(__xludf.DUMMYFUNCTION("GOOGLETRANSLATE(A7809,""en"",""pt"")"),"#VALUE!")</f>
        <v>#VALUE!</v>
      </c>
      <c r="G7809" s="69"/>
    </row>
    <row r="7810" ht="22.5" customHeight="1">
      <c r="A7810" s="66"/>
      <c r="B7810" s="67" t="str">
        <f t="shared" si="16"/>
        <v>M: </v>
      </c>
      <c r="C7810" s="68"/>
      <c r="D7810" s="68">
        <v>46530.0</v>
      </c>
      <c r="E7810" s="66">
        <v>8.0</v>
      </c>
      <c r="F7810" s="66" t="str">
        <f>IFERROR(__xludf.DUMMYFUNCTION("GOOGLETRANSLATE(A7810,""en"",""pt"")"),"#VALUE!")</f>
        <v>#VALUE!</v>
      </c>
      <c r="G7810" s="69"/>
    </row>
    <row r="7811" ht="22.5" customHeight="1">
      <c r="A7811" s="66"/>
      <c r="B7811" s="67" t="str">
        <f t="shared" si="16"/>
        <v>M: </v>
      </c>
      <c r="C7811" s="68"/>
      <c r="D7811" s="68">
        <v>46530.0</v>
      </c>
      <c r="E7811" s="66">
        <v>9.0</v>
      </c>
      <c r="F7811" s="66" t="str">
        <f>IFERROR(__xludf.DUMMYFUNCTION("GOOGLETRANSLATE(A7811,""en"",""pt"")"),"#VALUE!")</f>
        <v>#VALUE!</v>
      </c>
      <c r="G7811" s="69"/>
    </row>
    <row r="7812" ht="22.5" customHeight="1">
      <c r="A7812" s="66"/>
      <c r="B7812" s="67" t="str">
        <f t="shared" si="16"/>
        <v>M: </v>
      </c>
      <c r="C7812" s="68"/>
      <c r="D7812" s="68">
        <v>46531.0</v>
      </c>
      <c r="E7812" s="66">
        <v>10.0</v>
      </c>
      <c r="F7812" s="66" t="str">
        <f>IFERROR(__xludf.DUMMYFUNCTION("GOOGLETRANSLATE(A7812,""en"",""pt"")"),"#VALUE!")</f>
        <v>#VALUE!</v>
      </c>
      <c r="G7812" s="69"/>
    </row>
    <row r="7813" ht="22.5" customHeight="1">
      <c r="A7813" s="66"/>
      <c r="B7813" s="67" t="str">
        <f t="shared" si="16"/>
        <v>M: </v>
      </c>
      <c r="C7813" s="68"/>
      <c r="D7813" s="68">
        <v>46531.0</v>
      </c>
      <c r="E7813" s="66">
        <v>1.0</v>
      </c>
      <c r="F7813" s="66" t="str">
        <f>IFERROR(__xludf.DUMMYFUNCTION("GOOGLETRANSLATE(A7813,""en"",""pt"")"),"#VALUE!")</f>
        <v>#VALUE!</v>
      </c>
      <c r="G7813" s="69"/>
    </row>
    <row r="7814" ht="22.5" customHeight="1">
      <c r="A7814" s="66"/>
      <c r="B7814" s="67" t="str">
        <f t="shared" si="16"/>
        <v>M: </v>
      </c>
      <c r="C7814" s="68"/>
      <c r="D7814" s="68">
        <v>46531.0</v>
      </c>
      <c r="E7814" s="66">
        <v>2.0</v>
      </c>
      <c r="F7814" s="66" t="str">
        <f>IFERROR(__xludf.DUMMYFUNCTION("GOOGLETRANSLATE(A7814,""en"",""pt"")"),"#VALUE!")</f>
        <v>#VALUE!</v>
      </c>
      <c r="G7814" s="69"/>
    </row>
    <row r="7815" ht="22.5" customHeight="1">
      <c r="A7815" s="66"/>
      <c r="B7815" s="67" t="str">
        <f t="shared" si="16"/>
        <v>M: </v>
      </c>
      <c r="C7815" s="68"/>
      <c r="D7815" s="68">
        <v>46531.0</v>
      </c>
      <c r="E7815" s="66">
        <v>3.0</v>
      </c>
      <c r="F7815" s="66" t="str">
        <f>IFERROR(__xludf.DUMMYFUNCTION("GOOGLETRANSLATE(A7815,""en"",""pt"")"),"#VALUE!")</f>
        <v>#VALUE!</v>
      </c>
      <c r="G7815" s="69"/>
    </row>
    <row r="7816" ht="22.5" customHeight="1">
      <c r="A7816" s="66"/>
      <c r="B7816" s="67" t="str">
        <f t="shared" si="16"/>
        <v>M: </v>
      </c>
      <c r="C7816" s="68"/>
      <c r="D7816" s="68">
        <v>46531.0</v>
      </c>
      <c r="E7816" s="66">
        <v>4.0</v>
      </c>
      <c r="F7816" s="66" t="str">
        <f>IFERROR(__xludf.DUMMYFUNCTION("GOOGLETRANSLATE(A7816,""en"",""pt"")"),"#VALUE!")</f>
        <v>#VALUE!</v>
      </c>
      <c r="G7816" s="69"/>
    </row>
    <row r="7817" ht="22.5" customHeight="1">
      <c r="A7817" s="66"/>
      <c r="B7817" s="67" t="str">
        <f t="shared" si="16"/>
        <v>M: </v>
      </c>
      <c r="C7817" s="68"/>
      <c r="D7817" s="68">
        <v>46531.0</v>
      </c>
      <c r="E7817" s="66">
        <v>5.0</v>
      </c>
      <c r="F7817" s="66" t="str">
        <f>IFERROR(__xludf.DUMMYFUNCTION("GOOGLETRANSLATE(A7817,""en"",""pt"")"),"#VALUE!")</f>
        <v>#VALUE!</v>
      </c>
      <c r="G7817" s="69"/>
    </row>
    <row r="7818" ht="22.5" customHeight="1">
      <c r="A7818" s="66"/>
      <c r="B7818" s="67" t="str">
        <f t="shared" si="16"/>
        <v>M: </v>
      </c>
      <c r="C7818" s="68"/>
      <c r="D7818" s="68">
        <v>46531.0</v>
      </c>
      <c r="E7818" s="66">
        <v>6.0</v>
      </c>
      <c r="F7818" s="66" t="str">
        <f>IFERROR(__xludf.DUMMYFUNCTION("GOOGLETRANSLATE(A7818,""en"",""pt"")"),"#VALUE!")</f>
        <v>#VALUE!</v>
      </c>
      <c r="G7818" s="69"/>
    </row>
    <row r="7819" ht="22.5" customHeight="1">
      <c r="A7819" s="66"/>
      <c r="B7819" s="67" t="str">
        <f t="shared" si="16"/>
        <v>M: </v>
      </c>
      <c r="C7819" s="68"/>
      <c r="D7819" s="68">
        <v>46531.0</v>
      </c>
      <c r="E7819" s="66">
        <v>7.0</v>
      </c>
      <c r="F7819" s="66" t="str">
        <f>IFERROR(__xludf.DUMMYFUNCTION("GOOGLETRANSLATE(A7819,""en"",""pt"")"),"#VALUE!")</f>
        <v>#VALUE!</v>
      </c>
      <c r="G7819" s="69"/>
    </row>
    <row r="7820" ht="22.5" customHeight="1">
      <c r="A7820" s="66"/>
      <c r="B7820" s="67" t="str">
        <f t="shared" si="16"/>
        <v>M: </v>
      </c>
      <c r="C7820" s="68"/>
      <c r="D7820" s="68">
        <v>46531.0</v>
      </c>
      <c r="E7820" s="66">
        <v>8.0</v>
      </c>
      <c r="F7820" s="66" t="str">
        <f>IFERROR(__xludf.DUMMYFUNCTION("GOOGLETRANSLATE(A7820,""en"",""pt"")"),"#VALUE!")</f>
        <v>#VALUE!</v>
      </c>
      <c r="G7820" s="69"/>
    </row>
    <row r="7821" ht="22.5" customHeight="1">
      <c r="A7821" s="66"/>
      <c r="B7821" s="67" t="str">
        <f t="shared" si="16"/>
        <v>M: </v>
      </c>
      <c r="C7821" s="68"/>
      <c r="D7821" s="68">
        <v>46531.0</v>
      </c>
      <c r="E7821" s="66">
        <v>9.0</v>
      </c>
      <c r="F7821" s="66" t="str">
        <f>IFERROR(__xludf.DUMMYFUNCTION("GOOGLETRANSLATE(A7821,""en"",""pt"")"),"#VALUE!")</f>
        <v>#VALUE!</v>
      </c>
      <c r="G7821" s="69"/>
    </row>
    <row r="7822" ht="22.5" customHeight="1">
      <c r="A7822" s="66"/>
      <c r="B7822" s="67" t="str">
        <f t="shared" si="16"/>
        <v>M: </v>
      </c>
      <c r="C7822" s="68"/>
      <c r="D7822" s="68">
        <v>46532.0</v>
      </c>
      <c r="E7822" s="66">
        <v>10.0</v>
      </c>
      <c r="F7822" s="66" t="str">
        <f>IFERROR(__xludf.DUMMYFUNCTION("GOOGLETRANSLATE(A7822,""en"",""pt"")"),"#VALUE!")</f>
        <v>#VALUE!</v>
      </c>
      <c r="G7822" s="69"/>
    </row>
    <row r="7823" ht="22.5" customHeight="1">
      <c r="A7823" s="66"/>
      <c r="B7823" s="67" t="str">
        <f t="shared" si="16"/>
        <v>M: </v>
      </c>
      <c r="C7823" s="68"/>
      <c r="D7823" s="68">
        <v>46532.0</v>
      </c>
      <c r="E7823" s="66">
        <v>1.0</v>
      </c>
      <c r="F7823" s="66" t="str">
        <f>IFERROR(__xludf.DUMMYFUNCTION("GOOGLETRANSLATE(A7823,""en"",""pt"")"),"#VALUE!")</f>
        <v>#VALUE!</v>
      </c>
      <c r="G7823" s="69"/>
    </row>
    <row r="7824" ht="22.5" customHeight="1">
      <c r="A7824" s="66"/>
      <c r="B7824" s="67" t="str">
        <f t="shared" si="16"/>
        <v>M: </v>
      </c>
      <c r="C7824" s="68"/>
      <c r="D7824" s="68">
        <v>46532.0</v>
      </c>
      <c r="E7824" s="66">
        <v>2.0</v>
      </c>
      <c r="F7824" s="66" t="str">
        <f>IFERROR(__xludf.DUMMYFUNCTION("GOOGLETRANSLATE(A7824,""en"",""pt"")"),"#VALUE!")</f>
        <v>#VALUE!</v>
      </c>
      <c r="G7824" s="69"/>
    </row>
    <row r="7825" ht="22.5" customHeight="1">
      <c r="A7825" s="66"/>
      <c r="B7825" s="67" t="str">
        <f t="shared" si="16"/>
        <v>M: </v>
      </c>
      <c r="C7825" s="68"/>
      <c r="D7825" s="68">
        <v>46532.0</v>
      </c>
      <c r="E7825" s="66">
        <v>3.0</v>
      </c>
      <c r="F7825" s="66" t="str">
        <f>IFERROR(__xludf.DUMMYFUNCTION("GOOGLETRANSLATE(A7825,""en"",""pt"")"),"#VALUE!")</f>
        <v>#VALUE!</v>
      </c>
      <c r="G7825" s="69"/>
    </row>
    <row r="7826" ht="22.5" customHeight="1">
      <c r="A7826" s="66"/>
      <c r="B7826" s="67" t="str">
        <f t="shared" si="16"/>
        <v>M: </v>
      </c>
      <c r="C7826" s="68"/>
      <c r="D7826" s="68">
        <v>46532.0</v>
      </c>
      <c r="E7826" s="66">
        <v>4.0</v>
      </c>
      <c r="F7826" s="66" t="str">
        <f>IFERROR(__xludf.DUMMYFUNCTION("GOOGLETRANSLATE(A7826,""en"",""pt"")"),"#VALUE!")</f>
        <v>#VALUE!</v>
      </c>
      <c r="G7826" s="69"/>
    </row>
    <row r="7827" ht="22.5" customHeight="1">
      <c r="A7827" s="66"/>
      <c r="B7827" s="67" t="str">
        <f t="shared" si="16"/>
        <v>M: </v>
      </c>
      <c r="C7827" s="68"/>
      <c r="D7827" s="68">
        <v>46532.0</v>
      </c>
      <c r="E7827" s="66">
        <v>5.0</v>
      </c>
      <c r="F7827" s="66" t="str">
        <f>IFERROR(__xludf.DUMMYFUNCTION("GOOGLETRANSLATE(A7827,""en"",""pt"")"),"#VALUE!")</f>
        <v>#VALUE!</v>
      </c>
      <c r="G7827" s="69"/>
    </row>
    <row r="7828" ht="22.5" customHeight="1">
      <c r="A7828" s="66"/>
      <c r="B7828" s="67" t="str">
        <f t="shared" si="16"/>
        <v>M: </v>
      </c>
      <c r="C7828" s="68"/>
      <c r="D7828" s="68">
        <v>46532.0</v>
      </c>
      <c r="E7828" s="66">
        <v>6.0</v>
      </c>
      <c r="F7828" s="66" t="str">
        <f>IFERROR(__xludf.DUMMYFUNCTION("GOOGLETRANSLATE(A7828,""en"",""pt"")"),"#VALUE!")</f>
        <v>#VALUE!</v>
      </c>
      <c r="G7828" s="69"/>
    </row>
    <row r="7829" ht="22.5" customHeight="1">
      <c r="A7829" s="66"/>
      <c r="B7829" s="67" t="str">
        <f t="shared" si="16"/>
        <v>M: </v>
      </c>
      <c r="C7829" s="68"/>
      <c r="D7829" s="68">
        <v>46532.0</v>
      </c>
      <c r="E7829" s="66">
        <v>7.0</v>
      </c>
      <c r="F7829" s="66" t="str">
        <f>IFERROR(__xludf.DUMMYFUNCTION("GOOGLETRANSLATE(A7829,""en"",""pt"")"),"#VALUE!")</f>
        <v>#VALUE!</v>
      </c>
      <c r="G7829" s="69"/>
    </row>
    <row r="7830" ht="22.5" customHeight="1">
      <c r="A7830" s="66"/>
      <c r="B7830" s="67" t="str">
        <f t="shared" si="16"/>
        <v>M: </v>
      </c>
      <c r="C7830" s="68"/>
      <c r="D7830" s="68">
        <v>46532.0</v>
      </c>
      <c r="E7830" s="66">
        <v>8.0</v>
      </c>
      <c r="F7830" s="66" t="str">
        <f>IFERROR(__xludf.DUMMYFUNCTION("GOOGLETRANSLATE(A7830,""en"",""pt"")"),"#VALUE!")</f>
        <v>#VALUE!</v>
      </c>
      <c r="G7830" s="69"/>
    </row>
    <row r="7831" ht="22.5" customHeight="1">
      <c r="A7831" s="66"/>
      <c r="B7831" s="67" t="str">
        <f t="shared" si="16"/>
        <v>M: </v>
      </c>
      <c r="C7831" s="68"/>
      <c r="D7831" s="68">
        <v>46532.0</v>
      </c>
      <c r="E7831" s="66">
        <v>9.0</v>
      </c>
      <c r="F7831" s="66" t="str">
        <f>IFERROR(__xludf.DUMMYFUNCTION("GOOGLETRANSLATE(A7831,""en"",""pt"")"),"#VALUE!")</f>
        <v>#VALUE!</v>
      </c>
      <c r="G7831" s="69"/>
    </row>
    <row r="7832" ht="22.5" customHeight="1">
      <c r="A7832" s="66"/>
      <c r="B7832" s="67" t="str">
        <f t="shared" si="16"/>
        <v>M: </v>
      </c>
      <c r="C7832" s="68"/>
      <c r="D7832" s="68">
        <v>46533.0</v>
      </c>
      <c r="E7832" s="66">
        <v>10.0</v>
      </c>
      <c r="F7832" s="66" t="str">
        <f>IFERROR(__xludf.DUMMYFUNCTION("GOOGLETRANSLATE(A7832,""en"",""pt"")"),"#VALUE!")</f>
        <v>#VALUE!</v>
      </c>
      <c r="G7832" s="69"/>
    </row>
    <row r="7833" ht="22.5" customHeight="1">
      <c r="A7833" s="66"/>
      <c r="B7833" s="67" t="str">
        <f t="shared" si="16"/>
        <v>M: </v>
      </c>
      <c r="C7833" s="68"/>
      <c r="D7833" s="68">
        <v>46533.0</v>
      </c>
      <c r="E7833" s="66">
        <v>1.0</v>
      </c>
      <c r="F7833" s="66" t="str">
        <f>IFERROR(__xludf.DUMMYFUNCTION("GOOGLETRANSLATE(A7833,""en"",""pt"")"),"#VALUE!")</f>
        <v>#VALUE!</v>
      </c>
      <c r="G7833" s="69"/>
    </row>
    <row r="7834" ht="22.5" customHeight="1">
      <c r="A7834" s="66"/>
      <c r="B7834" s="67" t="str">
        <f t="shared" si="16"/>
        <v>M: </v>
      </c>
      <c r="C7834" s="68"/>
      <c r="D7834" s="68">
        <v>46533.0</v>
      </c>
      <c r="E7834" s="66">
        <v>2.0</v>
      </c>
      <c r="F7834" s="66" t="str">
        <f>IFERROR(__xludf.DUMMYFUNCTION("GOOGLETRANSLATE(A7834,""en"",""pt"")"),"#VALUE!")</f>
        <v>#VALUE!</v>
      </c>
      <c r="G7834" s="69"/>
    </row>
    <row r="7835" ht="22.5" customHeight="1">
      <c r="A7835" s="66"/>
      <c r="B7835" s="67" t="str">
        <f t="shared" si="16"/>
        <v>M: </v>
      </c>
      <c r="C7835" s="68"/>
      <c r="D7835" s="68">
        <v>46533.0</v>
      </c>
      <c r="E7835" s="66">
        <v>3.0</v>
      </c>
      <c r="F7835" s="66" t="str">
        <f>IFERROR(__xludf.DUMMYFUNCTION("GOOGLETRANSLATE(A7835,""en"",""pt"")"),"#VALUE!")</f>
        <v>#VALUE!</v>
      </c>
      <c r="G7835" s="69"/>
    </row>
    <row r="7836" ht="22.5" customHeight="1">
      <c r="A7836" s="66"/>
      <c r="B7836" s="67" t="str">
        <f t="shared" si="16"/>
        <v>M: </v>
      </c>
      <c r="C7836" s="68"/>
      <c r="D7836" s="68">
        <v>46533.0</v>
      </c>
      <c r="E7836" s="66">
        <v>4.0</v>
      </c>
      <c r="F7836" s="66" t="str">
        <f>IFERROR(__xludf.DUMMYFUNCTION("GOOGLETRANSLATE(A7836,""en"",""pt"")"),"#VALUE!")</f>
        <v>#VALUE!</v>
      </c>
      <c r="G7836" s="69"/>
    </row>
    <row r="7837" ht="22.5" customHeight="1">
      <c r="A7837" s="66"/>
      <c r="B7837" s="67" t="str">
        <f t="shared" si="16"/>
        <v>M: </v>
      </c>
      <c r="C7837" s="68"/>
      <c r="D7837" s="68">
        <v>46533.0</v>
      </c>
      <c r="E7837" s="66">
        <v>5.0</v>
      </c>
      <c r="F7837" s="66" t="str">
        <f>IFERROR(__xludf.DUMMYFUNCTION("GOOGLETRANSLATE(A7837,""en"",""pt"")"),"#VALUE!")</f>
        <v>#VALUE!</v>
      </c>
      <c r="G7837" s="69"/>
    </row>
    <row r="7838" ht="22.5" customHeight="1">
      <c r="A7838" s="66"/>
      <c r="B7838" s="67" t="str">
        <f t="shared" si="16"/>
        <v>M: </v>
      </c>
      <c r="C7838" s="68"/>
      <c r="D7838" s="68">
        <v>46533.0</v>
      </c>
      <c r="E7838" s="66">
        <v>6.0</v>
      </c>
      <c r="F7838" s="66" t="str">
        <f>IFERROR(__xludf.DUMMYFUNCTION("GOOGLETRANSLATE(A7838,""en"",""pt"")"),"#VALUE!")</f>
        <v>#VALUE!</v>
      </c>
      <c r="G7838" s="69"/>
    </row>
    <row r="7839" ht="22.5" customHeight="1">
      <c r="A7839" s="66"/>
      <c r="B7839" s="67" t="str">
        <f t="shared" si="16"/>
        <v>M: </v>
      </c>
      <c r="C7839" s="68"/>
      <c r="D7839" s="68">
        <v>46533.0</v>
      </c>
      <c r="E7839" s="66">
        <v>7.0</v>
      </c>
      <c r="F7839" s="66" t="str">
        <f>IFERROR(__xludf.DUMMYFUNCTION("GOOGLETRANSLATE(A7839,""en"",""pt"")"),"#VALUE!")</f>
        <v>#VALUE!</v>
      </c>
      <c r="G7839" s="69"/>
    </row>
    <row r="7840" ht="22.5" customHeight="1">
      <c r="A7840" s="66"/>
      <c r="B7840" s="67" t="str">
        <f t="shared" si="16"/>
        <v>M: </v>
      </c>
      <c r="C7840" s="68"/>
      <c r="D7840" s="68">
        <v>46533.0</v>
      </c>
      <c r="E7840" s="66">
        <v>8.0</v>
      </c>
      <c r="F7840" s="66" t="str">
        <f>IFERROR(__xludf.DUMMYFUNCTION("GOOGLETRANSLATE(A7840,""en"",""pt"")"),"#VALUE!")</f>
        <v>#VALUE!</v>
      </c>
      <c r="G7840" s="69"/>
    </row>
    <row r="7841" ht="22.5" customHeight="1">
      <c r="A7841" s="66"/>
      <c r="B7841" s="67" t="str">
        <f t="shared" si="16"/>
        <v>M: </v>
      </c>
      <c r="C7841" s="68"/>
      <c r="D7841" s="68">
        <v>46533.0</v>
      </c>
      <c r="E7841" s="66">
        <v>9.0</v>
      </c>
      <c r="F7841" s="66" t="str">
        <f>IFERROR(__xludf.DUMMYFUNCTION("GOOGLETRANSLATE(A7841,""en"",""pt"")"),"#VALUE!")</f>
        <v>#VALUE!</v>
      </c>
      <c r="G7841" s="69"/>
    </row>
    <row r="7842" ht="22.5" customHeight="1">
      <c r="A7842" s="66"/>
      <c r="B7842" s="67" t="str">
        <f t="shared" si="16"/>
        <v>M: </v>
      </c>
      <c r="C7842" s="68"/>
      <c r="D7842" s="68">
        <v>46534.0</v>
      </c>
      <c r="E7842" s="66">
        <v>10.0</v>
      </c>
      <c r="F7842" s="66" t="str">
        <f>IFERROR(__xludf.DUMMYFUNCTION("GOOGLETRANSLATE(A7842,""en"",""pt"")"),"#VALUE!")</f>
        <v>#VALUE!</v>
      </c>
      <c r="G7842" s="69"/>
    </row>
    <row r="7843" ht="22.5" customHeight="1">
      <c r="A7843" s="66"/>
      <c r="B7843" s="67" t="str">
        <f t="shared" si="16"/>
        <v>M: </v>
      </c>
      <c r="C7843" s="68"/>
      <c r="D7843" s="68">
        <v>46534.0</v>
      </c>
      <c r="E7843" s="66">
        <v>1.0</v>
      </c>
      <c r="F7843" s="66" t="str">
        <f>IFERROR(__xludf.DUMMYFUNCTION("GOOGLETRANSLATE(A7843,""en"",""pt"")"),"#VALUE!")</f>
        <v>#VALUE!</v>
      </c>
      <c r="G7843" s="69"/>
    </row>
    <row r="7844" ht="22.5" customHeight="1">
      <c r="A7844" s="66"/>
      <c r="B7844" s="67" t="str">
        <f t="shared" si="16"/>
        <v>M: </v>
      </c>
      <c r="C7844" s="68"/>
      <c r="D7844" s="68">
        <v>46534.0</v>
      </c>
      <c r="E7844" s="66">
        <v>2.0</v>
      </c>
      <c r="F7844" s="66" t="str">
        <f>IFERROR(__xludf.DUMMYFUNCTION("GOOGLETRANSLATE(A7844,""en"",""pt"")"),"#VALUE!")</f>
        <v>#VALUE!</v>
      </c>
      <c r="G7844" s="69"/>
    </row>
    <row r="7845" ht="22.5" customHeight="1">
      <c r="A7845" s="66"/>
      <c r="B7845" s="67" t="str">
        <f t="shared" si="16"/>
        <v>M: </v>
      </c>
      <c r="C7845" s="68"/>
      <c r="D7845" s="68">
        <v>46534.0</v>
      </c>
      <c r="E7845" s="66">
        <v>3.0</v>
      </c>
      <c r="F7845" s="66" t="str">
        <f>IFERROR(__xludf.DUMMYFUNCTION("GOOGLETRANSLATE(A7845,""en"",""pt"")"),"#VALUE!")</f>
        <v>#VALUE!</v>
      </c>
      <c r="G7845" s="69"/>
    </row>
    <row r="7846" ht="22.5" customHeight="1">
      <c r="A7846" s="66"/>
      <c r="B7846" s="67" t="str">
        <f t="shared" si="16"/>
        <v>M: </v>
      </c>
      <c r="C7846" s="68"/>
      <c r="D7846" s="68">
        <v>46534.0</v>
      </c>
      <c r="E7846" s="66">
        <v>4.0</v>
      </c>
      <c r="F7846" s="66" t="str">
        <f>IFERROR(__xludf.DUMMYFUNCTION("GOOGLETRANSLATE(A7846,""en"",""pt"")"),"#VALUE!")</f>
        <v>#VALUE!</v>
      </c>
      <c r="G7846" s="69"/>
    </row>
    <row r="7847" ht="22.5" customHeight="1">
      <c r="A7847" s="66"/>
      <c r="B7847" s="67" t="str">
        <f t="shared" si="16"/>
        <v>M: </v>
      </c>
      <c r="C7847" s="68"/>
      <c r="D7847" s="68">
        <v>46534.0</v>
      </c>
      <c r="E7847" s="66">
        <v>5.0</v>
      </c>
      <c r="F7847" s="66" t="str">
        <f>IFERROR(__xludf.DUMMYFUNCTION("GOOGLETRANSLATE(A7847,""en"",""pt"")"),"#VALUE!")</f>
        <v>#VALUE!</v>
      </c>
      <c r="G7847" s="69"/>
    </row>
    <row r="7848" ht="22.5" customHeight="1">
      <c r="A7848" s="66"/>
      <c r="B7848" s="67" t="str">
        <f t="shared" si="16"/>
        <v>M: </v>
      </c>
      <c r="C7848" s="68"/>
      <c r="D7848" s="68">
        <v>46534.0</v>
      </c>
      <c r="E7848" s="66">
        <v>6.0</v>
      </c>
      <c r="F7848" s="66" t="str">
        <f>IFERROR(__xludf.DUMMYFUNCTION("GOOGLETRANSLATE(A7848,""en"",""pt"")"),"#VALUE!")</f>
        <v>#VALUE!</v>
      </c>
      <c r="G7848" s="69"/>
    </row>
    <row r="7849" ht="22.5" customHeight="1">
      <c r="A7849" s="66"/>
      <c r="B7849" s="67" t="str">
        <f t="shared" si="16"/>
        <v>M: </v>
      </c>
      <c r="C7849" s="68"/>
      <c r="D7849" s="68">
        <v>46534.0</v>
      </c>
      <c r="E7849" s="66">
        <v>7.0</v>
      </c>
      <c r="F7849" s="66" t="str">
        <f>IFERROR(__xludf.DUMMYFUNCTION("GOOGLETRANSLATE(A7849,""en"",""pt"")"),"#VALUE!")</f>
        <v>#VALUE!</v>
      </c>
      <c r="G7849" s="69"/>
    </row>
    <row r="7850" ht="22.5" customHeight="1">
      <c r="A7850" s="66"/>
      <c r="B7850" s="67" t="str">
        <f t="shared" si="16"/>
        <v>M: </v>
      </c>
      <c r="C7850" s="68"/>
      <c r="D7850" s="68">
        <v>46534.0</v>
      </c>
      <c r="E7850" s="66">
        <v>8.0</v>
      </c>
      <c r="F7850" s="66" t="str">
        <f>IFERROR(__xludf.DUMMYFUNCTION("GOOGLETRANSLATE(A7850,""en"",""pt"")"),"#VALUE!")</f>
        <v>#VALUE!</v>
      </c>
      <c r="G7850" s="69"/>
    </row>
    <row r="7851" ht="22.5" customHeight="1">
      <c r="A7851" s="66"/>
      <c r="B7851" s="67" t="str">
        <f t="shared" si="16"/>
        <v>M: </v>
      </c>
      <c r="C7851" s="68"/>
      <c r="D7851" s="68">
        <v>46534.0</v>
      </c>
      <c r="E7851" s="66">
        <v>9.0</v>
      </c>
      <c r="F7851" s="66" t="str">
        <f>IFERROR(__xludf.DUMMYFUNCTION("GOOGLETRANSLATE(A7851,""en"",""pt"")"),"#VALUE!")</f>
        <v>#VALUE!</v>
      </c>
      <c r="G7851" s="69"/>
    </row>
    <row r="7852" ht="22.5" customHeight="1">
      <c r="A7852" s="66"/>
      <c r="B7852" s="67" t="str">
        <f t="shared" si="16"/>
        <v>M: </v>
      </c>
      <c r="C7852" s="68"/>
      <c r="D7852" s="68">
        <v>46535.0</v>
      </c>
      <c r="E7852" s="66">
        <v>10.0</v>
      </c>
      <c r="F7852" s="66" t="str">
        <f>IFERROR(__xludf.DUMMYFUNCTION("GOOGLETRANSLATE(A7852,""en"",""pt"")"),"#VALUE!")</f>
        <v>#VALUE!</v>
      </c>
      <c r="G7852" s="69"/>
    </row>
    <row r="7853" ht="22.5" customHeight="1">
      <c r="A7853" s="66"/>
      <c r="B7853" s="67" t="str">
        <f t="shared" si="16"/>
        <v>M: </v>
      </c>
      <c r="C7853" s="68"/>
      <c r="D7853" s="68">
        <v>46535.0</v>
      </c>
      <c r="E7853" s="66">
        <v>1.0</v>
      </c>
      <c r="F7853" s="66" t="str">
        <f>IFERROR(__xludf.DUMMYFUNCTION("GOOGLETRANSLATE(A7853,""en"",""pt"")"),"#VALUE!")</f>
        <v>#VALUE!</v>
      </c>
      <c r="G7853" s="69"/>
    </row>
    <row r="7854" ht="22.5" customHeight="1">
      <c r="A7854" s="66"/>
      <c r="B7854" s="67" t="str">
        <f t="shared" si="16"/>
        <v>M: </v>
      </c>
      <c r="C7854" s="68"/>
      <c r="D7854" s="68">
        <v>46535.0</v>
      </c>
      <c r="E7854" s="66">
        <v>2.0</v>
      </c>
      <c r="F7854" s="66" t="str">
        <f>IFERROR(__xludf.DUMMYFUNCTION("GOOGLETRANSLATE(A7854,""en"",""pt"")"),"#VALUE!")</f>
        <v>#VALUE!</v>
      </c>
      <c r="G7854" s="69"/>
    </row>
    <row r="7855" ht="22.5" customHeight="1">
      <c r="A7855" s="66"/>
      <c r="B7855" s="67" t="str">
        <f t="shared" si="16"/>
        <v>M: </v>
      </c>
      <c r="C7855" s="68"/>
      <c r="D7855" s="68">
        <v>46535.0</v>
      </c>
      <c r="E7855" s="66">
        <v>3.0</v>
      </c>
      <c r="F7855" s="66" t="str">
        <f>IFERROR(__xludf.DUMMYFUNCTION("GOOGLETRANSLATE(A7855,""en"",""pt"")"),"#VALUE!")</f>
        <v>#VALUE!</v>
      </c>
      <c r="G7855" s="69"/>
    </row>
    <row r="7856" ht="22.5" customHeight="1">
      <c r="A7856" s="66"/>
      <c r="B7856" s="67" t="str">
        <f t="shared" si="16"/>
        <v>M: </v>
      </c>
      <c r="C7856" s="68"/>
      <c r="D7856" s="68">
        <v>46535.0</v>
      </c>
      <c r="E7856" s="66">
        <v>4.0</v>
      </c>
      <c r="F7856" s="66" t="str">
        <f>IFERROR(__xludf.DUMMYFUNCTION("GOOGLETRANSLATE(A7856,""en"",""pt"")"),"#VALUE!")</f>
        <v>#VALUE!</v>
      </c>
      <c r="G7856" s="69"/>
    </row>
    <row r="7857" ht="22.5" customHeight="1">
      <c r="A7857" s="66"/>
      <c r="B7857" s="67" t="str">
        <f t="shared" si="16"/>
        <v>M: </v>
      </c>
      <c r="C7857" s="68"/>
      <c r="D7857" s="68">
        <v>46535.0</v>
      </c>
      <c r="E7857" s="66">
        <v>5.0</v>
      </c>
      <c r="F7857" s="66" t="str">
        <f>IFERROR(__xludf.DUMMYFUNCTION("GOOGLETRANSLATE(A7857,""en"",""pt"")"),"#VALUE!")</f>
        <v>#VALUE!</v>
      </c>
      <c r="G7857" s="69"/>
    </row>
    <row r="7858" ht="22.5" customHeight="1">
      <c r="A7858" s="66"/>
      <c r="B7858" s="67" t="str">
        <f t="shared" si="16"/>
        <v>M: </v>
      </c>
      <c r="C7858" s="68"/>
      <c r="D7858" s="68">
        <v>46535.0</v>
      </c>
      <c r="E7858" s="66">
        <v>6.0</v>
      </c>
      <c r="F7858" s="66" t="str">
        <f>IFERROR(__xludf.DUMMYFUNCTION("GOOGLETRANSLATE(A7858,""en"",""pt"")"),"#VALUE!")</f>
        <v>#VALUE!</v>
      </c>
      <c r="G7858" s="69"/>
    </row>
    <row r="7859" ht="22.5" customHeight="1">
      <c r="A7859" s="66"/>
      <c r="B7859" s="67" t="str">
        <f t="shared" si="16"/>
        <v>M: </v>
      </c>
      <c r="C7859" s="68"/>
      <c r="D7859" s="68">
        <v>46535.0</v>
      </c>
      <c r="E7859" s="66">
        <v>7.0</v>
      </c>
      <c r="F7859" s="66" t="str">
        <f>IFERROR(__xludf.DUMMYFUNCTION("GOOGLETRANSLATE(A7859,""en"",""pt"")"),"#VALUE!")</f>
        <v>#VALUE!</v>
      </c>
      <c r="G7859" s="69"/>
    </row>
    <row r="7860" ht="22.5" customHeight="1">
      <c r="A7860" s="66"/>
      <c r="B7860" s="67" t="str">
        <f t="shared" si="16"/>
        <v>M: </v>
      </c>
      <c r="C7860" s="68"/>
      <c r="D7860" s="68">
        <v>46535.0</v>
      </c>
      <c r="E7860" s="66">
        <v>8.0</v>
      </c>
      <c r="F7860" s="66" t="str">
        <f>IFERROR(__xludf.DUMMYFUNCTION("GOOGLETRANSLATE(A7860,""en"",""pt"")"),"#VALUE!")</f>
        <v>#VALUE!</v>
      </c>
      <c r="G7860" s="69"/>
    </row>
    <row r="7861" ht="22.5" customHeight="1">
      <c r="A7861" s="66"/>
      <c r="B7861" s="67" t="str">
        <f t="shared" si="16"/>
        <v>M: </v>
      </c>
      <c r="C7861" s="68"/>
      <c r="D7861" s="68">
        <v>46535.0</v>
      </c>
      <c r="E7861" s="66">
        <v>9.0</v>
      </c>
      <c r="F7861" s="66" t="str">
        <f>IFERROR(__xludf.DUMMYFUNCTION("GOOGLETRANSLATE(A7861,""en"",""pt"")"),"#VALUE!")</f>
        <v>#VALUE!</v>
      </c>
      <c r="G7861" s="69"/>
    </row>
    <row r="7862" ht="22.5" customHeight="1">
      <c r="A7862" s="66"/>
      <c r="B7862" s="67" t="str">
        <f t="shared" si="16"/>
        <v>M: </v>
      </c>
      <c r="C7862" s="68"/>
      <c r="D7862" s="68">
        <v>46536.0</v>
      </c>
      <c r="E7862" s="66">
        <v>10.0</v>
      </c>
      <c r="F7862" s="66" t="str">
        <f>IFERROR(__xludf.DUMMYFUNCTION("GOOGLETRANSLATE(A7862,""en"",""pt"")"),"#VALUE!")</f>
        <v>#VALUE!</v>
      </c>
      <c r="G7862" s="69"/>
    </row>
    <row r="7863" ht="22.5" customHeight="1">
      <c r="A7863" s="66"/>
      <c r="B7863" s="67" t="str">
        <f t="shared" si="16"/>
        <v>M: </v>
      </c>
      <c r="C7863" s="68"/>
      <c r="D7863" s="68">
        <v>46536.0</v>
      </c>
      <c r="E7863" s="66">
        <v>1.0</v>
      </c>
      <c r="F7863" s="66" t="str">
        <f>IFERROR(__xludf.DUMMYFUNCTION("GOOGLETRANSLATE(A7863,""en"",""pt"")"),"#VALUE!")</f>
        <v>#VALUE!</v>
      </c>
      <c r="G7863" s="69"/>
    </row>
    <row r="7864" ht="22.5" customHeight="1">
      <c r="A7864" s="66"/>
      <c r="B7864" s="67" t="str">
        <f t="shared" si="16"/>
        <v>M: </v>
      </c>
      <c r="C7864" s="68"/>
      <c r="D7864" s="68">
        <v>46536.0</v>
      </c>
      <c r="E7864" s="66">
        <v>2.0</v>
      </c>
      <c r="F7864" s="66" t="str">
        <f>IFERROR(__xludf.DUMMYFUNCTION("GOOGLETRANSLATE(A7864,""en"",""pt"")"),"#VALUE!")</f>
        <v>#VALUE!</v>
      </c>
      <c r="G7864" s="69"/>
    </row>
    <row r="7865" ht="22.5" customHeight="1">
      <c r="A7865" s="66"/>
      <c r="B7865" s="67" t="str">
        <f t="shared" si="16"/>
        <v>M: </v>
      </c>
      <c r="C7865" s="68"/>
      <c r="D7865" s="68">
        <v>46536.0</v>
      </c>
      <c r="E7865" s="66">
        <v>3.0</v>
      </c>
      <c r="F7865" s="66" t="str">
        <f>IFERROR(__xludf.DUMMYFUNCTION("GOOGLETRANSLATE(A7865,""en"",""pt"")"),"#VALUE!")</f>
        <v>#VALUE!</v>
      </c>
      <c r="G7865" s="69"/>
    </row>
    <row r="7866" ht="22.5" customHeight="1">
      <c r="A7866" s="66"/>
      <c r="B7866" s="67" t="str">
        <f t="shared" si="16"/>
        <v>M: </v>
      </c>
      <c r="C7866" s="68"/>
      <c r="D7866" s="68">
        <v>46536.0</v>
      </c>
      <c r="E7866" s="66">
        <v>4.0</v>
      </c>
      <c r="F7866" s="66" t="str">
        <f>IFERROR(__xludf.DUMMYFUNCTION("GOOGLETRANSLATE(A7866,""en"",""pt"")"),"#VALUE!")</f>
        <v>#VALUE!</v>
      </c>
      <c r="G7866" s="69"/>
    </row>
    <row r="7867" ht="22.5" customHeight="1">
      <c r="A7867" s="66"/>
      <c r="B7867" s="67" t="str">
        <f t="shared" si="16"/>
        <v>M: </v>
      </c>
      <c r="C7867" s="68"/>
      <c r="D7867" s="68">
        <v>46536.0</v>
      </c>
      <c r="E7867" s="66">
        <v>5.0</v>
      </c>
      <c r="F7867" s="66" t="str">
        <f>IFERROR(__xludf.DUMMYFUNCTION("GOOGLETRANSLATE(A7867,""en"",""pt"")"),"#VALUE!")</f>
        <v>#VALUE!</v>
      </c>
      <c r="G7867" s="69"/>
    </row>
    <row r="7868" ht="22.5" customHeight="1">
      <c r="A7868" s="66"/>
      <c r="B7868" s="67" t="str">
        <f t="shared" si="16"/>
        <v>M: </v>
      </c>
      <c r="C7868" s="68"/>
      <c r="D7868" s="68">
        <v>46536.0</v>
      </c>
      <c r="E7868" s="66">
        <v>6.0</v>
      </c>
      <c r="F7868" s="66" t="str">
        <f>IFERROR(__xludf.DUMMYFUNCTION("GOOGLETRANSLATE(A7868,""en"",""pt"")"),"#VALUE!")</f>
        <v>#VALUE!</v>
      </c>
      <c r="G7868" s="69"/>
    </row>
    <row r="7869" ht="22.5" customHeight="1">
      <c r="A7869" s="66"/>
      <c r="B7869" s="67" t="str">
        <f t="shared" si="16"/>
        <v>M: </v>
      </c>
      <c r="C7869" s="68"/>
      <c r="D7869" s="68">
        <v>46536.0</v>
      </c>
      <c r="E7869" s="66">
        <v>7.0</v>
      </c>
      <c r="F7869" s="66" t="str">
        <f>IFERROR(__xludf.DUMMYFUNCTION("GOOGLETRANSLATE(A7869,""en"",""pt"")"),"#VALUE!")</f>
        <v>#VALUE!</v>
      </c>
      <c r="G7869" s="69"/>
    </row>
    <row r="7870" ht="22.5" customHeight="1">
      <c r="A7870" s="66"/>
      <c r="B7870" s="67" t="str">
        <f t="shared" si="16"/>
        <v>M: </v>
      </c>
      <c r="C7870" s="68"/>
      <c r="D7870" s="68">
        <v>46536.0</v>
      </c>
      <c r="E7870" s="66">
        <v>8.0</v>
      </c>
      <c r="F7870" s="66" t="str">
        <f>IFERROR(__xludf.DUMMYFUNCTION("GOOGLETRANSLATE(A7870,""en"",""pt"")"),"#VALUE!")</f>
        <v>#VALUE!</v>
      </c>
      <c r="G7870" s="69"/>
    </row>
    <row r="7871" ht="22.5" customHeight="1">
      <c r="A7871" s="66"/>
      <c r="B7871" s="67" t="str">
        <f t="shared" si="16"/>
        <v>M: </v>
      </c>
      <c r="C7871" s="68"/>
      <c r="D7871" s="68">
        <v>46536.0</v>
      </c>
      <c r="E7871" s="66">
        <v>9.0</v>
      </c>
      <c r="F7871" s="66" t="str">
        <f>IFERROR(__xludf.DUMMYFUNCTION("GOOGLETRANSLATE(A7871,""en"",""pt"")"),"#VALUE!")</f>
        <v>#VALUE!</v>
      </c>
      <c r="G7871" s="69"/>
    </row>
    <row r="7872" ht="22.5" customHeight="1">
      <c r="A7872" s="66"/>
      <c r="B7872" s="67" t="str">
        <f t="shared" si="16"/>
        <v>M: </v>
      </c>
      <c r="C7872" s="68"/>
      <c r="D7872" s="68">
        <v>46537.0</v>
      </c>
      <c r="E7872" s="66">
        <v>10.0</v>
      </c>
      <c r="F7872" s="66" t="str">
        <f>IFERROR(__xludf.DUMMYFUNCTION("GOOGLETRANSLATE(A7872,""en"",""pt"")"),"#VALUE!")</f>
        <v>#VALUE!</v>
      </c>
      <c r="G7872" s="69"/>
    </row>
    <row r="7873" ht="22.5" customHeight="1">
      <c r="A7873" s="66"/>
      <c r="B7873" s="67" t="str">
        <f t="shared" si="16"/>
        <v>M: </v>
      </c>
      <c r="C7873" s="68"/>
      <c r="D7873" s="68">
        <v>46537.0</v>
      </c>
      <c r="E7873" s="66">
        <v>1.0</v>
      </c>
      <c r="F7873" s="66" t="str">
        <f>IFERROR(__xludf.DUMMYFUNCTION("GOOGLETRANSLATE(A7873,""en"",""pt"")"),"#VALUE!")</f>
        <v>#VALUE!</v>
      </c>
      <c r="G7873" s="69"/>
    </row>
    <row r="7874" ht="22.5" customHeight="1">
      <c r="A7874" s="66"/>
      <c r="B7874" s="67" t="str">
        <f t="shared" si="16"/>
        <v>M: </v>
      </c>
      <c r="C7874" s="68"/>
      <c r="D7874" s="68">
        <v>46537.0</v>
      </c>
      <c r="E7874" s="66">
        <v>2.0</v>
      </c>
      <c r="F7874" s="66" t="str">
        <f>IFERROR(__xludf.DUMMYFUNCTION("GOOGLETRANSLATE(A7874,""en"",""pt"")"),"#VALUE!")</f>
        <v>#VALUE!</v>
      </c>
      <c r="G7874" s="69"/>
    </row>
    <row r="7875" ht="22.5" customHeight="1">
      <c r="A7875" s="66"/>
      <c r="B7875" s="67" t="str">
        <f t="shared" si="16"/>
        <v>M: </v>
      </c>
      <c r="C7875" s="68"/>
      <c r="D7875" s="68">
        <v>46537.0</v>
      </c>
      <c r="E7875" s="66">
        <v>3.0</v>
      </c>
      <c r="F7875" s="66" t="str">
        <f>IFERROR(__xludf.DUMMYFUNCTION("GOOGLETRANSLATE(A7875,""en"",""pt"")"),"#VALUE!")</f>
        <v>#VALUE!</v>
      </c>
      <c r="G7875" s="69"/>
    </row>
    <row r="7876" ht="22.5" customHeight="1">
      <c r="A7876" s="66"/>
      <c r="B7876" s="67" t="str">
        <f t="shared" si="16"/>
        <v>M: </v>
      </c>
      <c r="C7876" s="68"/>
      <c r="D7876" s="68">
        <v>46537.0</v>
      </c>
      <c r="E7876" s="66">
        <v>4.0</v>
      </c>
      <c r="F7876" s="66" t="str">
        <f>IFERROR(__xludf.DUMMYFUNCTION("GOOGLETRANSLATE(A7876,""en"",""pt"")"),"#VALUE!")</f>
        <v>#VALUE!</v>
      </c>
      <c r="G7876" s="69"/>
    </row>
    <row r="7877" ht="22.5" customHeight="1">
      <c r="A7877" s="66"/>
      <c r="B7877" s="67" t="str">
        <f t="shared" si="16"/>
        <v>M: </v>
      </c>
      <c r="C7877" s="68"/>
      <c r="D7877" s="68">
        <v>46537.0</v>
      </c>
      <c r="E7877" s="66">
        <v>5.0</v>
      </c>
      <c r="F7877" s="66" t="str">
        <f>IFERROR(__xludf.DUMMYFUNCTION("GOOGLETRANSLATE(A7877,""en"",""pt"")"),"#VALUE!")</f>
        <v>#VALUE!</v>
      </c>
      <c r="G7877" s="69"/>
    </row>
    <row r="7878" ht="22.5" customHeight="1">
      <c r="A7878" s="66"/>
      <c r="B7878" s="67" t="str">
        <f t="shared" si="16"/>
        <v>M: </v>
      </c>
      <c r="C7878" s="68"/>
      <c r="D7878" s="68">
        <v>46537.0</v>
      </c>
      <c r="E7878" s="66">
        <v>6.0</v>
      </c>
      <c r="F7878" s="66" t="str">
        <f>IFERROR(__xludf.DUMMYFUNCTION("GOOGLETRANSLATE(A7878,""en"",""pt"")"),"#VALUE!")</f>
        <v>#VALUE!</v>
      </c>
      <c r="G7878" s="69"/>
    </row>
    <row r="7879" ht="22.5" customHeight="1">
      <c r="A7879" s="66"/>
      <c r="B7879" s="67" t="str">
        <f t="shared" si="16"/>
        <v>M: </v>
      </c>
      <c r="C7879" s="68"/>
      <c r="D7879" s="68">
        <v>46537.0</v>
      </c>
      <c r="E7879" s="66">
        <v>7.0</v>
      </c>
      <c r="F7879" s="66" t="str">
        <f>IFERROR(__xludf.DUMMYFUNCTION("GOOGLETRANSLATE(A7879,""en"",""pt"")"),"#VALUE!")</f>
        <v>#VALUE!</v>
      </c>
      <c r="G7879" s="69"/>
    </row>
    <row r="7880" ht="22.5" customHeight="1">
      <c r="A7880" s="66"/>
      <c r="B7880" s="67" t="str">
        <f t="shared" si="16"/>
        <v>M: </v>
      </c>
      <c r="C7880" s="68"/>
      <c r="D7880" s="68">
        <v>46537.0</v>
      </c>
      <c r="E7880" s="66">
        <v>8.0</v>
      </c>
      <c r="F7880" s="66" t="str">
        <f>IFERROR(__xludf.DUMMYFUNCTION("GOOGLETRANSLATE(A7880,""en"",""pt"")"),"#VALUE!")</f>
        <v>#VALUE!</v>
      </c>
      <c r="G7880" s="69"/>
    </row>
    <row r="7881" ht="22.5" customHeight="1">
      <c r="A7881" s="66"/>
      <c r="B7881" s="67" t="str">
        <f t="shared" si="16"/>
        <v>M: </v>
      </c>
      <c r="C7881" s="68"/>
      <c r="D7881" s="68">
        <v>46537.0</v>
      </c>
      <c r="E7881" s="66">
        <v>9.0</v>
      </c>
      <c r="F7881" s="66" t="str">
        <f>IFERROR(__xludf.DUMMYFUNCTION("GOOGLETRANSLATE(A7881,""en"",""pt"")"),"#VALUE!")</f>
        <v>#VALUE!</v>
      </c>
      <c r="G7881" s="69"/>
    </row>
    <row r="7882" ht="22.5" customHeight="1">
      <c r="A7882" s="66"/>
      <c r="B7882" s="67" t="str">
        <f t="shared" si="16"/>
        <v>M: </v>
      </c>
      <c r="C7882" s="68"/>
      <c r="D7882" s="68">
        <v>46538.0</v>
      </c>
      <c r="E7882" s="66">
        <v>10.0</v>
      </c>
      <c r="F7882" s="66" t="str">
        <f>IFERROR(__xludf.DUMMYFUNCTION("GOOGLETRANSLATE(A7882,""en"",""pt"")"),"#VALUE!")</f>
        <v>#VALUE!</v>
      </c>
      <c r="G7882" s="69"/>
    </row>
    <row r="7883" ht="22.5" customHeight="1">
      <c r="A7883" s="66"/>
      <c r="B7883" s="67" t="str">
        <f t="shared" si="16"/>
        <v>M: </v>
      </c>
      <c r="C7883" s="68"/>
      <c r="D7883" s="68">
        <v>46538.0</v>
      </c>
      <c r="E7883" s="66">
        <v>1.0</v>
      </c>
      <c r="F7883" s="66" t="str">
        <f>IFERROR(__xludf.DUMMYFUNCTION("GOOGLETRANSLATE(A7883,""en"",""pt"")"),"#VALUE!")</f>
        <v>#VALUE!</v>
      </c>
      <c r="G7883" s="69"/>
    </row>
    <row r="7884" ht="22.5" customHeight="1">
      <c r="A7884" s="66"/>
      <c r="B7884" s="67" t="str">
        <f t="shared" si="16"/>
        <v>M: </v>
      </c>
      <c r="C7884" s="68"/>
      <c r="D7884" s="68">
        <v>46538.0</v>
      </c>
      <c r="E7884" s="66">
        <v>2.0</v>
      </c>
      <c r="F7884" s="66" t="str">
        <f>IFERROR(__xludf.DUMMYFUNCTION("GOOGLETRANSLATE(A7884,""en"",""pt"")"),"#VALUE!")</f>
        <v>#VALUE!</v>
      </c>
      <c r="G7884" s="69"/>
    </row>
    <row r="7885" ht="22.5" customHeight="1">
      <c r="A7885" s="66"/>
      <c r="B7885" s="67" t="str">
        <f t="shared" si="16"/>
        <v>M: </v>
      </c>
      <c r="C7885" s="68"/>
      <c r="D7885" s="68">
        <v>46538.0</v>
      </c>
      <c r="E7885" s="66">
        <v>3.0</v>
      </c>
      <c r="F7885" s="66" t="str">
        <f>IFERROR(__xludf.DUMMYFUNCTION("GOOGLETRANSLATE(A7885,""en"",""pt"")"),"#VALUE!")</f>
        <v>#VALUE!</v>
      </c>
      <c r="G7885" s="69"/>
    </row>
    <row r="7886" ht="22.5" customHeight="1">
      <c r="A7886" s="66"/>
      <c r="B7886" s="67" t="str">
        <f t="shared" si="16"/>
        <v>M: </v>
      </c>
      <c r="C7886" s="68"/>
      <c r="D7886" s="68">
        <v>46538.0</v>
      </c>
      <c r="E7886" s="66">
        <v>4.0</v>
      </c>
      <c r="F7886" s="66" t="str">
        <f>IFERROR(__xludf.DUMMYFUNCTION("GOOGLETRANSLATE(A7886,""en"",""pt"")"),"#VALUE!")</f>
        <v>#VALUE!</v>
      </c>
      <c r="G7886" s="69"/>
    </row>
    <row r="7887" ht="22.5" customHeight="1">
      <c r="A7887" s="66"/>
      <c r="B7887" s="67" t="str">
        <f t="shared" si="16"/>
        <v>M: </v>
      </c>
      <c r="C7887" s="68"/>
      <c r="D7887" s="68">
        <v>46538.0</v>
      </c>
      <c r="E7887" s="66">
        <v>5.0</v>
      </c>
      <c r="F7887" s="66" t="str">
        <f>IFERROR(__xludf.DUMMYFUNCTION("GOOGLETRANSLATE(A7887,""en"",""pt"")"),"#VALUE!")</f>
        <v>#VALUE!</v>
      </c>
      <c r="G7887" s="69"/>
    </row>
    <row r="7888" ht="22.5" customHeight="1">
      <c r="A7888" s="66"/>
      <c r="B7888" s="67" t="str">
        <f t="shared" si="16"/>
        <v>M: </v>
      </c>
      <c r="C7888" s="68"/>
      <c r="D7888" s="68">
        <v>46538.0</v>
      </c>
      <c r="E7888" s="66">
        <v>6.0</v>
      </c>
      <c r="F7888" s="66" t="str">
        <f>IFERROR(__xludf.DUMMYFUNCTION("GOOGLETRANSLATE(A7888,""en"",""pt"")"),"#VALUE!")</f>
        <v>#VALUE!</v>
      </c>
      <c r="G7888" s="69"/>
    </row>
    <row r="7889" ht="22.5" customHeight="1">
      <c r="A7889" s="66"/>
      <c r="B7889" s="67" t="str">
        <f t="shared" si="16"/>
        <v>M: </v>
      </c>
      <c r="C7889" s="68"/>
      <c r="D7889" s="68">
        <v>46538.0</v>
      </c>
      <c r="E7889" s="66">
        <v>7.0</v>
      </c>
      <c r="F7889" s="66" t="str">
        <f>IFERROR(__xludf.DUMMYFUNCTION("GOOGLETRANSLATE(A7889,""en"",""pt"")"),"#VALUE!")</f>
        <v>#VALUE!</v>
      </c>
      <c r="G7889" s="69"/>
    </row>
    <row r="7890" ht="22.5" customHeight="1">
      <c r="A7890" s="66"/>
      <c r="B7890" s="67" t="str">
        <f t="shared" si="16"/>
        <v>M: </v>
      </c>
      <c r="C7890" s="68"/>
      <c r="D7890" s="68">
        <v>46538.0</v>
      </c>
      <c r="E7890" s="66">
        <v>8.0</v>
      </c>
      <c r="F7890" s="66" t="str">
        <f>IFERROR(__xludf.DUMMYFUNCTION("GOOGLETRANSLATE(A7890,""en"",""pt"")"),"#VALUE!")</f>
        <v>#VALUE!</v>
      </c>
      <c r="G7890" s="69"/>
    </row>
    <row r="7891" ht="22.5" customHeight="1">
      <c r="A7891" s="66"/>
      <c r="B7891" s="67" t="str">
        <f t="shared" si="16"/>
        <v>M: </v>
      </c>
      <c r="C7891" s="68"/>
      <c r="D7891" s="68">
        <v>46538.0</v>
      </c>
      <c r="E7891" s="66">
        <v>9.0</v>
      </c>
      <c r="F7891" s="66" t="str">
        <f>IFERROR(__xludf.DUMMYFUNCTION("GOOGLETRANSLATE(A7891,""en"",""pt"")"),"#VALUE!")</f>
        <v>#VALUE!</v>
      </c>
      <c r="G7891" s="69"/>
    </row>
    <row r="7892" ht="22.5" customHeight="1">
      <c r="A7892" s="66"/>
      <c r="B7892" s="67" t="str">
        <f t="shared" si="16"/>
        <v>M: </v>
      </c>
      <c r="C7892" s="68"/>
      <c r="D7892" s="68">
        <v>46539.0</v>
      </c>
      <c r="E7892" s="66">
        <v>10.0</v>
      </c>
      <c r="F7892" s="66" t="str">
        <f>IFERROR(__xludf.DUMMYFUNCTION("GOOGLETRANSLATE(A7892,""en"",""pt"")"),"#VALUE!")</f>
        <v>#VALUE!</v>
      </c>
      <c r="G7892" s="69"/>
    </row>
    <row r="7893" ht="22.5" customHeight="1">
      <c r="A7893" s="66"/>
      <c r="B7893" s="67" t="str">
        <f t="shared" si="16"/>
        <v>M: </v>
      </c>
      <c r="C7893" s="68"/>
      <c r="D7893" s="68">
        <v>46539.0</v>
      </c>
      <c r="E7893" s="66">
        <v>1.0</v>
      </c>
      <c r="F7893" s="66" t="str">
        <f>IFERROR(__xludf.DUMMYFUNCTION("GOOGLETRANSLATE(A7893,""en"",""pt"")"),"#VALUE!")</f>
        <v>#VALUE!</v>
      </c>
      <c r="G7893" s="69"/>
    </row>
    <row r="7894" ht="22.5" customHeight="1">
      <c r="A7894" s="66"/>
      <c r="B7894" s="67" t="str">
        <f t="shared" si="16"/>
        <v>M: </v>
      </c>
      <c r="C7894" s="68"/>
      <c r="D7894" s="68">
        <v>46539.0</v>
      </c>
      <c r="E7894" s="66">
        <v>2.0</v>
      </c>
      <c r="F7894" s="66" t="str">
        <f>IFERROR(__xludf.DUMMYFUNCTION("GOOGLETRANSLATE(A7894,""en"",""pt"")"),"#VALUE!")</f>
        <v>#VALUE!</v>
      </c>
      <c r="G7894" s="69"/>
    </row>
    <row r="7895" ht="22.5" customHeight="1">
      <c r="A7895" s="66"/>
      <c r="B7895" s="67" t="str">
        <f t="shared" si="16"/>
        <v>M: </v>
      </c>
      <c r="C7895" s="68"/>
      <c r="D7895" s="68">
        <v>46539.0</v>
      </c>
      <c r="E7895" s="66">
        <v>3.0</v>
      </c>
      <c r="F7895" s="66" t="str">
        <f>IFERROR(__xludf.DUMMYFUNCTION("GOOGLETRANSLATE(A7895,""en"",""pt"")"),"#VALUE!")</f>
        <v>#VALUE!</v>
      </c>
      <c r="G7895" s="69"/>
    </row>
    <row r="7896" ht="22.5" customHeight="1">
      <c r="A7896" s="66"/>
      <c r="B7896" s="67" t="str">
        <f t="shared" si="16"/>
        <v>M: </v>
      </c>
      <c r="C7896" s="68"/>
      <c r="D7896" s="68">
        <v>46539.0</v>
      </c>
      <c r="E7896" s="66">
        <v>4.0</v>
      </c>
      <c r="F7896" s="66" t="str">
        <f>IFERROR(__xludf.DUMMYFUNCTION("GOOGLETRANSLATE(A7896,""en"",""pt"")"),"#VALUE!")</f>
        <v>#VALUE!</v>
      </c>
      <c r="G7896" s="69"/>
    </row>
    <row r="7897" ht="22.5" customHeight="1">
      <c r="A7897" s="66"/>
      <c r="B7897" s="67" t="str">
        <f t="shared" si="16"/>
        <v>M: </v>
      </c>
      <c r="C7897" s="68"/>
      <c r="D7897" s="68">
        <v>46539.0</v>
      </c>
      <c r="E7897" s="66">
        <v>5.0</v>
      </c>
      <c r="F7897" s="66" t="str">
        <f>IFERROR(__xludf.DUMMYFUNCTION("GOOGLETRANSLATE(A7897,""en"",""pt"")"),"#VALUE!")</f>
        <v>#VALUE!</v>
      </c>
      <c r="G7897" s="69"/>
    </row>
    <row r="7898" ht="22.5" customHeight="1">
      <c r="A7898" s="66"/>
      <c r="B7898" s="67" t="str">
        <f t="shared" si="16"/>
        <v>M: </v>
      </c>
      <c r="C7898" s="68"/>
      <c r="D7898" s="68">
        <v>46539.0</v>
      </c>
      <c r="E7898" s="66">
        <v>6.0</v>
      </c>
      <c r="F7898" s="66" t="str">
        <f>IFERROR(__xludf.DUMMYFUNCTION("GOOGLETRANSLATE(A7898,""en"",""pt"")"),"#VALUE!")</f>
        <v>#VALUE!</v>
      </c>
      <c r="G7898" s="69"/>
    </row>
    <row r="7899" ht="22.5" customHeight="1">
      <c r="A7899" s="66"/>
      <c r="B7899" s="67" t="str">
        <f t="shared" si="16"/>
        <v>M: </v>
      </c>
      <c r="C7899" s="68"/>
      <c r="D7899" s="68">
        <v>46539.0</v>
      </c>
      <c r="E7899" s="66">
        <v>7.0</v>
      </c>
      <c r="F7899" s="66" t="str">
        <f>IFERROR(__xludf.DUMMYFUNCTION("GOOGLETRANSLATE(A7899,""en"",""pt"")"),"#VALUE!")</f>
        <v>#VALUE!</v>
      </c>
      <c r="G7899" s="69"/>
    </row>
    <row r="7900" ht="22.5" customHeight="1">
      <c r="A7900" s="66"/>
      <c r="B7900" s="67" t="str">
        <f t="shared" si="16"/>
        <v>M: </v>
      </c>
      <c r="C7900" s="68"/>
      <c r="D7900" s="68">
        <v>46539.0</v>
      </c>
      <c r="E7900" s="66">
        <v>8.0</v>
      </c>
      <c r="F7900" s="66" t="str">
        <f>IFERROR(__xludf.DUMMYFUNCTION("GOOGLETRANSLATE(A7900,""en"",""pt"")"),"#VALUE!")</f>
        <v>#VALUE!</v>
      </c>
      <c r="G7900" s="69"/>
    </row>
    <row r="7901" ht="22.5" customHeight="1">
      <c r="A7901" s="66"/>
      <c r="B7901" s="67" t="str">
        <f t="shared" si="16"/>
        <v>M: </v>
      </c>
      <c r="C7901" s="68"/>
      <c r="D7901" s="68">
        <v>46539.0</v>
      </c>
      <c r="E7901" s="66">
        <v>9.0</v>
      </c>
      <c r="F7901" s="66" t="str">
        <f>IFERROR(__xludf.DUMMYFUNCTION("GOOGLETRANSLATE(A7901,""en"",""pt"")"),"#VALUE!")</f>
        <v>#VALUE!</v>
      </c>
      <c r="G7901" s="69"/>
    </row>
    <row r="7902" ht="22.5" customHeight="1">
      <c r="A7902" s="66"/>
      <c r="B7902" s="67" t="str">
        <f t="shared" si="16"/>
        <v>M: </v>
      </c>
      <c r="C7902" s="68"/>
      <c r="D7902" s="68">
        <v>46540.0</v>
      </c>
      <c r="E7902" s="66">
        <v>10.0</v>
      </c>
      <c r="F7902" s="66" t="str">
        <f>IFERROR(__xludf.DUMMYFUNCTION("GOOGLETRANSLATE(A7902,""en"",""pt"")"),"#VALUE!")</f>
        <v>#VALUE!</v>
      </c>
      <c r="G7902" s="69"/>
    </row>
    <row r="7903" ht="22.5" customHeight="1">
      <c r="A7903" s="66"/>
      <c r="B7903" s="67" t="str">
        <f t="shared" si="16"/>
        <v>M: </v>
      </c>
      <c r="C7903" s="68"/>
      <c r="D7903" s="68">
        <v>46540.0</v>
      </c>
      <c r="E7903" s="66">
        <v>1.0</v>
      </c>
      <c r="F7903" s="66" t="str">
        <f>IFERROR(__xludf.DUMMYFUNCTION("GOOGLETRANSLATE(A7903,""en"",""pt"")"),"#VALUE!")</f>
        <v>#VALUE!</v>
      </c>
      <c r="G7903" s="69"/>
    </row>
    <row r="7904" ht="22.5" customHeight="1">
      <c r="A7904" s="66"/>
      <c r="B7904" s="67" t="str">
        <f t="shared" si="16"/>
        <v>M: </v>
      </c>
      <c r="C7904" s="68"/>
      <c r="D7904" s="68">
        <v>46540.0</v>
      </c>
      <c r="E7904" s="66">
        <v>2.0</v>
      </c>
      <c r="F7904" s="66" t="str">
        <f>IFERROR(__xludf.DUMMYFUNCTION("GOOGLETRANSLATE(A7904,""en"",""pt"")"),"#VALUE!")</f>
        <v>#VALUE!</v>
      </c>
      <c r="G7904" s="69"/>
    </row>
    <row r="7905" ht="22.5" customHeight="1">
      <c r="A7905" s="66"/>
      <c r="B7905" s="67" t="str">
        <f t="shared" si="16"/>
        <v>M: </v>
      </c>
      <c r="C7905" s="68"/>
      <c r="D7905" s="68">
        <v>46540.0</v>
      </c>
      <c r="E7905" s="66">
        <v>3.0</v>
      </c>
      <c r="F7905" s="66" t="str">
        <f>IFERROR(__xludf.DUMMYFUNCTION("GOOGLETRANSLATE(A7905,""en"",""pt"")"),"#VALUE!")</f>
        <v>#VALUE!</v>
      </c>
      <c r="G7905" s="69"/>
    </row>
    <row r="7906" ht="22.5" customHeight="1">
      <c r="A7906" s="66"/>
      <c r="B7906" s="67" t="str">
        <f t="shared" si="16"/>
        <v>M: </v>
      </c>
      <c r="C7906" s="68"/>
      <c r="D7906" s="68">
        <v>46540.0</v>
      </c>
      <c r="E7906" s="66">
        <v>4.0</v>
      </c>
      <c r="F7906" s="66" t="str">
        <f>IFERROR(__xludf.DUMMYFUNCTION("GOOGLETRANSLATE(A7906,""en"",""pt"")"),"#VALUE!")</f>
        <v>#VALUE!</v>
      </c>
      <c r="G7906" s="69"/>
    </row>
    <row r="7907" ht="22.5" customHeight="1">
      <c r="A7907" s="66"/>
      <c r="B7907" s="67" t="str">
        <f t="shared" si="16"/>
        <v>M: </v>
      </c>
      <c r="C7907" s="68"/>
      <c r="D7907" s="68">
        <v>46540.0</v>
      </c>
      <c r="E7907" s="66">
        <v>5.0</v>
      </c>
      <c r="F7907" s="66" t="str">
        <f>IFERROR(__xludf.DUMMYFUNCTION("GOOGLETRANSLATE(A7907,""en"",""pt"")"),"#VALUE!")</f>
        <v>#VALUE!</v>
      </c>
      <c r="G7907" s="69"/>
    </row>
    <row r="7908" ht="22.5" customHeight="1">
      <c r="A7908" s="66"/>
      <c r="B7908" s="67" t="str">
        <f t="shared" si="16"/>
        <v>M: </v>
      </c>
      <c r="C7908" s="68"/>
      <c r="D7908" s="68">
        <v>46540.0</v>
      </c>
      <c r="E7908" s="66">
        <v>6.0</v>
      </c>
      <c r="F7908" s="66" t="str">
        <f>IFERROR(__xludf.DUMMYFUNCTION("GOOGLETRANSLATE(A7908,""en"",""pt"")"),"#VALUE!")</f>
        <v>#VALUE!</v>
      </c>
      <c r="G7908" s="69"/>
    </row>
    <row r="7909" ht="22.5" customHeight="1">
      <c r="A7909" s="66"/>
      <c r="B7909" s="67" t="str">
        <f t="shared" si="16"/>
        <v>M: </v>
      </c>
      <c r="C7909" s="68"/>
      <c r="D7909" s="68">
        <v>46540.0</v>
      </c>
      <c r="E7909" s="66">
        <v>7.0</v>
      </c>
      <c r="F7909" s="66" t="str">
        <f>IFERROR(__xludf.DUMMYFUNCTION("GOOGLETRANSLATE(A7909,""en"",""pt"")"),"#VALUE!")</f>
        <v>#VALUE!</v>
      </c>
      <c r="G7909" s="69"/>
    </row>
    <row r="7910" ht="22.5" customHeight="1">
      <c r="A7910" s="66"/>
      <c r="B7910" s="67" t="str">
        <f t="shared" si="16"/>
        <v>M: </v>
      </c>
      <c r="C7910" s="68"/>
      <c r="D7910" s="68">
        <v>46540.0</v>
      </c>
      <c r="E7910" s="66">
        <v>8.0</v>
      </c>
      <c r="F7910" s="66" t="str">
        <f>IFERROR(__xludf.DUMMYFUNCTION("GOOGLETRANSLATE(A7910,""en"",""pt"")"),"#VALUE!")</f>
        <v>#VALUE!</v>
      </c>
      <c r="G7910" s="69"/>
    </row>
    <row r="7911" ht="22.5" customHeight="1">
      <c r="A7911" s="66"/>
      <c r="B7911" s="67" t="str">
        <f t="shared" si="16"/>
        <v>M: </v>
      </c>
      <c r="C7911" s="68"/>
      <c r="D7911" s="68">
        <v>46540.0</v>
      </c>
      <c r="E7911" s="66">
        <v>9.0</v>
      </c>
      <c r="F7911" s="66" t="str">
        <f>IFERROR(__xludf.DUMMYFUNCTION("GOOGLETRANSLATE(A7911,""en"",""pt"")"),"#VALUE!")</f>
        <v>#VALUE!</v>
      </c>
      <c r="G7911" s="69"/>
    </row>
    <row r="7912" ht="22.5" customHeight="1">
      <c r="A7912" s="66"/>
      <c r="B7912" s="67" t="str">
        <f t="shared" si="16"/>
        <v>M: </v>
      </c>
      <c r="C7912" s="68"/>
      <c r="D7912" s="68">
        <v>46541.0</v>
      </c>
      <c r="E7912" s="66">
        <v>10.0</v>
      </c>
      <c r="F7912" s="66" t="str">
        <f>IFERROR(__xludf.DUMMYFUNCTION("GOOGLETRANSLATE(A7912,""en"",""pt"")"),"#VALUE!")</f>
        <v>#VALUE!</v>
      </c>
      <c r="G7912" s="69"/>
    </row>
    <row r="7913" ht="22.5" customHeight="1">
      <c r="A7913" s="66"/>
      <c r="B7913" s="67" t="str">
        <f t="shared" si="16"/>
        <v>M: </v>
      </c>
      <c r="C7913" s="68"/>
      <c r="D7913" s="68">
        <v>46541.0</v>
      </c>
      <c r="E7913" s="66">
        <v>1.0</v>
      </c>
      <c r="F7913" s="66" t="str">
        <f>IFERROR(__xludf.DUMMYFUNCTION("GOOGLETRANSLATE(A7913,""en"",""pt"")"),"#VALUE!")</f>
        <v>#VALUE!</v>
      </c>
      <c r="G7913" s="69"/>
    </row>
    <row r="7914" ht="22.5" customHeight="1">
      <c r="A7914" s="66"/>
      <c r="B7914" s="67" t="str">
        <f t="shared" si="16"/>
        <v>M: </v>
      </c>
      <c r="C7914" s="68"/>
      <c r="D7914" s="68">
        <v>46541.0</v>
      </c>
      <c r="E7914" s="66">
        <v>2.0</v>
      </c>
      <c r="F7914" s="66" t="str">
        <f>IFERROR(__xludf.DUMMYFUNCTION("GOOGLETRANSLATE(A7914,""en"",""pt"")"),"#VALUE!")</f>
        <v>#VALUE!</v>
      </c>
      <c r="G7914" s="69"/>
    </row>
    <row r="7915" ht="22.5" customHeight="1">
      <c r="A7915" s="66"/>
      <c r="B7915" s="67" t="str">
        <f t="shared" si="16"/>
        <v>M: </v>
      </c>
      <c r="C7915" s="68"/>
      <c r="D7915" s="68">
        <v>46541.0</v>
      </c>
      <c r="E7915" s="66">
        <v>3.0</v>
      </c>
      <c r="F7915" s="66" t="str">
        <f>IFERROR(__xludf.DUMMYFUNCTION("GOOGLETRANSLATE(A7915,""en"",""pt"")"),"#VALUE!")</f>
        <v>#VALUE!</v>
      </c>
      <c r="G7915" s="69"/>
    </row>
    <row r="7916" ht="22.5" customHeight="1">
      <c r="A7916" s="66"/>
      <c r="B7916" s="67" t="str">
        <f t="shared" si="16"/>
        <v>M: </v>
      </c>
      <c r="C7916" s="68"/>
      <c r="D7916" s="68">
        <v>46541.0</v>
      </c>
      <c r="E7916" s="66">
        <v>4.0</v>
      </c>
      <c r="F7916" s="66" t="str">
        <f>IFERROR(__xludf.DUMMYFUNCTION("GOOGLETRANSLATE(A7916,""en"",""pt"")"),"#VALUE!")</f>
        <v>#VALUE!</v>
      </c>
      <c r="G7916" s="69"/>
    </row>
    <row r="7917" ht="22.5" customHeight="1">
      <c r="A7917" s="66"/>
      <c r="B7917" s="67" t="str">
        <f t="shared" si="16"/>
        <v>M: </v>
      </c>
      <c r="C7917" s="68"/>
      <c r="D7917" s="68">
        <v>46541.0</v>
      </c>
      <c r="E7917" s="66">
        <v>5.0</v>
      </c>
      <c r="F7917" s="66" t="str">
        <f>IFERROR(__xludf.DUMMYFUNCTION("GOOGLETRANSLATE(A7917,""en"",""pt"")"),"#VALUE!")</f>
        <v>#VALUE!</v>
      </c>
      <c r="G7917" s="69"/>
    </row>
    <row r="7918" ht="22.5" customHeight="1">
      <c r="A7918" s="66"/>
      <c r="B7918" s="67" t="str">
        <f t="shared" si="16"/>
        <v>M: </v>
      </c>
      <c r="C7918" s="68"/>
      <c r="D7918" s="68">
        <v>46541.0</v>
      </c>
      <c r="E7918" s="66">
        <v>6.0</v>
      </c>
      <c r="F7918" s="66" t="str">
        <f>IFERROR(__xludf.DUMMYFUNCTION("GOOGLETRANSLATE(A7918,""en"",""pt"")"),"#VALUE!")</f>
        <v>#VALUE!</v>
      </c>
      <c r="G7918" s="69"/>
    </row>
    <row r="7919" ht="22.5" customHeight="1">
      <c r="A7919" s="66"/>
      <c r="B7919" s="67" t="str">
        <f t="shared" si="16"/>
        <v>M: </v>
      </c>
      <c r="C7919" s="68"/>
      <c r="D7919" s="68">
        <v>46541.0</v>
      </c>
      <c r="E7919" s="66">
        <v>7.0</v>
      </c>
      <c r="F7919" s="66" t="str">
        <f>IFERROR(__xludf.DUMMYFUNCTION("GOOGLETRANSLATE(A7919,""en"",""pt"")"),"#VALUE!")</f>
        <v>#VALUE!</v>
      </c>
      <c r="G7919" s="69"/>
    </row>
    <row r="7920" ht="22.5" customHeight="1">
      <c r="A7920" s="66"/>
      <c r="B7920" s="67" t="str">
        <f t="shared" si="16"/>
        <v>M: </v>
      </c>
      <c r="C7920" s="68"/>
      <c r="D7920" s="68">
        <v>46541.0</v>
      </c>
      <c r="E7920" s="66">
        <v>8.0</v>
      </c>
      <c r="F7920" s="66" t="str">
        <f>IFERROR(__xludf.DUMMYFUNCTION("GOOGLETRANSLATE(A7920,""en"",""pt"")"),"#VALUE!")</f>
        <v>#VALUE!</v>
      </c>
      <c r="G7920" s="69"/>
    </row>
    <row r="7921" ht="22.5" customHeight="1">
      <c r="A7921" s="66"/>
      <c r="B7921" s="67" t="str">
        <f t="shared" si="16"/>
        <v>M: </v>
      </c>
      <c r="C7921" s="68"/>
      <c r="D7921" s="68">
        <v>46541.0</v>
      </c>
      <c r="E7921" s="66">
        <v>9.0</v>
      </c>
      <c r="F7921" s="66" t="str">
        <f>IFERROR(__xludf.DUMMYFUNCTION("GOOGLETRANSLATE(A7921,""en"",""pt"")"),"#VALUE!")</f>
        <v>#VALUE!</v>
      </c>
      <c r="G7921" s="69"/>
    </row>
    <row r="7922" ht="22.5" customHeight="1">
      <c r="A7922" s="66"/>
      <c r="B7922" s="67" t="str">
        <f t="shared" si="16"/>
        <v>M: </v>
      </c>
      <c r="C7922" s="68"/>
      <c r="D7922" s="68">
        <v>46542.0</v>
      </c>
      <c r="E7922" s="66">
        <v>10.0</v>
      </c>
      <c r="F7922" s="66" t="str">
        <f>IFERROR(__xludf.DUMMYFUNCTION("GOOGLETRANSLATE(A7922,""en"",""pt"")"),"#VALUE!")</f>
        <v>#VALUE!</v>
      </c>
      <c r="G7922" s="69"/>
    </row>
    <row r="7923" ht="22.5" customHeight="1">
      <c r="A7923" s="66"/>
      <c r="B7923" s="67" t="str">
        <f t="shared" si="16"/>
        <v>M: </v>
      </c>
      <c r="C7923" s="68"/>
      <c r="D7923" s="68">
        <v>46542.0</v>
      </c>
      <c r="E7923" s="66">
        <v>1.0</v>
      </c>
      <c r="F7923" s="66" t="str">
        <f>IFERROR(__xludf.DUMMYFUNCTION("GOOGLETRANSLATE(A7923,""en"",""pt"")"),"#VALUE!")</f>
        <v>#VALUE!</v>
      </c>
      <c r="G7923" s="69"/>
    </row>
    <row r="7924" ht="22.5" customHeight="1">
      <c r="A7924" s="66"/>
      <c r="B7924" s="67" t="str">
        <f t="shared" si="16"/>
        <v>M: </v>
      </c>
      <c r="C7924" s="68"/>
      <c r="D7924" s="68">
        <v>46542.0</v>
      </c>
      <c r="E7924" s="66">
        <v>2.0</v>
      </c>
      <c r="F7924" s="66" t="str">
        <f>IFERROR(__xludf.DUMMYFUNCTION("GOOGLETRANSLATE(A7924,""en"",""pt"")"),"#VALUE!")</f>
        <v>#VALUE!</v>
      </c>
      <c r="G7924" s="69"/>
    </row>
    <row r="7925" ht="22.5" customHeight="1">
      <c r="A7925" s="66"/>
      <c r="B7925" s="67" t="str">
        <f t="shared" si="16"/>
        <v>M: </v>
      </c>
      <c r="C7925" s="68"/>
      <c r="D7925" s="68">
        <v>46542.0</v>
      </c>
      <c r="E7925" s="66">
        <v>3.0</v>
      </c>
      <c r="F7925" s="66" t="str">
        <f>IFERROR(__xludf.DUMMYFUNCTION("GOOGLETRANSLATE(A7925,""en"",""pt"")"),"#VALUE!")</f>
        <v>#VALUE!</v>
      </c>
      <c r="G7925" s="69"/>
    </row>
    <row r="7926" ht="22.5" customHeight="1">
      <c r="A7926" s="66"/>
      <c r="B7926" s="67" t="str">
        <f t="shared" si="16"/>
        <v>M: </v>
      </c>
      <c r="C7926" s="68"/>
      <c r="D7926" s="68">
        <v>46542.0</v>
      </c>
      <c r="E7926" s="66">
        <v>4.0</v>
      </c>
      <c r="F7926" s="66" t="str">
        <f>IFERROR(__xludf.DUMMYFUNCTION("GOOGLETRANSLATE(A7926,""en"",""pt"")"),"#VALUE!")</f>
        <v>#VALUE!</v>
      </c>
      <c r="G7926" s="69"/>
    </row>
    <row r="7927" ht="22.5" customHeight="1">
      <c r="A7927" s="66"/>
      <c r="B7927" s="67" t="str">
        <f t="shared" si="16"/>
        <v>M: </v>
      </c>
      <c r="C7927" s="68"/>
      <c r="D7927" s="68">
        <v>46542.0</v>
      </c>
      <c r="E7927" s="66">
        <v>5.0</v>
      </c>
      <c r="F7927" s="66" t="str">
        <f>IFERROR(__xludf.DUMMYFUNCTION("GOOGLETRANSLATE(A7927,""en"",""pt"")"),"#VALUE!")</f>
        <v>#VALUE!</v>
      </c>
      <c r="G7927" s="69"/>
    </row>
    <row r="7928" ht="22.5" customHeight="1">
      <c r="A7928" s="66"/>
      <c r="B7928" s="67" t="str">
        <f t="shared" si="16"/>
        <v>M: </v>
      </c>
      <c r="C7928" s="68"/>
      <c r="D7928" s="68">
        <v>46542.0</v>
      </c>
      <c r="E7928" s="66">
        <v>6.0</v>
      </c>
      <c r="F7928" s="66" t="str">
        <f>IFERROR(__xludf.DUMMYFUNCTION("GOOGLETRANSLATE(A7928,""en"",""pt"")"),"#VALUE!")</f>
        <v>#VALUE!</v>
      </c>
      <c r="G7928" s="69"/>
    </row>
    <row r="7929" ht="22.5" customHeight="1">
      <c r="A7929" s="66"/>
      <c r="B7929" s="67" t="str">
        <f t="shared" si="16"/>
        <v>M: </v>
      </c>
      <c r="C7929" s="68"/>
      <c r="D7929" s="68">
        <v>46542.0</v>
      </c>
      <c r="E7929" s="66">
        <v>7.0</v>
      </c>
      <c r="F7929" s="66" t="str">
        <f>IFERROR(__xludf.DUMMYFUNCTION("GOOGLETRANSLATE(A7929,""en"",""pt"")"),"#VALUE!")</f>
        <v>#VALUE!</v>
      </c>
      <c r="G7929" s="69"/>
    </row>
    <row r="7930" ht="22.5" customHeight="1">
      <c r="A7930" s="66"/>
      <c r="B7930" s="67" t="str">
        <f t="shared" si="16"/>
        <v>M: </v>
      </c>
      <c r="C7930" s="68"/>
      <c r="D7930" s="68">
        <v>46542.0</v>
      </c>
      <c r="E7930" s="66">
        <v>8.0</v>
      </c>
      <c r="F7930" s="66" t="str">
        <f>IFERROR(__xludf.DUMMYFUNCTION("GOOGLETRANSLATE(A7930,""en"",""pt"")"),"#VALUE!")</f>
        <v>#VALUE!</v>
      </c>
      <c r="G7930" s="69"/>
    </row>
    <row r="7931" ht="22.5" customHeight="1">
      <c r="A7931" s="66"/>
      <c r="B7931" s="67" t="str">
        <f t="shared" si="16"/>
        <v>M: </v>
      </c>
      <c r="C7931" s="68"/>
      <c r="D7931" s="68">
        <v>46542.0</v>
      </c>
      <c r="E7931" s="66">
        <v>9.0</v>
      </c>
      <c r="F7931" s="66" t="str">
        <f>IFERROR(__xludf.DUMMYFUNCTION("GOOGLETRANSLATE(A7931,""en"",""pt"")"),"#VALUE!")</f>
        <v>#VALUE!</v>
      </c>
      <c r="G7931" s="69"/>
    </row>
    <row r="7932" ht="22.5" customHeight="1">
      <c r="A7932" s="66"/>
      <c r="B7932" s="67" t="str">
        <f t="shared" si="16"/>
        <v>M: </v>
      </c>
      <c r="C7932" s="68"/>
      <c r="D7932" s="68">
        <v>46543.0</v>
      </c>
      <c r="E7932" s="66">
        <v>10.0</v>
      </c>
      <c r="F7932" s="66" t="str">
        <f>IFERROR(__xludf.DUMMYFUNCTION("GOOGLETRANSLATE(A7932,""en"",""pt"")"),"#VALUE!")</f>
        <v>#VALUE!</v>
      </c>
      <c r="G7932" s="69"/>
    </row>
    <row r="7933" ht="22.5" customHeight="1">
      <c r="A7933" s="66"/>
      <c r="B7933" s="67" t="str">
        <f t="shared" si="16"/>
        <v>M: </v>
      </c>
      <c r="C7933" s="68"/>
      <c r="D7933" s="68">
        <v>46543.0</v>
      </c>
      <c r="E7933" s="66">
        <v>1.0</v>
      </c>
      <c r="F7933" s="66" t="str">
        <f>IFERROR(__xludf.DUMMYFUNCTION("GOOGLETRANSLATE(A7933,""en"",""pt"")"),"#VALUE!")</f>
        <v>#VALUE!</v>
      </c>
      <c r="G7933" s="69"/>
    </row>
    <row r="7934" ht="22.5" customHeight="1">
      <c r="A7934" s="66"/>
      <c r="B7934" s="67" t="str">
        <f t="shared" si="16"/>
        <v>M: </v>
      </c>
      <c r="C7934" s="68"/>
      <c r="D7934" s="68">
        <v>46543.0</v>
      </c>
      <c r="E7934" s="66">
        <v>2.0</v>
      </c>
      <c r="F7934" s="66" t="str">
        <f>IFERROR(__xludf.DUMMYFUNCTION("GOOGLETRANSLATE(A7934,""en"",""pt"")"),"#VALUE!")</f>
        <v>#VALUE!</v>
      </c>
      <c r="G7934" s="69"/>
    </row>
    <row r="7935" ht="22.5" customHeight="1">
      <c r="A7935" s="66"/>
      <c r="B7935" s="67" t="str">
        <f t="shared" si="16"/>
        <v>M: </v>
      </c>
      <c r="C7935" s="68"/>
      <c r="D7935" s="68">
        <v>46543.0</v>
      </c>
      <c r="E7935" s="66">
        <v>3.0</v>
      </c>
      <c r="F7935" s="66" t="str">
        <f>IFERROR(__xludf.DUMMYFUNCTION("GOOGLETRANSLATE(A7935,""en"",""pt"")"),"#VALUE!")</f>
        <v>#VALUE!</v>
      </c>
      <c r="G7935" s="69"/>
    </row>
    <row r="7936" ht="22.5" customHeight="1">
      <c r="A7936" s="66"/>
      <c r="B7936" s="67" t="str">
        <f t="shared" si="16"/>
        <v>M: </v>
      </c>
      <c r="C7936" s="68"/>
      <c r="D7936" s="68">
        <v>46543.0</v>
      </c>
      <c r="E7936" s="66">
        <v>4.0</v>
      </c>
      <c r="F7936" s="66" t="str">
        <f>IFERROR(__xludf.DUMMYFUNCTION("GOOGLETRANSLATE(A7936,""en"",""pt"")"),"#VALUE!")</f>
        <v>#VALUE!</v>
      </c>
      <c r="G7936" s="69"/>
    </row>
    <row r="7937" ht="22.5" customHeight="1">
      <c r="A7937" s="66"/>
      <c r="B7937" s="67" t="str">
        <f t="shared" si="16"/>
        <v>M: </v>
      </c>
      <c r="C7937" s="68"/>
      <c r="D7937" s="68">
        <v>46543.0</v>
      </c>
      <c r="E7937" s="66">
        <v>5.0</v>
      </c>
      <c r="F7937" s="66" t="str">
        <f>IFERROR(__xludf.DUMMYFUNCTION("GOOGLETRANSLATE(A7937,""en"",""pt"")"),"#VALUE!")</f>
        <v>#VALUE!</v>
      </c>
      <c r="G7937" s="69"/>
    </row>
    <row r="7938" ht="22.5" customHeight="1">
      <c r="A7938" s="66"/>
      <c r="B7938" s="67" t="str">
        <f t="shared" si="16"/>
        <v>M: </v>
      </c>
      <c r="C7938" s="68"/>
      <c r="D7938" s="68">
        <v>46543.0</v>
      </c>
      <c r="E7938" s="66">
        <v>6.0</v>
      </c>
      <c r="F7938" s="66" t="str">
        <f>IFERROR(__xludf.DUMMYFUNCTION("GOOGLETRANSLATE(A7938,""en"",""pt"")"),"#VALUE!")</f>
        <v>#VALUE!</v>
      </c>
      <c r="G7938" s="69"/>
    </row>
    <row r="7939" ht="22.5" customHeight="1">
      <c r="A7939" s="66"/>
      <c r="B7939" s="67" t="str">
        <f t="shared" si="16"/>
        <v>M: </v>
      </c>
      <c r="C7939" s="68"/>
      <c r="D7939" s="68">
        <v>46543.0</v>
      </c>
      <c r="E7939" s="66">
        <v>7.0</v>
      </c>
      <c r="F7939" s="66" t="str">
        <f>IFERROR(__xludf.DUMMYFUNCTION("GOOGLETRANSLATE(A7939,""en"",""pt"")"),"#VALUE!")</f>
        <v>#VALUE!</v>
      </c>
      <c r="G7939" s="69"/>
    </row>
    <row r="7940" ht="22.5" customHeight="1">
      <c r="A7940" s="66"/>
      <c r="B7940" s="67" t="str">
        <f t="shared" si="16"/>
        <v>M: </v>
      </c>
      <c r="C7940" s="68"/>
      <c r="D7940" s="68">
        <v>46543.0</v>
      </c>
      <c r="E7940" s="66">
        <v>8.0</v>
      </c>
      <c r="F7940" s="66" t="str">
        <f>IFERROR(__xludf.DUMMYFUNCTION("GOOGLETRANSLATE(A7940,""en"",""pt"")"),"#VALUE!")</f>
        <v>#VALUE!</v>
      </c>
      <c r="G7940" s="69"/>
    </row>
    <row r="7941" ht="22.5" customHeight="1">
      <c r="A7941" s="66"/>
      <c r="B7941" s="67" t="str">
        <f t="shared" si="16"/>
        <v>M: </v>
      </c>
      <c r="C7941" s="68"/>
      <c r="D7941" s="68">
        <v>46543.0</v>
      </c>
      <c r="E7941" s="66">
        <v>9.0</v>
      </c>
      <c r="F7941" s="66" t="str">
        <f>IFERROR(__xludf.DUMMYFUNCTION("GOOGLETRANSLATE(A7941,""en"",""pt"")"),"#VALUE!")</f>
        <v>#VALUE!</v>
      </c>
      <c r="G7941" s="69"/>
    </row>
    <row r="7942" ht="22.5" customHeight="1">
      <c r="A7942" s="66"/>
      <c r="B7942" s="67" t="str">
        <f t="shared" si="16"/>
        <v>M: </v>
      </c>
      <c r="C7942" s="68"/>
      <c r="D7942" s="68">
        <v>46544.0</v>
      </c>
      <c r="E7942" s="66">
        <v>10.0</v>
      </c>
      <c r="F7942" s="66" t="str">
        <f>IFERROR(__xludf.DUMMYFUNCTION("GOOGLETRANSLATE(A7942,""en"",""pt"")"),"#VALUE!")</f>
        <v>#VALUE!</v>
      </c>
      <c r="G7942" s="69"/>
    </row>
    <row r="7943" ht="22.5" customHeight="1">
      <c r="A7943" s="66"/>
      <c r="B7943" s="67" t="str">
        <f t="shared" si="16"/>
        <v>M: </v>
      </c>
      <c r="C7943" s="68"/>
      <c r="D7943" s="68">
        <v>46544.0</v>
      </c>
      <c r="E7943" s="66">
        <v>1.0</v>
      </c>
      <c r="F7943" s="66" t="str">
        <f>IFERROR(__xludf.DUMMYFUNCTION("GOOGLETRANSLATE(A7943,""en"",""pt"")"),"#VALUE!")</f>
        <v>#VALUE!</v>
      </c>
      <c r="G7943" s="69"/>
    </row>
    <row r="7944" ht="22.5" customHeight="1">
      <c r="A7944" s="66"/>
      <c r="B7944" s="67" t="str">
        <f t="shared" si="16"/>
        <v>M: </v>
      </c>
      <c r="C7944" s="68"/>
      <c r="D7944" s="68">
        <v>46544.0</v>
      </c>
      <c r="E7944" s="66">
        <v>2.0</v>
      </c>
      <c r="F7944" s="66" t="str">
        <f>IFERROR(__xludf.DUMMYFUNCTION("GOOGLETRANSLATE(A7944,""en"",""pt"")"),"#VALUE!")</f>
        <v>#VALUE!</v>
      </c>
      <c r="G7944" s="69"/>
    </row>
    <row r="7945" ht="22.5" customHeight="1">
      <c r="A7945" s="66"/>
      <c r="B7945" s="67" t="str">
        <f t="shared" si="16"/>
        <v>M: </v>
      </c>
      <c r="C7945" s="68"/>
      <c r="D7945" s="68">
        <v>46544.0</v>
      </c>
      <c r="E7945" s="66">
        <v>3.0</v>
      </c>
      <c r="F7945" s="66" t="str">
        <f>IFERROR(__xludf.DUMMYFUNCTION("GOOGLETRANSLATE(A7945,""en"",""pt"")"),"#VALUE!")</f>
        <v>#VALUE!</v>
      </c>
      <c r="G7945" s="69"/>
    </row>
    <row r="7946" ht="22.5" customHeight="1">
      <c r="A7946" s="66"/>
      <c r="B7946" s="67" t="str">
        <f t="shared" si="16"/>
        <v>M: </v>
      </c>
      <c r="C7946" s="68"/>
      <c r="D7946" s="68">
        <v>46544.0</v>
      </c>
      <c r="E7946" s="66">
        <v>4.0</v>
      </c>
      <c r="F7946" s="66" t="str">
        <f>IFERROR(__xludf.DUMMYFUNCTION("GOOGLETRANSLATE(A7946,""en"",""pt"")"),"#VALUE!")</f>
        <v>#VALUE!</v>
      </c>
      <c r="G7946" s="69"/>
    </row>
    <row r="7947" ht="22.5" customHeight="1">
      <c r="A7947" s="66"/>
      <c r="B7947" s="67" t="str">
        <f t="shared" si="16"/>
        <v>M: </v>
      </c>
      <c r="C7947" s="68"/>
      <c r="D7947" s="68">
        <v>46544.0</v>
      </c>
      <c r="E7947" s="66">
        <v>5.0</v>
      </c>
      <c r="F7947" s="66" t="str">
        <f>IFERROR(__xludf.DUMMYFUNCTION("GOOGLETRANSLATE(A7947,""en"",""pt"")"),"#VALUE!")</f>
        <v>#VALUE!</v>
      </c>
      <c r="G7947" s="69"/>
    </row>
    <row r="7948" ht="22.5" customHeight="1">
      <c r="A7948" s="66"/>
      <c r="B7948" s="67" t="str">
        <f t="shared" si="16"/>
        <v>M: </v>
      </c>
      <c r="C7948" s="68"/>
      <c r="D7948" s="68">
        <v>46544.0</v>
      </c>
      <c r="E7948" s="66">
        <v>6.0</v>
      </c>
      <c r="F7948" s="66" t="str">
        <f>IFERROR(__xludf.DUMMYFUNCTION("GOOGLETRANSLATE(A7948,""en"",""pt"")"),"#VALUE!")</f>
        <v>#VALUE!</v>
      </c>
      <c r="G7948" s="69"/>
    </row>
    <row r="7949" ht="22.5" customHeight="1">
      <c r="A7949" s="66"/>
      <c r="B7949" s="67" t="str">
        <f t="shared" si="16"/>
        <v>M: </v>
      </c>
      <c r="C7949" s="68"/>
      <c r="D7949" s="68">
        <v>46544.0</v>
      </c>
      <c r="E7949" s="66">
        <v>7.0</v>
      </c>
      <c r="F7949" s="66" t="str">
        <f>IFERROR(__xludf.DUMMYFUNCTION("GOOGLETRANSLATE(A7949,""en"",""pt"")"),"#VALUE!")</f>
        <v>#VALUE!</v>
      </c>
      <c r="G7949" s="69"/>
    </row>
    <row r="7950" ht="22.5" customHeight="1">
      <c r="A7950" s="66"/>
      <c r="B7950" s="67" t="str">
        <f t="shared" si="16"/>
        <v>M: </v>
      </c>
      <c r="C7950" s="68"/>
      <c r="D7950" s="68">
        <v>46544.0</v>
      </c>
      <c r="E7950" s="66">
        <v>8.0</v>
      </c>
      <c r="F7950" s="66" t="str">
        <f>IFERROR(__xludf.DUMMYFUNCTION("GOOGLETRANSLATE(A7950,""en"",""pt"")"),"#VALUE!")</f>
        <v>#VALUE!</v>
      </c>
      <c r="G7950" s="69"/>
    </row>
    <row r="7951" ht="22.5" customHeight="1">
      <c r="A7951" s="66"/>
      <c r="B7951" s="67" t="str">
        <f t="shared" si="16"/>
        <v>M: </v>
      </c>
      <c r="C7951" s="68"/>
      <c r="D7951" s="68">
        <v>46544.0</v>
      </c>
      <c r="E7951" s="66">
        <v>9.0</v>
      </c>
      <c r="F7951" s="66" t="str">
        <f>IFERROR(__xludf.DUMMYFUNCTION("GOOGLETRANSLATE(A7951,""en"",""pt"")"),"#VALUE!")</f>
        <v>#VALUE!</v>
      </c>
      <c r="G7951" s="69"/>
    </row>
    <row r="7952" ht="22.5" customHeight="1">
      <c r="A7952" s="66"/>
      <c r="B7952" s="67" t="str">
        <f t="shared" si="16"/>
        <v>M: </v>
      </c>
      <c r="C7952" s="68"/>
      <c r="D7952" s="68">
        <v>46545.0</v>
      </c>
      <c r="E7952" s="66">
        <v>10.0</v>
      </c>
      <c r="F7952" s="66" t="str">
        <f>IFERROR(__xludf.DUMMYFUNCTION("GOOGLETRANSLATE(A7952,""en"",""pt"")"),"#VALUE!")</f>
        <v>#VALUE!</v>
      </c>
      <c r="G7952" s="69"/>
    </row>
    <row r="7953" ht="22.5" customHeight="1">
      <c r="A7953" s="66"/>
      <c r="B7953" s="67" t="str">
        <f t="shared" si="16"/>
        <v>M: </v>
      </c>
      <c r="C7953" s="68"/>
      <c r="D7953" s="68">
        <v>46545.0</v>
      </c>
      <c r="E7953" s="66">
        <v>1.0</v>
      </c>
      <c r="F7953" s="66" t="str">
        <f>IFERROR(__xludf.DUMMYFUNCTION("GOOGLETRANSLATE(A7953,""en"",""pt"")"),"#VALUE!")</f>
        <v>#VALUE!</v>
      </c>
      <c r="G7953" s="69"/>
    </row>
    <row r="7954" ht="22.5" customHeight="1">
      <c r="A7954" s="66"/>
      <c r="B7954" s="67" t="str">
        <f t="shared" si="16"/>
        <v>M: </v>
      </c>
      <c r="C7954" s="68"/>
      <c r="D7954" s="68">
        <v>46545.0</v>
      </c>
      <c r="E7954" s="66">
        <v>2.0</v>
      </c>
      <c r="F7954" s="66" t="str">
        <f>IFERROR(__xludf.DUMMYFUNCTION("GOOGLETRANSLATE(A7954,""en"",""pt"")"),"#VALUE!")</f>
        <v>#VALUE!</v>
      </c>
      <c r="G7954" s="69"/>
    </row>
    <row r="7955" ht="22.5" customHeight="1">
      <c r="A7955" s="66"/>
      <c r="B7955" s="67" t="str">
        <f t="shared" si="16"/>
        <v>M: </v>
      </c>
      <c r="C7955" s="68"/>
      <c r="D7955" s="68">
        <v>46545.0</v>
      </c>
      <c r="E7955" s="66">
        <v>3.0</v>
      </c>
      <c r="F7955" s="66" t="str">
        <f>IFERROR(__xludf.DUMMYFUNCTION("GOOGLETRANSLATE(A7955,""en"",""pt"")"),"#VALUE!")</f>
        <v>#VALUE!</v>
      </c>
      <c r="G7955" s="69"/>
    </row>
    <row r="7956" ht="22.5" customHeight="1">
      <c r="A7956" s="66"/>
      <c r="B7956" s="67" t="str">
        <f t="shared" si="16"/>
        <v>M: </v>
      </c>
      <c r="C7956" s="68"/>
      <c r="D7956" s="68">
        <v>46545.0</v>
      </c>
      <c r="E7956" s="66">
        <v>4.0</v>
      </c>
      <c r="F7956" s="66" t="str">
        <f>IFERROR(__xludf.DUMMYFUNCTION("GOOGLETRANSLATE(A7956,""en"",""pt"")"),"#VALUE!")</f>
        <v>#VALUE!</v>
      </c>
      <c r="G7956" s="69"/>
    </row>
    <row r="7957" ht="22.5" customHeight="1">
      <c r="A7957" s="66"/>
      <c r="B7957" s="67" t="str">
        <f t="shared" si="16"/>
        <v>M: </v>
      </c>
      <c r="C7957" s="68"/>
      <c r="D7957" s="68">
        <v>46545.0</v>
      </c>
      <c r="E7957" s="66">
        <v>5.0</v>
      </c>
      <c r="F7957" s="66" t="str">
        <f>IFERROR(__xludf.DUMMYFUNCTION("GOOGLETRANSLATE(A7957,""en"",""pt"")"),"#VALUE!")</f>
        <v>#VALUE!</v>
      </c>
      <c r="G7957" s="69"/>
    </row>
    <row r="7958" ht="22.5" customHeight="1">
      <c r="A7958" s="66"/>
      <c r="B7958" s="67" t="str">
        <f t="shared" si="16"/>
        <v>M: </v>
      </c>
      <c r="C7958" s="68"/>
      <c r="D7958" s="68">
        <v>46545.0</v>
      </c>
      <c r="E7958" s="66">
        <v>6.0</v>
      </c>
      <c r="F7958" s="66" t="str">
        <f>IFERROR(__xludf.DUMMYFUNCTION("GOOGLETRANSLATE(A7958,""en"",""pt"")"),"#VALUE!")</f>
        <v>#VALUE!</v>
      </c>
      <c r="G7958" s="69"/>
    </row>
    <row r="7959" ht="22.5" customHeight="1">
      <c r="A7959" s="66"/>
      <c r="B7959" s="67" t="str">
        <f t="shared" si="16"/>
        <v>M: </v>
      </c>
      <c r="C7959" s="68"/>
      <c r="D7959" s="68">
        <v>46545.0</v>
      </c>
      <c r="E7959" s="66">
        <v>7.0</v>
      </c>
      <c r="F7959" s="66" t="str">
        <f>IFERROR(__xludf.DUMMYFUNCTION("GOOGLETRANSLATE(A7959,""en"",""pt"")"),"#VALUE!")</f>
        <v>#VALUE!</v>
      </c>
      <c r="G7959" s="69"/>
    </row>
    <row r="7960" ht="22.5" customHeight="1">
      <c r="A7960" s="66"/>
      <c r="B7960" s="67" t="str">
        <f t="shared" si="16"/>
        <v>M: </v>
      </c>
      <c r="C7960" s="68"/>
      <c r="D7960" s="68">
        <v>46545.0</v>
      </c>
      <c r="E7960" s="66">
        <v>8.0</v>
      </c>
      <c r="F7960" s="66" t="str">
        <f>IFERROR(__xludf.DUMMYFUNCTION("GOOGLETRANSLATE(A7960,""en"",""pt"")"),"#VALUE!")</f>
        <v>#VALUE!</v>
      </c>
      <c r="G7960" s="69"/>
    </row>
    <row r="7961" ht="22.5" customHeight="1">
      <c r="A7961" s="66"/>
      <c r="B7961" s="67" t="str">
        <f t="shared" si="16"/>
        <v>M: </v>
      </c>
      <c r="C7961" s="68"/>
      <c r="D7961" s="68">
        <v>46545.0</v>
      </c>
      <c r="E7961" s="66">
        <v>9.0</v>
      </c>
      <c r="F7961" s="66" t="str">
        <f>IFERROR(__xludf.DUMMYFUNCTION("GOOGLETRANSLATE(A7961,""en"",""pt"")"),"#VALUE!")</f>
        <v>#VALUE!</v>
      </c>
      <c r="G7961" s="69"/>
    </row>
    <row r="7962" ht="22.5" customHeight="1">
      <c r="A7962" s="66"/>
      <c r="B7962" s="67" t="str">
        <f t="shared" si="16"/>
        <v>M: </v>
      </c>
      <c r="C7962" s="68"/>
      <c r="D7962" s="68">
        <v>46546.0</v>
      </c>
      <c r="E7962" s="66">
        <v>10.0</v>
      </c>
      <c r="F7962" s="66" t="str">
        <f>IFERROR(__xludf.DUMMYFUNCTION("GOOGLETRANSLATE(A7962,""en"",""pt"")"),"#VALUE!")</f>
        <v>#VALUE!</v>
      </c>
      <c r="G7962" s="69"/>
    </row>
    <row r="7963" ht="22.5" customHeight="1">
      <c r="A7963" s="66"/>
      <c r="B7963" s="67" t="str">
        <f t="shared" si="16"/>
        <v>M: </v>
      </c>
      <c r="C7963" s="68"/>
      <c r="D7963" s="68">
        <v>46546.0</v>
      </c>
      <c r="E7963" s="66">
        <v>1.0</v>
      </c>
      <c r="F7963" s="66" t="str">
        <f>IFERROR(__xludf.DUMMYFUNCTION("GOOGLETRANSLATE(A7963,""en"",""pt"")"),"#VALUE!")</f>
        <v>#VALUE!</v>
      </c>
      <c r="G7963" s="69"/>
    </row>
    <row r="7964" ht="22.5" customHeight="1">
      <c r="A7964" s="66"/>
      <c r="B7964" s="67" t="str">
        <f t="shared" si="16"/>
        <v>M: </v>
      </c>
      <c r="C7964" s="68"/>
      <c r="D7964" s="68">
        <v>46546.0</v>
      </c>
      <c r="E7964" s="66">
        <v>2.0</v>
      </c>
      <c r="F7964" s="66" t="str">
        <f>IFERROR(__xludf.DUMMYFUNCTION("GOOGLETRANSLATE(A7964,""en"",""pt"")"),"#VALUE!")</f>
        <v>#VALUE!</v>
      </c>
      <c r="G7964" s="69"/>
    </row>
    <row r="7965" ht="22.5" customHeight="1">
      <c r="A7965" s="66"/>
      <c r="B7965" s="67" t="str">
        <f t="shared" si="16"/>
        <v>M: </v>
      </c>
      <c r="C7965" s="68"/>
      <c r="D7965" s="68">
        <v>46546.0</v>
      </c>
      <c r="E7965" s="66">
        <v>3.0</v>
      </c>
      <c r="F7965" s="66" t="str">
        <f>IFERROR(__xludf.DUMMYFUNCTION("GOOGLETRANSLATE(A7965,""en"",""pt"")"),"#VALUE!")</f>
        <v>#VALUE!</v>
      </c>
      <c r="G7965" s="69"/>
    </row>
    <row r="7966" ht="22.5" customHeight="1">
      <c r="A7966" s="66"/>
      <c r="B7966" s="67" t="str">
        <f t="shared" si="16"/>
        <v>M: </v>
      </c>
      <c r="C7966" s="68"/>
      <c r="D7966" s="68">
        <v>46546.0</v>
      </c>
      <c r="E7966" s="66">
        <v>4.0</v>
      </c>
      <c r="F7966" s="66" t="str">
        <f>IFERROR(__xludf.DUMMYFUNCTION("GOOGLETRANSLATE(A7966,""en"",""pt"")"),"#VALUE!")</f>
        <v>#VALUE!</v>
      </c>
      <c r="G7966" s="69"/>
    </row>
    <row r="7967" ht="22.5" customHeight="1">
      <c r="A7967" s="66"/>
      <c r="B7967" s="67" t="str">
        <f t="shared" si="16"/>
        <v>M: </v>
      </c>
      <c r="C7967" s="68"/>
      <c r="D7967" s="68">
        <v>46546.0</v>
      </c>
      <c r="E7967" s="66">
        <v>5.0</v>
      </c>
      <c r="F7967" s="66" t="str">
        <f>IFERROR(__xludf.DUMMYFUNCTION("GOOGLETRANSLATE(A7967,""en"",""pt"")"),"#VALUE!")</f>
        <v>#VALUE!</v>
      </c>
      <c r="G7967" s="69"/>
    </row>
    <row r="7968" ht="22.5" customHeight="1">
      <c r="A7968" s="66"/>
      <c r="B7968" s="67" t="str">
        <f t="shared" si="16"/>
        <v>M: </v>
      </c>
      <c r="C7968" s="68"/>
      <c r="D7968" s="68">
        <v>46546.0</v>
      </c>
      <c r="E7968" s="66">
        <v>6.0</v>
      </c>
      <c r="F7968" s="66" t="str">
        <f>IFERROR(__xludf.DUMMYFUNCTION("GOOGLETRANSLATE(A7968,""en"",""pt"")"),"#VALUE!")</f>
        <v>#VALUE!</v>
      </c>
      <c r="G7968" s="69"/>
    </row>
    <row r="7969" ht="22.5" customHeight="1">
      <c r="A7969" s="66"/>
      <c r="B7969" s="67" t="str">
        <f t="shared" si="16"/>
        <v>M: </v>
      </c>
      <c r="C7969" s="68"/>
      <c r="D7969" s="68">
        <v>46546.0</v>
      </c>
      <c r="E7969" s="66">
        <v>7.0</v>
      </c>
      <c r="F7969" s="66" t="str">
        <f>IFERROR(__xludf.DUMMYFUNCTION("GOOGLETRANSLATE(A7969,""en"",""pt"")"),"#VALUE!")</f>
        <v>#VALUE!</v>
      </c>
      <c r="G7969" s="69"/>
    </row>
    <row r="7970" ht="22.5" customHeight="1">
      <c r="A7970" s="66"/>
      <c r="B7970" s="67" t="str">
        <f t="shared" si="16"/>
        <v>M: </v>
      </c>
      <c r="C7970" s="68"/>
      <c r="D7970" s="68">
        <v>46546.0</v>
      </c>
      <c r="E7970" s="66">
        <v>8.0</v>
      </c>
      <c r="F7970" s="66" t="str">
        <f>IFERROR(__xludf.DUMMYFUNCTION("GOOGLETRANSLATE(A7970,""en"",""pt"")"),"#VALUE!")</f>
        <v>#VALUE!</v>
      </c>
      <c r="G7970" s="69"/>
    </row>
    <row r="7971" ht="22.5" customHeight="1">
      <c r="A7971" s="66"/>
      <c r="B7971" s="67" t="str">
        <f t="shared" si="16"/>
        <v>M: </v>
      </c>
      <c r="C7971" s="68"/>
      <c r="D7971" s="68">
        <v>46546.0</v>
      </c>
      <c r="E7971" s="66">
        <v>9.0</v>
      </c>
      <c r="F7971" s="66" t="str">
        <f>IFERROR(__xludf.DUMMYFUNCTION("GOOGLETRANSLATE(A7971,""en"",""pt"")"),"#VALUE!")</f>
        <v>#VALUE!</v>
      </c>
      <c r="G7971" s="69"/>
    </row>
    <row r="7972" ht="22.5" customHeight="1">
      <c r="A7972" s="66"/>
      <c r="B7972" s="67" t="str">
        <f t="shared" si="16"/>
        <v>M: </v>
      </c>
      <c r="C7972" s="68"/>
      <c r="D7972" s="68">
        <v>46547.0</v>
      </c>
      <c r="E7972" s="66">
        <v>10.0</v>
      </c>
      <c r="F7972" s="66" t="str">
        <f>IFERROR(__xludf.DUMMYFUNCTION("GOOGLETRANSLATE(A7972,""en"",""pt"")"),"#VALUE!")</f>
        <v>#VALUE!</v>
      </c>
      <c r="G7972" s="69"/>
    </row>
    <row r="7973" ht="22.5" customHeight="1">
      <c r="A7973" s="66"/>
      <c r="B7973" s="67" t="str">
        <f t="shared" si="16"/>
        <v>M: </v>
      </c>
      <c r="C7973" s="68"/>
      <c r="D7973" s="68">
        <v>46547.0</v>
      </c>
      <c r="E7973" s="66">
        <v>1.0</v>
      </c>
      <c r="F7973" s="66" t="str">
        <f>IFERROR(__xludf.DUMMYFUNCTION("GOOGLETRANSLATE(A7973,""en"",""pt"")"),"#VALUE!")</f>
        <v>#VALUE!</v>
      </c>
      <c r="G7973" s="69"/>
    </row>
    <row r="7974" ht="22.5" customHeight="1">
      <c r="A7974" s="66"/>
      <c r="B7974" s="67" t="str">
        <f t="shared" si="16"/>
        <v>M: </v>
      </c>
      <c r="C7974" s="68"/>
      <c r="D7974" s="68">
        <v>46547.0</v>
      </c>
      <c r="E7974" s="66">
        <v>2.0</v>
      </c>
      <c r="F7974" s="66" t="str">
        <f>IFERROR(__xludf.DUMMYFUNCTION("GOOGLETRANSLATE(A7974,""en"",""pt"")"),"#VALUE!")</f>
        <v>#VALUE!</v>
      </c>
      <c r="G7974" s="69"/>
    </row>
    <row r="7975" ht="22.5" customHeight="1">
      <c r="A7975" s="66"/>
      <c r="B7975" s="67" t="str">
        <f t="shared" si="16"/>
        <v>M: </v>
      </c>
      <c r="C7975" s="68"/>
      <c r="D7975" s="68">
        <v>46547.0</v>
      </c>
      <c r="E7975" s="66">
        <v>3.0</v>
      </c>
      <c r="F7975" s="66" t="str">
        <f>IFERROR(__xludf.DUMMYFUNCTION("GOOGLETRANSLATE(A7975,""en"",""pt"")"),"#VALUE!")</f>
        <v>#VALUE!</v>
      </c>
      <c r="G7975" s="69"/>
    </row>
    <row r="7976" ht="22.5" customHeight="1">
      <c r="A7976" s="66"/>
      <c r="B7976" s="67" t="str">
        <f t="shared" si="16"/>
        <v>M: </v>
      </c>
      <c r="C7976" s="68"/>
      <c r="D7976" s="68">
        <v>46547.0</v>
      </c>
      <c r="E7976" s="66">
        <v>4.0</v>
      </c>
      <c r="F7976" s="66" t="str">
        <f>IFERROR(__xludf.DUMMYFUNCTION("GOOGLETRANSLATE(A7976,""en"",""pt"")"),"#VALUE!")</f>
        <v>#VALUE!</v>
      </c>
      <c r="G7976" s="69"/>
    </row>
    <row r="7977" ht="22.5" customHeight="1">
      <c r="A7977" s="66"/>
      <c r="B7977" s="67" t="str">
        <f t="shared" si="16"/>
        <v>M: </v>
      </c>
      <c r="C7977" s="68"/>
      <c r="D7977" s="68">
        <v>46547.0</v>
      </c>
      <c r="E7977" s="66">
        <v>5.0</v>
      </c>
      <c r="F7977" s="66" t="str">
        <f>IFERROR(__xludf.DUMMYFUNCTION("GOOGLETRANSLATE(A7977,""en"",""pt"")"),"#VALUE!")</f>
        <v>#VALUE!</v>
      </c>
      <c r="G7977" s="69"/>
    </row>
    <row r="7978" ht="22.5" customHeight="1">
      <c r="A7978" s="66"/>
      <c r="B7978" s="67" t="str">
        <f t="shared" si="16"/>
        <v>M: </v>
      </c>
      <c r="C7978" s="68"/>
      <c r="D7978" s="68">
        <v>46547.0</v>
      </c>
      <c r="E7978" s="66">
        <v>6.0</v>
      </c>
      <c r="F7978" s="66" t="str">
        <f>IFERROR(__xludf.DUMMYFUNCTION("GOOGLETRANSLATE(A7978,""en"",""pt"")"),"#VALUE!")</f>
        <v>#VALUE!</v>
      </c>
      <c r="G7978" s="69"/>
    </row>
    <row r="7979" ht="22.5" customHeight="1">
      <c r="A7979" s="66"/>
      <c r="B7979" s="67" t="str">
        <f t="shared" si="16"/>
        <v>M: </v>
      </c>
      <c r="C7979" s="68"/>
      <c r="D7979" s="68">
        <v>46547.0</v>
      </c>
      <c r="E7979" s="66">
        <v>7.0</v>
      </c>
      <c r="F7979" s="66" t="str">
        <f>IFERROR(__xludf.DUMMYFUNCTION("GOOGLETRANSLATE(A7979,""en"",""pt"")"),"#VALUE!")</f>
        <v>#VALUE!</v>
      </c>
      <c r="G7979" s="69"/>
    </row>
    <row r="7980" ht="22.5" customHeight="1">
      <c r="A7980" s="66"/>
      <c r="B7980" s="67" t="str">
        <f t="shared" si="16"/>
        <v>M: </v>
      </c>
      <c r="C7980" s="68"/>
      <c r="D7980" s="68">
        <v>46547.0</v>
      </c>
      <c r="E7980" s="66">
        <v>8.0</v>
      </c>
      <c r="F7980" s="66" t="str">
        <f>IFERROR(__xludf.DUMMYFUNCTION("GOOGLETRANSLATE(A7980,""en"",""pt"")"),"#VALUE!")</f>
        <v>#VALUE!</v>
      </c>
      <c r="G7980" s="69"/>
    </row>
    <row r="7981" ht="22.5" customHeight="1">
      <c r="A7981" s="66"/>
      <c r="B7981" s="67" t="str">
        <f t="shared" si="16"/>
        <v>M: </v>
      </c>
      <c r="C7981" s="68"/>
      <c r="D7981" s="68">
        <v>46547.0</v>
      </c>
      <c r="E7981" s="66">
        <v>9.0</v>
      </c>
      <c r="F7981" s="66" t="str">
        <f>IFERROR(__xludf.DUMMYFUNCTION("GOOGLETRANSLATE(A7981,""en"",""pt"")"),"#VALUE!")</f>
        <v>#VALUE!</v>
      </c>
      <c r="G7981" s="69"/>
    </row>
    <row r="7982" ht="22.5" customHeight="1">
      <c r="A7982" s="66"/>
      <c r="B7982" s="67" t="str">
        <f t="shared" si="16"/>
        <v>M: </v>
      </c>
      <c r="C7982" s="68"/>
      <c r="D7982" s="68">
        <v>46548.0</v>
      </c>
      <c r="E7982" s="66">
        <v>10.0</v>
      </c>
      <c r="F7982" s="66" t="str">
        <f>IFERROR(__xludf.DUMMYFUNCTION("GOOGLETRANSLATE(A7982,""en"",""pt"")"),"#VALUE!")</f>
        <v>#VALUE!</v>
      </c>
      <c r="G7982" s="69"/>
    </row>
    <row r="7983" ht="22.5" customHeight="1">
      <c r="A7983" s="66"/>
      <c r="B7983" s="67" t="str">
        <f t="shared" si="16"/>
        <v>M: </v>
      </c>
      <c r="C7983" s="68"/>
      <c r="D7983" s="68">
        <v>46548.0</v>
      </c>
      <c r="E7983" s="66">
        <v>1.0</v>
      </c>
      <c r="F7983" s="66" t="str">
        <f>IFERROR(__xludf.DUMMYFUNCTION("GOOGLETRANSLATE(A7983,""en"",""pt"")"),"#VALUE!")</f>
        <v>#VALUE!</v>
      </c>
      <c r="G7983" s="69"/>
    </row>
    <row r="7984" ht="22.5" customHeight="1">
      <c r="A7984" s="66"/>
      <c r="B7984" s="67" t="str">
        <f t="shared" si="16"/>
        <v>M: </v>
      </c>
      <c r="C7984" s="68"/>
      <c r="D7984" s="68">
        <v>46548.0</v>
      </c>
      <c r="E7984" s="66">
        <v>2.0</v>
      </c>
      <c r="F7984" s="66" t="str">
        <f>IFERROR(__xludf.DUMMYFUNCTION("GOOGLETRANSLATE(A7984,""en"",""pt"")"),"#VALUE!")</f>
        <v>#VALUE!</v>
      </c>
      <c r="G7984" s="69"/>
    </row>
    <row r="7985" ht="22.5" customHeight="1">
      <c r="A7985" s="66"/>
      <c r="B7985" s="67" t="str">
        <f t="shared" si="16"/>
        <v>M: </v>
      </c>
      <c r="C7985" s="68"/>
      <c r="D7985" s="68">
        <v>46548.0</v>
      </c>
      <c r="E7985" s="66">
        <v>3.0</v>
      </c>
      <c r="F7985" s="66" t="str">
        <f>IFERROR(__xludf.DUMMYFUNCTION("GOOGLETRANSLATE(A7985,""en"",""pt"")"),"#VALUE!")</f>
        <v>#VALUE!</v>
      </c>
      <c r="G7985" s="69"/>
    </row>
    <row r="7986" ht="22.5" customHeight="1">
      <c r="A7986" s="66"/>
      <c r="B7986" s="67" t="str">
        <f t="shared" si="16"/>
        <v>M: </v>
      </c>
      <c r="C7986" s="68"/>
      <c r="D7986" s="68">
        <v>46548.0</v>
      </c>
      <c r="E7986" s="66">
        <v>4.0</v>
      </c>
      <c r="F7986" s="66" t="str">
        <f>IFERROR(__xludf.DUMMYFUNCTION("GOOGLETRANSLATE(A7986,""en"",""pt"")"),"#VALUE!")</f>
        <v>#VALUE!</v>
      </c>
      <c r="G7986" s="69"/>
    </row>
    <row r="7987" ht="22.5" customHeight="1">
      <c r="A7987" s="66"/>
      <c r="B7987" s="67" t="str">
        <f t="shared" si="16"/>
        <v>M: </v>
      </c>
      <c r="C7987" s="68"/>
      <c r="D7987" s="68">
        <v>46548.0</v>
      </c>
      <c r="E7987" s="66">
        <v>5.0</v>
      </c>
      <c r="F7987" s="66" t="str">
        <f>IFERROR(__xludf.DUMMYFUNCTION("GOOGLETRANSLATE(A7987,""en"",""pt"")"),"#VALUE!")</f>
        <v>#VALUE!</v>
      </c>
      <c r="G7987" s="69"/>
    </row>
    <row r="7988" ht="22.5" customHeight="1">
      <c r="A7988" s="66"/>
      <c r="B7988" s="67" t="str">
        <f t="shared" si="16"/>
        <v>M: </v>
      </c>
      <c r="C7988" s="68"/>
      <c r="D7988" s="68">
        <v>46548.0</v>
      </c>
      <c r="E7988" s="66">
        <v>6.0</v>
      </c>
      <c r="F7988" s="66" t="str">
        <f>IFERROR(__xludf.DUMMYFUNCTION("GOOGLETRANSLATE(A7988,""en"",""pt"")"),"#VALUE!")</f>
        <v>#VALUE!</v>
      </c>
      <c r="G7988" s="69"/>
    </row>
    <row r="7989" ht="22.5" customHeight="1">
      <c r="A7989" s="66"/>
      <c r="B7989" s="67" t="str">
        <f t="shared" si="16"/>
        <v>M: </v>
      </c>
      <c r="C7989" s="68"/>
      <c r="D7989" s="68">
        <v>46548.0</v>
      </c>
      <c r="E7989" s="66">
        <v>7.0</v>
      </c>
      <c r="F7989" s="66" t="str">
        <f>IFERROR(__xludf.DUMMYFUNCTION("GOOGLETRANSLATE(A7989,""en"",""pt"")"),"#VALUE!")</f>
        <v>#VALUE!</v>
      </c>
      <c r="G7989" s="69"/>
    </row>
    <row r="7990" ht="22.5" customHeight="1">
      <c r="A7990" s="66"/>
      <c r="B7990" s="67" t="str">
        <f t="shared" si="16"/>
        <v>M: </v>
      </c>
      <c r="C7990" s="68"/>
      <c r="D7990" s="68">
        <v>46548.0</v>
      </c>
      <c r="E7990" s="66">
        <v>8.0</v>
      </c>
      <c r="F7990" s="66" t="str">
        <f>IFERROR(__xludf.DUMMYFUNCTION("GOOGLETRANSLATE(A7990,""en"",""pt"")"),"#VALUE!")</f>
        <v>#VALUE!</v>
      </c>
      <c r="G7990" s="69"/>
    </row>
    <row r="7991" ht="22.5" customHeight="1">
      <c r="A7991" s="66"/>
      <c r="B7991" s="67" t="str">
        <f t="shared" si="16"/>
        <v>M: </v>
      </c>
      <c r="C7991" s="68"/>
      <c r="D7991" s="68">
        <v>46548.0</v>
      </c>
      <c r="E7991" s="66">
        <v>9.0</v>
      </c>
      <c r="F7991" s="66" t="str">
        <f>IFERROR(__xludf.DUMMYFUNCTION("GOOGLETRANSLATE(A7991,""en"",""pt"")"),"#VALUE!")</f>
        <v>#VALUE!</v>
      </c>
      <c r="G7991" s="69"/>
    </row>
    <row r="7992" ht="22.5" customHeight="1">
      <c r="A7992" s="66"/>
      <c r="B7992" s="67" t="str">
        <f t="shared" si="16"/>
        <v>M: </v>
      </c>
      <c r="C7992" s="68"/>
      <c r="D7992" s="68">
        <v>46549.0</v>
      </c>
      <c r="E7992" s="66">
        <v>10.0</v>
      </c>
      <c r="F7992" s="66" t="str">
        <f>IFERROR(__xludf.DUMMYFUNCTION("GOOGLETRANSLATE(A7992,""en"",""pt"")"),"#VALUE!")</f>
        <v>#VALUE!</v>
      </c>
      <c r="G7992" s="69"/>
    </row>
    <row r="7993" ht="22.5" customHeight="1">
      <c r="A7993" s="66"/>
      <c r="B7993" s="67" t="str">
        <f t="shared" si="16"/>
        <v>M: </v>
      </c>
      <c r="C7993" s="68"/>
      <c r="D7993" s="68">
        <v>46549.0</v>
      </c>
      <c r="E7993" s="66">
        <v>1.0</v>
      </c>
      <c r="F7993" s="66" t="str">
        <f>IFERROR(__xludf.DUMMYFUNCTION("GOOGLETRANSLATE(A7993,""en"",""pt"")"),"#VALUE!")</f>
        <v>#VALUE!</v>
      </c>
      <c r="G7993" s="69"/>
    </row>
    <row r="7994" ht="22.5" customHeight="1">
      <c r="A7994" s="66"/>
      <c r="B7994" s="67" t="str">
        <f t="shared" si="16"/>
        <v>M: </v>
      </c>
      <c r="C7994" s="68"/>
      <c r="D7994" s="68">
        <v>46549.0</v>
      </c>
      <c r="E7994" s="66">
        <v>2.0</v>
      </c>
      <c r="F7994" s="66" t="str">
        <f>IFERROR(__xludf.DUMMYFUNCTION("GOOGLETRANSLATE(A7994,""en"",""pt"")"),"#VALUE!")</f>
        <v>#VALUE!</v>
      </c>
      <c r="G7994" s="69"/>
    </row>
    <row r="7995" ht="22.5" customHeight="1">
      <c r="A7995" s="66"/>
      <c r="B7995" s="67" t="str">
        <f t="shared" si="16"/>
        <v>M: </v>
      </c>
      <c r="C7995" s="68"/>
      <c r="D7995" s="68">
        <v>46549.0</v>
      </c>
      <c r="E7995" s="66">
        <v>3.0</v>
      </c>
      <c r="F7995" s="66" t="str">
        <f>IFERROR(__xludf.DUMMYFUNCTION("GOOGLETRANSLATE(A7995,""en"",""pt"")"),"#VALUE!")</f>
        <v>#VALUE!</v>
      </c>
      <c r="G7995" s="69"/>
    </row>
    <row r="7996" ht="22.5" customHeight="1">
      <c r="A7996" s="66"/>
      <c r="B7996" s="67" t="str">
        <f t="shared" si="16"/>
        <v>M: </v>
      </c>
      <c r="C7996" s="68"/>
      <c r="D7996" s="68">
        <v>46549.0</v>
      </c>
      <c r="E7996" s="66">
        <v>4.0</v>
      </c>
      <c r="F7996" s="66" t="str">
        <f>IFERROR(__xludf.DUMMYFUNCTION("GOOGLETRANSLATE(A7996,""en"",""pt"")"),"#VALUE!")</f>
        <v>#VALUE!</v>
      </c>
      <c r="G7996" s="69"/>
    </row>
    <row r="7997" ht="22.5" customHeight="1">
      <c r="A7997" s="66"/>
      <c r="B7997" s="67" t="str">
        <f t="shared" si="16"/>
        <v>M: </v>
      </c>
      <c r="C7997" s="68"/>
      <c r="D7997" s="68">
        <v>46549.0</v>
      </c>
      <c r="E7997" s="66">
        <v>5.0</v>
      </c>
      <c r="F7997" s="66" t="str">
        <f>IFERROR(__xludf.DUMMYFUNCTION("GOOGLETRANSLATE(A7997,""en"",""pt"")"),"#VALUE!")</f>
        <v>#VALUE!</v>
      </c>
      <c r="G7997" s="69"/>
    </row>
    <row r="7998" ht="22.5" customHeight="1">
      <c r="A7998" s="66"/>
      <c r="B7998" s="67" t="str">
        <f t="shared" si="16"/>
        <v>M: </v>
      </c>
      <c r="C7998" s="68"/>
      <c r="D7998" s="68">
        <v>46549.0</v>
      </c>
      <c r="E7998" s="66">
        <v>6.0</v>
      </c>
      <c r="F7998" s="66" t="str">
        <f>IFERROR(__xludf.DUMMYFUNCTION("GOOGLETRANSLATE(A7998,""en"",""pt"")"),"#VALUE!")</f>
        <v>#VALUE!</v>
      </c>
      <c r="G7998" s="69"/>
    </row>
    <row r="7999" ht="22.5" customHeight="1">
      <c r="A7999" s="66"/>
      <c r="B7999" s="67" t="str">
        <f t="shared" si="16"/>
        <v>M: </v>
      </c>
      <c r="C7999" s="68"/>
      <c r="D7999" s="68">
        <v>46549.0</v>
      </c>
      <c r="E7999" s="66">
        <v>7.0</v>
      </c>
      <c r="F7999" s="66" t="str">
        <f>IFERROR(__xludf.DUMMYFUNCTION("GOOGLETRANSLATE(A7999,""en"",""pt"")"),"#VALUE!")</f>
        <v>#VALUE!</v>
      </c>
      <c r="G7999" s="69"/>
    </row>
    <row r="8000" ht="22.5" customHeight="1">
      <c r="A8000" s="66"/>
      <c r="B8000" s="67" t="str">
        <f t="shared" si="16"/>
        <v>M: </v>
      </c>
      <c r="C8000" s="68"/>
      <c r="D8000" s="68">
        <v>46549.0</v>
      </c>
      <c r="E8000" s="66">
        <v>8.0</v>
      </c>
      <c r="F8000" s="66" t="str">
        <f>IFERROR(__xludf.DUMMYFUNCTION("GOOGLETRANSLATE(A8000,""en"",""pt"")"),"#VALUE!")</f>
        <v>#VALUE!</v>
      </c>
      <c r="G8000" s="69"/>
    </row>
    <row r="8001" ht="22.5" customHeight="1">
      <c r="A8001" s="66"/>
      <c r="B8001" s="67" t="str">
        <f t="shared" si="16"/>
        <v>M: </v>
      </c>
      <c r="C8001" s="68"/>
      <c r="D8001" s="68">
        <v>46549.0</v>
      </c>
      <c r="E8001" s="66">
        <v>9.0</v>
      </c>
      <c r="F8001" s="66" t="str">
        <f>IFERROR(__xludf.DUMMYFUNCTION("GOOGLETRANSLATE(A8001,""en"",""pt"")"),"#VALUE!")</f>
        <v>#VALUE!</v>
      </c>
      <c r="G8001" s="69"/>
    </row>
    <row r="8002" ht="22.5" customHeight="1">
      <c r="A8002" s="66"/>
      <c r="B8002" s="67" t="str">
        <f t="shared" si="16"/>
        <v>M: </v>
      </c>
      <c r="C8002" s="68"/>
      <c r="D8002" s="68">
        <v>46550.0</v>
      </c>
      <c r="E8002" s="66">
        <v>10.0</v>
      </c>
      <c r="F8002" s="66" t="str">
        <f>IFERROR(__xludf.DUMMYFUNCTION("GOOGLETRANSLATE(A8002,""en"",""pt"")"),"#VALUE!")</f>
        <v>#VALUE!</v>
      </c>
      <c r="G8002" s="69"/>
    </row>
    <row r="8003" ht="22.5" customHeight="1">
      <c r="A8003" s="66"/>
      <c r="B8003" s="67" t="str">
        <f t="shared" si="16"/>
        <v>M: </v>
      </c>
      <c r="C8003" s="68"/>
      <c r="D8003" s="68">
        <v>46550.0</v>
      </c>
      <c r="E8003" s="66">
        <v>1.0</v>
      </c>
      <c r="F8003" s="66" t="str">
        <f>IFERROR(__xludf.DUMMYFUNCTION("GOOGLETRANSLATE(A8003,""en"",""pt"")"),"#VALUE!")</f>
        <v>#VALUE!</v>
      </c>
      <c r="G8003" s="69"/>
    </row>
    <row r="8004" ht="22.5" customHeight="1">
      <c r="A8004" s="66"/>
      <c r="B8004" s="67" t="str">
        <f t="shared" si="16"/>
        <v>M: </v>
      </c>
      <c r="C8004" s="68"/>
      <c r="D8004" s="68">
        <v>46550.0</v>
      </c>
      <c r="E8004" s="66">
        <v>2.0</v>
      </c>
      <c r="F8004" s="66" t="str">
        <f>IFERROR(__xludf.DUMMYFUNCTION("GOOGLETRANSLATE(A8004,""en"",""pt"")"),"#VALUE!")</f>
        <v>#VALUE!</v>
      </c>
      <c r="G8004" s="69"/>
    </row>
    <row r="8005" ht="22.5" customHeight="1">
      <c r="A8005" s="66"/>
      <c r="B8005" s="67" t="str">
        <f t="shared" si="16"/>
        <v>M: </v>
      </c>
      <c r="C8005" s="68"/>
      <c r="D8005" s="68">
        <v>46550.0</v>
      </c>
      <c r="E8005" s="66">
        <v>3.0</v>
      </c>
      <c r="F8005" s="66" t="str">
        <f>IFERROR(__xludf.DUMMYFUNCTION("GOOGLETRANSLATE(A8005,""en"",""pt"")"),"#VALUE!")</f>
        <v>#VALUE!</v>
      </c>
      <c r="G8005" s="69"/>
    </row>
    <row r="8006" ht="22.5" customHeight="1">
      <c r="A8006" s="66"/>
      <c r="B8006" s="67" t="str">
        <f t="shared" si="16"/>
        <v>M: </v>
      </c>
      <c r="C8006" s="68"/>
      <c r="D8006" s="68">
        <v>46550.0</v>
      </c>
      <c r="E8006" s="66">
        <v>4.0</v>
      </c>
      <c r="F8006" s="66" t="str">
        <f>IFERROR(__xludf.DUMMYFUNCTION("GOOGLETRANSLATE(A8006,""en"",""pt"")"),"#VALUE!")</f>
        <v>#VALUE!</v>
      </c>
      <c r="G8006" s="69"/>
    </row>
    <row r="8007" ht="22.5" customHeight="1">
      <c r="A8007" s="66"/>
      <c r="B8007" s="67" t="str">
        <f t="shared" si="16"/>
        <v>M: </v>
      </c>
      <c r="C8007" s="68"/>
      <c r="D8007" s="68">
        <v>46550.0</v>
      </c>
      <c r="E8007" s="66">
        <v>5.0</v>
      </c>
      <c r="F8007" s="66" t="str">
        <f>IFERROR(__xludf.DUMMYFUNCTION("GOOGLETRANSLATE(A8007,""en"",""pt"")"),"#VALUE!")</f>
        <v>#VALUE!</v>
      </c>
      <c r="G8007" s="69"/>
    </row>
    <row r="8008" ht="22.5" customHeight="1">
      <c r="A8008" s="66"/>
      <c r="B8008" s="67" t="str">
        <f t="shared" si="16"/>
        <v>M: </v>
      </c>
      <c r="C8008" s="68"/>
      <c r="D8008" s="68">
        <v>46550.0</v>
      </c>
      <c r="E8008" s="66">
        <v>6.0</v>
      </c>
      <c r="F8008" s="66" t="str">
        <f>IFERROR(__xludf.DUMMYFUNCTION("GOOGLETRANSLATE(A8008,""en"",""pt"")"),"#VALUE!")</f>
        <v>#VALUE!</v>
      </c>
      <c r="G8008" s="69"/>
    </row>
    <row r="8009" ht="22.5" customHeight="1">
      <c r="A8009" s="66"/>
      <c r="B8009" s="67" t="str">
        <f t="shared" si="16"/>
        <v>M: </v>
      </c>
      <c r="C8009" s="68"/>
      <c r="D8009" s="68">
        <v>46550.0</v>
      </c>
      <c r="E8009" s="66">
        <v>7.0</v>
      </c>
      <c r="F8009" s="66" t="str">
        <f>IFERROR(__xludf.DUMMYFUNCTION("GOOGLETRANSLATE(A8009,""en"",""pt"")"),"#VALUE!")</f>
        <v>#VALUE!</v>
      </c>
      <c r="G8009" s="69"/>
    </row>
    <row r="8010" ht="22.5" customHeight="1">
      <c r="A8010" s="66"/>
      <c r="B8010" s="67" t="str">
        <f t="shared" si="16"/>
        <v>M: </v>
      </c>
      <c r="C8010" s="68"/>
      <c r="D8010" s="68">
        <v>46550.0</v>
      </c>
      <c r="E8010" s="66">
        <v>8.0</v>
      </c>
      <c r="F8010" s="66" t="str">
        <f>IFERROR(__xludf.DUMMYFUNCTION("GOOGLETRANSLATE(A8010,""en"",""pt"")"),"#VALUE!")</f>
        <v>#VALUE!</v>
      </c>
      <c r="G8010" s="69"/>
    </row>
    <row r="8011" ht="22.5" customHeight="1">
      <c r="A8011" s="66"/>
      <c r="B8011" s="67" t="str">
        <f t="shared" si="16"/>
        <v>M: </v>
      </c>
      <c r="C8011" s="68"/>
      <c r="D8011" s="68">
        <v>46550.0</v>
      </c>
      <c r="E8011" s="66">
        <v>9.0</v>
      </c>
      <c r="F8011" s="66" t="str">
        <f>IFERROR(__xludf.DUMMYFUNCTION("GOOGLETRANSLATE(A8011,""en"",""pt"")"),"#VALUE!")</f>
        <v>#VALUE!</v>
      </c>
      <c r="G8011" s="69"/>
    </row>
    <row r="8012" ht="22.5" customHeight="1">
      <c r="A8012" s="66"/>
      <c r="B8012" s="67" t="str">
        <f t="shared" si="16"/>
        <v>M: </v>
      </c>
      <c r="C8012" s="68"/>
      <c r="D8012" s="68">
        <v>46551.0</v>
      </c>
      <c r="E8012" s="66">
        <v>10.0</v>
      </c>
      <c r="F8012" s="66" t="str">
        <f>IFERROR(__xludf.DUMMYFUNCTION("GOOGLETRANSLATE(A8012,""en"",""pt"")"),"#VALUE!")</f>
        <v>#VALUE!</v>
      </c>
      <c r="G8012" s="69"/>
    </row>
    <row r="8013" ht="22.5" customHeight="1">
      <c r="A8013" s="66"/>
      <c r="B8013" s="67" t="str">
        <f t="shared" si="16"/>
        <v>M: </v>
      </c>
      <c r="C8013" s="68"/>
      <c r="D8013" s="68">
        <v>46551.0</v>
      </c>
      <c r="E8013" s="66">
        <v>1.0</v>
      </c>
      <c r="F8013" s="66" t="str">
        <f>IFERROR(__xludf.DUMMYFUNCTION("GOOGLETRANSLATE(A8013,""en"",""pt"")"),"#VALUE!")</f>
        <v>#VALUE!</v>
      </c>
      <c r="G8013" s="69"/>
    </row>
    <row r="8014" ht="22.5" customHeight="1">
      <c r="A8014" s="66"/>
      <c r="B8014" s="67" t="str">
        <f t="shared" si="16"/>
        <v>M: </v>
      </c>
      <c r="C8014" s="68"/>
      <c r="D8014" s="68">
        <v>46551.0</v>
      </c>
      <c r="E8014" s="66">
        <v>2.0</v>
      </c>
      <c r="F8014" s="66" t="str">
        <f>IFERROR(__xludf.DUMMYFUNCTION("GOOGLETRANSLATE(A8014,""en"",""pt"")"),"#VALUE!")</f>
        <v>#VALUE!</v>
      </c>
      <c r="G8014" s="69"/>
    </row>
    <row r="8015" ht="22.5" customHeight="1">
      <c r="A8015" s="66"/>
      <c r="B8015" s="67" t="str">
        <f t="shared" si="16"/>
        <v>M: </v>
      </c>
      <c r="C8015" s="68"/>
      <c r="D8015" s="68">
        <v>46551.0</v>
      </c>
      <c r="E8015" s="66">
        <v>3.0</v>
      </c>
      <c r="F8015" s="66" t="str">
        <f>IFERROR(__xludf.DUMMYFUNCTION("GOOGLETRANSLATE(A8015,""en"",""pt"")"),"#VALUE!")</f>
        <v>#VALUE!</v>
      </c>
      <c r="G8015" s="69"/>
    </row>
    <row r="8016" ht="22.5" customHeight="1">
      <c r="A8016" s="66"/>
      <c r="B8016" s="67" t="str">
        <f t="shared" si="16"/>
        <v>M: </v>
      </c>
      <c r="C8016" s="68"/>
      <c r="D8016" s="68">
        <v>46551.0</v>
      </c>
      <c r="E8016" s="66">
        <v>4.0</v>
      </c>
      <c r="F8016" s="66" t="str">
        <f>IFERROR(__xludf.DUMMYFUNCTION("GOOGLETRANSLATE(A8016,""en"",""pt"")"),"#VALUE!")</f>
        <v>#VALUE!</v>
      </c>
      <c r="G8016" s="69"/>
    </row>
    <row r="8017" ht="22.5" customHeight="1">
      <c r="A8017" s="66"/>
      <c r="B8017" s="67" t="str">
        <f t="shared" si="16"/>
        <v>M: </v>
      </c>
      <c r="C8017" s="68"/>
      <c r="D8017" s="68">
        <v>46551.0</v>
      </c>
      <c r="E8017" s="66">
        <v>5.0</v>
      </c>
      <c r="F8017" s="66" t="str">
        <f>IFERROR(__xludf.DUMMYFUNCTION("GOOGLETRANSLATE(A8017,""en"",""pt"")"),"#VALUE!")</f>
        <v>#VALUE!</v>
      </c>
      <c r="G8017" s="69"/>
    </row>
    <row r="8018" ht="22.5" customHeight="1">
      <c r="A8018" s="66"/>
      <c r="B8018" s="67" t="str">
        <f t="shared" si="16"/>
        <v>M: </v>
      </c>
      <c r="C8018" s="68"/>
      <c r="D8018" s="68">
        <v>46551.0</v>
      </c>
      <c r="E8018" s="66">
        <v>6.0</v>
      </c>
      <c r="F8018" s="66" t="str">
        <f>IFERROR(__xludf.DUMMYFUNCTION("GOOGLETRANSLATE(A8018,""en"",""pt"")"),"#VALUE!")</f>
        <v>#VALUE!</v>
      </c>
      <c r="G8018" s="69"/>
    </row>
    <row r="8019" ht="22.5" customHeight="1">
      <c r="A8019" s="66"/>
      <c r="B8019" s="67" t="str">
        <f t="shared" si="16"/>
        <v>M: </v>
      </c>
      <c r="C8019" s="68"/>
      <c r="D8019" s="68">
        <v>46551.0</v>
      </c>
      <c r="E8019" s="66">
        <v>7.0</v>
      </c>
      <c r="F8019" s="66" t="str">
        <f>IFERROR(__xludf.DUMMYFUNCTION("GOOGLETRANSLATE(A8019,""en"",""pt"")"),"#VALUE!")</f>
        <v>#VALUE!</v>
      </c>
      <c r="G8019" s="69"/>
    </row>
    <row r="8020" ht="22.5" customHeight="1">
      <c r="A8020" s="66"/>
      <c r="B8020" s="67" t="str">
        <f t="shared" si="16"/>
        <v>M: </v>
      </c>
      <c r="C8020" s="68"/>
      <c r="D8020" s="68">
        <v>46551.0</v>
      </c>
      <c r="E8020" s="66">
        <v>8.0</v>
      </c>
      <c r="F8020" s="66" t="str">
        <f>IFERROR(__xludf.DUMMYFUNCTION("GOOGLETRANSLATE(A8020,""en"",""pt"")"),"#VALUE!")</f>
        <v>#VALUE!</v>
      </c>
      <c r="G8020" s="69"/>
    </row>
    <row r="8021" ht="22.5" customHeight="1">
      <c r="A8021" s="66"/>
      <c r="B8021" s="67" t="str">
        <f t="shared" si="16"/>
        <v>M: </v>
      </c>
      <c r="C8021" s="68"/>
      <c r="D8021" s="68">
        <v>46551.0</v>
      </c>
      <c r="E8021" s="66">
        <v>9.0</v>
      </c>
      <c r="F8021" s="66" t="str">
        <f>IFERROR(__xludf.DUMMYFUNCTION("GOOGLETRANSLATE(A8021,""en"",""pt"")"),"#VALUE!")</f>
        <v>#VALUE!</v>
      </c>
      <c r="G8021" s="69"/>
    </row>
    <row r="8022" ht="22.5" customHeight="1">
      <c r="A8022" s="66"/>
      <c r="B8022" s="67" t="str">
        <f t="shared" si="16"/>
        <v>M: </v>
      </c>
      <c r="C8022" s="68"/>
      <c r="D8022" s="68">
        <v>46552.0</v>
      </c>
      <c r="E8022" s="66">
        <v>10.0</v>
      </c>
      <c r="F8022" s="66" t="str">
        <f>IFERROR(__xludf.DUMMYFUNCTION("GOOGLETRANSLATE(A8022,""en"",""pt"")"),"#VALUE!")</f>
        <v>#VALUE!</v>
      </c>
      <c r="G8022" s="69"/>
    </row>
    <row r="8023" ht="22.5" customHeight="1">
      <c r="A8023" s="66"/>
      <c r="B8023" s="67" t="str">
        <f t="shared" si="16"/>
        <v>M: </v>
      </c>
      <c r="C8023" s="68"/>
      <c r="D8023" s="68">
        <v>46552.0</v>
      </c>
      <c r="E8023" s="66">
        <v>1.0</v>
      </c>
      <c r="F8023" s="66" t="str">
        <f>IFERROR(__xludf.DUMMYFUNCTION("GOOGLETRANSLATE(A8023,""en"",""pt"")"),"#VALUE!")</f>
        <v>#VALUE!</v>
      </c>
      <c r="G8023" s="69"/>
    </row>
    <row r="8024" ht="22.5" customHeight="1">
      <c r="A8024" s="66"/>
      <c r="B8024" s="67" t="str">
        <f t="shared" si="16"/>
        <v>M: </v>
      </c>
      <c r="C8024" s="68"/>
      <c r="D8024" s="68">
        <v>46552.0</v>
      </c>
      <c r="E8024" s="66">
        <v>2.0</v>
      </c>
      <c r="F8024" s="66" t="str">
        <f>IFERROR(__xludf.DUMMYFUNCTION("GOOGLETRANSLATE(A8024,""en"",""pt"")"),"#VALUE!")</f>
        <v>#VALUE!</v>
      </c>
      <c r="G8024" s="69"/>
    </row>
    <row r="8025" ht="22.5" customHeight="1">
      <c r="A8025" s="66"/>
      <c r="B8025" s="67" t="str">
        <f t="shared" si="16"/>
        <v>M: </v>
      </c>
      <c r="C8025" s="68"/>
      <c r="D8025" s="68">
        <v>46552.0</v>
      </c>
      <c r="E8025" s="66">
        <v>3.0</v>
      </c>
      <c r="F8025" s="66" t="str">
        <f>IFERROR(__xludf.DUMMYFUNCTION("GOOGLETRANSLATE(A8025,""en"",""pt"")"),"#VALUE!")</f>
        <v>#VALUE!</v>
      </c>
      <c r="G8025" s="69"/>
    </row>
    <row r="8026" ht="22.5" customHeight="1">
      <c r="A8026" s="66"/>
      <c r="B8026" s="67" t="str">
        <f t="shared" si="16"/>
        <v>M: </v>
      </c>
      <c r="C8026" s="68"/>
      <c r="D8026" s="68">
        <v>46552.0</v>
      </c>
      <c r="E8026" s="66">
        <v>4.0</v>
      </c>
      <c r="F8026" s="66" t="str">
        <f>IFERROR(__xludf.DUMMYFUNCTION("GOOGLETRANSLATE(A8026,""en"",""pt"")"),"#VALUE!")</f>
        <v>#VALUE!</v>
      </c>
      <c r="G8026" s="69"/>
    </row>
    <row r="8027" ht="22.5" customHeight="1">
      <c r="A8027" s="66"/>
      <c r="B8027" s="67" t="str">
        <f t="shared" si="16"/>
        <v>M: </v>
      </c>
      <c r="C8027" s="68"/>
      <c r="D8027" s="68">
        <v>46552.0</v>
      </c>
      <c r="E8027" s="66">
        <v>5.0</v>
      </c>
      <c r="F8027" s="66" t="str">
        <f>IFERROR(__xludf.DUMMYFUNCTION("GOOGLETRANSLATE(A8027,""en"",""pt"")"),"#VALUE!")</f>
        <v>#VALUE!</v>
      </c>
      <c r="G8027" s="69"/>
    </row>
    <row r="8028" ht="22.5" customHeight="1">
      <c r="A8028" s="66"/>
      <c r="B8028" s="67" t="str">
        <f t="shared" si="16"/>
        <v>M: </v>
      </c>
      <c r="C8028" s="68"/>
      <c r="D8028" s="68">
        <v>46552.0</v>
      </c>
      <c r="E8028" s="66">
        <v>6.0</v>
      </c>
      <c r="F8028" s="66" t="str">
        <f>IFERROR(__xludf.DUMMYFUNCTION("GOOGLETRANSLATE(A8028,""en"",""pt"")"),"#VALUE!")</f>
        <v>#VALUE!</v>
      </c>
      <c r="G8028" s="69"/>
    </row>
    <row r="8029" ht="22.5" customHeight="1">
      <c r="A8029" s="66"/>
      <c r="B8029" s="67" t="str">
        <f t="shared" si="16"/>
        <v>M: </v>
      </c>
      <c r="C8029" s="68"/>
      <c r="D8029" s="68">
        <v>46552.0</v>
      </c>
      <c r="E8029" s="66">
        <v>7.0</v>
      </c>
      <c r="F8029" s="66" t="str">
        <f>IFERROR(__xludf.DUMMYFUNCTION("GOOGLETRANSLATE(A8029,""en"",""pt"")"),"#VALUE!")</f>
        <v>#VALUE!</v>
      </c>
      <c r="G8029" s="69"/>
    </row>
    <row r="8030" ht="22.5" customHeight="1">
      <c r="A8030" s="66"/>
      <c r="B8030" s="67" t="str">
        <f t="shared" si="16"/>
        <v>M: </v>
      </c>
      <c r="C8030" s="68"/>
      <c r="D8030" s="68">
        <v>46552.0</v>
      </c>
      <c r="E8030" s="66">
        <v>8.0</v>
      </c>
      <c r="F8030" s="66" t="str">
        <f>IFERROR(__xludf.DUMMYFUNCTION("GOOGLETRANSLATE(A8030,""en"",""pt"")"),"#VALUE!")</f>
        <v>#VALUE!</v>
      </c>
      <c r="G8030" s="69"/>
    </row>
    <row r="8031" ht="22.5" customHeight="1">
      <c r="A8031" s="66"/>
      <c r="B8031" s="67" t="str">
        <f t="shared" si="16"/>
        <v>M: </v>
      </c>
      <c r="C8031" s="68"/>
      <c r="D8031" s="68">
        <v>46552.0</v>
      </c>
      <c r="E8031" s="66">
        <v>9.0</v>
      </c>
      <c r="F8031" s="66" t="str">
        <f>IFERROR(__xludf.DUMMYFUNCTION("GOOGLETRANSLATE(A8031,""en"",""pt"")"),"#VALUE!")</f>
        <v>#VALUE!</v>
      </c>
      <c r="G8031" s="69"/>
    </row>
    <row r="8032" ht="22.5" customHeight="1">
      <c r="A8032" s="66"/>
      <c r="B8032" s="67" t="str">
        <f t="shared" si="16"/>
        <v>M: </v>
      </c>
      <c r="C8032" s="68"/>
      <c r="D8032" s="68">
        <v>46553.0</v>
      </c>
      <c r="E8032" s="66">
        <v>10.0</v>
      </c>
      <c r="F8032" s="66" t="str">
        <f>IFERROR(__xludf.DUMMYFUNCTION("GOOGLETRANSLATE(A8032,""en"",""pt"")"),"#VALUE!")</f>
        <v>#VALUE!</v>
      </c>
      <c r="G8032" s="69"/>
    </row>
    <row r="8033" ht="22.5" customHeight="1">
      <c r="A8033" s="66"/>
      <c r="B8033" s="67" t="str">
        <f t="shared" si="16"/>
        <v>M: </v>
      </c>
      <c r="C8033" s="68"/>
      <c r="D8033" s="68">
        <v>46553.0</v>
      </c>
      <c r="E8033" s="66">
        <v>1.0</v>
      </c>
      <c r="F8033" s="66" t="str">
        <f>IFERROR(__xludf.DUMMYFUNCTION("GOOGLETRANSLATE(A8033,""en"",""pt"")"),"#VALUE!")</f>
        <v>#VALUE!</v>
      </c>
      <c r="G8033" s="69"/>
    </row>
    <row r="8034" ht="22.5" customHeight="1">
      <c r="A8034" s="66"/>
      <c r="B8034" s="67" t="str">
        <f t="shared" si="16"/>
        <v>M: </v>
      </c>
      <c r="C8034" s="68"/>
      <c r="D8034" s="68">
        <v>46553.0</v>
      </c>
      <c r="E8034" s="66">
        <v>2.0</v>
      </c>
      <c r="F8034" s="66" t="str">
        <f>IFERROR(__xludf.DUMMYFUNCTION("GOOGLETRANSLATE(A8034,""en"",""pt"")"),"#VALUE!")</f>
        <v>#VALUE!</v>
      </c>
      <c r="G8034" s="69"/>
    </row>
    <row r="8035" ht="22.5" customHeight="1">
      <c r="A8035" s="66"/>
      <c r="B8035" s="67" t="str">
        <f t="shared" si="16"/>
        <v>M: </v>
      </c>
      <c r="C8035" s="68"/>
      <c r="D8035" s="68">
        <v>46553.0</v>
      </c>
      <c r="E8035" s="66">
        <v>3.0</v>
      </c>
      <c r="F8035" s="66" t="str">
        <f>IFERROR(__xludf.DUMMYFUNCTION("GOOGLETRANSLATE(A8035,""en"",""pt"")"),"#VALUE!")</f>
        <v>#VALUE!</v>
      </c>
      <c r="G8035" s="69"/>
    </row>
    <row r="8036" ht="22.5" customHeight="1">
      <c r="A8036" s="66"/>
      <c r="B8036" s="67" t="str">
        <f t="shared" si="16"/>
        <v>M: </v>
      </c>
      <c r="C8036" s="68"/>
      <c r="D8036" s="68">
        <v>46553.0</v>
      </c>
      <c r="E8036" s="66">
        <v>4.0</v>
      </c>
      <c r="F8036" s="66" t="str">
        <f>IFERROR(__xludf.DUMMYFUNCTION("GOOGLETRANSLATE(A8036,""en"",""pt"")"),"#VALUE!")</f>
        <v>#VALUE!</v>
      </c>
      <c r="G8036" s="69"/>
    </row>
    <row r="8037" ht="22.5" customHeight="1">
      <c r="A8037" s="66"/>
      <c r="B8037" s="67" t="str">
        <f t="shared" si="16"/>
        <v>M: </v>
      </c>
      <c r="C8037" s="68"/>
      <c r="D8037" s="68">
        <v>46553.0</v>
      </c>
      <c r="E8037" s="66">
        <v>5.0</v>
      </c>
      <c r="F8037" s="66" t="str">
        <f>IFERROR(__xludf.DUMMYFUNCTION("GOOGLETRANSLATE(A8037,""en"",""pt"")"),"#VALUE!")</f>
        <v>#VALUE!</v>
      </c>
      <c r="G8037" s="69"/>
    </row>
    <row r="8038" ht="22.5" customHeight="1">
      <c r="A8038" s="66"/>
      <c r="B8038" s="67" t="str">
        <f t="shared" si="16"/>
        <v>M: </v>
      </c>
      <c r="C8038" s="68"/>
      <c r="D8038" s="68">
        <v>46553.0</v>
      </c>
      <c r="E8038" s="66">
        <v>6.0</v>
      </c>
      <c r="F8038" s="66" t="str">
        <f>IFERROR(__xludf.DUMMYFUNCTION("GOOGLETRANSLATE(A8038,""en"",""pt"")"),"#VALUE!")</f>
        <v>#VALUE!</v>
      </c>
      <c r="G8038" s="69"/>
    </row>
    <row r="8039" ht="22.5" customHeight="1">
      <c r="A8039" s="66"/>
      <c r="B8039" s="67" t="str">
        <f t="shared" si="16"/>
        <v>M: </v>
      </c>
      <c r="C8039" s="68"/>
      <c r="D8039" s="68">
        <v>46553.0</v>
      </c>
      <c r="E8039" s="66">
        <v>7.0</v>
      </c>
      <c r="F8039" s="66" t="str">
        <f>IFERROR(__xludf.DUMMYFUNCTION("GOOGLETRANSLATE(A8039,""en"",""pt"")"),"#VALUE!")</f>
        <v>#VALUE!</v>
      </c>
      <c r="G8039" s="69"/>
    </row>
    <row r="8040" ht="22.5" customHeight="1">
      <c r="A8040" s="66"/>
      <c r="B8040" s="67" t="str">
        <f t="shared" si="16"/>
        <v>M: </v>
      </c>
      <c r="C8040" s="68"/>
      <c r="D8040" s="68">
        <v>46553.0</v>
      </c>
      <c r="E8040" s="66">
        <v>8.0</v>
      </c>
      <c r="F8040" s="66" t="str">
        <f>IFERROR(__xludf.DUMMYFUNCTION("GOOGLETRANSLATE(A8040,""en"",""pt"")"),"#VALUE!")</f>
        <v>#VALUE!</v>
      </c>
      <c r="G8040" s="69"/>
    </row>
    <row r="8041" ht="22.5" customHeight="1">
      <c r="A8041" s="66"/>
      <c r="B8041" s="67" t="str">
        <f t="shared" si="16"/>
        <v>M: </v>
      </c>
      <c r="C8041" s="68"/>
      <c r="D8041" s="68">
        <v>46553.0</v>
      </c>
      <c r="E8041" s="66">
        <v>9.0</v>
      </c>
      <c r="F8041" s="66" t="str">
        <f>IFERROR(__xludf.DUMMYFUNCTION("GOOGLETRANSLATE(A8041,""en"",""pt"")"),"#VALUE!")</f>
        <v>#VALUE!</v>
      </c>
      <c r="G8041" s="69"/>
    </row>
    <row r="8042" ht="22.5" customHeight="1">
      <c r="A8042" s="66"/>
      <c r="B8042" s="67" t="str">
        <f t="shared" si="16"/>
        <v>M: </v>
      </c>
      <c r="C8042" s="68"/>
      <c r="D8042" s="68">
        <v>46554.0</v>
      </c>
      <c r="E8042" s="66">
        <v>10.0</v>
      </c>
      <c r="F8042" s="66" t="str">
        <f>IFERROR(__xludf.DUMMYFUNCTION("GOOGLETRANSLATE(A8042,""en"",""pt"")"),"#VALUE!")</f>
        <v>#VALUE!</v>
      </c>
      <c r="G8042" s="69"/>
    </row>
    <row r="8043" ht="22.5" customHeight="1">
      <c r="A8043" s="66"/>
      <c r="B8043" s="67" t="str">
        <f t="shared" si="16"/>
        <v>M: </v>
      </c>
      <c r="C8043" s="68"/>
      <c r="D8043" s="68">
        <v>46554.0</v>
      </c>
      <c r="E8043" s="66">
        <v>1.0</v>
      </c>
      <c r="F8043" s="66" t="str">
        <f>IFERROR(__xludf.DUMMYFUNCTION("GOOGLETRANSLATE(A8043,""en"",""pt"")"),"#VALUE!")</f>
        <v>#VALUE!</v>
      </c>
      <c r="G8043" s="69"/>
    </row>
    <row r="8044" ht="22.5" customHeight="1">
      <c r="A8044" s="66"/>
      <c r="B8044" s="67" t="str">
        <f t="shared" si="16"/>
        <v>M: </v>
      </c>
      <c r="C8044" s="68"/>
      <c r="D8044" s="68">
        <v>46554.0</v>
      </c>
      <c r="E8044" s="66">
        <v>2.0</v>
      </c>
      <c r="F8044" s="66" t="str">
        <f>IFERROR(__xludf.DUMMYFUNCTION("GOOGLETRANSLATE(A8044,""en"",""pt"")"),"#VALUE!")</f>
        <v>#VALUE!</v>
      </c>
      <c r="G8044" s="69"/>
    </row>
    <row r="8045" ht="22.5" customHeight="1">
      <c r="A8045" s="66"/>
      <c r="B8045" s="67" t="str">
        <f t="shared" si="16"/>
        <v>M: </v>
      </c>
      <c r="C8045" s="68"/>
      <c r="D8045" s="68">
        <v>46554.0</v>
      </c>
      <c r="E8045" s="66">
        <v>3.0</v>
      </c>
      <c r="F8045" s="66" t="str">
        <f>IFERROR(__xludf.DUMMYFUNCTION("GOOGLETRANSLATE(A8045,""en"",""pt"")"),"#VALUE!")</f>
        <v>#VALUE!</v>
      </c>
      <c r="G8045" s="69"/>
    </row>
    <row r="8046" ht="22.5" customHeight="1">
      <c r="A8046" s="66"/>
      <c r="B8046" s="67" t="str">
        <f t="shared" si="16"/>
        <v>M: </v>
      </c>
      <c r="C8046" s="68"/>
      <c r="D8046" s="68">
        <v>46554.0</v>
      </c>
      <c r="E8046" s="66">
        <v>4.0</v>
      </c>
      <c r="F8046" s="66" t="str">
        <f>IFERROR(__xludf.DUMMYFUNCTION("GOOGLETRANSLATE(A8046,""en"",""pt"")"),"#VALUE!")</f>
        <v>#VALUE!</v>
      </c>
      <c r="G8046" s="69"/>
    </row>
    <row r="8047" ht="22.5" customHeight="1">
      <c r="A8047" s="66"/>
      <c r="B8047" s="67" t="str">
        <f t="shared" si="16"/>
        <v>M: </v>
      </c>
      <c r="C8047" s="68"/>
      <c r="D8047" s="68">
        <v>46554.0</v>
      </c>
      <c r="E8047" s="66">
        <v>5.0</v>
      </c>
      <c r="F8047" s="66" t="str">
        <f>IFERROR(__xludf.DUMMYFUNCTION("GOOGLETRANSLATE(A8047,""en"",""pt"")"),"#VALUE!")</f>
        <v>#VALUE!</v>
      </c>
      <c r="G8047" s="69"/>
    </row>
    <row r="8048" ht="22.5" customHeight="1">
      <c r="A8048" s="66"/>
      <c r="B8048" s="67" t="str">
        <f t="shared" si="16"/>
        <v>M: </v>
      </c>
      <c r="C8048" s="68"/>
      <c r="D8048" s="68">
        <v>46554.0</v>
      </c>
      <c r="E8048" s="66">
        <v>6.0</v>
      </c>
      <c r="F8048" s="66" t="str">
        <f>IFERROR(__xludf.DUMMYFUNCTION("GOOGLETRANSLATE(A8048,""en"",""pt"")"),"#VALUE!")</f>
        <v>#VALUE!</v>
      </c>
      <c r="G8048" s="69"/>
    </row>
    <row r="8049" ht="22.5" customHeight="1">
      <c r="A8049" s="66"/>
      <c r="B8049" s="67" t="str">
        <f t="shared" si="16"/>
        <v>M: </v>
      </c>
      <c r="C8049" s="68"/>
      <c r="D8049" s="68">
        <v>46554.0</v>
      </c>
      <c r="E8049" s="66">
        <v>7.0</v>
      </c>
      <c r="F8049" s="66" t="str">
        <f>IFERROR(__xludf.DUMMYFUNCTION("GOOGLETRANSLATE(A8049,""en"",""pt"")"),"#VALUE!")</f>
        <v>#VALUE!</v>
      </c>
      <c r="G8049" s="69"/>
    </row>
    <row r="8050" ht="22.5" customHeight="1">
      <c r="A8050" s="66"/>
      <c r="B8050" s="67" t="str">
        <f t="shared" si="16"/>
        <v>M: </v>
      </c>
      <c r="C8050" s="68"/>
      <c r="D8050" s="68">
        <v>46554.0</v>
      </c>
      <c r="E8050" s="66">
        <v>8.0</v>
      </c>
      <c r="F8050" s="66" t="str">
        <f>IFERROR(__xludf.DUMMYFUNCTION("GOOGLETRANSLATE(A8050,""en"",""pt"")"),"#VALUE!")</f>
        <v>#VALUE!</v>
      </c>
      <c r="G8050" s="69"/>
    </row>
    <row r="8051" ht="22.5" customHeight="1">
      <c r="A8051" s="66"/>
      <c r="B8051" s="67" t="str">
        <f t="shared" si="16"/>
        <v>M: </v>
      </c>
      <c r="C8051" s="68"/>
      <c r="D8051" s="68">
        <v>46554.0</v>
      </c>
      <c r="E8051" s="66">
        <v>9.0</v>
      </c>
      <c r="F8051" s="66" t="str">
        <f>IFERROR(__xludf.DUMMYFUNCTION("GOOGLETRANSLATE(A8051,""en"",""pt"")"),"#VALUE!")</f>
        <v>#VALUE!</v>
      </c>
      <c r="G8051" s="69"/>
    </row>
    <row r="8052" ht="22.5" customHeight="1">
      <c r="A8052" s="66"/>
      <c r="B8052" s="67" t="str">
        <f t="shared" si="16"/>
        <v>M: </v>
      </c>
      <c r="C8052" s="68"/>
      <c r="D8052" s="68">
        <v>46555.0</v>
      </c>
      <c r="E8052" s="66">
        <v>10.0</v>
      </c>
      <c r="F8052" s="66" t="str">
        <f>IFERROR(__xludf.DUMMYFUNCTION("GOOGLETRANSLATE(A8052,""en"",""pt"")"),"#VALUE!")</f>
        <v>#VALUE!</v>
      </c>
      <c r="G8052" s="69"/>
    </row>
    <row r="8053" ht="22.5" customHeight="1">
      <c r="A8053" s="66"/>
      <c r="B8053" s="67" t="str">
        <f t="shared" si="16"/>
        <v>M: </v>
      </c>
      <c r="C8053" s="68"/>
      <c r="D8053" s="68">
        <v>46555.0</v>
      </c>
      <c r="E8053" s="66">
        <v>1.0</v>
      </c>
      <c r="F8053" s="66" t="str">
        <f>IFERROR(__xludf.DUMMYFUNCTION("GOOGLETRANSLATE(A8053,""en"",""pt"")"),"#VALUE!")</f>
        <v>#VALUE!</v>
      </c>
      <c r="G8053" s="69"/>
    </row>
    <row r="8054" ht="22.5" customHeight="1">
      <c r="A8054" s="66"/>
      <c r="B8054" s="67" t="str">
        <f t="shared" si="16"/>
        <v>M: </v>
      </c>
      <c r="C8054" s="68"/>
      <c r="D8054" s="68">
        <v>46555.0</v>
      </c>
      <c r="E8054" s="66">
        <v>2.0</v>
      </c>
      <c r="F8054" s="66" t="str">
        <f>IFERROR(__xludf.DUMMYFUNCTION("GOOGLETRANSLATE(A8054,""en"",""pt"")"),"#VALUE!")</f>
        <v>#VALUE!</v>
      </c>
      <c r="G8054" s="69"/>
    </row>
    <row r="8055" ht="22.5" customHeight="1">
      <c r="A8055" s="66"/>
      <c r="B8055" s="67" t="str">
        <f t="shared" si="16"/>
        <v>M: </v>
      </c>
      <c r="C8055" s="68"/>
      <c r="D8055" s="68">
        <v>46555.0</v>
      </c>
      <c r="E8055" s="66">
        <v>3.0</v>
      </c>
      <c r="F8055" s="66" t="str">
        <f>IFERROR(__xludf.DUMMYFUNCTION("GOOGLETRANSLATE(A8055,""en"",""pt"")"),"#VALUE!")</f>
        <v>#VALUE!</v>
      </c>
      <c r="G8055" s="69"/>
    </row>
    <row r="8056" ht="22.5" customHeight="1">
      <c r="A8056" s="66"/>
      <c r="B8056" s="67" t="str">
        <f t="shared" si="16"/>
        <v>M: </v>
      </c>
      <c r="C8056" s="68"/>
      <c r="D8056" s="68">
        <v>46555.0</v>
      </c>
      <c r="E8056" s="66">
        <v>4.0</v>
      </c>
      <c r="F8056" s="66" t="str">
        <f>IFERROR(__xludf.DUMMYFUNCTION("GOOGLETRANSLATE(A8056,""en"",""pt"")"),"#VALUE!")</f>
        <v>#VALUE!</v>
      </c>
      <c r="G8056" s="69"/>
    </row>
    <row r="8057" ht="22.5" customHeight="1">
      <c r="A8057" s="66"/>
      <c r="B8057" s="67" t="str">
        <f t="shared" si="16"/>
        <v>M: </v>
      </c>
      <c r="C8057" s="68"/>
      <c r="D8057" s="68">
        <v>46555.0</v>
      </c>
      <c r="E8057" s="66">
        <v>5.0</v>
      </c>
      <c r="F8057" s="66" t="str">
        <f>IFERROR(__xludf.DUMMYFUNCTION("GOOGLETRANSLATE(A8057,""en"",""pt"")"),"#VALUE!")</f>
        <v>#VALUE!</v>
      </c>
      <c r="G8057" s="69"/>
    </row>
    <row r="8058" ht="22.5" customHeight="1">
      <c r="A8058" s="66"/>
      <c r="B8058" s="67" t="str">
        <f t="shared" si="16"/>
        <v>M: </v>
      </c>
      <c r="C8058" s="68"/>
      <c r="D8058" s="68">
        <v>46555.0</v>
      </c>
      <c r="E8058" s="66">
        <v>6.0</v>
      </c>
      <c r="F8058" s="66" t="str">
        <f>IFERROR(__xludf.DUMMYFUNCTION("GOOGLETRANSLATE(A8058,""en"",""pt"")"),"#VALUE!")</f>
        <v>#VALUE!</v>
      </c>
      <c r="G8058" s="69"/>
    </row>
    <row r="8059" ht="22.5" customHeight="1">
      <c r="A8059" s="66"/>
      <c r="B8059" s="67" t="str">
        <f t="shared" si="16"/>
        <v>M: </v>
      </c>
      <c r="C8059" s="68"/>
      <c r="D8059" s="68">
        <v>46555.0</v>
      </c>
      <c r="E8059" s="66">
        <v>7.0</v>
      </c>
      <c r="F8059" s="66" t="str">
        <f>IFERROR(__xludf.DUMMYFUNCTION("GOOGLETRANSLATE(A8059,""en"",""pt"")"),"#VALUE!")</f>
        <v>#VALUE!</v>
      </c>
      <c r="G8059" s="69"/>
    </row>
    <row r="8060" ht="22.5" customHeight="1">
      <c r="A8060" s="66"/>
      <c r="B8060" s="67" t="str">
        <f t="shared" si="16"/>
        <v>M: </v>
      </c>
      <c r="C8060" s="68"/>
      <c r="D8060" s="68">
        <v>46555.0</v>
      </c>
      <c r="E8060" s="66">
        <v>8.0</v>
      </c>
      <c r="F8060" s="66" t="str">
        <f>IFERROR(__xludf.DUMMYFUNCTION("GOOGLETRANSLATE(A8060,""en"",""pt"")"),"#VALUE!")</f>
        <v>#VALUE!</v>
      </c>
      <c r="G8060" s="69"/>
    </row>
    <row r="8061" ht="22.5" customHeight="1">
      <c r="A8061" s="66"/>
      <c r="B8061" s="67" t="str">
        <f t="shared" si="16"/>
        <v>M: </v>
      </c>
      <c r="C8061" s="68"/>
      <c r="D8061" s="68">
        <v>46555.0</v>
      </c>
      <c r="E8061" s="66">
        <v>9.0</v>
      </c>
      <c r="F8061" s="66" t="str">
        <f>IFERROR(__xludf.DUMMYFUNCTION("GOOGLETRANSLATE(A8061,""en"",""pt"")"),"#VALUE!")</f>
        <v>#VALUE!</v>
      </c>
      <c r="G8061" s="69"/>
    </row>
    <row r="8062" ht="22.5" customHeight="1">
      <c r="A8062" s="66"/>
      <c r="B8062" s="67" t="str">
        <f t="shared" si="16"/>
        <v>M: </v>
      </c>
      <c r="C8062" s="68"/>
      <c r="D8062" s="68">
        <v>46556.0</v>
      </c>
      <c r="E8062" s="66">
        <v>10.0</v>
      </c>
      <c r="F8062" s="66" t="str">
        <f>IFERROR(__xludf.DUMMYFUNCTION("GOOGLETRANSLATE(A8062,""en"",""pt"")"),"#VALUE!")</f>
        <v>#VALUE!</v>
      </c>
      <c r="G8062" s="69"/>
    </row>
    <row r="8063" ht="22.5" customHeight="1">
      <c r="A8063" s="66"/>
      <c r="B8063" s="67" t="str">
        <f t="shared" si="16"/>
        <v>M: </v>
      </c>
      <c r="C8063" s="68"/>
      <c r="D8063" s="68">
        <v>46556.0</v>
      </c>
      <c r="E8063" s="66">
        <v>1.0</v>
      </c>
      <c r="F8063" s="66" t="str">
        <f>IFERROR(__xludf.DUMMYFUNCTION("GOOGLETRANSLATE(A8063,""en"",""pt"")"),"#VALUE!")</f>
        <v>#VALUE!</v>
      </c>
      <c r="G8063" s="69"/>
    </row>
    <row r="8064" ht="22.5" customHeight="1">
      <c r="A8064" s="66"/>
      <c r="B8064" s="67" t="str">
        <f t="shared" si="16"/>
        <v>M: </v>
      </c>
      <c r="C8064" s="68"/>
      <c r="D8064" s="68">
        <v>46556.0</v>
      </c>
      <c r="E8064" s="66">
        <v>2.0</v>
      </c>
      <c r="F8064" s="66" t="str">
        <f>IFERROR(__xludf.DUMMYFUNCTION("GOOGLETRANSLATE(A8064,""en"",""pt"")"),"#VALUE!")</f>
        <v>#VALUE!</v>
      </c>
      <c r="G8064" s="69"/>
    </row>
    <row r="8065" ht="22.5" customHeight="1">
      <c r="A8065" s="66"/>
      <c r="B8065" s="67" t="str">
        <f t="shared" si="16"/>
        <v>M: </v>
      </c>
      <c r="C8065" s="68"/>
      <c r="D8065" s="68">
        <v>46556.0</v>
      </c>
      <c r="E8065" s="66">
        <v>3.0</v>
      </c>
      <c r="F8065" s="66" t="str">
        <f>IFERROR(__xludf.DUMMYFUNCTION("GOOGLETRANSLATE(A8065,""en"",""pt"")"),"#VALUE!")</f>
        <v>#VALUE!</v>
      </c>
      <c r="G8065" s="69"/>
    </row>
    <row r="8066" ht="22.5" customHeight="1">
      <c r="A8066" s="66"/>
      <c r="B8066" s="67" t="str">
        <f t="shared" si="16"/>
        <v>M: </v>
      </c>
      <c r="C8066" s="68"/>
      <c r="D8066" s="68">
        <v>46556.0</v>
      </c>
      <c r="E8066" s="66">
        <v>4.0</v>
      </c>
      <c r="F8066" s="66" t="str">
        <f>IFERROR(__xludf.DUMMYFUNCTION("GOOGLETRANSLATE(A8066,""en"",""pt"")"),"#VALUE!")</f>
        <v>#VALUE!</v>
      </c>
      <c r="G8066" s="69"/>
    </row>
    <row r="8067" ht="22.5" customHeight="1">
      <c r="A8067" s="66"/>
      <c r="B8067" s="67" t="str">
        <f t="shared" si="16"/>
        <v>M: </v>
      </c>
      <c r="C8067" s="68"/>
      <c r="D8067" s="68">
        <v>46556.0</v>
      </c>
      <c r="E8067" s="66">
        <v>5.0</v>
      </c>
      <c r="F8067" s="66" t="str">
        <f>IFERROR(__xludf.DUMMYFUNCTION("GOOGLETRANSLATE(A8067,""en"",""pt"")"),"#VALUE!")</f>
        <v>#VALUE!</v>
      </c>
      <c r="G8067" s="69"/>
    </row>
    <row r="8068" ht="22.5" customHeight="1">
      <c r="A8068" s="66"/>
      <c r="B8068" s="67" t="str">
        <f t="shared" si="16"/>
        <v>M: </v>
      </c>
      <c r="C8068" s="68"/>
      <c r="D8068" s="68">
        <v>46556.0</v>
      </c>
      <c r="E8068" s="66">
        <v>6.0</v>
      </c>
      <c r="F8068" s="66" t="str">
        <f>IFERROR(__xludf.DUMMYFUNCTION("GOOGLETRANSLATE(A8068,""en"",""pt"")"),"#VALUE!")</f>
        <v>#VALUE!</v>
      </c>
      <c r="G8068" s="69"/>
    </row>
    <row r="8069" ht="22.5" customHeight="1">
      <c r="A8069" s="66"/>
      <c r="B8069" s="67" t="str">
        <f t="shared" si="16"/>
        <v>M: </v>
      </c>
      <c r="C8069" s="68"/>
      <c r="D8069" s="68">
        <v>46556.0</v>
      </c>
      <c r="E8069" s="66">
        <v>7.0</v>
      </c>
      <c r="F8069" s="66" t="str">
        <f>IFERROR(__xludf.DUMMYFUNCTION("GOOGLETRANSLATE(A8069,""en"",""pt"")"),"#VALUE!")</f>
        <v>#VALUE!</v>
      </c>
      <c r="G8069" s="69"/>
    </row>
    <row r="8070" ht="22.5" customHeight="1">
      <c r="A8070" s="66"/>
      <c r="B8070" s="67" t="str">
        <f t="shared" si="16"/>
        <v>M: </v>
      </c>
      <c r="C8070" s="68"/>
      <c r="D8070" s="68">
        <v>46556.0</v>
      </c>
      <c r="E8070" s="66">
        <v>8.0</v>
      </c>
      <c r="F8070" s="66" t="str">
        <f>IFERROR(__xludf.DUMMYFUNCTION("GOOGLETRANSLATE(A8070,""en"",""pt"")"),"#VALUE!")</f>
        <v>#VALUE!</v>
      </c>
      <c r="G8070" s="69"/>
    </row>
    <row r="8071" ht="22.5" customHeight="1">
      <c r="A8071" s="66"/>
      <c r="B8071" s="67" t="str">
        <f t="shared" si="16"/>
        <v>M: </v>
      </c>
      <c r="C8071" s="68"/>
      <c r="D8071" s="68">
        <v>46556.0</v>
      </c>
      <c r="E8071" s="66">
        <v>9.0</v>
      </c>
      <c r="F8071" s="66" t="str">
        <f>IFERROR(__xludf.DUMMYFUNCTION("GOOGLETRANSLATE(A8071,""en"",""pt"")"),"#VALUE!")</f>
        <v>#VALUE!</v>
      </c>
      <c r="G8071" s="69"/>
    </row>
    <row r="8072" ht="22.5" customHeight="1">
      <c r="A8072" s="66"/>
      <c r="B8072" s="67" t="str">
        <f t="shared" si="16"/>
        <v>M: </v>
      </c>
      <c r="C8072" s="68"/>
      <c r="D8072" s="68">
        <v>46557.0</v>
      </c>
      <c r="E8072" s="66">
        <v>10.0</v>
      </c>
      <c r="F8072" s="66" t="str">
        <f>IFERROR(__xludf.DUMMYFUNCTION("GOOGLETRANSLATE(A8072,""en"",""pt"")"),"#VALUE!")</f>
        <v>#VALUE!</v>
      </c>
      <c r="G8072" s="69"/>
    </row>
    <row r="8073" ht="22.5" customHeight="1">
      <c r="A8073" s="66"/>
      <c r="B8073" s="67" t="str">
        <f t="shared" si="16"/>
        <v>M: </v>
      </c>
      <c r="C8073" s="68"/>
      <c r="D8073" s="68">
        <v>46557.0</v>
      </c>
      <c r="E8073" s="66">
        <v>1.0</v>
      </c>
      <c r="F8073" s="66" t="str">
        <f>IFERROR(__xludf.DUMMYFUNCTION("GOOGLETRANSLATE(A8073,""en"",""pt"")"),"#VALUE!")</f>
        <v>#VALUE!</v>
      </c>
      <c r="G8073" s="69"/>
    </row>
    <row r="8074" ht="22.5" customHeight="1">
      <c r="A8074" s="66"/>
      <c r="B8074" s="67" t="str">
        <f t="shared" si="16"/>
        <v>M: </v>
      </c>
      <c r="C8074" s="68"/>
      <c r="D8074" s="68">
        <v>46557.0</v>
      </c>
      <c r="E8074" s="66">
        <v>2.0</v>
      </c>
      <c r="F8074" s="66" t="str">
        <f>IFERROR(__xludf.DUMMYFUNCTION("GOOGLETRANSLATE(A8074,""en"",""pt"")"),"#VALUE!")</f>
        <v>#VALUE!</v>
      </c>
      <c r="G8074" s="69"/>
    </row>
    <row r="8075" ht="22.5" customHeight="1">
      <c r="A8075" s="66"/>
      <c r="B8075" s="67" t="str">
        <f t="shared" si="16"/>
        <v>M: </v>
      </c>
      <c r="C8075" s="68"/>
      <c r="D8075" s="68">
        <v>46557.0</v>
      </c>
      <c r="E8075" s="66">
        <v>3.0</v>
      </c>
      <c r="F8075" s="66" t="str">
        <f>IFERROR(__xludf.DUMMYFUNCTION("GOOGLETRANSLATE(A8075,""en"",""pt"")"),"#VALUE!")</f>
        <v>#VALUE!</v>
      </c>
      <c r="G8075" s="69"/>
    </row>
    <row r="8076" ht="22.5" customHeight="1">
      <c r="A8076" s="66"/>
      <c r="B8076" s="67" t="str">
        <f t="shared" si="16"/>
        <v>M: </v>
      </c>
      <c r="C8076" s="68"/>
      <c r="D8076" s="68">
        <v>46557.0</v>
      </c>
      <c r="E8076" s="66">
        <v>4.0</v>
      </c>
      <c r="F8076" s="66" t="str">
        <f>IFERROR(__xludf.DUMMYFUNCTION("GOOGLETRANSLATE(A8076,""en"",""pt"")"),"#VALUE!")</f>
        <v>#VALUE!</v>
      </c>
      <c r="G8076" s="69"/>
    </row>
    <row r="8077" ht="22.5" customHeight="1">
      <c r="A8077" s="66"/>
      <c r="B8077" s="67" t="str">
        <f t="shared" si="16"/>
        <v>M: </v>
      </c>
      <c r="C8077" s="68"/>
      <c r="D8077" s="68">
        <v>46557.0</v>
      </c>
      <c r="E8077" s="66">
        <v>5.0</v>
      </c>
      <c r="F8077" s="66" t="str">
        <f>IFERROR(__xludf.DUMMYFUNCTION("GOOGLETRANSLATE(A8077,""en"",""pt"")"),"#VALUE!")</f>
        <v>#VALUE!</v>
      </c>
      <c r="G8077" s="69"/>
    </row>
    <row r="8078" ht="22.5" customHeight="1">
      <c r="A8078" s="66"/>
      <c r="B8078" s="67" t="str">
        <f t="shared" si="16"/>
        <v>M: </v>
      </c>
      <c r="C8078" s="68"/>
      <c r="D8078" s="68">
        <v>46557.0</v>
      </c>
      <c r="E8078" s="66">
        <v>6.0</v>
      </c>
      <c r="F8078" s="66" t="str">
        <f>IFERROR(__xludf.DUMMYFUNCTION("GOOGLETRANSLATE(A8078,""en"",""pt"")"),"#VALUE!")</f>
        <v>#VALUE!</v>
      </c>
      <c r="G8078" s="69"/>
    </row>
    <row r="8079" ht="22.5" customHeight="1">
      <c r="A8079" s="66"/>
      <c r="B8079" s="67" t="str">
        <f t="shared" si="16"/>
        <v>M: </v>
      </c>
      <c r="C8079" s="68"/>
      <c r="D8079" s="68">
        <v>46557.0</v>
      </c>
      <c r="E8079" s="66">
        <v>7.0</v>
      </c>
      <c r="F8079" s="66" t="str">
        <f>IFERROR(__xludf.DUMMYFUNCTION("GOOGLETRANSLATE(A8079,""en"",""pt"")"),"#VALUE!")</f>
        <v>#VALUE!</v>
      </c>
      <c r="G8079" s="69"/>
    </row>
    <row r="8080" ht="22.5" customHeight="1">
      <c r="A8080" s="66"/>
      <c r="B8080" s="67" t="str">
        <f t="shared" si="16"/>
        <v>M: </v>
      </c>
      <c r="C8080" s="68"/>
      <c r="D8080" s="68">
        <v>46557.0</v>
      </c>
      <c r="E8080" s="66">
        <v>8.0</v>
      </c>
      <c r="F8080" s="66" t="str">
        <f>IFERROR(__xludf.DUMMYFUNCTION("GOOGLETRANSLATE(A8080,""en"",""pt"")"),"#VALUE!")</f>
        <v>#VALUE!</v>
      </c>
      <c r="G8080" s="69"/>
    </row>
    <row r="8081" ht="22.5" customHeight="1">
      <c r="A8081" s="66"/>
      <c r="B8081" s="67" t="str">
        <f t="shared" si="16"/>
        <v>M: </v>
      </c>
      <c r="C8081" s="68"/>
      <c r="D8081" s="68">
        <v>46557.0</v>
      </c>
      <c r="E8081" s="66">
        <v>9.0</v>
      </c>
      <c r="F8081" s="66" t="str">
        <f>IFERROR(__xludf.DUMMYFUNCTION("GOOGLETRANSLATE(A8081,""en"",""pt"")"),"#VALUE!")</f>
        <v>#VALUE!</v>
      </c>
      <c r="G8081" s="69"/>
    </row>
    <row r="8082" ht="22.5" customHeight="1">
      <c r="A8082" s="66"/>
      <c r="B8082" s="67" t="str">
        <f t="shared" si="16"/>
        <v>M: </v>
      </c>
      <c r="C8082" s="68"/>
      <c r="D8082" s="68">
        <v>46558.0</v>
      </c>
      <c r="E8082" s="66">
        <v>10.0</v>
      </c>
      <c r="F8082" s="66" t="str">
        <f>IFERROR(__xludf.DUMMYFUNCTION("GOOGLETRANSLATE(A8082,""en"",""pt"")"),"#VALUE!")</f>
        <v>#VALUE!</v>
      </c>
      <c r="G8082" s="69"/>
    </row>
    <row r="8083" ht="22.5" customHeight="1">
      <c r="A8083" s="66"/>
      <c r="B8083" s="67" t="str">
        <f t="shared" si="16"/>
        <v>M: </v>
      </c>
      <c r="C8083" s="68"/>
      <c r="D8083" s="68">
        <v>46558.0</v>
      </c>
      <c r="E8083" s="66">
        <v>1.0</v>
      </c>
      <c r="F8083" s="66" t="str">
        <f>IFERROR(__xludf.DUMMYFUNCTION("GOOGLETRANSLATE(A8083,""en"",""pt"")"),"#VALUE!")</f>
        <v>#VALUE!</v>
      </c>
      <c r="G8083" s="69"/>
    </row>
    <row r="8084" ht="22.5" customHeight="1">
      <c r="A8084" s="66"/>
      <c r="B8084" s="67" t="str">
        <f t="shared" si="16"/>
        <v>M: </v>
      </c>
      <c r="C8084" s="68"/>
      <c r="D8084" s="68">
        <v>46558.0</v>
      </c>
      <c r="E8084" s="66">
        <v>2.0</v>
      </c>
      <c r="F8084" s="66" t="str">
        <f>IFERROR(__xludf.DUMMYFUNCTION("GOOGLETRANSLATE(A8084,""en"",""pt"")"),"#VALUE!")</f>
        <v>#VALUE!</v>
      </c>
      <c r="G8084" s="69"/>
    </row>
    <row r="8085" ht="22.5" customHeight="1">
      <c r="A8085" s="66"/>
      <c r="B8085" s="67" t="str">
        <f t="shared" si="16"/>
        <v>M: </v>
      </c>
      <c r="C8085" s="68"/>
      <c r="D8085" s="68">
        <v>46558.0</v>
      </c>
      <c r="E8085" s="66">
        <v>3.0</v>
      </c>
      <c r="F8085" s="66" t="str">
        <f>IFERROR(__xludf.DUMMYFUNCTION("GOOGLETRANSLATE(A8085,""en"",""pt"")"),"#VALUE!")</f>
        <v>#VALUE!</v>
      </c>
      <c r="G8085" s="69"/>
    </row>
    <row r="8086" ht="22.5" customHeight="1">
      <c r="A8086" s="66"/>
      <c r="B8086" s="67" t="str">
        <f t="shared" si="16"/>
        <v>M: </v>
      </c>
      <c r="C8086" s="68"/>
      <c r="D8086" s="68">
        <v>46558.0</v>
      </c>
      <c r="E8086" s="66">
        <v>4.0</v>
      </c>
      <c r="F8086" s="66" t="str">
        <f>IFERROR(__xludf.DUMMYFUNCTION("GOOGLETRANSLATE(A8086,""en"",""pt"")"),"#VALUE!")</f>
        <v>#VALUE!</v>
      </c>
      <c r="G8086" s="69"/>
    </row>
    <row r="8087" ht="22.5" customHeight="1">
      <c r="A8087" s="66"/>
      <c r="B8087" s="67" t="str">
        <f t="shared" si="16"/>
        <v>M: </v>
      </c>
      <c r="C8087" s="68"/>
      <c r="D8087" s="68">
        <v>46558.0</v>
      </c>
      <c r="E8087" s="66">
        <v>5.0</v>
      </c>
      <c r="F8087" s="66" t="str">
        <f>IFERROR(__xludf.DUMMYFUNCTION("GOOGLETRANSLATE(A8087,""en"",""pt"")"),"#VALUE!")</f>
        <v>#VALUE!</v>
      </c>
      <c r="G8087" s="69"/>
    </row>
    <row r="8088" ht="22.5" customHeight="1">
      <c r="A8088" s="66"/>
      <c r="B8088" s="67" t="str">
        <f t="shared" si="16"/>
        <v>M: </v>
      </c>
      <c r="C8088" s="68"/>
      <c r="D8088" s="68">
        <v>46558.0</v>
      </c>
      <c r="E8088" s="66">
        <v>6.0</v>
      </c>
      <c r="F8088" s="66" t="str">
        <f>IFERROR(__xludf.DUMMYFUNCTION("GOOGLETRANSLATE(A8088,""en"",""pt"")"),"#VALUE!")</f>
        <v>#VALUE!</v>
      </c>
      <c r="G8088" s="69"/>
    </row>
    <row r="8089" ht="22.5" customHeight="1">
      <c r="A8089" s="66"/>
      <c r="B8089" s="67" t="str">
        <f t="shared" si="16"/>
        <v>M: </v>
      </c>
      <c r="C8089" s="68"/>
      <c r="D8089" s="68">
        <v>46558.0</v>
      </c>
      <c r="E8089" s="66">
        <v>7.0</v>
      </c>
      <c r="F8089" s="66" t="str">
        <f>IFERROR(__xludf.DUMMYFUNCTION("GOOGLETRANSLATE(A8089,""en"",""pt"")"),"#VALUE!")</f>
        <v>#VALUE!</v>
      </c>
      <c r="G8089" s="69"/>
    </row>
    <row r="8090" ht="22.5" customHeight="1">
      <c r="A8090" s="66"/>
      <c r="B8090" s="67" t="str">
        <f t="shared" si="16"/>
        <v>M: </v>
      </c>
      <c r="C8090" s="68"/>
      <c r="D8090" s="68">
        <v>46558.0</v>
      </c>
      <c r="E8090" s="66">
        <v>8.0</v>
      </c>
      <c r="F8090" s="66" t="str">
        <f>IFERROR(__xludf.DUMMYFUNCTION("GOOGLETRANSLATE(A8090,""en"",""pt"")"),"#VALUE!")</f>
        <v>#VALUE!</v>
      </c>
      <c r="G8090" s="69"/>
    </row>
    <row r="8091" ht="22.5" customHeight="1">
      <c r="A8091" s="66"/>
      <c r="B8091" s="67" t="str">
        <f t="shared" si="16"/>
        <v>M: </v>
      </c>
      <c r="C8091" s="68"/>
      <c r="D8091" s="68">
        <v>46558.0</v>
      </c>
      <c r="E8091" s="66">
        <v>9.0</v>
      </c>
      <c r="F8091" s="66" t="str">
        <f>IFERROR(__xludf.DUMMYFUNCTION("GOOGLETRANSLATE(A8091,""en"",""pt"")"),"#VALUE!")</f>
        <v>#VALUE!</v>
      </c>
      <c r="G8091" s="69"/>
    </row>
    <row r="8092" ht="22.5" customHeight="1">
      <c r="A8092" s="66"/>
      <c r="B8092" s="67" t="str">
        <f t="shared" si="16"/>
        <v>M: </v>
      </c>
      <c r="C8092" s="68"/>
      <c r="D8092" s="68">
        <v>46559.0</v>
      </c>
      <c r="E8092" s="66">
        <v>10.0</v>
      </c>
      <c r="F8092" s="66" t="str">
        <f>IFERROR(__xludf.DUMMYFUNCTION("GOOGLETRANSLATE(A8092,""en"",""pt"")"),"#VALUE!")</f>
        <v>#VALUE!</v>
      </c>
      <c r="G8092" s="69"/>
    </row>
    <row r="8093" ht="22.5" customHeight="1">
      <c r="A8093" s="66"/>
      <c r="B8093" s="67" t="str">
        <f t="shared" si="16"/>
        <v>M: </v>
      </c>
      <c r="C8093" s="68"/>
      <c r="D8093" s="68">
        <v>46559.0</v>
      </c>
      <c r="E8093" s="66">
        <v>1.0</v>
      </c>
      <c r="F8093" s="66" t="str">
        <f>IFERROR(__xludf.DUMMYFUNCTION("GOOGLETRANSLATE(A8093,""en"",""pt"")"),"#VALUE!")</f>
        <v>#VALUE!</v>
      </c>
      <c r="G8093" s="69"/>
    </row>
    <row r="8094" ht="22.5" customHeight="1">
      <c r="A8094" s="66"/>
      <c r="B8094" s="67" t="str">
        <f t="shared" si="16"/>
        <v>M: </v>
      </c>
      <c r="C8094" s="68"/>
      <c r="D8094" s="68">
        <v>46559.0</v>
      </c>
      <c r="E8094" s="66">
        <v>2.0</v>
      </c>
      <c r="F8094" s="66" t="str">
        <f>IFERROR(__xludf.DUMMYFUNCTION("GOOGLETRANSLATE(A8094,""en"",""pt"")"),"#VALUE!")</f>
        <v>#VALUE!</v>
      </c>
      <c r="G8094" s="69"/>
    </row>
    <row r="8095" ht="22.5" customHeight="1">
      <c r="A8095" s="66"/>
      <c r="B8095" s="67" t="str">
        <f t="shared" si="16"/>
        <v>M: </v>
      </c>
      <c r="C8095" s="68"/>
      <c r="D8095" s="68">
        <v>46559.0</v>
      </c>
      <c r="E8095" s="66">
        <v>3.0</v>
      </c>
      <c r="F8095" s="66" t="str">
        <f>IFERROR(__xludf.DUMMYFUNCTION("GOOGLETRANSLATE(A8095,""en"",""pt"")"),"#VALUE!")</f>
        <v>#VALUE!</v>
      </c>
      <c r="G8095" s="69"/>
    </row>
    <row r="8096" ht="22.5" customHeight="1">
      <c r="A8096" s="66"/>
      <c r="B8096" s="67" t="str">
        <f t="shared" si="16"/>
        <v>M: </v>
      </c>
      <c r="C8096" s="68"/>
      <c r="D8096" s="68">
        <v>46559.0</v>
      </c>
      <c r="E8096" s="66">
        <v>4.0</v>
      </c>
      <c r="F8096" s="66" t="str">
        <f>IFERROR(__xludf.DUMMYFUNCTION("GOOGLETRANSLATE(A8096,""en"",""pt"")"),"#VALUE!")</f>
        <v>#VALUE!</v>
      </c>
      <c r="G8096" s="69"/>
    </row>
    <row r="8097" ht="22.5" customHeight="1">
      <c r="A8097" s="66"/>
      <c r="B8097" s="67" t="str">
        <f t="shared" si="16"/>
        <v>M: </v>
      </c>
      <c r="C8097" s="68"/>
      <c r="D8097" s="68">
        <v>46559.0</v>
      </c>
      <c r="E8097" s="66">
        <v>5.0</v>
      </c>
      <c r="F8097" s="66" t="str">
        <f>IFERROR(__xludf.DUMMYFUNCTION("GOOGLETRANSLATE(A8097,""en"",""pt"")"),"#VALUE!")</f>
        <v>#VALUE!</v>
      </c>
      <c r="G8097" s="69"/>
    </row>
    <row r="8098" ht="22.5" customHeight="1">
      <c r="A8098" s="66"/>
      <c r="B8098" s="67" t="str">
        <f t="shared" si="16"/>
        <v>M: </v>
      </c>
      <c r="C8098" s="68"/>
      <c r="D8098" s="68">
        <v>46559.0</v>
      </c>
      <c r="E8098" s="66">
        <v>6.0</v>
      </c>
      <c r="F8098" s="66" t="str">
        <f>IFERROR(__xludf.DUMMYFUNCTION("GOOGLETRANSLATE(A8098,""en"",""pt"")"),"#VALUE!")</f>
        <v>#VALUE!</v>
      </c>
      <c r="G8098" s="69"/>
    </row>
    <row r="8099" ht="22.5" customHeight="1">
      <c r="A8099" s="66"/>
      <c r="B8099" s="67" t="str">
        <f t="shared" si="16"/>
        <v>M: </v>
      </c>
      <c r="C8099" s="68"/>
      <c r="D8099" s="68">
        <v>46559.0</v>
      </c>
      <c r="E8099" s="66">
        <v>7.0</v>
      </c>
      <c r="F8099" s="66" t="str">
        <f>IFERROR(__xludf.DUMMYFUNCTION("GOOGLETRANSLATE(A8099,""en"",""pt"")"),"#VALUE!")</f>
        <v>#VALUE!</v>
      </c>
      <c r="G8099" s="69"/>
    </row>
    <row r="8100" ht="22.5" customHeight="1">
      <c r="A8100" s="66"/>
      <c r="B8100" s="67" t="str">
        <f t="shared" si="16"/>
        <v>M: </v>
      </c>
      <c r="C8100" s="68"/>
      <c r="D8100" s="68">
        <v>46559.0</v>
      </c>
      <c r="E8100" s="66">
        <v>8.0</v>
      </c>
      <c r="F8100" s="66" t="str">
        <f>IFERROR(__xludf.DUMMYFUNCTION("GOOGLETRANSLATE(A8100,""en"",""pt"")"),"#VALUE!")</f>
        <v>#VALUE!</v>
      </c>
      <c r="G8100" s="69"/>
    </row>
    <row r="8101" ht="22.5" customHeight="1">
      <c r="A8101" s="66"/>
      <c r="B8101" s="67" t="str">
        <f t="shared" si="16"/>
        <v>M: </v>
      </c>
      <c r="C8101" s="68"/>
      <c r="D8101" s="68">
        <v>46559.0</v>
      </c>
      <c r="E8101" s="66">
        <v>9.0</v>
      </c>
      <c r="F8101" s="66" t="str">
        <f>IFERROR(__xludf.DUMMYFUNCTION("GOOGLETRANSLATE(A8101,""en"",""pt"")"),"#VALUE!")</f>
        <v>#VALUE!</v>
      </c>
      <c r="G8101" s="69"/>
    </row>
    <row r="8102" ht="22.5" customHeight="1">
      <c r="A8102" s="66"/>
      <c r="B8102" s="67" t="str">
        <f t="shared" si="16"/>
        <v>M: </v>
      </c>
      <c r="C8102" s="68"/>
      <c r="D8102" s="68">
        <v>46560.0</v>
      </c>
      <c r="E8102" s="66">
        <v>10.0</v>
      </c>
      <c r="F8102" s="66" t="str">
        <f>IFERROR(__xludf.DUMMYFUNCTION("GOOGLETRANSLATE(A8102,""en"",""pt"")"),"#VALUE!")</f>
        <v>#VALUE!</v>
      </c>
      <c r="G8102" s="69"/>
    </row>
    <row r="8103" ht="22.5" customHeight="1">
      <c r="A8103" s="66"/>
      <c r="B8103" s="67" t="str">
        <f t="shared" si="16"/>
        <v>M: </v>
      </c>
      <c r="C8103" s="68"/>
      <c r="D8103" s="68">
        <v>46560.0</v>
      </c>
      <c r="E8103" s="66">
        <v>1.0</v>
      </c>
      <c r="F8103" s="66" t="str">
        <f>IFERROR(__xludf.DUMMYFUNCTION("GOOGLETRANSLATE(A8103,""en"",""pt"")"),"#VALUE!")</f>
        <v>#VALUE!</v>
      </c>
      <c r="G8103" s="69"/>
    </row>
    <row r="8104" ht="22.5" customHeight="1">
      <c r="A8104" s="66"/>
      <c r="B8104" s="67" t="str">
        <f t="shared" si="16"/>
        <v>M: </v>
      </c>
      <c r="C8104" s="68"/>
      <c r="D8104" s="68">
        <v>46560.0</v>
      </c>
      <c r="E8104" s="66">
        <v>2.0</v>
      </c>
      <c r="F8104" s="66" t="str">
        <f>IFERROR(__xludf.DUMMYFUNCTION("GOOGLETRANSLATE(A8104,""en"",""pt"")"),"#VALUE!")</f>
        <v>#VALUE!</v>
      </c>
      <c r="G8104" s="69"/>
    </row>
    <row r="8105" ht="22.5" customHeight="1">
      <c r="A8105" s="66"/>
      <c r="B8105" s="67" t="str">
        <f t="shared" si="16"/>
        <v>M: </v>
      </c>
      <c r="C8105" s="68"/>
      <c r="D8105" s="68">
        <v>46560.0</v>
      </c>
      <c r="E8105" s="66">
        <v>3.0</v>
      </c>
      <c r="F8105" s="66" t="str">
        <f>IFERROR(__xludf.DUMMYFUNCTION("GOOGLETRANSLATE(A8105,""en"",""pt"")"),"#VALUE!")</f>
        <v>#VALUE!</v>
      </c>
      <c r="G8105" s="69"/>
    </row>
    <row r="8106" ht="22.5" customHeight="1">
      <c r="A8106" s="66"/>
      <c r="B8106" s="67" t="str">
        <f t="shared" si="16"/>
        <v>M: </v>
      </c>
      <c r="C8106" s="68"/>
      <c r="D8106" s="68">
        <v>46560.0</v>
      </c>
      <c r="E8106" s="66">
        <v>4.0</v>
      </c>
      <c r="F8106" s="66" t="str">
        <f>IFERROR(__xludf.DUMMYFUNCTION("GOOGLETRANSLATE(A8106,""en"",""pt"")"),"#VALUE!")</f>
        <v>#VALUE!</v>
      </c>
      <c r="G8106" s="69"/>
    </row>
    <row r="8107" ht="22.5" customHeight="1">
      <c r="A8107" s="66"/>
      <c r="B8107" s="67" t="str">
        <f t="shared" si="16"/>
        <v>M: </v>
      </c>
      <c r="C8107" s="68"/>
      <c r="D8107" s="68">
        <v>46560.0</v>
      </c>
      <c r="E8107" s="66">
        <v>5.0</v>
      </c>
      <c r="F8107" s="66" t="str">
        <f>IFERROR(__xludf.DUMMYFUNCTION("GOOGLETRANSLATE(A8107,""en"",""pt"")"),"#VALUE!")</f>
        <v>#VALUE!</v>
      </c>
      <c r="G8107" s="69"/>
    </row>
    <row r="8108" ht="22.5" customHeight="1">
      <c r="A8108" s="66"/>
      <c r="B8108" s="67" t="str">
        <f t="shared" si="16"/>
        <v>M: </v>
      </c>
      <c r="C8108" s="68"/>
      <c r="D8108" s="68">
        <v>46560.0</v>
      </c>
      <c r="E8108" s="66">
        <v>6.0</v>
      </c>
      <c r="F8108" s="66" t="str">
        <f>IFERROR(__xludf.DUMMYFUNCTION("GOOGLETRANSLATE(A8108,""en"",""pt"")"),"#VALUE!")</f>
        <v>#VALUE!</v>
      </c>
      <c r="G8108" s="69"/>
    </row>
    <row r="8109" ht="22.5" customHeight="1">
      <c r="A8109" s="66"/>
      <c r="B8109" s="67" t="str">
        <f t="shared" si="16"/>
        <v>M: </v>
      </c>
      <c r="C8109" s="68"/>
      <c r="D8109" s="68">
        <v>46560.0</v>
      </c>
      <c r="E8109" s="66">
        <v>7.0</v>
      </c>
      <c r="F8109" s="66" t="str">
        <f>IFERROR(__xludf.DUMMYFUNCTION("GOOGLETRANSLATE(A8109,""en"",""pt"")"),"#VALUE!")</f>
        <v>#VALUE!</v>
      </c>
      <c r="G8109" s="69"/>
    </row>
    <row r="8110" ht="22.5" customHeight="1">
      <c r="A8110" s="66"/>
      <c r="B8110" s="67" t="str">
        <f t="shared" si="16"/>
        <v>M: </v>
      </c>
      <c r="C8110" s="68"/>
      <c r="D8110" s="68">
        <v>46560.0</v>
      </c>
      <c r="E8110" s="66">
        <v>8.0</v>
      </c>
      <c r="F8110" s="66" t="str">
        <f>IFERROR(__xludf.DUMMYFUNCTION("GOOGLETRANSLATE(A8110,""en"",""pt"")"),"#VALUE!")</f>
        <v>#VALUE!</v>
      </c>
      <c r="G8110" s="69"/>
    </row>
    <row r="8111" ht="22.5" customHeight="1">
      <c r="A8111" s="66"/>
      <c r="B8111" s="67" t="str">
        <f t="shared" si="16"/>
        <v>M: </v>
      </c>
      <c r="C8111" s="68"/>
      <c r="D8111" s="68">
        <v>46560.0</v>
      </c>
      <c r="E8111" s="66">
        <v>9.0</v>
      </c>
      <c r="F8111" s="66" t="str">
        <f>IFERROR(__xludf.DUMMYFUNCTION("GOOGLETRANSLATE(A8111,""en"",""pt"")"),"#VALUE!")</f>
        <v>#VALUE!</v>
      </c>
      <c r="G8111" s="69"/>
    </row>
    <row r="8112" ht="22.5" customHeight="1">
      <c r="A8112" s="66"/>
      <c r="B8112" s="67" t="str">
        <f t="shared" si="16"/>
        <v>M: </v>
      </c>
      <c r="C8112" s="68"/>
      <c r="D8112" s="68">
        <v>46561.0</v>
      </c>
      <c r="E8112" s="66">
        <v>10.0</v>
      </c>
      <c r="F8112" s="66" t="str">
        <f>IFERROR(__xludf.DUMMYFUNCTION("GOOGLETRANSLATE(A8112,""en"",""pt"")"),"#VALUE!")</f>
        <v>#VALUE!</v>
      </c>
      <c r="G8112" s="69"/>
    </row>
    <row r="8113" ht="22.5" customHeight="1">
      <c r="A8113" s="66"/>
      <c r="B8113" s="67" t="str">
        <f t="shared" si="16"/>
        <v>M: </v>
      </c>
      <c r="C8113" s="68"/>
      <c r="D8113" s="68">
        <v>46561.0</v>
      </c>
      <c r="E8113" s="66">
        <v>1.0</v>
      </c>
      <c r="F8113" s="66" t="str">
        <f>IFERROR(__xludf.DUMMYFUNCTION("GOOGLETRANSLATE(A8113,""en"",""pt"")"),"#VALUE!")</f>
        <v>#VALUE!</v>
      </c>
      <c r="G8113" s="69"/>
    </row>
    <row r="8114" ht="22.5" customHeight="1">
      <c r="A8114" s="66"/>
      <c r="B8114" s="67" t="str">
        <f t="shared" si="16"/>
        <v>M: </v>
      </c>
      <c r="C8114" s="68"/>
      <c r="D8114" s="68">
        <v>46561.0</v>
      </c>
      <c r="E8114" s="66">
        <v>2.0</v>
      </c>
      <c r="F8114" s="66" t="str">
        <f>IFERROR(__xludf.DUMMYFUNCTION("GOOGLETRANSLATE(A8114,""en"",""pt"")"),"#VALUE!")</f>
        <v>#VALUE!</v>
      </c>
      <c r="G8114" s="69"/>
    </row>
    <row r="8115" ht="22.5" customHeight="1">
      <c r="A8115" s="66"/>
      <c r="B8115" s="67" t="str">
        <f t="shared" si="16"/>
        <v>M: </v>
      </c>
      <c r="C8115" s="68"/>
      <c r="D8115" s="68">
        <v>46561.0</v>
      </c>
      <c r="E8115" s="66">
        <v>3.0</v>
      </c>
      <c r="F8115" s="66" t="str">
        <f>IFERROR(__xludf.DUMMYFUNCTION("GOOGLETRANSLATE(A8115,""en"",""pt"")"),"#VALUE!")</f>
        <v>#VALUE!</v>
      </c>
      <c r="G8115" s="69"/>
    </row>
    <row r="8116" ht="22.5" customHeight="1">
      <c r="A8116" s="66"/>
      <c r="B8116" s="67" t="str">
        <f t="shared" si="16"/>
        <v>M: </v>
      </c>
      <c r="C8116" s="68"/>
      <c r="D8116" s="68">
        <v>46561.0</v>
      </c>
      <c r="E8116" s="66">
        <v>4.0</v>
      </c>
      <c r="F8116" s="66" t="str">
        <f>IFERROR(__xludf.DUMMYFUNCTION("GOOGLETRANSLATE(A8116,""en"",""pt"")"),"#VALUE!")</f>
        <v>#VALUE!</v>
      </c>
      <c r="G8116" s="69"/>
    </row>
    <row r="8117" ht="22.5" customHeight="1">
      <c r="A8117" s="66"/>
      <c r="B8117" s="67" t="str">
        <f t="shared" si="16"/>
        <v>M: </v>
      </c>
      <c r="C8117" s="68"/>
      <c r="D8117" s="68">
        <v>46561.0</v>
      </c>
      <c r="E8117" s="66">
        <v>5.0</v>
      </c>
      <c r="F8117" s="66" t="str">
        <f>IFERROR(__xludf.DUMMYFUNCTION("GOOGLETRANSLATE(A8117,""en"",""pt"")"),"#VALUE!")</f>
        <v>#VALUE!</v>
      </c>
      <c r="G8117" s="69"/>
    </row>
    <row r="8118" ht="22.5" customHeight="1">
      <c r="A8118" s="66"/>
      <c r="B8118" s="67" t="str">
        <f t="shared" si="16"/>
        <v>M: </v>
      </c>
      <c r="C8118" s="68"/>
      <c r="D8118" s="68">
        <v>46561.0</v>
      </c>
      <c r="E8118" s="66">
        <v>6.0</v>
      </c>
      <c r="F8118" s="66" t="str">
        <f>IFERROR(__xludf.DUMMYFUNCTION("GOOGLETRANSLATE(A8118,""en"",""pt"")"),"#VALUE!")</f>
        <v>#VALUE!</v>
      </c>
      <c r="G8118" s="69"/>
    </row>
    <row r="8119" ht="22.5" customHeight="1">
      <c r="A8119" s="66"/>
      <c r="B8119" s="67" t="str">
        <f t="shared" si="16"/>
        <v>M: </v>
      </c>
      <c r="C8119" s="68"/>
      <c r="D8119" s="68">
        <v>46561.0</v>
      </c>
      <c r="E8119" s="66">
        <v>7.0</v>
      </c>
      <c r="F8119" s="66" t="str">
        <f>IFERROR(__xludf.DUMMYFUNCTION("GOOGLETRANSLATE(A8119,""en"",""pt"")"),"#VALUE!")</f>
        <v>#VALUE!</v>
      </c>
      <c r="G8119" s="69"/>
    </row>
    <row r="8120" ht="22.5" customHeight="1">
      <c r="A8120" s="66"/>
      <c r="B8120" s="67" t="str">
        <f t="shared" si="16"/>
        <v>M: </v>
      </c>
      <c r="C8120" s="68"/>
      <c r="D8120" s="68">
        <v>46561.0</v>
      </c>
      <c r="E8120" s="66">
        <v>8.0</v>
      </c>
      <c r="F8120" s="66" t="str">
        <f>IFERROR(__xludf.DUMMYFUNCTION("GOOGLETRANSLATE(A8120,""en"",""pt"")"),"#VALUE!")</f>
        <v>#VALUE!</v>
      </c>
      <c r="G8120" s="69"/>
    </row>
    <row r="8121" ht="22.5" customHeight="1">
      <c r="A8121" s="66"/>
      <c r="B8121" s="67" t="str">
        <f t="shared" si="16"/>
        <v>M: </v>
      </c>
      <c r="C8121" s="68"/>
      <c r="D8121" s="68">
        <v>46561.0</v>
      </c>
      <c r="E8121" s="66">
        <v>9.0</v>
      </c>
      <c r="F8121" s="66" t="str">
        <f>IFERROR(__xludf.DUMMYFUNCTION("GOOGLETRANSLATE(A8121,""en"",""pt"")"),"#VALUE!")</f>
        <v>#VALUE!</v>
      </c>
      <c r="G8121" s="69"/>
    </row>
    <row r="8122" ht="22.5" customHeight="1">
      <c r="A8122" s="66"/>
      <c r="B8122" s="67" t="str">
        <f t="shared" si="16"/>
        <v>M: </v>
      </c>
      <c r="C8122" s="68"/>
      <c r="D8122" s="68">
        <v>46562.0</v>
      </c>
      <c r="E8122" s="66">
        <v>10.0</v>
      </c>
      <c r="F8122" s="66" t="str">
        <f>IFERROR(__xludf.DUMMYFUNCTION("GOOGLETRANSLATE(A8122,""en"",""pt"")"),"#VALUE!")</f>
        <v>#VALUE!</v>
      </c>
      <c r="G8122" s="69"/>
    </row>
    <row r="8123" ht="22.5" customHeight="1">
      <c r="A8123" s="66"/>
      <c r="B8123" s="67" t="str">
        <f t="shared" si="16"/>
        <v>M: </v>
      </c>
      <c r="C8123" s="68"/>
      <c r="D8123" s="68">
        <v>46562.0</v>
      </c>
      <c r="E8123" s="66">
        <v>1.0</v>
      </c>
      <c r="F8123" s="66" t="str">
        <f>IFERROR(__xludf.DUMMYFUNCTION("GOOGLETRANSLATE(A8123,""en"",""pt"")"),"#VALUE!")</f>
        <v>#VALUE!</v>
      </c>
      <c r="G8123" s="69"/>
    </row>
    <row r="8124" ht="22.5" customHeight="1">
      <c r="A8124" s="66"/>
      <c r="B8124" s="67" t="str">
        <f t="shared" si="16"/>
        <v>M: </v>
      </c>
      <c r="C8124" s="68"/>
      <c r="D8124" s="68">
        <v>46562.0</v>
      </c>
      <c r="E8124" s="66">
        <v>2.0</v>
      </c>
      <c r="F8124" s="66" t="str">
        <f>IFERROR(__xludf.DUMMYFUNCTION("GOOGLETRANSLATE(A8124,""en"",""pt"")"),"#VALUE!")</f>
        <v>#VALUE!</v>
      </c>
      <c r="G8124" s="69"/>
    </row>
    <row r="8125" ht="22.5" customHeight="1">
      <c r="A8125" s="66"/>
      <c r="B8125" s="67" t="str">
        <f t="shared" si="16"/>
        <v>M: </v>
      </c>
      <c r="C8125" s="68"/>
      <c r="D8125" s="68">
        <v>46562.0</v>
      </c>
      <c r="E8125" s="66">
        <v>3.0</v>
      </c>
      <c r="F8125" s="66" t="str">
        <f>IFERROR(__xludf.DUMMYFUNCTION("GOOGLETRANSLATE(A8125,""en"",""pt"")"),"#VALUE!")</f>
        <v>#VALUE!</v>
      </c>
      <c r="G8125" s="69"/>
    </row>
    <row r="8126" ht="22.5" customHeight="1">
      <c r="A8126" s="66"/>
      <c r="B8126" s="67" t="str">
        <f t="shared" si="16"/>
        <v>M: </v>
      </c>
      <c r="C8126" s="68"/>
      <c r="D8126" s="68">
        <v>46562.0</v>
      </c>
      <c r="E8126" s="66">
        <v>4.0</v>
      </c>
      <c r="F8126" s="66" t="str">
        <f>IFERROR(__xludf.DUMMYFUNCTION("GOOGLETRANSLATE(A8126,""en"",""pt"")"),"#VALUE!")</f>
        <v>#VALUE!</v>
      </c>
      <c r="G8126" s="69"/>
    </row>
    <row r="8127" ht="22.5" customHeight="1">
      <c r="A8127" s="66"/>
      <c r="B8127" s="67" t="str">
        <f t="shared" si="16"/>
        <v>M: </v>
      </c>
      <c r="C8127" s="68"/>
      <c r="D8127" s="68">
        <v>46562.0</v>
      </c>
      <c r="E8127" s="66">
        <v>5.0</v>
      </c>
      <c r="F8127" s="66" t="str">
        <f>IFERROR(__xludf.DUMMYFUNCTION("GOOGLETRANSLATE(A8127,""en"",""pt"")"),"#VALUE!")</f>
        <v>#VALUE!</v>
      </c>
      <c r="G8127" s="69"/>
    </row>
    <row r="8128" ht="22.5" customHeight="1">
      <c r="A8128" s="66"/>
      <c r="B8128" s="67" t="str">
        <f t="shared" si="16"/>
        <v>M: </v>
      </c>
      <c r="C8128" s="68"/>
      <c r="D8128" s="68">
        <v>46562.0</v>
      </c>
      <c r="E8128" s="66">
        <v>6.0</v>
      </c>
      <c r="F8128" s="66" t="str">
        <f>IFERROR(__xludf.DUMMYFUNCTION("GOOGLETRANSLATE(A8128,""en"",""pt"")"),"#VALUE!")</f>
        <v>#VALUE!</v>
      </c>
      <c r="G8128" s="69"/>
    </row>
    <row r="8129" ht="22.5" customHeight="1">
      <c r="A8129" s="66"/>
      <c r="B8129" s="67" t="str">
        <f t="shared" si="16"/>
        <v>M: </v>
      </c>
      <c r="C8129" s="68"/>
      <c r="D8129" s="68">
        <v>46562.0</v>
      </c>
      <c r="E8129" s="66">
        <v>7.0</v>
      </c>
      <c r="F8129" s="66" t="str">
        <f>IFERROR(__xludf.DUMMYFUNCTION("GOOGLETRANSLATE(A8129,""en"",""pt"")"),"#VALUE!")</f>
        <v>#VALUE!</v>
      </c>
      <c r="G8129" s="69"/>
    </row>
    <row r="8130" ht="22.5" customHeight="1">
      <c r="A8130" s="66"/>
      <c r="B8130" s="67" t="str">
        <f t="shared" si="16"/>
        <v>M: </v>
      </c>
      <c r="C8130" s="68"/>
      <c r="D8130" s="68">
        <v>46562.0</v>
      </c>
      <c r="E8130" s="66">
        <v>8.0</v>
      </c>
      <c r="F8130" s="66" t="str">
        <f>IFERROR(__xludf.DUMMYFUNCTION("GOOGLETRANSLATE(A8130,""en"",""pt"")"),"#VALUE!")</f>
        <v>#VALUE!</v>
      </c>
      <c r="G8130" s="69"/>
    </row>
    <row r="8131" ht="22.5" customHeight="1">
      <c r="A8131" s="66"/>
      <c r="B8131" s="67" t="str">
        <f t="shared" si="16"/>
        <v>M: </v>
      </c>
      <c r="C8131" s="68"/>
      <c r="D8131" s="68">
        <v>46562.0</v>
      </c>
      <c r="E8131" s="66">
        <v>9.0</v>
      </c>
      <c r="F8131" s="66" t="str">
        <f>IFERROR(__xludf.DUMMYFUNCTION("GOOGLETRANSLATE(A8131,""en"",""pt"")"),"#VALUE!")</f>
        <v>#VALUE!</v>
      </c>
      <c r="G8131" s="69"/>
    </row>
    <row r="8132" ht="22.5" customHeight="1">
      <c r="A8132" s="66"/>
      <c r="B8132" s="67" t="str">
        <f t="shared" si="16"/>
        <v>M: </v>
      </c>
      <c r="C8132" s="68"/>
      <c r="D8132" s="68">
        <v>46563.0</v>
      </c>
      <c r="E8132" s="66">
        <v>10.0</v>
      </c>
      <c r="F8132" s="66" t="str">
        <f>IFERROR(__xludf.DUMMYFUNCTION("GOOGLETRANSLATE(A8132,""en"",""pt"")"),"#VALUE!")</f>
        <v>#VALUE!</v>
      </c>
      <c r="G8132" s="69"/>
    </row>
    <row r="8133" ht="22.5" customHeight="1">
      <c r="A8133" s="66"/>
      <c r="B8133" s="67" t="str">
        <f t="shared" si="16"/>
        <v>M: </v>
      </c>
      <c r="C8133" s="68"/>
      <c r="D8133" s="68">
        <v>46563.0</v>
      </c>
      <c r="E8133" s="66">
        <v>1.0</v>
      </c>
      <c r="F8133" s="66" t="str">
        <f>IFERROR(__xludf.DUMMYFUNCTION("GOOGLETRANSLATE(A8133,""en"",""pt"")"),"#VALUE!")</f>
        <v>#VALUE!</v>
      </c>
      <c r="G8133" s="69"/>
    </row>
    <row r="8134" ht="22.5" customHeight="1">
      <c r="A8134" s="66"/>
      <c r="B8134" s="67" t="str">
        <f t="shared" si="16"/>
        <v>M: </v>
      </c>
      <c r="C8134" s="68"/>
      <c r="D8134" s="68">
        <v>46563.0</v>
      </c>
      <c r="E8134" s="66">
        <v>2.0</v>
      </c>
      <c r="F8134" s="66" t="str">
        <f>IFERROR(__xludf.DUMMYFUNCTION("GOOGLETRANSLATE(A8134,""en"",""pt"")"),"#VALUE!")</f>
        <v>#VALUE!</v>
      </c>
      <c r="G8134" s="69"/>
    </row>
    <row r="8135" ht="22.5" customHeight="1">
      <c r="A8135" s="66"/>
      <c r="B8135" s="67" t="str">
        <f t="shared" si="16"/>
        <v>M: </v>
      </c>
      <c r="C8135" s="68"/>
      <c r="D8135" s="68">
        <v>46563.0</v>
      </c>
      <c r="E8135" s="66">
        <v>3.0</v>
      </c>
      <c r="F8135" s="66" t="str">
        <f>IFERROR(__xludf.DUMMYFUNCTION("GOOGLETRANSLATE(A8135,""en"",""pt"")"),"#VALUE!")</f>
        <v>#VALUE!</v>
      </c>
      <c r="G8135" s="69"/>
    </row>
    <row r="8136" ht="22.5" customHeight="1">
      <c r="A8136" s="66"/>
      <c r="B8136" s="67" t="str">
        <f t="shared" si="16"/>
        <v>M: </v>
      </c>
      <c r="C8136" s="68"/>
      <c r="D8136" s="68">
        <v>46563.0</v>
      </c>
      <c r="E8136" s="66">
        <v>4.0</v>
      </c>
      <c r="F8136" s="66" t="str">
        <f>IFERROR(__xludf.DUMMYFUNCTION("GOOGLETRANSLATE(A8136,""en"",""pt"")"),"#VALUE!")</f>
        <v>#VALUE!</v>
      </c>
      <c r="G8136" s="69"/>
    </row>
    <row r="8137" ht="22.5" customHeight="1">
      <c r="A8137" s="66"/>
      <c r="B8137" s="67" t="str">
        <f t="shared" si="16"/>
        <v>M: </v>
      </c>
      <c r="C8137" s="68"/>
      <c r="D8137" s="68">
        <v>46563.0</v>
      </c>
      <c r="E8137" s="66">
        <v>5.0</v>
      </c>
      <c r="F8137" s="66" t="str">
        <f>IFERROR(__xludf.DUMMYFUNCTION("GOOGLETRANSLATE(A8137,""en"",""pt"")"),"#VALUE!")</f>
        <v>#VALUE!</v>
      </c>
      <c r="G8137" s="69"/>
    </row>
    <row r="8138" ht="22.5" customHeight="1">
      <c r="A8138" s="66"/>
      <c r="B8138" s="67" t="str">
        <f t="shared" si="16"/>
        <v>M: </v>
      </c>
      <c r="C8138" s="68"/>
      <c r="D8138" s="68">
        <v>46563.0</v>
      </c>
      <c r="E8138" s="66">
        <v>6.0</v>
      </c>
      <c r="F8138" s="66" t="str">
        <f>IFERROR(__xludf.DUMMYFUNCTION("GOOGLETRANSLATE(A8138,""en"",""pt"")"),"#VALUE!")</f>
        <v>#VALUE!</v>
      </c>
      <c r="G8138" s="69"/>
    </row>
    <row r="8139" ht="22.5" customHeight="1">
      <c r="A8139" s="66"/>
      <c r="B8139" s="67" t="str">
        <f t="shared" si="16"/>
        <v>M: </v>
      </c>
      <c r="C8139" s="68"/>
      <c r="D8139" s="68">
        <v>46563.0</v>
      </c>
      <c r="E8139" s="66">
        <v>7.0</v>
      </c>
      <c r="F8139" s="66" t="str">
        <f>IFERROR(__xludf.DUMMYFUNCTION("GOOGLETRANSLATE(A8139,""en"",""pt"")"),"#VALUE!")</f>
        <v>#VALUE!</v>
      </c>
      <c r="G8139" s="69"/>
    </row>
    <row r="8140" ht="22.5" customHeight="1">
      <c r="A8140" s="66"/>
      <c r="B8140" s="67" t="str">
        <f t="shared" si="16"/>
        <v>M: </v>
      </c>
      <c r="C8140" s="68"/>
      <c r="D8140" s="68">
        <v>46563.0</v>
      </c>
      <c r="E8140" s="66">
        <v>8.0</v>
      </c>
      <c r="F8140" s="66" t="str">
        <f>IFERROR(__xludf.DUMMYFUNCTION("GOOGLETRANSLATE(A8140,""en"",""pt"")"),"#VALUE!")</f>
        <v>#VALUE!</v>
      </c>
      <c r="G8140" s="69"/>
    </row>
    <row r="8141" ht="22.5" customHeight="1">
      <c r="A8141" s="66"/>
      <c r="B8141" s="67" t="str">
        <f t="shared" si="16"/>
        <v>M: </v>
      </c>
      <c r="C8141" s="68"/>
      <c r="D8141" s="68">
        <v>46563.0</v>
      </c>
      <c r="E8141" s="66">
        <v>9.0</v>
      </c>
      <c r="F8141" s="66" t="str">
        <f>IFERROR(__xludf.DUMMYFUNCTION("GOOGLETRANSLATE(A8141,""en"",""pt"")"),"#VALUE!")</f>
        <v>#VALUE!</v>
      </c>
      <c r="G8141" s="69"/>
    </row>
    <row r="8142" ht="22.5" customHeight="1">
      <c r="A8142" s="66"/>
      <c r="B8142" s="67" t="str">
        <f t="shared" si="16"/>
        <v>M: </v>
      </c>
      <c r="C8142" s="68"/>
      <c r="D8142" s="68">
        <v>46564.0</v>
      </c>
      <c r="E8142" s="66">
        <v>10.0</v>
      </c>
      <c r="F8142" s="66" t="str">
        <f>IFERROR(__xludf.DUMMYFUNCTION("GOOGLETRANSLATE(A8142,""en"",""pt"")"),"#VALUE!")</f>
        <v>#VALUE!</v>
      </c>
      <c r="G8142" s="69"/>
    </row>
    <row r="8143" ht="22.5" customHeight="1">
      <c r="A8143" s="66"/>
      <c r="B8143" s="67" t="str">
        <f t="shared" si="16"/>
        <v>M: </v>
      </c>
      <c r="C8143" s="68"/>
      <c r="D8143" s="68">
        <v>46564.0</v>
      </c>
      <c r="E8143" s="66">
        <v>1.0</v>
      </c>
      <c r="F8143" s="66" t="str">
        <f>IFERROR(__xludf.DUMMYFUNCTION("GOOGLETRANSLATE(A8143,""en"",""pt"")"),"#VALUE!")</f>
        <v>#VALUE!</v>
      </c>
      <c r="G8143" s="69"/>
    </row>
    <row r="8144" ht="22.5" customHeight="1">
      <c r="A8144" s="66"/>
      <c r="B8144" s="67" t="str">
        <f t="shared" si="16"/>
        <v>M: </v>
      </c>
      <c r="C8144" s="68"/>
      <c r="D8144" s="68">
        <v>46564.0</v>
      </c>
      <c r="E8144" s="66">
        <v>2.0</v>
      </c>
      <c r="F8144" s="66" t="str">
        <f>IFERROR(__xludf.DUMMYFUNCTION("GOOGLETRANSLATE(A8144,""en"",""pt"")"),"#VALUE!")</f>
        <v>#VALUE!</v>
      </c>
      <c r="G8144" s="69"/>
    </row>
    <row r="8145" ht="22.5" customHeight="1">
      <c r="A8145" s="66"/>
      <c r="B8145" s="67" t="str">
        <f t="shared" si="16"/>
        <v>M: </v>
      </c>
      <c r="C8145" s="68"/>
      <c r="D8145" s="68">
        <v>46564.0</v>
      </c>
      <c r="E8145" s="66">
        <v>3.0</v>
      </c>
      <c r="F8145" s="66" t="str">
        <f>IFERROR(__xludf.DUMMYFUNCTION("GOOGLETRANSLATE(A8145,""en"",""pt"")"),"#VALUE!")</f>
        <v>#VALUE!</v>
      </c>
      <c r="G8145" s="69"/>
    </row>
    <row r="8146" ht="22.5" customHeight="1">
      <c r="A8146" s="66"/>
      <c r="B8146" s="67" t="str">
        <f t="shared" si="16"/>
        <v>M: </v>
      </c>
      <c r="C8146" s="68"/>
      <c r="D8146" s="68">
        <v>46564.0</v>
      </c>
      <c r="E8146" s="66">
        <v>4.0</v>
      </c>
      <c r="F8146" s="66" t="str">
        <f>IFERROR(__xludf.DUMMYFUNCTION("GOOGLETRANSLATE(A8146,""en"",""pt"")"),"#VALUE!")</f>
        <v>#VALUE!</v>
      </c>
      <c r="G8146" s="69"/>
    </row>
    <row r="8147" ht="22.5" customHeight="1">
      <c r="A8147" s="66"/>
      <c r="B8147" s="67" t="str">
        <f t="shared" si="16"/>
        <v>M: </v>
      </c>
      <c r="C8147" s="68"/>
      <c r="D8147" s="68">
        <v>46564.0</v>
      </c>
      <c r="E8147" s="66">
        <v>5.0</v>
      </c>
      <c r="F8147" s="66" t="str">
        <f>IFERROR(__xludf.DUMMYFUNCTION("GOOGLETRANSLATE(A8147,""en"",""pt"")"),"#VALUE!")</f>
        <v>#VALUE!</v>
      </c>
      <c r="G8147" s="69"/>
    </row>
    <row r="8148" ht="22.5" customHeight="1">
      <c r="A8148" s="66"/>
      <c r="B8148" s="67" t="str">
        <f t="shared" si="16"/>
        <v>M: </v>
      </c>
      <c r="C8148" s="68"/>
      <c r="D8148" s="68">
        <v>46564.0</v>
      </c>
      <c r="E8148" s="66">
        <v>6.0</v>
      </c>
      <c r="F8148" s="66" t="str">
        <f>IFERROR(__xludf.DUMMYFUNCTION("GOOGLETRANSLATE(A8148,""en"",""pt"")"),"#VALUE!")</f>
        <v>#VALUE!</v>
      </c>
      <c r="G8148" s="69"/>
    </row>
    <row r="8149" ht="22.5" customHeight="1">
      <c r="A8149" s="66"/>
      <c r="B8149" s="67" t="str">
        <f t="shared" si="16"/>
        <v>M: </v>
      </c>
      <c r="C8149" s="68"/>
      <c r="D8149" s="68">
        <v>46564.0</v>
      </c>
      <c r="E8149" s="66">
        <v>7.0</v>
      </c>
      <c r="F8149" s="66" t="str">
        <f>IFERROR(__xludf.DUMMYFUNCTION("GOOGLETRANSLATE(A8149,""en"",""pt"")"),"#VALUE!")</f>
        <v>#VALUE!</v>
      </c>
      <c r="G8149" s="69"/>
    </row>
    <row r="8150" ht="22.5" customHeight="1">
      <c r="A8150" s="66"/>
      <c r="B8150" s="67" t="str">
        <f t="shared" si="16"/>
        <v>M: </v>
      </c>
      <c r="C8150" s="68"/>
      <c r="D8150" s="68">
        <v>46564.0</v>
      </c>
      <c r="E8150" s="66">
        <v>8.0</v>
      </c>
      <c r="F8150" s="66" t="str">
        <f>IFERROR(__xludf.DUMMYFUNCTION("GOOGLETRANSLATE(A8150,""en"",""pt"")"),"#VALUE!")</f>
        <v>#VALUE!</v>
      </c>
      <c r="G8150" s="69"/>
    </row>
    <row r="8151" ht="22.5" customHeight="1">
      <c r="A8151" s="66"/>
      <c r="B8151" s="67" t="str">
        <f t="shared" si="16"/>
        <v>M: </v>
      </c>
      <c r="C8151" s="68"/>
      <c r="D8151" s="68">
        <v>46564.0</v>
      </c>
      <c r="E8151" s="66">
        <v>9.0</v>
      </c>
      <c r="F8151" s="66" t="str">
        <f>IFERROR(__xludf.DUMMYFUNCTION("GOOGLETRANSLATE(A8151,""en"",""pt"")"),"#VALUE!")</f>
        <v>#VALUE!</v>
      </c>
      <c r="G8151" s="69"/>
    </row>
    <row r="8152" ht="22.5" customHeight="1">
      <c r="A8152" s="66"/>
      <c r="B8152" s="67" t="str">
        <f t="shared" si="16"/>
        <v>M: </v>
      </c>
      <c r="C8152" s="68"/>
      <c r="D8152" s="68">
        <v>46565.0</v>
      </c>
      <c r="E8152" s="66">
        <v>10.0</v>
      </c>
      <c r="F8152" s="66" t="str">
        <f>IFERROR(__xludf.DUMMYFUNCTION("GOOGLETRANSLATE(A8152,""en"",""pt"")"),"#VALUE!")</f>
        <v>#VALUE!</v>
      </c>
      <c r="G8152" s="69"/>
    </row>
    <row r="8153" ht="22.5" customHeight="1">
      <c r="A8153" s="66"/>
      <c r="B8153" s="67" t="str">
        <f t="shared" si="16"/>
        <v>M: </v>
      </c>
      <c r="C8153" s="68"/>
      <c r="D8153" s="68">
        <v>46565.0</v>
      </c>
      <c r="E8153" s="66">
        <v>1.0</v>
      </c>
      <c r="F8153" s="66" t="str">
        <f>IFERROR(__xludf.DUMMYFUNCTION("GOOGLETRANSLATE(A8153,""en"",""pt"")"),"#VALUE!")</f>
        <v>#VALUE!</v>
      </c>
      <c r="G8153" s="69"/>
    </row>
    <row r="8154" ht="22.5" customHeight="1">
      <c r="A8154" s="66"/>
      <c r="B8154" s="67" t="str">
        <f t="shared" si="16"/>
        <v>M: </v>
      </c>
      <c r="C8154" s="68"/>
      <c r="D8154" s="68">
        <v>46565.0</v>
      </c>
      <c r="E8154" s="66">
        <v>2.0</v>
      </c>
      <c r="F8154" s="66" t="str">
        <f>IFERROR(__xludf.DUMMYFUNCTION("GOOGLETRANSLATE(A8154,""en"",""pt"")"),"#VALUE!")</f>
        <v>#VALUE!</v>
      </c>
      <c r="G8154" s="69"/>
    </row>
    <row r="8155" ht="22.5" customHeight="1">
      <c r="A8155" s="66"/>
      <c r="B8155" s="67" t="str">
        <f t="shared" si="16"/>
        <v>M: </v>
      </c>
      <c r="C8155" s="68"/>
      <c r="D8155" s="68">
        <v>46565.0</v>
      </c>
      <c r="E8155" s="66">
        <v>3.0</v>
      </c>
      <c r="F8155" s="66" t="str">
        <f>IFERROR(__xludf.DUMMYFUNCTION("GOOGLETRANSLATE(A8155,""en"",""pt"")"),"#VALUE!")</f>
        <v>#VALUE!</v>
      </c>
      <c r="G8155" s="69"/>
    </row>
    <row r="8156" ht="22.5" customHeight="1">
      <c r="A8156" s="66"/>
      <c r="B8156" s="67" t="str">
        <f t="shared" si="16"/>
        <v>M: </v>
      </c>
      <c r="C8156" s="68"/>
      <c r="D8156" s="68">
        <v>46565.0</v>
      </c>
      <c r="E8156" s="66">
        <v>4.0</v>
      </c>
      <c r="F8156" s="66" t="str">
        <f>IFERROR(__xludf.DUMMYFUNCTION("GOOGLETRANSLATE(A8156,""en"",""pt"")"),"#VALUE!")</f>
        <v>#VALUE!</v>
      </c>
      <c r="G8156" s="69"/>
    </row>
    <row r="8157" ht="22.5" customHeight="1">
      <c r="A8157" s="66"/>
      <c r="B8157" s="67" t="str">
        <f t="shared" si="16"/>
        <v>M: </v>
      </c>
      <c r="C8157" s="68"/>
      <c r="D8157" s="68">
        <v>46565.0</v>
      </c>
      <c r="E8157" s="66">
        <v>5.0</v>
      </c>
      <c r="F8157" s="66" t="str">
        <f>IFERROR(__xludf.DUMMYFUNCTION("GOOGLETRANSLATE(A8157,""en"",""pt"")"),"#VALUE!")</f>
        <v>#VALUE!</v>
      </c>
      <c r="G8157" s="69"/>
    </row>
    <row r="8158" ht="22.5" customHeight="1">
      <c r="A8158" s="66"/>
      <c r="B8158" s="67" t="str">
        <f t="shared" si="16"/>
        <v>M: </v>
      </c>
      <c r="C8158" s="68"/>
      <c r="D8158" s="68">
        <v>46565.0</v>
      </c>
      <c r="E8158" s="66">
        <v>6.0</v>
      </c>
      <c r="F8158" s="66" t="str">
        <f>IFERROR(__xludf.DUMMYFUNCTION("GOOGLETRANSLATE(A8158,""en"",""pt"")"),"#VALUE!")</f>
        <v>#VALUE!</v>
      </c>
      <c r="G8158" s="69"/>
    </row>
    <row r="8159" ht="22.5" customHeight="1">
      <c r="A8159" s="66"/>
      <c r="B8159" s="67" t="str">
        <f t="shared" si="16"/>
        <v>M: </v>
      </c>
      <c r="C8159" s="68"/>
      <c r="D8159" s="68">
        <v>46565.0</v>
      </c>
      <c r="E8159" s="66">
        <v>7.0</v>
      </c>
      <c r="F8159" s="66" t="str">
        <f>IFERROR(__xludf.DUMMYFUNCTION("GOOGLETRANSLATE(A8159,""en"",""pt"")"),"#VALUE!")</f>
        <v>#VALUE!</v>
      </c>
      <c r="G8159" s="69"/>
    </row>
    <row r="8160" ht="22.5" customHeight="1">
      <c r="A8160" s="66"/>
      <c r="B8160" s="67" t="str">
        <f t="shared" si="16"/>
        <v>M: </v>
      </c>
      <c r="C8160" s="68"/>
      <c r="D8160" s="68">
        <v>46565.0</v>
      </c>
      <c r="E8160" s="66">
        <v>8.0</v>
      </c>
      <c r="F8160" s="66" t="str">
        <f>IFERROR(__xludf.DUMMYFUNCTION("GOOGLETRANSLATE(A8160,""en"",""pt"")"),"#VALUE!")</f>
        <v>#VALUE!</v>
      </c>
      <c r="G8160" s="69"/>
    </row>
    <row r="8161" ht="22.5" customHeight="1">
      <c r="A8161" s="66"/>
      <c r="B8161" s="67" t="str">
        <f t="shared" si="16"/>
        <v>M: </v>
      </c>
      <c r="C8161" s="68"/>
      <c r="D8161" s="68">
        <v>46565.0</v>
      </c>
      <c r="E8161" s="66">
        <v>9.0</v>
      </c>
      <c r="F8161" s="66" t="str">
        <f>IFERROR(__xludf.DUMMYFUNCTION("GOOGLETRANSLATE(A8161,""en"",""pt"")"),"#VALUE!")</f>
        <v>#VALUE!</v>
      </c>
      <c r="G8161" s="69"/>
    </row>
    <row r="8162" ht="22.5" customHeight="1">
      <c r="A8162" s="66"/>
      <c r="B8162" s="67" t="str">
        <f t="shared" si="16"/>
        <v>M: </v>
      </c>
      <c r="C8162" s="68"/>
      <c r="D8162" s="68">
        <v>46566.0</v>
      </c>
      <c r="E8162" s="66">
        <v>10.0</v>
      </c>
      <c r="F8162" s="66" t="str">
        <f>IFERROR(__xludf.DUMMYFUNCTION("GOOGLETRANSLATE(A8162,""en"",""pt"")"),"#VALUE!")</f>
        <v>#VALUE!</v>
      </c>
      <c r="G8162" s="69"/>
    </row>
    <row r="8163" ht="22.5" customHeight="1">
      <c r="A8163" s="66"/>
      <c r="B8163" s="67" t="str">
        <f t="shared" si="16"/>
        <v>M: </v>
      </c>
      <c r="C8163" s="68"/>
      <c r="D8163" s="68">
        <v>46566.0</v>
      </c>
      <c r="E8163" s="66">
        <v>1.0</v>
      </c>
      <c r="F8163" s="66" t="str">
        <f>IFERROR(__xludf.DUMMYFUNCTION("GOOGLETRANSLATE(A8163,""en"",""pt"")"),"#VALUE!")</f>
        <v>#VALUE!</v>
      </c>
      <c r="G8163" s="69"/>
    </row>
    <row r="8164" ht="22.5" customHeight="1">
      <c r="A8164" s="66"/>
      <c r="B8164" s="67" t="str">
        <f t="shared" si="16"/>
        <v>M: </v>
      </c>
      <c r="C8164" s="68"/>
      <c r="D8164" s="68">
        <v>46566.0</v>
      </c>
      <c r="E8164" s="66">
        <v>2.0</v>
      </c>
      <c r="F8164" s="66" t="str">
        <f>IFERROR(__xludf.DUMMYFUNCTION("GOOGLETRANSLATE(A8164,""en"",""pt"")"),"#VALUE!")</f>
        <v>#VALUE!</v>
      </c>
      <c r="G8164" s="69"/>
    </row>
    <row r="8165" ht="22.5" customHeight="1">
      <c r="A8165" s="66"/>
      <c r="B8165" s="67" t="str">
        <f t="shared" si="16"/>
        <v>M: </v>
      </c>
      <c r="C8165" s="68"/>
      <c r="D8165" s="68">
        <v>46566.0</v>
      </c>
      <c r="E8165" s="66">
        <v>3.0</v>
      </c>
      <c r="F8165" s="66" t="str">
        <f>IFERROR(__xludf.DUMMYFUNCTION("GOOGLETRANSLATE(A8165,""en"",""pt"")"),"#VALUE!")</f>
        <v>#VALUE!</v>
      </c>
      <c r="G8165" s="69"/>
    </row>
    <row r="8166" ht="22.5" customHeight="1">
      <c r="A8166" s="66"/>
      <c r="B8166" s="67" t="str">
        <f t="shared" si="16"/>
        <v>M: </v>
      </c>
      <c r="C8166" s="68"/>
      <c r="D8166" s="68">
        <v>46566.0</v>
      </c>
      <c r="E8166" s="66">
        <v>4.0</v>
      </c>
      <c r="F8166" s="66" t="str">
        <f>IFERROR(__xludf.DUMMYFUNCTION("GOOGLETRANSLATE(A8166,""en"",""pt"")"),"#VALUE!")</f>
        <v>#VALUE!</v>
      </c>
      <c r="G8166" s="69"/>
    </row>
    <row r="8167" ht="22.5" customHeight="1">
      <c r="A8167" s="66"/>
      <c r="B8167" s="67" t="str">
        <f t="shared" si="16"/>
        <v>M: </v>
      </c>
      <c r="C8167" s="68"/>
      <c r="D8167" s="68">
        <v>46566.0</v>
      </c>
      <c r="E8167" s="66">
        <v>5.0</v>
      </c>
      <c r="F8167" s="66" t="str">
        <f>IFERROR(__xludf.DUMMYFUNCTION("GOOGLETRANSLATE(A8167,""en"",""pt"")"),"#VALUE!")</f>
        <v>#VALUE!</v>
      </c>
      <c r="G8167" s="69"/>
    </row>
    <row r="8168" ht="22.5" customHeight="1">
      <c r="A8168" s="66"/>
      <c r="B8168" s="67" t="str">
        <f t="shared" si="16"/>
        <v>M: </v>
      </c>
      <c r="C8168" s="68"/>
      <c r="D8168" s="68">
        <v>46566.0</v>
      </c>
      <c r="E8168" s="66">
        <v>6.0</v>
      </c>
      <c r="F8168" s="66" t="str">
        <f>IFERROR(__xludf.DUMMYFUNCTION("GOOGLETRANSLATE(A8168,""en"",""pt"")"),"#VALUE!")</f>
        <v>#VALUE!</v>
      </c>
      <c r="G8168" s="69"/>
    </row>
    <row r="8169" ht="22.5" customHeight="1">
      <c r="A8169" s="66"/>
      <c r="B8169" s="67" t="str">
        <f t="shared" si="16"/>
        <v>M: </v>
      </c>
      <c r="C8169" s="68"/>
      <c r="D8169" s="68">
        <v>46566.0</v>
      </c>
      <c r="E8169" s="66">
        <v>7.0</v>
      </c>
      <c r="F8169" s="66" t="str">
        <f>IFERROR(__xludf.DUMMYFUNCTION("GOOGLETRANSLATE(A8169,""en"",""pt"")"),"#VALUE!")</f>
        <v>#VALUE!</v>
      </c>
      <c r="G8169" s="69"/>
    </row>
    <row r="8170" ht="22.5" customHeight="1">
      <c r="A8170" s="66"/>
      <c r="B8170" s="67" t="str">
        <f t="shared" si="16"/>
        <v>M: </v>
      </c>
      <c r="C8170" s="68"/>
      <c r="D8170" s="68">
        <v>46566.0</v>
      </c>
      <c r="E8170" s="66">
        <v>8.0</v>
      </c>
      <c r="F8170" s="66" t="str">
        <f>IFERROR(__xludf.DUMMYFUNCTION("GOOGLETRANSLATE(A8170,""en"",""pt"")"),"#VALUE!")</f>
        <v>#VALUE!</v>
      </c>
      <c r="G8170" s="69"/>
    </row>
    <row r="8171" ht="22.5" customHeight="1">
      <c r="A8171" s="66"/>
      <c r="B8171" s="67" t="str">
        <f t="shared" si="16"/>
        <v>M: </v>
      </c>
      <c r="C8171" s="68"/>
      <c r="D8171" s="68">
        <v>46566.0</v>
      </c>
      <c r="E8171" s="66">
        <v>9.0</v>
      </c>
      <c r="F8171" s="66" t="str">
        <f>IFERROR(__xludf.DUMMYFUNCTION("GOOGLETRANSLATE(A8171,""en"",""pt"")"),"#VALUE!")</f>
        <v>#VALUE!</v>
      </c>
      <c r="G8171" s="69"/>
    </row>
    <row r="8172" ht="22.5" customHeight="1">
      <c r="A8172" s="66"/>
      <c r="B8172" s="67" t="str">
        <f t="shared" si="16"/>
        <v>M: </v>
      </c>
      <c r="C8172" s="68"/>
      <c r="D8172" s="68">
        <v>46567.0</v>
      </c>
      <c r="E8172" s="66">
        <v>10.0</v>
      </c>
      <c r="F8172" s="66" t="str">
        <f>IFERROR(__xludf.DUMMYFUNCTION("GOOGLETRANSLATE(A8172,""en"",""pt"")"),"#VALUE!")</f>
        <v>#VALUE!</v>
      </c>
      <c r="G8172" s="69"/>
    </row>
    <row r="8173" ht="22.5" customHeight="1">
      <c r="A8173" s="66"/>
      <c r="B8173" s="67" t="str">
        <f t="shared" si="16"/>
        <v>M: </v>
      </c>
      <c r="C8173" s="68"/>
      <c r="D8173" s="68">
        <v>46567.0</v>
      </c>
      <c r="E8173" s="66">
        <v>1.0</v>
      </c>
      <c r="F8173" s="66" t="str">
        <f>IFERROR(__xludf.DUMMYFUNCTION("GOOGLETRANSLATE(A8173,""en"",""pt"")"),"#VALUE!")</f>
        <v>#VALUE!</v>
      </c>
      <c r="G8173" s="69"/>
    </row>
    <row r="8174" ht="22.5" customHeight="1">
      <c r="A8174" s="66"/>
      <c r="B8174" s="67" t="str">
        <f t="shared" si="16"/>
        <v>M: </v>
      </c>
      <c r="C8174" s="68"/>
      <c r="D8174" s="68">
        <v>46567.0</v>
      </c>
      <c r="E8174" s="66">
        <v>2.0</v>
      </c>
      <c r="F8174" s="66" t="str">
        <f>IFERROR(__xludf.DUMMYFUNCTION("GOOGLETRANSLATE(A8174,""en"",""pt"")"),"#VALUE!")</f>
        <v>#VALUE!</v>
      </c>
      <c r="G8174" s="69"/>
    </row>
    <row r="8175" ht="22.5" customHeight="1">
      <c r="A8175" s="66"/>
      <c r="B8175" s="67" t="str">
        <f t="shared" si="16"/>
        <v>M: </v>
      </c>
      <c r="C8175" s="68"/>
      <c r="D8175" s="68">
        <v>46567.0</v>
      </c>
      <c r="E8175" s="66">
        <v>3.0</v>
      </c>
      <c r="F8175" s="66" t="str">
        <f>IFERROR(__xludf.DUMMYFUNCTION("GOOGLETRANSLATE(A8175,""en"",""pt"")"),"#VALUE!")</f>
        <v>#VALUE!</v>
      </c>
      <c r="G8175" s="69"/>
    </row>
    <row r="8176" ht="22.5" customHeight="1">
      <c r="A8176" s="66"/>
      <c r="B8176" s="67" t="str">
        <f t="shared" si="16"/>
        <v>M: </v>
      </c>
      <c r="C8176" s="68"/>
      <c r="D8176" s="68">
        <v>46567.0</v>
      </c>
      <c r="E8176" s="66">
        <v>4.0</v>
      </c>
      <c r="F8176" s="66" t="str">
        <f>IFERROR(__xludf.DUMMYFUNCTION("GOOGLETRANSLATE(A8176,""en"",""pt"")"),"#VALUE!")</f>
        <v>#VALUE!</v>
      </c>
      <c r="G8176" s="69"/>
    </row>
    <row r="8177" ht="22.5" customHeight="1">
      <c r="A8177" s="66"/>
      <c r="B8177" s="67" t="str">
        <f t="shared" si="16"/>
        <v>M: </v>
      </c>
      <c r="C8177" s="68"/>
      <c r="D8177" s="68">
        <v>46567.0</v>
      </c>
      <c r="E8177" s="66">
        <v>5.0</v>
      </c>
      <c r="F8177" s="66" t="str">
        <f>IFERROR(__xludf.DUMMYFUNCTION("GOOGLETRANSLATE(A8177,""en"",""pt"")"),"#VALUE!")</f>
        <v>#VALUE!</v>
      </c>
      <c r="G8177" s="69"/>
    </row>
    <row r="8178" ht="22.5" customHeight="1">
      <c r="A8178" s="66"/>
      <c r="B8178" s="67" t="str">
        <f t="shared" si="16"/>
        <v>M: </v>
      </c>
      <c r="C8178" s="68"/>
      <c r="D8178" s="68">
        <v>46567.0</v>
      </c>
      <c r="E8178" s="66">
        <v>6.0</v>
      </c>
      <c r="F8178" s="66" t="str">
        <f>IFERROR(__xludf.DUMMYFUNCTION("GOOGLETRANSLATE(A8178,""en"",""pt"")"),"#VALUE!")</f>
        <v>#VALUE!</v>
      </c>
      <c r="G8178" s="69"/>
    </row>
    <row r="8179" ht="22.5" customHeight="1">
      <c r="A8179" s="66"/>
      <c r="B8179" s="67" t="str">
        <f t="shared" si="16"/>
        <v>M: </v>
      </c>
      <c r="C8179" s="68"/>
      <c r="D8179" s="68">
        <v>46567.0</v>
      </c>
      <c r="E8179" s="66">
        <v>7.0</v>
      </c>
      <c r="F8179" s="66" t="str">
        <f>IFERROR(__xludf.DUMMYFUNCTION("GOOGLETRANSLATE(A8179,""en"",""pt"")"),"#VALUE!")</f>
        <v>#VALUE!</v>
      </c>
      <c r="G8179" s="69"/>
    </row>
    <row r="8180" ht="22.5" customHeight="1">
      <c r="A8180" s="66"/>
      <c r="B8180" s="67" t="str">
        <f t="shared" si="16"/>
        <v>M: </v>
      </c>
      <c r="C8180" s="68"/>
      <c r="D8180" s="68">
        <v>46567.0</v>
      </c>
      <c r="E8180" s="66">
        <v>8.0</v>
      </c>
      <c r="F8180" s="66" t="str">
        <f>IFERROR(__xludf.DUMMYFUNCTION("GOOGLETRANSLATE(A8180,""en"",""pt"")"),"#VALUE!")</f>
        <v>#VALUE!</v>
      </c>
      <c r="G8180" s="69"/>
    </row>
    <row r="8181" ht="22.5" customHeight="1">
      <c r="A8181" s="66"/>
      <c r="B8181" s="67" t="str">
        <f t="shared" si="16"/>
        <v>M: </v>
      </c>
      <c r="C8181" s="68"/>
      <c r="D8181" s="68">
        <v>46567.0</v>
      </c>
      <c r="E8181" s="66">
        <v>9.0</v>
      </c>
      <c r="F8181" s="66" t="str">
        <f>IFERROR(__xludf.DUMMYFUNCTION("GOOGLETRANSLATE(A8181,""en"",""pt"")"),"#VALUE!")</f>
        <v>#VALUE!</v>
      </c>
      <c r="G8181" s="69"/>
    </row>
    <row r="8182" ht="22.5" customHeight="1">
      <c r="A8182" s="66"/>
      <c r="B8182" s="67" t="str">
        <f t="shared" si="16"/>
        <v>M: </v>
      </c>
      <c r="C8182" s="68"/>
      <c r="D8182" s="68">
        <v>46568.0</v>
      </c>
      <c r="E8182" s="66">
        <v>10.0</v>
      </c>
      <c r="F8182" s="66" t="str">
        <f>IFERROR(__xludf.DUMMYFUNCTION("GOOGLETRANSLATE(A8182,""en"",""pt"")"),"#VALUE!")</f>
        <v>#VALUE!</v>
      </c>
      <c r="G8182" s="69"/>
    </row>
    <row r="8183" ht="22.5" customHeight="1">
      <c r="A8183" s="66"/>
      <c r="B8183" s="67" t="str">
        <f t="shared" si="16"/>
        <v>M: </v>
      </c>
      <c r="C8183" s="68"/>
      <c r="D8183" s="68">
        <v>46568.0</v>
      </c>
      <c r="E8183" s="66">
        <v>1.0</v>
      </c>
      <c r="F8183" s="66" t="str">
        <f>IFERROR(__xludf.DUMMYFUNCTION("GOOGLETRANSLATE(A8183,""en"",""pt"")"),"#VALUE!")</f>
        <v>#VALUE!</v>
      </c>
      <c r="G8183" s="69"/>
    </row>
    <row r="8184" ht="22.5" customHeight="1">
      <c r="A8184" s="66"/>
      <c r="B8184" s="67" t="str">
        <f t="shared" si="16"/>
        <v>M: </v>
      </c>
      <c r="C8184" s="68"/>
      <c r="D8184" s="68">
        <v>46568.0</v>
      </c>
      <c r="E8184" s="66">
        <v>2.0</v>
      </c>
      <c r="F8184" s="66" t="str">
        <f>IFERROR(__xludf.DUMMYFUNCTION("GOOGLETRANSLATE(A8184,""en"",""pt"")"),"#VALUE!")</f>
        <v>#VALUE!</v>
      </c>
      <c r="G8184" s="69"/>
    </row>
    <row r="8185" ht="22.5" customHeight="1">
      <c r="A8185" s="66"/>
      <c r="B8185" s="67" t="str">
        <f t="shared" si="16"/>
        <v>M: </v>
      </c>
      <c r="C8185" s="68"/>
      <c r="D8185" s="68">
        <v>46568.0</v>
      </c>
      <c r="E8185" s="66">
        <v>3.0</v>
      </c>
      <c r="F8185" s="66" t="str">
        <f>IFERROR(__xludf.DUMMYFUNCTION("GOOGLETRANSLATE(A8185,""en"",""pt"")"),"#VALUE!")</f>
        <v>#VALUE!</v>
      </c>
      <c r="G8185" s="69"/>
    </row>
    <row r="8186" ht="22.5" customHeight="1">
      <c r="A8186" s="66"/>
      <c r="B8186" s="67" t="str">
        <f t="shared" si="16"/>
        <v>M: </v>
      </c>
      <c r="C8186" s="68"/>
      <c r="D8186" s="68">
        <v>46568.0</v>
      </c>
      <c r="E8186" s="66">
        <v>4.0</v>
      </c>
      <c r="F8186" s="66" t="str">
        <f>IFERROR(__xludf.DUMMYFUNCTION("GOOGLETRANSLATE(A8186,""en"",""pt"")"),"#VALUE!")</f>
        <v>#VALUE!</v>
      </c>
      <c r="G8186" s="69"/>
    </row>
    <row r="8187" ht="22.5" customHeight="1">
      <c r="A8187" s="66"/>
      <c r="B8187" s="67" t="str">
        <f t="shared" si="16"/>
        <v>M: </v>
      </c>
      <c r="C8187" s="68"/>
      <c r="D8187" s="68">
        <v>46568.0</v>
      </c>
      <c r="E8187" s="66">
        <v>5.0</v>
      </c>
      <c r="F8187" s="66" t="str">
        <f>IFERROR(__xludf.DUMMYFUNCTION("GOOGLETRANSLATE(A8187,""en"",""pt"")"),"#VALUE!")</f>
        <v>#VALUE!</v>
      </c>
      <c r="G8187" s="69"/>
    </row>
    <row r="8188" ht="22.5" customHeight="1">
      <c r="A8188" s="66"/>
      <c r="B8188" s="67" t="str">
        <f t="shared" si="16"/>
        <v>M: </v>
      </c>
      <c r="C8188" s="68"/>
      <c r="D8188" s="68">
        <v>46568.0</v>
      </c>
      <c r="E8188" s="66">
        <v>6.0</v>
      </c>
      <c r="F8188" s="66" t="str">
        <f>IFERROR(__xludf.DUMMYFUNCTION("GOOGLETRANSLATE(A8188,""en"",""pt"")"),"#VALUE!")</f>
        <v>#VALUE!</v>
      </c>
      <c r="G8188" s="69"/>
    </row>
    <row r="8189" ht="22.5" customHeight="1">
      <c r="A8189" s="66"/>
      <c r="B8189" s="67" t="str">
        <f t="shared" si="16"/>
        <v>M: </v>
      </c>
      <c r="C8189" s="68"/>
      <c r="D8189" s="68">
        <v>46568.0</v>
      </c>
      <c r="E8189" s="66">
        <v>7.0</v>
      </c>
      <c r="F8189" s="66" t="str">
        <f>IFERROR(__xludf.DUMMYFUNCTION("GOOGLETRANSLATE(A8189,""en"",""pt"")"),"#VALUE!")</f>
        <v>#VALUE!</v>
      </c>
      <c r="G8189" s="69"/>
    </row>
    <row r="8190" ht="22.5" customHeight="1">
      <c r="A8190" s="66"/>
      <c r="B8190" s="67" t="str">
        <f t="shared" si="16"/>
        <v>M: </v>
      </c>
      <c r="C8190" s="68"/>
      <c r="D8190" s="68">
        <v>46568.0</v>
      </c>
      <c r="E8190" s="66">
        <v>8.0</v>
      </c>
      <c r="F8190" s="66" t="str">
        <f>IFERROR(__xludf.DUMMYFUNCTION("GOOGLETRANSLATE(A8190,""en"",""pt"")"),"#VALUE!")</f>
        <v>#VALUE!</v>
      </c>
      <c r="G8190" s="69"/>
    </row>
    <row r="8191" ht="22.5" customHeight="1">
      <c r="A8191" s="66"/>
      <c r="B8191" s="67" t="str">
        <f t="shared" si="16"/>
        <v>M: </v>
      </c>
      <c r="C8191" s="68"/>
      <c r="D8191" s="68">
        <v>46568.0</v>
      </c>
      <c r="E8191" s="66">
        <v>9.0</v>
      </c>
      <c r="F8191" s="66" t="str">
        <f>IFERROR(__xludf.DUMMYFUNCTION("GOOGLETRANSLATE(A8191,""en"",""pt"")"),"#VALUE!")</f>
        <v>#VALUE!</v>
      </c>
      <c r="G8191" s="69"/>
    </row>
    <row r="8192" ht="22.5" customHeight="1">
      <c r="A8192" s="66"/>
      <c r="B8192" s="67" t="str">
        <f t="shared" si="16"/>
        <v>M: </v>
      </c>
      <c r="C8192" s="68"/>
      <c r="D8192" s="68">
        <v>46569.0</v>
      </c>
      <c r="E8192" s="66">
        <v>10.0</v>
      </c>
      <c r="F8192" s="66" t="str">
        <f>IFERROR(__xludf.DUMMYFUNCTION("GOOGLETRANSLATE(A8192,""en"",""pt"")"),"#VALUE!")</f>
        <v>#VALUE!</v>
      </c>
      <c r="G8192" s="69"/>
    </row>
    <row r="8193" ht="22.5" customHeight="1">
      <c r="A8193" s="66"/>
      <c r="B8193" s="67" t="str">
        <f t="shared" si="16"/>
        <v>M: </v>
      </c>
      <c r="C8193" s="68"/>
      <c r="D8193" s="68">
        <v>46569.0</v>
      </c>
      <c r="E8193" s="66">
        <v>1.0</v>
      </c>
      <c r="F8193" s="66" t="str">
        <f>IFERROR(__xludf.DUMMYFUNCTION("GOOGLETRANSLATE(A8193,""en"",""pt"")"),"#VALUE!")</f>
        <v>#VALUE!</v>
      </c>
      <c r="G8193" s="69"/>
    </row>
    <row r="8194" ht="22.5" customHeight="1">
      <c r="A8194" s="66"/>
      <c r="B8194" s="67" t="str">
        <f t="shared" si="16"/>
        <v>M: </v>
      </c>
      <c r="C8194" s="68"/>
      <c r="D8194" s="68">
        <v>46569.0</v>
      </c>
      <c r="E8194" s="66">
        <v>2.0</v>
      </c>
      <c r="F8194" s="66" t="str">
        <f>IFERROR(__xludf.DUMMYFUNCTION("GOOGLETRANSLATE(A8194,""en"",""pt"")"),"#VALUE!")</f>
        <v>#VALUE!</v>
      </c>
      <c r="G8194" s="69"/>
    </row>
    <row r="8195" ht="22.5" customHeight="1">
      <c r="A8195" s="66"/>
      <c r="B8195" s="67" t="str">
        <f t="shared" si="16"/>
        <v>M: </v>
      </c>
      <c r="C8195" s="68"/>
      <c r="D8195" s="68">
        <v>46569.0</v>
      </c>
      <c r="E8195" s="66">
        <v>3.0</v>
      </c>
      <c r="F8195" s="66" t="str">
        <f>IFERROR(__xludf.DUMMYFUNCTION("GOOGLETRANSLATE(A8195,""en"",""pt"")"),"#VALUE!")</f>
        <v>#VALUE!</v>
      </c>
      <c r="G8195" s="69"/>
    </row>
    <row r="8196" ht="22.5" customHeight="1">
      <c r="A8196" s="66"/>
      <c r="B8196" s="67" t="str">
        <f t="shared" si="16"/>
        <v>M: </v>
      </c>
      <c r="C8196" s="68"/>
      <c r="D8196" s="68">
        <v>46569.0</v>
      </c>
      <c r="E8196" s="66">
        <v>4.0</v>
      </c>
      <c r="F8196" s="66" t="str">
        <f>IFERROR(__xludf.DUMMYFUNCTION("GOOGLETRANSLATE(A8196,""en"",""pt"")"),"#VALUE!")</f>
        <v>#VALUE!</v>
      </c>
      <c r="G8196" s="69"/>
    </row>
    <row r="8197" ht="22.5" customHeight="1">
      <c r="A8197" s="66"/>
      <c r="B8197" s="67" t="str">
        <f t="shared" si="16"/>
        <v>M: </v>
      </c>
      <c r="C8197" s="68"/>
      <c r="D8197" s="68">
        <v>46569.0</v>
      </c>
      <c r="E8197" s="66">
        <v>5.0</v>
      </c>
      <c r="F8197" s="66" t="str">
        <f>IFERROR(__xludf.DUMMYFUNCTION("GOOGLETRANSLATE(A8197,""en"",""pt"")"),"#VALUE!")</f>
        <v>#VALUE!</v>
      </c>
      <c r="G8197" s="69"/>
    </row>
    <row r="8198" ht="22.5" customHeight="1">
      <c r="A8198" s="66"/>
      <c r="B8198" s="67" t="str">
        <f t="shared" si="16"/>
        <v>M: </v>
      </c>
      <c r="C8198" s="68"/>
      <c r="D8198" s="68">
        <v>46569.0</v>
      </c>
      <c r="E8198" s="66">
        <v>6.0</v>
      </c>
      <c r="F8198" s="66" t="str">
        <f>IFERROR(__xludf.DUMMYFUNCTION("GOOGLETRANSLATE(A8198,""en"",""pt"")"),"#VALUE!")</f>
        <v>#VALUE!</v>
      </c>
      <c r="G8198" s="69"/>
    </row>
    <row r="8199" ht="22.5" customHeight="1">
      <c r="A8199" s="66"/>
      <c r="B8199" s="67" t="str">
        <f t="shared" si="16"/>
        <v>M: </v>
      </c>
      <c r="C8199" s="68"/>
      <c r="D8199" s="68">
        <v>46569.0</v>
      </c>
      <c r="E8199" s="66">
        <v>7.0</v>
      </c>
      <c r="F8199" s="66" t="str">
        <f>IFERROR(__xludf.DUMMYFUNCTION("GOOGLETRANSLATE(A8199,""en"",""pt"")"),"#VALUE!")</f>
        <v>#VALUE!</v>
      </c>
      <c r="G8199" s="69"/>
    </row>
    <row r="8200" ht="22.5" customHeight="1">
      <c r="A8200" s="66"/>
      <c r="B8200" s="67" t="str">
        <f t="shared" si="16"/>
        <v>M: </v>
      </c>
      <c r="C8200" s="68"/>
      <c r="D8200" s="68">
        <v>46569.0</v>
      </c>
      <c r="E8200" s="66">
        <v>8.0</v>
      </c>
      <c r="F8200" s="66" t="str">
        <f>IFERROR(__xludf.DUMMYFUNCTION("GOOGLETRANSLATE(A8200,""en"",""pt"")"),"#VALUE!")</f>
        <v>#VALUE!</v>
      </c>
      <c r="G8200" s="69"/>
    </row>
    <row r="8201" ht="22.5" customHeight="1">
      <c r="A8201" s="66"/>
      <c r="B8201" s="67" t="str">
        <f t="shared" si="16"/>
        <v>M: </v>
      </c>
      <c r="C8201" s="68"/>
      <c r="D8201" s="68">
        <v>46569.0</v>
      </c>
      <c r="E8201" s="66">
        <v>9.0</v>
      </c>
      <c r="F8201" s="66" t="str">
        <f>IFERROR(__xludf.DUMMYFUNCTION("GOOGLETRANSLATE(A8201,""en"",""pt"")"),"#VALUE!")</f>
        <v>#VALUE!</v>
      </c>
      <c r="G8201" s="69"/>
    </row>
    <row r="8202" ht="22.5" customHeight="1">
      <c r="A8202" s="66"/>
      <c r="B8202" s="67" t="str">
        <f t="shared" si="16"/>
        <v>M: </v>
      </c>
      <c r="C8202" s="68"/>
      <c r="D8202" s="68">
        <v>46570.0</v>
      </c>
      <c r="E8202" s="66">
        <v>10.0</v>
      </c>
      <c r="F8202" s="66" t="str">
        <f>IFERROR(__xludf.DUMMYFUNCTION("GOOGLETRANSLATE(A8202,""en"",""pt"")"),"#VALUE!")</f>
        <v>#VALUE!</v>
      </c>
      <c r="G8202" s="69"/>
    </row>
    <row r="8203" ht="22.5" customHeight="1">
      <c r="A8203" s="66"/>
      <c r="B8203" s="67" t="str">
        <f t="shared" si="16"/>
        <v>M: </v>
      </c>
      <c r="C8203" s="68"/>
      <c r="D8203" s="68">
        <v>46570.0</v>
      </c>
      <c r="E8203" s="66">
        <v>1.0</v>
      </c>
      <c r="F8203" s="66" t="str">
        <f>IFERROR(__xludf.DUMMYFUNCTION("GOOGLETRANSLATE(A8203,""en"",""pt"")"),"#VALUE!")</f>
        <v>#VALUE!</v>
      </c>
      <c r="G8203" s="69"/>
    </row>
    <row r="8204" ht="22.5" customHeight="1">
      <c r="A8204" s="66"/>
      <c r="B8204" s="67" t="str">
        <f t="shared" si="16"/>
        <v>M: </v>
      </c>
      <c r="C8204" s="68"/>
      <c r="D8204" s="68">
        <v>46570.0</v>
      </c>
      <c r="E8204" s="66">
        <v>2.0</v>
      </c>
      <c r="F8204" s="66" t="str">
        <f>IFERROR(__xludf.DUMMYFUNCTION("GOOGLETRANSLATE(A8204,""en"",""pt"")"),"#VALUE!")</f>
        <v>#VALUE!</v>
      </c>
      <c r="G8204" s="69"/>
    </row>
    <row r="8205" ht="22.5" customHeight="1">
      <c r="A8205" s="66"/>
      <c r="B8205" s="67" t="str">
        <f t="shared" si="16"/>
        <v>M: </v>
      </c>
      <c r="C8205" s="68"/>
      <c r="D8205" s="68">
        <v>46570.0</v>
      </c>
      <c r="E8205" s="66">
        <v>3.0</v>
      </c>
      <c r="F8205" s="66" t="str">
        <f>IFERROR(__xludf.DUMMYFUNCTION("GOOGLETRANSLATE(A8205,""en"",""pt"")"),"#VALUE!")</f>
        <v>#VALUE!</v>
      </c>
      <c r="G8205" s="69"/>
    </row>
    <row r="8206" ht="22.5" customHeight="1">
      <c r="A8206" s="66"/>
      <c r="B8206" s="67" t="str">
        <f t="shared" si="16"/>
        <v>M: </v>
      </c>
      <c r="C8206" s="68"/>
      <c r="D8206" s="68">
        <v>46570.0</v>
      </c>
      <c r="E8206" s="66">
        <v>4.0</v>
      </c>
      <c r="F8206" s="66" t="str">
        <f>IFERROR(__xludf.DUMMYFUNCTION("GOOGLETRANSLATE(A8206,""en"",""pt"")"),"#VALUE!")</f>
        <v>#VALUE!</v>
      </c>
      <c r="G8206" s="69"/>
    </row>
    <row r="8207" ht="22.5" customHeight="1">
      <c r="A8207" s="66"/>
      <c r="B8207" s="67" t="str">
        <f t="shared" si="16"/>
        <v>M: </v>
      </c>
      <c r="C8207" s="68"/>
      <c r="D8207" s="68">
        <v>46570.0</v>
      </c>
      <c r="E8207" s="66">
        <v>5.0</v>
      </c>
      <c r="F8207" s="66" t="str">
        <f>IFERROR(__xludf.DUMMYFUNCTION("GOOGLETRANSLATE(A8207,""en"",""pt"")"),"#VALUE!")</f>
        <v>#VALUE!</v>
      </c>
      <c r="G8207" s="69"/>
    </row>
    <row r="8208" ht="22.5" customHeight="1">
      <c r="A8208" s="66"/>
      <c r="B8208" s="67" t="str">
        <f t="shared" si="16"/>
        <v>M: </v>
      </c>
      <c r="C8208" s="68"/>
      <c r="D8208" s="68">
        <v>46570.0</v>
      </c>
      <c r="E8208" s="66">
        <v>6.0</v>
      </c>
      <c r="F8208" s="66" t="str">
        <f>IFERROR(__xludf.DUMMYFUNCTION("GOOGLETRANSLATE(A8208,""en"",""pt"")"),"#VALUE!")</f>
        <v>#VALUE!</v>
      </c>
      <c r="G8208" s="69"/>
    </row>
    <row r="8209" ht="22.5" customHeight="1">
      <c r="A8209" s="66"/>
      <c r="B8209" s="67" t="str">
        <f t="shared" si="16"/>
        <v>M: </v>
      </c>
      <c r="C8209" s="68"/>
      <c r="D8209" s="68">
        <v>46570.0</v>
      </c>
      <c r="E8209" s="66">
        <v>7.0</v>
      </c>
      <c r="F8209" s="66" t="str">
        <f>IFERROR(__xludf.DUMMYFUNCTION("GOOGLETRANSLATE(A8209,""en"",""pt"")"),"#VALUE!")</f>
        <v>#VALUE!</v>
      </c>
      <c r="G8209" s="69"/>
    </row>
    <row r="8210" ht="22.5" customHeight="1">
      <c r="A8210" s="66"/>
      <c r="B8210" s="67" t="str">
        <f t="shared" si="16"/>
        <v>M: </v>
      </c>
      <c r="C8210" s="68"/>
      <c r="D8210" s="68">
        <v>46570.0</v>
      </c>
      <c r="E8210" s="66">
        <v>8.0</v>
      </c>
      <c r="F8210" s="66" t="str">
        <f>IFERROR(__xludf.DUMMYFUNCTION("GOOGLETRANSLATE(A8210,""en"",""pt"")"),"#VALUE!")</f>
        <v>#VALUE!</v>
      </c>
      <c r="G8210" s="69"/>
    </row>
    <row r="8211" ht="22.5" customHeight="1">
      <c r="A8211" s="66"/>
      <c r="B8211" s="67" t="str">
        <f t="shared" si="16"/>
        <v>M: </v>
      </c>
      <c r="C8211" s="68"/>
      <c r="D8211" s="68">
        <v>46570.0</v>
      </c>
      <c r="E8211" s="66">
        <v>9.0</v>
      </c>
      <c r="F8211" s="66" t="str">
        <f>IFERROR(__xludf.DUMMYFUNCTION("GOOGLETRANSLATE(A8211,""en"",""pt"")"),"#VALUE!")</f>
        <v>#VALUE!</v>
      </c>
      <c r="G8211" s="69"/>
    </row>
    <row r="8212" ht="22.5" customHeight="1">
      <c r="A8212" s="66"/>
      <c r="B8212" s="67" t="str">
        <f t="shared" si="16"/>
        <v>M: </v>
      </c>
      <c r="C8212" s="68"/>
      <c r="D8212" s="68">
        <v>46571.0</v>
      </c>
      <c r="E8212" s="66">
        <v>10.0</v>
      </c>
      <c r="F8212" s="66" t="str">
        <f>IFERROR(__xludf.DUMMYFUNCTION("GOOGLETRANSLATE(A8212,""en"",""pt"")"),"#VALUE!")</f>
        <v>#VALUE!</v>
      </c>
      <c r="G8212" s="69"/>
    </row>
    <row r="8213" ht="22.5" customHeight="1">
      <c r="A8213" s="66"/>
      <c r="B8213" s="67" t="str">
        <f t="shared" si="16"/>
        <v>M: </v>
      </c>
      <c r="C8213" s="68"/>
      <c r="D8213" s="68">
        <v>46571.0</v>
      </c>
      <c r="E8213" s="66">
        <v>1.0</v>
      </c>
      <c r="F8213" s="66" t="str">
        <f>IFERROR(__xludf.DUMMYFUNCTION("GOOGLETRANSLATE(A8213,""en"",""pt"")"),"#VALUE!")</f>
        <v>#VALUE!</v>
      </c>
      <c r="G8213" s="69"/>
    </row>
    <row r="8214" ht="22.5" customHeight="1">
      <c r="A8214" s="66"/>
      <c r="B8214" s="67" t="str">
        <f t="shared" si="16"/>
        <v>M: </v>
      </c>
      <c r="C8214" s="68"/>
      <c r="D8214" s="68">
        <v>46571.0</v>
      </c>
      <c r="E8214" s="66">
        <v>2.0</v>
      </c>
      <c r="F8214" s="66" t="str">
        <f>IFERROR(__xludf.DUMMYFUNCTION("GOOGLETRANSLATE(A8214,""en"",""pt"")"),"#VALUE!")</f>
        <v>#VALUE!</v>
      </c>
      <c r="G8214" s="69"/>
    </row>
    <row r="8215" ht="22.5" customHeight="1">
      <c r="A8215" s="66"/>
      <c r="B8215" s="67" t="str">
        <f t="shared" si="16"/>
        <v>M: </v>
      </c>
      <c r="C8215" s="68"/>
      <c r="D8215" s="68">
        <v>46571.0</v>
      </c>
      <c r="E8215" s="66">
        <v>3.0</v>
      </c>
      <c r="F8215" s="66" t="str">
        <f>IFERROR(__xludf.DUMMYFUNCTION("GOOGLETRANSLATE(A8215,""en"",""pt"")"),"#VALUE!")</f>
        <v>#VALUE!</v>
      </c>
      <c r="G8215" s="69"/>
    </row>
    <row r="8216" ht="22.5" customHeight="1">
      <c r="A8216" s="66"/>
      <c r="B8216" s="67" t="str">
        <f t="shared" si="16"/>
        <v>M: </v>
      </c>
      <c r="C8216" s="68"/>
      <c r="D8216" s="68">
        <v>46571.0</v>
      </c>
      <c r="E8216" s="66">
        <v>4.0</v>
      </c>
      <c r="F8216" s="66" t="str">
        <f>IFERROR(__xludf.DUMMYFUNCTION("GOOGLETRANSLATE(A8216,""en"",""pt"")"),"#VALUE!")</f>
        <v>#VALUE!</v>
      </c>
      <c r="G8216" s="69"/>
    </row>
    <row r="8217" ht="22.5" customHeight="1">
      <c r="A8217" s="66"/>
      <c r="B8217" s="67" t="str">
        <f t="shared" si="16"/>
        <v>M: </v>
      </c>
      <c r="C8217" s="68"/>
      <c r="D8217" s="68">
        <v>46571.0</v>
      </c>
      <c r="E8217" s="66">
        <v>5.0</v>
      </c>
      <c r="F8217" s="66" t="str">
        <f>IFERROR(__xludf.DUMMYFUNCTION("GOOGLETRANSLATE(A8217,""en"",""pt"")"),"#VALUE!")</f>
        <v>#VALUE!</v>
      </c>
      <c r="G8217" s="69"/>
    </row>
    <row r="8218" ht="22.5" customHeight="1">
      <c r="A8218" s="66"/>
      <c r="B8218" s="67" t="str">
        <f t="shared" si="16"/>
        <v>M: </v>
      </c>
      <c r="C8218" s="68"/>
      <c r="D8218" s="68">
        <v>46571.0</v>
      </c>
      <c r="E8218" s="66">
        <v>6.0</v>
      </c>
      <c r="F8218" s="66" t="str">
        <f>IFERROR(__xludf.DUMMYFUNCTION("GOOGLETRANSLATE(A8218,""en"",""pt"")"),"#VALUE!")</f>
        <v>#VALUE!</v>
      </c>
      <c r="G8218" s="69"/>
    </row>
    <row r="8219" ht="22.5" customHeight="1">
      <c r="A8219" s="66"/>
      <c r="B8219" s="67" t="str">
        <f t="shared" si="16"/>
        <v>M: </v>
      </c>
      <c r="C8219" s="68"/>
      <c r="D8219" s="68">
        <v>46571.0</v>
      </c>
      <c r="E8219" s="66">
        <v>7.0</v>
      </c>
      <c r="F8219" s="66" t="str">
        <f>IFERROR(__xludf.DUMMYFUNCTION("GOOGLETRANSLATE(A8219,""en"",""pt"")"),"#VALUE!")</f>
        <v>#VALUE!</v>
      </c>
      <c r="G8219" s="69"/>
    </row>
    <row r="8220" ht="22.5" customHeight="1">
      <c r="A8220" s="66"/>
      <c r="B8220" s="67" t="str">
        <f t="shared" si="16"/>
        <v>M: </v>
      </c>
      <c r="C8220" s="68"/>
      <c r="D8220" s="68">
        <v>46571.0</v>
      </c>
      <c r="E8220" s="66">
        <v>8.0</v>
      </c>
      <c r="F8220" s="66" t="str">
        <f>IFERROR(__xludf.DUMMYFUNCTION("GOOGLETRANSLATE(A8220,""en"",""pt"")"),"#VALUE!")</f>
        <v>#VALUE!</v>
      </c>
      <c r="G8220" s="69"/>
    </row>
    <row r="8221" ht="22.5" customHeight="1">
      <c r="A8221" s="66"/>
      <c r="B8221" s="67" t="str">
        <f t="shared" si="16"/>
        <v>M: </v>
      </c>
      <c r="C8221" s="68"/>
      <c r="D8221" s="68">
        <v>46571.0</v>
      </c>
      <c r="E8221" s="66">
        <v>9.0</v>
      </c>
      <c r="F8221" s="66" t="str">
        <f>IFERROR(__xludf.DUMMYFUNCTION("GOOGLETRANSLATE(A8221,""en"",""pt"")"),"#VALUE!")</f>
        <v>#VALUE!</v>
      </c>
      <c r="G8221" s="69"/>
    </row>
    <row r="8222" ht="22.5" customHeight="1">
      <c r="A8222" s="66"/>
      <c r="B8222" s="67" t="str">
        <f t="shared" si="16"/>
        <v>M: </v>
      </c>
      <c r="C8222" s="68"/>
      <c r="D8222" s="68">
        <v>46572.0</v>
      </c>
      <c r="E8222" s="66">
        <v>10.0</v>
      </c>
      <c r="F8222" s="66" t="str">
        <f>IFERROR(__xludf.DUMMYFUNCTION("GOOGLETRANSLATE(A8222,""en"",""pt"")"),"#VALUE!")</f>
        <v>#VALUE!</v>
      </c>
      <c r="G8222" s="69"/>
    </row>
    <row r="8223" ht="22.5" customHeight="1">
      <c r="A8223" s="66"/>
      <c r="B8223" s="67" t="str">
        <f t="shared" si="16"/>
        <v>M: </v>
      </c>
      <c r="C8223" s="68"/>
      <c r="D8223" s="68">
        <v>46572.0</v>
      </c>
      <c r="E8223" s="66">
        <v>1.0</v>
      </c>
      <c r="F8223" s="66" t="str">
        <f>IFERROR(__xludf.DUMMYFUNCTION("GOOGLETRANSLATE(A8223,""en"",""pt"")"),"#VALUE!")</f>
        <v>#VALUE!</v>
      </c>
      <c r="G8223" s="69"/>
    </row>
    <row r="8224" ht="22.5" customHeight="1">
      <c r="A8224" s="66"/>
      <c r="B8224" s="67" t="str">
        <f t="shared" si="16"/>
        <v>M: </v>
      </c>
      <c r="C8224" s="68"/>
      <c r="D8224" s="68">
        <v>46572.0</v>
      </c>
      <c r="E8224" s="66">
        <v>2.0</v>
      </c>
      <c r="F8224" s="66" t="str">
        <f>IFERROR(__xludf.DUMMYFUNCTION("GOOGLETRANSLATE(A8224,""en"",""pt"")"),"#VALUE!")</f>
        <v>#VALUE!</v>
      </c>
      <c r="G8224" s="69"/>
    </row>
    <row r="8225" ht="22.5" customHeight="1">
      <c r="A8225" s="66"/>
      <c r="B8225" s="67" t="str">
        <f t="shared" si="16"/>
        <v>M: </v>
      </c>
      <c r="C8225" s="68"/>
      <c r="D8225" s="68">
        <v>46572.0</v>
      </c>
      <c r="E8225" s="66">
        <v>3.0</v>
      </c>
      <c r="F8225" s="66" t="str">
        <f>IFERROR(__xludf.DUMMYFUNCTION("GOOGLETRANSLATE(A8225,""en"",""pt"")"),"#VALUE!")</f>
        <v>#VALUE!</v>
      </c>
      <c r="G8225" s="69"/>
    </row>
    <row r="8226" ht="22.5" customHeight="1">
      <c r="A8226" s="66"/>
      <c r="B8226" s="67" t="str">
        <f t="shared" si="16"/>
        <v>M: </v>
      </c>
      <c r="C8226" s="68"/>
      <c r="D8226" s="68">
        <v>46572.0</v>
      </c>
      <c r="E8226" s="66">
        <v>4.0</v>
      </c>
      <c r="F8226" s="66" t="str">
        <f>IFERROR(__xludf.DUMMYFUNCTION("GOOGLETRANSLATE(A8226,""en"",""pt"")"),"#VALUE!")</f>
        <v>#VALUE!</v>
      </c>
      <c r="G8226" s="69"/>
    </row>
    <row r="8227" ht="22.5" customHeight="1">
      <c r="A8227" s="66"/>
      <c r="B8227" s="67" t="str">
        <f t="shared" si="16"/>
        <v>M: </v>
      </c>
      <c r="C8227" s="68"/>
      <c r="D8227" s="68">
        <v>46572.0</v>
      </c>
      <c r="E8227" s="66">
        <v>5.0</v>
      </c>
      <c r="F8227" s="66" t="str">
        <f>IFERROR(__xludf.DUMMYFUNCTION("GOOGLETRANSLATE(A8227,""en"",""pt"")"),"#VALUE!")</f>
        <v>#VALUE!</v>
      </c>
      <c r="G8227" s="69"/>
    </row>
    <row r="8228" ht="22.5" customHeight="1">
      <c r="A8228" s="66"/>
      <c r="B8228" s="67" t="str">
        <f t="shared" si="16"/>
        <v>M: </v>
      </c>
      <c r="C8228" s="68"/>
      <c r="D8228" s="68">
        <v>46572.0</v>
      </c>
      <c r="E8228" s="66">
        <v>6.0</v>
      </c>
      <c r="F8228" s="66" t="str">
        <f>IFERROR(__xludf.DUMMYFUNCTION("GOOGLETRANSLATE(A8228,""en"",""pt"")"),"#VALUE!")</f>
        <v>#VALUE!</v>
      </c>
      <c r="G8228" s="69"/>
    </row>
    <row r="8229" ht="22.5" customHeight="1">
      <c r="A8229" s="66"/>
      <c r="B8229" s="67" t="str">
        <f t="shared" si="16"/>
        <v>M: </v>
      </c>
      <c r="C8229" s="68"/>
      <c r="D8229" s="68">
        <v>46572.0</v>
      </c>
      <c r="E8229" s="66">
        <v>7.0</v>
      </c>
      <c r="F8229" s="66" t="str">
        <f>IFERROR(__xludf.DUMMYFUNCTION("GOOGLETRANSLATE(A8229,""en"",""pt"")"),"#VALUE!")</f>
        <v>#VALUE!</v>
      </c>
      <c r="G8229" s="69"/>
    </row>
    <row r="8230" ht="22.5" customHeight="1">
      <c r="A8230" s="66"/>
      <c r="B8230" s="67" t="str">
        <f t="shared" si="16"/>
        <v>M: </v>
      </c>
      <c r="C8230" s="68"/>
      <c r="D8230" s="68">
        <v>46572.0</v>
      </c>
      <c r="E8230" s="66">
        <v>8.0</v>
      </c>
      <c r="F8230" s="66" t="str">
        <f>IFERROR(__xludf.DUMMYFUNCTION("GOOGLETRANSLATE(A8230,""en"",""pt"")"),"#VALUE!")</f>
        <v>#VALUE!</v>
      </c>
      <c r="G8230" s="69"/>
    </row>
    <row r="8231" ht="22.5" customHeight="1">
      <c r="A8231" s="66"/>
      <c r="B8231" s="67" t="str">
        <f t="shared" si="16"/>
        <v>M: </v>
      </c>
      <c r="C8231" s="68"/>
      <c r="D8231" s="68">
        <v>46572.0</v>
      </c>
      <c r="E8231" s="66">
        <v>9.0</v>
      </c>
      <c r="F8231" s="66" t="str">
        <f>IFERROR(__xludf.DUMMYFUNCTION("GOOGLETRANSLATE(A8231,""en"",""pt"")"),"#VALUE!")</f>
        <v>#VALUE!</v>
      </c>
      <c r="G8231" s="69"/>
    </row>
    <row r="8232" ht="22.5" customHeight="1">
      <c r="A8232" s="66"/>
      <c r="B8232" s="67" t="str">
        <f t="shared" si="16"/>
        <v>M: </v>
      </c>
      <c r="C8232" s="68"/>
      <c r="D8232" s="68">
        <v>46573.0</v>
      </c>
      <c r="E8232" s="66">
        <v>10.0</v>
      </c>
      <c r="F8232" s="66" t="str">
        <f>IFERROR(__xludf.DUMMYFUNCTION("GOOGLETRANSLATE(A8232,""en"",""pt"")"),"#VALUE!")</f>
        <v>#VALUE!</v>
      </c>
      <c r="G8232" s="69"/>
    </row>
    <row r="8233" ht="22.5" customHeight="1">
      <c r="A8233" s="66"/>
      <c r="B8233" s="67" t="str">
        <f t="shared" si="16"/>
        <v>M: </v>
      </c>
      <c r="C8233" s="68"/>
      <c r="D8233" s="68">
        <v>46573.0</v>
      </c>
      <c r="E8233" s="66">
        <v>1.0</v>
      </c>
      <c r="F8233" s="66" t="str">
        <f>IFERROR(__xludf.DUMMYFUNCTION("GOOGLETRANSLATE(A8233,""en"",""pt"")"),"#VALUE!")</f>
        <v>#VALUE!</v>
      </c>
      <c r="G8233" s="69"/>
    </row>
    <row r="8234" ht="22.5" customHeight="1">
      <c r="A8234" s="66"/>
      <c r="B8234" s="67" t="str">
        <f t="shared" si="16"/>
        <v>M: </v>
      </c>
      <c r="C8234" s="68"/>
      <c r="D8234" s="68">
        <v>46573.0</v>
      </c>
      <c r="E8234" s="66">
        <v>2.0</v>
      </c>
      <c r="F8234" s="66" t="str">
        <f>IFERROR(__xludf.DUMMYFUNCTION("GOOGLETRANSLATE(A8234,""en"",""pt"")"),"#VALUE!")</f>
        <v>#VALUE!</v>
      </c>
      <c r="G8234" s="69"/>
    </row>
    <row r="8235" ht="22.5" customHeight="1">
      <c r="A8235" s="66"/>
      <c r="B8235" s="67" t="str">
        <f t="shared" si="16"/>
        <v>M: </v>
      </c>
      <c r="C8235" s="68"/>
      <c r="D8235" s="68">
        <v>46573.0</v>
      </c>
      <c r="E8235" s="66">
        <v>3.0</v>
      </c>
      <c r="F8235" s="66" t="str">
        <f>IFERROR(__xludf.DUMMYFUNCTION("GOOGLETRANSLATE(A8235,""en"",""pt"")"),"#VALUE!")</f>
        <v>#VALUE!</v>
      </c>
      <c r="G8235" s="69"/>
    </row>
    <row r="8236" ht="22.5" customHeight="1">
      <c r="A8236" s="66"/>
      <c r="B8236" s="67" t="str">
        <f t="shared" si="16"/>
        <v>M: </v>
      </c>
      <c r="C8236" s="68"/>
      <c r="D8236" s="68">
        <v>46573.0</v>
      </c>
      <c r="E8236" s="66">
        <v>4.0</v>
      </c>
      <c r="F8236" s="66" t="str">
        <f>IFERROR(__xludf.DUMMYFUNCTION("GOOGLETRANSLATE(A8236,""en"",""pt"")"),"#VALUE!")</f>
        <v>#VALUE!</v>
      </c>
      <c r="G8236" s="69"/>
    </row>
    <row r="8237" ht="22.5" customHeight="1">
      <c r="A8237" s="66"/>
      <c r="B8237" s="67" t="str">
        <f t="shared" si="16"/>
        <v>M: </v>
      </c>
      <c r="C8237" s="68"/>
      <c r="D8237" s="68">
        <v>46573.0</v>
      </c>
      <c r="E8237" s="66">
        <v>5.0</v>
      </c>
      <c r="F8237" s="66" t="str">
        <f>IFERROR(__xludf.DUMMYFUNCTION("GOOGLETRANSLATE(A8237,""en"",""pt"")"),"#VALUE!")</f>
        <v>#VALUE!</v>
      </c>
      <c r="G8237" s="69"/>
    </row>
    <row r="8238" ht="22.5" customHeight="1">
      <c r="A8238" s="66"/>
      <c r="B8238" s="67" t="str">
        <f t="shared" si="16"/>
        <v>M: </v>
      </c>
      <c r="C8238" s="68"/>
      <c r="D8238" s="68">
        <v>46573.0</v>
      </c>
      <c r="E8238" s="66">
        <v>6.0</v>
      </c>
      <c r="F8238" s="66" t="str">
        <f>IFERROR(__xludf.DUMMYFUNCTION("GOOGLETRANSLATE(A8238,""en"",""pt"")"),"#VALUE!")</f>
        <v>#VALUE!</v>
      </c>
      <c r="G8238" s="69"/>
    </row>
    <row r="8239" ht="22.5" customHeight="1">
      <c r="A8239" s="66"/>
      <c r="B8239" s="67" t="str">
        <f t="shared" si="16"/>
        <v>M: </v>
      </c>
      <c r="C8239" s="68"/>
      <c r="D8239" s="68">
        <v>46573.0</v>
      </c>
      <c r="E8239" s="66">
        <v>7.0</v>
      </c>
      <c r="F8239" s="66" t="str">
        <f>IFERROR(__xludf.DUMMYFUNCTION("GOOGLETRANSLATE(A8239,""en"",""pt"")"),"#VALUE!")</f>
        <v>#VALUE!</v>
      </c>
      <c r="G8239" s="69"/>
    </row>
    <row r="8240" ht="22.5" customHeight="1">
      <c r="A8240" s="66"/>
      <c r="B8240" s="67" t="str">
        <f t="shared" si="16"/>
        <v>M: </v>
      </c>
      <c r="C8240" s="68"/>
      <c r="D8240" s="68">
        <v>46573.0</v>
      </c>
      <c r="E8240" s="66">
        <v>8.0</v>
      </c>
      <c r="F8240" s="66" t="str">
        <f>IFERROR(__xludf.DUMMYFUNCTION("GOOGLETRANSLATE(A8240,""en"",""pt"")"),"#VALUE!")</f>
        <v>#VALUE!</v>
      </c>
      <c r="G8240" s="69"/>
    </row>
    <row r="8241" ht="22.5" customHeight="1">
      <c r="A8241" s="66"/>
      <c r="B8241" s="67" t="str">
        <f t="shared" si="16"/>
        <v>M: </v>
      </c>
      <c r="C8241" s="68"/>
      <c r="D8241" s="68">
        <v>46573.0</v>
      </c>
      <c r="E8241" s="66">
        <v>9.0</v>
      </c>
      <c r="F8241" s="66" t="str">
        <f>IFERROR(__xludf.DUMMYFUNCTION("GOOGLETRANSLATE(A8241,""en"",""pt"")"),"#VALUE!")</f>
        <v>#VALUE!</v>
      </c>
      <c r="G8241" s="69"/>
    </row>
    <row r="8242" ht="22.5" customHeight="1">
      <c r="A8242" s="66"/>
      <c r="B8242" s="67" t="str">
        <f t="shared" si="16"/>
        <v>M: </v>
      </c>
      <c r="C8242" s="68"/>
      <c r="D8242" s="68">
        <v>46574.0</v>
      </c>
      <c r="E8242" s="66">
        <v>10.0</v>
      </c>
      <c r="F8242" s="66" t="str">
        <f>IFERROR(__xludf.DUMMYFUNCTION("GOOGLETRANSLATE(A8242,""en"",""pt"")"),"#VALUE!")</f>
        <v>#VALUE!</v>
      </c>
      <c r="G8242" s="69"/>
    </row>
    <row r="8243" ht="22.5" customHeight="1">
      <c r="A8243" s="66"/>
      <c r="B8243" s="67" t="str">
        <f t="shared" si="16"/>
        <v>M: </v>
      </c>
      <c r="C8243" s="68"/>
      <c r="D8243" s="68">
        <v>46574.0</v>
      </c>
      <c r="E8243" s="66">
        <v>1.0</v>
      </c>
      <c r="F8243" s="66" t="str">
        <f>IFERROR(__xludf.DUMMYFUNCTION("GOOGLETRANSLATE(A8243,""en"",""pt"")"),"#VALUE!")</f>
        <v>#VALUE!</v>
      </c>
      <c r="G8243" s="69"/>
    </row>
    <row r="8244" ht="22.5" customHeight="1">
      <c r="A8244" s="66"/>
      <c r="B8244" s="67" t="str">
        <f t="shared" si="16"/>
        <v>M: </v>
      </c>
      <c r="C8244" s="68"/>
      <c r="D8244" s="68">
        <v>46574.0</v>
      </c>
      <c r="E8244" s="66">
        <v>2.0</v>
      </c>
      <c r="F8244" s="66" t="str">
        <f>IFERROR(__xludf.DUMMYFUNCTION("GOOGLETRANSLATE(A8244,""en"",""pt"")"),"#VALUE!")</f>
        <v>#VALUE!</v>
      </c>
      <c r="G8244" s="69"/>
    </row>
    <row r="8245" ht="22.5" customHeight="1">
      <c r="A8245" s="66"/>
      <c r="B8245" s="67" t="str">
        <f t="shared" si="16"/>
        <v>M: </v>
      </c>
      <c r="C8245" s="68"/>
      <c r="D8245" s="68">
        <v>46574.0</v>
      </c>
      <c r="E8245" s="66">
        <v>3.0</v>
      </c>
      <c r="F8245" s="66" t="str">
        <f>IFERROR(__xludf.DUMMYFUNCTION("GOOGLETRANSLATE(A8245,""en"",""pt"")"),"#VALUE!")</f>
        <v>#VALUE!</v>
      </c>
      <c r="G8245" s="69"/>
    </row>
    <row r="8246" ht="22.5" customHeight="1">
      <c r="A8246" s="66"/>
      <c r="B8246" s="67" t="str">
        <f t="shared" si="16"/>
        <v>M: </v>
      </c>
      <c r="C8246" s="68"/>
      <c r="D8246" s="68">
        <v>46574.0</v>
      </c>
      <c r="E8246" s="66">
        <v>4.0</v>
      </c>
      <c r="F8246" s="66" t="str">
        <f>IFERROR(__xludf.DUMMYFUNCTION("GOOGLETRANSLATE(A8246,""en"",""pt"")"),"#VALUE!")</f>
        <v>#VALUE!</v>
      </c>
      <c r="G8246" s="69"/>
    </row>
    <row r="8247" ht="22.5" customHeight="1">
      <c r="A8247" s="66"/>
      <c r="B8247" s="67" t="str">
        <f t="shared" si="16"/>
        <v>M: </v>
      </c>
      <c r="C8247" s="68"/>
      <c r="D8247" s="68">
        <v>46574.0</v>
      </c>
      <c r="E8247" s="66">
        <v>5.0</v>
      </c>
      <c r="F8247" s="66" t="str">
        <f>IFERROR(__xludf.DUMMYFUNCTION("GOOGLETRANSLATE(A8247,""en"",""pt"")"),"#VALUE!")</f>
        <v>#VALUE!</v>
      </c>
      <c r="G8247" s="69"/>
    </row>
    <row r="8248" ht="22.5" customHeight="1">
      <c r="A8248" s="66"/>
      <c r="B8248" s="67" t="str">
        <f t="shared" si="16"/>
        <v>M: </v>
      </c>
      <c r="C8248" s="68"/>
      <c r="D8248" s="68">
        <v>46574.0</v>
      </c>
      <c r="E8248" s="66">
        <v>6.0</v>
      </c>
      <c r="F8248" s="66" t="str">
        <f>IFERROR(__xludf.DUMMYFUNCTION("GOOGLETRANSLATE(A8248,""en"",""pt"")"),"#VALUE!")</f>
        <v>#VALUE!</v>
      </c>
      <c r="G8248" s="69"/>
    </row>
    <row r="8249" ht="22.5" customHeight="1">
      <c r="A8249" s="66"/>
      <c r="B8249" s="67" t="str">
        <f t="shared" si="16"/>
        <v>M: </v>
      </c>
      <c r="C8249" s="68"/>
      <c r="D8249" s="68">
        <v>46574.0</v>
      </c>
      <c r="E8249" s="66">
        <v>7.0</v>
      </c>
      <c r="F8249" s="66" t="str">
        <f>IFERROR(__xludf.DUMMYFUNCTION("GOOGLETRANSLATE(A8249,""en"",""pt"")"),"#VALUE!")</f>
        <v>#VALUE!</v>
      </c>
      <c r="G8249" s="69"/>
    </row>
    <row r="8250" ht="22.5" customHeight="1">
      <c r="A8250" s="66"/>
      <c r="B8250" s="67" t="str">
        <f t="shared" si="16"/>
        <v>M: </v>
      </c>
      <c r="C8250" s="68"/>
      <c r="D8250" s="68">
        <v>46574.0</v>
      </c>
      <c r="E8250" s="66">
        <v>8.0</v>
      </c>
      <c r="F8250" s="66" t="str">
        <f>IFERROR(__xludf.DUMMYFUNCTION("GOOGLETRANSLATE(A8250,""en"",""pt"")"),"#VALUE!")</f>
        <v>#VALUE!</v>
      </c>
      <c r="G8250" s="69"/>
    </row>
    <row r="8251" ht="22.5" customHeight="1">
      <c r="A8251" s="66"/>
      <c r="B8251" s="67" t="str">
        <f t="shared" si="16"/>
        <v>M: </v>
      </c>
      <c r="C8251" s="68"/>
      <c r="D8251" s="68">
        <v>46574.0</v>
      </c>
      <c r="E8251" s="66">
        <v>9.0</v>
      </c>
      <c r="F8251" s="66" t="str">
        <f>IFERROR(__xludf.DUMMYFUNCTION("GOOGLETRANSLATE(A8251,""en"",""pt"")"),"#VALUE!")</f>
        <v>#VALUE!</v>
      </c>
      <c r="G8251" s="69"/>
    </row>
    <row r="8252" ht="22.5" customHeight="1">
      <c r="A8252" s="66"/>
      <c r="B8252" s="67" t="str">
        <f t="shared" si="16"/>
        <v>M: </v>
      </c>
      <c r="C8252" s="68"/>
      <c r="D8252" s="68">
        <v>46575.0</v>
      </c>
      <c r="E8252" s="66">
        <v>10.0</v>
      </c>
      <c r="F8252" s="66" t="str">
        <f>IFERROR(__xludf.DUMMYFUNCTION("GOOGLETRANSLATE(A8252,""en"",""pt"")"),"#VALUE!")</f>
        <v>#VALUE!</v>
      </c>
      <c r="G8252" s="69"/>
    </row>
    <row r="8253" ht="22.5" customHeight="1">
      <c r="A8253" s="66"/>
      <c r="B8253" s="67" t="str">
        <f t="shared" si="16"/>
        <v>M: </v>
      </c>
      <c r="C8253" s="68"/>
      <c r="D8253" s="68">
        <v>46575.0</v>
      </c>
      <c r="E8253" s="66">
        <v>1.0</v>
      </c>
      <c r="F8253" s="66" t="str">
        <f>IFERROR(__xludf.DUMMYFUNCTION("GOOGLETRANSLATE(A8253,""en"",""pt"")"),"#VALUE!")</f>
        <v>#VALUE!</v>
      </c>
      <c r="G8253" s="69"/>
    </row>
    <row r="8254" ht="22.5" customHeight="1">
      <c r="A8254" s="66"/>
      <c r="B8254" s="67" t="str">
        <f t="shared" si="16"/>
        <v>M: </v>
      </c>
      <c r="C8254" s="68"/>
      <c r="D8254" s="68">
        <v>46575.0</v>
      </c>
      <c r="E8254" s="66">
        <v>2.0</v>
      </c>
      <c r="F8254" s="66" t="str">
        <f>IFERROR(__xludf.DUMMYFUNCTION("GOOGLETRANSLATE(A8254,""en"",""pt"")"),"#VALUE!")</f>
        <v>#VALUE!</v>
      </c>
      <c r="G8254" s="69"/>
    </row>
    <row r="8255" ht="22.5" customHeight="1">
      <c r="A8255" s="66"/>
      <c r="B8255" s="67" t="str">
        <f t="shared" si="16"/>
        <v>M: </v>
      </c>
      <c r="C8255" s="68"/>
      <c r="D8255" s="68">
        <v>46575.0</v>
      </c>
      <c r="E8255" s="66">
        <v>3.0</v>
      </c>
      <c r="F8255" s="66" t="str">
        <f>IFERROR(__xludf.DUMMYFUNCTION("GOOGLETRANSLATE(A8255,""en"",""pt"")"),"#VALUE!")</f>
        <v>#VALUE!</v>
      </c>
      <c r="G8255" s="69"/>
    </row>
    <row r="8256" ht="22.5" customHeight="1">
      <c r="A8256" s="66"/>
      <c r="B8256" s="67" t="str">
        <f t="shared" si="16"/>
        <v>M: </v>
      </c>
      <c r="C8256" s="68"/>
      <c r="D8256" s="68">
        <v>46575.0</v>
      </c>
      <c r="E8256" s="66">
        <v>4.0</v>
      </c>
      <c r="F8256" s="66" t="str">
        <f>IFERROR(__xludf.DUMMYFUNCTION("GOOGLETRANSLATE(A8256,""en"",""pt"")"),"#VALUE!")</f>
        <v>#VALUE!</v>
      </c>
      <c r="G8256" s="69"/>
    </row>
    <row r="8257" ht="22.5" customHeight="1">
      <c r="A8257" s="66"/>
      <c r="B8257" s="67" t="str">
        <f t="shared" si="16"/>
        <v>M: </v>
      </c>
      <c r="C8257" s="68"/>
      <c r="D8257" s="68">
        <v>46575.0</v>
      </c>
      <c r="E8257" s="66">
        <v>5.0</v>
      </c>
      <c r="F8257" s="66" t="str">
        <f>IFERROR(__xludf.DUMMYFUNCTION("GOOGLETRANSLATE(A8257,""en"",""pt"")"),"#VALUE!")</f>
        <v>#VALUE!</v>
      </c>
      <c r="G8257" s="69"/>
    </row>
    <row r="8258" ht="22.5" customHeight="1">
      <c r="A8258" s="66"/>
      <c r="B8258" s="67" t="str">
        <f t="shared" si="16"/>
        <v>M: </v>
      </c>
      <c r="C8258" s="68"/>
      <c r="D8258" s="68">
        <v>46575.0</v>
      </c>
      <c r="E8258" s="66">
        <v>6.0</v>
      </c>
      <c r="F8258" s="66" t="str">
        <f>IFERROR(__xludf.DUMMYFUNCTION("GOOGLETRANSLATE(A8258,""en"",""pt"")"),"#VALUE!")</f>
        <v>#VALUE!</v>
      </c>
      <c r="G8258" s="69"/>
    </row>
    <row r="8259" ht="22.5" customHeight="1">
      <c r="A8259" s="66"/>
      <c r="B8259" s="67" t="str">
        <f t="shared" si="16"/>
        <v>M: </v>
      </c>
      <c r="C8259" s="68"/>
      <c r="D8259" s="68">
        <v>46575.0</v>
      </c>
      <c r="E8259" s="66">
        <v>7.0</v>
      </c>
      <c r="F8259" s="66" t="str">
        <f>IFERROR(__xludf.DUMMYFUNCTION("GOOGLETRANSLATE(A8259,""en"",""pt"")"),"#VALUE!")</f>
        <v>#VALUE!</v>
      </c>
      <c r="G8259" s="69"/>
    </row>
    <row r="8260" ht="22.5" customHeight="1">
      <c r="A8260" s="66"/>
      <c r="B8260" s="67" t="str">
        <f t="shared" si="16"/>
        <v>M: </v>
      </c>
      <c r="C8260" s="68"/>
      <c r="D8260" s="68">
        <v>46575.0</v>
      </c>
      <c r="E8260" s="66">
        <v>8.0</v>
      </c>
      <c r="F8260" s="66" t="str">
        <f>IFERROR(__xludf.DUMMYFUNCTION("GOOGLETRANSLATE(A8260,""en"",""pt"")"),"#VALUE!")</f>
        <v>#VALUE!</v>
      </c>
      <c r="G8260" s="69"/>
    </row>
    <row r="8261" ht="22.5" customHeight="1">
      <c r="A8261" s="66"/>
      <c r="B8261" s="67" t="str">
        <f t="shared" si="16"/>
        <v>M: </v>
      </c>
      <c r="C8261" s="68"/>
      <c r="D8261" s="68">
        <v>46575.0</v>
      </c>
      <c r="E8261" s="66">
        <v>9.0</v>
      </c>
      <c r="F8261" s="66" t="str">
        <f>IFERROR(__xludf.DUMMYFUNCTION("GOOGLETRANSLATE(A8261,""en"",""pt"")"),"#VALUE!")</f>
        <v>#VALUE!</v>
      </c>
      <c r="G8261" s="69"/>
    </row>
    <row r="8262" ht="22.5" customHeight="1">
      <c r="A8262" s="66"/>
      <c r="B8262" s="67" t="str">
        <f t="shared" si="16"/>
        <v>M: </v>
      </c>
      <c r="C8262" s="68"/>
      <c r="D8262" s="68">
        <v>46576.0</v>
      </c>
      <c r="E8262" s="66">
        <v>10.0</v>
      </c>
      <c r="F8262" s="66" t="str">
        <f>IFERROR(__xludf.DUMMYFUNCTION("GOOGLETRANSLATE(A8262,""en"",""pt"")"),"#VALUE!")</f>
        <v>#VALUE!</v>
      </c>
      <c r="G8262" s="69"/>
    </row>
    <row r="8263" ht="22.5" customHeight="1">
      <c r="A8263" s="66"/>
      <c r="B8263" s="67" t="str">
        <f t="shared" si="16"/>
        <v>M: </v>
      </c>
      <c r="C8263" s="68"/>
      <c r="D8263" s="68">
        <v>46576.0</v>
      </c>
      <c r="E8263" s="66">
        <v>1.0</v>
      </c>
      <c r="F8263" s="66" t="str">
        <f>IFERROR(__xludf.DUMMYFUNCTION("GOOGLETRANSLATE(A8263,""en"",""pt"")"),"#VALUE!")</f>
        <v>#VALUE!</v>
      </c>
      <c r="G8263" s="69"/>
    </row>
    <row r="8264" ht="22.5" customHeight="1">
      <c r="A8264" s="66"/>
      <c r="B8264" s="67" t="str">
        <f t="shared" si="16"/>
        <v>M: </v>
      </c>
      <c r="C8264" s="68"/>
      <c r="D8264" s="68">
        <v>46576.0</v>
      </c>
      <c r="E8264" s="66">
        <v>2.0</v>
      </c>
      <c r="F8264" s="66" t="str">
        <f>IFERROR(__xludf.DUMMYFUNCTION("GOOGLETRANSLATE(A8264,""en"",""pt"")"),"#VALUE!")</f>
        <v>#VALUE!</v>
      </c>
      <c r="G8264" s="69"/>
    </row>
    <row r="8265" ht="22.5" customHeight="1">
      <c r="A8265" s="66"/>
      <c r="B8265" s="67" t="str">
        <f t="shared" si="16"/>
        <v>M: </v>
      </c>
      <c r="C8265" s="68"/>
      <c r="D8265" s="68">
        <v>46576.0</v>
      </c>
      <c r="E8265" s="66">
        <v>3.0</v>
      </c>
      <c r="F8265" s="66" t="str">
        <f>IFERROR(__xludf.DUMMYFUNCTION("GOOGLETRANSLATE(A8265,""en"",""pt"")"),"#VALUE!")</f>
        <v>#VALUE!</v>
      </c>
      <c r="G8265" s="69"/>
    </row>
    <row r="8266" ht="22.5" customHeight="1">
      <c r="A8266" s="66"/>
      <c r="B8266" s="67" t="str">
        <f t="shared" si="16"/>
        <v>M: </v>
      </c>
      <c r="C8266" s="68"/>
      <c r="D8266" s="68">
        <v>46576.0</v>
      </c>
      <c r="E8266" s="66">
        <v>4.0</v>
      </c>
      <c r="F8266" s="66" t="str">
        <f>IFERROR(__xludf.DUMMYFUNCTION("GOOGLETRANSLATE(A8266,""en"",""pt"")"),"#VALUE!")</f>
        <v>#VALUE!</v>
      </c>
      <c r="G8266" s="69"/>
    </row>
    <row r="8267" ht="22.5" customHeight="1">
      <c r="A8267" s="66"/>
      <c r="B8267" s="67" t="str">
        <f t="shared" si="16"/>
        <v>M: </v>
      </c>
      <c r="C8267" s="68"/>
      <c r="D8267" s="68">
        <v>46576.0</v>
      </c>
      <c r="E8267" s="66">
        <v>5.0</v>
      </c>
      <c r="F8267" s="66" t="str">
        <f>IFERROR(__xludf.DUMMYFUNCTION("GOOGLETRANSLATE(A8267,""en"",""pt"")"),"#VALUE!")</f>
        <v>#VALUE!</v>
      </c>
      <c r="G8267" s="69"/>
    </row>
    <row r="8268" ht="22.5" customHeight="1">
      <c r="A8268" s="66"/>
      <c r="B8268" s="67" t="str">
        <f t="shared" si="16"/>
        <v>M: </v>
      </c>
      <c r="C8268" s="68"/>
      <c r="D8268" s="68">
        <v>46576.0</v>
      </c>
      <c r="E8268" s="66">
        <v>6.0</v>
      </c>
      <c r="F8268" s="66" t="str">
        <f>IFERROR(__xludf.DUMMYFUNCTION("GOOGLETRANSLATE(A8268,""en"",""pt"")"),"#VALUE!")</f>
        <v>#VALUE!</v>
      </c>
      <c r="G8268" s="69"/>
    </row>
    <row r="8269" ht="22.5" customHeight="1">
      <c r="A8269" s="66"/>
      <c r="B8269" s="67" t="str">
        <f t="shared" si="16"/>
        <v>M: </v>
      </c>
      <c r="C8269" s="68"/>
      <c r="D8269" s="68">
        <v>46576.0</v>
      </c>
      <c r="E8269" s="66">
        <v>7.0</v>
      </c>
      <c r="F8269" s="66" t="str">
        <f>IFERROR(__xludf.DUMMYFUNCTION("GOOGLETRANSLATE(A8269,""en"",""pt"")"),"#VALUE!")</f>
        <v>#VALUE!</v>
      </c>
      <c r="G8269" s="69"/>
    </row>
    <row r="8270" ht="22.5" customHeight="1">
      <c r="A8270" s="66"/>
      <c r="B8270" s="67" t="str">
        <f t="shared" si="16"/>
        <v>M: </v>
      </c>
      <c r="C8270" s="68"/>
      <c r="D8270" s="68">
        <v>46576.0</v>
      </c>
      <c r="E8270" s="66">
        <v>8.0</v>
      </c>
      <c r="F8270" s="66" t="str">
        <f>IFERROR(__xludf.DUMMYFUNCTION("GOOGLETRANSLATE(A8270,""en"",""pt"")"),"#VALUE!")</f>
        <v>#VALUE!</v>
      </c>
      <c r="G8270" s="69"/>
    </row>
    <row r="8271" ht="22.5" customHeight="1">
      <c r="A8271" s="66"/>
      <c r="B8271" s="67" t="str">
        <f t="shared" si="16"/>
        <v>M: </v>
      </c>
      <c r="C8271" s="68"/>
      <c r="D8271" s="68">
        <v>46576.0</v>
      </c>
      <c r="E8271" s="66">
        <v>9.0</v>
      </c>
      <c r="F8271" s="66" t="str">
        <f>IFERROR(__xludf.DUMMYFUNCTION("GOOGLETRANSLATE(A8271,""en"",""pt"")"),"#VALUE!")</f>
        <v>#VALUE!</v>
      </c>
      <c r="G8271" s="69"/>
    </row>
    <row r="8272" ht="22.5" customHeight="1">
      <c r="A8272" s="66"/>
      <c r="B8272" s="67" t="str">
        <f t="shared" si="16"/>
        <v>M: </v>
      </c>
      <c r="C8272" s="68"/>
      <c r="D8272" s="68">
        <v>46577.0</v>
      </c>
      <c r="E8272" s="66">
        <v>10.0</v>
      </c>
      <c r="F8272" s="66" t="str">
        <f>IFERROR(__xludf.DUMMYFUNCTION("GOOGLETRANSLATE(A8272,""en"",""pt"")"),"#VALUE!")</f>
        <v>#VALUE!</v>
      </c>
      <c r="G8272" s="69"/>
    </row>
    <row r="8273" ht="22.5" customHeight="1">
      <c r="A8273" s="66"/>
      <c r="B8273" s="67" t="str">
        <f t="shared" si="16"/>
        <v>M: </v>
      </c>
      <c r="C8273" s="68"/>
      <c r="D8273" s="68">
        <v>46577.0</v>
      </c>
      <c r="E8273" s="66">
        <v>1.0</v>
      </c>
      <c r="F8273" s="66" t="str">
        <f>IFERROR(__xludf.DUMMYFUNCTION("GOOGLETRANSLATE(A8273,""en"",""pt"")"),"#VALUE!")</f>
        <v>#VALUE!</v>
      </c>
      <c r="G8273" s="69"/>
    </row>
    <row r="8274" ht="22.5" customHeight="1">
      <c r="A8274" s="66"/>
      <c r="B8274" s="67" t="str">
        <f t="shared" si="16"/>
        <v>M: </v>
      </c>
      <c r="C8274" s="68"/>
      <c r="D8274" s="68">
        <v>46577.0</v>
      </c>
      <c r="E8274" s="66">
        <v>2.0</v>
      </c>
      <c r="F8274" s="66" t="str">
        <f>IFERROR(__xludf.DUMMYFUNCTION("GOOGLETRANSLATE(A8274,""en"",""pt"")"),"#VALUE!")</f>
        <v>#VALUE!</v>
      </c>
      <c r="G8274" s="69"/>
    </row>
    <row r="8275" ht="22.5" customHeight="1">
      <c r="A8275" s="66"/>
      <c r="B8275" s="67" t="str">
        <f t="shared" si="16"/>
        <v>M: </v>
      </c>
      <c r="C8275" s="68"/>
      <c r="D8275" s="68">
        <v>46577.0</v>
      </c>
      <c r="E8275" s="66">
        <v>3.0</v>
      </c>
      <c r="F8275" s="66" t="str">
        <f>IFERROR(__xludf.DUMMYFUNCTION("GOOGLETRANSLATE(A8275,""en"",""pt"")"),"#VALUE!")</f>
        <v>#VALUE!</v>
      </c>
      <c r="G8275" s="69"/>
    </row>
    <row r="8276" ht="22.5" customHeight="1">
      <c r="A8276" s="66"/>
      <c r="B8276" s="67" t="str">
        <f t="shared" si="16"/>
        <v>M: </v>
      </c>
      <c r="C8276" s="68"/>
      <c r="D8276" s="68">
        <v>46577.0</v>
      </c>
      <c r="E8276" s="66">
        <v>4.0</v>
      </c>
      <c r="F8276" s="66" t="str">
        <f>IFERROR(__xludf.DUMMYFUNCTION("GOOGLETRANSLATE(A8276,""en"",""pt"")"),"#VALUE!")</f>
        <v>#VALUE!</v>
      </c>
      <c r="G8276" s="69"/>
    </row>
    <row r="8277" ht="22.5" customHeight="1">
      <c r="A8277" s="66"/>
      <c r="B8277" s="67" t="str">
        <f t="shared" si="16"/>
        <v>M: </v>
      </c>
      <c r="C8277" s="68"/>
      <c r="D8277" s="68">
        <v>46577.0</v>
      </c>
      <c r="E8277" s="66">
        <v>5.0</v>
      </c>
      <c r="F8277" s="66" t="str">
        <f>IFERROR(__xludf.DUMMYFUNCTION("GOOGLETRANSLATE(A8277,""en"",""pt"")"),"#VALUE!")</f>
        <v>#VALUE!</v>
      </c>
      <c r="G8277" s="69"/>
    </row>
    <row r="8278" ht="22.5" customHeight="1">
      <c r="A8278" s="66"/>
      <c r="B8278" s="67" t="str">
        <f t="shared" si="16"/>
        <v>M: </v>
      </c>
      <c r="C8278" s="68"/>
      <c r="D8278" s="68">
        <v>46577.0</v>
      </c>
      <c r="E8278" s="66">
        <v>6.0</v>
      </c>
      <c r="F8278" s="66" t="str">
        <f>IFERROR(__xludf.DUMMYFUNCTION("GOOGLETRANSLATE(A8278,""en"",""pt"")"),"#VALUE!")</f>
        <v>#VALUE!</v>
      </c>
      <c r="G8278" s="69"/>
    </row>
    <row r="8279" ht="22.5" customHeight="1">
      <c r="A8279" s="66"/>
      <c r="B8279" s="67" t="str">
        <f t="shared" si="16"/>
        <v>M: </v>
      </c>
      <c r="C8279" s="68"/>
      <c r="D8279" s="68">
        <v>46577.0</v>
      </c>
      <c r="E8279" s="66">
        <v>7.0</v>
      </c>
      <c r="F8279" s="66" t="str">
        <f>IFERROR(__xludf.DUMMYFUNCTION("GOOGLETRANSLATE(A8279,""en"",""pt"")"),"#VALUE!")</f>
        <v>#VALUE!</v>
      </c>
      <c r="G8279" s="69"/>
    </row>
    <row r="8280" ht="22.5" customHeight="1">
      <c r="A8280" s="66"/>
      <c r="B8280" s="67" t="str">
        <f t="shared" si="16"/>
        <v>M: </v>
      </c>
      <c r="C8280" s="68"/>
      <c r="D8280" s="68">
        <v>46577.0</v>
      </c>
      <c r="E8280" s="66">
        <v>8.0</v>
      </c>
      <c r="F8280" s="66" t="str">
        <f>IFERROR(__xludf.DUMMYFUNCTION("GOOGLETRANSLATE(A8280,""en"",""pt"")"),"#VALUE!")</f>
        <v>#VALUE!</v>
      </c>
      <c r="G8280" s="69"/>
    </row>
    <row r="8281" ht="22.5" customHeight="1">
      <c r="A8281" s="66"/>
      <c r="B8281" s="67" t="str">
        <f t="shared" si="16"/>
        <v>M: </v>
      </c>
      <c r="C8281" s="68"/>
      <c r="D8281" s="68">
        <v>46577.0</v>
      </c>
      <c r="E8281" s="66">
        <v>9.0</v>
      </c>
      <c r="F8281" s="66" t="str">
        <f>IFERROR(__xludf.DUMMYFUNCTION("GOOGLETRANSLATE(A8281,""en"",""pt"")"),"#VALUE!")</f>
        <v>#VALUE!</v>
      </c>
      <c r="G8281" s="69"/>
    </row>
    <row r="8282" ht="22.5" customHeight="1">
      <c r="A8282" s="66"/>
      <c r="B8282" s="67" t="str">
        <f t="shared" si="16"/>
        <v>M: </v>
      </c>
      <c r="C8282" s="68"/>
      <c r="D8282" s="68">
        <v>46578.0</v>
      </c>
      <c r="E8282" s="66">
        <v>10.0</v>
      </c>
      <c r="F8282" s="66" t="str">
        <f>IFERROR(__xludf.DUMMYFUNCTION("GOOGLETRANSLATE(A8282,""en"",""pt"")"),"#VALUE!")</f>
        <v>#VALUE!</v>
      </c>
      <c r="G8282" s="69"/>
    </row>
    <row r="8283" ht="22.5" customHeight="1">
      <c r="A8283" s="66"/>
      <c r="B8283" s="67" t="str">
        <f t="shared" si="16"/>
        <v>M: </v>
      </c>
      <c r="C8283" s="68"/>
      <c r="D8283" s="68">
        <v>46578.0</v>
      </c>
      <c r="E8283" s="66">
        <v>1.0</v>
      </c>
      <c r="F8283" s="66" t="str">
        <f>IFERROR(__xludf.DUMMYFUNCTION("GOOGLETRANSLATE(A8283,""en"",""pt"")"),"#VALUE!")</f>
        <v>#VALUE!</v>
      </c>
      <c r="G8283" s="69"/>
    </row>
    <row r="8284" ht="22.5" customHeight="1">
      <c r="A8284" s="66"/>
      <c r="B8284" s="67" t="str">
        <f t="shared" si="16"/>
        <v>M: </v>
      </c>
      <c r="C8284" s="68"/>
      <c r="D8284" s="68">
        <v>46578.0</v>
      </c>
      <c r="E8284" s="66">
        <v>2.0</v>
      </c>
      <c r="F8284" s="66" t="str">
        <f>IFERROR(__xludf.DUMMYFUNCTION("GOOGLETRANSLATE(A8284,""en"",""pt"")"),"#VALUE!")</f>
        <v>#VALUE!</v>
      </c>
      <c r="G8284" s="69"/>
    </row>
    <row r="8285" ht="22.5" customHeight="1">
      <c r="A8285" s="66"/>
      <c r="B8285" s="67" t="str">
        <f t="shared" si="16"/>
        <v>M: </v>
      </c>
      <c r="C8285" s="68"/>
      <c r="D8285" s="68">
        <v>46578.0</v>
      </c>
      <c r="E8285" s="66">
        <v>3.0</v>
      </c>
      <c r="F8285" s="66" t="str">
        <f>IFERROR(__xludf.DUMMYFUNCTION("GOOGLETRANSLATE(A8285,""en"",""pt"")"),"#VALUE!")</f>
        <v>#VALUE!</v>
      </c>
      <c r="G8285" s="69"/>
    </row>
    <row r="8286" ht="22.5" customHeight="1">
      <c r="A8286" s="66"/>
      <c r="B8286" s="67" t="str">
        <f t="shared" si="16"/>
        <v>M: </v>
      </c>
      <c r="C8286" s="68"/>
      <c r="D8286" s="68">
        <v>46578.0</v>
      </c>
      <c r="E8286" s="66">
        <v>4.0</v>
      </c>
      <c r="F8286" s="66" t="str">
        <f>IFERROR(__xludf.DUMMYFUNCTION("GOOGLETRANSLATE(A8286,""en"",""pt"")"),"#VALUE!")</f>
        <v>#VALUE!</v>
      </c>
      <c r="G8286" s="69"/>
    </row>
    <row r="8287" ht="22.5" customHeight="1">
      <c r="A8287" s="66"/>
      <c r="B8287" s="67" t="str">
        <f t="shared" si="16"/>
        <v>M: </v>
      </c>
      <c r="C8287" s="68"/>
      <c r="D8287" s="68">
        <v>46578.0</v>
      </c>
      <c r="E8287" s="66">
        <v>5.0</v>
      </c>
      <c r="F8287" s="66" t="str">
        <f>IFERROR(__xludf.DUMMYFUNCTION("GOOGLETRANSLATE(A8287,""en"",""pt"")"),"#VALUE!")</f>
        <v>#VALUE!</v>
      </c>
      <c r="G8287" s="69"/>
    </row>
    <row r="8288" ht="22.5" customHeight="1">
      <c r="A8288" s="66"/>
      <c r="B8288" s="67" t="str">
        <f t="shared" si="16"/>
        <v>M: </v>
      </c>
      <c r="C8288" s="68"/>
      <c r="D8288" s="68">
        <v>46578.0</v>
      </c>
      <c r="E8288" s="66">
        <v>6.0</v>
      </c>
      <c r="F8288" s="66" t="str">
        <f>IFERROR(__xludf.DUMMYFUNCTION("GOOGLETRANSLATE(A8288,""en"",""pt"")"),"#VALUE!")</f>
        <v>#VALUE!</v>
      </c>
      <c r="G8288" s="69"/>
    </row>
    <row r="8289" ht="22.5" customHeight="1">
      <c r="A8289" s="66"/>
      <c r="B8289" s="67" t="str">
        <f t="shared" si="16"/>
        <v>M: </v>
      </c>
      <c r="C8289" s="68"/>
      <c r="D8289" s="68">
        <v>46578.0</v>
      </c>
      <c r="E8289" s="66">
        <v>7.0</v>
      </c>
      <c r="F8289" s="66" t="str">
        <f>IFERROR(__xludf.DUMMYFUNCTION("GOOGLETRANSLATE(A8289,""en"",""pt"")"),"#VALUE!")</f>
        <v>#VALUE!</v>
      </c>
      <c r="G8289" s="69"/>
    </row>
    <row r="8290" ht="22.5" customHeight="1">
      <c r="A8290" s="66"/>
      <c r="B8290" s="67" t="str">
        <f t="shared" si="16"/>
        <v>M: </v>
      </c>
      <c r="C8290" s="68"/>
      <c r="D8290" s="68">
        <v>46578.0</v>
      </c>
      <c r="E8290" s="66">
        <v>8.0</v>
      </c>
      <c r="F8290" s="66" t="str">
        <f>IFERROR(__xludf.DUMMYFUNCTION("GOOGLETRANSLATE(A8290,""en"",""pt"")"),"#VALUE!")</f>
        <v>#VALUE!</v>
      </c>
      <c r="G8290" s="69"/>
    </row>
    <row r="8291" ht="22.5" customHeight="1">
      <c r="A8291" s="66"/>
      <c r="B8291" s="67" t="str">
        <f t="shared" si="16"/>
        <v>M: </v>
      </c>
      <c r="C8291" s="68"/>
      <c r="D8291" s="68">
        <v>46578.0</v>
      </c>
      <c r="E8291" s="66">
        <v>9.0</v>
      </c>
      <c r="F8291" s="66" t="str">
        <f>IFERROR(__xludf.DUMMYFUNCTION("GOOGLETRANSLATE(A8291,""en"",""pt"")"),"#VALUE!")</f>
        <v>#VALUE!</v>
      </c>
      <c r="G8291" s="69"/>
    </row>
    <row r="8292" ht="22.5" customHeight="1">
      <c r="A8292" s="66"/>
      <c r="B8292" s="67" t="str">
        <f t="shared" si="16"/>
        <v>M: </v>
      </c>
      <c r="C8292" s="68"/>
      <c r="D8292" s="68">
        <v>46579.0</v>
      </c>
      <c r="E8292" s="66">
        <v>10.0</v>
      </c>
      <c r="F8292" s="66" t="str">
        <f>IFERROR(__xludf.DUMMYFUNCTION("GOOGLETRANSLATE(A8292,""en"",""pt"")"),"#VALUE!")</f>
        <v>#VALUE!</v>
      </c>
      <c r="G8292" s="69"/>
    </row>
    <row r="8293" ht="22.5" customHeight="1">
      <c r="A8293" s="66"/>
      <c r="B8293" s="67" t="str">
        <f t="shared" si="16"/>
        <v>M: </v>
      </c>
      <c r="C8293" s="68"/>
      <c r="D8293" s="68">
        <v>46579.0</v>
      </c>
      <c r="E8293" s="66">
        <v>1.0</v>
      </c>
      <c r="F8293" s="66" t="str">
        <f>IFERROR(__xludf.DUMMYFUNCTION("GOOGLETRANSLATE(A8293,""en"",""pt"")"),"#VALUE!")</f>
        <v>#VALUE!</v>
      </c>
      <c r="G8293" s="69"/>
    </row>
    <row r="8294" ht="22.5" customHeight="1">
      <c r="A8294" s="66"/>
      <c r="B8294" s="67" t="str">
        <f t="shared" si="16"/>
        <v>M: </v>
      </c>
      <c r="C8294" s="68"/>
      <c r="D8294" s="68">
        <v>46579.0</v>
      </c>
      <c r="E8294" s="66">
        <v>2.0</v>
      </c>
      <c r="F8294" s="66" t="str">
        <f>IFERROR(__xludf.DUMMYFUNCTION("GOOGLETRANSLATE(A8294,""en"",""pt"")"),"#VALUE!")</f>
        <v>#VALUE!</v>
      </c>
      <c r="G8294" s="69"/>
    </row>
    <row r="8295" ht="22.5" customHeight="1">
      <c r="A8295" s="66"/>
      <c r="B8295" s="67" t="str">
        <f t="shared" si="16"/>
        <v>M: </v>
      </c>
      <c r="C8295" s="68"/>
      <c r="D8295" s="68">
        <v>46579.0</v>
      </c>
      <c r="E8295" s="66">
        <v>3.0</v>
      </c>
      <c r="F8295" s="66" t="str">
        <f>IFERROR(__xludf.DUMMYFUNCTION("GOOGLETRANSLATE(A8295,""en"",""pt"")"),"#VALUE!")</f>
        <v>#VALUE!</v>
      </c>
      <c r="G8295" s="69"/>
    </row>
    <row r="8296" ht="22.5" customHeight="1">
      <c r="A8296" s="66"/>
      <c r="B8296" s="67" t="str">
        <f t="shared" si="16"/>
        <v>M: </v>
      </c>
      <c r="C8296" s="68"/>
      <c r="D8296" s="68">
        <v>46579.0</v>
      </c>
      <c r="E8296" s="66">
        <v>4.0</v>
      </c>
      <c r="F8296" s="66" t="str">
        <f>IFERROR(__xludf.DUMMYFUNCTION("GOOGLETRANSLATE(A8296,""en"",""pt"")"),"#VALUE!")</f>
        <v>#VALUE!</v>
      </c>
      <c r="G8296" s="69"/>
    </row>
    <row r="8297" ht="22.5" customHeight="1">
      <c r="A8297" s="66"/>
      <c r="B8297" s="67" t="str">
        <f t="shared" si="16"/>
        <v>M: </v>
      </c>
      <c r="C8297" s="68"/>
      <c r="D8297" s="68">
        <v>46579.0</v>
      </c>
      <c r="E8297" s="66">
        <v>5.0</v>
      </c>
      <c r="F8297" s="66" t="str">
        <f>IFERROR(__xludf.DUMMYFUNCTION("GOOGLETRANSLATE(A8297,""en"",""pt"")"),"#VALUE!")</f>
        <v>#VALUE!</v>
      </c>
      <c r="G8297" s="69"/>
    </row>
    <row r="8298" ht="22.5" customHeight="1">
      <c r="A8298" s="66"/>
      <c r="B8298" s="67" t="str">
        <f t="shared" si="16"/>
        <v>M: </v>
      </c>
      <c r="C8298" s="68"/>
      <c r="D8298" s="68">
        <v>46579.0</v>
      </c>
      <c r="E8298" s="66">
        <v>6.0</v>
      </c>
      <c r="F8298" s="66" t="str">
        <f>IFERROR(__xludf.DUMMYFUNCTION("GOOGLETRANSLATE(A8298,""en"",""pt"")"),"#VALUE!")</f>
        <v>#VALUE!</v>
      </c>
      <c r="G8298" s="69"/>
    </row>
    <row r="8299" ht="22.5" customHeight="1">
      <c r="A8299" s="66"/>
      <c r="B8299" s="67" t="str">
        <f t="shared" si="16"/>
        <v>M: </v>
      </c>
      <c r="C8299" s="68"/>
      <c r="D8299" s="68">
        <v>46579.0</v>
      </c>
      <c r="E8299" s="66">
        <v>7.0</v>
      </c>
      <c r="F8299" s="66" t="str">
        <f>IFERROR(__xludf.DUMMYFUNCTION("GOOGLETRANSLATE(A8299,""en"",""pt"")"),"#VALUE!")</f>
        <v>#VALUE!</v>
      </c>
      <c r="G8299" s="69"/>
    </row>
    <row r="8300" ht="22.5" customHeight="1">
      <c r="A8300" s="66"/>
      <c r="B8300" s="67" t="str">
        <f t="shared" si="16"/>
        <v>M: </v>
      </c>
      <c r="C8300" s="68"/>
      <c r="D8300" s="68">
        <v>46579.0</v>
      </c>
      <c r="E8300" s="66">
        <v>8.0</v>
      </c>
      <c r="F8300" s="66" t="str">
        <f>IFERROR(__xludf.DUMMYFUNCTION("GOOGLETRANSLATE(A8300,""en"",""pt"")"),"#VALUE!")</f>
        <v>#VALUE!</v>
      </c>
      <c r="G8300" s="69"/>
    </row>
    <row r="8301" ht="22.5" customHeight="1">
      <c r="A8301" s="66"/>
      <c r="B8301" s="67" t="str">
        <f t="shared" si="16"/>
        <v>M: </v>
      </c>
      <c r="C8301" s="68"/>
      <c r="D8301" s="68">
        <v>46579.0</v>
      </c>
      <c r="E8301" s="66">
        <v>9.0</v>
      </c>
      <c r="F8301" s="66" t="str">
        <f>IFERROR(__xludf.DUMMYFUNCTION("GOOGLETRANSLATE(A8301,""en"",""pt"")"),"#VALUE!")</f>
        <v>#VALUE!</v>
      </c>
      <c r="G8301" s="69"/>
    </row>
    <row r="8302" ht="22.5" customHeight="1">
      <c r="A8302" s="66"/>
      <c r="B8302" s="67" t="str">
        <f t="shared" si="16"/>
        <v>M: </v>
      </c>
      <c r="C8302" s="68"/>
      <c r="D8302" s="68">
        <v>46580.0</v>
      </c>
      <c r="E8302" s="66">
        <v>10.0</v>
      </c>
      <c r="F8302" s="66" t="str">
        <f>IFERROR(__xludf.DUMMYFUNCTION("GOOGLETRANSLATE(A8302,""en"",""pt"")"),"#VALUE!")</f>
        <v>#VALUE!</v>
      </c>
      <c r="G8302" s="69"/>
    </row>
    <row r="8303" ht="22.5" customHeight="1">
      <c r="A8303" s="66"/>
      <c r="B8303" s="67" t="str">
        <f t="shared" si="16"/>
        <v>M: </v>
      </c>
      <c r="C8303" s="68"/>
      <c r="D8303" s="68">
        <v>46580.0</v>
      </c>
      <c r="E8303" s="66">
        <v>1.0</v>
      </c>
      <c r="F8303" s="66" t="str">
        <f>IFERROR(__xludf.DUMMYFUNCTION("GOOGLETRANSLATE(A8303,""en"",""pt"")"),"#VALUE!")</f>
        <v>#VALUE!</v>
      </c>
      <c r="G8303" s="69"/>
    </row>
    <row r="8304" ht="22.5" customHeight="1">
      <c r="A8304" s="66"/>
      <c r="B8304" s="67" t="str">
        <f t="shared" si="16"/>
        <v>M: </v>
      </c>
      <c r="C8304" s="68"/>
      <c r="D8304" s="68">
        <v>46580.0</v>
      </c>
      <c r="E8304" s="66">
        <v>2.0</v>
      </c>
      <c r="F8304" s="66" t="str">
        <f>IFERROR(__xludf.DUMMYFUNCTION("GOOGLETRANSLATE(A8304,""en"",""pt"")"),"#VALUE!")</f>
        <v>#VALUE!</v>
      </c>
      <c r="G8304" s="69"/>
    </row>
    <row r="8305" ht="22.5" customHeight="1">
      <c r="A8305" s="66"/>
      <c r="B8305" s="67" t="str">
        <f t="shared" si="16"/>
        <v>M: </v>
      </c>
      <c r="C8305" s="68"/>
      <c r="D8305" s="68">
        <v>46580.0</v>
      </c>
      <c r="E8305" s="66">
        <v>3.0</v>
      </c>
      <c r="F8305" s="66" t="str">
        <f>IFERROR(__xludf.DUMMYFUNCTION("GOOGLETRANSLATE(A8305,""en"",""pt"")"),"#VALUE!")</f>
        <v>#VALUE!</v>
      </c>
      <c r="G8305" s="69"/>
    </row>
    <row r="8306" ht="22.5" customHeight="1">
      <c r="A8306" s="66"/>
      <c r="B8306" s="67" t="str">
        <f t="shared" si="16"/>
        <v>M: </v>
      </c>
      <c r="C8306" s="68"/>
      <c r="D8306" s="68">
        <v>46580.0</v>
      </c>
      <c r="E8306" s="66">
        <v>4.0</v>
      </c>
      <c r="F8306" s="66" t="str">
        <f>IFERROR(__xludf.DUMMYFUNCTION("GOOGLETRANSLATE(A8306,""en"",""pt"")"),"#VALUE!")</f>
        <v>#VALUE!</v>
      </c>
      <c r="G8306" s="69"/>
    </row>
    <row r="8307" ht="22.5" customHeight="1">
      <c r="A8307" s="66"/>
      <c r="B8307" s="67" t="str">
        <f t="shared" si="16"/>
        <v>M: </v>
      </c>
      <c r="C8307" s="68"/>
      <c r="D8307" s="68">
        <v>46580.0</v>
      </c>
      <c r="E8307" s="66">
        <v>5.0</v>
      </c>
      <c r="F8307" s="66" t="str">
        <f>IFERROR(__xludf.DUMMYFUNCTION("GOOGLETRANSLATE(A8307,""en"",""pt"")"),"#VALUE!")</f>
        <v>#VALUE!</v>
      </c>
      <c r="G8307" s="69"/>
    </row>
    <row r="8308" ht="22.5" customHeight="1">
      <c r="A8308" s="66"/>
      <c r="B8308" s="67" t="str">
        <f t="shared" si="16"/>
        <v>M: </v>
      </c>
      <c r="C8308" s="68"/>
      <c r="D8308" s="68">
        <v>46580.0</v>
      </c>
      <c r="E8308" s="66">
        <v>6.0</v>
      </c>
      <c r="F8308" s="66" t="str">
        <f>IFERROR(__xludf.DUMMYFUNCTION("GOOGLETRANSLATE(A8308,""en"",""pt"")"),"#VALUE!")</f>
        <v>#VALUE!</v>
      </c>
      <c r="G8308" s="69"/>
    </row>
    <row r="8309" ht="22.5" customHeight="1">
      <c r="A8309" s="66"/>
      <c r="B8309" s="67" t="str">
        <f t="shared" si="16"/>
        <v>M: </v>
      </c>
      <c r="C8309" s="68"/>
      <c r="D8309" s="68">
        <v>46580.0</v>
      </c>
      <c r="E8309" s="66">
        <v>7.0</v>
      </c>
      <c r="F8309" s="66" t="str">
        <f>IFERROR(__xludf.DUMMYFUNCTION("GOOGLETRANSLATE(A8309,""en"",""pt"")"),"#VALUE!")</f>
        <v>#VALUE!</v>
      </c>
      <c r="G8309" s="69"/>
    </row>
    <row r="8310" ht="22.5" customHeight="1">
      <c r="A8310" s="66"/>
      <c r="B8310" s="67" t="str">
        <f t="shared" si="16"/>
        <v>M: </v>
      </c>
      <c r="C8310" s="68"/>
      <c r="D8310" s="68">
        <v>46580.0</v>
      </c>
      <c r="E8310" s="66">
        <v>8.0</v>
      </c>
      <c r="F8310" s="66" t="str">
        <f>IFERROR(__xludf.DUMMYFUNCTION("GOOGLETRANSLATE(A8310,""en"",""pt"")"),"#VALUE!")</f>
        <v>#VALUE!</v>
      </c>
      <c r="G8310" s="69"/>
    </row>
    <row r="8311" ht="22.5" customHeight="1">
      <c r="A8311" s="66"/>
      <c r="B8311" s="67" t="str">
        <f t="shared" si="16"/>
        <v>M: </v>
      </c>
      <c r="C8311" s="68"/>
      <c r="D8311" s="68">
        <v>46580.0</v>
      </c>
      <c r="E8311" s="66">
        <v>9.0</v>
      </c>
      <c r="F8311" s="66" t="str">
        <f>IFERROR(__xludf.DUMMYFUNCTION("GOOGLETRANSLATE(A8311,""en"",""pt"")"),"#VALUE!")</f>
        <v>#VALUE!</v>
      </c>
      <c r="G8311" s="69"/>
    </row>
    <row r="8312" ht="22.5" customHeight="1">
      <c r="A8312" s="66"/>
      <c r="B8312" s="67" t="str">
        <f t="shared" si="16"/>
        <v>M: </v>
      </c>
      <c r="C8312" s="68"/>
      <c r="D8312" s="68">
        <v>46581.0</v>
      </c>
      <c r="E8312" s="66">
        <v>10.0</v>
      </c>
      <c r="F8312" s="66" t="str">
        <f>IFERROR(__xludf.DUMMYFUNCTION("GOOGLETRANSLATE(A8312,""en"",""pt"")"),"#VALUE!")</f>
        <v>#VALUE!</v>
      </c>
      <c r="G8312" s="69"/>
    </row>
    <row r="8313" ht="22.5" customHeight="1">
      <c r="A8313" s="66"/>
      <c r="B8313" s="67" t="str">
        <f t="shared" si="16"/>
        <v>M: </v>
      </c>
      <c r="C8313" s="68"/>
      <c r="D8313" s="68">
        <v>46581.0</v>
      </c>
      <c r="E8313" s="66">
        <v>1.0</v>
      </c>
      <c r="F8313" s="66" t="str">
        <f>IFERROR(__xludf.DUMMYFUNCTION("GOOGLETRANSLATE(A8313,""en"",""pt"")"),"#VALUE!")</f>
        <v>#VALUE!</v>
      </c>
      <c r="G8313" s="69"/>
    </row>
    <row r="8314" ht="22.5" customHeight="1">
      <c r="A8314" s="66"/>
      <c r="B8314" s="67" t="str">
        <f t="shared" si="16"/>
        <v>M: </v>
      </c>
      <c r="C8314" s="68"/>
      <c r="D8314" s="68">
        <v>46581.0</v>
      </c>
      <c r="E8314" s="66">
        <v>2.0</v>
      </c>
      <c r="F8314" s="66" t="str">
        <f>IFERROR(__xludf.DUMMYFUNCTION("GOOGLETRANSLATE(A8314,""en"",""pt"")"),"#VALUE!")</f>
        <v>#VALUE!</v>
      </c>
      <c r="G8314" s="69"/>
    </row>
    <row r="8315" ht="22.5" customHeight="1">
      <c r="A8315" s="66"/>
      <c r="B8315" s="67" t="str">
        <f t="shared" si="16"/>
        <v>M: </v>
      </c>
      <c r="C8315" s="68"/>
      <c r="D8315" s="68">
        <v>46581.0</v>
      </c>
      <c r="E8315" s="66">
        <v>3.0</v>
      </c>
      <c r="F8315" s="66" t="str">
        <f>IFERROR(__xludf.DUMMYFUNCTION("GOOGLETRANSLATE(A8315,""en"",""pt"")"),"#VALUE!")</f>
        <v>#VALUE!</v>
      </c>
      <c r="G8315" s="69"/>
    </row>
    <row r="8316" ht="22.5" customHeight="1">
      <c r="A8316" s="66"/>
      <c r="B8316" s="67" t="str">
        <f t="shared" si="16"/>
        <v>M: </v>
      </c>
      <c r="C8316" s="68"/>
      <c r="D8316" s="68">
        <v>46581.0</v>
      </c>
      <c r="E8316" s="66">
        <v>4.0</v>
      </c>
      <c r="F8316" s="66" t="str">
        <f>IFERROR(__xludf.DUMMYFUNCTION("GOOGLETRANSLATE(A8316,""en"",""pt"")"),"#VALUE!")</f>
        <v>#VALUE!</v>
      </c>
      <c r="G8316" s="69"/>
    </row>
    <row r="8317" ht="22.5" customHeight="1">
      <c r="A8317" s="66"/>
      <c r="B8317" s="67" t="str">
        <f t="shared" si="16"/>
        <v>M: </v>
      </c>
      <c r="C8317" s="68"/>
      <c r="D8317" s="68">
        <v>46581.0</v>
      </c>
      <c r="E8317" s="66">
        <v>5.0</v>
      </c>
      <c r="F8317" s="66" t="str">
        <f>IFERROR(__xludf.DUMMYFUNCTION("GOOGLETRANSLATE(A8317,""en"",""pt"")"),"#VALUE!")</f>
        <v>#VALUE!</v>
      </c>
      <c r="G8317" s="69"/>
    </row>
    <row r="8318" ht="22.5" customHeight="1">
      <c r="A8318" s="66"/>
      <c r="B8318" s="67" t="str">
        <f t="shared" si="16"/>
        <v>M: </v>
      </c>
      <c r="C8318" s="68"/>
      <c r="D8318" s="68">
        <v>46581.0</v>
      </c>
      <c r="E8318" s="66">
        <v>6.0</v>
      </c>
      <c r="F8318" s="66" t="str">
        <f>IFERROR(__xludf.DUMMYFUNCTION("GOOGLETRANSLATE(A8318,""en"",""pt"")"),"#VALUE!")</f>
        <v>#VALUE!</v>
      </c>
      <c r="G8318" s="69"/>
    </row>
    <row r="8319" ht="22.5" customHeight="1">
      <c r="A8319" s="66"/>
      <c r="B8319" s="67" t="str">
        <f t="shared" si="16"/>
        <v>M: </v>
      </c>
      <c r="C8319" s="68"/>
      <c r="D8319" s="68">
        <v>46581.0</v>
      </c>
      <c r="E8319" s="66">
        <v>7.0</v>
      </c>
      <c r="F8319" s="66" t="str">
        <f>IFERROR(__xludf.DUMMYFUNCTION("GOOGLETRANSLATE(A8319,""en"",""pt"")"),"#VALUE!")</f>
        <v>#VALUE!</v>
      </c>
      <c r="G8319" s="69"/>
    </row>
    <row r="8320" ht="22.5" customHeight="1">
      <c r="A8320" s="66"/>
      <c r="B8320" s="67" t="str">
        <f t="shared" si="16"/>
        <v>M: </v>
      </c>
      <c r="C8320" s="68"/>
      <c r="D8320" s="68">
        <v>46581.0</v>
      </c>
      <c r="E8320" s="66">
        <v>8.0</v>
      </c>
      <c r="F8320" s="66" t="str">
        <f>IFERROR(__xludf.DUMMYFUNCTION("GOOGLETRANSLATE(A8320,""en"",""pt"")"),"#VALUE!")</f>
        <v>#VALUE!</v>
      </c>
      <c r="G8320" s="69"/>
    </row>
    <row r="8321" ht="22.5" customHeight="1">
      <c r="A8321" s="66"/>
      <c r="B8321" s="67" t="str">
        <f t="shared" si="16"/>
        <v>M: </v>
      </c>
      <c r="C8321" s="68"/>
      <c r="D8321" s="68">
        <v>46581.0</v>
      </c>
      <c r="E8321" s="66">
        <v>9.0</v>
      </c>
      <c r="F8321" s="66" t="str">
        <f>IFERROR(__xludf.DUMMYFUNCTION("GOOGLETRANSLATE(A8321,""en"",""pt"")"),"#VALUE!")</f>
        <v>#VALUE!</v>
      </c>
      <c r="G8321" s="69"/>
    </row>
    <row r="8322" ht="22.5" customHeight="1">
      <c r="A8322" s="66"/>
      <c r="B8322" s="67" t="str">
        <f t="shared" si="16"/>
        <v>M: </v>
      </c>
      <c r="C8322" s="68"/>
      <c r="D8322" s="68">
        <v>46582.0</v>
      </c>
      <c r="E8322" s="66">
        <v>10.0</v>
      </c>
      <c r="F8322" s="66" t="str">
        <f>IFERROR(__xludf.DUMMYFUNCTION("GOOGLETRANSLATE(A8322,""en"",""pt"")"),"#VALUE!")</f>
        <v>#VALUE!</v>
      </c>
      <c r="G8322" s="69"/>
    </row>
    <row r="8323" ht="22.5" customHeight="1">
      <c r="A8323" s="66"/>
      <c r="B8323" s="67" t="str">
        <f t="shared" si="16"/>
        <v>M: </v>
      </c>
      <c r="C8323" s="68"/>
      <c r="D8323" s="68">
        <v>46582.0</v>
      </c>
      <c r="E8323" s="66">
        <v>1.0</v>
      </c>
      <c r="F8323" s="66" t="str">
        <f>IFERROR(__xludf.DUMMYFUNCTION("GOOGLETRANSLATE(A8323,""en"",""pt"")"),"#VALUE!")</f>
        <v>#VALUE!</v>
      </c>
      <c r="G8323" s="69"/>
    </row>
    <row r="8324" ht="22.5" customHeight="1">
      <c r="A8324" s="66"/>
      <c r="B8324" s="67" t="str">
        <f t="shared" si="16"/>
        <v>M: </v>
      </c>
      <c r="C8324" s="68"/>
      <c r="D8324" s="68">
        <v>46582.0</v>
      </c>
      <c r="E8324" s="66">
        <v>2.0</v>
      </c>
      <c r="F8324" s="66" t="str">
        <f>IFERROR(__xludf.DUMMYFUNCTION("GOOGLETRANSLATE(A8324,""en"",""pt"")"),"#VALUE!")</f>
        <v>#VALUE!</v>
      </c>
      <c r="G8324" s="69"/>
    </row>
    <row r="8325" ht="22.5" customHeight="1">
      <c r="A8325" s="66"/>
      <c r="B8325" s="67" t="str">
        <f t="shared" si="16"/>
        <v>M: </v>
      </c>
      <c r="C8325" s="68"/>
      <c r="D8325" s="68">
        <v>46582.0</v>
      </c>
      <c r="E8325" s="66">
        <v>3.0</v>
      </c>
      <c r="F8325" s="66" t="str">
        <f>IFERROR(__xludf.DUMMYFUNCTION("GOOGLETRANSLATE(A8325,""en"",""pt"")"),"#VALUE!")</f>
        <v>#VALUE!</v>
      </c>
      <c r="G8325" s="69"/>
    </row>
    <row r="8326" ht="22.5" customHeight="1">
      <c r="A8326" s="66"/>
      <c r="B8326" s="67" t="str">
        <f t="shared" si="16"/>
        <v>M: </v>
      </c>
      <c r="C8326" s="68"/>
      <c r="D8326" s="68">
        <v>46582.0</v>
      </c>
      <c r="E8326" s="66">
        <v>4.0</v>
      </c>
      <c r="F8326" s="66" t="str">
        <f>IFERROR(__xludf.DUMMYFUNCTION("GOOGLETRANSLATE(A8326,""en"",""pt"")"),"#VALUE!")</f>
        <v>#VALUE!</v>
      </c>
      <c r="G8326" s="69"/>
    </row>
    <row r="8327" ht="22.5" customHeight="1">
      <c r="A8327" s="66"/>
      <c r="B8327" s="67" t="str">
        <f t="shared" si="16"/>
        <v>M: </v>
      </c>
      <c r="C8327" s="68"/>
      <c r="D8327" s="68">
        <v>46582.0</v>
      </c>
      <c r="E8327" s="66">
        <v>5.0</v>
      </c>
      <c r="F8327" s="66" t="str">
        <f>IFERROR(__xludf.DUMMYFUNCTION("GOOGLETRANSLATE(A8327,""en"",""pt"")"),"#VALUE!")</f>
        <v>#VALUE!</v>
      </c>
      <c r="G8327" s="69"/>
    </row>
    <row r="8328" ht="22.5" customHeight="1">
      <c r="A8328" s="66"/>
      <c r="B8328" s="67" t="str">
        <f t="shared" si="16"/>
        <v>M: </v>
      </c>
      <c r="C8328" s="68"/>
      <c r="D8328" s="68">
        <v>46582.0</v>
      </c>
      <c r="E8328" s="66">
        <v>6.0</v>
      </c>
      <c r="F8328" s="66" t="str">
        <f>IFERROR(__xludf.DUMMYFUNCTION("GOOGLETRANSLATE(A8328,""en"",""pt"")"),"#VALUE!")</f>
        <v>#VALUE!</v>
      </c>
      <c r="G8328" s="69"/>
    </row>
    <row r="8329" ht="22.5" customHeight="1">
      <c r="A8329" s="66"/>
      <c r="B8329" s="67" t="str">
        <f t="shared" si="16"/>
        <v>M: </v>
      </c>
      <c r="C8329" s="68"/>
      <c r="D8329" s="68">
        <v>46582.0</v>
      </c>
      <c r="E8329" s="66">
        <v>7.0</v>
      </c>
      <c r="F8329" s="66" t="str">
        <f>IFERROR(__xludf.DUMMYFUNCTION("GOOGLETRANSLATE(A8329,""en"",""pt"")"),"#VALUE!")</f>
        <v>#VALUE!</v>
      </c>
      <c r="G8329" s="69"/>
    </row>
    <row r="8330" ht="22.5" customHeight="1">
      <c r="A8330" s="66"/>
      <c r="B8330" s="67" t="str">
        <f t="shared" si="16"/>
        <v>M: </v>
      </c>
      <c r="C8330" s="68"/>
      <c r="D8330" s="68">
        <v>46582.0</v>
      </c>
      <c r="E8330" s="66">
        <v>8.0</v>
      </c>
      <c r="F8330" s="66" t="str">
        <f>IFERROR(__xludf.DUMMYFUNCTION("GOOGLETRANSLATE(A8330,""en"",""pt"")"),"#VALUE!")</f>
        <v>#VALUE!</v>
      </c>
      <c r="G8330" s="69"/>
    </row>
    <row r="8331" ht="22.5" customHeight="1">
      <c r="A8331" s="66"/>
      <c r="B8331" s="67" t="str">
        <f t="shared" si="16"/>
        <v>M: </v>
      </c>
      <c r="C8331" s="68"/>
      <c r="D8331" s="68">
        <v>46582.0</v>
      </c>
      <c r="E8331" s="66">
        <v>9.0</v>
      </c>
      <c r="F8331" s="66" t="str">
        <f>IFERROR(__xludf.DUMMYFUNCTION("GOOGLETRANSLATE(A8331,""en"",""pt"")"),"#VALUE!")</f>
        <v>#VALUE!</v>
      </c>
      <c r="G8331" s="69"/>
    </row>
    <row r="8332" ht="22.5" customHeight="1">
      <c r="A8332" s="66"/>
      <c r="B8332" s="67" t="str">
        <f t="shared" si="16"/>
        <v>M: </v>
      </c>
      <c r="C8332" s="68"/>
      <c r="D8332" s="68">
        <v>46583.0</v>
      </c>
      <c r="E8332" s="66">
        <v>10.0</v>
      </c>
      <c r="F8332" s="66" t="str">
        <f>IFERROR(__xludf.DUMMYFUNCTION("GOOGLETRANSLATE(A8332,""en"",""pt"")"),"#VALUE!")</f>
        <v>#VALUE!</v>
      </c>
      <c r="G8332" s="69"/>
    </row>
    <row r="8333" ht="22.5" customHeight="1">
      <c r="A8333" s="66"/>
      <c r="B8333" s="67" t="str">
        <f t="shared" si="16"/>
        <v>M: </v>
      </c>
      <c r="C8333" s="68"/>
      <c r="D8333" s="68">
        <v>46583.0</v>
      </c>
      <c r="E8333" s="66">
        <v>1.0</v>
      </c>
      <c r="F8333" s="66" t="str">
        <f>IFERROR(__xludf.DUMMYFUNCTION("GOOGLETRANSLATE(A8333,""en"",""pt"")"),"#VALUE!")</f>
        <v>#VALUE!</v>
      </c>
      <c r="G8333" s="69"/>
    </row>
    <row r="8334" ht="22.5" customHeight="1">
      <c r="A8334" s="66"/>
      <c r="B8334" s="67" t="str">
        <f t="shared" si="16"/>
        <v>M: </v>
      </c>
      <c r="C8334" s="68"/>
      <c r="D8334" s="68">
        <v>46583.0</v>
      </c>
      <c r="E8334" s="66">
        <v>2.0</v>
      </c>
      <c r="F8334" s="66" t="str">
        <f>IFERROR(__xludf.DUMMYFUNCTION("GOOGLETRANSLATE(A8334,""en"",""pt"")"),"#VALUE!")</f>
        <v>#VALUE!</v>
      </c>
      <c r="G8334" s="69"/>
    </row>
    <row r="8335" ht="22.5" customHeight="1">
      <c r="A8335" s="66"/>
      <c r="B8335" s="67" t="str">
        <f t="shared" si="16"/>
        <v>M: </v>
      </c>
      <c r="C8335" s="68"/>
      <c r="D8335" s="68">
        <v>46583.0</v>
      </c>
      <c r="E8335" s="66">
        <v>3.0</v>
      </c>
      <c r="F8335" s="66" t="str">
        <f>IFERROR(__xludf.DUMMYFUNCTION("GOOGLETRANSLATE(A8335,""en"",""pt"")"),"#VALUE!")</f>
        <v>#VALUE!</v>
      </c>
      <c r="G8335" s="69"/>
    </row>
    <row r="8336" ht="22.5" customHeight="1">
      <c r="A8336" s="66"/>
      <c r="B8336" s="67" t="str">
        <f t="shared" si="16"/>
        <v>M: </v>
      </c>
      <c r="C8336" s="68"/>
      <c r="D8336" s="68">
        <v>46583.0</v>
      </c>
      <c r="E8336" s="66">
        <v>4.0</v>
      </c>
      <c r="F8336" s="66" t="str">
        <f>IFERROR(__xludf.DUMMYFUNCTION("GOOGLETRANSLATE(A8336,""en"",""pt"")"),"#VALUE!")</f>
        <v>#VALUE!</v>
      </c>
      <c r="G8336" s="69"/>
    </row>
    <row r="8337" ht="22.5" customHeight="1">
      <c r="A8337" s="66"/>
      <c r="B8337" s="67" t="str">
        <f t="shared" si="16"/>
        <v>M: </v>
      </c>
      <c r="C8337" s="68"/>
      <c r="D8337" s="68">
        <v>46583.0</v>
      </c>
      <c r="E8337" s="66">
        <v>5.0</v>
      </c>
      <c r="F8337" s="66" t="str">
        <f>IFERROR(__xludf.DUMMYFUNCTION("GOOGLETRANSLATE(A8337,""en"",""pt"")"),"#VALUE!")</f>
        <v>#VALUE!</v>
      </c>
      <c r="G8337" s="69"/>
    </row>
    <row r="8338" ht="22.5" customHeight="1">
      <c r="A8338" s="66"/>
      <c r="B8338" s="67" t="str">
        <f t="shared" si="16"/>
        <v>M: </v>
      </c>
      <c r="C8338" s="68"/>
      <c r="D8338" s="68">
        <v>46583.0</v>
      </c>
      <c r="E8338" s="66">
        <v>6.0</v>
      </c>
      <c r="F8338" s="66" t="str">
        <f>IFERROR(__xludf.DUMMYFUNCTION("GOOGLETRANSLATE(A8338,""en"",""pt"")"),"#VALUE!")</f>
        <v>#VALUE!</v>
      </c>
      <c r="G8338" s="69"/>
    </row>
    <row r="8339" ht="22.5" customHeight="1">
      <c r="A8339" s="66"/>
      <c r="B8339" s="67" t="str">
        <f t="shared" si="16"/>
        <v>M: </v>
      </c>
      <c r="C8339" s="68"/>
      <c r="D8339" s="68">
        <v>46583.0</v>
      </c>
      <c r="E8339" s="66">
        <v>7.0</v>
      </c>
      <c r="F8339" s="66" t="str">
        <f>IFERROR(__xludf.DUMMYFUNCTION("GOOGLETRANSLATE(A8339,""en"",""pt"")"),"#VALUE!")</f>
        <v>#VALUE!</v>
      </c>
      <c r="G8339" s="69"/>
    </row>
    <row r="8340" ht="22.5" customHeight="1">
      <c r="A8340" s="66"/>
      <c r="B8340" s="67" t="str">
        <f t="shared" si="16"/>
        <v>M: </v>
      </c>
      <c r="C8340" s="68"/>
      <c r="D8340" s="68">
        <v>46583.0</v>
      </c>
      <c r="E8340" s="66">
        <v>8.0</v>
      </c>
      <c r="F8340" s="66" t="str">
        <f>IFERROR(__xludf.DUMMYFUNCTION("GOOGLETRANSLATE(A8340,""en"",""pt"")"),"#VALUE!")</f>
        <v>#VALUE!</v>
      </c>
      <c r="G8340" s="69"/>
    </row>
    <row r="8341" ht="22.5" customHeight="1">
      <c r="A8341" s="66"/>
      <c r="B8341" s="67" t="str">
        <f t="shared" si="16"/>
        <v>M: </v>
      </c>
      <c r="C8341" s="68"/>
      <c r="D8341" s="68">
        <v>46583.0</v>
      </c>
      <c r="E8341" s="66">
        <v>9.0</v>
      </c>
      <c r="F8341" s="66" t="str">
        <f>IFERROR(__xludf.DUMMYFUNCTION("GOOGLETRANSLATE(A8341,""en"",""pt"")"),"#VALUE!")</f>
        <v>#VALUE!</v>
      </c>
      <c r="G8341" s="69"/>
    </row>
    <row r="8342" ht="22.5" customHeight="1">
      <c r="A8342" s="66"/>
      <c r="B8342" s="67" t="str">
        <f t="shared" si="16"/>
        <v>M: </v>
      </c>
      <c r="C8342" s="68"/>
      <c r="D8342" s="68">
        <v>46584.0</v>
      </c>
      <c r="E8342" s="66">
        <v>10.0</v>
      </c>
      <c r="F8342" s="66" t="str">
        <f>IFERROR(__xludf.DUMMYFUNCTION("GOOGLETRANSLATE(A8342,""en"",""pt"")"),"#VALUE!")</f>
        <v>#VALUE!</v>
      </c>
      <c r="G8342" s="69"/>
    </row>
    <row r="8343" ht="22.5" customHeight="1">
      <c r="A8343" s="66"/>
      <c r="B8343" s="67" t="str">
        <f t="shared" si="16"/>
        <v>M: </v>
      </c>
      <c r="C8343" s="68"/>
      <c r="D8343" s="68">
        <v>46584.0</v>
      </c>
      <c r="E8343" s="66">
        <v>1.0</v>
      </c>
      <c r="F8343" s="66" t="str">
        <f>IFERROR(__xludf.DUMMYFUNCTION("GOOGLETRANSLATE(A8343,""en"",""pt"")"),"#VALUE!")</f>
        <v>#VALUE!</v>
      </c>
      <c r="G8343" s="69"/>
    </row>
    <row r="8344" ht="22.5" customHeight="1">
      <c r="A8344" s="66"/>
      <c r="B8344" s="67" t="str">
        <f t="shared" si="16"/>
        <v>M: </v>
      </c>
      <c r="C8344" s="68"/>
      <c r="D8344" s="68">
        <v>46584.0</v>
      </c>
      <c r="E8344" s="66">
        <v>2.0</v>
      </c>
      <c r="F8344" s="66" t="str">
        <f>IFERROR(__xludf.DUMMYFUNCTION("GOOGLETRANSLATE(A8344,""en"",""pt"")"),"#VALUE!")</f>
        <v>#VALUE!</v>
      </c>
      <c r="G8344" s="69"/>
    </row>
    <row r="8345" ht="22.5" customHeight="1">
      <c r="A8345" s="66"/>
      <c r="B8345" s="67" t="str">
        <f t="shared" si="16"/>
        <v>M: </v>
      </c>
      <c r="C8345" s="68"/>
      <c r="D8345" s="68">
        <v>46584.0</v>
      </c>
      <c r="E8345" s="66">
        <v>3.0</v>
      </c>
      <c r="F8345" s="66" t="str">
        <f>IFERROR(__xludf.DUMMYFUNCTION("GOOGLETRANSLATE(A8345,""en"",""pt"")"),"#VALUE!")</f>
        <v>#VALUE!</v>
      </c>
      <c r="G8345" s="69"/>
    </row>
    <row r="8346" ht="22.5" customHeight="1">
      <c r="A8346" s="66"/>
      <c r="B8346" s="67" t="str">
        <f t="shared" si="16"/>
        <v>M: </v>
      </c>
      <c r="C8346" s="68"/>
      <c r="D8346" s="68">
        <v>46584.0</v>
      </c>
      <c r="E8346" s="66">
        <v>4.0</v>
      </c>
      <c r="F8346" s="66" t="str">
        <f>IFERROR(__xludf.DUMMYFUNCTION("GOOGLETRANSLATE(A8346,""en"",""pt"")"),"#VALUE!")</f>
        <v>#VALUE!</v>
      </c>
      <c r="G8346" s="69"/>
    </row>
    <row r="8347" ht="22.5" customHeight="1">
      <c r="A8347" s="66"/>
      <c r="B8347" s="67" t="str">
        <f t="shared" si="16"/>
        <v>M: </v>
      </c>
      <c r="C8347" s="68"/>
      <c r="D8347" s="68">
        <v>46584.0</v>
      </c>
      <c r="E8347" s="66">
        <v>5.0</v>
      </c>
      <c r="F8347" s="66" t="str">
        <f>IFERROR(__xludf.DUMMYFUNCTION("GOOGLETRANSLATE(A8347,""en"",""pt"")"),"#VALUE!")</f>
        <v>#VALUE!</v>
      </c>
      <c r="G8347" s="69"/>
    </row>
    <row r="8348" ht="22.5" customHeight="1">
      <c r="A8348" s="66"/>
      <c r="B8348" s="67" t="str">
        <f t="shared" si="16"/>
        <v>M: </v>
      </c>
      <c r="C8348" s="68"/>
      <c r="D8348" s="68">
        <v>46584.0</v>
      </c>
      <c r="E8348" s="66">
        <v>6.0</v>
      </c>
      <c r="F8348" s="66" t="str">
        <f>IFERROR(__xludf.DUMMYFUNCTION("GOOGLETRANSLATE(A8348,""en"",""pt"")"),"#VALUE!")</f>
        <v>#VALUE!</v>
      </c>
      <c r="G8348" s="69"/>
    </row>
    <row r="8349" ht="22.5" customHeight="1">
      <c r="A8349" s="66"/>
      <c r="B8349" s="67" t="str">
        <f t="shared" si="16"/>
        <v>M: </v>
      </c>
      <c r="C8349" s="68"/>
      <c r="D8349" s="68">
        <v>46584.0</v>
      </c>
      <c r="E8349" s="66">
        <v>7.0</v>
      </c>
      <c r="F8349" s="66" t="str">
        <f>IFERROR(__xludf.DUMMYFUNCTION("GOOGLETRANSLATE(A8349,""en"",""pt"")"),"#VALUE!")</f>
        <v>#VALUE!</v>
      </c>
      <c r="G8349" s="69"/>
    </row>
    <row r="8350" ht="22.5" customHeight="1">
      <c r="A8350" s="66"/>
      <c r="B8350" s="67" t="str">
        <f t="shared" si="16"/>
        <v>M: </v>
      </c>
      <c r="C8350" s="68"/>
      <c r="D8350" s="68">
        <v>46584.0</v>
      </c>
      <c r="E8350" s="66">
        <v>8.0</v>
      </c>
      <c r="F8350" s="66" t="str">
        <f>IFERROR(__xludf.DUMMYFUNCTION("GOOGLETRANSLATE(A8350,""en"",""pt"")"),"#VALUE!")</f>
        <v>#VALUE!</v>
      </c>
      <c r="G8350" s="69"/>
    </row>
    <row r="8351" ht="22.5" customHeight="1">
      <c r="A8351" s="66"/>
      <c r="B8351" s="67" t="str">
        <f t="shared" si="16"/>
        <v>M: </v>
      </c>
      <c r="C8351" s="68"/>
      <c r="D8351" s="68">
        <v>46584.0</v>
      </c>
      <c r="E8351" s="66">
        <v>9.0</v>
      </c>
      <c r="F8351" s="66" t="str">
        <f>IFERROR(__xludf.DUMMYFUNCTION("GOOGLETRANSLATE(A8351,""en"",""pt"")"),"#VALUE!")</f>
        <v>#VALUE!</v>
      </c>
      <c r="G8351" s="69"/>
    </row>
    <row r="8352" ht="22.5" customHeight="1">
      <c r="A8352" s="66"/>
      <c r="B8352" s="67" t="str">
        <f t="shared" si="16"/>
        <v>M: </v>
      </c>
      <c r="C8352" s="68"/>
      <c r="D8352" s="68">
        <v>46585.0</v>
      </c>
      <c r="E8352" s="66">
        <v>10.0</v>
      </c>
      <c r="F8352" s="66" t="str">
        <f>IFERROR(__xludf.DUMMYFUNCTION("GOOGLETRANSLATE(A8352,""en"",""pt"")"),"#VALUE!")</f>
        <v>#VALUE!</v>
      </c>
      <c r="G8352" s="69"/>
    </row>
    <row r="8353" ht="22.5" customHeight="1">
      <c r="A8353" s="66"/>
      <c r="B8353" s="67" t="str">
        <f t="shared" si="16"/>
        <v>M: </v>
      </c>
      <c r="C8353" s="68"/>
      <c r="D8353" s="68">
        <v>46585.0</v>
      </c>
      <c r="E8353" s="66">
        <v>1.0</v>
      </c>
      <c r="F8353" s="66" t="str">
        <f>IFERROR(__xludf.DUMMYFUNCTION("GOOGLETRANSLATE(A8353,""en"",""pt"")"),"#VALUE!")</f>
        <v>#VALUE!</v>
      </c>
      <c r="G8353" s="69"/>
    </row>
    <row r="8354" ht="22.5" customHeight="1">
      <c r="A8354" s="66"/>
      <c r="B8354" s="67" t="str">
        <f t="shared" si="16"/>
        <v>M: </v>
      </c>
      <c r="C8354" s="68"/>
      <c r="D8354" s="68">
        <v>46585.0</v>
      </c>
      <c r="E8354" s="66">
        <v>2.0</v>
      </c>
      <c r="F8354" s="66" t="str">
        <f>IFERROR(__xludf.DUMMYFUNCTION("GOOGLETRANSLATE(A8354,""en"",""pt"")"),"#VALUE!")</f>
        <v>#VALUE!</v>
      </c>
      <c r="G8354" s="69"/>
    </row>
    <row r="8355" ht="22.5" customHeight="1">
      <c r="A8355" s="66"/>
      <c r="B8355" s="67" t="str">
        <f t="shared" si="16"/>
        <v>M: </v>
      </c>
      <c r="C8355" s="68"/>
      <c r="D8355" s="68">
        <v>46585.0</v>
      </c>
      <c r="E8355" s="66">
        <v>3.0</v>
      </c>
      <c r="F8355" s="66" t="str">
        <f>IFERROR(__xludf.DUMMYFUNCTION("GOOGLETRANSLATE(A8355,""en"",""pt"")"),"#VALUE!")</f>
        <v>#VALUE!</v>
      </c>
      <c r="G8355" s="69"/>
    </row>
    <row r="8356" ht="22.5" customHeight="1">
      <c r="A8356" s="66"/>
      <c r="B8356" s="67" t="str">
        <f t="shared" si="16"/>
        <v>M: </v>
      </c>
      <c r="C8356" s="68"/>
      <c r="D8356" s="68">
        <v>46585.0</v>
      </c>
      <c r="E8356" s="66">
        <v>4.0</v>
      </c>
      <c r="F8356" s="66" t="str">
        <f>IFERROR(__xludf.DUMMYFUNCTION("GOOGLETRANSLATE(A8356,""en"",""pt"")"),"#VALUE!")</f>
        <v>#VALUE!</v>
      </c>
      <c r="G8356" s="69"/>
    </row>
    <row r="8357" ht="22.5" customHeight="1">
      <c r="A8357" s="66"/>
      <c r="B8357" s="67" t="str">
        <f t="shared" si="16"/>
        <v>M: </v>
      </c>
      <c r="C8357" s="68"/>
      <c r="D8357" s="68">
        <v>46585.0</v>
      </c>
      <c r="E8357" s="66">
        <v>5.0</v>
      </c>
      <c r="F8357" s="66" t="str">
        <f>IFERROR(__xludf.DUMMYFUNCTION("GOOGLETRANSLATE(A8357,""en"",""pt"")"),"#VALUE!")</f>
        <v>#VALUE!</v>
      </c>
      <c r="G8357" s="69"/>
    </row>
    <row r="8358" ht="22.5" customHeight="1">
      <c r="A8358" s="66"/>
      <c r="B8358" s="67" t="str">
        <f t="shared" si="16"/>
        <v>M: </v>
      </c>
      <c r="C8358" s="68"/>
      <c r="D8358" s="68">
        <v>46585.0</v>
      </c>
      <c r="E8358" s="66">
        <v>6.0</v>
      </c>
      <c r="F8358" s="66" t="str">
        <f>IFERROR(__xludf.DUMMYFUNCTION("GOOGLETRANSLATE(A8358,""en"",""pt"")"),"#VALUE!")</f>
        <v>#VALUE!</v>
      </c>
      <c r="G8358" s="69"/>
    </row>
    <row r="8359" ht="22.5" customHeight="1">
      <c r="A8359" s="66"/>
      <c r="B8359" s="67" t="str">
        <f t="shared" si="16"/>
        <v>M: </v>
      </c>
      <c r="C8359" s="68"/>
      <c r="D8359" s="68">
        <v>46585.0</v>
      </c>
      <c r="E8359" s="66">
        <v>7.0</v>
      </c>
      <c r="F8359" s="66" t="str">
        <f>IFERROR(__xludf.DUMMYFUNCTION("GOOGLETRANSLATE(A8359,""en"",""pt"")"),"#VALUE!")</f>
        <v>#VALUE!</v>
      </c>
      <c r="G8359" s="69"/>
    </row>
    <row r="8360" ht="22.5" customHeight="1">
      <c r="A8360" s="66"/>
      <c r="B8360" s="67" t="str">
        <f t="shared" si="16"/>
        <v>M: </v>
      </c>
      <c r="C8360" s="68"/>
      <c r="D8360" s="68">
        <v>46585.0</v>
      </c>
      <c r="E8360" s="66">
        <v>8.0</v>
      </c>
      <c r="F8360" s="66" t="str">
        <f>IFERROR(__xludf.DUMMYFUNCTION("GOOGLETRANSLATE(A8360,""en"",""pt"")"),"#VALUE!")</f>
        <v>#VALUE!</v>
      </c>
      <c r="G8360" s="69"/>
    </row>
    <row r="8361" ht="22.5" customHeight="1">
      <c r="A8361" s="66"/>
      <c r="B8361" s="67" t="str">
        <f t="shared" si="16"/>
        <v>M: </v>
      </c>
      <c r="C8361" s="68"/>
      <c r="D8361" s="68">
        <v>46585.0</v>
      </c>
      <c r="E8361" s="66">
        <v>9.0</v>
      </c>
      <c r="F8361" s="66" t="str">
        <f>IFERROR(__xludf.DUMMYFUNCTION("GOOGLETRANSLATE(A8361,""en"",""pt"")"),"#VALUE!")</f>
        <v>#VALUE!</v>
      </c>
      <c r="G8361" s="69"/>
    </row>
    <row r="8362" ht="22.5" customHeight="1">
      <c r="A8362" s="66"/>
      <c r="B8362" s="67" t="str">
        <f t="shared" si="16"/>
        <v>M: </v>
      </c>
      <c r="C8362" s="68"/>
      <c r="D8362" s="68">
        <v>46586.0</v>
      </c>
      <c r="E8362" s="66">
        <v>10.0</v>
      </c>
      <c r="F8362" s="66" t="str">
        <f>IFERROR(__xludf.DUMMYFUNCTION("GOOGLETRANSLATE(A8362,""en"",""pt"")"),"#VALUE!")</f>
        <v>#VALUE!</v>
      </c>
      <c r="G8362" s="69"/>
    </row>
    <row r="8363" ht="22.5" customHeight="1">
      <c r="A8363" s="66"/>
      <c r="B8363" s="67" t="str">
        <f t="shared" si="16"/>
        <v>M: </v>
      </c>
      <c r="C8363" s="68"/>
      <c r="D8363" s="68">
        <v>46586.0</v>
      </c>
      <c r="E8363" s="66">
        <v>1.0</v>
      </c>
      <c r="F8363" s="66" t="str">
        <f>IFERROR(__xludf.DUMMYFUNCTION("GOOGLETRANSLATE(A8363,""en"",""pt"")"),"#VALUE!")</f>
        <v>#VALUE!</v>
      </c>
      <c r="G8363" s="69"/>
    </row>
    <row r="8364" ht="22.5" customHeight="1">
      <c r="A8364" s="66"/>
      <c r="B8364" s="67" t="str">
        <f t="shared" si="16"/>
        <v>M: </v>
      </c>
      <c r="C8364" s="68"/>
      <c r="D8364" s="68">
        <v>46586.0</v>
      </c>
      <c r="E8364" s="66">
        <v>2.0</v>
      </c>
      <c r="F8364" s="66" t="str">
        <f>IFERROR(__xludf.DUMMYFUNCTION("GOOGLETRANSLATE(A8364,""en"",""pt"")"),"#VALUE!")</f>
        <v>#VALUE!</v>
      </c>
      <c r="G8364" s="69"/>
    </row>
    <row r="8365" ht="22.5" customHeight="1">
      <c r="A8365" s="66"/>
      <c r="B8365" s="67" t="str">
        <f t="shared" si="16"/>
        <v>M: </v>
      </c>
      <c r="C8365" s="68"/>
      <c r="D8365" s="68">
        <v>46586.0</v>
      </c>
      <c r="E8365" s="66">
        <v>3.0</v>
      </c>
      <c r="F8365" s="66" t="str">
        <f>IFERROR(__xludf.DUMMYFUNCTION("GOOGLETRANSLATE(A8365,""en"",""pt"")"),"#VALUE!")</f>
        <v>#VALUE!</v>
      </c>
      <c r="G8365" s="69"/>
    </row>
    <row r="8366" ht="22.5" customHeight="1">
      <c r="A8366" s="66"/>
      <c r="B8366" s="67" t="str">
        <f t="shared" si="16"/>
        <v>M: </v>
      </c>
      <c r="C8366" s="68"/>
      <c r="D8366" s="68">
        <v>46586.0</v>
      </c>
      <c r="E8366" s="66">
        <v>4.0</v>
      </c>
      <c r="F8366" s="66" t="str">
        <f>IFERROR(__xludf.DUMMYFUNCTION("GOOGLETRANSLATE(A8366,""en"",""pt"")"),"#VALUE!")</f>
        <v>#VALUE!</v>
      </c>
      <c r="G8366" s="69"/>
    </row>
    <row r="8367" ht="22.5" customHeight="1">
      <c r="A8367" s="66"/>
      <c r="B8367" s="67" t="str">
        <f t="shared" si="16"/>
        <v>M: </v>
      </c>
      <c r="C8367" s="68"/>
      <c r="D8367" s="68">
        <v>46586.0</v>
      </c>
      <c r="E8367" s="66">
        <v>5.0</v>
      </c>
      <c r="F8367" s="66" t="str">
        <f>IFERROR(__xludf.DUMMYFUNCTION("GOOGLETRANSLATE(A8367,""en"",""pt"")"),"#VALUE!")</f>
        <v>#VALUE!</v>
      </c>
      <c r="G8367" s="69"/>
    </row>
    <row r="8368" ht="22.5" customHeight="1">
      <c r="A8368" s="66"/>
      <c r="B8368" s="67" t="str">
        <f t="shared" si="16"/>
        <v>M: </v>
      </c>
      <c r="C8368" s="68"/>
      <c r="D8368" s="68">
        <v>46586.0</v>
      </c>
      <c r="E8368" s="66">
        <v>6.0</v>
      </c>
      <c r="F8368" s="66" t="str">
        <f>IFERROR(__xludf.DUMMYFUNCTION("GOOGLETRANSLATE(A8368,""en"",""pt"")"),"#VALUE!")</f>
        <v>#VALUE!</v>
      </c>
      <c r="G8368" s="69"/>
    </row>
    <row r="8369" ht="22.5" customHeight="1">
      <c r="A8369" s="66"/>
      <c r="B8369" s="67" t="str">
        <f t="shared" si="16"/>
        <v>M: </v>
      </c>
      <c r="C8369" s="68"/>
      <c r="D8369" s="68">
        <v>46586.0</v>
      </c>
      <c r="E8369" s="66">
        <v>7.0</v>
      </c>
      <c r="F8369" s="66" t="str">
        <f>IFERROR(__xludf.DUMMYFUNCTION("GOOGLETRANSLATE(A8369,""en"",""pt"")"),"#VALUE!")</f>
        <v>#VALUE!</v>
      </c>
      <c r="G8369" s="69"/>
    </row>
    <row r="8370" ht="22.5" customHeight="1">
      <c r="A8370" s="66"/>
      <c r="B8370" s="67" t="str">
        <f t="shared" si="16"/>
        <v>M: </v>
      </c>
      <c r="C8370" s="68"/>
      <c r="D8370" s="68">
        <v>46586.0</v>
      </c>
      <c r="E8370" s="66">
        <v>8.0</v>
      </c>
      <c r="F8370" s="66" t="str">
        <f>IFERROR(__xludf.DUMMYFUNCTION("GOOGLETRANSLATE(A8370,""en"",""pt"")"),"#VALUE!")</f>
        <v>#VALUE!</v>
      </c>
      <c r="G8370" s="69"/>
    </row>
    <row r="8371" ht="22.5" customHeight="1">
      <c r="A8371" s="66"/>
      <c r="B8371" s="67" t="str">
        <f t="shared" si="16"/>
        <v>M: </v>
      </c>
      <c r="C8371" s="68"/>
      <c r="D8371" s="68">
        <v>46586.0</v>
      </c>
      <c r="E8371" s="66">
        <v>9.0</v>
      </c>
      <c r="F8371" s="66" t="str">
        <f>IFERROR(__xludf.DUMMYFUNCTION("GOOGLETRANSLATE(A8371,""en"",""pt"")"),"#VALUE!")</f>
        <v>#VALUE!</v>
      </c>
      <c r="G8371" s="69"/>
    </row>
    <row r="8372" ht="22.5" customHeight="1">
      <c r="A8372" s="66"/>
      <c r="B8372" s="67" t="str">
        <f t="shared" si="16"/>
        <v>M: </v>
      </c>
      <c r="C8372" s="68"/>
      <c r="D8372" s="68">
        <v>46587.0</v>
      </c>
      <c r="E8372" s="66">
        <v>10.0</v>
      </c>
      <c r="F8372" s="66" t="str">
        <f>IFERROR(__xludf.DUMMYFUNCTION("GOOGLETRANSLATE(A8372,""en"",""pt"")"),"#VALUE!")</f>
        <v>#VALUE!</v>
      </c>
      <c r="G8372" s="69"/>
    </row>
    <row r="8373" ht="22.5" customHeight="1">
      <c r="A8373" s="66"/>
      <c r="B8373" s="67" t="str">
        <f t="shared" si="16"/>
        <v>M: </v>
      </c>
      <c r="C8373" s="68"/>
      <c r="D8373" s="68">
        <v>46587.0</v>
      </c>
      <c r="E8373" s="66">
        <v>1.0</v>
      </c>
      <c r="F8373" s="66" t="str">
        <f>IFERROR(__xludf.DUMMYFUNCTION("GOOGLETRANSLATE(A8373,""en"",""pt"")"),"#VALUE!")</f>
        <v>#VALUE!</v>
      </c>
      <c r="G8373" s="69"/>
    </row>
    <row r="8374" ht="22.5" customHeight="1">
      <c r="A8374" s="66"/>
      <c r="B8374" s="67" t="str">
        <f t="shared" si="16"/>
        <v>M: </v>
      </c>
      <c r="C8374" s="68"/>
      <c r="D8374" s="68">
        <v>46587.0</v>
      </c>
      <c r="E8374" s="66">
        <v>2.0</v>
      </c>
      <c r="F8374" s="66" t="str">
        <f>IFERROR(__xludf.DUMMYFUNCTION("GOOGLETRANSLATE(A8374,""en"",""pt"")"),"#VALUE!")</f>
        <v>#VALUE!</v>
      </c>
      <c r="G8374" s="69"/>
    </row>
    <row r="8375" ht="22.5" customHeight="1">
      <c r="A8375" s="66"/>
      <c r="B8375" s="67" t="str">
        <f t="shared" si="16"/>
        <v>M: </v>
      </c>
      <c r="C8375" s="68"/>
      <c r="D8375" s="68">
        <v>46587.0</v>
      </c>
      <c r="E8375" s="66">
        <v>3.0</v>
      </c>
      <c r="F8375" s="66" t="str">
        <f>IFERROR(__xludf.DUMMYFUNCTION("GOOGLETRANSLATE(A8375,""en"",""pt"")"),"#VALUE!")</f>
        <v>#VALUE!</v>
      </c>
      <c r="G8375" s="69"/>
    </row>
    <row r="8376" ht="22.5" customHeight="1">
      <c r="A8376" s="66"/>
      <c r="B8376" s="67" t="str">
        <f t="shared" si="16"/>
        <v>M: </v>
      </c>
      <c r="C8376" s="68"/>
      <c r="D8376" s="68">
        <v>46587.0</v>
      </c>
      <c r="E8376" s="66">
        <v>4.0</v>
      </c>
      <c r="F8376" s="66" t="str">
        <f>IFERROR(__xludf.DUMMYFUNCTION("GOOGLETRANSLATE(A8376,""en"",""pt"")"),"#VALUE!")</f>
        <v>#VALUE!</v>
      </c>
      <c r="G8376" s="69"/>
    </row>
    <row r="8377" ht="22.5" customHeight="1">
      <c r="A8377" s="66"/>
      <c r="B8377" s="67" t="str">
        <f t="shared" si="16"/>
        <v>M: </v>
      </c>
      <c r="C8377" s="68"/>
      <c r="D8377" s="68">
        <v>46587.0</v>
      </c>
      <c r="E8377" s="66">
        <v>5.0</v>
      </c>
      <c r="F8377" s="66" t="str">
        <f>IFERROR(__xludf.DUMMYFUNCTION("GOOGLETRANSLATE(A8377,""en"",""pt"")"),"#VALUE!")</f>
        <v>#VALUE!</v>
      </c>
      <c r="G8377" s="69"/>
    </row>
    <row r="8378" ht="22.5" customHeight="1">
      <c r="A8378" s="66"/>
      <c r="B8378" s="67" t="str">
        <f t="shared" si="16"/>
        <v>M: </v>
      </c>
      <c r="C8378" s="68"/>
      <c r="D8378" s="68">
        <v>46587.0</v>
      </c>
      <c r="E8378" s="66">
        <v>6.0</v>
      </c>
      <c r="F8378" s="66" t="str">
        <f>IFERROR(__xludf.DUMMYFUNCTION("GOOGLETRANSLATE(A8378,""en"",""pt"")"),"#VALUE!")</f>
        <v>#VALUE!</v>
      </c>
      <c r="G8378" s="69"/>
    </row>
    <row r="8379" ht="22.5" customHeight="1">
      <c r="A8379" s="66"/>
      <c r="B8379" s="67" t="str">
        <f t="shared" si="16"/>
        <v>M: </v>
      </c>
      <c r="C8379" s="68"/>
      <c r="D8379" s="68">
        <v>46587.0</v>
      </c>
      <c r="E8379" s="66">
        <v>7.0</v>
      </c>
      <c r="F8379" s="66" t="str">
        <f>IFERROR(__xludf.DUMMYFUNCTION("GOOGLETRANSLATE(A8379,""en"",""pt"")"),"#VALUE!")</f>
        <v>#VALUE!</v>
      </c>
      <c r="G8379" s="69"/>
    </row>
    <row r="8380" ht="22.5" customHeight="1">
      <c r="A8380" s="66"/>
      <c r="B8380" s="67" t="str">
        <f t="shared" si="16"/>
        <v>M: </v>
      </c>
      <c r="C8380" s="68"/>
      <c r="D8380" s="68">
        <v>46587.0</v>
      </c>
      <c r="E8380" s="66">
        <v>8.0</v>
      </c>
      <c r="F8380" s="66" t="str">
        <f>IFERROR(__xludf.DUMMYFUNCTION("GOOGLETRANSLATE(A8380,""en"",""pt"")"),"#VALUE!")</f>
        <v>#VALUE!</v>
      </c>
      <c r="G8380" s="69"/>
    </row>
    <row r="8381" ht="22.5" customHeight="1">
      <c r="A8381" s="66"/>
      <c r="B8381" s="67" t="str">
        <f t="shared" si="16"/>
        <v>M: </v>
      </c>
      <c r="C8381" s="68"/>
      <c r="D8381" s="68">
        <v>46587.0</v>
      </c>
      <c r="E8381" s="66">
        <v>9.0</v>
      </c>
      <c r="F8381" s="66" t="str">
        <f>IFERROR(__xludf.DUMMYFUNCTION("GOOGLETRANSLATE(A8381,""en"",""pt"")"),"#VALUE!")</f>
        <v>#VALUE!</v>
      </c>
      <c r="G8381" s="69"/>
    </row>
    <row r="8382" ht="22.5" customHeight="1">
      <c r="A8382" s="66"/>
      <c r="B8382" s="67" t="str">
        <f t="shared" si="16"/>
        <v>M: </v>
      </c>
      <c r="C8382" s="68"/>
      <c r="D8382" s="68">
        <v>46588.0</v>
      </c>
      <c r="E8382" s="66">
        <v>10.0</v>
      </c>
      <c r="F8382" s="66" t="str">
        <f>IFERROR(__xludf.DUMMYFUNCTION("GOOGLETRANSLATE(A8382,""en"",""pt"")"),"#VALUE!")</f>
        <v>#VALUE!</v>
      </c>
      <c r="G8382" s="69"/>
    </row>
    <row r="8383" ht="22.5" customHeight="1">
      <c r="A8383" s="66"/>
      <c r="B8383" s="67" t="str">
        <f t="shared" si="16"/>
        <v>M: </v>
      </c>
      <c r="C8383" s="68"/>
      <c r="D8383" s="68">
        <v>46588.0</v>
      </c>
      <c r="E8383" s="66">
        <v>1.0</v>
      </c>
      <c r="F8383" s="66" t="str">
        <f>IFERROR(__xludf.DUMMYFUNCTION("GOOGLETRANSLATE(A8383,""en"",""pt"")"),"#VALUE!")</f>
        <v>#VALUE!</v>
      </c>
      <c r="G8383" s="69"/>
    </row>
    <row r="8384" ht="22.5" customHeight="1">
      <c r="A8384" s="66"/>
      <c r="B8384" s="67" t="str">
        <f t="shared" si="16"/>
        <v>M: </v>
      </c>
      <c r="C8384" s="68"/>
      <c r="D8384" s="68">
        <v>46588.0</v>
      </c>
      <c r="E8384" s="66">
        <v>2.0</v>
      </c>
      <c r="F8384" s="66" t="str">
        <f>IFERROR(__xludf.DUMMYFUNCTION("GOOGLETRANSLATE(A8384,""en"",""pt"")"),"#VALUE!")</f>
        <v>#VALUE!</v>
      </c>
      <c r="G8384" s="69"/>
    </row>
    <row r="8385" ht="22.5" customHeight="1">
      <c r="A8385" s="66"/>
      <c r="B8385" s="67" t="str">
        <f t="shared" si="16"/>
        <v>M: </v>
      </c>
      <c r="C8385" s="68"/>
      <c r="D8385" s="68">
        <v>46588.0</v>
      </c>
      <c r="E8385" s="66">
        <v>3.0</v>
      </c>
      <c r="F8385" s="66" t="str">
        <f>IFERROR(__xludf.DUMMYFUNCTION("GOOGLETRANSLATE(A8385,""en"",""pt"")"),"#VALUE!")</f>
        <v>#VALUE!</v>
      </c>
      <c r="G8385" s="69"/>
    </row>
    <row r="8386" ht="22.5" customHeight="1">
      <c r="A8386" s="66"/>
      <c r="B8386" s="67" t="str">
        <f t="shared" si="16"/>
        <v>M: </v>
      </c>
      <c r="C8386" s="68"/>
      <c r="D8386" s="68">
        <v>46588.0</v>
      </c>
      <c r="E8386" s="66">
        <v>4.0</v>
      </c>
      <c r="F8386" s="66" t="str">
        <f>IFERROR(__xludf.DUMMYFUNCTION("GOOGLETRANSLATE(A8386,""en"",""pt"")"),"#VALUE!")</f>
        <v>#VALUE!</v>
      </c>
      <c r="G8386" s="69"/>
    </row>
    <row r="8387" ht="22.5" customHeight="1">
      <c r="A8387" s="66"/>
      <c r="B8387" s="67" t="str">
        <f t="shared" si="16"/>
        <v>M: </v>
      </c>
      <c r="C8387" s="68"/>
      <c r="D8387" s="68">
        <v>46588.0</v>
      </c>
      <c r="E8387" s="66">
        <v>5.0</v>
      </c>
      <c r="F8387" s="66" t="str">
        <f>IFERROR(__xludf.DUMMYFUNCTION("GOOGLETRANSLATE(A8387,""en"",""pt"")"),"#VALUE!")</f>
        <v>#VALUE!</v>
      </c>
      <c r="G8387" s="69"/>
    </row>
    <row r="8388" ht="22.5" customHeight="1">
      <c r="A8388" s="66"/>
      <c r="B8388" s="67" t="str">
        <f t="shared" si="16"/>
        <v>M: </v>
      </c>
      <c r="C8388" s="68"/>
      <c r="D8388" s="68">
        <v>46588.0</v>
      </c>
      <c r="E8388" s="66">
        <v>6.0</v>
      </c>
      <c r="F8388" s="66" t="str">
        <f>IFERROR(__xludf.DUMMYFUNCTION("GOOGLETRANSLATE(A8388,""en"",""pt"")"),"#VALUE!")</f>
        <v>#VALUE!</v>
      </c>
      <c r="G8388" s="69"/>
    </row>
    <row r="8389" ht="22.5" customHeight="1">
      <c r="A8389" s="66"/>
      <c r="B8389" s="67" t="str">
        <f t="shared" si="16"/>
        <v>M: </v>
      </c>
      <c r="C8389" s="68"/>
      <c r="D8389" s="68">
        <v>46588.0</v>
      </c>
      <c r="E8389" s="66">
        <v>7.0</v>
      </c>
      <c r="F8389" s="66" t="str">
        <f>IFERROR(__xludf.DUMMYFUNCTION("GOOGLETRANSLATE(A8389,""en"",""pt"")"),"#VALUE!")</f>
        <v>#VALUE!</v>
      </c>
      <c r="G8389" s="69"/>
    </row>
    <row r="8390" ht="22.5" customHeight="1">
      <c r="A8390" s="66"/>
      <c r="B8390" s="67" t="str">
        <f t="shared" si="16"/>
        <v>M: </v>
      </c>
      <c r="C8390" s="68"/>
      <c r="D8390" s="68">
        <v>46588.0</v>
      </c>
      <c r="E8390" s="66">
        <v>8.0</v>
      </c>
      <c r="F8390" s="66" t="str">
        <f>IFERROR(__xludf.DUMMYFUNCTION("GOOGLETRANSLATE(A8390,""en"",""pt"")"),"#VALUE!")</f>
        <v>#VALUE!</v>
      </c>
      <c r="G8390" s="69"/>
    </row>
    <row r="8391" ht="22.5" customHeight="1">
      <c r="A8391" s="66"/>
      <c r="B8391" s="67" t="str">
        <f t="shared" si="16"/>
        <v>M: </v>
      </c>
      <c r="C8391" s="68"/>
      <c r="D8391" s="68">
        <v>46588.0</v>
      </c>
      <c r="E8391" s="66">
        <v>9.0</v>
      </c>
      <c r="F8391" s="66" t="str">
        <f>IFERROR(__xludf.DUMMYFUNCTION("GOOGLETRANSLATE(A8391,""en"",""pt"")"),"#VALUE!")</f>
        <v>#VALUE!</v>
      </c>
      <c r="G8391" s="69"/>
    </row>
    <row r="8392" ht="22.5" customHeight="1">
      <c r="A8392" s="66"/>
      <c r="B8392" s="67" t="str">
        <f t="shared" si="16"/>
        <v>M: </v>
      </c>
      <c r="C8392" s="68"/>
      <c r="D8392" s="68">
        <v>46589.0</v>
      </c>
      <c r="E8392" s="66">
        <v>10.0</v>
      </c>
      <c r="F8392" s="66" t="str">
        <f>IFERROR(__xludf.DUMMYFUNCTION("GOOGLETRANSLATE(A8392,""en"",""pt"")"),"#VALUE!")</f>
        <v>#VALUE!</v>
      </c>
      <c r="G8392" s="69"/>
    </row>
    <row r="8393" ht="22.5" customHeight="1">
      <c r="A8393" s="66"/>
      <c r="B8393" s="67" t="str">
        <f t="shared" si="16"/>
        <v>M: </v>
      </c>
      <c r="C8393" s="68"/>
      <c r="D8393" s="68">
        <v>46589.0</v>
      </c>
      <c r="E8393" s="66">
        <v>1.0</v>
      </c>
      <c r="F8393" s="66" t="str">
        <f>IFERROR(__xludf.DUMMYFUNCTION("GOOGLETRANSLATE(A8393,""en"",""pt"")"),"#VALUE!")</f>
        <v>#VALUE!</v>
      </c>
      <c r="G8393" s="69"/>
    </row>
    <row r="8394" ht="22.5" customHeight="1">
      <c r="A8394" s="66"/>
      <c r="B8394" s="67" t="str">
        <f t="shared" si="16"/>
        <v>M: </v>
      </c>
      <c r="C8394" s="68"/>
      <c r="D8394" s="68">
        <v>46589.0</v>
      </c>
      <c r="E8394" s="66">
        <v>2.0</v>
      </c>
      <c r="F8394" s="66" t="str">
        <f>IFERROR(__xludf.DUMMYFUNCTION("GOOGLETRANSLATE(A8394,""en"",""pt"")"),"#VALUE!")</f>
        <v>#VALUE!</v>
      </c>
      <c r="G8394" s="69"/>
    </row>
    <row r="8395" ht="22.5" customHeight="1">
      <c r="A8395" s="66"/>
      <c r="B8395" s="67" t="str">
        <f t="shared" si="16"/>
        <v>M: </v>
      </c>
      <c r="C8395" s="68"/>
      <c r="D8395" s="68">
        <v>46589.0</v>
      </c>
      <c r="E8395" s="66">
        <v>3.0</v>
      </c>
      <c r="F8395" s="66" t="str">
        <f>IFERROR(__xludf.DUMMYFUNCTION("GOOGLETRANSLATE(A8395,""en"",""pt"")"),"#VALUE!")</f>
        <v>#VALUE!</v>
      </c>
      <c r="G8395" s="69"/>
    </row>
    <row r="8396" ht="22.5" customHeight="1">
      <c r="A8396" s="66"/>
      <c r="B8396" s="67" t="str">
        <f t="shared" si="16"/>
        <v>M: </v>
      </c>
      <c r="C8396" s="68"/>
      <c r="D8396" s="68">
        <v>46589.0</v>
      </c>
      <c r="E8396" s="66">
        <v>4.0</v>
      </c>
      <c r="F8396" s="66" t="str">
        <f>IFERROR(__xludf.DUMMYFUNCTION("GOOGLETRANSLATE(A8396,""en"",""pt"")"),"#VALUE!")</f>
        <v>#VALUE!</v>
      </c>
      <c r="G8396" s="69"/>
    </row>
    <row r="8397" ht="22.5" customHeight="1">
      <c r="A8397" s="66"/>
      <c r="B8397" s="67" t="str">
        <f t="shared" si="16"/>
        <v>M: </v>
      </c>
      <c r="C8397" s="68"/>
      <c r="D8397" s="68">
        <v>46589.0</v>
      </c>
      <c r="E8397" s="66">
        <v>5.0</v>
      </c>
      <c r="F8397" s="66" t="str">
        <f>IFERROR(__xludf.DUMMYFUNCTION("GOOGLETRANSLATE(A8397,""en"",""pt"")"),"#VALUE!")</f>
        <v>#VALUE!</v>
      </c>
      <c r="G8397" s="69"/>
    </row>
    <row r="8398" ht="22.5" customHeight="1">
      <c r="A8398" s="66"/>
      <c r="B8398" s="67" t="str">
        <f t="shared" si="16"/>
        <v>M: </v>
      </c>
      <c r="C8398" s="68"/>
      <c r="D8398" s="68">
        <v>46589.0</v>
      </c>
      <c r="E8398" s="66">
        <v>6.0</v>
      </c>
      <c r="F8398" s="66" t="str">
        <f>IFERROR(__xludf.DUMMYFUNCTION("GOOGLETRANSLATE(A8398,""en"",""pt"")"),"#VALUE!")</f>
        <v>#VALUE!</v>
      </c>
      <c r="G8398" s="69"/>
    </row>
    <row r="8399" ht="22.5" customHeight="1">
      <c r="A8399" s="66"/>
      <c r="B8399" s="67" t="str">
        <f t="shared" si="16"/>
        <v>M: </v>
      </c>
      <c r="C8399" s="68"/>
      <c r="D8399" s="68">
        <v>46589.0</v>
      </c>
      <c r="E8399" s="66">
        <v>7.0</v>
      </c>
      <c r="F8399" s="66" t="str">
        <f>IFERROR(__xludf.DUMMYFUNCTION("GOOGLETRANSLATE(A8399,""en"",""pt"")"),"#VALUE!")</f>
        <v>#VALUE!</v>
      </c>
      <c r="G8399" s="69"/>
    </row>
    <row r="8400" ht="22.5" customHeight="1">
      <c r="A8400" s="66"/>
      <c r="B8400" s="67" t="str">
        <f t="shared" si="16"/>
        <v>M: </v>
      </c>
      <c r="C8400" s="68"/>
      <c r="D8400" s="68">
        <v>46589.0</v>
      </c>
      <c r="E8400" s="66">
        <v>8.0</v>
      </c>
      <c r="F8400" s="66" t="str">
        <f>IFERROR(__xludf.DUMMYFUNCTION("GOOGLETRANSLATE(A8400,""en"",""pt"")"),"#VALUE!")</f>
        <v>#VALUE!</v>
      </c>
      <c r="G8400" s="69"/>
    </row>
    <row r="8401" ht="22.5" customHeight="1">
      <c r="A8401" s="66"/>
      <c r="B8401" s="67" t="str">
        <f t="shared" si="16"/>
        <v>M: </v>
      </c>
      <c r="C8401" s="68"/>
      <c r="D8401" s="68">
        <v>46589.0</v>
      </c>
      <c r="E8401" s="66">
        <v>9.0</v>
      </c>
      <c r="F8401" s="66" t="str">
        <f>IFERROR(__xludf.DUMMYFUNCTION("GOOGLETRANSLATE(A8401,""en"",""pt"")"),"#VALUE!")</f>
        <v>#VALUE!</v>
      </c>
      <c r="G8401" s="69"/>
    </row>
    <row r="8402" ht="22.5" customHeight="1">
      <c r="A8402" s="66"/>
      <c r="B8402" s="67" t="str">
        <f t="shared" si="16"/>
        <v>M: </v>
      </c>
      <c r="C8402" s="68"/>
      <c r="D8402" s="68">
        <v>46590.0</v>
      </c>
      <c r="E8402" s="66">
        <v>10.0</v>
      </c>
      <c r="F8402" s="66" t="str">
        <f>IFERROR(__xludf.DUMMYFUNCTION("GOOGLETRANSLATE(A8402,""en"",""pt"")"),"#VALUE!")</f>
        <v>#VALUE!</v>
      </c>
      <c r="G8402" s="69"/>
    </row>
    <row r="8403" ht="22.5" customHeight="1">
      <c r="A8403" s="66"/>
      <c r="B8403" s="67" t="str">
        <f t="shared" si="16"/>
        <v>M: </v>
      </c>
      <c r="C8403" s="68"/>
      <c r="D8403" s="68">
        <v>46590.0</v>
      </c>
      <c r="E8403" s="66">
        <v>1.0</v>
      </c>
      <c r="F8403" s="66" t="str">
        <f>IFERROR(__xludf.DUMMYFUNCTION("GOOGLETRANSLATE(A8403,""en"",""pt"")"),"#VALUE!")</f>
        <v>#VALUE!</v>
      </c>
      <c r="G8403" s="69"/>
    </row>
    <row r="8404" ht="22.5" customHeight="1">
      <c r="A8404" s="66"/>
      <c r="B8404" s="67" t="str">
        <f t="shared" si="16"/>
        <v>M: </v>
      </c>
      <c r="C8404" s="68"/>
      <c r="D8404" s="68">
        <v>46590.0</v>
      </c>
      <c r="E8404" s="66">
        <v>2.0</v>
      </c>
      <c r="F8404" s="66" t="str">
        <f>IFERROR(__xludf.DUMMYFUNCTION("GOOGLETRANSLATE(A8404,""en"",""pt"")"),"#VALUE!")</f>
        <v>#VALUE!</v>
      </c>
      <c r="G8404" s="69"/>
    </row>
    <row r="8405" ht="22.5" customHeight="1">
      <c r="A8405" s="66"/>
      <c r="B8405" s="67" t="str">
        <f t="shared" si="16"/>
        <v>M: </v>
      </c>
      <c r="C8405" s="68"/>
      <c r="D8405" s="68">
        <v>46590.0</v>
      </c>
      <c r="E8405" s="66">
        <v>3.0</v>
      </c>
      <c r="F8405" s="66" t="str">
        <f>IFERROR(__xludf.DUMMYFUNCTION("GOOGLETRANSLATE(A8405,""en"",""pt"")"),"#VALUE!")</f>
        <v>#VALUE!</v>
      </c>
      <c r="G8405" s="69"/>
    </row>
    <row r="8406" ht="22.5" customHeight="1">
      <c r="A8406" s="66"/>
      <c r="B8406" s="67" t="str">
        <f t="shared" si="16"/>
        <v>M: </v>
      </c>
      <c r="C8406" s="68"/>
      <c r="D8406" s="68">
        <v>46590.0</v>
      </c>
      <c r="E8406" s="66">
        <v>4.0</v>
      </c>
      <c r="F8406" s="66" t="str">
        <f>IFERROR(__xludf.DUMMYFUNCTION("GOOGLETRANSLATE(A8406,""en"",""pt"")"),"#VALUE!")</f>
        <v>#VALUE!</v>
      </c>
      <c r="G8406" s="69"/>
    </row>
    <row r="8407" ht="22.5" customHeight="1">
      <c r="A8407" s="66"/>
      <c r="B8407" s="67" t="str">
        <f t="shared" si="16"/>
        <v>M: </v>
      </c>
      <c r="C8407" s="68"/>
      <c r="D8407" s="68">
        <v>46590.0</v>
      </c>
      <c r="E8407" s="66">
        <v>5.0</v>
      </c>
      <c r="F8407" s="66" t="str">
        <f>IFERROR(__xludf.DUMMYFUNCTION("GOOGLETRANSLATE(A8407,""en"",""pt"")"),"#VALUE!")</f>
        <v>#VALUE!</v>
      </c>
      <c r="G8407" s="69"/>
    </row>
    <row r="8408" ht="22.5" customHeight="1">
      <c r="A8408" s="66"/>
      <c r="B8408" s="67" t="str">
        <f t="shared" si="16"/>
        <v>M: </v>
      </c>
      <c r="C8408" s="68"/>
      <c r="D8408" s="68">
        <v>46590.0</v>
      </c>
      <c r="E8408" s="66">
        <v>6.0</v>
      </c>
      <c r="F8408" s="66" t="str">
        <f>IFERROR(__xludf.DUMMYFUNCTION("GOOGLETRANSLATE(A8408,""en"",""pt"")"),"#VALUE!")</f>
        <v>#VALUE!</v>
      </c>
      <c r="G8408" s="69"/>
    </row>
    <row r="8409" ht="22.5" customHeight="1">
      <c r="A8409" s="66"/>
      <c r="B8409" s="67" t="str">
        <f t="shared" si="16"/>
        <v>M: </v>
      </c>
      <c r="C8409" s="68"/>
      <c r="D8409" s="68">
        <v>46590.0</v>
      </c>
      <c r="E8409" s="66">
        <v>7.0</v>
      </c>
      <c r="F8409" s="66" t="str">
        <f>IFERROR(__xludf.DUMMYFUNCTION("GOOGLETRANSLATE(A8409,""en"",""pt"")"),"#VALUE!")</f>
        <v>#VALUE!</v>
      </c>
      <c r="G8409" s="69"/>
    </row>
    <row r="8410" ht="22.5" customHeight="1">
      <c r="A8410" s="66"/>
      <c r="B8410" s="67" t="str">
        <f t="shared" si="16"/>
        <v>M: </v>
      </c>
      <c r="C8410" s="68"/>
      <c r="D8410" s="68">
        <v>46590.0</v>
      </c>
      <c r="E8410" s="66">
        <v>8.0</v>
      </c>
      <c r="F8410" s="66" t="str">
        <f>IFERROR(__xludf.DUMMYFUNCTION("GOOGLETRANSLATE(A8410,""en"",""pt"")"),"#VALUE!")</f>
        <v>#VALUE!</v>
      </c>
      <c r="G8410" s="69"/>
    </row>
    <row r="8411" ht="22.5" customHeight="1">
      <c r="A8411" s="66"/>
      <c r="B8411" s="67" t="str">
        <f t="shared" si="16"/>
        <v>M: </v>
      </c>
      <c r="C8411" s="68"/>
      <c r="D8411" s="68">
        <v>46590.0</v>
      </c>
      <c r="E8411" s="66">
        <v>9.0</v>
      </c>
      <c r="F8411" s="66" t="str">
        <f>IFERROR(__xludf.DUMMYFUNCTION("GOOGLETRANSLATE(A8411,""en"",""pt"")"),"#VALUE!")</f>
        <v>#VALUE!</v>
      </c>
      <c r="G8411" s="69"/>
    </row>
    <row r="8412" ht="22.5" customHeight="1">
      <c r="A8412" s="66"/>
      <c r="B8412" s="67" t="str">
        <f t="shared" si="16"/>
        <v>M: </v>
      </c>
      <c r="C8412" s="68"/>
      <c r="D8412" s="68">
        <v>46591.0</v>
      </c>
      <c r="E8412" s="66">
        <v>10.0</v>
      </c>
      <c r="F8412" s="66" t="str">
        <f>IFERROR(__xludf.DUMMYFUNCTION("GOOGLETRANSLATE(A8412,""en"",""pt"")"),"#VALUE!")</f>
        <v>#VALUE!</v>
      </c>
      <c r="G8412" s="69"/>
    </row>
    <row r="8413" ht="22.5" customHeight="1">
      <c r="A8413" s="66"/>
      <c r="B8413" s="67" t="str">
        <f t="shared" si="16"/>
        <v>M: </v>
      </c>
      <c r="C8413" s="68"/>
      <c r="D8413" s="68">
        <v>46591.0</v>
      </c>
      <c r="E8413" s="66">
        <v>1.0</v>
      </c>
      <c r="F8413" s="66" t="str">
        <f>IFERROR(__xludf.DUMMYFUNCTION("GOOGLETRANSLATE(A8413,""en"",""pt"")"),"#VALUE!")</f>
        <v>#VALUE!</v>
      </c>
      <c r="G8413" s="69"/>
    </row>
    <row r="8414" ht="22.5" customHeight="1">
      <c r="A8414" s="66"/>
      <c r="B8414" s="67" t="str">
        <f t="shared" si="16"/>
        <v>M: </v>
      </c>
      <c r="C8414" s="68"/>
      <c r="D8414" s="68">
        <v>46591.0</v>
      </c>
      <c r="E8414" s="66">
        <v>2.0</v>
      </c>
      <c r="F8414" s="66" t="str">
        <f>IFERROR(__xludf.DUMMYFUNCTION("GOOGLETRANSLATE(A8414,""en"",""pt"")"),"#VALUE!")</f>
        <v>#VALUE!</v>
      </c>
      <c r="G8414" s="69"/>
    </row>
    <row r="8415" ht="22.5" customHeight="1">
      <c r="A8415" s="66"/>
      <c r="B8415" s="67" t="str">
        <f t="shared" si="16"/>
        <v>M: </v>
      </c>
      <c r="C8415" s="68"/>
      <c r="D8415" s="68">
        <v>46591.0</v>
      </c>
      <c r="E8415" s="66">
        <v>3.0</v>
      </c>
      <c r="F8415" s="66" t="str">
        <f>IFERROR(__xludf.DUMMYFUNCTION("GOOGLETRANSLATE(A8415,""en"",""pt"")"),"#VALUE!")</f>
        <v>#VALUE!</v>
      </c>
      <c r="G8415" s="69"/>
    </row>
    <row r="8416" ht="22.5" customHeight="1">
      <c r="A8416" s="66"/>
      <c r="B8416" s="67" t="str">
        <f t="shared" si="16"/>
        <v>M: </v>
      </c>
      <c r="C8416" s="68"/>
      <c r="D8416" s="68">
        <v>46591.0</v>
      </c>
      <c r="E8416" s="66">
        <v>4.0</v>
      </c>
      <c r="F8416" s="66" t="str">
        <f>IFERROR(__xludf.DUMMYFUNCTION("GOOGLETRANSLATE(A8416,""en"",""pt"")"),"#VALUE!")</f>
        <v>#VALUE!</v>
      </c>
      <c r="G8416" s="69"/>
    </row>
    <row r="8417" ht="22.5" customHeight="1">
      <c r="A8417" s="66"/>
      <c r="B8417" s="67" t="str">
        <f t="shared" si="16"/>
        <v>M: </v>
      </c>
      <c r="C8417" s="68"/>
      <c r="D8417" s="68">
        <v>46591.0</v>
      </c>
      <c r="E8417" s="66">
        <v>5.0</v>
      </c>
      <c r="F8417" s="66" t="str">
        <f>IFERROR(__xludf.DUMMYFUNCTION("GOOGLETRANSLATE(A8417,""en"",""pt"")"),"#VALUE!")</f>
        <v>#VALUE!</v>
      </c>
      <c r="G8417" s="69"/>
    </row>
    <row r="8418" ht="22.5" customHeight="1">
      <c r="A8418" s="66"/>
      <c r="B8418" s="67" t="str">
        <f t="shared" si="16"/>
        <v>M: </v>
      </c>
      <c r="C8418" s="68"/>
      <c r="D8418" s="68">
        <v>46591.0</v>
      </c>
      <c r="E8418" s="66">
        <v>6.0</v>
      </c>
      <c r="F8418" s="66" t="str">
        <f>IFERROR(__xludf.DUMMYFUNCTION("GOOGLETRANSLATE(A8418,""en"",""pt"")"),"#VALUE!")</f>
        <v>#VALUE!</v>
      </c>
      <c r="G8418" s="69"/>
    </row>
    <row r="8419" ht="22.5" customHeight="1">
      <c r="A8419" s="66"/>
      <c r="B8419" s="67" t="str">
        <f t="shared" si="16"/>
        <v>M: </v>
      </c>
      <c r="C8419" s="68"/>
      <c r="D8419" s="68">
        <v>46591.0</v>
      </c>
      <c r="E8419" s="66">
        <v>7.0</v>
      </c>
      <c r="F8419" s="66" t="str">
        <f>IFERROR(__xludf.DUMMYFUNCTION("GOOGLETRANSLATE(A8419,""en"",""pt"")"),"#VALUE!")</f>
        <v>#VALUE!</v>
      </c>
      <c r="G8419" s="69"/>
    </row>
    <row r="8420" ht="22.5" customHeight="1">
      <c r="A8420" s="66"/>
      <c r="B8420" s="67" t="str">
        <f t="shared" si="16"/>
        <v>M: </v>
      </c>
      <c r="C8420" s="68"/>
      <c r="D8420" s="68">
        <v>46591.0</v>
      </c>
      <c r="E8420" s="66">
        <v>8.0</v>
      </c>
      <c r="F8420" s="66" t="str">
        <f>IFERROR(__xludf.DUMMYFUNCTION("GOOGLETRANSLATE(A8420,""en"",""pt"")"),"#VALUE!")</f>
        <v>#VALUE!</v>
      </c>
      <c r="G8420" s="69"/>
    </row>
    <row r="8421" ht="22.5" customHeight="1">
      <c r="A8421" s="66"/>
      <c r="B8421" s="67" t="str">
        <f t="shared" si="16"/>
        <v>M: </v>
      </c>
      <c r="C8421" s="68"/>
      <c r="D8421" s="68">
        <v>46591.0</v>
      </c>
      <c r="E8421" s="66">
        <v>9.0</v>
      </c>
      <c r="F8421" s="66" t="str">
        <f>IFERROR(__xludf.DUMMYFUNCTION("GOOGLETRANSLATE(A8421,""en"",""pt"")"),"#VALUE!")</f>
        <v>#VALUE!</v>
      </c>
      <c r="G8421" s="69"/>
    </row>
    <row r="8422" ht="22.5" customHeight="1">
      <c r="A8422" s="66"/>
      <c r="B8422" s="67" t="str">
        <f t="shared" si="16"/>
        <v>M: </v>
      </c>
      <c r="C8422" s="68"/>
      <c r="D8422" s="68">
        <v>46592.0</v>
      </c>
      <c r="E8422" s="66">
        <v>10.0</v>
      </c>
      <c r="F8422" s="66" t="str">
        <f>IFERROR(__xludf.DUMMYFUNCTION("GOOGLETRANSLATE(A8422,""en"",""pt"")"),"#VALUE!")</f>
        <v>#VALUE!</v>
      </c>
      <c r="G8422" s="69"/>
    </row>
    <row r="8423" ht="22.5" customHeight="1">
      <c r="A8423" s="66"/>
      <c r="B8423" s="67" t="str">
        <f t="shared" si="16"/>
        <v>M: </v>
      </c>
      <c r="C8423" s="68"/>
      <c r="D8423" s="68">
        <v>46592.0</v>
      </c>
      <c r="E8423" s="66">
        <v>1.0</v>
      </c>
      <c r="F8423" s="66" t="str">
        <f>IFERROR(__xludf.DUMMYFUNCTION("GOOGLETRANSLATE(A8423,""en"",""pt"")"),"#VALUE!")</f>
        <v>#VALUE!</v>
      </c>
      <c r="G8423" s="69"/>
    </row>
    <row r="8424" ht="22.5" customHeight="1">
      <c r="A8424" s="66"/>
      <c r="B8424" s="67" t="str">
        <f t="shared" si="16"/>
        <v>M: </v>
      </c>
      <c r="C8424" s="68"/>
      <c r="D8424" s="68">
        <v>46592.0</v>
      </c>
      <c r="E8424" s="66">
        <v>2.0</v>
      </c>
      <c r="F8424" s="66" t="str">
        <f>IFERROR(__xludf.DUMMYFUNCTION("GOOGLETRANSLATE(A8424,""en"",""pt"")"),"#VALUE!")</f>
        <v>#VALUE!</v>
      </c>
      <c r="G8424" s="69"/>
    </row>
    <row r="8425" ht="22.5" customHeight="1">
      <c r="A8425" s="66"/>
      <c r="B8425" s="67" t="str">
        <f t="shared" si="16"/>
        <v>M: </v>
      </c>
      <c r="C8425" s="68"/>
      <c r="D8425" s="68">
        <v>46592.0</v>
      </c>
      <c r="E8425" s="66">
        <v>3.0</v>
      </c>
      <c r="F8425" s="66" t="str">
        <f>IFERROR(__xludf.DUMMYFUNCTION("GOOGLETRANSLATE(A8425,""en"",""pt"")"),"#VALUE!")</f>
        <v>#VALUE!</v>
      </c>
      <c r="G8425" s="69"/>
    </row>
    <row r="8426" ht="22.5" customHeight="1">
      <c r="A8426" s="66"/>
      <c r="B8426" s="67" t="str">
        <f t="shared" si="16"/>
        <v>M: </v>
      </c>
      <c r="C8426" s="68"/>
      <c r="D8426" s="68">
        <v>46592.0</v>
      </c>
      <c r="E8426" s="66">
        <v>4.0</v>
      </c>
      <c r="F8426" s="66" t="str">
        <f>IFERROR(__xludf.DUMMYFUNCTION("GOOGLETRANSLATE(A8426,""en"",""pt"")"),"#VALUE!")</f>
        <v>#VALUE!</v>
      </c>
      <c r="G8426" s="69"/>
    </row>
    <row r="8427" ht="22.5" customHeight="1">
      <c r="A8427" s="66"/>
      <c r="B8427" s="67" t="str">
        <f t="shared" si="16"/>
        <v>M: </v>
      </c>
      <c r="C8427" s="68"/>
      <c r="D8427" s="68">
        <v>46592.0</v>
      </c>
      <c r="E8427" s="66">
        <v>5.0</v>
      </c>
      <c r="F8427" s="66" t="str">
        <f>IFERROR(__xludf.DUMMYFUNCTION("GOOGLETRANSLATE(A8427,""en"",""pt"")"),"#VALUE!")</f>
        <v>#VALUE!</v>
      </c>
      <c r="G8427" s="69"/>
    </row>
    <row r="8428" ht="22.5" customHeight="1">
      <c r="A8428" s="66"/>
      <c r="B8428" s="67" t="str">
        <f t="shared" si="16"/>
        <v>M: </v>
      </c>
      <c r="C8428" s="68"/>
      <c r="D8428" s="68">
        <v>46592.0</v>
      </c>
      <c r="E8428" s="66">
        <v>6.0</v>
      </c>
      <c r="F8428" s="66" t="str">
        <f>IFERROR(__xludf.DUMMYFUNCTION("GOOGLETRANSLATE(A8428,""en"",""pt"")"),"#VALUE!")</f>
        <v>#VALUE!</v>
      </c>
      <c r="G8428" s="69"/>
    </row>
    <row r="8429" ht="22.5" customHeight="1">
      <c r="A8429" s="66"/>
      <c r="B8429" s="67" t="str">
        <f t="shared" si="16"/>
        <v>M: </v>
      </c>
      <c r="C8429" s="68"/>
      <c r="D8429" s="68">
        <v>46592.0</v>
      </c>
      <c r="E8429" s="66">
        <v>7.0</v>
      </c>
      <c r="F8429" s="66" t="str">
        <f>IFERROR(__xludf.DUMMYFUNCTION("GOOGLETRANSLATE(A8429,""en"",""pt"")"),"#VALUE!")</f>
        <v>#VALUE!</v>
      </c>
      <c r="G8429" s="69"/>
    </row>
    <row r="8430" ht="22.5" customHeight="1">
      <c r="A8430" s="66"/>
      <c r="B8430" s="67" t="str">
        <f t="shared" si="16"/>
        <v>M: </v>
      </c>
      <c r="C8430" s="68"/>
      <c r="D8430" s="68">
        <v>46592.0</v>
      </c>
      <c r="E8430" s="66">
        <v>8.0</v>
      </c>
      <c r="F8430" s="66" t="str">
        <f>IFERROR(__xludf.DUMMYFUNCTION("GOOGLETRANSLATE(A8430,""en"",""pt"")"),"#VALUE!")</f>
        <v>#VALUE!</v>
      </c>
      <c r="G8430" s="69"/>
    </row>
    <row r="8431" ht="22.5" customHeight="1">
      <c r="A8431" s="66"/>
      <c r="B8431" s="67" t="str">
        <f t="shared" si="16"/>
        <v>M: </v>
      </c>
      <c r="C8431" s="68"/>
      <c r="D8431" s="68">
        <v>46592.0</v>
      </c>
      <c r="E8431" s="66">
        <v>9.0</v>
      </c>
      <c r="F8431" s="66" t="str">
        <f>IFERROR(__xludf.DUMMYFUNCTION("GOOGLETRANSLATE(A8431,""en"",""pt"")"),"#VALUE!")</f>
        <v>#VALUE!</v>
      </c>
      <c r="G8431" s="69"/>
    </row>
    <row r="8432" ht="22.5" customHeight="1">
      <c r="A8432" s="66"/>
      <c r="B8432" s="67" t="str">
        <f t="shared" si="16"/>
        <v>M: </v>
      </c>
      <c r="C8432" s="68"/>
      <c r="D8432" s="68">
        <v>46593.0</v>
      </c>
      <c r="E8432" s="66">
        <v>10.0</v>
      </c>
      <c r="F8432" s="66" t="str">
        <f>IFERROR(__xludf.DUMMYFUNCTION("GOOGLETRANSLATE(A8432,""en"",""pt"")"),"#VALUE!")</f>
        <v>#VALUE!</v>
      </c>
      <c r="G8432" s="69"/>
    </row>
    <row r="8433" ht="22.5" customHeight="1">
      <c r="A8433" s="66"/>
      <c r="B8433" s="67" t="str">
        <f t="shared" si="16"/>
        <v>M: </v>
      </c>
      <c r="C8433" s="68"/>
      <c r="D8433" s="68">
        <v>46593.0</v>
      </c>
      <c r="E8433" s="66">
        <v>1.0</v>
      </c>
      <c r="F8433" s="66" t="str">
        <f>IFERROR(__xludf.DUMMYFUNCTION("GOOGLETRANSLATE(A8433,""en"",""pt"")"),"#VALUE!")</f>
        <v>#VALUE!</v>
      </c>
      <c r="G8433" s="69"/>
    </row>
    <row r="8434" ht="22.5" customHeight="1">
      <c r="A8434" s="66"/>
      <c r="B8434" s="67" t="str">
        <f t="shared" si="16"/>
        <v>M: </v>
      </c>
      <c r="C8434" s="68"/>
      <c r="D8434" s="68">
        <v>46593.0</v>
      </c>
      <c r="E8434" s="66">
        <v>2.0</v>
      </c>
      <c r="F8434" s="66" t="str">
        <f>IFERROR(__xludf.DUMMYFUNCTION("GOOGLETRANSLATE(A8434,""en"",""pt"")"),"#VALUE!")</f>
        <v>#VALUE!</v>
      </c>
      <c r="G8434" s="69"/>
    </row>
    <row r="8435" ht="22.5" customHeight="1">
      <c r="A8435" s="66"/>
      <c r="B8435" s="67" t="str">
        <f t="shared" si="16"/>
        <v>M: </v>
      </c>
      <c r="C8435" s="68"/>
      <c r="D8435" s="68">
        <v>46593.0</v>
      </c>
      <c r="E8435" s="66">
        <v>3.0</v>
      </c>
      <c r="F8435" s="66" t="str">
        <f>IFERROR(__xludf.DUMMYFUNCTION("GOOGLETRANSLATE(A8435,""en"",""pt"")"),"#VALUE!")</f>
        <v>#VALUE!</v>
      </c>
      <c r="G8435" s="69"/>
    </row>
    <row r="8436" ht="22.5" customHeight="1">
      <c r="A8436" s="66"/>
      <c r="B8436" s="67" t="str">
        <f t="shared" si="16"/>
        <v>M: </v>
      </c>
      <c r="C8436" s="68"/>
      <c r="D8436" s="68">
        <v>46593.0</v>
      </c>
      <c r="E8436" s="66">
        <v>4.0</v>
      </c>
      <c r="F8436" s="66" t="str">
        <f>IFERROR(__xludf.DUMMYFUNCTION("GOOGLETRANSLATE(A8436,""en"",""pt"")"),"#VALUE!")</f>
        <v>#VALUE!</v>
      </c>
      <c r="G8436" s="69"/>
    </row>
    <row r="8437" ht="22.5" customHeight="1">
      <c r="A8437" s="66"/>
      <c r="B8437" s="67" t="str">
        <f t="shared" si="16"/>
        <v>M: </v>
      </c>
      <c r="C8437" s="68"/>
      <c r="D8437" s="68">
        <v>46593.0</v>
      </c>
      <c r="E8437" s="66">
        <v>5.0</v>
      </c>
      <c r="F8437" s="66" t="str">
        <f>IFERROR(__xludf.DUMMYFUNCTION("GOOGLETRANSLATE(A8437,""en"",""pt"")"),"#VALUE!")</f>
        <v>#VALUE!</v>
      </c>
      <c r="G8437" s="69"/>
    </row>
    <row r="8438" ht="22.5" customHeight="1">
      <c r="A8438" s="66"/>
      <c r="B8438" s="67" t="str">
        <f t="shared" si="16"/>
        <v>M: </v>
      </c>
      <c r="C8438" s="68"/>
      <c r="D8438" s="68">
        <v>46593.0</v>
      </c>
      <c r="E8438" s="66">
        <v>6.0</v>
      </c>
      <c r="F8438" s="66" t="str">
        <f>IFERROR(__xludf.DUMMYFUNCTION("GOOGLETRANSLATE(A8438,""en"",""pt"")"),"#VALUE!")</f>
        <v>#VALUE!</v>
      </c>
      <c r="G8438" s="69"/>
    </row>
    <row r="8439" ht="22.5" customHeight="1">
      <c r="A8439" s="66"/>
      <c r="B8439" s="67" t="str">
        <f t="shared" si="16"/>
        <v>M: </v>
      </c>
      <c r="C8439" s="68"/>
      <c r="D8439" s="68">
        <v>46593.0</v>
      </c>
      <c r="E8439" s="66">
        <v>7.0</v>
      </c>
      <c r="F8439" s="66" t="str">
        <f>IFERROR(__xludf.DUMMYFUNCTION("GOOGLETRANSLATE(A8439,""en"",""pt"")"),"#VALUE!")</f>
        <v>#VALUE!</v>
      </c>
      <c r="G8439" s="69"/>
    </row>
    <row r="8440" ht="22.5" customHeight="1">
      <c r="A8440" s="66"/>
      <c r="B8440" s="67" t="str">
        <f t="shared" si="16"/>
        <v>M: </v>
      </c>
      <c r="C8440" s="68"/>
      <c r="D8440" s="68">
        <v>46593.0</v>
      </c>
      <c r="E8440" s="66">
        <v>8.0</v>
      </c>
      <c r="F8440" s="66" t="str">
        <f>IFERROR(__xludf.DUMMYFUNCTION("GOOGLETRANSLATE(A8440,""en"",""pt"")"),"#VALUE!")</f>
        <v>#VALUE!</v>
      </c>
      <c r="G8440" s="69"/>
    </row>
    <row r="8441" ht="22.5" customHeight="1">
      <c r="A8441" s="66"/>
      <c r="B8441" s="67" t="str">
        <f t="shared" si="16"/>
        <v>M: </v>
      </c>
      <c r="C8441" s="68"/>
      <c r="D8441" s="68">
        <v>46593.0</v>
      </c>
      <c r="E8441" s="66">
        <v>9.0</v>
      </c>
      <c r="F8441" s="66" t="str">
        <f>IFERROR(__xludf.DUMMYFUNCTION("GOOGLETRANSLATE(A8441,""en"",""pt"")"),"#VALUE!")</f>
        <v>#VALUE!</v>
      </c>
      <c r="G8441" s="69"/>
    </row>
    <row r="8442" ht="22.5" customHeight="1">
      <c r="A8442" s="66"/>
      <c r="B8442" s="67" t="str">
        <f t="shared" si="16"/>
        <v>M: </v>
      </c>
      <c r="C8442" s="68"/>
      <c r="D8442" s="68">
        <v>46594.0</v>
      </c>
      <c r="E8442" s="66">
        <v>10.0</v>
      </c>
      <c r="F8442" s="66" t="str">
        <f>IFERROR(__xludf.DUMMYFUNCTION("GOOGLETRANSLATE(A8442,""en"",""pt"")"),"#VALUE!")</f>
        <v>#VALUE!</v>
      </c>
      <c r="G8442" s="69"/>
    </row>
    <row r="8443" ht="22.5" customHeight="1">
      <c r="A8443" s="66"/>
      <c r="B8443" s="67" t="str">
        <f t="shared" si="16"/>
        <v>M: </v>
      </c>
      <c r="C8443" s="68"/>
      <c r="D8443" s="68">
        <v>46594.0</v>
      </c>
      <c r="E8443" s="66">
        <v>1.0</v>
      </c>
      <c r="F8443" s="66" t="str">
        <f>IFERROR(__xludf.DUMMYFUNCTION("GOOGLETRANSLATE(A8443,""en"",""pt"")"),"#VALUE!")</f>
        <v>#VALUE!</v>
      </c>
      <c r="G8443" s="69"/>
    </row>
    <row r="8444" ht="22.5" customHeight="1">
      <c r="A8444" s="66"/>
      <c r="B8444" s="67" t="str">
        <f t="shared" si="16"/>
        <v>M: </v>
      </c>
      <c r="C8444" s="68"/>
      <c r="D8444" s="68">
        <v>46594.0</v>
      </c>
      <c r="E8444" s="66">
        <v>2.0</v>
      </c>
      <c r="F8444" s="66" t="str">
        <f>IFERROR(__xludf.DUMMYFUNCTION("GOOGLETRANSLATE(A8444,""en"",""pt"")"),"#VALUE!")</f>
        <v>#VALUE!</v>
      </c>
      <c r="G8444" s="69"/>
    </row>
    <row r="8445" ht="22.5" customHeight="1">
      <c r="A8445" s="66"/>
      <c r="B8445" s="67" t="str">
        <f t="shared" si="16"/>
        <v>M: </v>
      </c>
      <c r="C8445" s="68"/>
      <c r="D8445" s="68">
        <v>46594.0</v>
      </c>
      <c r="E8445" s="66">
        <v>3.0</v>
      </c>
      <c r="F8445" s="66" t="str">
        <f>IFERROR(__xludf.DUMMYFUNCTION("GOOGLETRANSLATE(A8445,""en"",""pt"")"),"#VALUE!")</f>
        <v>#VALUE!</v>
      </c>
      <c r="G8445" s="69"/>
    </row>
    <row r="8446" ht="22.5" customHeight="1">
      <c r="A8446" s="66"/>
      <c r="B8446" s="67" t="str">
        <f t="shared" si="16"/>
        <v>M: </v>
      </c>
      <c r="C8446" s="68"/>
      <c r="D8446" s="68">
        <v>46594.0</v>
      </c>
      <c r="E8446" s="66">
        <v>4.0</v>
      </c>
      <c r="F8446" s="66" t="str">
        <f>IFERROR(__xludf.DUMMYFUNCTION("GOOGLETRANSLATE(A8446,""en"",""pt"")"),"#VALUE!")</f>
        <v>#VALUE!</v>
      </c>
      <c r="G8446" s="69"/>
    </row>
    <row r="8447" ht="22.5" customHeight="1">
      <c r="A8447" s="66"/>
      <c r="B8447" s="67" t="str">
        <f t="shared" si="16"/>
        <v>M: </v>
      </c>
      <c r="C8447" s="68"/>
      <c r="D8447" s="68">
        <v>46594.0</v>
      </c>
      <c r="E8447" s="66">
        <v>5.0</v>
      </c>
      <c r="F8447" s="66" t="str">
        <f>IFERROR(__xludf.DUMMYFUNCTION("GOOGLETRANSLATE(A8447,""en"",""pt"")"),"#VALUE!")</f>
        <v>#VALUE!</v>
      </c>
      <c r="G8447" s="69"/>
    </row>
    <row r="8448" ht="22.5" customHeight="1">
      <c r="A8448" s="66"/>
      <c r="B8448" s="67" t="str">
        <f t="shared" si="16"/>
        <v>M: </v>
      </c>
      <c r="C8448" s="68"/>
      <c r="D8448" s="68">
        <v>46594.0</v>
      </c>
      <c r="E8448" s="66">
        <v>6.0</v>
      </c>
      <c r="F8448" s="66" t="str">
        <f>IFERROR(__xludf.DUMMYFUNCTION("GOOGLETRANSLATE(A8448,""en"",""pt"")"),"#VALUE!")</f>
        <v>#VALUE!</v>
      </c>
      <c r="G8448" s="69"/>
    </row>
    <row r="8449" ht="22.5" customHeight="1">
      <c r="A8449" s="66"/>
      <c r="B8449" s="67" t="str">
        <f t="shared" si="16"/>
        <v>M: </v>
      </c>
      <c r="C8449" s="68"/>
      <c r="D8449" s="68">
        <v>46594.0</v>
      </c>
      <c r="E8449" s="66">
        <v>7.0</v>
      </c>
      <c r="F8449" s="66" t="str">
        <f>IFERROR(__xludf.DUMMYFUNCTION("GOOGLETRANSLATE(A8449,""en"",""pt"")"),"#VALUE!")</f>
        <v>#VALUE!</v>
      </c>
      <c r="G8449" s="69"/>
    </row>
    <row r="8450" ht="22.5" customHeight="1">
      <c r="A8450" s="66"/>
      <c r="B8450" s="67" t="str">
        <f t="shared" si="16"/>
        <v>M: </v>
      </c>
      <c r="C8450" s="68"/>
      <c r="D8450" s="68">
        <v>46594.0</v>
      </c>
      <c r="E8450" s="66">
        <v>8.0</v>
      </c>
      <c r="F8450" s="66" t="str">
        <f>IFERROR(__xludf.DUMMYFUNCTION("GOOGLETRANSLATE(A8450,""en"",""pt"")"),"#VALUE!")</f>
        <v>#VALUE!</v>
      </c>
      <c r="G8450" s="69"/>
    </row>
    <row r="8451" ht="22.5" customHeight="1">
      <c r="A8451" s="66"/>
      <c r="B8451" s="67" t="str">
        <f t="shared" si="16"/>
        <v>M: </v>
      </c>
      <c r="C8451" s="68"/>
      <c r="D8451" s="68">
        <v>46594.0</v>
      </c>
      <c r="E8451" s="66">
        <v>9.0</v>
      </c>
      <c r="F8451" s="66" t="str">
        <f>IFERROR(__xludf.DUMMYFUNCTION("GOOGLETRANSLATE(A8451,""en"",""pt"")"),"#VALUE!")</f>
        <v>#VALUE!</v>
      </c>
      <c r="G8451" s="69"/>
    </row>
    <row r="8452" ht="22.5" customHeight="1">
      <c r="A8452" s="66"/>
      <c r="B8452" s="67" t="str">
        <f t="shared" si="16"/>
        <v>M: </v>
      </c>
      <c r="C8452" s="68"/>
      <c r="D8452" s="68">
        <v>46595.0</v>
      </c>
      <c r="E8452" s="66">
        <v>10.0</v>
      </c>
      <c r="F8452" s="66" t="str">
        <f>IFERROR(__xludf.DUMMYFUNCTION("GOOGLETRANSLATE(A8452,""en"",""pt"")"),"#VALUE!")</f>
        <v>#VALUE!</v>
      </c>
      <c r="G8452" s="69"/>
    </row>
    <row r="8453" ht="22.5" customHeight="1">
      <c r="A8453" s="66"/>
      <c r="B8453" s="67" t="str">
        <f t="shared" si="16"/>
        <v>M: </v>
      </c>
      <c r="C8453" s="68"/>
      <c r="D8453" s="68">
        <v>46595.0</v>
      </c>
      <c r="E8453" s="66">
        <v>1.0</v>
      </c>
      <c r="F8453" s="66" t="str">
        <f>IFERROR(__xludf.DUMMYFUNCTION("GOOGLETRANSLATE(A8453,""en"",""pt"")"),"#VALUE!")</f>
        <v>#VALUE!</v>
      </c>
      <c r="G8453" s="69"/>
    </row>
    <row r="8454" ht="22.5" customHeight="1">
      <c r="A8454" s="66"/>
      <c r="B8454" s="67" t="str">
        <f t="shared" si="16"/>
        <v>M: </v>
      </c>
      <c r="C8454" s="68"/>
      <c r="D8454" s="68">
        <v>46595.0</v>
      </c>
      <c r="E8454" s="66">
        <v>2.0</v>
      </c>
      <c r="F8454" s="66" t="str">
        <f>IFERROR(__xludf.DUMMYFUNCTION("GOOGLETRANSLATE(A8454,""en"",""pt"")"),"#VALUE!")</f>
        <v>#VALUE!</v>
      </c>
      <c r="G8454" s="69"/>
    </row>
    <row r="8455" ht="22.5" customHeight="1">
      <c r="A8455" s="66"/>
      <c r="B8455" s="67" t="str">
        <f t="shared" si="16"/>
        <v>M: </v>
      </c>
      <c r="C8455" s="68"/>
      <c r="D8455" s="68">
        <v>46595.0</v>
      </c>
      <c r="E8455" s="66">
        <v>3.0</v>
      </c>
      <c r="F8455" s="66" t="str">
        <f>IFERROR(__xludf.DUMMYFUNCTION("GOOGLETRANSLATE(A8455,""en"",""pt"")"),"#VALUE!")</f>
        <v>#VALUE!</v>
      </c>
      <c r="G8455" s="69"/>
    </row>
    <row r="8456" ht="22.5" customHeight="1">
      <c r="A8456" s="66"/>
      <c r="B8456" s="67" t="str">
        <f t="shared" si="16"/>
        <v>M: </v>
      </c>
      <c r="C8456" s="68"/>
      <c r="D8456" s="68">
        <v>46595.0</v>
      </c>
      <c r="E8456" s="66">
        <v>4.0</v>
      </c>
      <c r="F8456" s="66" t="str">
        <f>IFERROR(__xludf.DUMMYFUNCTION("GOOGLETRANSLATE(A8456,""en"",""pt"")"),"#VALUE!")</f>
        <v>#VALUE!</v>
      </c>
      <c r="G8456" s="69"/>
    </row>
    <row r="8457" ht="22.5" customHeight="1">
      <c r="A8457" s="66"/>
      <c r="B8457" s="67" t="str">
        <f t="shared" si="16"/>
        <v>M: </v>
      </c>
      <c r="C8457" s="68"/>
      <c r="D8457" s="68">
        <v>46595.0</v>
      </c>
      <c r="E8457" s="66">
        <v>5.0</v>
      </c>
      <c r="F8457" s="66" t="str">
        <f>IFERROR(__xludf.DUMMYFUNCTION("GOOGLETRANSLATE(A8457,""en"",""pt"")"),"#VALUE!")</f>
        <v>#VALUE!</v>
      </c>
      <c r="G8457" s="69"/>
    </row>
    <row r="8458" ht="22.5" customHeight="1">
      <c r="A8458" s="66"/>
      <c r="B8458" s="67" t="str">
        <f t="shared" si="16"/>
        <v>M: </v>
      </c>
      <c r="C8458" s="68"/>
      <c r="D8458" s="68">
        <v>46595.0</v>
      </c>
      <c r="E8458" s="66">
        <v>6.0</v>
      </c>
      <c r="F8458" s="66" t="str">
        <f>IFERROR(__xludf.DUMMYFUNCTION("GOOGLETRANSLATE(A8458,""en"",""pt"")"),"#VALUE!")</f>
        <v>#VALUE!</v>
      </c>
      <c r="G8458" s="69"/>
    </row>
    <row r="8459" ht="22.5" customHeight="1">
      <c r="A8459" s="66"/>
      <c r="B8459" s="67" t="str">
        <f t="shared" si="16"/>
        <v>M: </v>
      </c>
      <c r="C8459" s="68"/>
      <c r="D8459" s="68">
        <v>46595.0</v>
      </c>
      <c r="E8459" s="66">
        <v>7.0</v>
      </c>
      <c r="F8459" s="66" t="str">
        <f>IFERROR(__xludf.DUMMYFUNCTION("GOOGLETRANSLATE(A8459,""en"",""pt"")"),"#VALUE!")</f>
        <v>#VALUE!</v>
      </c>
      <c r="G8459" s="69"/>
    </row>
    <row r="8460" ht="22.5" customHeight="1">
      <c r="A8460" s="66"/>
      <c r="B8460" s="67" t="str">
        <f t="shared" si="16"/>
        <v>M: </v>
      </c>
      <c r="C8460" s="68"/>
      <c r="D8460" s="68">
        <v>46595.0</v>
      </c>
      <c r="E8460" s="66">
        <v>8.0</v>
      </c>
      <c r="F8460" s="66" t="str">
        <f>IFERROR(__xludf.DUMMYFUNCTION("GOOGLETRANSLATE(A8460,""en"",""pt"")"),"#VALUE!")</f>
        <v>#VALUE!</v>
      </c>
      <c r="G8460" s="69"/>
    </row>
    <row r="8461" ht="22.5" customHeight="1">
      <c r="A8461" s="66"/>
      <c r="B8461" s="67" t="str">
        <f t="shared" si="16"/>
        <v>M: </v>
      </c>
      <c r="C8461" s="68"/>
      <c r="D8461" s="68">
        <v>46595.0</v>
      </c>
      <c r="E8461" s="66">
        <v>9.0</v>
      </c>
      <c r="F8461" s="66" t="str">
        <f>IFERROR(__xludf.DUMMYFUNCTION("GOOGLETRANSLATE(A8461,""en"",""pt"")"),"#VALUE!")</f>
        <v>#VALUE!</v>
      </c>
      <c r="G8461" s="69"/>
    </row>
    <row r="8462" ht="22.5" customHeight="1">
      <c r="A8462" s="66"/>
      <c r="B8462" s="67" t="str">
        <f t="shared" si="16"/>
        <v>M: </v>
      </c>
      <c r="C8462" s="68"/>
      <c r="D8462" s="68">
        <v>46596.0</v>
      </c>
      <c r="E8462" s="66">
        <v>10.0</v>
      </c>
      <c r="F8462" s="66" t="str">
        <f>IFERROR(__xludf.DUMMYFUNCTION("GOOGLETRANSLATE(A8462,""en"",""pt"")"),"#VALUE!")</f>
        <v>#VALUE!</v>
      </c>
      <c r="G8462" s="69"/>
    </row>
    <row r="8463" ht="22.5" customHeight="1">
      <c r="A8463" s="66"/>
      <c r="B8463" s="67" t="str">
        <f t="shared" si="16"/>
        <v>M: </v>
      </c>
      <c r="C8463" s="68"/>
      <c r="D8463" s="68">
        <v>46596.0</v>
      </c>
      <c r="E8463" s="66">
        <v>1.0</v>
      </c>
      <c r="F8463" s="66" t="str">
        <f>IFERROR(__xludf.DUMMYFUNCTION("GOOGLETRANSLATE(A8463,""en"",""pt"")"),"#VALUE!")</f>
        <v>#VALUE!</v>
      </c>
      <c r="G8463" s="69"/>
    </row>
    <row r="8464" ht="22.5" customHeight="1">
      <c r="A8464" s="66"/>
      <c r="B8464" s="67" t="str">
        <f t="shared" si="16"/>
        <v>M: </v>
      </c>
      <c r="C8464" s="68"/>
      <c r="D8464" s="68">
        <v>46596.0</v>
      </c>
      <c r="E8464" s="66">
        <v>2.0</v>
      </c>
      <c r="F8464" s="66" t="str">
        <f>IFERROR(__xludf.DUMMYFUNCTION("GOOGLETRANSLATE(A8464,""en"",""pt"")"),"#VALUE!")</f>
        <v>#VALUE!</v>
      </c>
      <c r="G8464" s="69"/>
    </row>
    <row r="8465" ht="22.5" customHeight="1">
      <c r="A8465" s="66"/>
      <c r="B8465" s="67" t="str">
        <f t="shared" si="16"/>
        <v>M: </v>
      </c>
      <c r="C8465" s="68"/>
      <c r="D8465" s="68">
        <v>46596.0</v>
      </c>
      <c r="E8465" s="66">
        <v>3.0</v>
      </c>
      <c r="F8465" s="66" t="str">
        <f>IFERROR(__xludf.DUMMYFUNCTION("GOOGLETRANSLATE(A8465,""en"",""pt"")"),"#VALUE!")</f>
        <v>#VALUE!</v>
      </c>
      <c r="G8465" s="69"/>
    </row>
    <row r="8466" ht="22.5" customHeight="1">
      <c r="A8466" s="66"/>
      <c r="B8466" s="67" t="str">
        <f t="shared" si="16"/>
        <v>M: </v>
      </c>
      <c r="C8466" s="68"/>
      <c r="D8466" s="68">
        <v>46596.0</v>
      </c>
      <c r="E8466" s="66">
        <v>4.0</v>
      </c>
      <c r="F8466" s="66" t="str">
        <f>IFERROR(__xludf.DUMMYFUNCTION("GOOGLETRANSLATE(A8466,""en"",""pt"")"),"#VALUE!")</f>
        <v>#VALUE!</v>
      </c>
      <c r="G8466" s="69"/>
    </row>
    <row r="8467" ht="22.5" customHeight="1">
      <c r="A8467" s="66"/>
      <c r="B8467" s="67" t="str">
        <f t="shared" si="16"/>
        <v>M: </v>
      </c>
      <c r="C8467" s="68"/>
      <c r="D8467" s="68">
        <v>46596.0</v>
      </c>
      <c r="E8467" s="66">
        <v>5.0</v>
      </c>
      <c r="F8467" s="66" t="str">
        <f>IFERROR(__xludf.DUMMYFUNCTION("GOOGLETRANSLATE(A8467,""en"",""pt"")"),"#VALUE!")</f>
        <v>#VALUE!</v>
      </c>
      <c r="G8467" s="69"/>
    </row>
    <row r="8468" ht="22.5" customHeight="1">
      <c r="A8468" s="66"/>
      <c r="B8468" s="67" t="str">
        <f t="shared" si="16"/>
        <v>M: </v>
      </c>
      <c r="C8468" s="68"/>
      <c r="D8468" s="68">
        <v>46596.0</v>
      </c>
      <c r="E8468" s="66">
        <v>6.0</v>
      </c>
      <c r="F8468" s="66" t="str">
        <f>IFERROR(__xludf.DUMMYFUNCTION("GOOGLETRANSLATE(A8468,""en"",""pt"")"),"#VALUE!")</f>
        <v>#VALUE!</v>
      </c>
      <c r="G8468" s="69"/>
    </row>
    <row r="8469" ht="22.5" customHeight="1">
      <c r="A8469" s="66"/>
      <c r="B8469" s="67" t="str">
        <f t="shared" si="16"/>
        <v>M: </v>
      </c>
      <c r="C8469" s="68"/>
      <c r="D8469" s="68">
        <v>46596.0</v>
      </c>
      <c r="E8469" s="66">
        <v>7.0</v>
      </c>
      <c r="F8469" s="66" t="str">
        <f>IFERROR(__xludf.DUMMYFUNCTION("GOOGLETRANSLATE(A8469,""en"",""pt"")"),"#VALUE!")</f>
        <v>#VALUE!</v>
      </c>
      <c r="G8469" s="69"/>
    </row>
    <row r="8470" ht="22.5" customHeight="1">
      <c r="A8470" s="66"/>
      <c r="B8470" s="67" t="str">
        <f t="shared" si="16"/>
        <v>M: </v>
      </c>
      <c r="C8470" s="68"/>
      <c r="D8470" s="68">
        <v>46596.0</v>
      </c>
      <c r="E8470" s="66">
        <v>8.0</v>
      </c>
      <c r="F8470" s="66" t="str">
        <f>IFERROR(__xludf.DUMMYFUNCTION("GOOGLETRANSLATE(A8470,""en"",""pt"")"),"#VALUE!")</f>
        <v>#VALUE!</v>
      </c>
      <c r="G8470" s="69"/>
    </row>
    <row r="8471" ht="22.5" customHeight="1">
      <c r="A8471" s="66"/>
      <c r="B8471" s="67" t="str">
        <f t="shared" si="16"/>
        <v>M: </v>
      </c>
      <c r="C8471" s="68"/>
      <c r="D8471" s="68">
        <v>46596.0</v>
      </c>
      <c r="E8471" s="66">
        <v>9.0</v>
      </c>
      <c r="F8471" s="66" t="str">
        <f>IFERROR(__xludf.DUMMYFUNCTION("GOOGLETRANSLATE(A8471,""en"",""pt"")"),"#VALUE!")</f>
        <v>#VALUE!</v>
      </c>
      <c r="G8471" s="69"/>
    </row>
    <row r="8472" ht="22.5" customHeight="1">
      <c r="A8472" s="66"/>
      <c r="B8472" s="67" t="str">
        <f t="shared" si="16"/>
        <v>M: </v>
      </c>
      <c r="C8472" s="68"/>
      <c r="D8472" s="68">
        <v>46597.0</v>
      </c>
      <c r="E8472" s="66">
        <v>10.0</v>
      </c>
      <c r="F8472" s="66" t="str">
        <f>IFERROR(__xludf.DUMMYFUNCTION("GOOGLETRANSLATE(A8472,""en"",""pt"")"),"#VALUE!")</f>
        <v>#VALUE!</v>
      </c>
      <c r="G8472" s="69"/>
    </row>
    <row r="8473" ht="22.5" customHeight="1">
      <c r="A8473" s="66"/>
      <c r="B8473" s="67" t="str">
        <f t="shared" si="16"/>
        <v>M: </v>
      </c>
      <c r="C8473" s="68"/>
      <c r="D8473" s="68">
        <v>46597.0</v>
      </c>
      <c r="E8473" s="66">
        <v>1.0</v>
      </c>
      <c r="F8473" s="66" t="str">
        <f>IFERROR(__xludf.DUMMYFUNCTION("GOOGLETRANSLATE(A8473,""en"",""pt"")"),"#VALUE!")</f>
        <v>#VALUE!</v>
      </c>
      <c r="G8473" s="69"/>
    </row>
    <row r="8474" ht="22.5" customHeight="1">
      <c r="A8474" s="66"/>
      <c r="B8474" s="67" t="str">
        <f t="shared" si="16"/>
        <v>M: </v>
      </c>
      <c r="C8474" s="68"/>
      <c r="D8474" s="68">
        <v>46597.0</v>
      </c>
      <c r="E8474" s="66">
        <v>2.0</v>
      </c>
      <c r="F8474" s="66" t="str">
        <f>IFERROR(__xludf.DUMMYFUNCTION("GOOGLETRANSLATE(A8474,""en"",""pt"")"),"#VALUE!")</f>
        <v>#VALUE!</v>
      </c>
      <c r="G8474" s="69"/>
    </row>
    <row r="8475" ht="22.5" customHeight="1">
      <c r="A8475" s="66"/>
      <c r="B8475" s="67" t="str">
        <f t="shared" si="16"/>
        <v>M: </v>
      </c>
      <c r="C8475" s="68"/>
      <c r="D8475" s="68">
        <v>46597.0</v>
      </c>
      <c r="E8475" s="66">
        <v>3.0</v>
      </c>
      <c r="F8475" s="66" t="str">
        <f>IFERROR(__xludf.DUMMYFUNCTION("GOOGLETRANSLATE(A8475,""en"",""pt"")"),"#VALUE!")</f>
        <v>#VALUE!</v>
      </c>
      <c r="G8475" s="69"/>
    </row>
    <row r="8476" ht="22.5" customHeight="1">
      <c r="A8476" s="66"/>
      <c r="B8476" s="67" t="str">
        <f t="shared" si="16"/>
        <v>M: </v>
      </c>
      <c r="C8476" s="68"/>
      <c r="D8476" s="68">
        <v>46597.0</v>
      </c>
      <c r="E8476" s="66">
        <v>4.0</v>
      </c>
      <c r="F8476" s="66" t="str">
        <f>IFERROR(__xludf.DUMMYFUNCTION("GOOGLETRANSLATE(A8476,""en"",""pt"")"),"#VALUE!")</f>
        <v>#VALUE!</v>
      </c>
      <c r="G8476" s="69"/>
    </row>
    <row r="8477" ht="22.5" customHeight="1">
      <c r="A8477" s="66"/>
      <c r="B8477" s="67" t="str">
        <f t="shared" si="16"/>
        <v>M: </v>
      </c>
      <c r="C8477" s="68"/>
      <c r="D8477" s="68">
        <v>46597.0</v>
      </c>
      <c r="E8477" s="66">
        <v>5.0</v>
      </c>
      <c r="F8477" s="66" t="str">
        <f>IFERROR(__xludf.DUMMYFUNCTION("GOOGLETRANSLATE(A8477,""en"",""pt"")"),"#VALUE!")</f>
        <v>#VALUE!</v>
      </c>
      <c r="G8477" s="69"/>
    </row>
    <row r="8478" ht="22.5" customHeight="1">
      <c r="A8478" s="66"/>
      <c r="B8478" s="67" t="str">
        <f t="shared" si="16"/>
        <v>M: </v>
      </c>
      <c r="C8478" s="68"/>
      <c r="D8478" s="68">
        <v>46597.0</v>
      </c>
      <c r="E8478" s="66">
        <v>6.0</v>
      </c>
      <c r="F8478" s="66" t="str">
        <f>IFERROR(__xludf.DUMMYFUNCTION("GOOGLETRANSLATE(A8478,""en"",""pt"")"),"#VALUE!")</f>
        <v>#VALUE!</v>
      </c>
      <c r="G8478" s="69"/>
    </row>
    <row r="8479" ht="22.5" customHeight="1">
      <c r="A8479" s="66"/>
      <c r="B8479" s="67" t="str">
        <f t="shared" si="16"/>
        <v>M: </v>
      </c>
      <c r="C8479" s="68"/>
      <c r="D8479" s="68">
        <v>46597.0</v>
      </c>
      <c r="E8479" s="66">
        <v>7.0</v>
      </c>
      <c r="F8479" s="66" t="str">
        <f>IFERROR(__xludf.DUMMYFUNCTION("GOOGLETRANSLATE(A8479,""en"",""pt"")"),"#VALUE!")</f>
        <v>#VALUE!</v>
      </c>
      <c r="G8479" s="69"/>
    </row>
    <row r="8480" ht="22.5" customHeight="1">
      <c r="A8480" s="66"/>
      <c r="B8480" s="67" t="str">
        <f t="shared" si="16"/>
        <v>M: </v>
      </c>
      <c r="C8480" s="68"/>
      <c r="D8480" s="68">
        <v>46597.0</v>
      </c>
      <c r="E8480" s="66">
        <v>8.0</v>
      </c>
      <c r="F8480" s="66" t="str">
        <f>IFERROR(__xludf.DUMMYFUNCTION("GOOGLETRANSLATE(A8480,""en"",""pt"")"),"#VALUE!")</f>
        <v>#VALUE!</v>
      </c>
      <c r="G8480" s="69"/>
    </row>
    <row r="8481" ht="22.5" customHeight="1">
      <c r="A8481" s="66"/>
      <c r="B8481" s="67" t="str">
        <f t="shared" si="16"/>
        <v>M: </v>
      </c>
      <c r="C8481" s="68"/>
      <c r="D8481" s="68">
        <v>46597.0</v>
      </c>
      <c r="E8481" s="66">
        <v>9.0</v>
      </c>
      <c r="F8481" s="66" t="str">
        <f>IFERROR(__xludf.DUMMYFUNCTION("GOOGLETRANSLATE(A8481,""en"",""pt"")"),"#VALUE!")</f>
        <v>#VALUE!</v>
      </c>
      <c r="G8481" s="69"/>
    </row>
    <row r="8482" ht="22.5" customHeight="1">
      <c r="A8482" s="66"/>
      <c r="B8482" s="67" t="str">
        <f t="shared" si="16"/>
        <v>M: </v>
      </c>
      <c r="C8482" s="68"/>
      <c r="D8482" s="68">
        <v>46598.0</v>
      </c>
      <c r="E8482" s="66">
        <v>10.0</v>
      </c>
      <c r="F8482" s="66" t="str">
        <f>IFERROR(__xludf.DUMMYFUNCTION("GOOGLETRANSLATE(A8482,""en"",""pt"")"),"#VALUE!")</f>
        <v>#VALUE!</v>
      </c>
      <c r="G8482" s="69"/>
    </row>
    <row r="8483" ht="22.5" customHeight="1">
      <c r="A8483" s="66"/>
      <c r="B8483" s="67" t="str">
        <f t="shared" si="16"/>
        <v>M: </v>
      </c>
      <c r="C8483" s="68"/>
      <c r="D8483" s="68">
        <v>46598.0</v>
      </c>
      <c r="E8483" s="66">
        <v>1.0</v>
      </c>
      <c r="F8483" s="66" t="str">
        <f>IFERROR(__xludf.DUMMYFUNCTION("GOOGLETRANSLATE(A8483,""en"",""pt"")"),"#VALUE!")</f>
        <v>#VALUE!</v>
      </c>
      <c r="G8483" s="69"/>
    </row>
    <row r="8484" ht="22.5" customHeight="1">
      <c r="A8484" s="66"/>
      <c r="B8484" s="67" t="str">
        <f t="shared" si="16"/>
        <v>M: </v>
      </c>
      <c r="C8484" s="68"/>
      <c r="D8484" s="68">
        <v>46598.0</v>
      </c>
      <c r="E8484" s="66">
        <v>2.0</v>
      </c>
      <c r="F8484" s="66" t="str">
        <f>IFERROR(__xludf.DUMMYFUNCTION("GOOGLETRANSLATE(A8484,""en"",""pt"")"),"#VALUE!")</f>
        <v>#VALUE!</v>
      </c>
      <c r="G8484" s="69"/>
    </row>
    <row r="8485" ht="22.5" customHeight="1">
      <c r="A8485" s="66"/>
      <c r="B8485" s="67" t="str">
        <f t="shared" si="16"/>
        <v>M: </v>
      </c>
      <c r="C8485" s="68"/>
      <c r="D8485" s="68">
        <v>46598.0</v>
      </c>
      <c r="E8485" s="66">
        <v>3.0</v>
      </c>
      <c r="F8485" s="66" t="str">
        <f>IFERROR(__xludf.DUMMYFUNCTION("GOOGLETRANSLATE(A8485,""en"",""pt"")"),"#VALUE!")</f>
        <v>#VALUE!</v>
      </c>
      <c r="G8485" s="69"/>
    </row>
    <row r="8486" ht="22.5" customHeight="1">
      <c r="A8486" s="66"/>
      <c r="B8486" s="67" t="str">
        <f t="shared" si="16"/>
        <v>M: </v>
      </c>
      <c r="C8486" s="68"/>
      <c r="D8486" s="68">
        <v>46598.0</v>
      </c>
      <c r="E8486" s="66">
        <v>4.0</v>
      </c>
      <c r="F8486" s="66" t="str">
        <f>IFERROR(__xludf.DUMMYFUNCTION("GOOGLETRANSLATE(A8486,""en"",""pt"")"),"#VALUE!")</f>
        <v>#VALUE!</v>
      </c>
      <c r="G8486" s="69"/>
    </row>
    <row r="8487" ht="22.5" customHeight="1">
      <c r="A8487" s="66"/>
      <c r="B8487" s="67" t="str">
        <f t="shared" si="16"/>
        <v>M: </v>
      </c>
      <c r="C8487" s="68"/>
      <c r="D8487" s="68">
        <v>46598.0</v>
      </c>
      <c r="E8487" s="66">
        <v>5.0</v>
      </c>
      <c r="F8487" s="66" t="str">
        <f>IFERROR(__xludf.DUMMYFUNCTION("GOOGLETRANSLATE(A8487,""en"",""pt"")"),"#VALUE!")</f>
        <v>#VALUE!</v>
      </c>
      <c r="G8487" s="69"/>
    </row>
    <row r="8488" ht="22.5" customHeight="1">
      <c r="A8488" s="66"/>
      <c r="B8488" s="67" t="str">
        <f t="shared" si="16"/>
        <v>M: </v>
      </c>
      <c r="C8488" s="68"/>
      <c r="D8488" s="68">
        <v>46598.0</v>
      </c>
      <c r="E8488" s="66">
        <v>6.0</v>
      </c>
      <c r="F8488" s="66" t="str">
        <f>IFERROR(__xludf.DUMMYFUNCTION("GOOGLETRANSLATE(A8488,""en"",""pt"")"),"#VALUE!")</f>
        <v>#VALUE!</v>
      </c>
      <c r="G8488" s="69"/>
    </row>
    <row r="8489" ht="22.5" customHeight="1">
      <c r="A8489" s="66"/>
      <c r="B8489" s="67" t="str">
        <f t="shared" si="16"/>
        <v>M: </v>
      </c>
      <c r="C8489" s="68"/>
      <c r="D8489" s="68">
        <v>46598.0</v>
      </c>
      <c r="E8489" s="66">
        <v>7.0</v>
      </c>
      <c r="F8489" s="66" t="str">
        <f>IFERROR(__xludf.DUMMYFUNCTION("GOOGLETRANSLATE(A8489,""en"",""pt"")"),"#VALUE!")</f>
        <v>#VALUE!</v>
      </c>
      <c r="G8489" s="69"/>
    </row>
    <row r="8490" ht="22.5" customHeight="1">
      <c r="A8490" s="66"/>
      <c r="B8490" s="67" t="str">
        <f t="shared" si="16"/>
        <v>M: </v>
      </c>
      <c r="C8490" s="68"/>
      <c r="D8490" s="68">
        <v>46598.0</v>
      </c>
      <c r="E8490" s="66">
        <v>8.0</v>
      </c>
      <c r="F8490" s="66" t="str">
        <f>IFERROR(__xludf.DUMMYFUNCTION("GOOGLETRANSLATE(A8490,""en"",""pt"")"),"#VALUE!")</f>
        <v>#VALUE!</v>
      </c>
      <c r="G8490" s="69"/>
    </row>
    <row r="8491" ht="22.5" customHeight="1">
      <c r="A8491" s="66"/>
      <c r="B8491" s="67" t="str">
        <f t="shared" si="16"/>
        <v>M: </v>
      </c>
      <c r="C8491" s="68"/>
      <c r="D8491" s="68">
        <v>46598.0</v>
      </c>
      <c r="E8491" s="66">
        <v>9.0</v>
      </c>
      <c r="F8491" s="66" t="str">
        <f>IFERROR(__xludf.DUMMYFUNCTION("GOOGLETRANSLATE(A8491,""en"",""pt"")"),"#VALUE!")</f>
        <v>#VALUE!</v>
      </c>
      <c r="G8491" s="69"/>
    </row>
    <row r="8492" ht="22.5" customHeight="1">
      <c r="A8492" s="66"/>
      <c r="B8492" s="67" t="str">
        <f t="shared" si="16"/>
        <v>M: </v>
      </c>
      <c r="C8492" s="68"/>
      <c r="D8492" s="68">
        <v>46599.0</v>
      </c>
      <c r="E8492" s="66">
        <v>10.0</v>
      </c>
      <c r="F8492" s="66" t="str">
        <f>IFERROR(__xludf.DUMMYFUNCTION("GOOGLETRANSLATE(A8492,""en"",""pt"")"),"#VALUE!")</f>
        <v>#VALUE!</v>
      </c>
      <c r="G8492" s="69"/>
    </row>
    <row r="8493" ht="22.5" customHeight="1">
      <c r="A8493" s="66"/>
      <c r="B8493" s="67" t="str">
        <f t="shared" si="16"/>
        <v>M: </v>
      </c>
      <c r="C8493" s="68"/>
      <c r="D8493" s="68">
        <v>46599.0</v>
      </c>
      <c r="E8493" s="66">
        <v>1.0</v>
      </c>
      <c r="F8493" s="66" t="str">
        <f>IFERROR(__xludf.DUMMYFUNCTION("GOOGLETRANSLATE(A8493,""en"",""pt"")"),"#VALUE!")</f>
        <v>#VALUE!</v>
      </c>
      <c r="G8493" s="69"/>
    </row>
    <row r="8494" ht="22.5" customHeight="1">
      <c r="A8494" s="66"/>
      <c r="B8494" s="67" t="str">
        <f t="shared" si="16"/>
        <v>M: </v>
      </c>
      <c r="C8494" s="68"/>
      <c r="D8494" s="68">
        <v>46599.0</v>
      </c>
      <c r="E8494" s="66">
        <v>2.0</v>
      </c>
      <c r="F8494" s="66" t="str">
        <f>IFERROR(__xludf.DUMMYFUNCTION("GOOGLETRANSLATE(A8494,""en"",""pt"")"),"#VALUE!")</f>
        <v>#VALUE!</v>
      </c>
      <c r="G8494" s="69"/>
    </row>
    <row r="8495" ht="22.5" customHeight="1">
      <c r="A8495" s="66"/>
      <c r="B8495" s="67" t="str">
        <f t="shared" si="16"/>
        <v>M: </v>
      </c>
      <c r="C8495" s="68"/>
      <c r="D8495" s="68">
        <v>46599.0</v>
      </c>
      <c r="E8495" s="66">
        <v>3.0</v>
      </c>
      <c r="F8495" s="66" t="str">
        <f>IFERROR(__xludf.DUMMYFUNCTION("GOOGLETRANSLATE(A8495,""en"",""pt"")"),"#VALUE!")</f>
        <v>#VALUE!</v>
      </c>
      <c r="G8495" s="69"/>
    </row>
    <row r="8496" ht="22.5" customHeight="1">
      <c r="A8496" s="66"/>
      <c r="B8496" s="67" t="str">
        <f t="shared" si="16"/>
        <v>M: </v>
      </c>
      <c r="C8496" s="68"/>
      <c r="D8496" s="68">
        <v>46599.0</v>
      </c>
      <c r="E8496" s="66">
        <v>4.0</v>
      </c>
      <c r="F8496" s="66" t="str">
        <f>IFERROR(__xludf.DUMMYFUNCTION("GOOGLETRANSLATE(A8496,""en"",""pt"")"),"#VALUE!")</f>
        <v>#VALUE!</v>
      </c>
      <c r="G8496" s="69"/>
    </row>
    <row r="8497" ht="22.5" customHeight="1">
      <c r="A8497" s="66"/>
      <c r="B8497" s="67" t="str">
        <f t="shared" si="16"/>
        <v>M: </v>
      </c>
      <c r="C8497" s="68"/>
      <c r="D8497" s="68">
        <v>46599.0</v>
      </c>
      <c r="E8497" s="66">
        <v>5.0</v>
      </c>
      <c r="F8497" s="66" t="str">
        <f>IFERROR(__xludf.DUMMYFUNCTION("GOOGLETRANSLATE(A8497,""en"",""pt"")"),"#VALUE!")</f>
        <v>#VALUE!</v>
      </c>
      <c r="G8497" s="69"/>
    </row>
    <row r="8498" ht="22.5" customHeight="1">
      <c r="A8498" s="66"/>
      <c r="B8498" s="67" t="str">
        <f t="shared" si="16"/>
        <v>M: </v>
      </c>
      <c r="C8498" s="68"/>
      <c r="D8498" s="68">
        <v>46599.0</v>
      </c>
      <c r="E8498" s="66">
        <v>6.0</v>
      </c>
      <c r="F8498" s="66" t="str">
        <f>IFERROR(__xludf.DUMMYFUNCTION("GOOGLETRANSLATE(A8498,""en"",""pt"")"),"#VALUE!")</f>
        <v>#VALUE!</v>
      </c>
      <c r="G8498" s="69"/>
    </row>
    <row r="8499" ht="22.5" customHeight="1">
      <c r="A8499" s="66"/>
      <c r="B8499" s="67" t="str">
        <f t="shared" si="16"/>
        <v>M: </v>
      </c>
      <c r="C8499" s="68"/>
      <c r="D8499" s="68">
        <v>46599.0</v>
      </c>
      <c r="E8499" s="66">
        <v>7.0</v>
      </c>
      <c r="F8499" s="66" t="str">
        <f>IFERROR(__xludf.DUMMYFUNCTION("GOOGLETRANSLATE(A8499,""en"",""pt"")"),"#VALUE!")</f>
        <v>#VALUE!</v>
      </c>
      <c r="G8499" s="69"/>
    </row>
    <row r="8500" ht="22.5" customHeight="1">
      <c r="A8500" s="66"/>
      <c r="B8500" s="67" t="str">
        <f t="shared" si="16"/>
        <v>M: </v>
      </c>
      <c r="C8500" s="68"/>
      <c r="D8500" s="68">
        <v>46599.0</v>
      </c>
      <c r="E8500" s="66">
        <v>8.0</v>
      </c>
      <c r="F8500" s="66" t="str">
        <f>IFERROR(__xludf.DUMMYFUNCTION("GOOGLETRANSLATE(A8500,""en"",""pt"")"),"#VALUE!")</f>
        <v>#VALUE!</v>
      </c>
      <c r="G8500" s="69"/>
    </row>
    <row r="8501" ht="22.5" customHeight="1">
      <c r="A8501" s="66"/>
      <c r="B8501" s="67" t="str">
        <f t="shared" si="16"/>
        <v>M: </v>
      </c>
      <c r="C8501" s="68"/>
      <c r="D8501" s="68">
        <v>46599.0</v>
      </c>
      <c r="E8501" s="66">
        <v>9.0</v>
      </c>
      <c r="F8501" s="66" t="str">
        <f>IFERROR(__xludf.DUMMYFUNCTION("GOOGLETRANSLATE(A8501,""en"",""pt"")"),"#VALUE!")</f>
        <v>#VALUE!</v>
      </c>
      <c r="G8501" s="69"/>
    </row>
    <row r="8502" ht="22.5" customHeight="1">
      <c r="A8502" s="66"/>
      <c r="B8502" s="67" t="str">
        <f t="shared" si="16"/>
        <v>M: </v>
      </c>
      <c r="C8502" s="68"/>
      <c r="D8502" s="68">
        <v>46600.0</v>
      </c>
      <c r="E8502" s="66">
        <v>10.0</v>
      </c>
      <c r="F8502" s="66" t="str">
        <f>IFERROR(__xludf.DUMMYFUNCTION("GOOGLETRANSLATE(A8502,""en"",""pt"")"),"#VALUE!")</f>
        <v>#VALUE!</v>
      </c>
      <c r="G8502" s="69"/>
    </row>
    <row r="8503" ht="22.5" customHeight="1">
      <c r="A8503" s="66"/>
      <c r="B8503" s="67" t="str">
        <f t="shared" si="16"/>
        <v>M: </v>
      </c>
      <c r="C8503" s="68"/>
      <c r="D8503" s="68">
        <v>46600.0</v>
      </c>
      <c r="E8503" s="66">
        <v>1.0</v>
      </c>
      <c r="F8503" s="66" t="str">
        <f>IFERROR(__xludf.DUMMYFUNCTION("GOOGLETRANSLATE(A8503,""en"",""pt"")"),"#VALUE!")</f>
        <v>#VALUE!</v>
      </c>
      <c r="G8503" s="69"/>
    </row>
    <row r="8504" ht="22.5" customHeight="1">
      <c r="A8504" s="66"/>
      <c r="B8504" s="67" t="str">
        <f t="shared" si="16"/>
        <v>M: </v>
      </c>
      <c r="C8504" s="68"/>
      <c r="D8504" s="68">
        <v>46600.0</v>
      </c>
      <c r="E8504" s="66">
        <v>2.0</v>
      </c>
      <c r="F8504" s="66" t="str">
        <f>IFERROR(__xludf.DUMMYFUNCTION("GOOGLETRANSLATE(A8504,""en"",""pt"")"),"#VALUE!")</f>
        <v>#VALUE!</v>
      </c>
      <c r="G8504" s="69"/>
    </row>
    <row r="8505" ht="22.5" customHeight="1">
      <c r="A8505" s="66"/>
      <c r="B8505" s="67" t="str">
        <f t="shared" si="16"/>
        <v>M: </v>
      </c>
      <c r="C8505" s="68"/>
      <c r="D8505" s="68">
        <v>46600.0</v>
      </c>
      <c r="E8505" s="66">
        <v>3.0</v>
      </c>
      <c r="F8505" s="66" t="str">
        <f>IFERROR(__xludf.DUMMYFUNCTION("GOOGLETRANSLATE(A8505,""en"",""pt"")"),"#VALUE!")</f>
        <v>#VALUE!</v>
      </c>
      <c r="G8505" s="69"/>
    </row>
    <row r="8506" ht="22.5" customHeight="1">
      <c r="A8506" s="66"/>
      <c r="B8506" s="67" t="str">
        <f t="shared" si="16"/>
        <v>M: </v>
      </c>
      <c r="C8506" s="68"/>
      <c r="D8506" s="68">
        <v>46600.0</v>
      </c>
      <c r="E8506" s="66">
        <v>4.0</v>
      </c>
      <c r="F8506" s="66" t="str">
        <f>IFERROR(__xludf.DUMMYFUNCTION("GOOGLETRANSLATE(A8506,""en"",""pt"")"),"#VALUE!")</f>
        <v>#VALUE!</v>
      </c>
      <c r="G8506" s="69"/>
    </row>
    <row r="8507" ht="22.5" customHeight="1">
      <c r="A8507" s="66"/>
      <c r="B8507" s="67" t="str">
        <f t="shared" si="16"/>
        <v>M: </v>
      </c>
      <c r="C8507" s="68"/>
      <c r="D8507" s="68">
        <v>46600.0</v>
      </c>
      <c r="E8507" s="66">
        <v>5.0</v>
      </c>
      <c r="F8507" s="66" t="str">
        <f>IFERROR(__xludf.DUMMYFUNCTION("GOOGLETRANSLATE(A8507,""en"",""pt"")"),"#VALUE!")</f>
        <v>#VALUE!</v>
      </c>
      <c r="G8507" s="69"/>
    </row>
    <row r="8508" ht="22.5" customHeight="1">
      <c r="A8508" s="66"/>
      <c r="B8508" s="67" t="str">
        <f t="shared" si="16"/>
        <v>M: </v>
      </c>
      <c r="C8508" s="68"/>
      <c r="D8508" s="68">
        <v>46600.0</v>
      </c>
      <c r="E8508" s="66">
        <v>6.0</v>
      </c>
      <c r="F8508" s="66" t="str">
        <f>IFERROR(__xludf.DUMMYFUNCTION("GOOGLETRANSLATE(A8508,""en"",""pt"")"),"#VALUE!")</f>
        <v>#VALUE!</v>
      </c>
      <c r="G8508" s="69"/>
    </row>
    <row r="8509" ht="22.5" customHeight="1">
      <c r="A8509" s="66"/>
      <c r="B8509" s="67" t="str">
        <f t="shared" si="16"/>
        <v>M: </v>
      </c>
      <c r="C8509" s="68"/>
      <c r="D8509" s="68">
        <v>46600.0</v>
      </c>
      <c r="E8509" s="66">
        <v>7.0</v>
      </c>
      <c r="F8509" s="66" t="str">
        <f>IFERROR(__xludf.DUMMYFUNCTION("GOOGLETRANSLATE(A8509,""en"",""pt"")"),"#VALUE!")</f>
        <v>#VALUE!</v>
      </c>
      <c r="G8509" s="69"/>
    </row>
    <row r="8510" ht="22.5" customHeight="1">
      <c r="A8510" s="66"/>
      <c r="B8510" s="67" t="str">
        <f t="shared" si="16"/>
        <v>M: </v>
      </c>
      <c r="C8510" s="68"/>
      <c r="D8510" s="68">
        <v>46600.0</v>
      </c>
      <c r="E8510" s="66">
        <v>8.0</v>
      </c>
      <c r="F8510" s="66" t="str">
        <f>IFERROR(__xludf.DUMMYFUNCTION("GOOGLETRANSLATE(A8510,""en"",""pt"")"),"#VALUE!")</f>
        <v>#VALUE!</v>
      </c>
      <c r="G8510" s="69"/>
    </row>
    <row r="8511" ht="22.5" customHeight="1">
      <c r="A8511" s="66"/>
      <c r="B8511" s="67" t="str">
        <f t="shared" si="16"/>
        <v>M: </v>
      </c>
      <c r="C8511" s="68"/>
      <c r="D8511" s="68">
        <v>46600.0</v>
      </c>
      <c r="E8511" s="66">
        <v>9.0</v>
      </c>
      <c r="F8511" s="66" t="str">
        <f>IFERROR(__xludf.DUMMYFUNCTION("GOOGLETRANSLATE(A8511,""en"",""pt"")"),"#VALUE!")</f>
        <v>#VALUE!</v>
      </c>
      <c r="G8511" s="69"/>
    </row>
    <row r="8512" ht="22.5" customHeight="1">
      <c r="A8512" s="66"/>
      <c r="B8512" s="67" t="str">
        <f t="shared" si="16"/>
        <v>M: </v>
      </c>
      <c r="C8512" s="68"/>
      <c r="D8512" s="68">
        <v>46601.0</v>
      </c>
      <c r="E8512" s="66">
        <v>10.0</v>
      </c>
      <c r="F8512" s="66" t="str">
        <f>IFERROR(__xludf.DUMMYFUNCTION("GOOGLETRANSLATE(A8512,""en"",""pt"")"),"#VALUE!")</f>
        <v>#VALUE!</v>
      </c>
      <c r="G8512" s="69"/>
    </row>
    <row r="8513" ht="22.5" customHeight="1">
      <c r="A8513" s="66"/>
      <c r="B8513" s="67" t="str">
        <f t="shared" si="16"/>
        <v>M: </v>
      </c>
      <c r="C8513" s="68"/>
      <c r="D8513" s="68">
        <v>46601.0</v>
      </c>
      <c r="E8513" s="66">
        <v>1.0</v>
      </c>
      <c r="F8513" s="66" t="str">
        <f>IFERROR(__xludf.DUMMYFUNCTION("GOOGLETRANSLATE(A8513,""en"",""pt"")"),"#VALUE!")</f>
        <v>#VALUE!</v>
      </c>
      <c r="G8513" s="69"/>
    </row>
    <row r="8514" ht="22.5" customHeight="1">
      <c r="A8514" s="66"/>
      <c r="B8514" s="67" t="str">
        <f t="shared" si="16"/>
        <v>M: </v>
      </c>
      <c r="C8514" s="68"/>
      <c r="D8514" s="68">
        <v>46601.0</v>
      </c>
      <c r="E8514" s="66">
        <v>2.0</v>
      </c>
      <c r="F8514" s="66" t="str">
        <f>IFERROR(__xludf.DUMMYFUNCTION("GOOGLETRANSLATE(A8514,""en"",""pt"")"),"#VALUE!")</f>
        <v>#VALUE!</v>
      </c>
      <c r="G8514" s="69"/>
    </row>
    <row r="8515" ht="22.5" customHeight="1">
      <c r="A8515" s="66"/>
      <c r="B8515" s="67" t="str">
        <f t="shared" si="16"/>
        <v>M: </v>
      </c>
      <c r="C8515" s="68"/>
      <c r="D8515" s="68">
        <v>46601.0</v>
      </c>
      <c r="E8515" s="66">
        <v>3.0</v>
      </c>
      <c r="F8515" s="66" t="str">
        <f>IFERROR(__xludf.DUMMYFUNCTION("GOOGLETRANSLATE(A8515,""en"",""pt"")"),"#VALUE!")</f>
        <v>#VALUE!</v>
      </c>
      <c r="G8515" s="69"/>
    </row>
    <row r="8516" ht="22.5" customHeight="1">
      <c r="A8516" s="66"/>
      <c r="B8516" s="67" t="str">
        <f t="shared" si="16"/>
        <v>M: </v>
      </c>
      <c r="C8516" s="68"/>
      <c r="D8516" s="68">
        <v>46601.0</v>
      </c>
      <c r="E8516" s="66">
        <v>4.0</v>
      </c>
      <c r="F8516" s="66" t="str">
        <f>IFERROR(__xludf.DUMMYFUNCTION("GOOGLETRANSLATE(A8516,""en"",""pt"")"),"#VALUE!")</f>
        <v>#VALUE!</v>
      </c>
      <c r="G8516" s="69"/>
    </row>
    <row r="8517" ht="22.5" customHeight="1">
      <c r="A8517" s="66"/>
      <c r="B8517" s="67" t="str">
        <f t="shared" si="16"/>
        <v>M: </v>
      </c>
      <c r="C8517" s="68"/>
      <c r="D8517" s="68">
        <v>46601.0</v>
      </c>
      <c r="E8517" s="66">
        <v>5.0</v>
      </c>
      <c r="F8517" s="66" t="str">
        <f>IFERROR(__xludf.DUMMYFUNCTION("GOOGLETRANSLATE(A8517,""en"",""pt"")"),"#VALUE!")</f>
        <v>#VALUE!</v>
      </c>
      <c r="G8517" s="69"/>
    </row>
    <row r="8518" ht="22.5" customHeight="1">
      <c r="A8518" s="66"/>
      <c r="B8518" s="67" t="str">
        <f t="shared" si="16"/>
        <v>M: </v>
      </c>
      <c r="C8518" s="68"/>
      <c r="D8518" s="68">
        <v>46601.0</v>
      </c>
      <c r="E8518" s="66">
        <v>6.0</v>
      </c>
      <c r="F8518" s="66" t="str">
        <f>IFERROR(__xludf.DUMMYFUNCTION("GOOGLETRANSLATE(A8518,""en"",""pt"")"),"#VALUE!")</f>
        <v>#VALUE!</v>
      </c>
      <c r="G8518" s="69"/>
    </row>
    <row r="8519" ht="22.5" customHeight="1">
      <c r="A8519" s="66"/>
      <c r="B8519" s="67" t="str">
        <f t="shared" si="16"/>
        <v>M: </v>
      </c>
      <c r="C8519" s="68"/>
      <c r="D8519" s="68">
        <v>46601.0</v>
      </c>
      <c r="E8519" s="66">
        <v>7.0</v>
      </c>
      <c r="F8519" s="66" t="str">
        <f>IFERROR(__xludf.DUMMYFUNCTION("GOOGLETRANSLATE(A8519,""en"",""pt"")"),"#VALUE!")</f>
        <v>#VALUE!</v>
      </c>
      <c r="G8519" s="69"/>
    </row>
    <row r="8520" ht="22.5" customHeight="1">
      <c r="A8520" s="66"/>
      <c r="B8520" s="67" t="str">
        <f t="shared" si="16"/>
        <v>M: </v>
      </c>
      <c r="C8520" s="68"/>
      <c r="D8520" s="68">
        <v>46601.0</v>
      </c>
      <c r="E8520" s="66">
        <v>8.0</v>
      </c>
      <c r="F8520" s="66" t="str">
        <f>IFERROR(__xludf.DUMMYFUNCTION("GOOGLETRANSLATE(A8520,""en"",""pt"")"),"#VALUE!")</f>
        <v>#VALUE!</v>
      </c>
      <c r="G8520" s="69"/>
    </row>
    <row r="8521" ht="22.5" customHeight="1">
      <c r="A8521" s="66"/>
      <c r="B8521" s="67" t="str">
        <f t="shared" si="16"/>
        <v>M: </v>
      </c>
      <c r="C8521" s="68"/>
      <c r="D8521" s="68">
        <v>46601.0</v>
      </c>
      <c r="E8521" s="66">
        <v>9.0</v>
      </c>
      <c r="F8521" s="66" t="str">
        <f>IFERROR(__xludf.DUMMYFUNCTION("GOOGLETRANSLATE(A8521,""en"",""pt"")"),"#VALUE!")</f>
        <v>#VALUE!</v>
      </c>
      <c r="G8521" s="69"/>
    </row>
    <row r="8522" ht="22.5" customHeight="1">
      <c r="A8522" s="66"/>
      <c r="B8522" s="67" t="str">
        <f t="shared" si="16"/>
        <v>M: </v>
      </c>
      <c r="C8522" s="68"/>
      <c r="D8522" s="68">
        <v>46602.0</v>
      </c>
      <c r="E8522" s="66">
        <v>10.0</v>
      </c>
      <c r="F8522" s="66" t="str">
        <f>IFERROR(__xludf.DUMMYFUNCTION("GOOGLETRANSLATE(A8522,""en"",""pt"")"),"#VALUE!")</f>
        <v>#VALUE!</v>
      </c>
      <c r="G8522" s="69"/>
    </row>
    <row r="8523" ht="22.5" customHeight="1">
      <c r="A8523" s="66"/>
      <c r="B8523" s="67" t="str">
        <f t="shared" si="16"/>
        <v>M: </v>
      </c>
      <c r="C8523" s="68"/>
      <c r="D8523" s="68">
        <v>46602.0</v>
      </c>
      <c r="E8523" s="66">
        <v>1.0</v>
      </c>
      <c r="F8523" s="66" t="str">
        <f>IFERROR(__xludf.DUMMYFUNCTION("GOOGLETRANSLATE(A8523,""en"",""pt"")"),"#VALUE!")</f>
        <v>#VALUE!</v>
      </c>
      <c r="G8523" s="69"/>
    </row>
    <row r="8524" ht="22.5" customHeight="1">
      <c r="A8524" s="66"/>
      <c r="B8524" s="67" t="str">
        <f t="shared" si="16"/>
        <v>M: </v>
      </c>
      <c r="C8524" s="68"/>
      <c r="D8524" s="68">
        <v>46602.0</v>
      </c>
      <c r="E8524" s="66">
        <v>2.0</v>
      </c>
      <c r="F8524" s="66" t="str">
        <f>IFERROR(__xludf.DUMMYFUNCTION("GOOGLETRANSLATE(A8524,""en"",""pt"")"),"#VALUE!")</f>
        <v>#VALUE!</v>
      </c>
      <c r="G8524" s="69"/>
    </row>
    <row r="8525" ht="22.5" customHeight="1">
      <c r="A8525" s="66"/>
      <c r="B8525" s="67" t="str">
        <f t="shared" si="16"/>
        <v>M: </v>
      </c>
      <c r="C8525" s="68"/>
      <c r="D8525" s="68">
        <v>46602.0</v>
      </c>
      <c r="E8525" s="66">
        <v>3.0</v>
      </c>
      <c r="F8525" s="66" t="str">
        <f>IFERROR(__xludf.DUMMYFUNCTION("GOOGLETRANSLATE(A8525,""en"",""pt"")"),"#VALUE!")</f>
        <v>#VALUE!</v>
      </c>
      <c r="G8525" s="69"/>
    </row>
    <row r="8526" ht="22.5" customHeight="1">
      <c r="A8526" s="66"/>
      <c r="B8526" s="67" t="str">
        <f t="shared" si="16"/>
        <v>M: </v>
      </c>
      <c r="C8526" s="68"/>
      <c r="D8526" s="68">
        <v>46602.0</v>
      </c>
      <c r="E8526" s="66">
        <v>4.0</v>
      </c>
      <c r="F8526" s="66" t="str">
        <f>IFERROR(__xludf.DUMMYFUNCTION("GOOGLETRANSLATE(A8526,""en"",""pt"")"),"#VALUE!")</f>
        <v>#VALUE!</v>
      </c>
      <c r="G8526" s="69"/>
    </row>
    <row r="8527" ht="22.5" customHeight="1">
      <c r="A8527" s="66"/>
      <c r="B8527" s="67" t="str">
        <f t="shared" si="16"/>
        <v>M: </v>
      </c>
      <c r="C8527" s="68"/>
      <c r="D8527" s="68">
        <v>46602.0</v>
      </c>
      <c r="E8527" s="66">
        <v>5.0</v>
      </c>
      <c r="F8527" s="66" t="str">
        <f>IFERROR(__xludf.DUMMYFUNCTION("GOOGLETRANSLATE(A8527,""en"",""pt"")"),"#VALUE!")</f>
        <v>#VALUE!</v>
      </c>
      <c r="G8527" s="69"/>
    </row>
    <row r="8528" ht="22.5" customHeight="1">
      <c r="A8528" s="66"/>
      <c r="B8528" s="67" t="str">
        <f t="shared" si="16"/>
        <v>M: </v>
      </c>
      <c r="C8528" s="68"/>
      <c r="D8528" s="68">
        <v>46602.0</v>
      </c>
      <c r="E8528" s="66">
        <v>6.0</v>
      </c>
      <c r="F8528" s="66" t="str">
        <f>IFERROR(__xludf.DUMMYFUNCTION("GOOGLETRANSLATE(A8528,""en"",""pt"")"),"#VALUE!")</f>
        <v>#VALUE!</v>
      </c>
      <c r="G8528" s="69"/>
    </row>
    <row r="8529" ht="22.5" customHeight="1">
      <c r="A8529" s="66"/>
      <c r="B8529" s="67" t="str">
        <f t="shared" si="16"/>
        <v>M: </v>
      </c>
      <c r="C8529" s="68"/>
      <c r="D8529" s="68">
        <v>46602.0</v>
      </c>
      <c r="E8529" s="66">
        <v>7.0</v>
      </c>
      <c r="F8529" s="66" t="str">
        <f>IFERROR(__xludf.DUMMYFUNCTION("GOOGLETRANSLATE(A8529,""en"",""pt"")"),"#VALUE!")</f>
        <v>#VALUE!</v>
      </c>
      <c r="G8529" s="69"/>
    </row>
    <row r="8530" ht="22.5" customHeight="1">
      <c r="A8530" s="66"/>
      <c r="B8530" s="67" t="str">
        <f t="shared" si="16"/>
        <v>M: </v>
      </c>
      <c r="C8530" s="68"/>
      <c r="D8530" s="68">
        <v>46602.0</v>
      </c>
      <c r="E8530" s="66">
        <v>8.0</v>
      </c>
      <c r="F8530" s="66" t="str">
        <f>IFERROR(__xludf.DUMMYFUNCTION("GOOGLETRANSLATE(A8530,""en"",""pt"")"),"#VALUE!")</f>
        <v>#VALUE!</v>
      </c>
      <c r="G8530" s="69"/>
    </row>
    <row r="8531" ht="22.5" customHeight="1">
      <c r="A8531" s="66"/>
      <c r="B8531" s="67" t="str">
        <f t="shared" si="16"/>
        <v>M: </v>
      </c>
      <c r="C8531" s="68"/>
      <c r="D8531" s="68">
        <v>46602.0</v>
      </c>
      <c r="E8531" s="66">
        <v>9.0</v>
      </c>
      <c r="F8531" s="66" t="str">
        <f>IFERROR(__xludf.DUMMYFUNCTION("GOOGLETRANSLATE(A8531,""en"",""pt"")"),"#VALUE!")</f>
        <v>#VALUE!</v>
      </c>
      <c r="G8531" s="69"/>
    </row>
    <row r="8532" ht="22.5" customHeight="1">
      <c r="A8532" s="66"/>
      <c r="B8532" s="67" t="str">
        <f t="shared" si="16"/>
        <v>M: </v>
      </c>
      <c r="C8532" s="68"/>
      <c r="D8532" s="68">
        <v>46603.0</v>
      </c>
      <c r="E8532" s="66">
        <v>10.0</v>
      </c>
      <c r="F8532" s="66" t="str">
        <f>IFERROR(__xludf.DUMMYFUNCTION("GOOGLETRANSLATE(A8532,""en"",""pt"")"),"#VALUE!")</f>
        <v>#VALUE!</v>
      </c>
      <c r="G8532" s="69"/>
    </row>
    <row r="8533" ht="22.5" customHeight="1">
      <c r="A8533" s="66"/>
      <c r="B8533" s="67" t="str">
        <f t="shared" si="16"/>
        <v>M: </v>
      </c>
      <c r="C8533" s="68"/>
      <c r="D8533" s="68">
        <v>46603.0</v>
      </c>
      <c r="E8533" s="66">
        <v>1.0</v>
      </c>
      <c r="F8533" s="66" t="str">
        <f>IFERROR(__xludf.DUMMYFUNCTION("GOOGLETRANSLATE(A8533,""en"",""pt"")"),"#VALUE!")</f>
        <v>#VALUE!</v>
      </c>
      <c r="G8533" s="69"/>
    </row>
    <row r="8534" ht="22.5" customHeight="1">
      <c r="A8534" s="66"/>
      <c r="B8534" s="67" t="str">
        <f t="shared" si="16"/>
        <v>M: </v>
      </c>
      <c r="C8534" s="68"/>
      <c r="D8534" s="68">
        <v>46603.0</v>
      </c>
      <c r="E8534" s="66">
        <v>2.0</v>
      </c>
      <c r="F8534" s="66" t="str">
        <f>IFERROR(__xludf.DUMMYFUNCTION("GOOGLETRANSLATE(A8534,""en"",""pt"")"),"#VALUE!")</f>
        <v>#VALUE!</v>
      </c>
      <c r="G8534" s="69"/>
    </row>
    <row r="8535" ht="22.5" customHeight="1">
      <c r="A8535" s="66"/>
      <c r="B8535" s="67" t="str">
        <f t="shared" si="16"/>
        <v>M: </v>
      </c>
      <c r="C8535" s="68"/>
      <c r="D8535" s="68">
        <v>46603.0</v>
      </c>
      <c r="E8535" s="66">
        <v>3.0</v>
      </c>
      <c r="F8535" s="66" t="str">
        <f>IFERROR(__xludf.DUMMYFUNCTION("GOOGLETRANSLATE(A8535,""en"",""pt"")"),"#VALUE!")</f>
        <v>#VALUE!</v>
      </c>
      <c r="G8535" s="69"/>
    </row>
    <row r="8536" ht="22.5" customHeight="1">
      <c r="A8536" s="66"/>
      <c r="B8536" s="67" t="str">
        <f t="shared" si="16"/>
        <v>M: </v>
      </c>
      <c r="C8536" s="68"/>
      <c r="D8536" s="68">
        <v>46603.0</v>
      </c>
      <c r="E8536" s="66">
        <v>4.0</v>
      </c>
      <c r="F8536" s="66" t="str">
        <f>IFERROR(__xludf.DUMMYFUNCTION("GOOGLETRANSLATE(A8536,""en"",""pt"")"),"#VALUE!")</f>
        <v>#VALUE!</v>
      </c>
      <c r="G8536" s="69"/>
    </row>
    <row r="8537" ht="22.5" customHeight="1">
      <c r="A8537" s="66"/>
      <c r="B8537" s="67" t="str">
        <f t="shared" si="16"/>
        <v>M: </v>
      </c>
      <c r="C8537" s="68"/>
      <c r="D8537" s="68">
        <v>46603.0</v>
      </c>
      <c r="E8537" s="66">
        <v>5.0</v>
      </c>
      <c r="F8537" s="66" t="str">
        <f>IFERROR(__xludf.DUMMYFUNCTION("GOOGLETRANSLATE(A8537,""en"",""pt"")"),"#VALUE!")</f>
        <v>#VALUE!</v>
      </c>
      <c r="G8537" s="69"/>
    </row>
    <row r="8538" ht="22.5" customHeight="1">
      <c r="A8538" s="66"/>
      <c r="B8538" s="67" t="str">
        <f t="shared" si="16"/>
        <v>M: </v>
      </c>
      <c r="C8538" s="68"/>
      <c r="D8538" s="68">
        <v>46603.0</v>
      </c>
      <c r="E8538" s="66">
        <v>6.0</v>
      </c>
      <c r="F8538" s="66" t="str">
        <f>IFERROR(__xludf.DUMMYFUNCTION("GOOGLETRANSLATE(A8538,""en"",""pt"")"),"#VALUE!")</f>
        <v>#VALUE!</v>
      </c>
      <c r="G8538" s="69"/>
    </row>
    <row r="8539" ht="22.5" customHeight="1">
      <c r="A8539" s="66"/>
      <c r="B8539" s="67" t="str">
        <f t="shared" si="16"/>
        <v>M: </v>
      </c>
      <c r="C8539" s="68"/>
      <c r="D8539" s="68">
        <v>46603.0</v>
      </c>
      <c r="E8539" s="66">
        <v>7.0</v>
      </c>
      <c r="F8539" s="66" t="str">
        <f>IFERROR(__xludf.DUMMYFUNCTION("GOOGLETRANSLATE(A8539,""en"",""pt"")"),"#VALUE!")</f>
        <v>#VALUE!</v>
      </c>
      <c r="G8539" s="69"/>
    </row>
    <row r="8540" ht="22.5" customHeight="1">
      <c r="A8540" s="66"/>
      <c r="B8540" s="67" t="str">
        <f t="shared" si="16"/>
        <v>M: </v>
      </c>
      <c r="C8540" s="68"/>
      <c r="D8540" s="68">
        <v>46603.0</v>
      </c>
      <c r="E8540" s="66">
        <v>8.0</v>
      </c>
      <c r="F8540" s="66" t="str">
        <f>IFERROR(__xludf.DUMMYFUNCTION("GOOGLETRANSLATE(A8540,""en"",""pt"")"),"#VALUE!")</f>
        <v>#VALUE!</v>
      </c>
      <c r="G8540" s="69"/>
    </row>
    <row r="8541" ht="22.5" customHeight="1">
      <c r="A8541" s="66"/>
      <c r="B8541" s="67" t="str">
        <f t="shared" si="16"/>
        <v>M: </v>
      </c>
      <c r="C8541" s="68"/>
      <c r="D8541" s="68">
        <v>46603.0</v>
      </c>
      <c r="E8541" s="66">
        <v>9.0</v>
      </c>
      <c r="F8541" s="66" t="str">
        <f>IFERROR(__xludf.DUMMYFUNCTION("GOOGLETRANSLATE(A8541,""en"",""pt"")"),"#VALUE!")</f>
        <v>#VALUE!</v>
      </c>
      <c r="G8541" s="69"/>
    </row>
    <row r="8542" ht="22.5" customHeight="1">
      <c r="A8542" s="66"/>
      <c r="B8542" s="67" t="str">
        <f t="shared" si="16"/>
        <v>M: </v>
      </c>
      <c r="C8542" s="68"/>
      <c r="D8542" s="68">
        <v>46604.0</v>
      </c>
      <c r="E8542" s="66">
        <v>10.0</v>
      </c>
      <c r="F8542" s="66" t="str">
        <f>IFERROR(__xludf.DUMMYFUNCTION("GOOGLETRANSLATE(A8542,""en"",""pt"")"),"#VALUE!")</f>
        <v>#VALUE!</v>
      </c>
      <c r="G8542" s="69"/>
    </row>
    <row r="8543" ht="22.5" customHeight="1">
      <c r="A8543" s="66"/>
      <c r="B8543" s="67" t="str">
        <f t="shared" si="16"/>
        <v>M: </v>
      </c>
      <c r="C8543" s="68"/>
      <c r="D8543" s="68">
        <v>46604.0</v>
      </c>
      <c r="E8543" s="66">
        <v>1.0</v>
      </c>
      <c r="F8543" s="66" t="str">
        <f>IFERROR(__xludf.DUMMYFUNCTION("GOOGLETRANSLATE(A8543,""en"",""pt"")"),"#VALUE!")</f>
        <v>#VALUE!</v>
      </c>
      <c r="G8543" s="69"/>
    </row>
    <row r="8544" ht="22.5" customHeight="1">
      <c r="A8544" s="66"/>
      <c r="B8544" s="67" t="str">
        <f t="shared" si="16"/>
        <v>M: </v>
      </c>
      <c r="C8544" s="68"/>
      <c r="D8544" s="68">
        <v>46604.0</v>
      </c>
      <c r="E8544" s="66">
        <v>2.0</v>
      </c>
      <c r="F8544" s="66" t="str">
        <f>IFERROR(__xludf.DUMMYFUNCTION("GOOGLETRANSLATE(A8544,""en"",""pt"")"),"#VALUE!")</f>
        <v>#VALUE!</v>
      </c>
      <c r="G8544" s="69"/>
    </row>
    <row r="8545" ht="22.5" customHeight="1">
      <c r="A8545" s="66"/>
      <c r="B8545" s="67" t="str">
        <f t="shared" si="16"/>
        <v>M: </v>
      </c>
      <c r="C8545" s="68"/>
      <c r="D8545" s="68">
        <v>46604.0</v>
      </c>
      <c r="E8545" s="66">
        <v>3.0</v>
      </c>
      <c r="F8545" s="66" t="str">
        <f>IFERROR(__xludf.DUMMYFUNCTION("GOOGLETRANSLATE(A8545,""en"",""pt"")"),"#VALUE!")</f>
        <v>#VALUE!</v>
      </c>
      <c r="G8545" s="69"/>
    </row>
    <row r="8546" ht="22.5" customHeight="1">
      <c r="A8546" s="66"/>
      <c r="B8546" s="67" t="str">
        <f t="shared" si="16"/>
        <v>M: </v>
      </c>
      <c r="C8546" s="68"/>
      <c r="D8546" s="68">
        <v>46604.0</v>
      </c>
      <c r="E8546" s="66">
        <v>4.0</v>
      </c>
      <c r="F8546" s="66" t="str">
        <f>IFERROR(__xludf.DUMMYFUNCTION("GOOGLETRANSLATE(A8546,""en"",""pt"")"),"#VALUE!")</f>
        <v>#VALUE!</v>
      </c>
      <c r="G8546" s="69"/>
    </row>
    <row r="8547" ht="22.5" customHeight="1">
      <c r="A8547" s="66"/>
      <c r="B8547" s="67" t="str">
        <f t="shared" si="16"/>
        <v>M: </v>
      </c>
      <c r="C8547" s="68"/>
      <c r="D8547" s="68">
        <v>46604.0</v>
      </c>
      <c r="E8547" s="66">
        <v>5.0</v>
      </c>
      <c r="F8547" s="66" t="str">
        <f>IFERROR(__xludf.DUMMYFUNCTION("GOOGLETRANSLATE(A8547,""en"",""pt"")"),"#VALUE!")</f>
        <v>#VALUE!</v>
      </c>
      <c r="G8547" s="69"/>
    </row>
    <row r="8548" ht="22.5" customHeight="1">
      <c r="A8548" s="66"/>
      <c r="B8548" s="67" t="str">
        <f t="shared" si="16"/>
        <v>M: </v>
      </c>
      <c r="C8548" s="68"/>
      <c r="D8548" s="68">
        <v>46604.0</v>
      </c>
      <c r="E8548" s="66">
        <v>6.0</v>
      </c>
      <c r="F8548" s="66" t="str">
        <f>IFERROR(__xludf.DUMMYFUNCTION("GOOGLETRANSLATE(A8548,""en"",""pt"")"),"#VALUE!")</f>
        <v>#VALUE!</v>
      </c>
      <c r="G8548" s="69"/>
    </row>
    <row r="8549" ht="22.5" customHeight="1">
      <c r="A8549" s="66"/>
      <c r="B8549" s="67" t="str">
        <f t="shared" si="16"/>
        <v>M: </v>
      </c>
      <c r="C8549" s="68"/>
      <c r="D8549" s="68">
        <v>46604.0</v>
      </c>
      <c r="E8549" s="66">
        <v>7.0</v>
      </c>
      <c r="F8549" s="66" t="str">
        <f>IFERROR(__xludf.DUMMYFUNCTION("GOOGLETRANSLATE(A8549,""en"",""pt"")"),"#VALUE!")</f>
        <v>#VALUE!</v>
      </c>
      <c r="G8549" s="69"/>
    </row>
    <row r="8550" ht="22.5" customHeight="1">
      <c r="A8550" s="66"/>
      <c r="B8550" s="67" t="str">
        <f t="shared" si="16"/>
        <v>M: </v>
      </c>
      <c r="C8550" s="68"/>
      <c r="D8550" s="68">
        <v>46604.0</v>
      </c>
      <c r="E8550" s="66">
        <v>8.0</v>
      </c>
      <c r="F8550" s="66" t="str">
        <f>IFERROR(__xludf.DUMMYFUNCTION("GOOGLETRANSLATE(A8550,""en"",""pt"")"),"#VALUE!")</f>
        <v>#VALUE!</v>
      </c>
      <c r="G8550" s="69"/>
    </row>
    <row r="8551" ht="22.5" customHeight="1">
      <c r="A8551" s="66"/>
      <c r="B8551" s="67" t="str">
        <f t="shared" si="16"/>
        <v>M: </v>
      </c>
      <c r="C8551" s="68"/>
      <c r="D8551" s="68">
        <v>46604.0</v>
      </c>
      <c r="E8551" s="66">
        <v>9.0</v>
      </c>
      <c r="F8551" s="66" t="str">
        <f>IFERROR(__xludf.DUMMYFUNCTION("GOOGLETRANSLATE(A8551,""en"",""pt"")"),"#VALUE!")</f>
        <v>#VALUE!</v>
      </c>
      <c r="G8551" s="69"/>
    </row>
    <row r="8552" ht="22.5" customHeight="1">
      <c r="A8552" s="66"/>
      <c r="B8552" s="67" t="str">
        <f t="shared" si="16"/>
        <v>M: </v>
      </c>
      <c r="C8552" s="68"/>
      <c r="D8552" s="68">
        <v>46605.0</v>
      </c>
      <c r="E8552" s="66">
        <v>10.0</v>
      </c>
      <c r="F8552" s="66" t="str">
        <f>IFERROR(__xludf.DUMMYFUNCTION("GOOGLETRANSLATE(A8552,""en"",""pt"")"),"#VALUE!")</f>
        <v>#VALUE!</v>
      </c>
      <c r="G8552" s="69"/>
    </row>
    <row r="8553" ht="22.5" customHeight="1">
      <c r="A8553" s="66"/>
      <c r="B8553" s="67" t="str">
        <f t="shared" si="16"/>
        <v>M: </v>
      </c>
      <c r="C8553" s="68"/>
      <c r="D8553" s="68">
        <v>46605.0</v>
      </c>
      <c r="E8553" s="66">
        <v>1.0</v>
      </c>
      <c r="F8553" s="66" t="str">
        <f>IFERROR(__xludf.DUMMYFUNCTION("GOOGLETRANSLATE(A8553,""en"",""pt"")"),"#VALUE!")</f>
        <v>#VALUE!</v>
      </c>
      <c r="G8553" s="69"/>
    </row>
    <row r="8554" ht="22.5" customHeight="1">
      <c r="A8554" s="66"/>
      <c r="B8554" s="67" t="str">
        <f t="shared" si="16"/>
        <v>M: </v>
      </c>
      <c r="C8554" s="68"/>
      <c r="D8554" s="68">
        <v>46605.0</v>
      </c>
      <c r="E8554" s="66">
        <v>2.0</v>
      </c>
      <c r="F8554" s="66" t="str">
        <f>IFERROR(__xludf.DUMMYFUNCTION("GOOGLETRANSLATE(A8554,""en"",""pt"")"),"#VALUE!")</f>
        <v>#VALUE!</v>
      </c>
      <c r="G8554" s="69"/>
    </row>
    <row r="8555" ht="22.5" customHeight="1">
      <c r="A8555" s="66"/>
      <c r="B8555" s="67" t="str">
        <f t="shared" si="16"/>
        <v>M: </v>
      </c>
      <c r="C8555" s="68"/>
      <c r="D8555" s="68">
        <v>46605.0</v>
      </c>
      <c r="E8555" s="66">
        <v>3.0</v>
      </c>
      <c r="F8555" s="66" t="str">
        <f>IFERROR(__xludf.DUMMYFUNCTION("GOOGLETRANSLATE(A8555,""en"",""pt"")"),"#VALUE!")</f>
        <v>#VALUE!</v>
      </c>
      <c r="G8555" s="69"/>
    </row>
    <row r="8556" ht="22.5" customHeight="1">
      <c r="A8556" s="66"/>
      <c r="B8556" s="67" t="str">
        <f t="shared" si="16"/>
        <v>M: </v>
      </c>
      <c r="C8556" s="68"/>
      <c r="D8556" s="68">
        <v>46605.0</v>
      </c>
      <c r="E8556" s="66">
        <v>4.0</v>
      </c>
      <c r="F8556" s="66" t="str">
        <f>IFERROR(__xludf.DUMMYFUNCTION("GOOGLETRANSLATE(A8556,""en"",""pt"")"),"#VALUE!")</f>
        <v>#VALUE!</v>
      </c>
      <c r="G8556" s="69"/>
    </row>
    <row r="8557" ht="22.5" customHeight="1">
      <c r="A8557" s="66"/>
      <c r="B8557" s="67" t="str">
        <f t="shared" si="16"/>
        <v>M: </v>
      </c>
      <c r="C8557" s="68"/>
      <c r="D8557" s="68">
        <v>46605.0</v>
      </c>
      <c r="E8557" s="66">
        <v>5.0</v>
      </c>
      <c r="F8557" s="66" t="str">
        <f>IFERROR(__xludf.DUMMYFUNCTION("GOOGLETRANSLATE(A8557,""en"",""pt"")"),"#VALUE!")</f>
        <v>#VALUE!</v>
      </c>
      <c r="G8557" s="69"/>
    </row>
    <row r="8558" ht="22.5" customHeight="1">
      <c r="A8558" s="66"/>
      <c r="B8558" s="67" t="str">
        <f t="shared" si="16"/>
        <v>M: </v>
      </c>
      <c r="C8558" s="68"/>
      <c r="D8558" s="68">
        <v>46605.0</v>
      </c>
      <c r="E8558" s="66">
        <v>6.0</v>
      </c>
      <c r="F8558" s="66" t="str">
        <f>IFERROR(__xludf.DUMMYFUNCTION("GOOGLETRANSLATE(A8558,""en"",""pt"")"),"#VALUE!")</f>
        <v>#VALUE!</v>
      </c>
      <c r="G8558" s="69"/>
    </row>
    <row r="8559" ht="22.5" customHeight="1">
      <c r="A8559" s="66"/>
      <c r="B8559" s="67" t="str">
        <f t="shared" si="16"/>
        <v>M: </v>
      </c>
      <c r="C8559" s="68"/>
      <c r="D8559" s="68">
        <v>46605.0</v>
      </c>
      <c r="E8559" s="66">
        <v>7.0</v>
      </c>
      <c r="F8559" s="66" t="str">
        <f>IFERROR(__xludf.DUMMYFUNCTION("GOOGLETRANSLATE(A8559,""en"",""pt"")"),"#VALUE!")</f>
        <v>#VALUE!</v>
      </c>
      <c r="G8559" s="69"/>
    </row>
    <row r="8560" ht="22.5" customHeight="1">
      <c r="A8560" s="66"/>
      <c r="B8560" s="67" t="str">
        <f t="shared" si="16"/>
        <v>M: </v>
      </c>
      <c r="C8560" s="68"/>
      <c r="D8560" s="68">
        <v>46605.0</v>
      </c>
      <c r="E8560" s="66">
        <v>8.0</v>
      </c>
      <c r="F8560" s="66" t="str">
        <f>IFERROR(__xludf.DUMMYFUNCTION("GOOGLETRANSLATE(A8560,""en"",""pt"")"),"#VALUE!")</f>
        <v>#VALUE!</v>
      </c>
      <c r="G8560" s="69"/>
    </row>
    <row r="8561" ht="22.5" customHeight="1">
      <c r="A8561" s="66"/>
      <c r="B8561" s="67" t="str">
        <f t="shared" si="16"/>
        <v>M: </v>
      </c>
      <c r="C8561" s="68"/>
      <c r="D8561" s="68">
        <v>46605.0</v>
      </c>
      <c r="E8561" s="66">
        <v>9.0</v>
      </c>
      <c r="F8561" s="66" t="str">
        <f>IFERROR(__xludf.DUMMYFUNCTION("GOOGLETRANSLATE(A8561,""en"",""pt"")"),"#VALUE!")</f>
        <v>#VALUE!</v>
      </c>
      <c r="G8561" s="69"/>
    </row>
    <row r="8562" ht="22.5" customHeight="1">
      <c r="A8562" s="66"/>
      <c r="B8562" s="67" t="str">
        <f t="shared" si="16"/>
        <v>M: </v>
      </c>
      <c r="C8562" s="68"/>
      <c r="D8562" s="68">
        <v>46606.0</v>
      </c>
      <c r="E8562" s="66">
        <v>10.0</v>
      </c>
      <c r="F8562" s="66" t="str">
        <f>IFERROR(__xludf.DUMMYFUNCTION("GOOGLETRANSLATE(A8562,""en"",""pt"")"),"#VALUE!")</f>
        <v>#VALUE!</v>
      </c>
      <c r="G8562" s="69"/>
    </row>
    <row r="8563" ht="22.5" customHeight="1">
      <c r="A8563" s="66"/>
      <c r="B8563" s="67" t="str">
        <f t="shared" si="16"/>
        <v>M: </v>
      </c>
      <c r="C8563" s="68"/>
      <c r="D8563" s="68">
        <v>46606.0</v>
      </c>
      <c r="E8563" s="66">
        <v>1.0</v>
      </c>
      <c r="F8563" s="66" t="str">
        <f>IFERROR(__xludf.DUMMYFUNCTION("GOOGLETRANSLATE(A8563,""en"",""pt"")"),"#VALUE!")</f>
        <v>#VALUE!</v>
      </c>
      <c r="G8563" s="69"/>
    </row>
    <row r="8564" ht="22.5" customHeight="1">
      <c r="A8564" s="66"/>
      <c r="B8564" s="67" t="str">
        <f t="shared" si="16"/>
        <v>M: </v>
      </c>
      <c r="C8564" s="68"/>
      <c r="D8564" s="68">
        <v>46606.0</v>
      </c>
      <c r="E8564" s="66">
        <v>2.0</v>
      </c>
      <c r="F8564" s="66" t="str">
        <f>IFERROR(__xludf.DUMMYFUNCTION("GOOGLETRANSLATE(A8564,""en"",""pt"")"),"#VALUE!")</f>
        <v>#VALUE!</v>
      </c>
      <c r="G8564" s="69"/>
    </row>
    <row r="8565" ht="22.5" customHeight="1">
      <c r="A8565" s="66"/>
      <c r="B8565" s="67" t="str">
        <f t="shared" si="16"/>
        <v>M: </v>
      </c>
      <c r="C8565" s="68"/>
      <c r="D8565" s="68">
        <v>46606.0</v>
      </c>
      <c r="E8565" s="66">
        <v>3.0</v>
      </c>
      <c r="F8565" s="66" t="str">
        <f>IFERROR(__xludf.DUMMYFUNCTION("GOOGLETRANSLATE(A8565,""en"",""pt"")"),"#VALUE!")</f>
        <v>#VALUE!</v>
      </c>
      <c r="G8565" s="69"/>
    </row>
    <row r="8566" ht="22.5" customHeight="1">
      <c r="A8566" s="66"/>
      <c r="B8566" s="67" t="str">
        <f t="shared" si="16"/>
        <v>M: </v>
      </c>
      <c r="C8566" s="68"/>
      <c r="D8566" s="68">
        <v>46606.0</v>
      </c>
      <c r="E8566" s="66">
        <v>4.0</v>
      </c>
      <c r="F8566" s="66" t="str">
        <f>IFERROR(__xludf.DUMMYFUNCTION("GOOGLETRANSLATE(A8566,""en"",""pt"")"),"#VALUE!")</f>
        <v>#VALUE!</v>
      </c>
      <c r="G8566" s="69"/>
    </row>
    <row r="8567" ht="22.5" customHeight="1">
      <c r="A8567" s="66"/>
      <c r="B8567" s="67" t="str">
        <f t="shared" si="16"/>
        <v>M: </v>
      </c>
      <c r="C8567" s="68"/>
      <c r="D8567" s="68">
        <v>46606.0</v>
      </c>
      <c r="E8567" s="66">
        <v>5.0</v>
      </c>
      <c r="F8567" s="66" t="str">
        <f>IFERROR(__xludf.DUMMYFUNCTION("GOOGLETRANSLATE(A8567,""en"",""pt"")"),"#VALUE!")</f>
        <v>#VALUE!</v>
      </c>
      <c r="G8567" s="69"/>
    </row>
    <row r="8568" ht="22.5" customHeight="1">
      <c r="A8568" s="66"/>
      <c r="B8568" s="67" t="str">
        <f t="shared" si="16"/>
        <v>M: </v>
      </c>
      <c r="C8568" s="68"/>
      <c r="D8568" s="68">
        <v>46606.0</v>
      </c>
      <c r="E8568" s="66">
        <v>6.0</v>
      </c>
      <c r="F8568" s="66" t="str">
        <f>IFERROR(__xludf.DUMMYFUNCTION("GOOGLETRANSLATE(A8568,""en"",""pt"")"),"#VALUE!")</f>
        <v>#VALUE!</v>
      </c>
      <c r="G8568" s="69"/>
    </row>
    <row r="8569" ht="22.5" customHeight="1">
      <c r="A8569" s="66"/>
      <c r="B8569" s="67" t="str">
        <f t="shared" si="16"/>
        <v>M: </v>
      </c>
      <c r="C8569" s="68"/>
      <c r="D8569" s="68">
        <v>46606.0</v>
      </c>
      <c r="E8569" s="66">
        <v>7.0</v>
      </c>
      <c r="F8569" s="66" t="str">
        <f>IFERROR(__xludf.DUMMYFUNCTION("GOOGLETRANSLATE(A8569,""en"",""pt"")"),"#VALUE!")</f>
        <v>#VALUE!</v>
      </c>
      <c r="G8569" s="69"/>
    </row>
    <row r="8570" ht="22.5" customHeight="1">
      <c r="A8570" s="66"/>
      <c r="B8570" s="67" t="str">
        <f t="shared" si="16"/>
        <v>M: </v>
      </c>
      <c r="C8570" s="68"/>
      <c r="D8570" s="68">
        <v>46606.0</v>
      </c>
      <c r="E8570" s="66">
        <v>8.0</v>
      </c>
      <c r="F8570" s="66" t="str">
        <f>IFERROR(__xludf.DUMMYFUNCTION("GOOGLETRANSLATE(A8570,""en"",""pt"")"),"#VALUE!")</f>
        <v>#VALUE!</v>
      </c>
      <c r="G8570" s="69"/>
    </row>
    <row r="8571" ht="22.5" customHeight="1">
      <c r="A8571" s="66"/>
      <c r="B8571" s="67" t="str">
        <f t="shared" si="16"/>
        <v>M: </v>
      </c>
      <c r="C8571" s="68"/>
      <c r="D8571" s="68">
        <v>46606.0</v>
      </c>
      <c r="E8571" s="66">
        <v>9.0</v>
      </c>
      <c r="F8571" s="66" t="str">
        <f>IFERROR(__xludf.DUMMYFUNCTION("GOOGLETRANSLATE(A8571,""en"",""pt"")"),"#VALUE!")</f>
        <v>#VALUE!</v>
      </c>
      <c r="G8571" s="69"/>
    </row>
    <row r="8572" ht="22.5" customHeight="1">
      <c r="A8572" s="66"/>
      <c r="B8572" s="67" t="str">
        <f t="shared" si="16"/>
        <v>M: </v>
      </c>
      <c r="C8572" s="68"/>
      <c r="D8572" s="68">
        <v>46607.0</v>
      </c>
      <c r="E8572" s="66">
        <v>10.0</v>
      </c>
      <c r="F8572" s="66" t="str">
        <f>IFERROR(__xludf.DUMMYFUNCTION("GOOGLETRANSLATE(A8572,""en"",""pt"")"),"#VALUE!")</f>
        <v>#VALUE!</v>
      </c>
      <c r="G8572" s="69"/>
    </row>
    <row r="8573" ht="22.5" customHeight="1">
      <c r="A8573" s="66"/>
      <c r="B8573" s="67" t="str">
        <f t="shared" si="16"/>
        <v>M: </v>
      </c>
      <c r="C8573" s="68"/>
      <c r="D8573" s="68">
        <v>46607.0</v>
      </c>
      <c r="E8573" s="66">
        <v>1.0</v>
      </c>
      <c r="F8573" s="66" t="str">
        <f>IFERROR(__xludf.DUMMYFUNCTION("GOOGLETRANSLATE(A8573,""en"",""pt"")"),"#VALUE!")</f>
        <v>#VALUE!</v>
      </c>
      <c r="G8573" s="69"/>
    </row>
    <row r="8574" ht="22.5" customHeight="1">
      <c r="A8574" s="66"/>
      <c r="B8574" s="67" t="str">
        <f t="shared" si="16"/>
        <v>M: </v>
      </c>
      <c r="C8574" s="68"/>
      <c r="D8574" s="68">
        <v>46607.0</v>
      </c>
      <c r="E8574" s="66">
        <v>2.0</v>
      </c>
      <c r="F8574" s="66" t="str">
        <f>IFERROR(__xludf.DUMMYFUNCTION("GOOGLETRANSLATE(A8574,""en"",""pt"")"),"#VALUE!")</f>
        <v>#VALUE!</v>
      </c>
      <c r="G8574" s="69"/>
    </row>
    <row r="8575" ht="22.5" customHeight="1">
      <c r="A8575" s="66"/>
      <c r="B8575" s="67" t="str">
        <f t="shared" si="16"/>
        <v>M: </v>
      </c>
      <c r="C8575" s="68"/>
      <c r="D8575" s="68">
        <v>46607.0</v>
      </c>
      <c r="E8575" s="66">
        <v>3.0</v>
      </c>
      <c r="F8575" s="66" t="str">
        <f>IFERROR(__xludf.DUMMYFUNCTION("GOOGLETRANSLATE(A8575,""en"",""pt"")"),"#VALUE!")</f>
        <v>#VALUE!</v>
      </c>
      <c r="G8575" s="69"/>
    </row>
    <row r="8576" ht="22.5" customHeight="1">
      <c r="A8576" s="66"/>
      <c r="B8576" s="67" t="str">
        <f t="shared" si="16"/>
        <v>M: </v>
      </c>
      <c r="C8576" s="68"/>
      <c r="D8576" s="68">
        <v>46607.0</v>
      </c>
      <c r="E8576" s="66">
        <v>4.0</v>
      </c>
      <c r="F8576" s="66" t="str">
        <f>IFERROR(__xludf.DUMMYFUNCTION("GOOGLETRANSLATE(A8576,""en"",""pt"")"),"#VALUE!")</f>
        <v>#VALUE!</v>
      </c>
      <c r="G8576" s="69"/>
    </row>
    <row r="8577" ht="22.5" customHeight="1">
      <c r="A8577" s="66"/>
      <c r="B8577" s="67" t="str">
        <f t="shared" si="16"/>
        <v>M: </v>
      </c>
      <c r="C8577" s="68"/>
      <c r="D8577" s="68">
        <v>46607.0</v>
      </c>
      <c r="E8577" s="66">
        <v>5.0</v>
      </c>
      <c r="F8577" s="66" t="str">
        <f>IFERROR(__xludf.DUMMYFUNCTION("GOOGLETRANSLATE(A8577,""en"",""pt"")"),"#VALUE!")</f>
        <v>#VALUE!</v>
      </c>
      <c r="G8577" s="69"/>
    </row>
    <row r="8578" ht="22.5" customHeight="1">
      <c r="A8578" s="66"/>
      <c r="B8578" s="67" t="str">
        <f t="shared" si="16"/>
        <v>M: </v>
      </c>
      <c r="C8578" s="68"/>
      <c r="D8578" s="68">
        <v>46607.0</v>
      </c>
      <c r="E8578" s="66">
        <v>6.0</v>
      </c>
      <c r="F8578" s="66" t="str">
        <f>IFERROR(__xludf.DUMMYFUNCTION("GOOGLETRANSLATE(A8578,""en"",""pt"")"),"#VALUE!")</f>
        <v>#VALUE!</v>
      </c>
      <c r="G8578" s="69"/>
    </row>
    <row r="8579" ht="22.5" customHeight="1">
      <c r="A8579" s="66"/>
      <c r="B8579" s="67" t="str">
        <f t="shared" si="16"/>
        <v>M: </v>
      </c>
      <c r="C8579" s="68"/>
      <c r="D8579" s="68">
        <v>46607.0</v>
      </c>
      <c r="E8579" s="66">
        <v>7.0</v>
      </c>
      <c r="F8579" s="66" t="str">
        <f>IFERROR(__xludf.DUMMYFUNCTION("GOOGLETRANSLATE(A8579,""en"",""pt"")"),"#VALUE!")</f>
        <v>#VALUE!</v>
      </c>
      <c r="G8579" s="69"/>
    </row>
    <row r="8580" ht="22.5" customHeight="1">
      <c r="A8580" s="66"/>
      <c r="B8580" s="67" t="str">
        <f t="shared" si="16"/>
        <v>M: </v>
      </c>
      <c r="C8580" s="68"/>
      <c r="D8580" s="68">
        <v>46607.0</v>
      </c>
      <c r="E8580" s="66">
        <v>8.0</v>
      </c>
      <c r="F8580" s="66" t="str">
        <f>IFERROR(__xludf.DUMMYFUNCTION("GOOGLETRANSLATE(A8580,""en"",""pt"")"),"#VALUE!")</f>
        <v>#VALUE!</v>
      </c>
      <c r="G8580" s="69"/>
    </row>
    <row r="8581" ht="22.5" customHeight="1">
      <c r="A8581" s="66"/>
      <c r="B8581" s="67" t="str">
        <f t="shared" si="16"/>
        <v>M: </v>
      </c>
      <c r="C8581" s="68"/>
      <c r="D8581" s="68">
        <v>46607.0</v>
      </c>
      <c r="E8581" s="66">
        <v>9.0</v>
      </c>
      <c r="F8581" s="66" t="str">
        <f>IFERROR(__xludf.DUMMYFUNCTION("GOOGLETRANSLATE(A8581,""en"",""pt"")"),"#VALUE!")</f>
        <v>#VALUE!</v>
      </c>
      <c r="G8581" s="69"/>
    </row>
    <row r="8582" ht="22.5" customHeight="1">
      <c r="A8582" s="66"/>
      <c r="B8582" s="67" t="str">
        <f t="shared" si="16"/>
        <v>M: </v>
      </c>
      <c r="C8582" s="68"/>
      <c r="D8582" s="68">
        <v>46608.0</v>
      </c>
      <c r="E8582" s="66">
        <v>10.0</v>
      </c>
      <c r="F8582" s="66" t="str">
        <f>IFERROR(__xludf.DUMMYFUNCTION("GOOGLETRANSLATE(A8582,""en"",""pt"")"),"#VALUE!")</f>
        <v>#VALUE!</v>
      </c>
      <c r="G8582" s="69"/>
    </row>
    <row r="8583" ht="22.5" customHeight="1">
      <c r="A8583" s="66"/>
      <c r="B8583" s="67" t="str">
        <f t="shared" si="16"/>
        <v>M: </v>
      </c>
      <c r="C8583" s="68"/>
      <c r="D8583" s="68">
        <v>46608.0</v>
      </c>
      <c r="E8583" s="66">
        <v>1.0</v>
      </c>
      <c r="F8583" s="66" t="str">
        <f>IFERROR(__xludf.DUMMYFUNCTION("GOOGLETRANSLATE(A8583,""en"",""pt"")"),"#VALUE!")</f>
        <v>#VALUE!</v>
      </c>
      <c r="G8583" s="69"/>
    </row>
    <row r="8584" ht="22.5" customHeight="1">
      <c r="A8584" s="66"/>
      <c r="B8584" s="67" t="str">
        <f t="shared" si="16"/>
        <v>M: </v>
      </c>
      <c r="C8584" s="68"/>
      <c r="D8584" s="68">
        <v>46608.0</v>
      </c>
      <c r="E8584" s="66">
        <v>2.0</v>
      </c>
      <c r="F8584" s="66" t="str">
        <f>IFERROR(__xludf.DUMMYFUNCTION("GOOGLETRANSLATE(A8584,""en"",""pt"")"),"#VALUE!")</f>
        <v>#VALUE!</v>
      </c>
      <c r="G8584" s="69"/>
    </row>
    <row r="8585" ht="22.5" customHeight="1">
      <c r="A8585" s="66"/>
      <c r="B8585" s="67" t="str">
        <f t="shared" si="16"/>
        <v>M: </v>
      </c>
      <c r="C8585" s="68"/>
      <c r="D8585" s="68">
        <v>46608.0</v>
      </c>
      <c r="E8585" s="66">
        <v>3.0</v>
      </c>
      <c r="F8585" s="66" t="str">
        <f>IFERROR(__xludf.DUMMYFUNCTION("GOOGLETRANSLATE(A8585,""en"",""pt"")"),"#VALUE!")</f>
        <v>#VALUE!</v>
      </c>
      <c r="G8585" s="69"/>
    </row>
    <row r="8586" ht="22.5" customHeight="1">
      <c r="A8586" s="66"/>
      <c r="B8586" s="67" t="str">
        <f t="shared" si="16"/>
        <v>M: </v>
      </c>
      <c r="C8586" s="68"/>
      <c r="D8586" s="68">
        <v>46608.0</v>
      </c>
      <c r="E8586" s="66">
        <v>4.0</v>
      </c>
      <c r="F8586" s="66" t="str">
        <f>IFERROR(__xludf.DUMMYFUNCTION("GOOGLETRANSLATE(A8586,""en"",""pt"")"),"#VALUE!")</f>
        <v>#VALUE!</v>
      </c>
      <c r="G8586" s="69"/>
    </row>
    <row r="8587" ht="22.5" customHeight="1">
      <c r="A8587" s="66"/>
      <c r="B8587" s="67" t="str">
        <f t="shared" si="16"/>
        <v>M: </v>
      </c>
      <c r="C8587" s="68"/>
      <c r="D8587" s="68">
        <v>46608.0</v>
      </c>
      <c r="E8587" s="66">
        <v>5.0</v>
      </c>
      <c r="F8587" s="66" t="str">
        <f>IFERROR(__xludf.DUMMYFUNCTION("GOOGLETRANSLATE(A8587,""en"",""pt"")"),"#VALUE!")</f>
        <v>#VALUE!</v>
      </c>
      <c r="G8587" s="69"/>
    </row>
    <row r="8588" ht="22.5" customHeight="1">
      <c r="A8588" s="66"/>
      <c r="B8588" s="67" t="str">
        <f t="shared" si="16"/>
        <v>M: </v>
      </c>
      <c r="C8588" s="68"/>
      <c r="D8588" s="68">
        <v>46608.0</v>
      </c>
      <c r="E8588" s="66">
        <v>6.0</v>
      </c>
      <c r="F8588" s="66" t="str">
        <f>IFERROR(__xludf.DUMMYFUNCTION("GOOGLETRANSLATE(A8588,""en"",""pt"")"),"#VALUE!")</f>
        <v>#VALUE!</v>
      </c>
      <c r="G8588" s="69"/>
    </row>
    <row r="8589" ht="22.5" customHeight="1">
      <c r="A8589" s="66"/>
      <c r="B8589" s="67" t="str">
        <f t="shared" si="16"/>
        <v>M: </v>
      </c>
      <c r="C8589" s="68"/>
      <c r="D8589" s="68">
        <v>46608.0</v>
      </c>
      <c r="E8589" s="66">
        <v>7.0</v>
      </c>
      <c r="F8589" s="66" t="str">
        <f>IFERROR(__xludf.DUMMYFUNCTION("GOOGLETRANSLATE(A8589,""en"",""pt"")"),"#VALUE!")</f>
        <v>#VALUE!</v>
      </c>
      <c r="G8589" s="69"/>
    </row>
    <row r="8590" ht="22.5" customHeight="1">
      <c r="A8590" s="66"/>
      <c r="B8590" s="67" t="str">
        <f t="shared" si="16"/>
        <v>M: </v>
      </c>
      <c r="C8590" s="68"/>
      <c r="D8590" s="68">
        <v>46608.0</v>
      </c>
      <c r="E8590" s="66">
        <v>8.0</v>
      </c>
      <c r="F8590" s="66" t="str">
        <f>IFERROR(__xludf.DUMMYFUNCTION("GOOGLETRANSLATE(A8590,""en"",""pt"")"),"#VALUE!")</f>
        <v>#VALUE!</v>
      </c>
      <c r="G8590" s="69"/>
    </row>
    <row r="8591" ht="22.5" customHeight="1">
      <c r="A8591" s="66"/>
      <c r="B8591" s="67" t="str">
        <f t="shared" si="16"/>
        <v>M: </v>
      </c>
      <c r="C8591" s="68"/>
      <c r="D8591" s="68">
        <v>46608.0</v>
      </c>
      <c r="E8591" s="66">
        <v>9.0</v>
      </c>
      <c r="F8591" s="66" t="str">
        <f>IFERROR(__xludf.DUMMYFUNCTION("GOOGLETRANSLATE(A8591,""en"",""pt"")"),"#VALUE!")</f>
        <v>#VALUE!</v>
      </c>
      <c r="G8591" s="69"/>
    </row>
    <row r="8592" ht="22.5" customHeight="1">
      <c r="A8592" s="66"/>
      <c r="B8592" s="67" t="str">
        <f t="shared" si="16"/>
        <v>M: </v>
      </c>
      <c r="C8592" s="68"/>
      <c r="D8592" s="68">
        <v>46609.0</v>
      </c>
      <c r="E8592" s="66">
        <v>10.0</v>
      </c>
      <c r="F8592" s="66" t="str">
        <f>IFERROR(__xludf.DUMMYFUNCTION("GOOGLETRANSLATE(A8592,""en"",""pt"")"),"#VALUE!")</f>
        <v>#VALUE!</v>
      </c>
      <c r="G8592" s="69"/>
    </row>
    <row r="8593" ht="22.5" customHeight="1">
      <c r="A8593" s="66"/>
      <c r="B8593" s="67" t="str">
        <f t="shared" si="16"/>
        <v>M: </v>
      </c>
      <c r="C8593" s="68"/>
      <c r="D8593" s="68">
        <v>46609.0</v>
      </c>
      <c r="E8593" s="66">
        <v>1.0</v>
      </c>
      <c r="F8593" s="66" t="str">
        <f>IFERROR(__xludf.DUMMYFUNCTION("GOOGLETRANSLATE(A8593,""en"",""pt"")"),"#VALUE!")</f>
        <v>#VALUE!</v>
      </c>
      <c r="G8593" s="69"/>
    </row>
    <row r="8594" ht="22.5" customHeight="1">
      <c r="A8594" s="66"/>
      <c r="B8594" s="67" t="str">
        <f t="shared" si="16"/>
        <v>M: </v>
      </c>
      <c r="C8594" s="68"/>
      <c r="D8594" s="68">
        <v>46609.0</v>
      </c>
      <c r="E8594" s="66">
        <v>2.0</v>
      </c>
      <c r="F8594" s="66" t="str">
        <f>IFERROR(__xludf.DUMMYFUNCTION("GOOGLETRANSLATE(A8594,""en"",""pt"")"),"#VALUE!")</f>
        <v>#VALUE!</v>
      </c>
      <c r="G8594" s="69"/>
    </row>
    <row r="8595" ht="22.5" customHeight="1">
      <c r="A8595" s="66"/>
      <c r="B8595" s="67" t="str">
        <f t="shared" si="16"/>
        <v>M: </v>
      </c>
      <c r="C8595" s="68"/>
      <c r="D8595" s="68">
        <v>46609.0</v>
      </c>
      <c r="E8595" s="66">
        <v>3.0</v>
      </c>
      <c r="F8595" s="66" t="str">
        <f>IFERROR(__xludf.DUMMYFUNCTION("GOOGLETRANSLATE(A8595,""en"",""pt"")"),"#VALUE!")</f>
        <v>#VALUE!</v>
      </c>
      <c r="G8595" s="69"/>
    </row>
    <row r="8596" ht="22.5" customHeight="1">
      <c r="A8596" s="66"/>
      <c r="B8596" s="67" t="str">
        <f t="shared" si="16"/>
        <v>M: </v>
      </c>
      <c r="C8596" s="68"/>
      <c r="D8596" s="68">
        <v>46609.0</v>
      </c>
      <c r="E8596" s="66">
        <v>4.0</v>
      </c>
      <c r="F8596" s="66" t="str">
        <f>IFERROR(__xludf.DUMMYFUNCTION("GOOGLETRANSLATE(A8596,""en"",""pt"")"),"#VALUE!")</f>
        <v>#VALUE!</v>
      </c>
      <c r="G8596" s="69"/>
    </row>
    <row r="8597" ht="22.5" customHeight="1">
      <c r="A8597" s="66"/>
      <c r="B8597" s="67" t="str">
        <f t="shared" si="16"/>
        <v>M: </v>
      </c>
      <c r="C8597" s="68"/>
      <c r="D8597" s="68">
        <v>46609.0</v>
      </c>
      <c r="E8597" s="66">
        <v>5.0</v>
      </c>
      <c r="F8597" s="66" t="str">
        <f>IFERROR(__xludf.DUMMYFUNCTION("GOOGLETRANSLATE(A8597,""en"",""pt"")"),"#VALUE!")</f>
        <v>#VALUE!</v>
      </c>
      <c r="G8597" s="69"/>
    </row>
    <row r="8598" ht="22.5" customHeight="1">
      <c r="A8598" s="66"/>
      <c r="B8598" s="67" t="str">
        <f t="shared" si="16"/>
        <v>M: </v>
      </c>
      <c r="C8598" s="68"/>
      <c r="D8598" s="68">
        <v>46609.0</v>
      </c>
      <c r="E8598" s="66">
        <v>6.0</v>
      </c>
      <c r="F8598" s="66" t="str">
        <f>IFERROR(__xludf.DUMMYFUNCTION("GOOGLETRANSLATE(A8598,""en"",""pt"")"),"#VALUE!")</f>
        <v>#VALUE!</v>
      </c>
      <c r="G8598" s="69"/>
    </row>
    <row r="8599" ht="22.5" customHeight="1">
      <c r="A8599" s="66"/>
      <c r="B8599" s="67" t="str">
        <f t="shared" si="16"/>
        <v>M: </v>
      </c>
      <c r="C8599" s="68"/>
      <c r="D8599" s="68">
        <v>46609.0</v>
      </c>
      <c r="E8599" s="66">
        <v>7.0</v>
      </c>
      <c r="F8599" s="66" t="str">
        <f>IFERROR(__xludf.DUMMYFUNCTION("GOOGLETRANSLATE(A8599,""en"",""pt"")"),"#VALUE!")</f>
        <v>#VALUE!</v>
      </c>
      <c r="G8599" s="69"/>
    </row>
    <row r="8600" ht="22.5" customHeight="1">
      <c r="A8600" s="66"/>
      <c r="B8600" s="67" t="str">
        <f t="shared" si="16"/>
        <v>M: </v>
      </c>
      <c r="C8600" s="68"/>
      <c r="D8600" s="68">
        <v>46609.0</v>
      </c>
      <c r="E8600" s="66">
        <v>8.0</v>
      </c>
      <c r="F8600" s="66" t="str">
        <f>IFERROR(__xludf.DUMMYFUNCTION("GOOGLETRANSLATE(A8600,""en"",""pt"")"),"#VALUE!")</f>
        <v>#VALUE!</v>
      </c>
      <c r="G8600" s="69"/>
    </row>
    <row r="8601" ht="22.5" customHeight="1">
      <c r="A8601" s="66"/>
      <c r="B8601" s="67" t="str">
        <f t="shared" si="16"/>
        <v>M: </v>
      </c>
      <c r="C8601" s="68"/>
      <c r="D8601" s="68">
        <v>46609.0</v>
      </c>
      <c r="E8601" s="66">
        <v>9.0</v>
      </c>
      <c r="F8601" s="66" t="str">
        <f>IFERROR(__xludf.DUMMYFUNCTION("GOOGLETRANSLATE(A8601,""en"",""pt"")"),"#VALUE!")</f>
        <v>#VALUE!</v>
      </c>
      <c r="G8601" s="69"/>
    </row>
    <row r="8602" ht="22.5" customHeight="1">
      <c r="A8602" s="66"/>
      <c r="B8602" s="67" t="str">
        <f t="shared" si="16"/>
        <v>M: </v>
      </c>
      <c r="C8602" s="68"/>
      <c r="D8602" s="68">
        <v>46610.0</v>
      </c>
      <c r="E8602" s="66">
        <v>10.0</v>
      </c>
      <c r="F8602" s="66" t="str">
        <f>IFERROR(__xludf.DUMMYFUNCTION("GOOGLETRANSLATE(A8602,""en"",""pt"")"),"#VALUE!")</f>
        <v>#VALUE!</v>
      </c>
      <c r="G8602" s="69"/>
    </row>
    <row r="8603" ht="22.5" customHeight="1">
      <c r="A8603" s="66"/>
      <c r="B8603" s="67" t="str">
        <f t="shared" si="16"/>
        <v>M: </v>
      </c>
      <c r="C8603" s="68"/>
      <c r="D8603" s="68">
        <v>46610.0</v>
      </c>
      <c r="E8603" s="66">
        <v>1.0</v>
      </c>
      <c r="F8603" s="66" t="str">
        <f>IFERROR(__xludf.DUMMYFUNCTION("GOOGLETRANSLATE(A8603,""en"",""pt"")"),"#VALUE!")</f>
        <v>#VALUE!</v>
      </c>
      <c r="G8603" s="69"/>
    </row>
    <row r="8604" ht="22.5" customHeight="1">
      <c r="A8604" s="66"/>
      <c r="B8604" s="67" t="str">
        <f t="shared" si="16"/>
        <v>M: </v>
      </c>
      <c r="C8604" s="68"/>
      <c r="D8604" s="68">
        <v>46610.0</v>
      </c>
      <c r="E8604" s="66">
        <v>2.0</v>
      </c>
      <c r="F8604" s="66" t="str">
        <f>IFERROR(__xludf.DUMMYFUNCTION("GOOGLETRANSLATE(A8604,""en"",""pt"")"),"#VALUE!")</f>
        <v>#VALUE!</v>
      </c>
      <c r="G8604" s="69"/>
    </row>
    <row r="8605" ht="22.5" customHeight="1">
      <c r="A8605" s="66"/>
      <c r="B8605" s="67" t="str">
        <f t="shared" si="16"/>
        <v>M: </v>
      </c>
      <c r="C8605" s="68"/>
      <c r="D8605" s="68">
        <v>46610.0</v>
      </c>
      <c r="E8605" s="66">
        <v>3.0</v>
      </c>
      <c r="F8605" s="66" t="str">
        <f>IFERROR(__xludf.DUMMYFUNCTION("GOOGLETRANSLATE(A8605,""en"",""pt"")"),"#VALUE!")</f>
        <v>#VALUE!</v>
      </c>
      <c r="G8605" s="69"/>
    </row>
    <row r="8606" ht="22.5" customHeight="1">
      <c r="A8606" s="66"/>
      <c r="B8606" s="67" t="str">
        <f t="shared" si="16"/>
        <v>M: </v>
      </c>
      <c r="C8606" s="68"/>
      <c r="D8606" s="68">
        <v>46610.0</v>
      </c>
      <c r="E8606" s="66">
        <v>4.0</v>
      </c>
      <c r="F8606" s="66" t="str">
        <f>IFERROR(__xludf.DUMMYFUNCTION("GOOGLETRANSLATE(A8606,""en"",""pt"")"),"#VALUE!")</f>
        <v>#VALUE!</v>
      </c>
      <c r="G8606" s="69"/>
    </row>
    <row r="8607" ht="22.5" customHeight="1">
      <c r="A8607" s="66"/>
      <c r="B8607" s="67" t="str">
        <f t="shared" si="16"/>
        <v>M: </v>
      </c>
      <c r="C8607" s="68"/>
      <c r="D8607" s="68">
        <v>46610.0</v>
      </c>
      <c r="E8607" s="66">
        <v>5.0</v>
      </c>
      <c r="F8607" s="66" t="str">
        <f>IFERROR(__xludf.DUMMYFUNCTION("GOOGLETRANSLATE(A8607,""en"",""pt"")"),"#VALUE!")</f>
        <v>#VALUE!</v>
      </c>
      <c r="G8607" s="69"/>
    </row>
    <row r="8608" ht="22.5" customHeight="1">
      <c r="A8608" s="66"/>
      <c r="B8608" s="67" t="str">
        <f t="shared" si="16"/>
        <v>M: </v>
      </c>
      <c r="C8608" s="68"/>
      <c r="D8608" s="68">
        <v>46610.0</v>
      </c>
      <c r="E8608" s="66">
        <v>6.0</v>
      </c>
      <c r="F8608" s="66" t="str">
        <f>IFERROR(__xludf.DUMMYFUNCTION("GOOGLETRANSLATE(A8608,""en"",""pt"")"),"#VALUE!")</f>
        <v>#VALUE!</v>
      </c>
      <c r="G8608" s="69"/>
    </row>
    <row r="8609" ht="22.5" customHeight="1">
      <c r="A8609" s="66"/>
      <c r="B8609" s="67" t="str">
        <f t="shared" si="16"/>
        <v>M: </v>
      </c>
      <c r="C8609" s="68"/>
      <c r="D8609" s="68">
        <v>46610.0</v>
      </c>
      <c r="E8609" s="66">
        <v>7.0</v>
      </c>
      <c r="F8609" s="66" t="str">
        <f>IFERROR(__xludf.DUMMYFUNCTION("GOOGLETRANSLATE(A8609,""en"",""pt"")"),"#VALUE!")</f>
        <v>#VALUE!</v>
      </c>
      <c r="G8609" s="69"/>
    </row>
    <row r="8610" ht="22.5" customHeight="1">
      <c r="A8610" s="66"/>
      <c r="B8610" s="67" t="str">
        <f t="shared" si="16"/>
        <v>M: </v>
      </c>
      <c r="C8610" s="68"/>
      <c r="D8610" s="68">
        <v>46610.0</v>
      </c>
      <c r="E8610" s="66">
        <v>8.0</v>
      </c>
      <c r="F8610" s="66" t="str">
        <f>IFERROR(__xludf.DUMMYFUNCTION("GOOGLETRANSLATE(A8610,""en"",""pt"")"),"#VALUE!")</f>
        <v>#VALUE!</v>
      </c>
      <c r="G8610" s="69"/>
    </row>
    <row r="8611" ht="22.5" customHeight="1">
      <c r="A8611" s="66"/>
      <c r="B8611" s="67" t="str">
        <f t="shared" si="16"/>
        <v>M: </v>
      </c>
      <c r="C8611" s="68"/>
      <c r="D8611" s="68">
        <v>46610.0</v>
      </c>
      <c r="E8611" s="66">
        <v>9.0</v>
      </c>
      <c r="F8611" s="66" t="str">
        <f>IFERROR(__xludf.DUMMYFUNCTION("GOOGLETRANSLATE(A8611,""en"",""pt"")"),"#VALUE!")</f>
        <v>#VALUE!</v>
      </c>
      <c r="G8611" s="69"/>
    </row>
    <row r="8612" ht="22.5" customHeight="1">
      <c r="A8612" s="66"/>
      <c r="B8612" s="67" t="str">
        <f t="shared" si="16"/>
        <v>M: </v>
      </c>
      <c r="C8612" s="68"/>
      <c r="D8612" s="68">
        <v>46611.0</v>
      </c>
      <c r="E8612" s="66">
        <v>10.0</v>
      </c>
      <c r="F8612" s="66" t="str">
        <f>IFERROR(__xludf.DUMMYFUNCTION("GOOGLETRANSLATE(A8612,""en"",""pt"")"),"#VALUE!")</f>
        <v>#VALUE!</v>
      </c>
      <c r="G8612" s="69"/>
    </row>
    <row r="8613" ht="22.5" customHeight="1">
      <c r="A8613" s="66"/>
      <c r="B8613" s="67" t="str">
        <f t="shared" si="16"/>
        <v>M: </v>
      </c>
      <c r="C8613" s="68"/>
      <c r="D8613" s="68">
        <v>46611.0</v>
      </c>
      <c r="E8613" s="66">
        <v>1.0</v>
      </c>
      <c r="F8613" s="66" t="str">
        <f>IFERROR(__xludf.DUMMYFUNCTION("GOOGLETRANSLATE(A8613,""en"",""pt"")"),"#VALUE!")</f>
        <v>#VALUE!</v>
      </c>
      <c r="G8613" s="69"/>
    </row>
    <row r="8614" ht="22.5" customHeight="1">
      <c r="A8614" s="66"/>
      <c r="B8614" s="67" t="str">
        <f t="shared" si="16"/>
        <v>M: </v>
      </c>
      <c r="C8614" s="68"/>
      <c r="D8614" s="68">
        <v>46611.0</v>
      </c>
      <c r="E8614" s="66">
        <v>2.0</v>
      </c>
      <c r="F8614" s="66" t="str">
        <f>IFERROR(__xludf.DUMMYFUNCTION("GOOGLETRANSLATE(A8614,""en"",""pt"")"),"#VALUE!")</f>
        <v>#VALUE!</v>
      </c>
      <c r="G8614" s="69"/>
    </row>
    <row r="8615" ht="22.5" customHeight="1">
      <c r="A8615" s="66"/>
      <c r="B8615" s="67" t="str">
        <f t="shared" si="16"/>
        <v>M: </v>
      </c>
      <c r="C8615" s="68"/>
      <c r="D8615" s="68">
        <v>46611.0</v>
      </c>
      <c r="E8615" s="66">
        <v>3.0</v>
      </c>
      <c r="F8615" s="66" t="str">
        <f>IFERROR(__xludf.DUMMYFUNCTION("GOOGLETRANSLATE(A8615,""en"",""pt"")"),"#VALUE!")</f>
        <v>#VALUE!</v>
      </c>
      <c r="G8615" s="69"/>
    </row>
    <row r="8616" ht="22.5" customHeight="1">
      <c r="A8616" s="66"/>
      <c r="B8616" s="67" t="str">
        <f t="shared" si="16"/>
        <v>M: </v>
      </c>
      <c r="C8616" s="68"/>
      <c r="D8616" s="68">
        <v>46611.0</v>
      </c>
      <c r="E8616" s="66">
        <v>4.0</v>
      </c>
      <c r="F8616" s="66" t="str">
        <f>IFERROR(__xludf.DUMMYFUNCTION("GOOGLETRANSLATE(A8616,""en"",""pt"")"),"#VALUE!")</f>
        <v>#VALUE!</v>
      </c>
      <c r="G8616" s="69"/>
    </row>
    <row r="8617" ht="22.5" customHeight="1">
      <c r="A8617" s="66"/>
      <c r="B8617" s="67" t="str">
        <f t="shared" si="16"/>
        <v>M: </v>
      </c>
      <c r="C8617" s="68"/>
      <c r="D8617" s="68">
        <v>46611.0</v>
      </c>
      <c r="E8617" s="66">
        <v>5.0</v>
      </c>
      <c r="F8617" s="66" t="str">
        <f>IFERROR(__xludf.DUMMYFUNCTION("GOOGLETRANSLATE(A8617,""en"",""pt"")"),"#VALUE!")</f>
        <v>#VALUE!</v>
      </c>
      <c r="G8617" s="69"/>
    </row>
    <row r="8618" ht="22.5" customHeight="1">
      <c r="A8618" s="66"/>
      <c r="B8618" s="67" t="str">
        <f t="shared" si="16"/>
        <v>M: </v>
      </c>
      <c r="C8618" s="68"/>
      <c r="D8618" s="68">
        <v>46611.0</v>
      </c>
      <c r="E8618" s="66">
        <v>6.0</v>
      </c>
      <c r="F8618" s="66" t="str">
        <f>IFERROR(__xludf.DUMMYFUNCTION("GOOGLETRANSLATE(A8618,""en"",""pt"")"),"#VALUE!")</f>
        <v>#VALUE!</v>
      </c>
      <c r="G8618" s="69"/>
    </row>
    <row r="8619" ht="22.5" customHeight="1">
      <c r="A8619" s="66"/>
      <c r="B8619" s="67" t="str">
        <f t="shared" si="16"/>
        <v>M: </v>
      </c>
      <c r="C8619" s="68"/>
      <c r="D8619" s="68">
        <v>46611.0</v>
      </c>
      <c r="E8619" s="66">
        <v>7.0</v>
      </c>
      <c r="F8619" s="66" t="str">
        <f>IFERROR(__xludf.DUMMYFUNCTION("GOOGLETRANSLATE(A8619,""en"",""pt"")"),"#VALUE!")</f>
        <v>#VALUE!</v>
      </c>
      <c r="G8619" s="69"/>
    </row>
    <row r="8620" ht="22.5" customHeight="1">
      <c r="A8620" s="66"/>
      <c r="B8620" s="67" t="str">
        <f t="shared" si="16"/>
        <v>M: </v>
      </c>
      <c r="C8620" s="68"/>
      <c r="D8620" s="68">
        <v>46611.0</v>
      </c>
      <c r="E8620" s="66">
        <v>8.0</v>
      </c>
      <c r="F8620" s="66" t="str">
        <f>IFERROR(__xludf.DUMMYFUNCTION("GOOGLETRANSLATE(A8620,""en"",""pt"")"),"#VALUE!")</f>
        <v>#VALUE!</v>
      </c>
      <c r="G8620" s="69"/>
    </row>
    <row r="8621" ht="22.5" customHeight="1">
      <c r="A8621" s="66"/>
      <c r="B8621" s="67" t="str">
        <f t="shared" si="16"/>
        <v>M: </v>
      </c>
      <c r="C8621" s="68"/>
      <c r="D8621" s="68">
        <v>46611.0</v>
      </c>
      <c r="E8621" s="66">
        <v>9.0</v>
      </c>
      <c r="F8621" s="66" t="str">
        <f>IFERROR(__xludf.DUMMYFUNCTION("GOOGLETRANSLATE(A8621,""en"",""pt"")"),"#VALUE!")</f>
        <v>#VALUE!</v>
      </c>
      <c r="G8621" s="69"/>
    </row>
    <row r="8622" ht="22.5" customHeight="1">
      <c r="A8622" s="66"/>
      <c r="B8622" s="67" t="str">
        <f t="shared" si="16"/>
        <v>M: </v>
      </c>
      <c r="C8622" s="68"/>
      <c r="D8622" s="68">
        <v>46612.0</v>
      </c>
      <c r="E8622" s="66">
        <v>10.0</v>
      </c>
      <c r="F8622" s="66" t="str">
        <f>IFERROR(__xludf.DUMMYFUNCTION("GOOGLETRANSLATE(A8622,""en"",""pt"")"),"#VALUE!")</f>
        <v>#VALUE!</v>
      </c>
      <c r="G8622" s="69"/>
    </row>
    <row r="8623" ht="22.5" customHeight="1">
      <c r="A8623" s="66"/>
      <c r="B8623" s="67" t="str">
        <f t="shared" si="16"/>
        <v>M: </v>
      </c>
      <c r="C8623" s="68"/>
      <c r="D8623" s="68">
        <v>46612.0</v>
      </c>
      <c r="E8623" s="66">
        <v>1.0</v>
      </c>
      <c r="F8623" s="66" t="str">
        <f>IFERROR(__xludf.DUMMYFUNCTION("GOOGLETRANSLATE(A8623,""en"",""pt"")"),"#VALUE!")</f>
        <v>#VALUE!</v>
      </c>
      <c r="G8623" s="69"/>
    </row>
    <row r="8624" ht="22.5" customHeight="1">
      <c r="A8624" s="66"/>
      <c r="B8624" s="67" t="str">
        <f t="shared" si="16"/>
        <v>M: </v>
      </c>
      <c r="C8624" s="68"/>
      <c r="D8624" s="68">
        <v>46612.0</v>
      </c>
      <c r="E8624" s="66">
        <v>2.0</v>
      </c>
      <c r="F8624" s="66" t="str">
        <f>IFERROR(__xludf.DUMMYFUNCTION("GOOGLETRANSLATE(A8624,""en"",""pt"")"),"#VALUE!")</f>
        <v>#VALUE!</v>
      </c>
      <c r="G8624" s="69"/>
    </row>
    <row r="8625" ht="22.5" customHeight="1">
      <c r="A8625" s="66"/>
      <c r="B8625" s="67" t="str">
        <f t="shared" si="16"/>
        <v>M: </v>
      </c>
      <c r="C8625" s="68"/>
      <c r="D8625" s="68">
        <v>46612.0</v>
      </c>
      <c r="E8625" s="66">
        <v>3.0</v>
      </c>
      <c r="F8625" s="66" t="str">
        <f>IFERROR(__xludf.DUMMYFUNCTION("GOOGLETRANSLATE(A8625,""en"",""pt"")"),"#VALUE!")</f>
        <v>#VALUE!</v>
      </c>
      <c r="G8625" s="69"/>
    </row>
    <row r="8626" ht="22.5" customHeight="1">
      <c r="A8626" s="66"/>
      <c r="B8626" s="67" t="str">
        <f t="shared" si="16"/>
        <v>M: </v>
      </c>
      <c r="C8626" s="68"/>
      <c r="D8626" s="68">
        <v>46612.0</v>
      </c>
      <c r="E8626" s="66">
        <v>4.0</v>
      </c>
      <c r="F8626" s="66" t="str">
        <f>IFERROR(__xludf.DUMMYFUNCTION("GOOGLETRANSLATE(A8626,""en"",""pt"")"),"#VALUE!")</f>
        <v>#VALUE!</v>
      </c>
      <c r="G8626" s="69"/>
    </row>
    <row r="8627" ht="22.5" customHeight="1">
      <c r="A8627" s="66"/>
      <c r="B8627" s="67" t="str">
        <f t="shared" si="16"/>
        <v>M: </v>
      </c>
      <c r="C8627" s="68"/>
      <c r="D8627" s="68">
        <v>46612.0</v>
      </c>
      <c r="E8627" s="66">
        <v>5.0</v>
      </c>
      <c r="F8627" s="66" t="str">
        <f>IFERROR(__xludf.DUMMYFUNCTION("GOOGLETRANSLATE(A8627,""en"",""pt"")"),"#VALUE!")</f>
        <v>#VALUE!</v>
      </c>
      <c r="G8627" s="69"/>
    </row>
    <row r="8628" ht="22.5" customHeight="1">
      <c r="A8628" s="66"/>
      <c r="B8628" s="67" t="str">
        <f t="shared" si="16"/>
        <v>M: </v>
      </c>
      <c r="C8628" s="68"/>
      <c r="D8628" s="68">
        <v>46612.0</v>
      </c>
      <c r="E8628" s="66">
        <v>6.0</v>
      </c>
      <c r="F8628" s="66" t="str">
        <f>IFERROR(__xludf.DUMMYFUNCTION("GOOGLETRANSLATE(A8628,""en"",""pt"")"),"#VALUE!")</f>
        <v>#VALUE!</v>
      </c>
      <c r="G8628" s="69"/>
    </row>
    <row r="8629" ht="22.5" customHeight="1">
      <c r="A8629" s="66"/>
      <c r="B8629" s="67" t="str">
        <f t="shared" si="16"/>
        <v>M: </v>
      </c>
      <c r="C8629" s="68"/>
      <c r="D8629" s="68">
        <v>46612.0</v>
      </c>
      <c r="E8629" s="66">
        <v>7.0</v>
      </c>
      <c r="F8629" s="66" t="str">
        <f>IFERROR(__xludf.DUMMYFUNCTION("GOOGLETRANSLATE(A8629,""en"",""pt"")"),"#VALUE!")</f>
        <v>#VALUE!</v>
      </c>
      <c r="G8629" s="69"/>
    </row>
    <row r="8630" ht="22.5" customHeight="1">
      <c r="A8630" s="66"/>
      <c r="B8630" s="67" t="str">
        <f t="shared" si="16"/>
        <v>M: </v>
      </c>
      <c r="C8630" s="68"/>
      <c r="D8630" s="68">
        <v>46612.0</v>
      </c>
      <c r="E8630" s="66">
        <v>8.0</v>
      </c>
      <c r="F8630" s="66" t="str">
        <f>IFERROR(__xludf.DUMMYFUNCTION("GOOGLETRANSLATE(A8630,""en"",""pt"")"),"#VALUE!")</f>
        <v>#VALUE!</v>
      </c>
      <c r="G8630" s="69"/>
    </row>
    <row r="8631" ht="22.5" customHeight="1">
      <c r="A8631" s="66"/>
      <c r="B8631" s="67" t="str">
        <f t="shared" si="16"/>
        <v>M: </v>
      </c>
      <c r="C8631" s="68"/>
      <c r="D8631" s="68">
        <v>46612.0</v>
      </c>
      <c r="E8631" s="66">
        <v>9.0</v>
      </c>
      <c r="F8631" s="66" t="str">
        <f>IFERROR(__xludf.DUMMYFUNCTION("GOOGLETRANSLATE(A8631,""en"",""pt"")"),"#VALUE!")</f>
        <v>#VALUE!</v>
      </c>
      <c r="G8631" s="69"/>
    </row>
    <row r="8632" ht="22.5" customHeight="1">
      <c r="A8632" s="66"/>
      <c r="B8632" s="67" t="str">
        <f t="shared" si="16"/>
        <v>M: </v>
      </c>
      <c r="C8632" s="68"/>
      <c r="D8632" s="68">
        <v>46613.0</v>
      </c>
      <c r="E8632" s="66">
        <v>10.0</v>
      </c>
      <c r="F8632" s="66" t="str">
        <f>IFERROR(__xludf.DUMMYFUNCTION("GOOGLETRANSLATE(A8632,""en"",""pt"")"),"#VALUE!")</f>
        <v>#VALUE!</v>
      </c>
      <c r="G8632" s="69"/>
    </row>
    <row r="8633" ht="22.5" customHeight="1">
      <c r="A8633" s="66"/>
      <c r="B8633" s="67" t="str">
        <f t="shared" si="16"/>
        <v>M: </v>
      </c>
      <c r="C8633" s="68"/>
      <c r="D8633" s="68">
        <v>46613.0</v>
      </c>
      <c r="E8633" s="66">
        <v>1.0</v>
      </c>
      <c r="F8633" s="66" t="str">
        <f>IFERROR(__xludf.DUMMYFUNCTION("GOOGLETRANSLATE(A8633,""en"",""pt"")"),"#VALUE!")</f>
        <v>#VALUE!</v>
      </c>
      <c r="G8633" s="69"/>
    </row>
    <row r="8634" ht="22.5" customHeight="1">
      <c r="A8634" s="66"/>
      <c r="B8634" s="67" t="str">
        <f t="shared" si="16"/>
        <v>M: </v>
      </c>
      <c r="C8634" s="68"/>
      <c r="D8634" s="68">
        <v>46613.0</v>
      </c>
      <c r="E8634" s="66">
        <v>2.0</v>
      </c>
      <c r="F8634" s="66" t="str">
        <f>IFERROR(__xludf.DUMMYFUNCTION("GOOGLETRANSLATE(A8634,""en"",""pt"")"),"#VALUE!")</f>
        <v>#VALUE!</v>
      </c>
      <c r="G8634" s="69"/>
    </row>
    <row r="8635" ht="22.5" customHeight="1">
      <c r="A8635" s="66"/>
      <c r="B8635" s="67" t="str">
        <f t="shared" si="16"/>
        <v>M: </v>
      </c>
      <c r="C8635" s="68"/>
      <c r="D8635" s="68">
        <v>46613.0</v>
      </c>
      <c r="E8635" s="66">
        <v>3.0</v>
      </c>
      <c r="F8635" s="66" t="str">
        <f>IFERROR(__xludf.DUMMYFUNCTION("GOOGLETRANSLATE(A8635,""en"",""pt"")"),"#VALUE!")</f>
        <v>#VALUE!</v>
      </c>
      <c r="G8635" s="69"/>
    </row>
    <row r="8636" ht="22.5" customHeight="1">
      <c r="A8636" s="66"/>
      <c r="B8636" s="67" t="str">
        <f t="shared" si="16"/>
        <v>M: </v>
      </c>
      <c r="C8636" s="68"/>
      <c r="D8636" s="68">
        <v>46613.0</v>
      </c>
      <c r="E8636" s="66">
        <v>4.0</v>
      </c>
      <c r="F8636" s="66" t="str">
        <f>IFERROR(__xludf.DUMMYFUNCTION("GOOGLETRANSLATE(A8636,""en"",""pt"")"),"#VALUE!")</f>
        <v>#VALUE!</v>
      </c>
      <c r="G8636" s="69"/>
    </row>
    <row r="8637" ht="22.5" customHeight="1">
      <c r="A8637" s="66"/>
      <c r="B8637" s="67" t="str">
        <f t="shared" si="16"/>
        <v>M: </v>
      </c>
      <c r="C8637" s="68"/>
      <c r="D8637" s="68">
        <v>46613.0</v>
      </c>
      <c r="E8637" s="66">
        <v>5.0</v>
      </c>
      <c r="F8637" s="66" t="str">
        <f>IFERROR(__xludf.DUMMYFUNCTION("GOOGLETRANSLATE(A8637,""en"",""pt"")"),"#VALUE!")</f>
        <v>#VALUE!</v>
      </c>
      <c r="G8637" s="69"/>
    </row>
    <row r="8638" ht="22.5" customHeight="1">
      <c r="A8638" s="66"/>
      <c r="B8638" s="67" t="str">
        <f t="shared" si="16"/>
        <v>M: </v>
      </c>
      <c r="C8638" s="68"/>
      <c r="D8638" s="68">
        <v>46613.0</v>
      </c>
      <c r="E8638" s="66">
        <v>6.0</v>
      </c>
      <c r="F8638" s="66" t="str">
        <f>IFERROR(__xludf.DUMMYFUNCTION("GOOGLETRANSLATE(A8638,""en"",""pt"")"),"#VALUE!")</f>
        <v>#VALUE!</v>
      </c>
      <c r="G8638" s="69"/>
    </row>
    <row r="8639" ht="22.5" customHeight="1">
      <c r="A8639" s="66"/>
      <c r="B8639" s="67" t="str">
        <f t="shared" si="16"/>
        <v>M: </v>
      </c>
      <c r="C8639" s="68"/>
      <c r="D8639" s="68">
        <v>46613.0</v>
      </c>
      <c r="E8639" s="66">
        <v>7.0</v>
      </c>
      <c r="F8639" s="66" t="str">
        <f>IFERROR(__xludf.DUMMYFUNCTION("GOOGLETRANSLATE(A8639,""en"",""pt"")"),"#VALUE!")</f>
        <v>#VALUE!</v>
      </c>
      <c r="G8639" s="69"/>
    </row>
    <row r="8640" ht="22.5" customHeight="1">
      <c r="A8640" s="66"/>
      <c r="B8640" s="67" t="str">
        <f t="shared" si="16"/>
        <v>M: </v>
      </c>
      <c r="C8640" s="68"/>
      <c r="D8640" s="68">
        <v>46613.0</v>
      </c>
      <c r="E8640" s="66">
        <v>8.0</v>
      </c>
      <c r="F8640" s="66" t="str">
        <f>IFERROR(__xludf.DUMMYFUNCTION("GOOGLETRANSLATE(A8640,""en"",""pt"")"),"#VALUE!")</f>
        <v>#VALUE!</v>
      </c>
      <c r="G8640" s="69"/>
    </row>
    <row r="8641" ht="22.5" customHeight="1">
      <c r="A8641" s="66"/>
      <c r="B8641" s="67" t="str">
        <f t="shared" si="16"/>
        <v>M: </v>
      </c>
      <c r="C8641" s="68"/>
      <c r="D8641" s="68">
        <v>46613.0</v>
      </c>
      <c r="E8641" s="66">
        <v>9.0</v>
      </c>
      <c r="F8641" s="66" t="str">
        <f>IFERROR(__xludf.DUMMYFUNCTION("GOOGLETRANSLATE(A8641,""en"",""pt"")"),"#VALUE!")</f>
        <v>#VALUE!</v>
      </c>
      <c r="G8641" s="69"/>
    </row>
    <row r="8642" ht="22.5" customHeight="1">
      <c r="A8642" s="66"/>
      <c r="B8642" s="67" t="str">
        <f t="shared" si="16"/>
        <v>M: </v>
      </c>
      <c r="C8642" s="68"/>
      <c r="D8642" s="68">
        <v>46614.0</v>
      </c>
      <c r="E8642" s="66">
        <v>10.0</v>
      </c>
      <c r="F8642" s="66" t="str">
        <f>IFERROR(__xludf.DUMMYFUNCTION("GOOGLETRANSLATE(A8642,""en"",""pt"")"),"#VALUE!")</f>
        <v>#VALUE!</v>
      </c>
      <c r="G8642" s="69"/>
    </row>
    <row r="8643" ht="22.5" customHeight="1">
      <c r="A8643" s="66"/>
      <c r="B8643" s="67" t="str">
        <f t="shared" si="16"/>
        <v>M: </v>
      </c>
      <c r="C8643" s="68"/>
      <c r="D8643" s="68">
        <v>46614.0</v>
      </c>
      <c r="E8643" s="66">
        <v>1.0</v>
      </c>
      <c r="F8643" s="66" t="str">
        <f>IFERROR(__xludf.DUMMYFUNCTION("GOOGLETRANSLATE(A8643,""en"",""pt"")"),"#VALUE!")</f>
        <v>#VALUE!</v>
      </c>
      <c r="G8643" s="69"/>
    </row>
    <row r="8644" ht="22.5" customHeight="1">
      <c r="A8644" s="66"/>
      <c r="B8644" s="67" t="str">
        <f t="shared" si="16"/>
        <v>M: </v>
      </c>
      <c r="C8644" s="68"/>
      <c r="D8644" s="68">
        <v>46614.0</v>
      </c>
      <c r="E8644" s="66">
        <v>2.0</v>
      </c>
      <c r="F8644" s="66" t="str">
        <f>IFERROR(__xludf.DUMMYFUNCTION("GOOGLETRANSLATE(A8644,""en"",""pt"")"),"#VALUE!")</f>
        <v>#VALUE!</v>
      </c>
      <c r="G8644" s="69"/>
    </row>
    <row r="8645" ht="22.5" customHeight="1">
      <c r="A8645" s="66"/>
      <c r="B8645" s="67" t="str">
        <f t="shared" si="16"/>
        <v>M: </v>
      </c>
      <c r="C8645" s="68"/>
      <c r="D8645" s="68">
        <v>46614.0</v>
      </c>
      <c r="E8645" s="66">
        <v>3.0</v>
      </c>
      <c r="F8645" s="66" t="str">
        <f>IFERROR(__xludf.DUMMYFUNCTION("GOOGLETRANSLATE(A8645,""en"",""pt"")"),"#VALUE!")</f>
        <v>#VALUE!</v>
      </c>
      <c r="G8645" s="69"/>
    </row>
    <row r="8646" ht="22.5" customHeight="1">
      <c r="A8646" s="66"/>
      <c r="B8646" s="67" t="str">
        <f t="shared" si="16"/>
        <v>M: </v>
      </c>
      <c r="C8646" s="68"/>
      <c r="D8646" s="68">
        <v>46614.0</v>
      </c>
      <c r="E8646" s="66">
        <v>4.0</v>
      </c>
      <c r="F8646" s="66" t="str">
        <f>IFERROR(__xludf.DUMMYFUNCTION("GOOGLETRANSLATE(A8646,""en"",""pt"")"),"#VALUE!")</f>
        <v>#VALUE!</v>
      </c>
      <c r="G8646" s="69"/>
    </row>
    <row r="8647" ht="22.5" customHeight="1">
      <c r="A8647" s="66"/>
      <c r="B8647" s="67" t="str">
        <f t="shared" si="16"/>
        <v>M: </v>
      </c>
      <c r="C8647" s="68"/>
      <c r="D8647" s="68">
        <v>46614.0</v>
      </c>
      <c r="E8647" s="66">
        <v>5.0</v>
      </c>
      <c r="F8647" s="66" t="str">
        <f>IFERROR(__xludf.DUMMYFUNCTION("GOOGLETRANSLATE(A8647,""en"",""pt"")"),"#VALUE!")</f>
        <v>#VALUE!</v>
      </c>
      <c r="G8647" s="69"/>
    </row>
    <row r="8648" ht="22.5" customHeight="1">
      <c r="A8648" s="66"/>
      <c r="B8648" s="67" t="str">
        <f t="shared" si="16"/>
        <v>M: </v>
      </c>
      <c r="C8648" s="68"/>
      <c r="D8648" s="68">
        <v>46614.0</v>
      </c>
      <c r="E8648" s="66">
        <v>6.0</v>
      </c>
      <c r="F8648" s="66" t="str">
        <f>IFERROR(__xludf.DUMMYFUNCTION("GOOGLETRANSLATE(A8648,""en"",""pt"")"),"#VALUE!")</f>
        <v>#VALUE!</v>
      </c>
      <c r="G8648" s="69"/>
    </row>
    <row r="8649" ht="22.5" customHeight="1">
      <c r="A8649" s="66"/>
      <c r="B8649" s="67" t="str">
        <f t="shared" si="16"/>
        <v>M: </v>
      </c>
      <c r="C8649" s="68"/>
      <c r="D8649" s="68">
        <v>46614.0</v>
      </c>
      <c r="E8649" s="66">
        <v>7.0</v>
      </c>
      <c r="F8649" s="66" t="str">
        <f>IFERROR(__xludf.DUMMYFUNCTION("GOOGLETRANSLATE(A8649,""en"",""pt"")"),"#VALUE!")</f>
        <v>#VALUE!</v>
      </c>
      <c r="G8649" s="69"/>
    </row>
    <row r="8650" ht="22.5" customHeight="1">
      <c r="A8650" s="66"/>
      <c r="B8650" s="67" t="str">
        <f t="shared" si="16"/>
        <v>M: </v>
      </c>
      <c r="C8650" s="68"/>
      <c r="D8650" s="68">
        <v>46614.0</v>
      </c>
      <c r="E8650" s="66">
        <v>8.0</v>
      </c>
      <c r="F8650" s="66" t="str">
        <f>IFERROR(__xludf.DUMMYFUNCTION("GOOGLETRANSLATE(A8650,""en"",""pt"")"),"#VALUE!")</f>
        <v>#VALUE!</v>
      </c>
      <c r="G8650" s="69"/>
    </row>
    <row r="8651" ht="22.5" customHeight="1">
      <c r="A8651" s="66"/>
      <c r="B8651" s="67" t="str">
        <f t="shared" si="16"/>
        <v>M: </v>
      </c>
      <c r="C8651" s="68"/>
      <c r="D8651" s="68">
        <v>46614.0</v>
      </c>
      <c r="E8651" s="66">
        <v>9.0</v>
      </c>
      <c r="F8651" s="66" t="str">
        <f>IFERROR(__xludf.DUMMYFUNCTION("GOOGLETRANSLATE(A8651,""en"",""pt"")"),"#VALUE!")</f>
        <v>#VALUE!</v>
      </c>
      <c r="G8651" s="69"/>
    </row>
    <row r="8652" ht="22.5" customHeight="1">
      <c r="A8652" s="66"/>
      <c r="B8652" s="67" t="str">
        <f t="shared" si="16"/>
        <v>M: </v>
      </c>
      <c r="C8652" s="68"/>
      <c r="D8652" s="68">
        <v>46615.0</v>
      </c>
      <c r="E8652" s="66">
        <v>10.0</v>
      </c>
      <c r="F8652" s="66" t="str">
        <f>IFERROR(__xludf.DUMMYFUNCTION("GOOGLETRANSLATE(A8652,""en"",""pt"")"),"#VALUE!")</f>
        <v>#VALUE!</v>
      </c>
      <c r="G8652" s="69"/>
    </row>
    <row r="8653" ht="22.5" customHeight="1">
      <c r="A8653" s="66"/>
      <c r="B8653" s="67" t="str">
        <f t="shared" si="16"/>
        <v>M: </v>
      </c>
      <c r="C8653" s="68"/>
      <c r="D8653" s="68">
        <v>46615.0</v>
      </c>
      <c r="E8653" s="66">
        <v>1.0</v>
      </c>
      <c r="F8653" s="66" t="str">
        <f>IFERROR(__xludf.DUMMYFUNCTION("GOOGLETRANSLATE(A8653,""en"",""pt"")"),"#VALUE!")</f>
        <v>#VALUE!</v>
      </c>
      <c r="G8653" s="69"/>
    </row>
    <row r="8654" ht="22.5" customHeight="1">
      <c r="A8654" s="66"/>
      <c r="B8654" s="67" t="str">
        <f t="shared" si="16"/>
        <v>M: </v>
      </c>
      <c r="C8654" s="68"/>
      <c r="D8654" s="68">
        <v>46615.0</v>
      </c>
      <c r="E8654" s="66">
        <v>2.0</v>
      </c>
      <c r="F8654" s="66" t="str">
        <f>IFERROR(__xludf.DUMMYFUNCTION("GOOGLETRANSLATE(A8654,""en"",""pt"")"),"#VALUE!")</f>
        <v>#VALUE!</v>
      </c>
      <c r="G8654" s="69"/>
    </row>
    <row r="8655" ht="22.5" customHeight="1">
      <c r="A8655" s="66"/>
      <c r="B8655" s="67" t="str">
        <f t="shared" si="16"/>
        <v>M: </v>
      </c>
      <c r="C8655" s="68"/>
      <c r="D8655" s="68">
        <v>46615.0</v>
      </c>
      <c r="E8655" s="66">
        <v>3.0</v>
      </c>
      <c r="F8655" s="66" t="str">
        <f>IFERROR(__xludf.DUMMYFUNCTION("GOOGLETRANSLATE(A8655,""en"",""pt"")"),"#VALUE!")</f>
        <v>#VALUE!</v>
      </c>
      <c r="G8655" s="69"/>
    </row>
    <row r="8656" ht="22.5" customHeight="1">
      <c r="A8656" s="66"/>
      <c r="B8656" s="67" t="str">
        <f t="shared" si="16"/>
        <v>M: </v>
      </c>
      <c r="C8656" s="68"/>
      <c r="D8656" s="68">
        <v>46615.0</v>
      </c>
      <c r="E8656" s="66">
        <v>4.0</v>
      </c>
      <c r="F8656" s="66" t="str">
        <f>IFERROR(__xludf.DUMMYFUNCTION("GOOGLETRANSLATE(A8656,""en"",""pt"")"),"#VALUE!")</f>
        <v>#VALUE!</v>
      </c>
      <c r="G8656" s="69"/>
    </row>
    <row r="8657" ht="22.5" customHeight="1">
      <c r="A8657" s="66"/>
      <c r="B8657" s="67" t="str">
        <f t="shared" si="16"/>
        <v>M: </v>
      </c>
      <c r="C8657" s="68"/>
      <c r="D8657" s="68">
        <v>46615.0</v>
      </c>
      <c r="E8657" s="66">
        <v>5.0</v>
      </c>
      <c r="F8657" s="66" t="str">
        <f>IFERROR(__xludf.DUMMYFUNCTION("GOOGLETRANSLATE(A8657,""en"",""pt"")"),"#VALUE!")</f>
        <v>#VALUE!</v>
      </c>
      <c r="G8657" s="69"/>
    </row>
    <row r="8658" ht="22.5" customHeight="1">
      <c r="A8658" s="66"/>
      <c r="B8658" s="67" t="str">
        <f t="shared" si="16"/>
        <v>M: </v>
      </c>
      <c r="C8658" s="68"/>
      <c r="D8658" s="68">
        <v>46615.0</v>
      </c>
      <c r="E8658" s="66">
        <v>6.0</v>
      </c>
      <c r="F8658" s="66" t="str">
        <f>IFERROR(__xludf.DUMMYFUNCTION("GOOGLETRANSLATE(A8658,""en"",""pt"")"),"#VALUE!")</f>
        <v>#VALUE!</v>
      </c>
      <c r="G8658" s="69"/>
    </row>
    <row r="8659" ht="22.5" customHeight="1">
      <c r="A8659" s="66"/>
      <c r="B8659" s="67" t="str">
        <f t="shared" si="16"/>
        <v>M: </v>
      </c>
      <c r="C8659" s="68"/>
      <c r="D8659" s="68">
        <v>46615.0</v>
      </c>
      <c r="E8659" s="66">
        <v>7.0</v>
      </c>
      <c r="F8659" s="66" t="str">
        <f>IFERROR(__xludf.DUMMYFUNCTION("GOOGLETRANSLATE(A8659,""en"",""pt"")"),"#VALUE!")</f>
        <v>#VALUE!</v>
      </c>
      <c r="G8659" s="69"/>
    </row>
    <row r="8660" ht="22.5" customHeight="1">
      <c r="A8660" s="66"/>
      <c r="B8660" s="67" t="str">
        <f t="shared" si="16"/>
        <v>M: </v>
      </c>
      <c r="C8660" s="68"/>
      <c r="D8660" s="68">
        <v>46615.0</v>
      </c>
      <c r="E8660" s="66">
        <v>8.0</v>
      </c>
      <c r="F8660" s="66" t="str">
        <f>IFERROR(__xludf.DUMMYFUNCTION("GOOGLETRANSLATE(A8660,""en"",""pt"")"),"#VALUE!")</f>
        <v>#VALUE!</v>
      </c>
      <c r="G8660" s="69"/>
    </row>
    <row r="8661" ht="22.5" customHeight="1">
      <c r="A8661" s="66"/>
      <c r="B8661" s="67" t="str">
        <f t="shared" si="16"/>
        <v>M: </v>
      </c>
      <c r="C8661" s="68"/>
      <c r="D8661" s="68">
        <v>46615.0</v>
      </c>
      <c r="E8661" s="66">
        <v>9.0</v>
      </c>
      <c r="F8661" s="66" t="str">
        <f>IFERROR(__xludf.DUMMYFUNCTION("GOOGLETRANSLATE(A8661,""en"",""pt"")"),"#VALUE!")</f>
        <v>#VALUE!</v>
      </c>
      <c r="G8661" s="69"/>
    </row>
    <row r="8662" ht="22.5" customHeight="1">
      <c r="A8662" s="66"/>
      <c r="B8662" s="67" t="str">
        <f t="shared" si="16"/>
        <v>M: </v>
      </c>
      <c r="C8662" s="68"/>
      <c r="D8662" s="68">
        <v>46616.0</v>
      </c>
      <c r="E8662" s="66">
        <v>10.0</v>
      </c>
      <c r="F8662" s="66" t="str">
        <f>IFERROR(__xludf.DUMMYFUNCTION("GOOGLETRANSLATE(A8662,""en"",""pt"")"),"#VALUE!")</f>
        <v>#VALUE!</v>
      </c>
      <c r="G8662" s="69"/>
    </row>
    <row r="8663" ht="22.5" customHeight="1">
      <c r="A8663" s="66"/>
      <c r="B8663" s="67" t="str">
        <f t="shared" si="16"/>
        <v>M: </v>
      </c>
      <c r="C8663" s="68"/>
      <c r="D8663" s="68">
        <v>46616.0</v>
      </c>
      <c r="E8663" s="66">
        <v>1.0</v>
      </c>
      <c r="F8663" s="66" t="str">
        <f>IFERROR(__xludf.DUMMYFUNCTION("GOOGLETRANSLATE(A8663,""en"",""pt"")"),"#VALUE!")</f>
        <v>#VALUE!</v>
      </c>
      <c r="G8663" s="69"/>
    </row>
    <row r="8664" ht="22.5" customHeight="1">
      <c r="A8664" s="66"/>
      <c r="B8664" s="67" t="str">
        <f t="shared" si="16"/>
        <v>M: </v>
      </c>
      <c r="C8664" s="68"/>
      <c r="D8664" s="68">
        <v>46616.0</v>
      </c>
      <c r="E8664" s="66">
        <v>2.0</v>
      </c>
      <c r="F8664" s="66" t="str">
        <f>IFERROR(__xludf.DUMMYFUNCTION("GOOGLETRANSLATE(A8664,""en"",""pt"")"),"#VALUE!")</f>
        <v>#VALUE!</v>
      </c>
      <c r="G8664" s="69"/>
    </row>
    <row r="8665" ht="22.5" customHeight="1">
      <c r="A8665" s="66"/>
      <c r="B8665" s="67" t="str">
        <f t="shared" si="16"/>
        <v>M: </v>
      </c>
      <c r="C8665" s="68"/>
      <c r="D8665" s="68">
        <v>46616.0</v>
      </c>
      <c r="E8665" s="66">
        <v>3.0</v>
      </c>
      <c r="F8665" s="66" t="str">
        <f>IFERROR(__xludf.DUMMYFUNCTION("GOOGLETRANSLATE(A8665,""en"",""pt"")"),"#VALUE!")</f>
        <v>#VALUE!</v>
      </c>
      <c r="G8665" s="69"/>
    </row>
    <row r="8666" ht="22.5" customHeight="1">
      <c r="A8666" s="66"/>
      <c r="B8666" s="67" t="str">
        <f t="shared" si="16"/>
        <v>M: </v>
      </c>
      <c r="C8666" s="68"/>
      <c r="D8666" s="68">
        <v>46616.0</v>
      </c>
      <c r="E8666" s="66">
        <v>4.0</v>
      </c>
      <c r="F8666" s="66" t="str">
        <f>IFERROR(__xludf.DUMMYFUNCTION("GOOGLETRANSLATE(A8666,""en"",""pt"")"),"#VALUE!")</f>
        <v>#VALUE!</v>
      </c>
      <c r="G8666" s="69"/>
    </row>
    <row r="8667" ht="22.5" customHeight="1">
      <c r="A8667" s="66"/>
      <c r="B8667" s="67" t="str">
        <f t="shared" si="16"/>
        <v>M: </v>
      </c>
      <c r="C8667" s="68"/>
      <c r="D8667" s="68">
        <v>46616.0</v>
      </c>
      <c r="E8667" s="66">
        <v>5.0</v>
      </c>
      <c r="F8667" s="66" t="str">
        <f>IFERROR(__xludf.DUMMYFUNCTION("GOOGLETRANSLATE(A8667,""en"",""pt"")"),"#VALUE!")</f>
        <v>#VALUE!</v>
      </c>
      <c r="G8667" s="69"/>
    </row>
    <row r="8668" ht="22.5" customHeight="1">
      <c r="A8668" s="66"/>
      <c r="B8668" s="67" t="str">
        <f t="shared" si="16"/>
        <v>M: </v>
      </c>
      <c r="C8668" s="68"/>
      <c r="D8668" s="68">
        <v>46616.0</v>
      </c>
      <c r="E8668" s="66">
        <v>6.0</v>
      </c>
      <c r="F8668" s="66" t="str">
        <f>IFERROR(__xludf.DUMMYFUNCTION("GOOGLETRANSLATE(A8668,""en"",""pt"")"),"#VALUE!")</f>
        <v>#VALUE!</v>
      </c>
      <c r="G8668" s="69"/>
    </row>
    <row r="8669" ht="22.5" customHeight="1">
      <c r="A8669" s="66"/>
      <c r="B8669" s="67" t="str">
        <f t="shared" si="16"/>
        <v>M: </v>
      </c>
      <c r="C8669" s="68"/>
      <c r="D8669" s="68">
        <v>46616.0</v>
      </c>
      <c r="E8669" s="66">
        <v>7.0</v>
      </c>
      <c r="F8669" s="66" t="str">
        <f>IFERROR(__xludf.DUMMYFUNCTION("GOOGLETRANSLATE(A8669,""en"",""pt"")"),"#VALUE!")</f>
        <v>#VALUE!</v>
      </c>
      <c r="G8669" s="69"/>
    </row>
    <row r="8670" ht="22.5" customHeight="1">
      <c r="A8670" s="66"/>
      <c r="B8670" s="67" t="str">
        <f t="shared" si="16"/>
        <v>M: </v>
      </c>
      <c r="C8670" s="68"/>
      <c r="D8670" s="68">
        <v>46616.0</v>
      </c>
      <c r="E8670" s="66">
        <v>8.0</v>
      </c>
      <c r="F8670" s="66" t="str">
        <f>IFERROR(__xludf.DUMMYFUNCTION("GOOGLETRANSLATE(A8670,""en"",""pt"")"),"#VALUE!")</f>
        <v>#VALUE!</v>
      </c>
      <c r="G8670" s="69"/>
    </row>
    <row r="8671" ht="22.5" customHeight="1">
      <c r="A8671" s="66"/>
      <c r="B8671" s="67" t="str">
        <f t="shared" si="16"/>
        <v>M: </v>
      </c>
      <c r="C8671" s="68"/>
      <c r="D8671" s="68">
        <v>46616.0</v>
      </c>
      <c r="E8671" s="66">
        <v>9.0</v>
      </c>
      <c r="F8671" s="66" t="str">
        <f>IFERROR(__xludf.DUMMYFUNCTION("GOOGLETRANSLATE(A8671,""en"",""pt"")"),"#VALUE!")</f>
        <v>#VALUE!</v>
      </c>
      <c r="G8671" s="69"/>
    </row>
    <row r="8672" ht="22.5" customHeight="1">
      <c r="A8672" s="66"/>
      <c r="B8672" s="67" t="str">
        <f t="shared" si="16"/>
        <v>M: </v>
      </c>
      <c r="C8672" s="68"/>
      <c r="D8672" s="68">
        <v>46617.0</v>
      </c>
      <c r="E8672" s="66">
        <v>10.0</v>
      </c>
      <c r="F8672" s="66" t="str">
        <f>IFERROR(__xludf.DUMMYFUNCTION("GOOGLETRANSLATE(A8672,""en"",""pt"")"),"#VALUE!")</f>
        <v>#VALUE!</v>
      </c>
      <c r="G8672" s="69"/>
    </row>
    <row r="8673" ht="22.5" customHeight="1">
      <c r="A8673" s="66"/>
      <c r="B8673" s="67" t="str">
        <f t="shared" si="16"/>
        <v>M: </v>
      </c>
      <c r="C8673" s="68"/>
      <c r="D8673" s="68">
        <v>46617.0</v>
      </c>
      <c r="E8673" s="66">
        <v>1.0</v>
      </c>
      <c r="F8673" s="66" t="str">
        <f>IFERROR(__xludf.DUMMYFUNCTION("GOOGLETRANSLATE(A8673,""en"",""pt"")"),"#VALUE!")</f>
        <v>#VALUE!</v>
      </c>
      <c r="G8673" s="69"/>
    </row>
    <row r="8674" ht="22.5" customHeight="1">
      <c r="A8674" s="66"/>
      <c r="B8674" s="67" t="str">
        <f t="shared" si="16"/>
        <v>M: </v>
      </c>
      <c r="C8674" s="68"/>
      <c r="D8674" s="68">
        <v>46617.0</v>
      </c>
      <c r="E8674" s="66">
        <v>2.0</v>
      </c>
      <c r="F8674" s="66" t="str">
        <f>IFERROR(__xludf.DUMMYFUNCTION("GOOGLETRANSLATE(A8674,""en"",""pt"")"),"#VALUE!")</f>
        <v>#VALUE!</v>
      </c>
      <c r="G8674" s="69"/>
    </row>
    <row r="8675" ht="22.5" customHeight="1">
      <c r="A8675" s="66"/>
      <c r="B8675" s="67" t="str">
        <f t="shared" si="16"/>
        <v>M: </v>
      </c>
      <c r="C8675" s="68"/>
      <c r="D8675" s="68">
        <v>46617.0</v>
      </c>
      <c r="E8675" s="66">
        <v>3.0</v>
      </c>
      <c r="F8675" s="66" t="str">
        <f>IFERROR(__xludf.DUMMYFUNCTION("GOOGLETRANSLATE(A8675,""en"",""pt"")"),"#VALUE!")</f>
        <v>#VALUE!</v>
      </c>
      <c r="G8675" s="69"/>
    </row>
    <row r="8676" ht="22.5" customHeight="1">
      <c r="A8676" s="66"/>
      <c r="B8676" s="67" t="str">
        <f t="shared" si="16"/>
        <v>M: </v>
      </c>
      <c r="C8676" s="68"/>
      <c r="D8676" s="68">
        <v>46617.0</v>
      </c>
      <c r="E8676" s="66">
        <v>4.0</v>
      </c>
      <c r="F8676" s="66" t="str">
        <f>IFERROR(__xludf.DUMMYFUNCTION("GOOGLETRANSLATE(A8676,""en"",""pt"")"),"#VALUE!")</f>
        <v>#VALUE!</v>
      </c>
      <c r="G8676" s="69"/>
    </row>
    <row r="8677" ht="22.5" customHeight="1">
      <c r="A8677" s="66"/>
      <c r="B8677" s="67" t="str">
        <f t="shared" si="16"/>
        <v>M: </v>
      </c>
      <c r="C8677" s="68"/>
      <c r="D8677" s="68">
        <v>46617.0</v>
      </c>
      <c r="E8677" s="66">
        <v>5.0</v>
      </c>
      <c r="F8677" s="66" t="str">
        <f>IFERROR(__xludf.DUMMYFUNCTION("GOOGLETRANSLATE(A8677,""en"",""pt"")"),"#VALUE!")</f>
        <v>#VALUE!</v>
      </c>
      <c r="G8677" s="69"/>
    </row>
    <row r="8678" ht="22.5" customHeight="1">
      <c r="A8678" s="66"/>
      <c r="B8678" s="67" t="str">
        <f t="shared" si="16"/>
        <v>M: </v>
      </c>
      <c r="C8678" s="68"/>
      <c r="D8678" s="68">
        <v>46617.0</v>
      </c>
      <c r="E8678" s="66">
        <v>6.0</v>
      </c>
      <c r="F8678" s="66" t="str">
        <f>IFERROR(__xludf.DUMMYFUNCTION("GOOGLETRANSLATE(A8678,""en"",""pt"")"),"#VALUE!")</f>
        <v>#VALUE!</v>
      </c>
      <c r="G8678" s="69"/>
    </row>
    <row r="8679" ht="22.5" customHeight="1">
      <c r="A8679" s="66"/>
      <c r="B8679" s="67" t="str">
        <f t="shared" si="16"/>
        <v>M: </v>
      </c>
      <c r="C8679" s="68"/>
      <c r="D8679" s="68">
        <v>46617.0</v>
      </c>
      <c r="E8679" s="66">
        <v>7.0</v>
      </c>
      <c r="F8679" s="66" t="str">
        <f>IFERROR(__xludf.DUMMYFUNCTION("GOOGLETRANSLATE(A8679,""en"",""pt"")"),"#VALUE!")</f>
        <v>#VALUE!</v>
      </c>
      <c r="G8679" s="69"/>
    </row>
    <row r="8680" ht="22.5" customHeight="1">
      <c r="A8680" s="66"/>
      <c r="B8680" s="67" t="str">
        <f t="shared" si="16"/>
        <v>M: </v>
      </c>
      <c r="C8680" s="68"/>
      <c r="D8680" s="68">
        <v>46617.0</v>
      </c>
      <c r="E8680" s="66">
        <v>8.0</v>
      </c>
      <c r="F8680" s="66" t="str">
        <f>IFERROR(__xludf.DUMMYFUNCTION("GOOGLETRANSLATE(A8680,""en"",""pt"")"),"#VALUE!")</f>
        <v>#VALUE!</v>
      </c>
      <c r="G8680" s="69"/>
    </row>
    <row r="8681" ht="22.5" customHeight="1">
      <c r="A8681" s="66"/>
      <c r="B8681" s="67" t="str">
        <f t="shared" si="16"/>
        <v>M: </v>
      </c>
      <c r="C8681" s="68"/>
      <c r="D8681" s="68">
        <v>46617.0</v>
      </c>
      <c r="E8681" s="66">
        <v>9.0</v>
      </c>
      <c r="F8681" s="66" t="str">
        <f>IFERROR(__xludf.DUMMYFUNCTION("GOOGLETRANSLATE(A8681,""en"",""pt"")"),"#VALUE!")</f>
        <v>#VALUE!</v>
      </c>
      <c r="G8681" s="69"/>
    </row>
    <row r="8682" ht="22.5" customHeight="1">
      <c r="A8682" s="66"/>
      <c r="B8682" s="67" t="str">
        <f t="shared" si="16"/>
        <v>M: </v>
      </c>
      <c r="C8682" s="68"/>
      <c r="D8682" s="68">
        <v>46618.0</v>
      </c>
      <c r="E8682" s="66">
        <v>10.0</v>
      </c>
      <c r="F8682" s="66" t="str">
        <f>IFERROR(__xludf.DUMMYFUNCTION("GOOGLETRANSLATE(A8682,""en"",""pt"")"),"#VALUE!")</f>
        <v>#VALUE!</v>
      </c>
      <c r="G8682" s="69"/>
    </row>
    <row r="8683" ht="22.5" customHeight="1">
      <c r="A8683" s="66"/>
      <c r="B8683" s="67" t="str">
        <f t="shared" si="16"/>
        <v>M: </v>
      </c>
      <c r="C8683" s="68"/>
      <c r="D8683" s="68">
        <v>46618.0</v>
      </c>
      <c r="E8683" s="66">
        <v>1.0</v>
      </c>
      <c r="F8683" s="66" t="str">
        <f>IFERROR(__xludf.DUMMYFUNCTION("GOOGLETRANSLATE(A8683,""en"",""pt"")"),"#VALUE!")</f>
        <v>#VALUE!</v>
      </c>
      <c r="G8683" s="69"/>
    </row>
    <row r="8684" ht="22.5" customHeight="1">
      <c r="A8684" s="66"/>
      <c r="B8684" s="67" t="str">
        <f t="shared" si="16"/>
        <v>M: </v>
      </c>
      <c r="C8684" s="68"/>
      <c r="D8684" s="68">
        <v>46618.0</v>
      </c>
      <c r="E8684" s="66">
        <v>2.0</v>
      </c>
      <c r="F8684" s="66" t="str">
        <f>IFERROR(__xludf.DUMMYFUNCTION("GOOGLETRANSLATE(A8684,""en"",""pt"")"),"#VALUE!")</f>
        <v>#VALUE!</v>
      </c>
      <c r="G8684" s="69"/>
    </row>
    <row r="8685" ht="22.5" customHeight="1">
      <c r="A8685" s="66"/>
      <c r="B8685" s="67" t="str">
        <f t="shared" si="16"/>
        <v>M: </v>
      </c>
      <c r="C8685" s="68"/>
      <c r="D8685" s="68">
        <v>46618.0</v>
      </c>
      <c r="E8685" s="66">
        <v>3.0</v>
      </c>
      <c r="F8685" s="66" t="str">
        <f>IFERROR(__xludf.DUMMYFUNCTION("GOOGLETRANSLATE(A8685,""en"",""pt"")"),"#VALUE!")</f>
        <v>#VALUE!</v>
      </c>
      <c r="G8685" s="69"/>
    </row>
    <row r="8686" ht="22.5" customHeight="1">
      <c r="A8686" s="66"/>
      <c r="B8686" s="67" t="str">
        <f t="shared" si="16"/>
        <v>M: </v>
      </c>
      <c r="C8686" s="68"/>
      <c r="D8686" s="68">
        <v>46618.0</v>
      </c>
      <c r="E8686" s="66">
        <v>4.0</v>
      </c>
      <c r="F8686" s="66" t="str">
        <f>IFERROR(__xludf.DUMMYFUNCTION("GOOGLETRANSLATE(A8686,""en"",""pt"")"),"#VALUE!")</f>
        <v>#VALUE!</v>
      </c>
      <c r="G8686" s="69"/>
    </row>
    <row r="8687" ht="22.5" customHeight="1">
      <c r="A8687" s="66"/>
      <c r="B8687" s="67" t="str">
        <f t="shared" si="16"/>
        <v>M: </v>
      </c>
      <c r="C8687" s="68"/>
      <c r="D8687" s="68">
        <v>46618.0</v>
      </c>
      <c r="E8687" s="66">
        <v>5.0</v>
      </c>
      <c r="F8687" s="66" t="str">
        <f>IFERROR(__xludf.DUMMYFUNCTION("GOOGLETRANSLATE(A8687,""en"",""pt"")"),"#VALUE!")</f>
        <v>#VALUE!</v>
      </c>
      <c r="G8687" s="69"/>
    </row>
    <row r="8688" ht="22.5" customHeight="1">
      <c r="A8688" s="66"/>
      <c r="B8688" s="67" t="str">
        <f t="shared" si="16"/>
        <v>M: </v>
      </c>
      <c r="C8688" s="68"/>
      <c r="D8688" s="68">
        <v>46618.0</v>
      </c>
      <c r="E8688" s="66">
        <v>6.0</v>
      </c>
      <c r="F8688" s="66" t="str">
        <f>IFERROR(__xludf.DUMMYFUNCTION("GOOGLETRANSLATE(A8688,""en"",""pt"")"),"#VALUE!")</f>
        <v>#VALUE!</v>
      </c>
      <c r="G8688" s="69"/>
    </row>
    <row r="8689" ht="22.5" customHeight="1">
      <c r="A8689" s="66"/>
      <c r="B8689" s="67" t="str">
        <f t="shared" si="16"/>
        <v>M: </v>
      </c>
      <c r="C8689" s="68"/>
      <c r="D8689" s="68">
        <v>46618.0</v>
      </c>
      <c r="E8689" s="66">
        <v>7.0</v>
      </c>
      <c r="F8689" s="66" t="str">
        <f>IFERROR(__xludf.DUMMYFUNCTION("GOOGLETRANSLATE(A8689,""en"",""pt"")"),"#VALUE!")</f>
        <v>#VALUE!</v>
      </c>
      <c r="G8689" s="69"/>
    </row>
    <row r="8690" ht="22.5" customHeight="1">
      <c r="A8690" s="66"/>
      <c r="B8690" s="67" t="str">
        <f t="shared" si="16"/>
        <v>M: </v>
      </c>
      <c r="C8690" s="68"/>
      <c r="D8690" s="68">
        <v>46618.0</v>
      </c>
      <c r="E8690" s="66">
        <v>8.0</v>
      </c>
      <c r="F8690" s="66" t="str">
        <f>IFERROR(__xludf.DUMMYFUNCTION("GOOGLETRANSLATE(A8690,""en"",""pt"")"),"#VALUE!")</f>
        <v>#VALUE!</v>
      </c>
      <c r="G8690" s="69"/>
    </row>
    <row r="8691" ht="22.5" customHeight="1">
      <c r="A8691" s="66"/>
      <c r="B8691" s="67" t="str">
        <f t="shared" si="16"/>
        <v>M: </v>
      </c>
      <c r="C8691" s="68"/>
      <c r="D8691" s="68">
        <v>46618.0</v>
      </c>
      <c r="E8691" s="66">
        <v>9.0</v>
      </c>
      <c r="F8691" s="66" t="str">
        <f>IFERROR(__xludf.DUMMYFUNCTION("GOOGLETRANSLATE(A8691,""en"",""pt"")"),"#VALUE!")</f>
        <v>#VALUE!</v>
      </c>
      <c r="G8691" s="69"/>
    </row>
    <row r="8692" ht="22.5" customHeight="1">
      <c r="A8692" s="66"/>
      <c r="B8692" s="67" t="str">
        <f t="shared" si="16"/>
        <v>M: </v>
      </c>
      <c r="C8692" s="68"/>
      <c r="D8692" s="68">
        <v>46619.0</v>
      </c>
      <c r="E8692" s="66">
        <v>10.0</v>
      </c>
      <c r="F8692" s="66" t="str">
        <f>IFERROR(__xludf.DUMMYFUNCTION("GOOGLETRANSLATE(A8692,""en"",""pt"")"),"#VALUE!")</f>
        <v>#VALUE!</v>
      </c>
      <c r="G8692" s="69"/>
    </row>
    <row r="8693" ht="22.5" customHeight="1">
      <c r="A8693" s="66"/>
      <c r="B8693" s="67" t="str">
        <f t="shared" si="16"/>
        <v>M: </v>
      </c>
      <c r="C8693" s="68"/>
      <c r="D8693" s="68">
        <v>46619.0</v>
      </c>
      <c r="E8693" s="66">
        <v>1.0</v>
      </c>
      <c r="F8693" s="66" t="str">
        <f>IFERROR(__xludf.DUMMYFUNCTION("GOOGLETRANSLATE(A8693,""en"",""pt"")"),"#VALUE!")</f>
        <v>#VALUE!</v>
      </c>
      <c r="G8693" s="69"/>
    </row>
    <row r="8694" ht="22.5" customHeight="1">
      <c r="A8694" s="66"/>
      <c r="B8694" s="67" t="str">
        <f t="shared" si="16"/>
        <v>M: </v>
      </c>
      <c r="C8694" s="68"/>
      <c r="D8694" s="68">
        <v>46619.0</v>
      </c>
      <c r="E8694" s="66">
        <v>2.0</v>
      </c>
      <c r="F8694" s="66" t="str">
        <f>IFERROR(__xludf.DUMMYFUNCTION("GOOGLETRANSLATE(A8694,""en"",""pt"")"),"#VALUE!")</f>
        <v>#VALUE!</v>
      </c>
      <c r="G8694" s="69"/>
    </row>
    <row r="8695" ht="22.5" customHeight="1">
      <c r="A8695" s="66"/>
      <c r="B8695" s="67" t="str">
        <f t="shared" si="16"/>
        <v>M: </v>
      </c>
      <c r="C8695" s="68"/>
      <c r="D8695" s="68">
        <v>46619.0</v>
      </c>
      <c r="E8695" s="66">
        <v>3.0</v>
      </c>
      <c r="F8695" s="66" t="str">
        <f>IFERROR(__xludf.DUMMYFUNCTION("GOOGLETRANSLATE(A8695,""en"",""pt"")"),"#VALUE!")</f>
        <v>#VALUE!</v>
      </c>
      <c r="G8695" s="69"/>
    </row>
    <row r="8696" ht="22.5" customHeight="1">
      <c r="A8696" s="66"/>
      <c r="B8696" s="67" t="str">
        <f t="shared" si="16"/>
        <v>M: </v>
      </c>
      <c r="C8696" s="68"/>
      <c r="D8696" s="68">
        <v>46619.0</v>
      </c>
      <c r="E8696" s="66">
        <v>4.0</v>
      </c>
      <c r="F8696" s="66" t="str">
        <f>IFERROR(__xludf.DUMMYFUNCTION("GOOGLETRANSLATE(A8696,""en"",""pt"")"),"#VALUE!")</f>
        <v>#VALUE!</v>
      </c>
      <c r="G8696" s="69"/>
    </row>
    <row r="8697" ht="22.5" customHeight="1">
      <c r="A8697" s="66"/>
      <c r="B8697" s="67" t="str">
        <f t="shared" si="16"/>
        <v>M: </v>
      </c>
      <c r="C8697" s="68"/>
      <c r="D8697" s="68">
        <v>46619.0</v>
      </c>
      <c r="E8697" s="66">
        <v>5.0</v>
      </c>
      <c r="F8697" s="66" t="str">
        <f>IFERROR(__xludf.DUMMYFUNCTION("GOOGLETRANSLATE(A8697,""en"",""pt"")"),"#VALUE!")</f>
        <v>#VALUE!</v>
      </c>
      <c r="G8697" s="69"/>
    </row>
    <row r="8698" ht="22.5" customHeight="1">
      <c r="A8698" s="66"/>
      <c r="B8698" s="67" t="str">
        <f t="shared" si="16"/>
        <v>M: </v>
      </c>
      <c r="C8698" s="68"/>
      <c r="D8698" s="68">
        <v>46619.0</v>
      </c>
      <c r="E8698" s="66">
        <v>6.0</v>
      </c>
      <c r="F8698" s="66" t="str">
        <f>IFERROR(__xludf.DUMMYFUNCTION("GOOGLETRANSLATE(A8698,""en"",""pt"")"),"#VALUE!")</f>
        <v>#VALUE!</v>
      </c>
      <c r="G8698" s="69"/>
    </row>
    <row r="8699" ht="22.5" customHeight="1">
      <c r="A8699" s="66"/>
      <c r="B8699" s="67" t="str">
        <f t="shared" si="16"/>
        <v>M: </v>
      </c>
      <c r="C8699" s="68"/>
      <c r="D8699" s="68">
        <v>46619.0</v>
      </c>
      <c r="E8699" s="66">
        <v>7.0</v>
      </c>
      <c r="F8699" s="66" t="str">
        <f>IFERROR(__xludf.DUMMYFUNCTION("GOOGLETRANSLATE(A8699,""en"",""pt"")"),"#VALUE!")</f>
        <v>#VALUE!</v>
      </c>
      <c r="G8699" s="69"/>
    </row>
    <row r="8700" ht="22.5" customHeight="1">
      <c r="A8700" s="66"/>
      <c r="B8700" s="67" t="str">
        <f t="shared" si="16"/>
        <v>M: </v>
      </c>
      <c r="C8700" s="68"/>
      <c r="D8700" s="68">
        <v>46619.0</v>
      </c>
      <c r="E8700" s="66">
        <v>8.0</v>
      </c>
      <c r="F8700" s="66" t="str">
        <f>IFERROR(__xludf.DUMMYFUNCTION("GOOGLETRANSLATE(A8700,""en"",""pt"")"),"#VALUE!")</f>
        <v>#VALUE!</v>
      </c>
      <c r="G8700" s="69"/>
    </row>
    <row r="8701" ht="22.5" customHeight="1">
      <c r="A8701" s="66"/>
      <c r="B8701" s="67" t="str">
        <f t="shared" si="16"/>
        <v>M: </v>
      </c>
      <c r="C8701" s="68"/>
      <c r="D8701" s="68">
        <v>46619.0</v>
      </c>
      <c r="E8701" s="66">
        <v>9.0</v>
      </c>
      <c r="F8701" s="66" t="str">
        <f>IFERROR(__xludf.DUMMYFUNCTION("GOOGLETRANSLATE(A8701,""en"",""pt"")"),"#VALUE!")</f>
        <v>#VALUE!</v>
      </c>
      <c r="G8701" s="69"/>
    </row>
    <row r="8702" ht="22.5" customHeight="1">
      <c r="A8702" s="66"/>
      <c r="B8702" s="67" t="str">
        <f t="shared" si="16"/>
        <v>M: </v>
      </c>
      <c r="C8702" s="68"/>
      <c r="D8702" s="68">
        <v>46620.0</v>
      </c>
      <c r="E8702" s="66">
        <v>10.0</v>
      </c>
      <c r="F8702" s="66" t="str">
        <f>IFERROR(__xludf.DUMMYFUNCTION("GOOGLETRANSLATE(A8702,""en"",""pt"")"),"#VALUE!")</f>
        <v>#VALUE!</v>
      </c>
      <c r="G8702" s="69"/>
    </row>
    <row r="8703" ht="22.5" customHeight="1">
      <c r="A8703" s="66"/>
      <c r="B8703" s="67" t="str">
        <f t="shared" si="16"/>
        <v>M: </v>
      </c>
      <c r="C8703" s="68"/>
      <c r="D8703" s="68">
        <v>46620.0</v>
      </c>
      <c r="E8703" s="66">
        <v>1.0</v>
      </c>
      <c r="F8703" s="66" t="str">
        <f>IFERROR(__xludf.DUMMYFUNCTION("GOOGLETRANSLATE(A8703,""en"",""pt"")"),"#VALUE!")</f>
        <v>#VALUE!</v>
      </c>
      <c r="G8703" s="69"/>
    </row>
    <row r="8704" ht="22.5" customHeight="1">
      <c r="A8704" s="66"/>
      <c r="B8704" s="67" t="str">
        <f t="shared" si="16"/>
        <v>M: </v>
      </c>
      <c r="C8704" s="68"/>
      <c r="D8704" s="68">
        <v>46620.0</v>
      </c>
      <c r="E8704" s="66">
        <v>2.0</v>
      </c>
      <c r="F8704" s="66" t="str">
        <f>IFERROR(__xludf.DUMMYFUNCTION("GOOGLETRANSLATE(A8704,""en"",""pt"")"),"#VALUE!")</f>
        <v>#VALUE!</v>
      </c>
      <c r="G8704" s="69"/>
    </row>
    <row r="8705" ht="22.5" customHeight="1">
      <c r="A8705" s="66"/>
      <c r="B8705" s="67" t="str">
        <f t="shared" si="16"/>
        <v>M: </v>
      </c>
      <c r="C8705" s="68"/>
      <c r="D8705" s="68">
        <v>46620.0</v>
      </c>
      <c r="E8705" s="66">
        <v>3.0</v>
      </c>
      <c r="F8705" s="66" t="str">
        <f>IFERROR(__xludf.DUMMYFUNCTION("GOOGLETRANSLATE(A8705,""en"",""pt"")"),"#VALUE!")</f>
        <v>#VALUE!</v>
      </c>
      <c r="G8705" s="69"/>
    </row>
    <row r="8706" ht="22.5" customHeight="1">
      <c r="A8706" s="66"/>
      <c r="B8706" s="67" t="str">
        <f t="shared" si="16"/>
        <v>M: </v>
      </c>
      <c r="C8706" s="68"/>
      <c r="D8706" s="68">
        <v>46620.0</v>
      </c>
      <c r="E8706" s="66">
        <v>4.0</v>
      </c>
      <c r="F8706" s="66" t="str">
        <f>IFERROR(__xludf.DUMMYFUNCTION("GOOGLETRANSLATE(A8706,""en"",""pt"")"),"#VALUE!")</f>
        <v>#VALUE!</v>
      </c>
      <c r="G8706" s="69"/>
    </row>
    <row r="8707" ht="22.5" customHeight="1">
      <c r="A8707" s="66"/>
      <c r="B8707" s="67" t="str">
        <f t="shared" si="16"/>
        <v>M: </v>
      </c>
      <c r="C8707" s="68"/>
      <c r="D8707" s="68">
        <v>46620.0</v>
      </c>
      <c r="E8707" s="66">
        <v>5.0</v>
      </c>
      <c r="F8707" s="66" t="str">
        <f>IFERROR(__xludf.DUMMYFUNCTION("GOOGLETRANSLATE(A8707,""en"",""pt"")"),"#VALUE!")</f>
        <v>#VALUE!</v>
      </c>
      <c r="G8707" s="69"/>
    </row>
    <row r="8708" ht="22.5" customHeight="1">
      <c r="A8708" s="66"/>
      <c r="B8708" s="67" t="str">
        <f t="shared" si="16"/>
        <v>M: </v>
      </c>
      <c r="C8708" s="68"/>
      <c r="D8708" s="68">
        <v>46620.0</v>
      </c>
      <c r="E8708" s="66">
        <v>6.0</v>
      </c>
      <c r="F8708" s="66" t="str">
        <f>IFERROR(__xludf.DUMMYFUNCTION("GOOGLETRANSLATE(A8708,""en"",""pt"")"),"#VALUE!")</f>
        <v>#VALUE!</v>
      </c>
      <c r="G8708" s="69"/>
    </row>
    <row r="8709" ht="22.5" customHeight="1">
      <c r="A8709" s="66"/>
      <c r="B8709" s="67" t="str">
        <f t="shared" si="16"/>
        <v>M: </v>
      </c>
      <c r="C8709" s="68"/>
      <c r="D8709" s="68">
        <v>46620.0</v>
      </c>
      <c r="E8709" s="66">
        <v>7.0</v>
      </c>
      <c r="F8709" s="66" t="str">
        <f>IFERROR(__xludf.DUMMYFUNCTION("GOOGLETRANSLATE(A8709,""en"",""pt"")"),"#VALUE!")</f>
        <v>#VALUE!</v>
      </c>
      <c r="G8709" s="69"/>
    </row>
    <row r="8710" ht="22.5" customHeight="1">
      <c r="A8710" s="66"/>
      <c r="B8710" s="67" t="str">
        <f t="shared" si="16"/>
        <v>M: </v>
      </c>
      <c r="C8710" s="68"/>
      <c r="D8710" s="68">
        <v>46620.0</v>
      </c>
      <c r="E8710" s="66">
        <v>8.0</v>
      </c>
      <c r="F8710" s="66" t="str">
        <f>IFERROR(__xludf.DUMMYFUNCTION("GOOGLETRANSLATE(A8710,""en"",""pt"")"),"#VALUE!")</f>
        <v>#VALUE!</v>
      </c>
      <c r="G8710" s="69"/>
    </row>
    <row r="8711" ht="22.5" customHeight="1">
      <c r="A8711" s="66"/>
      <c r="B8711" s="67" t="str">
        <f t="shared" si="16"/>
        <v>M: </v>
      </c>
      <c r="C8711" s="68"/>
      <c r="D8711" s="68">
        <v>46620.0</v>
      </c>
      <c r="E8711" s="66">
        <v>9.0</v>
      </c>
      <c r="F8711" s="66" t="str">
        <f>IFERROR(__xludf.DUMMYFUNCTION("GOOGLETRANSLATE(A8711,""en"",""pt"")"),"#VALUE!")</f>
        <v>#VALUE!</v>
      </c>
      <c r="G8711" s="69"/>
    </row>
    <row r="8712" ht="22.5" customHeight="1">
      <c r="A8712" s="66"/>
      <c r="B8712" s="67" t="str">
        <f t="shared" si="16"/>
        <v>M: </v>
      </c>
      <c r="C8712" s="68"/>
      <c r="D8712" s="68">
        <v>46621.0</v>
      </c>
      <c r="E8712" s="66">
        <v>10.0</v>
      </c>
      <c r="F8712" s="66" t="str">
        <f>IFERROR(__xludf.DUMMYFUNCTION("GOOGLETRANSLATE(A8712,""en"",""pt"")"),"#VALUE!")</f>
        <v>#VALUE!</v>
      </c>
      <c r="G8712" s="69"/>
    </row>
    <row r="8713" ht="22.5" customHeight="1">
      <c r="A8713" s="66"/>
      <c r="B8713" s="67" t="str">
        <f t="shared" si="16"/>
        <v>M: </v>
      </c>
      <c r="C8713" s="68"/>
      <c r="D8713" s="68">
        <v>46621.0</v>
      </c>
      <c r="E8713" s="66">
        <v>1.0</v>
      </c>
      <c r="F8713" s="66" t="str">
        <f>IFERROR(__xludf.DUMMYFUNCTION("GOOGLETRANSLATE(A8713,""en"",""pt"")"),"#VALUE!")</f>
        <v>#VALUE!</v>
      </c>
      <c r="G8713" s="69"/>
    </row>
    <row r="8714" ht="22.5" customHeight="1">
      <c r="A8714" s="66"/>
      <c r="B8714" s="67" t="str">
        <f t="shared" si="16"/>
        <v>M: </v>
      </c>
      <c r="C8714" s="68"/>
      <c r="D8714" s="68">
        <v>46621.0</v>
      </c>
      <c r="E8714" s="66">
        <v>2.0</v>
      </c>
      <c r="F8714" s="66" t="str">
        <f>IFERROR(__xludf.DUMMYFUNCTION("GOOGLETRANSLATE(A8714,""en"",""pt"")"),"#VALUE!")</f>
        <v>#VALUE!</v>
      </c>
      <c r="G8714" s="69"/>
    </row>
    <row r="8715" ht="22.5" customHeight="1">
      <c r="A8715" s="66"/>
      <c r="B8715" s="67" t="str">
        <f t="shared" si="16"/>
        <v>M: </v>
      </c>
      <c r="C8715" s="68"/>
      <c r="D8715" s="68">
        <v>46621.0</v>
      </c>
      <c r="E8715" s="66">
        <v>3.0</v>
      </c>
      <c r="F8715" s="66" t="str">
        <f>IFERROR(__xludf.DUMMYFUNCTION("GOOGLETRANSLATE(A8715,""en"",""pt"")"),"#VALUE!")</f>
        <v>#VALUE!</v>
      </c>
      <c r="G8715" s="69"/>
    </row>
    <row r="8716" ht="22.5" customHeight="1">
      <c r="A8716" s="66"/>
      <c r="B8716" s="67" t="str">
        <f t="shared" si="16"/>
        <v>M: </v>
      </c>
      <c r="C8716" s="68"/>
      <c r="D8716" s="68">
        <v>46621.0</v>
      </c>
      <c r="E8716" s="66">
        <v>4.0</v>
      </c>
      <c r="F8716" s="66" t="str">
        <f>IFERROR(__xludf.DUMMYFUNCTION("GOOGLETRANSLATE(A8716,""en"",""pt"")"),"#VALUE!")</f>
        <v>#VALUE!</v>
      </c>
      <c r="G8716" s="69"/>
    </row>
    <row r="8717" ht="22.5" customHeight="1">
      <c r="A8717" s="66"/>
      <c r="B8717" s="67" t="str">
        <f t="shared" si="16"/>
        <v>M: </v>
      </c>
      <c r="C8717" s="68"/>
      <c r="D8717" s="68">
        <v>46621.0</v>
      </c>
      <c r="E8717" s="66">
        <v>5.0</v>
      </c>
      <c r="F8717" s="66" t="str">
        <f>IFERROR(__xludf.DUMMYFUNCTION("GOOGLETRANSLATE(A8717,""en"",""pt"")"),"#VALUE!")</f>
        <v>#VALUE!</v>
      </c>
      <c r="G8717" s="69"/>
    </row>
    <row r="8718" ht="22.5" customHeight="1">
      <c r="A8718" s="66"/>
      <c r="B8718" s="67" t="str">
        <f t="shared" si="16"/>
        <v>M: </v>
      </c>
      <c r="C8718" s="68"/>
      <c r="D8718" s="68">
        <v>46621.0</v>
      </c>
      <c r="E8718" s="66">
        <v>6.0</v>
      </c>
      <c r="F8718" s="66" t="str">
        <f>IFERROR(__xludf.DUMMYFUNCTION("GOOGLETRANSLATE(A8718,""en"",""pt"")"),"#VALUE!")</f>
        <v>#VALUE!</v>
      </c>
      <c r="G8718" s="69"/>
    </row>
    <row r="8719" ht="22.5" customHeight="1">
      <c r="A8719" s="66"/>
      <c r="B8719" s="67" t="str">
        <f t="shared" si="16"/>
        <v>M: </v>
      </c>
      <c r="C8719" s="68"/>
      <c r="D8719" s="68">
        <v>46621.0</v>
      </c>
      <c r="E8719" s="66">
        <v>7.0</v>
      </c>
      <c r="F8719" s="66" t="str">
        <f>IFERROR(__xludf.DUMMYFUNCTION("GOOGLETRANSLATE(A8719,""en"",""pt"")"),"#VALUE!")</f>
        <v>#VALUE!</v>
      </c>
      <c r="G8719" s="69"/>
    </row>
    <row r="8720" ht="22.5" customHeight="1">
      <c r="A8720" s="66"/>
      <c r="B8720" s="67" t="str">
        <f t="shared" si="16"/>
        <v>M: </v>
      </c>
      <c r="C8720" s="68"/>
      <c r="D8720" s="68">
        <v>46621.0</v>
      </c>
      <c r="E8720" s="66">
        <v>8.0</v>
      </c>
      <c r="F8720" s="66" t="str">
        <f>IFERROR(__xludf.DUMMYFUNCTION("GOOGLETRANSLATE(A8720,""en"",""pt"")"),"#VALUE!")</f>
        <v>#VALUE!</v>
      </c>
      <c r="G8720" s="69"/>
    </row>
    <row r="8721" ht="22.5" customHeight="1">
      <c r="A8721" s="66"/>
      <c r="B8721" s="67" t="str">
        <f t="shared" si="16"/>
        <v>M: </v>
      </c>
      <c r="C8721" s="68"/>
      <c r="D8721" s="68">
        <v>46621.0</v>
      </c>
      <c r="E8721" s="66">
        <v>9.0</v>
      </c>
      <c r="F8721" s="66" t="str">
        <f>IFERROR(__xludf.DUMMYFUNCTION("GOOGLETRANSLATE(A8721,""en"",""pt"")"),"#VALUE!")</f>
        <v>#VALUE!</v>
      </c>
      <c r="G8721" s="69"/>
    </row>
    <row r="8722" ht="22.5" customHeight="1">
      <c r="A8722" s="66"/>
      <c r="B8722" s="67" t="str">
        <f t="shared" si="16"/>
        <v>M: </v>
      </c>
      <c r="C8722" s="68"/>
      <c r="D8722" s="68">
        <v>46622.0</v>
      </c>
      <c r="E8722" s="66">
        <v>10.0</v>
      </c>
      <c r="F8722" s="66" t="str">
        <f>IFERROR(__xludf.DUMMYFUNCTION("GOOGLETRANSLATE(A8722,""en"",""pt"")"),"#VALUE!")</f>
        <v>#VALUE!</v>
      </c>
      <c r="G8722" s="69"/>
    </row>
    <row r="8723" ht="22.5" customHeight="1">
      <c r="A8723" s="66"/>
      <c r="B8723" s="67" t="str">
        <f t="shared" si="16"/>
        <v>M: </v>
      </c>
      <c r="C8723" s="68"/>
      <c r="D8723" s="68">
        <v>46622.0</v>
      </c>
      <c r="E8723" s="66">
        <v>1.0</v>
      </c>
      <c r="F8723" s="66" t="str">
        <f>IFERROR(__xludf.DUMMYFUNCTION("GOOGLETRANSLATE(A8723,""en"",""pt"")"),"#VALUE!")</f>
        <v>#VALUE!</v>
      </c>
      <c r="G8723" s="69"/>
    </row>
    <row r="8724" ht="22.5" customHeight="1">
      <c r="A8724" s="66"/>
      <c r="B8724" s="67" t="str">
        <f t="shared" si="16"/>
        <v>M: </v>
      </c>
      <c r="C8724" s="68"/>
      <c r="D8724" s="68">
        <v>46622.0</v>
      </c>
      <c r="E8724" s="66">
        <v>2.0</v>
      </c>
      <c r="F8724" s="66" t="str">
        <f>IFERROR(__xludf.DUMMYFUNCTION("GOOGLETRANSLATE(A8724,""en"",""pt"")"),"#VALUE!")</f>
        <v>#VALUE!</v>
      </c>
      <c r="G8724" s="69"/>
    </row>
    <row r="8725" ht="22.5" customHeight="1">
      <c r="A8725" s="66"/>
      <c r="B8725" s="67" t="str">
        <f t="shared" si="16"/>
        <v>M: </v>
      </c>
      <c r="C8725" s="68"/>
      <c r="D8725" s="68">
        <v>46622.0</v>
      </c>
      <c r="E8725" s="66">
        <v>3.0</v>
      </c>
      <c r="F8725" s="66" t="str">
        <f>IFERROR(__xludf.DUMMYFUNCTION("GOOGLETRANSLATE(A8725,""en"",""pt"")"),"#VALUE!")</f>
        <v>#VALUE!</v>
      </c>
      <c r="G8725" s="69"/>
    </row>
    <row r="8726" ht="22.5" customHeight="1">
      <c r="A8726" s="66"/>
      <c r="B8726" s="67" t="str">
        <f t="shared" si="16"/>
        <v>M: </v>
      </c>
      <c r="C8726" s="68"/>
      <c r="D8726" s="68">
        <v>46622.0</v>
      </c>
      <c r="E8726" s="66">
        <v>4.0</v>
      </c>
      <c r="F8726" s="66" t="str">
        <f>IFERROR(__xludf.DUMMYFUNCTION("GOOGLETRANSLATE(A8726,""en"",""pt"")"),"#VALUE!")</f>
        <v>#VALUE!</v>
      </c>
      <c r="G8726" s="69"/>
    </row>
    <row r="8727" ht="22.5" customHeight="1">
      <c r="A8727" s="66"/>
      <c r="B8727" s="67" t="str">
        <f t="shared" si="16"/>
        <v>M: </v>
      </c>
      <c r="C8727" s="68"/>
      <c r="D8727" s="68">
        <v>46622.0</v>
      </c>
      <c r="E8727" s="66">
        <v>5.0</v>
      </c>
      <c r="F8727" s="66" t="str">
        <f>IFERROR(__xludf.DUMMYFUNCTION("GOOGLETRANSLATE(A8727,""en"",""pt"")"),"#VALUE!")</f>
        <v>#VALUE!</v>
      </c>
      <c r="G8727" s="69"/>
    </row>
    <row r="8728" ht="22.5" customHeight="1">
      <c r="A8728" s="66"/>
      <c r="B8728" s="67" t="str">
        <f t="shared" si="16"/>
        <v>M: </v>
      </c>
      <c r="C8728" s="68"/>
      <c r="D8728" s="68">
        <v>46622.0</v>
      </c>
      <c r="E8728" s="66">
        <v>6.0</v>
      </c>
      <c r="F8728" s="66" t="str">
        <f>IFERROR(__xludf.DUMMYFUNCTION("GOOGLETRANSLATE(A8728,""en"",""pt"")"),"#VALUE!")</f>
        <v>#VALUE!</v>
      </c>
      <c r="G8728" s="69"/>
    </row>
    <row r="8729" ht="22.5" customHeight="1">
      <c r="A8729" s="66"/>
      <c r="B8729" s="67" t="str">
        <f t="shared" si="16"/>
        <v>M: </v>
      </c>
      <c r="C8729" s="68"/>
      <c r="D8729" s="68">
        <v>46622.0</v>
      </c>
      <c r="E8729" s="66">
        <v>7.0</v>
      </c>
      <c r="F8729" s="66" t="str">
        <f>IFERROR(__xludf.DUMMYFUNCTION("GOOGLETRANSLATE(A8729,""en"",""pt"")"),"#VALUE!")</f>
        <v>#VALUE!</v>
      </c>
      <c r="G8729" s="69"/>
    </row>
    <row r="8730" ht="22.5" customHeight="1">
      <c r="A8730" s="66"/>
      <c r="B8730" s="67" t="str">
        <f t="shared" si="16"/>
        <v>M: </v>
      </c>
      <c r="C8730" s="68"/>
      <c r="D8730" s="68">
        <v>46622.0</v>
      </c>
      <c r="E8730" s="66">
        <v>8.0</v>
      </c>
      <c r="F8730" s="66" t="str">
        <f>IFERROR(__xludf.DUMMYFUNCTION("GOOGLETRANSLATE(A8730,""en"",""pt"")"),"#VALUE!")</f>
        <v>#VALUE!</v>
      </c>
      <c r="G8730" s="69"/>
    </row>
    <row r="8731" ht="22.5" customHeight="1">
      <c r="A8731" s="66"/>
      <c r="B8731" s="67" t="str">
        <f t="shared" si="16"/>
        <v>M: </v>
      </c>
      <c r="C8731" s="68"/>
      <c r="D8731" s="68">
        <v>46622.0</v>
      </c>
      <c r="E8731" s="66">
        <v>9.0</v>
      </c>
      <c r="F8731" s="66" t="str">
        <f>IFERROR(__xludf.DUMMYFUNCTION("GOOGLETRANSLATE(A8731,""en"",""pt"")"),"#VALUE!")</f>
        <v>#VALUE!</v>
      </c>
      <c r="G8731" s="69"/>
    </row>
    <row r="8732" ht="22.5" customHeight="1">
      <c r="A8732" s="66"/>
      <c r="B8732" s="67" t="str">
        <f t="shared" si="16"/>
        <v>M: </v>
      </c>
      <c r="C8732" s="68"/>
      <c r="D8732" s="68">
        <v>46623.0</v>
      </c>
      <c r="E8732" s="66">
        <v>10.0</v>
      </c>
      <c r="F8732" s="66" t="str">
        <f>IFERROR(__xludf.DUMMYFUNCTION("GOOGLETRANSLATE(A8732,""en"",""pt"")"),"#VALUE!")</f>
        <v>#VALUE!</v>
      </c>
      <c r="G8732" s="69"/>
    </row>
    <row r="8733" ht="22.5" customHeight="1">
      <c r="A8733" s="66"/>
      <c r="B8733" s="67" t="str">
        <f t="shared" si="16"/>
        <v>M: </v>
      </c>
      <c r="C8733" s="68"/>
      <c r="D8733" s="68">
        <v>46623.0</v>
      </c>
      <c r="E8733" s="66">
        <v>1.0</v>
      </c>
      <c r="F8733" s="66" t="str">
        <f>IFERROR(__xludf.DUMMYFUNCTION("GOOGLETRANSLATE(A8733,""en"",""pt"")"),"#VALUE!")</f>
        <v>#VALUE!</v>
      </c>
      <c r="G8733" s="69"/>
    </row>
    <row r="8734" ht="22.5" customHeight="1">
      <c r="A8734" s="66"/>
      <c r="B8734" s="67" t="str">
        <f t="shared" si="16"/>
        <v>M: </v>
      </c>
      <c r="C8734" s="68"/>
      <c r="D8734" s="68">
        <v>46623.0</v>
      </c>
      <c r="E8734" s="66">
        <v>2.0</v>
      </c>
      <c r="F8734" s="66" t="str">
        <f>IFERROR(__xludf.DUMMYFUNCTION("GOOGLETRANSLATE(A8734,""en"",""pt"")"),"#VALUE!")</f>
        <v>#VALUE!</v>
      </c>
      <c r="G8734" s="69"/>
    </row>
    <row r="8735" ht="22.5" customHeight="1">
      <c r="A8735" s="66"/>
      <c r="B8735" s="67" t="str">
        <f t="shared" si="16"/>
        <v>M: </v>
      </c>
      <c r="C8735" s="68"/>
      <c r="D8735" s="68">
        <v>46623.0</v>
      </c>
      <c r="E8735" s="66">
        <v>3.0</v>
      </c>
      <c r="F8735" s="66" t="str">
        <f>IFERROR(__xludf.DUMMYFUNCTION("GOOGLETRANSLATE(A8735,""en"",""pt"")"),"#VALUE!")</f>
        <v>#VALUE!</v>
      </c>
      <c r="G8735" s="69"/>
    </row>
    <row r="8736" ht="22.5" customHeight="1">
      <c r="A8736" s="66"/>
      <c r="B8736" s="67" t="str">
        <f t="shared" si="16"/>
        <v>M: </v>
      </c>
      <c r="C8736" s="68"/>
      <c r="D8736" s="68">
        <v>46623.0</v>
      </c>
      <c r="E8736" s="66">
        <v>4.0</v>
      </c>
      <c r="F8736" s="66" t="str">
        <f>IFERROR(__xludf.DUMMYFUNCTION("GOOGLETRANSLATE(A8736,""en"",""pt"")"),"#VALUE!")</f>
        <v>#VALUE!</v>
      </c>
      <c r="G8736" s="69"/>
    </row>
    <row r="8737" ht="22.5" customHeight="1">
      <c r="A8737" s="66"/>
      <c r="B8737" s="67" t="str">
        <f t="shared" si="16"/>
        <v>M: </v>
      </c>
      <c r="C8737" s="68"/>
      <c r="D8737" s="68">
        <v>46623.0</v>
      </c>
      <c r="E8737" s="66">
        <v>5.0</v>
      </c>
      <c r="F8737" s="66" t="str">
        <f>IFERROR(__xludf.DUMMYFUNCTION("GOOGLETRANSLATE(A8737,""en"",""pt"")"),"#VALUE!")</f>
        <v>#VALUE!</v>
      </c>
      <c r="G8737" s="69"/>
    </row>
    <row r="8738" ht="22.5" customHeight="1">
      <c r="A8738" s="66"/>
      <c r="B8738" s="67" t="str">
        <f t="shared" si="16"/>
        <v>M: </v>
      </c>
      <c r="C8738" s="68"/>
      <c r="D8738" s="68">
        <v>46623.0</v>
      </c>
      <c r="E8738" s="66">
        <v>6.0</v>
      </c>
      <c r="F8738" s="66" t="str">
        <f>IFERROR(__xludf.DUMMYFUNCTION("GOOGLETRANSLATE(A8738,""en"",""pt"")"),"#VALUE!")</f>
        <v>#VALUE!</v>
      </c>
      <c r="G8738" s="69"/>
    </row>
    <row r="8739" ht="22.5" customHeight="1">
      <c r="A8739" s="66"/>
      <c r="B8739" s="67" t="str">
        <f t="shared" si="16"/>
        <v>M: </v>
      </c>
      <c r="C8739" s="68"/>
      <c r="D8739" s="68">
        <v>46623.0</v>
      </c>
      <c r="E8739" s="66">
        <v>7.0</v>
      </c>
      <c r="F8739" s="66" t="str">
        <f>IFERROR(__xludf.DUMMYFUNCTION("GOOGLETRANSLATE(A8739,""en"",""pt"")"),"#VALUE!")</f>
        <v>#VALUE!</v>
      </c>
      <c r="G8739" s="69"/>
    </row>
    <row r="8740" ht="22.5" customHeight="1">
      <c r="A8740" s="66"/>
      <c r="B8740" s="67" t="str">
        <f t="shared" si="16"/>
        <v>M: </v>
      </c>
      <c r="C8740" s="68"/>
      <c r="D8740" s="68">
        <v>46623.0</v>
      </c>
      <c r="E8740" s="66">
        <v>8.0</v>
      </c>
      <c r="F8740" s="66" t="str">
        <f>IFERROR(__xludf.DUMMYFUNCTION("GOOGLETRANSLATE(A8740,""en"",""pt"")"),"#VALUE!")</f>
        <v>#VALUE!</v>
      </c>
      <c r="G8740" s="69"/>
    </row>
    <row r="8741" ht="22.5" customHeight="1">
      <c r="A8741" s="66"/>
      <c r="B8741" s="67" t="str">
        <f t="shared" si="16"/>
        <v>M: </v>
      </c>
      <c r="C8741" s="68"/>
      <c r="D8741" s="68">
        <v>46623.0</v>
      </c>
      <c r="E8741" s="66">
        <v>9.0</v>
      </c>
      <c r="F8741" s="66" t="str">
        <f>IFERROR(__xludf.DUMMYFUNCTION("GOOGLETRANSLATE(A8741,""en"",""pt"")"),"#VALUE!")</f>
        <v>#VALUE!</v>
      </c>
      <c r="G8741" s="69"/>
    </row>
    <row r="8742" ht="22.5" customHeight="1">
      <c r="A8742" s="66"/>
      <c r="B8742" s="67" t="str">
        <f t="shared" si="16"/>
        <v>M: </v>
      </c>
      <c r="C8742" s="68"/>
      <c r="D8742" s="68">
        <v>46624.0</v>
      </c>
      <c r="E8742" s="66">
        <v>10.0</v>
      </c>
      <c r="F8742" s="66" t="str">
        <f>IFERROR(__xludf.DUMMYFUNCTION("GOOGLETRANSLATE(A8742,""en"",""pt"")"),"#VALUE!")</f>
        <v>#VALUE!</v>
      </c>
      <c r="G8742" s="69"/>
    </row>
    <row r="8743" ht="22.5" customHeight="1">
      <c r="A8743" s="66"/>
      <c r="B8743" s="67" t="str">
        <f t="shared" si="16"/>
        <v>M: </v>
      </c>
      <c r="C8743" s="68"/>
      <c r="D8743" s="68">
        <v>46624.0</v>
      </c>
      <c r="E8743" s="66">
        <v>1.0</v>
      </c>
      <c r="F8743" s="66" t="str">
        <f>IFERROR(__xludf.DUMMYFUNCTION("GOOGLETRANSLATE(A8743,""en"",""pt"")"),"#VALUE!")</f>
        <v>#VALUE!</v>
      </c>
      <c r="G8743" s="69"/>
    </row>
    <row r="8744" ht="22.5" customHeight="1">
      <c r="A8744" s="66"/>
      <c r="B8744" s="67" t="str">
        <f t="shared" si="16"/>
        <v>M: </v>
      </c>
      <c r="C8744" s="68"/>
      <c r="D8744" s="68">
        <v>46624.0</v>
      </c>
      <c r="E8744" s="66">
        <v>2.0</v>
      </c>
      <c r="F8744" s="66" t="str">
        <f>IFERROR(__xludf.DUMMYFUNCTION("GOOGLETRANSLATE(A8744,""en"",""pt"")"),"#VALUE!")</f>
        <v>#VALUE!</v>
      </c>
      <c r="G8744" s="69"/>
    </row>
    <row r="8745" ht="22.5" customHeight="1">
      <c r="A8745" s="66"/>
      <c r="B8745" s="67" t="str">
        <f t="shared" si="16"/>
        <v>M: </v>
      </c>
      <c r="C8745" s="68"/>
      <c r="D8745" s="68">
        <v>46624.0</v>
      </c>
      <c r="E8745" s="66">
        <v>3.0</v>
      </c>
      <c r="F8745" s="66" t="str">
        <f>IFERROR(__xludf.DUMMYFUNCTION("GOOGLETRANSLATE(A8745,""en"",""pt"")"),"#VALUE!")</f>
        <v>#VALUE!</v>
      </c>
      <c r="G8745" s="69"/>
    </row>
    <row r="8746" ht="22.5" customHeight="1">
      <c r="A8746" s="66"/>
      <c r="B8746" s="67" t="str">
        <f t="shared" si="16"/>
        <v>M: </v>
      </c>
      <c r="C8746" s="68"/>
      <c r="D8746" s="68">
        <v>46624.0</v>
      </c>
      <c r="E8746" s="66">
        <v>4.0</v>
      </c>
      <c r="F8746" s="66" t="str">
        <f>IFERROR(__xludf.DUMMYFUNCTION("GOOGLETRANSLATE(A8746,""en"",""pt"")"),"#VALUE!")</f>
        <v>#VALUE!</v>
      </c>
      <c r="G8746" s="69"/>
    </row>
    <row r="8747" ht="22.5" customHeight="1">
      <c r="A8747" s="66"/>
      <c r="B8747" s="67" t="str">
        <f t="shared" si="16"/>
        <v>M: </v>
      </c>
      <c r="C8747" s="68"/>
      <c r="D8747" s="68">
        <v>46624.0</v>
      </c>
      <c r="E8747" s="66">
        <v>5.0</v>
      </c>
      <c r="F8747" s="66" t="str">
        <f>IFERROR(__xludf.DUMMYFUNCTION("GOOGLETRANSLATE(A8747,""en"",""pt"")"),"#VALUE!")</f>
        <v>#VALUE!</v>
      </c>
      <c r="G8747" s="69"/>
    </row>
    <row r="8748" ht="22.5" customHeight="1">
      <c r="A8748" s="66"/>
      <c r="B8748" s="67" t="str">
        <f t="shared" si="16"/>
        <v>M: </v>
      </c>
      <c r="C8748" s="68"/>
      <c r="D8748" s="68">
        <v>46624.0</v>
      </c>
      <c r="E8748" s="66">
        <v>6.0</v>
      </c>
      <c r="F8748" s="66" t="str">
        <f>IFERROR(__xludf.DUMMYFUNCTION("GOOGLETRANSLATE(A8748,""en"",""pt"")"),"#VALUE!")</f>
        <v>#VALUE!</v>
      </c>
      <c r="G8748" s="69"/>
    </row>
    <row r="8749" ht="22.5" customHeight="1">
      <c r="A8749" s="66"/>
      <c r="B8749" s="67" t="str">
        <f t="shared" si="16"/>
        <v>M: </v>
      </c>
      <c r="C8749" s="68"/>
      <c r="D8749" s="68">
        <v>46624.0</v>
      </c>
      <c r="E8749" s="66">
        <v>7.0</v>
      </c>
      <c r="F8749" s="66" t="str">
        <f>IFERROR(__xludf.DUMMYFUNCTION("GOOGLETRANSLATE(A8749,""en"",""pt"")"),"#VALUE!")</f>
        <v>#VALUE!</v>
      </c>
      <c r="G8749" s="69"/>
    </row>
    <row r="8750" ht="22.5" customHeight="1">
      <c r="A8750" s="66"/>
      <c r="B8750" s="67" t="str">
        <f t="shared" si="16"/>
        <v>M: </v>
      </c>
      <c r="C8750" s="68"/>
      <c r="D8750" s="68">
        <v>46624.0</v>
      </c>
      <c r="E8750" s="66">
        <v>8.0</v>
      </c>
      <c r="F8750" s="66" t="str">
        <f>IFERROR(__xludf.DUMMYFUNCTION("GOOGLETRANSLATE(A8750,""en"",""pt"")"),"#VALUE!")</f>
        <v>#VALUE!</v>
      </c>
      <c r="G8750" s="69"/>
    </row>
    <row r="8751" ht="22.5" customHeight="1">
      <c r="A8751" s="66"/>
      <c r="B8751" s="67" t="str">
        <f t="shared" si="16"/>
        <v>M: </v>
      </c>
      <c r="C8751" s="68"/>
      <c r="D8751" s="68">
        <v>46624.0</v>
      </c>
      <c r="E8751" s="66">
        <v>9.0</v>
      </c>
      <c r="F8751" s="66" t="str">
        <f>IFERROR(__xludf.DUMMYFUNCTION("GOOGLETRANSLATE(A8751,""en"",""pt"")"),"#VALUE!")</f>
        <v>#VALUE!</v>
      </c>
      <c r="G8751" s="69"/>
    </row>
    <row r="8752" ht="22.5" customHeight="1">
      <c r="A8752" s="66"/>
      <c r="B8752" s="67" t="str">
        <f t="shared" si="16"/>
        <v>M: </v>
      </c>
      <c r="C8752" s="68"/>
      <c r="D8752" s="68">
        <v>46625.0</v>
      </c>
      <c r="E8752" s="66">
        <v>10.0</v>
      </c>
      <c r="F8752" s="66" t="str">
        <f>IFERROR(__xludf.DUMMYFUNCTION("GOOGLETRANSLATE(A8752,""en"",""pt"")"),"#VALUE!")</f>
        <v>#VALUE!</v>
      </c>
      <c r="G8752" s="69"/>
    </row>
    <row r="8753" ht="22.5" customHeight="1">
      <c r="A8753" s="66"/>
      <c r="B8753" s="67" t="str">
        <f t="shared" si="16"/>
        <v>M: </v>
      </c>
      <c r="C8753" s="68"/>
      <c r="D8753" s="68">
        <v>46625.0</v>
      </c>
      <c r="E8753" s="66">
        <v>1.0</v>
      </c>
      <c r="F8753" s="66" t="str">
        <f>IFERROR(__xludf.DUMMYFUNCTION("GOOGLETRANSLATE(A8753,""en"",""pt"")"),"#VALUE!")</f>
        <v>#VALUE!</v>
      </c>
      <c r="G8753" s="69"/>
    </row>
    <row r="8754" ht="22.5" customHeight="1">
      <c r="A8754" s="66"/>
      <c r="B8754" s="67" t="str">
        <f t="shared" si="16"/>
        <v>M: </v>
      </c>
      <c r="C8754" s="68"/>
      <c r="D8754" s="68">
        <v>46625.0</v>
      </c>
      <c r="E8754" s="66">
        <v>2.0</v>
      </c>
      <c r="F8754" s="66" t="str">
        <f>IFERROR(__xludf.DUMMYFUNCTION("GOOGLETRANSLATE(A8754,""en"",""pt"")"),"#VALUE!")</f>
        <v>#VALUE!</v>
      </c>
      <c r="G8754" s="69"/>
    </row>
    <row r="8755" ht="22.5" customHeight="1">
      <c r="A8755" s="66"/>
      <c r="B8755" s="67" t="str">
        <f t="shared" si="16"/>
        <v>M: </v>
      </c>
      <c r="C8755" s="68"/>
      <c r="D8755" s="68">
        <v>46625.0</v>
      </c>
      <c r="E8755" s="66">
        <v>3.0</v>
      </c>
      <c r="F8755" s="66" t="str">
        <f>IFERROR(__xludf.DUMMYFUNCTION("GOOGLETRANSLATE(A8755,""en"",""pt"")"),"#VALUE!")</f>
        <v>#VALUE!</v>
      </c>
      <c r="G8755" s="69"/>
    </row>
    <row r="8756" ht="22.5" customHeight="1">
      <c r="A8756" s="66"/>
      <c r="B8756" s="67" t="str">
        <f t="shared" si="16"/>
        <v>M: </v>
      </c>
      <c r="C8756" s="68"/>
      <c r="D8756" s="68">
        <v>46625.0</v>
      </c>
      <c r="E8756" s="66">
        <v>4.0</v>
      </c>
      <c r="F8756" s="66" t="str">
        <f>IFERROR(__xludf.DUMMYFUNCTION("GOOGLETRANSLATE(A8756,""en"",""pt"")"),"#VALUE!")</f>
        <v>#VALUE!</v>
      </c>
      <c r="G8756" s="69"/>
    </row>
    <row r="8757" ht="22.5" customHeight="1">
      <c r="A8757" s="66"/>
      <c r="B8757" s="67" t="str">
        <f t="shared" si="16"/>
        <v>M: </v>
      </c>
      <c r="C8757" s="68"/>
      <c r="D8757" s="68">
        <v>46625.0</v>
      </c>
      <c r="E8757" s="66">
        <v>5.0</v>
      </c>
      <c r="F8757" s="66" t="str">
        <f>IFERROR(__xludf.DUMMYFUNCTION("GOOGLETRANSLATE(A8757,""en"",""pt"")"),"#VALUE!")</f>
        <v>#VALUE!</v>
      </c>
      <c r="G8757" s="69"/>
    </row>
    <row r="8758" ht="22.5" customHeight="1">
      <c r="A8758" s="66"/>
      <c r="B8758" s="67" t="str">
        <f t="shared" si="16"/>
        <v>M: </v>
      </c>
      <c r="C8758" s="68"/>
      <c r="D8758" s="68">
        <v>46625.0</v>
      </c>
      <c r="E8758" s="66">
        <v>6.0</v>
      </c>
      <c r="F8758" s="66" t="str">
        <f>IFERROR(__xludf.DUMMYFUNCTION("GOOGLETRANSLATE(A8758,""en"",""pt"")"),"#VALUE!")</f>
        <v>#VALUE!</v>
      </c>
      <c r="G8758" s="69"/>
    </row>
    <row r="8759" ht="22.5" customHeight="1">
      <c r="A8759" s="66"/>
      <c r="B8759" s="67" t="str">
        <f t="shared" si="16"/>
        <v>M: </v>
      </c>
      <c r="C8759" s="68"/>
      <c r="D8759" s="68">
        <v>46625.0</v>
      </c>
      <c r="E8759" s="66">
        <v>7.0</v>
      </c>
      <c r="F8759" s="66" t="str">
        <f>IFERROR(__xludf.DUMMYFUNCTION("GOOGLETRANSLATE(A8759,""en"",""pt"")"),"#VALUE!")</f>
        <v>#VALUE!</v>
      </c>
      <c r="G8759" s="69"/>
    </row>
    <row r="8760" ht="22.5" customHeight="1">
      <c r="A8760" s="66"/>
      <c r="B8760" s="67" t="str">
        <f t="shared" si="16"/>
        <v>M: </v>
      </c>
      <c r="C8760" s="68"/>
      <c r="D8760" s="68">
        <v>46625.0</v>
      </c>
      <c r="E8760" s="66">
        <v>8.0</v>
      </c>
      <c r="F8760" s="66" t="str">
        <f>IFERROR(__xludf.DUMMYFUNCTION("GOOGLETRANSLATE(A8760,""en"",""pt"")"),"#VALUE!")</f>
        <v>#VALUE!</v>
      </c>
      <c r="G8760" s="69"/>
    </row>
    <row r="8761" ht="22.5" customHeight="1">
      <c r="A8761" s="66"/>
      <c r="B8761" s="67" t="str">
        <f t="shared" si="16"/>
        <v>M: </v>
      </c>
      <c r="C8761" s="68"/>
      <c r="D8761" s="68">
        <v>46625.0</v>
      </c>
      <c r="E8761" s="66">
        <v>9.0</v>
      </c>
      <c r="F8761" s="66" t="str">
        <f>IFERROR(__xludf.DUMMYFUNCTION("GOOGLETRANSLATE(A8761,""en"",""pt"")"),"#VALUE!")</f>
        <v>#VALUE!</v>
      </c>
      <c r="G8761" s="69"/>
    </row>
    <row r="8762" ht="22.5" customHeight="1">
      <c r="A8762" s="66"/>
      <c r="B8762" s="67" t="str">
        <f t="shared" si="16"/>
        <v>M: </v>
      </c>
      <c r="C8762" s="68"/>
      <c r="D8762" s="68">
        <v>46626.0</v>
      </c>
      <c r="E8762" s="66">
        <v>10.0</v>
      </c>
      <c r="F8762" s="66" t="str">
        <f>IFERROR(__xludf.DUMMYFUNCTION("GOOGLETRANSLATE(A8762,""en"",""pt"")"),"#VALUE!")</f>
        <v>#VALUE!</v>
      </c>
      <c r="G8762" s="69"/>
    </row>
    <row r="8763" ht="22.5" customHeight="1">
      <c r="A8763" s="66"/>
      <c r="B8763" s="67" t="str">
        <f t="shared" si="16"/>
        <v>M: </v>
      </c>
      <c r="C8763" s="68"/>
      <c r="D8763" s="68">
        <v>46626.0</v>
      </c>
      <c r="E8763" s="66">
        <v>1.0</v>
      </c>
      <c r="F8763" s="66" t="str">
        <f>IFERROR(__xludf.DUMMYFUNCTION("GOOGLETRANSLATE(A8763,""en"",""pt"")"),"#VALUE!")</f>
        <v>#VALUE!</v>
      </c>
      <c r="G8763" s="69"/>
    </row>
    <row r="8764" ht="22.5" customHeight="1">
      <c r="A8764" s="66"/>
      <c r="B8764" s="67" t="str">
        <f t="shared" si="16"/>
        <v>M: </v>
      </c>
      <c r="C8764" s="68"/>
      <c r="D8764" s="68">
        <v>46626.0</v>
      </c>
      <c r="E8764" s="66">
        <v>2.0</v>
      </c>
      <c r="F8764" s="66" t="str">
        <f>IFERROR(__xludf.DUMMYFUNCTION("GOOGLETRANSLATE(A8764,""en"",""pt"")"),"#VALUE!")</f>
        <v>#VALUE!</v>
      </c>
      <c r="G8764" s="69"/>
    </row>
    <row r="8765" ht="22.5" customHeight="1">
      <c r="A8765" s="66"/>
      <c r="B8765" s="67" t="str">
        <f t="shared" si="16"/>
        <v>M: </v>
      </c>
      <c r="C8765" s="68"/>
      <c r="D8765" s="68">
        <v>46626.0</v>
      </c>
      <c r="E8765" s="66">
        <v>3.0</v>
      </c>
      <c r="F8765" s="66" t="str">
        <f>IFERROR(__xludf.DUMMYFUNCTION("GOOGLETRANSLATE(A8765,""en"",""pt"")"),"#VALUE!")</f>
        <v>#VALUE!</v>
      </c>
      <c r="G8765" s="69"/>
    </row>
    <row r="8766" ht="22.5" customHeight="1">
      <c r="A8766" s="66"/>
      <c r="B8766" s="67" t="str">
        <f t="shared" si="16"/>
        <v>M: </v>
      </c>
      <c r="C8766" s="68"/>
      <c r="D8766" s="68">
        <v>46626.0</v>
      </c>
      <c r="E8766" s="66">
        <v>4.0</v>
      </c>
      <c r="F8766" s="66" t="str">
        <f>IFERROR(__xludf.DUMMYFUNCTION("GOOGLETRANSLATE(A8766,""en"",""pt"")"),"#VALUE!")</f>
        <v>#VALUE!</v>
      </c>
      <c r="G8766" s="69"/>
    </row>
    <row r="8767" ht="22.5" customHeight="1">
      <c r="A8767" s="66"/>
      <c r="B8767" s="67" t="str">
        <f t="shared" si="16"/>
        <v>M: </v>
      </c>
      <c r="C8767" s="68"/>
      <c r="D8767" s="68">
        <v>46626.0</v>
      </c>
      <c r="E8767" s="66">
        <v>5.0</v>
      </c>
      <c r="F8767" s="66" t="str">
        <f>IFERROR(__xludf.DUMMYFUNCTION("GOOGLETRANSLATE(A8767,""en"",""pt"")"),"#VALUE!")</f>
        <v>#VALUE!</v>
      </c>
      <c r="G8767" s="69"/>
    </row>
    <row r="8768" ht="22.5" customHeight="1">
      <c r="A8768" s="66"/>
      <c r="B8768" s="67" t="str">
        <f t="shared" si="16"/>
        <v>M: </v>
      </c>
      <c r="C8768" s="68"/>
      <c r="D8768" s="68">
        <v>46626.0</v>
      </c>
      <c r="E8768" s="66">
        <v>6.0</v>
      </c>
      <c r="F8768" s="66" t="str">
        <f>IFERROR(__xludf.DUMMYFUNCTION("GOOGLETRANSLATE(A8768,""en"",""pt"")"),"#VALUE!")</f>
        <v>#VALUE!</v>
      </c>
      <c r="G8768" s="69"/>
    </row>
    <row r="8769" ht="22.5" customHeight="1">
      <c r="A8769" s="66"/>
      <c r="B8769" s="67" t="str">
        <f t="shared" si="16"/>
        <v>M: </v>
      </c>
      <c r="C8769" s="68"/>
      <c r="D8769" s="68">
        <v>46626.0</v>
      </c>
      <c r="E8769" s="66">
        <v>7.0</v>
      </c>
      <c r="F8769" s="66" t="str">
        <f>IFERROR(__xludf.DUMMYFUNCTION("GOOGLETRANSLATE(A8769,""en"",""pt"")"),"#VALUE!")</f>
        <v>#VALUE!</v>
      </c>
      <c r="G8769" s="69"/>
    </row>
    <row r="8770" ht="22.5" customHeight="1">
      <c r="A8770" s="66"/>
      <c r="B8770" s="67" t="str">
        <f t="shared" si="16"/>
        <v>M: </v>
      </c>
      <c r="C8770" s="68"/>
      <c r="D8770" s="68">
        <v>46626.0</v>
      </c>
      <c r="E8770" s="66">
        <v>8.0</v>
      </c>
      <c r="F8770" s="66" t="str">
        <f>IFERROR(__xludf.DUMMYFUNCTION("GOOGLETRANSLATE(A8770,""en"",""pt"")"),"#VALUE!")</f>
        <v>#VALUE!</v>
      </c>
      <c r="G8770" s="69"/>
    </row>
    <row r="8771" ht="22.5" customHeight="1">
      <c r="A8771" s="66"/>
      <c r="B8771" s="67" t="str">
        <f t="shared" si="16"/>
        <v>M: </v>
      </c>
      <c r="C8771" s="68"/>
      <c r="D8771" s="68">
        <v>46626.0</v>
      </c>
      <c r="E8771" s="66">
        <v>9.0</v>
      </c>
      <c r="F8771" s="66" t="str">
        <f>IFERROR(__xludf.DUMMYFUNCTION("GOOGLETRANSLATE(A8771,""en"",""pt"")"),"#VALUE!")</f>
        <v>#VALUE!</v>
      </c>
      <c r="G8771" s="69"/>
    </row>
    <row r="8772" ht="22.5" customHeight="1">
      <c r="A8772" s="66"/>
      <c r="B8772" s="67" t="str">
        <f t="shared" si="16"/>
        <v>M: </v>
      </c>
      <c r="C8772" s="68"/>
      <c r="D8772" s="68">
        <v>46627.0</v>
      </c>
      <c r="E8772" s="66">
        <v>10.0</v>
      </c>
      <c r="F8772" s="66" t="str">
        <f>IFERROR(__xludf.DUMMYFUNCTION("GOOGLETRANSLATE(A8772,""en"",""pt"")"),"#VALUE!")</f>
        <v>#VALUE!</v>
      </c>
      <c r="G8772" s="69"/>
    </row>
    <row r="8773" ht="22.5" customHeight="1">
      <c r="A8773" s="66"/>
      <c r="B8773" s="67" t="str">
        <f t="shared" si="16"/>
        <v>M: </v>
      </c>
      <c r="C8773" s="68"/>
      <c r="D8773" s="68">
        <v>46627.0</v>
      </c>
      <c r="E8773" s="66">
        <v>1.0</v>
      </c>
      <c r="F8773" s="66" t="str">
        <f>IFERROR(__xludf.DUMMYFUNCTION("GOOGLETRANSLATE(A8773,""en"",""pt"")"),"#VALUE!")</f>
        <v>#VALUE!</v>
      </c>
      <c r="G8773" s="69"/>
    </row>
    <row r="8774" ht="22.5" customHeight="1">
      <c r="A8774" s="66"/>
      <c r="B8774" s="67" t="str">
        <f t="shared" si="16"/>
        <v>M: </v>
      </c>
      <c r="C8774" s="68"/>
      <c r="D8774" s="68">
        <v>46627.0</v>
      </c>
      <c r="E8774" s="66">
        <v>2.0</v>
      </c>
      <c r="F8774" s="66" t="str">
        <f>IFERROR(__xludf.DUMMYFUNCTION("GOOGLETRANSLATE(A8774,""en"",""pt"")"),"#VALUE!")</f>
        <v>#VALUE!</v>
      </c>
      <c r="G8774" s="69"/>
    </row>
    <row r="8775" ht="22.5" customHeight="1">
      <c r="A8775" s="66"/>
      <c r="B8775" s="67" t="str">
        <f t="shared" si="16"/>
        <v>M: </v>
      </c>
      <c r="C8775" s="68"/>
      <c r="D8775" s="68">
        <v>46627.0</v>
      </c>
      <c r="E8775" s="66">
        <v>3.0</v>
      </c>
      <c r="F8775" s="66" t="str">
        <f>IFERROR(__xludf.DUMMYFUNCTION("GOOGLETRANSLATE(A8775,""en"",""pt"")"),"#VALUE!")</f>
        <v>#VALUE!</v>
      </c>
      <c r="G8775" s="69"/>
    </row>
    <row r="8776" ht="22.5" customHeight="1">
      <c r="A8776" s="66"/>
      <c r="B8776" s="67" t="str">
        <f t="shared" si="16"/>
        <v>M: </v>
      </c>
      <c r="C8776" s="68"/>
      <c r="D8776" s="68">
        <v>46627.0</v>
      </c>
      <c r="E8776" s="66">
        <v>4.0</v>
      </c>
      <c r="F8776" s="66" t="str">
        <f>IFERROR(__xludf.DUMMYFUNCTION("GOOGLETRANSLATE(A8776,""en"",""pt"")"),"#VALUE!")</f>
        <v>#VALUE!</v>
      </c>
      <c r="G8776" s="69"/>
    </row>
    <row r="8777" ht="22.5" customHeight="1">
      <c r="A8777" s="66"/>
      <c r="B8777" s="67" t="str">
        <f t="shared" si="16"/>
        <v>M: </v>
      </c>
      <c r="C8777" s="68"/>
      <c r="D8777" s="68">
        <v>46627.0</v>
      </c>
      <c r="E8777" s="66">
        <v>5.0</v>
      </c>
      <c r="F8777" s="66" t="str">
        <f>IFERROR(__xludf.DUMMYFUNCTION("GOOGLETRANSLATE(A8777,""en"",""pt"")"),"#VALUE!")</f>
        <v>#VALUE!</v>
      </c>
      <c r="G8777" s="69"/>
    </row>
    <row r="8778" ht="22.5" customHeight="1">
      <c r="A8778" s="66"/>
      <c r="B8778" s="67" t="str">
        <f t="shared" si="16"/>
        <v>M: </v>
      </c>
      <c r="C8778" s="68"/>
      <c r="D8778" s="68">
        <v>46627.0</v>
      </c>
      <c r="E8778" s="66">
        <v>6.0</v>
      </c>
      <c r="F8778" s="66" t="str">
        <f>IFERROR(__xludf.DUMMYFUNCTION("GOOGLETRANSLATE(A8778,""en"",""pt"")"),"#VALUE!")</f>
        <v>#VALUE!</v>
      </c>
      <c r="G8778" s="69"/>
    </row>
    <row r="8779" ht="22.5" customHeight="1">
      <c r="A8779" s="66"/>
      <c r="B8779" s="67" t="str">
        <f t="shared" si="16"/>
        <v>M: </v>
      </c>
      <c r="C8779" s="68"/>
      <c r="D8779" s="68">
        <v>46627.0</v>
      </c>
      <c r="E8779" s="66">
        <v>7.0</v>
      </c>
      <c r="F8779" s="66" t="str">
        <f>IFERROR(__xludf.DUMMYFUNCTION("GOOGLETRANSLATE(A8779,""en"",""pt"")"),"#VALUE!")</f>
        <v>#VALUE!</v>
      </c>
      <c r="G8779" s="69"/>
    </row>
    <row r="8780" ht="22.5" customHeight="1">
      <c r="A8780" s="66"/>
      <c r="B8780" s="67" t="str">
        <f t="shared" si="16"/>
        <v>M: </v>
      </c>
      <c r="C8780" s="68"/>
      <c r="D8780" s="68">
        <v>46627.0</v>
      </c>
      <c r="E8780" s="66">
        <v>8.0</v>
      </c>
      <c r="F8780" s="66" t="str">
        <f>IFERROR(__xludf.DUMMYFUNCTION("GOOGLETRANSLATE(A8780,""en"",""pt"")"),"#VALUE!")</f>
        <v>#VALUE!</v>
      </c>
      <c r="G8780" s="69"/>
    </row>
    <row r="8781" ht="22.5" customHeight="1">
      <c r="A8781" s="66"/>
      <c r="B8781" s="67" t="str">
        <f t="shared" si="16"/>
        <v>M: </v>
      </c>
      <c r="C8781" s="68"/>
      <c r="D8781" s="68">
        <v>46627.0</v>
      </c>
      <c r="E8781" s="66">
        <v>9.0</v>
      </c>
      <c r="F8781" s="66" t="str">
        <f>IFERROR(__xludf.DUMMYFUNCTION("GOOGLETRANSLATE(A8781,""en"",""pt"")"),"#VALUE!")</f>
        <v>#VALUE!</v>
      </c>
      <c r="G8781" s="69"/>
    </row>
    <row r="8782" ht="22.5" customHeight="1">
      <c r="A8782" s="66"/>
      <c r="B8782" s="67" t="str">
        <f t="shared" si="16"/>
        <v>M: </v>
      </c>
      <c r="C8782" s="68"/>
      <c r="D8782" s="68">
        <v>46628.0</v>
      </c>
      <c r="E8782" s="66">
        <v>10.0</v>
      </c>
      <c r="F8782" s="66" t="str">
        <f>IFERROR(__xludf.DUMMYFUNCTION("GOOGLETRANSLATE(A8782,""en"",""pt"")"),"#VALUE!")</f>
        <v>#VALUE!</v>
      </c>
      <c r="G8782" s="69"/>
    </row>
    <row r="8783" ht="22.5" customHeight="1">
      <c r="A8783" s="66"/>
      <c r="B8783" s="67" t="str">
        <f t="shared" si="16"/>
        <v>M: </v>
      </c>
      <c r="C8783" s="68"/>
      <c r="D8783" s="68">
        <v>46628.0</v>
      </c>
      <c r="E8783" s="66">
        <v>1.0</v>
      </c>
      <c r="F8783" s="66" t="str">
        <f>IFERROR(__xludf.DUMMYFUNCTION("GOOGLETRANSLATE(A8783,""en"",""pt"")"),"#VALUE!")</f>
        <v>#VALUE!</v>
      </c>
      <c r="G8783" s="69"/>
    </row>
    <row r="8784" ht="22.5" customHeight="1">
      <c r="A8784" s="66"/>
      <c r="B8784" s="67" t="str">
        <f t="shared" si="16"/>
        <v>M: </v>
      </c>
      <c r="C8784" s="68"/>
      <c r="D8784" s="68">
        <v>46628.0</v>
      </c>
      <c r="E8784" s="66">
        <v>2.0</v>
      </c>
      <c r="F8784" s="66" t="str">
        <f>IFERROR(__xludf.DUMMYFUNCTION("GOOGLETRANSLATE(A8784,""en"",""pt"")"),"#VALUE!")</f>
        <v>#VALUE!</v>
      </c>
      <c r="G8784" s="69"/>
    </row>
    <row r="8785" ht="22.5" customHeight="1">
      <c r="A8785" s="66"/>
      <c r="B8785" s="67" t="str">
        <f t="shared" si="16"/>
        <v>M: </v>
      </c>
      <c r="C8785" s="68"/>
      <c r="D8785" s="68">
        <v>46628.0</v>
      </c>
      <c r="E8785" s="66">
        <v>3.0</v>
      </c>
      <c r="F8785" s="66" t="str">
        <f>IFERROR(__xludf.DUMMYFUNCTION("GOOGLETRANSLATE(A8785,""en"",""pt"")"),"#VALUE!")</f>
        <v>#VALUE!</v>
      </c>
      <c r="G8785" s="69"/>
    </row>
    <row r="8786" ht="22.5" customHeight="1">
      <c r="A8786" s="66"/>
      <c r="B8786" s="67" t="str">
        <f t="shared" si="16"/>
        <v>M: </v>
      </c>
      <c r="C8786" s="68"/>
      <c r="D8786" s="68">
        <v>46628.0</v>
      </c>
      <c r="E8786" s="66">
        <v>4.0</v>
      </c>
      <c r="F8786" s="66" t="str">
        <f>IFERROR(__xludf.DUMMYFUNCTION("GOOGLETRANSLATE(A8786,""en"",""pt"")"),"#VALUE!")</f>
        <v>#VALUE!</v>
      </c>
      <c r="G8786" s="69"/>
    </row>
    <row r="8787" ht="22.5" customHeight="1">
      <c r="A8787" s="66"/>
      <c r="B8787" s="67" t="str">
        <f t="shared" si="16"/>
        <v>M: </v>
      </c>
      <c r="C8787" s="68"/>
      <c r="D8787" s="68">
        <v>46628.0</v>
      </c>
      <c r="E8787" s="66">
        <v>5.0</v>
      </c>
      <c r="F8787" s="66" t="str">
        <f>IFERROR(__xludf.DUMMYFUNCTION("GOOGLETRANSLATE(A8787,""en"",""pt"")"),"#VALUE!")</f>
        <v>#VALUE!</v>
      </c>
      <c r="G8787" s="69"/>
    </row>
    <row r="8788" ht="22.5" customHeight="1">
      <c r="A8788" s="66"/>
      <c r="B8788" s="67" t="str">
        <f t="shared" si="16"/>
        <v>M: </v>
      </c>
      <c r="C8788" s="68"/>
      <c r="D8788" s="68">
        <v>46628.0</v>
      </c>
      <c r="E8788" s="66">
        <v>6.0</v>
      </c>
      <c r="F8788" s="66" t="str">
        <f>IFERROR(__xludf.DUMMYFUNCTION("GOOGLETRANSLATE(A8788,""en"",""pt"")"),"#VALUE!")</f>
        <v>#VALUE!</v>
      </c>
      <c r="G8788" s="69"/>
    </row>
    <row r="8789" ht="22.5" customHeight="1">
      <c r="A8789" s="66"/>
      <c r="B8789" s="67" t="str">
        <f t="shared" si="16"/>
        <v>M: </v>
      </c>
      <c r="C8789" s="68"/>
      <c r="D8789" s="68">
        <v>46628.0</v>
      </c>
      <c r="E8789" s="66">
        <v>7.0</v>
      </c>
      <c r="F8789" s="66" t="str">
        <f>IFERROR(__xludf.DUMMYFUNCTION("GOOGLETRANSLATE(A8789,""en"",""pt"")"),"#VALUE!")</f>
        <v>#VALUE!</v>
      </c>
      <c r="G8789" s="69"/>
    </row>
    <row r="8790" ht="22.5" customHeight="1">
      <c r="A8790" s="66"/>
      <c r="B8790" s="67" t="str">
        <f t="shared" si="16"/>
        <v>M: </v>
      </c>
      <c r="C8790" s="68"/>
      <c r="D8790" s="68">
        <v>46628.0</v>
      </c>
      <c r="E8790" s="66">
        <v>8.0</v>
      </c>
      <c r="F8790" s="66" t="str">
        <f>IFERROR(__xludf.DUMMYFUNCTION("GOOGLETRANSLATE(A8790,""en"",""pt"")"),"#VALUE!")</f>
        <v>#VALUE!</v>
      </c>
      <c r="G8790" s="69"/>
    </row>
    <row r="8791" ht="22.5" customHeight="1">
      <c r="A8791" s="66"/>
      <c r="B8791" s="67" t="str">
        <f t="shared" si="16"/>
        <v>M: </v>
      </c>
      <c r="C8791" s="68"/>
      <c r="D8791" s="68">
        <v>46628.0</v>
      </c>
      <c r="E8791" s="66">
        <v>9.0</v>
      </c>
      <c r="F8791" s="66" t="str">
        <f>IFERROR(__xludf.DUMMYFUNCTION("GOOGLETRANSLATE(A8791,""en"",""pt"")"),"#VALUE!")</f>
        <v>#VALUE!</v>
      </c>
      <c r="G8791" s="69"/>
    </row>
    <row r="8792" ht="22.5" customHeight="1">
      <c r="A8792" s="66"/>
      <c r="B8792" s="67" t="str">
        <f t="shared" si="16"/>
        <v>M: </v>
      </c>
      <c r="C8792" s="68"/>
      <c r="D8792" s="68">
        <v>46629.0</v>
      </c>
      <c r="E8792" s="66">
        <v>10.0</v>
      </c>
      <c r="F8792" s="66" t="str">
        <f>IFERROR(__xludf.DUMMYFUNCTION("GOOGLETRANSLATE(A8792,""en"",""pt"")"),"#VALUE!")</f>
        <v>#VALUE!</v>
      </c>
      <c r="G8792" s="69"/>
    </row>
    <row r="8793" ht="22.5" customHeight="1">
      <c r="A8793" s="66"/>
      <c r="B8793" s="67" t="str">
        <f t="shared" si="16"/>
        <v>M: </v>
      </c>
      <c r="C8793" s="68"/>
      <c r="D8793" s="68">
        <v>46629.0</v>
      </c>
      <c r="E8793" s="66">
        <v>1.0</v>
      </c>
      <c r="F8793" s="66" t="str">
        <f>IFERROR(__xludf.DUMMYFUNCTION("GOOGLETRANSLATE(A8793,""en"",""pt"")"),"#VALUE!")</f>
        <v>#VALUE!</v>
      </c>
      <c r="G8793" s="69"/>
    </row>
    <row r="8794" ht="22.5" customHeight="1">
      <c r="A8794" s="66"/>
      <c r="B8794" s="67" t="str">
        <f t="shared" si="16"/>
        <v>M: </v>
      </c>
      <c r="C8794" s="68"/>
      <c r="D8794" s="68">
        <v>46629.0</v>
      </c>
      <c r="E8794" s="66">
        <v>2.0</v>
      </c>
      <c r="F8794" s="66" t="str">
        <f>IFERROR(__xludf.DUMMYFUNCTION("GOOGLETRANSLATE(A8794,""en"",""pt"")"),"#VALUE!")</f>
        <v>#VALUE!</v>
      </c>
      <c r="G8794" s="69"/>
    </row>
    <row r="8795" ht="22.5" customHeight="1">
      <c r="A8795" s="66"/>
      <c r="B8795" s="67" t="str">
        <f t="shared" si="16"/>
        <v>M: </v>
      </c>
      <c r="C8795" s="68"/>
      <c r="D8795" s="68">
        <v>46629.0</v>
      </c>
      <c r="E8795" s="66">
        <v>3.0</v>
      </c>
      <c r="F8795" s="66" t="str">
        <f>IFERROR(__xludf.DUMMYFUNCTION("GOOGLETRANSLATE(A8795,""en"",""pt"")"),"#VALUE!")</f>
        <v>#VALUE!</v>
      </c>
      <c r="G8795" s="69"/>
    </row>
    <row r="8796" ht="22.5" customHeight="1">
      <c r="A8796" s="66"/>
      <c r="B8796" s="67" t="str">
        <f t="shared" si="16"/>
        <v>M: </v>
      </c>
      <c r="C8796" s="68"/>
      <c r="D8796" s="68">
        <v>46629.0</v>
      </c>
      <c r="E8796" s="66">
        <v>4.0</v>
      </c>
      <c r="F8796" s="66" t="str">
        <f>IFERROR(__xludf.DUMMYFUNCTION("GOOGLETRANSLATE(A8796,""en"",""pt"")"),"#VALUE!")</f>
        <v>#VALUE!</v>
      </c>
      <c r="G8796" s="69"/>
    </row>
    <row r="8797" ht="22.5" customHeight="1">
      <c r="A8797" s="66"/>
      <c r="B8797" s="67" t="str">
        <f t="shared" si="16"/>
        <v>M: </v>
      </c>
      <c r="C8797" s="68"/>
      <c r="D8797" s="68">
        <v>46629.0</v>
      </c>
      <c r="E8797" s="66">
        <v>5.0</v>
      </c>
      <c r="F8797" s="66" t="str">
        <f>IFERROR(__xludf.DUMMYFUNCTION("GOOGLETRANSLATE(A8797,""en"",""pt"")"),"#VALUE!")</f>
        <v>#VALUE!</v>
      </c>
      <c r="G8797" s="69"/>
    </row>
    <row r="8798" ht="22.5" customHeight="1">
      <c r="A8798" s="66"/>
      <c r="B8798" s="67" t="str">
        <f t="shared" si="16"/>
        <v>M: </v>
      </c>
      <c r="C8798" s="68"/>
      <c r="D8798" s="68">
        <v>46629.0</v>
      </c>
      <c r="E8798" s="66">
        <v>6.0</v>
      </c>
      <c r="F8798" s="66" t="str">
        <f>IFERROR(__xludf.DUMMYFUNCTION("GOOGLETRANSLATE(A8798,""en"",""pt"")"),"#VALUE!")</f>
        <v>#VALUE!</v>
      </c>
      <c r="G8798" s="69"/>
    </row>
    <row r="8799" ht="22.5" customHeight="1">
      <c r="A8799" s="66"/>
      <c r="B8799" s="67" t="str">
        <f t="shared" si="16"/>
        <v>M: </v>
      </c>
      <c r="C8799" s="68"/>
      <c r="D8799" s="68">
        <v>46629.0</v>
      </c>
      <c r="E8799" s="66">
        <v>7.0</v>
      </c>
      <c r="F8799" s="66" t="str">
        <f>IFERROR(__xludf.DUMMYFUNCTION("GOOGLETRANSLATE(A8799,""en"",""pt"")"),"#VALUE!")</f>
        <v>#VALUE!</v>
      </c>
      <c r="G8799" s="69"/>
    </row>
    <row r="8800" ht="22.5" customHeight="1">
      <c r="A8800" s="66"/>
      <c r="B8800" s="67" t="str">
        <f t="shared" si="16"/>
        <v>M: </v>
      </c>
      <c r="C8800" s="68"/>
      <c r="D8800" s="68">
        <v>46629.0</v>
      </c>
      <c r="E8800" s="66">
        <v>8.0</v>
      </c>
      <c r="F8800" s="66" t="str">
        <f>IFERROR(__xludf.DUMMYFUNCTION("GOOGLETRANSLATE(A8800,""en"",""pt"")"),"#VALUE!")</f>
        <v>#VALUE!</v>
      </c>
      <c r="G8800" s="69"/>
    </row>
    <row r="8801" ht="22.5" customHeight="1">
      <c r="A8801" s="66"/>
      <c r="B8801" s="67" t="str">
        <f t="shared" si="16"/>
        <v>M: </v>
      </c>
      <c r="C8801" s="68"/>
      <c r="D8801" s="68">
        <v>46629.0</v>
      </c>
      <c r="E8801" s="66">
        <v>9.0</v>
      </c>
      <c r="F8801" s="66" t="str">
        <f>IFERROR(__xludf.DUMMYFUNCTION("GOOGLETRANSLATE(A8801,""en"",""pt"")"),"#VALUE!")</f>
        <v>#VALUE!</v>
      </c>
      <c r="G8801" s="69"/>
    </row>
    <row r="8802" ht="22.5" customHeight="1">
      <c r="A8802" s="66"/>
      <c r="B8802" s="67" t="str">
        <f t="shared" si="16"/>
        <v>M: </v>
      </c>
      <c r="C8802" s="68"/>
      <c r="D8802" s="68">
        <v>46630.0</v>
      </c>
      <c r="E8802" s="66">
        <v>10.0</v>
      </c>
      <c r="F8802" s="66" t="str">
        <f>IFERROR(__xludf.DUMMYFUNCTION("GOOGLETRANSLATE(A8802,""en"",""pt"")"),"#VALUE!")</f>
        <v>#VALUE!</v>
      </c>
      <c r="G8802" s="69"/>
    </row>
    <row r="8803" ht="22.5" customHeight="1">
      <c r="A8803" s="66"/>
      <c r="B8803" s="67" t="str">
        <f t="shared" si="16"/>
        <v>M: </v>
      </c>
      <c r="C8803" s="68"/>
      <c r="D8803" s="68">
        <v>46630.0</v>
      </c>
      <c r="E8803" s="66">
        <v>1.0</v>
      </c>
      <c r="F8803" s="66" t="str">
        <f>IFERROR(__xludf.DUMMYFUNCTION("GOOGLETRANSLATE(A8803,""en"",""pt"")"),"#VALUE!")</f>
        <v>#VALUE!</v>
      </c>
      <c r="G8803" s="69"/>
    </row>
    <row r="8804" ht="22.5" customHeight="1">
      <c r="A8804" s="66"/>
      <c r="B8804" s="67" t="str">
        <f t="shared" si="16"/>
        <v>M: </v>
      </c>
      <c r="C8804" s="68"/>
      <c r="D8804" s="68">
        <v>46630.0</v>
      </c>
      <c r="E8804" s="66">
        <v>2.0</v>
      </c>
      <c r="F8804" s="66" t="str">
        <f>IFERROR(__xludf.DUMMYFUNCTION("GOOGLETRANSLATE(A8804,""en"",""pt"")"),"#VALUE!")</f>
        <v>#VALUE!</v>
      </c>
      <c r="G8804" s="69"/>
    </row>
    <row r="8805" ht="22.5" customHeight="1">
      <c r="A8805" s="66"/>
      <c r="B8805" s="67" t="str">
        <f t="shared" si="16"/>
        <v>M: </v>
      </c>
      <c r="C8805" s="68"/>
      <c r="D8805" s="68">
        <v>46630.0</v>
      </c>
      <c r="E8805" s="66">
        <v>3.0</v>
      </c>
      <c r="F8805" s="66" t="str">
        <f>IFERROR(__xludf.DUMMYFUNCTION("GOOGLETRANSLATE(A8805,""en"",""pt"")"),"#VALUE!")</f>
        <v>#VALUE!</v>
      </c>
      <c r="G8805" s="69"/>
    </row>
    <row r="8806" ht="22.5" customHeight="1">
      <c r="A8806" s="66"/>
      <c r="B8806" s="67" t="str">
        <f t="shared" si="16"/>
        <v>M: </v>
      </c>
      <c r="C8806" s="68"/>
      <c r="D8806" s="68">
        <v>46630.0</v>
      </c>
      <c r="E8806" s="66">
        <v>4.0</v>
      </c>
      <c r="F8806" s="66" t="str">
        <f>IFERROR(__xludf.DUMMYFUNCTION("GOOGLETRANSLATE(A8806,""en"",""pt"")"),"#VALUE!")</f>
        <v>#VALUE!</v>
      </c>
      <c r="G8806" s="69"/>
    </row>
    <row r="8807" ht="22.5" customHeight="1">
      <c r="A8807" s="66"/>
      <c r="B8807" s="67" t="str">
        <f t="shared" si="16"/>
        <v>M: </v>
      </c>
      <c r="C8807" s="68"/>
      <c r="D8807" s="68">
        <v>46630.0</v>
      </c>
      <c r="E8807" s="66">
        <v>5.0</v>
      </c>
      <c r="F8807" s="66" t="str">
        <f>IFERROR(__xludf.DUMMYFUNCTION("GOOGLETRANSLATE(A8807,""en"",""pt"")"),"#VALUE!")</f>
        <v>#VALUE!</v>
      </c>
      <c r="G8807" s="69"/>
    </row>
    <row r="8808" ht="22.5" customHeight="1">
      <c r="A8808" s="66"/>
      <c r="B8808" s="67" t="str">
        <f t="shared" si="16"/>
        <v>M: </v>
      </c>
      <c r="C8808" s="68"/>
      <c r="D8808" s="68">
        <v>46630.0</v>
      </c>
      <c r="E8808" s="66">
        <v>6.0</v>
      </c>
      <c r="F8808" s="66" t="str">
        <f>IFERROR(__xludf.DUMMYFUNCTION("GOOGLETRANSLATE(A8808,""en"",""pt"")"),"#VALUE!")</f>
        <v>#VALUE!</v>
      </c>
      <c r="G8808" s="69"/>
    </row>
    <row r="8809" ht="22.5" customHeight="1">
      <c r="A8809" s="66"/>
      <c r="B8809" s="67" t="str">
        <f t="shared" si="16"/>
        <v>M: </v>
      </c>
      <c r="C8809" s="68"/>
      <c r="D8809" s="68">
        <v>46630.0</v>
      </c>
      <c r="E8809" s="66">
        <v>7.0</v>
      </c>
      <c r="F8809" s="66" t="str">
        <f>IFERROR(__xludf.DUMMYFUNCTION("GOOGLETRANSLATE(A8809,""en"",""pt"")"),"#VALUE!")</f>
        <v>#VALUE!</v>
      </c>
      <c r="G8809" s="69"/>
    </row>
    <row r="8810" ht="22.5" customHeight="1">
      <c r="A8810" s="66"/>
      <c r="B8810" s="67" t="str">
        <f t="shared" si="16"/>
        <v>M: </v>
      </c>
      <c r="C8810" s="68"/>
      <c r="D8810" s="68">
        <v>46630.0</v>
      </c>
      <c r="E8810" s="66">
        <v>8.0</v>
      </c>
      <c r="F8810" s="66" t="str">
        <f>IFERROR(__xludf.DUMMYFUNCTION("GOOGLETRANSLATE(A8810,""en"",""pt"")"),"#VALUE!")</f>
        <v>#VALUE!</v>
      </c>
      <c r="G8810" s="69"/>
    </row>
    <row r="8811" ht="22.5" customHeight="1">
      <c r="A8811" s="66"/>
      <c r="B8811" s="67" t="str">
        <f t="shared" si="16"/>
        <v>M: </v>
      </c>
      <c r="C8811" s="68"/>
      <c r="D8811" s="68">
        <v>46630.0</v>
      </c>
      <c r="E8811" s="66">
        <v>9.0</v>
      </c>
      <c r="F8811" s="66" t="str">
        <f>IFERROR(__xludf.DUMMYFUNCTION("GOOGLETRANSLATE(A8811,""en"",""pt"")"),"#VALUE!")</f>
        <v>#VALUE!</v>
      </c>
      <c r="G8811" s="69"/>
    </row>
    <row r="8812" ht="22.5" customHeight="1">
      <c r="A8812" s="66"/>
      <c r="B8812" s="67" t="str">
        <f t="shared" si="16"/>
        <v>M: </v>
      </c>
      <c r="C8812" s="68"/>
      <c r="D8812" s="68">
        <v>46631.0</v>
      </c>
      <c r="E8812" s="66">
        <v>10.0</v>
      </c>
      <c r="F8812" s="66" t="str">
        <f>IFERROR(__xludf.DUMMYFUNCTION("GOOGLETRANSLATE(A8812,""en"",""pt"")"),"#VALUE!")</f>
        <v>#VALUE!</v>
      </c>
      <c r="G8812" s="69"/>
    </row>
    <row r="8813" ht="22.5" customHeight="1">
      <c r="A8813" s="66"/>
      <c r="B8813" s="67" t="str">
        <f t="shared" si="16"/>
        <v>M: </v>
      </c>
      <c r="C8813" s="68"/>
      <c r="D8813" s="68">
        <v>46631.0</v>
      </c>
      <c r="E8813" s="66">
        <v>1.0</v>
      </c>
      <c r="F8813" s="66" t="str">
        <f>IFERROR(__xludf.DUMMYFUNCTION("GOOGLETRANSLATE(A8813,""en"",""pt"")"),"#VALUE!")</f>
        <v>#VALUE!</v>
      </c>
      <c r="G8813" s="69"/>
    </row>
    <row r="8814" ht="22.5" customHeight="1">
      <c r="A8814" s="66"/>
      <c r="B8814" s="67" t="str">
        <f t="shared" si="16"/>
        <v>M: </v>
      </c>
      <c r="C8814" s="68"/>
      <c r="D8814" s="68">
        <v>46631.0</v>
      </c>
      <c r="E8814" s="66">
        <v>2.0</v>
      </c>
      <c r="F8814" s="66" t="str">
        <f>IFERROR(__xludf.DUMMYFUNCTION("GOOGLETRANSLATE(A8814,""en"",""pt"")"),"#VALUE!")</f>
        <v>#VALUE!</v>
      </c>
      <c r="G8814" s="69"/>
    </row>
    <row r="8815" ht="22.5" customHeight="1">
      <c r="A8815" s="66"/>
      <c r="B8815" s="67" t="str">
        <f t="shared" si="16"/>
        <v>M: </v>
      </c>
      <c r="C8815" s="68"/>
      <c r="D8815" s="68">
        <v>46631.0</v>
      </c>
      <c r="E8815" s="66">
        <v>3.0</v>
      </c>
      <c r="F8815" s="66" t="str">
        <f>IFERROR(__xludf.DUMMYFUNCTION("GOOGLETRANSLATE(A8815,""en"",""pt"")"),"#VALUE!")</f>
        <v>#VALUE!</v>
      </c>
      <c r="G8815" s="69"/>
    </row>
    <row r="8816" ht="22.5" customHeight="1">
      <c r="A8816" s="66"/>
      <c r="B8816" s="67" t="str">
        <f t="shared" si="16"/>
        <v>M: </v>
      </c>
      <c r="C8816" s="68"/>
      <c r="D8816" s="68">
        <v>46631.0</v>
      </c>
      <c r="E8816" s="66">
        <v>4.0</v>
      </c>
      <c r="F8816" s="66" t="str">
        <f>IFERROR(__xludf.DUMMYFUNCTION("GOOGLETRANSLATE(A8816,""en"",""pt"")"),"#VALUE!")</f>
        <v>#VALUE!</v>
      </c>
      <c r="G8816" s="69"/>
    </row>
    <row r="8817" ht="22.5" customHeight="1">
      <c r="A8817" s="66"/>
      <c r="B8817" s="67" t="str">
        <f t="shared" si="16"/>
        <v>M: </v>
      </c>
      <c r="C8817" s="68"/>
      <c r="D8817" s="68">
        <v>46631.0</v>
      </c>
      <c r="E8817" s="66">
        <v>5.0</v>
      </c>
      <c r="F8817" s="66" t="str">
        <f>IFERROR(__xludf.DUMMYFUNCTION("GOOGLETRANSLATE(A8817,""en"",""pt"")"),"#VALUE!")</f>
        <v>#VALUE!</v>
      </c>
      <c r="G8817" s="69"/>
    </row>
    <row r="8818" ht="22.5" customHeight="1">
      <c r="A8818" s="66"/>
      <c r="B8818" s="67" t="str">
        <f t="shared" si="16"/>
        <v>M: </v>
      </c>
      <c r="C8818" s="68"/>
      <c r="D8818" s="68">
        <v>46631.0</v>
      </c>
      <c r="E8818" s="66">
        <v>6.0</v>
      </c>
      <c r="F8818" s="66" t="str">
        <f>IFERROR(__xludf.DUMMYFUNCTION("GOOGLETRANSLATE(A8818,""en"",""pt"")"),"#VALUE!")</f>
        <v>#VALUE!</v>
      </c>
      <c r="G8818" s="69"/>
    </row>
    <row r="8819" ht="22.5" customHeight="1">
      <c r="A8819" s="66"/>
      <c r="B8819" s="67" t="str">
        <f t="shared" si="16"/>
        <v>M: </v>
      </c>
      <c r="C8819" s="68"/>
      <c r="D8819" s="68">
        <v>46631.0</v>
      </c>
      <c r="E8819" s="66">
        <v>7.0</v>
      </c>
      <c r="F8819" s="66" t="str">
        <f>IFERROR(__xludf.DUMMYFUNCTION("GOOGLETRANSLATE(A8819,""en"",""pt"")"),"#VALUE!")</f>
        <v>#VALUE!</v>
      </c>
      <c r="G8819" s="69"/>
    </row>
    <row r="8820" ht="22.5" customHeight="1">
      <c r="A8820" s="66"/>
      <c r="B8820" s="67" t="str">
        <f t="shared" si="16"/>
        <v>M: </v>
      </c>
      <c r="C8820" s="68"/>
      <c r="D8820" s="68">
        <v>46631.0</v>
      </c>
      <c r="E8820" s="66">
        <v>8.0</v>
      </c>
      <c r="F8820" s="66" t="str">
        <f>IFERROR(__xludf.DUMMYFUNCTION("GOOGLETRANSLATE(A8820,""en"",""pt"")"),"#VALUE!")</f>
        <v>#VALUE!</v>
      </c>
      <c r="G8820" s="69"/>
    </row>
    <row r="8821" ht="22.5" customHeight="1">
      <c r="A8821" s="66"/>
      <c r="B8821" s="67" t="str">
        <f t="shared" si="16"/>
        <v>M: </v>
      </c>
      <c r="C8821" s="68"/>
      <c r="D8821" s="68">
        <v>46631.0</v>
      </c>
      <c r="E8821" s="66">
        <v>9.0</v>
      </c>
      <c r="F8821" s="66" t="str">
        <f>IFERROR(__xludf.DUMMYFUNCTION("GOOGLETRANSLATE(A8821,""en"",""pt"")"),"#VALUE!")</f>
        <v>#VALUE!</v>
      </c>
      <c r="G8821" s="69"/>
    </row>
    <row r="8822" ht="22.5" customHeight="1">
      <c r="A8822" s="66"/>
      <c r="B8822" s="67" t="str">
        <f t="shared" si="16"/>
        <v>M: </v>
      </c>
      <c r="C8822" s="68"/>
      <c r="D8822" s="68">
        <v>46632.0</v>
      </c>
      <c r="E8822" s="66">
        <v>10.0</v>
      </c>
      <c r="F8822" s="66" t="str">
        <f>IFERROR(__xludf.DUMMYFUNCTION("GOOGLETRANSLATE(A8822,""en"",""pt"")"),"#VALUE!")</f>
        <v>#VALUE!</v>
      </c>
      <c r="G8822" s="69"/>
    </row>
    <row r="8823" ht="22.5" customHeight="1">
      <c r="A8823" s="66"/>
      <c r="B8823" s="67" t="str">
        <f t="shared" si="16"/>
        <v>M: </v>
      </c>
      <c r="C8823" s="68"/>
      <c r="D8823" s="68">
        <v>46632.0</v>
      </c>
      <c r="E8823" s="66">
        <v>1.0</v>
      </c>
      <c r="F8823" s="66" t="str">
        <f>IFERROR(__xludf.DUMMYFUNCTION("GOOGLETRANSLATE(A8823,""en"",""pt"")"),"#VALUE!")</f>
        <v>#VALUE!</v>
      </c>
      <c r="G8823" s="69"/>
    </row>
    <row r="8824" ht="22.5" customHeight="1">
      <c r="A8824" s="66"/>
      <c r="B8824" s="67" t="str">
        <f t="shared" si="16"/>
        <v>M: </v>
      </c>
      <c r="C8824" s="68"/>
      <c r="D8824" s="68">
        <v>46632.0</v>
      </c>
      <c r="E8824" s="66">
        <v>2.0</v>
      </c>
      <c r="F8824" s="66" t="str">
        <f>IFERROR(__xludf.DUMMYFUNCTION("GOOGLETRANSLATE(A8824,""en"",""pt"")"),"#VALUE!")</f>
        <v>#VALUE!</v>
      </c>
      <c r="G8824" s="69"/>
    </row>
    <row r="8825" ht="22.5" customHeight="1">
      <c r="A8825" s="66"/>
      <c r="B8825" s="67" t="str">
        <f t="shared" si="16"/>
        <v>M: </v>
      </c>
      <c r="C8825" s="68"/>
      <c r="D8825" s="68">
        <v>46632.0</v>
      </c>
      <c r="E8825" s="66">
        <v>3.0</v>
      </c>
      <c r="F8825" s="66" t="str">
        <f>IFERROR(__xludf.DUMMYFUNCTION("GOOGLETRANSLATE(A8825,""en"",""pt"")"),"#VALUE!")</f>
        <v>#VALUE!</v>
      </c>
      <c r="G8825" s="69"/>
    </row>
    <row r="8826" ht="22.5" customHeight="1">
      <c r="A8826" s="66"/>
      <c r="B8826" s="67" t="str">
        <f t="shared" si="16"/>
        <v>M: </v>
      </c>
      <c r="C8826" s="68"/>
      <c r="D8826" s="68">
        <v>46632.0</v>
      </c>
      <c r="E8826" s="66">
        <v>4.0</v>
      </c>
      <c r="F8826" s="66" t="str">
        <f>IFERROR(__xludf.DUMMYFUNCTION("GOOGLETRANSLATE(A8826,""en"",""pt"")"),"#VALUE!")</f>
        <v>#VALUE!</v>
      </c>
      <c r="G8826" s="69"/>
    </row>
    <row r="8827" ht="22.5" customHeight="1">
      <c r="A8827" s="66"/>
      <c r="B8827" s="67" t="str">
        <f t="shared" si="16"/>
        <v>M: </v>
      </c>
      <c r="C8827" s="68"/>
      <c r="D8827" s="68">
        <v>46632.0</v>
      </c>
      <c r="E8827" s="66">
        <v>5.0</v>
      </c>
      <c r="F8827" s="66" t="str">
        <f>IFERROR(__xludf.DUMMYFUNCTION("GOOGLETRANSLATE(A8827,""en"",""pt"")"),"#VALUE!")</f>
        <v>#VALUE!</v>
      </c>
      <c r="G8827" s="69"/>
    </row>
    <row r="8828" ht="22.5" customHeight="1">
      <c r="A8828" s="66"/>
      <c r="B8828" s="67" t="str">
        <f t="shared" si="16"/>
        <v>M: </v>
      </c>
      <c r="C8828" s="68"/>
      <c r="D8828" s="68">
        <v>46632.0</v>
      </c>
      <c r="E8828" s="66">
        <v>6.0</v>
      </c>
      <c r="F8828" s="66" t="str">
        <f>IFERROR(__xludf.DUMMYFUNCTION("GOOGLETRANSLATE(A8828,""en"",""pt"")"),"#VALUE!")</f>
        <v>#VALUE!</v>
      </c>
      <c r="G8828" s="69"/>
    </row>
    <row r="8829" ht="22.5" customHeight="1">
      <c r="A8829" s="66"/>
      <c r="B8829" s="67" t="str">
        <f t="shared" si="16"/>
        <v>M: </v>
      </c>
      <c r="C8829" s="68"/>
      <c r="D8829" s="68">
        <v>46632.0</v>
      </c>
      <c r="E8829" s="66">
        <v>7.0</v>
      </c>
      <c r="F8829" s="66" t="str">
        <f>IFERROR(__xludf.DUMMYFUNCTION("GOOGLETRANSLATE(A8829,""en"",""pt"")"),"#VALUE!")</f>
        <v>#VALUE!</v>
      </c>
      <c r="G8829" s="69"/>
    </row>
    <row r="8830" ht="22.5" customHeight="1">
      <c r="A8830" s="66"/>
      <c r="B8830" s="67" t="str">
        <f t="shared" si="16"/>
        <v>M: </v>
      </c>
      <c r="C8830" s="68"/>
      <c r="D8830" s="68">
        <v>46632.0</v>
      </c>
      <c r="E8830" s="66">
        <v>8.0</v>
      </c>
      <c r="F8830" s="66" t="str">
        <f>IFERROR(__xludf.DUMMYFUNCTION("GOOGLETRANSLATE(A8830,""en"",""pt"")"),"#VALUE!")</f>
        <v>#VALUE!</v>
      </c>
      <c r="G8830" s="69"/>
    </row>
    <row r="8831" ht="22.5" customHeight="1">
      <c r="A8831" s="66"/>
      <c r="B8831" s="67" t="str">
        <f t="shared" si="16"/>
        <v>M: </v>
      </c>
      <c r="C8831" s="68"/>
      <c r="D8831" s="68">
        <v>46632.0</v>
      </c>
      <c r="E8831" s="66">
        <v>9.0</v>
      </c>
      <c r="F8831" s="66" t="str">
        <f>IFERROR(__xludf.DUMMYFUNCTION("GOOGLETRANSLATE(A8831,""en"",""pt"")"),"#VALUE!")</f>
        <v>#VALUE!</v>
      </c>
      <c r="G8831" s="69"/>
    </row>
    <row r="8832" ht="22.5" customHeight="1">
      <c r="A8832" s="66"/>
      <c r="B8832" s="67" t="str">
        <f t="shared" si="16"/>
        <v>M: </v>
      </c>
      <c r="C8832" s="68"/>
      <c r="D8832" s="68">
        <v>46633.0</v>
      </c>
      <c r="E8832" s="66">
        <v>10.0</v>
      </c>
      <c r="F8832" s="66" t="str">
        <f>IFERROR(__xludf.DUMMYFUNCTION("GOOGLETRANSLATE(A8832,""en"",""pt"")"),"#VALUE!")</f>
        <v>#VALUE!</v>
      </c>
      <c r="G8832" s="69"/>
    </row>
    <row r="8833" ht="22.5" customHeight="1">
      <c r="A8833" s="66"/>
      <c r="B8833" s="67" t="str">
        <f t="shared" si="16"/>
        <v>M: </v>
      </c>
      <c r="C8833" s="68"/>
      <c r="D8833" s="68">
        <v>46633.0</v>
      </c>
      <c r="E8833" s="66">
        <v>1.0</v>
      </c>
      <c r="F8833" s="66" t="str">
        <f>IFERROR(__xludf.DUMMYFUNCTION("GOOGLETRANSLATE(A8833,""en"",""pt"")"),"#VALUE!")</f>
        <v>#VALUE!</v>
      </c>
      <c r="G8833" s="69"/>
    </row>
    <row r="8834" ht="22.5" customHeight="1">
      <c r="A8834" s="66"/>
      <c r="B8834" s="67" t="str">
        <f t="shared" si="16"/>
        <v>M: </v>
      </c>
      <c r="C8834" s="68"/>
      <c r="D8834" s="68">
        <v>46633.0</v>
      </c>
      <c r="E8834" s="66">
        <v>2.0</v>
      </c>
      <c r="F8834" s="66" t="str">
        <f>IFERROR(__xludf.DUMMYFUNCTION("GOOGLETRANSLATE(A8834,""en"",""pt"")"),"#VALUE!")</f>
        <v>#VALUE!</v>
      </c>
      <c r="G8834" s="69"/>
    </row>
    <row r="8835" ht="22.5" customHeight="1">
      <c r="A8835" s="66"/>
      <c r="B8835" s="67" t="str">
        <f t="shared" si="16"/>
        <v>M: </v>
      </c>
      <c r="C8835" s="68"/>
      <c r="D8835" s="68">
        <v>46633.0</v>
      </c>
      <c r="E8835" s="66">
        <v>3.0</v>
      </c>
      <c r="F8835" s="66" t="str">
        <f>IFERROR(__xludf.DUMMYFUNCTION("GOOGLETRANSLATE(A8835,""en"",""pt"")"),"#VALUE!")</f>
        <v>#VALUE!</v>
      </c>
      <c r="G8835" s="69"/>
    </row>
    <row r="8836" ht="22.5" customHeight="1">
      <c r="A8836" s="66"/>
      <c r="B8836" s="67" t="str">
        <f t="shared" si="16"/>
        <v>M: </v>
      </c>
      <c r="C8836" s="68"/>
      <c r="D8836" s="68">
        <v>46633.0</v>
      </c>
      <c r="E8836" s="66">
        <v>4.0</v>
      </c>
      <c r="F8836" s="66" t="str">
        <f>IFERROR(__xludf.DUMMYFUNCTION("GOOGLETRANSLATE(A8836,""en"",""pt"")"),"#VALUE!")</f>
        <v>#VALUE!</v>
      </c>
      <c r="G8836" s="69"/>
    </row>
    <row r="8837" ht="22.5" customHeight="1">
      <c r="A8837" s="66"/>
      <c r="B8837" s="67" t="str">
        <f t="shared" si="16"/>
        <v>M: </v>
      </c>
      <c r="C8837" s="68"/>
      <c r="D8837" s="68">
        <v>46633.0</v>
      </c>
      <c r="E8837" s="66">
        <v>5.0</v>
      </c>
      <c r="F8837" s="66" t="str">
        <f>IFERROR(__xludf.DUMMYFUNCTION("GOOGLETRANSLATE(A8837,""en"",""pt"")"),"#VALUE!")</f>
        <v>#VALUE!</v>
      </c>
      <c r="G8837" s="69"/>
    </row>
    <row r="8838" ht="22.5" customHeight="1">
      <c r="A8838" s="66"/>
      <c r="B8838" s="67" t="str">
        <f t="shared" si="16"/>
        <v>M: </v>
      </c>
      <c r="C8838" s="68"/>
      <c r="D8838" s="68">
        <v>46633.0</v>
      </c>
      <c r="E8838" s="66">
        <v>6.0</v>
      </c>
      <c r="F8838" s="66" t="str">
        <f>IFERROR(__xludf.DUMMYFUNCTION("GOOGLETRANSLATE(A8838,""en"",""pt"")"),"#VALUE!")</f>
        <v>#VALUE!</v>
      </c>
      <c r="G8838" s="69"/>
    </row>
    <row r="8839" ht="22.5" customHeight="1">
      <c r="A8839" s="66"/>
      <c r="B8839" s="67" t="str">
        <f t="shared" si="16"/>
        <v>M: </v>
      </c>
      <c r="C8839" s="68"/>
      <c r="D8839" s="68">
        <v>46633.0</v>
      </c>
      <c r="E8839" s="66">
        <v>7.0</v>
      </c>
      <c r="F8839" s="66" t="str">
        <f>IFERROR(__xludf.DUMMYFUNCTION("GOOGLETRANSLATE(A8839,""en"",""pt"")"),"#VALUE!")</f>
        <v>#VALUE!</v>
      </c>
      <c r="G8839" s="69"/>
    </row>
    <row r="8840" ht="22.5" customHeight="1">
      <c r="A8840" s="66"/>
      <c r="B8840" s="67" t="str">
        <f t="shared" si="16"/>
        <v>M: </v>
      </c>
      <c r="C8840" s="68"/>
      <c r="D8840" s="68">
        <v>46633.0</v>
      </c>
      <c r="E8840" s="66">
        <v>8.0</v>
      </c>
      <c r="F8840" s="66" t="str">
        <f>IFERROR(__xludf.DUMMYFUNCTION("GOOGLETRANSLATE(A8840,""en"",""pt"")"),"#VALUE!")</f>
        <v>#VALUE!</v>
      </c>
      <c r="G8840" s="69"/>
    </row>
    <row r="8841" ht="22.5" customHeight="1">
      <c r="A8841" s="66"/>
      <c r="B8841" s="67" t="str">
        <f t="shared" si="16"/>
        <v>M: </v>
      </c>
      <c r="C8841" s="68"/>
      <c r="D8841" s="68">
        <v>46633.0</v>
      </c>
      <c r="E8841" s="66">
        <v>9.0</v>
      </c>
      <c r="F8841" s="66" t="str">
        <f>IFERROR(__xludf.DUMMYFUNCTION("GOOGLETRANSLATE(A8841,""en"",""pt"")"),"#VALUE!")</f>
        <v>#VALUE!</v>
      </c>
      <c r="G8841" s="69"/>
    </row>
    <row r="8842" ht="22.5" customHeight="1">
      <c r="A8842" s="66"/>
      <c r="B8842" s="67" t="str">
        <f t="shared" si="16"/>
        <v>M: </v>
      </c>
      <c r="C8842" s="68"/>
      <c r="D8842" s="68">
        <v>46634.0</v>
      </c>
      <c r="E8842" s="66">
        <v>10.0</v>
      </c>
      <c r="F8842" s="66" t="str">
        <f>IFERROR(__xludf.DUMMYFUNCTION("GOOGLETRANSLATE(A8842,""en"",""pt"")"),"#VALUE!")</f>
        <v>#VALUE!</v>
      </c>
      <c r="G8842" s="69"/>
    </row>
    <row r="8843" ht="22.5" customHeight="1">
      <c r="A8843" s="66"/>
      <c r="B8843" s="67" t="str">
        <f t="shared" si="16"/>
        <v>M: </v>
      </c>
      <c r="C8843" s="68"/>
      <c r="D8843" s="68">
        <v>46634.0</v>
      </c>
      <c r="E8843" s="66">
        <v>1.0</v>
      </c>
      <c r="F8843" s="66" t="str">
        <f>IFERROR(__xludf.DUMMYFUNCTION("GOOGLETRANSLATE(A8843,""en"",""pt"")"),"#VALUE!")</f>
        <v>#VALUE!</v>
      </c>
      <c r="G8843" s="69"/>
    </row>
    <row r="8844" ht="22.5" customHeight="1">
      <c r="A8844" s="66"/>
      <c r="B8844" s="67" t="str">
        <f t="shared" si="16"/>
        <v>M: </v>
      </c>
      <c r="C8844" s="68"/>
      <c r="D8844" s="68">
        <v>46634.0</v>
      </c>
      <c r="E8844" s="66">
        <v>2.0</v>
      </c>
      <c r="F8844" s="66" t="str">
        <f>IFERROR(__xludf.DUMMYFUNCTION("GOOGLETRANSLATE(A8844,""en"",""pt"")"),"#VALUE!")</f>
        <v>#VALUE!</v>
      </c>
      <c r="G8844" s="69"/>
    </row>
    <row r="8845" ht="22.5" customHeight="1">
      <c r="A8845" s="66"/>
      <c r="B8845" s="67" t="str">
        <f t="shared" si="16"/>
        <v>M: </v>
      </c>
      <c r="C8845" s="68"/>
      <c r="D8845" s="68">
        <v>46634.0</v>
      </c>
      <c r="E8845" s="66">
        <v>3.0</v>
      </c>
      <c r="F8845" s="66" t="str">
        <f>IFERROR(__xludf.DUMMYFUNCTION("GOOGLETRANSLATE(A8845,""en"",""pt"")"),"#VALUE!")</f>
        <v>#VALUE!</v>
      </c>
      <c r="G8845" s="69"/>
    </row>
    <row r="8846" ht="22.5" customHeight="1">
      <c r="A8846" s="66"/>
      <c r="B8846" s="67" t="str">
        <f t="shared" si="16"/>
        <v>M: </v>
      </c>
      <c r="C8846" s="68"/>
      <c r="D8846" s="68">
        <v>46634.0</v>
      </c>
      <c r="E8846" s="66">
        <v>4.0</v>
      </c>
      <c r="F8846" s="66" t="str">
        <f>IFERROR(__xludf.DUMMYFUNCTION("GOOGLETRANSLATE(A8846,""en"",""pt"")"),"#VALUE!")</f>
        <v>#VALUE!</v>
      </c>
      <c r="G8846" s="69"/>
    </row>
    <row r="8847" ht="22.5" customHeight="1">
      <c r="A8847" s="66"/>
      <c r="B8847" s="67" t="str">
        <f t="shared" si="16"/>
        <v>M: </v>
      </c>
      <c r="C8847" s="68"/>
      <c r="D8847" s="68">
        <v>46634.0</v>
      </c>
      <c r="E8847" s="66">
        <v>5.0</v>
      </c>
      <c r="F8847" s="66" t="str">
        <f>IFERROR(__xludf.DUMMYFUNCTION("GOOGLETRANSLATE(A8847,""en"",""pt"")"),"#VALUE!")</f>
        <v>#VALUE!</v>
      </c>
      <c r="G8847" s="69"/>
    </row>
    <row r="8848" ht="22.5" customHeight="1">
      <c r="A8848" s="66"/>
      <c r="B8848" s="67" t="str">
        <f t="shared" si="16"/>
        <v>M: </v>
      </c>
      <c r="C8848" s="68"/>
      <c r="D8848" s="68">
        <v>46634.0</v>
      </c>
      <c r="E8848" s="66">
        <v>6.0</v>
      </c>
      <c r="F8848" s="66" t="str">
        <f>IFERROR(__xludf.DUMMYFUNCTION("GOOGLETRANSLATE(A8848,""en"",""pt"")"),"#VALUE!")</f>
        <v>#VALUE!</v>
      </c>
      <c r="G8848" s="69"/>
    </row>
    <row r="8849" ht="22.5" customHeight="1">
      <c r="A8849" s="66"/>
      <c r="B8849" s="67" t="str">
        <f t="shared" si="16"/>
        <v>M: </v>
      </c>
      <c r="C8849" s="68"/>
      <c r="D8849" s="68">
        <v>46634.0</v>
      </c>
      <c r="E8849" s="66">
        <v>7.0</v>
      </c>
      <c r="F8849" s="66" t="str">
        <f>IFERROR(__xludf.DUMMYFUNCTION("GOOGLETRANSLATE(A8849,""en"",""pt"")"),"#VALUE!")</f>
        <v>#VALUE!</v>
      </c>
      <c r="G8849" s="69"/>
    </row>
    <row r="8850" ht="22.5" customHeight="1">
      <c r="A8850" s="66"/>
      <c r="B8850" s="67" t="str">
        <f t="shared" si="16"/>
        <v>M: </v>
      </c>
      <c r="C8850" s="68"/>
      <c r="D8850" s="68">
        <v>46634.0</v>
      </c>
      <c r="E8850" s="66">
        <v>8.0</v>
      </c>
      <c r="F8850" s="66" t="str">
        <f>IFERROR(__xludf.DUMMYFUNCTION("GOOGLETRANSLATE(A8850,""en"",""pt"")"),"#VALUE!")</f>
        <v>#VALUE!</v>
      </c>
      <c r="G8850" s="69"/>
    </row>
    <row r="8851" ht="22.5" customHeight="1">
      <c r="A8851" s="66"/>
      <c r="B8851" s="67" t="str">
        <f t="shared" si="16"/>
        <v>M: </v>
      </c>
      <c r="C8851" s="68"/>
      <c r="D8851" s="68">
        <v>46634.0</v>
      </c>
      <c r="E8851" s="66">
        <v>9.0</v>
      </c>
      <c r="F8851" s="66" t="str">
        <f>IFERROR(__xludf.DUMMYFUNCTION("GOOGLETRANSLATE(A8851,""en"",""pt"")"),"#VALUE!")</f>
        <v>#VALUE!</v>
      </c>
      <c r="G8851" s="69"/>
    </row>
    <row r="8852" ht="22.5" customHeight="1">
      <c r="A8852" s="66"/>
      <c r="B8852" s="67" t="str">
        <f t="shared" si="16"/>
        <v>M: </v>
      </c>
      <c r="C8852" s="68"/>
      <c r="D8852" s="68">
        <v>46635.0</v>
      </c>
      <c r="E8852" s="66">
        <v>10.0</v>
      </c>
      <c r="F8852" s="66" t="str">
        <f>IFERROR(__xludf.DUMMYFUNCTION("GOOGLETRANSLATE(A8852,""en"",""pt"")"),"#VALUE!")</f>
        <v>#VALUE!</v>
      </c>
      <c r="G8852" s="69"/>
    </row>
    <row r="8853" ht="22.5" customHeight="1">
      <c r="A8853" s="66"/>
      <c r="B8853" s="67" t="str">
        <f t="shared" si="16"/>
        <v>M: </v>
      </c>
      <c r="C8853" s="68"/>
      <c r="D8853" s="68">
        <v>46635.0</v>
      </c>
      <c r="E8853" s="66">
        <v>1.0</v>
      </c>
      <c r="F8853" s="66" t="str">
        <f>IFERROR(__xludf.DUMMYFUNCTION("GOOGLETRANSLATE(A8853,""en"",""pt"")"),"#VALUE!")</f>
        <v>#VALUE!</v>
      </c>
      <c r="G8853" s="69"/>
    </row>
    <row r="8854" ht="22.5" customHeight="1">
      <c r="A8854" s="66"/>
      <c r="B8854" s="67" t="str">
        <f t="shared" si="16"/>
        <v>M: </v>
      </c>
      <c r="C8854" s="68"/>
      <c r="D8854" s="68">
        <v>46635.0</v>
      </c>
      <c r="E8854" s="66">
        <v>2.0</v>
      </c>
      <c r="F8854" s="66" t="str">
        <f>IFERROR(__xludf.DUMMYFUNCTION("GOOGLETRANSLATE(A8854,""en"",""pt"")"),"#VALUE!")</f>
        <v>#VALUE!</v>
      </c>
      <c r="G8854" s="69"/>
    </row>
    <row r="8855" ht="22.5" customHeight="1">
      <c r="A8855" s="66"/>
      <c r="B8855" s="67" t="str">
        <f t="shared" si="16"/>
        <v>M: </v>
      </c>
      <c r="C8855" s="68"/>
      <c r="D8855" s="68">
        <v>46635.0</v>
      </c>
      <c r="E8855" s="66">
        <v>3.0</v>
      </c>
      <c r="F8855" s="66" t="str">
        <f>IFERROR(__xludf.DUMMYFUNCTION("GOOGLETRANSLATE(A8855,""en"",""pt"")"),"#VALUE!")</f>
        <v>#VALUE!</v>
      </c>
      <c r="G8855" s="69"/>
    </row>
    <row r="8856" ht="22.5" customHeight="1">
      <c r="A8856" s="66"/>
      <c r="B8856" s="67" t="str">
        <f t="shared" si="16"/>
        <v>M: </v>
      </c>
      <c r="C8856" s="68"/>
      <c r="D8856" s="68">
        <v>46635.0</v>
      </c>
      <c r="E8856" s="66">
        <v>4.0</v>
      </c>
      <c r="F8856" s="66" t="str">
        <f>IFERROR(__xludf.DUMMYFUNCTION("GOOGLETRANSLATE(A8856,""en"",""pt"")"),"#VALUE!")</f>
        <v>#VALUE!</v>
      </c>
      <c r="G8856" s="69"/>
    </row>
    <row r="8857" ht="22.5" customHeight="1">
      <c r="A8857" s="66"/>
      <c r="B8857" s="67" t="str">
        <f t="shared" si="16"/>
        <v>M: </v>
      </c>
      <c r="C8857" s="68"/>
      <c r="D8857" s="68">
        <v>46635.0</v>
      </c>
      <c r="E8857" s="66">
        <v>5.0</v>
      </c>
      <c r="F8857" s="66" t="str">
        <f>IFERROR(__xludf.DUMMYFUNCTION("GOOGLETRANSLATE(A8857,""en"",""pt"")"),"#VALUE!")</f>
        <v>#VALUE!</v>
      </c>
      <c r="G8857" s="69"/>
    </row>
    <row r="8858" ht="22.5" customHeight="1">
      <c r="A8858" s="66"/>
      <c r="B8858" s="67" t="str">
        <f t="shared" si="16"/>
        <v>M: </v>
      </c>
      <c r="C8858" s="68"/>
      <c r="D8858" s="68">
        <v>46635.0</v>
      </c>
      <c r="E8858" s="66">
        <v>6.0</v>
      </c>
      <c r="F8858" s="66" t="str">
        <f>IFERROR(__xludf.DUMMYFUNCTION("GOOGLETRANSLATE(A8858,""en"",""pt"")"),"#VALUE!")</f>
        <v>#VALUE!</v>
      </c>
      <c r="G8858" s="69"/>
    </row>
    <row r="8859" ht="22.5" customHeight="1">
      <c r="A8859" s="66"/>
      <c r="B8859" s="67" t="str">
        <f t="shared" si="16"/>
        <v>M: </v>
      </c>
      <c r="C8859" s="68"/>
      <c r="D8859" s="68">
        <v>46635.0</v>
      </c>
      <c r="E8859" s="66">
        <v>7.0</v>
      </c>
      <c r="F8859" s="66" t="str">
        <f>IFERROR(__xludf.DUMMYFUNCTION("GOOGLETRANSLATE(A8859,""en"",""pt"")"),"#VALUE!")</f>
        <v>#VALUE!</v>
      </c>
      <c r="G8859" s="69"/>
    </row>
    <row r="8860" ht="22.5" customHeight="1">
      <c r="A8860" s="66"/>
      <c r="B8860" s="67" t="str">
        <f t="shared" si="16"/>
        <v>M: </v>
      </c>
      <c r="C8860" s="68"/>
      <c r="D8860" s="68">
        <v>46635.0</v>
      </c>
      <c r="E8860" s="66">
        <v>8.0</v>
      </c>
      <c r="F8860" s="66" t="str">
        <f>IFERROR(__xludf.DUMMYFUNCTION("GOOGLETRANSLATE(A8860,""en"",""pt"")"),"#VALUE!")</f>
        <v>#VALUE!</v>
      </c>
      <c r="G8860" s="69"/>
    </row>
    <row r="8861" ht="22.5" customHeight="1">
      <c r="A8861" s="66"/>
      <c r="B8861" s="67" t="str">
        <f t="shared" si="16"/>
        <v>M: </v>
      </c>
      <c r="C8861" s="68"/>
      <c r="D8861" s="68">
        <v>46635.0</v>
      </c>
      <c r="E8861" s="66">
        <v>9.0</v>
      </c>
      <c r="F8861" s="66" t="str">
        <f>IFERROR(__xludf.DUMMYFUNCTION("GOOGLETRANSLATE(A8861,""en"",""pt"")"),"#VALUE!")</f>
        <v>#VALUE!</v>
      </c>
      <c r="G8861" s="69"/>
    </row>
    <row r="8862" ht="22.5" customHeight="1">
      <c r="A8862" s="66"/>
      <c r="B8862" s="67" t="str">
        <f t="shared" si="16"/>
        <v>M: </v>
      </c>
      <c r="C8862" s="68"/>
      <c r="D8862" s="68">
        <v>46636.0</v>
      </c>
      <c r="E8862" s="66">
        <v>10.0</v>
      </c>
      <c r="F8862" s="66" t="str">
        <f>IFERROR(__xludf.DUMMYFUNCTION("GOOGLETRANSLATE(A8862,""en"",""pt"")"),"#VALUE!")</f>
        <v>#VALUE!</v>
      </c>
      <c r="G8862" s="69"/>
    </row>
    <row r="8863" ht="22.5" customHeight="1">
      <c r="A8863" s="66"/>
      <c r="B8863" s="67" t="str">
        <f t="shared" si="16"/>
        <v>M: </v>
      </c>
      <c r="C8863" s="68"/>
      <c r="D8863" s="68">
        <v>46636.0</v>
      </c>
      <c r="E8863" s="66">
        <v>1.0</v>
      </c>
      <c r="F8863" s="66" t="str">
        <f>IFERROR(__xludf.DUMMYFUNCTION("GOOGLETRANSLATE(A8863,""en"",""pt"")"),"#VALUE!")</f>
        <v>#VALUE!</v>
      </c>
      <c r="G8863" s="69"/>
    </row>
    <row r="8864" ht="22.5" customHeight="1">
      <c r="A8864" s="66"/>
      <c r="B8864" s="67" t="str">
        <f t="shared" si="16"/>
        <v>M: </v>
      </c>
      <c r="C8864" s="68"/>
      <c r="D8864" s="68">
        <v>46636.0</v>
      </c>
      <c r="E8864" s="66">
        <v>2.0</v>
      </c>
      <c r="F8864" s="66" t="str">
        <f>IFERROR(__xludf.DUMMYFUNCTION("GOOGLETRANSLATE(A8864,""en"",""pt"")"),"#VALUE!")</f>
        <v>#VALUE!</v>
      </c>
      <c r="G8864" s="69"/>
    </row>
    <row r="8865" ht="22.5" customHeight="1">
      <c r="A8865" s="66"/>
      <c r="B8865" s="67" t="str">
        <f t="shared" si="16"/>
        <v>M: </v>
      </c>
      <c r="C8865" s="68"/>
      <c r="D8865" s="68">
        <v>46636.0</v>
      </c>
      <c r="E8865" s="66">
        <v>3.0</v>
      </c>
      <c r="F8865" s="66" t="str">
        <f>IFERROR(__xludf.DUMMYFUNCTION("GOOGLETRANSLATE(A8865,""en"",""pt"")"),"#VALUE!")</f>
        <v>#VALUE!</v>
      </c>
      <c r="G8865" s="69"/>
    </row>
    <row r="8866" ht="22.5" customHeight="1">
      <c r="A8866" s="66"/>
      <c r="B8866" s="67" t="str">
        <f t="shared" si="16"/>
        <v>M: </v>
      </c>
      <c r="C8866" s="68"/>
      <c r="D8866" s="68">
        <v>46636.0</v>
      </c>
      <c r="E8866" s="66">
        <v>4.0</v>
      </c>
      <c r="F8866" s="66" t="str">
        <f>IFERROR(__xludf.DUMMYFUNCTION("GOOGLETRANSLATE(A8866,""en"",""pt"")"),"#VALUE!")</f>
        <v>#VALUE!</v>
      </c>
      <c r="G8866" s="69"/>
    </row>
    <row r="8867" ht="22.5" customHeight="1">
      <c r="A8867" s="66"/>
      <c r="B8867" s="67" t="str">
        <f t="shared" si="16"/>
        <v>M: </v>
      </c>
      <c r="C8867" s="68"/>
      <c r="D8867" s="68">
        <v>46636.0</v>
      </c>
      <c r="E8867" s="66">
        <v>5.0</v>
      </c>
      <c r="F8867" s="66" t="str">
        <f>IFERROR(__xludf.DUMMYFUNCTION("GOOGLETRANSLATE(A8867,""en"",""pt"")"),"#VALUE!")</f>
        <v>#VALUE!</v>
      </c>
      <c r="G8867" s="69"/>
    </row>
    <row r="8868" ht="22.5" customHeight="1">
      <c r="A8868" s="66"/>
      <c r="B8868" s="67" t="str">
        <f t="shared" si="16"/>
        <v>M: </v>
      </c>
      <c r="C8868" s="68"/>
      <c r="D8868" s="68">
        <v>46636.0</v>
      </c>
      <c r="E8868" s="66">
        <v>6.0</v>
      </c>
      <c r="F8868" s="66" t="str">
        <f>IFERROR(__xludf.DUMMYFUNCTION("GOOGLETRANSLATE(A8868,""en"",""pt"")"),"#VALUE!")</f>
        <v>#VALUE!</v>
      </c>
      <c r="G8868" s="69"/>
    </row>
    <row r="8869" ht="22.5" customHeight="1">
      <c r="A8869" s="66"/>
      <c r="B8869" s="67" t="str">
        <f t="shared" si="16"/>
        <v>M: </v>
      </c>
      <c r="C8869" s="68"/>
      <c r="D8869" s="68">
        <v>46636.0</v>
      </c>
      <c r="E8869" s="66">
        <v>7.0</v>
      </c>
      <c r="F8869" s="66" t="str">
        <f>IFERROR(__xludf.DUMMYFUNCTION("GOOGLETRANSLATE(A8869,""en"",""pt"")"),"#VALUE!")</f>
        <v>#VALUE!</v>
      </c>
      <c r="G8869" s="69"/>
    </row>
    <row r="8870" ht="22.5" customHeight="1">
      <c r="A8870" s="66"/>
      <c r="B8870" s="67" t="str">
        <f t="shared" si="16"/>
        <v>M: </v>
      </c>
      <c r="C8870" s="68"/>
      <c r="D8870" s="68">
        <v>46636.0</v>
      </c>
      <c r="E8870" s="66">
        <v>8.0</v>
      </c>
      <c r="F8870" s="66" t="str">
        <f>IFERROR(__xludf.DUMMYFUNCTION("GOOGLETRANSLATE(A8870,""en"",""pt"")"),"#VALUE!")</f>
        <v>#VALUE!</v>
      </c>
      <c r="G8870" s="69"/>
    </row>
    <row r="8871" ht="22.5" customHeight="1">
      <c r="A8871" s="66"/>
      <c r="B8871" s="67" t="str">
        <f t="shared" si="16"/>
        <v>M: </v>
      </c>
      <c r="C8871" s="68"/>
      <c r="D8871" s="68">
        <v>46636.0</v>
      </c>
      <c r="E8871" s="66">
        <v>9.0</v>
      </c>
      <c r="F8871" s="66" t="str">
        <f>IFERROR(__xludf.DUMMYFUNCTION("GOOGLETRANSLATE(A8871,""en"",""pt"")"),"#VALUE!")</f>
        <v>#VALUE!</v>
      </c>
      <c r="G8871" s="69"/>
    </row>
    <row r="8872" ht="22.5" customHeight="1">
      <c r="A8872" s="66"/>
      <c r="B8872" s="67" t="str">
        <f t="shared" si="16"/>
        <v>M: </v>
      </c>
      <c r="C8872" s="68"/>
      <c r="D8872" s="68">
        <v>46637.0</v>
      </c>
      <c r="E8872" s="66">
        <v>10.0</v>
      </c>
      <c r="F8872" s="66" t="str">
        <f>IFERROR(__xludf.DUMMYFUNCTION("GOOGLETRANSLATE(A8872,""en"",""pt"")"),"#VALUE!")</f>
        <v>#VALUE!</v>
      </c>
      <c r="G8872" s="69"/>
    </row>
    <row r="8873" ht="22.5" customHeight="1">
      <c r="A8873" s="66"/>
      <c r="B8873" s="67" t="str">
        <f t="shared" si="16"/>
        <v>M: </v>
      </c>
      <c r="C8873" s="68"/>
      <c r="D8873" s="68">
        <v>46637.0</v>
      </c>
      <c r="E8873" s="66">
        <v>1.0</v>
      </c>
      <c r="F8873" s="66" t="str">
        <f>IFERROR(__xludf.DUMMYFUNCTION("GOOGLETRANSLATE(A8873,""en"",""pt"")"),"#VALUE!")</f>
        <v>#VALUE!</v>
      </c>
      <c r="G8873" s="69"/>
    </row>
    <row r="8874" ht="22.5" customHeight="1">
      <c r="A8874" s="66"/>
      <c r="B8874" s="67" t="str">
        <f t="shared" si="16"/>
        <v>M: </v>
      </c>
      <c r="C8874" s="68"/>
      <c r="D8874" s="68">
        <v>46637.0</v>
      </c>
      <c r="E8874" s="66">
        <v>2.0</v>
      </c>
      <c r="F8874" s="66" t="str">
        <f>IFERROR(__xludf.DUMMYFUNCTION("GOOGLETRANSLATE(A8874,""en"",""pt"")"),"#VALUE!")</f>
        <v>#VALUE!</v>
      </c>
      <c r="G8874" s="69"/>
    </row>
    <row r="8875" ht="22.5" customHeight="1">
      <c r="A8875" s="66"/>
      <c r="B8875" s="67" t="str">
        <f t="shared" si="16"/>
        <v>M: </v>
      </c>
      <c r="C8875" s="68"/>
      <c r="D8875" s="68">
        <v>46637.0</v>
      </c>
      <c r="E8875" s="66">
        <v>3.0</v>
      </c>
      <c r="F8875" s="66" t="str">
        <f>IFERROR(__xludf.DUMMYFUNCTION("GOOGLETRANSLATE(A8875,""en"",""pt"")"),"#VALUE!")</f>
        <v>#VALUE!</v>
      </c>
      <c r="G8875" s="69"/>
    </row>
    <row r="8876" ht="22.5" customHeight="1">
      <c r="A8876" s="66"/>
      <c r="B8876" s="67" t="str">
        <f t="shared" si="16"/>
        <v>M: </v>
      </c>
      <c r="C8876" s="68"/>
      <c r="D8876" s="68">
        <v>46637.0</v>
      </c>
      <c r="E8876" s="66">
        <v>4.0</v>
      </c>
      <c r="F8876" s="66" t="str">
        <f>IFERROR(__xludf.DUMMYFUNCTION("GOOGLETRANSLATE(A8876,""en"",""pt"")"),"#VALUE!")</f>
        <v>#VALUE!</v>
      </c>
      <c r="G8876" s="69"/>
    </row>
    <row r="8877" ht="22.5" customHeight="1">
      <c r="A8877" s="66"/>
      <c r="B8877" s="67" t="str">
        <f t="shared" si="16"/>
        <v>M: </v>
      </c>
      <c r="C8877" s="68"/>
      <c r="D8877" s="68">
        <v>46637.0</v>
      </c>
      <c r="E8877" s="66">
        <v>5.0</v>
      </c>
      <c r="F8877" s="66" t="str">
        <f>IFERROR(__xludf.DUMMYFUNCTION("GOOGLETRANSLATE(A8877,""en"",""pt"")"),"#VALUE!")</f>
        <v>#VALUE!</v>
      </c>
      <c r="G8877" s="69"/>
    </row>
    <row r="8878" ht="22.5" customHeight="1">
      <c r="A8878" s="66"/>
      <c r="B8878" s="67" t="str">
        <f t="shared" si="16"/>
        <v>M: </v>
      </c>
      <c r="C8878" s="68"/>
      <c r="D8878" s="68">
        <v>46637.0</v>
      </c>
      <c r="E8878" s="66">
        <v>6.0</v>
      </c>
      <c r="F8878" s="66" t="str">
        <f>IFERROR(__xludf.DUMMYFUNCTION("GOOGLETRANSLATE(A8878,""en"",""pt"")"),"#VALUE!")</f>
        <v>#VALUE!</v>
      </c>
      <c r="G8878" s="69"/>
    </row>
    <row r="8879" ht="22.5" customHeight="1">
      <c r="A8879" s="66"/>
      <c r="B8879" s="67" t="str">
        <f t="shared" si="16"/>
        <v>M: </v>
      </c>
      <c r="C8879" s="68"/>
      <c r="D8879" s="68">
        <v>46637.0</v>
      </c>
      <c r="E8879" s="66">
        <v>7.0</v>
      </c>
      <c r="F8879" s="66" t="str">
        <f>IFERROR(__xludf.DUMMYFUNCTION("GOOGLETRANSLATE(A8879,""en"",""pt"")"),"#VALUE!")</f>
        <v>#VALUE!</v>
      </c>
      <c r="G8879" s="69"/>
    </row>
    <row r="8880" ht="22.5" customHeight="1">
      <c r="A8880" s="66"/>
      <c r="B8880" s="67" t="str">
        <f t="shared" si="16"/>
        <v>M: </v>
      </c>
      <c r="C8880" s="68"/>
      <c r="D8880" s="68">
        <v>46637.0</v>
      </c>
      <c r="E8880" s="66">
        <v>8.0</v>
      </c>
      <c r="F8880" s="66" t="str">
        <f>IFERROR(__xludf.DUMMYFUNCTION("GOOGLETRANSLATE(A8880,""en"",""pt"")"),"#VALUE!")</f>
        <v>#VALUE!</v>
      </c>
      <c r="G8880" s="69"/>
    </row>
    <row r="8881" ht="22.5" customHeight="1">
      <c r="A8881" s="66"/>
      <c r="B8881" s="67" t="str">
        <f t="shared" si="16"/>
        <v>M: </v>
      </c>
      <c r="C8881" s="68"/>
      <c r="D8881" s="68">
        <v>46637.0</v>
      </c>
      <c r="E8881" s="66">
        <v>9.0</v>
      </c>
      <c r="F8881" s="66" t="str">
        <f>IFERROR(__xludf.DUMMYFUNCTION("GOOGLETRANSLATE(A8881,""en"",""pt"")"),"#VALUE!")</f>
        <v>#VALUE!</v>
      </c>
      <c r="G8881" s="69"/>
    </row>
    <row r="8882" ht="22.5" customHeight="1">
      <c r="A8882" s="66"/>
      <c r="B8882" s="67" t="str">
        <f t="shared" si="16"/>
        <v>M: </v>
      </c>
      <c r="C8882" s="68"/>
      <c r="D8882" s="68">
        <v>46638.0</v>
      </c>
      <c r="E8882" s="66">
        <v>10.0</v>
      </c>
      <c r="F8882" s="66" t="str">
        <f>IFERROR(__xludf.DUMMYFUNCTION("GOOGLETRANSLATE(A8882,""en"",""pt"")"),"#VALUE!")</f>
        <v>#VALUE!</v>
      </c>
      <c r="G8882" s="69"/>
    </row>
    <row r="8883" ht="22.5" customHeight="1">
      <c r="A8883" s="66"/>
      <c r="B8883" s="67" t="str">
        <f t="shared" si="16"/>
        <v>M: </v>
      </c>
      <c r="C8883" s="68"/>
      <c r="D8883" s="68">
        <v>46638.0</v>
      </c>
      <c r="E8883" s="66">
        <v>1.0</v>
      </c>
      <c r="F8883" s="66" t="str">
        <f>IFERROR(__xludf.DUMMYFUNCTION("GOOGLETRANSLATE(A8883,""en"",""pt"")"),"#VALUE!")</f>
        <v>#VALUE!</v>
      </c>
      <c r="G8883" s="69"/>
    </row>
    <row r="8884" ht="22.5" customHeight="1">
      <c r="A8884" s="66"/>
      <c r="B8884" s="67" t="str">
        <f t="shared" si="16"/>
        <v>M: </v>
      </c>
      <c r="C8884" s="68"/>
      <c r="D8884" s="68">
        <v>46638.0</v>
      </c>
      <c r="E8884" s="66">
        <v>2.0</v>
      </c>
      <c r="F8884" s="66" t="str">
        <f>IFERROR(__xludf.DUMMYFUNCTION("GOOGLETRANSLATE(A8884,""en"",""pt"")"),"#VALUE!")</f>
        <v>#VALUE!</v>
      </c>
      <c r="G8884" s="69"/>
    </row>
    <row r="8885" ht="22.5" customHeight="1">
      <c r="A8885" s="66"/>
      <c r="B8885" s="67" t="str">
        <f t="shared" si="16"/>
        <v>M: </v>
      </c>
      <c r="C8885" s="68"/>
      <c r="D8885" s="68">
        <v>46638.0</v>
      </c>
      <c r="E8885" s="66">
        <v>3.0</v>
      </c>
      <c r="F8885" s="66" t="str">
        <f>IFERROR(__xludf.DUMMYFUNCTION("GOOGLETRANSLATE(A8885,""en"",""pt"")"),"#VALUE!")</f>
        <v>#VALUE!</v>
      </c>
      <c r="G8885" s="69"/>
    </row>
    <row r="8886" ht="22.5" customHeight="1">
      <c r="A8886" s="66"/>
      <c r="B8886" s="67" t="str">
        <f t="shared" si="16"/>
        <v>M: </v>
      </c>
      <c r="C8886" s="68"/>
      <c r="D8886" s="68">
        <v>46638.0</v>
      </c>
      <c r="E8886" s="66">
        <v>4.0</v>
      </c>
      <c r="F8886" s="66" t="str">
        <f>IFERROR(__xludf.DUMMYFUNCTION("GOOGLETRANSLATE(A8886,""en"",""pt"")"),"#VALUE!")</f>
        <v>#VALUE!</v>
      </c>
      <c r="G8886" s="69"/>
    </row>
    <row r="8887" ht="22.5" customHeight="1">
      <c r="A8887" s="66"/>
      <c r="B8887" s="67" t="str">
        <f t="shared" si="16"/>
        <v>M: </v>
      </c>
      <c r="C8887" s="68"/>
      <c r="D8887" s="68">
        <v>46638.0</v>
      </c>
      <c r="E8887" s="66">
        <v>5.0</v>
      </c>
      <c r="F8887" s="66" t="str">
        <f>IFERROR(__xludf.DUMMYFUNCTION("GOOGLETRANSLATE(A8887,""en"",""pt"")"),"#VALUE!")</f>
        <v>#VALUE!</v>
      </c>
      <c r="G8887" s="69"/>
    </row>
    <row r="8888" ht="22.5" customHeight="1">
      <c r="A8888" s="66"/>
      <c r="B8888" s="67" t="str">
        <f t="shared" si="16"/>
        <v>M: </v>
      </c>
      <c r="C8888" s="68"/>
      <c r="D8888" s="68">
        <v>46638.0</v>
      </c>
      <c r="E8888" s="66">
        <v>6.0</v>
      </c>
      <c r="F8888" s="66" t="str">
        <f>IFERROR(__xludf.DUMMYFUNCTION("GOOGLETRANSLATE(A8888,""en"",""pt"")"),"#VALUE!")</f>
        <v>#VALUE!</v>
      </c>
      <c r="G8888" s="69"/>
    </row>
    <row r="8889" ht="22.5" customHeight="1">
      <c r="A8889" s="66"/>
      <c r="B8889" s="67" t="str">
        <f t="shared" si="16"/>
        <v>M: </v>
      </c>
      <c r="C8889" s="68"/>
      <c r="D8889" s="68">
        <v>46638.0</v>
      </c>
      <c r="E8889" s="66">
        <v>7.0</v>
      </c>
      <c r="F8889" s="66" t="str">
        <f>IFERROR(__xludf.DUMMYFUNCTION("GOOGLETRANSLATE(A8889,""en"",""pt"")"),"#VALUE!")</f>
        <v>#VALUE!</v>
      </c>
      <c r="G8889" s="69"/>
    </row>
    <row r="8890" ht="22.5" customHeight="1">
      <c r="A8890" s="66"/>
      <c r="B8890" s="67" t="str">
        <f t="shared" si="16"/>
        <v>M: </v>
      </c>
      <c r="C8890" s="68"/>
      <c r="D8890" s="68">
        <v>46638.0</v>
      </c>
      <c r="E8890" s="66">
        <v>8.0</v>
      </c>
      <c r="F8890" s="66" t="str">
        <f>IFERROR(__xludf.DUMMYFUNCTION("GOOGLETRANSLATE(A8890,""en"",""pt"")"),"#VALUE!")</f>
        <v>#VALUE!</v>
      </c>
      <c r="G8890" s="69"/>
    </row>
    <row r="8891" ht="22.5" customHeight="1">
      <c r="A8891" s="66"/>
      <c r="B8891" s="67" t="str">
        <f t="shared" si="16"/>
        <v>M: </v>
      </c>
      <c r="C8891" s="68"/>
      <c r="D8891" s="68">
        <v>46638.0</v>
      </c>
      <c r="E8891" s="66">
        <v>9.0</v>
      </c>
      <c r="F8891" s="66" t="str">
        <f>IFERROR(__xludf.DUMMYFUNCTION("GOOGLETRANSLATE(A8891,""en"",""pt"")"),"#VALUE!")</f>
        <v>#VALUE!</v>
      </c>
      <c r="G8891" s="69"/>
    </row>
    <row r="8892" ht="22.5" customHeight="1">
      <c r="A8892" s="66"/>
      <c r="B8892" s="67" t="str">
        <f t="shared" si="16"/>
        <v>M: </v>
      </c>
      <c r="C8892" s="68"/>
      <c r="D8892" s="68">
        <v>46639.0</v>
      </c>
      <c r="E8892" s="66">
        <v>10.0</v>
      </c>
      <c r="F8892" s="66" t="str">
        <f>IFERROR(__xludf.DUMMYFUNCTION("GOOGLETRANSLATE(A8892,""en"",""pt"")"),"#VALUE!")</f>
        <v>#VALUE!</v>
      </c>
      <c r="G8892" s="69"/>
    </row>
    <row r="8893" ht="22.5" customHeight="1">
      <c r="A8893" s="66"/>
      <c r="B8893" s="67" t="str">
        <f t="shared" si="16"/>
        <v>M: </v>
      </c>
      <c r="C8893" s="68"/>
      <c r="D8893" s="68">
        <v>46639.0</v>
      </c>
      <c r="E8893" s="66">
        <v>1.0</v>
      </c>
      <c r="F8893" s="66" t="str">
        <f>IFERROR(__xludf.DUMMYFUNCTION("GOOGLETRANSLATE(A8893,""en"",""pt"")"),"#VALUE!")</f>
        <v>#VALUE!</v>
      </c>
      <c r="G8893" s="69"/>
    </row>
    <row r="8894" ht="22.5" customHeight="1">
      <c r="A8894" s="66"/>
      <c r="B8894" s="67" t="str">
        <f t="shared" si="16"/>
        <v>M: </v>
      </c>
      <c r="C8894" s="68"/>
      <c r="D8894" s="68">
        <v>46639.0</v>
      </c>
      <c r="E8894" s="66">
        <v>2.0</v>
      </c>
      <c r="F8894" s="66" t="str">
        <f>IFERROR(__xludf.DUMMYFUNCTION("GOOGLETRANSLATE(A8894,""en"",""pt"")"),"#VALUE!")</f>
        <v>#VALUE!</v>
      </c>
      <c r="G8894" s="69"/>
    </row>
    <row r="8895" ht="22.5" customHeight="1">
      <c r="A8895" s="66"/>
      <c r="B8895" s="67" t="str">
        <f t="shared" si="16"/>
        <v>M: </v>
      </c>
      <c r="C8895" s="68"/>
      <c r="D8895" s="68">
        <v>46639.0</v>
      </c>
      <c r="E8895" s="66">
        <v>3.0</v>
      </c>
      <c r="F8895" s="66" t="str">
        <f>IFERROR(__xludf.DUMMYFUNCTION("GOOGLETRANSLATE(A8895,""en"",""pt"")"),"#VALUE!")</f>
        <v>#VALUE!</v>
      </c>
      <c r="G8895" s="69"/>
    </row>
    <row r="8896" ht="22.5" customHeight="1">
      <c r="A8896" s="66"/>
      <c r="B8896" s="67" t="str">
        <f t="shared" si="16"/>
        <v>M: </v>
      </c>
      <c r="C8896" s="68"/>
      <c r="D8896" s="68">
        <v>46639.0</v>
      </c>
      <c r="E8896" s="66">
        <v>4.0</v>
      </c>
      <c r="F8896" s="66" t="str">
        <f>IFERROR(__xludf.DUMMYFUNCTION("GOOGLETRANSLATE(A8896,""en"",""pt"")"),"#VALUE!")</f>
        <v>#VALUE!</v>
      </c>
      <c r="G8896" s="69"/>
    </row>
    <row r="8897" ht="22.5" customHeight="1">
      <c r="A8897" s="66"/>
      <c r="B8897" s="67" t="str">
        <f t="shared" si="16"/>
        <v>M: </v>
      </c>
      <c r="C8897" s="68"/>
      <c r="D8897" s="68">
        <v>46639.0</v>
      </c>
      <c r="E8897" s="66">
        <v>5.0</v>
      </c>
      <c r="F8897" s="66" t="str">
        <f>IFERROR(__xludf.DUMMYFUNCTION("GOOGLETRANSLATE(A8897,""en"",""pt"")"),"#VALUE!")</f>
        <v>#VALUE!</v>
      </c>
      <c r="G8897" s="69"/>
    </row>
    <row r="8898" ht="22.5" customHeight="1">
      <c r="A8898" s="66"/>
      <c r="B8898" s="67" t="str">
        <f t="shared" si="16"/>
        <v>M: </v>
      </c>
      <c r="C8898" s="68"/>
      <c r="D8898" s="68">
        <v>46639.0</v>
      </c>
      <c r="E8898" s="66">
        <v>6.0</v>
      </c>
      <c r="F8898" s="66" t="str">
        <f>IFERROR(__xludf.DUMMYFUNCTION("GOOGLETRANSLATE(A8898,""en"",""pt"")"),"#VALUE!")</f>
        <v>#VALUE!</v>
      </c>
      <c r="G8898" s="69"/>
    </row>
    <row r="8899" ht="22.5" customHeight="1">
      <c r="A8899" s="66"/>
      <c r="B8899" s="67" t="str">
        <f t="shared" si="16"/>
        <v>M: </v>
      </c>
      <c r="C8899" s="68"/>
      <c r="D8899" s="68">
        <v>46639.0</v>
      </c>
      <c r="E8899" s="66">
        <v>7.0</v>
      </c>
      <c r="F8899" s="66" t="str">
        <f>IFERROR(__xludf.DUMMYFUNCTION("GOOGLETRANSLATE(A8899,""en"",""pt"")"),"#VALUE!")</f>
        <v>#VALUE!</v>
      </c>
      <c r="G8899" s="69"/>
    </row>
    <row r="8900" ht="22.5" customHeight="1">
      <c r="A8900" s="66"/>
      <c r="B8900" s="67" t="str">
        <f t="shared" si="16"/>
        <v>M: </v>
      </c>
      <c r="C8900" s="68"/>
      <c r="D8900" s="68">
        <v>46639.0</v>
      </c>
      <c r="E8900" s="66">
        <v>8.0</v>
      </c>
      <c r="F8900" s="66" t="str">
        <f>IFERROR(__xludf.DUMMYFUNCTION("GOOGLETRANSLATE(A8900,""en"",""pt"")"),"#VALUE!")</f>
        <v>#VALUE!</v>
      </c>
      <c r="G8900" s="69"/>
    </row>
    <row r="8901" ht="22.5" customHeight="1">
      <c r="A8901" s="66"/>
      <c r="B8901" s="67" t="str">
        <f t="shared" si="16"/>
        <v>M: </v>
      </c>
      <c r="C8901" s="68"/>
      <c r="D8901" s="68">
        <v>46639.0</v>
      </c>
      <c r="E8901" s="66">
        <v>9.0</v>
      </c>
      <c r="F8901" s="66" t="str">
        <f>IFERROR(__xludf.DUMMYFUNCTION("GOOGLETRANSLATE(A8901,""en"",""pt"")"),"#VALUE!")</f>
        <v>#VALUE!</v>
      </c>
      <c r="G8901" s="69"/>
    </row>
    <row r="8902" ht="22.5" customHeight="1">
      <c r="A8902" s="66"/>
      <c r="B8902" s="67" t="str">
        <f t="shared" si="16"/>
        <v>M: </v>
      </c>
      <c r="C8902" s="68"/>
      <c r="D8902" s="68">
        <v>46640.0</v>
      </c>
      <c r="E8902" s="66">
        <v>10.0</v>
      </c>
      <c r="F8902" s="66" t="str">
        <f>IFERROR(__xludf.DUMMYFUNCTION("GOOGLETRANSLATE(A8902,""en"",""pt"")"),"#VALUE!")</f>
        <v>#VALUE!</v>
      </c>
      <c r="G8902" s="69"/>
    </row>
    <row r="8903" ht="22.5" customHeight="1">
      <c r="A8903" s="66"/>
      <c r="B8903" s="67" t="str">
        <f t="shared" si="16"/>
        <v>M: </v>
      </c>
      <c r="C8903" s="68"/>
      <c r="D8903" s="68">
        <v>46640.0</v>
      </c>
      <c r="E8903" s="66">
        <v>1.0</v>
      </c>
      <c r="F8903" s="66" t="str">
        <f>IFERROR(__xludf.DUMMYFUNCTION("GOOGLETRANSLATE(A8903,""en"",""pt"")"),"#VALUE!")</f>
        <v>#VALUE!</v>
      </c>
      <c r="G8903" s="69"/>
    </row>
    <row r="8904" ht="22.5" customHeight="1">
      <c r="A8904" s="66"/>
      <c r="B8904" s="67" t="str">
        <f t="shared" si="16"/>
        <v>M: </v>
      </c>
      <c r="C8904" s="68"/>
      <c r="D8904" s="68">
        <v>46640.0</v>
      </c>
      <c r="E8904" s="66">
        <v>2.0</v>
      </c>
      <c r="F8904" s="66" t="str">
        <f>IFERROR(__xludf.DUMMYFUNCTION("GOOGLETRANSLATE(A8904,""en"",""pt"")"),"#VALUE!")</f>
        <v>#VALUE!</v>
      </c>
      <c r="G8904" s="69"/>
    </row>
    <row r="8905" ht="22.5" customHeight="1">
      <c r="A8905" s="66"/>
      <c r="B8905" s="67" t="str">
        <f t="shared" si="16"/>
        <v>M: </v>
      </c>
      <c r="C8905" s="68"/>
      <c r="D8905" s="68">
        <v>46640.0</v>
      </c>
      <c r="E8905" s="66">
        <v>3.0</v>
      </c>
      <c r="F8905" s="66" t="str">
        <f>IFERROR(__xludf.DUMMYFUNCTION("GOOGLETRANSLATE(A8905,""en"",""pt"")"),"#VALUE!")</f>
        <v>#VALUE!</v>
      </c>
      <c r="G8905" s="69"/>
    </row>
    <row r="8906" ht="22.5" customHeight="1">
      <c r="A8906" s="66"/>
      <c r="B8906" s="67" t="str">
        <f t="shared" si="16"/>
        <v>M: </v>
      </c>
      <c r="C8906" s="68"/>
      <c r="D8906" s="68">
        <v>46640.0</v>
      </c>
      <c r="E8906" s="66">
        <v>4.0</v>
      </c>
      <c r="F8906" s="66" t="str">
        <f>IFERROR(__xludf.DUMMYFUNCTION("GOOGLETRANSLATE(A8906,""en"",""pt"")"),"#VALUE!")</f>
        <v>#VALUE!</v>
      </c>
      <c r="G8906" s="69"/>
    </row>
    <row r="8907" ht="22.5" customHeight="1">
      <c r="A8907" s="66"/>
      <c r="B8907" s="67" t="str">
        <f t="shared" si="16"/>
        <v>M: </v>
      </c>
      <c r="C8907" s="68"/>
      <c r="D8907" s="68">
        <v>46640.0</v>
      </c>
      <c r="E8907" s="66">
        <v>5.0</v>
      </c>
      <c r="F8907" s="66" t="str">
        <f>IFERROR(__xludf.DUMMYFUNCTION("GOOGLETRANSLATE(A8907,""en"",""pt"")"),"#VALUE!")</f>
        <v>#VALUE!</v>
      </c>
      <c r="G8907" s="69"/>
    </row>
    <row r="8908" ht="22.5" customHeight="1">
      <c r="A8908" s="66"/>
      <c r="B8908" s="67" t="str">
        <f t="shared" si="16"/>
        <v>M: </v>
      </c>
      <c r="C8908" s="68"/>
      <c r="D8908" s="68">
        <v>46640.0</v>
      </c>
      <c r="E8908" s="66">
        <v>6.0</v>
      </c>
      <c r="F8908" s="66" t="str">
        <f>IFERROR(__xludf.DUMMYFUNCTION("GOOGLETRANSLATE(A8908,""en"",""pt"")"),"#VALUE!")</f>
        <v>#VALUE!</v>
      </c>
      <c r="G8908" s="69"/>
    </row>
    <row r="8909" ht="22.5" customHeight="1">
      <c r="A8909" s="66"/>
      <c r="B8909" s="67" t="str">
        <f t="shared" si="16"/>
        <v>M: </v>
      </c>
      <c r="C8909" s="68"/>
      <c r="D8909" s="68">
        <v>46640.0</v>
      </c>
      <c r="E8909" s="66">
        <v>7.0</v>
      </c>
      <c r="F8909" s="66" t="str">
        <f>IFERROR(__xludf.DUMMYFUNCTION("GOOGLETRANSLATE(A8909,""en"",""pt"")"),"#VALUE!")</f>
        <v>#VALUE!</v>
      </c>
      <c r="G8909" s="69"/>
    </row>
    <row r="8910" ht="22.5" customHeight="1">
      <c r="A8910" s="66"/>
      <c r="B8910" s="67" t="str">
        <f t="shared" si="16"/>
        <v>M: </v>
      </c>
      <c r="C8910" s="68"/>
      <c r="D8910" s="68">
        <v>46640.0</v>
      </c>
      <c r="E8910" s="66">
        <v>8.0</v>
      </c>
      <c r="F8910" s="66" t="str">
        <f>IFERROR(__xludf.DUMMYFUNCTION("GOOGLETRANSLATE(A8910,""en"",""pt"")"),"#VALUE!")</f>
        <v>#VALUE!</v>
      </c>
      <c r="G8910" s="69"/>
    </row>
    <row r="8911" ht="22.5" customHeight="1">
      <c r="A8911" s="66"/>
      <c r="B8911" s="67" t="str">
        <f t="shared" si="16"/>
        <v>M: </v>
      </c>
      <c r="C8911" s="68"/>
      <c r="D8911" s="68">
        <v>46640.0</v>
      </c>
      <c r="E8911" s="66">
        <v>9.0</v>
      </c>
      <c r="F8911" s="66" t="str">
        <f>IFERROR(__xludf.DUMMYFUNCTION("GOOGLETRANSLATE(A8911,""en"",""pt"")"),"#VALUE!")</f>
        <v>#VALUE!</v>
      </c>
      <c r="G8911" s="69"/>
    </row>
    <row r="8912" ht="22.5" customHeight="1">
      <c r="A8912" s="66"/>
      <c r="B8912" s="67" t="str">
        <f t="shared" si="16"/>
        <v>M: </v>
      </c>
      <c r="C8912" s="68"/>
      <c r="D8912" s="68">
        <v>46641.0</v>
      </c>
      <c r="E8912" s="66">
        <v>10.0</v>
      </c>
      <c r="F8912" s="66" t="str">
        <f>IFERROR(__xludf.DUMMYFUNCTION("GOOGLETRANSLATE(A8912,""en"",""pt"")"),"#VALUE!")</f>
        <v>#VALUE!</v>
      </c>
      <c r="G8912" s="69"/>
    </row>
    <row r="8913" ht="22.5" customHeight="1">
      <c r="A8913" s="66"/>
      <c r="B8913" s="67" t="str">
        <f t="shared" si="16"/>
        <v>M: </v>
      </c>
      <c r="C8913" s="68"/>
      <c r="D8913" s="68">
        <v>46641.0</v>
      </c>
      <c r="E8913" s="66">
        <v>1.0</v>
      </c>
      <c r="F8913" s="66" t="str">
        <f>IFERROR(__xludf.DUMMYFUNCTION("GOOGLETRANSLATE(A8913,""en"",""pt"")"),"#VALUE!")</f>
        <v>#VALUE!</v>
      </c>
      <c r="G8913" s="69"/>
    </row>
    <row r="8914" ht="22.5" customHeight="1">
      <c r="A8914" s="66"/>
      <c r="B8914" s="67" t="str">
        <f t="shared" si="16"/>
        <v>M: </v>
      </c>
      <c r="C8914" s="68"/>
      <c r="D8914" s="68">
        <v>46641.0</v>
      </c>
      <c r="E8914" s="66">
        <v>2.0</v>
      </c>
      <c r="F8914" s="66" t="str">
        <f>IFERROR(__xludf.DUMMYFUNCTION("GOOGLETRANSLATE(A8914,""en"",""pt"")"),"#VALUE!")</f>
        <v>#VALUE!</v>
      </c>
      <c r="G8914" s="69"/>
    </row>
    <row r="8915" ht="22.5" customHeight="1">
      <c r="A8915" s="66"/>
      <c r="B8915" s="67" t="str">
        <f t="shared" si="16"/>
        <v>M: </v>
      </c>
      <c r="C8915" s="68"/>
      <c r="D8915" s="68">
        <v>46641.0</v>
      </c>
      <c r="E8915" s="66">
        <v>3.0</v>
      </c>
      <c r="F8915" s="66" t="str">
        <f>IFERROR(__xludf.DUMMYFUNCTION("GOOGLETRANSLATE(A8915,""en"",""pt"")"),"#VALUE!")</f>
        <v>#VALUE!</v>
      </c>
      <c r="G8915" s="69"/>
    </row>
    <row r="8916" ht="22.5" customHeight="1">
      <c r="A8916" s="66"/>
      <c r="B8916" s="67" t="str">
        <f t="shared" si="16"/>
        <v>M: </v>
      </c>
      <c r="C8916" s="68"/>
      <c r="D8916" s="68">
        <v>46641.0</v>
      </c>
      <c r="E8916" s="66">
        <v>4.0</v>
      </c>
      <c r="F8916" s="66" t="str">
        <f>IFERROR(__xludf.DUMMYFUNCTION("GOOGLETRANSLATE(A8916,""en"",""pt"")"),"#VALUE!")</f>
        <v>#VALUE!</v>
      </c>
      <c r="G8916" s="69"/>
    </row>
    <row r="8917" ht="22.5" customHeight="1">
      <c r="A8917" s="66"/>
      <c r="B8917" s="67" t="str">
        <f t="shared" si="16"/>
        <v>M: </v>
      </c>
      <c r="C8917" s="68"/>
      <c r="D8917" s="68">
        <v>46641.0</v>
      </c>
      <c r="E8917" s="66">
        <v>5.0</v>
      </c>
      <c r="F8917" s="66" t="str">
        <f>IFERROR(__xludf.DUMMYFUNCTION("GOOGLETRANSLATE(A8917,""en"",""pt"")"),"#VALUE!")</f>
        <v>#VALUE!</v>
      </c>
      <c r="G8917" s="69"/>
    </row>
    <row r="8918" ht="22.5" customHeight="1">
      <c r="A8918" s="66"/>
      <c r="B8918" s="67" t="str">
        <f t="shared" si="16"/>
        <v>M: </v>
      </c>
      <c r="C8918" s="68"/>
      <c r="D8918" s="68">
        <v>46641.0</v>
      </c>
      <c r="E8918" s="66">
        <v>6.0</v>
      </c>
      <c r="F8918" s="66" t="str">
        <f>IFERROR(__xludf.DUMMYFUNCTION("GOOGLETRANSLATE(A8918,""en"",""pt"")"),"#VALUE!")</f>
        <v>#VALUE!</v>
      </c>
      <c r="G8918" s="69"/>
    </row>
    <row r="8919" ht="22.5" customHeight="1">
      <c r="A8919" s="66"/>
      <c r="B8919" s="67" t="str">
        <f t="shared" si="16"/>
        <v>M: </v>
      </c>
      <c r="C8919" s="68"/>
      <c r="D8919" s="68">
        <v>46641.0</v>
      </c>
      <c r="E8919" s="66">
        <v>7.0</v>
      </c>
      <c r="F8919" s="66" t="str">
        <f>IFERROR(__xludf.DUMMYFUNCTION("GOOGLETRANSLATE(A8919,""en"",""pt"")"),"#VALUE!")</f>
        <v>#VALUE!</v>
      </c>
      <c r="G8919" s="69"/>
    </row>
    <row r="8920" ht="22.5" customHeight="1">
      <c r="A8920" s="66"/>
      <c r="B8920" s="67" t="str">
        <f t="shared" si="16"/>
        <v>M: </v>
      </c>
      <c r="C8920" s="68"/>
      <c r="D8920" s="68">
        <v>46641.0</v>
      </c>
      <c r="E8920" s="66">
        <v>8.0</v>
      </c>
      <c r="F8920" s="66" t="str">
        <f>IFERROR(__xludf.DUMMYFUNCTION("GOOGLETRANSLATE(A8920,""en"",""pt"")"),"#VALUE!")</f>
        <v>#VALUE!</v>
      </c>
      <c r="G8920" s="69"/>
    </row>
    <row r="8921" ht="22.5" customHeight="1">
      <c r="A8921" s="66"/>
      <c r="B8921" s="67" t="str">
        <f t="shared" si="16"/>
        <v>M: </v>
      </c>
      <c r="C8921" s="68"/>
      <c r="D8921" s="68">
        <v>46641.0</v>
      </c>
      <c r="E8921" s="66">
        <v>9.0</v>
      </c>
      <c r="F8921" s="66" t="str">
        <f>IFERROR(__xludf.DUMMYFUNCTION("GOOGLETRANSLATE(A8921,""en"",""pt"")"),"#VALUE!")</f>
        <v>#VALUE!</v>
      </c>
      <c r="G8921" s="69"/>
    </row>
    <row r="8922" ht="22.5" customHeight="1">
      <c r="A8922" s="66"/>
      <c r="B8922" s="67" t="str">
        <f t="shared" si="16"/>
        <v>M: </v>
      </c>
      <c r="C8922" s="68"/>
      <c r="D8922" s="68">
        <v>46642.0</v>
      </c>
      <c r="E8922" s="66">
        <v>10.0</v>
      </c>
      <c r="F8922" s="66" t="str">
        <f>IFERROR(__xludf.DUMMYFUNCTION("GOOGLETRANSLATE(A8922,""en"",""pt"")"),"#VALUE!")</f>
        <v>#VALUE!</v>
      </c>
      <c r="G8922" s="69"/>
    </row>
    <row r="8923" ht="22.5" customHeight="1">
      <c r="A8923" s="66"/>
      <c r="B8923" s="67" t="str">
        <f t="shared" si="16"/>
        <v>M: </v>
      </c>
      <c r="C8923" s="68"/>
      <c r="D8923" s="68">
        <v>46642.0</v>
      </c>
      <c r="E8923" s="66">
        <v>1.0</v>
      </c>
      <c r="F8923" s="66" t="str">
        <f>IFERROR(__xludf.DUMMYFUNCTION("GOOGLETRANSLATE(A8923,""en"",""pt"")"),"#VALUE!")</f>
        <v>#VALUE!</v>
      </c>
      <c r="G8923" s="69"/>
    </row>
    <row r="8924" ht="22.5" customHeight="1">
      <c r="A8924" s="66"/>
      <c r="B8924" s="67" t="str">
        <f t="shared" si="16"/>
        <v>M: </v>
      </c>
      <c r="C8924" s="68"/>
      <c r="D8924" s="68">
        <v>46642.0</v>
      </c>
      <c r="E8924" s="66">
        <v>2.0</v>
      </c>
      <c r="F8924" s="66" t="str">
        <f>IFERROR(__xludf.DUMMYFUNCTION("GOOGLETRANSLATE(A8924,""en"",""pt"")"),"#VALUE!")</f>
        <v>#VALUE!</v>
      </c>
      <c r="G8924" s="69"/>
    </row>
    <row r="8925" ht="22.5" customHeight="1">
      <c r="A8925" s="66"/>
      <c r="B8925" s="67" t="str">
        <f t="shared" si="16"/>
        <v>M: </v>
      </c>
      <c r="C8925" s="68"/>
      <c r="D8925" s="68">
        <v>46642.0</v>
      </c>
      <c r="E8925" s="66">
        <v>3.0</v>
      </c>
      <c r="F8925" s="66" t="str">
        <f>IFERROR(__xludf.DUMMYFUNCTION("GOOGLETRANSLATE(A8925,""en"",""pt"")"),"#VALUE!")</f>
        <v>#VALUE!</v>
      </c>
      <c r="G8925" s="69"/>
    </row>
    <row r="8926" ht="22.5" customHeight="1">
      <c r="A8926" s="66"/>
      <c r="B8926" s="67" t="str">
        <f t="shared" si="16"/>
        <v>M: </v>
      </c>
      <c r="C8926" s="68"/>
      <c r="D8926" s="68">
        <v>46642.0</v>
      </c>
      <c r="E8926" s="66">
        <v>4.0</v>
      </c>
      <c r="F8926" s="66" t="str">
        <f>IFERROR(__xludf.DUMMYFUNCTION("GOOGLETRANSLATE(A8926,""en"",""pt"")"),"#VALUE!")</f>
        <v>#VALUE!</v>
      </c>
      <c r="G8926" s="69"/>
    </row>
    <row r="8927" ht="22.5" customHeight="1">
      <c r="A8927" s="66"/>
      <c r="B8927" s="67" t="str">
        <f t="shared" si="16"/>
        <v>M: </v>
      </c>
      <c r="C8927" s="68"/>
      <c r="D8927" s="68">
        <v>46642.0</v>
      </c>
      <c r="E8927" s="66">
        <v>5.0</v>
      </c>
      <c r="F8927" s="66" t="str">
        <f>IFERROR(__xludf.DUMMYFUNCTION("GOOGLETRANSLATE(A8927,""en"",""pt"")"),"#VALUE!")</f>
        <v>#VALUE!</v>
      </c>
      <c r="G8927" s="69"/>
    </row>
    <row r="8928" ht="22.5" customHeight="1">
      <c r="A8928" s="66"/>
      <c r="B8928" s="67" t="str">
        <f t="shared" si="16"/>
        <v>M: </v>
      </c>
      <c r="C8928" s="68"/>
      <c r="D8928" s="68">
        <v>46642.0</v>
      </c>
      <c r="E8928" s="66">
        <v>6.0</v>
      </c>
      <c r="F8928" s="66" t="str">
        <f>IFERROR(__xludf.DUMMYFUNCTION("GOOGLETRANSLATE(A8928,""en"",""pt"")"),"#VALUE!")</f>
        <v>#VALUE!</v>
      </c>
      <c r="G8928" s="69"/>
    </row>
    <row r="8929" ht="22.5" customHeight="1">
      <c r="A8929" s="66"/>
      <c r="B8929" s="67" t="str">
        <f t="shared" si="16"/>
        <v>M: </v>
      </c>
      <c r="C8929" s="68"/>
      <c r="D8929" s="68">
        <v>46642.0</v>
      </c>
      <c r="E8929" s="66">
        <v>7.0</v>
      </c>
      <c r="F8929" s="66" t="str">
        <f>IFERROR(__xludf.DUMMYFUNCTION("GOOGLETRANSLATE(A8929,""en"",""pt"")"),"#VALUE!")</f>
        <v>#VALUE!</v>
      </c>
      <c r="G8929" s="69"/>
    </row>
    <row r="8930" ht="22.5" customHeight="1">
      <c r="A8930" s="66"/>
      <c r="B8930" s="67" t="str">
        <f t="shared" si="16"/>
        <v>M: </v>
      </c>
      <c r="C8930" s="68"/>
      <c r="D8930" s="68">
        <v>46642.0</v>
      </c>
      <c r="E8930" s="66">
        <v>8.0</v>
      </c>
      <c r="F8930" s="66" t="str">
        <f>IFERROR(__xludf.DUMMYFUNCTION("GOOGLETRANSLATE(A8930,""en"",""pt"")"),"#VALUE!")</f>
        <v>#VALUE!</v>
      </c>
      <c r="G8930" s="69"/>
    </row>
    <row r="8931" ht="22.5" customHeight="1">
      <c r="A8931" s="66"/>
      <c r="B8931" s="67" t="str">
        <f t="shared" si="16"/>
        <v>M: </v>
      </c>
      <c r="C8931" s="68"/>
      <c r="D8931" s="68">
        <v>46642.0</v>
      </c>
      <c r="E8931" s="66">
        <v>9.0</v>
      </c>
      <c r="F8931" s="66" t="str">
        <f>IFERROR(__xludf.DUMMYFUNCTION("GOOGLETRANSLATE(A8931,""en"",""pt"")"),"#VALUE!")</f>
        <v>#VALUE!</v>
      </c>
      <c r="G8931" s="69"/>
    </row>
    <row r="8932" ht="22.5" customHeight="1">
      <c r="A8932" s="66"/>
      <c r="B8932" s="67" t="str">
        <f t="shared" si="16"/>
        <v>M: </v>
      </c>
      <c r="C8932" s="68"/>
      <c r="D8932" s="68">
        <v>46643.0</v>
      </c>
      <c r="E8932" s="66">
        <v>10.0</v>
      </c>
      <c r="F8932" s="66" t="str">
        <f>IFERROR(__xludf.DUMMYFUNCTION("GOOGLETRANSLATE(A8932,""en"",""pt"")"),"#VALUE!")</f>
        <v>#VALUE!</v>
      </c>
      <c r="G8932" s="69"/>
    </row>
    <row r="8933" ht="22.5" customHeight="1">
      <c r="A8933" s="66"/>
      <c r="B8933" s="67" t="str">
        <f t="shared" si="16"/>
        <v>M: </v>
      </c>
      <c r="C8933" s="68"/>
      <c r="D8933" s="68">
        <v>46643.0</v>
      </c>
      <c r="E8933" s="66">
        <v>1.0</v>
      </c>
      <c r="F8933" s="66" t="str">
        <f>IFERROR(__xludf.DUMMYFUNCTION("GOOGLETRANSLATE(A8933,""en"",""pt"")"),"#VALUE!")</f>
        <v>#VALUE!</v>
      </c>
      <c r="G8933" s="69"/>
    </row>
    <row r="8934" ht="22.5" customHeight="1">
      <c r="A8934" s="66"/>
      <c r="B8934" s="67" t="str">
        <f t="shared" si="16"/>
        <v>M: </v>
      </c>
      <c r="C8934" s="68"/>
      <c r="D8934" s="68">
        <v>46643.0</v>
      </c>
      <c r="E8934" s="66">
        <v>2.0</v>
      </c>
      <c r="F8934" s="66" t="str">
        <f>IFERROR(__xludf.DUMMYFUNCTION("GOOGLETRANSLATE(A8934,""en"",""pt"")"),"#VALUE!")</f>
        <v>#VALUE!</v>
      </c>
      <c r="G8934" s="69"/>
    </row>
    <row r="8935" ht="22.5" customHeight="1">
      <c r="A8935" s="66"/>
      <c r="B8935" s="67" t="str">
        <f t="shared" si="16"/>
        <v>M: </v>
      </c>
      <c r="C8935" s="68"/>
      <c r="D8935" s="68">
        <v>46643.0</v>
      </c>
      <c r="E8935" s="66">
        <v>3.0</v>
      </c>
      <c r="F8935" s="66" t="str">
        <f>IFERROR(__xludf.DUMMYFUNCTION("GOOGLETRANSLATE(A8935,""en"",""pt"")"),"#VALUE!")</f>
        <v>#VALUE!</v>
      </c>
      <c r="G8935" s="69"/>
    </row>
    <row r="8936" ht="22.5" customHeight="1">
      <c r="A8936" s="66"/>
      <c r="B8936" s="67" t="str">
        <f t="shared" si="16"/>
        <v>M: </v>
      </c>
      <c r="C8936" s="68"/>
      <c r="D8936" s="68">
        <v>46643.0</v>
      </c>
      <c r="E8936" s="66">
        <v>4.0</v>
      </c>
      <c r="F8936" s="66" t="str">
        <f>IFERROR(__xludf.DUMMYFUNCTION("GOOGLETRANSLATE(A8936,""en"",""pt"")"),"#VALUE!")</f>
        <v>#VALUE!</v>
      </c>
      <c r="G8936" s="69"/>
    </row>
    <row r="8937" ht="22.5" customHeight="1">
      <c r="A8937" s="66"/>
      <c r="B8937" s="67" t="str">
        <f t="shared" si="16"/>
        <v>M: </v>
      </c>
      <c r="C8937" s="68"/>
      <c r="D8937" s="68">
        <v>46643.0</v>
      </c>
      <c r="E8937" s="66">
        <v>5.0</v>
      </c>
      <c r="F8937" s="66" t="str">
        <f>IFERROR(__xludf.DUMMYFUNCTION("GOOGLETRANSLATE(A8937,""en"",""pt"")"),"#VALUE!")</f>
        <v>#VALUE!</v>
      </c>
      <c r="G8937" s="69"/>
    </row>
    <row r="8938" ht="22.5" customHeight="1">
      <c r="A8938" s="66"/>
      <c r="B8938" s="67" t="str">
        <f t="shared" si="16"/>
        <v>M: </v>
      </c>
      <c r="C8938" s="68"/>
      <c r="D8938" s="68">
        <v>46643.0</v>
      </c>
      <c r="E8938" s="66">
        <v>6.0</v>
      </c>
      <c r="F8938" s="66" t="str">
        <f>IFERROR(__xludf.DUMMYFUNCTION("GOOGLETRANSLATE(A8938,""en"",""pt"")"),"#VALUE!")</f>
        <v>#VALUE!</v>
      </c>
      <c r="G8938" s="69"/>
    </row>
    <row r="8939" ht="22.5" customHeight="1">
      <c r="A8939" s="66"/>
      <c r="B8939" s="67" t="str">
        <f t="shared" si="16"/>
        <v>M: </v>
      </c>
      <c r="C8939" s="68"/>
      <c r="D8939" s="68">
        <v>46643.0</v>
      </c>
      <c r="E8939" s="66">
        <v>7.0</v>
      </c>
      <c r="F8939" s="66" t="str">
        <f>IFERROR(__xludf.DUMMYFUNCTION("GOOGLETRANSLATE(A8939,""en"",""pt"")"),"#VALUE!")</f>
        <v>#VALUE!</v>
      </c>
      <c r="G8939" s="69"/>
    </row>
    <row r="8940" ht="22.5" customHeight="1">
      <c r="A8940" s="66"/>
      <c r="B8940" s="67" t="str">
        <f t="shared" si="16"/>
        <v>M: </v>
      </c>
      <c r="C8940" s="68"/>
      <c r="D8940" s="68">
        <v>46643.0</v>
      </c>
      <c r="E8940" s="66">
        <v>8.0</v>
      </c>
      <c r="F8940" s="66" t="str">
        <f>IFERROR(__xludf.DUMMYFUNCTION("GOOGLETRANSLATE(A8940,""en"",""pt"")"),"#VALUE!")</f>
        <v>#VALUE!</v>
      </c>
      <c r="G8940" s="69"/>
    </row>
    <row r="8941" ht="22.5" customHeight="1">
      <c r="A8941" s="66"/>
      <c r="B8941" s="67" t="str">
        <f t="shared" si="16"/>
        <v>M: </v>
      </c>
      <c r="C8941" s="68"/>
      <c r="D8941" s="68">
        <v>46643.0</v>
      </c>
      <c r="E8941" s="66">
        <v>9.0</v>
      </c>
      <c r="F8941" s="66" t="str">
        <f>IFERROR(__xludf.DUMMYFUNCTION("GOOGLETRANSLATE(A8941,""en"",""pt"")"),"#VALUE!")</f>
        <v>#VALUE!</v>
      </c>
      <c r="G8941" s="69"/>
    </row>
    <row r="8942" ht="22.5" customHeight="1">
      <c r="A8942" s="66"/>
      <c r="B8942" s="67" t="str">
        <f t="shared" si="16"/>
        <v>M: </v>
      </c>
      <c r="C8942" s="68"/>
      <c r="D8942" s="68">
        <v>46644.0</v>
      </c>
      <c r="E8942" s="66">
        <v>10.0</v>
      </c>
      <c r="F8942" s="66" t="str">
        <f>IFERROR(__xludf.DUMMYFUNCTION("GOOGLETRANSLATE(A8942,""en"",""pt"")"),"#VALUE!")</f>
        <v>#VALUE!</v>
      </c>
      <c r="G8942" s="69"/>
    </row>
    <row r="8943" ht="22.5" customHeight="1">
      <c r="A8943" s="66"/>
      <c r="B8943" s="67" t="str">
        <f t="shared" si="16"/>
        <v>M: </v>
      </c>
      <c r="C8943" s="68"/>
      <c r="D8943" s="68">
        <v>46644.0</v>
      </c>
      <c r="E8943" s="66">
        <v>1.0</v>
      </c>
      <c r="F8943" s="66" t="str">
        <f>IFERROR(__xludf.DUMMYFUNCTION("GOOGLETRANSLATE(A8943,""en"",""pt"")"),"#VALUE!")</f>
        <v>#VALUE!</v>
      </c>
      <c r="G8943" s="69"/>
    </row>
    <row r="8944" ht="22.5" customHeight="1">
      <c r="A8944" s="66"/>
      <c r="B8944" s="67" t="str">
        <f t="shared" si="16"/>
        <v>M: </v>
      </c>
      <c r="C8944" s="68"/>
      <c r="D8944" s="68">
        <v>46644.0</v>
      </c>
      <c r="E8944" s="66">
        <v>2.0</v>
      </c>
      <c r="F8944" s="66" t="str">
        <f>IFERROR(__xludf.DUMMYFUNCTION("GOOGLETRANSLATE(A8944,""en"",""pt"")"),"#VALUE!")</f>
        <v>#VALUE!</v>
      </c>
      <c r="G8944" s="69"/>
    </row>
    <row r="8945" ht="22.5" customHeight="1">
      <c r="A8945" s="66"/>
      <c r="B8945" s="67" t="str">
        <f t="shared" si="16"/>
        <v>M: </v>
      </c>
      <c r="C8945" s="68"/>
      <c r="D8945" s="68">
        <v>46644.0</v>
      </c>
      <c r="E8945" s="66">
        <v>3.0</v>
      </c>
      <c r="F8945" s="66" t="str">
        <f>IFERROR(__xludf.DUMMYFUNCTION("GOOGLETRANSLATE(A8945,""en"",""pt"")"),"#VALUE!")</f>
        <v>#VALUE!</v>
      </c>
      <c r="G8945" s="69"/>
    </row>
    <row r="8946" ht="22.5" customHeight="1">
      <c r="A8946" s="66"/>
      <c r="B8946" s="67" t="str">
        <f t="shared" si="16"/>
        <v>M: </v>
      </c>
      <c r="C8946" s="68"/>
      <c r="D8946" s="68">
        <v>46644.0</v>
      </c>
      <c r="E8946" s="66">
        <v>4.0</v>
      </c>
      <c r="F8946" s="66" t="str">
        <f>IFERROR(__xludf.DUMMYFUNCTION("GOOGLETRANSLATE(A8946,""en"",""pt"")"),"#VALUE!")</f>
        <v>#VALUE!</v>
      </c>
      <c r="G8946" s="69"/>
    </row>
    <row r="8947" ht="22.5" customHeight="1">
      <c r="A8947" s="66"/>
      <c r="B8947" s="67" t="str">
        <f t="shared" si="16"/>
        <v>M: </v>
      </c>
      <c r="C8947" s="68"/>
      <c r="D8947" s="68">
        <v>46644.0</v>
      </c>
      <c r="E8947" s="66">
        <v>5.0</v>
      </c>
      <c r="F8947" s="66" t="str">
        <f>IFERROR(__xludf.DUMMYFUNCTION("GOOGLETRANSLATE(A8947,""en"",""pt"")"),"#VALUE!")</f>
        <v>#VALUE!</v>
      </c>
      <c r="G8947" s="69"/>
    </row>
    <row r="8948" ht="22.5" customHeight="1">
      <c r="A8948" s="66"/>
      <c r="B8948" s="67" t="str">
        <f t="shared" si="16"/>
        <v>M: </v>
      </c>
      <c r="C8948" s="68"/>
      <c r="D8948" s="68">
        <v>46644.0</v>
      </c>
      <c r="E8948" s="66">
        <v>6.0</v>
      </c>
      <c r="F8948" s="66" t="str">
        <f>IFERROR(__xludf.DUMMYFUNCTION("GOOGLETRANSLATE(A8948,""en"",""pt"")"),"#VALUE!")</f>
        <v>#VALUE!</v>
      </c>
      <c r="G8948" s="69"/>
    </row>
    <row r="8949" ht="22.5" customHeight="1">
      <c r="A8949" s="66"/>
      <c r="B8949" s="67" t="str">
        <f t="shared" si="16"/>
        <v>M: </v>
      </c>
      <c r="C8949" s="68"/>
      <c r="D8949" s="68">
        <v>46644.0</v>
      </c>
      <c r="E8949" s="66">
        <v>7.0</v>
      </c>
      <c r="F8949" s="66" t="str">
        <f>IFERROR(__xludf.DUMMYFUNCTION("GOOGLETRANSLATE(A8949,""en"",""pt"")"),"#VALUE!")</f>
        <v>#VALUE!</v>
      </c>
      <c r="G8949" s="69"/>
    </row>
    <row r="8950" ht="22.5" customHeight="1">
      <c r="A8950" s="66"/>
      <c r="B8950" s="67" t="str">
        <f t="shared" si="16"/>
        <v>M: </v>
      </c>
      <c r="C8950" s="68"/>
      <c r="D8950" s="68">
        <v>46644.0</v>
      </c>
      <c r="E8950" s="66">
        <v>8.0</v>
      </c>
      <c r="F8950" s="66" t="str">
        <f>IFERROR(__xludf.DUMMYFUNCTION("GOOGLETRANSLATE(A8950,""en"",""pt"")"),"#VALUE!")</f>
        <v>#VALUE!</v>
      </c>
      <c r="G8950" s="69"/>
    </row>
    <row r="8951" ht="22.5" customHeight="1">
      <c r="A8951" s="66"/>
      <c r="B8951" s="67" t="str">
        <f t="shared" si="16"/>
        <v>M: </v>
      </c>
      <c r="C8951" s="68"/>
      <c r="D8951" s="68">
        <v>46644.0</v>
      </c>
      <c r="E8951" s="66">
        <v>9.0</v>
      </c>
      <c r="F8951" s="66" t="str">
        <f>IFERROR(__xludf.DUMMYFUNCTION("GOOGLETRANSLATE(A8951,""en"",""pt"")"),"#VALUE!")</f>
        <v>#VALUE!</v>
      </c>
      <c r="G8951" s="69"/>
    </row>
    <row r="8952" ht="22.5" customHeight="1">
      <c r="A8952" s="66"/>
      <c r="B8952" s="67" t="str">
        <f t="shared" si="16"/>
        <v>M: </v>
      </c>
      <c r="C8952" s="68"/>
      <c r="D8952" s="68">
        <v>46645.0</v>
      </c>
      <c r="E8952" s="66">
        <v>10.0</v>
      </c>
      <c r="F8952" s="66" t="str">
        <f>IFERROR(__xludf.DUMMYFUNCTION("GOOGLETRANSLATE(A8952,""en"",""pt"")"),"#VALUE!")</f>
        <v>#VALUE!</v>
      </c>
      <c r="G8952" s="69"/>
    </row>
    <row r="8953" ht="22.5" customHeight="1">
      <c r="A8953" s="66"/>
      <c r="B8953" s="67" t="str">
        <f t="shared" si="16"/>
        <v>M: </v>
      </c>
      <c r="C8953" s="68"/>
      <c r="D8953" s="68">
        <v>46645.0</v>
      </c>
      <c r="E8953" s="66">
        <v>1.0</v>
      </c>
      <c r="F8953" s="66" t="str">
        <f>IFERROR(__xludf.DUMMYFUNCTION("GOOGLETRANSLATE(A8953,""en"",""pt"")"),"#VALUE!")</f>
        <v>#VALUE!</v>
      </c>
      <c r="G8953" s="69"/>
    </row>
    <row r="8954" ht="22.5" customHeight="1">
      <c r="A8954" s="66"/>
      <c r="B8954" s="67" t="str">
        <f t="shared" si="16"/>
        <v>M: </v>
      </c>
      <c r="C8954" s="68"/>
      <c r="D8954" s="68">
        <v>46645.0</v>
      </c>
      <c r="E8954" s="66">
        <v>2.0</v>
      </c>
      <c r="F8954" s="66" t="str">
        <f>IFERROR(__xludf.DUMMYFUNCTION("GOOGLETRANSLATE(A8954,""en"",""pt"")"),"#VALUE!")</f>
        <v>#VALUE!</v>
      </c>
      <c r="G8954" s="69"/>
    </row>
    <row r="8955" ht="22.5" customHeight="1">
      <c r="A8955" s="66"/>
      <c r="B8955" s="67" t="str">
        <f t="shared" si="16"/>
        <v>M: </v>
      </c>
      <c r="C8955" s="68"/>
      <c r="D8955" s="68">
        <v>46645.0</v>
      </c>
      <c r="E8955" s="66">
        <v>3.0</v>
      </c>
      <c r="F8955" s="66" t="str">
        <f>IFERROR(__xludf.DUMMYFUNCTION("GOOGLETRANSLATE(A8955,""en"",""pt"")"),"#VALUE!")</f>
        <v>#VALUE!</v>
      </c>
      <c r="G8955" s="69"/>
    </row>
    <row r="8956" ht="22.5" customHeight="1">
      <c r="A8956" s="66"/>
      <c r="B8956" s="67" t="str">
        <f t="shared" si="16"/>
        <v>M: </v>
      </c>
      <c r="C8956" s="68"/>
      <c r="D8956" s="68">
        <v>46645.0</v>
      </c>
      <c r="E8956" s="66">
        <v>4.0</v>
      </c>
      <c r="F8956" s="66" t="str">
        <f>IFERROR(__xludf.DUMMYFUNCTION("GOOGLETRANSLATE(A8956,""en"",""pt"")"),"#VALUE!")</f>
        <v>#VALUE!</v>
      </c>
      <c r="G8956" s="69"/>
    </row>
    <row r="8957" ht="22.5" customHeight="1">
      <c r="A8957" s="66"/>
      <c r="B8957" s="67" t="str">
        <f t="shared" si="16"/>
        <v>M: </v>
      </c>
      <c r="C8957" s="68"/>
      <c r="D8957" s="68">
        <v>46645.0</v>
      </c>
      <c r="E8957" s="66">
        <v>5.0</v>
      </c>
      <c r="F8957" s="66" t="str">
        <f>IFERROR(__xludf.DUMMYFUNCTION("GOOGLETRANSLATE(A8957,""en"",""pt"")"),"#VALUE!")</f>
        <v>#VALUE!</v>
      </c>
      <c r="G8957" s="69"/>
    </row>
    <row r="8958" ht="22.5" customHeight="1">
      <c r="A8958" s="66"/>
      <c r="B8958" s="67" t="str">
        <f t="shared" si="16"/>
        <v>M: </v>
      </c>
      <c r="C8958" s="68"/>
      <c r="D8958" s="68">
        <v>46645.0</v>
      </c>
      <c r="E8958" s="66">
        <v>6.0</v>
      </c>
      <c r="F8958" s="66" t="str">
        <f>IFERROR(__xludf.DUMMYFUNCTION("GOOGLETRANSLATE(A8958,""en"",""pt"")"),"#VALUE!")</f>
        <v>#VALUE!</v>
      </c>
      <c r="G8958" s="69"/>
    </row>
    <row r="8959" ht="22.5" customHeight="1">
      <c r="A8959" s="66"/>
      <c r="B8959" s="67" t="str">
        <f t="shared" si="16"/>
        <v>M: </v>
      </c>
      <c r="C8959" s="68"/>
      <c r="D8959" s="68">
        <v>46645.0</v>
      </c>
      <c r="E8959" s="66">
        <v>7.0</v>
      </c>
      <c r="F8959" s="66" t="str">
        <f>IFERROR(__xludf.DUMMYFUNCTION("GOOGLETRANSLATE(A8959,""en"",""pt"")"),"#VALUE!")</f>
        <v>#VALUE!</v>
      </c>
      <c r="G8959" s="69"/>
    </row>
    <row r="8960" ht="22.5" customHeight="1">
      <c r="A8960" s="66"/>
      <c r="B8960" s="67" t="str">
        <f t="shared" si="16"/>
        <v>M: </v>
      </c>
      <c r="C8960" s="68"/>
      <c r="D8960" s="68">
        <v>46645.0</v>
      </c>
      <c r="E8960" s="66">
        <v>8.0</v>
      </c>
      <c r="F8960" s="66" t="str">
        <f>IFERROR(__xludf.DUMMYFUNCTION("GOOGLETRANSLATE(A8960,""en"",""pt"")"),"#VALUE!")</f>
        <v>#VALUE!</v>
      </c>
      <c r="G8960" s="69"/>
    </row>
    <row r="8961" ht="22.5" customHeight="1">
      <c r="A8961" s="66"/>
      <c r="B8961" s="67" t="str">
        <f t="shared" si="16"/>
        <v>M: </v>
      </c>
      <c r="C8961" s="68"/>
      <c r="D8961" s="68">
        <v>46645.0</v>
      </c>
      <c r="E8961" s="66">
        <v>9.0</v>
      </c>
      <c r="F8961" s="66" t="str">
        <f>IFERROR(__xludf.DUMMYFUNCTION("GOOGLETRANSLATE(A8961,""en"",""pt"")"),"#VALUE!")</f>
        <v>#VALUE!</v>
      </c>
      <c r="G8961" s="69"/>
    </row>
    <row r="8962" ht="22.5" customHeight="1">
      <c r="A8962" s="66"/>
      <c r="B8962" s="67" t="str">
        <f t="shared" si="16"/>
        <v>M: </v>
      </c>
      <c r="C8962" s="68"/>
      <c r="D8962" s="68">
        <v>46646.0</v>
      </c>
      <c r="E8962" s="66">
        <v>10.0</v>
      </c>
      <c r="F8962" s="66" t="str">
        <f>IFERROR(__xludf.DUMMYFUNCTION("GOOGLETRANSLATE(A8962,""en"",""pt"")"),"#VALUE!")</f>
        <v>#VALUE!</v>
      </c>
      <c r="G8962" s="69"/>
    </row>
    <row r="8963" ht="22.5" customHeight="1">
      <c r="A8963" s="66"/>
      <c r="B8963" s="67" t="str">
        <f t="shared" si="16"/>
        <v>M: </v>
      </c>
      <c r="C8963" s="68"/>
      <c r="D8963" s="68">
        <v>46646.0</v>
      </c>
      <c r="E8963" s="66">
        <v>1.0</v>
      </c>
      <c r="F8963" s="66" t="str">
        <f>IFERROR(__xludf.DUMMYFUNCTION("GOOGLETRANSLATE(A8963,""en"",""pt"")"),"#VALUE!")</f>
        <v>#VALUE!</v>
      </c>
      <c r="G8963" s="69"/>
    </row>
    <row r="8964" ht="22.5" customHeight="1">
      <c r="A8964" s="66"/>
      <c r="B8964" s="67" t="str">
        <f t="shared" si="16"/>
        <v>M: </v>
      </c>
      <c r="C8964" s="68"/>
      <c r="D8964" s="68">
        <v>46646.0</v>
      </c>
      <c r="E8964" s="66">
        <v>2.0</v>
      </c>
      <c r="F8964" s="66" t="str">
        <f>IFERROR(__xludf.DUMMYFUNCTION("GOOGLETRANSLATE(A8964,""en"",""pt"")"),"#VALUE!")</f>
        <v>#VALUE!</v>
      </c>
      <c r="G8964" s="69"/>
    </row>
    <row r="8965" ht="22.5" customHeight="1">
      <c r="A8965" s="66"/>
      <c r="B8965" s="67" t="str">
        <f t="shared" si="16"/>
        <v>M: </v>
      </c>
      <c r="C8965" s="68"/>
      <c r="D8965" s="68">
        <v>46646.0</v>
      </c>
      <c r="E8965" s="66">
        <v>3.0</v>
      </c>
      <c r="F8965" s="66" t="str">
        <f>IFERROR(__xludf.DUMMYFUNCTION("GOOGLETRANSLATE(A8965,""en"",""pt"")"),"#VALUE!")</f>
        <v>#VALUE!</v>
      </c>
      <c r="G8965" s="69"/>
    </row>
    <row r="8966" ht="22.5" customHeight="1">
      <c r="A8966" s="66"/>
      <c r="B8966" s="67" t="str">
        <f t="shared" si="16"/>
        <v>M: </v>
      </c>
      <c r="C8966" s="68"/>
      <c r="D8966" s="68">
        <v>46646.0</v>
      </c>
      <c r="E8966" s="66">
        <v>4.0</v>
      </c>
      <c r="F8966" s="66" t="str">
        <f>IFERROR(__xludf.DUMMYFUNCTION("GOOGLETRANSLATE(A8966,""en"",""pt"")"),"#VALUE!")</f>
        <v>#VALUE!</v>
      </c>
      <c r="G8966" s="69"/>
    </row>
    <row r="8967" ht="22.5" customHeight="1">
      <c r="A8967" s="66"/>
      <c r="B8967" s="67" t="str">
        <f t="shared" si="16"/>
        <v>M: </v>
      </c>
      <c r="C8967" s="68"/>
      <c r="D8967" s="68">
        <v>46646.0</v>
      </c>
      <c r="E8967" s="66">
        <v>5.0</v>
      </c>
      <c r="F8967" s="66" t="str">
        <f>IFERROR(__xludf.DUMMYFUNCTION("GOOGLETRANSLATE(A8967,""en"",""pt"")"),"#VALUE!")</f>
        <v>#VALUE!</v>
      </c>
      <c r="G8967" s="69"/>
    </row>
    <row r="8968" ht="22.5" customHeight="1">
      <c r="A8968" s="66"/>
      <c r="B8968" s="67" t="str">
        <f t="shared" si="16"/>
        <v>M: </v>
      </c>
      <c r="C8968" s="68"/>
      <c r="D8968" s="68">
        <v>46646.0</v>
      </c>
      <c r="E8968" s="66">
        <v>6.0</v>
      </c>
      <c r="F8968" s="66" t="str">
        <f>IFERROR(__xludf.DUMMYFUNCTION("GOOGLETRANSLATE(A8968,""en"",""pt"")"),"#VALUE!")</f>
        <v>#VALUE!</v>
      </c>
      <c r="G8968" s="69"/>
    </row>
    <row r="8969" ht="22.5" customHeight="1">
      <c r="A8969" s="66"/>
      <c r="B8969" s="67" t="str">
        <f t="shared" si="16"/>
        <v>M: </v>
      </c>
      <c r="C8969" s="68"/>
      <c r="D8969" s="68">
        <v>46646.0</v>
      </c>
      <c r="E8969" s="66">
        <v>7.0</v>
      </c>
      <c r="F8969" s="66" t="str">
        <f>IFERROR(__xludf.DUMMYFUNCTION("GOOGLETRANSLATE(A8969,""en"",""pt"")"),"#VALUE!")</f>
        <v>#VALUE!</v>
      </c>
      <c r="G8969" s="69"/>
    </row>
    <row r="8970" ht="22.5" customHeight="1">
      <c r="A8970" s="66"/>
      <c r="B8970" s="67" t="str">
        <f t="shared" si="16"/>
        <v>M: </v>
      </c>
      <c r="C8970" s="68"/>
      <c r="D8970" s="68">
        <v>46646.0</v>
      </c>
      <c r="E8970" s="66">
        <v>8.0</v>
      </c>
      <c r="F8970" s="66" t="str">
        <f>IFERROR(__xludf.DUMMYFUNCTION("GOOGLETRANSLATE(A8970,""en"",""pt"")"),"#VALUE!")</f>
        <v>#VALUE!</v>
      </c>
      <c r="G8970" s="69"/>
    </row>
    <row r="8971" ht="22.5" customHeight="1">
      <c r="A8971" s="66"/>
      <c r="B8971" s="67" t="str">
        <f t="shared" si="16"/>
        <v>M: </v>
      </c>
      <c r="C8971" s="68"/>
      <c r="D8971" s="68">
        <v>46646.0</v>
      </c>
      <c r="E8971" s="66">
        <v>9.0</v>
      </c>
      <c r="F8971" s="66" t="str">
        <f>IFERROR(__xludf.DUMMYFUNCTION("GOOGLETRANSLATE(A8971,""en"",""pt"")"),"#VALUE!")</f>
        <v>#VALUE!</v>
      </c>
      <c r="G8971" s="69"/>
    </row>
    <row r="8972" ht="22.5" customHeight="1">
      <c r="A8972" s="66"/>
      <c r="B8972" s="67" t="str">
        <f t="shared" si="16"/>
        <v>M: </v>
      </c>
      <c r="C8972" s="68"/>
      <c r="D8972" s="68">
        <v>46647.0</v>
      </c>
      <c r="E8972" s="66">
        <v>10.0</v>
      </c>
      <c r="F8972" s="66" t="str">
        <f>IFERROR(__xludf.DUMMYFUNCTION("GOOGLETRANSLATE(A8972,""en"",""pt"")"),"#VALUE!")</f>
        <v>#VALUE!</v>
      </c>
      <c r="G8972" s="69"/>
    </row>
    <row r="8973" ht="22.5" customHeight="1">
      <c r="A8973" s="66"/>
      <c r="B8973" s="67" t="str">
        <f t="shared" si="16"/>
        <v>M: </v>
      </c>
      <c r="C8973" s="68"/>
      <c r="D8973" s="68">
        <v>46647.0</v>
      </c>
      <c r="E8973" s="66">
        <v>1.0</v>
      </c>
      <c r="F8973" s="66" t="str">
        <f>IFERROR(__xludf.DUMMYFUNCTION("GOOGLETRANSLATE(A8973,""en"",""pt"")"),"#VALUE!")</f>
        <v>#VALUE!</v>
      </c>
      <c r="G8973" s="69"/>
    </row>
    <row r="8974" ht="22.5" customHeight="1">
      <c r="A8974" s="66"/>
      <c r="B8974" s="67" t="str">
        <f t="shared" si="16"/>
        <v>M: </v>
      </c>
      <c r="C8974" s="68"/>
      <c r="D8974" s="68">
        <v>46647.0</v>
      </c>
      <c r="E8974" s="66">
        <v>2.0</v>
      </c>
      <c r="F8974" s="66" t="str">
        <f>IFERROR(__xludf.DUMMYFUNCTION("GOOGLETRANSLATE(A8974,""en"",""pt"")"),"#VALUE!")</f>
        <v>#VALUE!</v>
      </c>
      <c r="G8974" s="69"/>
    </row>
    <row r="8975" ht="22.5" customHeight="1">
      <c r="A8975" s="66"/>
      <c r="B8975" s="67" t="str">
        <f t="shared" si="16"/>
        <v>M: </v>
      </c>
      <c r="C8975" s="68"/>
      <c r="D8975" s="68">
        <v>46647.0</v>
      </c>
      <c r="E8975" s="66">
        <v>3.0</v>
      </c>
      <c r="F8975" s="66" t="str">
        <f>IFERROR(__xludf.DUMMYFUNCTION("GOOGLETRANSLATE(A8975,""en"",""pt"")"),"#VALUE!")</f>
        <v>#VALUE!</v>
      </c>
      <c r="G8975" s="69"/>
    </row>
    <row r="8976" ht="22.5" customHeight="1">
      <c r="A8976" s="66"/>
      <c r="B8976" s="67" t="str">
        <f t="shared" si="16"/>
        <v>M: </v>
      </c>
      <c r="C8976" s="68"/>
      <c r="D8976" s="68">
        <v>46647.0</v>
      </c>
      <c r="E8976" s="66">
        <v>4.0</v>
      </c>
      <c r="F8976" s="66" t="str">
        <f>IFERROR(__xludf.DUMMYFUNCTION("GOOGLETRANSLATE(A8976,""en"",""pt"")"),"#VALUE!")</f>
        <v>#VALUE!</v>
      </c>
      <c r="G8976" s="69"/>
    </row>
    <row r="8977" ht="22.5" customHeight="1">
      <c r="A8977" s="66"/>
      <c r="B8977" s="67" t="str">
        <f t="shared" si="16"/>
        <v>M: </v>
      </c>
      <c r="C8977" s="68"/>
      <c r="D8977" s="68">
        <v>46647.0</v>
      </c>
      <c r="E8977" s="66">
        <v>5.0</v>
      </c>
      <c r="F8977" s="66" t="str">
        <f>IFERROR(__xludf.DUMMYFUNCTION("GOOGLETRANSLATE(A8977,""en"",""pt"")"),"#VALUE!")</f>
        <v>#VALUE!</v>
      </c>
      <c r="G8977" s="69"/>
    </row>
    <row r="8978" ht="22.5" customHeight="1">
      <c r="A8978" s="66"/>
      <c r="B8978" s="67" t="str">
        <f t="shared" si="16"/>
        <v>M: </v>
      </c>
      <c r="C8978" s="68"/>
      <c r="D8978" s="68">
        <v>46647.0</v>
      </c>
      <c r="E8978" s="66">
        <v>6.0</v>
      </c>
      <c r="F8978" s="66" t="str">
        <f>IFERROR(__xludf.DUMMYFUNCTION("GOOGLETRANSLATE(A8978,""en"",""pt"")"),"#VALUE!")</f>
        <v>#VALUE!</v>
      </c>
      <c r="G8978" s="69"/>
    </row>
    <row r="8979" ht="22.5" customHeight="1">
      <c r="A8979" s="66"/>
      <c r="B8979" s="67" t="str">
        <f t="shared" si="16"/>
        <v>M: </v>
      </c>
      <c r="C8979" s="68"/>
      <c r="D8979" s="68">
        <v>46647.0</v>
      </c>
      <c r="E8979" s="66">
        <v>7.0</v>
      </c>
      <c r="F8979" s="66" t="str">
        <f>IFERROR(__xludf.DUMMYFUNCTION("GOOGLETRANSLATE(A8979,""en"",""pt"")"),"#VALUE!")</f>
        <v>#VALUE!</v>
      </c>
      <c r="G8979" s="69"/>
    </row>
    <row r="8980" ht="22.5" customHeight="1">
      <c r="A8980" s="66"/>
      <c r="B8980" s="67" t="str">
        <f t="shared" si="16"/>
        <v>M: </v>
      </c>
      <c r="C8980" s="68"/>
      <c r="D8980" s="68">
        <v>46647.0</v>
      </c>
      <c r="E8980" s="66">
        <v>8.0</v>
      </c>
      <c r="F8980" s="66" t="str">
        <f>IFERROR(__xludf.DUMMYFUNCTION("GOOGLETRANSLATE(A8980,""en"",""pt"")"),"#VALUE!")</f>
        <v>#VALUE!</v>
      </c>
      <c r="G8980" s="69"/>
    </row>
    <row r="8981" ht="22.5" customHeight="1">
      <c r="A8981" s="66"/>
      <c r="B8981" s="67" t="str">
        <f t="shared" si="16"/>
        <v>M: </v>
      </c>
      <c r="C8981" s="68"/>
      <c r="D8981" s="68">
        <v>46647.0</v>
      </c>
      <c r="E8981" s="66">
        <v>9.0</v>
      </c>
      <c r="F8981" s="66" t="str">
        <f>IFERROR(__xludf.DUMMYFUNCTION("GOOGLETRANSLATE(A8981,""en"",""pt"")"),"#VALUE!")</f>
        <v>#VALUE!</v>
      </c>
      <c r="G8981" s="69"/>
    </row>
    <row r="8982" ht="22.5" customHeight="1">
      <c r="A8982" s="66"/>
      <c r="B8982" s="67" t="str">
        <f t="shared" si="16"/>
        <v>M: </v>
      </c>
      <c r="C8982" s="68"/>
      <c r="D8982" s="68">
        <v>46648.0</v>
      </c>
      <c r="E8982" s="66">
        <v>10.0</v>
      </c>
      <c r="F8982" s="66" t="str">
        <f>IFERROR(__xludf.DUMMYFUNCTION("GOOGLETRANSLATE(A8982,""en"",""pt"")"),"#VALUE!")</f>
        <v>#VALUE!</v>
      </c>
      <c r="G8982" s="69"/>
    </row>
    <row r="8983" ht="22.5" customHeight="1">
      <c r="A8983" s="66"/>
      <c r="B8983" s="67" t="str">
        <f t="shared" si="16"/>
        <v>M: </v>
      </c>
      <c r="C8983" s="68"/>
      <c r="D8983" s="68">
        <v>46648.0</v>
      </c>
      <c r="E8983" s="66">
        <v>1.0</v>
      </c>
      <c r="F8983" s="66" t="str">
        <f>IFERROR(__xludf.DUMMYFUNCTION("GOOGLETRANSLATE(A8983,""en"",""pt"")"),"#VALUE!")</f>
        <v>#VALUE!</v>
      </c>
      <c r="G8983" s="69"/>
    </row>
    <row r="8984" ht="22.5" customHeight="1">
      <c r="A8984" s="66"/>
      <c r="B8984" s="67" t="str">
        <f t="shared" si="16"/>
        <v>M: </v>
      </c>
      <c r="C8984" s="68"/>
      <c r="D8984" s="68">
        <v>46648.0</v>
      </c>
      <c r="E8984" s="66">
        <v>2.0</v>
      </c>
      <c r="F8984" s="66" t="str">
        <f>IFERROR(__xludf.DUMMYFUNCTION("GOOGLETRANSLATE(A8984,""en"",""pt"")"),"#VALUE!")</f>
        <v>#VALUE!</v>
      </c>
      <c r="G8984" s="69"/>
    </row>
    <row r="8985" ht="22.5" customHeight="1">
      <c r="A8985" s="66"/>
      <c r="B8985" s="67" t="str">
        <f t="shared" si="16"/>
        <v>M: </v>
      </c>
      <c r="C8985" s="68"/>
      <c r="D8985" s="68">
        <v>46648.0</v>
      </c>
      <c r="E8985" s="66">
        <v>3.0</v>
      </c>
      <c r="F8985" s="66" t="str">
        <f>IFERROR(__xludf.DUMMYFUNCTION("GOOGLETRANSLATE(A8985,""en"",""pt"")"),"#VALUE!")</f>
        <v>#VALUE!</v>
      </c>
      <c r="G8985" s="69"/>
    </row>
    <row r="8986" ht="22.5" customHeight="1">
      <c r="A8986" s="66"/>
      <c r="B8986" s="67" t="str">
        <f t="shared" si="16"/>
        <v>M: </v>
      </c>
      <c r="C8986" s="68"/>
      <c r="D8986" s="68">
        <v>46648.0</v>
      </c>
      <c r="E8986" s="66">
        <v>4.0</v>
      </c>
      <c r="F8986" s="66" t="str">
        <f>IFERROR(__xludf.DUMMYFUNCTION("GOOGLETRANSLATE(A8986,""en"",""pt"")"),"#VALUE!")</f>
        <v>#VALUE!</v>
      </c>
      <c r="G8986" s="69"/>
    </row>
    <row r="8987" ht="22.5" customHeight="1">
      <c r="A8987" s="66"/>
      <c r="B8987" s="67" t="str">
        <f t="shared" si="16"/>
        <v>M: </v>
      </c>
      <c r="C8987" s="68"/>
      <c r="D8987" s="68">
        <v>46648.0</v>
      </c>
      <c r="E8987" s="66">
        <v>5.0</v>
      </c>
      <c r="F8987" s="66" t="str">
        <f>IFERROR(__xludf.DUMMYFUNCTION("GOOGLETRANSLATE(A8987,""en"",""pt"")"),"#VALUE!")</f>
        <v>#VALUE!</v>
      </c>
      <c r="G8987" s="69"/>
    </row>
    <row r="8988" ht="22.5" customHeight="1">
      <c r="A8988" s="66"/>
      <c r="B8988" s="67" t="str">
        <f t="shared" si="16"/>
        <v>M: </v>
      </c>
      <c r="C8988" s="68"/>
      <c r="D8988" s="68">
        <v>46648.0</v>
      </c>
      <c r="E8988" s="66">
        <v>6.0</v>
      </c>
      <c r="F8988" s="66" t="str">
        <f>IFERROR(__xludf.DUMMYFUNCTION("GOOGLETRANSLATE(A8988,""en"",""pt"")"),"#VALUE!")</f>
        <v>#VALUE!</v>
      </c>
      <c r="G8988" s="69"/>
    </row>
    <row r="8989" ht="22.5" customHeight="1">
      <c r="A8989" s="66"/>
      <c r="B8989" s="67" t="str">
        <f t="shared" si="16"/>
        <v>M: </v>
      </c>
      <c r="C8989" s="68"/>
      <c r="D8989" s="68">
        <v>46648.0</v>
      </c>
      <c r="E8989" s="66">
        <v>7.0</v>
      </c>
      <c r="F8989" s="66" t="str">
        <f>IFERROR(__xludf.DUMMYFUNCTION("GOOGLETRANSLATE(A8989,""en"",""pt"")"),"#VALUE!")</f>
        <v>#VALUE!</v>
      </c>
      <c r="G8989" s="69"/>
    </row>
    <row r="8990" ht="22.5" customHeight="1">
      <c r="A8990" s="66"/>
      <c r="B8990" s="67" t="str">
        <f t="shared" si="16"/>
        <v>M: </v>
      </c>
      <c r="C8990" s="68"/>
      <c r="D8990" s="68">
        <v>46648.0</v>
      </c>
      <c r="E8990" s="66">
        <v>8.0</v>
      </c>
      <c r="F8990" s="66" t="str">
        <f>IFERROR(__xludf.DUMMYFUNCTION("GOOGLETRANSLATE(A8990,""en"",""pt"")"),"#VALUE!")</f>
        <v>#VALUE!</v>
      </c>
      <c r="G8990" s="69"/>
    </row>
    <row r="8991" ht="22.5" customHeight="1">
      <c r="A8991" s="66"/>
      <c r="B8991" s="67" t="str">
        <f t="shared" si="16"/>
        <v>M: </v>
      </c>
      <c r="C8991" s="68"/>
      <c r="D8991" s="68">
        <v>46648.0</v>
      </c>
      <c r="E8991" s="66">
        <v>9.0</v>
      </c>
      <c r="F8991" s="66" t="str">
        <f>IFERROR(__xludf.DUMMYFUNCTION("GOOGLETRANSLATE(A8991,""en"",""pt"")"),"#VALUE!")</f>
        <v>#VALUE!</v>
      </c>
      <c r="G8991" s="69"/>
    </row>
    <row r="8992" ht="22.5" customHeight="1">
      <c r="A8992" s="66"/>
      <c r="B8992" s="67" t="str">
        <f t="shared" si="16"/>
        <v>M: </v>
      </c>
      <c r="C8992" s="68"/>
      <c r="D8992" s="68">
        <v>46649.0</v>
      </c>
      <c r="E8992" s="66">
        <v>10.0</v>
      </c>
      <c r="F8992" s="66" t="str">
        <f>IFERROR(__xludf.DUMMYFUNCTION("GOOGLETRANSLATE(A8992,""en"",""pt"")"),"#VALUE!")</f>
        <v>#VALUE!</v>
      </c>
      <c r="G8992" s="69"/>
    </row>
    <row r="8993" ht="22.5" customHeight="1">
      <c r="A8993" s="66"/>
      <c r="B8993" s="67" t="str">
        <f t="shared" si="16"/>
        <v>M: </v>
      </c>
      <c r="C8993" s="68"/>
      <c r="D8993" s="68">
        <v>46649.0</v>
      </c>
      <c r="E8993" s="66">
        <v>1.0</v>
      </c>
      <c r="F8993" s="66" t="str">
        <f>IFERROR(__xludf.DUMMYFUNCTION("GOOGLETRANSLATE(A8993,""en"",""pt"")"),"#VALUE!")</f>
        <v>#VALUE!</v>
      </c>
      <c r="G8993" s="69"/>
    </row>
    <row r="8994" ht="22.5" customHeight="1">
      <c r="A8994" s="66"/>
      <c r="B8994" s="67" t="str">
        <f t="shared" si="16"/>
        <v>M: </v>
      </c>
      <c r="C8994" s="68"/>
      <c r="D8994" s="68">
        <v>46649.0</v>
      </c>
      <c r="E8994" s="66">
        <v>2.0</v>
      </c>
      <c r="F8994" s="66" t="str">
        <f>IFERROR(__xludf.DUMMYFUNCTION("GOOGLETRANSLATE(A8994,""en"",""pt"")"),"#VALUE!")</f>
        <v>#VALUE!</v>
      </c>
      <c r="G8994" s="69"/>
    </row>
    <row r="8995" ht="22.5" customHeight="1">
      <c r="A8995" s="66"/>
      <c r="B8995" s="67" t="str">
        <f t="shared" si="16"/>
        <v>M: </v>
      </c>
      <c r="C8995" s="68"/>
      <c r="D8995" s="68">
        <v>46649.0</v>
      </c>
      <c r="E8995" s="66">
        <v>3.0</v>
      </c>
      <c r="F8995" s="66" t="str">
        <f>IFERROR(__xludf.DUMMYFUNCTION("GOOGLETRANSLATE(A8995,""en"",""pt"")"),"#VALUE!")</f>
        <v>#VALUE!</v>
      </c>
      <c r="G8995" s="69"/>
    </row>
    <row r="8996" ht="22.5" customHeight="1">
      <c r="A8996" s="66"/>
      <c r="B8996" s="67" t="str">
        <f t="shared" si="16"/>
        <v>M: </v>
      </c>
      <c r="C8996" s="68"/>
      <c r="D8996" s="68">
        <v>46649.0</v>
      </c>
      <c r="E8996" s="66">
        <v>4.0</v>
      </c>
      <c r="F8996" s="66" t="str">
        <f>IFERROR(__xludf.DUMMYFUNCTION("GOOGLETRANSLATE(A8996,""en"",""pt"")"),"#VALUE!")</f>
        <v>#VALUE!</v>
      </c>
      <c r="G8996" s="69"/>
    </row>
    <row r="8997" ht="22.5" customHeight="1">
      <c r="A8997" s="66"/>
      <c r="B8997" s="67" t="str">
        <f t="shared" si="16"/>
        <v>M: </v>
      </c>
      <c r="C8997" s="68"/>
      <c r="D8997" s="68">
        <v>46649.0</v>
      </c>
      <c r="E8997" s="66">
        <v>5.0</v>
      </c>
      <c r="F8997" s="66" t="str">
        <f>IFERROR(__xludf.DUMMYFUNCTION("GOOGLETRANSLATE(A8997,""en"",""pt"")"),"#VALUE!")</f>
        <v>#VALUE!</v>
      </c>
      <c r="G8997" s="69"/>
    </row>
    <row r="8998" ht="22.5" customHeight="1">
      <c r="A8998" s="66"/>
      <c r="B8998" s="67" t="str">
        <f t="shared" si="16"/>
        <v>M: </v>
      </c>
      <c r="C8998" s="68"/>
      <c r="D8998" s="68">
        <v>46649.0</v>
      </c>
      <c r="E8998" s="66">
        <v>6.0</v>
      </c>
      <c r="F8998" s="66" t="str">
        <f>IFERROR(__xludf.DUMMYFUNCTION("GOOGLETRANSLATE(A8998,""en"",""pt"")"),"#VALUE!")</f>
        <v>#VALUE!</v>
      </c>
      <c r="G8998" s="69"/>
    </row>
    <row r="8999" ht="22.5" customHeight="1">
      <c r="A8999" s="66"/>
      <c r="B8999" s="67" t="str">
        <f t="shared" si="16"/>
        <v>M: </v>
      </c>
      <c r="C8999" s="68"/>
      <c r="D8999" s="68">
        <v>46649.0</v>
      </c>
      <c r="E8999" s="66">
        <v>7.0</v>
      </c>
      <c r="F8999" s="66" t="str">
        <f>IFERROR(__xludf.DUMMYFUNCTION("GOOGLETRANSLATE(A8999,""en"",""pt"")"),"#VALUE!")</f>
        <v>#VALUE!</v>
      </c>
      <c r="G8999" s="69"/>
    </row>
    <row r="9000" ht="22.5" customHeight="1">
      <c r="A9000" s="66"/>
      <c r="B9000" s="67" t="str">
        <f t="shared" si="16"/>
        <v>M: </v>
      </c>
      <c r="C9000" s="68"/>
      <c r="D9000" s="68">
        <v>46649.0</v>
      </c>
      <c r="E9000" s="66">
        <v>8.0</v>
      </c>
      <c r="F9000" s="66" t="str">
        <f>IFERROR(__xludf.DUMMYFUNCTION("GOOGLETRANSLATE(A9000,""en"",""pt"")"),"#VALUE!")</f>
        <v>#VALUE!</v>
      </c>
      <c r="G9000" s="69"/>
    </row>
    <row r="9001" ht="22.5" customHeight="1">
      <c r="A9001" s="66"/>
      <c r="B9001" s="67" t="str">
        <f t="shared" si="16"/>
        <v>M: </v>
      </c>
      <c r="C9001" s="68"/>
      <c r="D9001" s="68">
        <v>46649.0</v>
      </c>
      <c r="E9001" s="66">
        <v>9.0</v>
      </c>
      <c r="F9001" s="66" t="str">
        <f>IFERROR(__xludf.DUMMYFUNCTION("GOOGLETRANSLATE(A9001,""en"",""pt"")"),"#VALUE!")</f>
        <v>#VALUE!</v>
      </c>
      <c r="G9001" s="69"/>
    </row>
    <row r="9002" ht="22.5" customHeight="1">
      <c r="A9002" s="66"/>
      <c r="B9002" s="67" t="str">
        <f t="shared" si="16"/>
        <v>M: </v>
      </c>
      <c r="C9002" s="68"/>
      <c r="D9002" s="68">
        <v>46650.0</v>
      </c>
      <c r="E9002" s="66">
        <v>10.0</v>
      </c>
      <c r="F9002" s="66" t="str">
        <f>IFERROR(__xludf.DUMMYFUNCTION("GOOGLETRANSLATE(A9002,""en"",""pt"")"),"#VALUE!")</f>
        <v>#VALUE!</v>
      </c>
      <c r="G9002" s="69"/>
    </row>
    <row r="9003" ht="22.5" customHeight="1">
      <c r="A9003" s="66"/>
      <c r="B9003" s="67" t="str">
        <f t="shared" si="16"/>
        <v>M: </v>
      </c>
      <c r="C9003" s="68"/>
      <c r="D9003" s="68">
        <v>46650.0</v>
      </c>
      <c r="E9003" s="66">
        <v>1.0</v>
      </c>
      <c r="F9003" s="66" t="str">
        <f>IFERROR(__xludf.DUMMYFUNCTION("GOOGLETRANSLATE(A9003,""en"",""pt"")"),"#VALUE!")</f>
        <v>#VALUE!</v>
      </c>
      <c r="G9003" s="69"/>
    </row>
    <row r="9004" ht="22.5" customHeight="1">
      <c r="A9004" s="66"/>
      <c r="B9004" s="67" t="str">
        <f t="shared" si="16"/>
        <v>M: </v>
      </c>
      <c r="C9004" s="68"/>
      <c r="D9004" s="68">
        <v>46650.0</v>
      </c>
      <c r="E9004" s="66">
        <v>2.0</v>
      </c>
      <c r="F9004" s="66" t="str">
        <f>IFERROR(__xludf.DUMMYFUNCTION("GOOGLETRANSLATE(A9004,""en"",""pt"")"),"#VALUE!")</f>
        <v>#VALUE!</v>
      </c>
      <c r="G9004" s="69"/>
    </row>
    <row r="9005" ht="22.5" customHeight="1">
      <c r="A9005" s="66"/>
      <c r="B9005" s="67" t="str">
        <f t="shared" si="16"/>
        <v>M: </v>
      </c>
      <c r="C9005" s="68"/>
      <c r="D9005" s="68">
        <v>46650.0</v>
      </c>
      <c r="E9005" s="66">
        <v>3.0</v>
      </c>
      <c r="F9005" s="66" t="str">
        <f>IFERROR(__xludf.DUMMYFUNCTION("GOOGLETRANSLATE(A9005,""en"",""pt"")"),"#VALUE!")</f>
        <v>#VALUE!</v>
      </c>
      <c r="G9005" s="69"/>
    </row>
    <row r="9006" ht="22.5" customHeight="1">
      <c r="A9006" s="66"/>
      <c r="B9006" s="67" t="str">
        <f t="shared" si="16"/>
        <v>M: </v>
      </c>
      <c r="C9006" s="68"/>
      <c r="D9006" s="68">
        <v>46650.0</v>
      </c>
      <c r="E9006" s="66">
        <v>4.0</v>
      </c>
      <c r="F9006" s="66" t="str">
        <f>IFERROR(__xludf.DUMMYFUNCTION("GOOGLETRANSLATE(A9006,""en"",""pt"")"),"#VALUE!")</f>
        <v>#VALUE!</v>
      </c>
      <c r="G9006" s="69"/>
    </row>
    <row r="9007" ht="22.5" customHeight="1">
      <c r="A9007" s="66"/>
      <c r="B9007" s="67" t="str">
        <f t="shared" si="16"/>
        <v>M: </v>
      </c>
      <c r="C9007" s="68"/>
      <c r="D9007" s="68">
        <v>46650.0</v>
      </c>
      <c r="E9007" s="66">
        <v>5.0</v>
      </c>
      <c r="F9007" s="66" t="str">
        <f>IFERROR(__xludf.DUMMYFUNCTION("GOOGLETRANSLATE(A9007,""en"",""pt"")"),"#VALUE!")</f>
        <v>#VALUE!</v>
      </c>
      <c r="G9007" s="69"/>
    </row>
    <row r="9008" ht="22.5" customHeight="1">
      <c r="A9008" s="66"/>
      <c r="B9008" s="67" t="str">
        <f t="shared" si="16"/>
        <v>M: </v>
      </c>
      <c r="C9008" s="68"/>
      <c r="D9008" s="68">
        <v>46650.0</v>
      </c>
      <c r="E9008" s="66">
        <v>6.0</v>
      </c>
      <c r="F9008" s="66" t="str">
        <f>IFERROR(__xludf.DUMMYFUNCTION("GOOGLETRANSLATE(A9008,""en"",""pt"")"),"#VALUE!")</f>
        <v>#VALUE!</v>
      </c>
      <c r="G9008" s="69"/>
    </row>
    <row r="9009" ht="22.5" customHeight="1">
      <c r="A9009" s="66"/>
      <c r="B9009" s="67" t="str">
        <f t="shared" si="16"/>
        <v>M: </v>
      </c>
      <c r="C9009" s="68"/>
      <c r="D9009" s="68">
        <v>46650.0</v>
      </c>
      <c r="E9009" s="66">
        <v>7.0</v>
      </c>
      <c r="F9009" s="66" t="str">
        <f>IFERROR(__xludf.DUMMYFUNCTION("GOOGLETRANSLATE(A9009,""en"",""pt"")"),"#VALUE!")</f>
        <v>#VALUE!</v>
      </c>
      <c r="G9009" s="69"/>
    </row>
    <row r="9010" ht="22.5" customHeight="1">
      <c r="A9010" s="66"/>
      <c r="B9010" s="67" t="str">
        <f t="shared" si="16"/>
        <v>M: </v>
      </c>
      <c r="C9010" s="68"/>
      <c r="D9010" s="68">
        <v>46650.0</v>
      </c>
      <c r="E9010" s="66">
        <v>8.0</v>
      </c>
      <c r="F9010" s="66" t="str">
        <f>IFERROR(__xludf.DUMMYFUNCTION("GOOGLETRANSLATE(A9010,""en"",""pt"")"),"#VALUE!")</f>
        <v>#VALUE!</v>
      </c>
      <c r="G9010" s="69"/>
    </row>
    <row r="9011" ht="22.5" customHeight="1">
      <c r="A9011" s="66"/>
      <c r="B9011" s="67" t="str">
        <f t="shared" si="16"/>
        <v>M: </v>
      </c>
      <c r="C9011" s="68"/>
      <c r="D9011" s="68">
        <v>46650.0</v>
      </c>
      <c r="E9011" s="66">
        <v>9.0</v>
      </c>
      <c r="F9011" s="66" t="str">
        <f>IFERROR(__xludf.DUMMYFUNCTION("GOOGLETRANSLATE(A9011,""en"",""pt"")"),"#VALUE!")</f>
        <v>#VALUE!</v>
      </c>
      <c r="G9011" s="69"/>
    </row>
    <row r="9012" ht="22.5" customHeight="1">
      <c r="A9012" s="66"/>
      <c r="B9012" s="67" t="str">
        <f t="shared" si="16"/>
        <v>M: </v>
      </c>
      <c r="C9012" s="68"/>
      <c r="D9012" s="68">
        <v>46651.0</v>
      </c>
      <c r="E9012" s="66">
        <v>10.0</v>
      </c>
      <c r="F9012" s="66" t="str">
        <f>IFERROR(__xludf.DUMMYFUNCTION("GOOGLETRANSLATE(A9012,""en"",""pt"")"),"#VALUE!")</f>
        <v>#VALUE!</v>
      </c>
      <c r="G9012" s="69"/>
    </row>
    <row r="9013" ht="22.5" customHeight="1">
      <c r="A9013" s="66"/>
      <c r="B9013" s="67" t="str">
        <f t="shared" si="16"/>
        <v>M: </v>
      </c>
      <c r="C9013" s="68"/>
      <c r="D9013" s="68">
        <v>46651.0</v>
      </c>
      <c r="E9013" s="66">
        <v>1.0</v>
      </c>
      <c r="F9013" s="66" t="str">
        <f>IFERROR(__xludf.DUMMYFUNCTION("GOOGLETRANSLATE(A9013,""en"",""pt"")"),"#VALUE!")</f>
        <v>#VALUE!</v>
      </c>
      <c r="G9013" s="69"/>
    </row>
    <row r="9014" ht="22.5" customHeight="1">
      <c r="A9014" s="66"/>
      <c r="B9014" s="67" t="str">
        <f t="shared" si="16"/>
        <v>M: </v>
      </c>
      <c r="C9014" s="68"/>
      <c r="D9014" s="68">
        <v>46651.0</v>
      </c>
      <c r="E9014" s="66">
        <v>2.0</v>
      </c>
      <c r="F9014" s="66" t="str">
        <f>IFERROR(__xludf.DUMMYFUNCTION("GOOGLETRANSLATE(A9014,""en"",""pt"")"),"#VALUE!")</f>
        <v>#VALUE!</v>
      </c>
      <c r="G9014" s="69"/>
    </row>
    <row r="9015" ht="22.5" customHeight="1">
      <c r="A9015" s="66"/>
      <c r="B9015" s="67" t="str">
        <f t="shared" si="16"/>
        <v>M: </v>
      </c>
      <c r="C9015" s="68"/>
      <c r="D9015" s="68">
        <v>46651.0</v>
      </c>
      <c r="E9015" s="66">
        <v>3.0</v>
      </c>
      <c r="F9015" s="66" t="str">
        <f>IFERROR(__xludf.DUMMYFUNCTION("GOOGLETRANSLATE(A9015,""en"",""pt"")"),"#VALUE!")</f>
        <v>#VALUE!</v>
      </c>
      <c r="G9015" s="69"/>
    </row>
    <row r="9016" ht="22.5" customHeight="1">
      <c r="A9016" s="66"/>
      <c r="B9016" s="67" t="str">
        <f t="shared" si="16"/>
        <v>M: </v>
      </c>
      <c r="C9016" s="68"/>
      <c r="D9016" s="68">
        <v>46651.0</v>
      </c>
      <c r="E9016" s="66">
        <v>4.0</v>
      </c>
      <c r="F9016" s="66" t="str">
        <f>IFERROR(__xludf.DUMMYFUNCTION("GOOGLETRANSLATE(A9016,""en"",""pt"")"),"#VALUE!")</f>
        <v>#VALUE!</v>
      </c>
      <c r="G9016" s="69"/>
    </row>
    <row r="9017" ht="22.5" customHeight="1">
      <c r="A9017" s="66"/>
      <c r="B9017" s="67" t="str">
        <f t="shared" si="16"/>
        <v>M: </v>
      </c>
      <c r="C9017" s="68"/>
      <c r="D9017" s="68">
        <v>46651.0</v>
      </c>
      <c r="E9017" s="66">
        <v>5.0</v>
      </c>
      <c r="F9017" s="66" t="str">
        <f>IFERROR(__xludf.DUMMYFUNCTION("GOOGLETRANSLATE(A9017,""en"",""pt"")"),"#VALUE!")</f>
        <v>#VALUE!</v>
      </c>
      <c r="G9017" s="69"/>
    </row>
    <row r="9018" ht="22.5" customHeight="1">
      <c r="A9018" s="66"/>
      <c r="B9018" s="67" t="str">
        <f t="shared" si="16"/>
        <v>M: </v>
      </c>
      <c r="C9018" s="68"/>
      <c r="D9018" s="68">
        <v>46651.0</v>
      </c>
      <c r="E9018" s="66">
        <v>6.0</v>
      </c>
      <c r="F9018" s="66" t="str">
        <f>IFERROR(__xludf.DUMMYFUNCTION("GOOGLETRANSLATE(A9018,""en"",""pt"")"),"#VALUE!")</f>
        <v>#VALUE!</v>
      </c>
      <c r="G9018" s="69"/>
    </row>
    <row r="9019" ht="22.5" customHeight="1">
      <c r="A9019" s="66"/>
      <c r="B9019" s="67" t="str">
        <f t="shared" si="16"/>
        <v>M: </v>
      </c>
      <c r="C9019" s="68"/>
      <c r="D9019" s="68">
        <v>46651.0</v>
      </c>
      <c r="E9019" s="66">
        <v>7.0</v>
      </c>
      <c r="F9019" s="66" t="str">
        <f>IFERROR(__xludf.DUMMYFUNCTION("GOOGLETRANSLATE(A9019,""en"",""pt"")"),"#VALUE!")</f>
        <v>#VALUE!</v>
      </c>
      <c r="G9019" s="69"/>
    </row>
    <row r="9020" ht="22.5" customHeight="1">
      <c r="A9020" s="66"/>
      <c r="B9020" s="67" t="str">
        <f t="shared" si="16"/>
        <v>M: </v>
      </c>
      <c r="C9020" s="68"/>
      <c r="D9020" s="68">
        <v>46651.0</v>
      </c>
      <c r="E9020" s="66">
        <v>8.0</v>
      </c>
      <c r="F9020" s="66" t="str">
        <f>IFERROR(__xludf.DUMMYFUNCTION("GOOGLETRANSLATE(A9020,""en"",""pt"")"),"#VALUE!")</f>
        <v>#VALUE!</v>
      </c>
      <c r="G9020" s="69"/>
    </row>
    <row r="9021" ht="22.5" customHeight="1">
      <c r="A9021" s="66"/>
      <c r="B9021" s="67" t="str">
        <f t="shared" si="16"/>
        <v>M: </v>
      </c>
      <c r="C9021" s="68"/>
      <c r="D9021" s="68">
        <v>46651.0</v>
      </c>
      <c r="E9021" s="66">
        <v>9.0</v>
      </c>
      <c r="F9021" s="66" t="str">
        <f>IFERROR(__xludf.DUMMYFUNCTION("GOOGLETRANSLATE(A9021,""en"",""pt"")"),"#VALUE!")</f>
        <v>#VALUE!</v>
      </c>
      <c r="G9021" s="69"/>
    </row>
    <row r="9022" ht="22.5" customHeight="1">
      <c r="A9022" s="66"/>
      <c r="B9022" s="67" t="str">
        <f t="shared" si="16"/>
        <v>M: </v>
      </c>
      <c r="C9022" s="68"/>
      <c r="D9022" s="68">
        <v>46652.0</v>
      </c>
      <c r="E9022" s="66">
        <v>10.0</v>
      </c>
      <c r="F9022" s="66" t="str">
        <f>IFERROR(__xludf.DUMMYFUNCTION("GOOGLETRANSLATE(A9022,""en"",""pt"")"),"#VALUE!")</f>
        <v>#VALUE!</v>
      </c>
      <c r="G9022" s="69"/>
    </row>
    <row r="9023" ht="22.5" customHeight="1">
      <c r="A9023" s="66"/>
      <c r="B9023" s="67" t="str">
        <f t="shared" si="16"/>
        <v>M: </v>
      </c>
      <c r="C9023" s="68"/>
      <c r="D9023" s="68">
        <v>46652.0</v>
      </c>
      <c r="E9023" s="66">
        <v>1.0</v>
      </c>
      <c r="F9023" s="66" t="str">
        <f>IFERROR(__xludf.DUMMYFUNCTION("GOOGLETRANSLATE(A9023,""en"",""pt"")"),"#VALUE!")</f>
        <v>#VALUE!</v>
      </c>
      <c r="G9023" s="69"/>
    </row>
    <row r="9024" ht="22.5" customHeight="1">
      <c r="A9024" s="66"/>
      <c r="B9024" s="67" t="str">
        <f t="shared" si="16"/>
        <v>M: </v>
      </c>
      <c r="C9024" s="68"/>
      <c r="D9024" s="68">
        <v>46652.0</v>
      </c>
      <c r="E9024" s="66">
        <v>2.0</v>
      </c>
      <c r="F9024" s="66" t="str">
        <f>IFERROR(__xludf.DUMMYFUNCTION("GOOGLETRANSLATE(A9024,""en"",""pt"")"),"#VALUE!")</f>
        <v>#VALUE!</v>
      </c>
      <c r="G9024" s="69"/>
    </row>
    <row r="9025" ht="22.5" customHeight="1">
      <c r="A9025" s="66"/>
      <c r="B9025" s="67" t="str">
        <f t="shared" si="16"/>
        <v>M: </v>
      </c>
      <c r="C9025" s="68"/>
      <c r="D9025" s="68">
        <v>46652.0</v>
      </c>
      <c r="E9025" s="66">
        <v>3.0</v>
      </c>
      <c r="F9025" s="66" t="str">
        <f>IFERROR(__xludf.DUMMYFUNCTION("GOOGLETRANSLATE(A9025,""en"",""pt"")"),"#VALUE!")</f>
        <v>#VALUE!</v>
      </c>
      <c r="G9025" s="69"/>
    </row>
    <row r="9026" ht="22.5" customHeight="1">
      <c r="A9026" s="66"/>
      <c r="B9026" s="67" t="str">
        <f t="shared" si="16"/>
        <v>M: </v>
      </c>
      <c r="C9026" s="68"/>
      <c r="D9026" s="68">
        <v>46652.0</v>
      </c>
      <c r="E9026" s="66">
        <v>4.0</v>
      </c>
      <c r="F9026" s="66" t="str">
        <f>IFERROR(__xludf.DUMMYFUNCTION("GOOGLETRANSLATE(A9026,""en"",""pt"")"),"#VALUE!")</f>
        <v>#VALUE!</v>
      </c>
      <c r="G9026" s="69"/>
    </row>
    <row r="9027" ht="22.5" customHeight="1">
      <c r="A9027" s="66"/>
      <c r="B9027" s="67" t="str">
        <f t="shared" si="16"/>
        <v>M: </v>
      </c>
      <c r="C9027" s="68"/>
      <c r="D9027" s="68">
        <v>46652.0</v>
      </c>
      <c r="E9027" s="66">
        <v>5.0</v>
      </c>
      <c r="F9027" s="66" t="str">
        <f>IFERROR(__xludf.DUMMYFUNCTION("GOOGLETRANSLATE(A9027,""en"",""pt"")"),"#VALUE!")</f>
        <v>#VALUE!</v>
      </c>
      <c r="G9027" s="69"/>
    </row>
    <row r="9028" ht="22.5" customHeight="1">
      <c r="A9028" s="66"/>
      <c r="B9028" s="67" t="str">
        <f t="shared" si="16"/>
        <v>M: </v>
      </c>
      <c r="C9028" s="68"/>
      <c r="D9028" s="68">
        <v>46652.0</v>
      </c>
      <c r="E9028" s="66">
        <v>6.0</v>
      </c>
      <c r="F9028" s="66" t="str">
        <f>IFERROR(__xludf.DUMMYFUNCTION("GOOGLETRANSLATE(A9028,""en"",""pt"")"),"#VALUE!")</f>
        <v>#VALUE!</v>
      </c>
      <c r="G9028" s="69"/>
    </row>
    <row r="9029" ht="22.5" customHeight="1">
      <c r="A9029" s="66"/>
      <c r="B9029" s="67" t="str">
        <f t="shared" si="16"/>
        <v>M: </v>
      </c>
      <c r="C9029" s="68"/>
      <c r="D9029" s="68">
        <v>46652.0</v>
      </c>
      <c r="E9029" s="66">
        <v>7.0</v>
      </c>
      <c r="F9029" s="66" t="str">
        <f>IFERROR(__xludf.DUMMYFUNCTION("GOOGLETRANSLATE(A9029,""en"",""pt"")"),"#VALUE!")</f>
        <v>#VALUE!</v>
      </c>
      <c r="G9029" s="69"/>
    </row>
    <row r="9030" ht="22.5" customHeight="1">
      <c r="A9030" s="66"/>
      <c r="B9030" s="67" t="str">
        <f t="shared" si="16"/>
        <v>M: </v>
      </c>
      <c r="C9030" s="68"/>
      <c r="D9030" s="68">
        <v>46652.0</v>
      </c>
      <c r="E9030" s="66">
        <v>8.0</v>
      </c>
      <c r="F9030" s="66" t="str">
        <f>IFERROR(__xludf.DUMMYFUNCTION("GOOGLETRANSLATE(A9030,""en"",""pt"")"),"#VALUE!")</f>
        <v>#VALUE!</v>
      </c>
      <c r="G9030" s="69"/>
    </row>
    <row r="9031" ht="22.5" customHeight="1">
      <c r="A9031" s="66"/>
      <c r="B9031" s="67" t="str">
        <f t="shared" si="16"/>
        <v>M: </v>
      </c>
      <c r="C9031" s="68"/>
      <c r="D9031" s="68">
        <v>46652.0</v>
      </c>
      <c r="E9031" s="66">
        <v>9.0</v>
      </c>
      <c r="F9031" s="66" t="str">
        <f>IFERROR(__xludf.DUMMYFUNCTION("GOOGLETRANSLATE(A9031,""en"",""pt"")"),"#VALUE!")</f>
        <v>#VALUE!</v>
      </c>
      <c r="G9031" s="69"/>
    </row>
    <row r="9032" ht="22.5" customHeight="1">
      <c r="A9032" s="66"/>
      <c r="B9032" s="67" t="str">
        <f t="shared" si="16"/>
        <v>M: </v>
      </c>
      <c r="C9032" s="68"/>
      <c r="D9032" s="68">
        <v>46653.0</v>
      </c>
      <c r="E9032" s="66">
        <v>10.0</v>
      </c>
      <c r="F9032" s="66" t="str">
        <f>IFERROR(__xludf.DUMMYFUNCTION("GOOGLETRANSLATE(A9032,""en"",""pt"")"),"#VALUE!")</f>
        <v>#VALUE!</v>
      </c>
      <c r="G9032" s="69"/>
    </row>
    <row r="9033" ht="22.5" customHeight="1">
      <c r="A9033" s="66"/>
      <c r="B9033" s="67" t="str">
        <f t="shared" si="16"/>
        <v>M: </v>
      </c>
      <c r="C9033" s="68"/>
      <c r="D9033" s="68">
        <v>46653.0</v>
      </c>
      <c r="E9033" s="66">
        <v>1.0</v>
      </c>
      <c r="F9033" s="66" t="str">
        <f>IFERROR(__xludf.DUMMYFUNCTION("GOOGLETRANSLATE(A9033,""en"",""pt"")"),"#VALUE!")</f>
        <v>#VALUE!</v>
      </c>
      <c r="G9033" s="69"/>
    </row>
    <row r="9034" ht="22.5" customHeight="1">
      <c r="A9034" s="66"/>
      <c r="B9034" s="67" t="str">
        <f t="shared" si="16"/>
        <v>M: </v>
      </c>
      <c r="C9034" s="68"/>
      <c r="D9034" s="68">
        <v>46653.0</v>
      </c>
      <c r="E9034" s="66">
        <v>2.0</v>
      </c>
      <c r="F9034" s="66" t="str">
        <f>IFERROR(__xludf.DUMMYFUNCTION("GOOGLETRANSLATE(A9034,""en"",""pt"")"),"#VALUE!")</f>
        <v>#VALUE!</v>
      </c>
      <c r="G9034" s="69"/>
    </row>
    <row r="9035" ht="22.5" customHeight="1">
      <c r="A9035" s="66"/>
      <c r="B9035" s="67" t="str">
        <f t="shared" si="16"/>
        <v>M: </v>
      </c>
      <c r="C9035" s="68"/>
      <c r="D9035" s="68">
        <v>46653.0</v>
      </c>
      <c r="E9035" s="66">
        <v>3.0</v>
      </c>
      <c r="F9035" s="66" t="str">
        <f>IFERROR(__xludf.DUMMYFUNCTION("GOOGLETRANSLATE(A9035,""en"",""pt"")"),"#VALUE!")</f>
        <v>#VALUE!</v>
      </c>
      <c r="G9035" s="69"/>
    </row>
    <row r="9036" ht="22.5" customHeight="1">
      <c r="A9036" s="66"/>
      <c r="B9036" s="67" t="str">
        <f t="shared" si="16"/>
        <v>M: </v>
      </c>
      <c r="C9036" s="68"/>
      <c r="D9036" s="68">
        <v>46653.0</v>
      </c>
      <c r="E9036" s="66">
        <v>4.0</v>
      </c>
      <c r="F9036" s="66" t="str">
        <f>IFERROR(__xludf.DUMMYFUNCTION("GOOGLETRANSLATE(A9036,""en"",""pt"")"),"#VALUE!")</f>
        <v>#VALUE!</v>
      </c>
      <c r="G9036" s="69"/>
    </row>
    <row r="9037" ht="22.5" customHeight="1">
      <c r="A9037" s="66"/>
      <c r="B9037" s="67" t="str">
        <f t="shared" si="16"/>
        <v>M: </v>
      </c>
      <c r="C9037" s="68"/>
      <c r="D9037" s="68">
        <v>46653.0</v>
      </c>
      <c r="E9037" s="66">
        <v>5.0</v>
      </c>
      <c r="F9037" s="66" t="str">
        <f>IFERROR(__xludf.DUMMYFUNCTION("GOOGLETRANSLATE(A9037,""en"",""pt"")"),"#VALUE!")</f>
        <v>#VALUE!</v>
      </c>
      <c r="G9037" s="69"/>
    </row>
    <row r="9038" ht="22.5" customHeight="1">
      <c r="A9038" s="66"/>
      <c r="B9038" s="67" t="str">
        <f t="shared" si="16"/>
        <v>M: </v>
      </c>
      <c r="C9038" s="68"/>
      <c r="D9038" s="68">
        <v>46653.0</v>
      </c>
      <c r="E9038" s="66">
        <v>6.0</v>
      </c>
      <c r="F9038" s="66" t="str">
        <f>IFERROR(__xludf.DUMMYFUNCTION("GOOGLETRANSLATE(A9038,""en"",""pt"")"),"#VALUE!")</f>
        <v>#VALUE!</v>
      </c>
      <c r="G9038" s="69"/>
    </row>
    <row r="9039" ht="22.5" customHeight="1">
      <c r="A9039" s="66"/>
      <c r="B9039" s="67" t="str">
        <f t="shared" si="16"/>
        <v>M: </v>
      </c>
      <c r="C9039" s="68"/>
      <c r="D9039" s="68">
        <v>46653.0</v>
      </c>
      <c r="E9039" s="66">
        <v>7.0</v>
      </c>
      <c r="F9039" s="66" t="str">
        <f>IFERROR(__xludf.DUMMYFUNCTION("GOOGLETRANSLATE(A9039,""en"",""pt"")"),"#VALUE!")</f>
        <v>#VALUE!</v>
      </c>
      <c r="G9039" s="69"/>
    </row>
    <row r="9040" ht="22.5" customHeight="1">
      <c r="A9040" s="66"/>
      <c r="B9040" s="67" t="str">
        <f t="shared" si="16"/>
        <v>M: </v>
      </c>
      <c r="C9040" s="68"/>
      <c r="D9040" s="68">
        <v>46653.0</v>
      </c>
      <c r="E9040" s="66">
        <v>8.0</v>
      </c>
      <c r="F9040" s="66" t="str">
        <f>IFERROR(__xludf.DUMMYFUNCTION("GOOGLETRANSLATE(A9040,""en"",""pt"")"),"#VALUE!")</f>
        <v>#VALUE!</v>
      </c>
      <c r="G9040" s="69"/>
    </row>
    <row r="9041" ht="22.5" customHeight="1">
      <c r="A9041" s="66"/>
      <c r="B9041" s="67" t="str">
        <f t="shared" si="16"/>
        <v>M: </v>
      </c>
      <c r="C9041" s="68"/>
      <c r="D9041" s="68">
        <v>46653.0</v>
      </c>
      <c r="E9041" s="66">
        <v>9.0</v>
      </c>
      <c r="F9041" s="66" t="str">
        <f>IFERROR(__xludf.DUMMYFUNCTION("GOOGLETRANSLATE(A9041,""en"",""pt"")"),"#VALUE!")</f>
        <v>#VALUE!</v>
      </c>
      <c r="G9041" s="69"/>
    </row>
    <row r="9042" ht="22.5" customHeight="1">
      <c r="A9042" s="66"/>
      <c r="B9042" s="67" t="str">
        <f t="shared" si="16"/>
        <v>M: </v>
      </c>
      <c r="C9042" s="68"/>
      <c r="D9042" s="68">
        <v>46654.0</v>
      </c>
      <c r="E9042" s="66">
        <v>10.0</v>
      </c>
      <c r="F9042" s="66" t="str">
        <f>IFERROR(__xludf.DUMMYFUNCTION("GOOGLETRANSLATE(A9042,""en"",""pt"")"),"#VALUE!")</f>
        <v>#VALUE!</v>
      </c>
      <c r="G9042" s="69"/>
    </row>
    <row r="9043" ht="22.5" customHeight="1">
      <c r="A9043" s="66"/>
      <c r="B9043" s="67" t="str">
        <f t="shared" si="16"/>
        <v>M: </v>
      </c>
      <c r="C9043" s="68"/>
      <c r="D9043" s="68">
        <v>46654.0</v>
      </c>
      <c r="E9043" s="66">
        <v>1.0</v>
      </c>
      <c r="F9043" s="66" t="str">
        <f>IFERROR(__xludf.DUMMYFUNCTION("GOOGLETRANSLATE(A9043,""en"",""pt"")"),"#VALUE!")</f>
        <v>#VALUE!</v>
      </c>
      <c r="G9043" s="69"/>
    </row>
    <row r="9044" ht="22.5" customHeight="1">
      <c r="A9044" s="66"/>
      <c r="B9044" s="67" t="str">
        <f t="shared" si="16"/>
        <v>M: </v>
      </c>
      <c r="C9044" s="68"/>
      <c r="D9044" s="68">
        <v>46654.0</v>
      </c>
      <c r="E9044" s="66">
        <v>2.0</v>
      </c>
      <c r="F9044" s="66" t="str">
        <f>IFERROR(__xludf.DUMMYFUNCTION("GOOGLETRANSLATE(A9044,""en"",""pt"")"),"#VALUE!")</f>
        <v>#VALUE!</v>
      </c>
      <c r="G9044" s="69"/>
    </row>
    <row r="9045" ht="22.5" customHeight="1">
      <c r="A9045" s="66"/>
      <c r="B9045" s="67" t="str">
        <f t="shared" si="16"/>
        <v>M: </v>
      </c>
      <c r="C9045" s="68"/>
      <c r="D9045" s="68">
        <v>46654.0</v>
      </c>
      <c r="E9045" s="66">
        <v>3.0</v>
      </c>
      <c r="F9045" s="66" t="str">
        <f>IFERROR(__xludf.DUMMYFUNCTION("GOOGLETRANSLATE(A9045,""en"",""pt"")"),"#VALUE!")</f>
        <v>#VALUE!</v>
      </c>
      <c r="G9045" s="69"/>
    </row>
    <row r="9046" ht="22.5" customHeight="1">
      <c r="A9046" s="66"/>
      <c r="B9046" s="67" t="str">
        <f t="shared" si="16"/>
        <v>M: </v>
      </c>
      <c r="C9046" s="68"/>
      <c r="D9046" s="68">
        <v>46654.0</v>
      </c>
      <c r="E9046" s="66">
        <v>4.0</v>
      </c>
      <c r="F9046" s="66" t="str">
        <f>IFERROR(__xludf.DUMMYFUNCTION("GOOGLETRANSLATE(A9046,""en"",""pt"")"),"#VALUE!")</f>
        <v>#VALUE!</v>
      </c>
      <c r="G9046" s="69"/>
    </row>
    <row r="9047" ht="22.5" customHeight="1">
      <c r="A9047" s="66"/>
      <c r="B9047" s="67" t="str">
        <f t="shared" si="16"/>
        <v>M: </v>
      </c>
      <c r="C9047" s="68"/>
      <c r="D9047" s="68">
        <v>46654.0</v>
      </c>
      <c r="E9047" s="66">
        <v>5.0</v>
      </c>
      <c r="F9047" s="66" t="str">
        <f>IFERROR(__xludf.DUMMYFUNCTION("GOOGLETRANSLATE(A9047,""en"",""pt"")"),"#VALUE!")</f>
        <v>#VALUE!</v>
      </c>
      <c r="G9047" s="69"/>
    </row>
    <row r="9048" ht="22.5" customHeight="1">
      <c r="A9048" s="66"/>
      <c r="B9048" s="67" t="str">
        <f t="shared" si="16"/>
        <v>M: </v>
      </c>
      <c r="C9048" s="68"/>
      <c r="D9048" s="68">
        <v>46654.0</v>
      </c>
      <c r="E9048" s="66">
        <v>6.0</v>
      </c>
      <c r="F9048" s="66" t="str">
        <f>IFERROR(__xludf.DUMMYFUNCTION("GOOGLETRANSLATE(A9048,""en"",""pt"")"),"#VALUE!")</f>
        <v>#VALUE!</v>
      </c>
      <c r="G9048" s="69"/>
    </row>
    <row r="9049" ht="22.5" customHeight="1">
      <c r="A9049" s="66"/>
      <c r="B9049" s="67" t="str">
        <f t="shared" si="16"/>
        <v>M: </v>
      </c>
      <c r="C9049" s="68"/>
      <c r="D9049" s="68">
        <v>46654.0</v>
      </c>
      <c r="E9049" s="66">
        <v>7.0</v>
      </c>
      <c r="F9049" s="66" t="str">
        <f>IFERROR(__xludf.DUMMYFUNCTION("GOOGLETRANSLATE(A9049,""en"",""pt"")"),"#VALUE!")</f>
        <v>#VALUE!</v>
      </c>
      <c r="G9049" s="69"/>
    </row>
    <row r="9050" ht="22.5" customHeight="1">
      <c r="A9050" s="66"/>
      <c r="B9050" s="67" t="str">
        <f t="shared" si="16"/>
        <v>M: </v>
      </c>
      <c r="C9050" s="68"/>
      <c r="D9050" s="68">
        <v>46654.0</v>
      </c>
      <c r="E9050" s="66">
        <v>8.0</v>
      </c>
      <c r="F9050" s="66" t="str">
        <f>IFERROR(__xludf.DUMMYFUNCTION("GOOGLETRANSLATE(A9050,""en"",""pt"")"),"#VALUE!")</f>
        <v>#VALUE!</v>
      </c>
      <c r="G9050" s="69"/>
    </row>
    <row r="9051" ht="22.5" customHeight="1">
      <c r="A9051" s="66"/>
      <c r="B9051" s="67" t="str">
        <f t="shared" si="16"/>
        <v>M: </v>
      </c>
      <c r="C9051" s="68"/>
      <c r="D9051" s="68">
        <v>46654.0</v>
      </c>
      <c r="E9051" s="66">
        <v>9.0</v>
      </c>
      <c r="F9051" s="66" t="str">
        <f>IFERROR(__xludf.DUMMYFUNCTION("GOOGLETRANSLATE(A9051,""en"",""pt"")"),"#VALUE!")</f>
        <v>#VALUE!</v>
      </c>
      <c r="G9051" s="69"/>
    </row>
    <row r="9052" ht="22.5" customHeight="1">
      <c r="A9052" s="66"/>
      <c r="B9052" s="67" t="str">
        <f t="shared" si="16"/>
        <v>M: </v>
      </c>
      <c r="C9052" s="68"/>
      <c r="D9052" s="68">
        <v>46655.0</v>
      </c>
      <c r="E9052" s="66">
        <v>10.0</v>
      </c>
      <c r="F9052" s="66" t="str">
        <f>IFERROR(__xludf.DUMMYFUNCTION("GOOGLETRANSLATE(A9052,""en"",""pt"")"),"#VALUE!")</f>
        <v>#VALUE!</v>
      </c>
      <c r="G9052" s="69"/>
    </row>
    <row r="9053" ht="22.5" customHeight="1">
      <c r="A9053" s="66"/>
      <c r="B9053" s="67" t="str">
        <f t="shared" si="16"/>
        <v>M: </v>
      </c>
      <c r="C9053" s="68"/>
      <c r="D9053" s="68">
        <v>46655.0</v>
      </c>
      <c r="E9053" s="66">
        <v>1.0</v>
      </c>
      <c r="F9053" s="66" t="str">
        <f>IFERROR(__xludf.DUMMYFUNCTION("GOOGLETRANSLATE(A9053,""en"",""pt"")"),"#VALUE!")</f>
        <v>#VALUE!</v>
      </c>
      <c r="G9053" s="69"/>
    </row>
    <row r="9054" ht="22.5" customHeight="1">
      <c r="A9054" s="66"/>
      <c r="B9054" s="67" t="str">
        <f t="shared" si="16"/>
        <v>M: </v>
      </c>
      <c r="C9054" s="68"/>
      <c r="D9054" s="68">
        <v>46655.0</v>
      </c>
      <c r="E9054" s="66">
        <v>2.0</v>
      </c>
      <c r="F9054" s="66" t="str">
        <f>IFERROR(__xludf.DUMMYFUNCTION("GOOGLETRANSLATE(A9054,""en"",""pt"")"),"#VALUE!")</f>
        <v>#VALUE!</v>
      </c>
      <c r="G9054" s="69"/>
    </row>
    <row r="9055" ht="22.5" customHeight="1">
      <c r="A9055" s="66"/>
      <c r="B9055" s="67" t="str">
        <f t="shared" si="16"/>
        <v>M: </v>
      </c>
      <c r="C9055" s="68"/>
      <c r="D9055" s="68">
        <v>46655.0</v>
      </c>
      <c r="E9055" s="66">
        <v>3.0</v>
      </c>
      <c r="F9055" s="66" t="str">
        <f>IFERROR(__xludf.DUMMYFUNCTION("GOOGLETRANSLATE(A9055,""en"",""pt"")"),"#VALUE!")</f>
        <v>#VALUE!</v>
      </c>
      <c r="G9055" s="69"/>
    </row>
    <row r="9056" ht="22.5" customHeight="1">
      <c r="A9056" s="66"/>
      <c r="B9056" s="67" t="str">
        <f t="shared" si="16"/>
        <v>M: </v>
      </c>
      <c r="C9056" s="68"/>
      <c r="D9056" s="68">
        <v>46655.0</v>
      </c>
      <c r="E9056" s="66">
        <v>4.0</v>
      </c>
      <c r="F9056" s="66" t="str">
        <f>IFERROR(__xludf.DUMMYFUNCTION("GOOGLETRANSLATE(A9056,""en"",""pt"")"),"#VALUE!")</f>
        <v>#VALUE!</v>
      </c>
      <c r="G9056" s="69"/>
    </row>
    <row r="9057" ht="22.5" customHeight="1">
      <c r="A9057" s="66"/>
      <c r="B9057" s="67" t="str">
        <f t="shared" si="16"/>
        <v>M: </v>
      </c>
      <c r="C9057" s="68"/>
      <c r="D9057" s="68">
        <v>46655.0</v>
      </c>
      <c r="E9057" s="66">
        <v>5.0</v>
      </c>
      <c r="F9057" s="66" t="str">
        <f>IFERROR(__xludf.DUMMYFUNCTION("GOOGLETRANSLATE(A9057,""en"",""pt"")"),"#VALUE!")</f>
        <v>#VALUE!</v>
      </c>
      <c r="G9057" s="69"/>
    </row>
    <row r="9058" ht="22.5" customHeight="1">
      <c r="A9058" s="66"/>
      <c r="B9058" s="67" t="str">
        <f t="shared" si="16"/>
        <v>M: </v>
      </c>
      <c r="C9058" s="68"/>
      <c r="D9058" s="68">
        <v>46655.0</v>
      </c>
      <c r="E9058" s="66">
        <v>6.0</v>
      </c>
      <c r="F9058" s="66" t="str">
        <f>IFERROR(__xludf.DUMMYFUNCTION("GOOGLETRANSLATE(A9058,""en"",""pt"")"),"#VALUE!")</f>
        <v>#VALUE!</v>
      </c>
      <c r="G9058" s="69"/>
    </row>
    <row r="9059" ht="22.5" customHeight="1">
      <c r="A9059" s="66"/>
      <c r="B9059" s="67" t="str">
        <f t="shared" si="16"/>
        <v>M: </v>
      </c>
      <c r="C9059" s="68"/>
      <c r="D9059" s="68">
        <v>46655.0</v>
      </c>
      <c r="E9059" s="66">
        <v>7.0</v>
      </c>
      <c r="F9059" s="66" t="str">
        <f>IFERROR(__xludf.DUMMYFUNCTION("GOOGLETRANSLATE(A9059,""en"",""pt"")"),"#VALUE!")</f>
        <v>#VALUE!</v>
      </c>
      <c r="G9059" s="69"/>
    </row>
    <row r="9060" ht="22.5" customHeight="1">
      <c r="A9060" s="66"/>
      <c r="B9060" s="67" t="str">
        <f t="shared" si="16"/>
        <v>M: </v>
      </c>
      <c r="C9060" s="68"/>
      <c r="D9060" s="68">
        <v>46655.0</v>
      </c>
      <c r="E9060" s="66">
        <v>8.0</v>
      </c>
      <c r="F9060" s="66" t="str">
        <f>IFERROR(__xludf.DUMMYFUNCTION("GOOGLETRANSLATE(A9060,""en"",""pt"")"),"#VALUE!")</f>
        <v>#VALUE!</v>
      </c>
      <c r="G9060" s="69"/>
    </row>
    <row r="9061" ht="22.5" customHeight="1">
      <c r="A9061" s="66"/>
      <c r="B9061" s="67" t="str">
        <f t="shared" si="16"/>
        <v>M: </v>
      </c>
      <c r="C9061" s="68"/>
      <c r="D9061" s="68">
        <v>46655.0</v>
      </c>
      <c r="E9061" s="66">
        <v>9.0</v>
      </c>
      <c r="F9061" s="66" t="str">
        <f>IFERROR(__xludf.DUMMYFUNCTION("GOOGLETRANSLATE(A9061,""en"",""pt"")"),"#VALUE!")</f>
        <v>#VALUE!</v>
      </c>
      <c r="G9061" s="69"/>
    </row>
    <row r="9062" ht="22.5" customHeight="1">
      <c r="A9062" s="66"/>
      <c r="B9062" s="67" t="str">
        <f t="shared" si="16"/>
        <v>M: </v>
      </c>
      <c r="C9062" s="68"/>
      <c r="D9062" s="68">
        <v>46656.0</v>
      </c>
      <c r="E9062" s="66">
        <v>10.0</v>
      </c>
      <c r="F9062" s="66" t="str">
        <f>IFERROR(__xludf.DUMMYFUNCTION("GOOGLETRANSLATE(A9062,""en"",""pt"")"),"#VALUE!")</f>
        <v>#VALUE!</v>
      </c>
      <c r="G9062" s="69"/>
    </row>
    <row r="9063" ht="22.5" customHeight="1">
      <c r="A9063" s="66"/>
      <c r="B9063" s="67" t="str">
        <f t="shared" si="16"/>
        <v>M: </v>
      </c>
      <c r="C9063" s="68"/>
      <c r="D9063" s="68">
        <v>46656.0</v>
      </c>
      <c r="E9063" s="66">
        <v>1.0</v>
      </c>
      <c r="F9063" s="66" t="str">
        <f>IFERROR(__xludf.DUMMYFUNCTION("GOOGLETRANSLATE(A9063,""en"",""pt"")"),"#VALUE!")</f>
        <v>#VALUE!</v>
      </c>
      <c r="G9063" s="69"/>
    </row>
    <row r="9064" ht="22.5" customHeight="1">
      <c r="A9064" s="66"/>
      <c r="B9064" s="67" t="str">
        <f t="shared" si="16"/>
        <v>M: </v>
      </c>
      <c r="C9064" s="68"/>
      <c r="D9064" s="68">
        <v>46656.0</v>
      </c>
      <c r="E9064" s="66">
        <v>2.0</v>
      </c>
      <c r="F9064" s="66" t="str">
        <f>IFERROR(__xludf.DUMMYFUNCTION("GOOGLETRANSLATE(A9064,""en"",""pt"")"),"#VALUE!")</f>
        <v>#VALUE!</v>
      </c>
      <c r="G9064" s="69"/>
    </row>
    <row r="9065" ht="22.5" customHeight="1">
      <c r="A9065" s="66"/>
      <c r="B9065" s="67" t="str">
        <f t="shared" si="16"/>
        <v>M: </v>
      </c>
      <c r="C9065" s="68"/>
      <c r="D9065" s="68">
        <v>46656.0</v>
      </c>
      <c r="E9065" s="66">
        <v>3.0</v>
      </c>
      <c r="F9065" s="66" t="str">
        <f>IFERROR(__xludf.DUMMYFUNCTION("GOOGLETRANSLATE(A9065,""en"",""pt"")"),"#VALUE!")</f>
        <v>#VALUE!</v>
      </c>
      <c r="G9065" s="69"/>
    </row>
    <row r="9066" ht="22.5" customHeight="1">
      <c r="A9066" s="66"/>
      <c r="B9066" s="67" t="str">
        <f t="shared" si="16"/>
        <v>M: </v>
      </c>
      <c r="C9066" s="68"/>
      <c r="D9066" s="68">
        <v>46656.0</v>
      </c>
      <c r="E9066" s="66">
        <v>4.0</v>
      </c>
      <c r="F9066" s="66" t="str">
        <f>IFERROR(__xludf.DUMMYFUNCTION("GOOGLETRANSLATE(A9066,""en"",""pt"")"),"#VALUE!")</f>
        <v>#VALUE!</v>
      </c>
      <c r="G9066" s="69"/>
    </row>
    <row r="9067" ht="22.5" customHeight="1">
      <c r="A9067" s="66"/>
      <c r="B9067" s="67" t="str">
        <f t="shared" si="16"/>
        <v>M: </v>
      </c>
      <c r="C9067" s="68"/>
      <c r="D9067" s="68">
        <v>46656.0</v>
      </c>
      <c r="E9067" s="66">
        <v>5.0</v>
      </c>
      <c r="F9067" s="66" t="str">
        <f>IFERROR(__xludf.DUMMYFUNCTION("GOOGLETRANSLATE(A9067,""en"",""pt"")"),"#VALUE!")</f>
        <v>#VALUE!</v>
      </c>
      <c r="G9067" s="69"/>
    </row>
    <row r="9068" ht="22.5" customHeight="1">
      <c r="A9068" s="66"/>
      <c r="B9068" s="67" t="str">
        <f t="shared" si="16"/>
        <v>M: </v>
      </c>
      <c r="C9068" s="68"/>
      <c r="D9068" s="68">
        <v>46656.0</v>
      </c>
      <c r="E9068" s="66">
        <v>6.0</v>
      </c>
      <c r="F9068" s="66" t="str">
        <f>IFERROR(__xludf.DUMMYFUNCTION("GOOGLETRANSLATE(A9068,""en"",""pt"")"),"#VALUE!")</f>
        <v>#VALUE!</v>
      </c>
      <c r="G9068" s="69"/>
    </row>
    <row r="9069" ht="22.5" customHeight="1">
      <c r="A9069" s="66"/>
      <c r="B9069" s="67" t="str">
        <f t="shared" si="16"/>
        <v>M: </v>
      </c>
      <c r="C9069" s="68"/>
      <c r="D9069" s="68">
        <v>46656.0</v>
      </c>
      <c r="E9069" s="66">
        <v>7.0</v>
      </c>
      <c r="F9069" s="66" t="str">
        <f>IFERROR(__xludf.DUMMYFUNCTION("GOOGLETRANSLATE(A9069,""en"",""pt"")"),"#VALUE!")</f>
        <v>#VALUE!</v>
      </c>
      <c r="G9069" s="69"/>
    </row>
    <row r="9070" ht="22.5" customHeight="1">
      <c r="A9070" s="66"/>
      <c r="B9070" s="67" t="str">
        <f t="shared" si="16"/>
        <v>M: </v>
      </c>
      <c r="C9070" s="68"/>
      <c r="D9070" s="68">
        <v>46656.0</v>
      </c>
      <c r="E9070" s="66">
        <v>8.0</v>
      </c>
      <c r="F9070" s="66" t="str">
        <f>IFERROR(__xludf.DUMMYFUNCTION("GOOGLETRANSLATE(A9070,""en"",""pt"")"),"#VALUE!")</f>
        <v>#VALUE!</v>
      </c>
      <c r="G9070" s="69"/>
    </row>
    <row r="9071" ht="22.5" customHeight="1">
      <c r="A9071" s="66"/>
      <c r="B9071" s="67" t="str">
        <f t="shared" si="16"/>
        <v>M: </v>
      </c>
      <c r="C9071" s="68"/>
      <c r="D9071" s="68">
        <v>46656.0</v>
      </c>
      <c r="E9071" s="66">
        <v>9.0</v>
      </c>
      <c r="F9071" s="66" t="str">
        <f>IFERROR(__xludf.DUMMYFUNCTION("GOOGLETRANSLATE(A9071,""en"",""pt"")"),"#VALUE!")</f>
        <v>#VALUE!</v>
      </c>
      <c r="G9071" s="69"/>
    </row>
    <row r="9072" ht="22.5" customHeight="1">
      <c r="A9072" s="66"/>
      <c r="B9072" s="67" t="str">
        <f t="shared" si="16"/>
        <v>M: </v>
      </c>
      <c r="C9072" s="68"/>
      <c r="D9072" s="68">
        <v>46657.0</v>
      </c>
      <c r="E9072" s="66">
        <v>10.0</v>
      </c>
      <c r="F9072" s="66" t="str">
        <f>IFERROR(__xludf.DUMMYFUNCTION("GOOGLETRANSLATE(A9072,""en"",""pt"")"),"#VALUE!")</f>
        <v>#VALUE!</v>
      </c>
      <c r="G9072" s="69"/>
    </row>
    <row r="9073" ht="22.5" customHeight="1">
      <c r="A9073" s="66"/>
      <c r="B9073" s="67" t="str">
        <f t="shared" si="16"/>
        <v>M: </v>
      </c>
      <c r="C9073" s="68"/>
      <c r="D9073" s="68">
        <v>46657.0</v>
      </c>
      <c r="E9073" s="66">
        <v>1.0</v>
      </c>
      <c r="F9073" s="66" t="str">
        <f>IFERROR(__xludf.DUMMYFUNCTION("GOOGLETRANSLATE(A9073,""en"",""pt"")"),"#VALUE!")</f>
        <v>#VALUE!</v>
      </c>
      <c r="G9073" s="69"/>
    </row>
    <row r="9074" ht="22.5" customHeight="1">
      <c r="A9074" s="66"/>
      <c r="B9074" s="67" t="str">
        <f t="shared" si="16"/>
        <v>M: </v>
      </c>
      <c r="C9074" s="68"/>
      <c r="D9074" s="68">
        <v>46657.0</v>
      </c>
      <c r="E9074" s="66">
        <v>2.0</v>
      </c>
      <c r="F9074" s="66" t="str">
        <f>IFERROR(__xludf.DUMMYFUNCTION("GOOGLETRANSLATE(A9074,""en"",""pt"")"),"#VALUE!")</f>
        <v>#VALUE!</v>
      </c>
      <c r="G9074" s="69"/>
    </row>
    <row r="9075" ht="22.5" customHeight="1">
      <c r="A9075" s="66"/>
      <c r="B9075" s="67" t="str">
        <f t="shared" si="16"/>
        <v>M: </v>
      </c>
      <c r="C9075" s="68"/>
      <c r="D9075" s="68">
        <v>46657.0</v>
      </c>
      <c r="E9075" s="66">
        <v>3.0</v>
      </c>
      <c r="F9075" s="66" t="str">
        <f>IFERROR(__xludf.DUMMYFUNCTION("GOOGLETRANSLATE(A9075,""en"",""pt"")"),"#VALUE!")</f>
        <v>#VALUE!</v>
      </c>
      <c r="G9075" s="69"/>
    </row>
    <row r="9076" ht="22.5" customHeight="1">
      <c r="A9076" s="66"/>
      <c r="B9076" s="67" t="str">
        <f t="shared" si="16"/>
        <v>M: </v>
      </c>
      <c r="C9076" s="68"/>
      <c r="D9076" s="68">
        <v>46657.0</v>
      </c>
      <c r="E9076" s="66">
        <v>4.0</v>
      </c>
      <c r="F9076" s="66" t="str">
        <f>IFERROR(__xludf.DUMMYFUNCTION("GOOGLETRANSLATE(A9076,""en"",""pt"")"),"#VALUE!")</f>
        <v>#VALUE!</v>
      </c>
      <c r="G9076" s="69"/>
    </row>
    <row r="9077" ht="22.5" customHeight="1">
      <c r="A9077" s="66"/>
      <c r="B9077" s="67" t="str">
        <f t="shared" si="16"/>
        <v>M: </v>
      </c>
      <c r="C9077" s="68"/>
      <c r="D9077" s="68">
        <v>46657.0</v>
      </c>
      <c r="E9077" s="66">
        <v>5.0</v>
      </c>
      <c r="F9077" s="66" t="str">
        <f>IFERROR(__xludf.DUMMYFUNCTION("GOOGLETRANSLATE(A9077,""en"",""pt"")"),"#VALUE!")</f>
        <v>#VALUE!</v>
      </c>
      <c r="G9077" s="69"/>
    </row>
    <row r="9078" ht="22.5" customHeight="1">
      <c r="A9078" s="66"/>
      <c r="B9078" s="67" t="str">
        <f t="shared" si="16"/>
        <v>M: </v>
      </c>
      <c r="C9078" s="68"/>
      <c r="D9078" s="68">
        <v>46657.0</v>
      </c>
      <c r="E9078" s="66">
        <v>6.0</v>
      </c>
      <c r="F9078" s="66" t="str">
        <f>IFERROR(__xludf.DUMMYFUNCTION("GOOGLETRANSLATE(A9078,""en"",""pt"")"),"#VALUE!")</f>
        <v>#VALUE!</v>
      </c>
      <c r="G9078" s="69"/>
    </row>
    <row r="9079" ht="22.5" customHeight="1">
      <c r="A9079" s="66"/>
      <c r="B9079" s="67" t="str">
        <f t="shared" si="16"/>
        <v>M: </v>
      </c>
      <c r="C9079" s="68"/>
      <c r="D9079" s="68">
        <v>46657.0</v>
      </c>
      <c r="E9079" s="66">
        <v>7.0</v>
      </c>
      <c r="F9079" s="66" t="str">
        <f>IFERROR(__xludf.DUMMYFUNCTION("GOOGLETRANSLATE(A9079,""en"",""pt"")"),"#VALUE!")</f>
        <v>#VALUE!</v>
      </c>
      <c r="G9079" s="69"/>
    </row>
    <row r="9080" ht="22.5" customHeight="1">
      <c r="A9080" s="66"/>
      <c r="B9080" s="67" t="str">
        <f t="shared" si="16"/>
        <v>M: </v>
      </c>
      <c r="C9080" s="68"/>
      <c r="D9080" s="68">
        <v>46657.0</v>
      </c>
      <c r="E9080" s="66">
        <v>8.0</v>
      </c>
      <c r="F9080" s="66" t="str">
        <f>IFERROR(__xludf.DUMMYFUNCTION("GOOGLETRANSLATE(A9080,""en"",""pt"")"),"#VALUE!")</f>
        <v>#VALUE!</v>
      </c>
      <c r="G9080" s="69"/>
    </row>
    <row r="9081" ht="22.5" customHeight="1">
      <c r="A9081" s="66"/>
      <c r="B9081" s="67" t="str">
        <f t="shared" si="16"/>
        <v>M: </v>
      </c>
      <c r="C9081" s="68"/>
      <c r="D9081" s="68">
        <v>46657.0</v>
      </c>
      <c r="E9081" s="66">
        <v>9.0</v>
      </c>
      <c r="F9081" s="66" t="str">
        <f>IFERROR(__xludf.DUMMYFUNCTION("GOOGLETRANSLATE(A9081,""en"",""pt"")"),"#VALUE!")</f>
        <v>#VALUE!</v>
      </c>
      <c r="G9081" s="69"/>
    </row>
    <row r="9082" ht="22.5" customHeight="1">
      <c r="A9082" s="66"/>
      <c r="B9082" s="67" t="str">
        <f t="shared" si="16"/>
        <v>M: </v>
      </c>
      <c r="C9082" s="68"/>
      <c r="D9082" s="68">
        <v>46658.0</v>
      </c>
      <c r="E9082" s="66">
        <v>10.0</v>
      </c>
      <c r="F9082" s="66" t="str">
        <f>IFERROR(__xludf.DUMMYFUNCTION("GOOGLETRANSLATE(A9082,""en"",""pt"")"),"#VALUE!")</f>
        <v>#VALUE!</v>
      </c>
      <c r="G9082" s="69"/>
    </row>
    <row r="9083" ht="22.5" customHeight="1">
      <c r="A9083" s="66"/>
      <c r="B9083" s="67" t="str">
        <f t="shared" si="16"/>
        <v>M: </v>
      </c>
      <c r="C9083" s="68"/>
      <c r="D9083" s="68">
        <v>46658.0</v>
      </c>
      <c r="E9083" s="66">
        <v>1.0</v>
      </c>
      <c r="F9083" s="66" t="str">
        <f>IFERROR(__xludf.DUMMYFUNCTION("GOOGLETRANSLATE(A9083,""en"",""pt"")"),"#VALUE!")</f>
        <v>#VALUE!</v>
      </c>
      <c r="G9083" s="69"/>
    </row>
    <row r="9084" ht="22.5" customHeight="1">
      <c r="A9084" s="66"/>
      <c r="B9084" s="67" t="str">
        <f t="shared" si="16"/>
        <v>M: </v>
      </c>
      <c r="C9084" s="68"/>
      <c r="D9084" s="68">
        <v>46658.0</v>
      </c>
      <c r="E9084" s="66">
        <v>2.0</v>
      </c>
      <c r="F9084" s="66" t="str">
        <f>IFERROR(__xludf.DUMMYFUNCTION("GOOGLETRANSLATE(A9084,""en"",""pt"")"),"#VALUE!")</f>
        <v>#VALUE!</v>
      </c>
      <c r="G9084" s="69"/>
    </row>
    <row r="9085" ht="22.5" customHeight="1">
      <c r="A9085" s="66"/>
      <c r="B9085" s="67" t="str">
        <f t="shared" si="16"/>
        <v>M: </v>
      </c>
      <c r="C9085" s="68"/>
      <c r="D9085" s="68">
        <v>46658.0</v>
      </c>
      <c r="E9085" s="66">
        <v>3.0</v>
      </c>
      <c r="F9085" s="66" t="str">
        <f>IFERROR(__xludf.DUMMYFUNCTION("GOOGLETRANSLATE(A9085,""en"",""pt"")"),"#VALUE!")</f>
        <v>#VALUE!</v>
      </c>
      <c r="G9085" s="69"/>
    </row>
    <row r="9086" ht="22.5" customHeight="1">
      <c r="A9086" s="66"/>
      <c r="B9086" s="67" t="str">
        <f t="shared" si="16"/>
        <v>M: </v>
      </c>
      <c r="C9086" s="68"/>
      <c r="D9086" s="68">
        <v>46658.0</v>
      </c>
      <c r="E9086" s="66">
        <v>4.0</v>
      </c>
      <c r="F9086" s="66" t="str">
        <f>IFERROR(__xludf.DUMMYFUNCTION("GOOGLETRANSLATE(A9086,""en"",""pt"")"),"#VALUE!")</f>
        <v>#VALUE!</v>
      </c>
      <c r="G9086" s="69"/>
    </row>
    <row r="9087" ht="22.5" customHeight="1">
      <c r="A9087" s="66"/>
      <c r="B9087" s="67" t="str">
        <f t="shared" si="16"/>
        <v>M: </v>
      </c>
      <c r="C9087" s="68"/>
      <c r="D9087" s="68">
        <v>46658.0</v>
      </c>
      <c r="E9087" s="66">
        <v>5.0</v>
      </c>
      <c r="F9087" s="66" t="str">
        <f>IFERROR(__xludf.DUMMYFUNCTION("GOOGLETRANSLATE(A9087,""en"",""pt"")"),"#VALUE!")</f>
        <v>#VALUE!</v>
      </c>
      <c r="G9087" s="69"/>
    </row>
    <row r="9088" ht="22.5" customHeight="1">
      <c r="A9088" s="66"/>
      <c r="B9088" s="67" t="str">
        <f t="shared" si="16"/>
        <v>M: </v>
      </c>
      <c r="C9088" s="68"/>
      <c r="D9088" s="68">
        <v>46658.0</v>
      </c>
      <c r="E9088" s="66">
        <v>6.0</v>
      </c>
      <c r="F9088" s="66" t="str">
        <f>IFERROR(__xludf.DUMMYFUNCTION("GOOGLETRANSLATE(A9088,""en"",""pt"")"),"#VALUE!")</f>
        <v>#VALUE!</v>
      </c>
      <c r="G9088" s="69"/>
    </row>
    <row r="9089" ht="22.5" customHeight="1">
      <c r="A9089" s="66"/>
      <c r="B9089" s="67" t="str">
        <f t="shared" si="16"/>
        <v>M: </v>
      </c>
      <c r="C9089" s="68"/>
      <c r="D9089" s="68">
        <v>46658.0</v>
      </c>
      <c r="E9089" s="66">
        <v>7.0</v>
      </c>
      <c r="F9089" s="66" t="str">
        <f>IFERROR(__xludf.DUMMYFUNCTION("GOOGLETRANSLATE(A9089,""en"",""pt"")"),"#VALUE!")</f>
        <v>#VALUE!</v>
      </c>
      <c r="G9089" s="69"/>
    </row>
    <row r="9090" ht="22.5" customHeight="1">
      <c r="A9090" s="66"/>
      <c r="B9090" s="67" t="str">
        <f t="shared" si="16"/>
        <v>M: </v>
      </c>
      <c r="C9090" s="68"/>
      <c r="D9090" s="68">
        <v>46658.0</v>
      </c>
      <c r="E9090" s="66">
        <v>8.0</v>
      </c>
      <c r="F9090" s="66" t="str">
        <f>IFERROR(__xludf.DUMMYFUNCTION("GOOGLETRANSLATE(A9090,""en"",""pt"")"),"#VALUE!")</f>
        <v>#VALUE!</v>
      </c>
      <c r="G9090" s="69"/>
    </row>
    <row r="9091" ht="22.5" customHeight="1">
      <c r="A9091" s="66"/>
      <c r="B9091" s="67" t="str">
        <f t="shared" si="16"/>
        <v>M: </v>
      </c>
      <c r="C9091" s="68"/>
      <c r="D9091" s="68">
        <v>46658.0</v>
      </c>
      <c r="E9091" s="66">
        <v>9.0</v>
      </c>
      <c r="F9091" s="66" t="str">
        <f>IFERROR(__xludf.DUMMYFUNCTION("GOOGLETRANSLATE(A9091,""en"",""pt"")"),"#VALUE!")</f>
        <v>#VALUE!</v>
      </c>
      <c r="G9091" s="69"/>
    </row>
    <row r="9092" ht="22.5" customHeight="1">
      <c r="A9092" s="66"/>
      <c r="B9092" s="67" t="str">
        <f t="shared" si="16"/>
        <v>M: </v>
      </c>
      <c r="C9092" s="68"/>
      <c r="D9092" s="68">
        <v>46659.0</v>
      </c>
      <c r="E9092" s="66">
        <v>10.0</v>
      </c>
      <c r="F9092" s="66" t="str">
        <f>IFERROR(__xludf.DUMMYFUNCTION("GOOGLETRANSLATE(A9092,""en"",""pt"")"),"#VALUE!")</f>
        <v>#VALUE!</v>
      </c>
      <c r="G9092" s="69"/>
    </row>
    <row r="9093" ht="22.5" customHeight="1">
      <c r="A9093" s="66"/>
      <c r="B9093" s="67" t="str">
        <f t="shared" si="16"/>
        <v>M: </v>
      </c>
      <c r="C9093" s="68"/>
      <c r="D9093" s="68">
        <v>46659.0</v>
      </c>
      <c r="E9093" s="66">
        <v>1.0</v>
      </c>
      <c r="F9093" s="66" t="str">
        <f>IFERROR(__xludf.DUMMYFUNCTION("GOOGLETRANSLATE(A9093,""en"",""pt"")"),"#VALUE!")</f>
        <v>#VALUE!</v>
      </c>
      <c r="G9093" s="69"/>
    </row>
    <row r="9094" ht="22.5" customHeight="1">
      <c r="A9094" s="66"/>
      <c r="B9094" s="67" t="str">
        <f t="shared" si="16"/>
        <v>M: </v>
      </c>
      <c r="C9094" s="68"/>
      <c r="D9094" s="68">
        <v>46659.0</v>
      </c>
      <c r="E9094" s="66">
        <v>2.0</v>
      </c>
      <c r="F9094" s="66" t="str">
        <f>IFERROR(__xludf.DUMMYFUNCTION("GOOGLETRANSLATE(A9094,""en"",""pt"")"),"#VALUE!")</f>
        <v>#VALUE!</v>
      </c>
      <c r="G9094" s="69"/>
    </row>
    <row r="9095" ht="22.5" customHeight="1">
      <c r="A9095" s="66"/>
      <c r="B9095" s="67" t="str">
        <f t="shared" si="16"/>
        <v>M: </v>
      </c>
      <c r="C9095" s="68"/>
      <c r="D9095" s="68">
        <v>46659.0</v>
      </c>
      <c r="E9095" s="66">
        <v>3.0</v>
      </c>
      <c r="F9095" s="66" t="str">
        <f>IFERROR(__xludf.DUMMYFUNCTION("GOOGLETRANSLATE(A9095,""en"",""pt"")"),"#VALUE!")</f>
        <v>#VALUE!</v>
      </c>
      <c r="G9095" s="69"/>
    </row>
    <row r="9096" ht="22.5" customHeight="1">
      <c r="A9096" s="66"/>
      <c r="B9096" s="67" t="str">
        <f t="shared" si="16"/>
        <v>M: </v>
      </c>
      <c r="C9096" s="68"/>
      <c r="D9096" s="68">
        <v>46659.0</v>
      </c>
      <c r="E9096" s="66">
        <v>4.0</v>
      </c>
      <c r="F9096" s="66" t="str">
        <f>IFERROR(__xludf.DUMMYFUNCTION("GOOGLETRANSLATE(A9096,""en"",""pt"")"),"#VALUE!")</f>
        <v>#VALUE!</v>
      </c>
      <c r="G9096" s="69"/>
    </row>
    <row r="9097" ht="22.5" customHeight="1">
      <c r="A9097" s="66"/>
      <c r="B9097" s="67" t="str">
        <f t="shared" si="16"/>
        <v>M: </v>
      </c>
      <c r="C9097" s="68"/>
      <c r="D9097" s="68">
        <v>46659.0</v>
      </c>
      <c r="E9097" s="66">
        <v>5.0</v>
      </c>
      <c r="F9097" s="66" t="str">
        <f>IFERROR(__xludf.DUMMYFUNCTION("GOOGLETRANSLATE(A9097,""en"",""pt"")"),"#VALUE!")</f>
        <v>#VALUE!</v>
      </c>
      <c r="G9097" s="69"/>
    </row>
    <row r="9098" ht="22.5" customHeight="1">
      <c r="A9098" s="66"/>
      <c r="B9098" s="67" t="str">
        <f t="shared" si="16"/>
        <v>M: </v>
      </c>
      <c r="C9098" s="68"/>
      <c r="D9098" s="68">
        <v>46659.0</v>
      </c>
      <c r="E9098" s="66">
        <v>6.0</v>
      </c>
      <c r="F9098" s="66" t="str">
        <f>IFERROR(__xludf.DUMMYFUNCTION("GOOGLETRANSLATE(A9098,""en"",""pt"")"),"#VALUE!")</f>
        <v>#VALUE!</v>
      </c>
      <c r="G9098" s="69"/>
    </row>
    <row r="9099" ht="22.5" customHeight="1">
      <c r="A9099" s="66"/>
      <c r="B9099" s="67" t="str">
        <f t="shared" si="16"/>
        <v>M: </v>
      </c>
      <c r="C9099" s="68"/>
      <c r="D9099" s="68">
        <v>46659.0</v>
      </c>
      <c r="E9099" s="66">
        <v>7.0</v>
      </c>
      <c r="F9099" s="66" t="str">
        <f>IFERROR(__xludf.DUMMYFUNCTION("GOOGLETRANSLATE(A9099,""en"",""pt"")"),"#VALUE!")</f>
        <v>#VALUE!</v>
      </c>
      <c r="G9099" s="69"/>
    </row>
    <row r="9100" ht="22.5" customHeight="1">
      <c r="A9100" s="66"/>
      <c r="B9100" s="67" t="str">
        <f t="shared" si="16"/>
        <v>M: </v>
      </c>
      <c r="C9100" s="68"/>
      <c r="D9100" s="68">
        <v>46659.0</v>
      </c>
      <c r="E9100" s="66">
        <v>8.0</v>
      </c>
      <c r="F9100" s="66" t="str">
        <f>IFERROR(__xludf.DUMMYFUNCTION("GOOGLETRANSLATE(A9100,""en"",""pt"")"),"#VALUE!")</f>
        <v>#VALUE!</v>
      </c>
      <c r="G9100" s="69"/>
    </row>
    <row r="9101" ht="22.5" customHeight="1">
      <c r="A9101" s="66"/>
      <c r="B9101" s="67" t="str">
        <f t="shared" si="16"/>
        <v>M: </v>
      </c>
      <c r="C9101" s="68"/>
      <c r="D9101" s="68">
        <v>46659.0</v>
      </c>
      <c r="E9101" s="66">
        <v>9.0</v>
      </c>
      <c r="F9101" s="66" t="str">
        <f>IFERROR(__xludf.DUMMYFUNCTION("GOOGLETRANSLATE(A9101,""en"",""pt"")"),"#VALUE!")</f>
        <v>#VALUE!</v>
      </c>
      <c r="G9101" s="69"/>
    </row>
    <row r="9102" ht="22.5" customHeight="1">
      <c r="A9102" s="66"/>
      <c r="B9102" s="67" t="str">
        <f t="shared" si="16"/>
        <v>M: </v>
      </c>
      <c r="C9102" s="68"/>
      <c r="D9102" s="68">
        <v>46660.0</v>
      </c>
      <c r="E9102" s="66">
        <v>10.0</v>
      </c>
      <c r="F9102" s="66" t="str">
        <f>IFERROR(__xludf.DUMMYFUNCTION("GOOGLETRANSLATE(A9102,""en"",""pt"")"),"#VALUE!")</f>
        <v>#VALUE!</v>
      </c>
      <c r="G9102" s="69"/>
    </row>
    <row r="9103" ht="22.5" customHeight="1">
      <c r="A9103" s="66"/>
      <c r="B9103" s="67" t="str">
        <f t="shared" si="16"/>
        <v>M: </v>
      </c>
      <c r="C9103" s="68"/>
      <c r="D9103" s="68">
        <v>46660.0</v>
      </c>
      <c r="E9103" s="66">
        <v>1.0</v>
      </c>
      <c r="F9103" s="66" t="str">
        <f>IFERROR(__xludf.DUMMYFUNCTION("GOOGLETRANSLATE(A9103,""en"",""pt"")"),"#VALUE!")</f>
        <v>#VALUE!</v>
      </c>
      <c r="G9103" s="69"/>
    </row>
    <row r="9104" ht="22.5" customHeight="1">
      <c r="A9104" s="66"/>
      <c r="B9104" s="67" t="str">
        <f t="shared" si="16"/>
        <v>M: </v>
      </c>
      <c r="C9104" s="68"/>
      <c r="D9104" s="68">
        <v>46660.0</v>
      </c>
      <c r="E9104" s="66">
        <v>2.0</v>
      </c>
      <c r="F9104" s="66" t="str">
        <f>IFERROR(__xludf.DUMMYFUNCTION("GOOGLETRANSLATE(A9104,""en"",""pt"")"),"#VALUE!")</f>
        <v>#VALUE!</v>
      </c>
      <c r="G9104" s="69"/>
    </row>
    <row r="9105" ht="22.5" customHeight="1">
      <c r="A9105" s="66"/>
      <c r="B9105" s="67" t="str">
        <f t="shared" si="16"/>
        <v>M: </v>
      </c>
      <c r="C9105" s="68"/>
      <c r="D9105" s="68">
        <v>46660.0</v>
      </c>
      <c r="E9105" s="66">
        <v>3.0</v>
      </c>
      <c r="F9105" s="66" t="str">
        <f>IFERROR(__xludf.DUMMYFUNCTION("GOOGLETRANSLATE(A9105,""en"",""pt"")"),"#VALUE!")</f>
        <v>#VALUE!</v>
      </c>
      <c r="G9105" s="69"/>
    </row>
    <row r="9106" ht="22.5" customHeight="1">
      <c r="A9106" s="66"/>
      <c r="B9106" s="67" t="str">
        <f t="shared" si="16"/>
        <v>M: </v>
      </c>
      <c r="C9106" s="68"/>
      <c r="D9106" s="68">
        <v>46660.0</v>
      </c>
      <c r="E9106" s="66">
        <v>4.0</v>
      </c>
      <c r="F9106" s="66" t="str">
        <f>IFERROR(__xludf.DUMMYFUNCTION("GOOGLETRANSLATE(A9106,""en"",""pt"")"),"#VALUE!")</f>
        <v>#VALUE!</v>
      </c>
      <c r="G9106" s="69"/>
    </row>
    <row r="9107" ht="22.5" customHeight="1">
      <c r="A9107" s="66"/>
      <c r="B9107" s="67" t="str">
        <f t="shared" si="16"/>
        <v>M: </v>
      </c>
      <c r="C9107" s="68"/>
      <c r="D9107" s="68">
        <v>46660.0</v>
      </c>
      <c r="E9107" s="66">
        <v>5.0</v>
      </c>
      <c r="F9107" s="66" t="str">
        <f>IFERROR(__xludf.DUMMYFUNCTION("GOOGLETRANSLATE(A9107,""en"",""pt"")"),"#VALUE!")</f>
        <v>#VALUE!</v>
      </c>
      <c r="G9107" s="69"/>
    </row>
    <row r="9108" ht="22.5" customHeight="1">
      <c r="A9108" s="66"/>
      <c r="B9108" s="67" t="str">
        <f t="shared" si="16"/>
        <v>M: </v>
      </c>
      <c r="C9108" s="68"/>
      <c r="D9108" s="68">
        <v>46660.0</v>
      </c>
      <c r="E9108" s="66">
        <v>6.0</v>
      </c>
      <c r="F9108" s="66" t="str">
        <f>IFERROR(__xludf.DUMMYFUNCTION("GOOGLETRANSLATE(A9108,""en"",""pt"")"),"#VALUE!")</f>
        <v>#VALUE!</v>
      </c>
      <c r="G9108" s="69"/>
    </row>
    <row r="9109" ht="22.5" customHeight="1">
      <c r="A9109" s="66"/>
      <c r="B9109" s="67" t="str">
        <f t="shared" si="16"/>
        <v>M: </v>
      </c>
      <c r="C9109" s="68"/>
      <c r="D9109" s="68">
        <v>46660.0</v>
      </c>
      <c r="E9109" s="66">
        <v>7.0</v>
      </c>
      <c r="F9109" s="66" t="str">
        <f>IFERROR(__xludf.DUMMYFUNCTION("GOOGLETRANSLATE(A9109,""en"",""pt"")"),"#VALUE!")</f>
        <v>#VALUE!</v>
      </c>
      <c r="G9109" s="69"/>
    </row>
    <row r="9110" ht="22.5" customHeight="1">
      <c r="A9110" s="66"/>
      <c r="B9110" s="67" t="str">
        <f t="shared" si="16"/>
        <v>M: </v>
      </c>
      <c r="C9110" s="68"/>
      <c r="D9110" s="68">
        <v>46660.0</v>
      </c>
      <c r="E9110" s="66">
        <v>8.0</v>
      </c>
      <c r="F9110" s="66" t="str">
        <f>IFERROR(__xludf.DUMMYFUNCTION("GOOGLETRANSLATE(A9110,""en"",""pt"")"),"#VALUE!")</f>
        <v>#VALUE!</v>
      </c>
      <c r="G9110" s="69"/>
    </row>
    <row r="9111" ht="22.5" customHeight="1">
      <c r="A9111" s="66"/>
      <c r="B9111" s="67" t="str">
        <f t="shared" si="16"/>
        <v>M: </v>
      </c>
      <c r="C9111" s="68"/>
      <c r="D9111" s="68">
        <v>46660.0</v>
      </c>
      <c r="E9111" s="66">
        <v>9.0</v>
      </c>
      <c r="F9111" s="66" t="str">
        <f>IFERROR(__xludf.DUMMYFUNCTION("GOOGLETRANSLATE(A9111,""en"",""pt"")"),"#VALUE!")</f>
        <v>#VALUE!</v>
      </c>
      <c r="G9111" s="69"/>
    </row>
    <row r="9112" ht="22.5" customHeight="1">
      <c r="A9112" s="66"/>
      <c r="B9112" s="67" t="str">
        <f t="shared" si="16"/>
        <v>M: </v>
      </c>
      <c r="C9112" s="68"/>
      <c r="D9112" s="68">
        <v>46661.0</v>
      </c>
      <c r="E9112" s="66">
        <v>10.0</v>
      </c>
      <c r="F9112" s="66" t="str">
        <f>IFERROR(__xludf.DUMMYFUNCTION("GOOGLETRANSLATE(A9112,""en"",""pt"")"),"#VALUE!")</f>
        <v>#VALUE!</v>
      </c>
      <c r="G9112" s="69"/>
    </row>
    <row r="9113" ht="22.5" customHeight="1">
      <c r="A9113" s="66"/>
      <c r="B9113" s="67" t="str">
        <f t="shared" si="16"/>
        <v>M: </v>
      </c>
      <c r="C9113" s="68"/>
      <c r="D9113" s="68">
        <v>46661.0</v>
      </c>
      <c r="E9113" s="66">
        <v>1.0</v>
      </c>
      <c r="F9113" s="66" t="str">
        <f>IFERROR(__xludf.DUMMYFUNCTION("GOOGLETRANSLATE(A9113,""en"",""pt"")"),"#VALUE!")</f>
        <v>#VALUE!</v>
      </c>
      <c r="G9113" s="69"/>
    </row>
    <row r="9114" ht="22.5" customHeight="1">
      <c r="A9114" s="66"/>
      <c r="B9114" s="67" t="str">
        <f t="shared" si="16"/>
        <v>M: </v>
      </c>
      <c r="C9114" s="68"/>
      <c r="D9114" s="68">
        <v>46661.0</v>
      </c>
      <c r="E9114" s="66">
        <v>2.0</v>
      </c>
      <c r="F9114" s="66" t="str">
        <f>IFERROR(__xludf.DUMMYFUNCTION("GOOGLETRANSLATE(A9114,""en"",""pt"")"),"#VALUE!")</f>
        <v>#VALUE!</v>
      </c>
      <c r="G9114" s="69"/>
    </row>
    <row r="9115" ht="22.5" customHeight="1">
      <c r="A9115" s="66"/>
      <c r="B9115" s="67" t="str">
        <f t="shared" si="16"/>
        <v>M: </v>
      </c>
      <c r="C9115" s="68"/>
      <c r="D9115" s="68">
        <v>46661.0</v>
      </c>
      <c r="E9115" s="66">
        <v>3.0</v>
      </c>
      <c r="F9115" s="66" t="str">
        <f>IFERROR(__xludf.DUMMYFUNCTION("GOOGLETRANSLATE(A9115,""en"",""pt"")"),"#VALUE!")</f>
        <v>#VALUE!</v>
      </c>
      <c r="G9115" s="69"/>
    </row>
    <row r="9116" ht="22.5" customHeight="1">
      <c r="A9116" s="66"/>
      <c r="B9116" s="67" t="str">
        <f t="shared" si="16"/>
        <v>M: </v>
      </c>
      <c r="C9116" s="68"/>
      <c r="D9116" s="68">
        <v>46661.0</v>
      </c>
      <c r="E9116" s="66">
        <v>4.0</v>
      </c>
      <c r="F9116" s="66" t="str">
        <f>IFERROR(__xludf.DUMMYFUNCTION("GOOGLETRANSLATE(A9116,""en"",""pt"")"),"#VALUE!")</f>
        <v>#VALUE!</v>
      </c>
      <c r="G9116" s="69"/>
    </row>
    <row r="9117" ht="22.5" customHeight="1">
      <c r="A9117" s="66"/>
      <c r="B9117" s="67" t="str">
        <f t="shared" si="16"/>
        <v>M: </v>
      </c>
      <c r="C9117" s="68"/>
      <c r="D9117" s="68">
        <v>46661.0</v>
      </c>
      <c r="E9117" s="66">
        <v>5.0</v>
      </c>
      <c r="F9117" s="66" t="str">
        <f>IFERROR(__xludf.DUMMYFUNCTION("GOOGLETRANSLATE(A9117,""en"",""pt"")"),"#VALUE!")</f>
        <v>#VALUE!</v>
      </c>
      <c r="G9117" s="69"/>
    </row>
    <row r="9118" ht="22.5" customHeight="1">
      <c r="A9118" s="66"/>
      <c r="B9118" s="67" t="str">
        <f t="shared" si="16"/>
        <v>M: </v>
      </c>
      <c r="C9118" s="68"/>
      <c r="D9118" s="68">
        <v>46661.0</v>
      </c>
      <c r="E9118" s="66">
        <v>6.0</v>
      </c>
      <c r="F9118" s="66" t="str">
        <f>IFERROR(__xludf.DUMMYFUNCTION("GOOGLETRANSLATE(A9118,""en"",""pt"")"),"#VALUE!")</f>
        <v>#VALUE!</v>
      </c>
      <c r="G9118" s="69"/>
    </row>
    <row r="9119" ht="22.5" customHeight="1">
      <c r="A9119" s="66"/>
      <c r="B9119" s="67" t="str">
        <f t="shared" si="16"/>
        <v>M: </v>
      </c>
      <c r="C9119" s="68"/>
      <c r="D9119" s="68">
        <v>46661.0</v>
      </c>
      <c r="E9119" s="66">
        <v>7.0</v>
      </c>
      <c r="F9119" s="66" t="str">
        <f>IFERROR(__xludf.DUMMYFUNCTION("GOOGLETRANSLATE(A9119,""en"",""pt"")"),"#VALUE!")</f>
        <v>#VALUE!</v>
      </c>
      <c r="G9119" s="69"/>
    </row>
    <row r="9120" ht="22.5" customHeight="1">
      <c r="A9120" s="66"/>
      <c r="B9120" s="67" t="str">
        <f t="shared" si="16"/>
        <v>M: </v>
      </c>
      <c r="C9120" s="68"/>
      <c r="D9120" s="68">
        <v>46661.0</v>
      </c>
      <c r="E9120" s="66">
        <v>8.0</v>
      </c>
      <c r="F9120" s="66" t="str">
        <f>IFERROR(__xludf.DUMMYFUNCTION("GOOGLETRANSLATE(A9120,""en"",""pt"")"),"#VALUE!")</f>
        <v>#VALUE!</v>
      </c>
      <c r="G9120" s="69"/>
    </row>
    <row r="9121" ht="22.5" customHeight="1">
      <c r="A9121" s="66"/>
      <c r="B9121" s="67" t="str">
        <f t="shared" si="16"/>
        <v>M: </v>
      </c>
      <c r="C9121" s="68"/>
      <c r="D9121" s="68">
        <v>46661.0</v>
      </c>
      <c r="E9121" s="66">
        <v>9.0</v>
      </c>
      <c r="F9121" s="66" t="str">
        <f>IFERROR(__xludf.DUMMYFUNCTION("GOOGLETRANSLATE(A9121,""en"",""pt"")"),"#VALUE!")</f>
        <v>#VALUE!</v>
      </c>
      <c r="G9121" s="69"/>
    </row>
    <row r="9122" ht="22.5" customHeight="1">
      <c r="A9122" s="66"/>
      <c r="B9122" s="67" t="str">
        <f t="shared" si="16"/>
        <v>M: </v>
      </c>
      <c r="C9122" s="68"/>
      <c r="D9122" s="68">
        <v>46662.0</v>
      </c>
      <c r="E9122" s="66">
        <v>10.0</v>
      </c>
      <c r="F9122" s="66" t="str">
        <f>IFERROR(__xludf.DUMMYFUNCTION("GOOGLETRANSLATE(A9122,""en"",""pt"")"),"#VALUE!")</f>
        <v>#VALUE!</v>
      </c>
      <c r="G9122" s="69"/>
    </row>
    <row r="9123" ht="22.5" customHeight="1">
      <c r="A9123" s="66"/>
      <c r="B9123" s="67" t="str">
        <f t="shared" si="16"/>
        <v>M: </v>
      </c>
      <c r="C9123" s="68"/>
      <c r="D9123" s="68">
        <v>46662.0</v>
      </c>
      <c r="E9123" s="66">
        <v>1.0</v>
      </c>
      <c r="F9123" s="66" t="str">
        <f>IFERROR(__xludf.DUMMYFUNCTION("GOOGLETRANSLATE(A9123,""en"",""pt"")"),"#VALUE!")</f>
        <v>#VALUE!</v>
      </c>
      <c r="G9123" s="69"/>
    </row>
    <row r="9124" ht="22.5" customHeight="1">
      <c r="A9124" s="66"/>
      <c r="B9124" s="67" t="str">
        <f t="shared" si="16"/>
        <v>M: </v>
      </c>
      <c r="C9124" s="68"/>
      <c r="D9124" s="68">
        <v>46662.0</v>
      </c>
      <c r="E9124" s="66">
        <v>2.0</v>
      </c>
      <c r="F9124" s="66" t="str">
        <f>IFERROR(__xludf.DUMMYFUNCTION("GOOGLETRANSLATE(A9124,""en"",""pt"")"),"#VALUE!")</f>
        <v>#VALUE!</v>
      </c>
      <c r="G9124" s="69"/>
    </row>
    <row r="9125" ht="22.5" customHeight="1">
      <c r="A9125" s="66"/>
      <c r="B9125" s="67" t="str">
        <f t="shared" si="16"/>
        <v>M: </v>
      </c>
      <c r="C9125" s="68"/>
      <c r="D9125" s="68">
        <v>46662.0</v>
      </c>
      <c r="E9125" s="66">
        <v>3.0</v>
      </c>
      <c r="F9125" s="66" t="str">
        <f>IFERROR(__xludf.DUMMYFUNCTION("GOOGLETRANSLATE(A9125,""en"",""pt"")"),"#VALUE!")</f>
        <v>#VALUE!</v>
      </c>
      <c r="G9125" s="69"/>
    </row>
    <row r="9126" ht="22.5" customHeight="1">
      <c r="A9126" s="66"/>
      <c r="B9126" s="67" t="str">
        <f t="shared" si="16"/>
        <v>M: </v>
      </c>
      <c r="C9126" s="68"/>
      <c r="D9126" s="68">
        <v>46662.0</v>
      </c>
      <c r="E9126" s="66">
        <v>4.0</v>
      </c>
      <c r="F9126" s="66" t="str">
        <f>IFERROR(__xludf.DUMMYFUNCTION("GOOGLETRANSLATE(A9126,""en"",""pt"")"),"#VALUE!")</f>
        <v>#VALUE!</v>
      </c>
      <c r="G9126" s="69"/>
    </row>
    <row r="9127" ht="22.5" customHeight="1">
      <c r="A9127" s="66"/>
      <c r="B9127" s="67" t="str">
        <f t="shared" si="16"/>
        <v>M: </v>
      </c>
      <c r="C9127" s="68"/>
      <c r="D9127" s="68">
        <v>46662.0</v>
      </c>
      <c r="E9127" s="66">
        <v>5.0</v>
      </c>
      <c r="F9127" s="66" t="str">
        <f>IFERROR(__xludf.DUMMYFUNCTION("GOOGLETRANSLATE(A9127,""en"",""pt"")"),"#VALUE!")</f>
        <v>#VALUE!</v>
      </c>
      <c r="G9127" s="69"/>
    </row>
    <row r="9128" ht="22.5" customHeight="1">
      <c r="A9128" s="66"/>
      <c r="B9128" s="67" t="str">
        <f t="shared" si="16"/>
        <v>M: </v>
      </c>
      <c r="C9128" s="68"/>
      <c r="D9128" s="68">
        <v>46662.0</v>
      </c>
      <c r="E9128" s="66">
        <v>6.0</v>
      </c>
      <c r="F9128" s="66" t="str">
        <f>IFERROR(__xludf.DUMMYFUNCTION("GOOGLETRANSLATE(A9128,""en"",""pt"")"),"#VALUE!")</f>
        <v>#VALUE!</v>
      </c>
      <c r="G9128" s="69"/>
    </row>
    <row r="9129" ht="22.5" customHeight="1">
      <c r="A9129" s="66"/>
      <c r="B9129" s="67" t="str">
        <f t="shared" si="16"/>
        <v>M: </v>
      </c>
      <c r="C9129" s="68"/>
      <c r="D9129" s="68">
        <v>46662.0</v>
      </c>
      <c r="E9129" s="66">
        <v>7.0</v>
      </c>
      <c r="F9129" s="66" t="str">
        <f>IFERROR(__xludf.DUMMYFUNCTION("GOOGLETRANSLATE(A9129,""en"",""pt"")"),"#VALUE!")</f>
        <v>#VALUE!</v>
      </c>
      <c r="G9129" s="69"/>
    </row>
    <row r="9130" ht="22.5" customHeight="1">
      <c r="A9130" s="66"/>
      <c r="B9130" s="67" t="str">
        <f t="shared" si="16"/>
        <v>M: </v>
      </c>
      <c r="C9130" s="68"/>
      <c r="D9130" s="68">
        <v>46662.0</v>
      </c>
      <c r="E9130" s="66">
        <v>8.0</v>
      </c>
      <c r="F9130" s="66" t="str">
        <f>IFERROR(__xludf.DUMMYFUNCTION("GOOGLETRANSLATE(A9130,""en"",""pt"")"),"#VALUE!")</f>
        <v>#VALUE!</v>
      </c>
      <c r="G9130" s="69"/>
    </row>
    <row r="9131" ht="22.5" customHeight="1">
      <c r="A9131" s="66"/>
      <c r="B9131" s="67" t="str">
        <f t="shared" si="16"/>
        <v>M: </v>
      </c>
      <c r="C9131" s="68"/>
      <c r="D9131" s="68">
        <v>46662.0</v>
      </c>
      <c r="E9131" s="66">
        <v>9.0</v>
      </c>
      <c r="F9131" s="66" t="str">
        <f>IFERROR(__xludf.DUMMYFUNCTION("GOOGLETRANSLATE(A9131,""en"",""pt"")"),"#VALUE!")</f>
        <v>#VALUE!</v>
      </c>
      <c r="G9131" s="69"/>
    </row>
    <row r="9132" ht="22.5" customHeight="1">
      <c r="A9132" s="66"/>
      <c r="B9132" s="67" t="str">
        <f t="shared" si="16"/>
        <v>M: </v>
      </c>
      <c r="C9132" s="68"/>
      <c r="D9132" s="68">
        <v>46663.0</v>
      </c>
      <c r="E9132" s="66">
        <v>10.0</v>
      </c>
      <c r="F9132" s="66" t="str">
        <f>IFERROR(__xludf.DUMMYFUNCTION("GOOGLETRANSLATE(A9132,""en"",""pt"")"),"#VALUE!")</f>
        <v>#VALUE!</v>
      </c>
      <c r="G9132" s="69"/>
    </row>
    <row r="9133" ht="22.5" customHeight="1">
      <c r="A9133" s="66"/>
      <c r="B9133" s="67" t="str">
        <f t="shared" si="16"/>
        <v>M: </v>
      </c>
      <c r="C9133" s="68"/>
      <c r="D9133" s="68">
        <v>46663.0</v>
      </c>
      <c r="E9133" s="66">
        <v>1.0</v>
      </c>
      <c r="F9133" s="66" t="str">
        <f>IFERROR(__xludf.DUMMYFUNCTION("GOOGLETRANSLATE(A9133,""en"",""pt"")"),"#VALUE!")</f>
        <v>#VALUE!</v>
      </c>
      <c r="G9133" s="69"/>
    </row>
    <row r="9134" ht="22.5" customHeight="1">
      <c r="A9134" s="66"/>
      <c r="B9134" s="67" t="str">
        <f t="shared" si="16"/>
        <v>M: </v>
      </c>
      <c r="C9134" s="68"/>
      <c r="D9134" s="68">
        <v>46663.0</v>
      </c>
      <c r="E9134" s="66">
        <v>2.0</v>
      </c>
      <c r="F9134" s="66" t="str">
        <f>IFERROR(__xludf.DUMMYFUNCTION("GOOGLETRANSLATE(A9134,""en"",""pt"")"),"#VALUE!")</f>
        <v>#VALUE!</v>
      </c>
      <c r="G9134" s="69"/>
    </row>
    <row r="9135" ht="22.5" customHeight="1">
      <c r="A9135" s="66"/>
      <c r="B9135" s="67" t="str">
        <f t="shared" si="16"/>
        <v>M: </v>
      </c>
      <c r="C9135" s="68"/>
      <c r="D9135" s="68">
        <v>46663.0</v>
      </c>
      <c r="E9135" s="66">
        <v>3.0</v>
      </c>
      <c r="F9135" s="66" t="str">
        <f>IFERROR(__xludf.DUMMYFUNCTION("GOOGLETRANSLATE(A9135,""en"",""pt"")"),"#VALUE!")</f>
        <v>#VALUE!</v>
      </c>
      <c r="G9135" s="69"/>
    </row>
    <row r="9136" ht="22.5" customHeight="1">
      <c r="A9136" s="66"/>
      <c r="B9136" s="67" t="str">
        <f t="shared" si="16"/>
        <v>M: </v>
      </c>
      <c r="C9136" s="68"/>
      <c r="D9136" s="68">
        <v>46663.0</v>
      </c>
      <c r="E9136" s="66">
        <v>4.0</v>
      </c>
      <c r="F9136" s="66" t="str">
        <f>IFERROR(__xludf.DUMMYFUNCTION("GOOGLETRANSLATE(A9136,""en"",""pt"")"),"#VALUE!")</f>
        <v>#VALUE!</v>
      </c>
      <c r="G9136" s="69"/>
    </row>
    <row r="9137" ht="22.5" customHeight="1">
      <c r="A9137" s="66"/>
      <c r="B9137" s="67" t="str">
        <f t="shared" si="16"/>
        <v>M: </v>
      </c>
      <c r="C9137" s="68"/>
      <c r="D9137" s="68">
        <v>46663.0</v>
      </c>
      <c r="E9137" s="66">
        <v>5.0</v>
      </c>
      <c r="F9137" s="66" t="str">
        <f>IFERROR(__xludf.DUMMYFUNCTION("GOOGLETRANSLATE(A9137,""en"",""pt"")"),"#VALUE!")</f>
        <v>#VALUE!</v>
      </c>
      <c r="G9137" s="69"/>
    </row>
    <row r="9138" ht="22.5" customHeight="1">
      <c r="A9138" s="66"/>
      <c r="B9138" s="67" t="str">
        <f t="shared" si="16"/>
        <v>M: </v>
      </c>
      <c r="C9138" s="68"/>
      <c r="D9138" s="68">
        <v>46663.0</v>
      </c>
      <c r="E9138" s="66">
        <v>6.0</v>
      </c>
      <c r="F9138" s="66" t="str">
        <f>IFERROR(__xludf.DUMMYFUNCTION("GOOGLETRANSLATE(A9138,""en"",""pt"")"),"#VALUE!")</f>
        <v>#VALUE!</v>
      </c>
      <c r="G9138" s="69"/>
    </row>
    <row r="9139" ht="22.5" customHeight="1">
      <c r="A9139" s="66"/>
      <c r="B9139" s="67" t="str">
        <f t="shared" si="16"/>
        <v>M: </v>
      </c>
      <c r="C9139" s="68"/>
      <c r="D9139" s="68">
        <v>46663.0</v>
      </c>
      <c r="E9139" s="66">
        <v>7.0</v>
      </c>
      <c r="F9139" s="66" t="str">
        <f>IFERROR(__xludf.DUMMYFUNCTION("GOOGLETRANSLATE(A9139,""en"",""pt"")"),"#VALUE!")</f>
        <v>#VALUE!</v>
      </c>
      <c r="G9139" s="69"/>
    </row>
    <row r="9140" ht="22.5" customHeight="1">
      <c r="A9140" s="66"/>
      <c r="B9140" s="67" t="str">
        <f t="shared" si="16"/>
        <v>M: </v>
      </c>
      <c r="C9140" s="68"/>
      <c r="D9140" s="68">
        <v>46663.0</v>
      </c>
      <c r="E9140" s="66">
        <v>8.0</v>
      </c>
      <c r="F9140" s="66" t="str">
        <f>IFERROR(__xludf.DUMMYFUNCTION("GOOGLETRANSLATE(A9140,""en"",""pt"")"),"#VALUE!")</f>
        <v>#VALUE!</v>
      </c>
      <c r="G9140" s="69"/>
    </row>
    <row r="9141" ht="22.5" customHeight="1">
      <c r="A9141" s="66"/>
      <c r="B9141" s="67" t="str">
        <f t="shared" si="16"/>
        <v>M: </v>
      </c>
      <c r="C9141" s="68"/>
      <c r="D9141" s="68">
        <v>46663.0</v>
      </c>
      <c r="E9141" s="66">
        <v>9.0</v>
      </c>
      <c r="F9141" s="66" t="str">
        <f>IFERROR(__xludf.DUMMYFUNCTION("GOOGLETRANSLATE(A9141,""en"",""pt"")"),"#VALUE!")</f>
        <v>#VALUE!</v>
      </c>
      <c r="G9141" s="69"/>
    </row>
    <row r="9142" ht="22.5" customHeight="1">
      <c r="A9142" s="66"/>
      <c r="B9142" s="67" t="str">
        <f t="shared" si="16"/>
        <v>M: </v>
      </c>
      <c r="C9142" s="68"/>
      <c r="D9142" s="68">
        <v>46664.0</v>
      </c>
      <c r="E9142" s="66">
        <v>10.0</v>
      </c>
      <c r="F9142" s="66" t="str">
        <f>IFERROR(__xludf.DUMMYFUNCTION("GOOGLETRANSLATE(A9142,""en"",""pt"")"),"#VALUE!")</f>
        <v>#VALUE!</v>
      </c>
      <c r="G9142" s="69"/>
    </row>
    <row r="9143" ht="22.5" customHeight="1">
      <c r="A9143" s="66"/>
      <c r="B9143" s="67" t="str">
        <f t="shared" si="16"/>
        <v>M: </v>
      </c>
      <c r="C9143" s="68"/>
      <c r="D9143" s="68">
        <v>46664.0</v>
      </c>
      <c r="E9143" s="66">
        <v>1.0</v>
      </c>
      <c r="F9143" s="66" t="str">
        <f>IFERROR(__xludf.DUMMYFUNCTION("GOOGLETRANSLATE(A9143,""en"",""pt"")"),"#VALUE!")</f>
        <v>#VALUE!</v>
      </c>
      <c r="G9143" s="69"/>
    </row>
    <row r="9144" ht="22.5" customHeight="1">
      <c r="A9144" s="66"/>
      <c r="B9144" s="67" t="str">
        <f t="shared" si="16"/>
        <v>M: </v>
      </c>
      <c r="C9144" s="68"/>
      <c r="D9144" s="68">
        <v>46664.0</v>
      </c>
      <c r="E9144" s="66">
        <v>2.0</v>
      </c>
      <c r="F9144" s="66" t="str">
        <f>IFERROR(__xludf.DUMMYFUNCTION("GOOGLETRANSLATE(A9144,""en"",""pt"")"),"#VALUE!")</f>
        <v>#VALUE!</v>
      </c>
      <c r="G9144" s="69"/>
    </row>
    <row r="9145" ht="22.5" customHeight="1">
      <c r="A9145" s="66"/>
      <c r="B9145" s="67" t="str">
        <f t="shared" si="16"/>
        <v>M: </v>
      </c>
      <c r="C9145" s="68"/>
      <c r="D9145" s="68">
        <v>46664.0</v>
      </c>
      <c r="E9145" s="66">
        <v>3.0</v>
      </c>
      <c r="F9145" s="66" t="str">
        <f>IFERROR(__xludf.DUMMYFUNCTION("GOOGLETRANSLATE(A9145,""en"",""pt"")"),"#VALUE!")</f>
        <v>#VALUE!</v>
      </c>
      <c r="G9145" s="69"/>
    </row>
    <row r="9146" ht="22.5" customHeight="1">
      <c r="A9146" s="66"/>
      <c r="B9146" s="67" t="str">
        <f t="shared" si="16"/>
        <v>M: </v>
      </c>
      <c r="C9146" s="68"/>
      <c r="D9146" s="68">
        <v>46664.0</v>
      </c>
      <c r="E9146" s="66">
        <v>4.0</v>
      </c>
      <c r="F9146" s="66" t="str">
        <f>IFERROR(__xludf.DUMMYFUNCTION("GOOGLETRANSLATE(A9146,""en"",""pt"")"),"#VALUE!")</f>
        <v>#VALUE!</v>
      </c>
      <c r="G9146" s="69"/>
    </row>
    <row r="9147" ht="22.5" customHeight="1">
      <c r="A9147" s="66"/>
      <c r="B9147" s="67" t="str">
        <f t="shared" si="16"/>
        <v>M: </v>
      </c>
      <c r="C9147" s="68"/>
      <c r="D9147" s="68">
        <v>46664.0</v>
      </c>
      <c r="E9147" s="66">
        <v>5.0</v>
      </c>
      <c r="F9147" s="66" t="str">
        <f>IFERROR(__xludf.DUMMYFUNCTION("GOOGLETRANSLATE(A9147,""en"",""pt"")"),"#VALUE!")</f>
        <v>#VALUE!</v>
      </c>
      <c r="G9147" s="69"/>
    </row>
    <row r="9148" ht="22.5" customHeight="1">
      <c r="A9148" s="66"/>
      <c r="B9148" s="67" t="str">
        <f t="shared" si="16"/>
        <v>M: </v>
      </c>
      <c r="C9148" s="68"/>
      <c r="D9148" s="68">
        <v>46664.0</v>
      </c>
      <c r="E9148" s="66">
        <v>6.0</v>
      </c>
      <c r="F9148" s="66" t="str">
        <f>IFERROR(__xludf.DUMMYFUNCTION("GOOGLETRANSLATE(A9148,""en"",""pt"")"),"#VALUE!")</f>
        <v>#VALUE!</v>
      </c>
      <c r="G9148" s="69"/>
    </row>
    <row r="9149" ht="22.5" customHeight="1">
      <c r="A9149" s="66"/>
      <c r="B9149" s="67" t="str">
        <f t="shared" si="16"/>
        <v>M: </v>
      </c>
      <c r="C9149" s="68"/>
      <c r="D9149" s="68">
        <v>46664.0</v>
      </c>
      <c r="E9149" s="66">
        <v>7.0</v>
      </c>
      <c r="F9149" s="66" t="str">
        <f>IFERROR(__xludf.DUMMYFUNCTION("GOOGLETRANSLATE(A9149,""en"",""pt"")"),"#VALUE!")</f>
        <v>#VALUE!</v>
      </c>
      <c r="G9149" s="69"/>
    </row>
    <row r="9150" ht="22.5" customHeight="1">
      <c r="A9150" s="66"/>
      <c r="B9150" s="67" t="str">
        <f t="shared" si="16"/>
        <v>M: </v>
      </c>
      <c r="C9150" s="68"/>
      <c r="D9150" s="68">
        <v>46664.0</v>
      </c>
      <c r="E9150" s="66">
        <v>8.0</v>
      </c>
      <c r="F9150" s="66" t="str">
        <f>IFERROR(__xludf.DUMMYFUNCTION("GOOGLETRANSLATE(A9150,""en"",""pt"")"),"#VALUE!")</f>
        <v>#VALUE!</v>
      </c>
      <c r="G9150" s="69"/>
    </row>
    <row r="9151" ht="22.5" customHeight="1">
      <c r="A9151" s="66"/>
      <c r="B9151" s="67" t="str">
        <f t="shared" si="16"/>
        <v>M: </v>
      </c>
      <c r="C9151" s="68"/>
      <c r="D9151" s="68">
        <v>46664.0</v>
      </c>
      <c r="E9151" s="66">
        <v>9.0</v>
      </c>
      <c r="F9151" s="66" t="str">
        <f>IFERROR(__xludf.DUMMYFUNCTION("GOOGLETRANSLATE(A9151,""en"",""pt"")"),"#VALUE!")</f>
        <v>#VALUE!</v>
      </c>
      <c r="G9151" s="69"/>
    </row>
    <row r="9152" ht="22.5" customHeight="1">
      <c r="A9152" s="66"/>
      <c r="B9152" s="67" t="str">
        <f t="shared" si="16"/>
        <v>M: </v>
      </c>
      <c r="C9152" s="68"/>
      <c r="D9152" s="68">
        <v>46665.0</v>
      </c>
      <c r="E9152" s="66">
        <v>10.0</v>
      </c>
      <c r="F9152" s="66" t="str">
        <f>IFERROR(__xludf.DUMMYFUNCTION("GOOGLETRANSLATE(A9152,""en"",""pt"")"),"#VALUE!")</f>
        <v>#VALUE!</v>
      </c>
      <c r="G9152" s="69"/>
    </row>
    <row r="9153" ht="22.5" customHeight="1">
      <c r="A9153" s="66"/>
      <c r="B9153" s="67" t="str">
        <f t="shared" si="16"/>
        <v>M: </v>
      </c>
      <c r="C9153" s="68"/>
      <c r="D9153" s="68">
        <v>46665.0</v>
      </c>
      <c r="E9153" s="66">
        <v>1.0</v>
      </c>
      <c r="F9153" s="66" t="str">
        <f>IFERROR(__xludf.DUMMYFUNCTION("GOOGLETRANSLATE(A9153,""en"",""pt"")"),"#VALUE!")</f>
        <v>#VALUE!</v>
      </c>
      <c r="G9153" s="69"/>
    </row>
    <row r="9154" ht="22.5" customHeight="1">
      <c r="A9154" s="66"/>
      <c r="B9154" s="67" t="str">
        <f t="shared" si="16"/>
        <v>M: </v>
      </c>
      <c r="C9154" s="68"/>
      <c r="D9154" s="68">
        <v>46665.0</v>
      </c>
      <c r="E9154" s="66">
        <v>2.0</v>
      </c>
      <c r="F9154" s="66" t="str">
        <f>IFERROR(__xludf.DUMMYFUNCTION("GOOGLETRANSLATE(A9154,""en"",""pt"")"),"#VALUE!")</f>
        <v>#VALUE!</v>
      </c>
      <c r="G9154" s="69"/>
    </row>
    <row r="9155" ht="22.5" customHeight="1">
      <c r="A9155" s="66"/>
      <c r="B9155" s="67" t="str">
        <f t="shared" si="16"/>
        <v>M: </v>
      </c>
      <c r="C9155" s="68"/>
      <c r="D9155" s="68">
        <v>46665.0</v>
      </c>
      <c r="E9155" s="66">
        <v>3.0</v>
      </c>
      <c r="F9155" s="66" t="str">
        <f>IFERROR(__xludf.DUMMYFUNCTION("GOOGLETRANSLATE(A9155,""en"",""pt"")"),"#VALUE!")</f>
        <v>#VALUE!</v>
      </c>
      <c r="G9155" s="69"/>
    </row>
    <row r="9156" ht="22.5" customHeight="1">
      <c r="A9156" s="66"/>
      <c r="B9156" s="67" t="str">
        <f t="shared" si="16"/>
        <v>M: </v>
      </c>
      <c r="C9156" s="68"/>
      <c r="D9156" s="68">
        <v>46665.0</v>
      </c>
      <c r="E9156" s="66">
        <v>4.0</v>
      </c>
      <c r="F9156" s="66" t="str">
        <f>IFERROR(__xludf.DUMMYFUNCTION("GOOGLETRANSLATE(A9156,""en"",""pt"")"),"#VALUE!")</f>
        <v>#VALUE!</v>
      </c>
      <c r="G9156" s="69"/>
    </row>
    <row r="9157" ht="22.5" customHeight="1">
      <c r="A9157" s="66"/>
      <c r="B9157" s="67" t="str">
        <f t="shared" si="16"/>
        <v>M: </v>
      </c>
      <c r="C9157" s="68"/>
      <c r="D9157" s="68">
        <v>46665.0</v>
      </c>
      <c r="E9157" s="66">
        <v>5.0</v>
      </c>
      <c r="F9157" s="66" t="str">
        <f>IFERROR(__xludf.DUMMYFUNCTION("GOOGLETRANSLATE(A9157,""en"",""pt"")"),"#VALUE!")</f>
        <v>#VALUE!</v>
      </c>
      <c r="G9157" s="69"/>
    </row>
    <row r="9158" ht="22.5" customHeight="1">
      <c r="A9158" s="66"/>
      <c r="B9158" s="67" t="str">
        <f t="shared" si="16"/>
        <v>M: </v>
      </c>
      <c r="C9158" s="68"/>
      <c r="D9158" s="68">
        <v>46665.0</v>
      </c>
      <c r="E9158" s="66">
        <v>6.0</v>
      </c>
      <c r="F9158" s="66" t="str">
        <f>IFERROR(__xludf.DUMMYFUNCTION("GOOGLETRANSLATE(A9158,""en"",""pt"")"),"#VALUE!")</f>
        <v>#VALUE!</v>
      </c>
      <c r="G9158" s="69"/>
    </row>
    <row r="9159" ht="22.5" customHeight="1">
      <c r="A9159" s="66"/>
      <c r="B9159" s="67" t="str">
        <f t="shared" si="16"/>
        <v>M: </v>
      </c>
      <c r="C9159" s="68"/>
      <c r="D9159" s="68">
        <v>46665.0</v>
      </c>
      <c r="E9159" s="66">
        <v>7.0</v>
      </c>
      <c r="F9159" s="66" t="str">
        <f>IFERROR(__xludf.DUMMYFUNCTION("GOOGLETRANSLATE(A9159,""en"",""pt"")"),"#VALUE!")</f>
        <v>#VALUE!</v>
      </c>
      <c r="G9159" s="69"/>
    </row>
    <row r="9160" ht="22.5" customHeight="1">
      <c r="A9160" s="66"/>
      <c r="B9160" s="67" t="str">
        <f t="shared" si="16"/>
        <v>M: </v>
      </c>
      <c r="C9160" s="68"/>
      <c r="D9160" s="68">
        <v>46665.0</v>
      </c>
      <c r="E9160" s="66">
        <v>8.0</v>
      </c>
      <c r="F9160" s="66" t="str">
        <f>IFERROR(__xludf.DUMMYFUNCTION("GOOGLETRANSLATE(A9160,""en"",""pt"")"),"#VALUE!")</f>
        <v>#VALUE!</v>
      </c>
      <c r="G9160" s="69"/>
    </row>
    <row r="9161" ht="22.5" customHeight="1">
      <c r="A9161" s="66"/>
      <c r="B9161" s="67" t="str">
        <f t="shared" si="16"/>
        <v>M: </v>
      </c>
      <c r="C9161" s="68"/>
      <c r="D9161" s="68">
        <v>46665.0</v>
      </c>
      <c r="E9161" s="66">
        <v>9.0</v>
      </c>
      <c r="F9161" s="66" t="str">
        <f>IFERROR(__xludf.DUMMYFUNCTION("GOOGLETRANSLATE(A9161,""en"",""pt"")"),"#VALUE!")</f>
        <v>#VALUE!</v>
      </c>
      <c r="G9161" s="69"/>
    </row>
    <row r="9162" ht="22.5" customHeight="1">
      <c r="A9162" s="66"/>
      <c r="B9162" s="67" t="str">
        <f t="shared" si="16"/>
        <v>M: </v>
      </c>
      <c r="C9162" s="68"/>
      <c r="D9162" s="68">
        <v>46666.0</v>
      </c>
      <c r="E9162" s="66">
        <v>10.0</v>
      </c>
      <c r="F9162" s="66" t="str">
        <f>IFERROR(__xludf.DUMMYFUNCTION("GOOGLETRANSLATE(A9162,""en"",""pt"")"),"#VALUE!")</f>
        <v>#VALUE!</v>
      </c>
      <c r="G9162" s="69"/>
    </row>
    <row r="9163" ht="22.5" customHeight="1">
      <c r="A9163" s="66"/>
      <c r="B9163" s="67" t="str">
        <f t="shared" si="16"/>
        <v>M: </v>
      </c>
      <c r="C9163" s="68"/>
      <c r="D9163" s="68">
        <v>46666.0</v>
      </c>
      <c r="E9163" s="66">
        <v>1.0</v>
      </c>
      <c r="F9163" s="66" t="str">
        <f>IFERROR(__xludf.DUMMYFUNCTION("GOOGLETRANSLATE(A9163,""en"",""pt"")"),"#VALUE!")</f>
        <v>#VALUE!</v>
      </c>
      <c r="G9163" s="69"/>
    </row>
    <row r="9164" ht="22.5" customHeight="1">
      <c r="A9164" s="66"/>
      <c r="B9164" s="67" t="str">
        <f t="shared" si="16"/>
        <v>M: </v>
      </c>
      <c r="C9164" s="68"/>
      <c r="D9164" s="68">
        <v>46666.0</v>
      </c>
      <c r="E9164" s="66">
        <v>2.0</v>
      </c>
      <c r="F9164" s="66" t="str">
        <f>IFERROR(__xludf.DUMMYFUNCTION("GOOGLETRANSLATE(A9164,""en"",""pt"")"),"#VALUE!")</f>
        <v>#VALUE!</v>
      </c>
      <c r="G9164" s="69"/>
    </row>
    <row r="9165" ht="22.5" customHeight="1">
      <c r="A9165" s="66"/>
      <c r="B9165" s="67" t="str">
        <f t="shared" si="16"/>
        <v>M: </v>
      </c>
      <c r="C9165" s="68"/>
      <c r="D9165" s="68">
        <v>46666.0</v>
      </c>
      <c r="E9165" s="66">
        <v>3.0</v>
      </c>
      <c r="F9165" s="66" t="str">
        <f>IFERROR(__xludf.DUMMYFUNCTION("GOOGLETRANSLATE(A9165,""en"",""pt"")"),"#VALUE!")</f>
        <v>#VALUE!</v>
      </c>
      <c r="G9165" s="69"/>
    </row>
    <row r="9166" ht="22.5" customHeight="1">
      <c r="A9166" s="66"/>
      <c r="B9166" s="67" t="str">
        <f t="shared" si="16"/>
        <v>M: </v>
      </c>
      <c r="C9166" s="68"/>
      <c r="D9166" s="68">
        <v>46666.0</v>
      </c>
      <c r="E9166" s="66">
        <v>4.0</v>
      </c>
      <c r="F9166" s="66" t="str">
        <f>IFERROR(__xludf.DUMMYFUNCTION("GOOGLETRANSLATE(A9166,""en"",""pt"")"),"#VALUE!")</f>
        <v>#VALUE!</v>
      </c>
      <c r="G9166" s="69"/>
    </row>
    <row r="9167" ht="22.5" customHeight="1">
      <c r="A9167" s="66"/>
      <c r="B9167" s="67" t="str">
        <f t="shared" si="16"/>
        <v>M: </v>
      </c>
      <c r="C9167" s="68"/>
      <c r="D9167" s="68">
        <v>46666.0</v>
      </c>
      <c r="E9167" s="66">
        <v>5.0</v>
      </c>
      <c r="F9167" s="66" t="str">
        <f>IFERROR(__xludf.DUMMYFUNCTION("GOOGLETRANSLATE(A9167,""en"",""pt"")"),"#VALUE!")</f>
        <v>#VALUE!</v>
      </c>
      <c r="G9167" s="69"/>
    </row>
    <row r="9168" ht="22.5" customHeight="1">
      <c r="A9168" s="66"/>
      <c r="B9168" s="67" t="str">
        <f t="shared" si="16"/>
        <v>M: </v>
      </c>
      <c r="C9168" s="68"/>
      <c r="D9168" s="68">
        <v>46666.0</v>
      </c>
      <c r="E9168" s="66">
        <v>6.0</v>
      </c>
      <c r="F9168" s="66" t="str">
        <f>IFERROR(__xludf.DUMMYFUNCTION("GOOGLETRANSLATE(A9168,""en"",""pt"")"),"#VALUE!")</f>
        <v>#VALUE!</v>
      </c>
      <c r="G9168" s="69"/>
    </row>
    <row r="9169" ht="22.5" customHeight="1">
      <c r="A9169" s="66"/>
      <c r="B9169" s="67" t="str">
        <f t="shared" si="16"/>
        <v>M: </v>
      </c>
      <c r="C9169" s="68"/>
      <c r="D9169" s="68">
        <v>46666.0</v>
      </c>
      <c r="E9169" s="66">
        <v>7.0</v>
      </c>
      <c r="F9169" s="66" t="str">
        <f>IFERROR(__xludf.DUMMYFUNCTION("GOOGLETRANSLATE(A9169,""en"",""pt"")"),"#VALUE!")</f>
        <v>#VALUE!</v>
      </c>
      <c r="G9169" s="69"/>
    </row>
    <row r="9170" ht="22.5" customHeight="1">
      <c r="A9170" s="66"/>
      <c r="B9170" s="67" t="str">
        <f t="shared" si="16"/>
        <v>M: </v>
      </c>
      <c r="C9170" s="68"/>
      <c r="D9170" s="68">
        <v>46666.0</v>
      </c>
      <c r="E9170" s="66">
        <v>8.0</v>
      </c>
      <c r="F9170" s="66" t="str">
        <f>IFERROR(__xludf.DUMMYFUNCTION("GOOGLETRANSLATE(A9170,""en"",""pt"")"),"#VALUE!")</f>
        <v>#VALUE!</v>
      </c>
      <c r="G9170" s="69"/>
    </row>
    <row r="9171" ht="22.5" customHeight="1">
      <c r="A9171" s="66"/>
      <c r="B9171" s="67" t="str">
        <f t="shared" si="16"/>
        <v>M: </v>
      </c>
      <c r="C9171" s="68"/>
      <c r="D9171" s="68">
        <v>46666.0</v>
      </c>
      <c r="E9171" s="66">
        <v>9.0</v>
      </c>
      <c r="F9171" s="66" t="str">
        <f>IFERROR(__xludf.DUMMYFUNCTION("GOOGLETRANSLATE(A9171,""en"",""pt"")"),"#VALUE!")</f>
        <v>#VALUE!</v>
      </c>
      <c r="G9171" s="69"/>
    </row>
    <row r="9172" ht="22.5" customHeight="1">
      <c r="A9172" s="66"/>
      <c r="B9172" s="67" t="str">
        <f t="shared" si="16"/>
        <v>M: </v>
      </c>
      <c r="C9172" s="68"/>
      <c r="D9172" s="68">
        <v>46667.0</v>
      </c>
      <c r="E9172" s="66">
        <v>10.0</v>
      </c>
      <c r="F9172" s="66" t="str">
        <f>IFERROR(__xludf.DUMMYFUNCTION("GOOGLETRANSLATE(A9172,""en"",""pt"")"),"#VALUE!")</f>
        <v>#VALUE!</v>
      </c>
      <c r="G9172" s="69"/>
    </row>
    <row r="9173" ht="22.5" customHeight="1">
      <c r="A9173" s="66"/>
      <c r="B9173" s="67" t="str">
        <f t="shared" si="16"/>
        <v>M: </v>
      </c>
      <c r="C9173" s="68"/>
      <c r="D9173" s="68">
        <v>46667.0</v>
      </c>
      <c r="E9173" s="66">
        <v>1.0</v>
      </c>
      <c r="F9173" s="66" t="str">
        <f>IFERROR(__xludf.DUMMYFUNCTION("GOOGLETRANSLATE(A9173,""en"",""pt"")"),"#VALUE!")</f>
        <v>#VALUE!</v>
      </c>
      <c r="G9173" s="69"/>
    </row>
    <row r="9174" ht="22.5" customHeight="1">
      <c r="A9174" s="66"/>
      <c r="B9174" s="67" t="str">
        <f t="shared" si="16"/>
        <v>M: </v>
      </c>
      <c r="C9174" s="68"/>
      <c r="D9174" s="68">
        <v>46667.0</v>
      </c>
      <c r="E9174" s="66">
        <v>2.0</v>
      </c>
      <c r="F9174" s="66" t="str">
        <f>IFERROR(__xludf.DUMMYFUNCTION("GOOGLETRANSLATE(A9174,""en"",""pt"")"),"#VALUE!")</f>
        <v>#VALUE!</v>
      </c>
      <c r="G9174" s="69"/>
    </row>
    <row r="9175" ht="22.5" customHeight="1">
      <c r="A9175" s="66"/>
      <c r="B9175" s="67" t="str">
        <f t="shared" si="16"/>
        <v>M: </v>
      </c>
      <c r="C9175" s="68"/>
      <c r="D9175" s="68">
        <v>46667.0</v>
      </c>
      <c r="E9175" s="66">
        <v>3.0</v>
      </c>
      <c r="F9175" s="66" t="str">
        <f>IFERROR(__xludf.DUMMYFUNCTION("GOOGLETRANSLATE(A9175,""en"",""pt"")"),"#VALUE!")</f>
        <v>#VALUE!</v>
      </c>
      <c r="G9175" s="69"/>
    </row>
    <row r="9176" ht="22.5" customHeight="1">
      <c r="A9176" s="66"/>
      <c r="B9176" s="67" t="str">
        <f t="shared" si="16"/>
        <v>M: </v>
      </c>
      <c r="C9176" s="68"/>
      <c r="D9176" s="68">
        <v>46667.0</v>
      </c>
      <c r="E9176" s="66">
        <v>4.0</v>
      </c>
      <c r="F9176" s="66" t="str">
        <f>IFERROR(__xludf.DUMMYFUNCTION("GOOGLETRANSLATE(A9176,""en"",""pt"")"),"#VALUE!")</f>
        <v>#VALUE!</v>
      </c>
      <c r="G9176" s="69"/>
    </row>
    <row r="9177" ht="22.5" customHeight="1">
      <c r="A9177" s="66"/>
      <c r="B9177" s="67" t="str">
        <f t="shared" si="16"/>
        <v>M: </v>
      </c>
      <c r="C9177" s="68"/>
      <c r="D9177" s="68">
        <v>46667.0</v>
      </c>
      <c r="E9177" s="66">
        <v>5.0</v>
      </c>
      <c r="F9177" s="66" t="str">
        <f>IFERROR(__xludf.DUMMYFUNCTION("GOOGLETRANSLATE(A9177,""en"",""pt"")"),"#VALUE!")</f>
        <v>#VALUE!</v>
      </c>
      <c r="G9177" s="69"/>
    </row>
    <row r="9178" ht="22.5" customHeight="1">
      <c r="A9178" s="66"/>
      <c r="B9178" s="67" t="str">
        <f t="shared" si="16"/>
        <v>M: </v>
      </c>
      <c r="C9178" s="68"/>
      <c r="D9178" s="68">
        <v>46667.0</v>
      </c>
      <c r="E9178" s="66">
        <v>6.0</v>
      </c>
      <c r="F9178" s="66" t="str">
        <f>IFERROR(__xludf.DUMMYFUNCTION("GOOGLETRANSLATE(A9178,""en"",""pt"")"),"#VALUE!")</f>
        <v>#VALUE!</v>
      </c>
      <c r="G9178" s="69"/>
    </row>
    <row r="9179" ht="22.5" customHeight="1">
      <c r="A9179" s="66"/>
      <c r="B9179" s="67" t="str">
        <f t="shared" si="16"/>
        <v>M: </v>
      </c>
      <c r="C9179" s="68"/>
      <c r="D9179" s="68">
        <v>46667.0</v>
      </c>
      <c r="E9179" s="66">
        <v>7.0</v>
      </c>
      <c r="F9179" s="66" t="str">
        <f>IFERROR(__xludf.DUMMYFUNCTION("GOOGLETRANSLATE(A9179,""en"",""pt"")"),"#VALUE!")</f>
        <v>#VALUE!</v>
      </c>
      <c r="G9179" s="69"/>
    </row>
    <row r="9180" ht="22.5" customHeight="1">
      <c r="A9180" s="66"/>
      <c r="B9180" s="67" t="str">
        <f t="shared" si="16"/>
        <v>M: </v>
      </c>
      <c r="C9180" s="68"/>
      <c r="D9180" s="68">
        <v>46667.0</v>
      </c>
      <c r="E9180" s="66">
        <v>8.0</v>
      </c>
      <c r="F9180" s="66" t="str">
        <f>IFERROR(__xludf.DUMMYFUNCTION("GOOGLETRANSLATE(A9180,""en"",""pt"")"),"#VALUE!")</f>
        <v>#VALUE!</v>
      </c>
      <c r="G9180" s="69"/>
    </row>
    <row r="9181" ht="22.5" customHeight="1">
      <c r="A9181" s="66"/>
      <c r="B9181" s="67" t="str">
        <f t="shared" si="16"/>
        <v>M: </v>
      </c>
      <c r="C9181" s="68"/>
      <c r="D9181" s="68">
        <v>46667.0</v>
      </c>
      <c r="E9181" s="66">
        <v>9.0</v>
      </c>
      <c r="F9181" s="66" t="str">
        <f>IFERROR(__xludf.DUMMYFUNCTION("GOOGLETRANSLATE(A9181,""en"",""pt"")"),"#VALUE!")</f>
        <v>#VALUE!</v>
      </c>
      <c r="G9181" s="69"/>
    </row>
    <row r="9182" ht="22.5" customHeight="1">
      <c r="A9182" s="66"/>
      <c r="B9182" s="67" t="str">
        <f t="shared" si="16"/>
        <v>M: </v>
      </c>
      <c r="C9182" s="68"/>
      <c r="D9182" s="68">
        <v>46668.0</v>
      </c>
      <c r="E9182" s="66">
        <v>10.0</v>
      </c>
      <c r="F9182" s="66" t="str">
        <f>IFERROR(__xludf.DUMMYFUNCTION("GOOGLETRANSLATE(A9182,""en"",""pt"")"),"#VALUE!")</f>
        <v>#VALUE!</v>
      </c>
      <c r="G9182" s="69"/>
    </row>
    <row r="9183" ht="22.5" customHeight="1">
      <c r="A9183" s="66"/>
      <c r="B9183" s="67" t="str">
        <f t="shared" si="16"/>
        <v>M: </v>
      </c>
      <c r="C9183" s="68"/>
      <c r="D9183" s="68">
        <v>46668.0</v>
      </c>
      <c r="E9183" s="66">
        <v>1.0</v>
      </c>
      <c r="F9183" s="66" t="str">
        <f>IFERROR(__xludf.DUMMYFUNCTION("GOOGLETRANSLATE(A9183,""en"",""pt"")"),"#VALUE!")</f>
        <v>#VALUE!</v>
      </c>
      <c r="G9183" s="69"/>
    </row>
    <row r="9184" ht="22.5" customHeight="1">
      <c r="A9184" s="66"/>
      <c r="B9184" s="67" t="str">
        <f t="shared" si="16"/>
        <v>M: </v>
      </c>
      <c r="C9184" s="68"/>
      <c r="D9184" s="68">
        <v>46668.0</v>
      </c>
      <c r="E9184" s="66">
        <v>2.0</v>
      </c>
      <c r="F9184" s="66" t="str">
        <f>IFERROR(__xludf.DUMMYFUNCTION("GOOGLETRANSLATE(A9184,""en"",""pt"")"),"#VALUE!")</f>
        <v>#VALUE!</v>
      </c>
      <c r="G9184" s="69"/>
    </row>
    <row r="9185" ht="22.5" customHeight="1">
      <c r="A9185" s="66"/>
      <c r="B9185" s="67" t="str">
        <f t="shared" si="16"/>
        <v>M: </v>
      </c>
      <c r="C9185" s="68"/>
      <c r="D9185" s="68">
        <v>46668.0</v>
      </c>
      <c r="E9185" s="66">
        <v>3.0</v>
      </c>
      <c r="F9185" s="66" t="str">
        <f>IFERROR(__xludf.DUMMYFUNCTION("GOOGLETRANSLATE(A9185,""en"",""pt"")"),"#VALUE!")</f>
        <v>#VALUE!</v>
      </c>
      <c r="G9185" s="69"/>
    </row>
    <row r="9186" ht="22.5" customHeight="1">
      <c r="A9186" s="66"/>
      <c r="B9186" s="67" t="str">
        <f t="shared" si="16"/>
        <v>M: </v>
      </c>
      <c r="C9186" s="68"/>
      <c r="D9186" s="68">
        <v>46668.0</v>
      </c>
      <c r="E9186" s="66">
        <v>4.0</v>
      </c>
      <c r="F9186" s="66" t="str">
        <f>IFERROR(__xludf.DUMMYFUNCTION("GOOGLETRANSLATE(A9186,""en"",""pt"")"),"#VALUE!")</f>
        <v>#VALUE!</v>
      </c>
      <c r="G9186" s="69"/>
    </row>
    <row r="9187" ht="22.5" customHeight="1">
      <c r="A9187" s="66"/>
      <c r="B9187" s="67" t="str">
        <f t="shared" si="16"/>
        <v>M: </v>
      </c>
      <c r="C9187" s="68"/>
      <c r="D9187" s="68">
        <v>46668.0</v>
      </c>
      <c r="E9187" s="66">
        <v>5.0</v>
      </c>
      <c r="F9187" s="66" t="str">
        <f>IFERROR(__xludf.DUMMYFUNCTION("GOOGLETRANSLATE(A9187,""en"",""pt"")"),"#VALUE!")</f>
        <v>#VALUE!</v>
      </c>
      <c r="G9187" s="69"/>
    </row>
    <row r="9188" ht="22.5" customHeight="1">
      <c r="A9188" s="66"/>
      <c r="B9188" s="67" t="str">
        <f t="shared" si="16"/>
        <v>M: </v>
      </c>
      <c r="C9188" s="68"/>
      <c r="D9188" s="68">
        <v>46668.0</v>
      </c>
      <c r="E9188" s="66">
        <v>6.0</v>
      </c>
      <c r="F9188" s="66" t="str">
        <f>IFERROR(__xludf.DUMMYFUNCTION("GOOGLETRANSLATE(A9188,""en"",""pt"")"),"#VALUE!")</f>
        <v>#VALUE!</v>
      </c>
      <c r="G9188" s="69"/>
    </row>
    <row r="9189" ht="22.5" customHeight="1">
      <c r="A9189" s="66"/>
      <c r="B9189" s="67" t="str">
        <f t="shared" si="16"/>
        <v>M: </v>
      </c>
      <c r="C9189" s="68"/>
      <c r="D9189" s="68">
        <v>46668.0</v>
      </c>
      <c r="E9189" s="66">
        <v>7.0</v>
      </c>
      <c r="F9189" s="66" t="str">
        <f>IFERROR(__xludf.DUMMYFUNCTION("GOOGLETRANSLATE(A9189,""en"",""pt"")"),"#VALUE!")</f>
        <v>#VALUE!</v>
      </c>
      <c r="G9189" s="69"/>
    </row>
    <row r="9190" ht="22.5" customHeight="1">
      <c r="A9190" s="66"/>
      <c r="B9190" s="67" t="str">
        <f t="shared" si="16"/>
        <v>M: </v>
      </c>
      <c r="C9190" s="68"/>
      <c r="D9190" s="68">
        <v>46668.0</v>
      </c>
      <c r="E9190" s="66">
        <v>8.0</v>
      </c>
      <c r="F9190" s="66" t="str">
        <f>IFERROR(__xludf.DUMMYFUNCTION("GOOGLETRANSLATE(A9190,""en"",""pt"")"),"#VALUE!")</f>
        <v>#VALUE!</v>
      </c>
      <c r="G9190" s="69"/>
    </row>
    <row r="9191" ht="22.5" customHeight="1">
      <c r="A9191" s="66"/>
      <c r="B9191" s="67" t="str">
        <f t="shared" si="16"/>
        <v>M: </v>
      </c>
      <c r="C9191" s="68"/>
      <c r="D9191" s="68">
        <v>46668.0</v>
      </c>
      <c r="E9191" s="66">
        <v>9.0</v>
      </c>
      <c r="F9191" s="66" t="str">
        <f>IFERROR(__xludf.DUMMYFUNCTION("GOOGLETRANSLATE(A9191,""en"",""pt"")"),"#VALUE!")</f>
        <v>#VALUE!</v>
      </c>
      <c r="G9191" s="69"/>
    </row>
    <row r="9192" ht="22.5" customHeight="1">
      <c r="A9192" s="66"/>
      <c r="B9192" s="67" t="str">
        <f t="shared" si="16"/>
        <v>M: </v>
      </c>
      <c r="C9192" s="68"/>
      <c r="D9192" s="68">
        <v>46669.0</v>
      </c>
      <c r="E9192" s="66">
        <v>10.0</v>
      </c>
      <c r="F9192" s="66" t="str">
        <f>IFERROR(__xludf.DUMMYFUNCTION("GOOGLETRANSLATE(A9192,""en"",""pt"")"),"#VALUE!")</f>
        <v>#VALUE!</v>
      </c>
      <c r="G9192" s="69"/>
    </row>
    <row r="9193" ht="22.5" customHeight="1">
      <c r="A9193" s="66"/>
      <c r="B9193" s="67" t="str">
        <f t="shared" si="16"/>
        <v>M: </v>
      </c>
      <c r="C9193" s="68"/>
      <c r="D9193" s="68">
        <v>46669.0</v>
      </c>
      <c r="E9193" s="66">
        <v>1.0</v>
      </c>
      <c r="F9193" s="66" t="str">
        <f>IFERROR(__xludf.DUMMYFUNCTION("GOOGLETRANSLATE(A9193,""en"",""pt"")"),"#VALUE!")</f>
        <v>#VALUE!</v>
      </c>
      <c r="G9193" s="69"/>
    </row>
    <row r="9194" ht="22.5" customHeight="1">
      <c r="A9194" s="66"/>
      <c r="B9194" s="67" t="str">
        <f t="shared" si="16"/>
        <v>M: </v>
      </c>
      <c r="C9194" s="68"/>
      <c r="D9194" s="68">
        <v>46669.0</v>
      </c>
      <c r="E9194" s="66">
        <v>2.0</v>
      </c>
      <c r="F9194" s="66" t="str">
        <f>IFERROR(__xludf.DUMMYFUNCTION("GOOGLETRANSLATE(A9194,""en"",""pt"")"),"#VALUE!")</f>
        <v>#VALUE!</v>
      </c>
      <c r="G9194" s="69"/>
    </row>
    <row r="9195" ht="22.5" customHeight="1">
      <c r="A9195" s="66"/>
      <c r="B9195" s="67" t="str">
        <f t="shared" si="16"/>
        <v>M: </v>
      </c>
      <c r="C9195" s="68"/>
      <c r="D9195" s="68">
        <v>46669.0</v>
      </c>
      <c r="E9195" s="66">
        <v>3.0</v>
      </c>
      <c r="F9195" s="66" t="str">
        <f>IFERROR(__xludf.DUMMYFUNCTION("GOOGLETRANSLATE(A9195,""en"",""pt"")"),"#VALUE!")</f>
        <v>#VALUE!</v>
      </c>
      <c r="G9195" s="69"/>
    </row>
    <row r="9196" ht="22.5" customHeight="1">
      <c r="A9196" s="66"/>
      <c r="B9196" s="67" t="str">
        <f t="shared" si="16"/>
        <v>M: </v>
      </c>
      <c r="C9196" s="68"/>
      <c r="D9196" s="68">
        <v>46669.0</v>
      </c>
      <c r="E9196" s="66">
        <v>4.0</v>
      </c>
      <c r="F9196" s="66" t="str">
        <f>IFERROR(__xludf.DUMMYFUNCTION("GOOGLETRANSLATE(A9196,""en"",""pt"")"),"#VALUE!")</f>
        <v>#VALUE!</v>
      </c>
      <c r="G9196" s="69"/>
    </row>
    <row r="9197" ht="22.5" customHeight="1">
      <c r="A9197" s="66"/>
      <c r="B9197" s="67" t="str">
        <f t="shared" si="16"/>
        <v>M: </v>
      </c>
      <c r="C9197" s="68"/>
      <c r="D9197" s="68">
        <v>46669.0</v>
      </c>
      <c r="E9197" s="66">
        <v>5.0</v>
      </c>
      <c r="F9197" s="66" t="str">
        <f>IFERROR(__xludf.DUMMYFUNCTION("GOOGLETRANSLATE(A9197,""en"",""pt"")"),"#VALUE!")</f>
        <v>#VALUE!</v>
      </c>
      <c r="G9197" s="69"/>
    </row>
    <row r="9198" ht="22.5" customHeight="1">
      <c r="A9198" s="66"/>
      <c r="B9198" s="67" t="str">
        <f t="shared" si="16"/>
        <v>M: </v>
      </c>
      <c r="C9198" s="68"/>
      <c r="D9198" s="68">
        <v>46669.0</v>
      </c>
      <c r="E9198" s="66">
        <v>6.0</v>
      </c>
      <c r="F9198" s="66" t="str">
        <f>IFERROR(__xludf.DUMMYFUNCTION("GOOGLETRANSLATE(A9198,""en"",""pt"")"),"#VALUE!")</f>
        <v>#VALUE!</v>
      </c>
      <c r="G9198" s="69"/>
    </row>
    <row r="9199" ht="22.5" customHeight="1">
      <c r="A9199" s="66"/>
      <c r="B9199" s="67" t="str">
        <f t="shared" si="16"/>
        <v>M: </v>
      </c>
      <c r="C9199" s="68"/>
      <c r="D9199" s="68">
        <v>46669.0</v>
      </c>
      <c r="E9199" s="66">
        <v>7.0</v>
      </c>
      <c r="F9199" s="66" t="str">
        <f>IFERROR(__xludf.DUMMYFUNCTION("GOOGLETRANSLATE(A9199,""en"",""pt"")"),"#VALUE!")</f>
        <v>#VALUE!</v>
      </c>
      <c r="G9199" s="69"/>
    </row>
    <row r="9200" ht="22.5" customHeight="1">
      <c r="A9200" s="66"/>
      <c r="B9200" s="67" t="str">
        <f t="shared" si="16"/>
        <v>M: </v>
      </c>
      <c r="C9200" s="68"/>
      <c r="D9200" s="68">
        <v>46669.0</v>
      </c>
      <c r="E9200" s="66">
        <v>8.0</v>
      </c>
      <c r="F9200" s="66" t="str">
        <f>IFERROR(__xludf.DUMMYFUNCTION("GOOGLETRANSLATE(A9200,""en"",""pt"")"),"#VALUE!")</f>
        <v>#VALUE!</v>
      </c>
      <c r="G9200" s="69"/>
    </row>
    <row r="9201" ht="22.5" customHeight="1">
      <c r="A9201" s="66"/>
      <c r="B9201" s="67" t="str">
        <f t="shared" si="16"/>
        <v>M: </v>
      </c>
      <c r="C9201" s="68"/>
      <c r="D9201" s="68">
        <v>46669.0</v>
      </c>
      <c r="E9201" s="66">
        <v>9.0</v>
      </c>
      <c r="F9201" s="66" t="str">
        <f>IFERROR(__xludf.DUMMYFUNCTION("GOOGLETRANSLATE(A9201,""en"",""pt"")"),"#VALUE!")</f>
        <v>#VALUE!</v>
      </c>
      <c r="G9201" s="69"/>
    </row>
    <row r="9202" ht="22.5" customHeight="1">
      <c r="A9202" s="66"/>
      <c r="B9202" s="67" t="str">
        <f t="shared" si="16"/>
        <v>M: </v>
      </c>
      <c r="C9202" s="68"/>
      <c r="D9202" s="68">
        <v>46670.0</v>
      </c>
      <c r="E9202" s="66">
        <v>10.0</v>
      </c>
      <c r="F9202" s="66" t="str">
        <f>IFERROR(__xludf.DUMMYFUNCTION("GOOGLETRANSLATE(A9202,""en"",""pt"")"),"#VALUE!")</f>
        <v>#VALUE!</v>
      </c>
      <c r="G9202" s="69"/>
    </row>
    <row r="9203" ht="22.5" customHeight="1">
      <c r="A9203" s="66"/>
      <c r="B9203" s="67" t="str">
        <f t="shared" si="16"/>
        <v>M: </v>
      </c>
      <c r="C9203" s="68"/>
      <c r="D9203" s="68">
        <v>46670.0</v>
      </c>
      <c r="E9203" s="66">
        <v>1.0</v>
      </c>
      <c r="F9203" s="66" t="str">
        <f>IFERROR(__xludf.DUMMYFUNCTION("GOOGLETRANSLATE(A9203,""en"",""pt"")"),"#VALUE!")</f>
        <v>#VALUE!</v>
      </c>
      <c r="G9203" s="69"/>
    </row>
    <row r="9204" ht="22.5" customHeight="1">
      <c r="A9204" s="66"/>
      <c r="B9204" s="67" t="str">
        <f t="shared" si="16"/>
        <v>M: </v>
      </c>
      <c r="C9204" s="68"/>
      <c r="D9204" s="68">
        <v>46670.0</v>
      </c>
      <c r="E9204" s="66">
        <v>2.0</v>
      </c>
      <c r="F9204" s="66" t="str">
        <f>IFERROR(__xludf.DUMMYFUNCTION("GOOGLETRANSLATE(A9204,""en"",""pt"")"),"#VALUE!")</f>
        <v>#VALUE!</v>
      </c>
      <c r="G9204" s="69"/>
    </row>
    <row r="9205" ht="22.5" customHeight="1">
      <c r="A9205" s="66"/>
      <c r="B9205" s="67" t="str">
        <f t="shared" si="16"/>
        <v>M: </v>
      </c>
      <c r="C9205" s="68"/>
      <c r="D9205" s="68">
        <v>46670.0</v>
      </c>
      <c r="E9205" s="66">
        <v>3.0</v>
      </c>
      <c r="F9205" s="66" t="str">
        <f>IFERROR(__xludf.DUMMYFUNCTION("GOOGLETRANSLATE(A9205,""en"",""pt"")"),"#VALUE!")</f>
        <v>#VALUE!</v>
      </c>
      <c r="G9205" s="69"/>
    </row>
    <row r="9206" ht="22.5" customHeight="1">
      <c r="A9206" s="66"/>
      <c r="B9206" s="67" t="str">
        <f t="shared" si="16"/>
        <v>M: </v>
      </c>
      <c r="C9206" s="68"/>
      <c r="D9206" s="68">
        <v>46670.0</v>
      </c>
      <c r="E9206" s="66">
        <v>4.0</v>
      </c>
      <c r="F9206" s="66" t="str">
        <f>IFERROR(__xludf.DUMMYFUNCTION("GOOGLETRANSLATE(A9206,""en"",""pt"")"),"#VALUE!")</f>
        <v>#VALUE!</v>
      </c>
      <c r="G9206" s="69"/>
    </row>
    <row r="9207" ht="22.5" customHeight="1">
      <c r="A9207" s="66"/>
      <c r="B9207" s="67" t="str">
        <f t="shared" si="16"/>
        <v>M: </v>
      </c>
      <c r="C9207" s="68"/>
      <c r="D9207" s="68">
        <v>46670.0</v>
      </c>
      <c r="E9207" s="66">
        <v>5.0</v>
      </c>
      <c r="F9207" s="66" t="str">
        <f>IFERROR(__xludf.DUMMYFUNCTION("GOOGLETRANSLATE(A9207,""en"",""pt"")"),"#VALUE!")</f>
        <v>#VALUE!</v>
      </c>
      <c r="G9207" s="69"/>
    </row>
    <row r="9208" ht="22.5" customHeight="1">
      <c r="A9208" s="66"/>
      <c r="B9208" s="67" t="str">
        <f t="shared" si="16"/>
        <v>M: </v>
      </c>
      <c r="C9208" s="68"/>
      <c r="D9208" s="68">
        <v>46670.0</v>
      </c>
      <c r="E9208" s="66">
        <v>6.0</v>
      </c>
      <c r="F9208" s="66" t="str">
        <f>IFERROR(__xludf.DUMMYFUNCTION("GOOGLETRANSLATE(A9208,""en"",""pt"")"),"#VALUE!")</f>
        <v>#VALUE!</v>
      </c>
      <c r="G9208" s="69"/>
    </row>
    <row r="9209" ht="22.5" customHeight="1">
      <c r="A9209" s="66"/>
      <c r="B9209" s="67" t="str">
        <f t="shared" si="16"/>
        <v>M: </v>
      </c>
      <c r="C9209" s="68"/>
      <c r="D9209" s="68">
        <v>46670.0</v>
      </c>
      <c r="E9209" s="66">
        <v>7.0</v>
      </c>
      <c r="F9209" s="66" t="str">
        <f>IFERROR(__xludf.DUMMYFUNCTION("GOOGLETRANSLATE(A9209,""en"",""pt"")"),"#VALUE!")</f>
        <v>#VALUE!</v>
      </c>
      <c r="G9209" s="69"/>
    </row>
    <row r="9210" ht="22.5" customHeight="1">
      <c r="A9210" s="66"/>
      <c r="B9210" s="67" t="str">
        <f t="shared" si="16"/>
        <v>M: </v>
      </c>
      <c r="C9210" s="68"/>
      <c r="D9210" s="68">
        <v>46670.0</v>
      </c>
      <c r="E9210" s="66">
        <v>8.0</v>
      </c>
      <c r="F9210" s="66" t="str">
        <f>IFERROR(__xludf.DUMMYFUNCTION("GOOGLETRANSLATE(A9210,""en"",""pt"")"),"#VALUE!")</f>
        <v>#VALUE!</v>
      </c>
      <c r="G9210" s="69"/>
    </row>
    <row r="9211" ht="22.5" customHeight="1">
      <c r="A9211" s="66"/>
      <c r="B9211" s="67" t="str">
        <f t="shared" si="16"/>
        <v>M: </v>
      </c>
      <c r="C9211" s="68"/>
      <c r="D9211" s="68">
        <v>46670.0</v>
      </c>
      <c r="E9211" s="66">
        <v>9.0</v>
      </c>
      <c r="F9211" s="66" t="str">
        <f>IFERROR(__xludf.DUMMYFUNCTION("GOOGLETRANSLATE(A9211,""en"",""pt"")"),"#VALUE!")</f>
        <v>#VALUE!</v>
      </c>
      <c r="G9211" s="69"/>
    </row>
    <row r="9212" ht="22.5" customHeight="1">
      <c r="A9212" s="66"/>
      <c r="B9212" s="67" t="str">
        <f t="shared" si="16"/>
        <v>M: </v>
      </c>
      <c r="C9212" s="68"/>
      <c r="D9212" s="68">
        <v>46671.0</v>
      </c>
      <c r="E9212" s="66">
        <v>10.0</v>
      </c>
      <c r="F9212" s="66" t="str">
        <f>IFERROR(__xludf.DUMMYFUNCTION("GOOGLETRANSLATE(A9212,""en"",""pt"")"),"#VALUE!")</f>
        <v>#VALUE!</v>
      </c>
      <c r="G9212" s="69"/>
    </row>
    <row r="9213" ht="22.5" customHeight="1">
      <c r="A9213" s="66"/>
      <c r="B9213" s="67" t="str">
        <f t="shared" si="16"/>
        <v>M: </v>
      </c>
      <c r="C9213" s="68"/>
      <c r="D9213" s="68">
        <v>46671.0</v>
      </c>
      <c r="E9213" s="66">
        <v>1.0</v>
      </c>
      <c r="F9213" s="66" t="str">
        <f>IFERROR(__xludf.DUMMYFUNCTION("GOOGLETRANSLATE(A9213,""en"",""pt"")"),"#VALUE!")</f>
        <v>#VALUE!</v>
      </c>
      <c r="G9213" s="69"/>
    </row>
    <row r="9214" ht="22.5" customHeight="1">
      <c r="A9214" s="66"/>
      <c r="B9214" s="67" t="str">
        <f t="shared" si="16"/>
        <v>M: </v>
      </c>
      <c r="C9214" s="68"/>
      <c r="D9214" s="68">
        <v>46671.0</v>
      </c>
      <c r="E9214" s="66">
        <v>2.0</v>
      </c>
      <c r="F9214" s="66" t="str">
        <f>IFERROR(__xludf.DUMMYFUNCTION("GOOGLETRANSLATE(A9214,""en"",""pt"")"),"#VALUE!")</f>
        <v>#VALUE!</v>
      </c>
      <c r="G9214" s="69"/>
    </row>
    <row r="9215" ht="22.5" customHeight="1">
      <c r="A9215" s="66"/>
      <c r="B9215" s="67" t="str">
        <f t="shared" si="16"/>
        <v>M: </v>
      </c>
      <c r="C9215" s="68"/>
      <c r="D9215" s="68">
        <v>46671.0</v>
      </c>
      <c r="E9215" s="66">
        <v>3.0</v>
      </c>
      <c r="F9215" s="66" t="str">
        <f>IFERROR(__xludf.DUMMYFUNCTION("GOOGLETRANSLATE(A9215,""en"",""pt"")"),"#VALUE!")</f>
        <v>#VALUE!</v>
      </c>
      <c r="G9215" s="69"/>
    </row>
    <row r="9216" ht="22.5" customHeight="1">
      <c r="A9216" s="66"/>
      <c r="B9216" s="67" t="str">
        <f t="shared" si="16"/>
        <v>M: </v>
      </c>
      <c r="C9216" s="68"/>
      <c r="D9216" s="68">
        <v>46671.0</v>
      </c>
      <c r="E9216" s="66">
        <v>4.0</v>
      </c>
      <c r="F9216" s="66" t="str">
        <f>IFERROR(__xludf.DUMMYFUNCTION("GOOGLETRANSLATE(A9216,""en"",""pt"")"),"#VALUE!")</f>
        <v>#VALUE!</v>
      </c>
      <c r="G9216" s="69"/>
    </row>
    <row r="9217" ht="22.5" customHeight="1">
      <c r="A9217" s="66"/>
      <c r="B9217" s="67" t="str">
        <f t="shared" si="16"/>
        <v>M: </v>
      </c>
      <c r="C9217" s="68"/>
      <c r="D9217" s="68">
        <v>46671.0</v>
      </c>
      <c r="E9217" s="66">
        <v>5.0</v>
      </c>
      <c r="F9217" s="66" t="str">
        <f>IFERROR(__xludf.DUMMYFUNCTION("GOOGLETRANSLATE(A9217,""en"",""pt"")"),"#VALUE!")</f>
        <v>#VALUE!</v>
      </c>
      <c r="G9217" s="69"/>
    </row>
    <row r="9218" ht="22.5" customHeight="1">
      <c r="A9218" s="66"/>
      <c r="B9218" s="67" t="str">
        <f t="shared" si="16"/>
        <v>M: </v>
      </c>
      <c r="C9218" s="68"/>
      <c r="D9218" s="68">
        <v>46671.0</v>
      </c>
      <c r="E9218" s="66">
        <v>6.0</v>
      </c>
      <c r="F9218" s="66" t="str">
        <f>IFERROR(__xludf.DUMMYFUNCTION("GOOGLETRANSLATE(A9218,""en"",""pt"")"),"#VALUE!")</f>
        <v>#VALUE!</v>
      </c>
      <c r="G9218" s="69"/>
    </row>
    <row r="9219" ht="22.5" customHeight="1">
      <c r="A9219" s="66"/>
      <c r="B9219" s="67" t="str">
        <f t="shared" si="16"/>
        <v>M: </v>
      </c>
      <c r="C9219" s="68"/>
      <c r="D9219" s="68">
        <v>46671.0</v>
      </c>
      <c r="E9219" s="66">
        <v>7.0</v>
      </c>
      <c r="F9219" s="66" t="str">
        <f>IFERROR(__xludf.DUMMYFUNCTION("GOOGLETRANSLATE(A9219,""en"",""pt"")"),"#VALUE!")</f>
        <v>#VALUE!</v>
      </c>
      <c r="G9219" s="69"/>
    </row>
    <row r="9220" ht="22.5" customHeight="1">
      <c r="A9220" s="66"/>
      <c r="B9220" s="67" t="str">
        <f t="shared" si="16"/>
        <v>M: </v>
      </c>
      <c r="C9220" s="68"/>
      <c r="D9220" s="68">
        <v>46671.0</v>
      </c>
      <c r="E9220" s="66">
        <v>8.0</v>
      </c>
      <c r="F9220" s="66" t="str">
        <f>IFERROR(__xludf.DUMMYFUNCTION("GOOGLETRANSLATE(A9220,""en"",""pt"")"),"#VALUE!")</f>
        <v>#VALUE!</v>
      </c>
      <c r="G9220" s="69"/>
    </row>
    <row r="9221" ht="22.5" customHeight="1">
      <c r="A9221" s="66"/>
      <c r="B9221" s="67" t="str">
        <f t="shared" si="16"/>
        <v>M: </v>
      </c>
      <c r="C9221" s="68"/>
      <c r="D9221" s="68">
        <v>46671.0</v>
      </c>
      <c r="E9221" s="66">
        <v>9.0</v>
      </c>
      <c r="F9221" s="66" t="str">
        <f>IFERROR(__xludf.DUMMYFUNCTION("GOOGLETRANSLATE(A9221,""en"",""pt"")"),"#VALUE!")</f>
        <v>#VALUE!</v>
      </c>
      <c r="G9221" s="69"/>
    </row>
    <row r="9222" ht="22.5" customHeight="1">
      <c r="A9222" s="66"/>
      <c r="B9222" s="67" t="str">
        <f t="shared" si="16"/>
        <v>M: </v>
      </c>
      <c r="C9222" s="68"/>
      <c r="D9222" s="68">
        <v>46672.0</v>
      </c>
      <c r="E9222" s="66">
        <v>10.0</v>
      </c>
      <c r="F9222" s="66" t="str">
        <f>IFERROR(__xludf.DUMMYFUNCTION("GOOGLETRANSLATE(A9222,""en"",""pt"")"),"#VALUE!")</f>
        <v>#VALUE!</v>
      </c>
      <c r="G9222" s="69"/>
    </row>
    <row r="9223" ht="22.5" customHeight="1">
      <c r="A9223" s="66"/>
      <c r="B9223" s="67" t="str">
        <f t="shared" si="16"/>
        <v>M: </v>
      </c>
      <c r="C9223" s="68"/>
      <c r="D9223" s="68">
        <v>46672.0</v>
      </c>
      <c r="E9223" s="66">
        <v>1.0</v>
      </c>
      <c r="F9223" s="66" t="str">
        <f>IFERROR(__xludf.DUMMYFUNCTION("GOOGLETRANSLATE(A9223,""en"",""pt"")"),"#VALUE!")</f>
        <v>#VALUE!</v>
      </c>
      <c r="G9223" s="69"/>
    </row>
    <row r="9224" ht="22.5" customHeight="1">
      <c r="A9224" s="66"/>
      <c r="B9224" s="67" t="str">
        <f t="shared" si="16"/>
        <v>M: </v>
      </c>
      <c r="C9224" s="68"/>
      <c r="D9224" s="68">
        <v>46672.0</v>
      </c>
      <c r="E9224" s="66">
        <v>2.0</v>
      </c>
      <c r="F9224" s="66" t="str">
        <f>IFERROR(__xludf.DUMMYFUNCTION("GOOGLETRANSLATE(A9224,""en"",""pt"")"),"#VALUE!")</f>
        <v>#VALUE!</v>
      </c>
      <c r="G9224" s="69"/>
    </row>
    <row r="9225" ht="22.5" customHeight="1">
      <c r="A9225" s="66"/>
      <c r="B9225" s="67" t="str">
        <f t="shared" si="16"/>
        <v>M: </v>
      </c>
      <c r="C9225" s="68"/>
      <c r="D9225" s="68">
        <v>46672.0</v>
      </c>
      <c r="E9225" s="66">
        <v>3.0</v>
      </c>
      <c r="F9225" s="66" t="str">
        <f>IFERROR(__xludf.DUMMYFUNCTION("GOOGLETRANSLATE(A9225,""en"",""pt"")"),"#VALUE!")</f>
        <v>#VALUE!</v>
      </c>
      <c r="G9225" s="69"/>
    </row>
    <row r="9226" ht="22.5" customHeight="1">
      <c r="A9226" s="66"/>
      <c r="B9226" s="67" t="str">
        <f t="shared" si="16"/>
        <v>M: </v>
      </c>
      <c r="C9226" s="68"/>
      <c r="D9226" s="68">
        <v>46672.0</v>
      </c>
      <c r="E9226" s="66">
        <v>4.0</v>
      </c>
      <c r="F9226" s="66" t="str">
        <f>IFERROR(__xludf.DUMMYFUNCTION("GOOGLETRANSLATE(A9226,""en"",""pt"")"),"#VALUE!")</f>
        <v>#VALUE!</v>
      </c>
      <c r="G9226" s="69"/>
    </row>
    <row r="9227" ht="22.5" customHeight="1">
      <c r="A9227" s="66"/>
      <c r="B9227" s="67" t="str">
        <f t="shared" si="16"/>
        <v>M: </v>
      </c>
      <c r="C9227" s="68"/>
      <c r="D9227" s="68">
        <v>46672.0</v>
      </c>
      <c r="E9227" s="66">
        <v>5.0</v>
      </c>
      <c r="F9227" s="66" t="str">
        <f>IFERROR(__xludf.DUMMYFUNCTION("GOOGLETRANSLATE(A9227,""en"",""pt"")"),"#VALUE!")</f>
        <v>#VALUE!</v>
      </c>
      <c r="G9227" s="69"/>
    </row>
    <row r="9228" ht="22.5" customHeight="1">
      <c r="A9228" s="66"/>
      <c r="B9228" s="67" t="str">
        <f t="shared" si="16"/>
        <v>M: </v>
      </c>
      <c r="C9228" s="68"/>
      <c r="D9228" s="68">
        <v>46672.0</v>
      </c>
      <c r="E9228" s="66">
        <v>6.0</v>
      </c>
      <c r="F9228" s="66" t="str">
        <f>IFERROR(__xludf.DUMMYFUNCTION("GOOGLETRANSLATE(A9228,""en"",""pt"")"),"#VALUE!")</f>
        <v>#VALUE!</v>
      </c>
      <c r="G9228" s="69"/>
    </row>
    <row r="9229" ht="22.5" customHeight="1">
      <c r="A9229" s="66"/>
      <c r="B9229" s="67" t="str">
        <f t="shared" si="16"/>
        <v>M: </v>
      </c>
      <c r="C9229" s="68"/>
      <c r="D9229" s="68">
        <v>46672.0</v>
      </c>
      <c r="E9229" s="66">
        <v>7.0</v>
      </c>
      <c r="F9229" s="66" t="str">
        <f>IFERROR(__xludf.DUMMYFUNCTION("GOOGLETRANSLATE(A9229,""en"",""pt"")"),"#VALUE!")</f>
        <v>#VALUE!</v>
      </c>
      <c r="G9229" s="69"/>
    </row>
    <row r="9230" ht="22.5" customHeight="1">
      <c r="A9230" s="66"/>
      <c r="B9230" s="67" t="str">
        <f t="shared" si="16"/>
        <v>M: </v>
      </c>
      <c r="C9230" s="68"/>
      <c r="D9230" s="68">
        <v>46672.0</v>
      </c>
      <c r="E9230" s="66">
        <v>8.0</v>
      </c>
      <c r="F9230" s="66" t="str">
        <f>IFERROR(__xludf.DUMMYFUNCTION("GOOGLETRANSLATE(A9230,""en"",""pt"")"),"#VALUE!")</f>
        <v>#VALUE!</v>
      </c>
      <c r="G9230" s="69"/>
    </row>
    <row r="9231" ht="22.5" customHeight="1">
      <c r="A9231" s="66"/>
      <c r="B9231" s="67" t="str">
        <f t="shared" si="16"/>
        <v>M: </v>
      </c>
      <c r="C9231" s="68"/>
      <c r="D9231" s="68">
        <v>46672.0</v>
      </c>
      <c r="E9231" s="66">
        <v>9.0</v>
      </c>
      <c r="F9231" s="66" t="str">
        <f>IFERROR(__xludf.DUMMYFUNCTION("GOOGLETRANSLATE(A9231,""en"",""pt"")"),"#VALUE!")</f>
        <v>#VALUE!</v>
      </c>
      <c r="G9231" s="69"/>
    </row>
    <row r="9232" ht="22.5" customHeight="1">
      <c r="A9232" s="66"/>
      <c r="B9232" s="67" t="str">
        <f t="shared" si="16"/>
        <v>M: </v>
      </c>
      <c r="C9232" s="68"/>
      <c r="D9232" s="68">
        <v>46673.0</v>
      </c>
      <c r="E9232" s="66">
        <v>10.0</v>
      </c>
      <c r="F9232" s="66" t="str">
        <f>IFERROR(__xludf.DUMMYFUNCTION("GOOGLETRANSLATE(A9232,""en"",""pt"")"),"#VALUE!")</f>
        <v>#VALUE!</v>
      </c>
      <c r="G9232" s="69"/>
    </row>
    <row r="9233" ht="22.5" customHeight="1">
      <c r="A9233" s="66"/>
      <c r="B9233" s="67" t="str">
        <f t="shared" si="16"/>
        <v>M: </v>
      </c>
      <c r="C9233" s="68"/>
      <c r="D9233" s="68">
        <v>46673.0</v>
      </c>
      <c r="E9233" s="66">
        <v>1.0</v>
      </c>
      <c r="F9233" s="66" t="str">
        <f>IFERROR(__xludf.DUMMYFUNCTION("GOOGLETRANSLATE(A9233,""en"",""pt"")"),"#VALUE!")</f>
        <v>#VALUE!</v>
      </c>
      <c r="G9233" s="69"/>
    </row>
    <row r="9234" ht="22.5" customHeight="1">
      <c r="A9234" s="66"/>
      <c r="B9234" s="67" t="str">
        <f t="shared" si="16"/>
        <v>M: </v>
      </c>
      <c r="C9234" s="68"/>
      <c r="D9234" s="68">
        <v>46673.0</v>
      </c>
      <c r="E9234" s="66">
        <v>2.0</v>
      </c>
      <c r="F9234" s="66" t="str">
        <f>IFERROR(__xludf.DUMMYFUNCTION("GOOGLETRANSLATE(A9234,""en"",""pt"")"),"#VALUE!")</f>
        <v>#VALUE!</v>
      </c>
      <c r="G9234" s="69"/>
    </row>
    <row r="9235" ht="22.5" customHeight="1">
      <c r="A9235" s="66"/>
      <c r="B9235" s="67" t="str">
        <f t="shared" si="16"/>
        <v>M: </v>
      </c>
      <c r="C9235" s="68"/>
      <c r="D9235" s="68">
        <v>46673.0</v>
      </c>
      <c r="E9235" s="66">
        <v>3.0</v>
      </c>
      <c r="F9235" s="66" t="str">
        <f>IFERROR(__xludf.DUMMYFUNCTION("GOOGLETRANSLATE(A9235,""en"",""pt"")"),"#VALUE!")</f>
        <v>#VALUE!</v>
      </c>
      <c r="G9235" s="69"/>
    </row>
    <row r="9236" ht="22.5" customHeight="1">
      <c r="A9236" s="66"/>
      <c r="B9236" s="67" t="str">
        <f t="shared" si="16"/>
        <v>M: </v>
      </c>
      <c r="C9236" s="68"/>
      <c r="D9236" s="68">
        <v>46673.0</v>
      </c>
      <c r="E9236" s="66">
        <v>4.0</v>
      </c>
      <c r="F9236" s="66" t="str">
        <f>IFERROR(__xludf.DUMMYFUNCTION("GOOGLETRANSLATE(A9236,""en"",""pt"")"),"#VALUE!")</f>
        <v>#VALUE!</v>
      </c>
      <c r="G9236" s="69"/>
    </row>
    <row r="9237" ht="22.5" customHeight="1">
      <c r="A9237" s="66"/>
      <c r="B9237" s="67" t="str">
        <f t="shared" si="16"/>
        <v>M: </v>
      </c>
      <c r="C9237" s="68"/>
      <c r="D9237" s="68">
        <v>46673.0</v>
      </c>
      <c r="E9237" s="66">
        <v>5.0</v>
      </c>
      <c r="F9237" s="66" t="str">
        <f>IFERROR(__xludf.DUMMYFUNCTION("GOOGLETRANSLATE(A9237,""en"",""pt"")"),"#VALUE!")</f>
        <v>#VALUE!</v>
      </c>
      <c r="G9237" s="69"/>
    </row>
    <row r="9238" ht="22.5" customHeight="1">
      <c r="A9238" s="66"/>
      <c r="B9238" s="67" t="str">
        <f t="shared" si="16"/>
        <v>M: </v>
      </c>
      <c r="C9238" s="68"/>
      <c r="D9238" s="68">
        <v>46673.0</v>
      </c>
      <c r="E9238" s="66">
        <v>6.0</v>
      </c>
      <c r="F9238" s="66" t="str">
        <f>IFERROR(__xludf.DUMMYFUNCTION("GOOGLETRANSLATE(A9238,""en"",""pt"")"),"#VALUE!")</f>
        <v>#VALUE!</v>
      </c>
      <c r="G9238" s="69"/>
    </row>
    <row r="9239" ht="22.5" customHeight="1">
      <c r="A9239" s="66"/>
      <c r="B9239" s="67" t="str">
        <f t="shared" si="16"/>
        <v>M: </v>
      </c>
      <c r="C9239" s="68"/>
      <c r="D9239" s="68">
        <v>46673.0</v>
      </c>
      <c r="E9239" s="66">
        <v>7.0</v>
      </c>
      <c r="F9239" s="66" t="str">
        <f>IFERROR(__xludf.DUMMYFUNCTION("GOOGLETRANSLATE(A9239,""en"",""pt"")"),"#VALUE!")</f>
        <v>#VALUE!</v>
      </c>
      <c r="G9239" s="69"/>
    </row>
    <row r="9240" ht="22.5" customHeight="1">
      <c r="A9240" s="66"/>
      <c r="B9240" s="67" t="str">
        <f t="shared" si="16"/>
        <v>M: </v>
      </c>
      <c r="C9240" s="68"/>
      <c r="D9240" s="68">
        <v>46673.0</v>
      </c>
      <c r="E9240" s="66">
        <v>8.0</v>
      </c>
      <c r="F9240" s="66" t="str">
        <f>IFERROR(__xludf.DUMMYFUNCTION("GOOGLETRANSLATE(A9240,""en"",""pt"")"),"#VALUE!")</f>
        <v>#VALUE!</v>
      </c>
      <c r="G9240" s="69"/>
    </row>
    <row r="9241" ht="22.5" customHeight="1">
      <c r="A9241" s="66"/>
      <c r="B9241" s="67" t="str">
        <f t="shared" si="16"/>
        <v>M: </v>
      </c>
      <c r="C9241" s="68"/>
      <c r="D9241" s="68">
        <v>46673.0</v>
      </c>
      <c r="E9241" s="66">
        <v>9.0</v>
      </c>
      <c r="F9241" s="66" t="str">
        <f>IFERROR(__xludf.DUMMYFUNCTION("GOOGLETRANSLATE(A9241,""en"",""pt"")"),"#VALUE!")</f>
        <v>#VALUE!</v>
      </c>
      <c r="G9241" s="69"/>
    </row>
    <row r="9242" ht="22.5" customHeight="1">
      <c r="A9242" s="66"/>
      <c r="B9242" s="67" t="str">
        <f t="shared" si="16"/>
        <v>M: </v>
      </c>
      <c r="C9242" s="68"/>
      <c r="D9242" s="68">
        <v>46674.0</v>
      </c>
      <c r="E9242" s="66">
        <v>10.0</v>
      </c>
      <c r="F9242" s="66" t="str">
        <f>IFERROR(__xludf.DUMMYFUNCTION("GOOGLETRANSLATE(A9242,""en"",""pt"")"),"#VALUE!")</f>
        <v>#VALUE!</v>
      </c>
      <c r="G9242" s="69"/>
    </row>
    <row r="9243" ht="22.5" customHeight="1">
      <c r="A9243" s="66"/>
      <c r="B9243" s="67" t="str">
        <f t="shared" si="16"/>
        <v>M: </v>
      </c>
      <c r="C9243" s="68"/>
      <c r="D9243" s="68">
        <v>46674.0</v>
      </c>
      <c r="E9243" s="66">
        <v>1.0</v>
      </c>
      <c r="F9243" s="66" t="str">
        <f>IFERROR(__xludf.DUMMYFUNCTION("GOOGLETRANSLATE(A9243,""en"",""pt"")"),"#VALUE!")</f>
        <v>#VALUE!</v>
      </c>
      <c r="G9243" s="69"/>
    </row>
    <row r="9244" ht="22.5" customHeight="1">
      <c r="A9244" s="66"/>
      <c r="B9244" s="67" t="str">
        <f t="shared" si="16"/>
        <v>M: </v>
      </c>
      <c r="C9244" s="68"/>
      <c r="D9244" s="68">
        <v>46674.0</v>
      </c>
      <c r="E9244" s="66">
        <v>2.0</v>
      </c>
      <c r="F9244" s="66" t="str">
        <f>IFERROR(__xludf.DUMMYFUNCTION("GOOGLETRANSLATE(A9244,""en"",""pt"")"),"#VALUE!")</f>
        <v>#VALUE!</v>
      </c>
      <c r="G9244" s="69"/>
    </row>
    <row r="9245" ht="22.5" customHeight="1">
      <c r="A9245" s="66"/>
      <c r="B9245" s="67" t="str">
        <f t="shared" si="16"/>
        <v>M: </v>
      </c>
      <c r="C9245" s="68"/>
      <c r="D9245" s="68">
        <v>46674.0</v>
      </c>
      <c r="E9245" s="66">
        <v>3.0</v>
      </c>
      <c r="F9245" s="66" t="str">
        <f>IFERROR(__xludf.DUMMYFUNCTION("GOOGLETRANSLATE(A9245,""en"",""pt"")"),"#VALUE!")</f>
        <v>#VALUE!</v>
      </c>
      <c r="G9245" s="69"/>
    </row>
    <row r="9246" ht="22.5" customHeight="1">
      <c r="A9246" s="66"/>
      <c r="B9246" s="67" t="str">
        <f t="shared" si="16"/>
        <v>M: </v>
      </c>
      <c r="C9246" s="68"/>
      <c r="D9246" s="68">
        <v>46674.0</v>
      </c>
      <c r="E9246" s="66">
        <v>4.0</v>
      </c>
      <c r="F9246" s="66" t="str">
        <f>IFERROR(__xludf.DUMMYFUNCTION("GOOGLETRANSLATE(A9246,""en"",""pt"")"),"#VALUE!")</f>
        <v>#VALUE!</v>
      </c>
      <c r="G9246" s="69"/>
    </row>
    <row r="9247" ht="22.5" customHeight="1">
      <c r="A9247" s="66"/>
      <c r="B9247" s="67" t="str">
        <f t="shared" si="16"/>
        <v>M: </v>
      </c>
      <c r="C9247" s="68"/>
      <c r="D9247" s="68">
        <v>46674.0</v>
      </c>
      <c r="E9247" s="66">
        <v>5.0</v>
      </c>
      <c r="F9247" s="66" t="str">
        <f>IFERROR(__xludf.DUMMYFUNCTION("GOOGLETRANSLATE(A9247,""en"",""pt"")"),"#VALUE!")</f>
        <v>#VALUE!</v>
      </c>
      <c r="G9247" s="69"/>
    </row>
    <row r="9248" ht="22.5" customHeight="1">
      <c r="A9248" s="66"/>
      <c r="B9248" s="67" t="str">
        <f t="shared" si="16"/>
        <v>M: </v>
      </c>
      <c r="C9248" s="68"/>
      <c r="D9248" s="68">
        <v>46674.0</v>
      </c>
      <c r="E9248" s="66">
        <v>6.0</v>
      </c>
      <c r="F9248" s="66" t="str">
        <f>IFERROR(__xludf.DUMMYFUNCTION("GOOGLETRANSLATE(A9248,""en"",""pt"")"),"#VALUE!")</f>
        <v>#VALUE!</v>
      </c>
      <c r="G9248" s="69"/>
    </row>
    <row r="9249" ht="22.5" customHeight="1">
      <c r="A9249" s="66"/>
      <c r="B9249" s="67" t="str">
        <f t="shared" si="16"/>
        <v>M: </v>
      </c>
      <c r="C9249" s="68"/>
      <c r="D9249" s="68">
        <v>46674.0</v>
      </c>
      <c r="E9249" s="66">
        <v>7.0</v>
      </c>
      <c r="F9249" s="66" t="str">
        <f>IFERROR(__xludf.DUMMYFUNCTION("GOOGLETRANSLATE(A9249,""en"",""pt"")"),"#VALUE!")</f>
        <v>#VALUE!</v>
      </c>
      <c r="G9249" s="69"/>
    </row>
    <row r="9250" ht="22.5" customHeight="1">
      <c r="A9250" s="66"/>
      <c r="B9250" s="67" t="str">
        <f t="shared" si="16"/>
        <v>M: </v>
      </c>
      <c r="C9250" s="68"/>
      <c r="D9250" s="68">
        <v>46674.0</v>
      </c>
      <c r="E9250" s="66">
        <v>8.0</v>
      </c>
      <c r="F9250" s="66" t="str">
        <f>IFERROR(__xludf.DUMMYFUNCTION("GOOGLETRANSLATE(A9250,""en"",""pt"")"),"#VALUE!")</f>
        <v>#VALUE!</v>
      </c>
      <c r="G9250" s="69"/>
    </row>
    <row r="9251" ht="22.5" customHeight="1">
      <c r="A9251" s="66"/>
      <c r="B9251" s="67" t="str">
        <f t="shared" si="16"/>
        <v>M: </v>
      </c>
      <c r="C9251" s="68"/>
      <c r="D9251" s="68">
        <v>46674.0</v>
      </c>
      <c r="E9251" s="66">
        <v>9.0</v>
      </c>
      <c r="F9251" s="66" t="str">
        <f>IFERROR(__xludf.DUMMYFUNCTION("GOOGLETRANSLATE(A9251,""en"",""pt"")"),"#VALUE!")</f>
        <v>#VALUE!</v>
      </c>
      <c r="G9251" s="69"/>
    </row>
    <row r="9252" ht="22.5" customHeight="1">
      <c r="A9252" s="66"/>
      <c r="B9252" s="67" t="str">
        <f t="shared" si="16"/>
        <v>M: </v>
      </c>
      <c r="C9252" s="68"/>
      <c r="D9252" s="68">
        <v>46675.0</v>
      </c>
      <c r="E9252" s="66">
        <v>10.0</v>
      </c>
      <c r="F9252" s="66" t="str">
        <f>IFERROR(__xludf.DUMMYFUNCTION("GOOGLETRANSLATE(A9252,""en"",""pt"")"),"#VALUE!")</f>
        <v>#VALUE!</v>
      </c>
      <c r="G9252" s="69"/>
    </row>
    <row r="9253" ht="22.5" customHeight="1">
      <c r="A9253" s="66"/>
      <c r="B9253" s="67" t="str">
        <f t="shared" si="16"/>
        <v>M: </v>
      </c>
      <c r="C9253" s="68"/>
      <c r="D9253" s="68">
        <v>46675.0</v>
      </c>
      <c r="E9253" s="66">
        <v>1.0</v>
      </c>
      <c r="F9253" s="66" t="str">
        <f>IFERROR(__xludf.DUMMYFUNCTION("GOOGLETRANSLATE(A9253,""en"",""pt"")"),"#VALUE!")</f>
        <v>#VALUE!</v>
      </c>
      <c r="G9253" s="69"/>
    </row>
    <row r="9254" ht="22.5" customHeight="1">
      <c r="A9254" s="66"/>
      <c r="B9254" s="67" t="str">
        <f t="shared" si="16"/>
        <v>M: </v>
      </c>
      <c r="C9254" s="68"/>
      <c r="D9254" s="68">
        <v>46675.0</v>
      </c>
      <c r="E9254" s="66">
        <v>2.0</v>
      </c>
      <c r="F9254" s="66" t="str">
        <f>IFERROR(__xludf.DUMMYFUNCTION("GOOGLETRANSLATE(A9254,""en"",""pt"")"),"#VALUE!")</f>
        <v>#VALUE!</v>
      </c>
      <c r="G9254" s="69"/>
    </row>
    <row r="9255" ht="22.5" customHeight="1">
      <c r="A9255" s="66"/>
      <c r="B9255" s="67" t="str">
        <f t="shared" si="16"/>
        <v>M: </v>
      </c>
      <c r="C9255" s="68"/>
      <c r="D9255" s="68">
        <v>46675.0</v>
      </c>
      <c r="E9255" s="66">
        <v>3.0</v>
      </c>
      <c r="F9255" s="66" t="str">
        <f>IFERROR(__xludf.DUMMYFUNCTION("GOOGLETRANSLATE(A9255,""en"",""pt"")"),"#VALUE!")</f>
        <v>#VALUE!</v>
      </c>
      <c r="G9255" s="69"/>
    </row>
    <row r="9256" ht="22.5" customHeight="1">
      <c r="A9256" s="66"/>
      <c r="B9256" s="67" t="str">
        <f t="shared" si="16"/>
        <v>M: </v>
      </c>
      <c r="C9256" s="68"/>
      <c r="D9256" s="68">
        <v>46675.0</v>
      </c>
      <c r="E9256" s="66">
        <v>4.0</v>
      </c>
      <c r="F9256" s="66" t="str">
        <f>IFERROR(__xludf.DUMMYFUNCTION("GOOGLETRANSLATE(A9256,""en"",""pt"")"),"#VALUE!")</f>
        <v>#VALUE!</v>
      </c>
      <c r="G9256" s="69"/>
    </row>
    <row r="9257" ht="22.5" customHeight="1">
      <c r="A9257" s="66"/>
      <c r="B9257" s="67" t="str">
        <f t="shared" si="16"/>
        <v>M: </v>
      </c>
      <c r="C9257" s="68"/>
      <c r="D9257" s="68">
        <v>46675.0</v>
      </c>
      <c r="E9257" s="66">
        <v>5.0</v>
      </c>
      <c r="F9257" s="66" t="str">
        <f>IFERROR(__xludf.DUMMYFUNCTION("GOOGLETRANSLATE(A9257,""en"",""pt"")"),"#VALUE!")</f>
        <v>#VALUE!</v>
      </c>
      <c r="G9257" s="69"/>
    </row>
    <row r="9258" ht="22.5" customHeight="1">
      <c r="A9258" s="66"/>
      <c r="B9258" s="67" t="str">
        <f t="shared" si="16"/>
        <v>M: </v>
      </c>
      <c r="C9258" s="68"/>
      <c r="D9258" s="68">
        <v>46675.0</v>
      </c>
      <c r="E9258" s="66">
        <v>6.0</v>
      </c>
      <c r="F9258" s="66" t="str">
        <f>IFERROR(__xludf.DUMMYFUNCTION("GOOGLETRANSLATE(A9258,""en"",""pt"")"),"#VALUE!")</f>
        <v>#VALUE!</v>
      </c>
      <c r="G9258" s="69"/>
    </row>
    <row r="9259" ht="22.5" customHeight="1">
      <c r="A9259" s="66"/>
      <c r="B9259" s="67" t="str">
        <f t="shared" si="16"/>
        <v>M: </v>
      </c>
      <c r="C9259" s="68"/>
      <c r="D9259" s="68">
        <v>46675.0</v>
      </c>
      <c r="E9259" s="66">
        <v>7.0</v>
      </c>
      <c r="F9259" s="66" t="str">
        <f>IFERROR(__xludf.DUMMYFUNCTION("GOOGLETRANSLATE(A9259,""en"",""pt"")"),"#VALUE!")</f>
        <v>#VALUE!</v>
      </c>
      <c r="G9259" s="69"/>
    </row>
    <row r="9260" ht="22.5" customHeight="1">
      <c r="A9260" s="66"/>
      <c r="B9260" s="67" t="str">
        <f t="shared" si="16"/>
        <v>M: </v>
      </c>
      <c r="C9260" s="68"/>
      <c r="D9260" s="68">
        <v>46675.0</v>
      </c>
      <c r="E9260" s="66">
        <v>8.0</v>
      </c>
      <c r="F9260" s="66" t="str">
        <f>IFERROR(__xludf.DUMMYFUNCTION("GOOGLETRANSLATE(A9260,""en"",""pt"")"),"#VALUE!")</f>
        <v>#VALUE!</v>
      </c>
      <c r="G9260" s="69"/>
    </row>
    <row r="9261" ht="22.5" customHeight="1">
      <c r="A9261" s="66"/>
      <c r="B9261" s="67" t="str">
        <f t="shared" si="16"/>
        <v>M: </v>
      </c>
      <c r="C9261" s="68"/>
      <c r="D9261" s="68">
        <v>46675.0</v>
      </c>
      <c r="E9261" s="66">
        <v>9.0</v>
      </c>
      <c r="F9261" s="66" t="str">
        <f>IFERROR(__xludf.DUMMYFUNCTION("GOOGLETRANSLATE(A9261,""en"",""pt"")"),"#VALUE!")</f>
        <v>#VALUE!</v>
      </c>
      <c r="G9261" s="69"/>
    </row>
    <row r="9262" ht="22.5" customHeight="1">
      <c r="A9262" s="66"/>
      <c r="B9262" s="67" t="str">
        <f t="shared" si="16"/>
        <v>M: </v>
      </c>
      <c r="C9262" s="68"/>
      <c r="D9262" s="68">
        <v>46676.0</v>
      </c>
      <c r="E9262" s="66">
        <v>10.0</v>
      </c>
      <c r="F9262" s="66" t="str">
        <f>IFERROR(__xludf.DUMMYFUNCTION("GOOGLETRANSLATE(A9262,""en"",""pt"")"),"#VALUE!")</f>
        <v>#VALUE!</v>
      </c>
      <c r="G9262" s="69"/>
    </row>
    <row r="9263" ht="22.5" customHeight="1">
      <c r="A9263" s="66"/>
      <c r="B9263" s="67" t="str">
        <f t="shared" si="16"/>
        <v>M: </v>
      </c>
      <c r="C9263" s="68"/>
      <c r="D9263" s="68">
        <v>46676.0</v>
      </c>
      <c r="E9263" s="66">
        <v>1.0</v>
      </c>
      <c r="F9263" s="66" t="str">
        <f>IFERROR(__xludf.DUMMYFUNCTION("GOOGLETRANSLATE(A9263,""en"",""pt"")"),"#VALUE!")</f>
        <v>#VALUE!</v>
      </c>
      <c r="G9263" s="69"/>
    </row>
    <row r="9264" ht="22.5" customHeight="1">
      <c r="A9264" s="66"/>
      <c r="B9264" s="67" t="str">
        <f t="shared" si="16"/>
        <v>M: </v>
      </c>
      <c r="C9264" s="68"/>
      <c r="D9264" s="68">
        <v>46676.0</v>
      </c>
      <c r="E9264" s="66">
        <v>2.0</v>
      </c>
      <c r="F9264" s="66" t="str">
        <f>IFERROR(__xludf.DUMMYFUNCTION("GOOGLETRANSLATE(A9264,""en"",""pt"")"),"#VALUE!")</f>
        <v>#VALUE!</v>
      </c>
      <c r="G9264" s="69"/>
    </row>
    <row r="9265" ht="22.5" customHeight="1">
      <c r="A9265" s="66"/>
      <c r="B9265" s="67" t="str">
        <f t="shared" si="16"/>
        <v>M: </v>
      </c>
      <c r="C9265" s="68"/>
      <c r="D9265" s="68">
        <v>46676.0</v>
      </c>
      <c r="E9265" s="66">
        <v>3.0</v>
      </c>
      <c r="F9265" s="66" t="str">
        <f>IFERROR(__xludf.DUMMYFUNCTION("GOOGLETRANSLATE(A9265,""en"",""pt"")"),"#VALUE!")</f>
        <v>#VALUE!</v>
      </c>
      <c r="G9265" s="69"/>
    </row>
    <row r="9266" ht="22.5" customHeight="1">
      <c r="A9266" s="66"/>
      <c r="B9266" s="67" t="str">
        <f t="shared" si="16"/>
        <v>M: </v>
      </c>
      <c r="C9266" s="68"/>
      <c r="D9266" s="68">
        <v>46676.0</v>
      </c>
      <c r="E9266" s="66">
        <v>4.0</v>
      </c>
      <c r="F9266" s="66" t="str">
        <f>IFERROR(__xludf.DUMMYFUNCTION("GOOGLETRANSLATE(A9266,""en"",""pt"")"),"#VALUE!")</f>
        <v>#VALUE!</v>
      </c>
      <c r="G9266" s="69"/>
    </row>
    <row r="9267" ht="22.5" customHeight="1">
      <c r="A9267" s="66"/>
      <c r="B9267" s="67" t="str">
        <f t="shared" si="16"/>
        <v>M: </v>
      </c>
      <c r="C9267" s="68"/>
      <c r="D9267" s="68">
        <v>46676.0</v>
      </c>
      <c r="E9267" s="66">
        <v>5.0</v>
      </c>
      <c r="F9267" s="66" t="str">
        <f>IFERROR(__xludf.DUMMYFUNCTION("GOOGLETRANSLATE(A9267,""en"",""pt"")"),"#VALUE!")</f>
        <v>#VALUE!</v>
      </c>
      <c r="G9267" s="69"/>
    </row>
    <row r="9268" ht="22.5" customHeight="1">
      <c r="A9268" s="66"/>
      <c r="B9268" s="67" t="str">
        <f t="shared" si="16"/>
        <v>M: </v>
      </c>
      <c r="C9268" s="68"/>
      <c r="D9268" s="68">
        <v>46676.0</v>
      </c>
      <c r="E9268" s="66">
        <v>6.0</v>
      </c>
      <c r="F9268" s="66" t="str">
        <f>IFERROR(__xludf.DUMMYFUNCTION("GOOGLETRANSLATE(A9268,""en"",""pt"")"),"#VALUE!")</f>
        <v>#VALUE!</v>
      </c>
      <c r="G9268" s="69"/>
    </row>
    <row r="9269" ht="22.5" customHeight="1">
      <c r="A9269" s="66"/>
      <c r="B9269" s="67" t="str">
        <f t="shared" si="16"/>
        <v>M: </v>
      </c>
      <c r="C9269" s="68"/>
      <c r="D9269" s="68">
        <v>46676.0</v>
      </c>
      <c r="E9269" s="66">
        <v>7.0</v>
      </c>
      <c r="F9269" s="66" t="str">
        <f>IFERROR(__xludf.DUMMYFUNCTION("GOOGLETRANSLATE(A9269,""en"",""pt"")"),"#VALUE!")</f>
        <v>#VALUE!</v>
      </c>
      <c r="G9269" s="69"/>
    </row>
    <row r="9270" ht="22.5" customHeight="1">
      <c r="A9270" s="66"/>
      <c r="B9270" s="67" t="str">
        <f t="shared" si="16"/>
        <v>M: </v>
      </c>
      <c r="C9270" s="68"/>
      <c r="D9270" s="68">
        <v>46676.0</v>
      </c>
      <c r="E9270" s="66">
        <v>8.0</v>
      </c>
      <c r="F9270" s="66" t="str">
        <f>IFERROR(__xludf.DUMMYFUNCTION("GOOGLETRANSLATE(A9270,""en"",""pt"")"),"#VALUE!")</f>
        <v>#VALUE!</v>
      </c>
      <c r="G9270" s="69"/>
    </row>
    <row r="9271" ht="22.5" customHeight="1">
      <c r="A9271" s="66"/>
      <c r="B9271" s="67" t="str">
        <f t="shared" si="16"/>
        <v>M: </v>
      </c>
      <c r="C9271" s="68"/>
      <c r="D9271" s="68">
        <v>46676.0</v>
      </c>
      <c r="E9271" s="66">
        <v>9.0</v>
      </c>
      <c r="F9271" s="66" t="str">
        <f>IFERROR(__xludf.DUMMYFUNCTION("GOOGLETRANSLATE(A9271,""en"",""pt"")"),"#VALUE!")</f>
        <v>#VALUE!</v>
      </c>
      <c r="G9271" s="69"/>
    </row>
    <row r="9272" ht="22.5" customHeight="1">
      <c r="A9272" s="66"/>
      <c r="B9272" s="67" t="str">
        <f t="shared" si="16"/>
        <v>M: </v>
      </c>
      <c r="C9272" s="68"/>
      <c r="D9272" s="68">
        <v>46677.0</v>
      </c>
      <c r="E9272" s="66">
        <v>10.0</v>
      </c>
      <c r="F9272" s="66" t="str">
        <f>IFERROR(__xludf.DUMMYFUNCTION("GOOGLETRANSLATE(A9272,""en"",""pt"")"),"#VALUE!")</f>
        <v>#VALUE!</v>
      </c>
      <c r="G9272" s="69"/>
    </row>
    <row r="9273" ht="22.5" customHeight="1">
      <c r="A9273" s="66"/>
      <c r="B9273" s="67" t="str">
        <f t="shared" si="16"/>
        <v>M: </v>
      </c>
      <c r="C9273" s="68"/>
      <c r="D9273" s="68">
        <v>46677.0</v>
      </c>
      <c r="E9273" s="66">
        <v>1.0</v>
      </c>
      <c r="F9273" s="66" t="str">
        <f>IFERROR(__xludf.DUMMYFUNCTION("GOOGLETRANSLATE(A9273,""en"",""pt"")"),"#VALUE!")</f>
        <v>#VALUE!</v>
      </c>
      <c r="G9273" s="69"/>
    </row>
    <row r="9274" ht="22.5" customHeight="1">
      <c r="A9274" s="66"/>
      <c r="B9274" s="67" t="str">
        <f t="shared" si="16"/>
        <v>M: </v>
      </c>
      <c r="C9274" s="68"/>
      <c r="D9274" s="68">
        <v>46677.0</v>
      </c>
      <c r="E9274" s="66">
        <v>2.0</v>
      </c>
      <c r="F9274" s="66" t="str">
        <f>IFERROR(__xludf.DUMMYFUNCTION("GOOGLETRANSLATE(A9274,""en"",""pt"")"),"#VALUE!")</f>
        <v>#VALUE!</v>
      </c>
      <c r="G9274" s="69"/>
    </row>
    <row r="9275" ht="22.5" customHeight="1">
      <c r="A9275" s="66"/>
      <c r="B9275" s="67" t="str">
        <f t="shared" si="16"/>
        <v>M: </v>
      </c>
      <c r="C9275" s="68"/>
      <c r="D9275" s="68">
        <v>46677.0</v>
      </c>
      <c r="E9275" s="66">
        <v>3.0</v>
      </c>
      <c r="F9275" s="66" t="str">
        <f>IFERROR(__xludf.DUMMYFUNCTION("GOOGLETRANSLATE(A9275,""en"",""pt"")"),"#VALUE!")</f>
        <v>#VALUE!</v>
      </c>
      <c r="G9275" s="69"/>
    </row>
    <row r="9276" ht="22.5" customHeight="1">
      <c r="A9276" s="66"/>
      <c r="B9276" s="67" t="str">
        <f t="shared" si="16"/>
        <v>M: </v>
      </c>
      <c r="C9276" s="68"/>
      <c r="D9276" s="68">
        <v>46677.0</v>
      </c>
      <c r="E9276" s="66">
        <v>4.0</v>
      </c>
      <c r="F9276" s="66" t="str">
        <f>IFERROR(__xludf.DUMMYFUNCTION("GOOGLETRANSLATE(A9276,""en"",""pt"")"),"#VALUE!")</f>
        <v>#VALUE!</v>
      </c>
      <c r="G9276" s="69"/>
    </row>
    <row r="9277" ht="22.5" customHeight="1">
      <c r="A9277" s="66"/>
      <c r="B9277" s="67" t="str">
        <f t="shared" si="16"/>
        <v>M: </v>
      </c>
      <c r="C9277" s="68"/>
      <c r="D9277" s="68">
        <v>46677.0</v>
      </c>
      <c r="E9277" s="66">
        <v>5.0</v>
      </c>
      <c r="F9277" s="66" t="str">
        <f>IFERROR(__xludf.DUMMYFUNCTION("GOOGLETRANSLATE(A9277,""en"",""pt"")"),"#VALUE!")</f>
        <v>#VALUE!</v>
      </c>
      <c r="G9277" s="69"/>
    </row>
    <row r="9278" ht="22.5" customHeight="1">
      <c r="A9278" s="66"/>
      <c r="B9278" s="67" t="str">
        <f t="shared" si="16"/>
        <v>M: </v>
      </c>
      <c r="C9278" s="68"/>
      <c r="D9278" s="68">
        <v>46677.0</v>
      </c>
      <c r="E9278" s="66">
        <v>6.0</v>
      </c>
      <c r="F9278" s="66" t="str">
        <f>IFERROR(__xludf.DUMMYFUNCTION("GOOGLETRANSLATE(A9278,""en"",""pt"")"),"#VALUE!")</f>
        <v>#VALUE!</v>
      </c>
      <c r="G9278" s="69"/>
    </row>
    <row r="9279" ht="22.5" customHeight="1">
      <c r="A9279" s="66"/>
      <c r="B9279" s="67" t="str">
        <f t="shared" si="16"/>
        <v>M: </v>
      </c>
      <c r="C9279" s="68"/>
      <c r="D9279" s="68">
        <v>46677.0</v>
      </c>
      <c r="E9279" s="66">
        <v>7.0</v>
      </c>
      <c r="F9279" s="66" t="str">
        <f>IFERROR(__xludf.DUMMYFUNCTION("GOOGLETRANSLATE(A9279,""en"",""pt"")"),"#VALUE!")</f>
        <v>#VALUE!</v>
      </c>
      <c r="G9279" s="69"/>
    </row>
    <row r="9280" ht="22.5" customHeight="1">
      <c r="A9280" s="66"/>
      <c r="B9280" s="67" t="str">
        <f t="shared" si="16"/>
        <v>M: </v>
      </c>
      <c r="C9280" s="68"/>
      <c r="D9280" s="68">
        <v>46677.0</v>
      </c>
      <c r="E9280" s="66">
        <v>8.0</v>
      </c>
      <c r="F9280" s="66" t="str">
        <f>IFERROR(__xludf.DUMMYFUNCTION("GOOGLETRANSLATE(A9280,""en"",""pt"")"),"#VALUE!")</f>
        <v>#VALUE!</v>
      </c>
      <c r="G9280" s="69"/>
    </row>
    <row r="9281" ht="22.5" customHeight="1">
      <c r="A9281" s="66"/>
      <c r="B9281" s="67" t="str">
        <f t="shared" si="16"/>
        <v>M: </v>
      </c>
      <c r="C9281" s="68"/>
      <c r="D9281" s="68">
        <v>46677.0</v>
      </c>
      <c r="E9281" s="66">
        <v>9.0</v>
      </c>
      <c r="F9281" s="66" t="str">
        <f>IFERROR(__xludf.DUMMYFUNCTION("GOOGLETRANSLATE(A9281,""en"",""pt"")"),"#VALUE!")</f>
        <v>#VALUE!</v>
      </c>
      <c r="G9281" s="69"/>
    </row>
    <row r="9282" ht="22.5" customHeight="1">
      <c r="A9282" s="66"/>
      <c r="B9282" s="67" t="str">
        <f t="shared" si="16"/>
        <v>M: </v>
      </c>
      <c r="C9282" s="68"/>
      <c r="D9282" s="68">
        <v>46678.0</v>
      </c>
      <c r="E9282" s="66">
        <v>10.0</v>
      </c>
      <c r="F9282" s="66" t="str">
        <f>IFERROR(__xludf.DUMMYFUNCTION("GOOGLETRANSLATE(A9282,""en"",""pt"")"),"#VALUE!")</f>
        <v>#VALUE!</v>
      </c>
      <c r="G9282" s="69"/>
    </row>
    <row r="9283" ht="22.5" customHeight="1">
      <c r="A9283" s="66"/>
      <c r="B9283" s="67" t="str">
        <f t="shared" si="16"/>
        <v>M: </v>
      </c>
      <c r="C9283" s="68"/>
      <c r="D9283" s="68">
        <v>46678.0</v>
      </c>
      <c r="E9283" s="66">
        <v>1.0</v>
      </c>
      <c r="F9283" s="66" t="str">
        <f>IFERROR(__xludf.DUMMYFUNCTION("GOOGLETRANSLATE(A9283,""en"",""pt"")"),"#VALUE!")</f>
        <v>#VALUE!</v>
      </c>
      <c r="G9283" s="69"/>
    </row>
    <row r="9284" ht="22.5" customHeight="1">
      <c r="A9284" s="66"/>
      <c r="B9284" s="67" t="str">
        <f t="shared" si="16"/>
        <v>M: </v>
      </c>
      <c r="C9284" s="68"/>
      <c r="D9284" s="68">
        <v>46678.0</v>
      </c>
      <c r="E9284" s="66">
        <v>2.0</v>
      </c>
      <c r="F9284" s="66" t="str">
        <f>IFERROR(__xludf.DUMMYFUNCTION("GOOGLETRANSLATE(A9284,""en"",""pt"")"),"#VALUE!")</f>
        <v>#VALUE!</v>
      </c>
      <c r="G9284" s="69"/>
    </row>
    <row r="9285" ht="22.5" customHeight="1">
      <c r="A9285" s="66"/>
      <c r="B9285" s="67" t="str">
        <f t="shared" si="16"/>
        <v>M: </v>
      </c>
      <c r="C9285" s="68"/>
      <c r="D9285" s="68">
        <v>46678.0</v>
      </c>
      <c r="E9285" s="66">
        <v>3.0</v>
      </c>
      <c r="F9285" s="66" t="str">
        <f>IFERROR(__xludf.DUMMYFUNCTION("GOOGLETRANSLATE(A9285,""en"",""pt"")"),"#VALUE!")</f>
        <v>#VALUE!</v>
      </c>
      <c r="G9285" s="69"/>
    </row>
    <row r="9286" ht="22.5" customHeight="1">
      <c r="A9286" s="66"/>
      <c r="B9286" s="67" t="str">
        <f t="shared" si="16"/>
        <v>M: </v>
      </c>
      <c r="C9286" s="68"/>
      <c r="D9286" s="68">
        <v>46678.0</v>
      </c>
      <c r="E9286" s="66">
        <v>4.0</v>
      </c>
      <c r="F9286" s="66" t="str">
        <f>IFERROR(__xludf.DUMMYFUNCTION("GOOGLETRANSLATE(A9286,""en"",""pt"")"),"#VALUE!")</f>
        <v>#VALUE!</v>
      </c>
      <c r="G9286" s="69"/>
    </row>
    <row r="9287" ht="22.5" customHeight="1">
      <c r="A9287" s="66"/>
      <c r="B9287" s="67" t="str">
        <f t="shared" si="16"/>
        <v>M: </v>
      </c>
      <c r="C9287" s="68"/>
      <c r="D9287" s="68">
        <v>46678.0</v>
      </c>
      <c r="E9287" s="66">
        <v>5.0</v>
      </c>
      <c r="F9287" s="66" t="str">
        <f>IFERROR(__xludf.DUMMYFUNCTION("GOOGLETRANSLATE(A9287,""en"",""pt"")"),"#VALUE!")</f>
        <v>#VALUE!</v>
      </c>
      <c r="G9287" s="69"/>
    </row>
    <row r="9288" ht="22.5" customHeight="1">
      <c r="A9288" s="66"/>
      <c r="B9288" s="67" t="str">
        <f t="shared" si="16"/>
        <v>M: </v>
      </c>
      <c r="C9288" s="68"/>
      <c r="D9288" s="68">
        <v>46678.0</v>
      </c>
      <c r="E9288" s="66">
        <v>6.0</v>
      </c>
      <c r="F9288" s="66" t="str">
        <f>IFERROR(__xludf.DUMMYFUNCTION("GOOGLETRANSLATE(A9288,""en"",""pt"")"),"#VALUE!")</f>
        <v>#VALUE!</v>
      </c>
      <c r="G9288" s="69"/>
    </row>
    <row r="9289" ht="22.5" customHeight="1">
      <c r="A9289" s="66"/>
      <c r="B9289" s="67" t="str">
        <f t="shared" si="16"/>
        <v>M: </v>
      </c>
      <c r="C9289" s="68"/>
      <c r="D9289" s="68">
        <v>46678.0</v>
      </c>
      <c r="E9289" s="66">
        <v>7.0</v>
      </c>
      <c r="F9289" s="66" t="str">
        <f>IFERROR(__xludf.DUMMYFUNCTION("GOOGLETRANSLATE(A9289,""en"",""pt"")"),"#VALUE!")</f>
        <v>#VALUE!</v>
      </c>
      <c r="G9289" s="69"/>
    </row>
    <row r="9290" ht="22.5" customHeight="1">
      <c r="A9290" s="66"/>
      <c r="B9290" s="67" t="str">
        <f t="shared" si="16"/>
        <v>M: </v>
      </c>
      <c r="C9290" s="68"/>
      <c r="D9290" s="68">
        <v>46678.0</v>
      </c>
      <c r="E9290" s="66">
        <v>8.0</v>
      </c>
      <c r="F9290" s="66" t="str">
        <f>IFERROR(__xludf.DUMMYFUNCTION("GOOGLETRANSLATE(A9290,""en"",""pt"")"),"#VALUE!")</f>
        <v>#VALUE!</v>
      </c>
      <c r="G9290" s="69"/>
    </row>
    <row r="9291" ht="22.5" customHeight="1">
      <c r="A9291" s="66"/>
      <c r="B9291" s="67" t="str">
        <f t="shared" si="16"/>
        <v>M: </v>
      </c>
      <c r="C9291" s="68"/>
      <c r="D9291" s="68">
        <v>46678.0</v>
      </c>
      <c r="E9291" s="66">
        <v>9.0</v>
      </c>
      <c r="F9291" s="66" t="str">
        <f>IFERROR(__xludf.DUMMYFUNCTION("GOOGLETRANSLATE(A9291,""en"",""pt"")"),"#VALUE!")</f>
        <v>#VALUE!</v>
      </c>
      <c r="G9291" s="69"/>
    </row>
    <row r="9292" ht="22.5" customHeight="1">
      <c r="A9292" s="66"/>
      <c r="B9292" s="67" t="str">
        <f t="shared" si="16"/>
        <v>M: </v>
      </c>
      <c r="C9292" s="68"/>
      <c r="D9292" s="68">
        <v>46679.0</v>
      </c>
      <c r="E9292" s="66">
        <v>10.0</v>
      </c>
      <c r="F9292" s="66" t="str">
        <f>IFERROR(__xludf.DUMMYFUNCTION("GOOGLETRANSLATE(A9292,""en"",""pt"")"),"#VALUE!")</f>
        <v>#VALUE!</v>
      </c>
      <c r="G9292" s="69"/>
    </row>
    <row r="9293" ht="22.5" customHeight="1">
      <c r="A9293" s="66"/>
      <c r="B9293" s="67" t="str">
        <f t="shared" si="16"/>
        <v>M: </v>
      </c>
      <c r="C9293" s="68"/>
      <c r="D9293" s="68">
        <v>46679.0</v>
      </c>
      <c r="E9293" s="66">
        <v>1.0</v>
      </c>
      <c r="F9293" s="66" t="str">
        <f>IFERROR(__xludf.DUMMYFUNCTION("GOOGLETRANSLATE(A9293,""en"",""pt"")"),"#VALUE!")</f>
        <v>#VALUE!</v>
      </c>
      <c r="G9293" s="69"/>
    </row>
    <row r="9294" ht="22.5" customHeight="1">
      <c r="A9294" s="66"/>
      <c r="B9294" s="67" t="str">
        <f t="shared" si="16"/>
        <v>M: </v>
      </c>
      <c r="C9294" s="68"/>
      <c r="D9294" s="68">
        <v>46679.0</v>
      </c>
      <c r="E9294" s="66">
        <v>2.0</v>
      </c>
      <c r="F9294" s="66" t="str">
        <f>IFERROR(__xludf.DUMMYFUNCTION("GOOGLETRANSLATE(A9294,""en"",""pt"")"),"#VALUE!")</f>
        <v>#VALUE!</v>
      </c>
      <c r="G9294" s="69"/>
    </row>
    <row r="9295" ht="22.5" customHeight="1">
      <c r="A9295" s="66"/>
      <c r="B9295" s="67" t="str">
        <f t="shared" si="16"/>
        <v>M: </v>
      </c>
      <c r="C9295" s="68"/>
      <c r="D9295" s="68">
        <v>46679.0</v>
      </c>
      <c r="E9295" s="66">
        <v>3.0</v>
      </c>
      <c r="F9295" s="66" t="str">
        <f>IFERROR(__xludf.DUMMYFUNCTION("GOOGLETRANSLATE(A9295,""en"",""pt"")"),"#VALUE!")</f>
        <v>#VALUE!</v>
      </c>
      <c r="G9295" s="69"/>
    </row>
    <row r="9296" ht="22.5" customHeight="1">
      <c r="A9296" s="66"/>
      <c r="B9296" s="67" t="str">
        <f t="shared" si="16"/>
        <v>M: </v>
      </c>
      <c r="C9296" s="68"/>
      <c r="D9296" s="68">
        <v>46679.0</v>
      </c>
      <c r="E9296" s="66">
        <v>4.0</v>
      </c>
      <c r="F9296" s="66" t="str">
        <f>IFERROR(__xludf.DUMMYFUNCTION("GOOGLETRANSLATE(A9296,""en"",""pt"")"),"#VALUE!")</f>
        <v>#VALUE!</v>
      </c>
      <c r="G9296" s="69"/>
    </row>
    <row r="9297" ht="22.5" customHeight="1">
      <c r="A9297" s="66"/>
      <c r="B9297" s="67" t="str">
        <f t="shared" si="16"/>
        <v>M: </v>
      </c>
      <c r="C9297" s="68"/>
      <c r="D9297" s="68">
        <v>46679.0</v>
      </c>
      <c r="E9297" s="66">
        <v>5.0</v>
      </c>
      <c r="F9297" s="66" t="str">
        <f>IFERROR(__xludf.DUMMYFUNCTION("GOOGLETRANSLATE(A9297,""en"",""pt"")"),"#VALUE!")</f>
        <v>#VALUE!</v>
      </c>
      <c r="G9297" s="69"/>
    </row>
    <row r="9298" ht="22.5" customHeight="1">
      <c r="A9298" s="66"/>
      <c r="B9298" s="67" t="str">
        <f t="shared" si="16"/>
        <v>M: </v>
      </c>
      <c r="C9298" s="68"/>
      <c r="D9298" s="68">
        <v>46679.0</v>
      </c>
      <c r="E9298" s="66">
        <v>6.0</v>
      </c>
      <c r="F9298" s="66" t="str">
        <f>IFERROR(__xludf.DUMMYFUNCTION("GOOGLETRANSLATE(A9298,""en"",""pt"")"),"#VALUE!")</f>
        <v>#VALUE!</v>
      </c>
      <c r="G9298" s="69"/>
    </row>
    <row r="9299" ht="22.5" customHeight="1">
      <c r="A9299" s="66"/>
      <c r="B9299" s="67" t="str">
        <f t="shared" si="16"/>
        <v>M: </v>
      </c>
      <c r="C9299" s="68"/>
      <c r="D9299" s="68">
        <v>46679.0</v>
      </c>
      <c r="E9299" s="66">
        <v>7.0</v>
      </c>
      <c r="F9299" s="66" t="str">
        <f>IFERROR(__xludf.DUMMYFUNCTION("GOOGLETRANSLATE(A9299,""en"",""pt"")"),"#VALUE!")</f>
        <v>#VALUE!</v>
      </c>
      <c r="G9299" s="69"/>
    </row>
    <row r="9300" ht="22.5" customHeight="1">
      <c r="A9300" s="66"/>
      <c r="B9300" s="67" t="str">
        <f t="shared" si="16"/>
        <v>M: </v>
      </c>
      <c r="C9300" s="68"/>
      <c r="D9300" s="68">
        <v>46679.0</v>
      </c>
      <c r="E9300" s="66">
        <v>8.0</v>
      </c>
      <c r="F9300" s="66" t="str">
        <f>IFERROR(__xludf.DUMMYFUNCTION("GOOGLETRANSLATE(A9300,""en"",""pt"")"),"#VALUE!")</f>
        <v>#VALUE!</v>
      </c>
      <c r="G9300" s="69"/>
    </row>
    <row r="9301" ht="22.5" customHeight="1">
      <c r="A9301" s="66"/>
      <c r="B9301" s="67" t="str">
        <f t="shared" si="16"/>
        <v>M: </v>
      </c>
      <c r="C9301" s="68"/>
      <c r="D9301" s="68">
        <v>46679.0</v>
      </c>
      <c r="E9301" s="66">
        <v>9.0</v>
      </c>
      <c r="F9301" s="66" t="str">
        <f>IFERROR(__xludf.DUMMYFUNCTION("GOOGLETRANSLATE(A9301,""en"",""pt"")"),"#VALUE!")</f>
        <v>#VALUE!</v>
      </c>
      <c r="G9301" s="69"/>
    </row>
    <row r="9302" ht="22.5" customHeight="1">
      <c r="A9302" s="66"/>
      <c r="B9302" s="67" t="str">
        <f t="shared" si="16"/>
        <v>M: </v>
      </c>
      <c r="C9302" s="68"/>
      <c r="D9302" s="68">
        <v>46680.0</v>
      </c>
      <c r="E9302" s="66">
        <v>10.0</v>
      </c>
      <c r="F9302" s="66" t="str">
        <f>IFERROR(__xludf.DUMMYFUNCTION("GOOGLETRANSLATE(A9302,""en"",""pt"")"),"#VALUE!")</f>
        <v>#VALUE!</v>
      </c>
      <c r="G9302" s="69"/>
    </row>
    <row r="9303" ht="22.5" customHeight="1">
      <c r="A9303" s="66"/>
      <c r="B9303" s="67" t="str">
        <f t="shared" si="16"/>
        <v>M: </v>
      </c>
      <c r="C9303" s="68"/>
      <c r="D9303" s="68">
        <v>46680.0</v>
      </c>
      <c r="E9303" s="66">
        <v>1.0</v>
      </c>
      <c r="F9303" s="66" t="str">
        <f>IFERROR(__xludf.DUMMYFUNCTION("GOOGLETRANSLATE(A9303,""en"",""pt"")"),"#VALUE!")</f>
        <v>#VALUE!</v>
      </c>
      <c r="G9303" s="69"/>
    </row>
    <row r="9304" ht="22.5" customHeight="1">
      <c r="A9304" s="66"/>
      <c r="B9304" s="67" t="str">
        <f t="shared" si="16"/>
        <v>M: </v>
      </c>
      <c r="C9304" s="68"/>
      <c r="D9304" s="68">
        <v>46680.0</v>
      </c>
      <c r="E9304" s="66">
        <v>2.0</v>
      </c>
      <c r="F9304" s="66" t="str">
        <f>IFERROR(__xludf.DUMMYFUNCTION("GOOGLETRANSLATE(A9304,""en"",""pt"")"),"#VALUE!")</f>
        <v>#VALUE!</v>
      </c>
      <c r="G9304" s="69"/>
    </row>
    <row r="9305" ht="22.5" customHeight="1">
      <c r="A9305" s="66"/>
      <c r="B9305" s="67" t="str">
        <f t="shared" si="16"/>
        <v>M: </v>
      </c>
      <c r="C9305" s="68"/>
      <c r="D9305" s="68">
        <v>46680.0</v>
      </c>
      <c r="E9305" s="66">
        <v>3.0</v>
      </c>
      <c r="F9305" s="66" t="str">
        <f>IFERROR(__xludf.DUMMYFUNCTION("GOOGLETRANSLATE(A9305,""en"",""pt"")"),"#VALUE!")</f>
        <v>#VALUE!</v>
      </c>
      <c r="G9305" s="69"/>
    </row>
    <row r="9306" ht="22.5" customHeight="1">
      <c r="A9306" s="66"/>
      <c r="B9306" s="67" t="str">
        <f t="shared" si="16"/>
        <v>M: </v>
      </c>
      <c r="C9306" s="68"/>
      <c r="D9306" s="68">
        <v>46680.0</v>
      </c>
      <c r="E9306" s="66">
        <v>4.0</v>
      </c>
      <c r="F9306" s="66" t="str">
        <f>IFERROR(__xludf.DUMMYFUNCTION("GOOGLETRANSLATE(A9306,""en"",""pt"")"),"#VALUE!")</f>
        <v>#VALUE!</v>
      </c>
      <c r="G9306" s="69"/>
    </row>
    <row r="9307" ht="22.5" customHeight="1">
      <c r="A9307" s="66"/>
      <c r="B9307" s="67" t="str">
        <f t="shared" si="16"/>
        <v>M: </v>
      </c>
      <c r="C9307" s="68"/>
      <c r="D9307" s="68">
        <v>46680.0</v>
      </c>
      <c r="E9307" s="66">
        <v>5.0</v>
      </c>
      <c r="F9307" s="66" t="str">
        <f>IFERROR(__xludf.DUMMYFUNCTION("GOOGLETRANSLATE(A9307,""en"",""pt"")"),"#VALUE!")</f>
        <v>#VALUE!</v>
      </c>
      <c r="G9307" s="69"/>
    </row>
    <row r="9308" ht="22.5" customHeight="1">
      <c r="A9308" s="66"/>
      <c r="B9308" s="67" t="str">
        <f t="shared" si="16"/>
        <v>M: </v>
      </c>
      <c r="C9308" s="68"/>
      <c r="D9308" s="68">
        <v>46680.0</v>
      </c>
      <c r="E9308" s="66">
        <v>6.0</v>
      </c>
      <c r="F9308" s="66" t="str">
        <f>IFERROR(__xludf.DUMMYFUNCTION("GOOGLETRANSLATE(A9308,""en"",""pt"")"),"#VALUE!")</f>
        <v>#VALUE!</v>
      </c>
      <c r="G9308" s="69"/>
    </row>
    <row r="9309" ht="22.5" customHeight="1">
      <c r="A9309" s="66"/>
      <c r="B9309" s="67" t="str">
        <f t="shared" si="16"/>
        <v>M: </v>
      </c>
      <c r="C9309" s="68"/>
      <c r="D9309" s="68">
        <v>46680.0</v>
      </c>
      <c r="E9309" s="66">
        <v>7.0</v>
      </c>
      <c r="F9309" s="66" t="str">
        <f>IFERROR(__xludf.DUMMYFUNCTION("GOOGLETRANSLATE(A9309,""en"",""pt"")"),"#VALUE!")</f>
        <v>#VALUE!</v>
      </c>
      <c r="G9309" s="69"/>
    </row>
    <row r="9310" ht="22.5" customHeight="1">
      <c r="A9310" s="66"/>
      <c r="B9310" s="67" t="str">
        <f t="shared" si="16"/>
        <v>M: </v>
      </c>
      <c r="C9310" s="68"/>
      <c r="D9310" s="68">
        <v>46680.0</v>
      </c>
      <c r="E9310" s="66">
        <v>8.0</v>
      </c>
      <c r="F9310" s="66" t="str">
        <f>IFERROR(__xludf.DUMMYFUNCTION("GOOGLETRANSLATE(A9310,""en"",""pt"")"),"#VALUE!")</f>
        <v>#VALUE!</v>
      </c>
      <c r="G9310" s="69"/>
    </row>
    <row r="9311" ht="22.5" customHeight="1">
      <c r="A9311" s="66"/>
      <c r="B9311" s="67" t="str">
        <f t="shared" si="16"/>
        <v>M: </v>
      </c>
      <c r="C9311" s="68"/>
      <c r="D9311" s="68">
        <v>46680.0</v>
      </c>
      <c r="E9311" s="66">
        <v>9.0</v>
      </c>
      <c r="F9311" s="66" t="str">
        <f>IFERROR(__xludf.DUMMYFUNCTION("GOOGLETRANSLATE(A9311,""en"",""pt"")"),"#VALUE!")</f>
        <v>#VALUE!</v>
      </c>
      <c r="G9311" s="69"/>
    </row>
    <row r="9312" ht="22.5" customHeight="1">
      <c r="A9312" s="66"/>
      <c r="B9312" s="67" t="str">
        <f t="shared" si="16"/>
        <v>M: </v>
      </c>
      <c r="C9312" s="68"/>
      <c r="D9312" s="68">
        <v>46681.0</v>
      </c>
      <c r="E9312" s="66">
        <v>10.0</v>
      </c>
      <c r="F9312" s="66" t="str">
        <f>IFERROR(__xludf.DUMMYFUNCTION("GOOGLETRANSLATE(A9312,""en"",""pt"")"),"#VALUE!")</f>
        <v>#VALUE!</v>
      </c>
      <c r="G9312" s="69"/>
    </row>
    <row r="9313" ht="22.5" customHeight="1">
      <c r="A9313" s="66"/>
      <c r="B9313" s="67" t="str">
        <f t="shared" si="16"/>
        <v>M: </v>
      </c>
      <c r="C9313" s="68"/>
      <c r="D9313" s="68">
        <v>46681.0</v>
      </c>
      <c r="E9313" s="66">
        <v>1.0</v>
      </c>
      <c r="F9313" s="66" t="str">
        <f>IFERROR(__xludf.DUMMYFUNCTION("GOOGLETRANSLATE(A9313,""en"",""pt"")"),"#VALUE!")</f>
        <v>#VALUE!</v>
      </c>
      <c r="G9313" s="69"/>
    </row>
    <row r="9314" ht="22.5" customHeight="1">
      <c r="A9314" s="66"/>
      <c r="B9314" s="67" t="str">
        <f t="shared" si="16"/>
        <v>M: </v>
      </c>
      <c r="C9314" s="68"/>
      <c r="D9314" s="68">
        <v>46681.0</v>
      </c>
      <c r="E9314" s="66">
        <v>2.0</v>
      </c>
      <c r="F9314" s="66" t="str">
        <f>IFERROR(__xludf.DUMMYFUNCTION("GOOGLETRANSLATE(A9314,""en"",""pt"")"),"#VALUE!")</f>
        <v>#VALUE!</v>
      </c>
      <c r="G9314" s="69"/>
    </row>
    <row r="9315" ht="22.5" customHeight="1">
      <c r="A9315" s="66"/>
      <c r="B9315" s="67" t="str">
        <f t="shared" si="16"/>
        <v>M: </v>
      </c>
      <c r="C9315" s="68"/>
      <c r="D9315" s="68">
        <v>46681.0</v>
      </c>
      <c r="E9315" s="66">
        <v>3.0</v>
      </c>
      <c r="F9315" s="66" t="str">
        <f>IFERROR(__xludf.DUMMYFUNCTION("GOOGLETRANSLATE(A9315,""en"",""pt"")"),"#VALUE!")</f>
        <v>#VALUE!</v>
      </c>
      <c r="G9315" s="69"/>
    </row>
    <row r="9316" ht="22.5" customHeight="1">
      <c r="A9316" s="66"/>
      <c r="B9316" s="67" t="str">
        <f t="shared" si="16"/>
        <v>M: </v>
      </c>
      <c r="C9316" s="68"/>
      <c r="D9316" s="68">
        <v>46681.0</v>
      </c>
      <c r="E9316" s="66">
        <v>4.0</v>
      </c>
      <c r="F9316" s="66" t="str">
        <f>IFERROR(__xludf.DUMMYFUNCTION("GOOGLETRANSLATE(A9316,""en"",""pt"")"),"#VALUE!")</f>
        <v>#VALUE!</v>
      </c>
      <c r="G9316" s="69"/>
    </row>
    <row r="9317" ht="22.5" customHeight="1">
      <c r="A9317" s="66"/>
      <c r="B9317" s="67" t="str">
        <f t="shared" si="16"/>
        <v>M: </v>
      </c>
      <c r="C9317" s="68"/>
      <c r="D9317" s="68">
        <v>46681.0</v>
      </c>
      <c r="E9317" s="66">
        <v>5.0</v>
      </c>
      <c r="F9317" s="66" t="str">
        <f>IFERROR(__xludf.DUMMYFUNCTION("GOOGLETRANSLATE(A9317,""en"",""pt"")"),"#VALUE!")</f>
        <v>#VALUE!</v>
      </c>
      <c r="G9317" s="69"/>
    </row>
    <row r="9318" ht="22.5" customHeight="1">
      <c r="A9318" s="66"/>
      <c r="B9318" s="67" t="str">
        <f t="shared" si="16"/>
        <v>M: </v>
      </c>
      <c r="C9318" s="68"/>
      <c r="D9318" s="68">
        <v>46681.0</v>
      </c>
      <c r="E9318" s="66">
        <v>6.0</v>
      </c>
      <c r="F9318" s="66" t="str">
        <f>IFERROR(__xludf.DUMMYFUNCTION("GOOGLETRANSLATE(A9318,""en"",""pt"")"),"#VALUE!")</f>
        <v>#VALUE!</v>
      </c>
      <c r="G9318" s="69"/>
    </row>
    <row r="9319" ht="22.5" customHeight="1">
      <c r="A9319" s="66"/>
      <c r="B9319" s="67" t="str">
        <f t="shared" si="16"/>
        <v>M: </v>
      </c>
      <c r="C9319" s="68"/>
      <c r="D9319" s="68">
        <v>46681.0</v>
      </c>
      <c r="E9319" s="66">
        <v>7.0</v>
      </c>
      <c r="F9319" s="66" t="str">
        <f>IFERROR(__xludf.DUMMYFUNCTION("GOOGLETRANSLATE(A9319,""en"",""pt"")"),"#VALUE!")</f>
        <v>#VALUE!</v>
      </c>
      <c r="G9319" s="69"/>
    </row>
    <row r="9320" ht="22.5" customHeight="1">
      <c r="A9320" s="66"/>
      <c r="B9320" s="67" t="str">
        <f t="shared" si="16"/>
        <v>M: </v>
      </c>
      <c r="C9320" s="68"/>
      <c r="D9320" s="68">
        <v>46681.0</v>
      </c>
      <c r="E9320" s="66">
        <v>8.0</v>
      </c>
      <c r="F9320" s="66" t="str">
        <f>IFERROR(__xludf.DUMMYFUNCTION("GOOGLETRANSLATE(A9320,""en"",""pt"")"),"#VALUE!")</f>
        <v>#VALUE!</v>
      </c>
      <c r="G9320" s="69"/>
    </row>
    <row r="9321" ht="22.5" customHeight="1">
      <c r="A9321" s="66"/>
      <c r="B9321" s="67" t="str">
        <f t="shared" si="16"/>
        <v>M: </v>
      </c>
      <c r="C9321" s="68"/>
      <c r="D9321" s="68">
        <v>46681.0</v>
      </c>
      <c r="E9321" s="66">
        <v>9.0</v>
      </c>
      <c r="F9321" s="66" t="str">
        <f>IFERROR(__xludf.DUMMYFUNCTION("GOOGLETRANSLATE(A9321,""en"",""pt"")"),"#VALUE!")</f>
        <v>#VALUE!</v>
      </c>
      <c r="G9321" s="69"/>
    </row>
    <row r="9322" ht="22.5" customHeight="1">
      <c r="A9322" s="66"/>
      <c r="B9322" s="67" t="str">
        <f t="shared" si="16"/>
        <v>M: </v>
      </c>
      <c r="C9322" s="68"/>
      <c r="D9322" s="68">
        <v>46682.0</v>
      </c>
      <c r="E9322" s="66">
        <v>10.0</v>
      </c>
      <c r="F9322" s="66" t="str">
        <f>IFERROR(__xludf.DUMMYFUNCTION("GOOGLETRANSLATE(A9322,""en"",""pt"")"),"#VALUE!")</f>
        <v>#VALUE!</v>
      </c>
      <c r="G9322" s="69"/>
    </row>
    <row r="9323" ht="22.5" customHeight="1">
      <c r="A9323" s="66"/>
      <c r="B9323" s="67" t="str">
        <f t="shared" si="16"/>
        <v>M: </v>
      </c>
      <c r="C9323" s="68"/>
      <c r="D9323" s="68">
        <v>46682.0</v>
      </c>
      <c r="E9323" s="66">
        <v>1.0</v>
      </c>
      <c r="F9323" s="66" t="str">
        <f>IFERROR(__xludf.DUMMYFUNCTION("GOOGLETRANSLATE(A9323,""en"",""pt"")"),"#VALUE!")</f>
        <v>#VALUE!</v>
      </c>
      <c r="G9323" s="69"/>
    </row>
    <row r="9324" ht="22.5" customHeight="1">
      <c r="A9324" s="66"/>
      <c r="B9324" s="67" t="str">
        <f t="shared" si="16"/>
        <v>M: </v>
      </c>
      <c r="C9324" s="68"/>
      <c r="D9324" s="68">
        <v>46682.0</v>
      </c>
      <c r="E9324" s="66">
        <v>2.0</v>
      </c>
      <c r="F9324" s="66" t="str">
        <f>IFERROR(__xludf.DUMMYFUNCTION("GOOGLETRANSLATE(A9324,""en"",""pt"")"),"#VALUE!")</f>
        <v>#VALUE!</v>
      </c>
      <c r="G9324" s="69"/>
    </row>
    <row r="9325" ht="22.5" customHeight="1">
      <c r="A9325" s="66"/>
      <c r="B9325" s="67" t="str">
        <f t="shared" si="16"/>
        <v>M: </v>
      </c>
      <c r="C9325" s="68"/>
      <c r="D9325" s="68">
        <v>46682.0</v>
      </c>
      <c r="E9325" s="66">
        <v>3.0</v>
      </c>
      <c r="F9325" s="66" t="str">
        <f>IFERROR(__xludf.DUMMYFUNCTION("GOOGLETRANSLATE(A9325,""en"",""pt"")"),"#VALUE!")</f>
        <v>#VALUE!</v>
      </c>
      <c r="G9325" s="69"/>
    </row>
    <row r="9326" ht="22.5" customHeight="1">
      <c r="A9326" s="66"/>
      <c r="B9326" s="67" t="str">
        <f t="shared" si="16"/>
        <v>M: </v>
      </c>
      <c r="C9326" s="68"/>
      <c r="D9326" s="68">
        <v>46682.0</v>
      </c>
      <c r="E9326" s="66">
        <v>4.0</v>
      </c>
      <c r="F9326" s="66" t="str">
        <f>IFERROR(__xludf.DUMMYFUNCTION("GOOGLETRANSLATE(A9326,""en"",""pt"")"),"#VALUE!")</f>
        <v>#VALUE!</v>
      </c>
      <c r="G9326" s="69"/>
    </row>
    <row r="9327" ht="22.5" customHeight="1">
      <c r="A9327" s="66"/>
      <c r="B9327" s="67" t="str">
        <f t="shared" si="16"/>
        <v>M: </v>
      </c>
      <c r="C9327" s="68"/>
      <c r="D9327" s="68">
        <v>46682.0</v>
      </c>
      <c r="E9327" s="66">
        <v>5.0</v>
      </c>
      <c r="F9327" s="66" t="str">
        <f>IFERROR(__xludf.DUMMYFUNCTION("GOOGLETRANSLATE(A9327,""en"",""pt"")"),"#VALUE!")</f>
        <v>#VALUE!</v>
      </c>
      <c r="G9327" s="69"/>
    </row>
    <row r="9328" ht="22.5" customHeight="1">
      <c r="A9328" s="66"/>
      <c r="B9328" s="67" t="str">
        <f t="shared" si="16"/>
        <v>M: </v>
      </c>
      <c r="C9328" s="68"/>
      <c r="D9328" s="68">
        <v>46682.0</v>
      </c>
      <c r="E9328" s="66">
        <v>6.0</v>
      </c>
      <c r="F9328" s="66" t="str">
        <f>IFERROR(__xludf.DUMMYFUNCTION("GOOGLETRANSLATE(A9328,""en"",""pt"")"),"#VALUE!")</f>
        <v>#VALUE!</v>
      </c>
      <c r="G9328" s="69"/>
    </row>
    <row r="9329" ht="22.5" customHeight="1">
      <c r="A9329" s="66"/>
      <c r="B9329" s="67" t="str">
        <f t="shared" si="16"/>
        <v>M: </v>
      </c>
      <c r="C9329" s="68"/>
      <c r="D9329" s="68">
        <v>46682.0</v>
      </c>
      <c r="E9329" s="66">
        <v>7.0</v>
      </c>
      <c r="F9329" s="66" t="str">
        <f>IFERROR(__xludf.DUMMYFUNCTION("GOOGLETRANSLATE(A9329,""en"",""pt"")"),"#VALUE!")</f>
        <v>#VALUE!</v>
      </c>
      <c r="G9329" s="69"/>
    </row>
    <row r="9330" ht="22.5" customHeight="1">
      <c r="A9330" s="66"/>
      <c r="B9330" s="67" t="str">
        <f t="shared" si="16"/>
        <v>M: </v>
      </c>
      <c r="C9330" s="68"/>
      <c r="D9330" s="68">
        <v>46682.0</v>
      </c>
      <c r="E9330" s="66">
        <v>8.0</v>
      </c>
      <c r="F9330" s="66" t="str">
        <f>IFERROR(__xludf.DUMMYFUNCTION("GOOGLETRANSLATE(A9330,""en"",""pt"")"),"#VALUE!")</f>
        <v>#VALUE!</v>
      </c>
      <c r="G9330" s="69"/>
    </row>
    <row r="9331" ht="22.5" customHeight="1">
      <c r="A9331" s="66"/>
      <c r="B9331" s="67" t="str">
        <f t="shared" si="16"/>
        <v>M: </v>
      </c>
      <c r="C9331" s="68"/>
      <c r="D9331" s="68">
        <v>46682.0</v>
      </c>
      <c r="E9331" s="66">
        <v>9.0</v>
      </c>
      <c r="F9331" s="66" t="str">
        <f>IFERROR(__xludf.DUMMYFUNCTION("GOOGLETRANSLATE(A9331,""en"",""pt"")"),"#VALUE!")</f>
        <v>#VALUE!</v>
      </c>
      <c r="G9331" s="69"/>
    </row>
    <row r="9332" ht="22.5" customHeight="1">
      <c r="A9332" s="66"/>
      <c r="B9332" s="67" t="str">
        <f t="shared" si="16"/>
        <v>M: </v>
      </c>
      <c r="C9332" s="68"/>
      <c r="D9332" s="68">
        <v>46683.0</v>
      </c>
      <c r="E9332" s="66">
        <v>10.0</v>
      </c>
      <c r="F9332" s="66" t="str">
        <f>IFERROR(__xludf.DUMMYFUNCTION("GOOGLETRANSLATE(A9332,""en"",""pt"")"),"#VALUE!")</f>
        <v>#VALUE!</v>
      </c>
      <c r="G9332" s="69"/>
    </row>
    <row r="9333" ht="22.5" customHeight="1">
      <c r="A9333" s="66"/>
      <c r="B9333" s="67" t="str">
        <f t="shared" si="16"/>
        <v>M: </v>
      </c>
      <c r="C9333" s="68"/>
      <c r="D9333" s="68">
        <v>46683.0</v>
      </c>
      <c r="E9333" s="66">
        <v>1.0</v>
      </c>
      <c r="F9333" s="66" t="str">
        <f>IFERROR(__xludf.DUMMYFUNCTION("GOOGLETRANSLATE(A9333,""en"",""pt"")"),"#VALUE!")</f>
        <v>#VALUE!</v>
      </c>
      <c r="G9333" s="69"/>
    </row>
    <row r="9334" ht="22.5" customHeight="1">
      <c r="A9334" s="66"/>
      <c r="B9334" s="67" t="str">
        <f t="shared" si="16"/>
        <v>M: </v>
      </c>
      <c r="C9334" s="68"/>
      <c r="D9334" s="68">
        <v>46683.0</v>
      </c>
      <c r="E9334" s="66">
        <v>2.0</v>
      </c>
      <c r="F9334" s="66" t="str">
        <f>IFERROR(__xludf.DUMMYFUNCTION("GOOGLETRANSLATE(A9334,""en"",""pt"")"),"#VALUE!")</f>
        <v>#VALUE!</v>
      </c>
      <c r="G9334" s="69"/>
    </row>
    <row r="9335" ht="22.5" customHeight="1">
      <c r="A9335" s="66"/>
      <c r="B9335" s="67" t="str">
        <f t="shared" si="16"/>
        <v>M: </v>
      </c>
      <c r="C9335" s="68"/>
      <c r="D9335" s="68">
        <v>46683.0</v>
      </c>
      <c r="E9335" s="66">
        <v>3.0</v>
      </c>
      <c r="F9335" s="66" t="str">
        <f>IFERROR(__xludf.DUMMYFUNCTION("GOOGLETRANSLATE(A9335,""en"",""pt"")"),"#VALUE!")</f>
        <v>#VALUE!</v>
      </c>
      <c r="G9335" s="69"/>
    </row>
    <row r="9336" ht="22.5" customHeight="1">
      <c r="A9336" s="66"/>
      <c r="B9336" s="67" t="str">
        <f t="shared" si="16"/>
        <v>M: </v>
      </c>
      <c r="C9336" s="68"/>
      <c r="D9336" s="68">
        <v>46683.0</v>
      </c>
      <c r="E9336" s="66">
        <v>4.0</v>
      </c>
      <c r="F9336" s="66" t="str">
        <f>IFERROR(__xludf.DUMMYFUNCTION("GOOGLETRANSLATE(A9336,""en"",""pt"")"),"#VALUE!")</f>
        <v>#VALUE!</v>
      </c>
      <c r="G9336" s="69"/>
    </row>
    <row r="9337" ht="22.5" customHeight="1">
      <c r="A9337" s="66"/>
      <c r="B9337" s="67" t="str">
        <f t="shared" si="16"/>
        <v>M: </v>
      </c>
      <c r="C9337" s="68"/>
      <c r="D9337" s="68">
        <v>46683.0</v>
      </c>
      <c r="E9337" s="66">
        <v>5.0</v>
      </c>
      <c r="F9337" s="66" t="str">
        <f>IFERROR(__xludf.DUMMYFUNCTION("GOOGLETRANSLATE(A9337,""en"",""pt"")"),"#VALUE!")</f>
        <v>#VALUE!</v>
      </c>
      <c r="G9337" s="69"/>
    </row>
    <row r="9338" ht="22.5" customHeight="1">
      <c r="A9338" s="66"/>
      <c r="B9338" s="67" t="str">
        <f t="shared" si="16"/>
        <v>M: </v>
      </c>
      <c r="C9338" s="68"/>
      <c r="D9338" s="68">
        <v>46683.0</v>
      </c>
      <c r="E9338" s="66">
        <v>6.0</v>
      </c>
      <c r="F9338" s="66" t="str">
        <f>IFERROR(__xludf.DUMMYFUNCTION("GOOGLETRANSLATE(A9338,""en"",""pt"")"),"#VALUE!")</f>
        <v>#VALUE!</v>
      </c>
      <c r="G9338" s="69"/>
    </row>
    <row r="9339" ht="22.5" customHeight="1">
      <c r="A9339" s="66"/>
      <c r="B9339" s="67" t="str">
        <f t="shared" si="16"/>
        <v>M: </v>
      </c>
      <c r="C9339" s="68"/>
      <c r="D9339" s="68">
        <v>46683.0</v>
      </c>
      <c r="E9339" s="66">
        <v>7.0</v>
      </c>
      <c r="F9339" s="66" t="str">
        <f>IFERROR(__xludf.DUMMYFUNCTION("GOOGLETRANSLATE(A9339,""en"",""pt"")"),"#VALUE!")</f>
        <v>#VALUE!</v>
      </c>
      <c r="G9339" s="69"/>
    </row>
    <row r="9340" ht="22.5" customHeight="1">
      <c r="A9340" s="66"/>
      <c r="B9340" s="67" t="str">
        <f t="shared" si="16"/>
        <v>M: </v>
      </c>
      <c r="C9340" s="68"/>
      <c r="D9340" s="68">
        <v>46683.0</v>
      </c>
      <c r="E9340" s="66">
        <v>8.0</v>
      </c>
      <c r="F9340" s="66" t="str">
        <f>IFERROR(__xludf.DUMMYFUNCTION("GOOGLETRANSLATE(A9340,""en"",""pt"")"),"#VALUE!")</f>
        <v>#VALUE!</v>
      </c>
      <c r="G9340" s="69"/>
    </row>
    <row r="9341" ht="22.5" customHeight="1">
      <c r="A9341" s="66"/>
      <c r="B9341" s="67" t="str">
        <f t="shared" si="16"/>
        <v>M: </v>
      </c>
      <c r="C9341" s="68"/>
      <c r="D9341" s="68">
        <v>46683.0</v>
      </c>
      <c r="E9341" s="66">
        <v>9.0</v>
      </c>
      <c r="F9341" s="66" t="str">
        <f>IFERROR(__xludf.DUMMYFUNCTION("GOOGLETRANSLATE(A9341,""en"",""pt"")"),"#VALUE!")</f>
        <v>#VALUE!</v>
      </c>
      <c r="G9341" s="69"/>
    </row>
    <row r="9342" ht="22.5" customHeight="1">
      <c r="A9342" s="66"/>
      <c r="B9342" s="67" t="str">
        <f t="shared" si="16"/>
        <v>M: </v>
      </c>
      <c r="C9342" s="68"/>
      <c r="D9342" s="68">
        <v>46684.0</v>
      </c>
      <c r="E9342" s="66">
        <v>10.0</v>
      </c>
      <c r="F9342" s="66" t="str">
        <f>IFERROR(__xludf.DUMMYFUNCTION("GOOGLETRANSLATE(A9342,""en"",""pt"")"),"#VALUE!")</f>
        <v>#VALUE!</v>
      </c>
      <c r="G9342" s="69"/>
    </row>
    <row r="9343" ht="22.5" customHeight="1">
      <c r="A9343" s="66"/>
      <c r="B9343" s="67" t="str">
        <f t="shared" si="16"/>
        <v>M: </v>
      </c>
      <c r="C9343" s="68"/>
      <c r="D9343" s="68">
        <v>46684.0</v>
      </c>
      <c r="E9343" s="66">
        <v>1.0</v>
      </c>
      <c r="F9343" s="66" t="str">
        <f>IFERROR(__xludf.DUMMYFUNCTION("GOOGLETRANSLATE(A9343,""en"",""pt"")"),"#VALUE!")</f>
        <v>#VALUE!</v>
      </c>
      <c r="G9343" s="69"/>
    </row>
    <row r="9344" ht="22.5" customHeight="1">
      <c r="A9344" s="66"/>
      <c r="B9344" s="67" t="str">
        <f t="shared" si="16"/>
        <v>M: </v>
      </c>
      <c r="C9344" s="68"/>
      <c r="D9344" s="68">
        <v>46684.0</v>
      </c>
      <c r="E9344" s="66">
        <v>2.0</v>
      </c>
      <c r="F9344" s="66" t="str">
        <f>IFERROR(__xludf.DUMMYFUNCTION("GOOGLETRANSLATE(A9344,""en"",""pt"")"),"#VALUE!")</f>
        <v>#VALUE!</v>
      </c>
      <c r="G9344" s="69"/>
    </row>
    <row r="9345" ht="22.5" customHeight="1">
      <c r="A9345" s="66"/>
      <c r="B9345" s="67" t="str">
        <f t="shared" si="16"/>
        <v>M: </v>
      </c>
      <c r="C9345" s="68"/>
      <c r="D9345" s="68">
        <v>46684.0</v>
      </c>
      <c r="E9345" s="66">
        <v>3.0</v>
      </c>
      <c r="F9345" s="66" t="str">
        <f>IFERROR(__xludf.DUMMYFUNCTION("GOOGLETRANSLATE(A9345,""en"",""pt"")"),"#VALUE!")</f>
        <v>#VALUE!</v>
      </c>
      <c r="G9345" s="69"/>
    </row>
    <row r="9346" ht="22.5" customHeight="1">
      <c r="A9346" s="66"/>
      <c r="B9346" s="67" t="str">
        <f t="shared" si="16"/>
        <v>M: </v>
      </c>
      <c r="C9346" s="68"/>
      <c r="D9346" s="68">
        <v>46684.0</v>
      </c>
      <c r="E9346" s="66">
        <v>4.0</v>
      </c>
      <c r="F9346" s="66" t="str">
        <f>IFERROR(__xludf.DUMMYFUNCTION("GOOGLETRANSLATE(A9346,""en"",""pt"")"),"#VALUE!")</f>
        <v>#VALUE!</v>
      </c>
      <c r="G9346" s="69"/>
    </row>
    <row r="9347" ht="22.5" customHeight="1">
      <c r="A9347" s="66"/>
      <c r="B9347" s="67" t="str">
        <f t="shared" si="16"/>
        <v>M: </v>
      </c>
      <c r="C9347" s="68"/>
      <c r="D9347" s="68">
        <v>46684.0</v>
      </c>
      <c r="E9347" s="66">
        <v>5.0</v>
      </c>
      <c r="F9347" s="66" t="str">
        <f>IFERROR(__xludf.DUMMYFUNCTION("GOOGLETRANSLATE(A9347,""en"",""pt"")"),"#VALUE!")</f>
        <v>#VALUE!</v>
      </c>
      <c r="G9347" s="69"/>
    </row>
    <row r="9348" ht="22.5" customHeight="1">
      <c r="A9348" s="66"/>
      <c r="B9348" s="67" t="str">
        <f t="shared" si="16"/>
        <v>M: </v>
      </c>
      <c r="C9348" s="68"/>
      <c r="D9348" s="68">
        <v>46684.0</v>
      </c>
      <c r="E9348" s="66">
        <v>6.0</v>
      </c>
      <c r="F9348" s="66" t="str">
        <f>IFERROR(__xludf.DUMMYFUNCTION("GOOGLETRANSLATE(A9348,""en"",""pt"")"),"#VALUE!")</f>
        <v>#VALUE!</v>
      </c>
      <c r="G9348" s="69"/>
    </row>
    <row r="9349" ht="22.5" customHeight="1">
      <c r="A9349" s="66"/>
      <c r="B9349" s="67" t="str">
        <f t="shared" si="16"/>
        <v>M: </v>
      </c>
      <c r="C9349" s="68"/>
      <c r="D9349" s="68">
        <v>46684.0</v>
      </c>
      <c r="E9349" s="66">
        <v>7.0</v>
      </c>
      <c r="F9349" s="66" t="str">
        <f>IFERROR(__xludf.DUMMYFUNCTION("GOOGLETRANSLATE(A9349,""en"",""pt"")"),"#VALUE!")</f>
        <v>#VALUE!</v>
      </c>
      <c r="G9349" s="69"/>
    </row>
    <row r="9350" ht="22.5" customHeight="1">
      <c r="A9350" s="66"/>
      <c r="B9350" s="67" t="str">
        <f t="shared" si="16"/>
        <v>M: </v>
      </c>
      <c r="C9350" s="68"/>
      <c r="D9350" s="68">
        <v>46684.0</v>
      </c>
      <c r="E9350" s="66">
        <v>8.0</v>
      </c>
      <c r="F9350" s="66" t="str">
        <f>IFERROR(__xludf.DUMMYFUNCTION("GOOGLETRANSLATE(A9350,""en"",""pt"")"),"#VALUE!")</f>
        <v>#VALUE!</v>
      </c>
      <c r="G9350" s="69"/>
    </row>
    <row r="9351" ht="22.5" customHeight="1">
      <c r="A9351" s="66"/>
      <c r="B9351" s="67" t="str">
        <f t="shared" si="16"/>
        <v>M: </v>
      </c>
      <c r="C9351" s="68"/>
      <c r="D9351" s="68">
        <v>46684.0</v>
      </c>
      <c r="E9351" s="66">
        <v>9.0</v>
      </c>
      <c r="F9351" s="66" t="str">
        <f>IFERROR(__xludf.DUMMYFUNCTION("GOOGLETRANSLATE(A9351,""en"",""pt"")"),"#VALUE!")</f>
        <v>#VALUE!</v>
      </c>
      <c r="G9351" s="69"/>
    </row>
    <row r="9352" ht="22.5" customHeight="1">
      <c r="A9352" s="66"/>
      <c r="B9352" s="67" t="str">
        <f t="shared" si="16"/>
        <v>M: </v>
      </c>
      <c r="C9352" s="68"/>
      <c r="D9352" s="68">
        <v>46685.0</v>
      </c>
      <c r="E9352" s="66">
        <v>10.0</v>
      </c>
      <c r="F9352" s="66" t="str">
        <f>IFERROR(__xludf.DUMMYFUNCTION("GOOGLETRANSLATE(A9352,""en"",""pt"")"),"#VALUE!")</f>
        <v>#VALUE!</v>
      </c>
      <c r="G9352" s="69"/>
    </row>
    <row r="9353" ht="22.5" customHeight="1">
      <c r="A9353" s="66"/>
      <c r="B9353" s="67" t="str">
        <f t="shared" si="16"/>
        <v>M: </v>
      </c>
      <c r="C9353" s="68"/>
      <c r="D9353" s="68">
        <v>46685.0</v>
      </c>
      <c r="E9353" s="66">
        <v>1.0</v>
      </c>
      <c r="F9353" s="66" t="str">
        <f>IFERROR(__xludf.DUMMYFUNCTION("GOOGLETRANSLATE(A9353,""en"",""pt"")"),"#VALUE!")</f>
        <v>#VALUE!</v>
      </c>
      <c r="G9353" s="69"/>
    </row>
    <row r="9354" ht="22.5" customHeight="1">
      <c r="A9354" s="66"/>
      <c r="B9354" s="67" t="str">
        <f t="shared" si="16"/>
        <v>M: </v>
      </c>
      <c r="C9354" s="68"/>
      <c r="D9354" s="68">
        <v>46685.0</v>
      </c>
      <c r="E9354" s="66">
        <v>2.0</v>
      </c>
      <c r="F9354" s="66" t="str">
        <f>IFERROR(__xludf.DUMMYFUNCTION("GOOGLETRANSLATE(A9354,""en"",""pt"")"),"#VALUE!")</f>
        <v>#VALUE!</v>
      </c>
      <c r="G9354" s="69"/>
    </row>
    <row r="9355" ht="22.5" customHeight="1">
      <c r="A9355" s="66"/>
      <c r="B9355" s="67" t="str">
        <f t="shared" si="16"/>
        <v>M: </v>
      </c>
      <c r="C9355" s="68"/>
      <c r="D9355" s="68">
        <v>46685.0</v>
      </c>
      <c r="E9355" s="66">
        <v>3.0</v>
      </c>
      <c r="F9355" s="66" t="str">
        <f>IFERROR(__xludf.DUMMYFUNCTION("GOOGLETRANSLATE(A9355,""en"",""pt"")"),"#VALUE!")</f>
        <v>#VALUE!</v>
      </c>
      <c r="G9355" s="69"/>
    </row>
    <row r="9356" ht="22.5" customHeight="1">
      <c r="A9356" s="66"/>
      <c r="B9356" s="67" t="str">
        <f t="shared" si="16"/>
        <v>M: </v>
      </c>
      <c r="C9356" s="68"/>
      <c r="D9356" s="68">
        <v>46685.0</v>
      </c>
      <c r="E9356" s="66">
        <v>4.0</v>
      </c>
      <c r="F9356" s="66" t="str">
        <f>IFERROR(__xludf.DUMMYFUNCTION("GOOGLETRANSLATE(A9356,""en"",""pt"")"),"#VALUE!")</f>
        <v>#VALUE!</v>
      </c>
      <c r="G9356" s="69"/>
    </row>
    <row r="9357" ht="22.5" customHeight="1">
      <c r="A9357" s="66"/>
      <c r="B9357" s="67" t="str">
        <f t="shared" si="16"/>
        <v>M: </v>
      </c>
      <c r="C9357" s="68"/>
      <c r="D9357" s="68">
        <v>46685.0</v>
      </c>
      <c r="E9357" s="66">
        <v>5.0</v>
      </c>
      <c r="F9357" s="66" t="str">
        <f>IFERROR(__xludf.DUMMYFUNCTION("GOOGLETRANSLATE(A9357,""en"",""pt"")"),"#VALUE!")</f>
        <v>#VALUE!</v>
      </c>
      <c r="G9357" s="69"/>
    </row>
    <row r="9358" ht="22.5" customHeight="1">
      <c r="A9358" s="66"/>
      <c r="B9358" s="67" t="str">
        <f t="shared" si="16"/>
        <v>M: </v>
      </c>
      <c r="C9358" s="68"/>
      <c r="D9358" s="68">
        <v>46685.0</v>
      </c>
      <c r="E9358" s="66">
        <v>6.0</v>
      </c>
      <c r="F9358" s="66" t="str">
        <f>IFERROR(__xludf.DUMMYFUNCTION("GOOGLETRANSLATE(A9358,""en"",""pt"")"),"#VALUE!")</f>
        <v>#VALUE!</v>
      </c>
      <c r="G9358" s="69"/>
    </row>
    <row r="9359" ht="22.5" customHeight="1">
      <c r="A9359" s="66"/>
      <c r="B9359" s="67" t="str">
        <f t="shared" si="16"/>
        <v>M: </v>
      </c>
      <c r="C9359" s="68"/>
      <c r="D9359" s="68">
        <v>46685.0</v>
      </c>
      <c r="E9359" s="66">
        <v>7.0</v>
      </c>
      <c r="F9359" s="66" t="str">
        <f>IFERROR(__xludf.DUMMYFUNCTION("GOOGLETRANSLATE(A9359,""en"",""pt"")"),"#VALUE!")</f>
        <v>#VALUE!</v>
      </c>
      <c r="G9359" s="69"/>
    </row>
    <row r="9360" ht="22.5" customHeight="1">
      <c r="A9360" s="66"/>
      <c r="B9360" s="67" t="str">
        <f t="shared" si="16"/>
        <v>M: </v>
      </c>
      <c r="C9360" s="68"/>
      <c r="D9360" s="68">
        <v>46685.0</v>
      </c>
      <c r="E9360" s="66">
        <v>8.0</v>
      </c>
      <c r="F9360" s="66" t="str">
        <f>IFERROR(__xludf.DUMMYFUNCTION("GOOGLETRANSLATE(A9360,""en"",""pt"")"),"#VALUE!")</f>
        <v>#VALUE!</v>
      </c>
      <c r="G9360" s="69"/>
    </row>
    <row r="9361" ht="22.5" customHeight="1">
      <c r="A9361" s="66"/>
      <c r="B9361" s="67" t="str">
        <f t="shared" si="16"/>
        <v>M: </v>
      </c>
      <c r="C9361" s="68"/>
      <c r="D9361" s="68">
        <v>46685.0</v>
      </c>
      <c r="E9361" s="66">
        <v>9.0</v>
      </c>
      <c r="F9361" s="66" t="str">
        <f>IFERROR(__xludf.DUMMYFUNCTION("GOOGLETRANSLATE(A9361,""en"",""pt"")"),"#VALUE!")</f>
        <v>#VALUE!</v>
      </c>
      <c r="G9361" s="69"/>
    </row>
    <row r="9362" ht="22.5" customHeight="1">
      <c r="A9362" s="66"/>
      <c r="B9362" s="67" t="str">
        <f t="shared" si="16"/>
        <v>M: </v>
      </c>
      <c r="C9362" s="68"/>
      <c r="D9362" s="68">
        <v>46686.0</v>
      </c>
      <c r="E9362" s="66">
        <v>10.0</v>
      </c>
      <c r="F9362" s="66" t="str">
        <f>IFERROR(__xludf.DUMMYFUNCTION("GOOGLETRANSLATE(A9362,""en"",""pt"")"),"#VALUE!")</f>
        <v>#VALUE!</v>
      </c>
      <c r="G9362" s="69"/>
    </row>
    <row r="9363" ht="22.5" customHeight="1">
      <c r="A9363" s="66"/>
      <c r="B9363" s="67" t="str">
        <f t="shared" si="16"/>
        <v>M: </v>
      </c>
      <c r="C9363" s="68"/>
      <c r="D9363" s="68">
        <v>46686.0</v>
      </c>
      <c r="E9363" s="66">
        <v>1.0</v>
      </c>
      <c r="F9363" s="66" t="str">
        <f>IFERROR(__xludf.DUMMYFUNCTION("GOOGLETRANSLATE(A9363,""en"",""pt"")"),"#VALUE!")</f>
        <v>#VALUE!</v>
      </c>
      <c r="G9363" s="69"/>
    </row>
    <row r="9364" ht="22.5" customHeight="1">
      <c r="A9364" s="66"/>
      <c r="B9364" s="67" t="str">
        <f t="shared" si="16"/>
        <v>M: </v>
      </c>
      <c r="C9364" s="68"/>
      <c r="D9364" s="68">
        <v>46686.0</v>
      </c>
      <c r="E9364" s="66">
        <v>2.0</v>
      </c>
      <c r="F9364" s="66" t="str">
        <f>IFERROR(__xludf.DUMMYFUNCTION("GOOGLETRANSLATE(A9364,""en"",""pt"")"),"#VALUE!")</f>
        <v>#VALUE!</v>
      </c>
      <c r="G9364" s="69"/>
    </row>
    <row r="9365" ht="22.5" customHeight="1">
      <c r="A9365" s="66"/>
      <c r="B9365" s="67" t="str">
        <f t="shared" si="16"/>
        <v>M: </v>
      </c>
      <c r="C9365" s="68"/>
      <c r="D9365" s="68">
        <v>46686.0</v>
      </c>
      <c r="E9365" s="66">
        <v>3.0</v>
      </c>
      <c r="F9365" s="66" t="str">
        <f>IFERROR(__xludf.DUMMYFUNCTION("GOOGLETRANSLATE(A9365,""en"",""pt"")"),"#VALUE!")</f>
        <v>#VALUE!</v>
      </c>
      <c r="G9365" s="69"/>
    </row>
    <row r="9366" ht="22.5" customHeight="1">
      <c r="A9366" s="66"/>
      <c r="B9366" s="67" t="str">
        <f t="shared" si="16"/>
        <v>M: </v>
      </c>
      <c r="C9366" s="68"/>
      <c r="D9366" s="68">
        <v>46686.0</v>
      </c>
      <c r="E9366" s="66">
        <v>4.0</v>
      </c>
      <c r="F9366" s="66" t="str">
        <f>IFERROR(__xludf.DUMMYFUNCTION("GOOGLETRANSLATE(A9366,""en"",""pt"")"),"#VALUE!")</f>
        <v>#VALUE!</v>
      </c>
      <c r="G9366" s="69"/>
    </row>
    <row r="9367" ht="22.5" customHeight="1">
      <c r="A9367" s="66"/>
      <c r="B9367" s="67" t="str">
        <f t="shared" si="16"/>
        <v>M: </v>
      </c>
      <c r="C9367" s="68"/>
      <c r="D9367" s="68">
        <v>46686.0</v>
      </c>
      <c r="E9367" s="66">
        <v>5.0</v>
      </c>
      <c r="F9367" s="66" t="str">
        <f>IFERROR(__xludf.DUMMYFUNCTION("GOOGLETRANSLATE(A9367,""en"",""pt"")"),"#VALUE!")</f>
        <v>#VALUE!</v>
      </c>
      <c r="G9367" s="69"/>
    </row>
    <row r="9368" ht="22.5" customHeight="1">
      <c r="A9368" s="66"/>
      <c r="B9368" s="67" t="str">
        <f t="shared" si="16"/>
        <v>M: </v>
      </c>
      <c r="C9368" s="68"/>
      <c r="D9368" s="68">
        <v>46686.0</v>
      </c>
      <c r="E9368" s="66">
        <v>6.0</v>
      </c>
      <c r="F9368" s="66" t="str">
        <f>IFERROR(__xludf.DUMMYFUNCTION("GOOGLETRANSLATE(A9368,""en"",""pt"")"),"#VALUE!")</f>
        <v>#VALUE!</v>
      </c>
      <c r="G9368" s="69"/>
    </row>
    <row r="9369" ht="22.5" customHeight="1">
      <c r="A9369" s="66"/>
      <c r="B9369" s="67" t="str">
        <f t="shared" si="16"/>
        <v>M: </v>
      </c>
      <c r="C9369" s="68"/>
      <c r="D9369" s="68">
        <v>46686.0</v>
      </c>
      <c r="E9369" s="66">
        <v>7.0</v>
      </c>
      <c r="F9369" s="66" t="str">
        <f>IFERROR(__xludf.DUMMYFUNCTION("GOOGLETRANSLATE(A9369,""en"",""pt"")"),"#VALUE!")</f>
        <v>#VALUE!</v>
      </c>
      <c r="G9369" s="69"/>
    </row>
    <row r="9370" ht="22.5" customHeight="1">
      <c r="A9370" s="66"/>
      <c r="B9370" s="67" t="str">
        <f t="shared" si="16"/>
        <v>M: </v>
      </c>
      <c r="C9370" s="68"/>
      <c r="D9370" s="68">
        <v>46686.0</v>
      </c>
      <c r="E9370" s="66">
        <v>8.0</v>
      </c>
      <c r="F9370" s="66" t="str">
        <f>IFERROR(__xludf.DUMMYFUNCTION("GOOGLETRANSLATE(A9370,""en"",""pt"")"),"#VALUE!")</f>
        <v>#VALUE!</v>
      </c>
      <c r="G9370" s="69"/>
    </row>
    <row r="9371" ht="22.5" customHeight="1">
      <c r="A9371" s="66"/>
      <c r="B9371" s="67" t="str">
        <f t="shared" si="16"/>
        <v>M: </v>
      </c>
      <c r="C9371" s="68"/>
      <c r="D9371" s="68">
        <v>46686.0</v>
      </c>
      <c r="E9371" s="66">
        <v>9.0</v>
      </c>
      <c r="F9371" s="66" t="str">
        <f>IFERROR(__xludf.DUMMYFUNCTION("GOOGLETRANSLATE(A9371,""en"",""pt"")"),"#VALUE!")</f>
        <v>#VALUE!</v>
      </c>
      <c r="G9371" s="69"/>
    </row>
    <row r="9372" ht="22.5" customHeight="1">
      <c r="A9372" s="66"/>
      <c r="B9372" s="67" t="str">
        <f t="shared" si="16"/>
        <v>M: </v>
      </c>
      <c r="C9372" s="68"/>
      <c r="D9372" s="68">
        <v>46687.0</v>
      </c>
      <c r="E9372" s="66">
        <v>10.0</v>
      </c>
      <c r="F9372" s="66" t="str">
        <f>IFERROR(__xludf.DUMMYFUNCTION("GOOGLETRANSLATE(A9372,""en"",""pt"")"),"#VALUE!")</f>
        <v>#VALUE!</v>
      </c>
      <c r="G9372" s="69"/>
    </row>
    <row r="9373" ht="22.5" customHeight="1">
      <c r="A9373" s="66"/>
      <c r="B9373" s="67" t="str">
        <f t="shared" si="16"/>
        <v>M: </v>
      </c>
      <c r="C9373" s="68"/>
      <c r="D9373" s="68">
        <v>46687.0</v>
      </c>
      <c r="E9373" s="66">
        <v>1.0</v>
      </c>
      <c r="F9373" s="66" t="str">
        <f>IFERROR(__xludf.DUMMYFUNCTION("GOOGLETRANSLATE(A9373,""en"",""pt"")"),"#VALUE!")</f>
        <v>#VALUE!</v>
      </c>
      <c r="G9373" s="69"/>
    </row>
    <row r="9374" ht="22.5" customHeight="1">
      <c r="A9374" s="66"/>
      <c r="B9374" s="67" t="str">
        <f t="shared" si="16"/>
        <v>M: </v>
      </c>
      <c r="C9374" s="68"/>
      <c r="D9374" s="68">
        <v>46687.0</v>
      </c>
      <c r="E9374" s="66">
        <v>2.0</v>
      </c>
      <c r="F9374" s="66" t="str">
        <f>IFERROR(__xludf.DUMMYFUNCTION("GOOGLETRANSLATE(A9374,""en"",""pt"")"),"#VALUE!")</f>
        <v>#VALUE!</v>
      </c>
      <c r="G9374" s="69"/>
    </row>
    <row r="9375" ht="22.5" customHeight="1">
      <c r="A9375" s="66"/>
      <c r="B9375" s="67" t="str">
        <f t="shared" si="16"/>
        <v>M: </v>
      </c>
      <c r="C9375" s="68"/>
      <c r="D9375" s="68">
        <v>46687.0</v>
      </c>
      <c r="E9375" s="66">
        <v>3.0</v>
      </c>
      <c r="F9375" s="66" t="str">
        <f>IFERROR(__xludf.DUMMYFUNCTION("GOOGLETRANSLATE(A9375,""en"",""pt"")"),"#VALUE!")</f>
        <v>#VALUE!</v>
      </c>
      <c r="G9375" s="69"/>
    </row>
    <row r="9376" ht="22.5" customHeight="1">
      <c r="A9376" s="66"/>
      <c r="B9376" s="67" t="str">
        <f t="shared" si="16"/>
        <v>M: </v>
      </c>
      <c r="C9376" s="68"/>
      <c r="D9376" s="68">
        <v>46687.0</v>
      </c>
      <c r="E9376" s="66">
        <v>4.0</v>
      </c>
      <c r="F9376" s="66" t="str">
        <f>IFERROR(__xludf.DUMMYFUNCTION("GOOGLETRANSLATE(A9376,""en"",""pt"")"),"#VALUE!")</f>
        <v>#VALUE!</v>
      </c>
      <c r="G9376" s="69"/>
    </row>
    <row r="9377" ht="22.5" customHeight="1">
      <c r="A9377" s="66"/>
      <c r="B9377" s="67" t="str">
        <f t="shared" si="16"/>
        <v>M: </v>
      </c>
      <c r="C9377" s="68"/>
      <c r="D9377" s="68">
        <v>46687.0</v>
      </c>
      <c r="E9377" s="66">
        <v>5.0</v>
      </c>
      <c r="F9377" s="66" t="str">
        <f>IFERROR(__xludf.DUMMYFUNCTION("GOOGLETRANSLATE(A9377,""en"",""pt"")"),"#VALUE!")</f>
        <v>#VALUE!</v>
      </c>
      <c r="G9377" s="69"/>
    </row>
    <row r="9378" ht="22.5" customHeight="1">
      <c r="A9378" s="66"/>
      <c r="B9378" s="67" t="str">
        <f t="shared" si="16"/>
        <v>M: </v>
      </c>
      <c r="C9378" s="68"/>
      <c r="D9378" s="68">
        <v>46687.0</v>
      </c>
      <c r="E9378" s="66">
        <v>6.0</v>
      </c>
      <c r="F9378" s="66" t="str">
        <f>IFERROR(__xludf.DUMMYFUNCTION("GOOGLETRANSLATE(A9378,""en"",""pt"")"),"#VALUE!")</f>
        <v>#VALUE!</v>
      </c>
      <c r="G9378" s="69"/>
    </row>
    <row r="9379" ht="22.5" customHeight="1">
      <c r="A9379" s="66"/>
      <c r="B9379" s="67" t="str">
        <f t="shared" si="16"/>
        <v>M: </v>
      </c>
      <c r="C9379" s="68"/>
      <c r="D9379" s="68">
        <v>46687.0</v>
      </c>
      <c r="E9379" s="66">
        <v>7.0</v>
      </c>
      <c r="F9379" s="66" t="str">
        <f>IFERROR(__xludf.DUMMYFUNCTION("GOOGLETRANSLATE(A9379,""en"",""pt"")"),"#VALUE!")</f>
        <v>#VALUE!</v>
      </c>
      <c r="G9379" s="69"/>
    </row>
    <row r="9380" ht="22.5" customHeight="1">
      <c r="A9380" s="66"/>
      <c r="B9380" s="67" t="str">
        <f t="shared" si="16"/>
        <v>M: </v>
      </c>
      <c r="C9380" s="68"/>
      <c r="D9380" s="68">
        <v>46687.0</v>
      </c>
      <c r="E9380" s="66">
        <v>8.0</v>
      </c>
      <c r="F9380" s="66" t="str">
        <f>IFERROR(__xludf.DUMMYFUNCTION("GOOGLETRANSLATE(A9380,""en"",""pt"")"),"#VALUE!")</f>
        <v>#VALUE!</v>
      </c>
      <c r="G9380" s="69"/>
    </row>
    <row r="9381" ht="22.5" customHeight="1">
      <c r="A9381" s="66"/>
      <c r="B9381" s="67" t="str">
        <f t="shared" si="16"/>
        <v>M: </v>
      </c>
      <c r="C9381" s="68"/>
      <c r="D9381" s="68">
        <v>46687.0</v>
      </c>
      <c r="E9381" s="66">
        <v>9.0</v>
      </c>
      <c r="F9381" s="66" t="str">
        <f>IFERROR(__xludf.DUMMYFUNCTION("GOOGLETRANSLATE(A9381,""en"",""pt"")"),"#VALUE!")</f>
        <v>#VALUE!</v>
      </c>
      <c r="G9381" s="69"/>
    </row>
    <row r="9382" ht="22.5" customHeight="1">
      <c r="A9382" s="66"/>
      <c r="B9382" s="67" t="str">
        <f t="shared" si="16"/>
        <v>M: </v>
      </c>
      <c r="C9382" s="68"/>
      <c r="D9382" s="68">
        <v>46688.0</v>
      </c>
      <c r="E9382" s="66">
        <v>10.0</v>
      </c>
      <c r="F9382" s="66" t="str">
        <f>IFERROR(__xludf.DUMMYFUNCTION("GOOGLETRANSLATE(A9382,""en"",""pt"")"),"#VALUE!")</f>
        <v>#VALUE!</v>
      </c>
      <c r="G9382" s="69"/>
    </row>
    <row r="9383" ht="22.5" customHeight="1">
      <c r="A9383" s="66"/>
      <c r="B9383" s="67" t="str">
        <f t="shared" si="16"/>
        <v>M: </v>
      </c>
      <c r="C9383" s="68"/>
      <c r="D9383" s="68">
        <v>46688.0</v>
      </c>
      <c r="E9383" s="66">
        <v>1.0</v>
      </c>
      <c r="F9383" s="66" t="str">
        <f>IFERROR(__xludf.DUMMYFUNCTION("GOOGLETRANSLATE(A9383,""en"",""pt"")"),"#VALUE!")</f>
        <v>#VALUE!</v>
      </c>
      <c r="G9383" s="69"/>
    </row>
    <row r="9384" ht="22.5" customHeight="1">
      <c r="A9384" s="66"/>
      <c r="B9384" s="67" t="str">
        <f t="shared" si="16"/>
        <v>M: </v>
      </c>
      <c r="C9384" s="68"/>
      <c r="D9384" s="68">
        <v>46688.0</v>
      </c>
      <c r="E9384" s="66">
        <v>2.0</v>
      </c>
      <c r="F9384" s="66" t="str">
        <f>IFERROR(__xludf.DUMMYFUNCTION("GOOGLETRANSLATE(A9384,""en"",""pt"")"),"#VALUE!")</f>
        <v>#VALUE!</v>
      </c>
      <c r="G9384" s="69"/>
    </row>
    <row r="9385" ht="22.5" customHeight="1">
      <c r="A9385" s="66"/>
      <c r="B9385" s="67" t="str">
        <f t="shared" si="16"/>
        <v>M: </v>
      </c>
      <c r="C9385" s="68"/>
      <c r="D9385" s="68">
        <v>46688.0</v>
      </c>
      <c r="E9385" s="66">
        <v>3.0</v>
      </c>
      <c r="F9385" s="66" t="str">
        <f>IFERROR(__xludf.DUMMYFUNCTION("GOOGLETRANSLATE(A9385,""en"",""pt"")"),"#VALUE!")</f>
        <v>#VALUE!</v>
      </c>
      <c r="G9385" s="69"/>
    </row>
    <row r="9386" ht="22.5" customHeight="1">
      <c r="A9386" s="66"/>
      <c r="B9386" s="67" t="str">
        <f t="shared" si="16"/>
        <v>M: </v>
      </c>
      <c r="C9386" s="68"/>
      <c r="D9386" s="68">
        <v>46688.0</v>
      </c>
      <c r="E9386" s="66">
        <v>4.0</v>
      </c>
      <c r="F9386" s="66" t="str">
        <f>IFERROR(__xludf.DUMMYFUNCTION("GOOGLETRANSLATE(A9386,""en"",""pt"")"),"#VALUE!")</f>
        <v>#VALUE!</v>
      </c>
      <c r="G9386" s="69"/>
    </row>
    <row r="9387" ht="22.5" customHeight="1">
      <c r="A9387" s="66"/>
      <c r="B9387" s="67" t="str">
        <f t="shared" si="16"/>
        <v>M: </v>
      </c>
      <c r="C9387" s="68"/>
      <c r="D9387" s="68">
        <v>46688.0</v>
      </c>
      <c r="E9387" s="66">
        <v>5.0</v>
      </c>
      <c r="F9387" s="66" t="str">
        <f>IFERROR(__xludf.DUMMYFUNCTION("GOOGLETRANSLATE(A9387,""en"",""pt"")"),"#VALUE!")</f>
        <v>#VALUE!</v>
      </c>
      <c r="G9387" s="69"/>
    </row>
    <row r="9388" ht="22.5" customHeight="1">
      <c r="A9388" s="66"/>
      <c r="B9388" s="67" t="str">
        <f t="shared" si="16"/>
        <v>M: </v>
      </c>
      <c r="C9388" s="68"/>
      <c r="D9388" s="68">
        <v>46688.0</v>
      </c>
      <c r="E9388" s="66">
        <v>6.0</v>
      </c>
      <c r="F9388" s="66" t="str">
        <f>IFERROR(__xludf.DUMMYFUNCTION("GOOGLETRANSLATE(A9388,""en"",""pt"")"),"#VALUE!")</f>
        <v>#VALUE!</v>
      </c>
      <c r="G9388" s="69"/>
    </row>
    <row r="9389" ht="22.5" customHeight="1">
      <c r="A9389" s="66"/>
      <c r="B9389" s="67" t="str">
        <f t="shared" si="16"/>
        <v>M: </v>
      </c>
      <c r="C9389" s="68"/>
      <c r="D9389" s="68">
        <v>46688.0</v>
      </c>
      <c r="E9389" s="66">
        <v>7.0</v>
      </c>
      <c r="F9389" s="66" t="str">
        <f>IFERROR(__xludf.DUMMYFUNCTION("GOOGLETRANSLATE(A9389,""en"",""pt"")"),"#VALUE!")</f>
        <v>#VALUE!</v>
      </c>
      <c r="G9389" s="69"/>
    </row>
    <row r="9390" ht="22.5" customHeight="1">
      <c r="A9390" s="66"/>
      <c r="B9390" s="67" t="str">
        <f t="shared" si="16"/>
        <v>M: </v>
      </c>
      <c r="C9390" s="68"/>
      <c r="D9390" s="68">
        <v>46688.0</v>
      </c>
      <c r="E9390" s="66">
        <v>8.0</v>
      </c>
      <c r="F9390" s="66" t="str">
        <f>IFERROR(__xludf.DUMMYFUNCTION("GOOGLETRANSLATE(A9390,""en"",""pt"")"),"#VALUE!")</f>
        <v>#VALUE!</v>
      </c>
      <c r="G9390" s="69"/>
    </row>
    <row r="9391" ht="22.5" customHeight="1">
      <c r="A9391" s="66"/>
      <c r="B9391" s="67" t="str">
        <f t="shared" si="16"/>
        <v>M: </v>
      </c>
      <c r="C9391" s="68"/>
      <c r="D9391" s="68">
        <v>46688.0</v>
      </c>
      <c r="E9391" s="66">
        <v>9.0</v>
      </c>
      <c r="F9391" s="66" t="str">
        <f>IFERROR(__xludf.DUMMYFUNCTION("GOOGLETRANSLATE(A9391,""en"",""pt"")"),"#VALUE!")</f>
        <v>#VALUE!</v>
      </c>
      <c r="G9391" s="69"/>
    </row>
    <row r="9392" ht="22.5" customHeight="1">
      <c r="A9392" s="66"/>
      <c r="B9392" s="67" t="str">
        <f t="shared" si="16"/>
        <v>M: </v>
      </c>
      <c r="C9392" s="68"/>
      <c r="D9392" s="68">
        <v>46689.0</v>
      </c>
      <c r="E9392" s="66">
        <v>10.0</v>
      </c>
      <c r="F9392" s="66" t="str">
        <f>IFERROR(__xludf.DUMMYFUNCTION("GOOGLETRANSLATE(A9392,""en"",""pt"")"),"#VALUE!")</f>
        <v>#VALUE!</v>
      </c>
      <c r="G9392" s="69"/>
    </row>
    <row r="9393" ht="22.5" customHeight="1">
      <c r="A9393" s="66"/>
      <c r="B9393" s="67" t="str">
        <f t="shared" si="16"/>
        <v>M: </v>
      </c>
      <c r="C9393" s="68"/>
      <c r="D9393" s="68">
        <v>46689.0</v>
      </c>
      <c r="E9393" s="66">
        <v>1.0</v>
      </c>
      <c r="F9393" s="66" t="str">
        <f>IFERROR(__xludf.DUMMYFUNCTION("GOOGLETRANSLATE(A9393,""en"",""pt"")"),"#VALUE!")</f>
        <v>#VALUE!</v>
      </c>
      <c r="G9393" s="69"/>
    </row>
    <row r="9394" ht="22.5" customHeight="1">
      <c r="A9394" s="66"/>
      <c r="B9394" s="67" t="str">
        <f t="shared" si="16"/>
        <v>M: </v>
      </c>
      <c r="C9394" s="68"/>
      <c r="D9394" s="68">
        <v>46689.0</v>
      </c>
      <c r="E9394" s="66">
        <v>2.0</v>
      </c>
      <c r="F9394" s="66" t="str">
        <f>IFERROR(__xludf.DUMMYFUNCTION("GOOGLETRANSLATE(A9394,""en"",""pt"")"),"#VALUE!")</f>
        <v>#VALUE!</v>
      </c>
      <c r="G9394" s="69"/>
    </row>
    <row r="9395" ht="22.5" customHeight="1">
      <c r="A9395" s="66"/>
      <c r="B9395" s="67" t="str">
        <f t="shared" si="16"/>
        <v>M: </v>
      </c>
      <c r="C9395" s="68"/>
      <c r="D9395" s="68">
        <v>46689.0</v>
      </c>
      <c r="E9395" s="66">
        <v>3.0</v>
      </c>
      <c r="F9395" s="66" t="str">
        <f>IFERROR(__xludf.DUMMYFUNCTION("GOOGLETRANSLATE(A9395,""en"",""pt"")"),"#VALUE!")</f>
        <v>#VALUE!</v>
      </c>
      <c r="G9395" s="69"/>
    </row>
    <row r="9396" ht="22.5" customHeight="1">
      <c r="A9396" s="66"/>
      <c r="B9396" s="67" t="str">
        <f t="shared" si="16"/>
        <v>M: </v>
      </c>
      <c r="C9396" s="68"/>
      <c r="D9396" s="68">
        <v>46689.0</v>
      </c>
      <c r="E9396" s="66">
        <v>4.0</v>
      </c>
      <c r="F9396" s="66" t="str">
        <f>IFERROR(__xludf.DUMMYFUNCTION("GOOGLETRANSLATE(A9396,""en"",""pt"")"),"#VALUE!")</f>
        <v>#VALUE!</v>
      </c>
      <c r="G9396" s="69"/>
    </row>
    <row r="9397" ht="22.5" customHeight="1">
      <c r="A9397" s="66"/>
      <c r="B9397" s="67" t="str">
        <f t="shared" si="16"/>
        <v>M: </v>
      </c>
      <c r="C9397" s="68"/>
      <c r="D9397" s="68">
        <v>46689.0</v>
      </c>
      <c r="E9397" s="66">
        <v>5.0</v>
      </c>
      <c r="F9397" s="66" t="str">
        <f>IFERROR(__xludf.DUMMYFUNCTION("GOOGLETRANSLATE(A9397,""en"",""pt"")"),"#VALUE!")</f>
        <v>#VALUE!</v>
      </c>
      <c r="G9397" s="69"/>
    </row>
    <row r="9398" ht="22.5" customHeight="1">
      <c r="A9398" s="66"/>
      <c r="B9398" s="67" t="str">
        <f t="shared" si="16"/>
        <v>M: </v>
      </c>
      <c r="C9398" s="68"/>
      <c r="D9398" s="68">
        <v>46689.0</v>
      </c>
      <c r="E9398" s="66">
        <v>6.0</v>
      </c>
      <c r="F9398" s="66" t="str">
        <f>IFERROR(__xludf.DUMMYFUNCTION("GOOGLETRANSLATE(A9398,""en"",""pt"")"),"#VALUE!")</f>
        <v>#VALUE!</v>
      </c>
      <c r="G9398" s="69"/>
    </row>
    <row r="9399" ht="22.5" customHeight="1">
      <c r="A9399" s="66"/>
      <c r="B9399" s="67" t="str">
        <f t="shared" si="16"/>
        <v>M: </v>
      </c>
      <c r="C9399" s="68"/>
      <c r="D9399" s="68">
        <v>46689.0</v>
      </c>
      <c r="E9399" s="66">
        <v>7.0</v>
      </c>
      <c r="F9399" s="66" t="str">
        <f>IFERROR(__xludf.DUMMYFUNCTION("GOOGLETRANSLATE(A9399,""en"",""pt"")"),"#VALUE!")</f>
        <v>#VALUE!</v>
      </c>
      <c r="G9399" s="69"/>
    </row>
    <row r="9400" ht="22.5" customHeight="1">
      <c r="A9400" s="66"/>
      <c r="B9400" s="67" t="str">
        <f t="shared" si="16"/>
        <v>M: </v>
      </c>
      <c r="C9400" s="68"/>
      <c r="D9400" s="68">
        <v>46689.0</v>
      </c>
      <c r="E9400" s="66">
        <v>8.0</v>
      </c>
      <c r="F9400" s="66" t="str">
        <f>IFERROR(__xludf.DUMMYFUNCTION("GOOGLETRANSLATE(A9400,""en"",""pt"")"),"#VALUE!")</f>
        <v>#VALUE!</v>
      </c>
      <c r="G9400" s="69"/>
    </row>
    <row r="9401" ht="22.5" customHeight="1">
      <c r="A9401" s="66"/>
      <c r="B9401" s="67" t="str">
        <f t="shared" si="16"/>
        <v>M: </v>
      </c>
      <c r="C9401" s="68"/>
      <c r="D9401" s="68">
        <v>46689.0</v>
      </c>
      <c r="E9401" s="66">
        <v>9.0</v>
      </c>
      <c r="F9401" s="66" t="str">
        <f>IFERROR(__xludf.DUMMYFUNCTION("GOOGLETRANSLATE(A9401,""en"",""pt"")"),"#VALUE!")</f>
        <v>#VALUE!</v>
      </c>
      <c r="G9401" s="69"/>
    </row>
    <row r="9402" ht="22.5" customHeight="1">
      <c r="A9402" s="66"/>
      <c r="B9402" s="67" t="str">
        <f t="shared" si="16"/>
        <v>M: </v>
      </c>
      <c r="C9402" s="68"/>
      <c r="D9402" s="68">
        <v>46690.0</v>
      </c>
      <c r="E9402" s="66">
        <v>10.0</v>
      </c>
      <c r="F9402" s="66" t="str">
        <f>IFERROR(__xludf.DUMMYFUNCTION("GOOGLETRANSLATE(A9402,""en"",""pt"")"),"#VALUE!")</f>
        <v>#VALUE!</v>
      </c>
      <c r="G9402" s="69"/>
    </row>
    <row r="9403" ht="22.5" customHeight="1">
      <c r="A9403" s="66"/>
      <c r="B9403" s="67" t="str">
        <f t="shared" si="16"/>
        <v>M: </v>
      </c>
      <c r="C9403" s="68"/>
      <c r="D9403" s="68">
        <v>46690.0</v>
      </c>
      <c r="E9403" s="66">
        <v>1.0</v>
      </c>
      <c r="F9403" s="66" t="str">
        <f>IFERROR(__xludf.DUMMYFUNCTION("GOOGLETRANSLATE(A9403,""en"",""pt"")"),"#VALUE!")</f>
        <v>#VALUE!</v>
      </c>
      <c r="G9403" s="69"/>
    </row>
    <row r="9404" ht="22.5" customHeight="1">
      <c r="A9404" s="66"/>
      <c r="B9404" s="67" t="str">
        <f t="shared" si="16"/>
        <v>M: </v>
      </c>
      <c r="C9404" s="68"/>
      <c r="D9404" s="68">
        <v>46690.0</v>
      </c>
      <c r="E9404" s="66">
        <v>2.0</v>
      </c>
      <c r="F9404" s="66" t="str">
        <f>IFERROR(__xludf.DUMMYFUNCTION("GOOGLETRANSLATE(A9404,""en"",""pt"")"),"#VALUE!")</f>
        <v>#VALUE!</v>
      </c>
      <c r="G9404" s="69"/>
    </row>
    <row r="9405" ht="22.5" customHeight="1">
      <c r="A9405" s="66"/>
      <c r="B9405" s="67" t="str">
        <f t="shared" si="16"/>
        <v>M: </v>
      </c>
      <c r="C9405" s="68"/>
      <c r="D9405" s="68">
        <v>46690.0</v>
      </c>
      <c r="E9405" s="66">
        <v>3.0</v>
      </c>
      <c r="F9405" s="66" t="str">
        <f>IFERROR(__xludf.DUMMYFUNCTION("GOOGLETRANSLATE(A9405,""en"",""pt"")"),"#VALUE!")</f>
        <v>#VALUE!</v>
      </c>
      <c r="G9405" s="69"/>
    </row>
    <row r="9406" ht="22.5" customHeight="1">
      <c r="A9406" s="66"/>
      <c r="B9406" s="67" t="str">
        <f t="shared" si="16"/>
        <v>M: </v>
      </c>
      <c r="C9406" s="68"/>
      <c r="D9406" s="68">
        <v>46690.0</v>
      </c>
      <c r="E9406" s="66">
        <v>4.0</v>
      </c>
      <c r="F9406" s="66" t="str">
        <f>IFERROR(__xludf.DUMMYFUNCTION("GOOGLETRANSLATE(A9406,""en"",""pt"")"),"#VALUE!")</f>
        <v>#VALUE!</v>
      </c>
      <c r="G9406" s="69"/>
    </row>
    <row r="9407" ht="22.5" customHeight="1">
      <c r="A9407" s="66"/>
      <c r="B9407" s="67" t="str">
        <f t="shared" si="16"/>
        <v>M: </v>
      </c>
      <c r="C9407" s="68"/>
      <c r="D9407" s="68">
        <v>46690.0</v>
      </c>
      <c r="E9407" s="66">
        <v>5.0</v>
      </c>
      <c r="F9407" s="66" t="str">
        <f>IFERROR(__xludf.DUMMYFUNCTION("GOOGLETRANSLATE(A9407,""en"",""pt"")"),"#VALUE!")</f>
        <v>#VALUE!</v>
      </c>
      <c r="G9407" s="69"/>
    </row>
    <row r="9408" ht="22.5" customHeight="1">
      <c r="A9408" s="66"/>
      <c r="B9408" s="67" t="str">
        <f t="shared" si="16"/>
        <v>M: </v>
      </c>
      <c r="C9408" s="68"/>
      <c r="D9408" s="68">
        <v>46690.0</v>
      </c>
      <c r="E9408" s="66">
        <v>6.0</v>
      </c>
      <c r="F9408" s="66" t="str">
        <f>IFERROR(__xludf.DUMMYFUNCTION("GOOGLETRANSLATE(A9408,""en"",""pt"")"),"#VALUE!")</f>
        <v>#VALUE!</v>
      </c>
      <c r="G9408" s="69"/>
    </row>
    <row r="9409" ht="22.5" customHeight="1">
      <c r="A9409" s="66"/>
      <c r="B9409" s="67" t="str">
        <f t="shared" si="16"/>
        <v>M: </v>
      </c>
      <c r="C9409" s="68"/>
      <c r="D9409" s="68">
        <v>46690.0</v>
      </c>
      <c r="E9409" s="66">
        <v>7.0</v>
      </c>
      <c r="F9409" s="66" t="str">
        <f>IFERROR(__xludf.DUMMYFUNCTION("GOOGLETRANSLATE(A9409,""en"",""pt"")"),"#VALUE!")</f>
        <v>#VALUE!</v>
      </c>
      <c r="G9409" s="69"/>
    </row>
    <row r="9410" ht="22.5" customHeight="1">
      <c r="A9410" s="66"/>
      <c r="B9410" s="67" t="str">
        <f t="shared" si="16"/>
        <v>M: </v>
      </c>
      <c r="C9410" s="68"/>
      <c r="D9410" s="68">
        <v>46690.0</v>
      </c>
      <c r="E9410" s="66">
        <v>8.0</v>
      </c>
      <c r="F9410" s="66" t="str">
        <f>IFERROR(__xludf.DUMMYFUNCTION("GOOGLETRANSLATE(A9410,""en"",""pt"")"),"#VALUE!")</f>
        <v>#VALUE!</v>
      </c>
      <c r="G9410" s="69"/>
    </row>
    <row r="9411" ht="22.5" customHeight="1">
      <c r="A9411" s="66"/>
      <c r="B9411" s="67" t="str">
        <f t="shared" si="16"/>
        <v>M: </v>
      </c>
      <c r="C9411" s="68"/>
      <c r="D9411" s="68">
        <v>46690.0</v>
      </c>
      <c r="E9411" s="66">
        <v>9.0</v>
      </c>
      <c r="F9411" s="66" t="str">
        <f>IFERROR(__xludf.DUMMYFUNCTION("GOOGLETRANSLATE(A9411,""en"",""pt"")"),"#VALUE!")</f>
        <v>#VALUE!</v>
      </c>
      <c r="G9411" s="69"/>
    </row>
    <row r="9412" ht="22.5" customHeight="1">
      <c r="A9412" s="66"/>
      <c r="B9412" s="67" t="str">
        <f t="shared" si="16"/>
        <v>M: </v>
      </c>
      <c r="C9412" s="68"/>
      <c r="D9412" s="68">
        <v>46691.0</v>
      </c>
      <c r="E9412" s="66">
        <v>10.0</v>
      </c>
      <c r="F9412" s="66" t="str">
        <f>IFERROR(__xludf.DUMMYFUNCTION("GOOGLETRANSLATE(A9412,""en"",""pt"")"),"#VALUE!")</f>
        <v>#VALUE!</v>
      </c>
      <c r="G9412" s="69"/>
    </row>
    <row r="9413" ht="22.5" customHeight="1">
      <c r="A9413" s="66"/>
      <c r="B9413" s="67" t="str">
        <f t="shared" si="16"/>
        <v>M: </v>
      </c>
      <c r="C9413" s="68"/>
      <c r="D9413" s="68">
        <v>46691.0</v>
      </c>
      <c r="E9413" s="66">
        <v>1.0</v>
      </c>
      <c r="F9413" s="66" t="str">
        <f>IFERROR(__xludf.DUMMYFUNCTION("GOOGLETRANSLATE(A9413,""en"",""pt"")"),"#VALUE!")</f>
        <v>#VALUE!</v>
      </c>
      <c r="G9413" s="69"/>
    </row>
    <row r="9414" ht="22.5" customHeight="1">
      <c r="A9414" s="66"/>
      <c r="B9414" s="67" t="str">
        <f t="shared" si="16"/>
        <v>M: </v>
      </c>
      <c r="C9414" s="68"/>
      <c r="D9414" s="68">
        <v>46691.0</v>
      </c>
      <c r="E9414" s="66">
        <v>2.0</v>
      </c>
      <c r="F9414" s="66" t="str">
        <f>IFERROR(__xludf.DUMMYFUNCTION("GOOGLETRANSLATE(A9414,""en"",""pt"")"),"#VALUE!")</f>
        <v>#VALUE!</v>
      </c>
      <c r="G9414" s="69"/>
    </row>
    <row r="9415" ht="22.5" customHeight="1">
      <c r="A9415" s="66"/>
      <c r="B9415" s="67" t="str">
        <f t="shared" si="16"/>
        <v>M: </v>
      </c>
      <c r="C9415" s="68"/>
      <c r="D9415" s="68">
        <v>46691.0</v>
      </c>
      <c r="E9415" s="66">
        <v>3.0</v>
      </c>
      <c r="F9415" s="66" t="str">
        <f>IFERROR(__xludf.DUMMYFUNCTION("GOOGLETRANSLATE(A9415,""en"",""pt"")"),"#VALUE!")</f>
        <v>#VALUE!</v>
      </c>
      <c r="G9415" s="69"/>
    </row>
    <row r="9416" ht="22.5" customHeight="1">
      <c r="A9416" s="66"/>
      <c r="B9416" s="67" t="str">
        <f t="shared" si="16"/>
        <v>M: </v>
      </c>
      <c r="C9416" s="68"/>
      <c r="D9416" s="68">
        <v>46691.0</v>
      </c>
      <c r="E9416" s="66">
        <v>4.0</v>
      </c>
      <c r="F9416" s="66" t="str">
        <f>IFERROR(__xludf.DUMMYFUNCTION("GOOGLETRANSLATE(A9416,""en"",""pt"")"),"#VALUE!")</f>
        <v>#VALUE!</v>
      </c>
      <c r="G9416" s="69"/>
    </row>
    <row r="9417" ht="22.5" customHeight="1">
      <c r="A9417" s="66"/>
      <c r="B9417" s="67" t="str">
        <f t="shared" si="16"/>
        <v>M: </v>
      </c>
      <c r="C9417" s="68"/>
      <c r="D9417" s="68">
        <v>46691.0</v>
      </c>
      <c r="E9417" s="66">
        <v>5.0</v>
      </c>
      <c r="F9417" s="66" t="str">
        <f>IFERROR(__xludf.DUMMYFUNCTION("GOOGLETRANSLATE(A9417,""en"",""pt"")"),"#VALUE!")</f>
        <v>#VALUE!</v>
      </c>
      <c r="G9417" s="69"/>
    </row>
    <row r="9418" ht="22.5" customHeight="1">
      <c r="A9418" s="66"/>
      <c r="B9418" s="67" t="str">
        <f t="shared" si="16"/>
        <v>M: </v>
      </c>
      <c r="C9418" s="68"/>
      <c r="D9418" s="68">
        <v>46691.0</v>
      </c>
      <c r="E9418" s="66">
        <v>6.0</v>
      </c>
      <c r="F9418" s="66" t="str">
        <f>IFERROR(__xludf.DUMMYFUNCTION("GOOGLETRANSLATE(A9418,""en"",""pt"")"),"#VALUE!")</f>
        <v>#VALUE!</v>
      </c>
      <c r="G9418" s="69"/>
    </row>
    <row r="9419" ht="22.5" customHeight="1">
      <c r="A9419" s="66"/>
      <c r="B9419" s="67" t="str">
        <f t="shared" si="16"/>
        <v>M: </v>
      </c>
      <c r="C9419" s="68"/>
      <c r="D9419" s="68">
        <v>46691.0</v>
      </c>
      <c r="E9419" s="66">
        <v>7.0</v>
      </c>
      <c r="F9419" s="66" t="str">
        <f>IFERROR(__xludf.DUMMYFUNCTION("GOOGLETRANSLATE(A9419,""en"",""pt"")"),"#VALUE!")</f>
        <v>#VALUE!</v>
      </c>
      <c r="G9419" s="69"/>
    </row>
    <row r="9420" ht="22.5" customHeight="1">
      <c r="A9420" s="66"/>
      <c r="B9420" s="67" t="str">
        <f t="shared" si="16"/>
        <v>M: </v>
      </c>
      <c r="C9420" s="68"/>
      <c r="D9420" s="68">
        <v>46691.0</v>
      </c>
      <c r="E9420" s="66">
        <v>8.0</v>
      </c>
      <c r="F9420" s="66" t="str">
        <f>IFERROR(__xludf.DUMMYFUNCTION("GOOGLETRANSLATE(A9420,""en"",""pt"")"),"#VALUE!")</f>
        <v>#VALUE!</v>
      </c>
      <c r="G9420" s="69"/>
    </row>
    <row r="9421" ht="22.5" customHeight="1">
      <c r="A9421" s="66"/>
      <c r="B9421" s="67" t="str">
        <f t="shared" si="16"/>
        <v>M: </v>
      </c>
      <c r="C9421" s="68"/>
      <c r="D9421" s="68">
        <v>46691.0</v>
      </c>
      <c r="E9421" s="66">
        <v>9.0</v>
      </c>
      <c r="F9421" s="66" t="str">
        <f>IFERROR(__xludf.DUMMYFUNCTION("GOOGLETRANSLATE(A9421,""en"",""pt"")"),"#VALUE!")</f>
        <v>#VALUE!</v>
      </c>
      <c r="G9421" s="69"/>
    </row>
    <row r="9422" ht="22.5" customHeight="1">
      <c r="A9422" s="66"/>
      <c r="B9422" s="67" t="str">
        <f t="shared" si="16"/>
        <v>M: </v>
      </c>
      <c r="C9422" s="68"/>
      <c r="D9422" s="68">
        <v>46692.0</v>
      </c>
      <c r="E9422" s="66">
        <v>10.0</v>
      </c>
      <c r="F9422" s="66" t="str">
        <f>IFERROR(__xludf.DUMMYFUNCTION("GOOGLETRANSLATE(A9422,""en"",""pt"")"),"#VALUE!")</f>
        <v>#VALUE!</v>
      </c>
      <c r="G9422" s="69"/>
    </row>
    <row r="9423" ht="22.5" customHeight="1">
      <c r="A9423" s="66"/>
      <c r="B9423" s="67" t="str">
        <f t="shared" si="16"/>
        <v>M: </v>
      </c>
      <c r="C9423" s="68"/>
      <c r="D9423" s="68">
        <v>46692.0</v>
      </c>
      <c r="E9423" s="66">
        <v>1.0</v>
      </c>
      <c r="F9423" s="66" t="str">
        <f>IFERROR(__xludf.DUMMYFUNCTION("GOOGLETRANSLATE(A9423,""en"",""pt"")"),"#VALUE!")</f>
        <v>#VALUE!</v>
      </c>
      <c r="G9423" s="69"/>
    </row>
    <row r="9424" ht="22.5" customHeight="1">
      <c r="A9424" s="66"/>
      <c r="B9424" s="67" t="str">
        <f t="shared" si="16"/>
        <v>M: </v>
      </c>
      <c r="C9424" s="68"/>
      <c r="D9424" s="68">
        <v>46692.0</v>
      </c>
      <c r="E9424" s="66">
        <v>2.0</v>
      </c>
      <c r="F9424" s="66" t="str">
        <f>IFERROR(__xludf.DUMMYFUNCTION("GOOGLETRANSLATE(A9424,""en"",""pt"")"),"#VALUE!")</f>
        <v>#VALUE!</v>
      </c>
      <c r="G9424" s="69"/>
    </row>
    <row r="9425" ht="22.5" customHeight="1">
      <c r="A9425" s="66"/>
      <c r="B9425" s="67" t="str">
        <f t="shared" si="16"/>
        <v>M: </v>
      </c>
      <c r="C9425" s="68"/>
      <c r="D9425" s="68">
        <v>46692.0</v>
      </c>
      <c r="E9425" s="66">
        <v>3.0</v>
      </c>
      <c r="F9425" s="66" t="str">
        <f>IFERROR(__xludf.DUMMYFUNCTION("GOOGLETRANSLATE(A9425,""en"",""pt"")"),"#VALUE!")</f>
        <v>#VALUE!</v>
      </c>
      <c r="G9425" s="69"/>
    </row>
    <row r="9426" ht="22.5" customHeight="1">
      <c r="A9426" s="66"/>
      <c r="B9426" s="67" t="str">
        <f t="shared" si="16"/>
        <v>M: </v>
      </c>
      <c r="C9426" s="68"/>
      <c r="D9426" s="68">
        <v>46692.0</v>
      </c>
      <c r="E9426" s="66">
        <v>4.0</v>
      </c>
      <c r="F9426" s="66" t="str">
        <f>IFERROR(__xludf.DUMMYFUNCTION("GOOGLETRANSLATE(A9426,""en"",""pt"")"),"#VALUE!")</f>
        <v>#VALUE!</v>
      </c>
      <c r="G9426" s="69"/>
    </row>
    <row r="9427" ht="22.5" customHeight="1">
      <c r="A9427" s="66"/>
      <c r="B9427" s="67" t="str">
        <f t="shared" si="16"/>
        <v>M: </v>
      </c>
      <c r="C9427" s="68"/>
      <c r="D9427" s="68">
        <v>46692.0</v>
      </c>
      <c r="E9427" s="66">
        <v>5.0</v>
      </c>
      <c r="F9427" s="66" t="str">
        <f>IFERROR(__xludf.DUMMYFUNCTION("GOOGLETRANSLATE(A9427,""en"",""pt"")"),"#VALUE!")</f>
        <v>#VALUE!</v>
      </c>
      <c r="G9427" s="69"/>
    </row>
    <row r="9428" ht="22.5" customHeight="1">
      <c r="A9428" s="66"/>
      <c r="B9428" s="67" t="str">
        <f t="shared" si="16"/>
        <v>M: </v>
      </c>
      <c r="C9428" s="68"/>
      <c r="D9428" s="68">
        <v>46692.0</v>
      </c>
      <c r="E9428" s="66">
        <v>6.0</v>
      </c>
      <c r="F9428" s="66" t="str">
        <f>IFERROR(__xludf.DUMMYFUNCTION("GOOGLETRANSLATE(A9428,""en"",""pt"")"),"#VALUE!")</f>
        <v>#VALUE!</v>
      </c>
      <c r="G9428" s="69"/>
    </row>
    <row r="9429" ht="22.5" customHeight="1">
      <c r="A9429" s="66"/>
      <c r="B9429" s="67" t="str">
        <f t="shared" si="16"/>
        <v>M: </v>
      </c>
      <c r="C9429" s="68"/>
      <c r="D9429" s="68">
        <v>46692.0</v>
      </c>
      <c r="E9429" s="66">
        <v>7.0</v>
      </c>
      <c r="F9429" s="66" t="str">
        <f>IFERROR(__xludf.DUMMYFUNCTION("GOOGLETRANSLATE(A9429,""en"",""pt"")"),"#VALUE!")</f>
        <v>#VALUE!</v>
      </c>
      <c r="G9429" s="69"/>
    </row>
    <row r="9430" ht="22.5" customHeight="1">
      <c r="A9430" s="66"/>
      <c r="B9430" s="67" t="str">
        <f t="shared" si="16"/>
        <v>M: </v>
      </c>
      <c r="C9430" s="68"/>
      <c r="D9430" s="68">
        <v>46692.0</v>
      </c>
      <c r="E9430" s="66">
        <v>8.0</v>
      </c>
      <c r="F9430" s="66" t="str">
        <f>IFERROR(__xludf.DUMMYFUNCTION("GOOGLETRANSLATE(A9430,""en"",""pt"")"),"#VALUE!")</f>
        <v>#VALUE!</v>
      </c>
      <c r="G9430" s="69"/>
    </row>
    <row r="9431" ht="22.5" customHeight="1">
      <c r="A9431" s="66"/>
      <c r="B9431" s="67" t="str">
        <f t="shared" si="16"/>
        <v>M: </v>
      </c>
      <c r="C9431" s="68"/>
      <c r="D9431" s="68">
        <v>46692.0</v>
      </c>
      <c r="E9431" s="66">
        <v>9.0</v>
      </c>
      <c r="F9431" s="66" t="str">
        <f>IFERROR(__xludf.DUMMYFUNCTION("GOOGLETRANSLATE(A9431,""en"",""pt"")"),"#VALUE!")</f>
        <v>#VALUE!</v>
      </c>
      <c r="G9431" s="69"/>
    </row>
    <row r="9432" ht="22.5" customHeight="1">
      <c r="A9432" s="66"/>
      <c r="B9432" s="67" t="str">
        <f t="shared" si="16"/>
        <v>M: </v>
      </c>
      <c r="C9432" s="68"/>
      <c r="D9432" s="68">
        <v>46693.0</v>
      </c>
      <c r="E9432" s="66">
        <v>10.0</v>
      </c>
      <c r="F9432" s="66" t="str">
        <f>IFERROR(__xludf.DUMMYFUNCTION("GOOGLETRANSLATE(A9432,""en"",""pt"")"),"#VALUE!")</f>
        <v>#VALUE!</v>
      </c>
      <c r="G9432" s="69"/>
    </row>
    <row r="9433" ht="22.5" customHeight="1">
      <c r="A9433" s="66"/>
      <c r="B9433" s="67" t="str">
        <f t="shared" si="16"/>
        <v>M: </v>
      </c>
      <c r="C9433" s="68"/>
      <c r="D9433" s="68">
        <v>46693.0</v>
      </c>
      <c r="E9433" s="66">
        <v>1.0</v>
      </c>
      <c r="F9433" s="66" t="str">
        <f>IFERROR(__xludf.DUMMYFUNCTION("GOOGLETRANSLATE(A9433,""en"",""pt"")"),"#VALUE!")</f>
        <v>#VALUE!</v>
      </c>
      <c r="G9433" s="69"/>
    </row>
    <row r="9434" ht="22.5" customHeight="1">
      <c r="A9434" s="66"/>
      <c r="B9434" s="67" t="str">
        <f t="shared" si="16"/>
        <v>M: </v>
      </c>
      <c r="C9434" s="68"/>
      <c r="D9434" s="68">
        <v>46693.0</v>
      </c>
      <c r="E9434" s="66">
        <v>2.0</v>
      </c>
      <c r="F9434" s="66" t="str">
        <f>IFERROR(__xludf.DUMMYFUNCTION("GOOGLETRANSLATE(A9434,""en"",""pt"")"),"#VALUE!")</f>
        <v>#VALUE!</v>
      </c>
      <c r="G9434" s="69"/>
    </row>
    <row r="9435" ht="22.5" customHeight="1">
      <c r="A9435" s="66"/>
      <c r="B9435" s="67" t="str">
        <f t="shared" si="16"/>
        <v>M: </v>
      </c>
      <c r="C9435" s="68"/>
      <c r="D9435" s="68">
        <v>46693.0</v>
      </c>
      <c r="E9435" s="66">
        <v>3.0</v>
      </c>
      <c r="F9435" s="66" t="str">
        <f>IFERROR(__xludf.DUMMYFUNCTION("GOOGLETRANSLATE(A9435,""en"",""pt"")"),"#VALUE!")</f>
        <v>#VALUE!</v>
      </c>
      <c r="G9435" s="69"/>
    </row>
    <row r="9436" ht="22.5" customHeight="1">
      <c r="A9436" s="66"/>
      <c r="B9436" s="67" t="str">
        <f t="shared" si="16"/>
        <v>M: </v>
      </c>
      <c r="C9436" s="68"/>
      <c r="D9436" s="68">
        <v>46693.0</v>
      </c>
      <c r="E9436" s="66">
        <v>4.0</v>
      </c>
      <c r="F9436" s="66" t="str">
        <f>IFERROR(__xludf.DUMMYFUNCTION("GOOGLETRANSLATE(A9436,""en"",""pt"")"),"#VALUE!")</f>
        <v>#VALUE!</v>
      </c>
      <c r="G9436" s="69"/>
    </row>
    <row r="9437" ht="22.5" customHeight="1">
      <c r="A9437" s="66"/>
      <c r="B9437" s="67" t="str">
        <f t="shared" si="16"/>
        <v>M: </v>
      </c>
      <c r="C9437" s="68"/>
      <c r="D9437" s="68">
        <v>46693.0</v>
      </c>
      <c r="E9437" s="66">
        <v>5.0</v>
      </c>
      <c r="F9437" s="66" t="str">
        <f>IFERROR(__xludf.DUMMYFUNCTION("GOOGLETRANSLATE(A9437,""en"",""pt"")"),"#VALUE!")</f>
        <v>#VALUE!</v>
      </c>
      <c r="G9437" s="69"/>
    </row>
    <row r="9438" ht="22.5" customHeight="1">
      <c r="A9438" s="66"/>
      <c r="B9438" s="67" t="str">
        <f t="shared" si="16"/>
        <v>M: </v>
      </c>
      <c r="C9438" s="68"/>
      <c r="D9438" s="68">
        <v>46693.0</v>
      </c>
      <c r="E9438" s="66">
        <v>6.0</v>
      </c>
      <c r="F9438" s="66" t="str">
        <f>IFERROR(__xludf.DUMMYFUNCTION("GOOGLETRANSLATE(A9438,""en"",""pt"")"),"#VALUE!")</f>
        <v>#VALUE!</v>
      </c>
      <c r="G9438" s="69"/>
    </row>
    <row r="9439" ht="22.5" customHeight="1">
      <c r="A9439" s="66"/>
      <c r="B9439" s="67" t="str">
        <f t="shared" si="16"/>
        <v>M: </v>
      </c>
      <c r="C9439" s="68"/>
      <c r="D9439" s="68">
        <v>46693.0</v>
      </c>
      <c r="E9439" s="66">
        <v>7.0</v>
      </c>
      <c r="F9439" s="66" t="str">
        <f>IFERROR(__xludf.DUMMYFUNCTION("GOOGLETRANSLATE(A9439,""en"",""pt"")"),"#VALUE!")</f>
        <v>#VALUE!</v>
      </c>
      <c r="G9439" s="69"/>
    </row>
    <row r="9440" ht="22.5" customHeight="1">
      <c r="A9440" s="66"/>
      <c r="B9440" s="67" t="str">
        <f t="shared" si="16"/>
        <v>M: </v>
      </c>
      <c r="C9440" s="68"/>
      <c r="D9440" s="68">
        <v>46693.0</v>
      </c>
      <c r="E9440" s="66">
        <v>8.0</v>
      </c>
      <c r="F9440" s="66" t="str">
        <f>IFERROR(__xludf.DUMMYFUNCTION("GOOGLETRANSLATE(A9440,""en"",""pt"")"),"#VALUE!")</f>
        <v>#VALUE!</v>
      </c>
      <c r="G9440" s="69"/>
    </row>
    <row r="9441" ht="22.5" customHeight="1">
      <c r="A9441" s="66"/>
      <c r="B9441" s="67" t="str">
        <f t="shared" si="16"/>
        <v>M: </v>
      </c>
      <c r="C9441" s="68"/>
      <c r="D9441" s="68">
        <v>46693.0</v>
      </c>
      <c r="E9441" s="66">
        <v>9.0</v>
      </c>
      <c r="F9441" s="66" t="str">
        <f>IFERROR(__xludf.DUMMYFUNCTION("GOOGLETRANSLATE(A9441,""en"",""pt"")"),"#VALUE!")</f>
        <v>#VALUE!</v>
      </c>
      <c r="G9441" s="69"/>
    </row>
    <row r="9442" ht="22.5" customHeight="1">
      <c r="A9442" s="66"/>
      <c r="B9442" s="67" t="str">
        <f t="shared" si="16"/>
        <v>M: </v>
      </c>
      <c r="C9442" s="68"/>
      <c r="D9442" s="68">
        <v>46694.0</v>
      </c>
      <c r="E9442" s="66">
        <v>10.0</v>
      </c>
      <c r="F9442" s="66" t="str">
        <f>IFERROR(__xludf.DUMMYFUNCTION("GOOGLETRANSLATE(A9442,""en"",""pt"")"),"#VALUE!")</f>
        <v>#VALUE!</v>
      </c>
      <c r="G9442" s="69"/>
    </row>
    <row r="9443" ht="22.5" customHeight="1">
      <c r="A9443" s="66"/>
      <c r="B9443" s="67" t="str">
        <f t="shared" si="16"/>
        <v>M: </v>
      </c>
      <c r="C9443" s="68"/>
      <c r="D9443" s="68">
        <v>46694.0</v>
      </c>
      <c r="E9443" s="66">
        <v>1.0</v>
      </c>
      <c r="F9443" s="66" t="str">
        <f>IFERROR(__xludf.DUMMYFUNCTION("GOOGLETRANSLATE(A9443,""en"",""pt"")"),"#VALUE!")</f>
        <v>#VALUE!</v>
      </c>
      <c r="G9443" s="69"/>
    </row>
    <row r="9444" ht="22.5" customHeight="1">
      <c r="A9444" s="66"/>
      <c r="B9444" s="67" t="str">
        <f t="shared" si="16"/>
        <v>M: </v>
      </c>
      <c r="C9444" s="68"/>
      <c r="D9444" s="68">
        <v>46694.0</v>
      </c>
      <c r="E9444" s="66">
        <v>2.0</v>
      </c>
      <c r="F9444" s="66" t="str">
        <f>IFERROR(__xludf.DUMMYFUNCTION("GOOGLETRANSLATE(A9444,""en"",""pt"")"),"#VALUE!")</f>
        <v>#VALUE!</v>
      </c>
      <c r="G9444" s="69"/>
    </row>
    <row r="9445" ht="22.5" customHeight="1">
      <c r="A9445" s="66"/>
      <c r="B9445" s="67" t="str">
        <f t="shared" si="16"/>
        <v>M: </v>
      </c>
      <c r="C9445" s="68"/>
      <c r="D9445" s="68">
        <v>46694.0</v>
      </c>
      <c r="E9445" s="66">
        <v>3.0</v>
      </c>
      <c r="F9445" s="66" t="str">
        <f>IFERROR(__xludf.DUMMYFUNCTION("GOOGLETRANSLATE(A9445,""en"",""pt"")"),"#VALUE!")</f>
        <v>#VALUE!</v>
      </c>
      <c r="G9445" s="69"/>
    </row>
    <row r="9446" ht="22.5" customHeight="1">
      <c r="A9446" s="66"/>
      <c r="B9446" s="67" t="str">
        <f t="shared" si="16"/>
        <v>M: </v>
      </c>
      <c r="C9446" s="68"/>
      <c r="D9446" s="68">
        <v>46694.0</v>
      </c>
      <c r="E9446" s="66">
        <v>4.0</v>
      </c>
      <c r="F9446" s="66" t="str">
        <f>IFERROR(__xludf.DUMMYFUNCTION("GOOGLETRANSLATE(A9446,""en"",""pt"")"),"#VALUE!")</f>
        <v>#VALUE!</v>
      </c>
      <c r="G9446" s="69"/>
    </row>
    <row r="9447" ht="22.5" customHeight="1">
      <c r="A9447" s="66"/>
      <c r="B9447" s="67" t="str">
        <f t="shared" si="16"/>
        <v>M: </v>
      </c>
      <c r="C9447" s="68"/>
      <c r="D9447" s="68">
        <v>46694.0</v>
      </c>
      <c r="E9447" s="66">
        <v>5.0</v>
      </c>
      <c r="F9447" s="66" t="str">
        <f>IFERROR(__xludf.DUMMYFUNCTION("GOOGLETRANSLATE(A9447,""en"",""pt"")"),"#VALUE!")</f>
        <v>#VALUE!</v>
      </c>
      <c r="G9447" s="69"/>
    </row>
    <row r="9448" ht="22.5" customHeight="1">
      <c r="A9448" s="66"/>
      <c r="B9448" s="67" t="str">
        <f t="shared" si="16"/>
        <v>M: </v>
      </c>
      <c r="C9448" s="68"/>
      <c r="D9448" s="68">
        <v>46694.0</v>
      </c>
      <c r="E9448" s="66">
        <v>6.0</v>
      </c>
      <c r="F9448" s="66" t="str">
        <f>IFERROR(__xludf.DUMMYFUNCTION("GOOGLETRANSLATE(A9448,""en"",""pt"")"),"#VALUE!")</f>
        <v>#VALUE!</v>
      </c>
      <c r="G9448" s="69"/>
    </row>
    <row r="9449" ht="22.5" customHeight="1">
      <c r="A9449" s="66"/>
      <c r="B9449" s="67" t="str">
        <f t="shared" si="16"/>
        <v>M: </v>
      </c>
      <c r="C9449" s="68"/>
      <c r="D9449" s="68">
        <v>46694.0</v>
      </c>
      <c r="E9449" s="66">
        <v>7.0</v>
      </c>
      <c r="F9449" s="66" t="str">
        <f>IFERROR(__xludf.DUMMYFUNCTION("GOOGLETRANSLATE(A9449,""en"",""pt"")"),"#VALUE!")</f>
        <v>#VALUE!</v>
      </c>
      <c r="G9449" s="69"/>
    </row>
    <row r="9450" ht="22.5" customHeight="1">
      <c r="A9450" s="66"/>
      <c r="B9450" s="67" t="str">
        <f t="shared" si="16"/>
        <v>M: </v>
      </c>
      <c r="C9450" s="68"/>
      <c r="D9450" s="68">
        <v>46694.0</v>
      </c>
      <c r="E9450" s="66">
        <v>8.0</v>
      </c>
      <c r="F9450" s="66" t="str">
        <f>IFERROR(__xludf.DUMMYFUNCTION("GOOGLETRANSLATE(A9450,""en"",""pt"")"),"#VALUE!")</f>
        <v>#VALUE!</v>
      </c>
      <c r="G9450" s="69"/>
    </row>
    <row r="9451" ht="22.5" customHeight="1">
      <c r="A9451" s="66"/>
      <c r="B9451" s="67" t="str">
        <f t="shared" si="16"/>
        <v>M: </v>
      </c>
      <c r="C9451" s="68"/>
      <c r="D9451" s="68">
        <v>46694.0</v>
      </c>
      <c r="E9451" s="66">
        <v>9.0</v>
      </c>
      <c r="F9451" s="66" t="str">
        <f>IFERROR(__xludf.DUMMYFUNCTION("GOOGLETRANSLATE(A9451,""en"",""pt"")"),"#VALUE!")</f>
        <v>#VALUE!</v>
      </c>
      <c r="G9451" s="69"/>
    </row>
    <row r="9452" ht="22.5" customHeight="1">
      <c r="A9452" s="66"/>
      <c r="B9452" s="67" t="str">
        <f t="shared" si="16"/>
        <v>M: </v>
      </c>
      <c r="C9452" s="68"/>
      <c r="D9452" s="68">
        <v>46695.0</v>
      </c>
      <c r="E9452" s="66">
        <v>10.0</v>
      </c>
      <c r="F9452" s="66" t="str">
        <f>IFERROR(__xludf.DUMMYFUNCTION("GOOGLETRANSLATE(A9452,""en"",""pt"")"),"#VALUE!")</f>
        <v>#VALUE!</v>
      </c>
      <c r="G9452" s="69"/>
    </row>
    <row r="9453" ht="22.5" customHeight="1">
      <c r="A9453" s="66"/>
      <c r="B9453" s="67" t="str">
        <f t="shared" si="16"/>
        <v>M: </v>
      </c>
      <c r="C9453" s="68"/>
      <c r="D9453" s="68">
        <v>46695.0</v>
      </c>
      <c r="E9453" s="66">
        <v>1.0</v>
      </c>
      <c r="F9453" s="66" t="str">
        <f>IFERROR(__xludf.DUMMYFUNCTION("GOOGLETRANSLATE(A9453,""en"",""pt"")"),"#VALUE!")</f>
        <v>#VALUE!</v>
      </c>
      <c r="G9453" s="69"/>
    </row>
    <row r="9454" ht="22.5" customHeight="1">
      <c r="A9454" s="66"/>
      <c r="B9454" s="67" t="str">
        <f t="shared" si="16"/>
        <v>M: </v>
      </c>
      <c r="C9454" s="68"/>
      <c r="D9454" s="68">
        <v>46695.0</v>
      </c>
      <c r="E9454" s="66">
        <v>2.0</v>
      </c>
      <c r="F9454" s="66" t="str">
        <f>IFERROR(__xludf.DUMMYFUNCTION("GOOGLETRANSLATE(A9454,""en"",""pt"")"),"#VALUE!")</f>
        <v>#VALUE!</v>
      </c>
      <c r="G9454" s="69"/>
    </row>
    <row r="9455" ht="22.5" customHeight="1">
      <c r="A9455" s="66"/>
      <c r="B9455" s="67" t="str">
        <f t="shared" si="16"/>
        <v>M: </v>
      </c>
      <c r="C9455" s="68"/>
      <c r="D9455" s="68">
        <v>46695.0</v>
      </c>
      <c r="E9455" s="66">
        <v>3.0</v>
      </c>
      <c r="F9455" s="66" t="str">
        <f>IFERROR(__xludf.DUMMYFUNCTION("GOOGLETRANSLATE(A9455,""en"",""pt"")"),"#VALUE!")</f>
        <v>#VALUE!</v>
      </c>
      <c r="G9455" s="69"/>
    </row>
    <row r="9456" ht="22.5" customHeight="1">
      <c r="A9456" s="66"/>
      <c r="B9456" s="67" t="str">
        <f t="shared" si="16"/>
        <v>M: </v>
      </c>
      <c r="C9456" s="68"/>
      <c r="D9456" s="68">
        <v>46695.0</v>
      </c>
      <c r="E9456" s="66">
        <v>4.0</v>
      </c>
      <c r="F9456" s="66" t="str">
        <f>IFERROR(__xludf.DUMMYFUNCTION("GOOGLETRANSLATE(A9456,""en"",""pt"")"),"#VALUE!")</f>
        <v>#VALUE!</v>
      </c>
      <c r="G9456" s="69"/>
    </row>
    <row r="9457" ht="22.5" customHeight="1">
      <c r="A9457" s="66"/>
      <c r="B9457" s="67" t="str">
        <f t="shared" si="16"/>
        <v>M: </v>
      </c>
      <c r="C9457" s="68"/>
      <c r="D9457" s="68">
        <v>46695.0</v>
      </c>
      <c r="E9457" s="66">
        <v>5.0</v>
      </c>
      <c r="F9457" s="66" t="str">
        <f>IFERROR(__xludf.DUMMYFUNCTION("GOOGLETRANSLATE(A9457,""en"",""pt"")"),"#VALUE!")</f>
        <v>#VALUE!</v>
      </c>
      <c r="G9457" s="69"/>
    </row>
    <row r="9458" ht="22.5" customHeight="1">
      <c r="A9458" s="66"/>
      <c r="B9458" s="67" t="str">
        <f t="shared" si="16"/>
        <v>M: </v>
      </c>
      <c r="C9458" s="68"/>
      <c r="D9458" s="68">
        <v>46695.0</v>
      </c>
      <c r="E9458" s="66">
        <v>6.0</v>
      </c>
      <c r="F9458" s="66" t="str">
        <f>IFERROR(__xludf.DUMMYFUNCTION("GOOGLETRANSLATE(A9458,""en"",""pt"")"),"#VALUE!")</f>
        <v>#VALUE!</v>
      </c>
      <c r="G9458" s="69"/>
    </row>
    <row r="9459" ht="22.5" customHeight="1">
      <c r="A9459" s="66"/>
      <c r="B9459" s="67" t="str">
        <f t="shared" si="16"/>
        <v>M: </v>
      </c>
      <c r="C9459" s="68"/>
      <c r="D9459" s="68">
        <v>46695.0</v>
      </c>
      <c r="E9459" s="66">
        <v>7.0</v>
      </c>
      <c r="F9459" s="66" t="str">
        <f>IFERROR(__xludf.DUMMYFUNCTION("GOOGLETRANSLATE(A9459,""en"",""pt"")"),"#VALUE!")</f>
        <v>#VALUE!</v>
      </c>
      <c r="G9459" s="69"/>
    </row>
    <row r="9460" ht="22.5" customHeight="1">
      <c r="A9460" s="66"/>
      <c r="B9460" s="67" t="str">
        <f t="shared" si="16"/>
        <v>M: </v>
      </c>
      <c r="C9460" s="68"/>
      <c r="D9460" s="68">
        <v>46695.0</v>
      </c>
      <c r="E9460" s="66">
        <v>8.0</v>
      </c>
      <c r="F9460" s="66" t="str">
        <f>IFERROR(__xludf.DUMMYFUNCTION("GOOGLETRANSLATE(A9460,""en"",""pt"")"),"#VALUE!")</f>
        <v>#VALUE!</v>
      </c>
      <c r="G9460" s="69"/>
    </row>
    <row r="9461" ht="22.5" customHeight="1">
      <c r="A9461" s="66"/>
      <c r="B9461" s="67" t="str">
        <f t="shared" si="16"/>
        <v>M: </v>
      </c>
      <c r="C9461" s="68"/>
      <c r="D9461" s="68">
        <v>46695.0</v>
      </c>
      <c r="E9461" s="66">
        <v>9.0</v>
      </c>
      <c r="F9461" s="66" t="str">
        <f>IFERROR(__xludf.DUMMYFUNCTION("GOOGLETRANSLATE(A9461,""en"",""pt"")"),"#VALUE!")</f>
        <v>#VALUE!</v>
      </c>
      <c r="G9461" s="69"/>
    </row>
    <row r="9462" ht="22.5" customHeight="1">
      <c r="A9462" s="66"/>
      <c r="B9462" s="67" t="str">
        <f t="shared" si="16"/>
        <v>M: </v>
      </c>
      <c r="C9462" s="68"/>
      <c r="D9462" s="68">
        <v>46696.0</v>
      </c>
      <c r="E9462" s="66">
        <v>10.0</v>
      </c>
      <c r="F9462" s="66" t="str">
        <f>IFERROR(__xludf.DUMMYFUNCTION("GOOGLETRANSLATE(A9462,""en"",""pt"")"),"#VALUE!")</f>
        <v>#VALUE!</v>
      </c>
      <c r="G9462" s="69"/>
    </row>
    <row r="9463" ht="22.5" customHeight="1">
      <c r="A9463" s="66"/>
      <c r="B9463" s="67" t="str">
        <f t="shared" si="16"/>
        <v>M: </v>
      </c>
      <c r="C9463" s="68"/>
      <c r="D9463" s="68">
        <v>46696.0</v>
      </c>
      <c r="E9463" s="66">
        <v>1.0</v>
      </c>
      <c r="F9463" s="66" t="str">
        <f>IFERROR(__xludf.DUMMYFUNCTION("GOOGLETRANSLATE(A9463,""en"",""pt"")"),"#VALUE!")</f>
        <v>#VALUE!</v>
      </c>
      <c r="G9463" s="69"/>
    </row>
    <row r="9464" ht="22.5" customHeight="1">
      <c r="A9464" s="66"/>
      <c r="B9464" s="67" t="str">
        <f t="shared" si="16"/>
        <v>M: </v>
      </c>
      <c r="C9464" s="68"/>
      <c r="D9464" s="68">
        <v>46696.0</v>
      </c>
      <c r="E9464" s="66">
        <v>2.0</v>
      </c>
      <c r="F9464" s="66" t="str">
        <f>IFERROR(__xludf.DUMMYFUNCTION("GOOGLETRANSLATE(A9464,""en"",""pt"")"),"#VALUE!")</f>
        <v>#VALUE!</v>
      </c>
      <c r="G9464" s="69"/>
    </row>
    <row r="9465" ht="22.5" customHeight="1">
      <c r="A9465" s="66"/>
      <c r="B9465" s="67" t="str">
        <f t="shared" si="16"/>
        <v>M: </v>
      </c>
      <c r="C9465" s="68"/>
      <c r="D9465" s="68">
        <v>46696.0</v>
      </c>
      <c r="E9465" s="66">
        <v>3.0</v>
      </c>
      <c r="F9465" s="66" t="str">
        <f>IFERROR(__xludf.DUMMYFUNCTION("GOOGLETRANSLATE(A9465,""en"",""pt"")"),"#VALUE!")</f>
        <v>#VALUE!</v>
      </c>
      <c r="G9465" s="69"/>
    </row>
    <row r="9466" ht="22.5" customHeight="1">
      <c r="A9466" s="66"/>
      <c r="B9466" s="67" t="str">
        <f t="shared" si="16"/>
        <v>M: </v>
      </c>
      <c r="C9466" s="68"/>
      <c r="D9466" s="68">
        <v>46696.0</v>
      </c>
      <c r="E9466" s="66">
        <v>4.0</v>
      </c>
      <c r="F9466" s="66" t="str">
        <f>IFERROR(__xludf.DUMMYFUNCTION("GOOGLETRANSLATE(A9466,""en"",""pt"")"),"#VALUE!")</f>
        <v>#VALUE!</v>
      </c>
      <c r="G9466" s="69"/>
    </row>
    <row r="9467" ht="22.5" customHeight="1">
      <c r="A9467" s="66"/>
      <c r="B9467" s="67" t="str">
        <f t="shared" si="16"/>
        <v>M: </v>
      </c>
      <c r="C9467" s="68"/>
      <c r="D9467" s="68">
        <v>46696.0</v>
      </c>
      <c r="E9467" s="66">
        <v>5.0</v>
      </c>
      <c r="F9467" s="66" t="str">
        <f>IFERROR(__xludf.DUMMYFUNCTION("GOOGLETRANSLATE(A9467,""en"",""pt"")"),"#VALUE!")</f>
        <v>#VALUE!</v>
      </c>
      <c r="G9467" s="69"/>
    </row>
    <row r="9468" ht="22.5" customHeight="1">
      <c r="A9468" s="66"/>
      <c r="B9468" s="67" t="str">
        <f t="shared" si="16"/>
        <v>M: </v>
      </c>
      <c r="C9468" s="68"/>
      <c r="D9468" s="68">
        <v>46696.0</v>
      </c>
      <c r="E9468" s="66">
        <v>6.0</v>
      </c>
      <c r="F9468" s="66" t="str">
        <f>IFERROR(__xludf.DUMMYFUNCTION("GOOGLETRANSLATE(A9468,""en"",""pt"")"),"#VALUE!")</f>
        <v>#VALUE!</v>
      </c>
      <c r="G9468" s="69"/>
    </row>
    <row r="9469" ht="22.5" customHeight="1">
      <c r="A9469" s="66"/>
      <c r="B9469" s="67" t="str">
        <f t="shared" si="16"/>
        <v>M: </v>
      </c>
      <c r="C9469" s="68"/>
      <c r="D9469" s="68">
        <v>46696.0</v>
      </c>
      <c r="E9469" s="66">
        <v>7.0</v>
      </c>
      <c r="F9469" s="66" t="str">
        <f>IFERROR(__xludf.DUMMYFUNCTION("GOOGLETRANSLATE(A9469,""en"",""pt"")"),"#VALUE!")</f>
        <v>#VALUE!</v>
      </c>
      <c r="G9469" s="69"/>
    </row>
    <row r="9470" ht="22.5" customHeight="1">
      <c r="A9470" s="66"/>
      <c r="B9470" s="67" t="str">
        <f t="shared" si="16"/>
        <v>M: </v>
      </c>
      <c r="C9470" s="68"/>
      <c r="D9470" s="68">
        <v>46696.0</v>
      </c>
      <c r="E9470" s="66">
        <v>8.0</v>
      </c>
      <c r="F9470" s="66" t="str">
        <f>IFERROR(__xludf.DUMMYFUNCTION("GOOGLETRANSLATE(A9470,""en"",""pt"")"),"#VALUE!")</f>
        <v>#VALUE!</v>
      </c>
      <c r="G9470" s="69"/>
    </row>
    <row r="9471" ht="22.5" customHeight="1">
      <c r="A9471" s="66"/>
      <c r="B9471" s="67" t="str">
        <f t="shared" si="16"/>
        <v>M: </v>
      </c>
      <c r="C9471" s="68"/>
      <c r="D9471" s="68">
        <v>46696.0</v>
      </c>
      <c r="E9471" s="66">
        <v>9.0</v>
      </c>
      <c r="F9471" s="66" t="str">
        <f>IFERROR(__xludf.DUMMYFUNCTION("GOOGLETRANSLATE(A9471,""en"",""pt"")"),"#VALUE!")</f>
        <v>#VALUE!</v>
      </c>
      <c r="G9471" s="69"/>
    </row>
    <row r="9472" ht="22.5" customHeight="1">
      <c r="A9472" s="66"/>
      <c r="B9472" s="67" t="str">
        <f t="shared" si="16"/>
        <v>M: </v>
      </c>
      <c r="C9472" s="68"/>
      <c r="D9472" s="68">
        <v>46697.0</v>
      </c>
      <c r="E9472" s="66">
        <v>10.0</v>
      </c>
      <c r="F9472" s="66" t="str">
        <f>IFERROR(__xludf.DUMMYFUNCTION("GOOGLETRANSLATE(A9472,""en"",""pt"")"),"#VALUE!")</f>
        <v>#VALUE!</v>
      </c>
      <c r="G9472" s="69"/>
    </row>
    <row r="9473" ht="22.5" customHeight="1">
      <c r="A9473" s="66"/>
      <c r="B9473" s="67" t="str">
        <f t="shared" si="16"/>
        <v>M: </v>
      </c>
      <c r="C9473" s="68"/>
      <c r="D9473" s="68">
        <v>46697.0</v>
      </c>
      <c r="E9473" s="66">
        <v>1.0</v>
      </c>
      <c r="F9473" s="66" t="str">
        <f>IFERROR(__xludf.DUMMYFUNCTION("GOOGLETRANSLATE(A9473,""en"",""pt"")"),"#VALUE!")</f>
        <v>#VALUE!</v>
      </c>
      <c r="G9473" s="69"/>
    </row>
    <row r="9474" ht="22.5" customHeight="1">
      <c r="A9474" s="66"/>
      <c r="B9474" s="67" t="str">
        <f t="shared" si="16"/>
        <v>M: </v>
      </c>
      <c r="C9474" s="68"/>
      <c r="D9474" s="68">
        <v>46697.0</v>
      </c>
      <c r="E9474" s="66">
        <v>2.0</v>
      </c>
      <c r="F9474" s="66" t="str">
        <f>IFERROR(__xludf.DUMMYFUNCTION("GOOGLETRANSLATE(A9474,""en"",""pt"")"),"#VALUE!")</f>
        <v>#VALUE!</v>
      </c>
      <c r="G9474" s="69"/>
    </row>
    <row r="9475" ht="22.5" customHeight="1">
      <c r="A9475" s="66"/>
      <c r="B9475" s="67" t="str">
        <f t="shared" si="16"/>
        <v>M: </v>
      </c>
      <c r="C9475" s="68"/>
      <c r="D9475" s="68">
        <v>46697.0</v>
      </c>
      <c r="E9475" s="66">
        <v>3.0</v>
      </c>
      <c r="F9475" s="66" t="str">
        <f>IFERROR(__xludf.DUMMYFUNCTION("GOOGLETRANSLATE(A9475,""en"",""pt"")"),"#VALUE!")</f>
        <v>#VALUE!</v>
      </c>
      <c r="G9475" s="69"/>
    </row>
    <row r="9476" ht="22.5" customHeight="1">
      <c r="A9476" s="66"/>
      <c r="B9476" s="67" t="str">
        <f t="shared" si="16"/>
        <v>M: </v>
      </c>
      <c r="C9476" s="68"/>
      <c r="D9476" s="68">
        <v>46697.0</v>
      </c>
      <c r="E9476" s="66">
        <v>4.0</v>
      </c>
      <c r="F9476" s="66" t="str">
        <f>IFERROR(__xludf.DUMMYFUNCTION("GOOGLETRANSLATE(A9476,""en"",""pt"")"),"#VALUE!")</f>
        <v>#VALUE!</v>
      </c>
      <c r="G9476" s="69"/>
    </row>
    <row r="9477" ht="22.5" customHeight="1">
      <c r="A9477" s="66"/>
      <c r="B9477" s="67" t="str">
        <f t="shared" si="16"/>
        <v>M: </v>
      </c>
      <c r="C9477" s="68"/>
      <c r="D9477" s="68">
        <v>46697.0</v>
      </c>
      <c r="E9477" s="66">
        <v>5.0</v>
      </c>
      <c r="F9477" s="66" t="str">
        <f>IFERROR(__xludf.DUMMYFUNCTION("GOOGLETRANSLATE(A9477,""en"",""pt"")"),"#VALUE!")</f>
        <v>#VALUE!</v>
      </c>
      <c r="G9477" s="69"/>
    </row>
    <row r="9478" ht="22.5" customHeight="1">
      <c r="A9478" s="66"/>
      <c r="B9478" s="67" t="str">
        <f t="shared" si="16"/>
        <v>M: </v>
      </c>
      <c r="C9478" s="68"/>
      <c r="D9478" s="68">
        <v>46697.0</v>
      </c>
      <c r="E9478" s="66">
        <v>6.0</v>
      </c>
      <c r="F9478" s="66" t="str">
        <f>IFERROR(__xludf.DUMMYFUNCTION("GOOGLETRANSLATE(A9478,""en"",""pt"")"),"#VALUE!")</f>
        <v>#VALUE!</v>
      </c>
      <c r="G9478" s="69"/>
    </row>
    <row r="9479" ht="22.5" customHeight="1">
      <c r="A9479" s="66"/>
      <c r="B9479" s="67" t="str">
        <f t="shared" si="16"/>
        <v>M: </v>
      </c>
      <c r="C9479" s="68"/>
      <c r="D9479" s="68">
        <v>46697.0</v>
      </c>
      <c r="E9479" s="66">
        <v>7.0</v>
      </c>
      <c r="F9479" s="66" t="str">
        <f>IFERROR(__xludf.DUMMYFUNCTION("GOOGLETRANSLATE(A9479,""en"",""pt"")"),"#VALUE!")</f>
        <v>#VALUE!</v>
      </c>
      <c r="G9479" s="69"/>
    </row>
    <row r="9480" ht="22.5" customHeight="1">
      <c r="A9480" s="66"/>
      <c r="B9480" s="67" t="str">
        <f t="shared" si="16"/>
        <v>M: </v>
      </c>
      <c r="C9480" s="68"/>
      <c r="D9480" s="68">
        <v>46697.0</v>
      </c>
      <c r="E9480" s="66">
        <v>8.0</v>
      </c>
      <c r="F9480" s="66" t="str">
        <f>IFERROR(__xludf.DUMMYFUNCTION("GOOGLETRANSLATE(A9480,""en"",""pt"")"),"#VALUE!")</f>
        <v>#VALUE!</v>
      </c>
      <c r="G9480" s="69"/>
    </row>
    <row r="9481" ht="22.5" customHeight="1">
      <c r="A9481" s="66"/>
      <c r="B9481" s="67" t="str">
        <f t="shared" si="16"/>
        <v>M: </v>
      </c>
      <c r="C9481" s="68"/>
      <c r="D9481" s="68">
        <v>46697.0</v>
      </c>
      <c r="E9481" s="66">
        <v>9.0</v>
      </c>
      <c r="F9481" s="66" t="str">
        <f>IFERROR(__xludf.DUMMYFUNCTION("GOOGLETRANSLATE(A9481,""en"",""pt"")"),"#VALUE!")</f>
        <v>#VALUE!</v>
      </c>
      <c r="G9481" s="69"/>
    </row>
    <row r="9482" ht="22.5" customHeight="1">
      <c r="A9482" s="66"/>
      <c r="B9482" s="67" t="str">
        <f t="shared" si="16"/>
        <v>M: </v>
      </c>
      <c r="C9482" s="68"/>
      <c r="D9482" s="68">
        <v>46698.0</v>
      </c>
      <c r="E9482" s="66">
        <v>10.0</v>
      </c>
      <c r="F9482" s="66" t="str">
        <f>IFERROR(__xludf.DUMMYFUNCTION("GOOGLETRANSLATE(A9482,""en"",""pt"")"),"#VALUE!")</f>
        <v>#VALUE!</v>
      </c>
      <c r="G9482" s="69"/>
    </row>
    <row r="9483" ht="22.5" customHeight="1">
      <c r="A9483" s="66"/>
      <c r="B9483" s="67" t="str">
        <f t="shared" si="16"/>
        <v>M: </v>
      </c>
      <c r="C9483" s="68"/>
      <c r="D9483" s="68">
        <v>46698.0</v>
      </c>
      <c r="E9483" s="66">
        <v>1.0</v>
      </c>
      <c r="F9483" s="66" t="str">
        <f>IFERROR(__xludf.DUMMYFUNCTION("GOOGLETRANSLATE(A9483,""en"",""pt"")"),"#VALUE!")</f>
        <v>#VALUE!</v>
      </c>
      <c r="G9483" s="69"/>
    </row>
    <row r="9484" ht="22.5" customHeight="1">
      <c r="A9484" s="66"/>
      <c r="B9484" s="67" t="str">
        <f t="shared" si="16"/>
        <v>M: </v>
      </c>
      <c r="C9484" s="68"/>
      <c r="D9484" s="68">
        <v>46698.0</v>
      </c>
      <c r="E9484" s="66">
        <v>2.0</v>
      </c>
      <c r="F9484" s="66" t="str">
        <f>IFERROR(__xludf.DUMMYFUNCTION("GOOGLETRANSLATE(A9484,""en"",""pt"")"),"#VALUE!")</f>
        <v>#VALUE!</v>
      </c>
      <c r="G9484" s="69"/>
    </row>
    <row r="9485" ht="22.5" customHeight="1">
      <c r="A9485" s="66"/>
      <c r="B9485" s="67" t="str">
        <f t="shared" si="16"/>
        <v>M: </v>
      </c>
      <c r="C9485" s="68"/>
      <c r="D9485" s="68">
        <v>46698.0</v>
      </c>
      <c r="E9485" s="66">
        <v>3.0</v>
      </c>
      <c r="F9485" s="66" t="str">
        <f>IFERROR(__xludf.DUMMYFUNCTION("GOOGLETRANSLATE(A9485,""en"",""pt"")"),"#VALUE!")</f>
        <v>#VALUE!</v>
      </c>
      <c r="G9485" s="69"/>
    </row>
    <row r="9486" ht="22.5" customHeight="1">
      <c r="A9486" s="66"/>
      <c r="B9486" s="67" t="str">
        <f t="shared" si="16"/>
        <v>M: </v>
      </c>
      <c r="C9486" s="68"/>
      <c r="D9486" s="68">
        <v>46698.0</v>
      </c>
      <c r="E9486" s="66">
        <v>4.0</v>
      </c>
      <c r="F9486" s="66" t="str">
        <f>IFERROR(__xludf.DUMMYFUNCTION("GOOGLETRANSLATE(A9486,""en"",""pt"")"),"#VALUE!")</f>
        <v>#VALUE!</v>
      </c>
      <c r="G9486" s="69"/>
    </row>
    <row r="9487" ht="22.5" customHeight="1">
      <c r="A9487" s="66"/>
      <c r="B9487" s="67" t="str">
        <f t="shared" si="16"/>
        <v>M: </v>
      </c>
      <c r="C9487" s="68"/>
      <c r="D9487" s="68">
        <v>46698.0</v>
      </c>
      <c r="E9487" s="66">
        <v>5.0</v>
      </c>
      <c r="F9487" s="66" t="str">
        <f>IFERROR(__xludf.DUMMYFUNCTION("GOOGLETRANSLATE(A9487,""en"",""pt"")"),"#VALUE!")</f>
        <v>#VALUE!</v>
      </c>
      <c r="G9487" s="69"/>
    </row>
    <row r="9488" ht="22.5" customHeight="1">
      <c r="A9488" s="66"/>
      <c r="B9488" s="67" t="str">
        <f t="shared" si="16"/>
        <v>M: </v>
      </c>
      <c r="C9488" s="68"/>
      <c r="D9488" s="68">
        <v>46698.0</v>
      </c>
      <c r="E9488" s="66">
        <v>6.0</v>
      </c>
      <c r="F9488" s="66" t="str">
        <f>IFERROR(__xludf.DUMMYFUNCTION("GOOGLETRANSLATE(A9488,""en"",""pt"")"),"#VALUE!")</f>
        <v>#VALUE!</v>
      </c>
      <c r="G9488" s="69"/>
    </row>
    <row r="9489" ht="22.5" customHeight="1">
      <c r="A9489" s="66"/>
      <c r="B9489" s="67" t="str">
        <f t="shared" si="16"/>
        <v>M: </v>
      </c>
      <c r="C9489" s="68"/>
      <c r="D9489" s="68">
        <v>46698.0</v>
      </c>
      <c r="E9489" s="66">
        <v>7.0</v>
      </c>
      <c r="F9489" s="66" t="str">
        <f>IFERROR(__xludf.DUMMYFUNCTION("GOOGLETRANSLATE(A9489,""en"",""pt"")"),"#VALUE!")</f>
        <v>#VALUE!</v>
      </c>
      <c r="G9489" s="69"/>
    </row>
    <row r="9490" ht="22.5" customHeight="1">
      <c r="A9490" s="66"/>
      <c r="B9490" s="67" t="str">
        <f t="shared" si="16"/>
        <v>M: </v>
      </c>
      <c r="C9490" s="68"/>
      <c r="D9490" s="68">
        <v>46698.0</v>
      </c>
      <c r="E9490" s="66">
        <v>8.0</v>
      </c>
      <c r="F9490" s="66" t="str">
        <f>IFERROR(__xludf.DUMMYFUNCTION("GOOGLETRANSLATE(A9490,""en"",""pt"")"),"#VALUE!")</f>
        <v>#VALUE!</v>
      </c>
      <c r="G9490" s="69"/>
    </row>
    <row r="9491" ht="22.5" customHeight="1">
      <c r="A9491" s="66"/>
      <c r="B9491" s="67" t="str">
        <f t="shared" si="16"/>
        <v>M: </v>
      </c>
      <c r="C9491" s="68"/>
      <c r="D9491" s="68">
        <v>46698.0</v>
      </c>
      <c r="E9491" s="66">
        <v>9.0</v>
      </c>
      <c r="F9491" s="66" t="str">
        <f>IFERROR(__xludf.DUMMYFUNCTION("GOOGLETRANSLATE(A9491,""en"",""pt"")"),"#VALUE!")</f>
        <v>#VALUE!</v>
      </c>
      <c r="G9491" s="69"/>
    </row>
    <row r="9492" ht="22.5" customHeight="1">
      <c r="A9492" s="66"/>
      <c r="B9492" s="67" t="str">
        <f t="shared" si="16"/>
        <v>M: </v>
      </c>
      <c r="C9492" s="68"/>
      <c r="D9492" s="68">
        <v>46699.0</v>
      </c>
      <c r="E9492" s="66">
        <v>10.0</v>
      </c>
      <c r="F9492" s="66" t="str">
        <f>IFERROR(__xludf.DUMMYFUNCTION("GOOGLETRANSLATE(A9492,""en"",""pt"")"),"#VALUE!")</f>
        <v>#VALUE!</v>
      </c>
      <c r="G9492" s="69"/>
    </row>
    <row r="9493" ht="22.5" customHeight="1">
      <c r="A9493" s="66"/>
      <c r="B9493" s="67" t="str">
        <f t="shared" si="16"/>
        <v>M: </v>
      </c>
      <c r="C9493" s="68"/>
      <c r="D9493" s="68">
        <v>46699.0</v>
      </c>
      <c r="E9493" s="66">
        <v>1.0</v>
      </c>
      <c r="F9493" s="66" t="str">
        <f>IFERROR(__xludf.DUMMYFUNCTION("GOOGLETRANSLATE(A9493,""en"",""pt"")"),"#VALUE!")</f>
        <v>#VALUE!</v>
      </c>
      <c r="G9493" s="69"/>
    </row>
    <row r="9494" ht="22.5" customHeight="1">
      <c r="A9494" s="66"/>
      <c r="B9494" s="67" t="str">
        <f t="shared" si="16"/>
        <v>M: </v>
      </c>
      <c r="C9494" s="68"/>
      <c r="D9494" s="68">
        <v>46699.0</v>
      </c>
      <c r="E9494" s="66">
        <v>2.0</v>
      </c>
      <c r="F9494" s="66" t="str">
        <f>IFERROR(__xludf.DUMMYFUNCTION("GOOGLETRANSLATE(A9494,""en"",""pt"")"),"#VALUE!")</f>
        <v>#VALUE!</v>
      </c>
      <c r="G9494" s="69"/>
    </row>
    <row r="9495" ht="22.5" customHeight="1">
      <c r="A9495" s="66"/>
      <c r="B9495" s="67" t="str">
        <f t="shared" si="16"/>
        <v>M: </v>
      </c>
      <c r="C9495" s="68"/>
      <c r="D9495" s="68">
        <v>46699.0</v>
      </c>
      <c r="E9495" s="66">
        <v>3.0</v>
      </c>
      <c r="F9495" s="66" t="str">
        <f>IFERROR(__xludf.DUMMYFUNCTION("GOOGLETRANSLATE(A9495,""en"",""pt"")"),"#VALUE!")</f>
        <v>#VALUE!</v>
      </c>
      <c r="G9495" s="69"/>
    </row>
    <row r="9496" ht="22.5" customHeight="1">
      <c r="A9496" s="66"/>
      <c r="B9496" s="67" t="str">
        <f t="shared" si="16"/>
        <v>M: </v>
      </c>
      <c r="C9496" s="68"/>
      <c r="D9496" s="68">
        <v>46699.0</v>
      </c>
      <c r="E9496" s="66">
        <v>4.0</v>
      </c>
      <c r="F9496" s="66" t="str">
        <f>IFERROR(__xludf.DUMMYFUNCTION("GOOGLETRANSLATE(A9496,""en"",""pt"")"),"#VALUE!")</f>
        <v>#VALUE!</v>
      </c>
      <c r="G9496" s="69"/>
    </row>
    <row r="9497" ht="22.5" customHeight="1">
      <c r="A9497" s="66"/>
      <c r="B9497" s="67" t="str">
        <f t="shared" si="16"/>
        <v>M: </v>
      </c>
      <c r="C9497" s="68"/>
      <c r="D9497" s="68">
        <v>46699.0</v>
      </c>
      <c r="E9497" s="66">
        <v>5.0</v>
      </c>
      <c r="F9497" s="66" t="str">
        <f>IFERROR(__xludf.DUMMYFUNCTION("GOOGLETRANSLATE(A9497,""en"",""pt"")"),"#VALUE!")</f>
        <v>#VALUE!</v>
      </c>
      <c r="G9497" s="69"/>
    </row>
    <row r="9498" ht="22.5" customHeight="1">
      <c r="A9498" s="66"/>
      <c r="B9498" s="67" t="str">
        <f t="shared" si="16"/>
        <v>M: </v>
      </c>
      <c r="C9498" s="68"/>
      <c r="D9498" s="68">
        <v>46699.0</v>
      </c>
      <c r="E9498" s="66">
        <v>6.0</v>
      </c>
      <c r="F9498" s="66" t="str">
        <f>IFERROR(__xludf.DUMMYFUNCTION("GOOGLETRANSLATE(A9498,""en"",""pt"")"),"#VALUE!")</f>
        <v>#VALUE!</v>
      </c>
      <c r="G9498" s="69"/>
    </row>
    <row r="9499" ht="22.5" customHeight="1">
      <c r="A9499" s="66"/>
      <c r="B9499" s="67" t="str">
        <f t="shared" si="16"/>
        <v>M: </v>
      </c>
      <c r="C9499" s="68"/>
      <c r="D9499" s="68">
        <v>46699.0</v>
      </c>
      <c r="E9499" s="66">
        <v>7.0</v>
      </c>
      <c r="F9499" s="66" t="str">
        <f>IFERROR(__xludf.DUMMYFUNCTION("GOOGLETRANSLATE(A9499,""en"",""pt"")"),"#VALUE!")</f>
        <v>#VALUE!</v>
      </c>
      <c r="G9499" s="69"/>
    </row>
    <row r="9500" ht="22.5" customHeight="1">
      <c r="A9500" s="66"/>
      <c r="B9500" s="67" t="str">
        <f t="shared" si="16"/>
        <v>M: </v>
      </c>
      <c r="C9500" s="68"/>
      <c r="D9500" s="68">
        <v>46699.0</v>
      </c>
      <c r="E9500" s="66">
        <v>8.0</v>
      </c>
      <c r="F9500" s="66" t="str">
        <f>IFERROR(__xludf.DUMMYFUNCTION("GOOGLETRANSLATE(A9500,""en"",""pt"")"),"#VALUE!")</f>
        <v>#VALUE!</v>
      </c>
      <c r="G9500" s="69"/>
    </row>
    <row r="9501" ht="22.5" customHeight="1">
      <c r="A9501" s="66"/>
      <c r="B9501" s="67" t="str">
        <f t="shared" si="16"/>
        <v>M: </v>
      </c>
      <c r="C9501" s="68"/>
      <c r="D9501" s="68">
        <v>46699.0</v>
      </c>
      <c r="E9501" s="66">
        <v>9.0</v>
      </c>
      <c r="F9501" s="66" t="str">
        <f>IFERROR(__xludf.DUMMYFUNCTION("GOOGLETRANSLATE(A9501,""en"",""pt"")"),"#VALUE!")</f>
        <v>#VALUE!</v>
      </c>
      <c r="G9501" s="69"/>
    </row>
    <row r="9502" ht="22.5" customHeight="1">
      <c r="A9502" s="66"/>
      <c r="B9502" s="67" t="str">
        <f t="shared" si="16"/>
        <v>M: </v>
      </c>
      <c r="C9502" s="68"/>
      <c r="D9502" s="68">
        <v>46700.0</v>
      </c>
      <c r="E9502" s="66">
        <v>10.0</v>
      </c>
      <c r="F9502" s="66" t="str">
        <f>IFERROR(__xludf.DUMMYFUNCTION("GOOGLETRANSLATE(A9502,""en"",""pt"")"),"#VALUE!")</f>
        <v>#VALUE!</v>
      </c>
      <c r="G9502" s="69"/>
    </row>
    <row r="9503" ht="22.5" customHeight="1">
      <c r="A9503" s="66"/>
      <c r="B9503" s="67" t="str">
        <f t="shared" si="16"/>
        <v>M: </v>
      </c>
      <c r="C9503" s="68"/>
      <c r="D9503" s="68">
        <v>46700.0</v>
      </c>
      <c r="E9503" s="66">
        <v>1.0</v>
      </c>
      <c r="F9503" s="66" t="str">
        <f>IFERROR(__xludf.DUMMYFUNCTION("GOOGLETRANSLATE(A9503,""en"",""pt"")"),"#VALUE!")</f>
        <v>#VALUE!</v>
      </c>
      <c r="G9503" s="69"/>
    </row>
    <row r="9504" ht="22.5" customHeight="1">
      <c r="A9504" s="66"/>
      <c r="B9504" s="67" t="str">
        <f t="shared" si="16"/>
        <v>M: </v>
      </c>
      <c r="C9504" s="68"/>
      <c r="D9504" s="68">
        <v>46700.0</v>
      </c>
      <c r="E9504" s="66">
        <v>2.0</v>
      </c>
      <c r="F9504" s="66" t="str">
        <f>IFERROR(__xludf.DUMMYFUNCTION("GOOGLETRANSLATE(A9504,""en"",""pt"")"),"#VALUE!")</f>
        <v>#VALUE!</v>
      </c>
      <c r="G9504" s="69"/>
    </row>
    <row r="9505" ht="22.5" customHeight="1">
      <c r="A9505" s="66"/>
      <c r="B9505" s="67" t="str">
        <f t="shared" si="16"/>
        <v>M: </v>
      </c>
      <c r="C9505" s="68"/>
      <c r="D9505" s="68">
        <v>46700.0</v>
      </c>
      <c r="E9505" s="66">
        <v>3.0</v>
      </c>
      <c r="F9505" s="66" t="str">
        <f>IFERROR(__xludf.DUMMYFUNCTION("GOOGLETRANSLATE(A9505,""en"",""pt"")"),"#VALUE!")</f>
        <v>#VALUE!</v>
      </c>
      <c r="G9505" s="69"/>
    </row>
    <row r="9506" ht="22.5" customHeight="1">
      <c r="A9506" s="66"/>
      <c r="B9506" s="67" t="str">
        <f t="shared" si="16"/>
        <v>M: </v>
      </c>
      <c r="C9506" s="68"/>
      <c r="D9506" s="68">
        <v>46700.0</v>
      </c>
      <c r="E9506" s="66">
        <v>4.0</v>
      </c>
      <c r="F9506" s="66" t="str">
        <f>IFERROR(__xludf.DUMMYFUNCTION("GOOGLETRANSLATE(A9506,""en"",""pt"")"),"#VALUE!")</f>
        <v>#VALUE!</v>
      </c>
      <c r="G9506" s="69"/>
    </row>
    <row r="9507" ht="22.5" customHeight="1">
      <c r="A9507" s="66"/>
      <c r="B9507" s="67" t="str">
        <f t="shared" si="16"/>
        <v>M: </v>
      </c>
      <c r="C9507" s="68"/>
      <c r="D9507" s="68">
        <v>46700.0</v>
      </c>
      <c r="E9507" s="66">
        <v>5.0</v>
      </c>
      <c r="F9507" s="66" t="str">
        <f>IFERROR(__xludf.DUMMYFUNCTION("GOOGLETRANSLATE(A9507,""en"",""pt"")"),"#VALUE!")</f>
        <v>#VALUE!</v>
      </c>
      <c r="G9507" s="69"/>
    </row>
    <row r="9508" ht="22.5" customHeight="1">
      <c r="A9508" s="66"/>
      <c r="B9508" s="67" t="str">
        <f t="shared" si="16"/>
        <v>M: </v>
      </c>
      <c r="C9508" s="68"/>
      <c r="D9508" s="68">
        <v>46700.0</v>
      </c>
      <c r="E9508" s="66">
        <v>6.0</v>
      </c>
      <c r="F9508" s="66" t="str">
        <f>IFERROR(__xludf.DUMMYFUNCTION("GOOGLETRANSLATE(A9508,""en"",""pt"")"),"#VALUE!")</f>
        <v>#VALUE!</v>
      </c>
      <c r="G9508" s="69"/>
    </row>
    <row r="9509" ht="22.5" customHeight="1">
      <c r="A9509" s="66"/>
      <c r="B9509" s="67" t="str">
        <f t="shared" si="16"/>
        <v>M: </v>
      </c>
      <c r="C9509" s="68"/>
      <c r="D9509" s="68">
        <v>46700.0</v>
      </c>
      <c r="E9509" s="66">
        <v>7.0</v>
      </c>
      <c r="F9509" s="66" t="str">
        <f>IFERROR(__xludf.DUMMYFUNCTION("GOOGLETRANSLATE(A9509,""en"",""pt"")"),"#VALUE!")</f>
        <v>#VALUE!</v>
      </c>
      <c r="G9509" s="69"/>
    </row>
    <row r="9510" ht="22.5" customHeight="1">
      <c r="A9510" s="66"/>
      <c r="B9510" s="67" t="str">
        <f t="shared" si="16"/>
        <v>M: </v>
      </c>
      <c r="C9510" s="68"/>
      <c r="D9510" s="68">
        <v>46700.0</v>
      </c>
      <c r="E9510" s="66">
        <v>8.0</v>
      </c>
      <c r="F9510" s="66" t="str">
        <f>IFERROR(__xludf.DUMMYFUNCTION("GOOGLETRANSLATE(A9510,""en"",""pt"")"),"#VALUE!")</f>
        <v>#VALUE!</v>
      </c>
      <c r="G9510" s="69"/>
    </row>
    <row r="9511" ht="22.5" customHeight="1">
      <c r="A9511" s="66"/>
      <c r="B9511" s="67" t="str">
        <f t="shared" si="16"/>
        <v>M: </v>
      </c>
      <c r="C9511" s="68"/>
      <c r="D9511" s="68">
        <v>46700.0</v>
      </c>
      <c r="E9511" s="66">
        <v>9.0</v>
      </c>
      <c r="F9511" s="66" t="str">
        <f>IFERROR(__xludf.DUMMYFUNCTION("GOOGLETRANSLATE(A9511,""en"",""pt"")"),"#VALUE!")</f>
        <v>#VALUE!</v>
      </c>
      <c r="G9511" s="69"/>
    </row>
    <row r="9512" ht="22.5" customHeight="1">
      <c r="A9512" s="66"/>
      <c r="B9512" s="67" t="str">
        <f t="shared" si="16"/>
        <v>M: </v>
      </c>
      <c r="C9512" s="68"/>
      <c r="D9512" s="68">
        <v>46701.0</v>
      </c>
      <c r="E9512" s="66">
        <v>10.0</v>
      </c>
      <c r="F9512" s="66" t="str">
        <f>IFERROR(__xludf.DUMMYFUNCTION("GOOGLETRANSLATE(A9512,""en"",""pt"")"),"#VALUE!")</f>
        <v>#VALUE!</v>
      </c>
      <c r="G9512" s="69"/>
    </row>
    <row r="9513" ht="22.5" customHeight="1">
      <c r="A9513" s="66"/>
      <c r="B9513" s="67" t="str">
        <f t="shared" si="16"/>
        <v>M: </v>
      </c>
      <c r="C9513" s="68"/>
      <c r="D9513" s="68">
        <v>46701.0</v>
      </c>
      <c r="E9513" s="66">
        <v>1.0</v>
      </c>
      <c r="F9513" s="66" t="str">
        <f>IFERROR(__xludf.DUMMYFUNCTION("GOOGLETRANSLATE(A9513,""en"",""pt"")"),"#VALUE!")</f>
        <v>#VALUE!</v>
      </c>
      <c r="G9513" s="69"/>
    </row>
    <row r="9514" ht="22.5" customHeight="1">
      <c r="A9514" s="66"/>
      <c r="B9514" s="67" t="str">
        <f t="shared" si="16"/>
        <v>M: </v>
      </c>
      <c r="C9514" s="68"/>
      <c r="D9514" s="68">
        <v>46701.0</v>
      </c>
      <c r="E9514" s="66">
        <v>2.0</v>
      </c>
      <c r="F9514" s="66" t="str">
        <f>IFERROR(__xludf.DUMMYFUNCTION("GOOGLETRANSLATE(A9514,""en"",""pt"")"),"#VALUE!")</f>
        <v>#VALUE!</v>
      </c>
      <c r="G9514" s="69"/>
    </row>
    <row r="9515" ht="22.5" customHeight="1">
      <c r="A9515" s="66"/>
      <c r="B9515" s="67" t="str">
        <f t="shared" si="16"/>
        <v>M: </v>
      </c>
      <c r="C9515" s="68"/>
      <c r="D9515" s="68">
        <v>46701.0</v>
      </c>
      <c r="E9515" s="66">
        <v>3.0</v>
      </c>
      <c r="F9515" s="66" t="str">
        <f>IFERROR(__xludf.DUMMYFUNCTION("GOOGLETRANSLATE(A9515,""en"",""pt"")"),"#VALUE!")</f>
        <v>#VALUE!</v>
      </c>
      <c r="G9515" s="69"/>
    </row>
    <row r="9516" ht="22.5" customHeight="1">
      <c r="A9516" s="66"/>
      <c r="B9516" s="67" t="str">
        <f t="shared" si="16"/>
        <v>M: </v>
      </c>
      <c r="C9516" s="68"/>
      <c r="D9516" s="68">
        <v>46701.0</v>
      </c>
      <c r="E9516" s="66">
        <v>4.0</v>
      </c>
      <c r="F9516" s="66" t="str">
        <f>IFERROR(__xludf.DUMMYFUNCTION("GOOGLETRANSLATE(A9516,""en"",""pt"")"),"#VALUE!")</f>
        <v>#VALUE!</v>
      </c>
      <c r="G9516" s="69"/>
    </row>
    <row r="9517" ht="22.5" customHeight="1">
      <c r="A9517" s="66"/>
      <c r="B9517" s="67" t="str">
        <f t="shared" si="16"/>
        <v>M: </v>
      </c>
      <c r="C9517" s="68"/>
      <c r="D9517" s="68">
        <v>46701.0</v>
      </c>
      <c r="E9517" s="66">
        <v>5.0</v>
      </c>
      <c r="F9517" s="66" t="str">
        <f>IFERROR(__xludf.DUMMYFUNCTION("GOOGLETRANSLATE(A9517,""en"",""pt"")"),"#VALUE!")</f>
        <v>#VALUE!</v>
      </c>
      <c r="G9517" s="69"/>
    </row>
    <row r="9518" ht="22.5" customHeight="1">
      <c r="A9518" s="66"/>
      <c r="B9518" s="67" t="str">
        <f t="shared" si="16"/>
        <v>M: </v>
      </c>
      <c r="C9518" s="68"/>
      <c r="D9518" s="68">
        <v>46701.0</v>
      </c>
      <c r="E9518" s="66">
        <v>6.0</v>
      </c>
      <c r="F9518" s="66" t="str">
        <f>IFERROR(__xludf.DUMMYFUNCTION("GOOGLETRANSLATE(A9518,""en"",""pt"")"),"#VALUE!")</f>
        <v>#VALUE!</v>
      </c>
      <c r="G9518" s="69"/>
    </row>
    <row r="9519" ht="22.5" customHeight="1">
      <c r="A9519" s="66"/>
      <c r="B9519" s="67" t="str">
        <f t="shared" si="16"/>
        <v>M: </v>
      </c>
      <c r="C9519" s="68"/>
      <c r="D9519" s="68">
        <v>46701.0</v>
      </c>
      <c r="E9519" s="66">
        <v>7.0</v>
      </c>
      <c r="F9519" s="66" t="str">
        <f>IFERROR(__xludf.DUMMYFUNCTION("GOOGLETRANSLATE(A9519,""en"",""pt"")"),"#VALUE!")</f>
        <v>#VALUE!</v>
      </c>
      <c r="G9519" s="69"/>
    </row>
    <row r="9520" ht="22.5" customHeight="1">
      <c r="A9520" s="66"/>
      <c r="B9520" s="67" t="str">
        <f t="shared" si="16"/>
        <v>M: </v>
      </c>
      <c r="C9520" s="68"/>
      <c r="D9520" s="68">
        <v>46701.0</v>
      </c>
      <c r="E9520" s="66">
        <v>8.0</v>
      </c>
      <c r="F9520" s="66" t="str">
        <f>IFERROR(__xludf.DUMMYFUNCTION("GOOGLETRANSLATE(A9520,""en"",""pt"")"),"#VALUE!")</f>
        <v>#VALUE!</v>
      </c>
      <c r="G9520" s="69"/>
    </row>
    <row r="9521" ht="22.5" customHeight="1">
      <c r="A9521" s="66"/>
      <c r="B9521" s="67" t="str">
        <f t="shared" si="16"/>
        <v>M: </v>
      </c>
      <c r="C9521" s="68"/>
      <c r="D9521" s="68">
        <v>46701.0</v>
      </c>
      <c r="E9521" s="66">
        <v>9.0</v>
      </c>
      <c r="F9521" s="66" t="str">
        <f>IFERROR(__xludf.DUMMYFUNCTION("GOOGLETRANSLATE(A9521,""en"",""pt"")"),"#VALUE!")</f>
        <v>#VALUE!</v>
      </c>
      <c r="G9521" s="69"/>
    </row>
    <row r="9522" ht="22.5" customHeight="1">
      <c r="A9522" s="66"/>
      <c r="B9522" s="67" t="str">
        <f t="shared" si="16"/>
        <v>M: </v>
      </c>
      <c r="C9522" s="68"/>
      <c r="D9522" s="68">
        <v>46702.0</v>
      </c>
      <c r="E9522" s="66">
        <v>10.0</v>
      </c>
      <c r="F9522" s="66" t="str">
        <f>IFERROR(__xludf.DUMMYFUNCTION("GOOGLETRANSLATE(A9522,""en"",""pt"")"),"#VALUE!")</f>
        <v>#VALUE!</v>
      </c>
      <c r="G9522" s="69"/>
    </row>
    <row r="9523" ht="22.5" customHeight="1">
      <c r="A9523" s="66"/>
      <c r="B9523" s="67" t="str">
        <f t="shared" si="16"/>
        <v>M: </v>
      </c>
      <c r="C9523" s="68"/>
      <c r="D9523" s="68">
        <v>46702.0</v>
      </c>
      <c r="E9523" s="66">
        <v>1.0</v>
      </c>
      <c r="F9523" s="66" t="str">
        <f>IFERROR(__xludf.DUMMYFUNCTION("GOOGLETRANSLATE(A9523,""en"",""pt"")"),"#VALUE!")</f>
        <v>#VALUE!</v>
      </c>
      <c r="G9523" s="69"/>
    </row>
    <row r="9524" ht="22.5" customHeight="1">
      <c r="A9524" s="66"/>
      <c r="B9524" s="67" t="str">
        <f t="shared" si="16"/>
        <v>M: </v>
      </c>
      <c r="C9524" s="68"/>
      <c r="D9524" s="68">
        <v>46702.0</v>
      </c>
      <c r="E9524" s="66">
        <v>2.0</v>
      </c>
      <c r="F9524" s="66" t="str">
        <f>IFERROR(__xludf.DUMMYFUNCTION("GOOGLETRANSLATE(A9524,""en"",""pt"")"),"#VALUE!")</f>
        <v>#VALUE!</v>
      </c>
      <c r="G9524" s="69"/>
    </row>
    <row r="9525" ht="22.5" customHeight="1">
      <c r="A9525" s="66"/>
      <c r="B9525" s="67" t="str">
        <f t="shared" si="16"/>
        <v>M: </v>
      </c>
      <c r="C9525" s="68"/>
      <c r="D9525" s="68">
        <v>46702.0</v>
      </c>
      <c r="E9525" s="66">
        <v>3.0</v>
      </c>
      <c r="F9525" s="66" t="str">
        <f>IFERROR(__xludf.DUMMYFUNCTION("GOOGLETRANSLATE(A9525,""en"",""pt"")"),"#VALUE!")</f>
        <v>#VALUE!</v>
      </c>
      <c r="G9525" s="69"/>
    </row>
    <row r="9526" ht="22.5" customHeight="1">
      <c r="A9526" s="66"/>
      <c r="B9526" s="67" t="str">
        <f t="shared" si="16"/>
        <v>M: </v>
      </c>
      <c r="C9526" s="68"/>
      <c r="D9526" s="68">
        <v>46702.0</v>
      </c>
      <c r="E9526" s="66">
        <v>4.0</v>
      </c>
      <c r="F9526" s="66" t="str">
        <f>IFERROR(__xludf.DUMMYFUNCTION("GOOGLETRANSLATE(A9526,""en"",""pt"")"),"#VALUE!")</f>
        <v>#VALUE!</v>
      </c>
      <c r="G9526" s="69"/>
    </row>
    <row r="9527" ht="22.5" customHeight="1">
      <c r="A9527" s="66"/>
      <c r="B9527" s="67" t="str">
        <f t="shared" si="16"/>
        <v>M: </v>
      </c>
      <c r="C9527" s="68"/>
      <c r="D9527" s="68">
        <v>46702.0</v>
      </c>
      <c r="E9527" s="66">
        <v>5.0</v>
      </c>
      <c r="F9527" s="66" t="str">
        <f>IFERROR(__xludf.DUMMYFUNCTION("GOOGLETRANSLATE(A9527,""en"",""pt"")"),"#VALUE!")</f>
        <v>#VALUE!</v>
      </c>
      <c r="G9527" s="69"/>
    </row>
    <row r="9528" ht="22.5" customHeight="1">
      <c r="A9528" s="66"/>
      <c r="B9528" s="67" t="str">
        <f t="shared" si="16"/>
        <v>M: </v>
      </c>
      <c r="C9528" s="68"/>
      <c r="D9528" s="68">
        <v>46702.0</v>
      </c>
      <c r="E9528" s="66">
        <v>6.0</v>
      </c>
      <c r="F9528" s="66" t="str">
        <f>IFERROR(__xludf.DUMMYFUNCTION("GOOGLETRANSLATE(A9528,""en"",""pt"")"),"#VALUE!")</f>
        <v>#VALUE!</v>
      </c>
      <c r="G9528" s="69"/>
    </row>
    <row r="9529" ht="22.5" customHeight="1">
      <c r="A9529" s="66"/>
      <c r="B9529" s="67" t="str">
        <f t="shared" si="16"/>
        <v>M: </v>
      </c>
      <c r="C9529" s="68"/>
      <c r="D9529" s="68">
        <v>46702.0</v>
      </c>
      <c r="E9529" s="66">
        <v>7.0</v>
      </c>
      <c r="F9529" s="66" t="str">
        <f>IFERROR(__xludf.DUMMYFUNCTION("GOOGLETRANSLATE(A9529,""en"",""pt"")"),"#VALUE!")</f>
        <v>#VALUE!</v>
      </c>
      <c r="G9529" s="69"/>
    </row>
    <row r="9530" ht="22.5" customHeight="1">
      <c r="A9530" s="66"/>
      <c r="B9530" s="67" t="str">
        <f t="shared" si="16"/>
        <v>M: </v>
      </c>
      <c r="C9530" s="68"/>
      <c r="D9530" s="68">
        <v>46702.0</v>
      </c>
      <c r="E9530" s="66">
        <v>8.0</v>
      </c>
      <c r="F9530" s="66" t="str">
        <f>IFERROR(__xludf.DUMMYFUNCTION("GOOGLETRANSLATE(A9530,""en"",""pt"")"),"#VALUE!")</f>
        <v>#VALUE!</v>
      </c>
      <c r="G9530" s="69"/>
    </row>
    <row r="9531" ht="22.5" customHeight="1">
      <c r="A9531" s="66"/>
      <c r="B9531" s="67" t="str">
        <f t="shared" si="16"/>
        <v>M: </v>
      </c>
      <c r="C9531" s="68"/>
      <c r="D9531" s="68">
        <v>46702.0</v>
      </c>
      <c r="E9531" s="66">
        <v>9.0</v>
      </c>
      <c r="F9531" s="66" t="str">
        <f>IFERROR(__xludf.DUMMYFUNCTION("GOOGLETRANSLATE(A9531,""en"",""pt"")"),"#VALUE!")</f>
        <v>#VALUE!</v>
      </c>
      <c r="G9531" s="69"/>
    </row>
    <row r="9532" ht="22.5" customHeight="1">
      <c r="A9532" s="66"/>
      <c r="B9532" s="67" t="str">
        <f t="shared" si="16"/>
        <v>M: </v>
      </c>
      <c r="C9532" s="68"/>
      <c r="D9532" s="68">
        <v>46703.0</v>
      </c>
      <c r="E9532" s="66">
        <v>10.0</v>
      </c>
      <c r="F9532" s="66" t="str">
        <f>IFERROR(__xludf.DUMMYFUNCTION("GOOGLETRANSLATE(A9532,""en"",""pt"")"),"#VALUE!")</f>
        <v>#VALUE!</v>
      </c>
      <c r="G9532" s="69"/>
    </row>
    <row r="9533" ht="22.5" customHeight="1">
      <c r="A9533" s="66"/>
      <c r="B9533" s="67" t="str">
        <f t="shared" si="16"/>
        <v>M: </v>
      </c>
      <c r="C9533" s="68"/>
      <c r="D9533" s="68">
        <v>46703.0</v>
      </c>
      <c r="E9533" s="66">
        <v>1.0</v>
      </c>
      <c r="F9533" s="66" t="str">
        <f>IFERROR(__xludf.DUMMYFUNCTION("GOOGLETRANSLATE(A9533,""en"",""pt"")"),"#VALUE!")</f>
        <v>#VALUE!</v>
      </c>
      <c r="G9533" s="69"/>
    </row>
    <row r="9534" ht="22.5" customHeight="1">
      <c r="A9534" s="66"/>
      <c r="B9534" s="67" t="str">
        <f t="shared" si="16"/>
        <v>M: </v>
      </c>
      <c r="C9534" s="68"/>
      <c r="D9534" s="68">
        <v>46703.0</v>
      </c>
      <c r="E9534" s="66">
        <v>2.0</v>
      </c>
      <c r="F9534" s="66" t="str">
        <f>IFERROR(__xludf.DUMMYFUNCTION("GOOGLETRANSLATE(A9534,""en"",""pt"")"),"#VALUE!")</f>
        <v>#VALUE!</v>
      </c>
      <c r="G9534" s="69"/>
    </row>
    <row r="9535" ht="22.5" customHeight="1">
      <c r="A9535" s="66"/>
      <c r="B9535" s="67" t="str">
        <f t="shared" si="16"/>
        <v>M: </v>
      </c>
      <c r="C9535" s="68"/>
      <c r="D9535" s="68">
        <v>46703.0</v>
      </c>
      <c r="E9535" s="66">
        <v>3.0</v>
      </c>
      <c r="F9535" s="66" t="str">
        <f>IFERROR(__xludf.DUMMYFUNCTION("GOOGLETRANSLATE(A9535,""en"",""pt"")"),"#VALUE!")</f>
        <v>#VALUE!</v>
      </c>
      <c r="G9535" s="69"/>
    </row>
    <row r="9536" ht="22.5" customHeight="1">
      <c r="A9536" s="66"/>
      <c r="B9536" s="67" t="str">
        <f t="shared" si="16"/>
        <v>M: </v>
      </c>
      <c r="C9536" s="68"/>
      <c r="D9536" s="68">
        <v>46703.0</v>
      </c>
      <c r="E9536" s="66">
        <v>4.0</v>
      </c>
      <c r="F9536" s="66" t="str">
        <f>IFERROR(__xludf.DUMMYFUNCTION("GOOGLETRANSLATE(A9536,""en"",""pt"")"),"#VALUE!")</f>
        <v>#VALUE!</v>
      </c>
      <c r="G9536" s="69"/>
    </row>
    <row r="9537" ht="22.5" customHeight="1">
      <c r="A9537" s="66"/>
      <c r="B9537" s="67" t="str">
        <f t="shared" si="16"/>
        <v>M: </v>
      </c>
      <c r="C9537" s="68"/>
      <c r="D9537" s="68">
        <v>46703.0</v>
      </c>
      <c r="E9537" s="66">
        <v>5.0</v>
      </c>
      <c r="F9537" s="66" t="str">
        <f>IFERROR(__xludf.DUMMYFUNCTION("GOOGLETRANSLATE(A9537,""en"",""pt"")"),"#VALUE!")</f>
        <v>#VALUE!</v>
      </c>
      <c r="G9537" s="69"/>
    </row>
    <row r="9538" ht="22.5" customHeight="1">
      <c r="A9538" s="66"/>
      <c r="B9538" s="67" t="str">
        <f t="shared" si="16"/>
        <v>M: </v>
      </c>
      <c r="C9538" s="68"/>
      <c r="D9538" s="68">
        <v>46703.0</v>
      </c>
      <c r="E9538" s="66">
        <v>6.0</v>
      </c>
      <c r="F9538" s="66" t="str">
        <f>IFERROR(__xludf.DUMMYFUNCTION("GOOGLETRANSLATE(A9538,""en"",""pt"")"),"#VALUE!")</f>
        <v>#VALUE!</v>
      </c>
      <c r="G9538" s="69"/>
    </row>
    <row r="9539" ht="22.5" customHeight="1">
      <c r="A9539" s="66"/>
      <c r="B9539" s="67" t="str">
        <f t="shared" si="16"/>
        <v>M: </v>
      </c>
      <c r="C9539" s="68"/>
      <c r="D9539" s="68">
        <v>46703.0</v>
      </c>
      <c r="E9539" s="66">
        <v>7.0</v>
      </c>
      <c r="F9539" s="66" t="str">
        <f>IFERROR(__xludf.DUMMYFUNCTION("GOOGLETRANSLATE(A9539,""en"",""pt"")"),"#VALUE!")</f>
        <v>#VALUE!</v>
      </c>
      <c r="G9539" s="69"/>
    </row>
    <row r="9540" ht="22.5" customHeight="1">
      <c r="A9540" s="66"/>
      <c r="B9540" s="67" t="str">
        <f t="shared" si="16"/>
        <v>M: </v>
      </c>
      <c r="C9540" s="68"/>
      <c r="D9540" s="68">
        <v>46703.0</v>
      </c>
      <c r="E9540" s="66">
        <v>8.0</v>
      </c>
      <c r="F9540" s="66" t="str">
        <f>IFERROR(__xludf.DUMMYFUNCTION("GOOGLETRANSLATE(A9540,""en"",""pt"")"),"#VALUE!")</f>
        <v>#VALUE!</v>
      </c>
      <c r="G9540" s="69"/>
    </row>
    <row r="9541" ht="22.5" customHeight="1">
      <c r="A9541" s="66"/>
      <c r="B9541" s="67" t="str">
        <f t="shared" si="16"/>
        <v>M: </v>
      </c>
      <c r="C9541" s="68"/>
      <c r="D9541" s="68">
        <v>46703.0</v>
      </c>
      <c r="E9541" s="66">
        <v>9.0</v>
      </c>
      <c r="F9541" s="66" t="str">
        <f>IFERROR(__xludf.DUMMYFUNCTION("GOOGLETRANSLATE(A9541,""en"",""pt"")"),"#VALUE!")</f>
        <v>#VALUE!</v>
      </c>
      <c r="G9541" s="69"/>
    </row>
    <row r="9542" ht="22.5" customHeight="1">
      <c r="A9542" s="66"/>
      <c r="B9542" s="67" t="str">
        <f t="shared" si="16"/>
        <v>M: </v>
      </c>
      <c r="C9542" s="68"/>
      <c r="D9542" s="68">
        <v>46704.0</v>
      </c>
      <c r="E9542" s="66">
        <v>10.0</v>
      </c>
      <c r="F9542" s="66" t="str">
        <f>IFERROR(__xludf.DUMMYFUNCTION("GOOGLETRANSLATE(A9542,""en"",""pt"")"),"#VALUE!")</f>
        <v>#VALUE!</v>
      </c>
      <c r="G9542" s="69"/>
    </row>
    <row r="9543" ht="22.5" customHeight="1">
      <c r="A9543" s="66"/>
      <c r="B9543" s="67" t="str">
        <f t="shared" si="16"/>
        <v>M: </v>
      </c>
      <c r="C9543" s="68"/>
      <c r="D9543" s="68">
        <v>46704.0</v>
      </c>
      <c r="E9543" s="66">
        <v>1.0</v>
      </c>
      <c r="F9543" s="66" t="str">
        <f>IFERROR(__xludf.DUMMYFUNCTION("GOOGLETRANSLATE(A9543,""en"",""pt"")"),"#VALUE!")</f>
        <v>#VALUE!</v>
      </c>
      <c r="G9543" s="69"/>
    </row>
    <row r="9544" ht="22.5" customHeight="1">
      <c r="A9544" s="66"/>
      <c r="B9544" s="67" t="str">
        <f t="shared" si="16"/>
        <v>M: </v>
      </c>
      <c r="C9544" s="68"/>
      <c r="D9544" s="68">
        <v>46704.0</v>
      </c>
      <c r="E9544" s="66">
        <v>2.0</v>
      </c>
      <c r="F9544" s="66" t="str">
        <f>IFERROR(__xludf.DUMMYFUNCTION("GOOGLETRANSLATE(A9544,""en"",""pt"")"),"#VALUE!")</f>
        <v>#VALUE!</v>
      </c>
      <c r="G9544" s="69"/>
    </row>
    <row r="9545" ht="22.5" customHeight="1">
      <c r="A9545" s="66"/>
      <c r="B9545" s="67" t="str">
        <f t="shared" si="16"/>
        <v>M: </v>
      </c>
      <c r="C9545" s="68"/>
      <c r="D9545" s="68">
        <v>46704.0</v>
      </c>
      <c r="E9545" s="66">
        <v>3.0</v>
      </c>
      <c r="F9545" s="66" t="str">
        <f>IFERROR(__xludf.DUMMYFUNCTION("GOOGLETRANSLATE(A9545,""en"",""pt"")"),"#VALUE!")</f>
        <v>#VALUE!</v>
      </c>
      <c r="G9545" s="69"/>
    </row>
    <row r="9546" ht="22.5" customHeight="1">
      <c r="A9546" s="66"/>
      <c r="B9546" s="67" t="str">
        <f t="shared" si="16"/>
        <v>M: </v>
      </c>
      <c r="C9546" s="68"/>
      <c r="D9546" s="68">
        <v>46704.0</v>
      </c>
      <c r="E9546" s="66">
        <v>4.0</v>
      </c>
      <c r="F9546" s="66" t="str">
        <f>IFERROR(__xludf.DUMMYFUNCTION("GOOGLETRANSLATE(A9546,""en"",""pt"")"),"#VALUE!")</f>
        <v>#VALUE!</v>
      </c>
      <c r="G9546" s="69"/>
    </row>
    <row r="9547" ht="22.5" customHeight="1">
      <c r="A9547" s="66"/>
      <c r="B9547" s="67" t="str">
        <f t="shared" si="16"/>
        <v>M: </v>
      </c>
      <c r="C9547" s="68"/>
      <c r="D9547" s="68">
        <v>46704.0</v>
      </c>
      <c r="E9547" s="66">
        <v>5.0</v>
      </c>
      <c r="F9547" s="66" t="str">
        <f>IFERROR(__xludf.DUMMYFUNCTION("GOOGLETRANSLATE(A9547,""en"",""pt"")"),"#VALUE!")</f>
        <v>#VALUE!</v>
      </c>
      <c r="G9547" s="69"/>
    </row>
    <row r="9548" ht="22.5" customHeight="1">
      <c r="A9548" s="66"/>
      <c r="B9548" s="67" t="str">
        <f t="shared" si="16"/>
        <v>M: </v>
      </c>
      <c r="C9548" s="68"/>
      <c r="D9548" s="68">
        <v>46704.0</v>
      </c>
      <c r="E9548" s="66">
        <v>6.0</v>
      </c>
      <c r="F9548" s="66" t="str">
        <f>IFERROR(__xludf.DUMMYFUNCTION("GOOGLETRANSLATE(A9548,""en"",""pt"")"),"#VALUE!")</f>
        <v>#VALUE!</v>
      </c>
      <c r="G9548" s="69"/>
    </row>
    <row r="9549" ht="22.5" customHeight="1">
      <c r="A9549" s="66"/>
      <c r="B9549" s="67" t="str">
        <f t="shared" si="16"/>
        <v>M: </v>
      </c>
      <c r="C9549" s="68"/>
      <c r="D9549" s="68">
        <v>46704.0</v>
      </c>
      <c r="E9549" s="66">
        <v>7.0</v>
      </c>
      <c r="F9549" s="66" t="str">
        <f>IFERROR(__xludf.DUMMYFUNCTION("GOOGLETRANSLATE(A9549,""en"",""pt"")"),"#VALUE!")</f>
        <v>#VALUE!</v>
      </c>
      <c r="G9549" s="69"/>
    </row>
    <row r="9550" ht="22.5" customHeight="1">
      <c r="A9550" s="66"/>
      <c r="B9550" s="67" t="str">
        <f t="shared" si="16"/>
        <v>M: </v>
      </c>
      <c r="C9550" s="68"/>
      <c r="D9550" s="68">
        <v>46704.0</v>
      </c>
      <c r="E9550" s="66">
        <v>8.0</v>
      </c>
      <c r="F9550" s="66" t="str">
        <f>IFERROR(__xludf.DUMMYFUNCTION("GOOGLETRANSLATE(A9550,""en"",""pt"")"),"#VALUE!")</f>
        <v>#VALUE!</v>
      </c>
      <c r="G9550" s="69"/>
    </row>
    <row r="9551" ht="22.5" customHeight="1">
      <c r="A9551" s="66"/>
      <c r="B9551" s="67" t="str">
        <f t="shared" si="16"/>
        <v>M: </v>
      </c>
      <c r="C9551" s="68"/>
      <c r="D9551" s="68">
        <v>46704.0</v>
      </c>
      <c r="E9551" s="66">
        <v>9.0</v>
      </c>
      <c r="F9551" s="66" t="str">
        <f>IFERROR(__xludf.DUMMYFUNCTION("GOOGLETRANSLATE(A9551,""en"",""pt"")"),"#VALUE!")</f>
        <v>#VALUE!</v>
      </c>
      <c r="G9551" s="69"/>
    </row>
    <row r="9552" ht="22.5" customHeight="1">
      <c r="A9552" s="66"/>
      <c r="B9552" s="67" t="str">
        <f t="shared" si="16"/>
        <v>M: </v>
      </c>
      <c r="C9552" s="68"/>
      <c r="D9552" s="68">
        <v>46705.0</v>
      </c>
      <c r="E9552" s="66">
        <v>10.0</v>
      </c>
      <c r="F9552" s="66" t="str">
        <f>IFERROR(__xludf.DUMMYFUNCTION("GOOGLETRANSLATE(A9552,""en"",""pt"")"),"#VALUE!")</f>
        <v>#VALUE!</v>
      </c>
      <c r="G9552" s="69"/>
    </row>
    <row r="9553" ht="22.5" customHeight="1">
      <c r="A9553" s="66"/>
      <c r="B9553" s="67" t="str">
        <f t="shared" si="16"/>
        <v>M: </v>
      </c>
      <c r="C9553" s="68"/>
      <c r="D9553" s="68">
        <v>46705.0</v>
      </c>
      <c r="E9553" s="66">
        <v>1.0</v>
      </c>
      <c r="F9553" s="66" t="str">
        <f>IFERROR(__xludf.DUMMYFUNCTION("GOOGLETRANSLATE(A9553,""en"",""pt"")"),"#VALUE!")</f>
        <v>#VALUE!</v>
      </c>
      <c r="G9553" s="69"/>
    </row>
    <row r="9554" ht="22.5" customHeight="1">
      <c r="A9554" s="66"/>
      <c r="B9554" s="67" t="str">
        <f t="shared" si="16"/>
        <v>M: </v>
      </c>
      <c r="C9554" s="68"/>
      <c r="D9554" s="68">
        <v>46705.0</v>
      </c>
      <c r="E9554" s="66">
        <v>2.0</v>
      </c>
      <c r="F9554" s="66" t="str">
        <f>IFERROR(__xludf.DUMMYFUNCTION("GOOGLETRANSLATE(A9554,""en"",""pt"")"),"#VALUE!")</f>
        <v>#VALUE!</v>
      </c>
      <c r="G9554" s="69"/>
    </row>
    <row r="9555" ht="22.5" customHeight="1">
      <c r="A9555" s="66"/>
      <c r="B9555" s="67" t="str">
        <f t="shared" si="16"/>
        <v>M: </v>
      </c>
      <c r="C9555" s="68"/>
      <c r="D9555" s="68">
        <v>46705.0</v>
      </c>
      <c r="E9555" s="66">
        <v>3.0</v>
      </c>
      <c r="F9555" s="66" t="str">
        <f>IFERROR(__xludf.DUMMYFUNCTION("GOOGLETRANSLATE(A9555,""en"",""pt"")"),"#VALUE!")</f>
        <v>#VALUE!</v>
      </c>
      <c r="G9555" s="69"/>
    </row>
    <row r="9556" ht="22.5" customHeight="1">
      <c r="A9556" s="66"/>
      <c r="B9556" s="67" t="str">
        <f t="shared" si="16"/>
        <v>M: </v>
      </c>
      <c r="C9556" s="68"/>
      <c r="D9556" s="68">
        <v>46705.0</v>
      </c>
      <c r="E9556" s="66">
        <v>4.0</v>
      </c>
      <c r="F9556" s="66" t="str">
        <f>IFERROR(__xludf.DUMMYFUNCTION("GOOGLETRANSLATE(A9556,""en"",""pt"")"),"#VALUE!")</f>
        <v>#VALUE!</v>
      </c>
      <c r="G9556" s="69"/>
    </row>
    <row r="9557" ht="22.5" customHeight="1">
      <c r="A9557" s="66"/>
      <c r="B9557" s="67" t="str">
        <f t="shared" si="16"/>
        <v>M: </v>
      </c>
      <c r="C9557" s="68"/>
      <c r="D9557" s="68">
        <v>46705.0</v>
      </c>
      <c r="E9557" s="66">
        <v>5.0</v>
      </c>
      <c r="F9557" s="66" t="str">
        <f>IFERROR(__xludf.DUMMYFUNCTION("GOOGLETRANSLATE(A9557,""en"",""pt"")"),"#VALUE!")</f>
        <v>#VALUE!</v>
      </c>
      <c r="G9557" s="69"/>
    </row>
    <row r="9558" ht="22.5" customHeight="1">
      <c r="A9558" s="66"/>
      <c r="B9558" s="67" t="str">
        <f t="shared" si="16"/>
        <v>M: </v>
      </c>
      <c r="C9558" s="68"/>
      <c r="D9558" s="68">
        <v>46705.0</v>
      </c>
      <c r="E9558" s="66">
        <v>6.0</v>
      </c>
      <c r="F9558" s="66" t="str">
        <f>IFERROR(__xludf.DUMMYFUNCTION("GOOGLETRANSLATE(A9558,""en"",""pt"")"),"#VALUE!")</f>
        <v>#VALUE!</v>
      </c>
      <c r="G9558" s="69"/>
    </row>
    <row r="9559" ht="22.5" customHeight="1">
      <c r="A9559" s="66"/>
      <c r="B9559" s="67" t="str">
        <f t="shared" si="16"/>
        <v>M: </v>
      </c>
      <c r="C9559" s="68"/>
      <c r="D9559" s="68">
        <v>46705.0</v>
      </c>
      <c r="E9559" s="66">
        <v>7.0</v>
      </c>
      <c r="F9559" s="66" t="str">
        <f>IFERROR(__xludf.DUMMYFUNCTION("GOOGLETRANSLATE(A9559,""en"",""pt"")"),"#VALUE!")</f>
        <v>#VALUE!</v>
      </c>
      <c r="G9559" s="69"/>
    </row>
    <row r="9560" ht="22.5" customHeight="1">
      <c r="A9560" s="66"/>
      <c r="B9560" s="67" t="str">
        <f t="shared" si="16"/>
        <v>M: </v>
      </c>
      <c r="C9560" s="68"/>
      <c r="D9560" s="68">
        <v>46705.0</v>
      </c>
      <c r="E9560" s="66">
        <v>8.0</v>
      </c>
      <c r="F9560" s="66" t="str">
        <f>IFERROR(__xludf.DUMMYFUNCTION("GOOGLETRANSLATE(A9560,""en"",""pt"")"),"#VALUE!")</f>
        <v>#VALUE!</v>
      </c>
      <c r="G9560" s="69"/>
    </row>
    <row r="9561" ht="22.5" customHeight="1">
      <c r="A9561" s="66"/>
      <c r="B9561" s="67" t="str">
        <f t="shared" si="16"/>
        <v>M: </v>
      </c>
      <c r="C9561" s="68"/>
      <c r="D9561" s="68">
        <v>46705.0</v>
      </c>
      <c r="E9561" s="66">
        <v>9.0</v>
      </c>
      <c r="F9561" s="66" t="str">
        <f>IFERROR(__xludf.DUMMYFUNCTION("GOOGLETRANSLATE(A9561,""en"",""pt"")"),"#VALUE!")</f>
        <v>#VALUE!</v>
      </c>
      <c r="G9561" s="69"/>
    </row>
    <row r="9562" ht="22.5" customHeight="1">
      <c r="A9562" s="66"/>
      <c r="B9562" s="67" t="str">
        <f t="shared" si="16"/>
        <v>M: </v>
      </c>
      <c r="C9562" s="68"/>
      <c r="D9562" s="68">
        <v>46706.0</v>
      </c>
      <c r="E9562" s="66">
        <v>10.0</v>
      </c>
      <c r="F9562" s="66" t="str">
        <f>IFERROR(__xludf.DUMMYFUNCTION("GOOGLETRANSLATE(A9562,""en"",""pt"")"),"#VALUE!")</f>
        <v>#VALUE!</v>
      </c>
      <c r="G9562" s="69"/>
    </row>
    <row r="9563" ht="22.5" customHeight="1">
      <c r="A9563" s="66"/>
      <c r="B9563" s="67" t="str">
        <f t="shared" si="16"/>
        <v>M: </v>
      </c>
      <c r="C9563" s="68"/>
      <c r="D9563" s="68">
        <v>46706.0</v>
      </c>
      <c r="E9563" s="66">
        <v>1.0</v>
      </c>
      <c r="F9563" s="66" t="str">
        <f>IFERROR(__xludf.DUMMYFUNCTION("GOOGLETRANSLATE(A9563,""en"",""pt"")"),"#VALUE!")</f>
        <v>#VALUE!</v>
      </c>
      <c r="G9563" s="69"/>
    </row>
    <row r="9564" ht="22.5" customHeight="1">
      <c r="A9564" s="66"/>
      <c r="B9564" s="67" t="str">
        <f t="shared" si="16"/>
        <v>M: </v>
      </c>
      <c r="C9564" s="68"/>
      <c r="D9564" s="68">
        <v>46706.0</v>
      </c>
      <c r="E9564" s="66">
        <v>2.0</v>
      </c>
      <c r="F9564" s="66" t="str">
        <f>IFERROR(__xludf.DUMMYFUNCTION("GOOGLETRANSLATE(A9564,""en"",""pt"")"),"#VALUE!")</f>
        <v>#VALUE!</v>
      </c>
      <c r="G9564" s="69"/>
    </row>
    <row r="9565" ht="22.5" customHeight="1">
      <c r="A9565" s="66"/>
      <c r="B9565" s="67" t="str">
        <f t="shared" si="16"/>
        <v>M: </v>
      </c>
      <c r="C9565" s="68"/>
      <c r="D9565" s="68">
        <v>46706.0</v>
      </c>
      <c r="E9565" s="66">
        <v>3.0</v>
      </c>
      <c r="F9565" s="66" t="str">
        <f>IFERROR(__xludf.DUMMYFUNCTION("GOOGLETRANSLATE(A9565,""en"",""pt"")"),"#VALUE!")</f>
        <v>#VALUE!</v>
      </c>
      <c r="G9565" s="69"/>
    </row>
    <row r="9566" ht="22.5" customHeight="1">
      <c r="A9566" s="66"/>
      <c r="B9566" s="67" t="str">
        <f t="shared" si="16"/>
        <v>M: </v>
      </c>
      <c r="C9566" s="68"/>
      <c r="D9566" s="68">
        <v>46706.0</v>
      </c>
      <c r="E9566" s="66">
        <v>4.0</v>
      </c>
      <c r="F9566" s="66" t="str">
        <f>IFERROR(__xludf.DUMMYFUNCTION("GOOGLETRANSLATE(A9566,""en"",""pt"")"),"#VALUE!")</f>
        <v>#VALUE!</v>
      </c>
      <c r="G9566" s="69"/>
    </row>
    <row r="9567" ht="22.5" customHeight="1">
      <c r="A9567" s="66"/>
      <c r="B9567" s="67" t="str">
        <f t="shared" si="16"/>
        <v>M: </v>
      </c>
      <c r="C9567" s="68"/>
      <c r="D9567" s="68">
        <v>46706.0</v>
      </c>
      <c r="E9567" s="66">
        <v>5.0</v>
      </c>
      <c r="F9567" s="66" t="str">
        <f>IFERROR(__xludf.DUMMYFUNCTION("GOOGLETRANSLATE(A9567,""en"",""pt"")"),"#VALUE!")</f>
        <v>#VALUE!</v>
      </c>
      <c r="G9567" s="69"/>
    </row>
    <row r="9568" ht="22.5" customHeight="1">
      <c r="A9568" s="66"/>
      <c r="B9568" s="67" t="str">
        <f t="shared" si="16"/>
        <v>M: </v>
      </c>
      <c r="C9568" s="68"/>
      <c r="D9568" s="68">
        <v>46706.0</v>
      </c>
      <c r="E9568" s="66">
        <v>6.0</v>
      </c>
      <c r="F9568" s="66" t="str">
        <f>IFERROR(__xludf.DUMMYFUNCTION("GOOGLETRANSLATE(A9568,""en"",""pt"")"),"#VALUE!")</f>
        <v>#VALUE!</v>
      </c>
      <c r="G9568" s="69"/>
    </row>
    <row r="9569" ht="22.5" customHeight="1">
      <c r="A9569" s="66"/>
      <c r="B9569" s="67" t="str">
        <f t="shared" si="16"/>
        <v>M: </v>
      </c>
      <c r="C9569" s="68"/>
      <c r="D9569" s="68">
        <v>46706.0</v>
      </c>
      <c r="E9569" s="66">
        <v>7.0</v>
      </c>
      <c r="F9569" s="66" t="str">
        <f>IFERROR(__xludf.DUMMYFUNCTION("GOOGLETRANSLATE(A9569,""en"",""pt"")"),"#VALUE!")</f>
        <v>#VALUE!</v>
      </c>
      <c r="G9569" s="69"/>
    </row>
    <row r="9570" ht="22.5" customHeight="1">
      <c r="A9570" s="66"/>
      <c r="B9570" s="67" t="str">
        <f t="shared" si="16"/>
        <v>M: </v>
      </c>
      <c r="C9570" s="68"/>
      <c r="D9570" s="68">
        <v>46706.0</v>
      </c>
      <c r="E9570" s="66">
        <v>8.0</v>
      </c>
      <c r="F9570" s="66" t="str">
        <f>IFERROR(__xludf.DUMMYFUNCTION("GOOGLETRANSLATE(A9570,""en"",""pt"")"),"#VALUE!")</f>
        <v>#VALUE!</v>
      </c>
      <c r="G9570" s="69"/>
    </row>
    <row r="9571" ht="22.5" customHeight="1">
      <c r="A9571" s="66"/>
      <c r="B9571" s="67" t="str">
        <f t="shared" si="16"/>
        <v>M: </v>
      </c>
      <c r="C9571" s="68"/>
      <c r="D9571" s="68">
        <v>46706.0</v>
      </c>
      <c r="E9571" s="66">
        <v>9.0</v>
      </c>
      <c r="F9571" s="66" t="str">
        <f>IFERROR(__xludf.DUMMYFUNCTION("GOOGLETRANSLATE(A9571,""en"",""pt"")"),"#VALUE!")</f>
        <v>#VALUE!</v>
      </c>
      <c r="G9571" s="69"/>
    </row>
    <row r="9572" ht="22.5" customHeight="1">
      <c r="A9572" s="66"/>
      <c r="B9572" s="67" t="str">
        <f t="shared" si="16"/>
        <v>M: </v>
      </c>
      <c r="C9572" s="68"/>
      <c r="D9572" s="68">
        <v>46707.0</v>
      </c>
      <c r="E9572" s="66">
        <v>10.0</v>
      </c>
      <c r="F9572" s="66" t="str">
        <f>IFERROR(__xludf.DUMMYFUNCTION("GOOGLETRANSLATE(A9572,""en"",""pt"")"),"#VALUE!")</f>
        <v>#VALUE!</v>
      </c>
      <c r="G9572" s="69"/>
    </row>
    <row r="9573" ht="22.5" customHeight="1">
      <c r="A9573" s="66"/>
      <c r="B9573" s="67" t="str">
        <f t="shared" si="16"/>
        <v>M: </v>
      </c>
      <c r="C9573" s="68"/>
      <c r="D9573" s="68">
        <v>46707.0</v>
      </c>
      <c r="E9573" s="66">
        <v>1.0</v>
      </c>
      <c r="F9573" s="66" t="str">
        <f>IFERROR(__xludf.DUMMYFUNCTION("GOOGLETRANSLATE(A9573,""en"",""pt"")"),"#VALUE!")</f>
        <v>#VALUE!</v>
      </c>
      <c r="G9573" s="69"/>
    </row>
    <row r="9574" ht="22.5" customHeight="1">
      <c r="A9574" s="66"/>
      <c r="B9574" s="67" t="str">
        <f t="shared" si="16"/>
        <v>M: </v>
      </c>
      <c r="C9574" s="68"/>
      <c r="D9574" s="68">
        <v>46707.0</v>
      </c>
      <c r="E9574" s="66">
        <v>2.0</v>
      </c>
      <c r="F9574" s="66" t="str">
        <f>IFERROR(__xludf.DUMMYFUNCTION("GOOGLETRANSLATE(A9574,""en"",""pt"")"),"#VALUE!")</f>
        <v>#VALUE!</v>
      </c>
      <c r="G9574" s="69"/>
    </row>
    <row r="9575" ht="22.5" customHeight="1">
      <c r="A9575" s="66"/>
      <c r="B9575" s="67" t="str">
        <f t="shared" si="16"/>
        <v>M: </v>
      </c>
      <c r="C9575" s="68"/>
      <c r="D9575" s="68">
        <v>46707.0</v>
      </c>
      <c r="E9575" s="66">
        <v>3.0</v>
      </c>
      <c r="F9575" s="66" t="str">
        <f>IFERROR(__xludf.DUMMYFUNCTION("GOOGLETRANSLATE(A9575,""en"",""pt"")"),"#VALUE!")</f>
        <v>#VALUE!</v>
      </c>
      <c r="G9575" s="69"/>
    </row>
    <row r="9576" ht="22.5" customHeight="1">
      <c r="A9576" s="66"/>
      <c r="B9576" s="67" t="str">
        <f t="shared" si="16"/>
        <v>M: </v>
      </c>
      <c r="C9576" s="68"/>
      <c r="D9576" s="68">
        <v>46707.0</v>
      </c>
      <c r="E9576" s="66">
        <v>4.0</v>
      </c>
      <c r="F9576" s="66" t="str">
        <f>IFERROR(__xludf.DUMMYFUNCTION("GOOGLETRANSLATE(A9576,""en"",""pt"")"),"#VALUE!")</f>
        <v>#VALUE!</v>
      </c>
      <c r="G9576" s="69"/>
    </row>
    <row r="9577" ht="22.5" customHeight="1">
      <c r="A9577" s="66"/>
      <c r="B9577" s="67" t="str">
        <f t="shared" si="16"/>
        <v>M: </v>
      </c>
      <c r="C9577" s="68"/>
      <c r="D9577" s="68">
        <v>46707.0</v>
      </c>
      <c r="E9577" s="66">
        <v>5.0</v>
      </c>
      <c r="F9577" s="66" t="str">
        <f>IFERROR(__xludf.DUMMYFUNCTION("GOOGLETRANSLATE(A9577,""en"",""pt"")"),"#VALUE!")</f>
        <v>#VALUE!</v>
      </c>
      <c r="G9577" s="69"/>
    </row>
    <row r="9578" ht="22.5" customHeight="1">
      <c r="A9578" s="66"/>
      <c r="B9578" s="67" t="str">
        <f t="shared" si="16"/>
        <v>M: </v>
      </c>
      <c r="C9578" s="68"/>
      <c r="D9578" s="68">
        <v>46707.0</v>
      </c>
      <c r="E9578" s="66">
        <v>6.0</v>
      </c>
      <c r="F9578" s="66" t="str">
        <f>IFERROR(__xludf.DUMMYFUNCTION("GOOGLETRANSLATE(A9578,""en"",""pt"")"),"#VALUE!")</f>
        <v>#VALUE!</v>
      </c>
      <c r="G9578" s="69"/>
    </row>
    <row r="9579" ht="22.5" customHeight="1">
      <c r="A9579" s="66"/>
      <c r="B9579" s="67" t="str">
        <f t="shared" si="16"/>
        <v>M: </v>
      </c>
      <c r="C9579" s="68"/>
      <c r="D9579" s="68">
        <v>46707.0</v>
      </c>
      <c r="E9579" s="66">
        <v>7.0</v>
      </c>
      <c r="F9579" s="66" t="str">
        <f>IFERROR(__xludf.DUMMYFUNCTION("GOOGLETRANSLATE(A9579,""en"",""pt"")"),"#VALUE!")</f>
        <v>#VALUE!</v>
      </c>
      <c r="G9579" s="69"/>
    </row>
    <row r="9580" ht="22.5" customHeight="1">
      <c r="A9580" s="66"/>
      <c r="B9580" s="67" t="str">
        <f t="shared" si="16"/>
        <v>M: </v>
      </c>
      <c r="C9580" s="68"/>
      <c r="D9580" s="68">
        <v>46707.0</v>
      </c>
      <c r="E9580" s="66">
        <v>8.0</v>
      </c>
      <c r="F9580" s="66" t="str">
        <f>IFERROR(__xludf.DUMMYFUNCTION("GOOGLETRANSLATE(A9580,""en"",""pt"")"),"#VALUE!")</f>
        <v>#VALUE!</v>
      </c>
      <c r="G9580" s="69"/>
    </row>
    <row r="9581" ht="22.5" customHeight="1">
      <c r="A9581" s="66"/>
      <c r="B9581" s="67" t="str">
        <f t="shared" si="16"/>
        <v>M: </v>
      </c>
      <c r="C9581" s="68"/>
      <c r="D9581" s="68">
        <v>46707.0</v>
      </c>
      <c r="E9581" s="66">
        <v>9.0</v>
      </c>
      <c r="F9581" s="66" t="str">
        <f>IFERROR(__xludf.DUMMYFUNCTION("GOOGLETRANSLATE(A9581,""en"",""pt"")"),"#VALUE!")</f>
        <v>#VALUE!</v>
      </c>
      <c r="G9581" s="69"/>
    </row>
    <row r="9582" ht="22.5" customHeight="1">
      <c r="A9582" s="66"/>
      <c r="B9582" s="67" t="str">
        <f t="shared" si="16"/>
        <v>M: </v>
      </c>
      <c r="C9582" s="68"/>
      <c r="D9582" s="68">
        <v>46708.0</v>
      </c>
      <c r="E9582" s="66">
        <v>10.0</v>
      </c>
      <c r="F9582" s="66" t="str">
        <f>IFERROR(__xludf.DUMMYFUNCTION("GOOGLETRANSLATE(A9582,""en"",""pt"")"),"#VALUE!")</f>
        <v>#VALUE!</v>
      </c>
      <c r="G9582" s="69"/>
    </row>
    <row r="9583" ht="22.5" customHeight="1">
      <c r="A9583" s="66"/>
      <c r="B9583" s="67" t="str">
        <f t="shared" si="16"/>
        <v>M: </v>
      </c>
      <c r="C9583" s="68"/>
      <c r="D9583" s="68">
        <v>46708.0</v>
      </c>
      <c r="E9583" s="66">
        <v>1.0</v>
      </c>
      <c r="F9583" s="66" t="str">
        <f>IFERROR(__xludf.DUMMYFUNCTION("GOOGLETRANSLATE(A9583,""en"",""pt"")"),"#VALUE!")</f>
        <v>#VALUE!</v>
      </c>
      <c r="G9583" s="69"/>
    </row>
    <row r="9584" ht="22.5" customHeight="1">
      <c r="A9584" s="66"/>
      <c r="B9584" s="67" t="str">
        <f t="shared" si="16"/>
        <v>M: </v>
      </c>
      <c r="C9584" s="68"/>
      <c r="D9584" s="68">
        <v>46708.0</v>
      </c>
      <c r="E9584" s="66">
        <v>2.0</v>
      </c>
      <c r="F9584" s="66" t="str">
        <f>IFERROR(__xludf.DUMMYFUNCTION("GOOGLETRANSLATE(A9584,""en"",""pt"")"),"#VALUE!")</f>
        <v>#VALUE!</v>
      </c>
      <c r="G9584" s="69"/>
    </row>
    <row r="9585" ht="22.5" customHeight="1">
      <c r="A9585" s="66"/>
      <c r="B9585" s="67" t="str">
        <f t="shared" si="16"/>
        <v>M: </v>
      </c>
      <c r="C9585" s="68"/>
      <c r="D9585" s="68">
        <v>46708.0</v>
      </c>
      <c r="E9585" s="66">
        <v>3.0</v>
      </c>
      <c r="F9585" s="66" t="str">
        <f>IFERROR(__xludf.DUMMYFUNCTION("GOOGLETRANSLATE(A9585,""en"",""pt"")"),"#VALUE!")</f>
        <v>#VALUE!</v>
      </c>
      <c r="G9585" s="69"/>
    </row>
    <row r="9586" ht="22.5" customHeight="1">
      <c r="A9586" s="66"/>
      <c r="B9586" s="67" t="str">
        <f t="shared" si="16"/>
        <v>M: </v>
      </c>
      <c r="C9586" s="68"/>
      <c r="D9586" s="68">
        <v>46708.0</v>
      </c>
      <c r="E9586" s="66">
        <v>4.0</v>
      </c>
      <c r="F9586" s="66" t="str">
        <f>IFERROR(__xludf.DUMMYFUNCTION("GOOGLETRANSLATE(A9586,""en"",""pt"")"),"#VALUE!")</f>
        <v>#VALUE!</v>
      </c>
      <c r="G9586" s="69"/>
    </row>
    <row r="9587" ht="22.5" customHeight="1">
      <c r="A9587" s="66"/>
      <c r="B9587" s="67" t="str">
        <f t="shared" si="16"/>
        <v>M: </v>
      </c>
      <c r="C9587" s="68"/>
      <c r="D9587" s="68">
        <v>46708.0</v>
      </c>
      <c r="E9587" s="66">
        <v>5.0</v>
      </c>
      <c r="F9587" s="66" t="str">
        <f>IFERROR(__xludf.DUMMYFUNCTION("GOOGLETRANSLATE(A9587,""en"",""pt"")"),"#VALUE!")</f>
        <v>#VALUE!</v>
      </c>
      <c r="G9587" s="69"/>
    </row>
    <row r="9588" ht="22.5" customHeight="1">
      <c r="A9588" s="66"/>
      <c r="B9588" s="67" t="str">
        <f t="shared" si="16"/>
        <v>M: </v>
      </c>
      <c r="C9588" s="68"/>
      <c r="D9588" s="68">
        <v>46708.0</v>
      </c>
      <c r="E9588" s="66">
        <v>6.0</v>
      </c>
      <c r="F9588" s="66" t="str">
        <f>IFERROR(__xludf.DUMMYFUNCTION("GOOGLETRANSLATE(A9588,""en"",""pt"")"),"#VALUE!")</f>
        <v>#VALUE!</v>
      </c>
      <c r="G9588" s="69"/>
    </row>
    <row r="9589" ht="22.5" customHeight="1">
      <c r="A9589" s="66"/>
      <c r="B9589" s="67" t="str">
        <f t="shared" si="16"/>
        <v>M: </v>
      </c>
      <c r="C9589" s="68"/>
      <c r="D9589" s="68">
        <v>46708.0</v>
      </c>
      <c r="E9589" s="66">
        <v>7.0</v>
      </c>
      <c r="F9589" s="66" t="str">
        <f>IFERROR(__xludf.DUMMYFUNCTION("GOOGLETRANSLATE(A9589,""en"",""pt"")"),"#VALUE!")</f>
        <v>#VALUE!</v>
      </c>
      <c r="G9589" s="69"/>
    </row>
    <row r="9590" ht="22.5" customHeight="1">
      <c r="A9590" s="66"/>
      <c r="B9590" s="67" t="str">
        <f t="shared" si="16"/>
        <v>M: </v>
      </c>
      <c r="C9590" s="68"/>
      <c r="D9590" s="68">
        <v>46708.0</v>
      </c>
      <c r="E9590" s="66">
        <v>8.0</v>
      </c>
      <c r="F9590" s="66" t="str">
        <f>IFERROR(__xludf.DUMMYFUNCTION("GOOGLETRANSLATE(A9590,""en"",""pt"")"),"#VALUE!")</f>
        <v>#VALUE!</v>
      </c>
      <c r="G9590" s="69"/>
    </row>
    <row r="9591" ht="22.5" customHeight="1">
      <c r="A9591" s="66"/>
      <c r="B9591" s="67" t="str">
        <f t="shared" si="16"/>
        <v>M: </v>
      </c>
      <c r="C9591" s="68"/>
      <c r="D9591" s="68">
        <v>46708.0</v>
      </c>
      <c r="E9591" s="66">
        <v>9.0</v>
      </c>
      <c r="F9591" s="66" t="str">
        <f>IFERROR(__xludf.DUMMYFUNCTION("GOOGLETRANSLATE(A9591,""en"",""pt"")"),"#VALUE!")</f>
        <v>#VALUE!</v>
      </c>
      <c r="G9591" s="69"/>
    </row>
    <row r="9592" ht="22.5" customHeight="1">
      <c r="A9592" s="66"/>
      <c r="B9592" s="67" t="str">
        <f t="shared" si="16"/>
        <v>M: </v>
      </c>
      <c r="C9592" s="68"/>
      <c r="D9592" s="68">
        <v>46709.0</v>
      </c>
      <c r="E9592" s="66">
        <v>10.0</v>
      </c>
      <c r="F9592" s="66" t="str">
        <f>IFERROR(__xludf.DUMMYFUNCTION("GOOGLETRANSLATE(A9592,""en"",""pt"")"),"#VALUE!")</f>
        <v>#VALUE!</v>
      </c>
      <c r="G9592" s="69"/>
    </row>
    <row r="9593" ht="22.5" customHeight="1">
      <c r="A9593" s="66"/>
      <c r="B9593" s="67" t="str">
        <f t="shared" si="16"/>
        <v>M: </v>
      </c>
      <c r="C9593" s="68"/>
      <c r="D9593" s="68">
        <v>46709.0</v>
      </c>
      <c r="E9593" s="66">
        <v>1.0</v>
      </c>
      <c r="F9593" s="66" t="str">
        <f>IFERROR(__xludf.DUMMYFUNCTION("GOOGLETRANSLATE(A9593,""en"",""pt"")"),"#VALUE!")</f>
        <v>#VALUE!</v>
      </c>
      <c r="G9593" s="69"/>
    </row>
    <row r="9594" ht="22.5" customHeight="1">
      <c r="A9594" s="66"/>
      <c r="B9594" s="67" t="str">
        <f t="shared" si="16"/>
        <v>M: </v>
      </c>
      <c r="C9594" s="68"/>
      <c r="D9594" s="68">
        <v>46709.0</v>
      </c>
      <c r="E9594" s="66">
        <v>2.0</v>
      </c>
      <c r="F9594" s="66" t="str">
        <f>IFERROR(__xludf.DUMMYFUNCTION("GOOGLETRANSLATE(A9594,""en"",""pt"")"),"#VALUE!")</f>
        <v>#VALUE!</v>
      </c>
      <c r="G9594" s="69"/>
    </row>
    <row r="9595" ht="22.5" customHeight="1">
      <c r="A9595" s="66"/>
      <c r="B9595" s="67" t="str">
        <f t="shared" si="16"/>
        <v>M: </v>
      </c>
      <c r="C9595" s="68"/>
      <c r="D9595" s="68">
        <v>46709.0</v>
      </c>
      <c r="E9595" s="66">
        <v>3.0</v>
      </c>
      <c r="F9595" s="66" t="str">
        <f>IFERROR(__xludf.DUMMYFUNCTION("GOOGLETRANSLATE(A9595,""en"",""pt"")"),"#VALUE!")</f>
        <v>#VALUE!</v>
      </c>
      <c r="G9595" s="69"/>
    </row>
    <row r="9596" ht="22.5" customHeight="1">
      <c r="A9596" s="66"/>
      <c r="B9596" s="67" t="str">
        <f t="shared" si="16"/>
        <v>M: </v>
      </c>
      <c r="C9596" s="68"/>
      <c r="D9596" s="68">
        <v>46709.0</v>
      </c>
      <c r="E9596" s="66">
        <v>4.0</v>
      </c>
      <c r="F9596" s="66" t="str">
        <f>IFERROR(__xludf.DUMMYFUNCTION("GOOGLETRANSLATE(A9596,""en"",""pt"")"),"#VALUE!")</f>
        <v>#VALUE!</v>
      </c>
      <c r="G9596" s="69"/>
    </row>
    <row r="9597" ht="22.5" customHeight="1">
      <c r="A9597" s="66"/>
      <c r="B9597" s="67" t="str">
        <f t="shared" si="16"/>
        <v>M: </v>
      </c>
      <c r="C9597" s="68"/>
      <c r="D9597" s="68">
        <v>46709.0</v>
      </c>
      <c r="E9597" s="66">
        <v>5.0</v>
      </c>
      <c r="F9597" s="66" t="str">
        <f>IFERROR(__xludf.DUMMYFUNCTION("GOOGLETRANSLATE(A9597,""en"",""pt"")"),"#VALUE!")</f>
        <v>#VALUE!</v>
      </c>
      <c r="G9597" s="69"/>
    </row>
    <row r="9598" ht="22.5" customHeight="1">
      <c r="A9598" s="66"/>
      <c r="B9598" s="67" t="str">
        <f t="shared" si="16"/>
        <v>M: </v>
      </c>
      <c r="C9598" s="68"/>
      <c r="D9598" s="68">
        <v>46709.0</v>
      </c>
      <c r="E9598" s="66">
        <v>6.0</v>
      </c>
      <c r="F9598" s="66" t="str">
        <f>IFERROR(__xludf.DUMMYFUNCTION("GOOGLETRANSLATE(A9598,""en"",""pt"")"),"#VALUE!")</f>
        <v>#VALUE!</v>
      </c>
      <c r="G9598" s="69"/>
    </row>
    <row r="9599" ht="22.5" customHeight="1">
      <c r="A9599" s="66"/>
      <c r="B9599" s="67" t="str">
        <f t="shared" si="16"/>
        <v>M: </v>
      </c>
      <c r="C9599" s="68"/>
      <c r="D9599" s="68">
        <v>46709.0</v>
      </c>
      <c r="E9599" s="66">
        <v>7.0</v>
      </c>
      <c r="F9599" s="66" t="str">
        <f>IFERROR(__xludf.DUMMYFUNCTION("GOOGLETRANSLATE(A9599,""en"",""pt"")"),"#VALUE!")</f>
        <v>#VALUE!</v>
      </c>
      <c r="G9599" s="69"/>
    </row>
    <row r="9600" ht="22.5" customHeight="1">
      <c r="A9600" s="66"/>
      <c r="B9600" s="67" t="str">
        <f t="shared" si="16"/>
        <v>M: </v>
      </c>
      <c r="C9600" s="68"/>
      <c r="D9600" s="68">
        <v>46709.0</v>
      </c>
      <c r="E9600" s="66">
        <v>8.0</v>
      </c>
      <c r="F9600" s="66" t="str">
        <f>IFERROR(__xludf.DUMMYFUNCTION("GOOGLETRANSLATE(A9600,""en"",""pt"")"),"#VALUE!")</f>
        <v>#VALUE!</v>
      </c>
      <c r="G9600" s="69"/>
    </row>
    <row r="9601" ht="22.5" customHeight="1">
      <c r="A9601" s="66"/>
      <c r="B9601" s="67" t="str">
        <f t="shared" si="16"/>
        <v>M: </v>
      </c>
      <c r="C9601" s="68"/>
      <c r="D9601" s="68">
        <v>46709.0</v>
      </c>
      <c r="E9601" s="66">
        <v>9.0</v>
      </c>
      <c r="F9601" s="66" t="str">
        <f>IFERROR(__xludf.DUMMYFUNCTION("GOOGLETRANSLATE(A9601,""en"",""pt"")"),"#VALUE!")</f>
        <v>#VALUE!</v>
      </c>
      <c r="G9601" s="69"/>
    </row>
    <row r="9602" ht="22.5" customHeight="1">
      <c r="A9602" s="66"/>
      <c r="B9602" s="67" t="str">
        <f t="shared" si="16"/>
        <v>M: </v>
      </c>
      <c r="C9602" s="68"/>
      <c r="D9602" s="68">
        <v>46710.0</v>
      </c>
      <c r="E9602" s="66">
        <v>10.0</v>
      </c>
      <c r="F9602" s="66" t="str">
        <f>IFERROR(__xludf.DUMMYFUNCTION("GOOGLETRANSLATE(A9602,""en"",""pt"")"),"#VALUE!")</f>
        <v>#VALUE!</v>
      </c>
      <c r="G9602" s="69"/>
    </row>
    <row r="9603" ht="22.5" customHeight="1">
      <c r="A9603" s="66"/>
      <c r="B9603" s="67" t="str">
        <f t="shared" si="16"/>
        <v>M: </v>
      </c>
      <c r="C9603" s="68"/>
      <c r="D9603" s="68">
        <v>46710.0</v>
      </c>
      <c r="E9603" s="66">
        <v>1.0</v>
      </c>
      <c r="F9603" s="66" t="str">
        <f>IFERROR(__xludf.DUMMYFUNCTION("GOOGLETRANSLATE(A9603,""en"",""pt"")"),"#VALUE!")</f>
        <v>#VALUE!</v>
      </c>
      <c r="G9603" s="69"/>
    </row>
    <row r="9604" ht="22.5" customHeight="1">
      <c r="A9604" s="66"/>
      <c r="B9604" s="67" t="str">
        <f t="shared" si="16"/>
        <v>M: </v>
      </c>
      <c r="C9604" s="68"/>
      <c r="D9604" s="68">
        <v>46710.0</v>
      </c>
      <c r="E9604" s="66">
        <v>2.0</v>
      </c>
      <c r="F9604" s="66" t="str">
        <f>IFERROR(__xludf.DUMMYFUNCTION("GOOGLETRANSLATE(A9604,""en"",""pt"")"),"#VALUE!")</f>
        <v>#VALUE!</v>
      </c>
      <c r="G9604" s="69"/>
    </row>
    <row r="9605" ht="22.5" customHeight="1">
      <c r="A9605" s="66"/>
      <c r="B9605" s="67" t="str">
        <f t="shared" si="16"/>
        <v>M: </v>
      </c>
      <c r="C9605" s="68"/>
      <c r="D9605" s="68">
        <v>46710.0</v>
      </c>
      <c r="E9605" s="66">
        <v>3.0</v>
      </c>
      <c r="F9605" s="66" t="str">
        <f>IFERROR(__xludf.DUMMYFUNCTION("GOOGLETRANSLATE(A9605,""en"",""pt"")"),"#VALUE!")</f>
        <v>#VALUE!</v>
      </c>
      <c r="G9605" s="69"/>
    </row>
    <row r="9606" ht="22.5" customHeight="1">
      <c r="A9606" s="66"/>
      <c r="B9606" s="67" t="str">
        <f t="shared" si="16"/>
        <v>M: </v>
      </c>
      <c r="C9606" s="68"/>
      <c r="D9606" s="68">
        <v>46710.0</v>
      </c>
      <c r="E9606" s="66">
        <v>4.0</v>
      </c>
      <c r="F9606" s="66" t="str">
        <f>IFERROR(__xludf.DUMMYFUNCTION("GOOGLETRANSLATE(A9606,""en"",""pt"")"),"#VALUE!")</f>
        <v>#VALUE!</v>
      </c>
      <c r="G9606" s="69"/>
    </row>
    <row r="9607" ht="22.5" customHeight="1">
      <c r="A9607" s="66"/>
      <c r="B9607" s="67" t="str">
        <f t="shared" si="16"/>
        <v>M: </v>
      </c>
      <c r="C9607" s="68"/>
      <c r="D9607" s="68">
        <v>46710.0</v>
      </c>
      <c r="E9607" s="66">
        <v>5.0</v>
      </c>
      <c r="F9607" s="66" t="str">
        <f>IFERROR(__xludf.DUMMYFUNCTION("GOOGLETRANSLATE(A9607,""en"",""pt"")"),"#VALUE!")</f>
        <v>#VALUE!</v>
      </c>
      <c r="G9607" s="69"/>
    </row>
    <row r="9608" ht="22.5" customHeight="1">
      <c r="A9608" s="66"/>
      <c r="B9608" s="67" t="str">
        <f t="shared" si="16"/>
        <v>M: </v>
      </c>
      <c r="C9608" s="68"/>
      <c r="D9608" s="68">
        <v>46710.0</v>
      </c>
      <c r="E9608" s="66">
        <v>6.0</v>
      </c>
      <c r="F9608" s="66" t="str">
        <f>IFERROR(__xludf.DUMMYFUNCTION("GOOGLETRANSLATE(A9608,""en"",""pt"")"),"#VALUE!")</f>
        <v>#VALUE!</v>
      </c>
      <c r="G9608" s="69"/>
    </row>
    <row r="9609" ht="22.5" customHeight="1">
      <c r="A9609" s="66"/>
      <c r="B9609" s="67" t="str">
        <f t="shared" si="16"/>
        <v>M: </v>
      </c>
      <c r="C9609" s="68"/>
      <c r="D9609" s="68">
        <v>46710.0</v>
      </c>
      <c r="E9609" s="66">
        <v>7.0</v>
      </c>
      <c r="F9609" s="66" t="str">
        <f>IFERROR(__xludf.DUMMYFUNCTION("GOOGLETRANSLATE(A9609,""en"",""pt"")"),"#VALUE!")</f>
        <v>#VALUE!</v>
      </c>
      <c r="G9609" s="69"/>
    </row>
    <row r="9610" ht="22.5" customHeight="1">
      <c r="A9610" s="66"/>
      <c r="B9610" s="67" t="str">
        <f t="shared" si="16"/>
        <v>M: </v>
      </c>
      <c r="C9610" s="68"/>
      <c r="D9610" s="68">
        <v>46710.0</v>
      </c>
      <c r="E9610" s="66">
        <v>8.0</v>
      </c>
      <c r="F9610" s="66" t="str">
        <f>IFERROR(__xludf.DUMMYFUNCTION("GOOGLETRANSLATE(A9610,""en"",""pt"")"),"#VALUE!")</f>
        <v>#VALUE!</v>
      </c>
      <c r="G9610" s="69"/>
    </row>
    <row r="9611" ht="22.5" customHeight="1">
      <c r="A9611" s="66"/>
      <c r="B9611" s="67" t="str">
        <f t="shared" si="16"/>
        <v>M: </v>
      </c>
      <c r="C9611" s="68"/>
      <c r="D9611" s="68">
        <v>46710.0</v>
      </c>
      <c r="E9611" s="66">
        <v>9.0</v>
      </c>
      <c r="F9611" s="66" t="str">
        <f>IFERROR(__xludf.DUMMYFUNCTION("GOOGLETRANSLATE(A9611,""en"",""pt"")"),"#VALUE!")</f>
        <v>#VALUE!</v>
      </c>
      <c r="G9611" s="69"/>
    </row>
    <row r="9612" ht="22.5" customHeight="1">
      <c r="A9612" s="66"/>
      <c r="B9612" s="67" t="str">
        <f t="shared" si="16"/>
        <v>M: </v>
      </c>
      <c r="C9612" s="68"/>
      <c r="D9612" s="68">
        <v>46711.0</v>
      </c>
      <c r="E9612" s="66">
        <v>10.0</v>
      </c>
      <c r="F9612" s="66" t="str">
        <f>IFERROR(__xludf.DUMMYFUNCTION("GOOGLETRANSLATE(A9612,""en"",""pt"")"),"#VALUE!")</f>
        <v>#VALUE!</v>
      </c>
      <c r="G9612" s="69"/>
    </row>
    <row r="9613" ht="22.5" customHeight="1">
      <c r="A9613" s="66"/>
      <c r="B9613" s="67" t="str">
        <f t="shared" si="16"/>
        <v>M: </v>
      </c>
      <c r="C9613" s="68"/>
      <c r="D9613" s="68">
        <v>46711.0</v>
      </c>
      <c r="E9613" s="66">
        <v>1.0</v>
      </c>
      <c r="F9613" s="66" t="str">
        <f>IFERROR(__xludf.DUMMYFUNCTION("GOOGLETRANSLATE(A9613,""en"",""pt"")"),"#VALUE!")</f>
        <v>#VALUE!</v>
      </c>
      <c r="G9613" s="69"/>
    </row>
    <row r="9614" ht="22.5" customHeight="1">
      <c r="A9614" s="66"/>
      <c r="B9614" s="67" t="str">
        <f t="shared" si="16"/>
        <v>M: </v>
      </c>
      <c r="C9614" s="68"/>
      <c r="D9614" s="68">
        <v>46711.0</v>
      </c>
      <c r="E9614" s="66">
        <v>2.0</v>
      </c>
      <c r="F9614" s="66" t="str">
        <f>IFERROR(__xludf.DUMMYFUNCTION("GOOGLETRANSLATE(A9614,""en"",""pt"")"),"#VALUE!")</f>
        <v>#VALUE!</v>
      </c>
      <c r="G9614" s="69"/>
    </row>
    <row r="9615" ht="22.5" customHeight="1">
      <c r="A9615" s="66"/>
      <c r="B9615" s="67" t="str">
        <f t="shared" si="16"/>
        <v>M: </v>
      </c>
      <c r="C9615" s="68"/>
      <c r="D9615" s="68">
        <v>46711.0</v>
      </c>
      <c r="E9615" s="66">
        <v>3.0</v>
      </c>
      <c r="F9615" s="66" t="str">
        <f>IFERROR(__xludf.DUMMYFUNCTION("GOOGLETRANSLATE(A9615,""en"",""pt"")"),"#VALUE!")</f>
        <v>#VALUE!</v>
      </c>
      <c r="G9615" s="69"/>
    </row>
    <row r="9616" ht="22.5" customHeight="1">
      <c r="A9616" s="66"/>
      <c r="B9616" s="67" t="str">
        <f t="shared" si="16"/>
        <v>M: </v>
      </c>
      <c r="C9616" s="68"/>
      <c r="D9616" s="68">
        <v>46711.0</v>
      </c>
      <c r="E9616" s="66">
        <v>4.0</v>
      </c>
      <c r="F9616" s="66" t="str">
        <f>IFERROR(__xludf.DUMMYFUNCTION("GOOGLETRANSLATE(A9616,""en"",""pt"")"),"#VALUE!")</f>
        <v>#VALUE!</v>
      </c>
      <c r="G9616" s="69"/>
    </row>
    <row r="9617" ht="22.5" customHeight="1">
      <c r="A9617" s="66"/>
      <c r="B9617" s="67" t="str">
        <f t="shared" si="16"/>
        <v>M: </v>
      </c>
      <c r="C9617" s="68"/>
      <c r="D9617" s="68">
        <v>46711.0</v>
      </c>
      <c r="E9617" s="66">
        <v>5.0</v>
      </c>
      <c r="F9617" s="66" t="str">
        <f>IFERROR(__xludf.DUMMYFUNCTION("GOOGLETRANSLATE(A9617,""en"",""pt"")"),"#VALUE!")</f>
        <v>#VALUE!</v>
      </c>
      <c r="G9617" s="69"/>
    </row>
    <row r="9618" ht="22.5" customHeight="1">
      <c r="A9618" s="66"/>
      <c r="B9618" s="67" t="str">
        <f t="shared" si="16"/>
        <v>M: </v>
      </c>
      <c r="C9618" s="68"/>
      <c r="D9618" s="68">
        <v>46711.0</v>
      </c>
      <c r="E9618" s="66">
        <v>6.0</v>
      </c>
      <c r="F9618" s="66" t="str">
        <f>IFERROR(__xludf.DUMMYFUNCTION("GOOGLETRANSLATE(A9618,""en"",""pt"")"),"#VALUE!")</f>
        <v>#VALUE!</v>
      </c>
      <c r="G9618" s="69"/>
    </row>
    <row r="9619" ht="22.5" customHeight="1">
      <c r="A9619" s="66"/>
      <c r="B9619" s="67" t="str">
        <f t="shared" si="16"/>
        <v>M: </v>
      </c>
      <c r="C9619" s="68"/>
      <c r="D9619" s="68">
        <v>46711.0</v>
      </c>
      <c r="E9619" s="66">
        <v>7.0</v>
      </c>
      <c r="F9619" s="66" t="str">
        <f>IFERROR(__xludf.DUMMYFUNCTION("GOOGLETRANSLATE(A9619,""en"",""pt"")"),"#VALUE!")</f>
        <v>#VALUE!</v>
      </c>
      <c r="G9619" s="69"/>
    </row>
    <row r="9620" ht="22.5" customHeight="1">
      <c r="A9620" s="66"/>
      <c r="B9620" s="67" t="str">
        <f t="shared" si="16"/>
        <v>M: </v>
      </c>
      <c r="C9620" s="68"/>
      <c r="D9620" s="68">
        <v>46711.0</v>
      </c>
      <c r="E9620" s="66">
        <v>8.0</v>
      </c>
      <c r="F9620" s="66" t="str">
        <f>IFERROR(__xludf.DUMMYFUNCTION("GOOGLETRANSLATE(A9620,""en"",""pt"")"),"#VALUE!")</f>
        <v>#VALUE!</v>
      </c>
      <c r="G9620" s="69"/>
    </row>
    <row r="9621" ht="22.5" customHeight="1">
      <c r="A9621" s="66"/>
      <c r="B9621" s="67" t="str">
        <f t="shared" si="16"/>
        <v>M: </v>
      </c>
      <c r="C9621" s="68"/>
      <c r="D9621" s="68">
        <v>46711.0</v>
      </c>
      <c r="E9621" s="66">
        <v>9.0</v>
      </c>
      <c r="F9621" s="66" t="str">
        <f>IFERROR(__xludf.DUMMYFUNCTION("GOOGLETRANSLATE(A9621,""en"",""pt"")"),"#VALUE!")</f>
        <v>#VALUE!</v>
      </c>
      <c r="G9621" s="69"/>
    </row>
    <row r="9622" ht="22.5" customHeight="1">
      <c r="A9622" s="66"/>
      <c r="B9622" s="67" t="str">
        <f t="shared" si="16"/>
        <v>M: </v>
      </c>
      <c r="C9622" s="68"/>
      <c r="D9622" s="68">
        <v>46712.0</v>
      </c>
      <c r="E9622" s="66">
        <v>10.0</v>
      </c>
      <c r="F9622" s="66" t="str">
        <f>IFERROR(__xludf.DUMMYFUNCTION("GOOGLETRANSLATE(A9622,""en"",""pt"")"),"#VALUE!")</f>
        <v>#VALUE!</v>
      </c>
      <c r="G9622" s="69"/>
    </row>
    <row r="9623" ht="22.5" customHeight="1">
      <c r="A9623" s="66"/>
      <c r="B9623" s="67" t="str">
        <f t="shared" si="16"/>
        <v>M: </v>
      </c>
      <c r="C9623" s="68"/>
      <c r="D9623" s="68">
        <v>46712.0</v>
      </c>
      <c r="E9623" s="66">
        <v>1.0</v>
      </c>
      <c r="F9623" s="66" t="str">
        <f>IFERROR(__xludf.DUMMYFUNCTION("GOOGLETRANSLATE(A9623,""en"",""pt"")"),"#VALUE!")</f>
        <v>#VALUE!</v>
      </c>
      <c r="G9623" s="69"/>
    </row>
    <row r="9624" ht="22.5" customHeight="1">
      <c r="A9624" s="66"/>
      <c r="B9624" s="67" t="str">
        <f t="shared" si="16"/>
        <v>M: </v>
      </c>
      <c r="C9624" s="68"/>
      <c r="D9624" s="68">
        <v>46712.0</v>
      </c>
      <c r="E9624" s="66">
        <v>2.0</v>
      </c>
      <c r="F9624" s="66" t="str">
        <f>IFERROR(__xludf.DUMMYFUNCTION("GOOGLETRANSLATE(A9624,""en"",""pt"")"),"#VALUE!")</f>
        <v>#VALUE!</v>
      </c>
      <c r="G9624" s="69"/>
    </row>
    <row r="9625" ht="22.5" customHeight="1">
      <c r="A9625" s="66"/>
      <c r="B9625" s="67" t="str">
        <f t="shared" si="16"/>
        <v>M: </v>
      </c>
      <c r="C9625" s="68"/>
      <c r="D9625" s="68">
        <v>46712.0</v>
      </c>
      <c r="E9625" s="66">
        <v>3.0</v>
      </c>
      <c r="F9625" s="66" t="str">
        <f>IFERROR(__xludf.DUMMYFUNCTION("GOOGLETRANSLATE(A9625,""en"",""pt"")"),"#VALUE!")</f>
        <v>#VALUE!</v>
      </c>
      <c r="G9625" s="69"/>
    </row>
    <row r="9626" ht="22.5" customHeight="1">
      <c r="A9626" s="66"/>
      <c r="B9626" s="67" t="str">
        <f t="shared" si="16"/>
        <v>M: </v>
      </c>
      <c r="C9626" s="68"/>
      <c r="D9626" s="68">
        <v>46712.0</v>
      </c>
      <c r="E9626" s="66">
        <v>4.0</v>
      </c>
      <c r="F9626" s="66" t="str">
        <f>IFERROR(__xludf.DUMMYFUNCTION("GOOGLETRANSLATE(A9626,""en"",""pt"")"),"#VALUE!")</f>
        <v>#VALUE!</v>
      </c>
      <c r="G9626" s="69"/>
    </row>
    <row r="9627" ht="22.5" customHeight="1">
      <c r="A9627" s="66"/>
      <c r="B9627" s="67" t="str">
        <f t="shared" si="16"/>
        <v>M: </v>
      </c>
      <c r="C9627" s="68"/>
      <c r="D9627" s="68">
        <v>46712.0</v>
      </c>
      <c r="E9627" s="66">
        <v>5.0</v>
      </c>
      <c r="F9627" s="66" t="str">
        <f>IFERROR(__xludf.DUMMYFUNCTION("GOOGLETRANSLATE(A9627,""en"",""pt"")"),"#VALUE!")</f>
        <v>#VALUE!</v>
      </c>
      <c r="G9627" s="69"/>
    </row>
    <row r="9628" ht="22.5" customHeight="1">
      <c r="A9628" s="66"/>
      <c r="B9628" s="67" t="str">
        <f t="shared" si="16"/>
        <v>M: </v>
      </c>
      <c r="C9628" s="68"/>
      <c r="D9628" s="68">
        <v>46712.0</v>
      </c>
      <c r="E9628" s="66">
        <v>6.0</v>
      </c>
      <c r="F9628" s="66" t="str">
        <f>IFERROR(__xludf.DUMMYFUNCTION("GOOGLETRANSLATE(A9628,""en"",""pt"")"),"#VALUE!")</f>
        <v>#VALUE!</v>
      </c>
      <c r="G9628" s="69"/>
    </row>
    <row r="9629" ht="22.5" customHeight="1">
      <c r="A9629" s="66"/>
      <c r="B9629" s="67" t="str">
        <f t="shared" si="16"/>
        <v>M: </v>
      </c>
      <c r="C9629" s="68"/>
      <c r="D9629" s="68">
        <v>46712.0</v>
      </c>
      <c r="E9629" s="66">
        <v>7.0</v>
      </c>
      <c r="F9629" s="66" t="str">
        <f>IFERROR(__xludf.DUMMYFUNCTION("GOOGLETRANSLATE(A9629,""en"",""pt"")"),"#VALUE!")</f>
        <v>#VALUE!</v>
      </c>
      <c r="G9629" s="69"/>
    </row>
    <row r="9630" ht="22.5" customHeight="1">
      <c r="A9630" s="66"/>
      <c r="B9630" s="67" t="str">
        <f t="shared" si="16"/>
        <v>M: </v>
      </c>
      <c r="C9630" s="68"/>
      <c r="D9630" s="68">
        <v>46712.0</v>
      </c>
      <c r="E9630" s="66">
        <v>8.0</v>
      </c>
      <c r="F9630" s="66" t="str">
        <f>IFERROR(__xludf.DUMMYFUNCTION("GOOGLETRANSLATE(A9630,""en"",""pt"")"),"#VALUE!")</f>
        <v>#VALUE!</v>
      </c>
      <c r="G9630" s="69"/>
    </row>
    <row r="9631" ht="22.5" customHeight="1">
      <c r="A9631" s="66"/>
      <c r="B9631" s="67" t="str">
        <f t="shared" si="16"/>
        <v>M: </v>
      </c>
      <c r="C9631" s="68"/>
      <c r="D9631" s="68">
        <v>46712.0</v>
      </c>
      <c r="E9631" s="66">
        <v>9.0</v>
      </c>
      <c r="F9631" s="66" t="str">
        <f>IFERROR(__xludf.DUMMYFUNCTION("GOOGLETRANSLATE(A9631,""en"",""pt"")"),"#VALUE!")</f>
        <v>#VALUE!</v>
      </c>
      <c r="G9631" s="69"/>
    </row>
    <row r="9632" ht="22.5" customHeight="1">
      <c r="A9632" s="66"/>
      <c r="B9632" s="67" t="str">
        <f t="shared" si="16"/>
        <v>M: </v>
      </c>
      <c r="C9632" s="68"/>
      <c r="D9632" s="68">
        <v>46713.0</v>
      </c>
      <c r="E9632" s="66">
        <v>10.0</v>
      </c>
      <c r="F9632" s="66" t="str">
        <f>IFERROR(__xludf.DUMMYFUNCTION("GOOGLETRANSLATE(A9632,""en"",""pt"")"),"#VALUE!")</f>
        <v>#VALUE!</v>
      </c>
      <c r="G9632" s="69"/>
    </row>
    <row r="9633" ht="22.5" customHeight="1">
      <c r="A9633" s="66"/>
      <c r="B9633" s="67" t="str">
        <f t="shared" si="16"/>
        <v>M: </v>
      </c>
      <c r="C9633" s="68"/>
      <c r="D9633" s="68">
        <v>46713.0</v>
      </c>
      <c r="E9633" s="66">
        <v>1.0</v>
      </c>
      <c r="F9633" s="66" t="str">
        <f>IFERROR(__xludf.DUMMYFUNCTION("GOOGLETRANSLATE(A9633,""en"",""pt"")"),"#VALUE!")</f>
        <v>#VALUE!</v>
      </c>
      <c r="G9633" s="69"/>
    </row>
    <row r="9634" ht="22.5" customHeight="1">
      <c r="A9634" s="66"/>
      <c r="B9634" s="67" t="str">
        <f t="shared" si="16"/>
        <v>M: </v>
      </c>
      <c r="C9634" s="68"/>
      <c r="D9634" s="68">
        <v>46713.0</v>
      </c>
      <c r="E9634" s="66">
        <v>2.0</v>
      </c>
      <c r="F9634" s="66" t="str">
        <f>IFERROR(__xludf.DUMMYFUNCTION("GOOGLETRANSLATE(A9634,""en"",""pt"")"),"#VALUE!")</f>
        <v>#VALUE!</v>
      </c>
      <c r="G9634" s="69"/>
    </row>
    <row r="9635" ht="22.5" customHeight="1">
      <c r="A9635" s="66"/>
      <c r="B9635" s="67" t="str">
        <f t="shared" si="16"/>
        <v>M: </v>
      </c>
      <c r="C9635" s="68"/>
      <c r="D9635" s="68">
        <v>46713.0</v>
      </c>
      <c r="E9635" s="66">
        <v>3.0</v>
      </c>
      <c r="F9635" s="66" t="str">
        <f>IFERROR(__xludf.DUMMYFUNCTION("GOOGLETRANSLATE(A9635,""en"",""pt"")"),"#VALUE!")</f>
        <v>#VALUE!</v>
      </c>
      <c r="G9635" s="69"/>
    </row>
    <row r="9636" ht="22.5" customHeight="1">
      <c r="A9636" s="66"/>
      <c r="B9636" s="67" t="str">
        <f t="shared" si="16"/>
        <v>M: </v>
      </c>
      <c r="C9636" s="68"/>
      <c r="D9636" s="68">
        <v>46713.0</v>
      </c>
      <c r="E9636" s="66">
        <v>4.0</v>
      </c>
      <c r="F9636" s="66" t="str">
        <f>IFERROR(__xludf.DUMMYFUNCTION("GOOGLETRANSLATE(A9636,""en"",""pt"")"),"#VALUE!")</f>
        <v>#VALUE!</v>
      </c>
      <c r="G9636" s="69"/>
    </row>
    <row r="9637" ht="22.5" customHeight="1">
      <c r="A9637" s="66"/>
      <c r="B9637" s="67" t="str">
        <f t="shared" si="16"/>
        <v>M: </v>
      </c>
      <c r="C9637" s="68"/>
      <c r="D9637" s="68">
        <v>46713.0</v>
      </c>
      <c r="E9637" s="66">
        <v>5.0</v>
      </c>
      <c r="F9637" s="66" t="str">
        <f>IFERROR(__xludf.DUMMYFUNCTION("GOOGLETRANSLATE(A9637,""en"",""pt"")"),"#VALUE!")</f>
        <v>#VALUE!</v>
      </c>
      <c r="G9637" s="69"/>
    </row>
    <row r="9638" ht="22.5" customHeight="1">
      <c r="A9638" s="66"/>
      <c r="B9638" s="67" t="str">
        <f t="shared" si="16"/>
        <v>M: </v>
      </c>
      <c r="C9638" s="68"/>
      <c r="D9638" s="68">
        <v>46713.0</v>
      </c>
      <c r="E9638" s="66">
        <v>6.0</v>
      </c>
      <c r="F9638" s="66" t="str">
        <f>IFERROR(__xludf.DUMMYFUNCTION("GOOGLETRANSLATE(A9638,""en"",""pt"")"),"#VALUE!")</f>
        <v>#VALUE!</v>
      </c>
      <c r="G9638" s="69"/>
    </row>
    <row r="9639" ht="22.5" customHeight="1">
      <c r="A9639" s="66"/>
      <c r="B9639" s="67" t="str">
        <f t="shared" si="16"/>
        <v>M: </v>
      </c>
      <c r="C9639" s="68"/>
      <c r="D9639" s="68">
        <v>46713.0</v>
      </c>
      <c r="E9639" s="66">
        <v>7.0</v>
      </c>
      <c r="F9639" s="66" t="str">
        <f>IFERROR(__xludf.DUMMYFUNCTION("GOOGLETRANSLATE(A9639,""en"",""pt"")"),"#VALUE!")</f>
        <v>#VALUE!</v>
      </c>
      <c r="G9639" s="69"/>
    </row>
    <row r="9640" ht="22.5" customHeight="1">
      <c r="A9640" s="66"/>
      <c r="B9640" s="67" t="str">
        <f t="shared" si="16"/>
        <v>M: </v>
      </c>
      <c r="C9640" s="68"/>
      <c r="D9640" s="68">
        <v>46713.0</v>
      </c>
      <c r="E9640" s="66">
        <v>8.0</v>
      </c>
      <c r="F9640" s="66" t="str">
        <f>IFERROR(__xludf.DUMMYFUNCTION("GOOGLETRANSLATE(A9640,""en"",""pt"")"),"#VALUE!")</f>
        <v>#VALUE!</v>
      </c>
      <c r="G9640" s="69"/>
    </row>
    <row r="9641" ht="22.5" customHeight="1">
      <c r="A9641" s="66"/>
      <c r="B9641" s="67" t="str">
        <f t="shared" si="16"/>
        <v>M: </v>
      </c>
      <c r="C9641" s="68"/>
      <c r="D9641" s="68">
        <v>46713.0</v>
      </c>
      <c r="E9641" s="66">
        <v>9.0</v>
      </c>
      <c r="F9641" s="66" t="str">
        <f>IFERROR(__xludf.DUMMYFUNCTION("GOOGLETRANSLATE(A9641,""en"",""pt"")"),"#VALUE!")</f>
        <v>#VALUE!</v>
      </c>
      <c r="G9641" s="69"/>
    </row>
    <row r="9642" ht="22.5" customHeight="1">
      <c r="A9642" s="66"/>
      <c r="B9642" s="67" t="str">
        <f t="shared" si="16"/>
        <v>M: </v>
      </c>
      <c r="C9642" s="68"/>
      <c r="D9642" s="68">
        <v>46714.0</v>
      </c>
      <c r="E9642" s="66">
        <v>10.0</v>
      </c>
      <c r="F9642" s="66" t="str">
        <f>IFERROR(__xludf.DUMMYFUNCTION("GOOGLETRANSLATE(A9642,""en"",""pt"")"),"#VALUE!")</f>
        <v>#VALUE!</v>
      </c>
      <c r="G9642" s="69"/>
    </row>
    <row r="9643" ht="22.5" customHeight="1">
      <c r="A9643" s="66"/>
      <c r="B9643" s="67" t="str">
        <f t="shared" si="16"/>
        <v>M: </v>
      </c>
      <c r="C9643" s="68"/>
      <c r="D9643" s="68">
        <v>46714.0</v>
      </c>
      <c r="E9643" s="66">
        <v>1.0</v>
      </c>
      <c r="F9643" s="66" t="str">
        <f>IFERROR(__xludf.DUMMYFUNCTION("GOOGLETRANSLATE(A9643,""en"",""pt"")"),"#VALUE!")</f>
        <v>#VALUE!</v>
      </c>
      <c r="G9643" s="69"/>
    </row>
    <row r="9644" ht="22.5" customHeight="1">
      <c r="A9644" s="66"/>
      <c r="B9644" s="67" t="str">
        <f t="shared" si="16"/>
        <v>M: </v>
      </c>
      <c r="C9644" s="68"/>
      <c r="D9644" s="68">
        <v>46714.0</v>
      </c>
      <c r="E9644" s="66">
        <v>2.0</v>
      </c>
      <c r="F9644" s="66" t="str">
        <f>IFERROR(__xludf.DUMMYFUNCTION("GOOGLETRANSLATE(A9644,""en"",""pt"")"),"#VALUE!")</f>
        <v>#VALUE!</v>
      </c>
      <c r="G9644" s="69"/>
    </row>
    <row r="9645" ht="22.5" customHeight="1">
      <c r="A9645" s="66"/>
      <c r="B9645" s="67" t="str">
        <f t="shared" si="16"/>
        <v>M: </v>
      </c>
      <c r="C9645" s="68"/>
      <c r="D9645" s="68">
        <v>46714.0</v>
      </c>
      <c r="E9645" s="66">
        <v>3.0</v>
      </c>
      <c r="F9645" s="66" t="str">
        <f>IFERROR(__xludf.DUMMYFUNCTION("GOOGLETRANSLATE(A9645,""en"",""pt"")"),"#VALUE!")</f>
        <v>#VALUE!</v>
      </c>
      <c r="G9645" s="69"/>
    </row>
    <row r="9646" ht="22.5" customHeight="1">
      <c r="A9646" s="66"/>
      <c r="B9646" s="67" t="str">
        <f t="shared" si="16"/>
        <v>M: </v>
      </c>
      <c r="C9646" s="68"/>
      <c r="D9646" s="68">
        <v>46714.0</v>
      </c>
      <c r="E9646" s="66">
        <v>4.0</v>
      </c>
      <c r="F9646" s="66" t="str">
        <f>IFERROR(__xludf.DUMMYFUNCTION("GOOGLETRANSLATE(A9646,""en"",""pt"")"),"#VALUE!")</f>
        <v>#VALUE!</v>
      </c>
      <c r="G9646" s="69"/>
    </row>
    <row r="9647" ht="22.5" customHeight="1">
      <c r="A9647" s="66"/>
      <c r="B9647" s="67" t="str">
        <f t="shared" si="16"/>
        <v>M: </v>
      </c>
      <c r="C9647" s="68"/>
      <c r="D9647" s="68">
        <v>46714.0</v>
      </c>
      <c r="E9647" s="66">
        <v>5.0</v>
      </c>
      <c r="F9647" s="66" t="str">
        <f>IFERROR(__xludf.DUMMYFUNCTION("GOOGLETRANSLATE(A9647,""en"",""pt"")"),"#VALUE!")</f>
        <v>#VALUE!</v>
      </c>
      <c r="G9647" s="69"/>
    </row>
    <row r="9648" ht="22.5" customHeight="1">
      <c r="A9648" s="66"/>
      <c r="B9648" s="67" t="str">
        <f t="shared" si="16"/>
        <v>M: </v>
      </c>
      <c r="C9648" s="68"/>
      <c r="D9648" s="68">
        <v>46714.0</v>
      </c>
      <c r="E9648" s="66">
        <v>6.0</v>
      </c>
      <c r="F9648" s="66" t="str">
        <f>IFERROR(__xludf.DUMMYFUNCTION("GOOGLETRANSLATE(A9648,""en"",""pt"")"),"#VALUE!")</f>
        <v>#VALUE!</v>
      </c>
      <c r="G9648" s="69"/>
    </row>
    <row r="9649" ht="22.5" customHeight="1">
      <c r="A9649" s="66"/>
      <c r="B9649" s="67" t="str">
        <f t="shared" si="16"/>
        <v>M: </v>
      </c>
      <c r="C9649" s="68"/>
      <c r="D9649" s="68">
        <v>46714.0</v>
      </c>
      <c r="E9649" s="66">
        <v>7.0</v>
      </c>
      <c r="F9649" s="66" t="str">
        <f>IFERROR(__xludf.DUMMYFUNCTION("GOOGLETRANSLATE(A9649,""en"",""pt"")"),"#VALUE!")</f>
        <v>#VALUE!</v>
      </c>
      <c r="G9649" s="69"/>
    </row>
    <row r="9650" ht="22.5" customHeight="1">
      <c r="A9650" s="66"/>
      <c r="B9650" s="67" t="str">
        <f t="shared" si="16"/>
        <v>M: </v>
      </c>
      <c r="C9650" s="68"/>
      <c r="D9650" s="68">
        <v>46714.0</v>
      </c>
      <c r="E9650" s="66">
        <v>8.0</v>
      </c>
      <c r="F9650" s="66" t="str">
        <f>IFERROR(__xludf.DUMMYFUNCTION("GOOGLETRANSLATE(A9650,""en"",""pt"")"),"#VALUE!")</f>
        <v>#VALUE!</v>
      </c>
      <c r="G9650" s="69"/>
    </row>
    <row r="9651" ht="22.5" customHeight="1">
      <c r="A9651" s="66"/>
      <c r="B9651" s="67" t="str">
        <f t="shared" si="16"/>
        <v>M: </v>
      </c>
      <c r="C9651" s="68"/>
      <c r="D9651" s="68">
        <v>46714.0</v>
      </c>
      <c r="E9651" s="66">
        <v>9.0</v>
      </c>
      <c r="F9651" s="66" t="str">
        <f>IFERROR(__xludf.DUMMYFUNCTION("GOOGLETRANSLATE(A9651,""en"",""pt"")"),"#VALUE!")</f>
        <v>#VALUE!</v>
      </c>
      <c r="G9651" s="69"/>
    </row>
    <row r="9652" ht="22.5" customHeight="1">
      <c r="A9652" s="66"/>
      <c r="B9652" s="67" t="str">
        <f t="shared" si="16"/>
        <v>M: </v>
      </c>
      <c r="C9652" s="68"/>
      <c r="D9652" s="68">
        <v>46715.0</v>
      </c>
      <c r="E9652" s="66">
        <v>10.0</v>
      </c>
      <c r="F9652" s="66" t="str">
        <f>IFERROR(__xludf.DUMMYFUNCTION("GOOGLETRANSLATE(A9652,""en"",""pt"")"),"#VALUE!")</f>
        <v>#VALUE!</v>
      </c>
      <c r="G9652" s="69"/>
    </row>
    <row r="9653" ht="22.5" customHeight="1">
      <c r="A9653" s="66"/>
      <c r="B9653" s="67" t="str">
        <f t="shared" si="16"/>
        <v>M: </v>
      </c>
      <c r="C9653" s="68"/>
      <c r="D9653" s="68">
        <v>46715.0</v>
      </c>
      <c r="E9653" s="66">
        <v>1.0</v>
      </c>
      <c r="F9653" s="66" t="str">
        <f>IFERROR(__xludf.DUMMYFUNCTION("GOOGLETRANSLATE(A9653,""en"",""pt"")"),"#VALUE!")</f>
        <v>#VALUE!</v>
      </c>
      <c r="G9653" s="69"/>
    </row>
    <row r="9654" ht="22.5" customHeight="1">
      <c r="A9654" s="66"/>
      <c r="B9654" s="67" t="str">
        <f t="shared" si="16"/>
        <v>M: </v>
      </c>
      <c r="C9654" s="68"/>
      <c r="D9654" s="68">
        <v>46715.0</v>
      </c>
      <c r="E9654" s="66">
        <v>2.0</v>
      </c>
      <c r="F9654" s="66" t="str">
        <f>IFERROR(__xludf.DUMMYFUNCTION("GOOGLETRANSLATE(A9654,""en"",""pt"")"),"#VALUE!")</f>
        <v>#VALUE!</v>
      </c>
      <c r="G9654" s="69"/>
    </row>
    <row r="9655" ht="22.5" customHeight="1">
      <c r="A9655" s="66"/>
      <c r="B9655" s="67" t="str">
        <f t="shared" si="16"/>
        <v>M: </v>
      </c>
      <c r="C9655" s="68"/>
      <c r="D9655" s="68">
        <v>46715.0</v>
      </c>
      <c r="E9655" s="66">
        <v>3.0</v>
      </c>
      <c r="F9655" s="66" t="str">
        <f>IFERROR(__xludf.DUMMYFUNCTION("GOOGLETRANSLATE(A9655,""en"",""pt"")"),"#VALUE!")</f>
        <v>#VALUE!</v>
      </c>
      <c r="G9655" s="69"/>
    </row>
    <row r="9656" ht="22.5" customHeight="1">
      <c r="A9656" s="66"/>
      <c r="B9656" s="67" t="str">
        <f t="shared" si="16"/>
        <v>M: </v>
      </c>
      <c r="C9656" s="68"/>
      <c r="D9656" s="68">
        <v>46715.0</v>
      </c>
      <c r="E9656" s="66">
        <v>4.0</v>
      </c>
      <c r="F9656" s="66" t="str">
        <f>IFERROR(__xludf.DUMMYFUNCTION("GOOGLETRANSLATE(A9656,""en"",""pt"")"),"#VALUE!")</f>
        <v>#VALUE!</v>
      </c>
      <c r="G9656" s="69"/>
    </row>
    <row r="9657" ht="22.5" customHeight="1">
      <c r="A9657" s="66"/>
      <c r="B9657" s="67" t="str">
        <f t="shared" si="16"/>
        <v>M: </v>
      </c>
      <c r="C9657" s="68"/>
      <c r="D9657" s="68">
        <v>46715.0</v>
      </c>
      <c r="E9657" s="66">
        <v>5.0</v>
      </c>
      <c r="F9657" s="66" t="str">
        <f>IFERROR(__xludf.DUMMYFUNCTION("GOOGLETRANSLATE(A9657,""en"",""pt"")"),"#VALUE!")</f>
        <v>#VALUE!</v>
      </c>
      <c r="G9657" s="69"/>
    </row>
    <row r="9658" ht="22.5" customHeight="1">
      <c r="A9658" s="66"/>
      <c r="B9658" s="67" t="str">
        <f t="shared" si="16"/>
        <v>M: </v>
      </c>
      <c r="C9658" s="68"/>
      <c r="D9658" s="68">
        <v>46715.0</v>
      </c>
      <c r="E9658" s="66">
        <v>6.0</v>
      </c>
      <c r="F9658" s="66" t="str">
        <f>IFERROR(__xludf.DUMMYFUNCTION("GOOGLETRANSLATE(A9658,""en"",""pt"")"),"#VALUE!")</f>
        <v>#VALUE!</v>
      </c>
      <c r="G9658" s="69"/>
    </row>
    <row r="9659" ht="22.5" customHeight="1">
      <c r="A9659" s="66"/>
      <c r="B9659" s="67" t="str">
        <f t="shared" si="16"/>
        <v>M: </v>
      </c>
      <c r="C9659" s="68"/>
      <c r="D9659" s="68">
        <v>46715.0</v>
      </c>
      <c r="E9659" s="66">
        <v>7.0</v>
      </c>
      <c r="F9659" s="66" t="str">
        <f>IFERROR(__xludf.DUMMYFUNCTION("GOOGLETRANSLATE(A9659,""en"",""pt"")"),"#VALUE!")</f>
        <v>#VALUE!</v>
      </c>
      <c r="G9659" s="69"/>
    </row>
    <row r="9660" ht="22.5" customHeight="1">
      <c r="A9660" s="66"/>
      <c r="B9660" s="67" t="str">
        <f t="shared" si="16"/>
        <v>M: </v>
      </c>
      <c r="C9660" s="68"/>
      <c r="D9660" s="68">
        <v>46715.0</v>
      </c>
      <c r="E9660" s="66">
        <v>8.0</v>
      </c>
      <c r="F9660" s="66" t="str">
        <f>IFERROR(__xludf.DUMMYFUNCTION("GOOGLETRANSLATE(A9660,""en"",""pt"")"),"#VALUE!")</f>
        <v>#VALUE!</v>
      </c>
      <c r="G9660" s="69"/>
    </row>
    <row r="9661" ht="22.5" customHeight="1">
      <c r="A9661" s="66"/>
      <c r="B9661" s="67" t="str">
        <f t="shared" si="16"/>
        <v>M: </v>
      </c>
      <c r="C9661" s="68"/>
      <c r="D9661" s="68">
        <v>46715.0</v>
      </c>
      <c r="E9661" s="66">
        <v>9.0</v>
      </c>
      <c r="F9661" s="66" t="str">
        <f>IFERROR(__xludf.DUMMYFUNCTION("GOOGLETRANSLATE(A9661,""en"",""pt"")"),"#VALUE!")</f>
        <v>#VALUE!</v>
      </c>
      <c r="G9661" s="69"/>
    </row>
    <row r="9662" ht="22.5" customHeight="1">
      <c r="A9662" s="66"/>
      <c r="B9662" s="67" t="str">
        <f t="shared" si="16"/>
        <v>M: </v>
      </c>
      <c r="C9662" s="68"/>
      <c r="D9662" s="68">
        <v>46716.0</v>
      </c>
      <c r="E9662" s="66">
        <v>10.0</v>
      </c>
      <c r="F9662" s="66" t="str">
        <f>IFERROR(__xludf.DUMMYFUNCTION("GOOGLETRANSLATE(A9662,""en"",""pt"")"),"#VALUE!")</f>
        <v>#VALUE!</v>
      </c>
      <c r="G9662" s="69"/>
    </row>
    <row r="9663" ht="22.5" customHeight="1">
      <c r="A9663" s="66"/>
      <c r="B9663" s="67" t="str">
        <f t="shared" si="16"/>
        <v>M: </v>
      </c>
      <c r="C9663" s="68"/>
      <c r="D9663" s="68">
        <v>46716.0</v>
      </c>
      <c r="E9663" s="66">
        <v>1.0</v>
      </c>
      <c r="F9663" s="66" t="str">
        <f>IFERROR(__xludf.DUMMYFUNCTION("GOOGLETRANSLATE(A9663,""en"",""pt"")"),"#VALUE!")</f>
        <v>#VALUE!</v>
      </c>
      <c r="G9663" s="69"/>
    </row>
    <row r="9664" ht="22.5" customHeight="1">
      <c r="A9664" s="66"/>
      <c r="B9664" s="67" t="str">
        <f t="shared" si="16"/>
        <v>M: </v>
      </c>
      <c r="C9664" s="68"/>
      <c r="D9664" s="68">
        <v>46716.0</v>
      </c>
      <c r="E9664" s="66">
        <v>2.0</v>
      </c>
      <c r="F9664" s="66" t="str">
        <f>IFERROR(__xludf.DUMMYFUNCTION("GOOGLETRANSLATE(A9664,""en"",""pt"")"),"#VALUE!")</f>
        <v>#VALUE!</v>
      </c>
      <c r="G9664" s="69"/>
    </row>
    <row r="9665" ht="22.5" customHeight="1">
      <c r="A9665" s="66"/>
      <c r="B9665" s="67" t="str">
        <f t="shared" si="16"/>
        <v>M: </v>
      </c>
      <c r="C9665" s="68"/>
      <c r="D9665" s="68">
        <v>46716.0</v>
      </c>
      <c r="E9665" s="66">
        <v>3.0</v>
      </c>
      <c r="F9665" s="66" t="str">
        <f>IFERROR(__xludf.DUMMYFUNCTION("GOOGLETRANSLATE(A9665,""en"",""pt"")"),"#VALUE!")</f>
        <v>#VALUE!</v>
      </c>
      <c r="G9665" s="69"/>
    </row>
    <row r="9666" ht="22.5" customHeight="1">
      <c r="A9666" s="66"/>
      <c r="B9666" s="67" t="str">
        <f t="shared" si="16"/>
        <v>M: </v>
      </c>
      <c r="C9666" s="68"/>
      <c r="D9666" s="68">
        <v>46716.0</v>
      </c>
      <c r="E9666" s="66">
        <v>4.0</v>
      </c>
      <c r="F9666" s="66" t="str">
        <f>IFERROR(__xludf.DUMMYFUNCTION("GOOGLETRANSLATE(A9666,""en"",""pt"")"),"#VALUE!")</f>
        <v>#VALUE!</v>
      </c>
      <c r="G9666" s="69"/>
    </row>
    <row r="9667" ht="22.5" customHeight="1">
      <c r="A9667" s="66"/>
      <c r="B9667" s="67" t="str">
        <f t="shared" si="16"/>
        <v>M: </v>
      </c>
      <c r="C9667" s="68"/>
      <c r="D9667" s="68">
        <v>46716.0</v>
      </c>
      <c r="E9667" s="66">
        <v>5.0</v>
      </c>
      <c r="F9667" s="66" t="str">
        <f>IFERROR(__xludf.DUMMYFUNCTION("GOOGLETRANSLATE(A9667,""en"",""pt"")"),"#VALUE!")</f>
        <v>#VALUE!</v>
      </c>
      <c r="G9667" s="69"/>
    </row>
    <row r="9668" ht="22.5" customHeight="1">
      <c r="A9668" s="66"/>
      <c r="B9668" s="67" t="str">
        <f t="shared" si="16"/>
        <v>M: </v>
      </c>
      <c r="C9668" s="68"/>
      <c r="D9668" s="68">
        <v>46716.0</v>
      </c>
      <c r="E9668" s="66">
        <v>6.0</v>
      </c>
      <c r="F9668" s="66" t="str">
        <f>IFERROR(__xludf.DUMMYFUNCTION("GOOGLETRANSLATE(A9668,""en"",""pt"")"),"#VALUE!")</f>
        <v>#VALUE!</v>
      </c>
      <c r="G9668" s="69"/>
    </row>
    <row r="9669" ht="22.5" customHeight="1">
      <c r="A9669" s="66"/>
      <c r="B9669" s="67" t="str">
        <f t="shared" si="16"/>
        <v>M: </v>
      </c>
      <c r="C9669" s="68"/>
      <c r="D9669" s="68">
        <v>46716.0</v>
      </c>
      <c r="E9669" s="66">
        <v>7.0</v>
      </c>
      <c r="F9669" s="66" t="str">
        <f>IFERROR(__xludf.DUMMYFUNCTION("GOOGLETRANSLATE(A9669,""en"",""pt"")"),"#VALUE!")</f>
        <v>#VALUE!</v>
      </c>
      <c r="G9669" s="69"/>
    </row>
    <row r="9670" ht="22.5" customHeight="1">
      <c r="A9670" s="66"/>
      <c r="B9670" s="67" t="str">
        <f t="shared" si="16"/>
        <v>M: </v>
      </c>
      <c r="C9670" s="68"/>
      <c r="D9670" s="68">
        <v>46716.0</v>
      </c>
      <c r="E9670" s="66">
        <v>8.0</v>
      </c>
      <c r="F9670" s="66" t="str">
        <f>IFERROR(__xludf.DUMMYFUNCTION("GOOGLETRANSLATE(A9670,""en"",""pt"")"),"#VALUE!")</f>
        <v>#VALUE!</v>
      </c>
      <c r="G9670" s="69"/>
    </row>
    <row r="9671" ht="22.5" customHeight="1">
      <c r="A9671" s="66"/>
      <c r="B9671" s="67" t="str">
        <f t="shared" si="16"/>
        <v>M: </v>
      </c>
      <c r="C9671" s="68"/>
      <c r="D9671" s="68">
        <v>46716.0</v>
      </c>
      <c r="E9671" s="66">
        <v>9.0</v>
      </c>
      <c r="F9671" s="66" t="str">
        <f>IFERROR(__xludf.DUMMYFUNCTION("GOOGLETRANSLATE(A9671,""en"",""pt"")"),"#VALUE!")</f>
        <v>#VALUE!</v>
      </c>
      <c r="G9671" s="69"/>
    </row>
    <row r="9672" ht="22.5" customHeight="1">
      <c r="A9672" s="66"/>
      <c r="B9672" s="67" t="str">
        <f t="shared" si="16"/>
        <v>M: </v>
      </c>
      <c r="C9672" s="68"/>
      <c r="D9672" s="68">
        <v>46717.0</v>
      </c>
      <c r="E9672" s="66">
        <v>10.0</v>
      </c>
      <c r="F9672" s="66" t="str">
        <f>IFERROR(__xludf.DUMMYFUNCTION("GOOGLETRANSLATE(A9672,""en"",""pt"")"),"#VALUE!")</f>
        <v>#VALUE!</v>
      </c>
      <c r="G9672" s="69"/>
    </row>
    <row r="9673" ht="22.5" customHeight="1">
      <c r="A9673" s="66"/>
      <c r="B9673" s="67" t="str">
        <f t="shared" si="16"/>
        <v>M: </v>
      </c>
      <c r="C9673" s="68"/>
      <c r="D9673" s="68">
        <v>46717.0</v>
      </c>
      <c r="E9673" s="66">
        <v>1.0</v>
      </c>
      <c r="F9673" s="66" t="str">
        <f>IFERROR(__xludf.DUMMYFUNCTION("GOOGLETRANSLATE(A9673,""en"",""pt"")"),"#VALUE!")</f>
        <v>#VALUE!</v>
      </c>
      <c r="G9673" s="69"/>
    </row>
    <row r="9674" ht="22.5" customHeight="1">
      <c r="A9674" s="66"/>
      <c r="B9674" s="67" t="str">
        <f t="shared" si="16"/>
        <v>M: </v>
      </c>
      <c r="C9674" s="68"/>
      <c r="D9674" s="68">
        <v>46717.0</v>
      </c>
      <c r="E9674" s="66">
        <v>2.0</v>
      </c>
      <c r="F9674" s="66" t="str">
        <f>IFERROR(__xludf.DUMMYFUNCTION("GOOGLETRANSLATE(A9674,""en"",""pt"")"),"#VALUE!")</f>
        <v>#VALUE!</v>
      </c>
      <c r="G9674" s="69"/>
    </row>
    <row r="9675" ht="22.5" customHeight="1">
      <c r="A9675" s="66"/>
      <c r="B9675" s="67" t="str">
        <f t="shared" si="16"/>
        <v>M: </v>
      </c>
      <c r="C9675" s="68"/>
      <c r="D9675" s="68">
        <v>46717.0</v>
      </c>
      <c r="E9675" s="66">
        <v>3.0</v>
      </c>
      <c r="F9675" s="66" t="str">
        <f>IFERROR(__xludf.DUMMYFUNCTION("GOOGLETRANSLATE(A9675,""en"",""pt"")"),"#VALUE!")</f>
        <v>#VALUE!</v>
      </c>
      <c r="G9675" s="69"/>
    </row>
    <row r="9676" ht="22.5" customHeight="1">
      <c r="A9676" s="66"/>
      <c r="B9676" s="67" t="str">
        <f t="shared" si="16"/>
        <v>M: </v>
      </c>
      <c r="C9676" s="68"/>
      <c r="D9676" s="68">
        <v>46717.0</v>
      </c>
      <c r="E9676" s="66">
        <v>4.0</v>
      </c>
      <c r="F9676" s="66" t="str">
        <f>IFERROR(__xludf.DUMMYFUNCTION("GOOGLETRANSLATE(A9676,""en"",""pt"")"),"#VALUE!")</f>
        <v>#VALUE!</v>
      </c>
      <c r="G9676" s="69"/>
    </row>
    <row r="9677" ht="22.5" customHeight="1">
      <c r="A9677" s="66"/>
      <c r="B9677" s="67" t="str">
        <f t="shared" si="16"/>
        <v>M: </v>
      </c>
      <c r="C9677" s="68"/>
      <c r="D9677" s="68">
        <v>46717.0</v>
      </c>
      <c r="E9677" s="66">
        <v>5.0</v>
      </c>
      <c r="F9677" s="66" t="str">
        <f>IFERROR(__xludf.DUMMYFUNCTION("GOOGLETRANSLATE(A9677,""en"",""pt"")"),"#VALUE!")</f>
        <v>#VALUE!</v>
      </c>
      <c r="G9677" s="69"/>
    </row>
    <row r="9678" ht="22.5" customHeight="1">
      <c r="A9678" s="66"/>
      <c r="B9678" s="67" t="str">
        <f t="shared" si="16"/>
        <v>M: </v>
      </c>
      <c r="C9678" s="68"/>
      <c r="D9678" s="68">
        <v>46717.0</v>
      </c>
      <c r="E9678" s="66">
        <v>6.0</v>
      </c>
      <c r="F9678" s="66" t="str">
        <f>IFERROR(__xludf.DUMMYFUNCTION("GOOGLETRANSLATE(A9678,""en"",""pt"")"),"#VALUE!")</f>
        <v>#VALUE!</v>
      </c>
      <c r="G9678" s="69"/>
    </row>
    <row r="9679" ht="22.5" customHeight="1">
      <c r="A9679" s="66"/>
      <c r="B9679" s="67" t="str">
        <f t="shared" si="16"/>
        <v>M: </v>
      </c>
      <c r="C9679" s="68"/>
      <c r="D9679" s="68">
        <v>46717.0</v>
      </c>
      <c r="E9679" s="66">
        <v>7.0</v>
      </c>
      <c r="F9679" s="66" t="str">
        <f>IFERROR(__xludf.DUMMYFUNCTION("GOOGLETRANSLATE(A9679,""en"",""pt"")"),"#VALUE!")</f>
        <v>#VALUE!</v>
      </c>
      <c r="G9679" s="69"/>
    </row>
    <row r="9680" ht="22.5" customHeight="1">
      <c r="A9680" s="66"/>
      <c r="B9680" s="67" t="str">
        <f t="shared" si="16"/>
        <v>M: </v>
      </c>
      <c r="C9680" s="68"/>
      <c r="D9680" s="68">
        <v>46717.0</v>
      </c>
      <c r="E9680" s="66">
        <v>8.0</v>
      </c>
      <c r="F9680" s="66" t="str">
        <f>IFERROR(__xludf.DUMMYFUNCTION("GOOGLETRANSLATE(A9680,""en"",""pt"")"),"#VALUE!")</f>
        <v>#VALUE!</v>
      </c>
      <c r="G9680" s="69"/>
    </row>
    <row r="9681" ht="22.5" customHeight="1">
      <c r="A9681" s="66"/>
      <c r="B9681" s="67" t="str">
        <f t="shared" si="16"/>
        <v>M: </v>
      </c>
      <c r="C9681" s="68"/>
      <c r="D9681" s="68">
        <v>46717.0</v>
      </c>
      <c r="E9681" s="66">
        <v>9.0</v>
      </c>
      <c r="F9681" s="66" t="str">
        <f>IFERROR(__xludf.DUMMYFUNCTION("GOOGLETRANSLATE(A9681,""en"",""pt"")"),"#VALUE!")</f>
        <v>#VALUE!</v>
      </c>
      <c r="G9681" s="69"/>
    </row>
    <row r="9682" ht="22.5" customHeight="1">
      <c r="A9682" s="66"/>
      <c r="B9682" s="67" t="str">
        <f t="shared" si="16"/>
        <v>M: </v>
      </c>
      <c r="C9682" s="68"/>
      <c r="D9682" s="68">
        <v>46718.0</v>
      </c>
      <c r="E9682" s="66">
        <v>10.0</v>
      </c>
      <c r="F9682" s="66" t="str">
        <f>IFERROR(__xludf.DUMMYFUNCTION("GOOGLETRANSLATE(A9682,""en"",""pt"")"),"#VALUE!")</f>
        <v>#VALUE!</v>
      </c>
      <c r="G9682" s="69"/>
    </row>
    <row r="9683" ht="22.5" customHeight="1">
      <c r="A9683" s="66"/>
      <c r="B9683" s="67" t="str">
        <f t="shared" si="16"/>
        <v>M: </v>
      </c>
      <c r="C9683" s="68"/>
      <c r="D9683" s="68">
        <v>46718.0</v>
      </c>
      <c r="E9683" s="66">
        <v>1.0</v>
      </c>
      <c r="F9683" s="66" t="str">
        <f>IFERROR(__xludf.DUMMYFUNCTION("GOOGLETRANSLATE(A9683,""en"",""pt"")"),"#VALUE!")</f>
        <v>#VALUE!</v>
      </c>
      <c r="G9683" s="69"/>
    </row>
    <row r="9684" ht="22.5" customHeight="1">
      <c r="A9684" s="66"/>
      <c r="B9684" s="67" t="str">
        <f t="shared" si="16"/>
        <v>M: </v>
      </c>
      <c r="C9684" s="68"/>
      <c r="D9684" s="68">
        <v>46718.0</v>
      </c>
      <c r="E9684" s="66">
        <v>2.0</v>
      </c>
      <c r="F9684" s="66" t="str">
        <f>IFERROR(__xludf.DUMMYFUNCTION("GOOGLETRANSLATE(A9684,""en"",""pt"")"),"#VALUE!")</f>
        <v>#VALUE!</v>
      </c>
      <c r="G9684" s="69"/>
    </row>
    <row r="9685" ht="22.5" customHeight="1">
      <c r="A9685" s="66"/>
      <c r="B9685" s="67" t="str">
        <f t="shared" si="16"/>
        <v>M: </v>
      </c>
      <c r="C9685" s="68"/>
      <c r="D9685" s="68">
        <v>46718.0</v>
      </c>
      <c r="E9685" s="66">
        <v>3.0</v>
      </c>
      <c r="F9685" s="66" t="str">
        <f>IFERROR(__xludf.DUMMYFUNCTION("GOOGLETRANSLATE(A9685,""en"",""pt"")"),"#VALUE!")</f>
        <v>#VALUE!</v>
      </c>
      <c r="G9685" s="69"/>
    </row>
    <row r="9686" ht="22.5" customHeight="1">
      <c r="A9686" s="66"/>
      <c r="B9686" s="67" t="str">
        <f t="shared" si="16"/>
        <v>M: </v>
      </c>
      <c r="C9686" s="68"/>
      <c r="D9686" s="68">
        <v>46718.0</v>
      </c>
      <c r="E9686" s="66">
        <v>4.0</v>
      </c>
      <c r="F9686" s="66" t="str">
        <f>IFERROR(__xludf.DUMMYFUNCTION("GOOGLETRANSLATE(A9686,""en"",""pt"")"),"#VALUE!")</f>
        <v>#VALUE!</v>
      </c>
      <c r="G9686" s="69"/>
    </row>
    <row r="9687" ht="22.5" customHeight="1">
      <c r="A9687" s="66"/>
      <c r="B9687" s="67" t="str">
        <f t="shared" si="16"/>
        <v>M: </v>
      </c>
      <c r="C9687" s="68"/>
      <c r="D9687" s="68">
        <v>46718.0</v>
      </c>
      <c r="E9687" s="66">
        <v>5.0</v>
      </c>
      <c r="F9687" s="66" t="str">
        <f>IFERROR(__xludf.DUMMYFUNCTION("GOOGLETRANSLATE(A9687,""en"",""pt"")"),"#VALUE!")</f>
        <v>#VALUE!</v>
      </c>
      <c r="G9687" s="69"/>
    </row>
    <row r="9688" ht="22.5" customHeight="1">
      <c r="A9688" s="66"/>
      <c r="B9688" s="67" t="str">
        <f t="shared" si="16"/>
        <v>M: </v>
      </c>
      <c r="C9688" s="68"/>
      <c r="D9688" s="68">
        <v>46718.0</v>
      </c>
      <c r="E9688" s="66">
        <v>6.0</v>
      </c>
      <c r="F9688" s="66" t="str">
        <f>IFERROR(__xludf.DUMMYFUNCTION("GOOGLETRANSLATE(A9688,""en"",""pt"")"),"#VALUE!")</f>
        <v>#VALUE!</v>
      </c>
      <c r="G9688" s="69"/>
    </row>
    <row r="9689" ht="22.5" customHeight="1">
      <c r="A9689" s="66"/>
      <c r="B9689" s="67" t="str">
        <f t="shared" si="16"/>
        <v>M: </v>
      </c>
      <c r="C9689" s="68"/>
      <c r="D9689" s="68">
        <v>46718.0</v>
      </c>
      <c r="E9689" s="66">
        <v>7.0</v>
      </c>
      <c r="F9689" s="66" t="str">
        <f>IFERROR(__xludf.DUMMYFUNCTION("GOOGLETRANSLATE(A9689,""en"",""pt"")"),"#VALUE!")</f>
        <v>#VALUE!</v>
      </c>
      <c r="G9689" s="69"/>
    </row>
    <row r="9690" ht="22.5" customHeight="1">
      <c r="A9690" s="66"/>
      <c r="B9690" s="67" t="str">
        <f t="shared" si="16"/>
        <v>M: </v>
      </c>
      <c r="C9690" s="68"/>
      <c r="D9690" s="68">
        <v>46718.0</v>
      </c>
      <c r="E9690" s="66">
        <v>8.0</v>
      </c>
      <c r="F9690" s="66" t="str">
        <f>IFERROR(__xludf.DUMMYFUNCTION("GOOGLETRANSLATE(A9690,""en"",""pt"")"),"#VALUE!")</f>
        <v>#VALUE!</v>
      </c>
      <c r="G9690" s="69"/>
    </row>
    <row r="9691" ht="22.5" customHeight="1">
      <c r="A9691" s="66"/>
      <c r="B9691" s="67" t="str">
        <f t="shared" si="16"/>
        <v>M: </v>
      </c>
      <c r="C9691" s="68"/>
      <c r="D9691" s="68">
        <v>46718.0</v>
      </c>
      <c r="E9691" s="66">
        <v>9.0</v>
      </c>
      <c r="F9691" s="66" t="str">
        <f>IFERROR(__xludf.DUMMYFUNCTION("GOOGLETRANSLATE(A9691,""en"",""pt"")"),"#VALUE!")</f>
        <v>#VALUE!</v>
      </c>
      <c r="G9691" s="69"/>
    </row>
    <row r="9692" ht="22.5" customHeight="1">
      <c r="A9692" s="66"/>
      <c r="B9692" s="67" t="str">
        <f t="shared" si="16"/>
        <v>M: </v>
      </c>
      <c r="C9692" s="68"/>
      <c r="D9692" s="68">
        <v>46719.0</v>
      </c>
      <c r="E9692" s="66">
        <v>10.0</v>
      </c>
      <c r="F9692" s="66" t="str">
        <f>IFERROR(__xludf.DUMMYFUNCTION("GOOGLETRANSLATE(A9692,""en"",""pt"")"),"#VALUE!")</f>
        <v>#VALUE!</v>
      </c>
      <c r="G9692" s="69"/>
    </row>
    <row r="9693" ht="22.5" customHeight="1">
      <c r="A9693" s="66"/>
      <c r="B9693" s="67" t="str">
        <f t="shared" si="16"/>
        <v>M: </v>
      </c>
      <c r="C9693" s="68"/>
      <c r="D9693" s="68">
        <v>46719.0</v>
      </c>
      <c r="E9693" s="66">
        <v>1.0</v>
      </c>
      <c r="F9693" s="66" t="str">
        <f>IFERROR(__xludf.DUMMYFUNCTION("GOOGLETRANSLATE(A9693,""en"",""pt"")"),"#VALUE!")</f>
        <v>#VALUE!</v>
      </c>
      <c r="G9693" s="69"/>
    </row>
    <row r="9694" ht="22.5" customHeight="1">
      <c r="A9694" s="66"/>
      <c r="B9694" s="67" t="str">
        <f t="shared" si="16"/>
        <v>M: </v>
      </c>
      <c r="C9694" s="68"/>
      <c r="D9694" s="68">
        <v>46719.0</v>
      </c>
      <c r="E9694" s="66">
        <v>2.0</v>
      </c>
      <c r="F9694" s="66" t="str">
        <f>IFERROR(__xludf.DUMMYFUNCTION("GOOGLETRANSLATE(A9694,""en"",""pt"")"),"#VALUE!")</f>
        <v>#VALUE!</v>
      </c>
      <c r="G9694" s="69"/>
    </row>
    <row r="9695" ht="22.5" customHeight="1">
      <c r="A9695" s="66"/>
      <c r="B9695" s="67" t="str">
        <f t="shared" si="16"/>
        <v>M: </v>
      </c>
      <c r="C9695" s="68"/>
      <c r="D9695" s="68">
        <v>46719.0</v>
      </c>
      <c r="E9695" s="66">
        <v>3.0</v>
      </c>
      <c r="F9695" s="66" t="str">
        <f>IFERROR(__xludf.DUMMYFUNCTION("GOOGLETRANSLATE(A9695,""en"",""pt"")"),"#VALUE!")</f>
        <v>#VALUE!</v>
      </c>
      <c r="G9695" s="69"/>
    </row>
    <row r="9696" ht="22.5" customHeight="1">
      <c r="A9696" s="66"/>
      <c r="B9696" s="67" t="str">
        <f t="shared" si="16"/>
        <v>M: </v>
      </c>
      <c r="C9696" s="68"/>
      <c r="D9696" s="68">
        <v>46719.0</v>
      </c>
      <c r="E9696" s="66">
        <v>4.0</v>
      </c>
      <c r="F9696" s="66" t="str">
        <f>IFERROR(__xludf.DUMMYFUNCTION("GOOGLETRANSLATE(A9696,""en"",""pt"")"),"#VALUE!")</f>
        <v>#VALUE!</v>
      </c>
      <c r="G9696" s="69"/>
    </row>
    <row r="9697" ht="22.5" customHeight="1">
      <c r="A9697" s="66"/>
      <c r="B9697" s="67" t="str">
        <f t="shared" si="16"/>
        <v>M: </v>
      </c>
      <c r="C9697" s="68"/>
      <c r="D9697" s="68">
        <v>46719.0</v>
      </c>
      <c r="E9697" s="66">
        <v>5.0</v>
      </c>
      <c r="F9697" s="66" t="str">
        <f>IFERROR(__xludf.DUMMYFUNCTION("GOOGLETRANSLATE(A9697,""en"",""pt"")"),"#VALUE!")</f>
        <v>#VALUE!</v>
      </c>
      <c r="G9697" s="69"/>
    </row>
    <row r="9698" ht="22.5" customHeight="1">
      <c r="A9698" s="66"/>
      <c r="B9698" s="67" t="str">
        <f t="shared" si="16"/>
        <v>M: </v>
      </c>
      <c r="C9698" s="68"/>
      <c r="D9698" s="68">
        <v>46719.0</v>
      </c>
      <c r="E9698" s="66">
        <v>6.0</v>
      </c>
      <c r="F9698" s="66" t="str">
        <f>IFERROR(__xludf.DUMMYFUNCTION("GOOGLETRANSLATE(A9698,""en"",""pt"")"),"#VALUE!")</f>
        <v>#VALUE!</v>
      </c>
      <c r="G9698" s="69"/>
    </row>
    <row r="9699" ht="22.5" customHeight="1">
      <c r="A9699" s="66"/>
      <c r="B9699" s="67" t="str">
        <f t="shared" si="16"/>
        <v>M: </v>
      </c>
      <c r="C9699" s="68"/>
      <c r="D9699" s="68">
        <v>46719.0</v>
      </c>
      <c r="E9699" s="66">
        <v>7.0</v>
      </c>
      <c r="F9699" s="66" t="str">
        <f>IFERROR(__xludf.DUMMYFUNCTION("GOOGLETRANSLATE(A9699,""en"",""pt"")"),"#VALUE!")</f>
        <v>#VALUE!</v>
      </c>
      <c r="G9699" s="69"/>
    </row>
    <row r="9700" ht="22.5" customHeight="1">
      <c r="A9700" s="66"/>
      <c r="B9700" s="67" t="str">
        <f t="shared" si="16"/>
        <v>M: </v>
      </c>
      <c r="C9700" s="68"/>
      <c r="D9700" s="68">
        <v>46719.0</v>
      </c>
      <c r="E9700" s="66">
        <v>8.0</v>
      </c>
      <c r="F9700" s="66" t="str">
        <f>IFERROR(__xludf.DUMMYFUNCTION("GOOGLETRANSLATE(A9700,""en"",""pt"")"),"#VALUE!")</f>
        <v>#VALUE!</v>
      </c>
      <c r="G9700" s="69"/>
    </row>
    <row r="9701" ht="22.5" customHeight="1">
      <c r="A9701" s="66"/>
      <c r="B9701" s="67" t="str">
        <f t="shared" si="16"/>
        <v>M: </v>
      </c>
      <c r="C9701" s="68"/>
      <c r="D9701" s="68">
        <v>46719.0</v>
      </c>
      <c r="E9701" s="66">
        <v>9.0</v>
      </c>
      <c r="F9701" s="66" t="str">
        <f>IFERROR(__xludf.DUMMYFUNCTION("GOOGLETRANSLATE(A9701,""en"",""pt"")"),"#VALUE!")</f>
        <v>#VALUE!</v>
      </c>
      <c r="G9701" s="69"/>
    </row>
    <row r="9702" ht="22.5" customHeight="1">
      <c r="A9702" s="66"/>
      <c r="B9702" s="67" t="str">
        <f t="shared" si="16"/>
        <v>M: </v>
      </c>
      <c r="C9702" s="68"/>
      <c r="D9702" s="68">
        <v>46720.0</v>
      </c>
      <c r="E9702" s="66">
        <v>10.0</v>
      </c>
      <c r="F9702" s="66" t="str">
        <f>IFERROR(__xludf.DUMMYFUNCTION("GOOGLETRANSLATE(A9702,""en"",""pt"")"),"#VALUE!")</f>
        <v>#VALUE!</v>
      </c>
      <c r="G9702" s="69"/>
    </row>
    <row r="9703" ht="22.5" customHeight="1">
      <c r="A9703" s="66"/>
      <c r="B9703" s="67" t="str">
        <f t="shared" si="16"/>
        <v>M: </v>
      </c>
      <c r="C9703" s="68"/>
      <c r="D9703" s="68">
        <v>46720.0</v>
      </c>
      <c r="E9703" s="66">
        <v>1.0</v>
      </c>
      <c r="F9703" s="66" t="str">
        <f>IFERROR(__xludf.DUMMYFUNCTION("GOOGLETRANSLATE(A9703,""en"",""pt"")"),"#VALUE!")</f>
        <v>#VALUE!</v>
      </c>
      <c r="G9703" s="69"/>
    </row>
    <row r="9704" ht="22.5" customHeight="1">
      <c r="A9704" s="66"/>
      <c r="B9704" s="67" t="str">
        <f t="shared" si="16"/>
        <v>M: </v>
      </c>
      <c r="C9704" s="68"/>
      <c r="D9704" s="68">
        <v>46720.0</v>
      </c>
      <c r="E9704" s="66">
        <v>2.0</v>
      </c>
      <c r="F9704" s="66" t="str">
        <f>IFERROR(__xludf.DUMMYFUNCTION("GOOGLETRANSLATE(A9704,""en"",""pt"")"),"#VALUE!")</f>
        <v>#VALUE!</v>
      </c>
      <c r="G9704" s="69"/>
    </row>
    <row r="9705" ht="22.5" customHeight="1">
      <c r="A9705" s="66"/>
      <c r="B9705" s="67" t="str">
        <f t="shared" si="16"/>
        <v>M: </v>
      </c>
      <c r="C9705" s="68"/>
      <c r="D9705" s="68">
        <v>46720.0</v>
      </c>
      <c r="E9705" s="66">
        <v>3.0</v>
      </c>
      <c r="F9705" s="66" t="str">
        <f>IFERROR(__xludf.DUMMYFUNCTION("GOOGLETRANSLATE(A9705,""en"",""pt"")"),"#VALUE!")</f>
        <v>#VALUE!</v>
      </c>
      <c r="G9705" s="69"/>
    </row>
    <row r="9706" ht="22.5" customHeight="1">
      <c r="A9706" s="66"/>
      <c r="B9706" s="67" t="str">
        <f t="shared" si="16"/>
        <v>M: </v>
      </c>
      <c r="C9706" s="68"/>
      <c r="D9706" s="68">
        <v>46720.0</v>
      </c>
      <c r="E9706" s="66">
        <v>4.0</v>
      </c>
      <c r="F9706" s="66" t="str">
        <f>IFERROR(__xludf.DUMMYFUNCTION("GOOGLETRANSLATE(A9706,""en"",""pt"")"),"#VALUE!")</f>
        <v>#VALUE!</v>
      </c>
      <c r="G9706" s="69"/>
    </row>
    <row r="9707" ht="22.5" customHeight="1">
      <c r="A9707" s="66"/>
      <c r="B9707" s="67" t="str">
        <f t="shared" si="16"/>
        <v>M: </v>
      </c>
      <c r="C9707" s="68"/>
      <c r="D9707" s="68">
        <v>46720.0</v>
      </c>
      <c r="E9707" s="66">
        <v>5.0</v>
      </c>
      <c r="F9707" s="66" t="str">
        <f>IFERROR(__xludf.DUMMYFUNCTION("GOOGLETRANSLATE(A9707,""en"",""pt"")"),"#VALUE!")</f>
        <v>#VALUE!</v>
      </c>
      <c r="G9707" s="69"/>
    </row>
    <row r="9708" ht="22.5" customHeight="1">
      <c r="A9708" s="66"/>
      <c r="B9708" s="67" t="str">
        <f t="shared" si="16"/>
        <v>M: </v>
      </c>
      <c r="C9708" s="68"/>
      <c r="D9708" s="68">
        <v>46720.0</v>
      </c>
      <c r="E9708" s="66">
        <v>6.0</v>
      </c>
      <c r="F9708" s="66" t="str">
        <f>IFERROR(__xludf.DUMMYFUNCTION("GOOGLETRANSLATE(A9708,""en"",""pt"")"),"#VALUE!")</f>
        <v>#VALUE!</v>
      </c>
      <c r="G9708" s="69"/>
    </row>
    <row r="9709" ht="22.5" customHeight="1">
      <c r="A9709" s="66"/>
      <c r="B9709" s="67" t="str">
        <f t="shared" si="16"/>
        <v>M: </v>
      </c>
      <c r="C9709" s="68"/>
      <c r="D9709" s="68">
        <v>46720.0</v>
      </c>
      <c r="E9709" s="66">
        <v>7.0</v>
      </c>
      <c r="F9709" s="66" t="str">
        <f>IFERROR(__xludf.DUMMYFUNCTION("GOOGLETRANSLATE(A9709,""en"",""pt"")"),"#VALUE!")</f>
        <v>#VALUE!</v>
      </c>
      <c r="G9709" s="69"/>
    </row>
    <row r="9710" ht="22.5" customHeight="1">
      <c r="A9710" s="66"/>
      <c r="B9710" s="67" t="str">
        <f t="shared" si="16"/>
        <v>M: </v>
      </c>
      <c r="C9710" s="68"/>
      <c r="D9710" s="68">
        <v>46720.0</v>
      </c>
      <c r="E9710" s="66">
        <v>8.0</v>
      </c>
      <c r="F9710" s="66" t="str">
        <f>IFERROR(__xludf.DUMMYFUNCTION("GOOGLETRANSLATE(A9710,""en"",""pt"")"),"#VALUE!")</f>
        <v>#VALUE!</v>
      </c>
      <c r="G9710" s="69"/>
    </row>
    <row r="9711" ht="22.5" customHeight="1">
      <c r="A9711" s="66"/>
      <c r="B9711" s="67" t="str">
        <f t="shared" si="16"/>
        <v>M: </v>
      </c>
      <c r="C9711" s="68"/>
      <c r="D9711" s="68">
        <v>46720.0</v>
      </c>
      <c r="E9711" s="66">
        <v>9.0</v>
      </c>
      <c r="F9711" s="66" t="str">
        <f>IFERROR(__xludf.DUMMYFUNCTION("GOOGLETRANSLATE(A9711,""en"",""pt"")"),"#VALUE!")</f>
        <v>#VALUE!</v>
      </c>
      <c r="G9711" s="69"/>
    </row>
    <row r="9712" ht="22.5" customHeight="1">
      <c r="A9712" s="66"/>
      <c r="B9712" s="67" t="str">
        <f t="shared" si="16"/>
        <v>M: </v>
      </c>
      <c r="C9712" s="68"/>
      <c r="D9712" s="68">
        <v>46721.0</v>
      </c>
      <c r="E9712" s="66">
        <v>10.0</v>
      </c>
      <c r="F9712" s="66" t="str">
        <f>IFERROR(__xludf.DUMMYFUNCTION("GOOGLETRANSLATE(A9712,""en"",""pt"")"),"#VALUE!")</f>
        <v>#VALUE!</v>
      </c>
      <c r="G9712" s="69"/>
    </row>
    <row r="9713" ht="22.5" customHeight="1">
      <c r="A9713" s="66"/>
      <c r="B9713" s="67" t="str">
        <f t="shared" si="16"/>
        <v>M: </v>
      </c>
      <c r="C9713" s="68"/>
      <c r="D9713" s="68">
        <v>46721.0</v>
      </c>
      <c r="E9713" s="66">
        <v>1.0</v>
      </c>
      <c r="F9713" s="66" t="str">
        <f>IFERROR(__xludf.DUMMYFUNCTION("GOOGLETRANSLATE(A9713,""en"",""pt"")"),"#VALUE!")</f>
        <v>#VALUE!</v>
      </c>
      <c r="G9713" s="69"/>
    </row>
    <row r="9714" ht="22.5" customHeight="1">
      <c r="A9714" s="66"/>
      <c r="B9714" s="67" t="str">
        <f t="shared" si="16"/>
        <v>M: </v>
      </c>
      <c r="C9714" s="68"/>
      <c r="D9714" s="68">
        <v>46721.0</v>
      </c>
      <c r="E9714" s="66">
        <v>2.0</v>
      </c>
      <c r="F9714" s="66" t="str">
        <f>IFERROR(__xludf.DUMMYFUNCTION("GOOGLETRANSLATE(A9714,""en"",""pt"")"),"#VALUE!")</f>
        <v>#VALUE!</v>
      </c>
      <c r="G9714" s="69"/>
    </row>
    <row r="9715" ht="22.5" customHeight="1">
      <c r="A9715" s="66"/>
      <c r="B9715" s="67" t="str">
        <f t="shared" si="16"/>
        <v>M: </v>
      </c>
      <c r="C9715" s="68"/>
      <c r="D9715" s="68">
        <v>46721.0</v>
      </c>
      <c r="E9715" s="66">
        <v>3.0</v>
      </c>
      <c r="F9715" s="66" t="str">
        <f>IFERROR(__xludf.DUMMYFUNCTION("GOOGLETRANSLATE(A9715,""en"",""pt"")"),"#VALUE!")</f>
        <v>#VALUE!</v>
      </c>
      <c r="G9715" s="69"/>
    </row>
    <row r="9716" ht="22.5" customHeight="1">
      <c r="A9716" s="66"/>
      <c r="B9716" s="67" t="str">
        <f t="shared" si="16"/>
        <v>M: </v>
      </c>
      <c r="C9716" s="68"/>
      <c r="D9716" s="68">
        <v>46721.0</v>
      </c>
      <c r="E9716" s="66">
        <v>4.0</v>
      </c>
      <c r="F9716" s="66" t="str">
        <f>IFERROR(__xludf.DUMMYFUNCTION("GOOGLETRANSLATE(A9716,""en"",""pt"")"),"#VALUE!")</f>
        <v>#VALUE!</v>
      </c>
      <c r="G9716" s="69"/>
    </row>
    <row r="9717" ht="22.5" customHeight="1">
      <c r="A9717" s="66"/>
      <c r="B9717" s="67" t="str">
        <f t="shared" si="16"/>
        <v>M: </v>
      </c>
      <c r="C9717" s="68"/>
      <c r="D9717" s="68">
        <v>46721.0</v>
      </c>
      <c r="E9717" s="66">
        <v>5.0</v>
      </c>
      <c r="F9717" s="66" t="str">
        <f>IFERROR(__xludf.DUMMYFUNCTION("GOOGLETRANSLATE(A9717,""en"",""pt"")"),"#VALUE!")</f>
        <v>#VALUE!</v>
      </c>
      <c r="G9717" s="69"/>
    </row>
    <row r="9718" ht="22.5" customHeight="1">
      <c r="A9718" s="66"/>
      <c r="B9718" s="67" t="str">
        <f t="shared" si="16"/>
        <v>M: </v>
      </c>
      <c r="C9718" s="68"/>
      <c r="D9718" s="68">
        <v>46721.0</v>
      </c>
      <c r="E9718" s="66">
        <v>6.0</v>
      </c>
      <c r="F9718" s="66" t="str">
        <f>IFERROR(__xludf.DUMMYFUNCTION("GOOGLETRANSLATE(A9718,""en"",""pt"")"),"#VALUE!")</f>
        <v>#VALUE!</v>
      </c>
      <c r="G9718" s="69"/>
    </row>
    <row r="9719" ht="22.5" customHeight="1">
      <c r="A9719" s="66"/>
      <c r="B9719" s="67" t="str">
        <f t="shared" si="16"/>
        <v>M: </v>
      </c>
      <c r="C9719" s="68"/>
      <c r="D9719" s="68">
        <v>46721.0</v>
      </c>
      <c r="E9719" s="66">
        <v>7.0</v>
      </c>
      <c r="F9719" s="66" t="str">
        <f>IFERROR(__xludf.DUMMYFUNCTION("GOOGLETRANSLATE(A9719,""en"",""pt"")"),"#VALUE!")</f>
        <v>#VALUE!</v>
      </c>
      <c r="G9719" s="69"/>
    </row>
    <row r="9720" ht="22.5" customHeight="1">
      <c r="A9720" s="66"/>
      <c r="B9720" s="67" t="str">
        <f t="shared" si="16"/>
        <v>M: </v>
      </c>
      <c r="C9720" s="68"/>
      <c r="D9720" s="68">
        <v>46721.0</v>
      </c>
      <c r="E9720" s="66">
        <v>8.0</v>
      </c>
      <c r="F9720" s="66" t="str">
        <f>IFERROR(__xludf.DUMMYFUNCTION("GOOGLETRANSLATE(A9720,""en"",""pt"")"),"#VALUE!")</f>
        <v>#VALUE!</v>
      </c>
      <c r="G9720" s="69"/>
    </row>
    <row r="9721" ht="22.5" customHeight="1">
      <c r="A9721" s="66"/>
      <c r="B9721" s="67" t="str">
        <f t="shared" si="16"/>
        <v>M: </v>
      </c>
      <c r="C9721" s="68"/>
      <c r="D9721" s="68">
        <v>46721.0</v>
      </c>
      <c r="E9721" s="66">
        <v>9.0</v>
      </c>
      <c r="F9721" s="66" t="str">
        <f>IFERROR(__xludf.DUMMYFUNCTION("GOOGLETRANSLATE(A9721,""en"",""pt"")"),"#VALUE!")</f>
        <v>#VALUE!</v>
      </c>
      <c r="G9721" s="69"/>
    </row>
    <row r="9722" ht="22.5" customHeight="1">
      <c r="A9722" s="66"/>
      <c r="B9722" s="67" t="str">
        <f t="shared" si="16"/>
        <v>M: </v>
      </c>
      <c r="C9722" s="68"/>
      <c r="D9722" s="68">
        <v>46722.0</v>
      </c>
      <c r="E9722" s="66">
        <v>10.0</v>
      </c>
      <c r="F9722" s="66" t="str">
        <f>IFERROR(__xludf.DUMMYFUNCTION("GOOGLETRANSLATE(A9722,""en"",""pt"")"),"#VALUE!")</f>
        <v>#VALUE!</v>
      </c>
      <c r="G9722" s="69"/>
    </row>
    <row r="9723" ht="22.5" customHeight="1">
      <c r="A9723" s="66"/>
      <c r="B9723" s="67" t="str">
        <f t="shared" si="16"/>
        <v>M: </v>
      </c>
      <c r="C9723" s="68"/>
      <c r="D9723" s="68">
        <v>46722.0</v>
      </c>
      <c r="E9723" s="66">
        <v>1.0</v>
      </c>
      <c r="F9723" s="66" t="str">
        <f>IFERROR(__xludf.DUMMYFUNCTION("GOOGLETRANSLATE(A9723,""en"",""pt"")"),"#VALUE!")</f>
        <v>#VALUE!</v>
      </c>
      <c r="G9723" s="69"/>
    </row>
    <row r="9724" ht="22.5" customHeight="1">
      <c r="A9724" s="66"/>
      <c r="B9724" s="67" t="str">
        <f t="shared" si="16"/>
        <v>M: </v>
      </c>
      <c r="C9724" s="68"/>
      <c r="D9724" s="68">
        <v>46722.0</v>
      </c>
      <c r="E9724" s="66">
        <v>2.0</v>
      </c>
      <c r="F9724" s="66" t="str">
        <f>IFERROR(__xludf.DUMMYFUNCTION("GOOGLETRANSLATE(A9724,""en"",""pt"")"),"#VALUE!")</f>
        <v>#VALUE!</v>
      </c>
      <c r="G9724" s="69"/>
    </row>
    <row r="9725" ht="22.5" customHeight="1">
      <c r="A9725" s="66"/>
      <c r="B9725" s="67" t="str">
        <f t="shared" si="16"/>
        <v>M: </v>
      </c>
      <c r="C9725" s="68"/>
      <c r="D9725" s="68">
        <v>46722.0</v>
      </c>
      <c r="E9725" s="66">
        <v>3.0</v>
      </c>
      <c r="F9725" s="66" t="str">
        <f>IFERROR(__xludf.DUMMYFUNCTION("GOOGLETRANSLATE(A9725,""en"",""pt"")"),"#VALUE!")</f>
        <v>#VALUE!</v>
      </c>
      <c r="G9725" s="69"/>
    </row>
    <row r="9726" ht="22.5" customHeight="1">
      <c r="A9726" s="66"/>
      <c r="B9726" s="67" t="str">
        <f t="shared" si="16"/>
        <v>M: </v>
      </c>
      <c r="C9726" s="68"/>
      <c r="D9726" s="68">
        <v>46722.0</v>
      </c>
      <c r="E9726" s="66">
        <v>4.0</v>
      </c>
      <c r="F9726" s="66" t="str">
        <f>IFERROR(__xludf.DUMMYFUNCTION("GOOGLETRANSLATE(A9726,""en"",""pt"")"),"#VALUE!")</f>
        <v>#VALUE!</v>
      </c>
      <c r="G9726" s="69"/>
    </row>
    <row r="9727" ht="22.5" customHeight="1">
      <c r="A9727" s="66"/>
      <c r="B9727" s="67" t="str">
        <f t="shared" si="16"/>
        <v>M: </v>
      </c>
      <c r="C9727" s="68"/>
      <c r="D9727" s="68">
        <v>46722.0</v>
      </c>
      <c r="E9727" s="66">
        <v>5.0</v>
      </c>
      <c r="F9727" s="66" t="str">
        <f>IFERROR(__xludf.DUMMYFUNCTION("GOOGLETRANSLATE(A9727,""en"",""pt"")"),"#VALUE!")</f>
        <v>#VALUE!</v>
      </c>
      <c r="G9727" s="69"/>
    </row>
    <row r="9728" ht="22.5" customHeight="1">
      <c r="A9728" s="66"/>
      <c r="B9728" s="67" t="str">
        <f t="shared" si="16"/>
        <v>M: </v>
      </c>
      <c r="C9728" s="68"/>
      <c r="D9728" s="68">
        <v>46722.0</v>
      </c>
      <c r="E9728" s="66">
        <v>6.0</v>
      </c>
      <c r="F9728" s="66" t="str">
        <f>IFERROR(__xludf.DUMMYFUNCTION("GOOGLETRANSLATE(A9728,""en"",""pt"")"),"#VALUE!")</f>
        <v>#VALUE!</v>
      </c>
      <c r="G9728" s="69"/>
    </row>
    <row r="9729" ht="22.5" customHeight="1">
      <c r="A9729" s="66"/>
      <c r="B9729" s="67" t="str">
        <f t="shared" si="16"/>
        <v>M: </v>
      </c>
      <c r="C9729" s="68"/>
      <c r="D9729" s="68">
        <v>46722.0</v>
      </c>
      <c r="E9729" s="66">
        <v>7.0</v>
      </c>
      <c r="F9729" s="66" t="str">
        <f>IFERROR(__xludf.DUMMYFUNCTION("GOOGLETRANSLATE(A9729,""en"",""pt"")"),"#VALUE!")</f>
        <v>#VALUE!</v>
      </c>
      <c r="G9729" s="69"/>
    </row>
    <row r="9730" ht="22.5" customHeight="1">
      <c r="A9730" s="66"/>
      <c r="B9730" s="67" t="str">
        <f t="shared" si="16"/>
        <v>M: </v>
      </c>
      <c r="C9730" s="68"/>
      <c r="D9730" s="68">
        <v>46722.0</v>
      </c>
      <c r="E9730" s="66">
        <v>8.0</v>
      </c>
      <c r="F9730" s="66" t="str">
        <f>IFERROR(__xludf.DUMMYFUNCTION("GOOGLETRANSLATE(A9730,""en"",""pt"")"),"#VALUE!")</f>
        <v>#VALUE!</v>
      </c>
      <c r="G9730" s="69"/>
    </row>
    <row r="9731" ht="22.5" customHeight="1">
      <c r="A9731" s="66"/>
      <c r="B9731" s="67" t="str">
        <f t="shared" si="16"/>
        <v>M: </v>
      </c>
      <c r="C9731" s="68"/>
      <c r="D9731" s="68">
        <v>46722.0</v>
      </c>
      <c r="E9731" s="66">
        <v>9.0</v>
      </c>
      <c r="F9731" s="66" t="str">
        <f>IFERROR(__xludf.DUMMYFUNCTION("GOOGLETRANSLATE(A9731,""en"",""pt"")"),"#VALUE!")</f>
        <v>#VALUE!</v>
      </c>
      <c r="G9731" s="69"/>
    </row>
    <row r="9732" ht="22.5" customHeight="1">
      <c r="A9732" s="66"/>
      <c r="B9732" s="67" t="str">
        <f t="shared" si="16"/>
        <v>M: </v>
      </c>
      <c r="C9732" s="68"/>
      <c r="D9732" s="68">
        <v>46723.0</v>
      </c>
      <c r="E9732" s="66">
        <v>10.0</v>
      </c>
      <c r="F9732" s="66" t="str">
        <f>IFERROR(__xludf.DUMMYFUNCTION("GOOGLETRANSLATE(A9732,""en"",""pt"")"),"#VALUE!")</f>
        <v>#VALUE!</v>
      </c>
      <c r="G9732" s="69"/>
    </row>
    <row r="9733" ht="22.5" customHeight="1">
      <c r="A9733" s="66"/>
      <c r="B9733" s="67" t="str">
        <f t="shared" si="16"/>
        <v>M: </v>
      </c>
      <c r="C9733" s="68"/>
      <c r="D9733" s="68">
        <v>46723.0</v>
      </c>
      <c r="E9733" s="66">
        <v>1.0</v>
      </c>
      <c r="F9733" s="66" t="str">
        <f>IFERROR(__xludf.DUMMYFUNCTION("GOOGLETRANSLATE(A9733,""en"",""pt"")"),"#VALUE!")</f>
        <v>#VALUE!</v>
      </c>
      <c r="G9733" s="69"/>
    </row>
    <row r="9734" ht="22.5" customHeight="1">
      <c r="A9734" s="66"/>
      <c r="B9734" s="67" t="str">
        <f t="shared" si="16"/>
        <v>M: </v>
      </c>
      <c r="C9734" s="68"/>
      <c r="D9734" s="68">
        <v>46723.0</v>
      </c>
      <c r="E9734" s="66">
        <v>2.0</v>
      </c>
      <c r="F9734" s="66" t="str">
        <f>IFERROR(__xludf.DUMMYFUNCTION("GOOGLETRANSLATE(A9734,""en"",""pt"")"),"#VALUE!")</f>
        <v>#VALUE!</v>
      </c>
      <c r="G9734" s="69"/>
    </row>
    <row r="9735" ht="22.5" customHeight="1">
      <c r="A9735" s="66"/>
      <c r="B9735" s="67" t="str">
        <f t="shared" si="16"/>
        <v>M: </v>
      </c>
      <c r="C9735" s="68"/>
      <c r="D9735" s="68">
        <v>46723.0</v>
      </c>
      <c r="E9735" s="66">
        <v>3.0</v>
      </c>
      <c r="F9735" s="66" t="str">
        <f>IFERROR(__xludf.DUMMYFUNCTION("GOOGLETRANSLATE(A9735,""en"",""pt"")"),"#VALUE!")</f>
        <v>#VALUE!</v>
      </c>
      <c r="G9735" s="69"/>
    </row>
    <row r="9736" ht="22.5" customHeight="1">
      <c r="A9736" s="66"/>
      <c r="B9736" s="67" t="str">
        <f t="shared" si="16"/>
        <v>M: </v>
      </c>
      <c r="C9736" s="68"/>
      <c r="D9736" s="68">
        <v>46723.0</v>
      </c>
      <c r="E9736" s="66">
        <v>4.0</v>
      </c>
      <c r="F9736" s="66" t="str">
        <f>IFERROR(__xludf.DUMMYFUNCTION("GOOGLETRANSLATE(A9736,""en"",""pt"")"),"#VALUE!")</f>
        <v>#VALUE!</v>
      </c>
      <c r="G9736" s="69"/>
    </row>
    <row r="9737" ht="22.5" customHeight="1">
      <c r="A9737" s="66"/>
      <c r="B9737" s="67" t="str">
        <f t="shared" si="16"/>
        <v>M: </v>
      </c>
      <c r="C9737" s="68"/>
      <c r="D9737" s="68">
        <v>46723.0</v>
      </c>
      <c r="E9737" s="66">
        <v>5.0</v>
      </c>
      <c r="F9737" s="66" t="str">
        <f>IFERROR(__xludf.DUMMYFUNCTION("GOOGLETRANSLATE(A9737,""en"",""pt"")"),"#VALUE!")</f>
        <v>#VALUE!</v>
      </c>
      <c r="G9737" s="69"/>
    </row>
    <row r="9738" ht="22.5" customHeight="1">
      <c r="A9738" s="66"/>
      <c r="B9738" s="67" t="str">
        <f t="shared" si="16"/>
        <v>M: </v>
      </c>
      <c r="C9738" s="68"/>
      <c r="D9738" s="68">
        <v>46723.0</v>
      </c>
      <c r="E9738" s="66">
        <v>6.0</v>
      </c>
      <c r="F9738" s="66" t="str">
        <f>IFERROR(__xludf.DUMMYFUNCTION("GOOGLETRANSLATE(A9738,""en"",""pt"")"),"#VALUE!")</f>
        <v>#VALUE!</v>
      </c>
      <c r="G9738" s="69"/>
    </row>
    <row r="9739" ht="22.5" customHeight="1">
      <c r="A9739" s="66"/>
      <c r="B9739" s="67" t="str">
        <f t="shared" si="16"/>
        <v>M: </v>
      </c>
      <c r="C9739" s="68"/>
      <c r="D9739" s="68">
        <v>46723.0</v>
      </c>
      <c r="E9739" s="66">
        <v>7.0</v>
      </c>
      <c r="F9739" s="66" t="str">
        <f>IFERROR(__xludf.DUMMYFUNCTION("GOOGLETRANSLATE(A9739,""en"",""pt"")"),"#VALUE!")</f>
        <v>#VALUE!</v>
      </c>
      <c r="G9739" s="69"/>
    </row>
    <row r="9740" ht="22.5" customHeight="1">
      <c r="A9740" s="66"/>
      <c r="B9740" s="67" t="str">
        <f t="shared" si="16"/>
        <v>M: </v>
      </c>
      <c r="C9740" s="68"/>
      <c r="D9740" s="68">
        <v>46723.0</v>
      </c>
      <c r="E9740" s="66">
        <v>8.0</v>
      </c>
      <c r="F9740" s="66" t="str">
        <f>IFERROR(__xludf.DUMMYFUNCTION("GOOGLETRANSLATE(A9740,""en"",""pt"")"),"#VALUE!")</f>
        <v>#VALUE!</v>
      </c>
      <c r="G9740" s="69"/>
    </row>
    <row r="9741" ht="22.5" customHeight="1">
      <c r="A9741" s="66"/>
      <c r="B9741" s="67" t="str">
        <f t="shared" si="16"/>
        <v>M: </v>
      </c>
      <c r="C9741" s="68"/>
      <c r="D9741" s="68">
        <v>46723.0</v>
      </c>
      <c r="E9741" s="66">
        <v>9.0</v>
      </c>
      <c r="F9741" s="66" t="str">
        <f>IFERROR(__xludf.DUMMYFUNCTION("GOOGLETRANSLATE(A9741,""en"",""pt"")"),"#VALUE!")</f>
        <v>#VALUE!</v>
      </c>
      <c r="G9741" s="69"/>
    </row>
    <row r="9742" ht="22.5" customHeight="1">
      <c r="A9742" s="66"/>
      <c r="B9742" s="67" t="str">
        <f t="shared" si="16"/>
        <v>M: </v>
      </c>
      <c r="C9742" s="68"/>
      <c r="D9742" s="68">
        <v>46724.0</v>
      </c>
      <c r="E9742" s="66">
        <v>10.0</v>
      </c>
      <c r="F9742" s="66" t="str">
        <f>IFERROR(__xludf.DUMMYFUNCTION("GOOGLETRANSLATE(A9742,""en"",""pt"")"),"#VALUE!")</f>
        <v>#VALUE!</v>
      </c>
      <c r="G9742" s="69"/>
    </row>
    <row r="9743" ht="22.5" customHeight="1">
      <c r="A9743" s="66"/>
      <c r="B9743" s="67" t="str">
        <f t="shared" si="16"/>
        <v>M: </v>
      </c>
      <c r="C9743" s="68"/>
      <c r="D9743" s="68">
        <v>46724.0</v>
      </c>
      <c r="E9743" s="66">
        <v>1.0</v>
      </c>
      <c r="F9743" s="66" t="str">
        <f>IFERROR(__xludf.DUMMYFUNCTION("GOOGLETRANSLATE(A9743,""en"",""pt"")"),"#VALUE!")</f>
        <v>#VALUE!</v>
      </c>
      <c r="G9743" s="69"/>
    </row>
    <row r="9744" ht="22.5" customHeight="1">
      <c r="A9744" s="66"/>
      <c r="B9744" s="67" t="str">
        <f t="shared" si="16"/>
        <v>M: </v>
      </c>
      <c r="C9744" s="68"/>
      <c r="D9744" s="68">
        <v>46724.0</v>
      </c>
      <c r="E9744" s="66">
        <v>2.0</v>
      </c>
      <c r="F9744" s="66" t="str">
        <f>IFERROR(__xludf.DUMMYFUNCTION("GOOGLETRANSLATE(A9744,""en"",""pt"")"),"#VALUE!")</f>
        <v>#VALUE!</v>
      </c>
      <c r="G9744" s="69"/>
    </row>
    <row r="9745" ht="22.5" customHeight="1">
      <c r="A9745" s="66"/>
      <c r="B9745" s="67" t="str">
        <f t="shared" si="16"/>
        <v>M: </v>
      </c>
      <c r="C9745" s="68"/>
      <c r="D9745" s="68">
        <v>46724.0</v>
      </c>
      <c r="E9745" s="66">
        <v>3.0</v>
      </c>
      <c r="F9745" s="66" t="str">
        <f>IFERROR(__xludf.DUMMYFUNCTION("GOOGLETRANSLATE(A9745,""en"",""pt"")"),"#VALUE!")</f>
        <v>#VALUE!</v>
      </c>
      <c r="G9745" s="69"/>
    </row>
    <row r="9746" ht="22.5" customHeight="1">
      <c r="A9746" s="66"/>
      <c r="B9746" s="67" t="str">
        <f t="shared" si="16"/>
        <v>M: </v>
      </c>
      <c r="C9746" s="68"/>
      <c r="D9746" s="68">
        <v>46724.0</v>
      </c>
      <c r="E9746" s="66">
        <v>4.0</v>
      </c>
      <c r="F9746" s="66" t="str">
        <f>IFERROR(__xludf.DUMMYFUNCTION("GOOGLETRANSLATE(A9746,""en"",""pt"")"),"#VALUE!")</f>
        <v>#VALUE!</v>
      </c>
      <c r="G9746" s="69"/>
    </row>
    <row r="9747" ht="22.5" customHeight="1">
      <c r="A9747" s="66"/>
      <c r="B9747" s="67" t="str">
        <f t="shared" si="16"/>
        <v>M: </v>
      </c>
      <c r="C9747" s="68"/>
      <c r="D9747" s="68">
        <v>46724.0</v>
      </c>
      <c r="E9747" s="66">
        <v>5.0</v>
      </c>
      <c r="F9747" s="66" t="str">
        <f>IFERROR(__xludf.DUMMYFUNCTION("GOOGLETRANSLATE(A9747,""en"",""pt"")"),"#VALUE!")</f>
        <v>#VALUE!</v>
      </c>
      <c r="G9747" s="69"/>
    </row>
    <row r="9748" ht="22.5" customHeight="1">
      <c r="A9748" s="66"/>
      <c r="B9748" s="67" t="str">
        <f t="shared" si="16"/>
        <v>M: </v>
      </c>
      <c r="C9748" s="68"/>
      <c r="D9748" s="68">
        <v>46724.0</v>
      </c>
      <c r="E9748" s="66">
        <v>6.0</v>
      </c>
      <c r="F9748" s="66" t="str">
        <f>IFERROR(__xludf.DUMMYFUNCTION("GOOGLETRANSLATE(A9748,""en"",""pt"")"),"#VALUE!")</f>
        <v>#VALUE!</v>
      </c>
      <c r="G9748" s="69"/>
    </row>
    <row r="9749" ht="22.5" customHeight="1">
      <c r="A9749" s="66"/>
      <c r="B9749" s="67" t="str">
        <f t="shared" si="16"/>
        <v>M: </v>
      </c>
      <c r="C9749" s="68"/>
      <c r="D9749" s="68">
        <v>46724.0</v>
      </c>
      <c r="E9749" s="66">
        <v>7.0</v>
      </c>
      <c r="F9749" s="66" t="str">
        <f>IFERROR(__xludf.DUMMYFUNCTION("GOOGLETRANSLATE(A9749,""en"",""pt"")"),"#VALUE!")</f>
        <v>#VALUE!</v>
      </c>
      <c r="G9749" s="69"/>
    </row>
    <row r="9750" ht="22.5" customHeight="1">
      <c r="A9750" s="66"/>
      <c r="B9750" s="67" t="str">
        <f t="shared" si="16"/>
        <v>M: </v>
      </c>
      <c r="C9750" s="68"/>
      <c r="D9750" s="68">
        <v>46724.0</v>
      </c>
      <c r="E9750" s="66">
        <v>8.0</v>
      </c>
      <c r="F9750" s="66" t="str">
        <f>IFERROR(__xludf.DUMMYFUNCTION("GOOGLETRANSLATE(A9750,""en"",""pt"")"),"#VALUE!")</f>
        <v>#VALUE!</v>
      </c>
      <c r="G9750" s="69"/>
    </row>
    <row r="9751" ht="22.5" customHeight="1">
      <c r="A9751" s="66"/>
      <c r="B9751" s="67" t="str">
        <f t="shared" si="16"/>
        <v>M: </v>
      </c>
      <c r="C9751" s="68"/>
      <c r="D9751" s="68">
        <v>46724.0</v>
      </c>
      <c r="E9751" s="66">
        <v>9.0</v>
      </c>
      <c r="F9751" s="66" t="str">
        <f>IFERROR(__xludf.DUMMYFUNCTION("GOOGLETRANSLATE(A9751,""en"",""pt"")"),"#VALUE!")</f>
        <v>#VALUE!</v>
      </c>
      <c r="G9751" s="69"/>
    </row>
    <row r="9752" ht="22.5" customHeight="1">
      <c r="A9752" s="66"/>
      <c r="B9752" s="67" t="str">
        <f t="shared" si="16"/>
        <v>M: </v>
      </c>
      <c r="C9752" s="68"/>
      <c r="D9752" s="68">
        <v>46725.0</v>
      </c>
      <c r="E9752" s="66">
        <v>10.0</v>
      </c>
      <c r="F9752" s="66" t="str">
        <f>IFERROR(__xludf.DUMMYFUNCTION("GOOGLETRANSLATE(A9752,""en"",""pt"")"),"#VALUE!")</f>
        <v>#VALUE!</v>
      </c>
      <c r="G9752" s="69"/>
    </row>
    <row r="9753" ht="22.5" customHeight="1">
      <c r="A9753" s="66"/>
      <c r="B9753" s="67" t="str">
        <f t="shared" si="16"/>
        <v>M: </v>
      </c>
      <c r="C9753" s="68"/>
      <c r="D9753" s="68">
        <v>46725.0</v>
      </c>
      <c r="E9753" s="66">
        <v>1.0</v>
      </c>
      <c r="F9753" s="66" t="str">
        <f>IFERROR(__xludf.DUMMYFUNCTION("GOOGLETRANSLATE(A9753,""en"",""pt"")"),"#VALUE!")</f>
        <v>#VALUE!</v>
      </c>
      <c r="G9753" s="69"/>
    </row>
    <row r="9754" ht="22.5" customHeight="1">
      <c r="A9754" s="66"/>
      <c r="B9754" s="67" t="str">
        <f t="shared" si="16"/>
        <v>M: </v>
      </c>
      <c r="C9754" s="68"/>
      <c r="D9754" s="68">
        <v>46725.0</v>
      </c>
      <c r="E9754" s="66">
        <v>2.0</v>
      </c>
      <c r="F9754" s="66" t="str">
        <f>IFERROR(__xludf.DUMMYFUNCTION("GOOGLETRANSLATE(A9754,""en"",""pt"")"),"#VALUE!")</f>
        <v>#VALUE!</v>
      </c>
      <c r="G9754" s="69"/>
    </row>
    <row r="9755" ht="22.5" customHeight="1">
      <c r="A9755" s="66"/>
      <c r="B9755" s="67" t="str">
        <f t="shared" si="16"/>
        <v>M: </v>
      </c>
      <c r="C9755" s="68"/>
      <c r="D9755" s="68">
        <v>46725.0</v>
      </c>
      <c r="E9755" s="66">
        <v>3.0</v>
      </c>
      <c r="F9755" s="66" t="str">
        <f>IFERROR(__xludf.DUMMYFUNCTION("GOOGLETRANSLATE(A9755,""en"",""pt"")"),"#VALUE!")</f>
        <v>#VALUE!</v>
      </c>
      <c r="G9755" s="69"/>
    </row>
    <row r="9756" ht="22.5" customHeight="1">
      <c r="A9756" s="66"/>
      <c r="B9756" s="67" t="str">
        <f t="shared" si="16"/>
        <v>M: </v>
      </c>
      <c r="C9756" s="68"/>
      <c r="D9756" s="68">
        <v>46725.0</v>
      </c>
      <c r="E9756" s="66">
        <v>4.0</v>
      </c>
      <c r="F9756" s="66" t="str">
        <f>IFERROR(__xludf.DUMMYFUNCTION("GOOGLETRANSLATE(A9756,""en"",""pt"")"),"#VALUE!")</f>
        <v>#VALUE!</v>
      </c>
      <c r="G9756" s="69"/>
    </row>
    <row r="9757" ht="22.5" customHeight="1">
      <c r="A9757" s="66"/>
      <c r="B9757" s="67" t="str">
        <f t="shared" si="16"/>
        <v>M: </v>
      </c>
      <c r="C9757" s="68"/>
      <c r="D9757" s="68">
        <v>46725.0</v>
      </c>
      <c r="E9757" s="66">
        <v>5.0</v>
      </c>
      <c r="F9757" s="66" t="str">
        <f>IFERROR(__xludf.DUMMYFUNCTION("GOOGLETRANSLATE(A9757,""en"",""pt"")"),"#VALUE!")</f>
        <v>#VALUE!</v>
      </c>
      <c r="G9757" s="69"/>
    </row>
    <row r="9758" ht="22.5" customHeight="1">
      <c r="A9758" s="66"/>
      <c r="B9758" s="67" t="str">
        <f t="shared" si="16"/>
        <v>M: </v>
      </c>
      <c r="C9758" s="68"/>
      <c r="D9758" s="68">
        <v>46725.0</v>
      </c>
      <c r="E9758" s="66">
        <v>6.0</v>
      </c>
      <c r="F9758" s="66" t="str">
        <f>IFERROR(__xludf.DUMMYFUNCTION("GOOGLETRANSLATE(A9758,""en"",""pt"")"),"#VALUE!")</f>
        <v>#VALUE!</v>
      </c>
      <c r="G9758" s="69"/>
    </row>
    <row r="9759" ht="22.5" customHeight="1">
      <c r="A9759" s="66"/>
      <c r="B9759" s="67" t="str">
        <f t="shared" si="16"/>
        <v>M: </v>
      </c>
      <c r="C9759" s="68"/>
      <c r="D9759" s="68">
        <v>46725.0</v>
      </c>
      <c r="E9759" s="66">
        <v>7.0</v>
      </c>
      <c r="F9759" s="66" t="str">
        <f>IFERROR(__xludf.DUMMYFUNCTION("GOOGLETRANSLATE(A9759,""en"",""pt"")"),"#VALUE!")</f>
        <v>#VALUE!</v>
      </c>
      <c r="G9759" s="69"/>
    </row>
    <row r="9760" ht="22.5" customHeight="1">
      <c r="A9760" s="66"/>
      <c r="B9760" s="67" t="str">
        <f t="shared" si="16"/>
        <v>M: </v>
      </c>
      <c r="C9760" s="68"/>
      <c r="D9760" s="68">
        <v>46725.0</v>
      </c>
      <c r="E9760" s="66">
        <v>8.0</v>
      </c>
      <c r="F9760" s="66" t="str">
        <f>IFERROR(__xludf.DUMMYFUNCTION("GOOGLETRANSLATE(A9760,""en"",""pt"")"),"#VALUE!")</f>
        <v>#VALUE!</v>
      </c>
      <c r="G9760" s="69"/>
    </row>
    <row r="9761" ht="22.5" customHeight="1">
      <c r="A9761" s="66"/>
      <c r="B9761" s="67" t="str">
        <f t="shared" si="16"/>
        <v>M: </v>
      </c>
      <c r="C9761" s="68"/>
      <c r="D9761" s="68">
        <v>46725.0</v>
      </c>
      <c r="E9761" s="66">
        <v>9.0</v>
      </c>
      <c r="F9761" s="66" t="str">
        <f>IFERROR(__xludf.DUMMYFUNCTION("GOOGLETRANSLATE(A9761,""en"",""pt"")"),"#VALUE!")</f>
        <v>#VALUE!</v>
      </c>
      <c r="G9761" s="69"/>
    </row>
    <row r="9762" ht="22.5" customHeight="1">
      <c r="A9762" s="66"/>
      <c r="B9762" s="67" t="str">
        <f t="shared" si="16"/>
        <v>M: </v>
      </c>
      <c r="C9762" s="68"/>
      <c r="D9762" s="68">
        <v>46726.0</v>
      </c>
      <c r="E9762" s="66">
        <v>10.0</v>
      </c>
      <c r="F9762" s="66" t="str">
        <f>IFERROR(__xludf.DUMMYFUNCTION("GOOGLETRANSLATE(A9762,""en"",""pt"")"),"#VALUE!")</f>
        <v>#VALUE!</v>
      </c>
      <c r="G9762" s="69"/>
    </row>
    <row r="9763" ht="22.5" customHeight="1">
      <c r="A9763" s="66"/>
      <c r="B9763" s="67" t="str">
        <f t="shared" si="16"/>
        <v>M: </v>
      </c>
      <c r="C9763" s="68"/>
      <c r="D9763" s="68">
        <v>46726.0</v>
      </c>
      <c r="E9763" s="66">
        <v>1.0</v>
      </c>
      <c r="F9763" s="66" t="str">
        <f>IFERROR(__xludf.DUMMYFUNCTION("GOOGLETRANSLATE(A9763,""en"",""pt"")"),"#VALUE!")</f>
        <v>#VALUE!</v>
      </c>
      <c r="G9763" s="69"/>
    </row>
    <row r="9764" ht="22.5" customHeight="1">
      <c r="A9764" s="66"/>
      <c r="B9764" s="67" t="str">
        <f t="shared" si="16"/>
        <v>M: </v>
      </c>
      <c r="C9764" s="68"/>
      <c r="D9764" s="68">
        <v>46726.0</v>
      </c>
      <c r="E9764" s="66">
        <v>2.0</v>
      </c>
      <c r="F9764" s="66" t="str">
        <f>IFERROR(__xludf.DUMMYFUNCTION("GOOGLETRANSLATE(A9764,""en"",""pt"")"),"#VALUE!")</f>
        <v>#VALUE!</v>
      </c>
      <c r="G9764" s="69"/>
    </row>
    <row r="9765" ht="22.5" customHeight="1">
      <c r="A9765" s="66"/>
      <c r="B9765" s="67" t="str">
        <f t="shared" si="16"/>
        <v>M: </v>
      </c>
      <c r="C9765" s="68"/>
      <c r="D9765" s="68">
        <v>46726.0</v>
      </c>
      <c r="E9765" s="66">
        <v>3.0</v>
      </c>
      <c r="F9765" s="66" t="str">
        <f>IFERROR(__xludf.DUMMYFUNCTION("GOOGLETRANSLATE(A9765,""en"",""pt"")"),"#VALUE!")</f>
        <v>#VALUE!</v>
      </c>
      <c r="G9765" s="69"/>
    </row>
    <row r="9766" ht="22.5" customHeight="1">
      <c r="A9766" s="66"/>
      <c r="B9766" s="67" t="str">
        <f t="shared" si="16"/>
        <v>M: </v>
      </c>
      <c r="C9766" s="68"/>
      <c r="D9766" s="68">
        <v>46726.0</v>
      </c>
      <c r="E9766" s="66">
        <v>4.0</v>
      </c>
      <c r="F9766" s="66" t="str">
        <f>IFERROR(__xludf.DUMMYFUNCTION("GOOGLETRANSLATE(A9766,""en"",""pt"")"),"#VALUE!")</f>
        <v>#VALUE!</v>
      </c>
      <c r="G9766" s="69"/>
    </row>
    <row r="9767" ht="22.5" customHeight="1">
      <c r="A9767" s="66"/>
      <c r="B9767" s="67" t="str">
        <f t="shared" si="16"/>
        <v>M: </v>
      </c>
      <c r="C9767" s="68"/>
      <c r="D9767" s="68">
        <v>46726.0</v>
      </c>
      <c r="E9767" s="66">
        <v>5.0</v>
      </c>
      <c r="F9767" s="66" t="str">
        <f>IFERROR(__xludf.DUMMYFUNCTION("GOOGLETRANSLATE(A9767,""en"",""pt"")"),"#VALUE!")</f>
        <v>#VALUE!</v>
      </c>
      <c r="G9767" s="69"/>
    </row>
    <row r="9768" ht="22.5" customHeight="1">
      <c r="A9768" s="66"/>
      <c r="B9768" s="67" t="str">
        <f t="shared" si="16"/>
        <v>M: </v>
      </c>
      <c r="C9768" s="68"/>
      <c r="D9768" s="68">
        <v>46726.0</v>
      </c>
      <c r="E9768" s="66">
        <v>6.0</v>
      </c>
      <c r="F9768" s="66" t="str">
        <f>IFERROR(__xludf.DUMMYFUNCTION("GOOGLETRANSLATE(A9768,""en"",""pt"")"),"#VALUE!")</f>
        <v>#VALUE!</v>
      </c>
      <c r="G9768" s="69"/>
    </row>
    <row r="9769" ht="22.5" customHeight="1">
      <c r="A9769" s="66"/>
      <c r="B9769" s="67" t="str">
        <f t="shared" si="16"/>
        <v>M: </v>
      </c>
      <c r="C9769" s="68"/>
      <c r="D9769" s="68">
        <v>46726.0</v>
      </c>
      <c r="E9769" s="66">
        <v>7.0</v>
      </c>
      <c r="F9769" s="66" t="str">
        <f>IFERROR(__xludf.DUMMYFUNCTION("GOOGLETRANSLATE(A9769,""en"",""pt"")"),"#VALUE!")</f>
        <v>#VALUE!</v>
      </c>
      <c r="G9769" s="69"/>
    </row>
    <row r="9770" ht="22.5" customHeight="1">
      <c r="A9770" s="66"/>
      <c r="B9770" s="67" t="str">
        <f t="shared" si="16"/>
        <v>M: </v>
      </c>
      <c r="C9770" s="68"/>
      <c r="D9770" s="68">
        <v>46726.0</v>
      </c>
      <c r="E9770" s="66">
        <v>8.0</v>
      </c>
      <c r="F9770" s="66" t="str">
        <f>IFERROR(__xludf.DUMMYFUNCTION("GOOGLETRANSLATE(A9770,""en"",""pt"")"),"#VALUE!")</f>
        <v>#VALUE!</v>
      </c>
      <c r="G9770" s="69"/>
    </row>
    <row r="9771" ht="22.5" customHeight="1">
      <c r="A9771" s="66"/>
      <c r="B9771" s="67" t="str">
        <f t="shared" si="16"/>
        <v>M: </v>
      </c>
      <c r="C9771" s="68"/>
      <c r="D9771" s="68">
        <v>46726.0</v>
      </c>
      <c r="E9771" s="66">
        <v>9.0</v>
      </c>
      <c r="F9771" s="66" t="str">
        <f>IFERROR(__xludf.DUMMYFUNCTION("GOOGLETRANSLATE(A9771,""en"",""pt"")"),"#VALUE!")</f>
        <v>#VALUE!</v>
      </c>
      <c r="G9771" s="69"/>
    </row>
    <row r="9772" ht="22.5" customHeight="1">
      <c r="A9772" s="66"/>
      <c r="B9772" s="67" t="str">
        <f t="shared" si="16"/>
        <v>M: </v>
      </c>
      <c r="C9772" s="68"/>
      <c r="D9772" s="68">
        <v>46727.0</v>
      </c>
      <c r="E9772" s="66">
        <v>10.0</v>
      </c>
      <c r="F9772" s="66" t="str">
        <f>IFERROR(__xludf.DUMMYFUNCTION("GOOGLETRANSLATE(A9772,""en"",""pt"")"),"#VALUE!")</f>
        <v>#VALUE!</v>
      </c>
      <c r="G9772" s="69"/>
    </row>
    <row r="9773" ht="22.5" customHeight="1">
      <c r="A9773" s="66"/>
      <c r="B9773" s="67" t="str">
        <f t="shared" si="16"/>
        <v>M: </v>
      </c>
      <c r="C9773" s="68"/>
      <c r="D9773" s="68">
        <v>46727.0</v>
      </c>
      <c r="E9773" s="66">
        <v>1.0</v>
      </c>
      <c r="F9773" s="66" t="str">
        <f>IFERROR(__xludf.DUMMYFUNCTION("GOOGLETRANSLATE(A9773,""en"",""pt"")"),"#VALUE!")</f>
        <v>#VALUE!</v>
      </c>
      <c r="G9773" s="69"/>
    </row>
    <row r="9774" ht="22.5" customHeight="1">
      <c r="A9774" s="66"/>
      <c r="B9774" s="67" t="str">
        <f t="shared" si="16"/>
        <v>M: </v>
      </c>
      <c r="C9774" s="68"/>
      <c r="D9774" s="68">
        <v>46727.0</v>
      </c>
      <c r="E9774" s="66">
        <v>2.0</v>
      </c>
      <c r="F9774" s="66" t="str">
        <f>IFERROR(__xludf.DUMMYFUNCTION("GOOGLETRANSLATE(A9774,""en"",""pt"")"),"#VALUE!")</f>
        <v>#VALUE!</v>
      </c>
      <c r="G9774" s="69"/>
    </row>
    <row r="9775" ht="22.5" customHeight="1">
      <c r="A9775" s="66"/>
      <c r="B9775" s="67" t="str">
        <f t="shared" si="16"/>
        <v>M: </v>
      </c>
      <c r="C9775" s="68"/>
      <c r="D9775" s="68">
        <v>46727.0</v>
      </c>
      <c r="E9775" s="66">
        <v>3.0</v>
      </c>
      <c r="F9775" s="66" t="str">
        <f>IFERROR(__xludf.DUMMYFUNCTION("GOOGLETRANSLATE(A9775,""en"",""pt"")"),"#VALUE!")</f>
        <v>#VALUE!</v>
      </c>
      <c r="G9775" s="69"/>
    </row>
    <row r="9776" ht="22.5" customHeight="1">
      <c r="A9776" s="66"/>
      <c r="B9776" s="67" t="str">
        <f t="shared" si="16"/>
        <v>M: </v>
      </c>
      <c r="C9776" s="68"/>
      <c r="D9776" s="68">
        <v>46727.0</v>
      </c>
      <c r="E9776" s="66">
        <v>4.0</v>
      </c>
      <c r="F9776" s="66" t="str">
        <f>IFERROR(__xludf.DUMMYFUNCTION("GOOGLETRANSLATE(A9776,""en"",""pt"")"),"#VALUE!")</f>
        <v>#VALUE!</v>
      </c>
      <c r="G9776" s="69"/>
    </row>
    <row r="9777" ht="22.5" customHeight="1">
      <c r="A9777" s="66"/>
      <c r="B9777" s="67" t="str">
        <f t="shared" si="16"/>
        <v>M: </v>
      </c>
      <c r="C9777" s="68"/>
      <c r="D9777" s="68">
        <v>46727.0</v>
      </c>
      <c r="E9777" s="66">
        <v>5.0</v>
      </c>
      <c r="F9777" s="66" t="str">
        <f>IFERROR(__xludf.DUMMYFUNCTION("GOOGLETRANSLATE(A9777,""en"",""pt"")"),"#VALUE!")</f>
        <v>#VALUE!</v>
      </c>
      <c r="G9777" s="69"/>
    </row>
    <row r="9778" ht="22.5" customHeight="1">
      <c r="A9778" s="66"/>
      <c r="B9778" s="67" t="str">
        <f t="shared" si="16"/>
        <v>M: </v>
      </c>
      <c r="C9778" s="68"/>
      <c r="D9778" s="68">
        <v>46727.0</v>
      </c>
      <c r="E9778" s="66">
        <v>6.0</v>
      </c>
      <c r="F9778" s="66" t="str">
        <f>IFERROR(__xludf.DUMMYFUNCTION("GOOGLETRANSLATE(A9778,""en"",""pt"")"),"#VALUE!")</f>
        <v>#VALUE!</v>
      </c>
      <c r="G9778" s="69"/>
    </row>
    <row r="9779" ht="22.5" customHeight="1">
      <c r="A9779" s="66"/>
      <c r="B9779" s="67" t="str">
        <f t="shared" si="16"/>
        <v>M: </v>
      </c>
      <c r="C9779" s="68"/>
      <c r="D9779" s="68">
        <v>46727.0</v>
      </c>
      <c r="E9779" s="66">
        <v>7.0</v>
      </c>
      <c r="F9779" s="66" t="str">
        <f>IFERROR(__xludf.DUMMYFUNCTION("GOOGLETRANSLATE(A9779,""en"",""pt"")"),"#VALUE!")</f>
        <v>#VALUE!</v>
      </c>
      <c r="G9779" s="69"/>
    </row>
    <row r="9780" ht="22.5" customHeight="1">
      <c r="A9780" s="66"/>
      <c r="B9780" s="67" t="str">
        <f t="shared" si="16"/>
        <v>M: </v>
      </c>
      <c r="C9780" s="68"/>
      <c r="D9780" s="68">
        <v>46727.0</v>
      </c>
      <c r="E9780" s="66">
        <v>8.0</v>
      </c>
      <c r="F9780" s="66" t="str">
        <f>IFERROR(__xludf.DUMMYFUNCTION("GOOGLETRANSLATE(A9780,""en"",""pt"")"),"#VALUE!")</f>
        <v>#VALUE!</v>
      </c>
      <c r="G9780" s="69"/>
    </row>
    <row r="9781" ht="22.5" customHeight="1">
      <c r="A9781" s="66"/>
      <c r="B9781" s="67" t="str">
        <f t="shared" si="16"/>
        <v>M: </v>
      </c>
      <c r="C9781" s="68"/>
      <c r="D9781" s="68">
        <v>46727.0</v>
      </c>
      <c r="E9781" s="66">
        <v>9.0</v>
      </c>
      <c r="F9781" s="66" t="str">
        <f>IFERROR(__xludf.DUMMYFUNCTION("GOOGLETRANSLATE(A9781,""en"",""pt"")"),"#VALUE!")</f>
        <v>#VALUE!</v>
      </c>
      <c r="G9781" s="69"/>
    </row>
    <row r="9782" ht="22.5" customHeight="1">
      <c r="A9782" s="66"/>
      <c r="B9782" s="67" t="str">
        <f t="shared" si="16"/>
        <v>M: </v>
      </c>
      <c r="C9782" s="68"/>
      <c r="D9782" s="68">
        <v>46728.0</v>
      </c>
      <c r="E9782" s="66">
        <v>10.0</v>
      </c>
      <c r="F9782" s="66" t="str">
        <f>IFERROR(__xludf.DUMMYFUNCTION("GOOGLETRANSLATE(A9782,""en"",""pt"")"),"#VALUE!")</f>
        <v>#VALUE!</v>
      </c>
      <c r="G9782" s="69"/>
    </row>
    <row r="9783" ht="22.5" customHeight="1">
      <c r="A9783" s="66"/>
      <c r="B9783" s="67" t="str">
        <f t="shared" si="16"/>
        <v>M: </v>
      </c>
      <c r="C9783" s="68"/>
      <c r="D9783" s="68">
        <v>46728.0</v>
      </c>
      <c r="E9783" s="66">
        <v>1.0</v>
      </c>
      <c r="F9783" s="66" t="str">
        <f>IFERROR(__xludf.DUMMYFUNCTION("GOOGLETRANSLATE(A9783,""en"",""pt"")"),"#VALUE!")</f>
        <v>#VALUE!</v>
      </c>
      <c r="G9783" s="69"/>
    </row>
    <row r="9784" ht="22.5" customHeight="1">
      <c r="A9784" s="66"/>
      <c r="B9784" s="67" t="str">
        <f t="shared" si="16"/>
        <v>M: </v>
      </c>
      <c r="C9784" s="68"/>
      <c r="D9784" s="68">
        <v>46728.0</v>
      </c>
      <c r="E9784" s="66">
        <v>2.0</v>
      </c>
      <c r="F9784" s="66" t="str">
        <f>IFERROR(__xludf.DUMMYFUNCTION("GOOGLETRANSLATE(A9784,""en"",""pt"")"),"#VALUE!")</f>
        <v>#VALUE!</v>
      </c>
      <c r="G9784" s="69"/>
    </row>
    <row r="9785" ht="22.5" customHeight="1">
      <c r="A9785" s="66"/>
      <c r="B9785" s="67" t="str">
        <f t="shared" si="16"/>
        <v>M: </v>
      </c>
      <c r="C9785" s="68"/>
      <c r="D9785" s="68">
        <v>46728.0</v>
      </c>
      <c r="E9785" s="66">
        <v>3.0</v>
      </c>
      <c r="F9785" s="66" t="str">
        <f>IFERROR(__xludf.DUMMYFUNCTION("GOOGLETRANSLATE(A9785,""en"",""pt"")"),"#VALUE!")</f>
        <v>#VALUE!</v>
      </c>
      <c r="G9785" s="69"/>
    </row>
    <row r="9786" ht="22.5" customHeight="1">
      <c r="A9786" s="66"/>
      <c r="B9786" s="67" t="str">
        <f t="shared" si="16"/>
        <v>M: </v>
      </c>
      <c r="C9786" s="68"/>
      <c r="D9786" s="68">
        <v>46728.0</v>
      </c>
      <c r="E9786" s="66">
        <v>4.0</v>
      </c>
      <c r="F9786" s="66" t="str">
        <f>IFERROR(__xludf.DUMMYFUNCTION("GOOGLETRANSLATE(A9786,""en"",""pt"")"),"#VALUE!")</f>
        <v>#VALUE!</v>
      </c>
      <c r="G9786" s="69"/>
    </row>
    <row r="9787" ht="22.5" customHeight="1">
      <c r="A9787" s="66"/>
      <c r="B9787" s="67" t="str">
        <f t="shared" si="16"/>
        <v>M: </v>
      </c>
      <c r="C9787" s="68"/>
      <c r="D9787" s="68">
        <v>46728.0</v>
      </c>
      <c r="E9787" s="66">
        <v>5.0</v>
      </c>
      <c r="F9787" s="66" t="str">
        <f>IFERROR(__xludf.DUMMYFUNCTION("GOOGLETRANSLATE(A9787,""en"",""pt"")"),"#VALUE!")</f>
        <v>#VALUE!</v>
      </c>
      <c r="G9787" s="69"/>
    </row>
    <row r="9788" ht="22.5" customHeight="1">
      <c r="A9788" s="66"/>
      <c r="B9788" s="67" t="str">
        <f t="shared" si="16"/>
        <v>M: </v>
      </c>
      <c r="C9788" s="68"/>
      <c r="D9788" s="68">
        <v>46728.0</v>
      </c>
      <c r="E9788" s="66">
        <v>6.0</v>
      </c>
      <c r="F9788" s="66" t="str">
        <f>IFERROR(__xludf.DUMMYFUNCTION("GOOGLETRANSLATE(A9788,""en"",""pt"")"),"#VALUE!")</f>
        <v>#VALUE!</v>
      </c>
      <c r="G9788" s="69"/>
    </row>
    <row r="9789" ht="22.5" customHeight="1">
      <c r="A9789" s="66"/>
      <c r="B9789" s="67" t="str">
        <f t="shared" si="16"/>
        <v>M: </v>
      </c>
      <c r="C9789" s="68"/>
      <c r="D9789" s="68">
        <v>46728.0</v>
      </c>
      <c r="E9789" s="66">
        <v>7.0</v>
      </c>
      <c r="F9789" s="66" t="str">
        <f>IFERROR(__xludf.DUMMYFUNCTION("GOOGLETRANSLATE(A9789,""en"",""pt"")"),"#VALUE!")</f>
        <v>#VALUE!</v>
      </c>
      <c r="G9789" s="69"/>
    </row>
    <row r="9790" ht="22.5" customHeight="1">
      <c r="A9790" s="66"/>
      <c r="B9790" s="67" t="str">
        <f t="shared" si="16"/>
        <v>M: </v>
      </c>
      <c r="C9790" s="68"/>
      <c r="D9790" s="68">
        <v>46728.0</v>
      </c>
      <c r="E9790" s="66">
        <v>8.0</v>
      </c>
      <c r="F9790" s="66" t="str">
        <f>IFERROR(__xludf.DUMMYFUNCTION("GOOGLETRANSLATE(A9790,""en"",""pt"")"),"#VALUE!")</f>
        <v>#VALUE!</v>
      </c>
      <c r="G9790" s="69"/>
    </row>
    <row r="9791" ht="22.5" customHeight="1">
      <c r="A9791" s="66"/>
      <c r="B9791" s="67" t="str">
        <f t="shared" si="16"/>
        <v>M: </v>
      </c>
      <c r="C9791" s="68"/>
      <c r="D9791" s="68">
        <v>46728.0</v>
      </c>
      <c r="E9791" s="66">
        <v>9.0</v>
      </c>
      <c r="F9791" s="66" t="str">
        <f>IFERROR(__xludf.DUMMYFUNCTION("GOOGLETRANSLATE(A9791,""en"",""pt"")"),"#VALUE!")</f>
        <v>#VALUE!</v>
      </c>
      <c r="G9791" s="69"/>
    </row>
    <row r="9792" ht="22.5" customHeight="1">
      <c r="A9792" s="66"/>
      <c r="B9792" s="67" t="str">
        <f t="shared" si="16"/>
        <v>M: </v>
      </c>
      <c r="C9792" s="68"/>
      <c r="D9792" s="68">
        <v>46729.0</v>
      </c>
      <c r="E9792" s="66">
        <v>10.0</v>
      </c>
      <c r="F9792" s="66" t="str">
        <f>IFERROR(__xludf.DUMMYFUNCTION("GOOGLETRANSLATE(A9792,""en"",""pt"")"),"#VALUE!")</f>
        <v>#VALUE!</v>
      </c>
      <c r="G9792" s="69"/>
    </row>
    <row r="9793" ht="22.5" customHeight="1">
      <c r="A9793" s="66"/>
      <c r="B9793" s="67" t="str">
        <f t="shared" si="16"/>
        <v>M: </v>
      </c>
      <c r="C9793" s="68"/>
      <c r="D9793" s="68">
        <v>46729.0</v>
      </c>
      <c r="E9793" s="66">
        <v>1.0</v>
      </c>
      <c r="F9793" s="66" t="str">
        <f>IFERROR(__xludf.DUMMYFUNCTION("GOOGLETRANSLATE(A9793,""en"",""pt"")"),"#VALUE!")</f>
        <v>#VALUE!</v>
      </c>
      <c r="G9793" s="69"/>
    </row>
    <row r="9794" ht="22.5" customHeight="1">
      <c r="A9794" s="66"/>
      <c r="B9794" s="67" t="str">
        <f t="shared" si="16"/>
        <v>M: </v>
      </c>
      <c r="C9794" s="68"/>
      <c r="D9794" s="68">
        <v>46729.0</v>
      </c>
      <c r="E9794" s="66">
        <v>2.0</v>
      </c>
      <c r="F9794" s="66" t="str">
        <f>IFERROR(__xludf.DUMMYFUNCTION("GOOGLETRANSLATE(A9794,""en"",""pt"")"),"#VALUE!")</f>
        <v>#VALUE!</v>
      </c>
      <c r="G9794" s="69"/>
    </row>
    <row r="9795" ht="22.5" customHeight="1">
      <c r="A9795" s="66"/>
      <c r="B9795" s="67" t="str">
        <f t="shared" si="16"/>
        <v>M: </v>
      </c>
      <c r="C9795" s="68"/>
      <c r="D9795" s="68">
        <v>46729.0</v>
      </c>
      <c r="E9795" s="66">
        <v>3.0</v>
      </c>
      <c r="F9795" s="66" t="str">
        <f>IFERROR(__xludf.DUMMYFUNCTION("GOOGLETRANSLATE(A9795,""en"",""pt"")"),"#VALUE!")</f>
        <v>#VALUE!</v>
      </c>
      <c r="G9795" s="69"/>
    </row>
    <row r="9796" ht="22.5" customHeight="1">
      <c r="A9796" s="66"/>
      <c r="B9796" s="67" t="str">
        <f t="shared" si="16"/>
        <v>M: </v>
      </c>
      <c r="C9796" s="68"/>
      <c r="D9796" s="68">
        <v>46729.0</v>
      </c>
      <c r="E9796" s="66">
        <v>4.0</v>
      </c>
      <c r="F9796" s="66" t="str">
        <f>IFERROR(__xludf.DUMMYFUNCTION("GOOGLETRANSLATE(A9796,""en"",""pt"")"),"#VALUE!")</f>
        <v>#VALUE!</v>
      </c>
      <c r="G9796" s="69"/>
    </row>
    <row r="9797" ht="22.5" customHeight="1">
      <c r="A9797" s="66"/>
      <c r="B9797" s="67" t="str">
        <f t="shared" si="16"/>
        <v>M: </v>
      </c>
      <c r="C9797" s="68"/>
      <c r="D9797" s="68">
        <v>46729.0</v>
      </c>
      <c r="E9797" s="66">
        <v>5.0</v>
      </c>
      <c r="F9797" s="66" t="str">
        <f>IFERROR(__xludf.DUMMYFUNCTION("GOOGLETRANSLATE(A9797,""en"",""pt"")"),"#VALUE!")</f>
        <v>#VALUE!</v>
      </c>
      <c r="G9797" s="69"/>
    </row>
    <row r="9798" ht="22.5" customHeight="1">
      <c r="A9798" s="66"/>
      <c r="B9798" s="67" t="str">
        <f t="shared" si="16"/>
        <v>M: </v>
      </c>
      <c r="C9798" s="68"/>
      <c r="D9798" s="68">
        <v>46729.0</v>
      </c>
      <c r="E9798" s="66">
        <v>6.0</v>
      </c>
      <c r="F9798" s="66" t="str">
        <f>IFERROR(__xludf.DUMMYFUNCTION("GOOGLETRANSLATE(A9798,""en"",""pt"")"),"#VALUE!")</f>
        <v>#VALUE!</v>
      </c>
      <c r="G9798" s="69"/>
    </row>
    <row r="9799" ht="22.5" customHeight="1">
      <c r="A9799" s="66"/>
      <c r="B9799" s="67" t="str">
        <f t="shared" si="16"/>
        <v>M: </v>
      </c>
      <c r="C9799" s="68"/>
      <c r="D9799" s="68">
        <v>46729.0</v>
      </c>
      <c r="E9799" s="66">
        <v>7.0</v>
      </c>
      <c r="F9799" s="66" t="str">
        <f>IFERROR(__xludf.DUMMYFUNCTION("GOOGLETRANSLATE(A9799,""en"",""pt"")"),"#VALUE!")</f>
        <v>#VALUE!</v>
      </c>
      <c r="G9799" s="69"/>
    </row>
    <row r="9800" ht="22.5" customHeight="1">
      <c r="A9800" s="66"/>
      <c r="B9800" s="67" t="str">
        <f t="shared" si="16"/>
        <v>M: </v>
      </c>
      <c r="C9800" s="68"/>
      <c r="D9800" s="68">
        <v>46729.0</v>
      </c>
      <c r="E9800" s="66">
        <v>8.0</v>
      </c>
      <c r="F9800" s="66" t="str">
        <f>IFERROR(__xludf.DUMMYFUNCTION("GOOGLETRANSLATE(A9800,""en"",""pt"")"),"#VALUE!")</f>
        <v>#VALUE!</v>
      </c>
      <c r="G9800" s="69"/>
    </row>
    <row r="9801" ht="22.5" customHeight="1">
      <c r="A9801" s="66"/>
      <c r="B9801" s="67" t="str">
        <f t="shared" si="16"/>
        <v>M: </v>
      </c>
      <c r="C9801" s="68"/>
      <c r="D9801" s="68">
        <v>46729.0</v>
      </c>
      <c r="E9801" s="66">
        <v>9.0</v>
      </c>
      <c r="F9801" s="66" t="str">
        <f>IFERROR(__xludf.DUMMYFUNCTION("GOOGLETRANSLATE(A9801,""en"",""pt"")"),"#VALUE!")</f>
        <v>#VALUE!</v>
      </c>
      <c r="G9801" s="69"/>
    </row>
    <row r="9802" ht="22.5" customHeight="1">
      <c r="A9802" s="66"/>
      <c r="B9802" s="67" t="str">
        <f t="shared" si="16"/>
        <v>M: </v>
      </c>
      <c r="C9802" s="68"/>
      <c r="D9802" s="68">
        <v>46730.0</v>
      </c>
      <c r="E9802" s="66">
        <v>10.0</v>
      </c>
      <c r="F9802" s="66" t="str">
        <f>IFERROR(__xludf.DUMMYFUNCTION("GOOGLETRANSLATE(A9802,""en"",""pt"")"),"#VALUE!")</f>
        <v>#VALUE!</v>
      </c>
      <c r="G9802" s="69"/>
    </row>
    <row r="9803" ht="22.5" customHeight="1">
      <c r="A9803" s="66"/>
      <c r="B9803" s="67" t="str">
        <f t="shared" si="16"/>
        <v>M: </v>
      </c>
      <c r="C9803" s="68"/>
      <c r="D9803" s="68">
        <v>46730.0</v>
      </c>
      <c r="E9803" s="66">
        <v>1.0</v>
      </c>
      <c r="F9803" s="66" t="str">
        <f>IFERROR(__xludf.DUMMYFUNCTION("GOOGLETRANSLATE(A9803,""en"",""pt"")"),"#VALUE!")</f>
        <v>#VALUE!</v>
      </c>
      <c r="G9803" s="69"/>
    </row>
    <row r="9804" ht="22.5" customHeight="1">
      <c r="A9804" s="66"/>
      <c r="B9804" s="67" t="str">
        <f t="shared" si="16"/>
        <v>M: </v>
      </c>
      <c r="C9804" s="68"/>
      <c r="D9804" s="68">
        <v>46730.0</v>
      </c>
      <c r="E9804" s="66">
        <v>2.0</v>
      </c>
      <c r="F9804" s="66" t="str">
        <f>IFERROR(__xludf.DUMMYFUNCTION("GOOGLETRANSLATE(A9804,""en"",""pt"")"),"#VALUE!")</f>
        <v>#VALUE!</v>
      </c>
      <c r="G9804" s="69"/>
    </row>
    <row r="9805" ht="22.5" customHeight="1">
      <c r="A9805" s="66"/>
      <c r="B9805" s="67" t="str">
        <f t="shared" si="16"/>
        <v>M: </v>
      </c>
      <c r="C9805" s="68"/>
      <c r="D9805" s="68">
        <v>46730.0</v>
      </c>
      <c r="E9805" s="66">
        <v>3.0</v>
      </c>
      <c r="F9805" s="66" t="str">
        <f>IFERROR(__xludf.DUMMYFUNCTION("GOOGLETRANSLATE(A9805,""en"",""pt"")"),"#VALUE!")</f>
        <v>#VALUE!</v>
      </c>
      <c r="G9805" s="69"/>
    </row>
    <row r="9806" ht="22.5" customHeight="1">
      <c r="A9806" s="66"/>
      <c r="B9806" s="67" t="str">
        <f t="shared" si="16"/>
        <v>M: </v>
      </c>
      <c r="C9806" s="68"/>
      <c r="D9806" s="68">
        <v>46730.0</v>
      </c>
      <c r="E9806" s="66">
        <v>4.0</v>
      </c>
      <c r="F9806" s="66" t="str">
        <f>IFERROR(__xludf.DUMMYFUNCTION("GOOGLETRANSLATE(A9806,""en"",""pt"")"),"#VALUE!")</f>
        <v>#VALUE!</v>
      </c>
      <c r="G9806" s="69"/>
    </row>
    <row r="9807" ht="22.5" customHeight="1">
      <c r="A9807" s="66"/>
      <c r="B9807" s="67" t="str">
        <f t="shared" si="16"/>
        <v>M: </v>
      </c>
      <c r="C9807" s="68"/>
      <c r="D9807" s="68">
        <v>46730.0</v>
      </c>
      <c r="E9807" s="66">
        <v>5.0</v>
      </c>
      <c r="F9807" s="66" t="str">
        <f>IFERROR(__xludf.DUMMYFUNCTION("GOOGLETRANSLATE(A9807,""en"",""pt"")"),"#VALUE!")</f>
        <v>#VALUE!</v>
      </c>
      <c r="G9807" s="69"/>
    </row>
    <row r="9808" ht="22.5" customHeight="1">
      <c r="A9808" s="66"/>
      <c r="B9808" s="67" t="str">
        <f t="shared" si="16"/>
        <v>M: </v>
      </c>
      <c r="C9808" s="68"/>
      <c r="D9808" s="68">
        <v>46730.0</v>
      </c>
      <c r="E9808" s="66">
        <v>6.0</v>
      </c>
      <c r="F9808" s="66" t="str">
        <f>IFERROR(__xludf.DUMMYFUNCTION("GOOGLETRANSLATE(A9808,""en"",""pt"")"),"#VALUE!")</f>
        <v>#VALUE!</v>
      </c>
      <c r="G9808" s="69"/>
    </row>
    <row r="9809" ht="22.5" customHeight="1">
      <c r="A9809" s="66"/>
      <c r="B9809" s="67" t="str">
        <f t="shared" si="16"/>
        <v>M: </v>
      </c>
      <c r="C9809" s="68"/>
      <c r="D9809" s="68">
        <v>46730.0</v>
      </c>
      <c r="E9809" s="66">
        <v>7.0</v>
      </c>
      <c r="F9809" s="66" t="str">
        <f>IFERROR(__xludf.DUMMYFUNCTION("GOOGLETRANSLATE(A9809,""en"",""pt"")"),"#VALUE!")</f>
        <v>#VALUE!</v>
      </c>
      <c r="G9809" s="69"/>
    </row>
    <row r="9810" ht="22.5" customHeight="1">
      <c r="A9810" s="66"/>
      <c r="B9810" s="67" t="str">
        <f t="shared" si="16"/>
        <v>M: </v>
      </c>
      <c r="C9810" s="68"/>
      <c r="D9810" s="68">
        <v>46730.0</v>
      </c>
      <c r="E9810" s="66">
        <v>8.0</v>
      </c>
      <c r="F9810" s="66" t="str">
        <f>IFERROR(__xludf.DUMMYFUNCTION("GOOGLETRANSLATE(A9810,""en"",""pt"")"),"#VALUE!")</f>
        <v>#VALUE!</v>
      </c>
      <c r="G9810" s="69"/>
    </row>
    <row r="9811" ht="22.5" customHeight="1">
      <c r="A9811" s="66"/>
      <c r="B9811" s="67" t="str">
        <f t="shared" si="16"/>
        <v>M: </v>
      </c>
      <c r="C9811" s="68"/>
      <c r="D9811" s="68">
        <v>46730.0</v>
      </c>
      <c r="E9811" s="66">
        <v>9.0</v>
      </c>
      <c r="F9811" s="66" t="str">
        <f>IFERROR(__xludf.DUMMYFUNCTION("GOOGLETRANSLATE(A9811,""en"",""pt"")"),"#VALUE!")</f>
        <v>#VALUE!</v>
      </c>
      <c r="G9811" s="69"/>
    </row>
    <row r="9812" ht="22.5" customHeight="1">
      <c r="A9812" s="66"/>
      <c r="B9812" s="67" t="str">
        <f t="shared" si="16"/>
        <v>M: </v>
      </c>
      <c r="C9812" s="68"/>
      <c r="D9812" s="68">
        <v>46731.0</v>
      </c>
      <c r="E9812" s="66">
        <v>10.0</v>
      </c>
      <c r="F9812" s="66" t="str">
        <f>IFERROR(__xludf.DUMMYFUNCTION("GOOGLETRANSLATE(A9812,""en"",""pt"")"),"#VALUE!")</f>
        <v>#VALUE!</v>
      </c>
      <c r="G9812" s="69"/>
    </row>
    <row r="9813" ht="22.5" customHeight="1">
      <c r="A9813" s="66"/>
      <c r="B9813" s="67" t="str">
        <f t="shared" si="16"/>
        <v>M: </v>
      </c>
      <c r="C9813" s="68"/>
      <c r="D9813" s="68">
        <v>46731.0</v>
      </c>
      <c r="E9813" s="66">
        <v>1.0</v>
      </c>
      <c r="F9813" s="66" t="str">
        <f>IFERROR(__xludf.DUMMYFUNCTION("GOOGLETRANSLATE(A9813,""en"",""pt"")"),"#VALUE!")</f>
        <v>#VALUE!</v>
      </c>
      <c r="G9813" s="69"/>
    </row>
    <row r="9814" ht="22.5" customHeight="1">
      <c r="A9814" s="66"/>
      <c r="B9814" s="67" t="str">
        <f t="shared" si="16"/>
        <v>M: </v>
      </c>
      <c r="C9814" s="68"/>
      <c r="D9814" s="68">
        <v>46731.0</v>
      </c>
      <c r="E9814" s="66">
        <v>2.0</v>
      </c>
      <c r="F9814" s="66" t="str">
        <f>IFERROR(__xludf.DUMMYFUNCTION("GOOGLETRANSLATE(A9814,""en"",""pt"")"),"#VALUE!")</f>
        <v>#VALUE!</v>
      </c>
      <c r="G9814" s="69"/>
    </row>
    <row r="9815" ht="22.5" customHeight="1">
      <c r="A9815" s="66"/>
      <c r="B9815" s="67" t="str">
        <f t="shared" si="16"/>
        <v>M: </v>
      </c>
      <c r="C9815" s="68"/>
      <c r="D9815" s="68">
        <v>46731.0</v>
      </c>
      <c r="E9815" s="66">
        <v>3.0</v>
      </c>
      <c r="F9815" s="66" t="str">
        <f>IFERROR(__xludf.DUMMYFUNCTION("GOOGLETRANSLATE(A9815,""en"",""pt"")"),"#VALUE!")</f>
        <v>#VALUE!</v>
      </c>
      <c r="G9815" s="69"/>
    </row>
    <row r="9816" ht="22.5" customHeight="1">
      <c r="A9816" s="66"/>
      <c r="B9816" s="67" t="str">
        <f t="shared" si="16"/>
        <v>M: </v>
      </c>
      <c r="C9816" s="68"/>
      <c r="D9816" s="68">
        <v>46731.0</v>
      </c>
      <c r="E9816" s="66">
        <v>4.0</v>
      </c>
      <c r="F9816" s="66" t="str">
        <f>IFERROR(__xludf.DUMMYFUNCTION("GOOGLETRANSLATE(A9816,""en"",""pt"")"),"#VALUE!")</f>
        <v>#VALUE!</v>
      </c>
      <c r="G9816" s="69"/>
    </row>
    <row r="9817" ht="22.5" customHeight="1">
      <c r="A9817" s="66"/>
      <c r="B9817" s="67" t="str">
        <f t="shared" si="16"/>
        <v>M: </v>
      </c>
      <c r="C9817" s="68"/>
      <c r="D9817" s="68">
        <v>46731.0</v>
      </c>
      <c r="E9817" s="66">
        <v>5.0</v>
      </c>
      <c r="F9817" s="66" t="str">
        <f>IFERROR(__xludf.DUMMYFUNCTION("GOOGLETRANSLATE(A9817,""en"",""pt"")"),"#VALUE!")</f>
        <v>#VALUE!</v>
      </c>
      <c r="G9817" s="69"/>
    </row>
    <row r="9818" ht="22.5" customHeight="1">
      <c r="A9818" s="66"/>
      <c r="B9818" s="67" t="str">
        <f t="shared" si="16"/>
        <v>M: </v>
      </c>
      <c r="C9818" s="68"/>
      <c r="D9818" s="68">
        <v>46731.0</v>
      </c>
      <c r="E9818" s="66">
        <v>6.0</v>
      </c>
      <c r="F9818" s="66" t="str">
        <f>IFERROR(__xludf.DUMMYFUNCTION("GOOGLETRANSLATE(A9818,""en"",""pt"")"),"#VALUE!")</f>
        <v>#VALUE!</v>
      </c>
      <c r="G9818" s="69"/>
    </row>
    <row r="9819" ht="22.5" customHeight="1">
      <c r="A9819" s="66"/>
      <c r="B9819" s="67" t="str">
        <f t="shared" si="16"/>
        <v>M: </v>
      </c>
      <c r="C9819" s="68"/>
      <c r="D9819" s="68">
        <v>46731.0</v>
      </c>
      <c r="E9819" s="66">
        <v>7.0</v>
      </c>
      <c r="F9819" s="66" t="str">
        <f>IFERROR(__xludf.DUMMYFUNCTION("GOOGLETRANSLATE(A9819,""en"",""pt"")"),"#VALUE!")</f>
        <v>#VALUE!</v>
      </c>
      <c r="G9819" s="69"/>
    </row>
    <row r="9820" ht="22.5" customHeight="1">
      <c r="A9820" s="66"/>
      <c r="B9820" s="67" t="str">
        <f t="shared" si="16"/>
        <v>M: </v>
      </c>
      <c r="C9820" s="68"/>
      <c r="D9820" s="68">
        <v>46731.0</v>
      </c>
      <c r="E9820" s="66">
        <v>8.0</v>
      </c>
      <c r="F9820" s="66" t="str">
        <f>IFERROR(__xludf.DUMMYFUNCTION("GOOGLETRANSLATE(A9820,""en"",""pt"")"),"#VALUE!")</f>
        <v>#VALUE!</v>
      </c>
      <c r="G9820" s="69"/>
    </row>
    <row r="9821" ht="22.5" customHeight="1">
      <c r="A9821" s="66"/>
      <c r="B9821" s="67" t="str">
        <f t="shared" si="16"/>
        <v>M: </v>
      </c>
      <c r="C9821" s="68"/>
      <c r="D9821" s="68">
        <v>46731.0</v>
      </c>
      <c r="E9821" s="66">
        <v>9.0</v>
      </c>
      <c r="F9821" s="66" t="str">
        <f>IFERROR(__xludf.DUMMYFUNCTION("GOOGLETRANSLATE(A9821,""en"",""pt"")"),"#VALUE!")</f>
        <v>#VALUE!</v>
      </c>
      <c r="G9821" s="69"/>
    </row>
    <row r="9822" ht="22.5" customHeight="1">
      <c r="A9822" s="66"/>
      <c r="B9822" s="67" t="str">
        <f t="shared" si="16"/>
        <v>M: </v>
      </c>
      <c r="C9822" s="68"/>
      <c r="D9822" s="68">
        <v>46732.0</v>
      </c>
      <c r="E9822" s="66">
        <v>10.0</v>
      </c>
      <c r="F9822" s="66" t="str">
        <f>IFERROR(__xludf.DUMMYFUNCTION("GOOGLETRANSLATE(A9822,""en"",""pt"")"),"#VALUE!")</f>
        <v>#VALUE!</v>
      </c>
      <c r="G9822" s="69"/>
    </row>
    <row r="9823" ht="22.5" customHeight="1">
      <c r="A9823" s="66"/>
      <c r="B9823" s="67" t="str">
        <f t="shared" si="16"/>
        <v>M: </v>
      </c>
      <c r="C9823" s="68"/>
      <c r="D9823" s="68">
        <v>46732.0</v>
      </c>
      <c r="E9823" s="66">
        <v>1.0</v>
      </c>
      <c r="F9823" s="66" t="str">
        <f>IFERROR(__xludf.DUMMYFUNCTION("GOOGLETRANSLATE(A9823,""en"",""pt"")"),"#VALUE!")</f>
        <v>#VALUE!</v>
      </c>
      <c r="G9823" s="69"/>
    </row>
    <row r="9824" ht="22.5" customHeight="1">
      <c r="A9824" s="66"/>
      <c r="B9824" s="67" t="str">
        <f t="shared" si="16"/>
        <v>M: </v>
      </c>
      <c r="C9824" s="68"/>
      <c r="D9824" s="68">
        <v>46732.0</v>
      </c>
      <c r="E9824" s="66">
        <v>2.0</v>
      </c>
      <c r="F9824" s="66" t="str">
        <f>IFERROR(__xludf.DUMMYFUNCTION("GOOGLETRANSLATE(A9824,""en"",""pt"")"),"#VALUE!")</f>
        <v>#VALUE!</v>
      </c>
      <c r="G9824" s="69"/>
    </row>
    <row r="9825" ht="22.5" customHeight="1">
      <c r="A9825" s="66"/>
      <c r="B9825" s="67" t="str">
        <f t="shared" si="16"/>
        <v>M: </v>
      </c>
      <c r="C9825" s="68"/>
      <c r="D9825" s="68">
        <v>46732.0</v>
      </c>
      <c r="E9825" s="66">
        <v>3.0</v>
      </c>
      <c r="F9825" s="66" t="str">
        <f>IFERROR(__xludf.DUMMYFUNCTION("GOOGLETRANSLATE(A9825,""en"",""pt"")"),"#VALUE!")</f>
        <v>#VALUE!</v>
      </c>
      <c r="G9825" s="69"/>
    </row>
    <row r="9826" ht="22.5" customHeight="1">
      <c r="A9826" s="66"/>
      <c r="B9826" s="67" t="str">
        <f t="shared" si="16"/>
        <v>M: </v>
      </c>
      <c r="C9826" s="68"/>
      <c r="D9826" s="68">
        <v>46732.0</v>
      </c>
      <c r="E9826" s="66">
        <v>4.0</v>
      </c>
      <c r="F9826" s="66" t="str">
        <f>IFERROR(__xludf.DUMMYFUNCTION("GOOGLETRANSLATE(A9826,""en"",""pt"")"),"#VALUE!")</f>
        <v>#VALUE!</v>
      </c>
      <c r="G9826" s="69"/>
    </row>
    <row r="9827" ht="22.5" customHeight="1">
      <c r="A9827" s="66"/>
      <c r="B9827" s="67" t="str">
        <f t="shared" si="16"/>
        <v>M: </v>
      </c>
      <c r="C9827" s="68"/>
      <c r="D9827" s="68">
        <v>46732.0</v>
      </c>
      <c r="E9827" s="66">
        <v>5.0</v>
      </c>
      <c r="F9827" s="66" t="str">
        <f>IFERROR(__xludf.DUMMYFUNCTION("GOOGLETRANSLATE(A9827,""en"",""pt"")"),"#VALUE!")</f>
        <v>#VALUE!</v>
      </c>
      <c r="G9827" s="69"/>
    </row>
    <row r="9828" ht="22.5" customHeight="1">
      <c r="A9828" s="66"/>
      <c r="B9828" s="67" t="str">
        <f t="shared" si="16"/>
        <v>M: </v>
      </c>
      <c r="C9828" s="68"/>
      <c r="D9828" s="68">
        <v>46732.0</v>
      </c>
      <c r="E9828" s="66">
        <v>6.0</v>
      </c>
      <c r="F9828" s="66" t="str">
        <f>IFERROR(__xludf.DUMMYFUNCTION("GOOGLETRANSLATE(A9828,""en"",""pt"")"),"#VALUE!")</f>
        <v>#VALUE!</v>
      </c>
      <c r="G9828" s="69"/>
    </row>
    <row r="9829" ht="22.5" customHeight="1">
      <c r="A9829" s="66"/>
      <c r="B9829" s="67" t="str">
        <f t="shared" si="16"/>
        <v>M: </v>
      </c>
      <c r="C9829" s="68"/>
      <c r="D9829" s="68">
        <v>46732.0</v>
      </c>
      <c r="E9829" s="66">
        <v>7.0</v>
      </c>
      <c r="F9829" s="66" t="str">
        <f>IFERROR(__xludf.DUMMYFUNCTION("GOOGLETRANSLATE(A9829,""en"",""pt"")"),"#VALUE!")</f>
        <v>#VALUE!</v>
      </c>
      <c r="G9829" s="69"/>
    </row>
    <row r="9830" ht="22.5" customHeight="1">
      <c r="A9830" s="66"/>
      <c r="B9830" s="67" t="str">
        <f t="shared" si="16"/>
        <v>M: </v>
      </c>
      <c r="C9830" s="68"/>
      <c r="D9830" s="68">
        <v>46732.0</v>
      </c>
      <c r="E9830" s="66">
        <v>8.0</v>
      </c>
      <c r="F9830" s="66" t="str">
        <f>IFERROR(__xludf.DUMMYFUNCTION("GOOGLETRANSLATE(A9830,""en"",""pt"")"),"#VALUE!")</f>
        <v>#VALUE!</v>
      </c>
      <c r="G9830" s="69"/>
    </row>
    <row r="9831" ht="22.5" customHeight="1">
      <c r="A9831" s="66"/>
      <c r="B9831" s="67" t="str">
        <f t="shared" si="16"/>
        <v>M: </v>
      </c>
      <c r="C9831" s="68"/>
      <c r="D9831" s="68">
        <v>46732.0</v>
      </c>
      <c r="E9831" s="66">
        <v>9.0</v>
      </c>
      <c r="F9831" s="66" t="str">
        <f>IFERROR(__xludf.DUMMYFUNCTION("GOOGLETRANSLATE(A9831,""en"",""pt"")"),"#VALUE!")</f>
        <v>#VALUE!</v>
      </c>
      <c r="G9831" s="69"/>
    </row>
    <row r="9832" ht="22.5" customHeight="1">
      <c r="A9832" s="66"/>
      <c r="B9832" s="67" t="str">
        <f t="shared" si="16"/>
        <v>M: </v>
      </c>
      <c r="C9832" s="68"/>
      <c r="D9832" s="68">
        <v>46733.0</v>
      </c>
      <c r="E9832" s="66">
        <v>10.0</v>
      </c>
      <c r="F9832" s="66" t="str">
        <f>IFERROR(__xludf.DUMMYFUNCTION("GOOGLETRANSLATE(A9832,""en"",""pt"")"),"#VALUE!")</f>
        <v>#VALUE!</v>
      </c>
      <c r="G9832" s="69"/>
    </row>
    <row r="9833" ht="22.5" customHeight="1">
      <c r="A9833" s="66"/>
      <c r="B9833" s="67" t="str">
        <f t="shared" si="16"/>
        <v>M: </v>
      </c>
      <c r="C9833" s="68"/>
      <c r="D9833" s="68">
        <v>46733.0</v>
      </c>
      <c r="E9833" s="66">
        <v>1.0</v>
      </c>
      <c r="F9833" s="66" t="str">
        <f>IFERROR(__xludf.DUMMYFUNCTION("GOOGLETRANSLATE(A9833,""en"",""pt"")"),"#VALUE!")</f>
        <v>#VALUE!</v>
      </c>
      <c r="G9833" s="69"/>
    </row>
    <row r="9834" ht="22.5" customHeight="1">
      <c r="A9834" s="66"/>
      <c r="B9834" s="67" t="str">
        <f t="shared" si="16"/>
        <v>M: </v>
      </c>
      <c r="C9834" s="68"/>
      <c r="D9834" s="68">
        <v>46733.0</v>
      </c>
      <c r="E9834" s="66">
        <v>2.0</v>
      </c>
      <c r="F9834" s="66" t="str">
        <f>IFERROR(__xludf.DUMMYFUNCTION("GOOGLETRANSLATE(A9834,""en"",""pt"")"),"#VALUE!")</f>
        <v>#VALUE!</v>
      </c>
      <c r="G9834" s="69"/>
    </row>
    <row r="9835" ht="22.5" customHeight="1">
      <c r="A9835" s="66"/>
      <c r="B9835" s="67" t="str">
        <f t="shared" si="16"/>
        <v>M: </v>
      </c>
      <c r="C9835" s="68"/>
      <c r="D9835" s="68">
        <v>46733.0</v>
      </c>
      <c r="E9835" s="66">
        <v>3.0</v>
      </c>
      <c r="F9835" s="66" t="str">
        <f>IFERROR(__xludf.DUMMYFUNCTION("GOOGLETRANSLATE(A9835,""en"",""pt"")"),"#VALUE!")</f>
        <v>#VALUE!</v>
      </c>
      <c r="G9835" s="69"/>
    </row>
    <row r="9836" ht="22.5" customHeight="1">
      <c r="A9836" s="66"/>
      <c r="B9836" s="67" t="str">
        <f t="shared" si="16"/>
        <v>M: </v>
      </c>
      <c r="C9836" s="68"/>
      <c r="D9836" s="68">
        <v>46733.0</v>
      </c>
      <c r="E9836" s="66">
        <v>4.0</v>
      </c>
      <c r="F9836" s="66" t="str">
        <f>IFERROR(__xludf.DUMMYFUNCTION("GOOGLETRANSLATE(A9836,""en"",""pt"")"),"#VALUE!")</f>
        <v>#VALUE!</v>
      </c>
      <c r="G9836" s="69"/>
    </row>
    <row r="9837" ht="22.5" customHeight="1">
      <c r="A9837" s="66"/>
      <c r="B9837" s="67" t="str">
        <f t="shared" si="16"/>
        <v>M: </v>
      </c>
      <c r="C9837" s="68"/>
      <c r="D9837" s="68">
        <v>46733.0</v>
      </c>
      <c r="E9837" s="66">
        <v>5.0</v>
      </c>
      <c r="F9837" s="66" t="str">
        <f>IFERROR(__xludf.DUMMYFUNCTION("GOOGLETRANSLATE(A9837,""en"",""pt"")"),"#VALUE!")</f>
        <v>#VALUE!</v>
      </c>
      <c r="G9837" s="69"/>
    </row>
    <row r="9838" ht="22.5" customHeight="1">
      <c r="A9838" s="66"/>
      <c r="B9838" s="67" t="str">
        <f t="shared" si="16"/>
        <v>M: </v>
      </c>
      <c r="C9838" s="68"/>
      <c r="D9838" s="68">
        <v>46733.0</v>
      </c>
      <c r="E9838" s="66">
        <v>6.0</v>
      </c>
      <c r="F9838" s="66" t="str">
        <f>IFERROR(__xludf.DUMMYFUNCTION("GOOGLETRANSLATE(A9838,""en"",""pt"")"),"#VALUE!")</f>
        <v>#VALUE!</v>
      </c>
      <c r="G9838" s="69"/>
    </row>
    <row r="9839" ht="22.5" customHeight="1">
      <c r="A9839" s="66"/>
      <c r="B9839" s="67" t="str">
        <f t="shared" si="16"/>
        <v>M: </v>
      </c>
      <c r="C9839" s="68"/>
      <c r="D9839" s="68">
        <v>46733.0</v>
      </c>
      <c r="E9839" s="66">
        <v>7.0</v>
      </c>
      <c r="F9839" s="66" t="str">
        <f>IFERROR(__xludf.DUMMYFUNCTION("GOOGLETRANSLATE(A9839,""en"",""pt"")"),"#VALUE!")</f>
        <v>#VALUE!</v>
      </c>
      <c r="G9839" s="69"/>
    </row>
    <row r="9840" ht="22.5" customHeight="1">
      <c r="A9840" s="66"/>
      <c r="B9840" s="67" t="str">
        <f t="shared" si="16"/>
        <v>M: </v>
      </c>
      <c r="C9840" s="68"/>
      <c r="D9840" s="68">
        <v>46733.0</v>
      </c>
      <c r="E9840" s="66">
        <v>8.0</v>
      </c>
      <c r="F9840" s="66" t="str">
        <f>IFERROR(__xludf.DUMMYFUNCTION("GOOGLETRANSLATE(A9840,""en"",""pt"")"),"#VALUE!")</f>
        <v>#VALUE!</v>
      </c>
      <c r="G9840" s="69"/>
    </row>
    <row r="9841" ht="22.5" customHeight="1">
      <c r="A9841" s="66"/>
      <c r="B9841" s="67" t="str">
        <f t="shared" si="16"/>
        <v>M: </v>
      </c>
      <c r="C9841" s="68"/>
      <c r="D9841" s="68">
        <v>46733.0</v>
      </c>
      <c r="E9841" s="66">
        <v>9.0</v>
      </c>
      <c r="F9841" s="66" t="str">
        <f>IFERROR(__xludf.DUMMYFUNCTION("GOOGLETRANSLATE(A9841,""en"",""pt"")"),"#VALUE!")</f>
        <v>#VALUE!</v>
      </c>
      <c r="G9841" s="69"/>
    </row>
    <row r="9842" ht="22.5" customHeight="1">
      <c r="A9842" s="66"/>
      <c r="B9842" s="67" t="str">
        <f t="shared" si="16"/>
        <v>M: </v>
      </c>
      <c r="C9842" s="68"/>
      <c r="D9842" s="68">
        <v>46734.0</v>
      </c>
      <c r="E9842" s="66">
        <v>10.0</v>
      </c>
      <c r="F9842" s="66" t="str">
        <f>IFERROR(__xludf.DUMMYFUNCTION("GOOGLETRANSLATE(A9842,""en"",""pt"")"),"#VALUE!")</f>
        <v>#VALUE!</v>
      </c>
      <c r="G9842" s="69"/>
    </row>
    <row r="9843" ht="22.5" customHeight="1">
      <c r="A9843" s="66"/>
      <c r="B9843" s="67" t="str">
        <f t="shared" si="16"/>
        <v>M: </v>
      </c>
      <c r="C9843" s="68"/>
      <c r="D9843" s="68">
        <v>46734.0</v>
      </c>
      <c r="E9843" s="66">
        <v>1.0</v>
      </c>
      <c r="F9843" s="66" t="str">
        <f>IFERROR(__xludf.DUMMYFUNCTION("GOOGLETRANSLATE(A9843,""en"",""pt"")"),"#VALUE!")</f>
        <v>#VALUE!</v>
      </c>
      <c r="G9843" s="69"/>
    </row>
    <row r="9844" ht="22.5" customHeight="1">
      <c r="A9844" s="66"/>
      <c r="B9844" s="67" t="str">
        <f t="shared" si="16"/>
        <v>M: </v>
      </c>
      <c r="C9844" s="68"/>
      <c r="D9844" s="68">
        <v>46734.0</v>
      </c>
      <c r="E9844" s="66">
        <v>2.0</v>
      </c>
      <c r="F9844" s="66" t="str">
        <f>IFERROR(__xludf.DUMMYFUNCTION("GOOGLETRANSLATE(A9844,""en"",""pt"")"),"#VALUE!")</f>
        <v>#VALUE!</v>
      </c>
      <c r="G9844" s="69"/>
    </row>
    <row r="9845" ht="22.5" customHeight="1">
      <c r="A9845" s="66"/>
      <c r="B9845" s="67" t="str">
        <f t="shared" si="16"/>
        <v>M: </v>
      </c>
      <c r="C9845" s="68"/>
      <c r="D9845" s="68">
        <v>46734.0</v>
      </c>
      <c r="E9845" s="66">
        <v>3.0</v>
      </c>
      <c r="F9845" s="66" t="str">
        <f>IFERROR(__xludf.DUMMYFUNCTION("GOOGLETRANSLATE(A9845,""en"",""pt"")"),"#VALUE!")</f>
        <v>#VALUE!</v>
      </c>
      <c r="G9845" s="69"/>
    </row>
    <row r="9846" ht="22.5" customHeight="1">
      <c r="A9846" s="66"/>
      <c r="B9846" s="67" t="str">
        <f t="shared" si="16"/>
        <v>M: </v>
      </c>
      <c r="C9846" s="68"/>
      <c r="D9846" s="68">
        <v>46734.0</v>
      </c>
      <c r="E9846" s="66">
        <v>4.0</v>
      </c>
      <c r="F9846" s="66" t="str">
        <f>IFERROR(__xludf.DUMMYFUNCTION("GOOGLETRANSLATE(A9846,""en"",""pt"")"),"#VALUE!")</f>
        <v>#VALUE!</v>
      </c>
      <c r="G9846" s="69"/>
    </row>
    <row r="9847" ht="22.5" customHeight="1">
      <c r="A9847" s="66"/>
      <c r="B9847" s="67" t="str">
        <f t="shared" si="16"/>
        <v>M: </v>
      </c>
      <c r="C9847" s="68"/>
      <c r="D9847" s="68">
        <v>46734.0</v>
      </c>
      <c r="E9847" s="66">
        <v>5.0</v>
      </c>
      <c r="F9847" s="66" t="str">
        <f>IFERROR(__xludf.DUMMYFUNCTION("GOOGLETRANSLATE(A9847,""en"",""pt"")"),"#VALUE!")</f>
        <v>#VALUE!</v>
      </c>
      <c r="G9847" s="69"/>
    </row>
    <row r="9848" ht="22.5" customHeight="1">
      <c r="A9848" s="66"/>
      <c r="B9848" s="67" t="str">
        <f t="shared" si="16"/>
        <v>M: </v>
      </c>
      <c r="C9848" s="68"/>
      <c r="D9848" s="68">
        <v>46734.0</v>
      </c>
      <c r="E9848" s="66">
        <v>6.0</v>
      </c>
      <c r="F9848" s="66" t="str">
        <f>IFERROR(__xludf.DUMMYFUNCTION("GOOGLETRANSLATE(A9848,""en"",""pt"")"),"#VALUE!")</f>
        <v>#VALUE!</v>
      </c>
      <c r="G9848" s="69"/>
    </row>
    <row r="9849" ht="22.5" customHeight="1">
      <c r="A9849" s="66"/>
      <c r="B9849" s="67" t="str">
        <f t="shared" si="16"/>
        <v>M: </v>
      </c>
      <c r="C9849" s="68"/>
      <c r="D9849" s="68">
        <v>46734.0</v>
      </c>
      <c r="E9849" s="66">
        <v>7.0</v>
      </c>
      <c r="F9849" s="66" t="str">
        <f>IFERROR(__xludf.DUMMYFUNCTION("GOOGLETRANSLATE(A9849,""en"",""pt"")"),"#VALUE!")</f>
        <v>#VALUE!</v>
      </c>
      <c r="G9849" s="69"/>
    </row>
    <row r="9850" ht="22.5" customHeight="1">
      <c r="A9850" s="66"/>
      <c r="B9850" s="67" t="str">
        <f t="shared" si="16"/>
        <v>M: </v>
      </c>
      <c r="C9850" s="68"/>
      <c r="D9850" s="68">
        <v>46734.0</v>
      </c>
      <c r="E9850" s="66">
        <v>8.0</v>
      </c>
      <c r="F9850" s="66" t="str">
        <f>IFERROR(__xludf.DUMMYFUNCTION("GOOGLETRANSLATE(A9850,""en"",""pt"")"),"#VALUE!")</f>
        <v>#VALUE!</v>
      </c>
      <c r="G9850" s="69"/>
    </row>
    <row r="9851" ht="22.5" customHeight="1">
      <c r="A9851" s="66"/>
      <c r="B9851" s="67" t="str">
        <f t="shared" si="16"/>
        <v>M: </v>
      </c>
      <c r="C9851" s="68"/>
      <c r="D9851" s="68">
        <v>46734.0</v>
      </c>
      <c r="E9851" s="66">
        <v>9.0</v>
      </c>
      <c r="F9851" s="66" t="str">
        <f>IFERROR(__xludf.DUMMYFUNCTION("GOOGLETRANSLATE(A9851,""en"",""pt"")"),"#VALUE!")</f>
        <v>#VALUE!</v>
      </c>
      <c r="G9851" s="69"/>
    </row>
    <row r="9852" ht="22.5" customHeight="1">
      <c r="A9852" s="66"/>
      <c r="B9852" s="67" t="str">
        <f t="shared" si="16"/>
        <v>M: </v>
      </c>
      <c r="C9852" s="68"/>
      <c r="D9852" s="68">
        <v>46735.0</v>
      </c>
      <c r="E9852" s="66">
        <v>10.0</v>
      </c>
      <c r="F9852" s="66" t="str">
        <f>IFERROR(__xludf.DUMMYFUNCTION("GOOGLETRANSLATE(A9852,""en"",""pt"")"),"#VALUE!")</f>
        <v>#VALUE!</v>
      </c>
      <c r="G9852" s="69"/>
    </row>
    <row r="9853" ht="22.5" customHeight="1">
      <c r="A9853" s="66"/>
      <c r="B9853" s="67" t="str">
        <f t="shared" si="16"/>
        <v>M: </v>
      </c>
      <c r="C9853" s="68"/>
      <c r="D9853" s="68">
        <v>46735.0</v>
      </c>
      <c r="E9853" s="66">
        <v>1.0</v>
      </c>
      <c r="F9853" s="66" t="str">
        <f>IFERROR(__xludf.DUMMYFUNCTION("GOOGLETRANSLATE(A9853,""en"",""pt"")"),"#VALUE!")</f>
        <v>#VALUE!</v>
      </c>
      <c r="G9853" s="69"/>
    </row>
    <row r="9854" ht="22.5" customHeight="1">
      <c r="A9854" s="66"/>
      <c r="B9854" s="67" t="str">
        <f t="shared" si="16"/>
        <v>M: </v>
      </c>
      <c r="C9854" s="68"/>
      <c r="D9854" s="68">
        <v>46735.0</v>
      </c>
      <c r="E9854" s="66">
        <v>2.0</v>
      </c>
      <c r="F9854" s="66" t="str">
        <f>IFERROR(__xludf.DUMMYFUNCTION("GOOGLETRANSLATE(A9854,""en"",""pt"")"),"#VALUE!")</f>
        <v>#VALUE!</v>
      </c>
      <c r="G9854" s="69"/>
    </row>
    <row r="9855" ht="22.5" customHeight="1">
      <c r="A9855" s="66"/>
      <c r="B9855" s="67" t="str">
        <f t="shared" si="16"/>
        <v>M: </v>
      </c>
      <c r="C9855" s="68"/>
      <c r="D9855" s="68">
        <v>46735.0</v>
      </c>
      <c r="E9855" s="66">
        <v>3.0</v>
      </c>
      <c r="F9855" s="66" t="str">
        <f>IFERROR(__xludf.DUMMYFUNCTION("GOOGLETRANSLATE(A9855,""en"",""pt"")"),"#VALUE!")</f>
        <v>#VALUE!</v>
      </c>
      <c r="G9855" s="69"/>
    </row>
    <row r="9856" ht="22.5" customHeight="1">
      <c r="A9856" s="66"/>
      <c r="B9856" s="67" t="str">
        <f t="shared" si="16"/>
        <v>M: </v>
      </c>
      <c r="C9856" s="68"/>
      <c r="D9856" s="68">
        <v>46735.0</v>
      </c>
      <c r="E9856" s="66">
        <v>4.0</v>
      </c>
      <c r="F9856" s="66" t="str">
        <f>IFERROR(__xludf.DUMMYFUNCTION("GOOGLETRANSLATE(A9856,""en"",""pt"")"),"#VALUE!")</f>
        <v>#VALUE!</v>
      </c>
      <c r="G9856" s="69"/>
    </row>
    <row r="9857" ht="22.5" customHeight="1">
      <c r="A9857" s="66"/>
      <c r="B9857" s="67" t="str">
        <f t="shared" si="16"/>
        <v>M: </v>
      </c>
      <c r="C9857" s="68"/>
      <c r="D9857" s="68">
        <v>46735.0</v>
      </c>
      <c r="E9857" s="66">
        <v>5.0</v>
      </c>
      <c r="F9857" s="66" t="str">
        <f>IFERROR(__xludf.DUMMYFUNCTION("GOOGLETRANSLATE(A9857,""en"",""pt"")"),"#VALUE!")</f>
        <v>#VALUE!</v>
      </c>
      <c r="G9857" s="69"/>
    </row>
    <row r="9858" ht="22.5" customHeight="1">
      <c r="A9858" s="66"/>
      <c r="B9858" s="67" t="str">
        <f t="shared" si="16"/>
        <v>M: </v>
      </c>
      <c r="C9858" s="68"/>
      <c r="D9858" s="68">
        <v>46735.0</v>
      </c>
      <c r="E9858" s="66">
        <v>6.0</v>
      </c>
      <c r="F9858" s="66" t="str">
        <f>IFERROR(__xludf.DUMMYFUNCTION("GOOGLETRANSLATE(A9858,""en"",""pt"")"),"#VALUE!")</f>
        <v>#VALUE!</v>
      </c>
      <c r="G9858" s="69"/>
    </row>
    <row r="9859" ht="22.5" customHeight="1">
      <c r="A9859" s="66"/>
      <c r="B9859" s="67" t="str">
        <f t="shared" si="16"/>
        <v>M: </v>
      </c>
      <c r="C9859" s="68"/>
      <c r="D9859" s="68">
        <v>46735.0</v>
      </c>
      <c r="E9859" s="66">
        <v>7.0</v>
      </c>
      <c r="F9859" s="66" t="str">
        <f>IFERROR(__xludf.DUMMYFUNCTION("GOOGLETRANSLATE(A9859,""en"",""pt"")"),"#VALUE!")</f>
        <v>#VALUE!</v>
      </c>
      <c r="G9859" s="69"/>
    </row>
    <row r="9860" ht="22.5" customHeight="1">
      <c r="A9860" s="66"/>
      <c r="B9860" s="67" t="str">
        <f t="shared" si="16"/>
        <v>M: </v>
      </c>
      <c r="C9860" s="68"/>
      <c r="D9860" s="68">
        <v>46735.0</v>
      </c>
      <c r="E9860" s="66">
        <v>8.0</v>
      </c>
      <c r="F9860" s="66" t="str">
        <f>IFERROR(__xludf.DUMMYFUNCTION("GOOGLETRANSLATE(A9860,""en"",""pt"")"),"#VALUE!")</f>
        <v>#VALUE!</v>
      </c>
      <c r="G9860" s="69"/>
    </row>
    <row r="9861" ht="22.5" customHeight="1">
      <c r="A9861" s="66"/>
      <c r="B9861" s="67" t="str">
        <f t="shared" si="16"/>
        <v>M: </v>
      </c>
      <c r="C9861" s="68"/>
      <c r="D9861" s="68">
        <v>46735.0</v>
      </c>
      <c r="E9861" s="66">
        <v>9.0</v>
      </c>
      <c r="F9861" s="66" t="str">
        <f>IFERROR(__xludf.DUMMYFUNCTION("GOOGLETRANSLATE(A9861,""en"",""pt"")"),"#VALUE!")</f>
        <v>#VALUE!</v>
      </c>
      <c r="G9861" s="69"/>
    </row>
    <row r="9862" ht="22.5" customHeight="1">
      <c r="A9862" s="66"/>
      <c r="B9862" s="67" t="str">
        <f t="shared" si="16"/>
        <v>M: </v>
      </c>
      <c r="C9862" s="68"/>
      <c r="D9862" s="68">
        <v>46736.0</v>
      </c>
      <c r="E9862" s="66">
        <v>10.0</v>
      </c>
      <c r="F9862" s="66" t="str">
        <f>IFERROR(__xludf.DUMMYFUNCTION("GOOGLETRANSLATE(A9862,""en"",""pt"")"),"#VALUE!")</f>
        <v>#VALUE!</v>
      </c>
      <c r="G9862" s="69"/>
    </row>
    <row r="9863" ht="22.5" customHeight="1">
      <c r="A9863" s="66"/>
      <c r="B9863" s="67" t="str">
        <f t="shared" si="16"/>
        <v>M: </v>
      </c>
      <c r="C9863" s="68"/>
      <c r="D9863" s="68">
        <v>46736.0</v>
      </c>
      <c r="E9863" s="66">
        <v>1.0</v>
      </c>
      <c r="F9863" s="66" t="str">
        <f>IFERROR(__xludf.DUMMYFUNCTION("GOOGLETRANSLATE(A9863,""en"",""pt"")"),"#VALUE!")</f>
        <v>#VALUE!</v>
      </c>
      <c r="G9863" s="69"/>
    </row>
    <row r="9864" ht="22.5" customHeight="1">
      <c r="A9864" s="66"/>
      <c r="B9864" s="67" t="str">
        <f t="shared" si="16"/>
        <v>M: </v>
      </c>
      <c r="C9864" s="68"/>
      <c r="D9864" s="68">
        <v>46736.0</v>
      </c>
      <c r="E9864" s="66">
        <v>2.0</v>
      </c>
      <c r="F9864" s="66" t="str">
        <f>IFERROR(__xludf.DUMMYFUNCTION("GOOGLETRANSLATE(A9864,""en"",""pt"")"),"#VALUE!")</f>
        <v>#VALUE!</v>
      </c>
      <c r="G9864" s="69"/>
    </row>
    <row r="9865" ht="22.5" customHeight="1">
      <c r="A9865" s="66"/>
      <c r="B9865" s="67" t="str">
        <f t="shared" si="16"/>
        <v>M: </v>
      </c>
      <c r="C9865" s="68"/>
      <c r="D9865" s="68">
        <v>46736.0</v>
      </c>
      <c r="E9865" s="66">
        <v>3.0</v>
      </c>
      <c r="F9865" s="66" t="str">
        <f>IFERROR(__xludf.DUMMYFUNCTION("GOOGLETRANSLATE(A9865,""en"",""pt"")"),"#VALUE!")</f>
        <v>#VALUE!</v>
      </c>
      <c r="G9865" s="69"/>
    </row>
    <row r="9866" ht="22.5" customHeight="1">
      <c r="A9866" s="66"/>
      <c r="B9866" s="67" t="str">
        <f t="shared" si="16"/>
        <v>M: </v>
      </c>
      <c r="C9866" s="68"/>
      <c r="D9866" s="68">
        <v>46736.0</v>
      </c>
      <c r="E9866" s="66">
        <v>4.0</v>
      </c>
      <c r="F9866" s="66" t="str">
        <f>IFERROR(__xludf.DUMMYFUNCTION("GOOGLETRANSLATE(A9866,""en"",""pt"")"),"#VALUE!")</f>
        <v>#VALUE!</v>
      </c>
      <c r="G9866" s="69"/>
    </row>
    <row r="9867" ht="22.5" customHeight="1">
      <c r="A9867" s="66"/>
      <c r="B9867" s="67" t="str">
        <f t="shared" si="16"/>
        <v>M: </v>
      </c>
      <c r="C9867" s="68"/>
      <c r="D9867" s="68">
        <v>46736.0</v>
      </c>
      <c r="E9867" s="66">
        <v>5.0</v>
      </c>
      <c r="F9867" s="66" t="str">
        <f>IFERROR(__xludf.DUMMYFUNCTION("GOOGLETRANSLATE(A9867,""en"",""pt"")"),"#VALUE!")</f>
        <v>#VALUE!</v>
      </c>
      <c r="G9867" s="69"/>
    </row>
    <row r="9868" ht="22.5" customHeight="1">
      <c r="A9868" s="66"/>
      <c r="B9868" s="67" t="str">
        <f t="shared" si="16"/>
        <v>M: </v>
      </c>
      <c r="C9868" s="68"/>
      <c r="D9868" s="68">
        <v>46736.0</v>
      </c>
      <c r="E9868" s="66">
        <v>6.0</v>
      </c>
      <c r="F9868" s="66" t="str">
        <f>IFERROR(__xludf.DUMMYFUNCTION("GOOGLETRANSLATE(A9868,""en"",""pt"")"),"#VALUE!")</f>
        <v>#VALUE!</v>
      </c>
      <c r="G9868" s="69"/>
    </row>
    <row r="9869" ht="22.5" customHeight="1">
      <c r="A9869" s="66"/>
      <c r="B9869" s="67" t="str">
        <f t="shared" si="16"/>
        <v>M: </v>
      </c>
      <c r="C9869" s="68"/>
      <c r="D9869" s="68">
        <v>46736.0</v>
      </c>
      <c r="E9869" s="66">
        <v>7.0</v>
      </c>
      <c r="F9869" s="66" t="str">
        <f>IFERROR(__xludf.DUMMYFUNCTION("GOOGLETRANSLATE(A9869,""en"",""pt"")"),"#VALUE!")</f>
        <v>#VALUE!</v>
      </c>
      <c r="G9869" s="69"/>
    </row>
    <row r="9870" ht="22.5" customHeight="1">
      <c r="A9870" s="66"/>
      <c r="B9870" s="67" t="str">
        <f t="shared" si="16"/>
        <v>M: </v>
      </c>
      <c r="C9870" s="68"/>
      <c r="D9870" s="68">
        <v>46736.0</v>
      </c>
      <c r="E9870" s="66">
        <v>8.0</v>
      </c>
      <c r="F9870" s="66" t="str">
        <f>IFERROR(__xludf.DUMMYFUNCTION("GOOGLETRANSLATE(A9870,""en"",""pt"")"),"#VALUE!")</f>
        <v>#VALUE!</v>
      </c>
      <c r="G9870" s="69"/>
    </row>
    <row r="9871" ht="22.5" customHeight="1">
      <c r="A9871" s="66"/>
      <c r="B9871" s="67" t="str">
        <f t="shared" si="16"/>
        <v>M: </v>
      </c>
      <c r="C9871" s="68"/>
      <c r="D9871" s="68">
        <v>46736.0</v>
      </c>
      <c r="E9871" s="66">
        <v>9.0</v>
      </c>
      <c r="F9871" s="66" t="str">
        <f>IFERROR(__xludf.DUMMYFUNCTION("GOOGLETRANSLATE(A9871,""en"",""pt"")"),"#VALUE!")</f>
        <v>#VALUE!</v>
      </c>
      <c r="G9871" s="69"/>
    </row>
    <row r="9872" ht="22.5" customHeight="1">
      <c r="A9872" s="66"/>
      <c r="B9872" s="67" t="str">
        <f t="shared" si="16"/>
        <v>M: </v>
      </c>
      <c r="C9872" s="68"/>
      <c r="D9872" s="68">
        <v>46737.0</v>
      </c>
      <c r="E9872" s="66">
        <v>10.0</v>
      </c>
      <c r="F9872" s="66" t="str">
        <f>IFERROR(__xludf.DUMMYFUNCTION("GOOGLETRANSLATE(A9872,""en"",""pt"")"),"#VALUE!")</f>
        <v>#VALUE!</v>
      </c>
      <c r="G9872" s="69"/>
    </row>
    <row r="9873" ht="22.5" customHeight="1">
      <c r="A9873" s="66"/>
      <c r="B9873" s="67" t="str">
        <f t="shared" si="16"/>
        <v>M: </v>
      </c>
      <c r="C9873" s="68"/>
      <c r="D9873" s="68">
        <v>46737.0</v>
      </c>
      <c r="E9873" s="66">
        <v>1.0</v>
      </c>
      <c r="F9873" s="66" t="str">
        <f>IFERROR(__xludf.DUMMYFUNCTION("GOOGLETRANSLATE(A9873,""en"",""pt"")"),"#VALUE!")</f>
        <v>#VALUE!</v>
      </c>
      <c r="G9873" s="69"/>
    </row>
    <row r="9874" ht="22.5" customHeight="1">
      <c r="A9874" s="66"/>
      <c r="B9874" s="67" t="str">
        <f t="shared" si="16"/>
        <v>M: </v>
      </c>
      <c r="C9874" s="68"/>
      <c r="D9874" s="68">
        <v>46737.0</v>
      </c>
      <c r="E9874" s="66">
        <v>2.0</v>
      </c>
      <c r="F9874" s="66" t="str">
        <f>IFERROR(__xludf.DUMMYFUNCTION("GOOGLETRANSLATE(A9874,""en"",""pt"")"),"#VALUE!")</f>
        <v>#VALUE!</v>
      </c>
      <c r="G9874" s="69"/>
    </row>
    <row r="9875" ht="22.5" customHeight="1">
      <c r="A9875" s="66"/>
      <c r="B9875" s="67" t="str">
        <f t="shared" si="16"/>
        <v>M: </v>
      </c>
      <c r="C9875" s="68"/>
      <c r="D9875" s="68">
        <v>46737.0</v>
      </c>
      <c r="E9875" s="66">
        <v>3.0</v>
      </c>
      <c r="F9875" s="66" t="str">
        <f>IFERROR(__xludf.DUMMYFUNCTION("GOOGLETRANSLATE(A9875,""en"",""pt"")"),"#VALUE!")</f>
        <v>#VALUE!</v>
      </c>
      <c r="G9875" s="69"/>
    </row>
    <row r="9876" ht="22.5" customHeight="1">
      <c r="A9876" s="66"/>
      <c r="B9876" s="67" t="str">
        <f t="shared" si="16"/>
        <v>M: </v>
      </c>
      <c r="C9876" s="68"/>
      <c r="D9876" s="68">
        <v>46737.0</v>
      </c>
      <c r="E9876" s="66">
        <v>4.0</v>
      </c>
      <c r="F9876" s="66" t="str">
        <f>IFERROR(__xludf.DUMMYFUNCTION("GOOGLETRANSLATE(A9876,""en"",""pt"")"),"#VALUE!")</f>
        <v>#VALUE!</v>
      </c>
      <c r="G9876" s="69"/>
    </row>
    <row r="9877" ht="22.5" customHeight="1">
      <c r="A9877" s="66"/>
      <c r="B9877" s="67" t="str">
        <f t="shared" si="16"/>
        <v>M: </v>
      </c>
      <c r="C9877" s="68"/>
      <c r="D9877" s="68">
        <v>46737.0</v>
      </c>
      <c r="E9877" s="66">
        <v>5.0</v>
      </c>
      <c r="F9877" s="66" t="str">
        <f>IFERROR(__xludf.DUMMYFUNCTION("GOOGLETRANSLATE(A9877,""en"",""pt"")"),"#VALUE!")</f>
        <v>#VALUE!</v>
      </c>
      <c r="G9877" s="69"/>
    </row>
    <row r="9878" ht="22.5" customHeight="1">
      <c r="A9878" s="66"/>
      <c r="B9878" s="67" t="str">
        <f t="shared" si="16"/>
        <v>M: </v>
      </c>
      <c r="C9878" s="68"/>
      <c r="D9878" s="68">
        <v>46737.0</v>
      </c>
      <c r="E9878" s="66">
        <v>6.0</v>
      </c>
      <c r="F9878" s="66" t="str">
        <f>IFERROR(__xludf.DUMMYFUNCTION("GOOGLETRANSLATE(A9878,""en"",""pt"")"),"#VALUE!")</f>
        <v>#VALUE!</v>
      </c>
      <c r="G9878" s="69"/>
    </row>
    <row r="9879" ht="22.5" customHeight="1">
      <c r="A9879" s="66"/>
      <c r="B9879" s="67" t="str">
        <f t="shared" si="16"/>
        <v>M: </v>
      </c>
      <c r="C9879" s="68"/>
      <c r="D9879" s="68">
        <v>46737.0</v>
      </c>
      <c r="E9879" s="66">
        <v>7.0</v>
      </c>
      <c r="F9879" s="66" t="str">
        <f>IFERROR(__xludf.DUMMYFUNCTION("GOOGLETRANSLATE(A9879,""en"",""pt"")"),"#VALUE!")</f>
        <v>#VALUE!</v>
      </c>
      <c r="G9879" s="69"/>
    </row>
    <row r="9880" ht="22.5" customHeight="1">
      <c r="A9880" s="66"/>
      <c r="B9880" s="67" t="str">
        <f t="shared" si="16"/>
        <v>M: </v>
      </c>
      <c r="C9880" s="68"/>
      <c r="D9880" s="68">
        <v>46737.0</v>
      </c>
      <c r="E9880" s="66">
        <v>8.0</v>
      </c>
      <c r="F9880" s="66" t="str">
        <f>IFERROR(__xludf.DUMMYFUNCTION("GOOGLETRANSLATE(A9880,""en"",""pt"")"),"#VALUE!")</f>
        <v>#VALUE!</v>
      </c>
      <c r="G9880" s="69"/>
    </row>
    <row r="9881" ht="22.5" customHeight="1">
      <c r="A9881" s="66"/>
      <c r="B9881" s="67" t="str">
        <f t="shared" si="16"/>
        <v>M: </v>
      </c>
      <c r="C9881" s="68"/>
      <c r="D9881" s="68">
        <v>46737.0</v>
      </c>
      <c r="E9881" s="66">
        <v>9.0</v>
      </c>
      <c r="F9881" s="66" t="str">
        <f>IFERROR(__xludf.DUMMYFUNCTION("GOOGLETRANSLATE(A9881,""en"",""pt"")"),"#VALUE!")</f>
        <v>#VALUE!</v>
      </c>
      <c r="G9881" s="69"/>
    </row>
    <row r="9882" ht="22.5" customHeight="1">
      <c r="A9882" s="66"/>
      <c r="B9882" s="67" t="str">
        <f t="shared" si="16"/>
        <v>M: </v>
      </c>
      <c r="C9882" s="68"/>
      <c r="D9882" s="68">
        <v>46738.0</v>
      </c>
      <c r="E9882" s="66">
        <v>10.0</v>
      </c>
      <c r="F9882" s="66" t="str">
        <f>IFERROR(__xludf.DUMMYFUNCTION("GOOGLETRANSLATE(A9882,""en"",""pt"")"),"#VALUE!")</f>
        <v>#VALUE!</v>
      </c>
      <c r="G9882" s="69"/>
    </row>
    <row r="9883" ht="22.5" customHeight="1">
      <c r="A9883" s="66"/>
      <c r="B9883" s="67" t="str">
        <f t="shared" si="16"/>
        <v>M: </v>
      </c>
      <c r="C9883" s="68"/>
      <c r="D9883" s="68">
        <v>46738.0</v>
      </c>
      <c r="E9883" s="66">
        <v>1.0</v>
      </c>
      <c r="F9883" s="66" t="str">
        <f>IFERROR(__xludf.DUMMYFUNCTION("GOOGLETRANSLATE(A9883,""en"",""pt"")"),"#VALUE!")</f>
        <v>#VALUE!</v>
      </c>
      <c r="G9883" s="69"/>
    </row>
    <row r="9884" ht="22.5" customHeight="1">
      <c r="A9884" s="66"/>
      <c r="B9884" s="67" t="str">
        <f t="shared" si="16"/>
        <v>M: </v>
      </c>
      <c r="C9884" s="68"/>
      <c r="D9884" s="68">
        <v>46738.0</v>
      </c>
      <c r="E9884" s="66">
        <v>2.0</v>
      </c>
      <c r="F9884" s="66" t="str">
        <f>IFERROR(__xludf.DUMMYFUNCTION("GOOGLETRANSLATE(A9884,""en"",""pt"")"),"#VALUE!")</f>
        <v>#VALUE!</v>
      </c>
      <c r="G9884" s="69"/>
    </row>
    <row r="9885" ht="22.5" customHeight="1">
      <c r="A9885" s="66"/>
      <c r="B9885" s="67" t="str">
        <f t="shared" si="16"/>
        <v>M: </v>
      </c>
      <c r="C9885" s="68"/>
      <c r="D9885" s="68">
        <v>46738.0</v>
      </c>
      <c r="E9885" s="66">
        <v>3.0</v>
      </c>
      <c r="F9885" s="66" t="str">
        <f>IFERROR(__xludf.DUMMYFUNCTION("GOOGLETRANSLATE(A9885,""en"",""pt"")"),"#VALUE!")</f>
        <v>#VALUE!</v>
      </c>
      <c r="G9885" s="69"/>
    </row>
    <row r="9886" ht="22.5" customHeight="1">
      <c r="A9886" s="66"/>
      <c r="B9886" s="67" t="str">
        <f t="shared" si="16"/>
        <v>M: </v>
      </c>
      <c r="C9886" s="68"/>
      <c r="D9886" s="68">
        <v>46738.0</v>
      </c>
      <c r="E9886" s="66">
        <v>4.0</v>
      </c>
      <c r="F9886" s="66" t="str">
        <f>IFERROR(__xludf.DUMMYFUNCTION("GOOGLETRANSLATE(A9886,""en"",""pt"")"),"#VALUE!")</f>
        <v>#VALUE!</v>
      </c>
      <c r="G9886" s="69"/>
    </row>
    <row r="9887" ht="22.5" customHeight="1">
      <c r="A9887" s="66"/>
      <c r="B9887" s="67" t="str">
        <f t="shared" si="16"/>
        <v>M: </v>
      </c>
      <c r="C9887" s="68"/>
      <c r="D9887" s="68">
        <v>46738.0</v>
      </c>
      <c r="E9887" s="66">
        <v>5.0</v>
      </c>
      <c r="F9887" s="66" t="str">
        <f>IFERROR(__xludf.DUMMYFUNCTION("GOOGLETRANSLATE(A9887,""en"",""pt"")"),"#VALUE!")</f>
        <v>#VALUE!</v>
      </c>
      <c r="G9887" s="69"/>
    </row>
    <row r="9888" ht="22.5" customHeight="1">
      <c r="A9888" s="66"/>
      <c r="B9888" s="67" t="str">
        <f t="shared" si="16"/>
        <v>M: </v>
      </c>
      <c r="C9888" s="68"/>
      <c r="D9888" s="68">
        <v>46738.0</v>
      </c>
      <c r="E9888" s="66">
        <v>6.0</v>
      </c>
      <c r="F9888" s="66" t="str">
        <f>IFERROR(__xludf.DUMMYFUNCTION("GOOGLETRANSLATE(A9888,""en"",""pt"")"),"#VALUE!")</f>
        <v>#VALUE!</v>
      </c>
      <c r="G9888" s="69"/>
    </row>
    <row r="9889" ht="22.5" customHeight="1">
      <c r="A9889" s="66"/>
      <c r="B9889" s="67" t="str">
        <f t="shared" si="16"/>
        <v>M: </v>
      </c>
      <c r="C9889" s="68"/>
      <c r="D9889" s="68">
        <v>46738.0</v>
      </c>
      <c r="E9889" s="66">
        <v>7.0</v>
      </c>
      <c r="F9889" s="66" t="str">
        <f>IFERROR(__xludf.DUMMYFUNCTION("GOOGLETRANSLATE(A9889,""en"",""pt"")"),"#VALUE!")</f>
        <v>#VALUE!</v>
      </c>
      <c r="G9889" s="69"/>
    </row>
    <row r="9890" ht="22.5" customHeight="1">
      <c r="A9890" s="66"/>
      <c r="B9890" s="67" t="str">
        <f t="shared" si="16"/>
        <v>M: </v>
      </c>
      <c r="C9890" s="68"/>
      <c r="D9890" s="68">
        <v>46738.0</v>
      </c>
      <c r="E9890" s="66">
        <v>8.0</v>
      </c>
      <c r="F9890" s="66" t="str">
        <f>IFERROR(__xludf.DUMMYFUNCTION("GOOGLETRANSLATE(A9890,""en"",""pt"")"),"#VALUE!")</f>
        <v>#VALUE!</v>
      </c>
      <c r="G9890" s="69"/>
    </row>
    <row r="9891" ht="22.5" customHeight="1">
      <c r="A9891" s="66"/>
      <c r="B9891" s="67" t="str">
        <f t="shared" si="16"/>
        <v>M: </v>
      </c>
      <c r="C9891" s="68"/>
      <c r="D9891" s="68">
        <v>46738.0</v>
      </c>
      <c r="E9891" s="66">
        <v>9.0</v>
      </c>
      <c r="F9891" s="66" t="str">
        <f>IFERROR(__xludf.DUMMYFUNCTION("GOOGLETRANSLATE(A9891,""en"",""pt"")"),"#VALUE!")</f>
        <v>#VALUE!</v>
      </c>
      <c r="G9891" s="69"/>
    </row>
    <row r="9892" ht="22.5" customHeight="1">
      <c r="A9892" s="66"/>
      <c r="B9892" s="67" t="str">
        <f t="shared" si="16"/>
        <v>M: </v>
      </c>
      <c r="C9892" s="68"/>
      <c r="D9892" s="68">
        <v>46739.0</v>
      </c>
      <c r="E9892" s="66">
        <v>10.0</v>
      </c>
      <c r="F9892" s="66" t="str">
        <f>IFERROR(__xludf.DUMMYFUNCTION("GOOGLETRANSLATE(A9892,""en"",""pt"")"),"#VALUE!")</f>
        <v>#VALUE!</v>
      </c>
      <c r="G9892" s="69"/>
    </row>
    <row r="9893" ht="22.5" customHeight="1">
      <c r="A9893" s="66"/>
      <c r="B9893" s="67" t="str">
        <f t="shared" si="16"/>
        <v>M: </v>
      </c>
      <c r="C9893" s="68"/>
      <c r="D9893" s="68">
        <v>46739.0</v>
      </c>
      <c r="E9893" s="66">
        <v>1.0</v>
      </c>
      <c r="F9893" s="66" t="str">
        <f>IFERROR(__xludf.DUMMYFUNCTION("GOOGLETRANSLATE(A9893,""en"",""pt"")"),"#VALUE!")</f>
        <v>#VALUE!</v>
      </c>
      <c r="G9893" s="69"/>
    </row>
    <row r="9894" ht="22.5" customHeight="1">
      <c r="A9894" s="66"/>
      <c r="B9894" s="67" t="str">
        <f t="shared" si="16"/>
        <v>M: </v>
      </c>
      <c r="C9894" s="68"/>
      <c r="D9894" s="68">
        <v>46739.0</v>
      </c>
      <c r="E9894" s="66">
        <v>2.0</v>
      </c>
      <c r="F9894" s="66" t="str">
        <f>IFERROR(__xludf.DUMMYFUNCTION("GOOGLETRANSLATE(A9894,""en"",""pt"")"),"#VALUE!")</f>
        <v>#VALUE!</v>
      </c>
      <c r="G9894" s="69"/>
    </row>
    <row r="9895" ht="22.5" customHeight="1">
      <c r="A9895" s="66"/>
      <c r="B9895" s="67" t="str">
        <f t="shared" si="16"/>
        <v>M: </v>
      </c>
      <c r="C9895" s="68"/>
      <c r="D9895" s="68">
        <v>46739.0</v>
      </c>
      <c r="E9895" s="66">
        <v>3.0</v>
      </c>
      <c r="F9895" s="66" t="str">
        <f>IFERROR(__xludf.DUMMYFUNCTION("GOOGLETRANSLATE(A9895,""en"",""pt"")"),"#VALUE!")</f>
        <v>#VALUE!</v>
      </c>
      <c r="G9895" s="69"/>
    </row>
    <row r="9896" ht="22.5" customHeight="1">
      <c r="A9896" s="66"/>
      <c r="B9896" s="67" t="str">
        <f t="shared" si="16"/>
        <v>M: </v>
      </c>
      <c r="C9896" s="68"/>
      <c r="D9896" s="68">
        <v>46739.0</v>
      </c>
      <c r="E9896" s="66">
        <v>4.0</v>
      </c>
      <c r="F9896" s="66" t="str">
        <f>IFERROR(__xludf.DUMMYFUNCTION("GOOGLETRANSLATE(A9896,""en"",""pt"")"),"#VALUE!")</f>
        <v>#VALUE!</v>
      </c>
      <c r="G9896" s="69"/>
    </row>
    <row r="9897" ht="22.5" customHeight="1">
      <c r="A9897" s="66"/>
      <c r="B9897" s="67" t="str">
        <f t="shared" si="16"/>
        <v>M: </v>
      </c>
      <c r="C9897" s="68"/>
      <c r="D9897" s="68">
        <v>46739.0</v>
      </c>
      <c r="E9897" s="66">
        <v>5.0</v>
      </c>
      <c r="F9897" s="66" t="str">
        <f>IFERROR(__xludf.DUMMYFUNCTION("GOOGLETRANSLATE(A9897,""en"",""pt"")"),"#VALUE!")</f>
        <v>#VALUE!</v>
      </c>
      <c r="G9897" s="69"/>
    </row>
    <row r="9898" ht="22.5" customHeight="1">
      <c r="A9898" s="66"/>
      <c r="B9898" s="67" t="str">
        <f t="shared" si="16"/>
        <v>M: </v>
      </c>
      <c r="C9898" s="68"/>
      <c r="D9898" s="68">
        <v>46739.0</v>
      </c>
      <c r="E9898" s="66">
        <v>6.0</v>
      </c>
      <c r="F9898" s="66" t="str">
        <f>IFERROR(__xludf.DUMMYFUNCTION("GOOGLETRANSLATE(A9898,""en"",""pt"")"),"#VALUE!")</f>
        <v>#VALUE!</v>
      </c>
      <c r="G9898" s="69"/>
    </row>
    <row r="9899" ht="22.5" customHeight="1">
      <c r="A9899" s="66"/>
      <c r="B9899" s="67" t="str">
        <f t="shared" si="16"/>
        <v>M: </v>
      </c>
      <c r="C9899" s="68"/>
      <c r="D9899" s="68">
        <v>46739.0</v>
      </c>
      <c r="E9899" s="66">
        <v>7.0</v>
      </c>
      <c r="F9899" s="66" t="str">
        <f>IFERROR(__xludf.DUMMYFUNCTION("GOOGLETRANSLATE(A9899,""en"",""pt"")"),"#VALUE!")</f>
        <v>#VALUE!</v>
      </c>
      <c r="G9899" s="69"/>
    </row>
    <row r="9900" ht="22.5" customHeight="1">
      <c r="A9900" s="66"/>
      <c r="B9900" s="67" t="str">
        <f t="shared" si="16"/>
        <v>M: </v>
      </c>
      <c r="C9900" s="68"/>
      <c r="D9900" s="68">
        <v>46739.0</v>
      </c>
      <c r="E9900" s="66">
        <v>8.0</v>
      </c>
      <c r="F9900" s="66" t="str">
        <f>IFERROR(__xludf.DUMMYFUNCTION("GOOGLETRANSLATE(A9900,""en"",""pt"")"),"#VALUE!")</f>
        <v>#VALUE!</v>
      </c>
      <c r="G9900" s="69"/>
    </row>
    <row r="9901" ht="22.5" customHeight="1">
      <c r="A9901" s="66"/>
      <c r="B9901" s="67" t="str">
        <f t="shared" si="16"/>
        <v>M: </v>
      </c>
      <c r="C9901" s="68"/>
      <c r="D9901" s="68">
        <v>46739.0</v>
      </c>
      <c r="E9901" s="66">
        <v>9.0</v>
      </c>
      <c r="F9901" s="66" t="str">
        <f>IFERROR(__xludf.DUMMYFUNCTION("GOOGLETRANSLATE(A9901,""en"",""pt"")"),"#VALUE!")</f>
        <v>#VALUE!</v>
      </c>
      <c r="G9901" s="69"/>
    </row>
    <row r="9902" ht="22.5" customHeight="1">
      <c r="A9902" s="66"/>
      <c r="B9902" s="67" t="str">
        <f t="shared" si="16"/>
        <v>M: </v>
      </c>
      <c r="C9902" s="68"/>
      <c r="D9902" s="68">
        <v>46740.0</v>
      </c>
      <c r="E9902" s="66">
        <v>10.0</v>
      </c>
      <c r="F9902" s="66" t="str">
        <f>IFERROR(__xludf.DUMMYFUNCTION("GOOGLETRANSLATE(A9902,""en"",""pt"")"),"#VALUE!")</f>
        <v>#VALUE!</v>
      </c>
      <c r="G9902" s="69"/>
    </row>
    <row r="9903" ht="22.5" customHeight="1">
      <c r="A9903" s="66"/>
      <c r="B9903" s="67" t="str">
        <f t="shared" si="16"/>
        <v>M: </v>
      </c>
      <c r="C9903" s="68"/>
      <c r="D9903" s="68">
        <v>46740.0</v>
      </c>
      <c r="E9903" s="66">
        <v>1.0</v>
      </c>
      <c r="F9903" s="66" t="str">
        <f>IFERROR(__xludf.DUMMYFUNCTION("GOOGLETRANSLATE(A9903,""en"",""pt"")"),"#VALUE!")</f>
        <v>#VALUE!</v>
      </c>
      <c r="G9903" s="69"/>
    </row>
    <row r="9904" ht="22.5" customHeight="1">
      <c r="A9904" s="66"/>
      <c r="B9904" s="67" t="str">
        <f t="shared" si="16"/>
        <v>M: </v>
      </c>
      <c r="C9904" s="68"/>
      <c r="D9904" s="68">
        <v>46740.0</v>
      </c>
      <c r="E9904" s="66">
        <v>2.0</v>
      </c>
      <c r="F9904" s="66" t="str">
        <f>IFERROR(__xludf.DUMMYFUNCTION("GOOGLETRANSLATE(A9904,""en"",""pt"")"),"#VALUE!")</f>
        <v>#VALUE!</v>
      </c>
      <c r="G9904" s="69"/>
    </row>
    <row r="9905" ht="22.5" customHeight="1">
      <c r="A9905" s="66"/>
      <c r="B9905" s="67" t="str">
        <f t="shared" si="16"/>
        <v>M: </v>
      </c>
      <c r="C9905" s="68"/>
      <c r="D9905" s="68">
        <v>46740.0</v>
      </c>
      <c r="E9905" s="66">
        <v>3.0</v>
      </c>
      <c r="F9905" s="66" t="str">
        <f>IFERROR(__xludf.DUMMYFUNCTION("GOOGLETRANSLATE(A9905,""en"",""pt"")"),"#VALUE!")</f>
        <v>#VALUE!</v>
      </c>
      <c r="G9905" s="69"/>
    </row>
    <row r="9906" ht="22.5" customHeight="1">
      <c r="A9906" s="66"/>
      <c r="B9906" s="67" t="str">
        <f t="shared" si="16"/>
        <v>M: </v>
      </c>
      <c r="C9906" s="68"/>
      <c r="D9906" s="68">
        <v>46740.0</v>
      </c>
      <c r="E9906" s="66">
        <v>4.0</v>
      </c>
      <c r="F9906" s="66" t="str">
        <f>IFERROR(__xludf.DUMMYFUNCTION("GOOGLETRANSLATE(A9906,""en"",""pt"")"),"#VALUE!")</f>
        <v>#VALUE!</v>
      </c>
      <c r="G9906" s="69"/>
    </row>
    <row r="9907" ht="22.5" customHeight="1">
      <c r="A9907" s="66"/>
      <c r="B9907" s="67" t="str">
        <f t="shared" si="16"/>
        <v>M: </v>
      </c>
      <c r="C9907" s="68"/>
      <c r="D9907" s="68">
        <v>46740.0</v>
      </c>
      <c r="E9907" s="66">
        <v>5.0</v>
      </c>
      <c r="F9907" s="66" t="str">
        <f>IFERROR(__xludf.DUMMYFUNCTION("GOOGLETRANSLATE(A9907,""en"",""pt"")"),"#VALUE!")</f>
        <v>#VALUE!</v>
      </c>
      <c r="G9907" s="69"/>
    </row>
    <row r="9908" ht="22.5" customHeight="1">
      <c r="A9908" s="66"/>
      <c r="B9908" s="67" t="str">
        <f t="shared" si="16"/>
        <v>M: </v>
      </c>
      <c r="C9908" s="68"/>
      <c r="D9908" s="68">
        <v>46740.0</v>
      </c>
      <c r="E9908" s="66">
        <v>6.0</v>
      </c>
      <c r="F9908" s="66" t="str">
        <f>IFERROR(__xludf.DUMMYFUNCTION("GOOGLETRANSLATE(A9908,""en"",""pt"")"),"#VALUE!")</f>
        <v>#VALUE!</v>
      </c>
      <c r="G9908" s="69"/>
    </row>
    <row r="9909" ht="22.5" customHeight="1">
      <c r="A9909" s="66"/>
      <c r="B9909" s="67" t="str">
        <f t="shared" si="16"/>
        <v>M: </v>
      </c>
      <c r="C9909" s="68"/>
      <c r="D9909" s="68">
        <v>46740.0</v>
      </c>
      <c r="E9909" s="66">
        <v>7.0</v>
      </c>
      <c r="F9909" s="66" t="str">
        <f>IFERROR(__xludf.DUMMYFUNCTION("GOOGLETRANSLATE(A9909,""en"",""pt"")"),"#VALUE!")</f>
        <v>#VALUE!</v>
      </c>
      <c r="G9909" s="69"/>
    </row>
    <row r="9910" ht="22.5" customHeight="1">
      <c r="A9910" s="66"/>
      <c r="B9910" s="67" t="str">
        <f t="shared" si="16"/>
        <v>M: </v>
      </c>
      <c r="C9910" s="68"/>
      <c r="D9910" s="68">
        <v>46740.0</v>
      </c>
      <c r="E9910" s="66">
        <v>8.0</v>
      </c>
      <c r="F9910" s="66" t="str">
        <f>IFERROR(__xludf.DUMMYFUNCTION("GOOGLETRANSLATE(A9910,""en"",""pt"")"),"#VALUE!")</f>
        <v>#VALUE!</v>
      </c>
      <c r="G9910" s="69"/>
    </row>
    <row r="9911" ht="22.5" customHeight="1">
      <c r="A9911" s="66"/>
      <c r="B9911" s="67" t="str">
        <f t="shared" si="16"/>
        <v>M: </v>
      </c>
      <c r="C9911" s="68"/>
      <c r="D9911" s="68">
        <v>46740.0</v>
      </c>
      <c r="E9911" s="66">
        <v>9.0</v>
      </c>
      <c r="F9911" s="66" t="str">
        <f>IFERROR(__xludf.DUMMYFUNCTION("GOOGLETRANSLATE(A9911,""en"",""pt"")"),"#VALUE!")</f>
        <v>#VALUE!</v>
      </c>
      <c r="G9911" s="69"/>
    </row>
    <row r="9912" ht="22.5" customHeight="1">
      <c r="A9912" s="66"/>
      <c r="B9912" s="67" t="str">
        <f t="shared" si="16"/>
        <v>M: </v>
      </c>
      <c r="C9912" s="68"/>
      <c r="D9912" s="68">
        <v>46741.0</v>
      </c>
      <c r="E9912" s="66">
        <v>10.0</v>
      </c>
      <c r="F9912" s="66" t="str">
        <f>IFERROR(__xludf.DUMMYFUNCTION("GOOGLETRANSLATE(A9912,""en"",""pt"")"),"#VALUE!")</f>
        <v>#VALUE!</v>
      </c>
      <c r="G9912" s="69"/>
    </row>
    <row r="9913" ht="22.5" customHeight="1">
      <c r="A9913" s="66"/>
      <c r="B9913" s="67" t="str">
        <f t="shared" si="16"/>
        <v>M: </v>
      </c>
      <c r="C9913" s="68"/>
      <c r="D9913" s="68">
        <v>46741.0</v>
      </c>
      <c r="E9913" s="66">
        <v>1.0</v>
      </c>
      <c r="F9913" s="66" t="str">
        <f>IFERROR(__xludf.DUMMYFUNCTION("GOOGLETRANSLATE(A9913,""en"",""pt"")"),"#VALUE!")</f>
        <v>#VALUE!</v>
      </c>
      <c r="G9913" s="69"/>
    </row>
    <row r="9914" ht="22.5" customHeight="1">
      <c r="A9914" s="66"/>
      <c r="B9914" s="67" t="str">
        <f t="shared" si="16"/>
        <v>M: </v>
      </c>
      <c r="C9914" s="68"/>
      <c r="D9914" s="68">
        <v>46741.0</v>
      </c>
      <c r="E9914" s="66">
        <v>2.0</v>
      </c>
      <c r="F9914" s="66" t="str">
        <f>IFERROR(__xludf.DUMMYFUNCTION("GOOGLETRANSLATE(A9914,""en"",""pt"")"),"#VALUE!")</f>
        <v>#VALUE!</v>
      </c>
      <c r="G9914" s="69"/>
    </row>
    <row r="9915" ht="22.5" customHeight="1">
      <c r="A9915" s="66"/>
      <c r="B9915" s="67" t="str">
        <f t="shared" si="16"/>
        <v>M: </v>
      </c>
      <c r="C9915" s="68"/>
      <c r="D9915" s="68">
        <v>46741.0</v>
      </c>
      <c r="E9915" s="66">
        <v>3.0</v>
      </c>
      <c r="F9915" s="66" t="str">
        <f>IFERROR(__xludf.DUMMYFUNCTION("GOOGLETRANSLATE(A9915,""en"",""pt"")"),"#VALUE!")</f>
        <v>#VALUE!</v>
      </c>
      <c r="G9915" s="69"/>
    </row>
    <row r="9916" ht="22.5" customHeight="1">
      <c r="A9916" s="66"/>
      <c r="B9916" s="67" t="str">
        <f t="shared" si="16"/>
        <v>M: </v>
      </c>
      <c r="C9916" s="68"/>
      <c r="D9916" s="68">
        <v>46741.0</v>
      </c>
      <c r="E9916" s="66">
        <v>4.0</v>
      </c>
      <c r="F9916" s="66" t="str">
        <f>IFERROR(__xludf.DUMMYFUNCTION("GOOGLETRANSLATE(A9916,""en"",""pt"")"),"#VALUE!")</f>
        <v>#VALUE!</v>
      </c>
      <c r="G9916" s="69"/>
    </row>
    <row r="9917" ht="22.5" customHeight="1">
      <c r="A9917" s="66"/>
      <c r="B9917" s="67" t="str">
        <f t="shared" si="16"/>
        <v>M: </v>
      </c>
      <c r="C9917" s="68"/>
      <c r="D9917" s="68">
        <v>46741.0</v>
      </c>
      <c r="E9917" s="66">
        <v>5.0</v>
      </c>
      <c r="F9917" s="66" t="str">
        <f>IFERROR(__xludf.DUMMYFUNCTION("GOOGLETRANSLATE(A9917,""en"",""pt"")"),"#VALUE!")</f>
        <v>#VALUE!</v>
      </c>
      <c r="G9917" s="69"/>
    </row>
    <row r="9918" ht="22.5" customHeight="1">
      <c r="A9918" s="66"/>
      <c r="B9918" s="67" t="str">
        <f t="shared" si="16"/>
        <v>M: </v>
      </c>
      <c r="C9918" s="68"/>
      <c r="D9918" s="68">
        <v>46741.0</v>
      </c>
      <c r="E9918" s="66">
        <v>6.0</v>
      </c>
      <c r="F9918" s="66" t="str">
        <f>IFERROR(__xludf.DUMMYFUNCTION("GOOGLETRANSLATE(A9918,""en"",""pt"")"),"#VALUE!")</f>
        <v>#VALUE!</v>
      </c>
      <c r="G9918" s="69"/>
    </row>
    <row r="9919" ht="22.5" customHeight="1">
      <c r="A9919" s="66"/>
      <c r="B9919" s="67" t="str">
        <f t="shared" si="16"/>
        <v>M: </v>
      </c>
      <c r="C9919" s="68"/>
      <c r="D9919" s="68">
        <v>46741.0</v>
      </c>
      <c r="E9919" s="66">
        <v>7.0</v>
      </c>
      <c r="F9919" s="66" t="str">
        <f>IFERROR(__xludf.DUMMYFUNCTION("GOOGLETRANSLATE(A9919,""en"",""pt"")"),"#VALUE!")</f>
        <v>#VALUE!</v>
      </c>
      <c r="G9919" s="69"/>
    </row>
    <row r="9920" ht="22.5" customHeight="1">
      <c r="A9920" s="66"/>
      <c r="B9920" s="67" t="str">
        <f t="shared" si="16"/>
        <v>M: </v>
      </c>
      <c r="C9920" s="68"/>
      <c r="D9920" s="68">
        <v>46741.0</v>
      </c>
      <c r="E9920" s="66">
        <v>8.0</v>
      </c>
      <c r="F9920" s="66" t="str">
        <f>IFERROR(__xludf.DUMMYFUNCTION("GOOGLETRANSLATE(A9920,""en"",""pt"")"),"#VALUE!")</f>
        <v>#VALUE!</v>
      </c>
      <c r="G9920" s="69"/>
    </row>
    <row r="9921" ht="22.5" customHeight="1">
      <c r="A9921" s="66"/>
      <c r="B9921" s="67" t="str">
        <f t="shared" si="16"/>
        <v>M: </v>
      </c>
      <c r="C9921" s="68"/>
      <c r="D9921" s="68">
        <v>46741.0</v>
      </c>
      <c r="E9921" s="66">
        <v>9.0</v>
      </c>
      <c r="F9921" s="66" t="str">
        <f>IFERROR(__xludf.DUMMYFUNCTION("GOOGLETRANSLATE(A9921,""en"",""pt"")"),"#VALUE!")</f>
        <v>#VALUE!</v>
      </c>
      <c r="G9921" s="69"/>
    </row>
    <row r="9922" ht="22.5" customHeight="1">
      <c r="A9922" s="66"/>
      <c r="B9922" s="67" t="str">
        <f t="shared" si="16"/>
        <v>M: </v>
      </c>
      <c r="C9922" s="68"/>
      <c r="D9922" s="68">
        <v>46742.0</v>
      </c>
      <c r="E9922" s="66">
        <v>10.0</v>
      </c>
      <c r="F9922" s="66" t="str">
        <f>IFERROR(__xludf.DUMMYFUNCTION("GOOGLETRANSLATE(A9922,""en"",""pt"")"),"#VALUE!")</f>
        <v>#VALUE!</v>
      </c>
      <c r="G9922" s="69"/>
    </row>
    <row r="9923" ht="22.5" customHeight="1">
      <c r="A9923" s="66"/>
      <c r="B9923" s="67" t="str">
        <f t="shared" si="16"/>
        <v>M: </v>
      </c>
      <c r="C9923" s="68"/>
      <c r="D9923" s="68">
        <v>46742.0</v>
      </c>
      <c r="E9923" s="66">
        <v>1.0</v>
      </c>
      <c r="F9923" s="66" t="str">
        <f>IFERROR(__xludf.DUMMYFUNCTION("GOOGLETRANSLATE(A9923,""en"",""pt"")"),"#VALUE!")</f>
        <v>#VALUE!</v>
      </c>
      <c r="G9923" s="69"/>
    </row>
    <row r="9924" ht="22.5" customHeight="1">
      <c r="A9924" s="66"/>
      <c r="B9924" s="67" t="str">
        <f t="shared" si="16"/>
        <v>M: </v>
      </c>
      <c r="C9924" s="68"/>
      <c r="D9924" s="68">
        <v>46742.0</v>
      </c>
      <c r="E9924" s="66">
        <v>2.0</v>
      </c>
      <c r="F9924" s="66" t="str">
        <f>IFERROR(__xludf.DUMMYFUNCTION("GOOGLETRANSLATE(A9924,""en"",""pt"")"),"#VALUE!")</f>
        <v>#VALUE!</v>
      </c>
      <c r="G9924" s="69"/>
    </row>
    <row r="9925" ht="22.5" customHeight="1">
      <c r="A9925" s="66"/>
      <c r="B9925" s="67" t="str">
        <f t="shared" si="16"/>
        <v>M: </v>
      </c>
      <c r="C9925" s="68"/>
      <c r="D9925" s="68">
        <v>46742.0</v>
      </c>
      <c r="E9925" s="66">
        <v>3.0</v>
      </c>
      <c r="F9925" s="66" t="str">
        <f>IFERROR(__xludf.DUMMYFUNCTION("GOOGLETRANSLATE(A9925,""en"",""pt"")"),"#VALUE!")</f>
        <v>#VALUE!</v>
      </c>
      <c r="G9925" s="69"/>
    </row>
    <row r="9926" ht="22.5" customHeight="1">
      <c r="A9926" s="66"/>
      <c r="B9926" s="67" t="str">
        <f t="shared" si="16"/>
        <v>M: </v>
      </c>
      <c r="C9926" s="68"/>
      <c r="D9926" s="68">
        <v>46742.0</v>
      </c>
      <c r="E9926" s="66">
        <v>4.0</v>
      </c>
      <c r="F9926" s="66" t="str">
        <f>IFERROR(__xludf.DUMMYFUNCTION("GOOGLETRANSLATE(A9926,""en"",""pt"")"),"#VALUE!")</f>
        <v>#VALUE!</v>
      </c>
      <c r="G9926" s="69"/>
    </row>
    <row r="9927" ht="22.5" customHeight="1">
      <c r="A9927" s="66"/>
      <c r="B9927" s="67" t="str">
        <f t="shared" si="16"/>
        <v>M: </v>
      </c>
      <c r="C9927" s="68"/>
      <c r="D9927" s="68">
        <v>46742.0</v>
      </c>
      <c r="E9927" s="66">
        <v>5.0</v>
      </c>
      <c r="F9927" s="66" t="str">
        <f>IFERROR(__xludf.DUMMYFUNCTION("GOOGLETRANSLATE(A9927,""en"",""pt"")"),"#VALUE!")</f>
        <v>#VALUE!</v>
      </c>
      <c r="G9927" s="69"/>
    </row>
    <row r="9928" ht="22.5" customHeight="1">
      <c r="A9928" s="66"/>
      <c r="B9928" s="67" t="str">
        <f t="shared" si="16"/>
        <v>M: </v>
      </c>
      <c r="C9928" s="68"/>
      <c r="D9928" s="68">
        <v>46742.0</v>
      </c>
      <c r="E9928" s="66">
        <v>6.0</v>
      </c>
      <c r="F9928" s="66" t="str">
        <f>IFERROR(__xludf.DUMMYFUNCTION("GOOGLETRANSLATE(A9928,""en"",""pt"")"),"#VALUE!")</f>
        <v>#VALUE!</v>
      </c>
      <c r="G9928" s="69"/>
    </row>
    <row r="9929" ht="22.5" customHeight="1">
      <c r="A9929" s="66"/>
      <c r="B9929" s="67" t="str">
        <f t="shared" si="16"/>
        <v>M: </v>
      </c>
      <c r="C9929" s="68"/>
      <c r="D9929" s="68">
        <v>46742.0</v>
      </c>
      <c r="E9929" s="66">
        <v>7.0</v>
      </c>
      <c r="F9929" s="66" t="str">
        <f>IFERROR(__xludf.DUMMYFUNCTION("GOOGLETRANSLATE(A9929,""en"",""pt"")"),"#VALUE!")</f>
        <v>#VALUE!</v>
      </c>
      <c r="G9929" s="69"/>
    </row>
    <row r="9930" ht="22.5" customHeight="1">
      <c r="A9930" s="66"/>
      <c r="B9930" s="67" t="str">
        <f t="shared" si="16"/>
        <v>M: </v>
      </c>
      <c r="C9930" s="68"/>
      <c r="D9930" s="68">
        <v>46742.0</v>
      </c>
      <c r="E9930" s="66">
        <v>8.0</v>
      </c>
      <c r="F9930" s="66" t="str">
        <f>IFERROR(__xludf.DUMMYFUNCTION("GOOGLETRANSLATE(A9930,""en"",""pt"")"),"#VALUE!")</f>
        <v>#VALUE!</v>
      </c>
      <c r="G9930" s="69"/>
    </row>
    <row r="9931" ht="22.5" customHeight="1">
      <c r="A9931" s="66"/>
      <c r="B9931" s="67" t="str">
        <f t="shared" si="16"/>
        <v>M: </v>
      </c>
      <c r="C9931" s="68"/>
      <c r="D9931" s="68">
        <v>46742.0</v>
      </c>
      <c r="E9931" s="66">
        <v>9.0</v>
      </c>
      <c r="F9931" s="66" t="str">
        <f>IFERROR(__xludf.DUMMYFUNCTION("GOOGLETRANSLATE(A9931,""en"",""pt"")"),"#VALUE!")</f>
        <v>#VALUE!</v>
      </c>
      <c r="G9931" s="69"/>
    </row>
    <row r="9932" ht="22.5" customHeight="1">
      <c r="A9932" s="66"/>
      <c r="B9932" s="67" t="str">
        <f t="shared" si="16"/>
        <v>M: </v>
      </c>
      <c r="C9932" s="68"/>
      <c r="D9932" s="68">
        <v>46743.0</v>
      </c>
      <c r="E9932" s="66">
        <v>10.0</v>
      </c>
      <c r="F9932" s="66" t="str">
        <f>IFERROR(__xludf.DUMMYFUNCTION("GOOGLETRANSLATE(A9932,""en"",""pt"")"),"#VALUE!")</f>
        <v>#VALUE!</v>
      </c>
      <c r="G9932" s="69"/>
    </row>
    <row r="9933" ht="22.5" customHeight="1">
      <c r="A9933" s="66"/>
      <c r="B9933" s="67" t="str">
        <f t="shared" si="16"/>
        <v>M: </v>
      </c>
      <c r="C9933" s="68"/>
      <c r="D9933" s="68">
        <v>46743.0</v>
      </c>
      <c r="E9933" s="66">
        <v>1.0</v>
      </c>
      <c r="F9933" s="66" t="str">
        <f>IFERROR(__xludf.DUMMYFUNCTION("GOOGLETRANSLATE(A9933,""en"",""pt"")"),"#VALUE!")</f>
        <v>#VALUE!</v>
      </c>
      <c r="G9933" s="69"/>
    </row>
    <row r="9934" ht="22.5" customHeight="1">
      <c r="A9934" s="66"/>
      <c r="B9934" s="67" t="str">
        <f t="shared" si="16"/>
        <v>M: </v>
      </c>
      <c r="C9934" s="68"/>
      <c r="D9934" s="68">
        <v>46743.0</v>
      </c>
      <c r="E9934" s="66">
        <v>2.0</v>
      </c>
      <c r="F9934" s="66" t="str">
        <f>IFERROR(__xludf.DUMMYFUNCTION("GOOGLETRANSLATE(A9934,""en"",""pt"")"),"#VALUE!")</f>
        <v>#VALUE!</v>
      </c>
      <c r="G9934" s="69"/>
    </row>
    <row r="9935" ht="22.5" customHeight="1">
      <c r="A9935" s="66"/>
      <c r="B9935" s="67" t="str">
        <f t="shared" si="16"/>
        <v>M: </v>
      </c>
      <c r="C9935" s="68"/>
      <c r="D9935" s="68">
        <v>46743.0</v>
      </c>
      <c r="E9935" s="66">
        <v>3.0</v>
      </c>
      <c r="F9935" s="66" t="str">
        <f>IFERROR(__xludf.DUMMYFUNCTION("GOOGLETRANSLATE(A9935,""en"",""pt"")"),"#VALUE!")</f>
        <v>#VALUE!</v>
      </c>
      <c r="G9935" s="69"/>
    </row>
    <row r="9936" ht="22.5" customHeight="1">
      <c r="A9936" s="66"/>
      <c r="B9936" s="67" t="str">
        <f t="shared" si="16"/>
        <v>M: </v>
      </c>
      <c r="C9936" s="68"/>
      <c r="D9936" s="68">
        <v>46743.0</v>
      </c>
      <c r="E9936" s="66">
        <v>4.0</v>
      </c>
      <c r="F9936" s="66" t="str">
        <f>IFERROR(__xludf.DUMMYFUNCTION("GOOGLETRANSLATE(A9936,""en"",""pt"")"),"#VALUE!")</f>
        <v>#VALUE!</v>
      </c>
      <c r="G9936" s="69"/>
    </row>
    <row r="9937" ht="22.5" customHeight="1">
      <c r="A9937" s="66"/>
      <c r="B9937" s="67" t="str">
        <f t="shared" si="16"/>
        <v>M: </v>
      </c>
      <c r="C9937" s="68"/>
      <c r="D9937" s="68">
        <v>46743.0</v>
      </c>
      <c r="E9937" s="66">
        <v>5.0</v>
      </c>
      <c r="F9937" s="66" t="str">
        <f>IFERROR(__xludf.DUMMYFUNCTION("GOOGLETRANSLATE(A9937,""en"",""pt"")"),"#VALUE!")</f>
        <v>#VALUE!</v>
      </c>
      <c r="G9937" s="69"/>
    </row>
    <row r="9938" ht="22.5" customHeight="1">
      <c r="A9938" s="66"/>
      <c r="B9938" s="67" t="str">
        <f t="shared" si="16"/>
        <v>M: </v>
      </c>
      <c r="C9938" s="68"/>
      <c r="D9938" s="68">
        <v>46743.0</v>
      </c>
      <c r="E9938" s="66">
        <v>6.0</v>
      </c>
      <c r="F9938" s="66" t="str">
        <f>IFERROR(__xludf.DUMMYFUNCTION("GOOGLETRANSLATE(A9938,""en"",""pt"")"),"#VALUE!")</f>
        <v>#VALUE!</v>
      </c>
      <c r="G9938" s="69"/>
    </row>
    <row r="9939" ht="22.5" customHeight="1">
      <c r="A9939" s="66"/>
      <c r="B9939" s="67" t="str">
        <f t="shared" si="16"/>
        <v>M: </v>
      </c>
      <c r="C9939" s="68"/>
      <c r="D9939" s="68">
        <v>46743.0</v>
      </c>
      <c r="E9939" s="66">
        <v>7.0</v>
      </c>
      <c r="F9939" s="66" t="str">
        <f>IFERROR(__xludf.DUMMYFUNCTION("GOOGLETRANSLATE(A9939,""en"",""pt"")"),"#VALUE!")</f>
        <v>#VALUE!</v>
      </c>
      <c r="G9939" s="69"/>
    </row>
    <row r="9940" ht="22.5" customHeight="1">
      <c r="A9940" s="66"/>
      <c r="B9940" s="67" t="str">
        <f t="shared" si="16"/>
        <v>M: </v>
      </c>
      <c r="C9940" s="68"/>
      <c r="D9940" s="68">
        <v>46743.0</v>
      </c>
      <c r="E9940" s="66">
        <v>8.0</v>
      </c>
      <c r="F9940" s="66" t="str">
        <f>IFERROR(__xludf.DUMMYFUNCTION("GOOGLETRANSLATE(A9940,""en"",""pt"")"),"#VALUE!")</f>
        <v>#VALUE!</v>
      </c>
      <c r="G9940" s="69"/>
    </row>
    <row r="9941" ht="22.5" customHeight="1">
      <c r="A9941" s="66"/>
      <c r="B9941" s="67" t="str">
        <f t="shared" si="16"/>
        <v>M: </v>
      </c>
      <c r="C9941" s="68"/>
      <c r="D9941" s="68">
        <v>46743.0</v>
      </c>
      <c r="E9941" s="66">
        <v>9.0</v>
      </c>
      <c r="F9941" s="66" t="str">
        <f>IFERROR(__xludf.DUMMYFUNCTION("GOOGLETRANSLATE(A9941,""en"",""pt"")"),"#VALUE!")</f>
        <v>#VALUE!</v>
      </c>
      <c r="G9941" s="69"/>
    </row>
    <row r="9942" ht="22.5" customHeight="1">
      <c r="A9942" s="66"/>
      <c r="B9942" s="67" t="str">
        <f t="shared" si="16"/>
        <v>M: </v>
      </c>
      <c r="C9942" s="68"/>
      <c r="D9942" s="68">
        <v>46744.0</v>
      </c>
      <c r="E9942" s="66">
        <v>10.0</v>
      </c>
      <c r="F9942" s="66" t="str">
        <f>IFERROR(__xludf.DUMMYFUNCTION("GOOGLETRANSLATE(A9942,""en"",""pt"")"),"#VALUE!")</f>
        <v>#VALUE!</v>
      </c>
      <c r="G9942" s="69"/>
    </row>
    <row r="9943" ht="22.5" customHeight="1">
      <c r="A9943" s="66"/>
      <c r="B9943" s="67" t="str">
        <f t="shared" si="16"/>
        <v>M: </v>
      </c>
      <c r="C9943" s="68"/>
      <c r="D9943" s="68">
        <v>46744.0</v>
      </c>
      <c r="E9943" s="66">
        <v>1.0</v>
      </c>
      <c r="F9943" s="66" t="str">
        <f>IFERROR(__xludf.DUMMYFUNCTION("GOOGLETRANSLATE(A9943,""en"",""pt"")"),"#VALUE!")</f>
        <v>#VALUE!</v>
      </c>
      <c r="G9943" s="69"/>
    </row>
    <row r="9944" ht="22.5" customHeight="1">
      <c r="A9944" s="66"/>
      <c r="B9944" s="67" t="str">
        <f t="shared" si="16"/>
        <v>M: </v>
      </c>
      <c r="C9944" s="68"/>
      <c r="D9944" s="68">
        <v>46744.0</v>
      </c>
      <c r="E9944" s="66">
        <v>2.0</v>
      </c>
      <c r="F9944" s="66" t="str">
        <f>IFERROR(__xludf.DUMMYFUNCTION("GOOGLETRANSLATE(A9944,""en"",""pt"")"),"#VALUE!")</f>
        <v>#VALUE!</v>
      </c>
      <c r="G9944" s="69"/>
    </row>
    <row r="9945" ht="22.5" customHeight="1">
      <c r="A9945" s="66"/>
      <c r="B9945" s="67" t="str">
        <f t="shared" si="16"/>
        <v>M: </v>
      </c>
      <c r="C9945" s="68"/>
      <c r="D9945" s="68">
        <v>46744.0</v>
      </c>
      <c r="E9945" s="66">
        <v>3.0</v>
      </c>
      <c r="F9945" s="66" t="str">
        <f>IFERROR(__xludf.DUMMYFUNCTION("GOOGLETRANSLATE(A9945,""en"",""pt"")"),"#VALUE!")</f>
        <v>#VALUE!</v>
      </c>
      <c r="G9945" s="69"/>
    </row>
    <row r="9946" ht="22.5" customHeight="1">
      <c r="A9946" s="66"/>
      <c r="B9946" s="67" t="str">
        <f t="shared" si="16"/>
        <v>M: </v>
      </c>
      <c r="C9946" s="68"/>
      <c r="D9946" s="68">
        <v>46744.0</v>
      </c>
      <c r="E9946" s="66">
        <v>4.0</v>
      </c>
      <c r="F9946" s="66" t="str">
        <f>IFERROR(__xludf.DUMMYFUNCTION("GOOGLETRANSLATE(A9946,""en"",""pt"")"),"#VALUE!")</f>
        <v>#VALUE!</v>
      </c>
      <c r="G9946" s="69"/>
    </row>
    <row r="9947" ht="22.5" customHeight="1">
      <c r="A9947" s="66"/>
      <c r="B9947" s="67" t="str">
        <f t="shared" si="16"/>
        <v>M: </v>
      </c>
      <c r="C9947" s="68"/>
      <c r="D9947" s="68">
        <v>46744.0</v>
      </c>
      <c r="E9947" s="66">
        <v>5.0</v>
      </c>
      <c r="F9947" s="66" t="str">
        <f>IFERROR(__xludf.DUMMYFUNCTION("GOOGLETRANSLATE(A9947,""en"",""pt"")"),"#VALUE!")</f>
        <v>#VALUE!</v>
      </c>
      <c r="G9947" s="69"/>
    </row>
    <row r="9948" ht="22.5" customHeight="1">
      <c r="A9948" s="66"/>
      <c r="B9948" s="67" t="str">
        <f t="shared" si="16"/>
        <v>M: </v>
      </c>
      <c r="C9948" s="68"/>
      <c r="D9948" s="68">
        <v>46744.0</v>
      </c>
      <c r="E9948" s="66">
        <v>6.0</v>
      </c>
      <c r="F9948" s="66" t="str">
        <f>IFERROR(__xludf.DUMMYFUNCTION("GOOGLETRANSLATE(A9948,""en"",""pt"")"),"#VALUE!")</f>
        <v>#VALUE!</v>
      </c>
      <c r="G9948" s="69"/>
    </row>
    <row r="9949" ht="22.5" customHeight="1">
      <c r="A9949" s="66"/>
      <c r="B9949" s="67" t="str">
        <f t="shared" si="16"/>
        <v>M: </v>
      </c>
      <c r="C9949" s="68"/>
      <c r="D9949" s="68">
        <v>46744.0</v>
      </c>
      <c r="E9949" s="66">
        <v>7.0</v>
      </c>
      <c r="F9949" s="66" t="str">
        <f>IFERROR(__xludf.DUMMYFUNCTION("GOOGLETRANSLATE(A9949,""en"",""pt"")"),"#VALUE!")</f>
        <v>#VALUE!</v>
      </c>
      <c r="G9949" s="69"/>
    </row>
    <row r="9950" ht="22.5" customHeight="1">
      <c r="A9950" s="66"/>
      <c r="B9950" s="67" t="str">
        <f t="shared" si="16"/>
        <v>M: </v>
      </c>
      <c r="C9950" s="68"/>
      <c r="D9950" s="68">
        <v>46744.0</v>
      </c>
      <c r="E9950" s="66">
        <v>8.0</v>
      </c>
      <c r="F9950" s="66" t="str">
        <f>IFERROR(__xludf.DUMMYFUNCTION("GOOGLETRANSLATE(A9950,""en"",""pt"")"),"#VALUE!")</f>
        <v>#VALUE!</v>
      </c>
      <c r="G9950" s="69"/>
    </row>
    <row r="9951" ht="22.5" customHeight="1">
      <c r="A9951" s="66"/>
      <c r="B9951" s="67" t="str">
        <f t="shared" si="16"/>
        <v>M: </v>
      </c>
      <c r="C9951" s="68"/>
      <c r="D9951" s="68">
        <v>46744.0</v>
      </c>
      <c r="E9951" s="66">
        <v>9.0</v>
      </c>
      <c r="F9951" s="66" t="str">
        <f>IFERROR(__xludf.DUMMYFUNCTION("GOOGLETRANSLATE(A9951,""en"",""pt"")"),"#VALUE!")</f>
        <v>#VALUE!</v>
      </c>
      <c r="G9951" s="69"/>
    </row>
    <row r="9952" ht="22.5" customHeight="1">
      <c r="A9952" s="66"/>
      <c r="B9952" s="67" t="str">
        <f t="shared" si="16"/>
        <v>M: </v>
      </c>
      <c r="C9952" s="68"/>
      <c r="D9952" s="68">
        <v>46745.0</v>
      </c>
      <c r="E9952" s="66">
        <v>10.0</v>
      </c>
      <c r="F9952" s="66" t="str">
        <f>IFERROR(__xludf.DUMMYFUNCTION("GOOGLETRANSLATE(A9952,""en"",""pt"")"),"#VALUE!")</f>
        <v>#VALUE!</v>
      </c>
      <c r="G9952" s="69"/>
    </row>
    <row r="9953" ht="22.5" customHeight="1">
      <c r="A9953" s="66"/>
      <c r="B9953" s="67" t="str">
        <f t="shared" si="16"/>
        <v>M: </v>
      </c>
      <c r="C9953" s="68"/>
      <c r="D9953" s="68">
        <v>46745.0</v>
      </c>
      <c r="E9953" s="66">
        <v>1.0</v>
      </c>
      <c r="F9953" s="66" t="str">
        <f>IFERROR(__xludf.DUMMYFUNCTION("GOOGLETRANSLATE(A9953,""en"",""pt"")"),"#VALUE!")</f>
        <v>#VALUE!</v>
      </c>
      <c r="G9953" s="69"/>
    </row>
    <row r="9954" ht="22.5" customHeight="1">
      <c r="A9954" s="66"/>
      <c r="B9954" s="67" t="str">
        <f t="shared" si="16"/>
        <v>M: </v>
      </c>
      <c r="C9954" s="68"/>
      <c r="D9954" s="68">
        <v>46745.0</v>
      </c>
      <c r="E9954" s="66">
        <v>2.0</v>
      </c>
      <c r="F9954" s="66" t="str">
        <f>IFERROR(__xludf.DUMMYFUNCTION("GOOGLETRANSLATE(A9954,""en"",""pt"")"),"#VALUE!")</f>
        <v>#VALUE!</v>
      </c>
      <c r="G9954" s="69"/>
    </row>
    <row r="9955" ht="22.5" customHeight="1">
      <c r="A9955" s="66"/>
      <c r="B9955" s="67" t="str">
        <f t="shared" si="16"/>
        <v>M: </v>
      </c>
      <c r="C9955" s="68"/>
      <c r="D9955" s="68">
        <v>46745.0</v>
      </c>
      <c r="E9955" s="66">
        <v>3.0</v>
      </c>
      <c r="F9955" s="66" t="str">
        <f>IFERROR(__xludf.DUMMYFUNCTION("GOOGLETRANSLATE(A9955,""en"",""pt"")"),"#VALUE!")</f>
        <v>#VALUE!</v>
      </c>
      <c r="G9955" s="69"/>
    </row>
    <row r="9956" ht="22.5" customHeight="1">
      <c r="A9956" s="66"/>
      <c r="B9956" s="67" t="str">
        <f t="shared" si="16"/>
        <v>M: </v>
      </c>
      <c r="C9956" s="68"/>
      <c r="D9956" s="68">
        <v>46745.0</v>
      </c>
      <c r="E9956" s="66">
        <v>4.0</v>
      </c>
      <c r="F9956" s="66" t="str">
        <f>IFERROR(__xludf.DUMMYFUNCTION("GOOGLETRANSLATE(A9956,""en"",""pt"")"),"#VALUE!")</f>
        <v>#VALUE!</v>
      </c>
      <c r="G9956" s="69"/>
    </row>
    <row r="9957" ht="22.5" customHeight="1">
      <c r="A9957" s="66"/>
      <c r="B9957" s="67" t="str">
        <f t="shared" si="16"/>
        <v>M: </v>
      </c>
      <c r="C9957" s="68"/>
      <c r="D9957" s="68">
        <v>46745.0</v>
      </c>
      <c r="E9957" s="66">
        <v>5.0</v>
      </c>
      <c r="F9957" s="66" t="str">
        <f>IFERROR(__xludf.DUMMYFUNCTION("GOOGLETRANSLATE(A9957,""en"",""pt"")"),"#VALUE!")</f>
        <v>#VALUE!</v>
      </c>
      <c r="G9957" s="69"/>
    </row>
    <row r="9958" ht="22.5" customHeight="1">
      <c r="A9958" s="66"/>
      <c r="B9958" s="67" t="str">
        <f t="shared" si="16"/>
        <v>M: </v>
      </c>
      <c r="C9958" s="68"/>
      <c r="D9958" s="68">
        <v>46745.0</v>
      </c>
      <c r="E9958" s="66">
        <v>6.0</v>
      </c>
      <c r="F9958" s="66" t="str">
        <f>IFERROR(__xludf.DUMMYFUNCTION("GOOGLETRANSLATE(A9958,""en"",""pt"")"),"#VALUE!")</f>
        <v>#VALUE!</v>
      </c>
      <c r="G9958" s="69"/>
    </row>
    <row r="9959" ht="22.5" customHeight="1">
      <c r="A9959" s="66"/>
      <c r="B9959" s="67" t="str">
        <f t="shared" si="16"/>
        <v>M: </v>
      </c>
      <c r="C9959" s="68"/>
      <c r="D9959" s="68">
        <v>46745.0</v>
      </c>
      <c r="E9959" s="66">
        <v>7.0</v>
      </c>
      <c r="F9959" s="66" t="str">
        <f>IFERROR(__xludf.DUMMYFUNCTION("GOOGLETRANSLATE(A9959,""en"",""pt"")"),"#VALUE!")</f>
        <v>#VALUE!</v>
      </c>
      <c r="G9959" s="69"/>
    </row>
    <row r="9960" ht="22.5" customHeight="1">
      <c r="A9960" s="66"/>
      <c r="B9960" s="67" t="str">
        <f t="shared" si="16"/>
        <v>M: </v>
      </c>
      <c r="C9960" s="68"/>
      <c r="D9960" s="68">
        <v>46745.0</v>
      </c>
      <c r="E9960" s="66">
        <v>8.0</v>
      </c>
      <c r="F9960" s="66" t="str">
        <f>IFERROR(__xludf.DUMMYFUNCTION("GOOGLETRANSLATE(A9960,""en"",""pt"")"),"#VALUE!")</f>
        <v>#VALUE!</v>
      </c>
      <c r="G9960" s="69"/>
    </row>
    <row r="9961" ht="22.5" customHeight="1">
      <c r="A9961" s="66"/>
      <c r="B9961" s="67" t="str">
        <f t="shared" si="16"/>
        <v>M: </v>
      </c>
      <c r="C9961" s="68"/>
      <c r="D9961" s="68">
        <v>46745.0</v>
      </c>
      <c r="E9961" s="66">
        <v>9.0</v>
      </c>
      <c r="F9961" s="66" t="str">
        <f>IFERROR(__xludf.DUMMYFUNCTION("GOOGLETRANSLATE(A9961,""en"",""pt"")"),"#VALUE!")</f>
        <v>#VALUE!</v>
      </c>
      <c r="G9961" s="69"/>
    </row>
    <row r="9962" ht="22.5" customHeight="1">
      <c r="A9962" s="66"/>
      <c r="B9962" s="67" t="str">
        <f t="shared" si="16"/>
        <v>M: </v>
      </c>
      <c r="C9962" s="68"/>
      <c r="D9962" s="68">
        <v>46746.0</v>
      </c>
      <c r="E9962" s="66">
        <v>10.0</v>
      </c>
      <c r="F9962" s="66" t="str">
        <f>IFERROR(__xludf.DUMMYFUNCTION("GOOGLETRANSLATE(A9962,""en"",""pt"")"),"#VALUE!")</f>
        <v>#VALUE!</v>
      </c>
      <c r="G9962" s="69"/>
    </row>
    <row r="9963" ht="22.5" customHeight="1">
      <c r="A9963" s="66"/>
      <c r="B9963" s="67" t="str">
        <f t="shared" si="16"/>
        <v>M: </v>
      </c>
      <c r="C9963" s="68"/>
      <c r="D9963" s="68">
        <v>46746.0</v>
      </c>
      <c r="E9963" s="66">
        <v>1.0</v>
      </c>
      <c r="F9963" s="66" t="str">
        <f>IFERROR(__xludf.DUMMYFUNCTION("GOOGLETRANSLATE(A9963,""en"",""pt"")"),"#VALUE!")</f>
        <v>#VALUE!</v>
      </c>
      <c r="G9963" s="69"/>
    </row>
    <row r="9964" ht="22.5" customHeight="1">
      <c r="A9964" s="66"/>
      <c r="B9964" s="67" t="str">
        <f t="shared" si="16"/>
        <v>M: </v>
      </c>
      <c r="C9964" s="68"/>
      <c r="D9964" s="68">
        <v>46746.0</v>
      </c>
      <c r="E9964" s="66">
        <v>2.0</v>
      </c>
      <c r="F9964" s="66" t="str">
        <f>IFERROR(__xludf.DUMMYFUNCTION("GOOGLETRANSLATE(A9964,""en"",""pt"")"),"#VALUE!")</f>
        <v>#VALUE!</v>
      </c>
      <c r="G9964" s="69"/>
    </row>
    <row r="9965" ht="22.5" customHeight="1">
      <c r="A9965" s="66"/>
      <c r="B9965" s="67" t="str">
        <f t="shared" si="16"/>
        <v>M: </v>
      </c>
      <c r="C9965" s="68"/>
      <c r="D9965" s="68">
        <v>46746.0</v>
      </c>
      <c r="E9965" s="66">
        <v>3.0</v>
      </c>
      <c r="F9965" s="66" t="str">
        <f>IFERROR(__xludf.DUMMYFUNCTION("GOOGLETRANSLATE(A9965,""en"",""pt"")"),"#VALUE!")</f>
        <v>#VALUE!</v>
      </c>
      <c r="G9965" s="69"/>
    </row>
    <row r="9966" ht="22.5" customHeight="1">
      <c r="A9966" s="66"/>
      <c r="B9966" s="67" t="str">
        <f t="shared" si="16"/>
        <v>M: </v>
      </c>
      <c r="C9966" s="68"/>
      <c r="D9966" s="68">
        <v>46746.0</v>
      </c>
      <c r="E9966" s="66">
        <v>4.0</v>
      </c>
      <c r="F9966" s="66" t="str">
        <f>IFERROR(__xludf.DUMMYFUNCTION("GOOGLETRANSLATE(A9966,""en"",""pt"")"),"#VALUE!")</f>
        <v>#VALUE!</v>
      </c>
      <c r="G9966" s="69"/>
    </row>
    <row r="9967" ht="22.5" customHeight="1">
      <c r="A9967" s="66"/>
      <c r="B9967" s="67" t="str">
        <f t="shared" si="16"/>
        <v>M: </v>
      </c>
      <c r="C9967" s="68"/>
      <c r="D9967" s="68">
        <v>46746.0</v>
      </c>
      <c r="E9967" s="66">
        <v>5.0</v>
      </c>
      <c r="F9967" s="66" t="str">
        <f>IFERROR(__xludf.DUMMYFUNCTION("GOOGLETRANSLATE(A9967,""en"",""pt"")"),"#VALUE!")</f>
        <v>#VALUE!</v>
      </c>
      <c r="G9967" s="69"/>
    </row>
    <row r="9968" ht="22.5" customHeight="1">
      <c r="A9968" s="66"/>
      <c r="B9968" s="67" t="str">
        <f t="shared" si="16"/>
        <v>M: </v>
      </c>
      <c r="C9968" s="68"/>
      <c r="D9968" s="68">
        <v>46746.0</v>
      </c>
      <c r="E9968" s="66">
        <v>6.0</v>
      </c>
      <c r="F9968" s="66" t="str">
        <f>IFERROR(__xludf.DUMMYFUNCTION("GOOGLETRANSLATE(A9968,""en"",""pt"")"),"#VALUE!")</f>
        <v>#VALUE!</v>
      </c>
      <c r="G9968" s="69"/>
    </row>
    <row r="9969" ht="22.5" customHeight="1">
      <c r="A9969" s="66"/>
      <c r="B9969" s="67" t="str">
        <f t="shared" si="16"/>
        <v>M: </v>
      </c>
      <c r="C9969" s="68"/>
      <c r="D9969" s="68">
        <v>46746.0</v>
      </c>
      <c r="E9969" s="66">
        <v>7.0</v>
      </c>
      <c r="F9969" s="66" t="str">
        <f>IFERROR(__xludf.DUMMYFUNCTION("GOOGLETRANSLATE(A9969,""en"",""pt"")"),"#VALUE!")</f>
        <v>#VALUE!</v>
      </c>
      <c r="G9969" s="69"/>
    </row>
    <row r="9970" ht="22.5" customHeight="1">
      <c r="A9970" s="66"/>
      <c r="B9970" s="67" t="str">
        <f t="shared" si="16"/>
        <v>M: </v>
      </c>
      <c r="C9970" s="68"/>
      <c r="D9970" s="68">
        <v>46746.0</v>
      </c>
      <c r="E9970" s="66">
        <v>8.0</v>
      </c>
      <c r="F9970" s="66" t="str">
        <f>IFERROR(__xludf.DUMMYFUNCTION("GOOGLETRANSLATE(A9970,""en"",""pt"")"),"#VALUE!")</f>
        <v>#VALUE!</v>
      </c>
      <c r="G9970" s="69"/>
    </row>
    <row r="9971" ht="22.5" customHeight="1">
      <c r="A9971" s="66"/>
      <c r="B9971" s="67" t="str">
        <f t="shared" si="16"/>
        <v>M: </v>
      </c>
      <c r="C9971" s="68"/>
      <c r="D9971" s="68">
        <v>46746.0</v>
      </c>
      <c r="E9971" s="66">
        <v>9.0</v>
      </c>
      <c r="F9971" s="66" t="str">
        <f>IFERROR(__xludf.DUMMYFUNCTION("GOOGLETRANSLATE(A9971,""en"",""pt"")"),"#VALUE!")</f>
        <v>#VALUE!</v>
      </c>
      <c r="G9971" s="69"/>
    </row>
    <row r="9972" ht="22.5" customHeight="1">
      <c r="A9972" s="66"/>
      <c r="B9972" s="67" t="str">
        <f t="shared" si="16"/>
        <v>M: </v>
      </c>
      <c r="C9972" s="68"/>
      <c r="D9972" s="68">
        <v>46747.0</v>
      </c>
      <c r="E9972" s="66">
        <v>10.0</v>
      </c>
      <c r="F9972" s="66" t="str">
        <f>IFERROR(__xludf.DUMMYFUNCTION("GOOGLETRANSLATE(A9972,""en"",""pt"")"),"#VALUE!")</f>
        <v>#VALUE!</v>
      </c>
      <c r="G9972" s="69"/>
    </row>
    <row r="9973" ht="22.5" customHeight="1">
      <c r="A9973" s="66"/>
      <c r="B9973" s="67" t="str">
        <f t="shared" si="16"/>
        <v>M: </v>
      </c>
      <c r="C9973" s="68"/>
      <c r="D9973" s="68">
        <v>46747.0</v>
      </c>
      <c r="E9973" s="66">
        <v>1.0</v>
      </c>
      <c r="F9973" s="66" t="str">
        <f>IFERROR(__xludf.DUMMYFUNCTION("GOOGLETRANSLATE(A9973,""en"",""pt"")"),"#VALUE!")</f>
        <v>#VALUE!</v>
      </c>
      <c r="G9973" s="69"/>
    </row>
    <row r="9974" ht="22.5" customHeight="1">
      <c r="A9974" s="66"/>
      <c r="B9974" s="67" t="str">
        <f t="shared" si="16"/>
        <v>M: </v>
      </c>
      <c r="C9974" s="68"/>
      <c r="D9974" s="68">
        <v>46747.0</v>
      </c>
      <c r="E9974" s="66">
        <v>2.0</v>
      </c>
      <c r="F9974" s="66" t="str">
        <f>IFERROR(__xludf.DUMMYFUNCTION("GOOGLETRANSLATE(A9974,""en"",""pt"")"),"#VALUE!")</f>
        <v>#VALUE!</v>
      </c>
      <c r="G9974" s="69"/>
    </row>
    <row r="9975" ht="22.5" customHeight="1">
      <c r="A9975" s="66"/>
      <c r="B9975" s="67" t="str">
        <f t="shared" si="16"/>
        <v>M: </v>
      </c>
      <c r="C9975" s="68"/>
      <c r="D9975" s="68">
        <v>46747.0</v>
      </c>
      <c r="E9975" s="66">
        <v>3.0</v>
      </c>
      <c r="F9975" s="66" t="str">
        <f>IFERROR(__xludf.DUMMYFUNCTION("GOOGLETRANSLATE(A9975,""en"",""pt"")"),"#VALUE!")</f>
        <v>#VALUE!</v>
      </c>
      <c r="G9975" s="69"/>
    </row>
    <row r="9976" ht="22.5" customHeight="1">
      <c r="A9976" s="66"/>
      <c r="B9976" s="67" t="str">
        <f t="shared" si="16"/>
        <v>M: </v>
      </c>
      <c r="C9976" s="68"/>
      <c r="D9976" s="68">
        <v>46747.0</v>
      </c>
      <c r="E9976" s="66">
        <v>4.0</v>
      </c>
      <c r="F9976" s="66" t="str">
        <f>IFERROR(__xludf.DUMMYFUNCTION("GOOGLETRANSLATE(A9976,""en"",""pt"")"),"#VALUE!")</f>
        <v>#VALUE!</v>
      </c>
      <c r="G9976" s="69"/>
    </row>
    <row r="9977" ht="22.5" customHeight="1">
      <c r="A9977" s="66"/>
      <c r="B9977" s="67" t="str">
        <f t="shared" si="16"/>
        <v>M: </v>
      </c>
      <c r="C9977" s="68"/>
      <c r="D9977" s="68">
        <v>46747.0</v>
      </c>
      <c r="E9977" s="66">
        <v>5.0</v>
      </c>
      <c r="F9977" s="66" t="str">
        <f>IFERROR(__xludf.DUMMYFUNCTION("GOOGLETRANSLATE(A9977,""en"",""pt"")"),"#VALUE!")</f>
        <v>#VALUE!</v>
      </c>
      <c r="G9977" s="69"/>
    </row>
    <row r="9978" ht="22.5" customHeight="1">
      <c r="A9978" s="66"/>
      <c r="B9978" s="67" t="str">
        <f t="shared" si="16"/>
        <v>M: </v>
      </c>
      <c r="C9978" s="68"/>
      <c r="D9978" s="68">
        <v>46747.0</v>
      </c>
      <c r="E9978" s="66">
        <v>6.0</v>
      </c>
      <c r="F9978" s="66" t="str">
        <f>IFERROR(__xludf.DUMMYFUNCTION("GOOGLETRANSLATE(A9978,""en"",""pt"")"),"#VALUE!")</f>
        <v>#VALUE!</v>
      </c>
      <c r="G9978" s="69"/>
    </row>
    <row r="9979" ht="22.5" customHeight="1">
      <c r="A9979" s="66"/>
      <c r="B9979" s="67" t="str">
        <f t="shared" si="16"/>
        <v>M: </v>
      </c>
      <c r="C9979" s="68"/>
      <c r="D9979" s="68">
        <v>46747.0</v>
      </c>
      <c r="E9979" s="66">
        <v>7.0</v>
      </c>
      <c r="F9979" s="66" t="str">
        <f>IFERROR(__xludf.DUMMYFUNCTION("GOOGLETRANSLATE(A9979,""en"",""pt"")"),"#VALUE!")</f>
        <v>#VALUE!</v>
      </c>
      <c r="G9979" s="69"/>
    </row>
    <row r="9980" ht="22.5" customHeight="1">
      <c r="A9980" s="66"/>
      <c r="B9980" s="67" t="str">
        <f t="shared" si="16"/>
        <v>M: </v>
      </c>
      <c r="C9980" s="68"/>
      <c r="D9980" s="68">
        <v>46747.0</v>
      </c>
      <c r="E9980" s="66">
        <v>8.0</v>
      </c>
      <c r="F9980" s="66" t="str">
        <f>IFERROR(__xludf.DUMMYFUNCTION("GOOGLETRANSLATE(A9980,""en"",""pt"")"),"#VALUE!")</f>
        <v>#VALUE!</v>
      </c>
      <c r="G9980" s="69"/>
    </row>
    <row r="9981" ht="22.5" customHeight="1">
      <c r="A9981" s="66"/>
      <c r="B9981" s="67" t="str">
        <f t="shared" si="16"/>
        <v>M: </v>
      </c>
      <c r="C9981" s="68"/>
      <c r="D9981" s="68">
        <v>46747.0</v>
      </c>
      <c r="E9981" s="66">
        <v>9.0</v>
      </c>
      <c r="F9981" s="66" t="str">
        <f>IFERROR(__xludf.DUMMYFUNCTION("GOOGLETRANSLATE(A9981,""en"",""pt"")"),"#VALUE!")</f>
        <v>#VALUE!</v>
      </c>
      <c r="G9981" s="69"/>
    </row>
    <row r="9982" ht="22.5" customHeight="1">
      <c r="A9982" s="66"/>
      <c r="B9982" s="67" t="str">
        <f t="shared" si="16"/>
        <v>M: </v>
      </c>
      <c r="C9982" s="68"/>
      <c r="D9982" s="68">
        <v>46748.0</v>
      </c>
      <c r="E9982" s="66">
        <v>10.0</v>
      </c>
      <c r="F9982" s="66" t="str">
        <f>IFERROR(__xludf.DUMMYFUNCTION("GOOGLETRANSLATE(A9982,""en"",""pt"")"),"#VALUE!")</f>
        <v>#VALUE!</v>
      </c>
      <c r="G9982" s="69"/>
    </row>
    <row r="9983" ht="22.5" customHeight="1">
      <c r="A9983" s="66"/>
      <c r="B9983" s="67" t="str">
        <f t="shared" si="16"/>
        <v>M: </v>
      </c>
      <c r="C9983" s="68"/>
      <c r="D9983" s="68">
        <v>46748.0</v>
      </c>
      <c r="E9983" s="66">
        <v>1.0</v>
      </c>
      <c r="F9983" s="66" t="str">
        <f>IFERROR(__xludf.DUMMYFUNCTION("GOOGLETRANSLATE(A9983,""en"",""pt"")"),"#VALUE!")</f>
        <v>#VALUE!</v>
      </c>
      <c r="G9983" s="69"/>
    </row>
    <row r="9984" ht="22.5" customHeight="1">
      <c r="A9984" s="66"/>
      <c r="B9984" s="67" t="str">
        <f t="shared" si="16"/>
        <v>M: </v>
      </c>
      <c r="C9984" s="68"/>
      <c r="D9984" s="68">
        <v>46748.0</v>
      </c>
      <c r="E9984" s="66">
        <v>2.0</v>
      </c>
      <c r="F9984" s="66" t="str">
        <f>IFERROR(__xludf.DUMMYFUNCTION("GOOGLETRANSLATE(A9984,""en"",""pt"")"),"#VALUE!")</f>
        <v>#VALUE!</v>
      </c>
      <c r="G9984" s="69"/>
    </row>
    <row r="9985" ht="22.5" customHeight="1">
      <c r="A9985" s="66"/>
      <c r="B9985" s="67" t="str">
        <f t="shared" si="16"/>
        <v>M: </v>
      </c>
      <c r="C9985" s="68"/>
      <c r="D9985" s="68">
        <v>46748.0</v>
      </c>
      <c r="E9985" s="66">
        <v>3.0</v>
      </c>
      <c r="F9985" s="66" t="str">
        <f>IFERROR(__xludf.DUMMYFUNCTION("GOOGLETRANSLATE(A9985,""en"",""pt"")"),"#VALUE!")</f>
        <v>#VALUE!</v>
      </c>
      <c r="G9985" s="69"/>
    </row>
    <row r="9986" ht="22.5" customHeight="1">
      <c r="A9986" s="66"/>
      <c r="B9986" s="67" t="str">
        <f t="shared" si="16"/>
        <v>M: </v>
      </c>
      <c r="C9986" s="68"/>
      <c r="D9986" s="68">
        <v>46748.0</v>
      </c>
      <c r="E9986" s="66">
        <v>4.0</v>
      </c>
      <c r="F9986" s="66" t="str">
        <f>IFERROR(__xludf.DUMMYFUNCTION("GOOGLETRANSLATE(A9986,""en"",""pt"")"),"#VALUE!")</f>
        <v>#VALUE!</v>
      </c>
      <c r="G9986" s="69"/>
    </row>
    <row r="9987" ht="22.5" customHeight="1">
      <c r="A9987" s="66"/>
      <c r="B9987" s="67" t="str">
        <f t="shared" si="16"/>
        <v>M: </v>
      </c>
      <c r="C9987" s="68"/>
      <c r="D9987" s="68">
        <v>46748.0</v>
      </c>
      <c r="E9987" s="66">
        <v>5.0</v>
      </c>
      <c r="F9987" s="66" t="str">
        <f>IFERROR(__xludf.DUMMYFUNCTION("GOOGLETRANSLATE(A9987,""en"",""pt"")"),"#VALUE!")</f>
        <v>#VALUE!</v>
      </c>
      <c r="G9987" s="69"/>
    </row>
    <row r="9988" ht="22.5" customHeight="1">
      <c r="A9988" s="66"/>
      <c r="B9988" s="67" t="str">
        <f t="shared" si="16"/>
        <v>M: </v>
      </c>
      <c r="C9988" s="68"/>
      <c r="D9988" s="68">
        <v>46748.0</v>
      </c>
      <c r="E9988" s="66">
        <v>6.0</v>
      </c>
      <c r="F9988" s="66" t="str">
        <f>IFERROR(__xludf.DUMMYFUNCTION("GOOGLETRANSLATE(A9988,""en"",""pt"")"),"#VALUE!")</f>
        <v>#VALUE!</v>
      </c>
      <c r="G9988" s="69"/>
    </row>
    <row r="9989" ht="22.5" customHeight="1">
      <c r="A9989" s="66"/>
      <c r="B9989" s="67" t="str">
        <f t="shared" si="16"/>
        <v>M: </v>
      </c>
      <c r="C9989" s="68"/>
      <c r="D9989" s="68">
        <v>46748.0</v>
      </c>
      <c r="E9989" s="66">
        <v>7.0</v>
      </c>
      <c r="F9989" s="66" t="str">
        <f>IFERROR(__xludf.DUMMYFUNCTION("GOOGLETRANSLATE(A9989,""en"",""pt"")"),"#VALUE!")</f>
        <v>#VALUE!</v>
      </c>
      <c r="G9989" s="69"/>
    </row>
    <row r="9990" ht="22.5" customHeight="1">
      <c r="A9990" s="66"/>
      <c r="B9990" s="67" t="str">
        <f t="shared" si="16"/>
        <v>M: </v>
      </c>
      <c r="C9990" s="68"/>
      <c r="D9990" s="68">
        <v>46748.0</v>
      </c>
      <c r="E9990" s="66">
        <v>8.0</v>
      </c>
      <c r="F9990" s="66" t="str">
        <f>IFERROR(__xludf.DUMMYFUNCTION("GOOGLETRANSLATE(A9990,""en"",""pt"")"),"#VALUE!")</f>
        <v>#VALUE!</v>
      </c>
      <c r="G9990" s="69"/>
    </row>
    <row r="9991" ht="22.5" customHeight="1">
      <c r="A9991" s="66"/>
      <c r="B9991" s="67" t="str">
        <f t="shared" si="16"/>
        <v>M: </v>
      </c>
      <c r="C9991" s="68"/>
      <c r="D9991" s="68">
        <v>46748.0</v>
      </c>
      <c r="E9991" s="66">
        <v>9.0</v>
      </c>
      <c r="F9991" s="66" t="str">
        <f>IFERROR(__xludf.DUMMYFUNCTION("GOOGLETRANSLATE(A9991,""en"",""pt"")"),"#VALUE!")</f>
        <v>#VALUE!</v>
      </c>
      <c r="G9991" s="69"/>
    </row>
    <row r="9992" ht="22.5" customHeight="1">
      <c r="A9992" s="66"/>
      <c r="B9992" s="67" t="str">
        <f t="shared" si="16"/>
        <v>M: </v>
      </c>
      <c r="C9992" s="68"/>
      <c r="D9992" s="68">
        <v>46749.0</v>
      </c>
      <c r="E9992" s="66">
        <v>10.0</v>
      </c>
      <c r="F9992" s="66" t="str">
        <f>IFERROR(__xludf.DUMMYFUNCTION("GOOGLETRANSLATE(A9992,""en"",""pt"")"),"#VALUE!")</f>
        <v>#VALUE!</v>
      </c>
      <c r="G9992" s="69"/>
    </row>
    <row r="9993" ht="22.5" customHeight="1">
      <c r="A9993" s="66"/>
      <c r="B9993" s="67" t="str">
        <f t="shared" si="16"/>
        <v>M: </v>
      </c>
      <c r="C9993" s="68"/>
      <c r="D9993" s="68">
        <v>46749.0</v>
      </c>
      <c r="E9993" s="66">
        <v>1.0</v>
      </c>
      <c r="F9993" s="66" t="str">
        <f>IFERROR(__xludf.DUMMYFUNCTION("GOOGLETRANSLATE(A9993,""en"",""pt"")"),"#VALUE!")</f>
        <v>#VALUE!</v>
      </c>
      <c r="G9993" s="69"/>
    </row>
    <row r="9994" ht="22.5" customHeight="1">
      <c r="A9994" s="66"/>
      <c r="B9994" s="67" t="str">
        <f t="shared" si="16"/>
        <v>M: </v>
      </c>
      <c r="C9994" s="68"/>
      <c r="D9994" s="68">
        <v>46749.0</v>
      </c>
      <c r="E9994" s="66">
        <v>2.0</v>
      </c>
      <c r="F9994" s="66" t="str">
        <f>IFERROR(__xludf.DUMMYFUNCTION("GOOGLETRANSLATE(A9994,""en"",""pt"")"),"#VALUE!")</f>
        <v>#VALUE!</v>
      </c>
      <c r="G9994" s="69"/>
    </row>
    <row r="9995" ht="22.5" customHeight="1">
      <c r="A9995" s="66"/>
      <c r="B9995" s="67" t="str">
        <f t="shared" si="16"/>
        <v>M: </v>
      </c>
      <c r="C9995" s="68"/>
      <c r="D9995" s="68">
        <v>46749.0</v>
      </c>
      <c r="E9995" s="66">
        <v>3.0</v>
      </c>
      <c r="F9995" s="66" t="str">
        <f>IFERROR(__xludf.DUMMYFUNCTION("GOOGLETRANSLATE(A9995,""en"",""pt"")"),"#VALUE!")</f>
        <v>#VALUE!</v>
      </c>
      <c r="G9995" s="69"/>
    </row>
    <row r="9996" ht="22.5" customHeight="1">
      <c r="A9996" s="66"/>
      <c r="B9996" s="67" t="str">
        <f t="shared" si="16"/>
        <v>M: </v>
      </c>
      <c r="C9996" s="68"/>
      <c r="D9996" s="68">
        <v>46749.0</v>
      </c>
      <c r="E9996" s="66">
        <v>4.0</v>
      </c>
      <c r="F9996" s="66" t="str">
        <f>IFERROR(__xludf.DUMMYFUNCTION("GOOGLETRANSLATE(A9996,""en"",""pt"")"),"#VALUE!")</f>
        <v>#VALUE!</v>
      </c>
      <c r="G9996" s="69"/>
    </row>
    <row r="9997" ht="22.5" customHeight="1">
      <c r="A9997" s="66"/>
      <c r="B9997" s="67" t="str">
        <f t="shared" si="16"/>
        <v>M: </v>
      </c>
      <c r="C9997" s="68"/>
      <c r="D9997" s="68">
        <v>46749.0</v>
      </c>
      <c r="E9997" s="66">
        <v>5.0</v>
      </c>
      <c r="F9997" s="66" t="str">
        <f>IFERROR(__xludf.DUMMYFUNCTION("GOOGLETRANSLATE(A9997,""en"",""pt"")"),"#VALUE!")</f>
        <v>#VALUE!</v>
      </c>
      <c r="G9997" s="69"/>
    </row>
    <row r="9998" ht="22.5" customHeight="1">
      <c r="A9998" s="66"/>
      <c r="B9998" s="67" t="str">
        <f t="shared" si="16"/>
        <v>M: </v>
      </c>
      <c r="C9998" s="68"/>
      <c r="D9998" s="68">
        <v>46749.0</v>
      </c>
      <c r="E9998" s="66">
        <v>6.0</v>
      </c>
      <c r="F9998" s="66" t="str">
        <f>IFERROR(__xludf.DUMMYFUNCTION("GOOGLETRANSLATE(A9998,""en"",""pt"")"),"#VALUE!")</f>
        <v>#VALUE!</v>
      </c>
      <c r="G9998" s="69"/>
    </row>
    <row r="9999" ht="22.5" customHeight="1">
      <c r="A9999" s="66"/>
      <c r="B9999" s="67" t="str">
        <f t="shared" si="16"/>
        <v>M: </v>
      </c>
      <c r="C9999" s="68"/>
      <c r="D9999" s="68">
        <v>46749.0</v>
      </c>
      <c r="E9999" s="66">
        <v>7.0</v>
      </c>
      <c r="F9999" s="66" t="str">
        <f>IFERROR(__xludf.DUMMYFUNCTION("GOOGLETRANSLATE(A9999,""en"",""pt"")"),"#VALUE!")</f>
        <v>#VALUE!</v>
      </c>
      <c r="G9999" s="69"/>
    </row>
    <row r="10000" ht="22.5" customHeight="1">
      <c r="A10000" s="66"/>
      <c r="B10000" s="67" t="str">
        <f t="shared" si="16"/>
        <v>M: </v>
      </c>
      <c r="C10000" s="68"/>
      <c r="D10000" s="68">
        <v>46749.0</v>
      </c>
      <c r="E10000" s="66">
        <v>8.0</v>
      </c>
      <c r="F10000" s="66" t="str">
        <f>IFERROR(__xludf.DUMMYFUNCTION("GOOGLETRANSLATE(A10000,""en"",""pt"")"),"#VALUE!")</f>
        <v>#VALUE!</v>
      </c>
      <c r="G10000" s="69"/>
    </row>
    <row r="10001" ht="22.5" customHeight="1">
      <c r="A10001" s="66"/>
      <c r="B10001" s="67" t="str">
        <f t="shared" si="16"/>
        <v>M: </v>
      </c>
      <c r="C10001" s="68"/>
      <c r="D10001" s="68">
        <v>46749.0</v>
      </c>
      <c r="E10001" s="66">
        <v>9.0</v>
      </c>
      <c r="F10001" s="66" t="str">
        <f>IFERROR(__xludf.DUMMYFUNCTION("GOOGLETRANSLATE(A10001,""en"",""pt"")"),"#VALUE!")</f>
        <v>#VALUE!</v>
      </c>
      <c r="G10001" s="69"/>
    </row>
    <row r="10002" ht="22.5" customHeight="1">
      <c r="A10002" s="66"/>
      <c r="B10002" s="67" t="str">
        <f t="shared" si="16"/>
        <v>M: </v>
      </c>
      <c r="C10002" s="68"/>
      <c r="D10002" s="68">
        <v>46750.0</v>
      </c>
      <c r="E10002" s="66">
        <v>10.0</v>
      </c>
      <c r="F10002" s="66" t="str">
        <f>IFERROR(__xludf.DUMMYFUNCTION("GOOGLETRANSLATE(A10002,""en"",""pt"")"),"#VALUE!")</f>
        <v>#VALUE!</v>
      </c>
      <c r="G10002" s="69"/>
    </row>
    <row r="10003" ht="22.5" customHeight="1">
      <c r="A10003" s="66"/>
      <c r="B10003" s="67" t="str">
        <f t="shared" si="16"/>
        <v>M: </v>
      </c>
      <c r="C10003" s="68"/>
      <c r="D10003" s="68">
        <v>46750.0</v>
      </c>
      <c r="E10003" s="66">
        <v>1.0</v>
      </c>
      <c r="F10003" s="66" t="str">
        <f>IFERROR(__xludf.DUMMYFUNCTION("GOOGLETRANSLATE(A10003,""en"",""pt"")"),"#VALUE!")</f>
        <v>#VALUE!</v>
      </c>
      <c r="G10003" s="69"/>
    </row>
    <row r="10004" ht="22.5" customHeight="1">
      <c r="A10004" s="66"/>
      <c r="B10004" s="67" t="str">
        <f t="shared" si="16"/>
        <v>M: </v>
      </c>
      <c r="C10004" s="68"/>
      <c r="D10004" s="68">
        <v>46750.0</v>
      </c>
      <c r="E10004" s="66">
        <v>2.0</v>
      </c>
      <c r="F10004" s="66" t="str">
        <f>IFERROR(__xludf.DUMMYFUNCTION("GOOGLETRANSLATE(A10004,""en"",""pt"")"),"#VALUE!")</f>
        <v>#VALUE!</v>
      </c>
      <c r="G10004" s="69"/>
    </row>
    <row r="10005" ht="22.5" customHeight="1">
      <c r="A10005" s="66"/>
      <c r="B10005" s="67" t="str">
        <f t="shared" si="16"/>
        <v>M: </v>
      </c>
      <c r="C10005" s="68"/>
      <c r="D10005" s="68">
        <v>46750.0</v>
      </c>
      <c r="E10005" s="66">
        <v>3.0</v>
      </c>
      <c r="F10005" s="66" t="str">
        <f>IFERROR(__xludf.DUMMYFUNCTION("GOOGLETRANSLATE(A10005,""en"",""pt"")"),"#VALUE!")</f>
        <v>#VALUE!</v>
      </c>
      <c r="G10005" s="69"/>
    </row>
    <row r="10006" ht="22.5" customHeight="1">
      <c r="A10006" s="66"/>
      <c r="B10006" s="67" t="str">
        <f t="shared" si="16"/>
        <v>M: </v>
      </c>
      <c r="C10006" s="68"/>
      <c r="D10006" s="68">
        <v>46750.0</v>
      </c>
      <c r="E10006" s="66">
        <v>4.0</v>
      </c>
      <c r="F10006" s="66" t="str">
        <f>IFERROR(__xludf.DUMMYFUNCTION("GOOGLETRANSLATE(A10006,""en"",""pt"")"),"#VALUE!")</f>
        <v>#VALUE!</v>
      </c>
      <c r="G10006" s="69"/>
    </row>
    <row r="10007" ht="22.5" customHeight="1">
      <c r="A10007" s="66"/>
      <c r="B10007" s="67" t="str">
        <f t="shared" si="16"/>
        <v>M: </v>
      </c>
      <c r="C10007" s="68"/>
      <c r="D10007" s="68">
        <v>46750.0</v>
      </c>
      <c r="E10007" s="66">
        <v>5.0</v>
      </c>
      <c r="F10007" s="66" t="str">
        <f>IFERROR(__xludf.DUMMYFUNCTION("GOOGLETRANSLATE(A10007,""en"",""pt"")"),"#VALUE!")</f>
        <v>#VALUE!</v>
      </c>
      <c r="G10007" s="69"/>
    </row>
    <row r="10008" ht="22.5" customHeight="1">
      <c r="A10008" s="66"/>
      <c r="B10008" s="67" t="str">
        <f t="shared" si="16"/>
        <v>M: </v>
      </c>
      <c r="C10008" s="68"/>
      <c r="D10008" s="68">
        <v>46750.0</v>
      </c>
      <c r="E10008" s="66">
        <v>6.0</v>
      </c>
      <c r="F10008" s="66" t="str">
        <f>IFERROR(__xludf.DUMMYFUNCTION("GOOGLETRANSLATE(A10008,""en"",""pt"")"),"#VALUE!")</f>
        <v>#VALUE!</v>
      </c>
      <c r="G10008" s="69"/>
    </row>
    <row r="10009" ht="22.5" customHeight="1">
      <c r="A10009" s="66"/>
      <c r="B10009" s="67" t="str">
        <f t="shared" si="16"/>
        <v>M: </v>
      </c>
      <c r="C10009" s="68"/>
      <c r="D10009" s="68">
        <v>46750.0</v>
      </c>
      <c r="E10009" s="66">
        <v>7.0</v>
      </c>
      <c r="F10009" s="66" t="str">
        <f>IFERROR(__xludf.DUMMYFUNCTION("GOOGLETRANSLATE(A10009,""en"",""pt"")"),"#VALUE!")</f>
        <v>#VALUE!</v>
      </c>
      <c r="G10009" s="69"/>
    </row>
    <row r="10010" ht="22.5" customHeight="1">
      <c r="A10010" s="66"/>
      <c r="B10010" s="67" t="str">
        <f t="shared" si="16"/>
        <v>M: </v>
      </c>
      <c r="C10010" s="68"/>
      <c r="D10010" s="68">
        <v>46750.0</v>
      </c>
      <c r="E10010" s="66">
        <v>8.0</v>
      </c>
      <c r="F10010" s="66" t="str">
        <f>IFERROR(__xludf.DUMMYFUNCTION("GOOGLETRANSLATE(A10010,""en"",""pt"")"),"#VALUE!")</f>
        <v>#VALUE!</v>
      </c>
      <c r="G10010" s="69"/>
    </row>
    <row r="10011" ht="22.5" customHeight="1">
      <c r="A10011" s="66"/>
      <c r="B10011" s="67" t="str">
        <f t="shared" si="16"/>
        <v>M: </v>
      </c>
      <c r="C10011" s="68"/>
      <c r="D10011" s="68">
        <v>46750.0</v>
      </c>
      <c r="E10011" s="66">
        <v>9.0</v>
      </c>
      <c r="F10011" s="66" t="str">
        <f>IFERROR(__xludf.DUMMYFUNCTION("GOOGLETRANSLATE(A10011,""en"",""pt"")"),"#VALUE!")</f>
        <v>#VALUE!</v>
      </c>
      <c r="G10011" s="69"/>
    </row>
    <row r="10012" ht="22.5" customHeight="1">
      <c r="A10012" s="66"/>
      <c r="B10012" s="67" t="str">
        <f t="shared" si="16"/>
        <v>M: </v>
      </c>
      <c r="C10012" s="68"/>
      <c r="D10012" s="68">
        <v>46751.0</v>
      </c>
      <c r="E10012" s="66">
        <v>10.0</v>
      </c>
      <c r="F10012" s="66" t="str">
        <f>IFERROR(__xludf.DUMMYFUNCTION("GOOGLETRANSLATE(A10012,""en"",""pt"")"),"#VALUE!")</f>
        <v>#VALUE!</v>
      </c>
      <c r="G10012" s="69"/>
    </row>
    <row r="10013" ht="22.5" customHeight="1">
      <c r="A10013" s="66"/>
      <c r="B10013" s="67" t="str">
        <f t="shared" si="16"/>
        <v>M: </v>
      </c>
      <c r="C10013" s="68"/>
      <c r="D10013" s="68">
        <v>46751.0</v>
      </c>
      <c r="E10013" s="66">
        <v>1.0</v>
      </c>
      <c r="F10013" s="66" t="str">
        <f>IFERROR(__xludf.DUMMYFUNCTION("GOOGLETRANSLATE(A10013,""en"",""pt"")"),"#VALUE!")</f>
        <v>#VALUE!</v>
      </c>
      <c r="G10013" s="69"/>
    </row>
    <row r="10014" ht="22.5" customHeight="1">
      <c r="A10014" s="66"/>
      <c r="B10014" s="67" t="str">
        <f t="shared" si="16"/>
        <v>M: </v>
      </c>
      <c r="C10014" s="68"/>
      <c r="D10014" s="68">
        <v>46751.0</v>
      </c>
      <c r="E10014" s="66">
        <v>2.0</v>
      </c>
      <c r="F10014" s="66" t="str">
        <f>IFERROR(__xludf.DUMMYFUNCTION("GOOGLETRANSLATE(A10014,""en"",""pt"")"),"#VALUE!")</f>
        <v>#VALUE!</v>
      </c>
      <c r="G10014" s="69"/>
    </row>
    <row r="10015" ht="22.5" customHeight="1">
      <c r="A10015" s="66"/>
      <c r="B10015" s="67" t="str">
        <f t="shared" si="16"/>
        <v>M: </v>
      </c>
      <c r="C10015" s="68"/>
      <c r="D10015" s="68">
        <v>46751.0</v>
      </c>
      <c r="E10015" s="66">
        <v>3.0</v>
      </c>
      <c r="F10015" s="66" t="str">
        <f>IFERROR(__xludf.DUMMYFUNCTION("GOOGLETRANSLATE(A10015,""en"",""pt"")"),"#VALUE!")</f>
        <v>#VALUE!</v>
      </c>
      <c r="G10015" s="69"/>
    </row>
    <row r="10016" ht="22.5" customHeight="1">
      <c r="A10016" s="66"/>
      <c r="B10016" s="67" t="str">
        <f t="shared" si="16"/>
        <v>M: </v>
      </c>
      <c r="C10016" s="68"/>
      <c r="D10016" s="68">
        <v>46751.0</v>
      </c>
      <c r="E10016" s="66">
        <v>4.0</v>
      </c>
      <c r="F10016" s="66" t="str">
        <f>IFERROR(__xludf.DUMMYFUNCTION("GOOGLETRANSLATE(A10016,""en"",""pt"")"),"#VALUE!")</f>
        <v>#VALUE!</v>
      </c>
      <c r="G10016" s="69"/>
    </row>
    <row r="10017" ht="22.5" customHeight="1">
      <c r="A10017" s="66"/>
      <c r="B10017" s="67" t="str">
        <f t="shared" si="16"/>
        <v>M: </v>
      </c>
      <c r="C10017" s="68"/>
      <c r="D10017" s="68">
        <v>46751.0</v>
      </c>
      <c r="E10017" s="66">
        <v>5.0</v>
      </c>
      <c r="F10017" s="66" t="str">
        <f>IFERROR(__xludf.DUMMYFUNCTION("GOOGLETRANSLATE(A10017,""en"",""pt"")"),"#VALUE!")</f>
        <v>#VALUE!</v>
      </c>
      <c r="G10017" s="69"/>
    </row>
    <row r="10018" ht="22.5" customHeight="1">
      <c r="A10018" s="66"/>
      <c r="B10018" s="67" t="str">
        <f t="shared" si="16"/>
        <v>M: </v>
      </c>
      <c r="C10018" s="68"/>
      <c r="D10018" s="68">
        <v>46751.0</v>
      </c>
      <c r="E10018" s="66">
        <v>6.0</v>
      </c>
      <c r="F10018" s="66" t="str">
        <f>IFERROR(__xludf.DUMMYFUNCTION("GOOGLETRANSLATE(A10018,""en"",""pt"")"),"#VALUE!")</f>
        <v>#VALUE!</v>
      </c>
      <c r="G10018" s="69"/>
    </row>
    <row r="10019" ht="22.5" customHeight="1">
      <c r="A10019" s="66"/>
      <c r="B10019" s="67" t="str">
        <f t="shared" si="16"/>
        <v>M: </v>
      </c>
      <c r="C10019" s="68"/>
      <c r="D10019" s="68">
        <v>46751.0</v>
      </c>
      <c r="E10019" s="66">
        <v>7.0</v>
      </c>
      <c r="F10019" s="66" t="str">
        <f>IFERROR(__xludf.DUMMYFUNCTION("GOOGLETRANSLATE(A10019,""en"",""pt"")"),"#VALUE!")</f>
        <v>#VALUE!</v>
      </c>
      <c r="G10019" s="69"/>
    </row>
    <row r="10020" ht="22.5" customHeight="1">
      <c r="A10020" s="66"/>
      <c r="B10020" s="67" t="str">
        <f t="shared" si="16"/>
        <v>M: </v>
      </c>
      <c r="C10020" s="68"/>
      <c r="D10020" s="68">
        <v>46751.0</v>
      </c>
      <c r="E10020" s="66">
        <v>8.0</v>
      </c>
      <c r="F10020" s="66" t="str">
        <f>IFERROR(__xludf.DUMMYFUNCTION("GOOGLETRANSLATE(A10020,""en"",""pt"")"),"#VALUE!")</f>
        <v>#VALUE!</v>
      </c>
      <c r="G10020" s="69"/>
    </row>
    <row r="10021" ht="22.5" customHeight="1">
      <c r="A10021" s="66"/>
      <c r="B10021" s="67" t="str">
        <f t="shared" si="16"/>
        <v>M: </v>
      </c>
      <c r="C10021" s="68"/>
      <c r="D10021" s="68">
        <v>46751.0</v>
      </c>
      <c r="E10021" s="66">
        <v>9.0</v>
      </c>
      <c r="F10021" s="66" t="str">
        <f>IFERROR(__xludf.DUMMYFUNCTION("GOOGLETRANSLATE(A10021,""en"",""pt"")"),"#VALUE!")</f>
        <v>#VALUE!</v>
      </c>
      <c r="G10021" s="69"/>
    </row>
    <row r="10022" ht="22.5" customHeight="1">
      <c r="A10022" s="66"/>
      <c r="B10022" s="67" t="str">
        <f t="shared" si="16"/>
        <v>M: </v>
      </c>
      <c r="C10022" s="68"/>
      <c r="D10022" s="68">
        <v>46752.0</v>
      </c>
      <c r="E10022" s="66">
        <v>10.0</v>
      </c>
      <c r="F10022" s="66" t="str">
        <f>IFERROR(__xludf.DUMMYFUNCTION("GOOGLETRANSLATE(A10022,""en"",""pt"")"),"#VALUE!")</f>
        <v>#VALUE!</v>
      </c>
      <c r="G10022" s="69"/>
    </row>
    <row r="10023" ht="22.5" customHeight="1">
      <c r="A10023" s="66"/>
      <c r="B10023" s="67" t="str">
        <f t="shared" si="16"/>
        <v>M: </v>
      </c>
      <c r="C10023" s="68"/>
      <c r="D10023" s="68">
        <v>46752.0</v>
      </c>
      <c r="E10023" s="66">
        <v>1.0</v>
      </c>
      <c r="F10023" s="66" t="str">
        <f>IFERROR(__xludf.DUMMYFUNCTION("GOOGLETRANSLATE(A10023,""en"",""pt"")"),"#VALUE!")</f>
        <v>#VALUE!</v>
      </c>
      <c r="G10023" s="69"/>
    </row>
    <row r="10024" ht="22.5" customHeight="1">
      <c r="A10024" s="66"/>
      <c r="B10024" s="67" t="str">
        <f t="shared" si="16"/>
        <v>M: </v>
      </c>
      <c r="C10024" s="68"/>
      <c r="D10024" s="68">
        <v>46752.0</v>
      </c>
      <c r="E10024" s="66">
        <v>2.0</v>
      </c>
      <c r="F10024" s="66" t="str">
        <f>IFERROR(__xludf.DUMMYFUNCTION("GOOGLETRANSLATE(A10024,""en"",""pt"")"),"#VALUE!")</f>
        <v>#VALUE!</v>
      </c>
      <c r="G10024" s="69"/>
    </row>
    <row r="10025" ht="22.5" customHeight="1">
      <c r="A10025" s="66"/>
      <c r="B10025" s="67" t="str">
        <f t="shared" si="16"/>
        <v>M: </v>
      </c>
      <c r="C10025" s="68"/>
      <c r="D10025" s="68">
        <v>46752.0</v>
      </c>
      <c r="E10025" s="66">
        <v>3.0</v>
      </c>
      <c r="F10025" s="66" t="str">
        <f>IFERROR(__xludf.DUMMYFUNCTION("GOOGLETRANSLATE(A10025,""en"",""pt"")"),"#VALUE!")</f>
        <v>#VALUE!</v>
      </c>
      <c r="G10025" s="69"/>
    </row>
    <row r="10026" ht="22.5" customHeight="1">
      <c r="A10026" s="66"/>
      <c r="B10026" s="67" t="str">
        <f t="shared" si="16"/>
        <v>M: </v>
      </c>
      <c r="C10026" s="68"/>
      <c r="D10026" s="68">
        <v>46752.0</v>
      </c>
      <c r="E10026" s="66">
        <v>4.0</v>
      </c>
      <c r="F10026" s="66" t="str">
        <f>IFERROR(__xludf.DUMMYFUNCTION("GOOGLETRANSLATE(A10026,""en"",""pt"")"),"#VALUE!")</f>
        <v>#VALUE!</v>
      </c>
      <c r="G10026" s="69"/>
    </row>
    <row r="10027" ht="22.5" customHeight="1">
      <c r="A10027" s="66"/>
      <c r="B10027" s="67" t="str">
        <f t="shared" si="16"/>
        <v>M: </v>
      </c>
      <c r="C10027" s="68"/>
      <c r="D10027" s="68">
        <v>46752.0</v>
      </c>
      <c r="E10027" s="66">
        <v>5.0</v>
      </c>
      <c r="F10027" s="66" t="str">
        <f>IFERROR(__xludf.DUMMYFUNCTION("GOOGLETRANSLATE(A10027,""en"",""pt"")"),"#VALUE!")</f>
        <v>#VALUE!</v>
      </c>
      <c r="G10027" s="69"/>
    </row>
    <row r="10028" ht="22.5" customHeight="1">
      <c r="A10028" s="66"/>
      <c r="B10028" s="67" t="str">
        <f t="shared" si="16"/>
        <v>M: </v>
      </c>
      <c r="C10028" s="68"/>
      <c r="D10028" s="68">
        <v>46752.0</v>
      </c>
      <c r="E10028" s="66">
        <v>6.0</v>
      </c>
      <c r="F10028" s="66" t="str">
        <f>IFERROR(__xludf.DUMMYFUNCTION("GOOGLETRANSLATE(A10028,""en"",""pt"")"),"#VALUE!")</f>
        <v>#VALUE!</v>
      </c>
      <c r="G10028" s="69"/>
    </row>
    <row r="10029" ht="22.5" customHeight="1">
      <c r="A10029" s="66"/>
      <c r="B10029" s="67" t="str">
        <f t="shared" si="16"/>
        <v>M: </v>
      </c>
      <c r="C10029" s="68"/>
      <c r="D10029" s="68">
        <v>46752.0</v>
      </c>
      <c r="E10029" s="66">
        <v>7.0</v>
      </c>
      <c r="F10029" s="66" t="str">
        <f>IFERROR(__xludf.DUMMYFUNCTION("GOOGLETRANSLATE(A10029,""en"",""pt"")"),"#VALUE!")</f>
        <v>#VALUE!</v>
      </c>
      <c r="G10029" s="69"/>
    </row>
    <row r="10030" ht="22.5" customHeight="1">
      <c r="A10030" s="66"/>
      <c r="B10030" s="67" t="str">
        <f t="shared" si="16"/>
        <v>M: </v>
      </c>
      <c r="C10030" s="68"/>
      <c r="D10030" s="68">
        <v>46752.0</v>
      </c>
      <c r="E10030" s="66">
        <v>8.0</v>
      </c>
      <c r="F10030" s="66" t="str">
        <f>IFERROR(__xludf.DUMMYFUNCTION("GOOGLETRANSLATE(A10030,""en"",""pt"")"),"#VALUE!")</f>
        <v>#VALUE!</v>
      </c>
      <c r="G10030" s="69"/>
    </row>
    <row r="10031" ht="22.5" customHeight="1">
      <c r="A10031" s="66"/>
      <c r="B10031" s="67" t="str">
        <f t="shared" si="16"/>
        <v>M: </v>
      </c>
      <c r="C10031" s="68"/>
      <c r="D10031" s="68">
        <v>46752.0</v>
      </c>
      <c r="E10031" s="66">
        <v>9.0</v>
      </c>
      <c r="F10031" s="66" t="str">
        <f>IFERROR(__xludf.DUMMYFUNCTION("GOOGLETRANSLATE(A10031,""en"",""pt"")"),"#VALUE!")</f>
        <v>#VALUE!</v>
      </c>
      <c r="G10031" s="69"/>
    </row>
    <row r="10032" ht="22.5" customHeight="1">
      <c r="A10032" s="66"/>
      <c r="B10032" s="67" t="str">
        <f t="shared" si="16"/>
        <v>M: </v>
      </c>
      <c r="C10032" s="68"/>
      <c r="D10032" s="68">
        <v>46753.0</v>
      </c>
      <c r="E10032" s="66">
        <v>10.0</v>
      </c>
      <c r="F10032" s="66" t="str">
        <f>IFERROR(__xludf.DUMMYFUNCTION("GOOGLETRANSLATE(A10032,""en"",""pt"")"),"#VALUE!")</f>
        <v>#VALUE!</v>
      </c>
      <c r="G10032" s="69"/>
    </row>
    <row r="10033" ht="22.5" customHeight="1">
      <c r="A10033" s="66"/>
      <c r="B10033" s="67" t="str">
        <f t="shared" si="16"/>
        <v>M: </v>
      </c>
      <c r="C10033" s="68"/>
      <c r="D10033" s="68">
        <v>46753.0</v>
      </c>
      <c r="E10033" s="66">
        <v>1.0</v>
      </c>
      <c r="F10033" s="66" t="str">
        <f>IFERROR(__xludf.DUMMYFUNCTION("GOOGLETRANSLATE(A10033,""en"",""pt"")"),"#VALUE!")</f>
        <v>#VALUE!</v>
      </c>
      <c r="G10033" s="69"/>
    </row>
    <row r="10034" ht="22.5" customHeight="1">
      <c r="A10034" s="66"/>
      <c r="B10034" s="67" t="str">
        <f t="shared" si="16"/>
        <v>M: </v>
      </c>
      <c r="C10034" s="68"/>
      <c r="D10034" s="68">
        <v>46753.0</v>
      </c>
      <c r="E10034" s="66">
        <v>2.0</v>
      </c>
      <c r="F10034" s="66" t="str">
        <f>IFERROR(__xludf.DUMMYFUNCTION("GOOGLETRANSLATE(A10034,""en"",""pt"")"),"#VALUE!")</f>
        <v>#VALUE!</v>
      </c>
      <c r="G10034" s="69"/>
    </row>
    <row r="10035" ht="22.5" customHeight="1">
      <c r="A10035" s="66"/>
      <c r="B10035" s="67" t="str">
        <f t="shared" si="16"/>
        <v>M: </v>
      </c>
      <c r="C10035" s="68"/>
      <c r="D10035" s="68">
        <v>46753.0</v>
      </c>
      <c r="E10035" s="66">
        <v>3.0</v>
      </c>
      <c r="F10035" s="66" t="str">
        <f>IFERROR(__xludf.DUMMYFUNCTION("GOOGLETRANSLATE(A10035,""en"",""pt"")"),"#VALUE!")</f>
        <v>#VALUE!</v>
      </c>
      <c r="G10035" s="69"/>
    </row>
    <row r="10036" ht="22.5" customHeight="1">
      <c r="A10036" s="66"/>
      <c r="B10036" s="67" t="str">
        <f t="shared" si="16"/>
        <v>M: </v>
      </c>
      <c r="C10036" s="68"/>
      <c r="D10036" s="68">
        <v>46753.0</v>
      </c>
      <c r="E10036" s="66">
        <v>4.0</v>
      </c>
      <c r="F10036" s="66" t="str">
        <f>IFERROR(__xludf.DUMMYFUNCTION("GOOGLETRANSLATE(A10036,""en"",""pt"")"),"#VALUE!")</f>
        <v>#VALUE!</v>
      </c>
      <c r="G10036" s="69"/>
    </row>
    <row r="10037" ht="22.5" customHeight="1">
      <c r="A10037" s="66"/>
      <c r="B10037" s="67" t="str">
        <f t="shared" si="16"/>
        <v>M: </v>
      </c>
      <c r="C10037" s="68"/>
      <c r="D10037" s="68">
        <v>46753.0</v>
      </c>
      <c r="E10037" s="66">
        <v>5.0</v>
      </c>
      <c r="F10037" s="66" t="str">
        <f>IFERROR(__xludf.DUMMYFUNCTION("GOOGLETRANSLATE(A10037,""en"",""pt"")"),"#VALUE!")</f>
        <v>#VALUE!</v>
      </c>
      <c r="G10037" s="69"/>
    </row>
    <row r="10038" ht="22.5" customHeight="1">
      <c r="A10038" s="66"/>
      <c r="B10038" s="67" t="str">
        <f t="shared" si="16"/>
        <v>M: </v>
      </c>
      <c r="C10038" s="68"/>
      <c r="D10038" s="68">
        <v>46753.0</v>
      </c>
      <c r="E10038" s="66">
        <v>6.0</v>
      </c>
      <c r="F10038" s="66" t="str">
        <f>IFERROR(__xludf.DUMMYFUNCTION("GOOGLETRANSLATE(A10038,""en"",""pt"")"),"#VALUE!")</f>
        <v>#VALUE!</v>
      </c>
      <c r="G10038" s="69"/>
    </row>
    <row r="10039" ht="22.5" customHeight="1">
      <c r="A10039" s="66"/>
      <c r="B10039" s="67" t="str">
        <f t="shared" si="16"/>
        <v>M: </v>
      </c>
      <c r="C10039" s="68"/>
      <c r="D10039" s="68">
        <v>46753.0</v>
      </c>
      <c r="E10039" s="66">
        <v>7.0</v>
      </c>
      <c r="F10039" s="66" t="str">
        <f>IFERROR(__xludf.DUMMYFUNCTION("GOOGLETRANSLATE(A10039,""en"",""pt"")"),"#VALUE!")</f>
        <v>#VALUE!</v>
      </c>
      <c r="G10039" s="69"/>
    </row>
    <row r="10040" ht="22.5" customHeight="1">
      <c r="A10040" s="66"/>
      <c r="B10040" s="67" t="str">
        <f t="shared" si="16"/>
        <v>M: </v>
      </c>
      <c r="C10040" s="68"/>
      <c r="D10040" s="68">
        <v>46753.0</v>
      </c>
      <c r="E10040" s="66">
        <v>8.0</v>
      </c>
      <c r="F10040" s="66" t="str">
        <f>IFERROR(__xludf.DUMMYFUNCTION("GOOGLETRANSLATE(A10040,""en"",""pt"")"),"#VALUE!")</f>
        <v>#VALUE!</v>
      </c>
      <c r="G10040" s="69"/>
    </row>
    <row r="10041" ht="22.5" customHeight="1">
      <c r="A10041" s="66"/>
      <c r="B10041" s="67" t="str">
        <f t="shared" si="16"/>
        <v>M: </v>
      </c>
      <c r="C10041" s="68"/>
      <c r="D10041" s="68">
        <v>46753.0</v>
      </c>
      <c r="E10041" s="66">
        <v>9.0</v>
      </c>
      <c r="F10041" s="66" t="str">
        <f>IFERROR(__xludf.DUMMYFUNCTION("GOOGLETRANSLATE(A10041,""en"",""pt"")"),"#VALUE!")</f>
        <v>#VALUE!</v>
      </c>
      <c r="G10041" s="69"/>
    </row>
    <row r="10042" ht="22.5" customHeight="1">
      <c r="A10042" s="66"/>
      <c r="B10042" s="67" t="str">
        <f t="shared" si="16"/>
        <v>M: </v>
      </c>
      <c r="C10042" s="68"/>
      <c r="D10042" s="68">
        <v>46754.0</v>
      </c>
      <c r="E10042" s="66">
        <v>10.0</v>
      </c>
      <c r="F10042" s="66" t="str">
        <f>IFERROR(__xludf.DUMMYFUNCTION("GOOGLETRANSLATE(A10042,""en"",""pt"")"),"#VALUE!")</f>
        <v>#VALUE!</v>
      </c>
      <c r="G10042" s="69"/>
    </row>
    <row r="10043" ht="22.5" customHeight="1">
      <c r="A10043" s="66"/>
      <c r="B10043" s="67" t="str">
        <f t="shared" si="16"/>
        <v>M: </v>
      </c>
      <c r="C10043" s="68"/>
      <c r="D10043" s="68">
        <v>46754.0</v>
      </c>
      <c r="E10043" s="66">
        <v>1.0</v>
      </c>
      <c r="F10043" s="66" t="str">
        <f>IFERROR(__xludf.DUMMYFUNCTION("GOOGLETRANSLATE(A10043,""en"",""pt"")"),"#VALUE!")</f>
        <v>#VALUE!</v>
      </c>
      <c r="G10043" s="69"/>
    </row>
    <row r="10044" ht="22.5" customHeight="1">
      <c r="A10044" s="66"/>
      <c r="B10044" s="67" t="str">
        <f t="shared" si="16"/>
        <v>M: </v>
      </c>
      <c r="C10044" s="68"/>
      <c r="D10044" s="68">
        <v>46754.0</v>
      </c>
      <c r="E10044" s="66">
        <v>2.0</v>
      </c>
      <c r="F10044" s="66" t="str">
        <f>IFERROR(__xludf.DUMMYFUNCTION("GOOGLETRANSLATE(A10044,""en"",""pt"")"),"#VALUE!")</f>
        <v>#VALUE!</v>
      </c>
      <c r="G10044" s="69"/>
    </row>
    <row r="10045" ht="22.5" customHeight="1">
      <c r="A10045" s="66"/>
      <c r="B10045" s="67" t="str">
        <f t="shared" si="16"/>
        <v>M: </v>
      </c>
      <c r="C10045" s="68"/>
      <c r="D10045" s="68">
        <v>46754.0</v>
      </c>
      <c r="E10045" s="66">
        <v>3.0</v>
      </c>
      <c r="F10045" s="66" t="str">
        <f>IFERROR(__xludf.DUMMYFUNCTION("GOOGLETRANSLATE(A10045,""en"",""pt"")"),"#VALUE!")</f>
        <v>#VALUE!</v>
      </c>
      <c r="G10045" s="69"/>
    </row>
    <row r="10046" ht="22.5" customHeight="1">
      <c r="A10046" s="66"/>
      <c r="B10046" s="67" t="str">
        <f t="shared" si="16"/>
        <v>M: </v>
      </c>
      <c r="C10046" s="68"/>
      <c r="D10046" s="68">
        <v>46754.0</v>
      </c>
      <c r="E10046" s="66">
        <v>4.0</v>
      </c>
      <c r="F10046" s="66" t="str">
        <f>IFERROR(__xludf.DUMMYFUNCTION("GOOGLETRANSLATE(A10046,""en"",""pt"")"),"#VALUE!")</f>
        <v>#VALUE!</v>
      </c>
      <c r="G10046" s="69"/>
    </row>
    <row r="10047" ht="22.5" customHeight="1">
      <c r="A10047" s="66"/>
      <c r="B10047" s="67" t="str">
        <f t="shared" si="16"/>
        <v>M: </v>
      </c>
      <c r="C10047" s="68"/>
      <c r="D10047" s="68">
        <v>46754.0</v>
      </c>
      <c r="E10047" s="66">
        <v>5.0</v>
      </c>
      <c r="F10047" s="66" t="str">
        <f>IFERROR(__xludf.DUMMYFUNCTION("GOOGLETRANSLATE(A10047,""en"",""pt"")"),"#VALUE!")</f>
        <v>#VALUE!</v>
      </c>
      <c r="G10047" s="69"/>
    </row>
    <row r="10048" ht="22.5" customHeight="1">
      <c r="A10048" s="66"/>
      <c r="B10048" s="67" t="str">
        <f t="shared" si="16"/>
        <v>M: </v>
      </c>
      <c r="C10048" s="68"/>
      <c r="D10048" s="68">
        <v>46754.0</v>
      </c>
      <c r="E10048" s="66">
        <v>6.0</v>
      </c>
      <c r="F10048" s="66" t="str">
        <f>IFERROR(__xludf.DUMMYFUNCTION("GOOGLETRANSLATE(A10048,""en"",""pt"")"),"#VALUE!")</f>
        <v>#VALUE!</v>
      </c>
      <c r="G10048" s="69"/>
    </row>
    <row r="10049" ht="22.5" customHeight="1">
      <c r="A10049" s="66"/>
      <c r="B10049" s="67" t="str">
        <f t="shared" si="16"/>
        <v>M: </v>
      </c>
      <c r="C10049" s="68"/>
      <c r="D10049" s="68">
        <v>46754.0</v>
      </c>
      <c r="E10049" s="66">
        <v>7.0</v>
      </c>
      <c r="F10049" s="66" t="str">
        <f>IFERROR(__xludf.DUMMYFUNCTION("GOOGLETRANSLATE(A10049,""en"",""pt"")"),"#VALUE!")</f>
        <v>#VALUE!</v>
      </c>
      <c r="G10049" s="69"/>
    </row>
    <row r="10050" ht="22.5" customHeight="1">
      <c r="A10050" s="66"/>
      <c r="B10050" s="67" t="str">
        <f t="shared" si="16"/>
        <v>M: </v>
      </c>
      <c r="C10050" s="68"/>
      <c r="D10050" s="68">
        <v>46754.0</v>
      </c>
      <c r="E10050" s="66">
        <v>8.0</v>
      </c>
      <c r="F10050" s="66" t="str">
        <f>IFERROR(__xludf.DUMMYFUNCTION("GOOGLETRANSLATE(A10050,""en"",""pt"")"),"#VALUE!")</f>
        <v>#VALUE!</v>
      </c>
      <c r="G10050" s="69"/>
    </row>
    <row r="10051" ht="22.5" customHeight="1">
      <c r="A10051" s="66"/>
      <c r="B10051" s="67" t="str">
        <f t="shared" si="16"/>
        <v>M: </v>
      </c>
      <c r="C10051" s="68"/>
      <c r="D10051" s="68">
        <v>46754.0</v>
      </c>
      <c r="E10051" s="66">
        <v>9.0</v>
      </c>
      <c r="F10051" s="66" t="str">
        <f>IFERROR(__xludf.DUMMYFUNCTION("GOOGLETRANSLATE(A10051,""en"",""pt"")"),"#VALUE!")</f>
        <v>#VALUE!</v>
      </c>
      <c r="G10051" s="69"/>
    </row>
    <row r="10052" ht="22.5" customHeight="1">
      <c r="A10052" s="66"/>
      <c r="B10052" s="67" t="str">
        <f t="shared" si="16"/>
        <v>M: </v>
      </c>
      <c r="C10052" s="68"/>
      <c r="D10052" s="68">
        <v>46755.0</v>
      </c>
      <c r="E10052" s="66">
        <v>10.0</v>
      </c>
      <c r="F10052" s="66" t="str">
        <f>IFERROR(__xludf.DUMMYFUNCTION("GOOGLETRANSLATE(A10052,""en"",""pt"")"),"#VALUE!")</f>
        <v>#VALUE!</v>
      </c>
      <c r="G10052" s="69"/>
    </row>
    <row r="10053" ht="22.5" customHeight="1">
      <c r="A10053" s="66"/>
      <c r="B10053" s="67" t="str">
        <f t="shared" si="16"/>
        <v>M: </v>
      </c>
      <c r="C10053" s="68"/>
      <c r="D10053" s="68">
        <v>46755.0</v>
      </c>
      <c r="E10053" s="66">
        <v>1.0</v>
      </c>
      <c r="F10053" s="66" t="str">
        <f>IFERROR(__xludf.DUMMYFUNCTION("GOOGLETRANSLATE(A10053,""en"",""pt"")"),"#VALUE!")</f>
        <v>#VALUE!</v>
      </c>
      <c r="G10053" s="69"/>
    </row>
    <row r="10054" ht="22.5" customHeight="1">
      <c r="A10054" s="66"/>
      <c r="B10054" s="67" t="str">
        <f t="shared" si="16"/>
        <v>M: </v>
      </c>
      <c r="C10054" s="68"/>
      <c r="D10054" s="68">
        <v>46755.0</v>
      </c>
      <c r="E10054" s="66">
        <v>2.0</v>
      </c>
      <c r="F10054" s="66" t="str">
        <f>IFERROR(__xludf.DUMMYFUNCTION("GOOGLETRANSLATE(A10054,""en"",""pt"")"),"#VALUE!")</f>
        <v>#VALUE!</v>
      </c>
      <c r="G10054" s="69"/>
    </row>
    <row r="10055" ht="22.5" customHeight="1">
      <c r="A10055" s="66"/>
      <c r="B10055" s="67" t="str">
        <f t="shared" si="16"/>
        <v>M: </v>
      </c>
      <c r="C10055" s="68"/>
      <c r="D10055" s="68">
        <v>46755.0</v>
      </c>
      <c r="E10055" s="66">
        <v>3.0</v>
      </c>
      <c r="F10055" s="66" t="str">
        <f>IFERROR(__xludf.DUMMYFUNCTION("GOOGLETRANSLATE(A10055,""en"",""pt"")"),"#VALUE!")</f>
        <v>#VALUE!</v>
      </c>
      <c r="G10055" s="69"/>
    </row>
    <row r="10056" ht="22.5" customHeight="1">
      <c r="A10056" s="66"/>
      <c r="B10056" s="67" t="str">
        <f t="shared" si="16"/>
        <v>M: </v>
      </c>
      <c r="C10056" s="68"/>
      <c r="D10056" s="68">
        <v>46755.0</v>
      </c>
      <c r="E10056" s="66">
        <v>4.0</v>
      </c>
      <c r="F10056" s="66" t="str">
        <f>IFERROR(__xludf.DUMMYFUNCTION("GOOGLETRANSLATE(A10056,""en"",""pt"")"),"#VALUE!")</f>
        <v>#VALUE!</v>
      </c>
      <c r="G10056" s="69"/>
    </row>
    <row r="10057" ht="22.5" customHeight="1">
      <c r="A10057" s="66"/>
      <c r="B10057" s="67" t="str">
        <f t="shared" si="16"/>
        <v>M: </v>
      </c>
      <c r="C10057" s="68"/>
      <c r="D10057" s="68">
        <v>46755.0</v>
      </c>
      <c r="E10057" s="66">
        <v>5.0</v>
      </c>
      <c r="F10057" s="66" t="str">
        <f>IFERROR(__xludf.DUMMYFUNCTION("GOOGLETRANSLATE(A10057,""en"",""pt"")"),"#VALUE!")</f>
        <v>#VALUE!</v>
      </c>
      <c r="G10057" s="69"/>
    </row>
    <row r="10058" ht="22.5" customHeight="1">
      <c r="A10058" s="66"/>
      <c r="B10058" s="67" t="str">
        <f t="shared" si="16"/>
        <v>M: </v>
      </c>
      <c r="C10058" s="68"/>
      <c r="D10058" s="68">
        <v>46755.0</v>
      </c>
      <c r="E10058" s="66">
        <v>6.0</v>
      </c>
      <c r="F10058" s="66" t="str">
        <f>IFERROR(__xludf.DUMMYFUNCTION("GOOGLETRANSLATE(A10058,""en"",""pt"")"),"#VALUE!")</f>
        <v>#VALUE!</v>
      </c>
      <c r="G10058" s="69"/>
    </row>
    <row r="10059" ht="22.5" customHeight="1">
      <c r="A10059" s="66"/>
      <c r="B10059" s="67" t="str">
        <f t="shared" si="16"/>
        <v>M: </v>
      </c>
      <c r="C10059" s="68"/>
      <c r="D10059" s="68">
        <v>46755.0</v>
      </c>
      <c r="E10059" s="66">
        <v>7.0</v>
      </c>
      <c r="F10059" s="66" t="str">
        <f>IFERROR(__xludf.DUMMYFUNCTION("GOOGLETRANSLATE(A10059,""en"",""pt"")"),"#VALUE!")</f>
        <v>#VALUE!</v>
      </c>
      <c r="G10059" s="69"/>
    </row>
    <row r="10060" ht="22.5" customHeight="1">
      <c r="A10060" s="66"/>
      <c r="B10060" s="67" t="str">
        <f t="shared" si="16"/>
        <v>M: </v>
      </c>
      <c r="C10060" s="68"/>
      <c r="D10060" s="68">
        <v>46755.0</v>
      </c>
      <c r="E10060" s="66">
        <v>8.0</v>
      </c>
      <c r="F10060" s="66" t="str">
        <f>IFERROR(__xludf.DUMMYFUNCTION("GOOGLETRANSLATE(A10060,""en"",""pt"")"),"#VALUE!")</f>
        <v>#VALUE!</v>
      </c>
      <c r="G10060" s="69"/>
    </row>
    <row r="10061" ht="22.5" customHeight="1">
      <c r="A10061" s="66"/>
      <c r="B10061" s="67" t="str">
        <f t="shared" si="16"/>
        <v>M: </v>
      </c>
      <c r="C10061" s="68"/>
      <c r="D10061" s="68">
        <v>46755.0</v>
      </c>
      <c r="E10061" s="66">
        <v>9.0</v>
      </c>
      <c r="F10061" s="66" t="str">
        <f>IFERROR(__xludf.DUMMYFUNCTION("GOOGLETRANSLATE(A10061,""en"",""pt"")"),"#VALUE!")</f>
        <v>#VALUE!</v>
      </c>
      <c r="G10061" s="69"/>
    </row>
    <row r="10062" ht="22.5" customHeight="1">
      <c r="A10062" s="66"/>
      <c r="B10062" s="67" t="str">
        <f t="shared" si="16"/>
        <v>M: </v>
      </c>
      <c r="C10062" s="68"/>
      <c r="D10062" s="68">
        <v>46756.0</v>
      </c>
      <c r="E10062" s="66">
        <v>10.0</v>
      </c>
      <c r="F10062" s="66" t="str">
        <f>IFERROR(__xludf.DUMMYFUNCTION("GOOGLETRANSLATE(A10062,""en"",""pt"")"),"#VALUE!")</f>
        <v>#VALUE!</v>
      </c>
      <c r="G10062" s="69"/>
    </row>
    <row r="10063" ht="22.5" customHeight="1">
      <c r="A10063" s="66"/>
      <c r="B10063" s="67" t="str">
        <f t="shared" si="16"/>
        <v>M: </v>
      </c>
      <c r="C10063" s="68"/>
      <c r="D10063" s="68">
        <v>46756.0</v>
      </c>
      <c r="E10063" s="66">
        <v>1.0</v>
      </c>
      <c r="F10063" s="66" t="str">
        <f>IFERROR(__xludf.DUMMYFUNCTION("GOOGLETRANSLATE(A10063,""en"",""pt"")"),"#VALUE!")</f>
        <v>#VALUE!</v>
      </c>
      <c r="G10063" s="69"/>
    </row>
    <row r="10064" ht="22.5" customHeight="1">
      <c r="A10064" s="66"/>
      <c r="B10064" s="67" t="str">
        <f t="shared" si="16"/>
        <v>M: </v>
      </c>
      <c r="C10064" s="68"/>
      <c r="D10064" s="68">
        <v>46756.0</v>
      </c>
      <c r="E10064" s="66">
        <v>2.0</v>
      </c>
      <c r="F10064" s="66" t="str">
        <f>IFERROR(__xludf.DUMMYFUNCTION("GOOGLETRANSLATE(A10064,""en"",""pt"")"),"#VALUE!")</f>
        <v>#VALUE!</v>
      </c>
      <c r="G10064" s="69"/>
    </row>
    <row r="10065" ht="22.5" customHeight="1">
      <c r="A10065" s="66"/>
      <c r="B10065" s="67" t="str">
        <f t="shared" si="16"/>
        <v>M: </v>
      </c>
      <c r="C10065" s="68"/>
      <c r="D10065" s="68">
        <v>46756.0</v>
      </c>
      <c r="E10065" s="66">
        <v>3.0</v>
      </c>
      <c r="F10065" s="66" t="str">
        <f>IFERROR(__xludf.DUMMYFUNCTION("GOOGLETRANSLATE(A10065,""en"",""pt"")"),"#VALUE!")</f>
        <v>#VALUE!</v>
      </c>
      <c r="G10065" s="69"/>
    </row>
    <row r="10066" ht="22.5" customHeight="1">
      <c r="A10066" s="66"/>
      <c r="B10066" s="67" t="str">
        <f t="shared" si="16"/>
        <v>M: </v>
      </c>
      <c r="C10066" s="68"/>
      <c r="D10066" s="68">
        <v>46756.0</v>
      </c>
      <c r="E10066" s="66">
        <v>4.0</v>
      </c>
      <c r="F10066" s="66" t="str">
        <f>IFERROR(__xludf.DUMMYFUNCTION("GOOGLETRANSLATE(A10066,""en"",""pt"")"),"#VALUE!")</f>
        <v>#VALUE!</v>
      </c>
      <c r="G10066" s="69"/>
    </row>
    <row r="10067" ht="22.5" customHeight="1">
      <c r="A10067" s="66"/>
      <c r="B10067" s="67" t="str">
        <f t="shared" si="16"/>
        <v>M: </v>
      </c>
      <c r="C10067" s="68"/>
      <c r="D10067" s="68">
        <v>46756.0</v>
      </c>
      <c r="E10067" s="66">
        <v>5.0</v>
      </c>
      <c r="F10067" s="66" t="str">
        <f>IFERROR(__xludf.DUMMYFUNCTION("GOOGLETRANSLATE(A10067,""en"",""pt"")"),"#VALUE!")</f>
        <v>#VALUE!</v>
      </c>
      <c r="G10067" s="69"/>
    </row>
    <row r="10068" ht="22.5" customHeight="1">
      <c r="A10068" s="66"/>
      <c r="B10068" s="67" t="str">
        <f t="shared" si="16"/>
        <v>M: </v>
      </c>
      <c r="C10068" s="68"/>
      <c r="D10068" s="68">
        <v>46756.0</v>
      </c>
      <c r="E10068" s="66">
        <v>6.0</v>
      </c>
      <c r="F10068" s="66" t="str">
        <f>IFERROR(__xludf.DUMMYFUNCTION("GOOGLETRANSLATE(A10068,""en"",""pt"")"),"#VALUE!")</f>
        <v>#VALUE!</v>
      </c>
      <c r="G10068" s="69"/>
    </row>
    <row r="10069" ht="22.5" customHeight="1">
      <c r="A10069" s="66"/>
      <c r="B10069" s="67" t="str">
        <f t="shared" si="16"/>
        <v>M: </v>
      </c>
      <c r="C10069" s="68"/>
      <c r="D10069" s="68">
        <v>46756.0</v>
      </c>
      <c r="E10069" s="66">
        <v>7.0</v>
      </c>
      <c r="F10069" s="66" t="str">
        <f>IFERROR(__xludf.DUMMYFUNCTION("GOOGLETRANSLATE(A10069,""en"",""pt"")"),"#VALUE!")</f>
        <v>#VALUE!</v>
      </c>
      <c r="G10069" s="69"/>
    </row>
    <row r="10070" ht="22.5" customHeight="1">
      <c r="A10070" s="66"/>
      <c r="B10070" s="67" t="str">
        <f t="shared" si="16"/>
        <v>M: </v>
      </c>
      <c r="C10070" s="68"/>
      <c r="D10070" s="68">
        <v>46756.0</v>
      </c>
      <c r="E10070" s="66">
        <v>8.0</v>
      </c>
      <c r="F10070" s="66" t="str">
        <f>IFERROR(__xludf.DUMMYFUNCTION("GOOGLETRANSLATE(A10070,""en"",""pt"")"),"#VALUE!")</f>
        <v>#VALUE!</v>
      </c>
      <c r="G10070" s="69"/>
    </row>
    <row r="10071" ht="22.5" customHeight="1">
      <c r="A10071" s="66"/>
      <c r="B10071" s="67" t="str">
        <f t="shared" si="16"/>
        <v>M: </v>
      </c>
      <c r="C10071" s="68"/>
      <c r="D10071" s="68">
        <v>46756.0</v>
      </c>
      <c r="E10071" s="66">
        <v>9.0</v>
      </c>
      <c r="F10071" s="66" t="str">
        <f>IFERROR(__xludf.DUMMYFUNCTION("GOOGLETRANSLATE(A10071,""en"",""pt"")"),"#VALUE!")</f>
        <v>#VALUE!</v>
      </c>
      <c r="G10071" s="69"/>
    </row>
    <row r="10072" ht="22.5" customHeight="1">
      <c r="A10072" s="66"/>
      <c r="B10072" s="67" t="str">
        <f t="shared" si="16"/>
        <v>M: </v>
      </c>
      <c r="C10072" s="68"/>
      <c r="D10072" s="68">
        <v>46757.0</v>
      </c>
      <c r="E10072" s="66">
        <v>10.0</v>
      </c>
      <c r="F10072" s="66" t="str">
        <f>IFERROR(__xludf.DUMMYFUNCTION("GOOGLETRANSLATE(A10072,""en"",""pt"")"),"#VALUE!")</f>
        <v>#VALUE!</v>
      </c>
      <c r="G10072" s="69"/>
    </row>
    <row r="10073" ht="22.5" customHeight="1">
      <c r="A10073" s="66"/>
      <c r="B10073" s="67" t="str">
        <f t="shared" si="16"/>
        <v>M: </v>
      </c>
      <c r="C10073" s="68"/>
      <c r="D10073" s="68">
        <v>46757.0</v>
      </c>
      <c r="E10073" s="66">
        <v>1.0</v>
      </c>
      <c r="F10073" s="66" t="str">
        <f>IFERROR(__xludf.DUMMYFUNCTION("GOOGLETRANSLATE(A10073,""en"",""pt"")"),"#VALUE!")</f>
        <v>#VALUE!</v>
      </c>
      <c r="G10073" s="69"/>
    </row>
    <row r="10074" ht="22.5" customHeight="1">
      <c r="A10074" s="66"/>
      <c r="B10074" s="67" t="str">
        <f t="shared" si="16"/>
        <v>M: </v>
      </c>
      <c r="C10074" s="68"/>
      <c r="D10074" s="68">
        <v>46757.0</v>
      </c>
      <c r="E10074" s="66">
        <v>2.0</v>
      </c>
      <c r="F10074" s="66" t="str">
        <f>IFERROR(__xludf.DUMMYFUNCTION("GOOGLETRANSLATE(A10074,""en"",""pt"")"),"#VALUE!")</f>
        <v>#VALUE!</v>
      </c>
      <c r="G10074" s="69"/>
    </row>
    <row r="10075" ht="22.5" customHeight="1">
      <c r="A10075" s="66"/>
      <c r="B10075" s="67" t="str">
        <f t="shared" si="16"/>
        <v>M: </v>
      </c>
      <c r="C10075" s="68"/>
      <c r="D10075" s="68">
        <v>46757.0</v>
      </c>
      <c r="E10075" s="66">
        <v>3.0</v>
      </c>
      <c r="F10075" s="66" t="str">
        <f>IFERROR(__xludf.DUMMYFUNCTION("GOOGLETRANSLATE(A10075,""en"",""pt"")"),"#VALUE!")</f>
        <v>#VALUE!</v>
      </c>
      <c r="G10075" s="69"/>
    </row>
    <row r="10076" ht="22.5" customHeight="1">
      <c r="A10076" s="66"/>
      <c r="B10076" s="67" t="str">
        <f t="shared" si="16"/>
        <v>M: </v>
      </c>
      <c r="C10076" s="68"/>
      <c r="D10076" s="68">
        <v>46757.0</v>
      </c>
      <c r="E10076" s="66">
        <v>4.0</v>
      </c>
      <c r="F10076" s="66" t="str">
        <f>IFERROR(__xludf.DUMMYFUNCTION("GOOGLETRANSLATE(A10076,""en"",""pt"")"),"#VALUE!")</f>
        <v>#VALUE!</v>
      </c>
      <c r="G10076" s="69"/>
    </row>
    <row r="10077" ht="22.5" customHeight="1">
      <c r="A10077" s="66"/>
      <c r="B10077" s="67" t="str">
        <f t="shared" si="16"/>
        <v>M: </v>
      </c>
      <c r="C10077" s="68"/>
      <c r="D10077" s="68">
        <v>46757.0</v>
      </c>
      <c r="E10077" s="66">
        <v>5.0</v>
      </c>
      <c r="F10077" s="66" t="str">
        <f>IFERROR(__xludf.DUMMYFUNCTION("GOOGLETRANSLATE(A10077,""en"",""pt"")"),"#VALUE!")</f>
        <v>#VALUE!</v>
      </c>
      <c r="G10077" s="69"/>
    </row>
    <row r="10078" ht="22.5" customHeight="1">
      <c r="A10078" s="66"/>
      <c r="B10078" s="67" t="str">
        <f t="shared" si="16"/>
        <v>M: </v>
      </c>
      <c r="C10078" s="68"/>
      <c r="D10078" s="68">
        <v>46757.0</v>
      </c>
      <c r="E10078" s="66">
        <v>6.0</v>
      </c>
      <c r="F10078" s="66" t="str">
        <f>IFERROR(__xludf.DUMMYFUNCTION("GOOGLETRANSLATE(A10078,""en"",""pt"")"),"#VALUE!")</f>
        <v>#VALUE!</v>
      </c>
      <c r="G10078" s="69"/>
    </row>
    <row r="10079" ht="22.5" customHeight="1">
      <c r="A10079" s="66"/>
      <c r="B10079" s="67" t="str">
        <f t="shared" si="16"/>
        <v>M: </v>
      </c>
      <c r="C10079" s="68"/>
      <c r="D10079" s="68">
        <v>46757.0</v>
      </c>
      <c r="E10079" s="66">
        <v>7.0</v>
      </c>
      <c r="F10079" s="66" t="str">
        <f>IFERROR(__xludf.DUMMYFUNCTION("GOOGLETRANSLATE(A10079,""en"",""pt"")"),"#VALUE!")</f>
        <v>#VALUE!</v>
      </c>
      <c r="G10079" s="69"/>
    </row>
    <row r="10080" ht="22.5" customHeight="1">
      <c r="A10080" s="66"/>
      <c r="B10080" s="67" t="str">
        <f t="shared" si="16"/>
        <v>M: </v>
      </c>
      <c r="C10080" s="68"/>
      <c r="D10080" s="68">
        <v>46757.0</v>
      </c>
      <c r="E10080" s="66">
        <v>8.0</v>
      </c>
      <c r="F10080" s="66" t="str">
        <f>IFERROR(__xludf.DUMMYFUNCTION("GOOGLETRANSLATE(A10080,""en"",""pt"")"),"#VALUE!")</f>
        <v>#VALUE!</v>
      </c>
      <c r="G10080" s="69"/>
    </row>
    <row r="10081" ht="22.5" customHeight="1">
      <c r="A10081" s="66"/>
      <c r="B10081" s="67" t="str">
        <f t="shared" si="16"/>
        <v>M: </v>
      </c>
      <c r="C10081" s="68"/>
      <c r="D10081" s="68">
        <v>46757.0</v>
      </c>
      <c r="E10081" s="66">
        <v>9.0</v>
      </c>
      <c r="F10081" s="66" t="str">
        <f>IFERROR(__xludf.DUMMYFUNCTION("GOOGLETRANSLATE(A10081,""en"",""pt"")"),"#VALUE!")</f>
        <v>#VALUE!</v>
      </c>
      <c r="G10081" s="69"/>
    </row>
    <row r="10082" ht="22.5" customHeight="1">
      <c r="A10082" s="66"/>
      <c r="B10082" s="67" t="str">
        <f t="shared" si="16"/>
        <v>M: </v>
      </c>
      <c r="C10082" s="68"/>
      <c r="D10082" s="68">
        <v>46758.0</v>
      </c>
      <c r="E10082" s="66">
        <v>10.0</v>
      </c>
      <c r="F10082" s="66" t="str">
        <f>IFERROR(__xludf.DUMMYFUNCTION("GOOGLETRANSLATE(A10082,""en"",""pt"")"),"#VALUE!")</f>
        <v>#VALUE!</v>
      </c>
      <c r="G10082" s="69"/>
    </row>
    <row r="10083" ht="22.5" customHeight="1">
      <c r="A10083" s="66"/>
      <c r="B10083" s="67" t="str">
        <f t="shared" si="16"/>
        <v>M: </v>
      </c>
      <c r="C10083" s="68"/>
      <c r="D10083" s="68">
        <v>46758.0</v>
      </c>
      <c r="E10083" s="66">
        <v>1.0</v>
      </c>
      <c r="F10083" s="66" t="str">
        <f>IFERROR(__xludf.DUMMYFUNCTION("GOOGLETRANSLATE(A10083,""en"",""pt"")"),"#VALUE!")</f>
        <v>#VALUE!</v>
      </c>
      <c r="G10083" s="69"/>
    </row>
    <row r="10084" ht="22.5" customHeight="1">
      <c r="A10084" s="66"/>
      <c r="B10084" s="67" t="str">
        <f t="shared" si="16"/>
        <v>M: </v>
      </c>
      <c r="C10084" s="68"/>
      <c r="D10084" s="68">
        <v>46758.0</v>
      </c>
      <c r="E10084" s="66">
        <v>2.0</v>
      </c>
      <c r="F10084" s="66" t="str">
        <f>IFERROR(__xludf.DUMMYFUNCTION("GOOGLETRANSLATE(A10084,""en"",""pt"")"),"#VALUE!")</f>
        <v>#VALUE!</v>
      </c>
      <c r="G10084" s="69"/>
    </row>
    <row r="10085" ht="22.5" customHeight="1">
      <c r="A10085" s="66"/>
      <c r="B10085" s="67" t="str">
        <f t="shared" si="16"/>
        <v>M: </v>
      </c>
      <c r="C10085" s="68"/>
      <c r="D10085" s="68">
        <v>46758.0</v>
      </c>
      <c r="E10085" s="66">
        <v>3.0</v>
      </c>
      <c r="F10085" s="66" t="str">
        <f>IFERROR(__xludf.DUMMYFUNCTION("GOOGLETRANSLATE(A10085,""en"",""pt"")"),"#VALUE!")</f>
        <v>#VALUE!</v>
      </c>
      <c r="G10085" s="69"/>
    </row>
    <row r="10086" ht="22.5" customHeight="1">
      <c r="A10086" s="66"/>
      <c r="B10086" s="67" t="str">
        <f t="shared" si="16"/>
        <v>M: </v>
      </c>
      <c r="C10086" s="68"/>
      <c r="D10086" s="68">
        <v>46758.0</v>
      </c>
      <c r="E10086" s="66">
        <v>4.0</v>
      </c>
      <c r="F10086" s="66" t="str">
        <f>IFERROR(__xludf.DUMMYFUNCTION("GOOGLETRANSLATE(A10086,""en"",""pt"")"),"#VALUE!")</f>
        <v>#VALUE!</v>
      </c>
      <c r="G10086" s="69"/>
    </row>
    <row r="10087" ht="22.5" customHeight="1">
      <c r="A10087" s="66"/>
      <c r="B10087" s="67" t="str">
        <f t="shared" si="16"/>
        <v>M: </v>
      </c>
      <c r="C10087" s="68"/>
      <c r="D10087" s="68">
        <v>46758.0</v>
      </c>
      <c r="E10087" s="66">
        <v>5.0</v>
      </c>
      <c r="F10087" s="66" t="str">
        <f>IFERROR(__xludf.DUMMYFUNCTION("GOOGLETRANSLATE(A10087,""en"",""pt"")"),"#VALUE!")</f>
        <v>#VALUE!</v>
      </c>
      <c r="G10087" s="69"/>
    </row>
    <row r="10088" ht="22.5" customHeight="1">
      <c r="A10088" s="66"/>
      <c r="B10088" s="67" t="str">
        <f t="shared" si="16"/>
        <v>M: </v>
      </c>
      <c r="C10088" s="68"/>
      <c r="D10088" s="68">
        <v>46758.0</v>
      </c>
      <c r="E10088" s="66">
        <v>6.0</v>
      </c>
      <c r="F10088" s="66" t="str">
        <f>IFERROR(__xludf.DUMMYFUNCTION("GOOGLETRANSLATE(A10088,""en"",""pt"")"),"#VALUE!")</f>
        <v>#VALUE!</v>
      </c>
      <c r="G10088" s="69"/>
    </row>
    <row r="10089" ht="22.5" customHeight="1">
      <c r="A10089" s="66"/>
      <c r="B10089" s="67" t="str">
        <f t="shared" si="16"/>
        <v>M: </v>
      </c>
      <c r="C10089" s="68"/>
      <c r="D10089" s="68">
        <v>46758.0</v>
      </c>
      <c r="E10089" s="66">
        <v>7.0</v>
      </c>
      <c r="F10089" s="66" t="str">
        <f>IFERROR(__xludf.DUMMYFUNCTION("GOOGLETRANSLATE(A10089,""en"",""pt"")"),"#VALUE!")</f>
        <v>#VALUE!</v>
      </c>
      <c r="G10089" s="69"/>
    </row>
    <row r="10090" ht="22.5" customHeight="1">
      <c r="A10090" s="66"/>
      <c r="B10090" s="67" t="str">
        <f t="shared" si="16"/>
        <v>M: </v>
      </c>
      <c r="C10090" s="68"/>
      <c r="D10090" s="68">
        <v>46758.0</v>
      </c>
      <c r="E10090" s="66">
        <v>8.0</v>
      </c>
      <c r="F10090" s="66" t="str">
        <f>IFERROR(__xludf.DUMMYFUNCTION("GOOGLETRANSLATE(A10090,""en"",""pt"")"),"#VALUE!")</f>
        <v>#VALUE!</v>
      </c>
      <c r="G10090" s="69"/>
    </row>
    <row r="10091" ht="22.5" customHeight="1">
      <c r="A10091" s="66"/>
      <c r="B10091" s="67" t="str">
        <f t="shared" si="16"/>
        <v>M: </v>
      </c>
      <c r="C10091" s="68"/>
      <c r="D10091" s="68">
        <v>46758.0</v>
      </c>
      <c r="E10091" s="66">
        <v>9.0</v>
      </c>
      <c r="F10091" s="66" t="str">
        <f>IFERROR(__xludf.DUMMYFUNCTION("GOOGLETRANSLATE(A10091,""en"",""pt"")"),"#VALUE!")</f>
        <v>#VALUE!</v>
      </c>
      <c r="G10091" s="69"/>
    </row>
    <row r="10092" ht="22.5" customHeight="1">
      <c r="A10092" s="66"/>
      <c r="B10092" s="67" t="str">
        <f t="shared" si="16"/>
        <v>M: </v>
      </c>
      <c r="C10092" s="68"/>
      <c r="D10092" s="68">
        <v>46759.0</v>
      </c>
      <c r="E10092" s="66">
        <v>10.0</v>
      </c>
      <c r="F10092" s="66" t="str">
        <f>IFERROR(__xludf.DUMMYFUNCTION("GOOGLETRANSLATE(A10092,""en"",""pt"")"),"#VALUE!")</f>
        <v>#VALUE!</v>
      </c>
      <c r="G10092" s="69"/>
    </row>
    <row r="10093" ht="22.5" customHeight="1">
      <c r="A10093" s="66"/>
      <c r="B10093" s="67" t="str">
        <f t="shared" si="16"/>
        <v>M: </v>
      </c>
      <c r="C10093" s="68"/>
      <c r="D10093" s="68">
        <v>46759.0</v>
      </c>
      <c r="E10093" s="66">
        <v>1.0</v>
      </c>
      <c r="F10093" s="66" t="str">
        <f>IFERROR(__xludf.DUMMYFUNCTION("GOOGLETRANSLATE(A10093,""en"",""pt"")"),"#VALUE!")</f>
        <v>#VALUE!</v>
      </c>
      <c r="G10093" s="69"/>
    </row>
    <row r="10094" ht="22.5" customHeight="1">
      <c r="A10094" s="66"/>
      <c r="B10094" s="67" t="str">
        <f t="shared" si="16"/>
        <v>M: </v>
      </c>
      <c r="C10094" s="68"/>
      <c r="D10094" s="68">
        <v>46759.0</v>
      </c>
      <c r="E10094" s="66">
        <v>2.0</v>
      </c>
      <c r="F10094" s="66" t="str">
        <f>IFERROR(__xludf.DUMMYFUNCTION("GOOGLETRANSLATE(A10094,""en"",""pt"")"),"#VALUE!")</f>
        <v>#VALUE!</v>
      </c>
      <c r="G10094" s="69"/>
    </row>
    <row r="10095" ht="22.5" customHeight="1">
      <c r="A10095" s="66"/>
      <c r="B10095" s="67" t="str">
        <f t="shared" si="16"/>
        <v>M: </v>
      </c>
      <c r="C10095" s="68"/>
      <c r="D10095" s="68">
        <v>46759.0</v>
      </c>
      <c r="E10095" s="66">
        <v>3.0</v>
      </c>
      <c r="F10095" s="66" t="str">
        <f>IFERROR(__xludf.DUMMYFUNCTION("GOOGLETRANSLATE(A10095,""en"",""pt"")"),"#VALUE!")</f>
        <v>#VALUE!</v>
      </c>
      <c r="G10095" s="69"/>
    </row>
    <row r="10096" ht="22.5" customHeight="1">
      <c r="A10096" s="66"/>
      <c r="B10096" s="67" t="str">
        <f t="shared" si="16"/>
        <v>M: </v>
      </c>
      <c r="C10096" s="68"/>
      <c r="D10096" s="68">
        <v>46759.0</v>
      </c>
      <c r="E10096" s="66">
        <v>4.0</v>
      </c>
      <c r="F10096" s="66" t="str">
        <f>IFERROR(__xludf.DUMMYFUNCTION("GOOGLETRANSLATE(A10096,""en"",""pt"")"),"#VALUE!")</f>
        <v>#VALUE!</v>
      </c>
      <c r="G10096" s="69"/>
    </row>
    <row r="10097" ht="22.5" customHeight="1">
      <c r="A10097" s="66"/>
      <c r="B10097" s="67" t="str">
        <f t="shared" si="16"/>
        <v>M: </v>
      </c>
      <c r="C10097" s="68"/>
      <c r="D10097" s="68">
        <v>46759.0</v>
      </c>
      <c r="E10097" s="66">
        <v>5.0</v>
      </c>
      <c r="F10097" s="66" t="str">
        <f>IFERROR(__xludf.DUMMYFUNCTION("GOOGLETRANSLATE(A10097,""en"",""pt"")"),"#VALUE!")</f>
        <v>#VALUE!</v>
      </c>
      <c r="G10097" s="69"/>
    </row>
    <row r="10098" ht="22.5" customHeight="1">
      <c r="A10098" s="66"/>
      <c r="B10098" s="67" t="str">
        <f t="shared" si="16"/>
        <v>M: </v>
      </c>
      <c r="C10098" s="68"/>
      <c r="D10098" s="68">
        <v>46759.0</v>
      </c>
      <c r="E10098" s="66">
        <v>6.0</v>
      </c>
      <c r="F10098" s="66" t="str">
        <f>IFERROR(__xludf.DUMMYFUNCTION("GOOGLETRANSLATE(A10098,""en"",""pt"")"),"#VALUE!")</f>
        <v>#VALUE!</v>
      </c>
      <c r="G10098" s="69"/>
    </row>
    <row r="10099" ht="22.5" customHeight="1">
      <c r="A10099" s="66"/>
      <c r="B10099" s="67" t="str">
        <f t="shared" si="16"/>
        <v>M: </v>
      </c>
      <c r="C10099" s="68"/>
      <c r="D10099" s="68">
        <v>46759.0</v>
      </c>
      <c r="E10099" s="66">
        <v>7.0</v>
      </c>
      <c r="F10099" s="66" t="str">
        <f>IFERROR(__xludf.DUMMYFUNCTION("GOOGLETRANSLATE(A10099,""en"",""pt"")"),"#VALUE!")</f>
        <v>#VALUE!</v>
      </c>
      <c r="G10099" s="69"/>
    </row>
    <row r="10100" ht="22.5" customHeight="1">
      <c r="A10100" s="66"/>
      <c r="B10100" s="67" t="str">
        <f t="shared" si="16"/>
        <v>M: </v>
      </c>
      <c r="C10100" s="68"/>
      <c r="D10100" s="68">
        <v>46759.0</v>
      </c>
      <c r="E10100" s="66">
        <v>8.0</v>
      </c>
      <c r="F10100" s="66" t="str">
        <f>IFERROR(__xludf.DUMMYFUNCTION("GOOGLETRANSLATE(A10100,""en"",""pt"")"),"#VALUE!")</f>
        <v>#VALUE!</v>
      </c>
      <c r="G10100" s="69"/>
    </row>
    <row r="10101" ht="22.5" customHeight="1">
      <c r="A10101" s="66"/>
      <c r="B10101" s="67" t="str">
        <f t="shared" si="16"/>
        <v>M: </v>
      </c>
      <c r="C10101" s="68"/>
      <c r="D10101" s="68">
        <v>46759.0</v>
      </c>
      <c r="E10101" s="66">
        <v>9.0</v>
      </c>
      <c r="F10101" s="66" t="str">
        <f>IFERROR(__xludf.DUMMYFUNCTION("GOOGLETRANSLATE(A10101,""en"",""pt"")"),"#VALUE!")</f>
        <v>#VALUE!</v>
      </c>
      <c r="G10101" s="69"/>
    </row>
    <row r="10102" ht="22.5" customHeight="1">
      <c r="A10102" s="66"/>
      <c r="B10102" s="67" t="str">
        <f t="shared" si="16"/>
        <v>M: </v>
      </c>
      <c r="C10102" s="68"/>
      <c r="D10102" s="68">
        <v>46760.0</v>
      </c>
      <c r="E10102" s="66">
        <v>10.0</v>
      </c>
      <c r="F10102" s="66" t="str">
        <f>IFERROR(__xludf.DUMMYFUNCTION("GOOGLETRANSLATE(A10102,""en"",""pt"")"),"#VALUE!")</f>
        <v>#VALUE!</v>
      </c>
      <c r="G10102" s="69"/>
    </row>
    <row r="10103" ht="22.5" customHeight="1">
      <c r="A10103" s="66"/>
      <c r="B10103" s="67" t="str">
        <f t="shared" si="16"/>
        <v>M: </v>
      </c>
      <c r="C10103" s="68"/>
      <c r="D10103" s="68">
        <v>46760.0</v>
      </c>
      <c r="E10103" s="66">
        <v>1.0</v>
      </c>
      <c r="F10103" s="66" t="str">
        <f>IFERROR(__xludf.DUMMYFUNCTION("GOOGLETRANSLATE(A10103,""en"",""pt"")"),"#VALUE!")</f>
        <v>#VALUE!</v>
      </c>
      <c r="G10103" s="69"/>
    </row>
    <row r="10104" ht="22.5" customHeight="1">
      <c r="A10104" s="66"/>
      <c r="B10104" s="67" t="str">
        <f t="shared" si="16"/>
        <v>M: </v>
      </c>
      <c r="C10104" s="68"/>
      <c r="D10104" s="68">
        <v>46760.0</v>
      </c>
      <c r="E10104" s="66">
        <v>2.0</v>
      </c>
      <c r="F10104" s="66" t="str">
        <f>IFERROR(__xludf.DUMMYFUNCTION("GOOGLETRANSLATE(A10104,""en"",""pt"")"),"#VALUE!")</f>
        <v>#VALUE!</v>
      </c>
      <c r="G10104" s="69"/>
    </row>
    <row r="10105" ht="22.5" customHeight="1">
      <c r="A10105" s="66"/>
      <c r="B10105" s="67" t="str">
        <f t="shared" si="16"/>
        <v>M: </v>
      </c>
      <c r="C10105" s="68"/>
      <c r="D10105" s="68">
        <v>46760.0</v>
      </c>
      <c r="E10105" s="66">
        <v>3.0</v>
      </c>
      <c r="F10105" s="66" t="str">
        <f>IFERROR(__xludf.DUMMYFUNCTION("GOOGLETRANSLATE(A10105,""en"",""pt"")"),"#VALUE!")</f>
        <v>#VALUE!</v>
      </c>
      <c r="G10105" s="69"/>
    </row>
    <row r="10106" ht="22.5" customHeight="1">
      <c r="A10106" s="66"/>
      <c r="B10106" s="67" t="str">
        <f t="shared" si="16"/>
        <v>M: </v>
      </c>
      <c r="C10106" s="68"/>
      <c r="D10106" s="68">
        <v>46760.0</v>
      </c>
      <c r="E10106" s="66">
        <v>4.0</v>
      </c>
      <c r="F10106" s="66" t="str">
        <f>IFERROR(__xludf.DUMMYFUNCTION("GOOGLETRANSLATE(A10106,""en"",""pt"")"),"#VALUE!")</f>
        <v>#VALUE!</v>
      </c>
      <c r="G10106" s="69"/>
    </row>
    <row r="10107" ht="22.5" customHeight="1">
      <c r="A10107" s="66"/>
      <c r="B10107" s="67" t="str">
        <f t="shared" si="16"/>
        <v>M: </v>
      </c>
      <c r="C10107" s="68"/>
      <c r="D10107" s="68">
        <v>46760.0</v>
      </c>
      <c r="E10107" s="66">
        <v>5.0</v>
      </c>
      <c r="F10107" s="66" t="str">
        <f>IFERROR(__xludf.DUMMYFUNCTION("GOOGLETRANSLATE(A10107,""en"",""pt"")"),"#VALUE!")</f>
        <v>#VALUE!</v>
      </c>
      <c r="G10107" s="69"/>
    </row>
    <row r="10108" ht="22.5" customHeight="1">
      <c r="A10108" s="66"/>
      <c r="B10108" s="67" t="str">
        <f t="shared" si="16"/>
        <v>M: </v>
      </c>
      <c r="C10108" s="68"/>
      <c r="D10108" s="68">
        <v>46760.0</v>
      </c>
      <c r="E10108" s="66">
        <v>6.0</v>
      </c>
      <c r="F10108" s="66" t="str">
        <f>IFERROR(__xludf.DUMMYFUNCTION("GOOGLETRANSLATE(A10108,""en"",""pt"")"),"#VALUE!")</f>
        <v>#VALUE!</v>
      </c>
      <c r="G10108" s="69"/>
    </row>
    <row r="10109" ht="22.5" customHeight="1">
      <c r="A10109" s="66"/>
      <c r="B10109" s="67" t="str">
        <f t="shared" si="16"/>
        <v>M: </v>
      </c>
      <c r="C10109" s="68"/>
      <c r="D10109" s="68">
        <v>46760.0</v>
      </c>
      <c r="E10109" s="66">
        <v>7.0</v>
      </c>
      <c r="F10109" s="66" t="str">
        <f>IFERROR(__xludf.DUMMYFUNCTION("GOOGLETRANSLATE(A10109,""en"",""pt"")"),"#VALUE!")</f>
        <v>#VALUE!</v>
      </c>
      <c r="G10109" s="69"/>
    </row>
    <row r="10110" ht="22.5" customHeight="1">
      <c r="A10110" s="66"/>
      <c r="B10110" s="67" t="str">
        <f t="shared" si="16"/>
        <v>M: </v>
      </c>
      <c r="C10110" s="68"/>
      <c r="D10110" s="68">
        <v>46760.0</v>
      </c>
      <c r="E10110" s="66">
        <v>8.0</v>
      </c>
      <c r="F10110" s="66" t="str">
        <f>IFERROR(__xludf.DUMMYFUNCTION("GOOGLETRANSLATE(A10110,""en"",""pt"")"),"#VALUE!")</f>
        <v>#VALUE!</v>
      </c>
      <c r="G10110" s="69"/>
    </row>
    <row r="10111" ht="22.5" customHeight="1">
      <c r="A10111" s="66"/>
      <c r="B10111" s="67" t="str">
        <f t="shared" si="16"/>
        <v>M: </v>
      </c>
      <c r="C10111" s="68"/>
      <c r="D10111" s="68">
        <v>46760.0</v>
      </c>
      <c r="E10111" s="66">
        <v>9.0</v>
      </c>
      <c r="F10111" s="66" t="str">
        <f>IFERROR(__xludf.DUMMYFUNCTION("GOOGLETRANSLATE(A10111,""en"",""pt"")"),"#VALUE!")</f>
        <v>#VALUE!</v>
      </c>
      <c r="G10111" s="69"/>
    </row>
    <row r="10112" ht="22.5" customHeight="1">
      <c r="A10112" s="66"/>
      <c r="B10112" s="67" t="str">
        <f t="shared" si="16"/>
        <v>M: </v>
      </c>
      <c r="C10112" s="68"/>
      <c r="D10112" s="68">
        <v>46761.0</v>
      </c>
      <c r="E10112" s="66">
        <v>10.0</v>
      </c>
      <c r="F10112" s="66" t="str">
        <f>IFERROR(__xludf.DUMMYFUNCTION("GOOGLETRANSLATE(A10112,""en"",""pt"")"),"#VALUE!")</f>
        <v>#VALUE!</v>
      </c>
      <c r="G10112" s="69"/>
    </row>
    <row r="10113" ht="22.5" customHeight="1">
      <c r="A10113" s="66"/>
      <c r="B10113" s="67" t="str">
        <f t="shared" si="16"/>
        <v>M: </v>
      </c>
      <c r="C10113" s="68"/>
      <c r="D10113" s="68">
        <v>46761.0</v>
      </c>
      <c r="E10113" s="66">
        <v>1.0</v>
      </c>
      <c r="F10113" s="66" t="str">
        <f>IFERROR(__xludf.DUMMYFUNCTION("GOOGLETRANSLATE(A10113,""en"",""pt"")"),"#VALUE!")</f>
        <v>#VALUE!</v>
      </c>
      <c r="G10113" s="69"/>
    </row>
    <row r="10114" ht="22.5" customHeight="1">
      <c r="A10114" s="66"/>
      <c r="B10114" s="67" t="str">
        <f t="shared" si="16"/>
        <v>M: </v>
      </c>
      <c r="C10114" s="68"/>
      <c r="D10114" s="68">
        <v>46761.0</v>
      </c>
      <c r="E10114" s="66">
        <v>2.0</v>
      </c>
      <c r="F10114" s="66" t="str">
        <f>IFERROR(__xludf.DUMMYFUNCTION("GOOGLETRANSLATE(A10114,""en"",""pt"")"),"#VALUE!")</f>
        <v>#VALUE!</v>
      </c>
      <c r="G10114" s="69"/>
    </row>
    <row r="10115" ht="22.5" customHeight="1">
      <c r="A10115" s="66"/>
      <c r="B10115" s="67" t="str">
        <f t="shared" si="16"/>
        <v>M: </v>
      </c>
      <c r="C10115" s="68"/>
      <c r="D10115" s="68">
        <v>46761.0</v>
      </c>
      <c r="E10115" s="66">
        <v>3.0</v>
      </c>
      <c r="F10115" s="66" t="str">
        <f>IFERROR(__xludf.DUMMYFUNCTION("GOOGLETRANSLATE(A10115,""en"",""pt"")"),"#VALUE!")</f>
        <v>#VALUE!</v>
      </c>
      <c r="G10115" s="69"/>
    </row>
    <row r="10116" ht="22.5" customHeight="1">
      <c r="A10116" s="66"/>
      <c r="B10116" s="67" t="str">
        <f t="shared" si="16"/>
        <v>M: </v>
      </c>
      <c r="C10116" s="68"/>
      <c r="D10116" s="68">
        <v>46761.0</v>
      </c>
      <c r="E10116" s="66">
        <v>4.0</v>
      </c>
      <c r="F10116" s="66" t="str">
        <f>IFERROR(__xludf.DUMMYFUNCTION("GOOGLETRANSLATE(A10116,""en"",""pt"")"),"#VALUE!")</f>
        <v>#VALUE!</v>
      </c>
      <c r="G10116" s="69"/>
    </row>
    <row r="10117" ht="22.5" customHeight="1">
      <c r="A10117" s="66"/>
      <c r="B10117" s="67" t="str">
        <f t="shared" si="16"/>
        <v>M: </v>
      </c>
      <c r="C10117" s="68"/>
      <c r="D10117" s="68">
        <v>46761.0</v>
      </c>
      <c r="E10117" s="66">
        <v>5.0</v>
      </c>
      <c r="F10117" s="66" t="str">
        <f>IFERROR(__xludf.DUMMYFUNCTION("GOOGLETRANSLATE(A10117,""en"",""pt"")"),"#VALUE!")</f>
        <v>#VALUE!</v>
      </c>
      <c r="G10117" s="69"/>
    </row>
    <row r="10118" ht="22.5" customHeight="1">
      <c r="A10118" s="66"/>
      <c r="B10118" s="67" t="str">
        <f t="shared" si="16"/>
        <v>M: </v>
      </c>
      <c r="C10118" s="68"/>
      <c r="D10118" s="68">
        <v>46761.0</v>
      </c>
      <c r="E10118" s="66">
        <v>6.0</v>
      </c>
      <c r="F10118" s="66" t="str">
        <f>IFERROR(__xludf.DUMMYFUNCTION("GOOGLETRANSLATE(A10118,""en"",""pt"")"),"#VALUE!")</f>
        <v>#VALUE!</v>
      </c>
      <c r="G10118" s="69"/>
    </row>
    <row r="10119" ht="22.5" customHeight="1">
      <c r="A10119" s="66"/>
      <c r="B10119" s="67" t="str">
        <f t="shared" si="16"/>
        <v>M: </v>
      </c>
      <c r="C10119" s="68"/>
      <c r="D10119" s="68">
        <v>46761.0</v>
      </c>
      <c r="E10119" s="66">
        <v>7.0</v>
      </c>
      <c r="F10119" s="66" t="str">
        <f>IFERROR(__xludf.DUMMYFUNCTION("GOOGLETRANSLATE(A10119,""en"",""pt"")"),"#VALUE!")</f>
        <v>#VALUE!</v>
      </c>
      <c r="G10119" s="69"/>
    </row>
    <row r="10120" ht="22.5" customHeight="1">
      <c r="A10120" s="66"/>
      <c r="B10120" s="67" t="str">
        <f t="shared" si="16"/>
        <v>M: </v>
      </c>
      <c r="C10120" s="68"/>
      <c r="D10120" s="68">
        <v>46761.0</v>
      </c>
      <c r="E10120" s="66">
        <v>8.0</v>
      </c>
      <c r="F10120" s="66" t="str">
        <f>IFERROR(__xludf.DUMMYFUNCTION("GOOGLETRANSLATE(A10120,""en"",""pt"")"),"#VALUE!")</f>
        <v>#VALUE!</v>
      </c>
      <c r="G10120" s="69"/>
    </row>
    <row r="10121" ht="22.5" customHeight="1">
      <c r="A10121" s="66"/>
      <c r="B10121" s="67" t="str">
        <f t="shared" si="16"/>
        <v>M: </v>
      </c>
      <c r="C10121" s="68"/>
      <c r="D10121" s="68">
        <v>46761.0</v>
      </c>
      <c r="E10121" s="66">
        <v>9.0</v>
      </c>
      <c r="F10121" s="66" t="str">
        <f>IFERROR(__xludf.DUMMYFUNCTION("GOOGLETRANSLATE(A10121,""en"",""pt"")"),"#VALUE!")</f>
        <v>#VALUE!</v>
      </c>
      <c r="G10121" s="69"/>
    </row>
    <row r="10122" ht="22.5" customHeight="1">
      <c r="A10122" s="66"/>
      <c r="B10122" s="67" t="str">
        <f t="shared" si="16"/>
        <v>M: </v>
      </c>
      <c r="C10122" s="68"/>
      <c r="D10122" s="68">
        <v>46762.0</v>
      </c>
      <c r="E10122" s="66">
        <v>10.0</v>
      </c>
      <c r="F10122" s="66" t="str">
        <f>IFERROR(__xludf.DUMMYFUNCTION("GOOGLETRANSLATE(A10122,""en"",""pt"")"),"#VALUE!")</f>
        <v>#VALUE!</v>
      </c>
      <c r="G10122" s="69"/>
    </row>
    <row r="10123" ht="22.5" customHeight="1">
      <c r="A10123" s="66"/>
      <c r="B10123" s="67" t="str">
        <f t="shared" si="16"/>
        <v>M: </v>
      </c>
      <c r="C10123" s="68"/>
      <c r="D10123" s="68">
        <v>46762.0</v>
      </c>
      <c r="E10123" s="66">
        <v>1.0</v>
      </c>
      <c r="F10123" s="66" t="str">
        <f>IFERROR(__xludf.DUMMYFUNCTION("GOOGLETRANSLATE(A10123,""en"",""pt"")"),"#VALUE!")</f>
        <v>#VALUE!</v>
      </c>
      <c r="G10123" s="69"/>
    </row>
    <row r="10124" ht="22.5" customHeight="1">
      <c r="A10124" s="66"/>
      <c r="B10124" s="67" t="str">
        <f t="shared" si="16"/>
        <v>M: </v>
      </c>
      <c r="C10124" s="68"/>
      <c r="D10124" s="68">
        <v>46762.0</v>
      </c>
      <c r="E10124" s="66">
        <v>2.0</v>
      </c>
      <c r="F10124" s="66" t="str">
        <f>IFERROR(__xludf.DUMMYFUNCTION("GOOGLETRANSLATE(A10124,""en"",""pt"")"),"#VALUE!")</f>
        <v>#VALUE!</v>
      </c>
      <c r="G10124" s="69"/>
    </row>
    <row r="10125" ht="22.5" customHeight="1">
      <c r="A10125" s="66"/>
      <c r="B10125" s="67" t="str">
        <f t="shared" si="16"/>
        <v>M: </v>
      </c>
      <c r="C10125" s="68"/>
      <c r="D10125" s="68">
        <v>46762.0</v>
      </c>
      <c r="E10125" s="66">
        <v>3.0</v>
      </c>
      <c r="F10125" s="66" t="str">
        <f>IFERROR(__xludf.DUMMYFUNCTION("GOOGLETRANSLATE(A10125,""en"",""pt"")"),"#VALUE!")</f>
        <v>#VALUE!</v>
      </c>
      <c r="G10125" s="69"/>
    </row>
    <row r="10126" ht="22.5" customHeight="1">
      <c r="A10126" s="66"/>
      <c r="B10126" s="67" t="str">
        <f t="shared" si="16"/>
        <v>M: </v>
      </c>
      <c r="C10126" s="68"/>
      <c r="D10126" s="68">
        <v>46762.0</v>
      </c>
      <c r="E10126" s="66">
        <v>4.0</v>
      </c>
      <c r="F10126" s="66" t="str">
        <f>IFERROR(__xludf.DUMMYFUNCTION("GOOGLETRANSLATE(A10126,""en"",""pt"")"),"#VALUE!")</f>
        <v>#VALUE!</v>
      </c>
      <c r="G10126" s="69"/>
    </row>
    <row r="10127" ht="22.5" customHeight="1">
      <c r="A10127" s="66"/>
      <c r="B10127" s="67" t="str">
        <f t="shared" si="16"/>
        <v>M: </v>
      </c>
      <c r="C10127" s="68"/>
      <c r="D10127" s="68">
        <v>46762.0</v>
      </c>
      <c r="E10127" s="66">
        <v>5.0</v>
      </c>
      <c r="F10127" s="66" t="str">
        <f>IFERROR(__xludf.DUMMYFUNCTION("GOOGLETRANSLATE(A10127,""en"",""pt"")"),"#VALUE!")</f>
        <v>#VALUE!</v>
      </c>
      <c r="G10127" s="69"/>
    </row>
    <row r="10128" ht="22.5" customHeight="1">
      <c r="A10128" s="66"/>
      <c r="B10128" s="67" t="str">
        <f t="shared" si="16"/>
        <v>M: </v>
      </c>
      <c r="C10128" s="68"/>
      <c r="D10128" s="68">
        <v>46762.0</v>
      </c>
      <c r="E10128" s="66">
        <v>6.0</v>
      </c>
      <c r="F10128" s="66" t="str">
        <f>IFERROR(__xludf.DUMMYFUNCTION("GOOGLETRANSLATE(A10128,""en"",""pt"")"),"#VALUE!")</f>
        <v>#VALUE!</v>
      </c>
      <c r="G10128" s="69"/>
    </row>
    <row r="10129" ht="22.5" customHeight="1">
      <c r="A10129" s="66"/>
      <c r="B10129" s="67" t="str">
        <f t="shared" si="16"/>
        <v>M: </v>
      </c>
      <c r="C10129" s="68"/>
      <c r="D10129" s="68">
        <v>46762.0</v>
      </c>
      <c r="E10129" s="66">
        <v>7.0</v>
      </c>
      <c r="F10129" s="66" t="str">
        <f>IFERROR(__xludf.DUMMYFUNCTION("GOOGLETRANSLATE(A10129,""en"",""pt"")"),"#VALUE!")</f>
        <v>#VALUE!</v>
      </c>
      <c r="G10129" s="69"/>
    </row>
    <row r="10130" ht="22.5" customHeight="1">
      <c r="A10130" s="66"/>
      <c r="B10130" s="67" t="str">
        <f t="shared" si="16"/>
        <v>M: </v>
      </c>
      <c r="C10130" s="68"/>
      <c r="D10130" s="68">
        <v>46762.0</v>
      </c>
      <c r="E10130" s="66">
        <v>8.0</v>
      </c>
      <c r="F10130" s="66" t="str">
        <f>IFERROR(__xludf.DUMMYFUNCTION("GOOGLETRANSLATE(A10130,""en"",""pt"")"),"#VALUE!")</f>
        <v>#VALUE!</v>
      </c>
      <c r="G10130" s="69"/>
    </row>
    <row r="10131" ht="22.5" customHeight="1">
      <c r="A10131" s="66"/>
      <c r="B10131" s="67" t="str">
        <f t="shared" si="16"/>
        <v>M: </v>
      </c>
      <c r="C10131" s="68"/>
      <c r="D10131" s="68">
        <v>46762.0</v>
      </c>
      <c r="E10131" s="66">
        <v>9.0</v>
      </c>
      <c r="F10131" s="66" t="str">
        <f>IFERROR(__xludf.DUMMYFUNCTION("GOOGLETRANSLATE(A10131,""en"",""pt"")"),"#VALUE!")</f>
        <v>#VALUE!</v>
      </c>
      <c r="G10131" s="69"/>
    </row>
    <row r="10132" ht="22.5" customHeight="1">
      <c r="A10132" s="66"/>
      <c r="B10132" s="67" t="str">
        <f t="shared" si="16"/>
        <v>M: </v>
      </c>
      <c r="C10132" s="68"/>
      <c r="D10132" s="68">
        <v>46763.0</v>
      </c>
      <c r="E10132" s="66">
        <v>10.0</v>
      </c>
      <c r="F10132" s="66" t="str">
        <f>IFERROR(__xludf.DUMMYFUNCTION("GOOGLETRANSLATE(A10132,""en"",""pt"")"),"#VALUE!")</f>
        <v>#VALUE!</v>
      </c>
      <c r="G10132" s="69"/>
    </row>
    <row r="10133" ht="22.5" customHeight="1">
      <c r="A10133" s="66"/>
      <c r="B10133" s="67" t="str">
        <f t="shared" si="16"/>
        <v>M: </v>
      </c>
      <c r="C10133" s="68"/>
      <c r="D10133" s="68">
        <v>46763.0</v>
      </c>
      <c r="E10133" s="66">
        <v>1.0</v>
      </c>
      <c r="F10133" s="66" t="str">
        <f>IFERROR(__xludf.DUMMYFUNCTION("GOOGLETRANSLATE(A10133,""en"",""pt"")"),"#VALUE!")</f>
        <v>#VALUE!</v>
      </c>
      <c r="G10133" s="69"/>
    </row>
    <row r="10134" ht="22.5" customHeight="1">
      <c r="A10134" s="66"/>
      <c r="B10134" s="67" t="str">
        <f t="shared" si="16"/>
        <v>M: </v>
      </c>
      <c r="C10134" s="68"/>
      <c r="D10134" s="68">
        <v>46763.0</v>
      </c>
      <c r="E10134" s="66">
        <v>2.0</v>
      </c>
      <c r="F10134" s="66" t="str">
        <f>IFERROR(__xludf.DUMMYFUNCTION("GOOGLETRANSLATE(A10134,""en"",""pt"")"),"#VALUE!")</f>
        <v>#VALUE!</v>
      </c>
      <c r="G10134" s="69"/>
    </row>
    <row r="10135" ht="22.5" customHeight="1">
      <c r="A10135" s="66"/>
      <c r="B10135" s="67" t="str">
        <f t="shared" si="16"/>
        <v>M: </v>
      </c>
      <c r="C10135" s="68"/>
      <c r="D10135" s="68">
        <v>46763.0</v>
      </c>
      <c r="E10135" s="66">
        <v>3.0</v>
      </c>
      <c r="F10135" s="66" t="str">
        <f>IFERROR(__xludf.DUMMYFUNCTION("GOOGLETRANSLATE(A10135,""en"",""pt"")"),"#VALUE!")</f>
        <v>#VALUE!</v>
      </c>
      <c r="G10135" s="69"/>
    </row>
    <row r="10136" ht="22.5" customHeight="1">
      <c r="A10136" s="66"/>
      <c r="B10136" s="67" t="str">
        <f t="shared" si="16"/>
        <v>M: </v>
      </c>
      <c r="C10136" s="68"/>
      <c r="D10136" s="68">
        <v>46763.0</v>
      </c>
      <c r="E10136" s="66">
        <v>4.0</v>
      </c>
      <c r="F10136" s="66" t="str">
        <f>IFERROR(__xludf.DUMMYFUNCTION("GOOGLETRANSLATE(A10136,""en"",""pt"")"),"#VALUE!")</f>
        <v>#VALUE!</v>
      </c>
      <c r="G10136" s="69"/>
    </row>
    <row r="10137" ht="22.5" customHeight="1">
      <c r="A10137" s="66"/>
      <c r="B10137" s="67" t="str">
        <f t="shared" si="16"/>
        <v>M: </v>
      </c>
      <c r="C10137" s="68"/>
      <c r="D10137" s="68">
        <v>46763.0</v>
      </c>
      <c r="E10137" s="66">
        <v>5.0</v>
      </c>
      <c r="F10137" s="66" t="str">
        <f>IFERROR(__xludf.DUMMYFUNCTION("GOOGLETRANSLATE(A10137,""en"",""pt"")"),"#VALUE!")</f>
        <v>#VALUE!</v>
      </c>
      <c r="G10137" s="69"/>
    </row>
    <row r="10138" ht="22.5" customHeight="1">
      <c r="A10138" s="66"/>
      <c r="B10138" s="67" t="str">
        <f t="shared" si="16"/>
        <v>M: </v>
      </c>
      <c r="C10138" s="68"/>
      <c r="D10138" s="68">
        <v>46763.0</v>
      </c>
      <c r="E10138" s="66">
        <v>6.0</v>
      </c>
      <c r="F10138" s="66" t="str">
        <f>IFERROR(__xludf.DUMMYFUNCTION("GOOGLETRANSLATE(A10138,""en"",""pt"")"),"#VALUE!")</f>
        <v>#VALUE!</v>
      </c>
      <c r="G10138" s="69"/>
    </row>
    <row r="10139" ht="22.5" customHeight="1">
      <c r="A10139" s="66"/>
      <c r="B10139" s="67" t="str">
        <f t="shared" si="16"/>
        <v>M: </v>
      </c>
      <c r="C10139" s="68"/>
      <c r="D10139" s="68">
        <v>46763.0</v>
      </c>
      <c r="E10139" s="66">
        <v>7.0</v>
      </c>
      <c r="F10139" s="66" t="str">
        <f>IFERROR(__xludf.DUMMYFUNCTION("GOOGLETRANSLATE(A10139,""en"",""pt"")"),"#VALUE!")</f>
        <v>#VALUE!</v>
      </c>
      <c r="G10139" s="69"/>
    </row>
    <row r="10140" ht="22.5" customHeight="1">
      <c r="A10140" s="66"/>
      <c r="B10140" s="67" t="str">
        <f t="shared" si="16"/>
        <v>M: </v>
      </c>
      <c r="C10140" s="68"/>
      <c r="D10140" s="68">
        <v>46763.0</v>
      </c>
      <c r="E10140" s="66">
        <v>8.0</v>
      </c>
      <c r="F10140" s="66" t="str">
        <f>IFERROR(__xludf.DUMMYFUNCTION("GOOGLETRANSLATE(A10140,""en"",""pt"")"),"#VALUE!")</f>
        <v>#VALUE!</v>
      </c>
      <c r="G10140" s="69"/>
    </row>
    <row r="10141" ht="22.5" customHeight="1">
      <c r="A10141" s="66"/>
      <c r="B10141" s="67" t="str">
        <f t="shared" si="16"/>
        <v>M: </v>
      </c>
      <c r="C10141" s="68"/>
      <c r="D10141" s="68">
        <v>46763.0</v>
      </c>
      <c r="E10141" s="66">
        <v>9.0</v>
      </c>
      <c r="F10141" s="66" t="str">
        <f>IFERROR(__xludf.DUMMYFUNCTION("GOOGLETRANSLATE(A10141,""en"",""pt"")"),"#VALUE!")</f>
        <v>#VALUE!</v>
      </c>
      <c r="G10141" s="69"/>
    </row>
    <row r="10142" ht="22.5" customHeight="1">
      <c r="A10142" s="66"/>
      <c r="B10142" s="67" t="str">
        <f t="shared" si="16"/>
        <v>M: </v>
      </c>
      <c r="C10142" s="68"/>
      <c r="D10142" s="68">
        <v>46764.0</v>
      </c>
      <c r="E10142" s="66">
        <v>10.0</v>
      </c>
      <c r="F10142" s="66" t="str">
        <f>IFERROR(__xludf.DUMMYFUNCTION("GOOGLETRANSLATE(A10142,""en"",""pt"")"),"#VALUE!")</f>
        <v>#VALUE!</v>
      </c>
      <c r="G10142" s="69"/>
    </row>
    <row r="10143" ht="22.5" customHeight="1">
      <c r="A10143" s="66"/>
      <c r="B10143" s="67" t="str">
        <f t="shared" si="16"/>
        <v>M: </v>
      </c>
      <c r="C10143" s="68"/>
      <c r="D10143" s="68">
        <v>46764.0</v>
      </c>
      <c r="E10143" s="66">
        <v>1.0</v>
      </c>
      <c r="F10143" s="66" t="str">
        <f>IFERROR(__xludf.DUMMYFUNCTION("GOOGLETRANSLATE(A10143,""en"",""pt"")"),"#VALUE!")</f>
        <v>#VALUE!</v>
      </c>
      <c r="G10143" s="69"/>
    </row>
    <row r="10144" ht="22.5" customHeight="1">
      <c r="A10144" s="66"/>
      <c r="B10144" s="67" t="str">
        <f t="shared" si="16"/>
        <v>M: </v>
      </c>
      <c r="C10144" s="68"/>
      <c r="D10144" s="68">
        <v>46764.0</v>
      </c>
      <c r="E10144" s="66">
        <v>2.0</v>
      </c>
      <c r="F10144" s="66" t="str">
        <f>IFERROR(__xludf.DUMMYFUNCTION("GOOGLETRANSLATE(A10144,""en"",""pt"")"),"#VALUE!")</f>
        <v>#VALUE!</v>
      </c>
      <c r="G10144" s="69"/>
    </row>
    <row r="10145" ht="22.5" customHeight="1">
      <c r="A10145" s="66"/>
      <c r="B10145" s="67" t="str">
        <f t="shared" si="16"/>
        <v>M: </v>
      </c>
      <c r="C10145" s="68"/>
      <c r="D10145" s="68">
        <v>46764.0</v>
      </c>
      <c r="E10145" s="66">
        <v>3.0</v>
      </c>
      <c r="F10145" s="66" t="str">
        <f>IFERROR(__xludf.DUMMYFUNCTION("GOOGLETRANSLATE(A10145,""en"",""pt"")"),"#VALUE!")</f>
        <v>#VALUE!</v>
      </c>
      <c r="G10145" s="69"/>
    </row>
    <row r="10146" ht="22.5" customHeight="1">
      <c r="A10146" s="66"/>
      <c r="B10146" s="67" t="str">
        <f t="shared" si="16"/>
        <v>M: </v>
      </c>
      <c r="C10146" s="68"/>
      <c r="D10146" s="68">
        <v>46764.0</v>
      </c>
      <c r="E10146" s="66">
        <v>4.0</v>
      </c>
      <c r="F10146" s="66" t="str">
        <f>IFERROR(__xludf.DUMMYFUNCTION("GOOGLETRANSLATE(A10146,""en"",""pt"")"),"#VALUE!")</f>
        <v>#VALUE!</v>
      </c>
      <c r="G10146" s="69"/>
    </row>
    <row r="10147" ht="22.5" customHeight="1">
      <c r="A10147" s="66"/>
      <c r="B10147" s="67" t="str">
        <f t="shared" si="16"/>
        <v>M: </v>
      </c>
      <c r="C10147" s="68"/>
      <c r="D10147" s="68">
        <v>46764.0</v>
      </c>
      <c r="E10147" s="66">
        <v>5.0</v>
      </c>
      <c r="F10147" s="66" t="str">
        <f>IFERROR(__xludf.DUMMYFUNCTION("GOOGLETRANSLATE(A10147,""en"",""pt"")"),"#VALUE!")</f>
        <v>#VALUE!</v>
      </c>
      <c r="G10147" s="69"/>
    </row>
    <row r="10148" ht="22.5" customHeight="1">
      <c r="A10148" s="66"/>
      <c r="B10148" s="67" t="str">
        <f t="shared" si="16"/>
        <v>M: </v>
      </c>
      <c r="C10148" s="68"/>
      <c r="D10148" s="68">
        <v>46764.0</v>
      </c>
      <c r="E10148" s="66">
        <v>6.0</v>
      </c>
      <c r="F10148" s="66" t="str">
        <f>IFERROR(__xludf.DUMMYFUNCTION("GOOGLETRANSLATE(A10148,""en"",""pt"")"),"#VALUE!")</f>
        <v>#VALUE!</v>
      </c>
      <c r="G10148" s="69"/>
    </row>
    <row r="10149" ht="22.5" customHeight="1">
      <c r="A10149" s="66"/>
      <c r="B10149" s="67" t="str">
        <f t="shared" si="16"/>
        <v>M: </v>
      </c>
      <c r="C10149" s="68"/>
      <c r="D10149" s="68">
        <v>46764.0</v>
      </c>
      <c r="E10149" s="66">
        <v>7.0</v>
      </c>
      <c r="F10149" s="66" t="str">
        <f>IFERROR(__xludf.DUMMYFUNCTION("GOOGLETRANSLATE(A10149,""en"",""pt"")"),"#VALUE!")</f>
        <v>#VALUE!</v>
      </c>
      <c r="G10149" s="69"/>
    </row>
    <row r="10150" ht="22.5" customHeight="1">
      <c r="A10150" s="66"/>
      <c r="B10150" s="67" t="str">
        <f t="shared" si="16"/>
        <v>M: </v>
      </c>
      <c r="C10150" s="68"/>
      <c r="D10150" s="68">
        <v>46764.0</v>
      </c>
      <c r="E10150" s="66">
        <v>8.0</v>
      </c>
      <c r="F10150" s="66" t="str">
        <f>IFERROR(__xludf.DUMMYFUNCTION("GOOGLETRANSLATE(A10150,""en"",""pt"")"),"#VALUE!")</f>
        <v>#VALUE!</v>
      </c>
      <c r="G10150" s="69"/>
    </row>
    <row r="10151" ht="22.5" customHeight="1">
      <c r="A10151" s="66"/>
      <c r="B10151" s="67" t="str">
        <f t="shared" si="16"/>
        <v>M: </v>
      </c>
      <c r="C10151" s="68"/>
      <c r="D10151" s="68">
        <v>46764.0</v>
      </c>
      <c r="E10151" s="66">
        <v>9.0</v>
      </c>
      <c r="F10151" s="66" t="str">
        <f>IFERROR(__xludf.DUMMYFUNCTION("GOOGLETRANSLATE(A10151,""en"",""pt"")"),"#VALUE!")</f>
        <v>#VALUE!</v>
      </c>
      <c r="G10151" s="69"/>
    </row>
    <row r="10152" ht="22.5" customHeight="1">
      <c r="A10152" s="66"/>
      <c r="B10152" s="67" t="str">
        <f t="shared" si="16"/>
        <v>M: </v>
      </c>
      <c r="C10152" s="68"/>
      <c r="D10152" s="68">
        <v>46765.0</v>
      </c>
      <c r="E10152" s="66">
        <v>10.0</v>
      </c>
      <c r="F10152" s="66" t="str">
        <f>IFERROR(__xludf.DUMMYFUNCTION("GOOGLETRANSLATE(A10152,""en"",""pt"")"),"#VALUE!")</f>
        <v>#VALUE!</v>
      </c>
      <c r="G10152" s="69"/>
    </row>
    <row r="10153" ht="22.5" customHeight="1">
      <c r="A10153" s="66"/>
      <c r="B10153" s="67" t="str">
        <f t="shared" si="16"/>
        <v>M: </v>
      </c>
      <c r="C10153" s="68"/>
      <c r="D10153" s="68">
        <v>46765.0</v>
      </c>
      <c r="E10153" s="66">
        <v>1.0</v>
      </c>
      <c r="F10153" s="66" t="str">
        <f>IFERROR(__xludf.DUMMYFUNCTION("GOOGLETRANSLATE(A10153,""en"",""pt"")"),"#VALUE!")</f>
        <v>#VALUE!</v>
      </c>
      <c r="G10153" s="69"/>
    </row>
    <row r="10154" ht="22.5" customHeight="1">
      <c r="A10154" s="66"/>
      <c r="B10154" s="67" t="str">
        <f t="shared" si="16"/>
        <v>M: </v>
      </c>
      <c r="C10154" s="68"/>
      <c r="D10154" s="68">
        <v>46765.0</v>
      </c>
      <c r="E10154" s="66">
        <v>2.0</v>
      </c>
      <c r="F10154" s="66" t="str">
        <f>IFERROR(__xludf.DUMMYFUNCTION("GOOGLETRANSLATE(A10154,""en"",""pt"")"),"#VALUE!")</f>
        <v>#VALUE!</v>
      </c>
      <c r="G10154" s="69"/>
    </row>
    <row r="10155" ht="22.5" customHeight="1">
      <c r="A10155" s="66"/>
      <c r="B10155" s="67" t="str">
        <f t="shared" si="16"/>
        <v>M: </v>
      </c>
      <c r="C10155" s="68"/>
      <c r="D10155" s="68">
        <v>46765.0</v>
      </c>
      <c r="E10155" s="66">
        <v>3.0</v>
      </c>
      <c r="F10155" s="66" t="str">
        <f>IFERROR(__xludf.DUMMYFUNCTION("GOOGLETRANSLATE(A10155,""en"",""pt"")"),"#VALUE!")</f>
        <v>#VALUE!</v>
      </c>
      <c r="G10155" s="69"/>
    </row>
    <row r="10156" ht="22.5" customHeight="1">
      <c r="A10156" s="66"/>
      <c r="B10156" s="67" t="str">
        <f t="shared" si="16"/>
        <v>M: </v>
      </c>
      <c r="C10156" s="68"/>
      <c r="D10156" s="68">
        <v>46765.0</v>
      </c>
      <c r="E10156" s="66">
        <v>4.0</v>
      </c>
      <c r="F10156" s="66" t="str">
        <f>IFERROR(__xludf.DUMMYFUNCTION("GOOGLETRANSLATE(A10156,""en"",""pt"")"),"#VALUE!")</f>
        <v>#VALUE!</v>
      </c>
      <c r="G10156" s="69"/>
    </row>
    <row r="10157" ht="22.5" customHeight="1">
      <c r="A10157" s="66"/>
      <c r="B10157" s="67" t="str">
        <f t="shared" si="16"/>
        <v>M: </v>
      </c>
      <c r="C10157" s="68"/>
      <c r="D10157" s="68">
        <v>46765.0</v>
      </c>
      <c r="E10157" s="66">
        <v>5.0</v>
      </c>
      <c r="F10157" s="66" t="str">
        <f>IFERROR(__xludf.DUMMYFUNCTION("GOOGLETRANSLATE(A10157,""en"",""pt"")"),"#VALUE!")</f>
        <v>#VALUE!</v>
      </c>
      <c r="G10157" s="69"/>
    </row>
    <row r="10158" ht="22.5" customHeight="1">
      <c r="A10158" s="66"/>
      <c r="B10158" s="67" t="str">
        <f t="shared" si="16"/>
        <v>M: </v>
      </c>
      <c r="C10158" s="68"/>
      <c r="D10158" s="68">
        <v>46765.0</v>
      </c>
      <c r="E10158" s="66">
        <v>6.0</v>
      </c>
      <c r="F10158" s="66" t="str">
        <f>IFERROR(__xludf.DUMMYFUNCTION("GOOGLETRANSLATE(A10158,""en"",""pt"")"),"#VALUE!")</f>
        <v>#VALUE!</v>
      </c>
      <c r="G10158" s="69"/>
    </row>
    <row r="10159" ht="22.5" customHeight="1">
      <c r="A10159" s="66"/>
      <c r="B10159" s="67" t="str">
        <f t="shared" si="16"/>
        <v>M: </v>
      </c>
      <c r="C10159" s="68"/>
      <c r="D10159" s="68">
        <v>46765.0</v>
      </c>
      <c r="E10159" s="66">
        <v>7.0</v>
      </c>
      <c r="F10159" s="66" t="str">
        <f>IFERROR(__xludf.DUMMYFUNCTION("GOOGLETRANSLATE(A10159,""en"",""pt"")"),"#VALUE!")</f>
        <v>#VALUE!</v>
      </c>
      <c r="G10159" s="69"/>
    </row>
    <row r="10160" ht="22.5" customHeight="1">
      <c r="A10160" s="66"/>
      <c r="B10160" s="67" t="str">
        <f t="shared" si="16"/>
        <v>M: </v>
      </c>
      <c r="C10160" s="68"/>
      <c r="D10160" s="68">
        <v>46765.0</v>
      </c>
      <c r="E10160" s="66">
        <v>8.0</v>
      </c>
      <c r="F10160" s="66" t="str">
        <f>IFERROR(__xludf.DUMMYFUNCTION("GOOGLETRANSLATE(A10160,""en"",""pt"")"),"#VALUE!")</f>
        <v>#VALUE!</v>
      </c>
      <c r="G10160" s="69"/>
    </row>
    <row r="10161" ht="22.5" customHeight="1">
      <c r="A10161" s="66"/>
      <c r="B10161" s="67" t="str">
        <f t="shared" si="16"/>
        <v>M: </v>
      </c>
      <c r="C10161" s="68"/>
      <c r="D10161" s="68">
        <v>46765.0</v>
      </c>
      <c r="E10161" s="66">
        <v>9.0</v>
      </c>
      <c r="F10161" s="66" t="str">
        <f>IFERROR(__xludf.DUMMYFUNCTION("GOOGLETRANSLATE(A10161,""en"",""pt"")"),"#VALUE!")</f>
        <v>#VALUE!</v>
      </c>
      <c r="G10161" s="69"/>
    </row>
    <row r="10162" ht="22.5" customHeight="1">
      <c r="A10162" s="66"/>
      <c r="B10162" s="67" t="str">
        <f t="shared" si="16"/>
        <v>M: </v>
      </c>
      <c r="C10162" s="68"/>
      <c r="D10162" s="68">
        <v>46766.0</v>
      </c>
      <c r="E10162" s="66">
        <v>10.0</v>
      </c>
      <c r="F10162" s="66" t="str">
        <f>IFERROR(__xludf.DUMMYFUNCTION("GOOGLETRANSLATE(A10162,""en"",""pt"")"),"#VALUE!")</f>
        <v>#VALUE!</v>
      </c>
      <c r="G10162" s="69"/>
    </row>
    <row r="10163" ht="22.5" customHeight="1">
      <c r="A10163" s="66"/>
      <c r="B10163" s="67" t="str">
        <f t="shared" si="16"/>
        <v>M: </v>
      </c>
      <c r="C10163" s="68"/>
      <c r="D10163" s="68">
        <v>46766.0</v>
      </c>
      <c r="E10163" s="66">
        <v>1.0</v>
      </c>
      <c r="F10163" s="66" t="str">
        <f>IFERROR(__xludf.DUMMYFUNCTION("GOOGLETRANSLATE(A10163,""en"",""pt"")"),"#VALUE!")</f>
        <v>#VALUE!</v>
      </c>
      <c r="G10163" s="69"/>
    </row>
    <row r="10164" ht="22.5" customHeight="1">
      <c r="A10164" s="66"/>
      <c r="B10164" s="67" t="str">
        <f t="shared" si="16"/>
        <v>M: </v>
      </c>
      <c r="C10164" s="68"/>
      <c r="D10164" s="68">
        <v>46766.0</v>
      </c>
      <c r="E10164" s="66">
        <v>2.0</v>
      </c>
      <c r="F10164" s="66" t="str">
        <f>IFERROR(__xludf.DUMMYFUNCTION("GOOGLETRANSLATE(A10164,""en"",""pt"")"),"#VALUE!")</f>
        <v>#VALUE!</v>
      </c>
      <c r="G10164" s="69"/>
    </row>
    <row r="10165" ht="22.5" customHeight="1">
      <c r="A10165" s="66"/>
      <c r="B10165" s="67" t="str">
        <f t="shared" si="16"/>
        <v>M: </v>
      </c>
      <c r="C10165" s="68"/>
      <c r="D10165" s="68">
        <v>46766.0</v>
      </c>
      <c r="E10165" s="66">
        <v>3.0</v>
      </c>
      <c r="F10165" s="66" t="str">
        <f>IFERROR(__xludf.DUMMYFUNCTION("GOOGLETRANSLATE(A10165,""en"",""pt"")"),"#VALUE!")</f>
        <v>#VALUE!</v>
      </c>
      <c r="G10165" s="69"/>
    </row>
    <row r="10166" ht="22.5" customHeight="1">
      <c r="A10166" s="66"/>
      <c r="B10166" s="67" t="str">
        <f t="shared" si="16"/>
        <v>M: </v>
      </c>
      <c r="C10166" s="68"/>
      <c r="D10166" s="68">
        <v>46766.0</v>
      </c>
      <c r="E10166" s="66">
        <v>4.0</v>
      </c>
      <c r="F10166" s="66" t="str">
        <f>IFERROR(__xludf.DUMMYFUNCTION("GOOGLETRANSLATE(A10166,""en"",""pt"")"),"#VALUE!")</f>
        <v>#VALUE!</v>
      </c>
      <c r="G10166" s="69"/>
    </row>
    <row r="10167" ht="22.5" customHeight="1">
      <c r="A10167" s="66"/>
      <c r="B10167" s="67" t="str">
        <f t="shared" si="16"/>
        <v>M: </v>
      </c>
      <c r="C10167" s="68"/>
      <c r="D10167" s="68">
        <v>46766.0</v>
      </c>
      <c r="E10167" s="66">
        <v>5.0</v>
      </c>
      <c r="F10167" s="66" t="str">
        <f>IFERROR(__xludf.DUMMYFUNCTION("GOOGLETRANSLATE(A10167,""en"",""pt"")"),"#VALUE!")</f>
        <v>#VALUE!</v>
      </c>
      <c r="G10167" s="69"/>
    </row>
    <row r="10168" ht="22.5" customHeight="1">
      <c r="A10168" s="66"/>
      <c r="B10168" s="67" t="str">
        <f t="shared" si="16"/>
        <v>M: </v>
      </c>
      <c r="C10168" s="68"/>
      <c r="D10168" s="68">
        <v>46766.0</v>
      </c>
      <c r="E10168" s="66">
        <v>6.0</v>
      </c>
      <c r="F10168" s="66" t="str">
        <f>IFERROR(__xludf.DUMMYFUNCTION("GOOGLETRANSLATE(A10168,""en"",""pt"")"),"#VALUE!")</f>
        <v>#VALUE!</v>
      </c>
      <c r="G10168" s="69"/>
    </row>
    <row r="10169" ht="22.5" customHeight="1">
      <c r="A10169" s="66"/>
      <c r="B10169" s="67" t="str">
        <f t="shared" si="16"/>
        <v>M: </v>
      </c>
      <c r="C10169" s="68"/>
      <c r="D10169" s="68">
        <v>46766.0</v>
      </c>
      <c r="E10169" s="66">
        <v>7.0</v>
      </c>
      <c r="F10169" s="66" t="str">
        <f>IFERROR(__xludf.DUMMYFUNCTION("GOOGLETRANSLATE(A10169,""en"",""pt"")"),"#VALUE!")</f>
        <v>#VALUE!</v>
      </c>
      <c r="G10169" s="69"/>
    </row>
    <row r="10170" ht="22.5" customHeight="1">
      <c r="A10170" s="66"/>
      <c r="B10170" s="67" t="str">
        <f t="shared" si="16"/>
        <v>M: </v>
      </c>
      <c r="C10170" s="68"/>
      <c r="D10170" s="68">
        <v>46766.0</v>
      </c>
      <c r="E10170" s="66">
        <v>8.0</v>
      </c>
      <c r="F10170" s="66" t="str">
        <f>IFERROR(__xludf.DUMMYFUNCTION("GOOGLETRANSLATE(A10170,""en"",""pt"")"),"#VALUE!")</f>
        <v>#VALUE!</v>
      </c>
      <c r="G10170" s="69"/>
    </row>
    <row r="10171" ht="22.5" customHeight="1">
      <c r="A10171" s="66"/>
      <c r="B10171" s="67" t="str">
        <f t="shared" si="16"/>
        <v>M: </v>
      </c>
      <c r="C10171" s="68"/>
      <c r="D10171" s="68">
        <v>46766.0</v>
      </c>
      <c r="E10171" s="66">
        <v>9.0</v>
      </c>
      <c r="F10171" s="66" t="str">
        <f>IFERROR(__xludf.DUMMYFUNCTION("GOOGLETRANSLATE(A10171,""en"",""pt"")"),"#VALUE!")</f>
        <v>#VALUE!</v>
      </c>
      <c r="G10171" s="69"/>
    </row>
    <row r="10172" ht="22.5" customHeight="1">
      <c r="A10172" s="66"/>
      <c r="B10172" s="67" t="str">
        <f t="shared" si="16"/>
        <v>M: </v>
      </c>
      <c r="C10172" s="68"/>
      <c r="D10172" s="68">
        <v>46767.0</v>
      </c>
      <c r="E10172" s="66">
        <v>10.0</v>
      </c>
      <c r="F10172" s="66" t="str">
        <f>IFERROR(__xludf.DUMMYFUNCTION("GOOGLETRANSLATE(A10172,""en"",""pt"")"),"#VALUE!")</f>
        <v>#VALUE!</v>
      </c>
      <c r="G10172" s="69"/>
    </row>
    <row r="10173" ht="22.5" customHeight="1">
      <c r="A10173" s="66"/>
      <c r="B10173" s="67" t="str">
        <f t="shared" si="16"/>
        <v>M: </v>
      </c>
      <c r="C10173" s="68"/>
      <c r="D10173" s="68">
        <v>46767.0</v>
      </c>
      <c r="E10173" s="66">
        <v>1.0</v>
      </c>
      <c r="F10173" s="66" t="str">
        <f>IFERROR(__xludf.DUMMYFUNCTION("GOOGLETRANSLATE(A10173,""en"",""pt"")"),"#VALUE!")</f>
        <v>#VALUE!</v>
      </c>
      <c r="G10173" s="69"/>
    </row>
    <row r="10174" ht="22.5" customHeight="1">
      <c r="A10174" s="66"/>
      <c r="B10174" s="67" t="str">
        <f t="shared" si="16"/>
        <v>M: </v>
      </c>
      <c r="C10174" s="68"/>
      <c r="D10174" s="68">
        <v>46767.0</v>
      </c>
      <c r="E10174" s="66">
        <v>2.0</v>
      </c>
      <c r="F10174" s="66" t="str">
        <f>IFERROR(__xludf.DUMMYFUNCTION("GOOGLETRANSLATE(A10174,""en"",""pt"")"),"#VALUE!")</f>
        <v>#VALUE!</v>
      </c>
      <c r="G10174" s="69"/>
    </row>
    <row r="10175" ht="22.5" customHeight="1">
      <c r="A10175" s="66"/>
      <c r="B10175" s="67" t="str">
        <f t="shared" si="16"/>
        <v>M: </v>
      </c>
      <c r="C10175" s="68"/>
      <c r="D10175" s="68">
        <v>46767.0</v>
      </c>
      <c r="E10175" s="66">
        <v>3.0</v>
      </c>
      <c r="F10175" s="66" t="str">
        <f>IFERROR(__xludf.DUMMYFUNCTION("GOOGLETRANSLATE(A10175,""en"",""pt"")"),"#VALUE!")</f>
        <v>#VALUE!</v>
      </c>
      <c r="G10175" s="69"/>
    </row>
    <row r="10176" ht="22.5" customHeight="1">
      <c r="A10176" s="66"/>
      <c r="B10176" s="67" t="str">
        <f t="shared" si="16"/>
        <v>M: </v>
      </c>
      <c r="C10176" s="68"/>
      <c r="D10176" s="68">
        <v>46767.0</v>
      </c>
      <c r="E10176" s="66">
        <v>4.0</v>
      </c>
      <c r="F10176" s="66" t="str">
        <f>IFERROR(__xludf.DUMMYFUNCTION("GOOGLETRANSLATE(A10176,""en"",""pt"")"),"#VALUE!")</f>
        <v>#VALUE!</v>
      </c>
      <c r="G10176" s="69"/>
    </row>
    <row r="10177" ht="22.5" customHeight="1">
      <c r="A10177" s="66"/>
      <c r="B10177" s="67" t="str">
        <f t="shared" si="16"/>
        <v>M: </v>
      </c>
      <c r="C10177" s="68"/>
      <c r="D10177" s="68">
        <v>46767.0</v>
      </c>
      <c r="E10177" s="66">
        <v>5.0</v>
      </c>
      <c r="F10177" s="66" t="str">
        <f>IFERROR(__xludf.DUMMYFUNCTION("GOOGLETRANSLATE(A10177,""en"",""pt"")"),"#VALUE!")</f>
        <v>#VALUE!</v>
      </c>
      <c r="G10177" s="69"/>
    </row>
    <row r="10178" ht="22.5" customHeight="1">
      <c r="A10178" s="66"/>
      <c r="B10178" s="67" t="str">
        <f t="shared" si="16"/>
        <v>M: </v>
      </c>
      <c r="C10178" s="68"/>
      <c r="D10178" s="68">
        <v>46767.0</v>
      </c>
      <c r="E10178" s="66">
        <v>6.0</v>
      </c>
      <c r="F10178" s="66" t="str">
        <f>IFERROR(__xludf.DUMMYFUNCTION("GOOGLETRANSLATE(A10178,""en"",""pt"")"),"#VALUE!")</f>
        <v>#VALUE!</v>
      </c>
      <c r="G10178" s="69"/>
    </row>
    <row r="10179" ht="22.5" customHeight="1">
      <c r="A10179" s="66"/>
      <c r="B10179" s="67" t="str">
        <f t="shared" si="16"/>
        <v>M: </v>
      </c>
      <c r="C10179" s="68"/>
      <c r="D10179" s="68">
        <v>46767.0</v>
      </c>
      <c r="E10179" s="66">
        <v>7.0</v>
      </c>
      <c r="F10179" s="66" t="str">
        <f>IFERROR(__xludf.DUMMYFUNCTION("GOOGLETRANSLATE(A10179,""en"",""pt"")"),"#VALUE!")</f>
        <v>#VALUE!</v>
      </c>
      <c r="G10179" s="69"/>
    </row>
    <row r="10180" ht="22.5" customHeight="1">
      <c r="A10180" s="66"/>
      <c r="B10180" s="67" t="str">
        <f t="shared" si="16"/>
        <v>M: </v>
      </c>
      <c r="C10180" s="68"/>
      <c r="D10180" s="68">
        <v>46767.0</v>
      </c>
      <c r="E10180" s="66">
        <v>8.0</v>
      </c>
      <c r="F10180" s="66" t="str">
        <f>IFERROR(__xludf.DUMMYFUNCTION("GOOGLETRANSLATE(A10180,""en"",""pt"")"),"#VALUE!")</f>
        <v>#VALUE!</v>
      </c>
      <c r="G10180" s="69"/>
    </row>
    <row r="10181" ht="22.5" customHeight="1">
      <c r="A10181" s="66"/>
      <c r="B10181" s="67" t="str">
        <f t="shared" si="16"/>
        <v>M: </v>
      </c>
      <c r="C10181" s="68"/>
      <c r="D10181" s="68">
        <v>46767.0</v>
      </c>
      <c r="E10181" s="66">
        <v>9.0</v>
      </c>
      <c r="F10181" s="66" t="str">
        <f>IFERROR(__xludf.DUMMYFUNCTION("GOOGLETRANSLATE(A10181,""en"",""pt"")"),"#VALUE!")</f>
        <v>#VALUE!</v>
      </c>
      <c r="G10181" s="69"/>
    </row>
    <row r="10182" ht="22.5" customHeight="1">
      <c r="A10182" s="66"/>
      <c r="B10182" s="67" t="str">
        <f t="shared" si="16"/>
        <v>M: </v>
      </c>
      <c r="C10182" s="68"/>
      <c r="D10182" s="68">
        <v>46768.0</v>
      </c>
      <c r="E10182" s="66">
        <v>10.0</v>
      </c>
      <c r="F10182" s="66" t="str">
        <f>IFERROR(__xludf.DUMMYFUNCTION("GOOGLETRANSLATE(A10182,""en"",""pt"")"),"#VALUE!")</f>
        <v>#VALUE!</v>
      </c>
      <c r="G10182" s="69"/>
    </row>
    <row r="10183" ht="22.5" customHeight="1">
      <c r="A10183" s="66"/>
      <c r="B10183" s="67" t="str">
        <f t="shared" si="16"/>
        <v>M: </v>
      </c>
      <c r="C10183" s="68"/>
      <c r="D10183" s="68">
        <v>46768.0</v>
      </c>
      <c r="E10183" s="66">
        <v>1.0</v>
      </c>
      <c r="F10183" s="66" t="str">
        <f>IFERROR(__xludf.DUMMYFUNCTION("GOOGLETRANSLATE(A10183,""en"",""pt"")"),"#VALUE!")</f>
        <v>#VALUE!</v>
      </c>
      <c r="G10183" s="69"/>
    </row>
    <row r="10184" ht="22.5" customHeight="1">
      <c r="A10184" s="66"/>
      <c r="B10184" s="67" t="str">
        <f t="shared" si="16"/>
        <v>M: </v>
      </c>
      <c r="C10184" s="68"/>
      <c r="D10184" s="68">
        <v>46768.0</v>
      </c>
      <c r="E10184" s="66">
        <v>2.0</v>
      </c>
      <c r="F10184" s="66" t="str">
        <f>IFERROR(__xludf.DUMMYFUNCTION("GOOGLETRANSLATE(A10184,""en"",""pt"")"),"#VALUE!")</f>
        <v>#VALUE!</v>
      </c>
      <c r="G10184" s="69"/>
    </row>
    <row r="10185" ht="22.5" customHeight="1">
      <c r="A10185" s="66"/>
      <c r="B10185" s="67" t="str">
        <f t="shared" si="16"/>
        <v>M: </v>
      </c>
      <c r="C10185" s="68"/>
      <c r="D10185" s="68">
        <v>46768.0</v>
      </c>
      <c r="E10185" s="66">
        <v>3.0</v>
      </c>
      <c r="F10185" s="66" t="str">
        <f>IFERROR(__xludf.DUMMYFUNCTION("GOOGLETRANSLATE(A10185,""en"",""pt"")"),"#VALUE!")</f>
        <v>#VALUE!</v>
      </c>
      <c r="G10185" s="69"/>
    </row>
    <row r="10186" ht="22.5" customHeight="1">
      <c r="A10186" s="66"/>
      <c r="B10186" s="67" t="str">
        <f t="shared" si="16"/>
        <v>M: </v>
      </c>
      <c r="C10186" s="68"/>
      <c r="D10186" s="68">
        <v>46768.0</v>
      </c>
      <c r="E10186" s="66">
        <v>4.0</v>
      </c>
      <c r="F10186" s="66" t="str">
        <f>IFERROR(__xludf.DUMMYFUNCTION("GOOGLETRANSLATE(A10186,""en"",""pt"")"),"#VALUE!")</f>
        <v>#VALUE!</v>
      </c>
      <c r="G10186" s="69"/>
    </row>
    <row r="10187" ht="22.5" customHeight="1">
      <c r="A10187" s="66"/>
      <c r="B10187" s="67" t="str">
        <f t="shared" si="16"/>
        <v>M: </v>
      </c>
      <c r="C10187" s="68"/>
      <c r="D10187" s="68">
        <v>46768.0</v>
      </c>
      <c r="E10187" s="66">
        <v>5.0</v>
      </c>
      <c r="F10187" s="66" t="str">
        <f>IFERROR(__xludf.DUMMYFUNCTION("GOOGLETRANSLATE(A10187,""en"",""pt"")"),"#VALUE!")</f>
        <v>#VALUE!</v>
      </c>
      <c r="G10187" s="69"/>
    </row>
    <row r="10188" ht="22.5" customHeight="1">
      <c r="A10188" s="66"/>
      <c r="B10188" s="67" t="str">
        <f t="shared" si="16"/>
        <v>M: </v>
      </c>
      <c r="C10188" s="68"/>
      <c r="D10188" s="68">
        <v>46768.0</v>
      </c>
      <c r="E10188" s="66">
        <v>6.0</v>
      </c>
      <c r="F10188" s="66" t="str">
        <f>IFERROR(__xludf.DUMMYFUNCTION("GOOGLETRANSLATE(A10188,""en"",""pt"")"),"#VALUE!")</f>
        <v>#VALUE!</v>
      </c>
      <c r="G10188" s="69"/>
    </row>
    <row r="10189" ht="22.5" customHeight="1">
      <c r="A10189" s="66"/>
      <c r="B10189" s="67" t="str">
        <f t="shared" si="16"/>
        <v>M: </v>
      </c>
      <c r="C10189" s="68"/>
      <c r="D10189" s="68">
        <v>46768.0</v>
      </c>
      <c r="E10189" s="66">
        <v>7.0</v>
      </c>
      <c r="F10189" s="66" t="str">
        <f>IFERROR(__xludf.DUMMYFUNCTION("GOOGLETRANSLATE(A10189,""en"",""pt"")"),"#VALUE!")</f>
        <v>#VALUE!</v>
      </c>
      <c r="G10189" s="69"/>
    </row>
    <row r="10190" ht="22.5" customHeight="1">
      <c r="A10190" s="66"/>
      <c r="B10190" s="67" t="str">
        <f t="shared" si="16"/>
        <v>M: </v>
      </c>
      <c r="C10190" s="68"/>
      <c r="D10190" s="68">
        <v>46768.0</v>
      </c>
      <c r="E10190" s="66">
        <v>8.0</v>
      </c>
      <c r="F10190" s="66" t="str">
        <f>IFERROR(__xludf.DUMMYFUNCTION("GOOGLETRANSLATE(A10190,""en"",""pt"")"),"#VALUE!")</f>
        <v>#VALUE!</v>
      </c>
      <c r="G10190" s="69"/>
    </row>
    <row r="10191" ht="22.5" customHeight="1">
      <c r="A10191" s="66"/>
      <c r="B10191" s="67" t="str">
        <f t="shared" si="16"/>
        <v>M: </v>
      </c>
      <c r="C10191" s="68"/>
      <c r="D10191" s="68">
        <v>46768.0</v>
      </c>
      <c r="E10191" s="66">
        <v>9.0</v>
      </c>
      <c r="F10191" s="66" t="str">
        <f>IFERROR(__xludf.DUMMYFUNCTION("GOOGLETRANSLATE(A10191,""en"",""pt"")"),"#VALUE!")</f>
        <v>#VALUE!</v>
      </c>
      <c r="G10191" s="69"/>
    </row>
    <row r="10192" ht="22.5" customHeight="1">
      <c r="A10192" s="66"/>
      <c r="B10192" s="67" t="str">
        <f t="shared" si="16"/>
        <v>M: </v>
      </c>
      <c r="C10192" s="68"/>
      <c r="D10192" s="68">
        <v>46769.0</v>
      </c>
      <c r="E10192" s="66">
        <v>10.0</v>
      </c>
      <c r="F10192" s="66" t="str">
        <f>IFERROR(__xludf.DUMMYFUNCTION("GOOGLETRANSLATE(A10192,""en"",""pt"")"),"#VALUE!")</f>
        <v>#VALUE!</v>
      </c>
      <c r="G10192" s="69"/>
    </row>
    <row r="10193" ht="22.5" customHeight="1">
      <c r="A10193" s="66"/>
      <c r="B10193" s="67" t="str">
        <f t="shared" si="16"/>
        <v>M: </v>
      </c>
      <c r="C10193" s="68"/>
      <c r="D10193" s="68">
        <v>46769.0</v>
      </c>
      <c r="E10193" s="66">
        <v>1.0</v>
      </c>
      <c r="F10193" s="66" t="str">
        <f>IFERROR(__xludf.DUMMYFUNCTION("GOOGLETRANSLATE(A10193,""en"",""pt"")"),"#VALUE!")</f>
        <v>#VALUE!</v>
      </c>
      <c r="G10193" s="69"/>
    </row>
    <row r="10194" ht="22.5" customHeight="1">
      <c r="A10194" s="66"/>
      <c r="B10194" s="67" t="str">
        <f t="shared" si="16"/>
        <v>M: </v>
      </c>
      <c r="C10194" s="68"/>
      <c r="D10194" s="68">
        <v>46769.0</v>
      </c>
      <c r="E10194" s="66">
        <v>2.0</v>
      </c>
      <c r="F10194" s="66" t="str">
        <f>IFERROR(__xludf.DUMMYFUNCTION("GOOGLETRANSLATE(A10194,""en"",""pt"")"),"#VALUE!")</f>
        <v>#VALUE!</v>
      </c>
      <c r="G10194" s="69"/>
    </row>
    <row r="10195" ht="22.5" customHeight="1">
      <c r="A10195" s="66"/>
      <c r="B10195" s="67" t="str">
        <f t="shared" si="16"/>
        <v>M: </v>
      </c>
      <c r="C10195" s="68"/>
      <c r="D10195" s="68">
        <v>46769.0</v>
      </c>
      <c r="E10195" s="66">
        <v>3.0</v>
      </c>
      <c r="F10195" s="66" t="str">
        <f>IFERROR(__xludf.DUMMYFUNCTION("GOOGLETRANSLATE(A10195,""en"",""pt"")"),"#VALUE!")</f>
        <v>#VALUE!</v>
      </c>
      <c r="G10195" s="69"/>
    </row>
    <row r="10196" ht="22.5" customHeight="1">
      <c r="A10196" s="66"/>
      <c r="B10196" s="67" t="str">
        <f t="shared" si="16"/>
        <v>M: </v>
      </c>
      <c r="C10196" s="68"/>
      <c r="D10196" s="68">
        <v>46769.0</v>
      </c>
      <c r="E10196" s="66">
        <v>4.0</v>
      </c>
      <c r="F10196" s="66" t="str">
        <f>IFERROR(__xludf.DUMMYFUNCTION("GOOGLETRANSLATE(A10196,""en"",""pt"")"),"#VALUE!")</f>
        <v>#VALUE!</v>
      </c>
      <c r="G10196" s="69"/>
    </row>
    <row r="10197" ht="22.5" customHeight="1">
      <c r="A10197" s="66"/>
      <c r="B10197" s="67" t="str">
        <f t="shared" si="16"/>
        <v>M: </v>
      </c>
      <c r="C10197" s="68"/>
      <c r="D10197" s="68">
        <v>46769.0</v>
      </c>
      <c r="E10197" s="66">
        <v>5.0</v>
      </c>
      <c r="F10197" s="66" t="str">
        <f>IFERROR(__xludf.DUMMYFUNCTION("GOOGLETRANSLATE(A10197,""en"",""pt"")"),"#VALUE!")</f>
        <v>#VALUE!</v>
      </c>
      <c r="G10197" s="69"/>
    </row>
    <row r="10198" ht="22.5" customHeight="1">
      <c r="A10198" s="66"/>
      <c r="B10198" s="67" t="str">
        <f t="shared" si="16"/>
        <v>M: </v>
      </c>
      <c r="C10198" s="68"/>
      <c r="D10198" s="68">
        <v>46769.0</v>
      </c>
      <c r="E10198" s="66">
        <v>6.0</v>
      </c>
      <c r="F10198" s="66" t="str">
        <f>IFERROR(__xludf.DUMMYFUNCTION("GOOGLETRANSLATE(A10198,""en"",""pt"")"),"#VALUE!")</f>
        <v>#VALUE!</v>
      </c>
      <c r="G10198" s="69"/>
    </row>
    <row r="10199" ht="22.5" customHeight="1">
      <c r="A10199" s="66"/>
      <c r="B10199" s="67" t="str">
        <f t="shared" si="16"/>
        <v>M: </v>
      </c>
      <c r="C10199" s="68"/>
      <c r="D10199" s="68">
        <v>46769.0</v>
      </c>
      <c r="E10199" s="66">
        <v>7.0</v>
      </c>
      <c r="F10199" s="66" t="str">
        <f>IFERROR(__xludf.DUMMYFUNCTION("GOOGLETRANSLATE(A10199,""en"",""pt"")"),"#VALUE!")</f>
        <v>#VALUE!</v>
      </c>
      <c r="G10199" s="69"/>
    </row>
    <row r="10200" ht="22.5" customHeight="1">
      <c r="A10200" s="66"/>
      <c r="B10200" s="67" t="str">
        <f t="shared" si="16"/>
        <v>M: </v>
      </c>
      <c r="C10200" s="68"/>
      <c r="D10200" s="68">
        <v>46769.0</v>
      </c>
      <c r="E10200" s="66">
        <v>8.0</v>
      </c>
      <c r="F10200" s="66" t="str">
        <f>IFERROR(__xludf.DUMMYFUNCTION("GOOGLETRANSLATE(A10200,""en"",""pt"")"),"#VALUE!")</f>
        <v>#VALUE!</v>
      </c>
      <c r="G10200" s="69"/>
    </row>
    <row r="10201" ht="22.5" customHeight="1">
      <c r="A10201" s="66"/>
      <c r="B10201" s="67" t="str">
        <f t="shared" si="16"/>
        <v>M: </v>
      </c>
      <c r="C10201" s="68"/>
      <c r="D10201" s="68">
        <v>46769.0</v>
      </c>
      <c r="E10201" s="66">
        <v>9.0</v>
      </c>
      <c r="F10201" s="66" t="str">
        <f>IFERROR(__xludf.DUMMYFUNCTION("GOOGLETRANSLATE(A10201,""en"",""pt"")"),"#VALUE!")</f>
        <v>#VALUE!</v>
      </c>
      <c r="G10201" s="69"/>
    </row>
    <row r="10202" ht="22.5" customHeight="1">
      <c r="A10202" s="66"/>
      <c r="B10202" s="67" t="str">
        <f t="shared" si="16"/>
        <v>M: </v>
      </c>
      <c r="C10202" s="68"/>
      <c r="D10202" s="68">
        <v>46770.0</v>
      </c>
      <c r="E10202" s="66">
        <v>10.0</v>
      </c>
      <c r="F10202" s="66" t="str">
        <f>IFERROR(__xludf.DUMMYFUNCTION("GOOGLETRANSLATE(A10202,""en"",""pt"")"),"#VALUE!")</f>
        <v>#VALUE!</v>
      </c>
      <c r="G10202" s="69"/>
    </row>
    <row r="10203" ht="22.5" customHeight="1">
      <c r="A10203" s="66"/>
      <c r="B10203" s="67" t="str">
        <f t="shared" si="16"/>
        <v>M: </v>
      </c>
      <c r="C10203" s="68"/>
      <c r="D10203" s="68">
        <v>46770.0</v>
      </c>
      <c r="E10203" s="66">
        <v>1.0</v>
      </c>
      <c r="F10203" s="66" t="str">
        <f>IFERROR(__xludf.DUMMYFUNCTION("GOOGLETRANSLATE(A10203,""en"",""pt"")"),"#VALUE!")</f>
        <v>#VALUE!</v>
      </c>
      <c r="G10203" s="69"/>
    </row>
    <row r="10204" ht="22.5" customHeight="1">
      <c r="A10204" s="66"/>
      <c r="B10204" s="67" t="str">
        <f t="shared" si="16"/>
        <v>M: </v>
      </c>
      <c r="C10204" s="68"/>
      <c r="D10204" s="68">
        <v>46770.0</v>
      </c>
      <c r="E10204" s="66">
        <v>2.0</v>
      </c>
      <c r="F10204" s="66" t="str">
        <f>IFERROR(__xludf.DUMMYFUNCTION("GOOGLETRANSLATE(A10204,""en"",""pt"")"),"#VALUE!")</f>
        <v>#VALUE!</v>
      </c>
      <c r="G10204" s="69"/>
    </row>
    <row r="10205" ht="22.5" customHeight="1">
      <c r="A10205" s="66"/>
      <c r="B10205" s="67" t="str">
        <f t="shared" si="16"/>
        <v>M: </v>
      </c>
      <c r="C10205" s="68"/>
      <c r="D10205" s="68">
        <v>46770.0</v>
      </c>
      <c r="E10205" s="66">
        <v>3.0</v>
      </c>
      <c r="F10205" s="66" t="str">
        <f>IFERROR(__xludf.DUMMYFUNCTION("GOOGLETRANSLATE(A10205,""en"",""pt"")"),"#VALUE!")</f>
        <v>#VALUE!</v>
      </c>
      <c r="G10205" s="69"/>
    </row>
    <row r="10206" ht="22.5" customHeight="1">
      <c r="A10206" s="66"/>
      <c r="B10206" s="67" t="str">
        <f t="shared" si="16"/>
        <v>M: </v>
      </c>
      <c r="C10206" s="68"/>
      <c r="D10206" s="68">
        <v>46770.0</v>
      </c>
      <c r="E10206" s="66">
        <v>4.0</v>
      </c>
      <c r="F10206" s="66" t="str">
        <f>IFERROR(__xludf.DUMMYFUNCTION("GOOGLETRANSLATE(A10206,""en"",""pt"")"),"#VALUE!")</f>
        <v>#VALUE!</v>
      </c>
      <c r="G10206" s="69"/>
    </row>
    <row r="10207" ht="22.5" customHeight="1">
      <c r="A10207" s="66"/>
      <c r="B10207" s="67" t="str">
        <f t="shared" si="16"/>
        <v>M: </v>
      </c>
      <c r="C10207" s="68"/>
      <c r="D10207" s="68">
        <v>46770.0</v>
      </c>
      <c r="E10207" s="66">
        <v>5.0</v>
      </c>
      <c r="F10207" s="66" t="str">
        <f>IFERROR(__xludf.DUMMYFUNCTION("GOOGLETRANSLATE(A10207,""en"",""pt"")"),"#VALUE!")</f>
        <v>#VALUE!</v>
      </c>
      <c r="G10207" s="69"/>
    </row>
    <row r="10208" ht="22.5" customHeight="1">
      <c r="A10208" s="66"/>
      <c r="B10208" s="67" t="str">
        <f t="shared" si="16"/>
        <v>M: </v>
      </c>
      <c r="C10208" s="68"/>
      <c r="D10208" s="68">
        <v>46770.0</v>
      </c>
      <c r="E10208" s="66">
        <v>6.0</v>
      </c>
      <c r="F10208" s="66" t="str">
        <f>IFERROR(__xludf.DUMMYFUNCTION("GOOGLETRANSLATE(A10208,""en"",""pt"")"),"#VALUE!")</f>
        <v>#VALUE!</v>
      </c>
      <c r="G10208" s="69"/>
    </row>
    <row r="10209" ht="22.5" customHeight="1">
      <c r="A10209" s="66"/>
      <c r="B10209" s="67" t="str">
        <f t="shared" si="16"/>
        <v>M: </v>
      </c>
      <c r="C10209" s="68"/>
      <c r="D10209" s="68">
        <v>46770.0</v>
      </c>
      <c r="E10209" s="66">
        <v>7.0</v>
      </c>
      <c r="F10209" s="66" t="str">
        <f>IFERROR(__xludf.DUMMYFUNCTION("GOOGLETRANSLATE(A10209,""en"",""pt"")"),"#VALUE!")</f>
        <v>#VALUE!</v>
      </c>
      <c r="G10209" s="69"/>
    </row>
    <row r="10210" ht="22.5" customHeight="1">
      <c r="A10210" s="66"/>
      <c r="B10210" s="67" t="str">
        <f t="shared" si="16"/>
        <v>M: </v>
      </c>
      <c r="C10210" s="68"/>
      <c r="D10210" s="68">
        <v>46770.0</v>
      </c>
      <c r="E10210" s="66">
        <v>8.0</v>
      </c>
      <c r="F10210" s="66" t="str">
        <f>IFERROR(__xludf.DUMMYFUNCTION("GOOGLETRANSLATE(A10210,""en"",""pt"")"),"#VALUE!")</f>
        <v>#VALUE!</v>
      </c>
      <c r="G10210" s="69"/>
    </row>
    <row r="10211" ht="22.5" customHeight="1">
      <c r="A10211" s="66"/>
      <c r="B10211" s="67" t="str">
        <f t="shared" si="16"/>
        <v>M: </v>
      </c>
      <c r="C10211" s="68"/>
      <c r="D10211" s="68">
        <v>46770.0</v>
      </c>
      <c r="E10211" s="66">
        <v>9.0</v>
      </c>
      <c r="F10211" s="66" t="str">
        <f>IFERROR(__xludf.DUMMYFUNCTION("GOOGLETRANSLATE(A10211,""en"",""pt"")"),"#VALUE!")</f>
        <v>#VALUE!</v>
      </c>
      <c r="G10211" s="69"/>
    </row>
    <row r="10212" ht="22.5" customHeight="1">
      <c r="A10212" s="66"/>
      <c r="B10212" s="67" t="str">
        <f t="shared" si="16"/>
        <v>M: </v>
      </c>
      <c r="C10212" s="68"/>
      <c r="D10212" s="68">
        <v>46771.0</v>
      </c>
      <c r="E10212" s="66">
        <v>10.0</v>
      </c>
      <c r="F10212" s="66" t="str">
        <f>IFERROR(__xludf.DUMMYFUNCTION("GOOGLETRANSLATE(A10212,""en"",""pt"")"),"#VALUE!")</f>
        <v>#VALUE!</v>
      </c>
      <c r="G10212" s="69"/>
    </row>
    <row r="10213" ht="22.5" customHeight="1">
      <c r="A10213" s="66"/>
      <c r="B10213" s="67" t="str">
        <f t="shared" si="16"/>
        <v>M: </v>
      </c>
      <c r="C10213" s="68"/>
      <c r="D10213" s="68">
        <v>46771.0</v>
      </c>
      <c r="E10213" s="66">
        <v>1.0</v>
      </c>
      <c r="F10213" s="66" t="str">
        <f>IFERROR(__xludf.DUMMYFUNCTION("GOOGLETRANSLATE(A10213,""en"",""pt"")"),"#VALUE!")</f>
        <v>#VALUE!</v>
      </c>
      <c r="G10213" s="69"/>
    </row>
    <row r="10214" ht="22.5" customHeight="1">
      <c r="A10214" s="66"/>
      <c r="B10214" s="67" t="str">
        <f t="shared" si="16"/>
        <v>M: </v>
      </c>
      <c r="C10214" s="68"/>
      <c r="D10214" s="68">
        <v>46771.0</v>
      </c>
      <c r="E10214" s="66">
        <v>2.0</v>
      </c>
      <c r="F10214" s="66" t="str">
        <f>IFERROR(__xludf.DUMMYFUNCTION("GOOGLETRANSLATE(A10214,""en"",""pt"")"),"#VALUE!")</f>
        <v>#VALUE!</v>
      </c>
      <c r="G10214" s="69"/>
    </row>
    <row r="10215" ht="22.5" customHeight="1">
      <c r="A10215" s="66"/>
      <c r="B10215" s="67" t="str">
        <f t="shared" si="16"/>
        <v>M: </v>
      </c>
      <c r="C10215" s="68"/>
      <c r="D10215" s="68">
        <v>46771.0</v>
      </c>
      <c r="E10215" s="66">
        <v>3.0</v>
      </c>
      <c r="F10215" s="66" t="str">
        <f>IFERROR(__xludf.DUMMYFUNCTION("GOOGLETRANSLATE(A10215,""en"",""pt"")"),"#VALUE!")</f>
        <v>#VALUE!</v>
      </c>
      <c r="G10215" s="69"/>
    </row>
    <row r="10216" ht="22.5" customHeight="1">
      <c r="A10216" s="66"/>
      <c r="B10216" s="67" t="str">
        <f t="shared" si="16"/>
        <v>M: </v>
      </c>
      <c r="C10216" s="68"/>
      <c r="D10216" s="68">
        <v>46771.0</v>
      </c>
      <c r="E10216" s="66">
        <v>4.0</v>
      </c>
      <c r="F10216" s="66" t="str">
        <f>IFERROR(__xludf.DUMMYFUNCTION("GOOGLETRANSLATE(A10216,""en"",""pt"")"),"#VALUE!")</f>
        <v>#VALUE!</v>
      </c>
      <c r="G10216" s="69"/>
    </row>
    <row r="10217" ht="22.5" customHeight="1">
      <c r="A10217" s="66"/>
      <c r="B10217" s="67" t="str">
        <f t="shared" si="16"/>
        <v>M: </v>
      </c>
      <c r="C10217" s="68"/>
      <c r="D10217" s="68">
        <v>46771.0</v>
      </c>
      <c r="E10217" s="66">
        <v>5.0</v>
      </c>
      <c r="F10217" s="66" t="str">
        <f>IFERROR(__xludf.DUMMYFUNCTION("GOOGLETRANSLATE(A10217,""en"",""pt"")"),"#VALUE!")</f>
        <v>#VALUE!</v>
      </c>
      <c r="G10217" s="69"/>
    </row>
    <row r="10218" ht="22.5" customHeight="1">
      <c r="A10218" s="66"/>
      <c r="B10218" s="67" t="str">
        <f t="shared" si="16"/>
        <v>M: </v>
      </c>
      <c r="C10218" s="68"/>
      <c r="D10218" s="68">
        <v>46771.0</v>
      </c>
      <c r="E10218" s="66">
        <v>6.0</v>
      </c>
      <c r="F10218" s="66" t="str">
        <f>IFERROR(__xludf.DUMMYFUNCTION("GOOGLETRANSLATE(A10218,""en"",""pt"")"),"#VALUE!")</f>
        <v>#VALUE!</v>
      </c>
      <c r="G10218" s="69"/>
    </row>
    <row r="10219" ht="22.5" customHeight="1">
      <c r="A10219" s="66"/>
      <c r="B10219" s="67" t="str">
        <f t="shared" si="16"/>
        <v>M: </v>
      </c>
      <c r="C10219" s="68"/>
      <c r="D10219" s="68">
        <v>46771.0</v>
      </c>
      <c r="E10219" s="66">
        <v>7.0</v>
      </c>
      <c r="F10219" s="66" t="str">
        <f>IFERROR(__xludf.DUMMYFUNCTION("GOOGLETRANSLATE(A10219,""en"",""pt"")"),"#VALUE!")</f>
        <v>#VALUE!</v>
      </c>
      <c r="G10219" s="69"/>
    </row>
    <row r="10220" ht="22.5" customHeight="1">
      <c r="A10220" s="66"/>
      <c r="B10220" s="67" t="str">
        <f t="shared" si="16"/>
        <v>M: </v>
      </c>
      <c r="C10220" s="68"/>
      <c r="D10220" s="68">
        <v>46771.0</v>
      </c>
      <c r="E10220" s="66">
        <v>8.0</v>
      </c>
      <c r="F10220" s="66" t="str">
        <f>IFERROR(__xludf.DUMMYFUNCTION("GOOGLETRANSLATE(A10220,""en"",""pt"")"),"#VALUE!")</f>
        <v>#VALUE!</v>
      </c>
      <c r="G10220" s="69"/>
    </row>
    <row r="10221" ht="22.5" customHeight="1">
      <c r="A10221" s="66"/>
      <c r="B10221" s="67" t="str">
        <f t="shared" si="16"/>
        <v>M: </v>
      </c>
      <c r="C10221" s="68"/>
      <c r="D10221" s="68">
        <v>46771.0</v>
      </c>
      <c r="E10221" s="66">
        <v>9.0</v>
      </c>
      <c r="F10221" s="66" t="str">
        <f>IFERROR(__xludf.DUMMYFUNCTION("GOOGLETRANSLATE(A10221,""en"",""pt"")"),"#VALUE!")</f>
        <v>#VALUE!</v>
      </c>
      <c r="G10221" s="69"/>
    </row>
    <row r="10222" ht="22.5" customHeight="1">
      <c r="A10222" s="66"/>
      <c r="B10222" s="67" t="str">
        <f t="shared" si="16"/>
        <v>M: </v>
      </c>
      <c r="C10222" s="68"/>
      <c r="D10222" s="68">
        <v>46772.0</v>
      </c>
      <c r="E10222" s="66">
        <v>10.0</v>
      </c>
      <c r="F10222" s="66" t="str">
        <f>IFERROR(__xludf.DUMMYFUNCTION("GOOGLETRANSLATE(A10222,""en"",""pt"")"),"#VALUE!")</f>
        <v>#VALUE!</v>
      </c>
      <c r="G10222" s="69"/>
    </row>
    <row r="10223" ht="22.5" customHeight="1">
      <c r="A10223" s="66"/>
      <c r="B10223" s="67" t="str">
        <f t="shared" si="16"/>
        <v>M: </v>
      </c>
      <c r="C10223" s="68"/>
      <c r="D10223" s="68">
        <v>46772.0</v>
      </c>
      <c r="E10223" s="66">
        <v>1.0</v>
      </c>
      <c r="F10223" s="66" t="str">
        <f>IFERROR(__xludf.DUMMYFUNCTION("GOOGLETRANSLATE(A10223,""en"",""pt"")"),"#VALUE!")</f>
        <v>#VALUE!</v>
      </c>
      <c r="G10223" s="69"/>
    </row>
    <row r="10224" ht="22.5" customHeight="1">
      <c r="A10224" s="66"/>
      <c r="B10224" s="67" t="str">
        <f t="shared" si="16"/>
        <v>M: </v>
      </c>
      <c r="C10224" s="68"/>
      <c r="D10224" s="68">
        <v>46772.0</v>
      </c>
      <c r="E10224" s="66">
        <v>2.0</v>
      </c>
      <c r="F10224" s="66" t="str">
        <f>IFERROR(__xludf.DUMMYFUNCTION("GOOGLETRANSLATE(A10224,""en"",""pt"")"),"#VALUE!")</f>
        <v>#VALUE!</v>
      </c>
      <c r="G10224" s="69"/>
    </row>
    <row r="10225" ht="22.5" customHeight="1">
      <c r="A10225" s="66"/>
      <c r="B10225" s="67" t="str">
        <f t="shared" si="16"/>
        <v>M: </v>
      </c>
      <c r="C10225" s="68"/>
      <c r="D10225" s="68">
        <v>46772.0</v>
      </c>
      <c r="E10225" s="66">
        <v>3.0</v>
      </c>
      <c r="F10225" s="66" t="str">
        <f>IFERROR(__xludf.DUMMYFUNCTION("GOOGLETRANSLATE(A10225,""en"",""pt"")"),"#VALUE!")</f>
        <v>#VALUE!</v>
      </c>
      <c r="G10225" s="69"/>
    </row>
    <row r="10226" ht="22.5" customHeight="1">
      <c r="A10226" s="66"/>
      <c r="B10226" s="67" t="str">
        <f t="shared" si="16"/>
        <v>M: </v>
      </c>
      <c r="C10226" s="68"/>
      <c r="D10226" s="68">
        <v>46772.0</v>
      </c>
      <c r="E10226" s="66">
        <v>4.0</v>
      </c>
      <c r="F10226" s="66" t="str">
        <f>IFERROR(__xludf.DUMMYFUNCTION("GOOGLETRANSLATE(A10226,""en"",""pt"")"),"#VALUE!")</f>
        <v>#VALUE!</v>
      </c>
      <c r="G10226" s="69"/>
    </row>
    <row r="10227" ht="22.5" customHeight="1">
      <c r="A10227" s="66"/>
      <c r="B10227" s="67" t="str">
        <f t="shared" si="16"/>
        <v>M: </v>
      </c>
      <c r="C10227" s="68"/>
      <c r="D10227" s="68">
        <v>46772.0</v>
      </c>
      <c r="E10227" s="66">
        <v>5.0</v>
      </c>
      <c r="F10227" s="66" t="str">
        <f>IFERROR(__xludf.DUMMYFUNCTION("GOOGLETRANSLATE(A10227,""en"",""pt"")"),"#VALUE!")</f>
        <v>#VALUE!</v>
      </c>
      <c r="G10227" s="69"/>
    </row>
    <row r="10228" ht="22.5" customHeight="1">
      <c r="A10228" s="66"/>
      <c r="B10228" s="67" t="str">
        <f t="shared" si="16"/>
        <v>M: </v>
      </c>
      <c r="C10228" s="68"/>
      <c r="D10228" s="68">
        <v>46772.0</v>
      </c>
      <c r="E10228" s="66">
        <v>6.0</v>
      </c>
      <c r="F10228" s="66" t="str">
        <f>IFERROR(__xludf.DUMMYFUNCTION("GOOGLETRANSLATE(A10228,""en"",""pt"")"),"#VALUE!")</f>
        <v>#VALUE!</v>
      </c>
      <c r="G10228" s="69"/>
    </row>
    <row r="10229" ht="22.5" customHeight="1">
      <c r="A10229" s="66"/>
      <c r="B10229" s="67" t="str">
        <f t="shared" si="16"/>
        <v>M: </v>
      </c>
      <c r="C10229" s="68"/>
      <c r="D10229" s="68">
        <v>46772.0</v>
      </c>
      <c r="E10229" s="66">
        <v>7.0</v>
      </c>
      <c r="F10229" s="66" t="str">
        <f>IFERROR(__xludf.DUMMYFUNCTION("GOOGLETRANSLATE(A10229,""en"",""pt"")"),"#VALUE!")</f>
        <v>#VALUE!</v>
      </c>
      <c r="G10229" s="69"/>
    </row>
    <row r="10230" ht="22.5" customHeight="1">
      <c r="A10230" s="66"/>
      <c r="B10230" s="67" t="str">
        <f t="shared" si="16"/>
        <v>M: </v>
      </c>
      <c r="C10230" s="68"/>
      <c r="D10230" s="68">
        <v>46772.0</v>
      </c>
      <c r="E10230" s="66">
        <v>8.0</v>
      </c>
      <c r="F10230" s="66" t="str">
        <f>IFERROR(__xludf.DUMMYFUNCTION("GOOGLETRANSLATE(A10230,""en"",""pt"")"),"#VALUE!")</f>
        <v>#VALUE!</v>
      </c>
      <c r="G10230" s="69"/>
    </row>
    <row r="10231" ht="22.5" customHeight="1">
      <c r="A10231" s="66"/>
      <c r="B10231" s="67" t="str">
        <f t="shared" si="16"/>
        <v>M: </v>
      </c>
      <c r="C10231" s="68"/>
      <c r="D10231" s="68">
        <v>46772.0</v>
      </c>
      <c r="E10231" s="66">
        <v>9.0</v>
      </c>
      <c r="F10231" s="66" t="str">
        <f>IFERROR(__xludf.DUMMYFUNCTION("GOOGLETRANSLATE(A10231,""en"",""pt"")"),"#VALUE!")</f>
        <v>#VALUE!</v>
      </c>
      <c r="G10231" s="69"/>
    </row>
    <row r="10232" ht="22.5" customHeight="1">
      <c r="A10232" s="66"/>
      <c r="B10232" s="67" t="str">
        <f t="shared" si="16"/>
        <v>M: </v>
      </c>
      <c r="C10232" s="68"/>
      <c r="D10232" s="68">
        <v>46773.0</v>
      </c>
      <c r="E10232" s="66">
        <v>10.0</v>
      </c>
      <c r="F10232" s="66" t="str">
        <f>IFERROR(__xludf.DUMMYFUNCTION("GOOGLETRANSLATE(A10232,""en"",""pt"")"),"#VALUE!")</f>
        <v>#VALUE!</v>
      </c>
      <c r="G10232" s="69"/>
    </row>
    <row r="10233" ht="22.5" customHeight="1">
      <c r="A10233" s="66"/>
      <c r="B10233" s="67" t="str">
        <f t="shared" si="16"/>
        <v>M: </v>
      </c>
      <c r="C10233" s="68"/>
      <c r="D10233" s="68">
        <v>46773.0</v>
      </c>
      <c r="E10233" s="66">
        <v>1.0</v>
      </c>
      <c r="F10233" s="66" t="str">
        <f>IFERROR(__xludf.DUMMYFUNCTION("GOOGLETRANSLATE(A10233,""en"",""pt"")"),"#VALUE!")</f>
        <v>#VALUE!</v>
      </c>
      <c r="G10233" s="69"/>
    </row>
    <row r="10234" ht="22.5" customHeight="1">
      <c r="A10234" s="66"/>
      <c r="B10234" s="67" t="str">
        <f t="shared" si="16"/>
        <v>M: </v>
      </c>
      <c r="C10234" s="68"/>
      <c r="D10234" s="68">
        <v>46773.0</v>
      </c>
      <c r="E10234" s="66">
        <v>2.0</v>
      </c>
      <c r="F10234" s="66" t="str">
        <f>IFERROR(__xludf.DUMMYFUNCTION("GOOGLETRANSLATE(A10234,""en"",""pt"")"),"#VALUE!")</f>
        <v>#VALUE!</v>
      </c>
      <c r="G10234" s="69"/>
    </row>
    <row r="10235" ht="22.5" customHeight="1">
      <c r="A10235" s="66"/>
      <c r="B10235" s="67" t="str">
        <f t="shared" si="16"/>
        <v>M: </v>
      </c>
      <c r="C10235" s="68"/>
      <c r="D10235" s="68">
        <v>46773.0</v>
      </c>
      <c r="E10235" s="66">
        <v>3.0</v>
      </c>
      <c r="F10235" s="66" t="str">
        <f>IFERROR(__xludf.DUMMYFUNCTION("GOOGLETRANSLATE(A10235,""en"",""pt"")"),"#VALUE!")</f>
        <v>#VALUE!</v>
      </c>
      <c r="G10235" s="69"/>
    </row>
    <row r="10236" ht="22.5" customHeight="1">
      <c r="A10236" s="66"/>
      <c r="B10236" s="67" t="str">
        <f t="shared" si="16"/>
        <v>M: </v>
      </c>
      <c r="C10236" s="68"/>
      <c r="D10236" s="68">
        <v>46773.0</v>
      </c>
      <c r="E10236" s="66">
        <v>4.0</v>
      </c>
      <c r="F10236" s="66" t="str">
        <f>IFERROR(__xludf.DUMMYFUNCTION("GOOGLETRANSLATE(A10236,""en"",""pt"")"),"#VALUE!")</f>
        <v>#VALUE!</v>
      </c>
      <c r="G10236" s="69"/>
    </row>
    <row r="10237" ht="22.5" customHeight="1">
      <c r="A10237" s="66"/>
      <c r="B10237" s="67" t="str">
        <f t="shared" si="16"/>
        <v>M: </v>
      </c>
      <c r="C10237" s="68"/>
      <c r="D10237" s="68">
        <v>46773.0</v>
      </c>
      <c r="E10237" s="66">
        <v>5.0</v>
      </c>
      <c r="F10237" s="66" t="str">
        <f>IFERROR(__xludf.DUMMYFUNCTION("GOOGLETRANSLATE(A10237,""en"",""pt"")"),"#VALUE!")</f>
        <v>#VALUE!</v>
      </c>
      <c r="G10237" s="69"/>
    </row>
    <row r="10238" ht="22.5" customHeight="1">
      <c r="A10238" s="66"/>
      <c r="B10238" s="67" t="str">
        <f t="shared" si="16"/>
        <v>M: </v>
      </c>
      <c r="C10238" s="68"/>
      <c r="D10238" s="68">
        <v>46773.0</v>
      </c>
      <c r="E10238" s="66">
        <v>6.0</v>
      </c>
      <c r="F10238" s="66" t="str">
        <f>IFERROR(__xludf.DUMMYFUNCTION("GOOGLETRANSLATE(A10238,""en"",""pt"")"),"#VALUE!")</f>
        <v>#VALUE!</v>
      </c>
      <c r="G10238" s="69"/>
    </row>
    <row r="10239" ht="22.5" customHeight="1">
      <c r="A10239" s="66"/>
      <c r="B10239" s="67" t="str">
        <f t="shared" si="16"/>
        <v>M: </v>
      </c>
      <c r="C10239" s="68"/>
      <c r="D10239" s="68">
        <v>46773.0</v>
      </c>
      <c r="E10239" s="66">
        <v>7.0</v>
      </c>
      <c r="F10239" s="66" t="str">
        <f>IFERROR(__xludf.DUMMYFUNCTION("GOOGLETRANSLATE(A10239,""en"",""pt"")"),"#VALUE!")</f>
        <v>#VALUE!</v>
      </c>
      <c r="G10239" s="69"/>
    </row>
    <row r="10240" ht="22.5" customHeight="1">
      <c r="A10240" s="66"/>
      <c r="B10240" s="67" t="str">
        <f t="shared" si="16"/>
        <v>M: </v>
      </c>
      <c r="C10240" s="68"/>
      <c r="D10240" s="68">
        <v>46773.0</v>
      </c>
      <c r="E10240" s="66">
        <v>8.0</v>
      </c>
      <c r="F10240" s="66" t="str">
        <f>IFERROR(__xludf.DUMMYFUNCTION("GOOGLETRANSLATE(A10240,""en"",""pt"")"),"#VALUE!")</f>
        <v>#VALUE!</v>
      </c>
      <c r="G10240" s="69"/>
    </row>
    <row r="10241" ht="22.5" customHeight="1">
      <c r="A10241" s="66"/>
      <c r="B10241" s="67" t="str">
        <f t="shared" si="16"/>
        <v>M: </v>
      </c>
      <c r="C10241" s="68"/>
      <c r="D10241" s="68">
        <v>46773.0</v>
      </c>
      <c r="E10241" s="66">
        <v>9.0</v>
      </c>
      <c r="F10241" s="66" t="str">
        <f>IFERROR(__xludf.DUMMYFUNCTION("GOOGLETRANSLATE(A10241,""en"",""pt"")"),"#VALUE!")</f>
        <v>#VALUE!</v>
      </c>
      <c r="G10241" s="69"/>
    </row>
    <row r="10242" ht="22.5" customHeight="1">
      <c r="A10242" s="66"/>
      <c r="B10242" s="67" t="str">
        <f t="shared" si="16"/>
        <v>M: </v>
      </c>
      <c r="C10242" s="68"/>
      <c r="D10242" s="68">
        <v>46774.0</v>
      </c>
      <c r="E10242" s="66">
        <v>10.0</v>
      </c>
      <c r="F10242" s="66" t="str">
        <f>IFERROR(__xludf.DUMMYFUNCTION("GOOGLETRANSLATE(A10242,""en"",""pt"")"),"#VALUE!")</f>
        <v>#VALUE!</v>
      </c>
      <c r="G10242" s="69"/>
    </row>
    <row r="10243" ht="22.5" customHeight="1">
      <c r="A10243" s="66"/>
      <c r="B10243" s="67" t="str">
        <f t="shared" si="16"/>
        <v>M: </v>
      </c>
      <c r="C10243" s="68"/>
      <c r="D10243" s="68">
        <v>46774.0</v>
      </c>
      <c r="E10243" s="66">
        <v>1.0</v>
      </c>
      <c r="F10243" s="66" t="str">
        <f>IFERROR(__xludf.DUMMYFUNCTION("GOOGLETRANSLATE(A10243,""en"",""pt"")"),"#VALUE!")</f>
        <v>#VALUE!</v>
      </c>
      <c r="G10243" s="69"/>
    </row>
    <row r="10244" ht="22.5" customHeight="1">
      <c r="A10244" s="66"/>
      <c r="B10244" s="67" t="str">
        <f t="shared" si="16"/>
        <v>M: </v>
      </c>
      <c r="C10244" s="68"/>
      <c r="D10244" s="68">
        <v>46774.0</v>
      </c>
      <c r="E10244" s="66">
        <v>2.0</v>
      </c>
      <c r="F10244" s="66" t="str">
        <f>IFERROR(__xludf.DUMMYFUNCTION("GOOGLETRANSLATE(A10244,""en"",""pt"")"),"#VALUE!")</f>
        <v>#VALUE!</v>
      </c>
      <c r="G10244" s="69"/>
    </row>
    <row r="10245" ht="22.5" customHeight="1">
      <c r="A10245" s="66"/>
      <c r="B10245" s="67" t="str">
        <f t="shared" si="16"/>
        <v>M: </v>
      </c>
      <c r="C10245" s="68"/>
      <c r="D10245" s="68">
        <v>46774.0</v>
      </c>
      <c r="E10245" s="66">
        <v>3.0</v>
      </c>
      <c r="F10245" s="66" t="str">
        <f>IFERROR(__xludf.DUMMYFUNCTION("GOOGLETRANSLATE(A10245,""en"",""pt"")"),"#VALUE!")</f>
        <v>#VALUE!</v>
      </c>
      <c r="G10245" s="69"/>
    </row>
    <row r="10246" ht="22.5" customHeight="1">
      <c r="A10246" s="66"/>
      <c r="B10246" s="67" t="str">
        <f t="shared" si="16"/>
        <v>M: </v>
      </c>
      <c r="C10246" s="68"/>
      <c r="D10246" s="68">
        <v>46774.0</v>
      </c>
      <c r="E10246" s="66">
        <v>4.0</v>
      </c>
      <c r="F10246" s="66" t="str">
        <f>IFERROR(__xludf.DUMMYFUNCTION("GOOGLETRANSLATE(A10246,""en"",""pt"")"),"#VALUE!")</f>
        <v>#VALUE!</v>
      </c>
      <c r="G10246" s="69"/>
    </row>
    <row r="10247" ht="22.5" customHeight="1">
      <c r="A10247" s="66"/>
      <c r="B10247" s="67" t="str">
        <f t="shared" si="16"/>
        <v>M: </v>
      </c>
      <c r="C10247" s="68"/>
      <c r="D10247" s="68">
        <v>46774.0</v>
      </c>
      <c r="E10247" s="66">
        <v>5.0</v>
      </c>
      <c r="F10247" s="66" t="str">
        <f>IFERROR(__xludf.DUMMYFUNCTION("GOOGLETRANSLATE(A10247,""en"",""pt"")"),"#VALUE!")</f>
        <v>#VALUE!</v>
      </c>
      <c r="G10247" s="69"/>
    </row>
    <row r="10248" ht="22.5" customHeight="1">
      <c r="A10248" s="66"/>
      <c r="B10248" s="67" t="str">
        <f t="shared" si="16"/>
        <v>M: </v>
      </c>
      <c r="C10248" s="68"/>
      <c r="D10248" s="68">
        <v>46774.0</v>
      </c>
      <c r="E10248" s="66">
        <v>6.0</v>
      </c>
      <c r="F10248" s="66" t="str">
        <f>IFERROR(__xludf.DUMMYFUNCTION("GOOGLETRANSLATE(A10248,""en"",""pt"")"),"#VALUE!")</f>
        <v>#VALUE!</v>
      </c>
      <c r="G10248" s="69"/>
    </row>
    <row r="10249" ht="22.5" customHeight="1">
      <c r="A10249" s="66"/>
      <c r="B10249" s="67" t="str">
        <f t="shared" si="16"/>
        <v>M: </v>
      </c>
      <c r="C10249" s="68"/>
      <c r="D10249" s="68">
        <v>46774.0</v>
      </c>
      <c r="E10249" s="66">
        <v>7.0</v>
      </c>
      <c r="F10249" s="66" t="str">
        <f>IFERROR(__xludf.DUMMYFUNCTION("GOOGLETRANSLATE(A10249,""en"",""pt"")"),"#VALUE!")</f>
        <v>#VALUE!</v>
      </c>
      <c r="G10249" s="69"/>
    </row>
    <row r="10250" ht="22.5" customHeight="1">
      <c r="A10250" s="66"/>
      <c r="B10250" s="67" t="str">
        <f t="shared" si="16"/>
        <v>M: </v>
      </c>
      <c r="C10250" s="68"/>
      <c r="D10250" s="68">
        <v>46774.0</v>
      </c>
      <c r="E10250" s="66">
        <v>8.0</v>
      </c>
      <c r="F10250" s="66" t="str">
        <f>IFERROR(__xludf.DUMMYFUNCTION("GOOGLETRANSLATE(A10250,""en"",""pt"")"),"#VALUE!")</f>
        <v>#VALUE!</v>
      </c>
      <c r="G10250" s="69"/>
    </row>
    <row r="10251" ht="22.5" customHeight="1">
      <c r="A10251" s="66"/>
      <c r="B10251" s="67" t="str">
        <f t="shared" si="16"/>
        <v>M: </v>
      </c>
      <c r="C10251" s="68"/>
      <c r="D10251" s="68">
        <v>46774.0</v>
      </c>
      <c r="E10251" s="66">
        <v>9.0</v>
      </c>
      <c r="F10251" s="66" t="str">
        <f>IFERROR(__xludf.DUMMYFUNCTION("GOOGLETRANSLATE(A10251,""en"",""pt"")"),"#VALUE!")</f>
        <v>#VALUE!</v>
      </c>
      <c r="G10251" s="69"/>
    </row>
    <row r="10252" ht="22.5" customHeight="1">
      <c r="A10252" s="66"/>
      <c r="B10252" s="67" t="str">
        <f t="shared" si="16"/>
        <v>M: </v>
      </c>
      <c r="C10252" s="68"/>
      <c r="D10252" s="68">
        <v>46775.0</v>
      </c>
      <c r="E10252" s="66">
        <v>10.0</v>
      </c>
      <c r="F10252" s="66" t="str">
        <f>IFERROR(__xludf.DUMMYFUNCTION("GOOGLETRANSLATE(A10252,""en"",""pt"")"),"#VALUE!")</f>
        <v>#VALUE!</v>
      </c>
      <c r="G10252" s="69"/>
    </row>
    <row r="10253" ht="22.5" customHeight="1">
      <c r="A10253" s="66"/>
      <c r="B10253" s="67" t="str">
        <f t="shared" si="16"/>
        <v>M: </v>
      </c>
      <c r="C10253" s="68"/>
      <c r="D10253" s="68">
        <v>46775.0</v>
      </c>
      <c r="E10253" s="66">
        <v>1.0</v>
      </c>
      <c r="F10253" s="66" t="str">
        <f>IFERROR(__xludf.DUMMYFUNCTION("GOOGLETRANSLATE(A10253,""en"",""pt"")"),"#VALUE!")</f>
        <v>#VALUE!</v>
      </c>
      <c r="G10253" s="69"/>
    </row>
    <row r="10254" ht="22.5" customHeight="1">
      <c r="A10254" s="66"/>
      <c r="B10254" s="67" t="str">
        <f t="shared" si="16"/>
        <v>M: </v>
      </c>
      <c r="C10254" s="68"/>
      <c r="D10254" s="68">
        <v>46775.0</v>
      </c>
      <c r="E10254" s="66">
        <v>2.0</v>
      </c>
      <c r="F10254" s="66" t="str">
        <f>IFERROR(__xludf.DUMMYFUNCTION("GOOGLETRANSLATE(A10254,""en"",""pt"")"),"#VALUE!")</f>
        <v>#VALUE!</v>
      </c>
      <c r="G10254" s="69"/>
    </row>
    <row r="10255" ht="22.5" customHeight="1">
      <c r="A10255" s="66"/>
      <c r="B10255" s="67" t="str">
        <f t="shared" si="16"/>
        <v>M: </v>
      </c>
      <c r="C10255" s="68"/>
      <c r="D10255" s="68">
        <v>46775.0</v>
      </c>
      <c r="E10255" s="66">
        <v>3.0</v>
      </c>
      <c r="F10255" s="66" t="str">
        <f>IFERROR(__xludf.DUMMYFUNCTION("GOOGLETRANSLATE(A10255,""en"",""pt"")"),"#VALUE!")</f>
        <v>#VALUE!</v>
      </c>
      <c r="G10255" s="69"/>
    </row>
    <row r="10256" ht="22.5" customHeight="1">
      <c r="A10256" s="66"/>
      <c r="B10256" s="67" t="str">
        <f t="shared" si="16"/>
        <v>M: </v>
      </c>
      <c r="C10256" s="68"/>
      <c r="D10256" s="68">
        <v>46775.0</v>
      </c>
      <c r="E10256" s="66">
        <v>4.0</v>
      </c>
      <c r="F10256" s="66" t="str">
        <f>IFERROR(__xludf.DUMMYFUNCTION("GOOGLETRANSLATE(A10256,""en"",""pt"")"),"#VALUE!")</f>
        <v>#VALUE!</v>
      </c>
      <c r="G10256" s="69"/>
    </row>
    <row r="10257" ht="22.5" customHeight="1">
      <c r="A10257" s="66"/>
      <c r="B10257" s="67" t="str">
        <f t="shared" si="16"/>
        <v>M: </v>
      </c>
      <c r="C10257" s="68"/>
      <c r="D10257" s="68">
        <v>46775.0</v>
      </c>
      <c r="E10257" s="66">
        <v>5.0</v>
      </c>
      <c r="F10257" s="66" t="str">
        <f>IFERROR(__xludf.DUMMYFUNCTION("GOOGLETRANSLATE(A10257,""en"",""pt"")"),"#VALUE!")</f>
        <v>#VALUE!</v>
      </c>
      <c r="G10257" s="69"/>
    </row>
    <row r="10258" ht="22.5" customHeight="1">
      <c r="A10258" s="66"/>
      <c r="B10258" s="67" t="str">
        <f t="shared" si="16"/>
        <v>M: </v>
      </c>
      <c r="C10258" s="68"/>
      <c r="D10258" s="68">
        <v>46775.0</v>
      </c>
      <c r="E10258" s="66">
        <v>6.0</v>
      </c>
      <c r="F10258" s="66" t="str">
        <f>IFERROR(__xludf.DUMMYFUNCTION("GOOGLETRANSLATE(A10258,""en"",""pt"")"),"#VALUE!")</f>
        <v>#VALUE!</v>
      </c>
      <c r="G10258" s="69"/>
    </row>
    <row r="10259" ht="22.5" customHeight="1">
      <c r="A10259" s="66"/>
      <c r="B10259" s="67" t="str">
        <f t="shared" si="16"/>
        <v>M: </v>
      </c>
      <c r="C10259" s="68"/>
      <c r="D10259" s="68">
        <v>46775.0</v>
      </c>
      <c r="E10259" s="66">
        <v>7.0</v>
      </c>
      <c r="F10259" s="66" t="str">
        <f>IFERROR(__xludf.DUMMYFUNCTION("GOOGLETRANSLATE(A10259,""en"",""pt"")"),"#VALUE!")</f>
        <v>#VALUE!</v>
      </c>
      <c r="G10259" s="69"/>
    </row>
    <row r="10260" ht="22.5" customHeight="1">
      <c r="A10260" s="66"/>
      <c r="B10260" s="67" t="str">
        <f t="shared" si="16"/>
        <v>M: </v>
      </c>
      <c r="C10260" s="68"/>
      <c r="D10260" s="68">
        <v>46775.0</v>
      </c>
      <c r="E10260" s="66">
        <v>8.0</v>
      </c>
      <c r="F10260" s="66" t="str">
        <f>IFERROR(__xludf.DUMMYFUNCTION("GOOGLETRANSLATE(A10260,""en"",""pt"")"),"#VALUE!")</f>
        <v>#VALUE!</v>
      </c>
      <c r="G10260" s="69"/>
    </row>
    <row r="10261" ht="22.5" customHeight="1">
      <c r="A10261" s="66"/>
      <c r="B10261" s="67" t="str">
        <f t="shared" si="16"/>
        <v>M: </v>
      </c>
      <c r="C10261" s="68"/>
      <c r="D10261" s="68">
        <v>46775.0</v>
      </c>
      <c r="E10261" s="66">
        <v>9.0</v>
      </c>
      <c r="F10261" s="66" t="str">
        <f>IFERROR(__xludf.DUMMYFUNCTION("GOOGLETRANSLATE(A10261,""en"",""pt"")"),"#VALUE!")</f>
        <v>#VALUE!</v>
      </c>
      <c r="G10261" s="69"/>
    </row>
    <row r="10262" ht="22.5" customHeight="1">
      <c r="A10262" s="66"/>
      <c r="B10262" s="67" t="str">
        <f t="shared" si="16"/>
        <v>M: </v>
      </c>
      <c r="C10262" s="68"/>
      <c r="D10262" s="68">
        <v>46776.0</v>
      </c>
      <c r="E10262" s="66">
        <v>10.0</v>
      </c>
      <c r="F10262" s="66" t="str">
        <f>IFERROR(__xludf.DUMMYFUNCTION("GOOGLETRANSLATE(A10262,""en"",""pt"")"),"#VALUE!")</f>
        <v>#VALUE!</v>
      </c>
      <c r="G10262" s="69"/>
    </row>
    <row r="10263" ht="22.5" customHeight="1">
      <c r="A10263" s="66"/>
      <c r="B10263" s="67" t="str">
        <f t="shared" si="16"/>
        <v>M: </v>
      </c>
      <c r="C10263" s="68"/>
      <c r="D10263" s="68">
        <v>46776.0</v>
      </c>
      <c r="E10263" s="66">
        <v>1.0</v>
      </c>
      <c r="F10263" s="66" t="str">
        <f>IFERROR(__xludf.DUMMYFUNCTION("GOOGLETRANSLATE(A10263,""en"",""pt"")"),"#VALUE!")</f>
        <v>#VALUE!</v>
      </c>
      <c r="G10263" s="69"/>
    </row>
    <row r="10264" ht="22.5" customHeight="1">
      <c r="A10264" s="66"/>
      <c r="B10264" s="67" t="str">
        <f t="shared" si="16"/>
        <v>M: </v>
      </c>
      <c r="C10264" s="68"/>
      <c r="D10264" s="68">
        <v>46776.0</v>
      </c>
      <c r="E10264" s="66">
        <v>2.0</v>
      </c>
      <c r="F10264" s="66" t="str">
        <f>IFERROR(__xludf.DUMMYFUNCTION("GOOGLETRANSLATE(A10264,""en"",""pt"")"),"#VALUE!")</f>
        <v>#VALUE!</v>
      </c>
      <c r="G10264" s="69"/>
    </row>
    <row r="10265" ht="22.5" customHeight="1">
      <c r="A10265" s="66"/>
      <c r="B10265" s="67" t="str">
        <f t="shared" si="16"/>
        <v>M: </v>
      </c>
      <c r="C10265" s="68"/>
      <c r="D10265" s="68">
        <v>46776.0</v>
      </c>
      <c r="E10265" s="66">
        <v>3.0</v>
      </c>
      <c r="F10265" s="66" t="str">
        <f>IFERROR(__xludf.DUMMYFUNCTION("GOOGLETRANSLATE(A10265,""en"",""pt"")"),"#VALUE!")</f>
        <v>#VALUE!</v>
      </c>
      <c r="G10265" s="69"/>
    </row>
    <row r="10266" ht="22.5" customHeight="1">
      <c r="A10266" s="66"/>
      <c r="B10266" s="67" t="str">
        <f t="shared" si="16"/>
        <v>M: </v>
      </c>
      <c r="C10266" s="68"/>
      <c r="D10266" s="68">
        <v>46776.0</v>
      </c>
      <c r="E10266" s="66">
        <v>4.0</v>
      </c>
      <c r="F10266" s="66" t="str">
        <f>IFERROR(__xludf.DUMMYFUNCTION("GOOGLETRANSLATE(A10266,""en"",""pt"")"),"#VALUE!")</f>
        <v>#VALUE!</v>
      </c>
      <c r="G10266" s="69"/>
    </row>
    <row r="10267" ht="22.5" customHeight="1">
      <c r="A10267" s="66"/>
      <c r="B10267" s="67" t="str">
        <f t="shared" si="16"/>
        <v>M: </v>
      </c>
      <c r="C10267" s="68"/>
      <c r="D10267" s="68">
        <v>46776.0</v>
      </c>
      <c r="E10267" s="66">
        <v>5.0</v>
      </c>
      <c r="F10267" s="66" t="str">
        <f>IFERROR(__xludf.DUMMYFUNCTION("GOOGLETRANSLATE(A10267,""en"",""pt"")"),"#VALUE!")</f>
        <v>#VALUE!</v>
      </c>
      <c r="G10267" s="69"/>
    </row>
    <row r="10268" ht="22.5" customHeight="1">
      <c r="A10268" s="66"/>
      <c r="B10268" s="67" t="str">
        <f t="shared" si="16"/>
        <v>M: </v>
      </c>
      <c r="C10268" s="68"/>
      <c r="D10268" s="68">
        <v>46776.0</v>
      </c>
      <c r="E10268" s="66">
        <v>6.0</v>
      </c>
      <c r="F10268" s="66" t="str">
        <f>IFERROR(__xludf.DUMMYFUNCTION("GOOGLETRANSLATE(A10268,""en"",""pt"")"),"#VALUE!")</f>
        <v>#VALUE!</v>
      </c>
      <c r="G10268" s="69"/>
    </row>
    <row r="10269" ht="22.5" customHeight="1">
      <c r="A10269" s="66"/>
      <c r="B10269" s="67" t="str">
        <f t="shared" si="16"/>
        <v>M: </v>
      </c>
      <c r="C10269" s="68"/>
      <c r="D10269" s="68">
        <v>46776.0</v>
      </c>
      <c r="E10269" s="66">
        <v>7.0</v>
      </c>
      <c r="F10269" s="66" t="str">
        <f>IFERROR(__xludf.DUMMYFUNCTION("GOOGLETRANSLATE(A10269,""en"",""pt"")"),"#VALUE!")</f>
        <v>#VALUE!</v>
      </c>
      <c r="G10269" s="69"/>
    </row>
    <row r="10270" ht="22.5" customHeight="1">
      <c r="A10270" s="66"/>
      <c r="B10270" s="67" t="str">
        <f t="shared" si="16"/>
        <v>M: </v>
      </c>
      <c r="C10270" s="68"/>
      <c r="D10270" s="68">
        <v>46776.0</v>
      </c>
      <c r="E10270" s="66">
        <v>8.0</v>
      </c>
      <c r="F10270" s="66" t="str">
        <f>IFERROR(__xludf.DUMMYFUNCTION("GOOGLETRANSLATE(A10270,""en"",""pt"")"),"#VALUE!")</f>
        <v>#VALUE!</v>
      </c>
      <c r="G10270" s="69"/>
    </row>
    <row r="10271" ht="22.5" customHeight="1">
      <c r="A10271" s="66"/>
      <c r="B10271" s="67" t="str">
        <f t="shared" si="16"/>
        <v>M: </v>
      </c>
      <c r="C10271" s="68"/>
      <c r="D10271" s="68">
        <v>46776.0</v>
      </c>
      <c r="E10271" s="66">
        <v>9.0</v>
      </c>
      <c r="F10271" s="66" t="str">
        <f>IFERROR(__xludf.DUMMYFUNCTION("GOOGLETRANSLATE(A10271,""en"",""pt"")"),"#VALUE!")</f>
        <v>#VALUE!</v>
      </c>
      <c r="G10271" s="69"/>
    </row>
    <row r="10272" ht="22.5" customHeight="1">
      <c r="A10272" s="66"/>
      <c r="B10272" s="67" t="str">
        <f t="shared" si="16"/>
        <v>M: </v>
      </c>
      <c r="C10272" s="68"/>
      <c r="D10272" s="68">
        <v>46777.0</v>
      </c>
      <c r="E10272" s="66">
        <v>10.0</v>
      </c>
      <c r="F10272" s="66" t="str">
        <f>IFERROR(__xludf.DUMMYFUNCTION("GOOGLETRANSLATE(A10272,""en"",""pt"")"),"#VALUE!")</f>
        <v>#VALUE!</v>
      </c>
      <c r="G10272" s="69"/>
    </row>
    <row r="10273" ht="22.5" customHeight="1">
      <c r="A10273" s="66"/>
      <c r="B10273" s="67" t="str">
        <f t="shared" si="16"/>
        <v>M: </v>
      </c>
      <c r="C10273" s="68"/>
      <c r="D10273" s="68">
        <v>46777.0</v>
      </c>
      <c r="E10273" s="66">
        <v>1.0</v>
      </c>
      <c r="F10273" s="66" t="str">
        <f>IFERROR(__xludf.DUMMYFUNCTION("GOOGLETRANSLATE(A10273,""en"",""pt"")"),"#VALUE!")</f>
        <v>#VALUE!</v>
      </c>
      <c r="G10273" s="69"/>
    </row>
    <row r="10274" ht="22.5" customHeight="1">
      <c r="A10274" s="66"/>
      <c r="B10274" s="67" t="str">
        <f t="shared" si="16"/>
        <v>M: </v>
      </c>
      <c r="C10274" s="68"/>
      <c r="D10274" s="68">
        <v>46777.0</v>
      </c>
      <c r="E10274" s="66">
        <v>2.0</v>
      </c>
      <c r="F10274" s="66" t="str">
        <f>IFERROR(__xludf.DUMMYFUNCTION("GOOGLETRANSLATE(A10274,""en"",""pt"")"),"#VALUE!")</f>
        <v>#VALUE!</v>
      </c>
      <c r="G10274" s="69"/>
    </row>
    <row r="10275" ht="22.5" customHeight="1">
      <c r="A10275" s="66"/>
      <c r="B10275" s="67" t="str">
        <f t="shared" si="16"/>
        <v>M: </v>
      </c>
      <c r="C10275" s="68"/>
      <c r="D10275" s="68">
        <v>46777.0</v>
      </c>
      <c r="E10275" s="66">
        <v>3.0</v>
      </c>
      <c r="F10275" s="66" t="str">
        <f>IFERROR(__xludf.DUMMYFUNCTION("GOOGLETRANSLATE(A10275,""en"",""pt"")"),"#VALUE!")</f>
        <v>#VALUE!</v>
      </c>
      <c r="G10275" s="69"/>
    </row>
    <row r="10276" ht="22.5" customHeight="1">
      <c r="A10276" s="66"/>
      <c r="B10276" s="67" t="str">
        <f t="shared" si="16"/>
        <v>M: </v>
      </c>
      <c r="C10276" s="68"/>
      <c r="D10276" s="68">
        <v>46777.0</v>
      </c>
      <c r="E10276" s="66">
        <v>4.0</v>
      </c>
      <c r="F10276" s="66" t="str">
        <f>IFERROR(__xludf.DUMMYFUNCTION("GOOGLETRANSLATE(A10276,""en"",""pt"")"),"#VALUE!")</f>
        <v>#VALUE!</v>
      </c>
      <c r="G10276" s="69"/>
    </row>
    <row r="10277" ht="22.5" customHeight="1">
      <c r="A10277" s="66"/>
      <c r="B10277" s="67" t="str">
        <f t="shared" si="16"/>
        <v>M: </v>
      </c>
      <c r="C10277" s="68"/>
      <c r="D10277" s="68">
        <v>46777.0</v>
      </c>
      <c r="E10277" s="66">
        <v>5.0</v>
      </c>
      <c r="F10277" s="66" t="str">
        <f>IFERROR(__xludf.DUMMYFUNCTION("GOOGLETRANSLATE(A10277,""en"",""pt"")"),"#VALUE!")</f>
        <v>#VALUE!</v>
      </c>
      <c r="G10277" s="69"/>
    </row>
    <row r="10278" ht="22.5" customHeight="1">
      <c r="A10278" s="66"/>
      <c r="B10278" s="67" t="str">
        <f t="shared" si="16"/>
        <v>M: </v>
      </c>
      <c r="C10278" s="68"/>
      <c r="D10278" s="68">
        <v>46777.0</v>
      </c>
      <c r="E10278" s="66">
        <v>6.0</v>
      </c>
      <c r="F10278" s="66" t="str">
        <f>IFERROR(__xludf.DUMMYFUNCTION("GOOGLETRANSLATE(A10278,""en"",""pt"")"),"#VALUE!")</f>
        <v>#VALUE!</v>
      </c>
      <c r="G10278" s="69"/>
    </row>
    <row r="10279" ht="22.5" customHeight="1">
      <c r="A10279" s="66"/>
      <c r="B10279" s="67" t="str">
        <f t="shared" si="16"/>
        <v>M: </v>
      </c>
      <c r="C10279" s="68"/>
      <c r="D10279" s="68">
        <v>46777.0</v>
      </c>
      <c r="E10279" s="66">
        <v>7.0</v>
      </c>
      <c r="F10279" s="66" t="str">
        <f>IFERROR(__xludf.DUMMYFUNCTION("GOOGLETRANSLATE(A10279,""en"",""pt"")"),"#VALUE!")</f>
        <v>#VALUE!</v>
      </c>
      <c r="G10279" s="69"/>
    </row>
    <row r="10280" ht="22.5" customHeight="1">
      <c r="A10280" s="66"/>
      <c r="B10280" s="67" t="str">
        <f t="shared" si="16"/>
        <v>M: </v>
      </c>
      <c r="C10280" s="68"/>
      <c r="D10280" s="68">
        <v>46777.0</v>
      </c>
      <c r="E10280" s="66">
        <v>8.0</v>
      </c>
      <c r="F10280" s="66" t="str">
        <f>IFERROR(__xludf.DUMMYFUNCTION("GOOGLETRANSLATE(A10280,""en"",""pt"")"),"#VALUE!")</f>
        <v>#VALUE!</v>
      </c>
      <c r="G10280" s="69"/>
    </row>
    <row r="10281" ht="22.5" customHeight="1">
      <c r="A10281" s="66"/>
      <c r="B10281" s="67" t="str">
        <f t="shared" si="16"/>
        <v>M: </v>
      </c>
      <c r="C10281" s="68"/>
      <c r="D10281" s="68">
        <v>46777.0</v>
      </c>
      <c r="E10281" s="66">
        <v>9.0</v>
      </c>
      <c r="F10281" s="66" t="str">
        <f>IFERROR(__xludf.DUMMYFUNCTION("GOOGLETRANSLATE(A10281,""en"",""pt"")"),"#VALUE!")</f>
        <v>#VALUE!</v>
      </c>
      <c r="G10281" s="69"/>
    </row>
    <row r="10282" ht="22.5" customHeight="1">
      <c r="A10282" s="66"/>
      <c r="B10282" s="67" t="str">
        <f t="shared" si="16"/>
        <v>M: </v>
      </c>
      <c r="C10282" s="68"/>
      <c r="D10282" s="68">
        <v>46778.0</v>
      </c>
      <c r="E10282" s="66">
        <v>10.0</v>
      </c>
      <c r="F10282" s="66" t="str">
        <f>IFERROR(__xludf.DUMMYFUNCTION("GOOGLETRANSLATE(A10282,""en"",""pt"")"),"#VALUE!")</f>
        <v>#VALUE!</v>
      </c>
      <c r="G10282" s="69"/>
    </row>
    <row r="10283" ht="22.5" customHeight="1">
      <c r="A10283" s="66"/>
      <c r="B10283" s="67" t="str">
        <f t="shared" si="16"/>
        <v>M: </v>
      </c>
      <c r="C10283" s="68"/>
      <c r="D10283" s="68">
        <v>46778.0</v>
      </c>
      <c r="E10283" s="66">
        <v>1.0</v>
      </c>
      <c r="F10283" s="66" t="str">
        <f>IFERROR(__xludf.DUMMYFUNCTION("GOOGLETRANSLATE(A10283,""en"",""pt"")"),"#VALUE!")</f>
        <v>#VALUE!</v>
      </c>
      <c r="G10283" s="69"/>
    </row>
    <row r="10284" ht="22.5" customHeight="1">
      <c r="A10284" s="66"/>
      <c r="B10284" s="67" t="str">
        <f t="shared" si="16"/>
        <v>M: </v>
      </c>
      <c r="C10284" s="68"/>
      <c r="D10284" s="68">
        <v>46778.0</v>
      </c>
      <c r="E10284" s="66">
        <v>2.0</v>
      </c>
      <c r="F10284" s="66" t="str">
        <f>IFERROR(__xludf.DUMMYFUNCTION("GOOGLETRANSLATE(A10284,""en"",""pt"")"),"#VALUE!")</f>
        <v>#VALUE!</v>
      </c>
      <c r="G10284" s="69"/>
    </row>
    <row r="10285" ht="22.5" customHeight="1">
      <c r="A10285" s="66"/>
      <c r="B10285" s="67" t="str">
        <f t="shared" si="16"/>
        <v>M: </v>
      </c>
      <c r="C10285" s="68"/>
      <c r="D10285" s="68">
        <v>46778.0</v>
      </c>
      <c r="E10285" s="66">
        <v>3.0</v>
      </c>
      <c r="F10285" s="66" t="str">
        <f>IFERROR(__xludf.DUMMYFUNCTION("GOOGLETRANSLATE(A10285,""en"",""pt"")"),"#VALUE!")</f>
        <v>#VALUE!</v>
      </c>
      <c r="G10285" s="69"/>
    </row>
    <row r="10286" ht="22.5" customHeight="1">
      <c r="A10286" s="66"/>
      <c r="B10286" s="67" t="str">
        <f t="shared" si="16"/>
        <v>M: </v>
      </c>
      <c r="C10286" s="68"/>
      <c r="D10286" s="68">
        <v>46778.0</v>
      </c>
      <c r="E10286" s="66">
        <v>4.0</v>
      </c>
      <c r="F10286" s="66" t="str">
        <f>IFERROR(__xludf.DUMMYFUNCTION("GOOGLETRANSLATE(A10286,""en"",""pt"")"),"#VALUE!")</f>
        <v>#VALUE!</v>
      </c>
      <c r="G10286" s="69"/>
    </row>
    <row r="10287" ht="22.5" customHeight="1">
      <c r="A10287" s="66"/>
      <c r="B10287" s="67" t="str">
        <f t="shared" si="16"/>
        <v>M: </v>
      </c>
      <c r="C10287" s="68"/>
      <c r="D10287" s="68">
        <v>46778.0</v>
      </c>
      <c r="E10287" s="66">
        <v>5.0</v>
      </c>
      <c r="F10287" s="66" t="str">
        <f>IFERROR(__xludf.DUMMYFUNCTION("GOOGLETRANSLATE(A10287,""en"",""pt"")"),"#VALUE!")</f>
        <v>#VALUE!</v>
      </c>
      <c r="G10287" s="69"/>
    </row>
    <row r="10288" ht="22.5" customHeight="1">
      <c r="A10288" s="66"/>
      <c r="B10288" s="67" t="str">
        <f t="shared" si="16"/>
        <v>M: </v>
      </c>
      <c r="C10288" s="68"/>
      <c r="D10288" s="68">
        <v>46778.0</v>
      </c>
      <c r="E10288" s="66">
        <v>6.0</v>
      </c>
      <c r="F10288" s="66" t="str">
        <f>IFERROR(__xludf.DUMMYFUNCTION("GOOGLETRANSLATE(A10288,""en"",""pt"")"),"#VALUE!")</f>
        <v>#VALUE!</v>
      </c>
      <c r="G10288" s="69"/>
    </row>
    <row r="10289" ht="22.5" customHeight="1">
      <c r="A10289" s="66"/>
      <c r="B10289" s="67" t="str">
        <f t="shared" si="16"/>
        <v>M: </v>
      </c>
      <c r="C10289" s="68"/>
      <c r="D10289" s="68">
        <v>46778.0</v>
      </c>
      <c r="E10289" s="66">
        <v>7.0</v>
      </c>
      <c r="F10289" s="66" t="str">
        <f>IFERROR(__xludf.DUMMYFUNCTION("GOOGLETRANSLATE(A10289,""en"",""pt"")"),"#VALUE!")</f>
        <v>#VALUE!</v>
      </c>
      <c r="G10289" s="69"/>
    </row>
    <row r="10290" ht="22.5" customHeight="1">
      <c r="A10290" s="66"/>
      <c r="B10290" s="67" t="str">
        <f t="shared" si="16"/>
        <v>M: </v>
      </c>
      <c r="C10290" s="68"/>
      <c r="D10290" s="68">
        <v>46778.0</v>
      </c>
      <c r="E10290" s="66">
        <v>8.0</v>
      </c>
      <c r="F10290" s="66" t="str">
        <f>IFERROR(__xludf.DUMMYFUNCTION("GOOGLETRANSLATE(A10290,""en"",""pt"")"),"#VALUE!")</f>
        <v>#VALUE!</v>
      </c>
      <c r="G10290" s="69"/>
    </row>
    <row r="10291" ht="22.5" customHeight="1">
      <c r="A10291" s="66"/>
      <c r="B10291" s="67" t="str">
        <f t="shared" si="16"/>
        <v>M: </v>
      </c>
      <c r="C10291" s="68"/>
      <c r="D10291" s="68">
        <v>46778.0</v>
      </c>
      <c r="E10291" s="66">
        <v>9.0</v>
      </c>
      <c r="F10291" s="66" t="str">
        <f>IFERROR(__xludf.DUMMYFUNCTION("GOOGLETRANSLATE(A10291,""en"",""pt"")"),"#VALUE!")</f>
        <v>#VALUE!</v>
      </c>
      <c r="G10291" s="69"/>
    </row>
    <row r="10292" ht="22.5" customHeight="1">
      <c r="A10292" s="66"/>
      <c r="B10292" s="67" t="str">
        <f t="shared" si="16"/>
        <v>M: </v>
      </c>
      <c r="C10292" s="68"/>
      <c r="D10292" s="68">
        <v>46779.0</v>
      </c>
      <c r="E10292" s="66">
        <v>10.0</v>
      </c>
      <c r="F10292" s="66" t="str">
        <f>IFERROR(__xludf.DUMMYFUNCTION("GOOGLETRANSLATE(A10292,""en"",""pt"")"),"#VALUE!")</f>
        <v>#VALUE!</v>
      </c>
      <c r="G10292" s="69"/>
    </row>
    <row r="10293" ht="22.5" customHeight="1">
      <c r="A10293" s="66"/>
      <c r="B10293" s="67" t="str">
        <f t="shared" si="16"/>
        <v>M: </v>
      </c>
      <c r="C10293" s="68"/>
      <c r="D10293" s="68">
        <v>46779.0</v>
      </c>
      <c r="E10293" s="66">
        <v>1.0</v>
      </c>
      <c r="F10293" s="66" t="str">
        <f>IFERROR(__xludf.DUMMYFUNCTION("GOOGLETRANSLATE(A10293,""en"",""pt"")"),"#VALUE!")</f>
        <v>#VALUE!</v>
      </c>
      <c r="G10293" s="69"/>
    </row>
    <row r="10294" ht="22.5" customHeight="1">
      <c r="A10294" s="66"/>
      <c r="B10294" s="67" t="str">
        <f t="shared" si="16"/>
        <v>M: </v>
      </c>
      <c r="C10294" s="68"/>
      <c r="D10294" s="68">
        <v>46779.0</v>
      </c>
      <c r="E10294" s="66">
        <v>2.0</v>
      </c>
      <c r="F10294" s="66" t="str">
        <f>IFERROR(__xludf.DUMMYFUNCTION("GOOGLETRANSLATE(A10294,""en"",""pt"")"),"#VALUE!")</f>
        <v>#VALUE!</v>
      </c>
      <c r="G10294" s="69"/>
    </row>
    <row r="10295" ht="22.5" customHeight="1">
      <c r="A10295" s="66"/>
      <c r="B10295" s="67" t="str">
        <f t="shared" si="16"/>
        <v>M: </v>
      </c>
      <c r="C10295" s="68"/>
      <c r="D10295" s="68">
        <v>46779.0</v>
      </c>
      <c r="E10295" s="66">
        <v>3.0</v>
      </c>
      <c r="F10295" s="66" t="str">
        <f>IFERROR(__xludf.DUMMYFUNCTION("GOOGLETRANSLATE(A10295,""en"",""pt"")"),"#VALUE!")</f>
        <v>#VALUE!</v>
      </c>
      <c r="G10295" s="69"/>
    </row>
    <row r="10296" ht="22.5" customHeight="1">
      <c r="A10296" s="66"/>
      <c r="B10296" s="67" t="str">
        <f t="shared" si="16"/>
        <v>M: </v>
      </c>
      <c r="C10296" s="68"/>
      <c r="D10296" s="68">
        <v>46779.0</v>
      </c>
      <c r="E10296" s="66">
        <v>4.0</v>
      </c>
      <c r="F10296" s="66" t="str">
        <f>IFERROR(__xludf.DUMMYFUNCTION("GOOGLETRANSLATE(A10296,""en"",""pt"")"),"#VALUE!")</f>
        <v>#VALUE!</v>
      </c>
      <c r="G10296" s="69"/>
    </row>
    <row r="10297" ht="22.5" customHeight="1">
      <c r="A10297" s="66"/>
      <c r="B10297" s="67" t="str">
        <f t="shared" si="16"/>
        <v>M: </v>
      </c>
      <c r="C10297" s="68"/>
      <c r="D10297" s="68">
        <v>46779.0</v>
      </c>
      <c r="E10297" s="66">
        <v>5.0</v>
      </c>
      <c r="F10297" s="66" t="str">
        <f>IFERROR(__xludf.DUMMYFUNCTION("GOOGLETRANSLATE(A10297,""en"",""pt"")"),"#VALUE!")</f>
        <v>#VALUE!</v>
      </c>
      <c r="G10297" s="69"/>
    </row>
    <row r="10298" ht="22.5" customHeight="1">
      <c r="A10298" s="66"/>
      <c r="B10298" s="67" t="str">
        <f t="shared" si="16"/>
        <v>M: </v>
      </c>
      <c r="C10298" s="68"/>
      <c r="D10298" s="68">
        <v>46779.0</v>
      </c>
      <c r="E10298" s="66">
        <v>6.0</v>
      </c>
      <c r="F10298" s="66" t="str">
        <f>IFERROR(__xludf.DUMMYFUNCTION("GOOGLETRANSLATE(A10298,""en"",""pt"")"),"#VALUE!")</f>
        <v>#VALUE!</v>
      </c>
      <c r="G10298" s="69"/>
    </row>
    <row r="10299" ht="22.5" customHeight="1">
      <c r="A10299" s="66"/>
      <c r="B10299" s="67" t="str">
        <f t="shared" si="16"/>
        <v>M: </v>
      </c>
      <c r="C10299" s="68"/>
      <c r="D10299" s="68">
        <v>46779.0</v>
      </c>
      <c r="E10299" s="66">
        <v>7.0</v>
      </c>
      <c r="F10299" s="66" t="str">
        <f>IFERROR(__xludf.DUMMYFUNCTION("GOOGLETRANSLATE(A10299,""en"",""pt"")"),"#VALUE!")</f>
        <v>#VALUE!</v>
      </c>
      <c r="G10299" s="69"/>
    </row>
    <row r="10300" ht="22.5" customHeight="1">
      <c r="A10300" s="66"/>
      <c r="B10300" s="67" t="str">
        <f t="shared" si="16"/>
        <v>M: </v>
      </c>
      <c r="C10300" s="68"/>
      <c r="D10300" s="68">
        <v>46779.0</v>
      </c>
      <c r="E10300" s="66">
        <v>8.0</v>
      </c>
      <c r="F10300" s="66" t="str">
        <f>IFERROR(__xludf.DUMMYFUNCTION("GOOGLETRANSLATE(A10300,""en"",""pt"")"),"#VALUE!")</f>
        <v>#VALUE!</v>
      </c>
      <c r="G10300" s="69"/>
    </row>
    <row r="10301" ht="22.5" customHeight="1">
      <c r="A10301" s="66"/>
      <c r="B10301" s="67" t="str">
        <f t="shared" si="16"/>
        <v>M: </v>
      </c>
      <c r="C10301" s="68"/>
      <c r="D10301" s="68">
        <v>46779.0</v>
      </c>
      <c r="E10301" s="66">
        <v>9.0</v>
      </c>
      <c r="F10301" s="66" t="str">
        <f>IFERROR(__xludf.DUMMYFUNCTION("GOOGLETRANSLATE(A10301,""en"",""pt"")"),"#VALUE!")</f>
        <v>#VALUE!</v>
      </c>
      <c r="G10301" s="69"/>
    </row>
    <row r="10302" ht="22.5" customHeight="1">
      <c r="A10302" s="66"/>
      <c r="B10302" s="67" t="str">
        <f t="shared" si="16"/>
        <v>M: </v>
      </c>
      <c r="C10302" s="68"/>
      <c r="D10302" s="68">
        <v>46780.0</v>
      </c>
      <c r="E10302" s="66">
        <v>10.0</v>
      </c>
      <c r="F10302" s="66" t="str">
        <f>IFERROR(__xludf.DUMMYFUNCTION("GOOGLETRANSLATE(A10302,""en"",""pt"")"),"#VALUE!")</f>
        <v>#VALUE!</v>
      </c>
      <c r="G10302" s="69"/>
    </row>
    <row r="10303" ht="22.5" customHeight="1">
      <c r="A10303" s="66"/>
      <c r="B10303" s="67" t="str">
        <f t="shared" si="16"/>
        <v>M: </v>
      </c>
      <c r="C10303" s="68"/>
      <c r="D10303" s="68">
        <v>46780.0</v>
      </c>
      <c r="E10303" s="66">
        <v>1.0</v>
      </c>
      <c r="F10303" s="66" t="str">
        <f>IFERROR(__xludf.DUMMYFUNCTION("GOOGLETRANSLATE(A10303,""en"",""pt"")"),"#VALUE!")</f>
        <v>#VALUE!</v>
      </c>
      <c r="G10303" s="69"/>
    </row>
    <row r="10304" ht="22.5" customHeight="1">
      <c r="A10304" s="66"/>
      <c r="B10304" s="67" t="str">
        <f t="shared" si="16"/>
        <v>M: </v>
      </c>
      <c r="C10304" s="68"/>
      <c r="D10304" s="68">
        <v>46780.0</v>
      </c>
      <c r="E10304" s="66">
        <v>2.0</v>
      </c>
      <c r="F10304" s="66" t="str">
        <f>IFERROR(__xludf.DUMMYFUNCTION("GOOGLETRANSLATE(A10304,""en"",""pt"")"),"#VALUE!")</f>
        <v>#VALUE!</v>
      </c>
      <c r="G10304" s="69"/>
    </row>
    <row r="10305" ht="22.5" customHeight="1">
      <c r="A10305" s="66"/>
      <c r="B10305" s="67" t="str">
        <f t="shared" si="16"/>
        <v>M: </v>
      </c>
      <c r="C10305" s="68"/>
      <c r="D10305" s="68">
        <v>46780.0</v>
      </c>
      <c r="E10305" s="66">
        <v>3.0</v>
      </c>
      <c r="F10305" s="66" t="str">
        <f>IFERROR(__xludf.DUMMYFUNCTION("GOOGLETRANSLATE(A10305,""en"",""pt"")"),"#VALUE!")</f>
        <v>#VALUE!</v>
      </c>
      <c r="G10305" s="69"/>
    </row>
    <row r="10306" ht="22.5" customHeight="1">
      <c r="A10306" s="66"/>
      <c r="B10306" s="67" t="str">
        <f t="shared" si="16"/>
        <v>M: </v>
      </c>
      <c r="C10306" s="68"/>
      <c r="D10306" s="68">
        <v>46780.0</v>
      </c>
      <c r="E10306" s="66">
        <v>4.0</v>
      </c>
      <c r="F10306" s="66" t="str">
        <f>IFERROR(__xludf.DUMMYFUNCTION("GOOGLETRANSLATE(A10306,""en"",""pt"")"),"#VALUE!")</f>
        <v>#VALUE!</v>
      </c>
      <c r="G10306" s="69"/>
    </row>
    <row r="10307" ht="22.5" customHeight="1">
      <c r="A10307" s="66"/>
      <c r="B10307" s="67" t="str">
        <f t="shared" si="16"/>
        <v>M: </v>
      </c>
      <c r="C10307" s="68"/>
      <c r="D10307" s="68">
        <v>46780.0</v>
      </c>
      <c r="E10307" s="66">
        <v>5.0</v>
      </c>
      <c r="F10307" s="66" t="str">
        <f>IFERROR(__xludf.DUMMYFUNCTION("GOOGLETRANSLATE(A10307,""en"",""pt"")"),"#VALUE!")</f>
        <v>#VALUE!</v>
      </c>
      <c r="G10307" s="69"/>
    </row>
    <row r="10308" ht="22.5" customHeight="1">
      <c r="A10308" s="66"/>
      <c r="B10308" s="67" t="str">
        <f t="shared" si="16"/>
        <v>M: </v>
      </c>
      <c r="C10308" s="68"/>
      <c r="D10308" s="68">
        <v>46780.0</v>
      </c>
      <c r="E10308" s="66">
        <v>6.0</v>
      </c>
      <c r="F10308" s="66" t="str">
        <f>IFERROR(__xludf.DUMMYFUNCTION("GOOGLETRANSLATE(A10308,""en"",""pt"")"),"#VALUE!")</f>
        <v>#VALUE!</v>
      </c>
      <c r="G10308" s="69"/>
    </row>
    <row r="10309" ht="22.5" customHeight="1">
      <c r="A10309" s="66"/>
      <c r="B10309" s="67" t="str">
        <f t="shared" si="16"/>
        <v>M: </v>
      </c>
      <c r="C10309" s="68"/>
      <c r="D10309" s="68">
        <v>46780.0</v>
      </c>
      <c r="E10309" s="66">
        <v>7.0</v>
      </c>
      <c r="F10309" s="66" t="str">
        <f>IFERROR(__xludf.DUMMYFUNCTION("GOOGLETRANSLATE(A10309,""en"",""pt"")"),"#VALUE!")</f>
        <v>#VALUE!</v>
      </c>
      <c r="G10309" s="69"/>
    </row>
    <row r="10310" ht="22.5" customHeight="1">
      <c r="A10310" s="66"/>
      <c r="B10310" s="67" t="str">
        <f t="shared" si="16"/>
        <v>M: </v>
      </c>
      <c r="C10310" s="68"/>
      <c r="D10310" s="68">
        <v>46780.0</v>
      </c>
      <c r="E10310" s="66">
        <v>8.0</v>
      </c>
      <c r="F10310" s="66" t="str">
        <f>IFERROR(__xludf.DUMMYFUNCTION("GOOGLETRANSLATE(A10310,""en"",""pt"")"),"#VALUE!")</f>
        <v>#VALUE!</v>
      </c>
      <c r="G10310" s="69"/>
    </row>
    <row r="10311" ht="22.5" customHeight="1">
      <c r="A10311" s="66"/>
      <c r="B10311" s="67" t="str">
        <f t="shared" si="16"/>
        <v>M: </v>
      </c>
      <c r="C10311" s="68"/>
      <c r="D10311" s="68">
        <v>46780.0</v>
      </c>
      <c r="E10311" s="66">
        <v>9.0</v>
      </c>
      <c r="F10311" s="66" t="str">
        <f>IFERROR(__xludf.DUMMYFUNCTION("GOOGLETRANSLATE(A10311,""en"",""pt"")"),"#VALUE!")</f>
        <v>#VALUE!</v>
      </c>
      <c r="G10311" s="69"/>
    </row>
    <row r="10312" ht="22.5" customHeight="1">
      <c r="A10312" s="66"/>
      <c r="B10312" s="67" t="str">
        <f t="shared" si="16"/>
        <v>M: </v>
      </c>
      <c r="C10312" s="68"/>
      <c r="D10312" s="68">
        <v>46781.0</v>
      </c>
      <c r="E10312" s="66">
        <v>10.0</v>
      </c>
      <c r="F10312" s="66" t="str">
        <f>IFERROR(__xludf.DUMMYFUNCTION("GOOGLETRANSLATE(A10312,""en"",""pt"")"),"#VALUE!")</f>
        <v>#VALUE!</v>
      </c>
      <c r="G10312" s="69"/>
    </row>
    <row r="10313" ht="22.5" customHeight="1">
      <c r="A10313" s="66"/>
      <c r="B10313" s="67" t="str">
        <f t="shared" si="16"/>
        <v>M: </v>
      </c>
      <c r="C10313" s="68"/>
      <c r="D10313" s="68">
        <v>46781.0</v>
      </c>
      <c r="E10313" s="66">
        <v>1.0</v>
      </c>
      <c r="F10313" s="66" t="str">
        <f>IFERROR(__xludf.DUMMYFUNCTION("GOOGLETRANSLATE(A10313,""en"",""pt"")"),"#VALUE!")</f>
        <v>#VALUE!</v>
      </c>
      <c r="G10313" s="69"/>
    </row>
    <row r="10314" ht="22.5" customHeight="1">
      <c r="A10314" s="66"/>
      <c r="B10314" s="67" t="str">
        <f t="shared" si="16"/>
        <v>M: </v>
      </c>
      <c r="C10314" s="68"/>
      <c r="D10314" s="68">
        <v>46781.0</v>
      </c>
      <c r="E10314" s="66">
        <v>2.0</v>
      </c>
      <c r="F10314" s="66" t="str">
        <f>IFERROR(__xludf.DUMMYFUNCTION("GOOGLETRANSLATE(A10314,""en"",""pt"")"),"#VALUE!")</f>
        <v>#VALUE!</v>
      </c>
      <c r="G10314" s="69"/>
    </row>
    <row r="10315" ht="22.5" customHeight="1">
      <c r="A10315" s="66"/>
      <c r="B10315" s="67" t="str">
        <f t="shared" si="16"/>
        <v>M: </v>
      </c>
      <c r="C10315" s="68"/>
      <c r="D10315" s="68">
        <v>46781.0</v>
      </c>
      <c r="E10315" s="66">
        <v>3.0</v>
      </c>
      <c r="F10315" s="66" t="str">
        <f>IFERROR(__xludf.DUMMYFUNCTION("GOOGLETRANSLATE(A10315,""en"",""pt"")"),"#VALUE!")</f>
        <v>#VALUE!</v>
      </c>
      <c r="G10315" s="69"/>
    </row>
    <row r="10316" ht="22.5" customHeight="1">
      <c r="A10316" s="66"/>
      <c r="B10316" s="67" t="str">
        <f t="shared" si="16"/>
        <v>M: </v>
      </c>
      <c r="C10316" s="68"/>
      <c r="D10316" s="68">
        <v>46781.0</v>
      </c>
      <c r="E10316" s="66">
        <v>4.0</v>
      </c>
      <c r="F10316" s="66" t="str">
        <f>IFERROR(__xludf.DUMMYFUNCTION("GOOGLETRANSLATE(A10316,""en"",""pt"")"),"#VALUE!")</f>
        <v>#VALUE!</v>
      </c>
      <c r="G10316" s="69"/>
    </row>
    <row r="10317" ht="22.5" customHeight="1">
      <c r="A10317" s="66"/>
      <c r="B10317" s="67" t="str">
        <f t="shared" si="16"/>
        <v>M: </v>
      </c>
      <c r="C10317" s="68"/>
      <c r="D10317" s="68">
        <v>46781.0</v>
      </c>
      <c r="E10317" s="66">
        <v>5.0</v>
      </c>
      <c r="F10317" s="66" t="str">
        <f>IFERROR(__xludf.DUMMYFUNCTION("GOOGLETRANSLATE(A10317,""en"",""pt"")"),"#VALUE!")</f>
        <v>#VALUE!</v>
      </c>
      <c r="G10317" s="69"/>
    </row>
    <row r="10318" ht="22.5" customHeight="1">
      <c r="A10318" s="66"/>
      <c r="B10318" s="67" t="str">
        <f t="shared" si="16"/>
        <v>M: </v>
      </c>
      <c r="C10318" s="68"/>
      <c r="D10318" s="68">
        <v>46781.0</v>
      </c>
      <c r="E10318" s="66">
        <v>6.0</v>
      </c>
      <c r="F10318" s="66" t="str">
        <f>IFERROR(__xludf.DUMMYFUNCTION("GOOGLETRANSLATE(A10318,""en"",""pt"")"),"#VALUE!")</f>
        <v>#VALUE!</v>
      </c>
      <c r="G10318" s="69"/>
    </row>
    <row r="10319" ht="22.5" customHeight="1">
      <c r="A10319" s="66"/>
      <c r="B10319" s="67" t="str">
        <f t="shared" si="16"/>
        <v>M: </v>
      </c>
      <c r="C10319" s="68"/>
      <c r="D10319" s="68">
        <v>46781.0</v>
      </c>
      <c r="E10319" s="66">
        <v>7.0</v>
      </c>
      <c r="F10319" s="66" t="str">
        <f>IFERROR(__xludf.DUMMYFUNCTION("GOOGLETRANSLATE(A10319,""en"",""pt"")"),"#VALUE!")</f>
        <v>#VALUE!</v>
      </c>
      <c r="G10319" s="69"/>
    </row>
    <row r="10320" ht="22.5" customHeight="1">
      <c r="A10320" s="66"/>
      <c r="B10320" s="67" t="str">
        <f t="shared" si="16"/>
        <v>M: </v>
      </c>
      <c r="C10320" s="68"/>
      <c r="D10320" s="68">
        <v>46781.0</v>
      </c>
      <c r="E10320" s="66">
        <v>8.0</v>
      </c>
      <c r="F10320" s="66" t="str">
        <f>IFERROR(__xludf.DUMMYFUNCTION("GOOGLETRANSLATE(A10320,""en"",""pt"")"),"#VALUE!")</f>
        <v>#VALUE!</v>
      </c>
      <c r="G10320" s="69"/>
    </row>
    <row r="10321" ht="22.5" customHeight="1">
      <c r="A10321" s="66"/>
      <c r="B10321" s="67" t="str">
        <f t="shared" si="16"/>
        <v>M: </v>
      </c>
      <c r="C10321" s="68"/>
      <c r="D10321" s="68">
        <v>46781.0</v>
      </c>
      <c r="E10321" s="66">
        <v>9.0</v>
      </c>
      <c r="F10321" s="66" t="str">
        <f>IFERROR(__xludf.DUMMYFUNCTION("GOOGLETRANSLATE(A10321,""en"",""pt"")"),"#VALUE!")</f>
        <v>#VALUE!</v>
      </c>
      <c r="G10321" s="69"/>
    </row>
    <row r="10322" ht="22.5" customHeight="1">
      <c r="A10322" s="66"/>
      <c r="B10322" s="67" t="str">
        <f t="shared" si="16"/>
        <v>M: </v>
      </c>
      <c r="C10322" s="68"/>
      <c r="D10322" s="68">
        <v>46782.0</v>
      </c>
      <c r="E10322" s="66">
        <v>10.0</v>
      </c>
      <c r="F10322" s="66" t="str">
        <f>IFERROR(__xludf.DUMMYFUNCTION("GOOGLETRANSLATE(A10322,""en"",""pt"")"),"#VALUE!")</f>
        <v>#VALUE!</v>
      </c>
      <c r="G10322" s="69"/>
    </row>
    <row r="10323" ht="22.5" customHeight="1">
      <c r="A10323" s="66"/>
      <c r="B10323" s="67" t="str">
        <f t="shared" si="16"/>
        <v>M: </v>
      </c>
      <c r="C10323" s="68"/>
      <c r="D10323" s="68">
        <v>46782.0</v>
      </c>
      <c r="E10323" s="66">
        <v>1.0</v>
      </c>
      <c r="F10323" s="66" t="str">
        <f>IFERROR(__xludf.DUMMYFUNCTION("GOOGLETRANSLATE(A10323,""en"",""pt"")"),"#VALUE!")</f>
        <v>#VALUE!</v>
      </c>
      <c r="G10323" s="69"/>
    </row>
    <row r="10324" ht="22.5" customHeight="1">
      <c r="A10324" s="66"/>
      <c r="B10324" s="67" t="str">
        <f t="shared" si="16"/>
        <v>M: </v>
      </c>
      <c r="C10324" s="68"/>
      <c r="D10324" s="68">
        <v>46782.0</v>
      </c>
      <c r="E10324" s="66">
        <v>2.0</v>
      </c>
      <c r="F10324" s="66" t="str">
        <f>IFERROR(__xludf.DUMMYFUNCTION("GOOGLETRANSLATE(A10324,""en"",""pt"")"),"#VALUE!")</f>
        <v>#VALUE!</v>
      </c>
      <c r="G10324" s="69"/>
    </row>
    <row r="10325" ht="22.5" customHeight="1">
      <c r="A10325" s="66"/>
      <c r="B10325" s="67" t="str">
        <f t="shared" si="16"/>
        <v>M: </v>
      </c>
      <c r="C10325" s="68"/>
      <c r="D10325" s="68">
        <v>46782.0</v>
      </c>
      <c r="E10325" s="66">
        <v>3.0</v>
      </c>
      <c r="F10325" s="66" t="str">
        <f>IFERROR(__xludf.DUMMYFUNCTION("GOOGLETRANSLATE(A10325,""en"",""pt"")"),"#VALUE!")</f>
        <v>#VALUE!</v>
      </c>
      <c r="G10325" s="69"/>
    </row>
    <row r="10326" ht="22.5" customHeight="1">
      <c r="A10326" s="66"/>
      <c r="B10326" s="67" t="str">
        <f t="shared" si="16"/>
        <v>M: </v>
      </c>
      <c r="C10326" s="68"/>
      <c r="D10326" s="68">
        <v>46782.0</v>
      </c>
      <c r="E10326" s="66">
        <v>4.0</v>
      </c>
      <c r="F10326" s="66" t="str">
        <f>IFERROR(__xludf.DUMMYFUNCTION("GOOGLETRANSLATE(A10326,""en"",""pt"")"),"#VALUE!")</f>
        <v>#VALUE!</v>
      </c>
      <c r="G10326" s="69"/>
    </row>
    <row r="10327" ht="22.5" customHeight="1">
      <c r="A10327" s="66"/>
      <c r="B10327" s="67" t="str">
        <f t="shared" si="16"/>
        <v>M: </v>
      </c>
      <c r="C10327" s="68"/>
      <c r="D10327" s="68">
        <v>46782.0</v>
      </c>
      <c r="E10327" s="66">
        <v>5.0</v>
      </c>
      <c r="F10327" s="66" t="str">
        <f>IFERROR(__xludf.DUMMYFUNCTION("GOOGLETRANSLATE(A10327,""en"",""pt"")"),"#VALUE!")</f>
        <v>#VALUE!</v>
      </c>
      <c r="G10327" s="69"/>
    </row>
    <row r="10328" ht="22.5" customHeight="1">
      <c r="A10328" s="66"/>
      <c r="B10328" s="67" t="str">
        <f t="shared" si="16"/>
        <v>M: </v>
      </c>
      <c r="C10328" s="68"/>
      <c r="D10328" s="68">
        <v>46782.0</v>
      </c>
      <c r="E10328" s="66">
        <v>6.0</v>
      </c>
      <c r="F10328" s="66" t="str">
        <f>IFERROR(__xludf.DUMMYFUNCTION("GOOGLETRANSLATE(A10328,""en"",""pt"")"),"#VALUE!")</f>
        <v>#VALUE!</v>
      </c>
      <c r="G10328" s="69"/>
    </row>
    <row r="10329" ht="22.5" customHeight="1">
      <c r="A10329" s="66"/>
      <c r="B10329" s="67" t="str">
        <f t="shared" si="16"/>
        <v>M: </v>
      </c>
      <c r="C10329" s="68"/>
      <c r="D10329" s="68">
        <v>46782.0</v>
      </c>
      <c r="E10329" s="66">
        <v>7.0</v>
      </c>
      <c r="F10329" s="66" t="str">
        <f>IFERROR(__xludf.DUMMYFUNCTION("GOOGLETRANSLATE(A10329,""en"",""pt"")"),"#VALUE!")</f>
        <v>#VALUE!</v>
      </c>
      <c r="G10329" s="69"/>
    </row>
    <row r="10330" ht="22.5" customHeight="1">
      <c r="A10330" s="66"/>
      <c r="B10330" s="67" t="str">
        <f t="shared" si="16"/>
        <v>M: </v>
      </c>
      <c r="C10330" s="68"/>
      <c r="D10330" s="68">
        <v>46782.0</v>
      </c>
      <c r="E10330" s="66">
        <v>8.0</v>
      </c>
      <c r="F10330" s="66" t="str">
        <f>IFERROR(__xludf.DUMMYFUNCTION("GOOGLETRANSLATE(A10330,""en"",""pt"")"),"#VALUE!")</f>
        <v>#VALUE!</v>
      </c>
      <c r="G10330" s="69"/>
    </row>
    <row r="10331" ht="22.5" customHeight="1">
      <c r="A10331" s="66"/>
      <c r="B10331" s="67" t="str">
        <f t="shared" si="16"/>
        <v>M: </v>
      </c>
      <c r="C10331" s="68"/>
      <c r="D10331" s="68">
        <v>46782.0</v>
      </c>
      <c r="E10331" s="66">
        <v>9.0</v>
      </c>
      <c r="F10331" s="66" t="str">
        <f>IFERROR(__xludf.DUMMYFUNCTION("GOOGLETRANSLATE(A10331,""en"",""pt"")"),"#VALUE!")</f>
        <v>#VALUE!</v>
      </c>
      <c r="G10331" s="69"/>
    </row>
    <row r="10332" ht="22.5" customHeight="1">
      <c r="A10332" s="66"/>
      <c r="B10332" s="67" t="str">
        <f t="shared" si="16"/>
        <v>M: </v>
      </c>
      <c r="C10332" s="68"/>
      <c r="D10332" s="68">
        <v>46783.0</v>
      </c>
      <c r="E10332" s="66">
        <v>10.0</v>
      </c>
      <c r="F10332" s="66" t="str">
        <f>IFERROR(__xludf.DUMMYFUNCTION("GOOGLETRANSLATE(A10332,""en"",""pt"")"),"#VALUE!")</f>
        <v>#VALUE!</v>
      </c>
      <c r="G10332" s="69"/>
    </row>
    <row r="10333" ht="22.5" customHeight="1">
      <c r="A10333" s="66"/>
      <c r="B10333" s="67" t="str">
        <f t="shared" si="16"/>
        <v>M: </v>
      </c>
      <c r="C10333" s="68"/>
      <c r="D10333" s="68">
        <v>46783.0</v>
      </c>
      <c r="E10333" s="66">
        <v>1.0</v>
      </c>
      <c r="F10333" s="66" t="str">
        <f>IFERROR(__xludf.DUMMYFUNCTION("GOOGLETRANSLATE(A10333,""en"",""pt"")"),"#VALUE!")</f>
        <v>#VALUE!</v>
      </c>
      <c r="G10333" s="69"/>
    </row>
    <row r="10334" ht="22.5" customHeight="1">
      <c r="A10334" s="66"/>
      <c r="B10334" s="67" t="str">
        <f t="shared" si="16"/>
        <v>M: </v>
      </c>
      <c r="C10334" s="68"/>
      <c r="D10334" s="68">
        <v>46783.0</v>
      </c>
      <c r="E10334" s="66">
        <v>2.0</v>
      </c>
      <c r="F10334" s="66" t="str">
        <f>IFERROR(__xludf.DUMMYFUNCTION("GOOGLETRANSLATE(A10334,""en"",""pt"")"),"#VALUE!")</f>
        <v>#VALUE!</v>
      </c>
      <c r="G10334" s="69"/>
    </row>
    <row r="10335" ht="22.5" customHeight="1">
      <c r="A10335" s="66"/>
      <c r="B10335" s="67" t="str">
        <f t="shared" si="16"/>
        <v>M: </v>
      </c>
      <c r="C10335" s="68"/>
      <c r="D10335" s="68">
        <v>46783.0</v>
      </c>
      <c r="E10335" s="66">
        <v>3.0</v>
      </c>
      <c r="F10335" s="66" t="str">
        <f>IFERROR(__xludf.DUMMYFUNCTION("GOOGLETRANSLATE(A10335,""en"",""pt"")"),"#VALUE!")</f>
        <v>#VALUE!</v>
      </c>
      <c r="G10335" s="69"/>
    </row>
    <row r="10336" ht="22.5" customHeight="1">
      <c r="A10336" s="66"/>
      <c r="B10336" s="67" t="str">
        <f t="shared" si="16"/>
        <v>M: </v>
      </c>
      <c r="C10336" s="68"/>
      <c r="D10336" s="68">
        <v>46783.0</v>
      </c>
      <c r="E10336" s="66">
        <v>4.0</v>
      </c>
      <c r="F10336" s="66" t="str">
        <f>IFERROR(__xludf.DUMMYFUNCTION("GOOGLETRANSLATE(A10336,""en"",""pt"")"),"#VALUE!")</f>
        <v>#VALUE!</v>
      </c>
      <c r="G10336" s="69"/>
    </row>
    <row r="10337" ht="22.5" customHeight="1">
      <c r="A10337" s="66"/>
      <c r="B10337" s="67" t="str">
        <f t="shared" si="16"/>
        <v>M: </v>
      </c>
      <c r="C10337" s="68"/>
      <c r="D10337" s="68">
        <v>46783.0</v>
      </c>
      <c r="E10337" s="66">
        <v>5.0</v>
      </c>
      <c r="F10337" s="66" t="str">
        <f>IFERROR(__xludf.DUMMYFUNCTION("GOOGLETRANSLATE(A10337,""en"",""pt"")"),"#VALUE!")</f>
        <v>#VALUE!</v>
      </c>
      <c r="G10337" s="69"/>
    </row>
    <row r="10338" ht="22.5" customHeight="1">
      <c r="A10338" s="66"/>
      <c r="B10338" s="67" t="str">
        <f t="shared" si="16"/>
        <v>M: </v>
      </c>
      <c r="C10338" s="68"/>
      <c r="D10338" s="68">
        <v>46783.0</v>
      </c>
      <c r="E10338" s="66">
        <v>6.0</v>
      </c>
      <c r="F10338" s="66" t="str">
        <f>IFERROR(__xludf.DUMMYFUNCTION("GOOGLETRANSLATE(A10338,""en"",""pt"")"),"#VALUE!")</f>
        <v>#VALUE!</v>
      </c>
      <c r="G10338" s="69"/>
    </row>
    <row r="10339" ht="22.5" customHeight="1">
      <c r="A10339" s="66"/>
      <c r="B10339" s="67" t="str">
        <f t="shared" si="16"/>
        <v>M: </v>
      </c>
      <c r="C10339" s="68"/>
      <c r="D10339" s="68">
        <v>46783.0</v>
      </c>
      <c r="E10339" s="66">
        <v>7.0</v>
      </c>
      <c r="F10339" s="66" t="str">
        <f>IFERROR(__xludf.DUMMYFUNCTION("GOOGLETRANSLATE(A10339,""en"",""pt"")"),"#VALUE!")</f>
        <v>#VALUE!</v>
      </c>
      <c r="G10339" s="69"/>
    </row>
    <row r="10340" ht="22.5" customHeight="1">
      <c r="A10340" s="66"/>
      <c r="B10340" s="67" t="str">
        <f t="shared" si="16"/>
        <v>M: </v>
      </c>
      <c r="C10340" s="68"/>
      <c r="D10340" s="68">
        <v>46783.0</v>
      </c>
      <c r="E10340" s="66">
        <v>8.0</v>
      </c>
      <c r="F10340" s="66" t="str">
        <f>IFERROR(__xludf.DUMMYFUNCTION("GOOGLETRANSLATE(A10340,""en"",""pt"")"),"#VALUE!")</f>
        <v>#VALUE!</v>
      </c>
      <c r="G10340" s="69"/>
    </row>
    <row r="10341" ht="22.5" customHeight="1">
      <c r="A10341" s="66"/>
      <c r="B10341" s="67" t="str">
        <f t="shared" si="16"/>
        <v>M: </v>
      </c>
      <c r="C10341" s="68"/>
      <c r="D10341" s="68">
        <v>46783.0</v>
      </c>
      <c r="E10341" s="66">
        <v>9.0</v>
      </c>
      <c r="F10341" s="66" t="str">
        <f>IFERROR(__xludf.DUMMYFUNCTION("GOOGLETRANSLATE(A10341,""en"",""pt"")"),"#VALUE!")</f>
        <v>#VALUE!</v>
      </c>
      <c r="G10341" s="69"/>
    </row>
    <row r="10342" ht="22.5" customHeight="1">
      <c r="A10342" s="66"/>
      <c r="B10342" s="67" t="str">
        <f t="shared" si="16"/>
        <v>M: </v>
      </c>
      <c r="C10342" s="68"/>
      <c r="D10342" s="68">
        <v>46784.0</v>
      </c>
      <c r="E10342" s="66">
        <v>10.0</v>
      </c>
      <c r="F10342" s="66" t="str">
        <f>IFERROR(__xludf.DUMMYFUNCTION("GOOGLETRANSLATE(A10342,""en"",""pt"")"),"#VALUE!")</f>
        <v>#VALUE!</v>
      </c>
      <c r="G10342" s="69"/>
    </row>
    <row r="10343" ht="22.5" customHeight="1">
      <c r="A10343" s="66"/>
      <c r="B10343" s="67" t="str">
        <f t="shared" si="16"/>
        <v>M: </v>
      </c>
      <c r="C10343" s="68"/>
      <c r="D10343" s="68">
        <v>46784.0</v>
      </c>
      <c r="E10343" s="66">
        <v>1.0</v>
      </c>
      <c r="F10343" s="66" t="str">
        <f>IFERROR(__xludf.DUMMYFUNCTION("GOOGLETRANSLATE(A10343,""en"",""pt"")"),"#VALUE!")</f>
        <v>#VALUE!</v>
      </c>
      <c r="G10343" s="69"/>
    </row>
    <row r="10344" ht="22.5" customHeight="1">
      <c r="A10344" s="66"/>
      <c r="B10344" s="67" t="str">
        <f t="shared" si="16"/>
        <v>M: </v>
      </c>
      <c r="C10344" s="68"/>
      <c r="D10344" s="68">
        <v>46784.0</v>
      </c>
      <c r="E10344" s="66">
        <v>2.0</v>
      </c>
      <c r="F10344" s="66" t="str">
        <f>IFERROR(__xludf.DUMMYFUNCTION("GOOGLETRANSLATE(A10344,""en"",""pt"")"),"#VALUE!")</f>
        <v>#VALUE!</v>
      </c>
      <c r="G10344" s="69"/>
    </row>
    <row r="10345" ht="22.5" customHeight="1">
      <c r="A10345" s="66"/>
      <c r="B10345" s="67" t="str">
        <f t="shared" si="16"/>
        <v>M: </v>
      </c>
      <c r="C10345" s="68"/>
      <c r="D10345" s="68">
        <v>46784.0</v>
      </c>
      <c r="E10345" s="66">
        <v>3.0</v>
      </c>
      <c r="F10345" s="66" t="str">
        <f>IFERROR(__xludf.DUMMYFUNCTION("GOOGLETRANSLATE(A10345,""en"",""pt"")"),"#VALUE!")</f>
        <v>#VALUE!</v>
      </c>
      <c r="G10345" s="69"/>
    </row>
    <row r="10346" ht="22.5" customHeight="1">
      <c r="A10346" s="66"/>
      <c r="B10346" s="67" t="str">
        <f t="shared" si="16"/>
        <v>M: </v>
      </c>
      <c r="C10346" s="68"/>
      <c r="D10346" s="68">
        <v>46784.0</v>
      </c>
      <c r="E10346" s="66">
        <v>4.0</v>
      </c>
      <c r="F10346" s="66" t="str">
        <f>IFERROR(__xludf.DUMMYFUNCTION("GOOGLETRANSLATE(A10346,""en"",""pt"")"),"#VALUE!")</f>
        <v>#VALUE!</v>
      </c>
      <c r="G10346" s="69"/>
    </row>
    <row r="10347" ht="22.5" customHeight="1">
      <c r="A10347" s="66"/>
      <c r="B10347" s="67" t="str">
        <f t="shared" si="16"/>
        <v>M: </v>
      </c>
      <c r="C10347" s="68"/>
      <c r="D10347" s="68">
        <v>46784.0</v>
      </c>
      <c r="E10347" s="66">
        <v>5.0</v>
      </c>
      <c r="F10347" s="66" t="str">
        <f>IFERROR(__xludf.DUMMYFUNCTION("GOOGLETRANSLATE(A10347,""en"",""pt"")"),"#VALUE!")</f>
        <v>#VALUE!</v>
      </c>
      <c r="G10347" s="69"/>
    </row>
    <row r="10348" ht="22.5" customHeight="1">
      <c r="A10348" s="66"/>
      <c r="B10348" s="67" t="str">
        <f t="shared" si="16"/>
        <v>M: </v>
      </c>
      <c r="C10348" s="68"/>
      <c r="D10348" s="68">
        <v>46784.0</v>
      </c>
      <c r="E10348" s="66">
        <v>6.0</v>
      </c>
      <c r="F10348" s="66" t="str">
        <f>IFERROR(__xludf.DUMMYFUNCTION("GOOGLETRANSLATE(A10348,""en"",""pt"")"),"#VALUE!")</f>
        <v>#VALUE!</v>
      </c>
      <c r="G10348" s="69"/>
    </row>
    <row r="10349" ht="22.5" customHeight="1">
      <c r="A10349" s="66"/>
      <c r="B10349" s="67" t="str">
        <f t="shared" si="16"/>
        <v>M: </v>
      </c>
      <c r="C10349" s="68"/>
      <c r="D10349" s="68">
        <v>46784.0</v>
      </c>
      <c r="E10349" s="66">
        <v>7.0</v>
      </c>
      <c r="F10349" s="66" t="str">
        <f>IFERROR(__xludf.DUMMYFUNCTION("GOOGLETRANSLATE(A10349,""en"",""pt"")"),"#VALUE!")</f>
        <v>#VALUE!</v>
      </c>
      <c r="G10349" s="69"/>
    </row>
    <row r="10350" ht="22.5" customHeight="1">
      <c r="A10350" s="66"/>
      <c r="B10350" s="67" t="str">
        <f t="shared" si="16"/>
        <v>M: </v>
      </c>
      <c r="C10350" s="68"/>
      <c r="D10350" s="68">
        <v>46784.0</v>
      </c>
      <c r="E10350" s="66">
        <v>8.0</v>
      </c>
      <c r="F10350" s="66" t="str">
        <f>IFERROR(__xludf.DUMMYFUNCTION("GOOGLETRANSLATE(A10350,""en"",""pt"")"),"#VALUE!")</f>
        <v>#VALUE!</v>
      </c>
      <c r="G10350" s="69"/>
    </row>
    <row r="10351" ht="22.5" customHeight="1">
      <c r="A10351" s="66"/>
      <c r="B10351" s="67" t="str">
        <f t="shared" si="16"/>
        <v>M: </v>
      </c>
      <c r="C10351" s="68"/>
      <c r="D10351" s="68">
        <v>46784.0</v>
      </c>
      <c r="E10351" s="66">
        <v>9.0</v>
      </c>
      <c r="F10351" s="66" t="str">
        <f>IFERROR(__xludf.DUMMYFUNCTION("GOOGLETRANSLATE(A10351,""en"",""pt"")"),"#VALUE!")</f>
        <v>#VALUE!</v>
      </c>
      <c r="G10351" s="69"/>
    </row>
    <row r="10352" ht="22.5" customHeight="1">
      <c r="A10352" s="66"/>
      <c r="B10352" s="67" t="str">
        <f t="shared" si="16"/>
        <v>M: </v>
      </c>
      <c r="C10352" s="68"/>
      <c r="D10352" s="68">
        <v>46785.0</v>
      </c>
      <c r="E10352" s="66">
        <v>10.0</v>
      </c>
      <c r="F10352" s="66" t="str">
        <f>IFERROR(__xludf.DUMMYFUNCTION("GOOGLETRANSLATE(A10352,""en"",""pt"")"),"#VALUE!")</f>
        <v>#VALUE!</v>
      </c>
      <c r="G10352" s="69"/>
    </row>
    <row r="10353" ht="22.5" customHeight="1">
      <c r="A10353" s="66"/>
      <c r="B10353" s="67" t="str">
        <f t="shared" si="16"/>
        <v>M: </v>
      </c>
      <c r="C10353" s="68"/>
      <c r="D10353" s="68">
        <v>46785.0</v>
      </c>
      <c r="E10353" s="66">
        <v>1.0</v>
      </c>
      <c r="F10353" s="66" t="str">
        <f>IFERROR(__xludf.DUMMYFUNCTION("GOOGLETRANSLATE(A10353,""en"",""pt"")"),"#VALUE!")</f>
        <v>#VALUE!</v>
      </c>
      <c r="G10353" s="69"/>
    </row>
    <row r="10354" ht="22.5" customHeight="1">
      <c r="A10354" s="66"/>
      <c r="B10354" s="67" t="str">
        <f t="shared" si="16"/>
        <v>M: </v>
      </c>
      <c r="C10354" s="68"/>
      <c r="D10354" s="68">
        <v>46785.0</v>
      </c>
      <c r="E10354" s="66">
        <v>2.0</v>
      </c>
      <c r="F10354" s="66" t="str">
        <f>IFERROR(__xludf.DUMMYFUNCTION("GOOGLETRANSLATE(A10354,""en"",""pt"")"),"#VALUE!")</f>
        <v>#VALUE!</v>
      </c>
      <c r="G10354" s="69"/>
    </row>
    <row r="10355" ht="22.5" customHeight="1">
      <c r="A10355" s="66"/>
      <c r="B10355" s="67" t="str">
        <f t="shared" si="16"/>
        <v>M: </v>
      </c>
      <c r="C10355" s="68"/>
      <c r="D10355" s="68">
        <v>46785.0</v>
      </c>
      <c r="E10355" s="66">
        <v>3.0</v>
      </c>
      <c r="F10355" s="66" t="str">
        <f>IFERROR(__xludf.DUMMYFUNCTION("GOOGLETRANSLATE(A10355,""en"",""pt"")"),"#VALUE!")</f>
        <v>#VALUE!</v>
      </c>
      <c r="G10355" s="69"/>
    </row>
    <row r="10356" ht="22.5" customHeight="1">
      <c r="A10356" s="66"/>
      <c r="B10356" s="67" t="str">
        <f t="shared" si="16"/>
        <v>M: </v>
      </c>
      <c r="C10356" s="68"/>
      <c r="D10356" s="68">
        <v>46785.0</v>
      </c>
      <c r="E10356" s="66">
        <v>4.0</v>
      </c>
      <c r="F10356" s="66" t="str">
        <f>IFERROR(__xludf.DUMMYFUNCTION("GOOGLETRANSLATE(A10356,""en"",""pt"")"),"#VALUE!")</f>
        <v>#VALUE!</v>
      </c>
      <c r="G10356" s="69"/>
    </row>
    <row r="10357" ht="22.5" customHeight="1">
      <c r="A10357" s="66"/>
      <c r="B10357" s="67" t="str">
        <f t="shared" si="16"/>
        <v>M: </v>
      </c>
      <c r="C10357" s="68"/>
      <c r="D10357" s="68">
        <v>46785.0</v>
      </c>
      <c r="E10357" s="66">
        <v>5.0</v>
      </c>
      <c r="F10357" s="66" t="str">
        <f>IFERROR(__xludf.DUMMYFUNCTION("GOOGLETRANSLATE(A10357,""en"",""pt"")"),"#VALUE!")</f>
        <v>#VALUE!</v>
      </c>
      <c r="G10357" s="69"/>
    </row>
    <row r="10358" ht="22.5" customHeight="1">
      <c r="A10358" s="66"/>
      <c r="B10358" s="67" t="str">
        <f t="shared" si="16"/>
        <v>M: </v>
      </c>
      <c r="C10358" s="68"/>
      <c r="D10358" s="68">
        <v>46785.0</v>
      </c>
      <c r="E10358" s="66">
        <v>6.0</v>
      </c>
      <c r="F10358" s="66" t="str">
        <f>IFERROR(__xludf.DUMMYFUNCTION("GOOGLETRANSLATE(A10358,""en"",""pt"")"),"#VALUE!")</f>
        <v>#VALUE!</v>
      </c>
      <c r="G10358" s="69"/>
    </row>
    <row r="10359" ht="22.5" customHeight="1">
      <c r="A10359" s="66"/>
      <c r="B10359" s="67" t="str">
        <f t="shared" si="16"/>
        <v>M: </v>
      </c>
      <c r="C10359" s="68"/>
      <c r="D10359" s="68">
        <v>46785.0</v>
      </c>
      <c r="E10359" s="66">
        <v>7.0</v>
      </c>
      <c r="F10359" s="66" t="str">
        <f>IFERROR(__xludf.DUMMYFUNCTION("GOOGLETRANSLATE(A10359,""en"",""pt"")"),"#VALUE!")</f>
        <v>#VALUE!</v>
      </c>
      <c r="G10359" s="69"/>
    </row>
    <row r="10360" ht="22.5" customHeight="1">
      <c r="A10360" s="66"/>
      <c r="B10360" s="67" t="str">
        <f t="shared" si="16"/>
        <v>M: </v>
      </c>
      <c r="C10360" s="68"/>
      <c r="D10360" s="68">
        <v>46785.0</v>
      </c>
      <c r="E10360" s="66">
        <v>8.0</v>
      </c>
      <c r="F10360" s="66" t="str">
        <f>IFERROR(__xludf.DUMMYFUNCTION("GOOGLETRANSLATE(A10360,""en"",""pt"")"),"#VALUE!")</f>
        <v>#VALUE!</v>
      </c>
      <c r="G10360" s="69"/>
    </row>
    <row r="10361" ht="22.5" customHeight="1">
      <c r="A10361" s="66"/>
      <c r="B10361" s="67" t="str">
        <f t="shared" si="16"/>
        <v>M: </v>
      </c>
      <c r="C10361" s="68"/>
      <c r="D10361" s="68">
        <v>46785.0</v>
      </c>
      <c r="E10361" s="66">
        <v>9.0</v>
      </c>
      <c r="F10361" s="66" t="str">
        <f>IFERROR(__xludf.DUMMYFUNCTION("GOOGLETRANSLATE(A10361,""en"",""pt"")"),"#VALUE!")</f>
        <v>#VALUE!</v>
      </c>
      <c r="G10361" s="69"/>
    </row>
    <row r="10362" ht="22.5" customHeight="1">
      <c r="A10362" s="66"/>
      <c r="B10362" s="67" t="str">
        <f t="shared" si="16"/>
        <v>M: </v>
      </c>
      <c r="C10362" s="68"/>
      <c r="D10362" s="68">
        <v>46786.0</v>
      </c>
      <c r="E10362" s="66">
        <v>10.0</v>
      </c>
      <c r="F10362" s="66" t="str">
        <f>IFERROR(__xludf.DUMMYFUNCTION("GOOGLETRANSLATE(A10362,""en"",""pt"")"),"#VALUE!")</f>
        <v>#VALUE!</v>
      </c>
      <c r="G10362" s="69"/>
    </row>
    <row r="10363" ht="22.5" customHeight="1">
      <c r="A10363" s="66"/>
      <c r="B10363" s="67" t="str">
        <f t="shared" si="16"/>
        <v>M: </v>
      </c>
      <c r="C10363" s="68"/>
      <c r="D10363" s="68">
        <v>46786.0</v>
      </c>
      <c r="E10363" s="66">
        <v>1.0</v>
      </c>
      <c r="F10363" s="66" t="str">
        <f>IFERROR(__xludf.DUMMYFUNCTION("GOOGLETRANSLATE(A10363,""en"",""pt"")"),"#VALUE!")</f>
        <v>#VALUE!</v>
      </c>
      <c r="G10363" s="69"/>
    </row>
    <row r="10364" ht="22.5" customHeight="1">
      <c r="A10364" s="66"/>
      <c r="B10364" s="67" t="str">
        <f t="shared" si="16"/>
        <v>M: </v>
      </c>
      <c r="C10364" s="68"/>
      <c r="D10364" s="68">
        <v>46786.0</v>
      </c>
      <c r="E10364" s="66">
        <v>2.0</v>
      </c>
      <c r="F10364" s="66" t="str">
        <f>IFERROR(__xludf.DUMMYFUNCTION("GOOGLETRANSLATE(A10364,""en"",""pt"")"),"#VALUE!")</f>
        <v>#VALUE!</v>
      </c>
      <c r="G10364" s="69"/>
    </row>
    <row r="10365" ht="22.5" customHeight="1">
      <c r="A10365" s="66"/>
      <c r="B10365" s="67" t="str">
        <f t="shared" si="16"/>
        <v>M: </v>
      </c>
      <c r="C10365" s="68"/>
      <c r="D10365" s="68">
        <v>46786.0</v>
      </c>
      <c r="E10365" s="66">
        <v>3.0</v>
      </c>
      <c r="F10365" s="66" t="str">
        <f>IFERROR(__xludf.DUMMYFUNCTION("GOOGLETRANSLATE(A10365,""en"",""pt"")"),"#VALUE!")</f>
        <v>#VALUE!</v>
      </c>
      <c r="G10365" s="69"/>
    </row>
    <row r="10366" ht="22.5" customHeight="1">
      <c r="A10366" s="66"/>
      <c r="B10366" s="67" t="str">
        <f t="shared" si="16"/>
        <v>M: </v>
      </c>
      <c r="C10366" s="68"/>
      <c r="D10366" s="68">
        <v>46786.0</v>
      </c>
      <c r="E10366" s="66">
        <v>4.0</v>
      </c>
      <c r="F10366" s="66" t="str">
        <f>IFERROR(__xludf.DUMMYFUNCTION("GOOGLETRANSLATE(A10366,""en"",""pt"")"),"#VALUE!")</f>
        <v>#VALUE!</v>
      </c>
      <c r="G10366" s="69"/>
    </row>
    <row r="10367" ht="22.5" customHeight="1">
      <c r="A10367" s="66"/>
      <c r="B10367" s="67" t="str">
        <f t="shared" si="16"/>
        <v>M: </v>
      </c>
      <c r="C10367" s="68"/>
      <c r="D10367" s="68">
        <v>46786.0</v>
      </c>
      <c r="E10367" s="66">
        <v>5.0</v>
      </c>
      <c r="F10367" s="66" t="str">
        <f>IFERROR(__xludf.DUMMYFUNCTION("GOOGLETRANSLATE(A10367,""en"",""pt"")"),"#VALUE!")</f>
        <v>#VALUE!</v>
      </c>
      <c r="G10367" s="69"/>
    </row>
    <row r="10368" ht="22.5" customHeight="1">
      <c r="A10368" s="66"/>
      <c r="B10368" s="67" t="str">
        <f t="shared" si="16"/>
        <v>M: </v>
      </c>
      <c r="C10368" s="68"/>
      <c r="D10368" s="68">
        <v>46786.0</v>
      </c>
      <c r="E10368" s="66">
        <v>6.0</v>
      </c>
      <c r="F10368" s="66" t="str">
        <f>IFERROR(__xludf.DUMMYFUNCTION("GOOGLETRANSLATE(A10368,""en"",""pt"")"),"#VALUE!")</f>
        <v>#VALUE!</v>
      </c>
      <c r="G10368" s="69"/>
    </row>
    <row r="10369" ht="22.5" customHeight="1">
      <c r="A10369" s="66"/>
      <c r="B10369" s="67" t="str">
        <f t="shared" si="16"/>
        <v>M: </v>
      </c>
      <c r="C10369" s="68"/>
      <c r="D10369" s="68">
        <v>46786.0</v>
      </c>
      <c r="E10369" s="66">
        <v>7.0</v>
      </c>
      <c r="F10369" s="66" t="str">
        <f>IFERROR(__xludf.DUMMYFUNCTION("GOOGLETRANSLATE(A10369,""en"",""pt"")"),"#VALUE!")</f>
        <v>#VALUE!</v>
      </c>
      <c r="G10369" s="69"/>
    </row>
    <row r="10370" ht="22.5" customHeight="1">
      <c r="A10370" s="66"/>
      <c r="B10370" s="67" t="str">
        <f t="shared" si="16"/>
        <v>M: </v>
      </c>
      <c r="C10370" s="68"/>
      <c r="D10370" s="68">
        <v>46786.0</v>
      </c>
      <c r="E10370" s="66">
        <v>8.0</v>
      </c>
      <c r="F10370" s="66" t="str">
        <f>IFERROR(__xludf.DUMMYFUNCTION("GOOGLETRANSLATE(A10370,""en"",""pt"")"),"#VALUE!")</f>
        <v>#VALUE!</v>
      </c>
      <c r="G10370" s="69"/>
    </row>
    <row r="10371" ht="22.5" customHeight="1">
      <c r="A10371" s="66"/>
      <c r="B10371" s="67" t="str">
        <f t="shared" si="16"/>
        <v>M: </v>
      </c>
      <c r="C10371" s="68"/>
      <c r="D10371" s="68">
        <v>46786.0</v>
      </c>
      <c r="E10371" s="66">
        <v>9.0</v>
      </c>
      <c r="F10371" s="66" t="str">
        <f>IFERROR(__xludf.DUMMYFUNCTION("GOOGLETRANSLATE(A10371,""en"",""pt"")"),"#VALUE!")</f>
        <v>#VALUE!</v>
      </c>
      <c r="G10371" s="69"/>
    </row>
    <row r="10372" ht="22.5" customHeight="1">
      <c r="A10372" s="66"/>
      <c r="B10372" s="67" t="str">
        <f t="shared" si="16"/>
        <v>M: </v>
      </c>
      <c r="C10372" s="68"/>
      <c r="D10372" s="68">
        <v>46787.0</v>
      </c>
      <c r="E10372" s="66">
        <v>10.0</v>
      </c>
      <c r="F10372" s="66" t="str">
        <f>IFERROR(__xludf.DUMMYFUNCTION("GOOGLETRANSLATE(A10372,""en"",""pt"")"),"#VALUE!")</f>
        <v>#VALUE!</v>
      </c>
      <c r="G10372" s="69"/>
    </row>
    <row r="10373" ht="22.5" customHeight="1">
      <c r="A10373" s="66"/>
      <c r="B10373" s="67" t="str">
        <f t="shared" si="16"/>
        <v>M: </v>
      </c>
      <c r="C10373" s="68"/>
      <c r="D10373" s="68">
        <v>46787.0</v>
      </c>
      <c r="E10373" s="66">
        <v>1.0</v>
      </c>
      <c r="F10373" s="66" t="str">
        <f>IFERROR(__xludf.DUMMYFUNCTION("GOOGLETRANSLATE(A10373,""en"",""pt"")"),"#VALUE!")</f>
        <v>#VALUE!</v>
      </c>
      <c r="G10373" s="69"/>
    </row>
    <row r="10374" ht="22.5" customHeight="1">
      <c r="A10374" s="66"/>
      <c r="B10374" s="67" t="str">
        <f t="shared" si="16"/>
        <v>M: </v>
      </c>
      <c r="C10374" s="68"/>
      <c r="D10374" s="68">
        <v>46787.0</v>
      </c>
      <c r="E10374" s="66">
        <v>2.0</v>
      </c>
      <c r="F10374" s="66" t="str">
        <f>IFERROR(__xludf.DUMMYFUNCTION("GOOGLETRANSLATE(A10374,""en"",""pt"")"),"#VALUE!")</f>
        <v>#VALUE!</v>
      </c>
      <c r="G10374" s="69"/>
    </row>
    <row r="10375" ht="22.5" customHeight="1">
      <c r="A10375" s="66"/>
      <c r="B10375" s="67" t="str">
        <f t="shared" si="16"/>
        <v>M: </v>
      </c>
      <c r="C10375" s="68"/>
      <c r="D10375" s="68">
        <v>46787.0</v>
      </c>
      <c r="E10375" s="66">
        <v>3.0</v>
      </c>
      <c r="F10375" s="66" t="str">
        <f>IFERROR(__xludf.DUMMYFUNCTION("GOOGLETRANSLATE(A10375,""en"",""pt"")"),"#VALUE!")</f>
        <v>#VALUE!</v>
      </c>
      <c r="G10375" s="69"/>
    </row>
    <row r="10376" ht="22.5" customHeight="1">
      <c r="A10376" s="66"/>
      <c r="B10376" s="67" t="str">
        <f t="shared" si="16"/>
        <v>M: </v>
      </c>
      <c r="C10376" s="68"/>
      <c r="D10376" s="68">
        <v>46787.0</v>
      </c>
      <c r="E10376" s="66">
        <v>4.0</v>
      </c>
      <c r="F10376" s="66" t="str">
        <f>IFERROR(__xludf.DUMMYFUNCTION("GOOGLETRANSLATE(A10376,""en"",""pt"")"),"#VALUE!")</f>
        <v>#VALUE!</v>
      </c>
      <c r="G10376" s="69"/>
    </row>
    <row r="10377" ht="22.5" customHeight="1">
      <c r="A10377" s="66"/>
      <c r="B10377" s="67" t="str">
        <f t="shared" si="16"/>
        <v>M: </v>
      </c>
      <c r="C10377" s="68"/>
      <c r="D10377" s="68">
        <v>46787.0</v>
      </c>
      <c r="E10377" s="66">
        <v>5.0</v>
      </c>
      <c r="F10377" s="66" t="str">
        <f>IFERROR(__xludf.DUMMYFUNCTION("GOOGLETRANSLATE(A10377,""en"",""pt"")"),"#VALUE!")</f>
        <v>#VALUE!</v>
      </c>
      <c r="G10377" s="69"/>
    </row>
    <row r="10378" ht="22.5" customHeight="1">
      <c r="A10378" s="66"/>
      <c r="B10378" s="67" t="str">
        <f t="shared" si="16"/>
        <v>M: </v>
      </c>
      <c r="C10378" s="68"/>
      <c r="D10378" s="68">
        <v>46787.0</v>
      </c>
      <c r="E10378" s="66">
        <v>6.0</v>
      </c>
      <c r="F10378" s="66" t="str">
        <f>IFERROR(__xludf.DUMMYFUNCTION("GOOGLETRANSLATE(A10378,""en"",""pt"")"),"#VALUE!")</f>
        <v>#VALUE!</v>
      </c>
      <c r="G10378" s="69"/>
    </row>
    <row r="10379" ht="22.5" customHeight="1">
      <c r="A10379" s="66"/>
      <c r="B10379" s="67" t="str">
        <f t="shared" si="16"/>
        <v>M: </v>
      </c>
      <c r="C10379" s="68"/>
      <c r="D10379" s="68">
        <v>46787.0</v>
      </c>
      <c r="E10379" s="66">
        <v>7.0</v>
      </c>
      <c r="F10379" s="66" t="str">
        <f>IFERROR(__xludf.DUMMYFUNCTION("GOOGLETRANSLATE(A10379,""en"",""pt"")"),"#VALUE!")</f>
        <v>#VALUE!</v>
      </c>
      <c r="G10379" s="69"/>
    </row>
    <row r="10380" ht="22.5" customHeight="1">
      <c r="A10380" s="66"/>
      <c r="B10380" s="67" t="str">
        <f t="shared" si="16"/>
        <v>M: </v>
      </c>
      <c r="C10380" s="68"/>
      <c r="D10380" s="68">
        <v>46787.0</v>
      </c>
      <c r="E10380" s="66">
        <v>8.0</v>
      </c>
      <c r="F10380" s="66" t="str">
        <f>IFERROR(__xludf.DUMMYFUNCTION("GOOGLETRANSLATE(A10380,""en"",""pt"")"),"#VALUE!")</f>
        <v>#VALUE!</v>
      </c>
      <c r="G10380" s="69"/>
    </row>
    <row r="10381" ht="22.5" customHeight="1">
      <c r="A10381" s="66"/>
      <c r="B10381" s="67" t="str">
        <f t="shared" si="16"/>
        <v>M: </v>
      </c>
      <c r="C10381" s="68"/>
      <c r="D10381" s="68">
        <v>46787.0</v>
      </c>
      <c r="E10381" s="66">
        <v>9.0</v>
      </c>
      <c r="F10381" s="66" t="str">
        <f>IFERROR(__xludf.DUMMYFUNCTION("GOOGLETRANSLATE(A10381,""en"",""pt"")"),"#VALUE!")</f>
        <v>#VALUE!</v>
      </c>
      <c r="G10381" s="69"/>
    </row>
    <row r="10382" ht="22.5" customHeight="1">
      <c r="A10382" s="66"/>
      <c r="B10382" s="67" t="str">
        <f t="shared" si="16"/>
        <v>M: </v>
      </c>
      <c r="C10382" s="68"/>
      <c r="D10382" s="68">
        <v>46788.0</v>
      </c>
      <c r="E10382" s="66">
        <v>10.0</v>
      </c>
      <c r="F10382" s="66" t="str">
        <f>IFERROR(__xludf.DUMMYFUNCTION("GOOGLETRANSLATE(A10382,""en"",""pt"")"),"#VALUE!")</f>
        <v>#VALUE!</v>
      </c>
      <c r="G10382" s="69"/>
    </row>
    <row r="10383" ht="22.5" customHeight="1">
      <c r="A10383" s="66"/>
      <c r="B10383" s="67" t="str">
        <f t="shared" si="16"/>
        <v>M: </v>
      </c>
      <c r="C10383" s="68"/>
      <c r="D10383" s="68">
        <v>46788.0</v>
      </c>
      <c r="E10383" s="66">
        <v>1.0</v>
      </c>
      <c r="F10383" s="66" t="str">
        <f>IFERROR(__xludf.DUMMYFUNCTION("GOOGLETRANSLATE(A10383,""en"",""pt"")"),"#VALUE!")</f>
        <v>#VALUE!</v>
      </c>
      <c r="G10383" s="69"/>
    </row>
    <row r="10384" ht="22.5" customHeight="1">
      <c r="A10384" s="66"/>
      <c r="B10384" s="67" t="str">
        <f t="shared" si="16"/>
        <v>M: </v>
      </c>
      <c r="C10384" s="68"/>
      <c r="D10384" s="68">
        <v>46788.0</v>
      </c>
      <c r="E10384" s="66">
        <v>2.0</v>
      </c>
      <c r="F10384" s="66" t="str">
        <f>IFERROR(__xludf.DUMMYFUNCTION("GOOGLETRANSLATE(A10384,""en"",""pt"")"),"#VALUE!")</f>
        <v>#VALUE!</v>
      </c>
      <c r="G10384" s="69"/>
    </row>
    <row r="10385" ht="22.5" customHeight="1">
      <c r="A10385" s="66"/>
      <c r="B10385" s="67" t="str">
        <f t="shared" si="16"/>
        <v>M: </v>
      </c>
      <c r="C10385" s="68"/>
      <c r="D10385" s="68">
        <v>46788.0</v>
      </c>
      <c r="E10385" s="66">
        <v>3.0</v>
      </c>
      <c r="F10385" s="66" t="str">
        <f>IFERROR(__xludf.DUMMYFUNCTION("GOOGLETRANSLATE(A10385,""en"",""pt"")"),"#VALUE!")</f>
        <v>#VALUE!</v>
      </c>
      <c r="G10385" s="69"/>
    </row>
    <row r="10386" ht="22.5" customHeight="1">
      <c r="A10386" s="66"/>
      <c r="B10386" s="67" t="str">
        <f t="shared" si="16"/>
        <v>M: </v>
      </c>
      <c r="C10386" s="68"/>
      <c r="D10386" s="68">
        <v>46788.0</v>
      </c>
      <c r="E10386" s="66">
        <v>4.0</v>
      </c>
      <c r="F10386" s="66" t="str">
        <f>IFERROR(__xludf.DUMMYFUNCTION("GOOGLETRANSLATE(A10386,""en"",""pt"")"),"#VALUE!")</f>
        <v>#VALUE!</v>
      </c>
      <c r="G10386" s="69"/>
    </row>
    <row r="10387" ht="22.5" customHeight="1">
      <c r="A10387" s="66"/>
      <c r="B10387" s="67" t="str">
        <f t="shared" si="16"/>
        <v>M: </v>
      </c>
      <c r="C10387" s="68"/>
      <c r="D10387" s="68">
        <v>46788.0</v>
      </c>
      <c r="E10387" s="66">
        <v>5.0</v>
      </c>
      <c r="F10387" s="66" t="str">
        <f>IFERROR(__xludf.DUMMYFUNCTION("GOOGLETRANSLATE(A10387,""en"",""pt"")"),"#VALUE!")</f>
        <v>#VALUE!</v>
      </c>
      <c r="G10387" s="69"/>
    </row>
    <row r="10388" ht="22.5" customHeight="1">
      <c r="A10388" s="66"/>
      <c r="B10388" s="67" t="str">
        <f t="shared" si="16"/>
        <v>M: </v>
      </c>
      <c r="C10388" s="68"/>
      <c r="D10388" s="68">
        <v>46788.0</v>
      </c>
      <c r="E10388" s="66">
        <v>6.0</v>
      </c>
      <c r="F10388" s="66" t="str">
        <f>IFERROR(__xludf.DUMMYFUNCTION("GOOGLETRANSLATE(A10388,""en"",""pt"")"),"#VALUE!")</f>
        <v>#VALUE!</v>
      </c>
      <c r="G10388" s="69"/>
    </row>
    <row r="10389" ht="22.5" customHeight="1">
      <c r="A10389" s="66"/>
      <c r="B10389" s="67" t="str">
        <f t="shared" si="16"/>
        <v>M: </v>
      </c>
      <c r="C10389" s="68"/>
      <c r="D10389" s="68">
        <v>46788.0</v>
      </c>
      <c r="E10389" s="66">
        <v>7.0</v>
      </c>
      <c r="F10389" s="66" t="str">
        <f>IFERROR(__xludf.DUMMYFUNCTION("GOOGLETRANSLATE(A10389,""en"",""pt"")"),"#VALUE!")</f>
        <v>#VALUE!</v>
      </c>
      <c r="G10389" s="69"/>
    </row>
    <row r="10390" ht="22.5" customHeight="1">
      <c r="A10390" s="66"/>
      <c r="B10390" s="67" t="str">
        <f t="shared" si="16"/>
        <v>M: </v>
      </c>
      <c r="C10390" s="68"/>
      <c r="D10390" s="68">
        <v>46788.0</v>
      </c>
      <c r="E10390" s="66">
        <v>8.0</v>
      </c>
      <c r="F10390" s="66" t="str">
        <f>IFERROR(__xludf.DUMMYFUNCTION("GOOGLETRANSLATE(A10390,""en"",""pt"")"),"#VALUE!")</f>
        <v>#VALUE!</v>
      </c>
      <c r="G10390" s="69"/>
    </row>
    <row r="10391" ht="22.5" customHeight="1">
      <c r="A10391" s="66"/>
      <c r="B10391" s="67" t="str">
        <f t="shared" si="16"/>
        <v>M: </v>
      </c>
      <c r="C10391" s="68"/>
      <c r="D10391" s="68">
        <v>46788.0</v>
      </c>
      <c r="E10391" s="66">
        <v>9.0</v>
      </c>
      <c r="F10391" s="66" t="str">
        <f>IFERROR(__xludf.DUMMYFUNCTION("GOOGLETRANSLATE(A10391,""en"",""pt"")"),"#VALUE!")</f>
        <v>#VALUE!</v>
      </c>
      <c r="G10391" s="69"/>
    </row>
    <row r="10392" ht="22.5" customHeight="1">
      <c r="A10392" s="66"/>
      <c r="B10392" s="67" t="str">
        <f t="shared" si="16"/>
        <v>M: </v>
      </c>
      <c r="C10392" s="68"/>
      <c r="D10392" s="68">
        <v>46789.0</v>
      </c>
      <c r="E10392" s="66">
        <v>10.0</v>
      </c>
      <c r="F10392" s="66" t="str">
        <f>IFERROR(__xludf.DUMMYFUNCTION("GOOGLETRANSLATE(A10392,""en"",""pt"")"),"#VALUE!")</f>
        <v>#VALUE!</v>
      </c>
      <c r="G10392" s="69"/>
    </row>
    <row r="10393" ht="22.5" customHeight="1">
      <c r="A10393" s="66"/>
      <c r="B10393" s="67" t="str">
        <f t="shared" si="16"/>
        <v>M: </v>
      </c>
      <c r="C10393" s="68"/>
      <c r="D10393" s="68">
        <v>46789.0</v>
      </c>
      <c r="E10393" s="66">
        <v>1.0</v>
      </c>
      <c r="F10393" s="66" t="str">
        <f>IFERROR(__xludf.DUMMYFUNCTION("GOOGLETRANSLATE(A10393,""en"",""pt"")"),"#VALUE!")</f>
        <v>#VALUE!</v>
      </c>
      <c r="G10393" s="69"/>
    </row>
    <row r="10394" ht="22.5" customHeight="1">
      <c r="A10394" s="66"/>
      <c r="B10394" s="67" t="str">
        <f t="shared" si="16"/>
        <v>M: </v>
      </c>
      <c r="C10394" s="68"/>
      <c r="D10394" s="68">
        <v>46789.0</v>
      </c>
      <c r="E10394" s="66">
        <v>2.0</v>
      </c>
      <c r="F10394" s="66" t="str">
        <f>IFERROR(__xludf.DUMMYFUNCTION("GOOGLETRANSLATE(A10394,""en"",""pt"")"),"#VALUE!")</f>
        <v>#VALUE!</v>
      </c>
      <c r="G10394" s="69"/>
    </row>
    <row r="10395" ht="22.5" customHeight="1">
      <c r="A10395" s="66"/>
      <c r="B10395" s="67" t="str">
        <f t="shared" si="16"/>
        <v>M: </v>
      </c>
      <c r="C10395" s="68"/>
      <c r="D10395" s="68">
        <v>46789.0</v>
      </c>
      <c r="E10395" s="66">
        <v>3.0</v>
      </c>
      <c r="F10395" s="66" t="str">
        <f>IFERROR(__xludf.DUMMYFUNCTION("GOOGLETRANSLATE(A10395,""en"",""pt"")"),"#VALUE!")</f>
        <v>#VALUE!</v>
      </c>
      <c r="G10395" s="69"/>
    </row>
    <row r="10396" ht="22.5" customHeight="1">
      <c r="A10396" s="66"/>
      <c r="B10396" s="67" t="str">
        <f t="shared" si="16"/>
        <v>M: </v>
      </c>
      <c r="C10396" s="68"/>
      <c r="D10396" s="68">
        <v>46789.0</v>
      </c>
      <c r="E10396" s="66">
        <v>4.0</v>
      </c>
      <c r="F10396" s="66" t="str">
        <f>IFERROR(__xludf.DUMMYFUNCTION("GOOGLETRANSLATE(A10396,""en"",""pt"")"),"#VALUE!")</f>
        <v>#VALUE!</v>
      </c>
      <c r="G10396" s="69"/>
    </row>
    <row r="10397" ht="22.5" customHeight="1">
      <c r="A10397" s="66"/>
      <c r="B10397" s="67" t="str">
        <f t="shared" si="16"/>
        <v>M: </v>
      </c>
      <c r="C10397" s="68"/>
      <c r="D10397" s="68">
        <v>46789.0</v>
      </c>
      <c r="E10397" s="66">
        <v>5.0</v>
      </c>
      <c r="F10397" s="66" t="str">
        <f>IFERROR(__xludf.DUMMYFUNCTION("GOOGLETRANSLATE(A10397,""en"",""pt"")"),"#VALUE!")</f>
        <v>#VALUE!</v>
      </c>
      <c r="G10397" s="69"/>
    </row>
    <row r="10398" ht="22.5" customHeight="1">
      <c r="A10398" s="66"/>
      <c r="B10398" s="67" t="str">
        <f t="shared" si="16"/>
        <v>M: </v>
      </c>
      <c r="C10398" s="68"/>
      <c r="D10398" s="68">
        <v>46789.0</v>
      </c>
      <c r="E10398" s="66">
        <v>6.0</v>
      </c>
      <c r="F10398" s="66" t="str">
        <f>IFERROR(__xludf.DUMMYFUNCTION("GOOGLETRANSLATE(A10398,""en"",""pt"")"),"#VALUE!")</f>
        <v>#VALUE!</v>
      </c>
      <c r="G10398" s="69"/>
    </row>
    <row r="10399" ht="22.5" customHeight="1">
      <c r="A10399" s="66"/>
      <c r="B10399" s="67" t="str">
        <f t="shared" si="16"/>
        <v>M: </v>
      </c>
      <c r="C10399" s="68"/>
      <c r="D10399" s="68">
        <v>46789.0</v>
      </c>
      <c r="E10399" s="66">
        <v>7.0</v>
      </c>
      <c r="F10399" s="66" t="str">
        <f>IFERROR(__xludf.DUMMYFUNCTION("GOOGLETRANSLATE(A10399,""en"",""pt"")"),"#VALUE!")</f>
        <v>#VALUE!</v>
      </c>
      <c r="G10399" s="69"/>
    </row>
    <row r="10400" ht="22.5" customHeight="1">
      <c r="A10400" s="66"/>
      <c r="B10400" s="67" t="str">
        <f t="shared" si="16"/>
        <v>M: </v>
      </c>
      <c r="C10400" s="68"/>
      <c r="D10400" s="68">
        <v>46789.0</v>
      </c>
      <c r="E10400" s="66">
        <v>8.0</v>
      </c>
      <c r="F10400" s="66" t="str">
        <f>IFERROR(__xludf.DUMMYFUNCTION("GOOGLETRANSLATE(A10400,""en"",""pt"")"),"#VALUE!")</f>
        <v>#VALUE!</v>
      </c>
      <c r="G10400" s="69"/>
    </row>
    <row r="10401" ht="22.5" customHeight="1">
      <c r="A10401" s="66"/>
      <c r="B10401" s="67" t="str">
        <f t="shared" si="16"/>
        <v>M: </v>
      </c>
      <c r="C10401" s="68"/>
      <c r="D10401" s="68">
        <v>46789.0</v>
      </c>
      <c r="E10401" s="66">
        <v>9.0</v>
      </c>
      <c r="F10401" s="66" t="str">
        <f>IFERROR(__xludf.DUMMYFUNCTION("GOOGLETRANSLATE(A10401,""en"",""pt"")"),"#VALUE!")</f>
        <v>#VALUE!</v>
      </c>
      <c r="G10401" s="69"/>
    </row>
    <row r="10402" ht="22.5" customHeight="1">
      <c r="A10402" s="66"/>
      <c r="B10402" s="67" t="str">
        <f t="shared" si="16"/>
        <v>M: </v>
      </c>
      <c r="C10402" s="68"/>
      <c r="D10402" s="68">
        <v>46790.0</v>
      </c>
      <c r="E10402" s="66">
        <v>10.0</v>
      </c>
      <c r="F10402" s="66" t="str">
        <f>IFERROR(__xludf.DUMMYFUNCTION("GOOGLETRANSLATE(A10402,""en"",""pt"")"),"#VALUE!")</f>
        <v>#VALUE!</v>
      </c>
      <c r="G10402" s="69"/>
    </row>
    <row r="10403" ht="22.5" customHeight="1">
      <c r="A10403" s="66"/>
      <c r="B10403" s="67" t="str">
        <f t="shared" si="16"/>
        <v>M: </v>
      </c>
      <c r="C10403" s="68"/>
      <c r="D10403" s="68">
        <v>46790.0</v>
      </c>
      <c r="E10403" s="66">
        <v>1.0</v>
      </c>
      <c r="F10403" s="66" t="str">
        <f>IFERROR(__xludf.DUMMYFUNCTION("GOOGLETRANSLATE(A10403,""en"",""pt"")"),"#VALUE!")</f>
        <v>#VALUE!</v>
      </c>
      <c r="G10403" s="69"/>
    </row>
    <row r="10404" ht="22.5" customHeight="1">
      <c r="A10404" s="66"/>
      <c r="B10404" s="67" t="str">
        <f t="shared" si="16"/>
        <v>M: </v>
      </c>
      <c r="C10404" s="68"/>
      <c r="D10404" s="68">
        <v>46790.0</v>
      </c>
      <c r="E10404" s="66">
        <v>2.0</v>
      </c>
      <c r="F10404" s="66" t="str">
        <f>IFERROR(__xludf.DUMMYFUNCTION("GOOGLETRANSLATE(A10404,""en"",""pt"")"),"#VALUE!")</f>
        <v>#VALUE!</v>
      </c>
      <c r="G10404" s="69"/>
    </row>
    <row r="10405" ht="22.5" customHeight="1">
      <c r="A10405" s="66"/>
      <c r="B10405" s="67" t="str">
        <f t="shared" si="16"/>
        <v>M: </v>
      </c>
      <c r="C10405" s="68"/>
      <c r="D10405" s="68">
        <v>46790.0</v>
      </c>
      <c r="E10405" s="66">
        <v>3.0</v>
      </c>
      <c r="F10405" s="66" t="str">
        <f>IFERROR(__xludf.DUMMYFUNCTION("GOOGLETRANSLATE(A10405,""en"",""pt"")"),"#VALUE!")</f>
        <v>#VALUE!</v>
      </c>
      <c r="G10405" s="69"/>
    </row>
    <row r="10406" ht="22.5" customHeight="1">
      <c r="A10406" s="66"/>
      <c r="B10406" s="67" t="str">
        <f t="shared" si="16"/>
        <v>M: </v>
      </c>
      <c r="C10406" s="68"/>
      <c r="D10406" s="68">
        <v>46790.0</v>
      </c>
      <c r="E10406" s="66">
        <v>4.0</v>
      </c>
      <c r="F10406" s="66" t="str">
        <f>IFERROR(__xludf.DUMMYFUNCTION("GOOGLETRANSLATE(A10406,""en"",""pt"")"),"#VALUE!")</f>
        <v>#VALUE!</v>
      </c>
      <c r="G10406" s="69"/>
    </row>
    <row r="10407" ht="22.5" customHeight="1">
      <c r="A10407" s="66"/>
      <c r="B10407" s="67" t="str">
        <f t="shared" si="16"/>
        <v>M: </v>
      </c>
      <c r="C10407" s="68"/>
      <c r="D10407" s="68">
        <v>46790.0</v>
      </c>
      <c r="E10407" s="66">
        <v>5.0</v>
      </c>
      <c r="F10407" s="66" t="str">
        <f>IFERROR(__xludf.DUMMYFUNCTION("GOOGLETRANSLATE(A10407,""en"",""pt"")"),"#VALUE!")</f>
        <v>#VALUE!</v>
      </c>
      <c r="G10407" s="69"/>
    </row>
    <row r="10408" ht="22.5" customHeight="1">
      <c r="A10408" s="66"/>
      <c r="B10408" s="67" t="str">
        <f t="shared" si="16"/>
        <v>M: </v>
      </c>
      <c r="C10408" s="68"/>
      <c r="D10408" s="68">
        <v>46790.0</v>
      </c>
      <c r="E10408" s="66">
        <v>6.0</v>
      </c>
      <c r="F10408" s="66" t="str">
        <f>IFERROR(__xludf.DUMMYFUNCTION("GOOGLETRANSLATE(A10408,""en"",""pt"")"),"#VALUE!")</f>
        <v>#VALUE!</v>
      </c>
      <c r="G10408" s="69"/>
    </row>
    <row r="10409" ht="22.5" customHeight="1">
      <c r="A10409" s="66"/>
      <c r="B10409" s="67" t="str">
        <f t="shared" si="16"/>
        <v>M: </v>
      </c>
      <c r="C10409" s="68"/>
      <c r="D10409" s="68">
        <v>46790.0</v>
      </c>
      <c r="E10409" s="66">
        <v>7.0</v>
      </c>
      <c r="F10409" s="66" t="str">
        <f>IFERROR(__xludf.DUMMYFUNCTION("GOOGLETRANSLATE(A10409,""en"",""pt"")"),"#VALUE!")</f>
        <v>#VALUE!</v>
      </c>
      <c r="G10409" s="69"/>
    </row>
    <row r="10410" ht="22.5" customHeight="1">
      <c r="A10410" s="66"/>
      <c r="B10410" s="67" t="str">
        <f t="shared" si="16"/>
        <v>M: </v>
      </c>
      <c r="C10410" s="68"/>
      <c r="D10410" s="68">
        <v>46790.0</v>
      </c>
      <c r="E10410" s="66">
        <v>8.0</v>
      </c>
      <c r="F10410" s="66" t="str">
        <f>IFERROR(__xludf.DUMMYFUNCTION("GOOGLETRANSLATE(A10410,""en"",""pt"")"),"#VALUE!")</f>
        <v>#VALUE!</v>
      </c>
      <c r="G10410" s="69"/>
    </row>
    <row r="10411" ht="22.5" customHeight="1">
      <c r="A10411" s="66"/>
      <c r="B10411" s="67" t="str">
        <f t="shared" si="16"/>
        <v>M: </v>
      </c>
      <c r="C10411" s="68"/>
      <c r="D10411" s="68">
        <v>46790.0</v>
      </c>
      <c r="E10411" s="66">
        <v>9.0</v>
      </c>
      <c r="F10411" s="66" t="str">
        <f>IFERROR(__xludf.DUMMYFUNCTION("GOOGLETRANSLATE(A10411,""en"",""pt"")"),"#VALUE!")</f>
        <v>#VALUE!</v>
      </c>
      <c r="G10411" s="69"/>
    </row>
    <row r="10412" ht="22.5" customHeight="1">
      <c r="A10412" s="66"/>
      <c r="B10412" s="67" t="str">
        <f t="shared" si="16"/>
        <v>M: </v>
      </c>
      <c r="C10412" s="68"/>
      <c r="D10412" s="68">
        <v>46791.0</v>
      </c>
      <c r="E10412" s="66">
        <v>10.0</v>
      </c>
      <c r="F10412" s="66" t="str">
        <f>IFERROR(__xludf.DUMMYFUNCTION("GOOGLETRANSLATE(A10412,""en"",""pt"")"),"#VALUE!")</f>
        <v>#VALUE!</v>
      </c>
      <c r="G10412" s="69"/>
    </row>
    <row r="10413" ht="22.5" customHeight="1">
      <c r="A10413" s="66"/>
      <c r="B10413" s="67" t="str">
        <f t="shared" si="16"/>
        <v>M: </v>
      </c>
      <c r="C10413" s="68"/>
      <c r="D10413" s="68">
        <v>46791.0</v>
      </c>
      <c r="E10413" s="66">
        <v>1.0</v>
      </c>
      <c r="F10413" s="66" t="str">
        <f>IFERROR(__xludf.DUMMYFUNCTION("GOOGLETRANSLATE(A10413,""en"",""pt"")"),"#VALUE!")</f>
        <v>#VALUE!</v>
      </c>
      <c r="G10413" s="69"/>
    </row>
    <row r="10414" ht="22.5" customHeight="1">
      <c r="A10414" s="66"/>
      <c r="B10414" s="67" t="str">
        <f t="shared" si="16"/>
        <v>M: </v>
      </c>
      <c r="C10414" s="68"/>
      <c r="D10414" s="68">
        <v>46791.0</v>
      </c>
      <c r="E10414" s="66">
        <v>2.0</v>
      </c>
      <c r="F10414" s="66" t="str">
        <f>IFERROR(__xludf.DUMMYFUNCTION("GOOGLETRANSLATE(A10414,""en"",""pt"")"),"#VALUE!")</f>
        <v>#VALUE!</v>
      </c>
      <c r="G10414" s="69"/>
    </row>
    <row r="10415" ht="22.5" customHeight="1">
      <c r="A10415" s="66"/>
      <c r="B10415" s="67" t="str">
        <f t="shared" si="16"/>
        <v>M: </v>
      </c>
      <c r="C10415" s="68"/>
      <c r="D10415" s="68">
        <v>46791.0</v>
      </c>
      <c r="E10415" s="66">
        <v>3.0</v>
      </c>
      <c r="F10415" s="66" t="str">
        <f>IFERROR(__xludf.DUMMYFUNCTION("GOOGLETRANSLATE(A10415,""en"",""pt"")"),"#VALUE!")</f>
        <v>#VALUE!</v>
      </c>
      <c r="G10415" s="69"/>
    </row>
    <row r="10416" ht="22.5" customHeight="1">
      <c r="A10416" s="66"/>
      <c r="B10416" s="67" t="str">
        <f t="shared" si="16"/>
        <v>M: </v>
      </c>
      <c r="C10416" s="68"/>
      <c r="D10416" s="68">
        <v>46791.0</v>
      </c>
      <c r="E10416" s="66">
        <v>4.0</v>
      </c>
      <c r="F10416" s="66" t="str">
        <f>IFERROR(__xludf.DUMMYFUNCTION("GOOGLETRANSLATE(A10416,""en"",""pt"")"),"#VALUE!")</f>
        <v>#VALUE!</v>
      </c>
      <c r="G10416" s="69"/>
    </row>
    <row r="10417" ht="22.5" customHeight="1">
      <c r="A10417" s="66"/>
      <c r="B10417" s="67" t="str">
        <f t="shared" si="16"/>
        <v>M: </v>
      </c>
      <c r="C10417" s="68"/>
      <c r="D10417" s="68">
        <v>46791.0</v>
      </c>
      <c r="E10417" s="66">
        <v>5.0</v>
      </c>
      <c r="F10417" s="66" t="str">
        <f>IFERROR(__xludf.DUMMYFUNCTION("GOOGLETRANSLATE(A10417,""en"",""pt"")"),"#VALUE!")</f>
        <v>#VALUE!</v>
      </c>
      <c r="G10417" s="69"/>
    </row>
    <row r="10418" ht="22.5" customHeight="1">
      <c r="A10418" s="66"/>
      <c r="B10418" s="67" t="str">
        <f t="shared" si="16"/>
        <v>M: </v>
      </c>
      <c r="C10418" s="68"/>
      <c r="D10418" s="68">
        <v>46791.0</v>
      </c>
      <c r="E10418" s="66">
        <v>6.0</v>
      </c>
      <c r="F10418" s="66" t="str">
        <f>IFERROR(__xludf.DUMMYFUNCTION("GOOGLETRANSLATE(A10418,""en"",""pt"")"),"#VALUE!")</f>
        <v>#VALUE!</v>
      </c>
      <c r="G10418" s="69"/>
    </row>
    <row r="10419" ht="22.5" customHeight="1">
      <c r="A10419" s="66"/>
      <c r="B10419" s="67" t="str">
        <f t="shared" si="16"/>
        <v>M: </v>
      </c>
      <c r="C10419" s="68"/>
      <c r="D10419" s="68">
        <v>46791.0</v>
      </c>
      <c r="E10419" s="66">
        <v>7.0</v>
      </c>
      <c r="F10419" s="66" t="str">
        <f>IFERROR(__xludf.DUMMYFUNCTION("GOOGLETRANSLATE(A10419,""en"",""pt"")"),"#VALUE!")</f>
        <v>#VALUE!</v>
      </c>
      <c r="G10419" s="69"/>
    </row>
    <row r="10420" ht="22.5" customHeight="1">
      <c r="A10420" s="66"/>
      <c r="B10420" s="67" t="str">
        <f t="shared" si="16"/>
        <v>M: </v>
      </c>
      <c r="C10420" s="68"/>
      <c r="D10420" s="68">
        <v>46791.0</v>
      </c>
      <c r="E10420" s="66">
        <v>8.0</v>
      </c>
      <c r="F10420" s="66" t="str">
        <f>IFERROR(__xludf.DUMMYFUNCTION("GOOGLETRANSLATE(A10420,""en"",""pt"")"),"#VALUE!")</f>
        <v>#VALUE!</v>
      </c>
      <c r="G10420" s="69"/>
    </row>
    <row r="10421" ht="22.5" customHeight="1">
      <c r="A10421" s="66"/>
      <c r="B10421" s="67" t="str">
        <f t="shared" si="16"/>
        <v>M: </v>
      </c>
      <c r="C10421" s="68"/>
      <c r="D10421" s="68">
        <v>46791.0</v>
      </c>
      <c r="E10421" s="66">
        <v>9.0</v>
      </c>
      <c r="F10421" s="66" t="str">
        <f>IFERROR(__xludf.DUMMYFUNCTION("GOOGLETRANSLATE(A10421,""en"",""pt"")"),"#VALUE!")</f>
        <v>#VALUE!</v>
      </c>
      <c r="G10421" s="69"/>
    </row>
    <row r="10422" ht="22.5" customHeight="1">
      <c r="A10422" s="66"/>
      <c r="B10422" s="67" t="str">
        <f t="shared" si="16"/>
        <v>M: </v>
      </c>
      <c r="C10422" s="68"/>
      <c r="D10422" s="68">
        <v>46792.0</v>
      </c>
      <c r="E10422" s="66">
        <v>10.0</v>
      </c>
      <c r="F10422" s="66" t="str">
        <f>IFERROR(__xludf.DUMMYFUNCTION("GOOGLETRANSLATE(A10422,""en"",""pt"")"),"#VALUE!")</f>
        <v>#VALUE!</v>
      </c>
      <c r="G10422" s="69"/>
    </row>
    <row r="10423" ht="22.5" customHeight="1">
      <c r="A10423" s="66"/>
      <c r="B10423" s="67" t="str">
        <f t="shared" si="16"/>
        <v>M: </v>
      </c>
      <c r="C10423" s="68"/>
      <c r="D10423" s="68">
        <v>46792.0</v>
      </c>
      <c r="E10423" s="66">
        <v>1.0</v>
      </c>
      <c r="F10423" s="66" t="str">
        <f>IFERROR(__xludf.DUMMYFUNCTION("GOOGLETRANSLATE(A10423,""en"",""pt"")"),"#VALUE!")</f>
        <v>#VALUE!</v>
      </c>
      <c r="G10423" s="69"/>
    </row>
    <row r="10424" ht="22.5" customHeight="1">
      <c r="A10424" s="66"/>
      <c r="B10424" s="67" t="str">
        <f t="shared" si="16"/>
        <v>M: </v>
      </c>
      <c r="C10424" s="68"/>
      <c r="D10424" s="68">
        <v>46792.0</v>
      </c>
      <c r="E10424" s="66">
        <v>2.0</v>
      </c>
      <c r="F10424" s="66" t="str">
        <f>IFERROR(__xludf.DUMMYFUNCTION("GOOGLETRANSLATE(A10424,""en"",""pt"")"),"#VALUE!")</f>
        <v>#VALUE!</v>
      </c>
      <c r="G10424" s="69"/>
    </row>
    <row r="10425" ht="22.5" customHeight="1">
      <c r="A10425" s="66"/>
      <c r="B10425" s="67" t="str">
        <f t="shared" si="16"/>
        <v>M: </v>
      </c>
      <c r="C10425" s="68"/>
      <c r="D10425" s="68">
        <v>46792.0</v>
      </c>
      <c r="E10425" s="66">
        <v>3.0</v>
      </c>
      <c r="F10425" s="66" t="str">
        <f>IFERROR(__xludf.DUMMYFUNCTION("GOOGLETRANSLATE(A10425,""en"",""pt"")"),"#VALUE!")</f>
        <v>#VALUE!</v>
      </c>
      <c r="G10425" s="69"/>
    </row>
    <row r="10426" ht="22.5" customHeight="1">
      <c r="A10426" s="66"/>
      <c r="B10426" s="67" t="str">
        <f t="shared" si="16"/>
        <v>M: </v>
      </c>
      <c r="C10426" s="68"/>
      <c r="D10426" s="68">
        <v>46792.0</v>
      </c>
      <c r="E10426" s="66">
        <v>4.0</v>
      </c>
      <c r="F10426" s="66" t="str">
        <f>IFERROR(__xludf.DUMMYFUNCTION("GOOGLETRANSLATE(A10426,""en"",""pt"")"),"#VALUE!")</f>
        <v>#VALUE!</v>
      </c>
      <c r="G10426" s="69"/>
    </row>
    <row r="10427" ht="22.5" customHeight="1">
      <c r="A10427" s="66"/>
      <c r="B10427" s="67" t="str">
        <f t="shared" si="16"/>
        <v>M: </v>
      </c>
      <c r="C10427" s="68"/>
      <c r="D10427" s="68">
        <v>46792.0</v>
      </c>
      <c r="E10427" s="66">
        <v>5.0</v>
      </c>
      <c r="F10427" s="66" t="str">
        <f>IFERROR(__xludf.DUMMYFUNCTION("GOOGLETRANSLATE(A10427,""en"",""pt"")"),"#VALUE!")</f>
        <v>#VALUE!</v>
      </c>
      <c r="G10427" s="69"/>
    </row>
    <row r="10428" ht="22.5" customHeight="1">
      <c r="A10428" s="66"/>
      <c r="B10428" s="67" t="str">
        <f t="shared" si="16"/>
        <v>M: </v>
      </c>
      <c r="C10428" s="68"/>
      <c r="D10428" s="68">
        <v>46792.0</v>
      </c>
      <c r="E10428" s="66">
        <v>6.0</v>
      </c>
      <c r="F10428" s="66" t="str">
        <f>IFERROR(__xludf.DUMMYFUNCTION("GOOGLETRANSLATE(A10428,""en"",""pt"")"),"#VALUE!")</f>
        <v>#VALUE!</v>
      </c>
      <c r="G10428" s="69"/>
    </row>
    <row r="10429" ht="22.5" customHeight="1">
      <c r="A10429" s="66"/>
      <c r="B10429" s="67" t="str">
        <f t="shared" si="16"/>
        <v>M: </v>
      </c>
      <c r="C10429" s="68"/>
      <c r="D10429" s="68">
        <v>46792.0</v>
      </c>
      <c r="E10429" s="66">
        <v>7.0</v>
      </c>
      <c r="F10429" s="66" t="str">
        <f>IFERROR(__xludf.DUMMYFUNCTION("GOOGLETRANSLATE(A10429,""en"",""pt"")"),"#VALUE!")</f>
        <v>#VALUE!</v>
      </c>
      <c r="G10429" s="69"/>
    </row>
    <row r="10430" ht="22.5" customHeight="1">
      <c r="A10430" s="66"/>
      <c r="B10430" s="67" t="str">
        <f t="shared" si="16"/>
        <v>M: </v>
      </c>
      <c r="C10430" s="68"/>
      <c r="D10430" s="68">
        <v>46792.0</v>
      </c>
      <c r="E10430" s="66">
        <v>8.0</v>
      </c>
      <c r="F10430" s="66" t="str">
        <f>IFERROR(__xludf.DUMMYFUNCTION("GOOGLETRANSLATE(A10430,""en"",""pt"")"),"#VALUE!")</f>
        <v>#VALUE!</v>
      </c>
      <c r="G10430" s="69"/>
    </row>
    <row r="10431" ht="22.5" customHeight="1">
      <c r="A10431" s="66"/>
      <c r="B10431" s="67" t="str">
        <f t="shared" si="16"/>
        <v>M: </v>
      </c>
      <c r="C10431" s="68"/>
      <c r="D10431" s="68">
        <v>46792.0</v>
      </c>
      <c r="E10431" s="66">
        <v>9.0</v>
      </c>
      <c r="F10431" s="66" t="str">
        <f>IFERROR(__xludf.DUMMYFUNCTION("GOOGLETRANSLATE(A10431,""en"",""pt"")"),"#VALUE!")</f>
        <v>#VALUE!</v>
      </c>
      <c r="G10431" s="69"/>
    </row>
    <row r="10432" ht="22.5" customHeight="1">
      <c r="A10432" s="66"/>
      <c r="B10432" s="67" t="str">
        <f t="shared" si="16"/>
        <v>M: </v>
      </c>
      <c r="C10432" s="68"/>
      <c r="D10432" s="68">
        <v>46793.0</v>
      </c>
      <c r="E10432" s="66">
        <v>10.0</v>
      </c>
      <c r="F10432" s="66" t="str">
        <f>IFERROR(__xludf.DUMMYFUNCTION("GOOGLETRANSLATE(A10432,""en"",""pt"")"),"#VALUE!")</f>
        <v>#VALUE!</v>
      </c>
      <c r="G10432" s="69"/>
    </row>
    <row r="10433" ht="22.5" customHeight="1">
      <c r="A10433" s="66"/>
      <c r="B10433" s="67" t="str">
        <f t="shared" si="16"/>
        <v>M: </v>
      </c>
      <c r="C10433" s="68"/>
      <c r="D10433" s="68">
        <v>46793.0</v>
      </c>
      <c r="E10433" s="66">
        <v>1.0</v>
      </c>
      <c r="F10433" s="66" t="str">
        <f>IFERROR(__xludf.DUMMYFUNCTION("GOOGLETRANSLATE(A10433,""en"",""pt"")"),"#VALUE!")</f>
        <v>#VALUE!</v>
      </c>
      <c r="G10433" s="69"/>
    </row>
    <row r="10434" ht="22.5" customHeight="1">
      <c r="A10434" s="66"/>
      <c r="B10434" s="67" t="str">
        <f t="shared" si="16"/>
        <v>M: </v>
      </c>
      <c r="C10434" s="68"/>
      <c r="D10434" s="68">
        <v>46793.0</v>
      </c>
      <c r="E10434" s="66">
        <v>2.0</v>
      </c>
      <c r="F10434" s="66" t="str">
        <f>IFERROR(__xludf.DUMMYFUNCTION("GOOGLETRANSLATE(A10434,""en"",""pt"")"),"#VALUE!")</f>
        <v>#VALUE!</v>
      </c>
      <c r="G10434" s="69"/>
    </row>
    <row r="10435" ht="22.5" customHeight="1">
      <c r="A10435" s="66"/>
      <c r="B10435" s="67" t="str">
        <f t="shared" si="16"/>
        <v>M: </v>
      </c>
      <c r="C10435" s="68"/>
      <c r="D10435" s="68">
        <v>46793.0</v>
      </c>
      <c r="E10435" s="66">
        <v>3.0</v>
      </c>
      <c r="F10435" s="66" t="str">
        <f>IFERROR(__xludf.DUMMYFUNCTION("GOOGLETRANSLATE(A10435,""en"",""pt"")"),"#VALUE!")</f>
        <v>#VALUE!</v>
      </c>
      <c r="G10435" s="69"/>
    </row>
    <row r="10436" ht="22.5" customHeight="1">
      <c r="A10436" s="66"/>
      <c r="B10436" s="67" t="str">
        <f t="shared" si="16"/>
        <v>M: </v>
      </c>
      <c r="C10436" s="68"/>
      <c r="D10436" s="68">
        <v>46793.0</v>
      </c>
      <c r="E10436" s="66">
        <v>4.0</v>
      </c>
      <c r="F10436" s="66" t="str">
        <f>IFERROR(__xludf.DUMMYFUNCTION("GOOGLETRANSLATE(A10436,""en"",""pt"")"),"#VALUE!")</f>
        <v>#VALUE!</v>
      </c>
      <c r="G10436" s="69"/>
    </row>
    <row r="10437" ht="22.5" customHeight="1">
      <c r="A10437" s="66"/>
      <c r="B10437" s="67" t="str">
        <f t="shared" si="16"/>
        <v>M: </v>
      </c>
      <c r="C10437" s="68"/>
      <c r="D10437" s="68">
        <v>46793.0</v>
      </c>
      <c r="E10437" s="66">
        <v>5.0</v>
      </c>
      <c r="F10437" s="66" t="str">
        <f>IFERROR(__xludf.DUMMYFUNCTION("GOOGLETRANSLATE(A10437,""en"",""pt"")"),"#VALUE!")</f>
        <v>#VALUE!</v>
      </c>
      <c r="G10437" s="69"/>
    </row>
    <row r="10438" ht="22.5" customHeight="1">
      <c r="A10438" s="66"/>
      <c r="B10438" s="67" t="str">
        <f t="shared" si="16"/>
        <v>M: </v>
      </c>
      <c r="C10438" s="68"/>
      <c r="D10438" s="68">
        <v>46793.0</v>
      </c>
      <c r="E10438" s="66">
        <v>6.0</v>
      </c>
      <c r="F10438" s="66" t="str">
        <f>IFERROR(__xludf.DUMMYFUNCTION("GOOGLETRANSLATE(A10438,""en"",""pt"")"),"#VALUE!")</f>
        <v>#VALUE!</v>
      </c>
      <c r="G10438" s="69"/>
    </row>
    <row r="10439" ht="22.5" customHeight="1">
      <c r="A10439" s="66"/>
      <c r="B10439" s="67" t="str">
        <f t="shared" si="16"/>
        <v>M: </v>
      </c>
      <c r="C10439" s="68"/>
      <c r="D10439" s="68">
        <v>46793.0</v>
      </c>
      <c r="E10439" s="66">
        <v>7.0</v>
      </c>
      <c r="F10439" s="66" t="str">
        <f>IFERROR(__xludf.DUMMYFUNCTION("GOOGLETRANSLATE(A10439,""en"",""pt"")"),"#VALUE!")</f>
        <v>#VALUE!</v>
      </c>
      <c r="G10439" s="69"/>
    </row>
    <row r="10440" ht="22.5" customHeight="1">
      <c r="A10440" s="66"/>
      <c r="B10440" s="67" t="str">
        <f t="shared" si="16"/>
        <v>M: </v>
      </c>
      <c r="C10440" s="68"/>
      <c r="D10440" s="68">
        <v>46793.0</v>
      </c>
      <c r="E10440" s="66">
        <v>8.0</v>
      </c>
      <c r="F10440" s="66" t="str">
        <f>IFERROR(__xludf.DUMMYFUNCTION("GOOGLETRANSLATE(A10440,""en"",""pt"")"),"#VALUE!")</f>
        <v>#VALUE!</v>
      </c>
      <c r="G10440" s="69"/>
    </row>
    <row r="10441" ht="22.5" customHeight="1">
      <c r="A10441" s="66"/>
      <c r="B10441" s="67" t="str">
        <f t="shared" si="16"/>
        <v>M: </v>
      </c>
      <c r="C10441" s="68"/>
      <c r="D10441" s="68">
        <v>46793.0</v>
      </c>
      <c r="E10441" s="66">
        <v>9.0</v>
      </c>
      <c r="F10441" s="66" t="str">
        <f>IFERROR(__xludf.DUMMYFUNCTION("GOOGLETRANSLATE(A10441,""en"",""pt"")"),"#VALUE!")</f>
        <v>#VALUE!</v>
      </c>
      <c r="G10441" s="69"/>
    </row>
    <row r="10442" ht="22.5" customHeight="1">
      <c r="A10442" s="66"/>
      <c r="B10442" s="67" t="str">
        <f t="shared" si="16"/>
        <v>M: </v>
      </c>
      <c r="C10442" s="68"/>
      <c r="D10442" s="68">
        <v>46794.0</v>
      </c>
      <c r="E10442" s="66">
        <v>10.0</v>
      </c>
      <c r="F10442" s="66" t="str">
        <f>IFERROR(__xludf.DUMMYFUNCTION("GOOGLETRANSLATE(A10442,""en"",""pt"")"),"#VALUE!")</f>
        <v>#VALUE!</v>
      </c>
      <c r="G10442" s="69"/>
    </row>
    <row r="10443" ht="22.5" customHeight="1">
      <c r="A10443" s="66"/>
      <c r="B10443" s="67" t="str">
        <f t="shared" si="16"/>
        <v>M: </v>
      </c>
      <c r="C10443" s="68"/>
      <c r="D10443" s="68">
        <v>46794.0</v>
      </c>
      <c r="E10443" s="66">
        <v>1.0</v>
      </c>
      <c r="F10443" s="66" t="str">
        <f>IFERROR(__xludf.DUMMYFUNCTION("GOOGLETRANSLATE(A10443,""en"",""pt"")"),"#VALUE!")</f>
        <v>#VALUE!</v>
      </c>
      <c r="G10443" s="69"/>
    </row>
    <row r="10444" ht="22.5" customHeight="1">
      <c r="A10444" s="66"/>
      <c r="B10444" s="67" t="str">
        <f t="shared" si="16"/>
        <v>M: </v>
      </c>
      <c r="C10444" s="68"/>
      <c r="D10444" s="68">
        <v>46794.0</v>
      </c>
      <c r="E10444" s="66">
        <v>2.0</v>
      </c>
      <c r="F10444" s="66" t="str">
        <f>IFERROR(__xludf.DUMMYFUNCTION("GOOGLETRANSLATE(A10444,""en"",""pt"")"),"#VALUE!")</f>
        <v>#VALUE!</v>
      </c>
      <c r="G10444" s="69"/>
    </row>
    <row r="10445" ht="22.5" customHeight="1">
      <c r="A10445" s="66"/>
      <c r="B10445" s="67" t="str">
        <f t="shared" si="16"/>
        <v>M: </v>
      </c>
      <c r="C10445" s="68"/>
      <c r="D10445" s="68">
        <v>46794.0</v>
      </c>
      <c r="E10445" s="66">
        <v>3.0</v>
      </c>
      <c r="F10445" s="66" t="str">
        <f>IFERROR(__xludf.DUMMYFUNCTION("GOOGLETRANSLATE(A10445,""en"",""pt"")"),"#VALUE!")</f>
        <v>#VALUE!</v>
      </c>
      <c r="G10445" s="69"/>
    </row>
    <row r="10446" ht="22.5" customHeight="1">
      <c r="A10446" s="66"/>
      <c r="B10446" s="67" t="str">
        <f t="shared" si="16"/>
        <v>M: </v>
      </c>
      <c r="C10446" s="68"/>
      <c r="D10446" s="68">
        <v>46794.0</v>
      </c>
      <c r="E10446" s="66">
        <v>4.0</v>
      </c>
      <c r="F10446" s="66" t="str">
        <f>IFERROR(__xludf.DUMMYFUNCTION("GOOGLETRANSLATE(A10446,""en"",""pt"")"),"#VALUE!")</f>
        <v>#VALUE!</v>
      </c>
      <c r="G10446" s="69"/>
    </row>
    <row r="10447" ht="22.5" customHeight="1">
      <c r="A10447" s="66"/>
      <c r="B10447" s="67" t="str">
        <f t="shared" si="16"/>
        <v>M: </v>
      </c>
      <c r="C10447" s="68"/>
      <c r="D10447" s="68">
        <v>46794.0</v>
      </c>
      <c r="E10447" s="66">
        <v>5.0</v>
      </c>
      <c r="F10447" s="66" t="str">
        <f>IFERROR(__xludf.DUMMYFUNCTION("GOOGLETRANSLATE(A10447,""en"",""pt"")"),"#VALUE!")</f>
        <v>#VALUE!</v>
      </c>
      <c r="G10447" s="69"/>
    </row>
    <row r="10448" ht="22.5" customHeight="1">
      <c r="A10448" s="66"/>
      <c r="B10448" s="67" t="str">
        <f t="shared" si="16"/>
        <v>M: </v>
      </c>
      <c r="C10448" s="68"/>
      <c r="D10448" s="68">
        <v>46794.0</v>
      </c>
      <c r="E10448" s="66">
        <v>6.0</v>
      </c>
      <c r="F10448" s="66" t="str">
        <f>IFERROR(__xludf.DUMMYFUNCTION("GOOGLETRANSLATE(A10448,""en"",""pt"")"),"#VALUE!")</f>
        <v>#VALUE!</v>
      </c>
      <c r="G10448" s="69"/>
    </row>
    <row r="10449" ht="22.5" customHeight="1">
      <c r="A10449" s="66"/>
      <c r="B10449" s="67" t="str">
        <f t="shared" si="16"/>
        <v>M: </v>
      </c>
      <c r="C10449" s="68"/>
      <c r="D10449" s="68">
        <v>46794.0</v>
      </c>
      <c r="E10449" s="66">
        <v>7.0</v>
      </c>
      <c r="F10449" s="66" t="str">
        <f>IFERROR(__xludf.DUMMYFUNCTION("GOOGLETRANSLATE(A10449,""en"",""pt"")"),"#VALUE!")</f>
        <v>#VALUE!</v>
      </c>
      <c r="G10449" s="69"/>
    </row>
    <row r="10450" ht="22.5" customHeight="1">
      <c r="A10450" s="66"/>
      <c r="B10450" s="67" t="str">
        <f t="shared" si="16"/>
        <v>M: </v>
      </c>
      <c r="C10450" s="68"/>
      <c r="D10450" s="68">
        <v>46794.0</v>
      </c>
      <c r="E10450" s="66">
        <v>8.0</v>
      </c>
      <c r="F10450" s="66" t="str">
        <f>IFERROR(__xludf.DUMMYFUNCTION("GOOGLETRANSLATE(A10450,""en"",""pt"")"),"#VALUE!")</f>
        <v>#VALUE!</v>
      </c>
      <c r="G10450" s="69"/>
    </row>
    <row r="10451" ht="22.5" customHeight="1">
      <c r="A10451" s="66"/>
      <c r="B10451" s="67" t="str">
        <f t="shared" si="16"/>
        <v>M: </v>
      </c>
      <c r="C10451" s="68"/>
      <c r="D10451" s="68">
        <v>46794.0</v>
      </c>
      <c r="E10451" s="66">
        <v>9.0</v>
      </c>
      <c r="F10451" s="66" t="str">
        <f>IFERROR(__xludf.DUMMYFUNCTION("GOOGLETRANSLATE(A10451,""en"",""pt"")"),"#VALUE!")</f>
        <v>#VALUE!</v>
      </c>
      <c r="G10451" s="69"/>
    </row>
    <row r="10452" ht="22.5" customHeight="1">
      <c r="A10452" s="66"/>
      <c r="B10452" s="67" t="str">
        <f t="shared" si="16"/>
        <v>M: </v>
      </c>
      <c r="C10452" s="68"/>
      <c r="D10452" s="68">
        <v>46795.0</v>
      </c>
      <c r="E10452" s="66">
        <v>10.0</v>
      </c>
      <c r="F10452" s="66" t="str">
        <f>IFERROR(__xludf.DUMMYFUNCTION("GOOGLETRANSLATE(A10452,""en"",""pt"")"),"#VALUE!")</f>
        <v>#VALUE!</v>
      </c>
      <c r="G10452" s="69"/>
    </row>
    <row r="10453" ht="22.5" customHeight="1">
      <c r="A10453" s="66"/>
      <c r="B10453" s="67" t="str">
        <f t="shared" si="16"/>
        <v>M: </v>
      </c>
      <c r="C10453" s="68"/>
      <c r="D10453" s="68">
        <v>46795.0</v>
      </c>
      <c r="E10453" s="66">
        <v>1.0</v>
      </c>
      <c r="F10453" s="66" t="str">
        <f>IFERROR(__xludf.DUMMYFUNCTION("GOOGLETRANSLATE(A10453,""en"",""pt"")"),"#VALUE!")</f>
        <v>#VALUE!</v>
      </c>
      <c r="G10453" s="69"/>
    </row>
    <row r="10454" ht="22.5" customHeight="1">
      <c r="A10454" s="66"/>
      <c r="B10454" s="67" t="str">
        <f t="shared" si="16"/>
        <v>M: </v>
      </c>
      <c r="C10454" s="68"/>
      <c r="D10454" s="68">
        <v>46795.0</v>
      </c>
      <c r="E10454" s="66">
        <v>2.0</v>
      </c>
      <c r="F10454" s="66" t="str">
        <f>IFERROR(__xludf.DUMMYFUNCTION("GOOGLETRANSLATE(A10454,""en"",""pt"")"),"#VALUE!")</f>
        <v>#VALUE!</v>
      </c>
      <c r="G10454" s="69"/>
    </row>
    <row r="10455" ht="22.5" customHeight="1">
      <c r="A10455" s="66"/>
      <c r="B10455" s="67" t="str">
        <f t="shared" si="16"/>
        <v>M: </v>
      </c>
      <c r="C10455" s="68"/>
      <c r="D10455" s="68">
        <v>46795.0</v>
      </c>
      <c r="E10455" s="66">
        <v>3.0</v>
      </c>
      <c r="F10455" s="66" t="str">
        <f>IFERROR(__xludf.DUMMYFUNCTION("GOOGLETRANSLATE(A10455,""en"",""pt"")"),"#VALUE!")</f>
        <v>#VALUE!</v>
      </c>
      <c r="G10455" s="69"/>
    </row>
    <row r="10456" ht="22.5" customHeight="1">
      <c r="A10456" s="66"/>
      <c r="B10456" s="67" t="str">
        <f t="shared" si="16"/>
        <v>M: </v>
      </c>
      <c r="C10456" s="68"/>
      <c r="D10456" s="68">
        <v>46795.0</v>
      </c>
      <c r="E10456" s="66">
        <v>4.0</v>
      </c>
      <c r="F10456" s="66" t="str">
        <f>IFERROR(__xludf.DUMMYFUNCTION("GOOGLETRANSLATE(A10456,""en"",""pt"")"),"#VALUE!")</f>
        <v>#VALUE!</v>
      </c>
      <c r="G10456" s="69"/>
    </row>
    <row r="10457" ht="22.5" customHeight="1">
      <c r="A10457" s="66"/>
      <c r="B10457" s="67" t="str">
        <f t="shared" si="16"/>
        <v>M: </v>
      </c>
      <c r="C10457" s="68"/>
      <c r="D10457" s="68">
        <v>46795.0</v>
      </c>
      <c r="E10457" s="66">
        <v>5.0</v>
      </c>
      <c r="F10457" s="66" t="str">
        <f>IFERROR(__xludf.DUMMYFUNCTION("GOOGLETRANSLATE(A10457,""en"",""pt"")"),"#VALUE!")</f>
        <v>#VALUE!</v>
      </c>
      <c r="G10457" s="69"/>
    </row>
    <row r="10458" ht="22.5" customHeight="1">
      <c r="A10458" s="66"/>
      <c r="B10458" s="67" t="str">
        <f t="shared" si="16"/>
        <v>M: </v>
      </c>
      <c r="C10458" s="68"/>
      <c r="D10458" s="68">
        <v>46795.0</v>
      </c>
      <c r="E10458" s="66">
        <v>6.0</v>
      </c>
      <c r="F10458" s="66" t="str">
        <f>IFERROR(__xludf.DUMMYFUNCTION("GOOGLETRANSLATE(A10458,""en"",""pt"")"),"#VALUE!")</f>
        <v>#VALUE!</v>
      </c>
      <c r="G10458" s="69"/>
    </row>
    <row r="10459" ht="22.5" customHeight="1">
      <c r="A10459" s="66"/>
      <c r="B10459" s="67" t="str">
        <f t="shared" si="16"/>
        <v>M: </v>
      </c>
      <c r="C10459" s="68"/>
      <c r="D10459" s="68">
        <v>46795.0</v>
      </c>
      <c r="E10459" s="66">
        <v>7.0</v>
      </c>
      <c r="F10459" s="66" t="str">
        <f>IFERROR(__xludf.DUMMYFUNCTION("GOOGLETRANSLATE(A10459,""en"",""pt"")"),"#VALUE!")</f>
        <v>#VALUE!</v>
      </c>
      <c r="G10459" s="69"/>
    </row>
    <row r="10460" ht="22.5" customHeight="1">
      <c r="A10460" s="66"/>
      <c r="B10460" s="67" t="str">
        <f t="shared" si="16"/>
        <v>M: </v>
      </c>
      <c r="C10460" s="68"/>
      <c r="D10460" s="68">
        <v>46795.0</v>
      </c>
      <c r="E10460" s="66">
        <v>8.0</v>
      </c>
      <c r="F10460" s="66" t="str">
        <f>IFERROR(__xludf.DUMMYFUNCTION("GOOGLETRANSLATE(A10460,""en"",""pt"")"),"#VALUE!")</f>
        <v>#VALUE!</v>
      </c>
      <c r="G10460" s="69"/>
    </row>
    <row r="10461" ht="22.5" customHeight="1">
      <c r="A10461" s="66"/>
      <c r="B10461" s="67" t="str">
        <f t="shared" si="16"/>
        <v>M: </v>
      </c>
      <c r="C10461" s="68"/>
      <c r="D10461" s="68">
        <v>46795.0</v>
      </c>
      <c r="E10461" s="66">
        <v>9.0</v>
      </c>
      <c r="F10461" s="66" t="str">
        <f>IFERROR(__xludf.DUMMYFUNCTION("GOOGLETRANSLATE(A10461,""en"",""pt"")"),"#VALUE!")</f>
        <v>#VALUE!</v>
      </c>
      <c r="G10461" s="69"/>
    </row>
    <row r="10462" ht="22.5" customHeight="1">
      <c r="A10462" s="66"/>
      <c r="B10462" s="67" t="str">
        <f t="shared" si="16"/>
        <v>M: </v>
      </c>
      <c r="C10462" s="68"/>
      <c r="D10462" s="68">
        <v>46796.0</v>
      </c>
      <c r="E10462" s="66">
        <v>10.0</v>
      </c>
      <c r="F10462" s="66" t="str">
        <f>IFERROR(__xludf.DUMMYFUNCTION("GOOGLETRANSLATE(A10462,""en"",""pt"")"),"#VALUE!")</f>
        <v>#VALUE!</v>
      </c>
      <c r="G10462" s="69"/>
    </row>
    <row r="10463" ht="22.5" customHeight="1">
      <c r="A10463" s="66"/>
      <c r="B10463" s="67" t="str">
        <f t="shared" si="16"/>
        <v>M: </v>
      </c>
      <c r="C10463" s="68"/>
      <c r="D10463" s="68">
        <v>46796.0</v>
      </c>
      <c r="E10463" s="66">
        <v>1.0</v>
      </c>
      <c r="F10463" s="66" t="str">
        <f>IFERROR(__xludf.DUMMYFUNCTION("GOOGLETRANSLATE(A10463,""en"",""pt"")"),"#VALUE!")</f>
        <v>#VALUE!</v>
      </c>
      <c r="G10463" s="69"/>
    </row>
    <row r="10464" ht="22.5" customHeight="1">
      <c r="A10464" s="66"/>
      <c r="B10464" s="67" t="str">
        <f t="shared" si="16"/>
        <v>M: </v>
      </c>
      <c r="C10464" s="68"/>
      <c r="D10464" s="68">
        <v>46796.0</v>
      </c>
      <c r="E10464" s="66">
        <v>2.0</v>
      </c>
      <c r="F10464" s="66" t="str">
        <f>IFERROR(__xludf.DUMMYFUNCTION("GOOGLETRANSLATE(A10464,""en"",""pt"")"),"#VALUE!")</f>
        <v>#VALUE!</v>
      </c>
      <c r="G10464" s="69"/>
    </row>
    <row r="10465" ht="22.5" customHeight="1">
      <c r="A10465" s="66"/>
      <c r="B10465" s="67" t="str">
        <f t="shared" si="16"/>
        <v>M: </v>
      </c>
      <c r="C10465" s="68"/>
      <c r="D10465" s="68">
        <v>46796.0</v>
      </c>
      <c r="E10465" s="66">
        <v>3.0</v>
      </c>
      <c r="F10465" s="66" t="str">
        <f>IFERROR(__xludf.DUMMYFUNCTION("GOOGLETRANSLATE(A10465,""en"",""pt"")"),"#VALUE!")</f>
        <v>#VALUE!</v>
      </c>
      <c r="G10465" s="69"/>
    </row>
    <row r="10466" ht="22.5" customHeight="1">
      <c r="A10466" s="66"/>
      <c r="B10466" s="67" t="str">
        <f t="shared" si="16"/>
        <v>M: </v>
      </c>
      <c r="C10466" s="68"/>
      <c r="D10466" s="68">
        <v>46796.0</v>
      </c>
      <c r="E10466" s="66">
        <v>4.0</v>
      </c>
      <c r="F10466" s="66" t="str">
        <f>IFERROR(__xludf.DUMMYFUNCTION("GOOGLETRANSLATE(A10466,""en"",""pt"")"),"#VALUE!")</f>
        <v>#VALUE!</v>
      </c>
      <c r="G10466" s="69"/>
    </row>
    <row r="10467" ht="22.5" customHeight="1">
      <c r="A10467" s="66"/>
      <c r="B10467" s="67" t="str">
        <f t="shared" si="16"/>
        <v>M: </v>
      </c>
      <c r="C10467" s="68"/>
      <c r="D10467" s="68">
        <v>46796.0</v>
      </c>
      <c r="E10467" s="66">
        <v>5.0</v>
      </c>
      <c r="F10467" s="66" t="str">
        <f>IFERROR(__xludf.DUMMYFUNCTION("GOOGLETRANSLATE(A10467,""en"",""pt"")"),"#VALUE!")</f>
        <v>#VALUE!</v>
      </c>
      <c r="G10467" s="69"/>
    </row>
    <row r="10468" ht="22.5" customHeight="1">
      <c r="A10468" s="66"/>
      <c r="B10468" s="67" t="str">
        <f t="shared" si="16"/>
        <v>M: </v>
      </c>
      <c r="C10468" s="68"/>
      <c r="D10468" s="68">
        <v>46796.0</v>
      </c>
      <c r="E10468" s="66">
        <v>6.0</v>
      </c>
      <c r="F10468" s="66" t="str">
        <f>IFERROR(__xludf.DUMMYFUNCTION("GOOGLETRANSLATE(A10468,""en"",""pt"")"),"#VALUE!")</f>
        <v>#VALUE!</v>
      </c>
      <c r="G10468" s="69"/>
    </row>
    <row r="10469" ht="22.5" customHeight="1">
      <c r="A10469" s="66"/>
      <c r="B10469" s="67" t="str">
        <f t="shared" si="16"/>
        <v>M: </v>
      </c>
      <c r="C10469" s="68"/>
      <c r="D10469" s="68">
        <v>46796.0</v>
      </c>
      <c r="E10469" s="66">
        <v>7.0</v>
      </c>
      <c r="F10469" s="66" t="str">
        <f>IFERROR(__xludf.DUMMYFUNCTION("GOOGLETRANSLATE(A10469,""en"",""pt"")"),"#VALUE!")</f>
        <v>#VALUE!</v>
      </c>
      <c r="G10469" s="69"/>
    </row>
    <row r="10470" ht="22.5" customHeight="1">
      <c r="A10470" s="66"/>
      <c r="B10470" s="67" t="str">
        <f t="shared" si="16"/>
        <v>M: </v>
      </c>
      <c r="C10470" s="68"/>
      <c r="D10470" s="68">
        <v>46796.0</v>
      </c>
      <c r="E10470" s="66">
        <v>8.0</v>
      </c>
      <c r="F10470" s="66" t="str">
        <f>IFERROR(__xludf.DUMMYFUNCTION("GOOGLETRANSLATE(A10470,""en"",""pt"")"),"#VALUE!")</f>
        <v>#VALUE!</v>
      </c>
      <c r="G10470" s="69"/>
    </row>
    <row r="10471" ht="22.5" customHeight="1">
      <c r="A10471" s="66"/>
      <c r="B10471" s="67" t="str">
        <f t="shared" si="16"/>
        <v>M: </v>
      </c>
      <c r="C10471" s="68"/>
      <c r="D10471" s="68">
        <v>46796.0</v>
      </c>
      <c r="E10471" s="66">
        <v>9.0</v>
      </c>
      <c r="F10471" s="66" t="str">
        <f>IFERROR(__xludf.DUMMYFUNCTION("GOOGLETRANSLATE(A10471,""en"",""pt"")"),"#VALUE!")</f>
        <v>#VALUE!</v>
      </c>
      <c r="G10471" s="69"/>
    </row>
    <row r="10472" ht="22.5" customHeight="1">
      <c r="A10472" s="66"/>
      <c r="B10472" s="67" t="str">
        <f t="shared" si="16"/>
        <v>M: </v>
      </c>
      <c r="C10472" s="68"/>
      <c r="D10472" s="68">
        <v>46797.0</v>
      </c>
      <c r="E10472" s="66">
        <v>10.0</v>
      </c>
      <c r="F10472" s="66" t="str">
        <f>IFERROR(__xludf.DUMMYFUNCTION("GOOGLETRANSLATE(A10472,""en"",""pt"")"),"#VALUE!")</f>
        <v>#VALUE!</v>
      </c>
      <c r="G10472" s="69"/>
    </row>
    <row r="10473" ht="22.5" customHeight="1">
      <c r="A10473" s="66"/>
      <c r="B10473" s="67" t="str">
        <f t="shared" si="16"/>
        <v>M: </v>
      </c>
      <c r="C10473" s="68"/>
      <c r="D10473" s="68">
        <v>46797.0</v>
      </c>
      <c r="E10473" s="66">
        <v>1.0</v>
      </c>
      <c r="F10473" s="66" t="str">
        <f>IFERROR(__xludf.DUMMYFUNCTION("GOOGLETRANSLATE(A10473,""en"",""pt"")"),"#VALUE!")</f>
        <v>#VALUE!</v>
      </c>
      <c r="G10473" s="69"/>
    </row>
    <row r="10474" ht="22.5" customHeight="1">
      <c r="A10474" s="66"/>
      <c r="B10474" s="67" t="str">
        <f t="shared" si="16"/>
        <v>M: </v>
      </c>
      <c r="C10474" s="68"/>
      <c r="D10474" s="68">
        <v>46797.0</v>
      </c>
      <c r="E10474" s="66">
        <v>2.0</v>
      </c>
      <c r="F10474" s="66" t="str">
        <f>IFERROR(__xludf.DUMMYFUNCTION("GOOGLETRANSLATE(A10474,""en"",""pt"")"),"#VALUE!")</f>
        <v>#VALUE!</v>
      </c>
      <c r="G10474" s="69"/>
    </row>
    <row r="10475" ht="22.5" customHeight="1">
      <c r="A10475" s="66"/>
      <c r="B10475" s="67" t="str">
        <f t="shared" si="16"/>
        <v>M: </v>
      </c>
      <c r="C10475" s="68"/>
      <c r="D10475" s="68">
        <v>46797.0</v>
      </c>
      <c r="E10475" s="66">
        <v>3.0</v>
      </c>
      <c r="F10475" s="66" t="str">
        <f>IFERROR(__xludf.DUMMYFUNCTION("GOOGLETRANSLATE(A10475,""en"",""pt"")"),"#VALUE!")</f>
        <v>#VALUE!</v>
      </c>
      <c r="G10475" s="69"/>
    </row>
    <row r="10476" ht="22.5" customHeight="1">
      <c r="A10476" s="66"/>
      <c r="B10476" s="67" t="str">
        <f t="shared" si="16"/>
        <v>M: </v>
      </c>
      <c r="C10476" s="68"/>
      <c r="D10476" s="68">
        <v>46797.0</v>
      </c>
      <c r="E10476" s="66">
        <v>4.0</v>
      </c>
      <c r="F10476" s="66" t="str">
        <f>IFERROR(__xludf.DUMMYFUNCTION("GOOGLETRANSLATE(A10476,""en"",""pt"")"),"#VALUE!")</f>
        <v>#VALUE!</v>
      </c>
      <c r="G10476" s="69"/>
    </row>
    <row r="10477" ht="22.5" customHeight="1">
      <c r="A10477" s="66"/>
      <c r="B10477" s="67" t="str">
        <f t="shared" si="16"/>
        <v>M: </v>
      </c>
      <c r="C10477" s="68"/>
      <c r="D10477" s="68">
        <v>46797.0</v>
      </c>
      <c r="E10477" s="66">
        <v>5.0</v>
      </c>
      <c r="F10477" s="66" t="str">
        <f>IFERROR(__xludf.DUMMYFUNCTION("GOOGLETRANSLATE(A10477,""en"",""pt"")"),"#VALUE!")</f>
        <v>#VALUE!</v>
      </c>
      <c r="G10477" s="69"/>
    </row>
    <row r="10478" ht="22.5" customHeight="1">
      <c r="A10478" s="66"/>
      <c r="B10478" s="67" t="str">
        <f t="shared" si="16"/>
        <v>M: </v>
      </c>
      <c r="C10478" s="68"/>
      <c r="D10478" s="68">
        <v>46797.0</v>
      </c>
      <c r="E10478" s="66">
        <v>6.0</v>
      </c>
      <c r="F10478" s="66" t="str">
        <f>IFERROR(__xludf.DUMMYFUNCTION("GOOGLETRANSLATE(A10478,""en"",""pt"")"),"#VALUE!")</f>
        <v>#VALUE!</v>
      </c>
      <c r="G10478" s="69"/>
    </row>
    <row r="10479" ht="22.5" customHeight="1">
      <c r="A10479" s="66"/>
      <c r="B10479" s="67" t="str">
        <f t="shared" si="16"/>
        <v>M: </v>
      </c>
      <c r="C10479" s="68"/>
      <c r="D10479" s="68">
        <v>46797.0</v>
      </c>
      <c r="E10479" s="66">
        <v>7.0</v>
      </c>
      <c r="F10479" s="66" t="str">
        <f>IFERROR(__xludf.DUMMYFUNCTION("GOOGLETRANSLATE(A10479,""en"",""pt"")"),"#VALUE!")</f>
        <v>#VALUE!</v>
      </c>
      <c r="G10479" s="69"/>
    </row>
    <row r="10480" ht="22.5" customHeight="1">
      <c r="A10480" s="66"/>
      <c r="B10480" s="67" t="str">
        <f t="shared" si="16"/>
        <v>M: </v>
      </c>
      <c r="C10480" s="68"/>
      <c r="D10480" s="68">
        <v>46797.0</v>
      </c>
      <c r="E10480" s="66">
        <v>8.0</v>
      </c>
      <c r="F10480" s="66" t="str">
        <f>IFERROR(__xludf.DUMMYFUNCTION("GOOGLETRANSLATE(A10480,""en"",""pt"")"),"#VALUE!")</f>
        <v>#VALUE!</v>
      </c>
      <c r="G10480" s="69"/>
    </row>
    <row r="10481" ht="22.5" customHeight="1">
      <c r="A10481" s="66"/>
      <c r="B10481" s="67" t="str">
        <f t="shared" si="16"/>
        <v>M: </v>
      </c>
      <c r="C10481" s="68"/>
      <c r="D10481" s="68">
        <v>46797.0</v>
      </c>
      <c r="E10481" s="66">
        <v>9.0</v>
      </c>
      <c r="F10481" s="66" t="str">
        <f>IFERROR(__xludf.DUMMYFUNCTION("GOOGLETRANSLATE(A10481,""en"",""pt"")"),"#VALUE!")</f>
        <v>#VALUE!</v>
      </c>
      <c r="G10481" s="69"/>
    </row>
    <row r="10482" ht="22.5" customHeight="1">
      <c r="A10482" s="66"/>
      <c r="B10482" s="67" t="str">
        <f t="shared" si="16"/>
        <v>M: </v>
      </c>
      <c r="C10482" s="68"/>
      <c r="D10482" s="68">
        <v>46798.0</v>
      </c>
      <c r="E10482" s="66">
        <v>10.0</v>
      </c>
      <c r="F10482" s="66" t="str">
        <f>IFERROR(__xludf.DUMMYFUNCTION("GOOGLETRANSLATE(A10482,""en"",""pt"")"),"#VALUE!")</f>
        <v>#VALUE!</v>
      </c>
      <c r="G10482" s="69"/>
    </row>
    <row r="10483" ht="22.5" customHeight="1">
      <c r="A10483" s="66"/>
      <c r="B10483" s="67" t="str">
        <f t="shared" si="16"/>
        <v>M: </v>
      </c>
      <c r="C10483" s="68"/>
      <c r="D10483" s="68">
        <v>46798.0</v>
      </c>
      <c r="E10483" s="66">
        <v>1.0</v>
      </c>
      <c r="F10483" s="66" t="str">
        <f>IFERROR(__xludf.DUMMYFUNCTION("GOOGLETRANSLATE(A10483,""en"",""pt"")"),"#VALUE!")</f>
        <v>#VALUE!</v>
      </c>
      <c r="G10483" s="69"/>
    </row>
    <row r="10484" ht="22.5" customHeight="1">
      <c r="A10484" s="66"/>
      <c r="B10484" s="67" t="str">
        <f t="shared" si="16"/>
        <v>M: </v>
      </c>
      <c r="C10484" s="68"/>
      <c r="D10484" s="68">
        <v>46798.0</v>
      </c>
      <c r="E10484" s="66">
        <v>2.0</v>
      </c>
      <c r="F10484" s="66" t="str">
        <f>IFERROR(__xludf.DUMMYFUNCTION("GOOGLETRANSLATE(A10484,""en"",""pt"")"),"#VALUE!")</f>
        <v>#VALUE!</v>
      </c>
      <c r="G10484" s="69"/>
    </row>
    <row r="10485" ht="22.5" customHeight="1">
      <c r="A10485" s="66"/>
      <c r="B10485" s="67" t="str">
        <f t="shared" si="16"/>
        <v>M: </v>
      </c>
      <c r="C10485" s="68"/>
      <c r="D10485" s="68">
        <v>46798.0</v>
      </c>
      <c r="E10485" s="66">
        <v>3.0</v>
      </c>
      <c r="F10485" s="66" t="str">
        <f>IFERROR(__xludf.DUMMYFUNCTION("GOOGLETRANSLATE(A10485,""en"",""pt"")"),"#VALUE!")</f>
        <v>#VALUE!</v>
      </c>
      <c r="G10485" s="69"/>
    </row>
    <row r="10486" ht="22.5" customHeight="1">
      <c r="A10486" s="66"/>
      <c r="B10486" s="67" t="str">
        <f t="shared" si="16"/>
        <v>M: </v>
      </c>
      <c r="C10486" s="68"/>
      <c r="D10486" s="68">
        <v>46798.0</v>
      </c>
      <c r="E10486" s="66">
        <v>4.0</v>
      </c>
      <c r="F10486" s="66" t="str">
        <f>IFERROR(__xludf.DUMMYFUNCTION("GOOGLETRANSLATE(A10486,""en"",""pt"")"),"#VALUE!")</f>
        <v>#VALUE!</v>
      </c>
      <c r="G10486" s="69"/>
    </row>
    <row r="10487" ht="22.5" customHeight="1">
      <c r="A10487" s="66"/>
      <c r="B10487" s="67" t="str">
        <f t="shared" si="16"/>
        <v>M: </v>
      </c>
      <c r="C10487" s="68"/>
      <c r="D10487" s="68">
        <v>46798.0</v>
      </c>
      <c r="E10487" s="66">
        <v>5.0</v>
      </c>
      <c r="F10487" s="66" t="str">
        <f>IFERROR(__xludf.DUMMYFUNCTION("GOOGLETRANSLATE(A10487,""en"",""pt"")"),"#VALUE!")</f>
        <v>#VALUE!</v>
      </c>
      <c r="G10487" s="69"/>
    </row>
    <row r="10488" ht="22.5" customHeight="1">
      <c r="A10488" s="66"/>
      <c r="B10488" s="67" t="str">
        <f t="shared" si="16"/>
        <v>M: </v>
      </c>
      <c r="C10488" s="68"/>
      <c r="D10488" s="68">
        <v>46798.0</v>
      </c>
      <c r="E10488" s="66">
        <v>6.0</v>
      </c>
      <c r="F10488" s="66" t="str">
        <f>IFERROR(__xludf.DUMMYFUNCTION("GOOGLETRANSLATE(A10488,""en"",""pt"")"),"#VALUE!")</f>
        <v>#VALUE!</v>
      </c>
      <c r="G10488" s="69"/>
    </row>
    <row r="10489" ht="22.5" customHeight="1">
      <c r="A10489" s="66"/>
      <c r="B10489" s="67" t="str">
        <f t="shared" si="16"/>
        <v>M: </v>
      </c>
      <c r="C10489" s="68"/>
      <c r="D10489" s="68">
        <v>46798.0</v>
      </c>
      <c r="E10489" s="66">
        <v>7.0</v>
      </c>
      <c r="F10489" s="66" t="str">
        <f>IFERROR(__xludf.DUMMYFUNCTION("GOOGLETRANSLATE(A10489,""en"",""pt"")"),"#VALUE!")</f>
        <v>#VALUE!</v>
      </c>
      <c r="G10489" s="69"/>
    </row>
    <row r="10490" ht="22.5" customHeight="1">
      <c r="A10490" s="66"/>
      <c r="B10490" s="67" t="str">
        <f t="shared" si="16"/>
        <v>M: </v>
      </c>
      <c r="C10490" s="68"/>
      <c r="D10490" s="68">
        <v>46798.0</v>
      </c>
      <c r="E10490" s="66">
        <v>8.0</v>
      </c>
      <c r="F10490" s="66" t="str">
        <f>IFERROR(__xludf.DUMMYFUNCTION("GOOGLETRANSLATE(A10490,""en"",""pt"")"),"#VALUE!")</f>
        <v>#VALUE!</v>
      </c>
      <c r="G10490" s="69"/>
    </row>
    <row r="10491" ht="22.5" customHeight="1">
      <c r="A10491" s="66"/>
      <c r="B10491" s="67" t="str">
        <f t="shared" si="16"/>
        <v>M: </v>
      </c>
      <c r="C10491" s="68"/>
      <c r="D10491" s="68">
        <v>46798.0</v>
      </c>
      <c r="E10491" s="66">
        <v>9.0</v>
      </c>
      <c r="F10491" s="66" t="str">
        <f>IFERROR(__xludf.DUMMYFUNCTION("GOOGLETRANSLATE(A10491,""en"",""pt"")"),"#VALUE!")</f>
        <v>#VALUE!</v>
      </c>
      <c r="G10491" s="69"/>
    </row>
    <row r="10492" ht="22.5" customHeight="1">
      <c r="A10492" s="66"/>
      <c r="B10492" s="67" t="str">
        <f t="shared" si="16"/>
        <v>M: </v>
      </c>
      <c r="C10492" s="68"/>
      <c r="D10492" s="68">
        <v>46799.0</v>
      </c>
      <c r="E10492" s="66">
        <v>10.0</v>
      </c>
      <c r="F10492" s="66" t="str">
        <f>IFERROR(__xludf.DUMMYFUNCTION("GOOGLETRANSLATE(A10492,""en"",""pt"")"),"#VALUE!")</f>
        <v>#VALUE!</v>
      </c>
      <c r="G10492" s="69"/>
    </row>
    <row r="10493" ht="22.5" customHeight="1">
      <c r="A10493" s="66"/>
      <c r="B10493" s="67" t="str">
        <f t="shared" si="16"/>
        <v>M: </v>
      </c>
      <c r="C10493" s="68"/>
      <c r="D10493" s="68">
        <v>46799.0</v>
      </c>
      <c r="E10493" s="66">
        <v>1.0</v>
      </c>
      <c r="F10493" s="66" t="str">
        <f>IFERROR(__xludf.DUMMYFUNCTION("GOOGLETRANSLATE(A10493,""en"",""pt"")"),"#VALUE!")</f>
        <v>#VALUE!</v>
      </c>
      <c r="G10493" s="69"/>
    </row>
    <row r="10494" ht="22.5" customHeight="1">
      <c r="A10494" s="66"/>
      <c r="B10494" s="67" t="str">
        <f t="shared" si="16"/>
        <v>M: </v>
      </c>
      <c r="C10494" s="68"/>
      <c r="D10494" s="68">
        <v>46799.0</v>
      </c>
      <c r="E10494" s="66">
        <v>2.0</v>
      </c>
      <c r="F10494" s="66" t="str">
        <f>IFERROR(__xludf.DUMMYFUNCTION("GOOGLETRANSLATE(A10494,""en"",""pt"")"),"#VALUE!")</f>
        <v>#VALUE!</v>
      </c>
      <c r="G10494" s="69"/>
    </row>
    <row r="10495" ht="22.5" customHeight="1">
      <c r="A10495" s="66"/>
      <c r="B10495" s="67" t="str">
        <f t="shared" si="16"/>
        <v>M: </v>
      </c>
      <c r="C10495" s="68"/>
      <c r="D10495" s="68">
        <v>46799.0</v>
      </c>
      <c r="E10495" s="66">
        <v>3.0</v>
      </c>
      <c r="F10495" s="66" t="str">
        <f>IFERROR(__xludf.DUMMYFUNCTION("GOOGLETRANSLATE(A10495,""en"",""pt"")"),"#VALUE!")</f>
        <v>#VALUE!</v>
      </c>
      <c r="G10495" s="69"/>
    </row>
    <row r="10496" ht="22.5" customHeight="1">
      <c r="A10496" s="66"/>
      <c r="B10496" s="67" t="str">
        <f t="shared" si="16"/>
        <v>M: </v>
      </c>
      <c r="C10496" s="68"/>
      <c r="D10496" s="68">
        <v>46799.0</v>
      </c>
      <c r="E10496" s="66">
        <v>4.0</v>
      </c>
      <c r="F10496" s="66" t="str">
        <f>IFERROR(__xludf.DUMMYFUNCTION("GOOGLETRANSLATE(A10496,""en"",""pt"")"),"#VALUE!")</f>
        <v>#VALUE!</v>
      </c>
      <c r="G10496" s="69"/>
    </row>
    <row r="10497" ht="22.5" customHeight="1">
      <c r="A10497" s="66"/>
      <c r="B10497" s="67" t="str">
        <f t="shared" si="16"/>
        <v>M: </v>
      </c>
      <c r="C10497" s="68"/>
      <c r="D10497" s="68">
        <v>46799.0</v>
      </c>
      <c r="E10497" s="66">
        <v>5.0</v>
      </c>
      <c r="F10497" s="66" t="str">
        <f>IFERROR(__xludf.DUMMYFUNCTION("GOOGLETRANSLATE(A10497,""en"",""pt"")"),"#VALUE!")</f>
        <v>#VALUE!</v>
      </c>
      <c r="G10497" s="69"/>
    </row>
    <row r="10498" ht="22.5" customHeight="1">
      <c r="A10498" s="66"/>
      <c r="B10498" s="67" t="str">
        <f t="shared" si="16"/>
        <v>M: </v>
      </c>
      <c r="C10498" s="68"/>
      <c r="D10498" s="68">
        <v>46799.0</v>
      </c>
      <c r="E10498" s="66">
        <v>6.0</v>
      </c>
      <c r="F10498" s="66" t="str">
        <f>IFERROR(__xludf.DUMMYFUNCTION("GOOGLETRANSLATE(A10498,""en"",""pt"")"),"#VALUE!")</f>
        <v>#VALUE!</v>
      </c>
      <c r="G10498" s="69"/>
    </row>
    <row r="10499" ht="22.5" customHeight="1">
      <c r="A10499" s="66"/>
      <c r="B10499" s="67" t="str">
        <f t="shared" si="16"/>
        <v>M: </v>
      </c>
      <c r="C10499" s="68"/>
      <c r="D10499" s="68">
        <v>46799.0</v>
      </c>
      <c r="E10499" s="66">
        <v>7.0</v>
      </c>
      <c r="F10499" s="66" t="str">
        <f>IFERROR(__xludf.DUMMYFUNCTION("GOOGLETRANSLATE(A10499,""en"",""pt"")"),"#VALUE!")</f>
        <v>#VALUE!</v>
      </c>
      <c r="G10499" s="69"/>
    </row>
    <row r="10500" ht="22.5" customHeight="1">
      <c r="A10500" s="66"/>
      <c r="B10500" s="67" t="str">
        <f t="shared" si="16"/>
        <v>M: </v>
      </c>
      <c r="C10500" s="68"/>
      <c r="D10500" s="68">
        <v>46799.0</v>
      </c>
      <c r="E10500" s="66">
        <v>8.0</v>
      </c>
      <c r="F10500" s="66" t="str">
        <f>IFERROR(__xludf.DUMMYFUNCTION("GOOGLETRANSLATE(A10500,""en"",""pt"")"),"#VALUE!")</f>
        <v>#VALUE!</v>
      </c>
      <c r="G10500" s="69"/>
    </row>
    <row r="10501" ht="22.5" customHeight="1">
      <c r="A10501" s="66"/>
      <c r="B10501" s="67" t="str">
        <f t="shared" si="16"/>
        <v>M: </v>
      </c>
      <c r="C10501" s="68"/>
      <c r="D10501" s="68">
        <v>46799.0</v>
      </c>
      <c r="E10501" s="66">
        <v>9.0</v>
      </c>
      <c r="F10501" s="66" t="str">
        <f>IFERROR(__xludf.DUMMYFUNCTION("GOOGLETRANSLATE(A10501,""en"",""pt"")"),"#VALUE!")</f>
        <v>#VALUE!</v>
      </c>
      <c r="G10501" s="69"/>
    </row>
    <row r="10502" ht="22.5" customHeight="1">
      <c r="A10502" s="66"/>
      <c r="B10502" s="67" t="str">
        <f t="shared" si="16"/>
        <v>M: </v>
      </c>
      <c r="C10502" s="68"/>
      <c r="D10502" s="68">
        <v>46800.0</v>
      </c>
      <c r="E10502" s="66">
        <v>10.0</v>
      </c>
      <c r="F10502" s="66" t="str">
        <f>IFERROR(__xludf.DUMMYFUNCTION("GOOGLETRANSLATE(A10502,""en"",""pt"")"),"#VALUE!")</f>
        <v>#VALUE!</v>
      </c>
      <c r="G10502" s="69"/>
    </row>
    <row r="10503" ht="22.5" customHeight="1">
      <c r="A10503" s="66"/>
      <c r="B10503" s="67" t="str">
        <f t="shared" si="16"/>
        <v>M: </v>
      </c>
      <c r="C10503" s="68"/>
      <c r="D10503" s="68">
        <v>46800.0</v>
      </c>
      <c r="E10503" s="66">
        <v>1.0</v>
      </c>
      <c r="F10503" s="66" t="str">
        <f>IFERROR(__xludf.DUMMYFUNCTION("GOOGLETRANSLATE(A10503,""en"",""pt"")"),"#VALUE!")</f>
        <v>#VALUE!</v>
      </c>
      <c r="G10503" s="69"/>
    </row>
    <row r="10504" ht="22.5" customHeight="1">
      <c r="A10504" s="66"/>
      <c r="B10504" s="67" t="str">
        <f t="shared" si="16"/>
        <v>M: </v>
      </c>
      <c r="C10504" s="68"/>
      <c r="D10504" s="68">
        <v>46800.0</v>
      </c>
      <c r="E10504" s="66">
        <v>2.0</v>
      </c>
      <c r="F10504" s="66" t="str">
        <f>IFERROR(__xludf.DUMMYFUNCTION("GOOGLETRANSLATE(A10504,""en"",""pt"")"),"#VALUE!")</f>
        <v>#VALUE!</v>
      </c>
      <c r="G10504" s="69"/>
    </row>
    <row r="10505" ht="22.5" customHeight="1">
      <c r="A10505" s="66"/>
      <c r="B10505" s="67" t="str">
        <f t="shared" si="16"/>
        <v>M: </v>
      </c>
      <c r="C10505" s="68"/>
      <c r="D10505" s="68">
        <v>46800.0</v>
      </c>
      <c r="E10505" s="66">
        <v>3.0</v>
      </c>
      <c r="F10505" s="66" t="str">
        <f>IFERROR(__xludf.DUMMYFUNCTION("GOOGLETRANSLATE(A10505,""en"",""pt"")"),"#VALUE!")</f>
        <v>#VALUE!</v>
      </c>
      <c r="G10505" s="69"/>
    </row>
    <row r="10506" ht="22.5" customHeight="1">
      <c r="A10506" s="66"/>
      <c r="B10506" s="67" t="str">
        <f t="shared" si="16"/>
        <v>M: </v>
      </c>
      <c r="C10506" s="68"/>
      <c r="D10506" s="68">
        <v>46800.0</v>
      </c>
      <c r="E10506" s="66">
        <v>4.0</v>
      </c>
      <c r="F10506" s="66" t="str">
        <f>IFERROR(__xludf.DUMMYFUNCTION("GOOGLETRANSLATE(A10506,""en"",""pt"")"),"#VALUE!")</f>
        <v>#VALUE!</v>
      </c>
      <c r="G10506" s="69"/>
    </row>
    <row r="10507" ht="22.5" customHeight="1">
      <c r="A10507" s="66"/>
      <c r="B10507" s="67" t="str">
        <f t="shared" si="16"/>
        <v>M: </v>
      </c>
      <c r="C10507" s="68"/>
      <c r="D10507" s="68">
        <v>46800.0</v>
      </c>
      <c r="E10507" s="66">
        <v>5.0</v>
      </c>
      <c r="F10507" s="66" t="str">
        <f>IFERROR(__xludf.DUMMYFUNCTION("GOOGLETRANSLATE(A10507,""en"",""pt"")"),"#VALUE!")</f>
        <v>#VALUE!</v>
      </c>
      <c r="G10507" s="69"/>
    </row>
    <row r="10508" ht="22.5" customHeight="1">
      <c r="A10508" s="66"/>
      <c r="B10508" s="67" t="str">
        <f t="shared" si="16"/>
        <v>M: </v>
      </c>
      <c r="C10508" s="68"/>
      <c r="D10508" s="68">
        <v>46800.0</v>
      </c>
      <c r="E10508" s="66">
        <v>6.0</v>
      </c>
      <c r="F10508" s="66" t="str">
        <f>IFERROR(__xludf.DUMMYFUNCTION("GOOGLETRANSLATE(A10508,""en"",""pt"")"),"#VALUE!")</f>
        <v>#VALUE!</v>
      </c>
      <c r="G10508" s="69"/>
    </row>
    <row r="10509" ht="22.5" customHeight="1">
      <c r="A10509" s="66"/>
      <c r="B10509" s="67" t="str">
        <f t="shared" si="16"/>
        <v>M: </v>
      </c>
      <c r="C10509" s="68"/>
      <c r="D10509" s="68">
        <v>46800.0</v>
      </c>
      <c r="E10509" s="66">
        <v>7.0</v>
      </c>
      <c r="F10509" s="66" t="str">
        <f>IFERROR(__xludf.DUMMYFUNCTION("GOOGLETRANSLATE(A10509,""en"",""pt"")"),"#VALUE!")</f>
        <v>#VALUE!</v>
      </c>
      <c r="G10509" s="69"/>
    </row>
    <row r="10510" ht="22.5" customHeight="1">
      <c r="A10510" s="66"/>
      <c r="B10510" s="67" t="str">
        <f t="shared" si="16"/>
        <v>M: </v>
      </c>
      <c r="C10510" s="68"/>
      <c r="D10510" s="68">
        <v>46800.0</v>
      </c>
      <c r="E10510" s="66">
        <v>8.0</v>
      </c>
      <c r="F10510" s="66" t="str">
        <f>IFERROR(__xludf.DUMMYFUNCTION("GOOGLETRANSLATE(A10510,""en"",""pt"")"),"#VALUE!")</f>
        <v>#VALUE!</v>
      </c>
      <c r="G10510" s="69"/>
    </row>
    <row r="10511" ht="22.5" customHeight="1">
      <c r="A10511" s="66"/>
      <c r="B10511" s="67" t="str">
        <f t="shared" si="16"/>
        <v>M: </v>
      </c>
      <c r="C10511" s="68"/>
      <c r="D10511" s="68">
        <v>46800.0</v>
      </c>
      <c r="E10511" s="66">
        <v>9.0</v>
      </c>
      <c r="F10511" s="66" t="str">
        <f>IFERROR(__xludf.DUMMYFUNCTION("GOOGLETRANSLATE(A10511,""en"",""pt"")"),"#VALUE!")</f>
        <v>#VALUE!</v>
      </c>
      <c r="G10511" s="69"/>
    </row>
    <row r="10512" ht="22.5" customHeight="1">
      <c r="A10512" s="66"/>
      <c r="B10512" s="67" t="str">
        <f t="shared" si="16"/>
        <v>M: </v>
      </c>
      <c r="C10512" s="68"/>
      <c r="D10512" s="68">
        <v>46801.0</v>
      </c>
      <c r="E10512" s="66">
        <v>10.0</v>
      </c>
      <c r="F10512" s="66" t="str">
        <f>IFERROR(__xludf.DUMMYFUNCTION("GOOGLETRANSLATE(A10512,""en"",""pt"")"),"#VALUE!")</f>
        <v>#VALUE!</v>
      </c>
      <c r="G10512" s="69"/>
    </row>
    <row r="10513" ht="22.5" customHeight="1">
      <c r="A10513" s="66"/>
      <c r="B10513" s="67" t="str">
        <f t="shared" si="16"/>
        <v>M: </v>
      </c>
      <c r="C10513" s="68"/>
      <c r="D10513" s="68">
        <v>46801.0</v>
      </c>
      <c r="E10513" s="66">
        <v>1.0</v>
      </c>
      <c r="F10513" s="66" t="str">
        <f>IFERROR(__xludf.DUMMYFUNCTION("GOOGLETRANSLATE(A10513,""en"",""pt"")"),"#VALUE!")</f>
        <v>#VALUE!</v>
      </c>
      <c r="G10513" s="69"/>
    </row>
    <row r="10514" ht="22.5" customHeight="1">
      <c r="A10514" s="66"/>
      <c r="B10514" s="67" t="str">
        <f t="shared" si="16"/>
        <v>M: </v>
      </c>
      <c r="C10514" s="68"/>
      <c r="D10514" s="68">
        <v>46801.0</v>
      </c>
      <c r="E10514" s="66">
        <v>2.0</v>
      </c>
      <c r="F10514" s="66" t="str">
        <f>IFERROR(__xludf.DUMMYFUNCTION("GOOGLETRANSLATE(A10514,""en"",""pt"")"),"#VALUE!")</f>
        <v>#VALUE!</v>
      </c>
      <c r="G10514" s="69"/>
    </row>
    <row r="10515" ht="22.5" customHeight="1">
      <c r="A10515" s="66"/>
      <c r="B10515" s="67" t="str">
        <f t="shared" si="16"/>
        <v>M: </v>
      </c>
      <c r="C10515" s="68"/>
      <c r="D10515" s="68">
        <v>46801.0</v>
      </c>
      <c r="E10515" s="66">
        <v>3.0</v>
      </c>
      <c r="F10515" s="66" t="str">
        <f>IFERROR(__xludf.DUMMYFUNCTION("GOOGLETRANSLATE(A10515,""en"",""pt"")"),"#VALUE!")</f>
        <v>#VALUE!</v>
      </c>
      <c r="G10515" s="69"/>
    </row>
    <row r="10516" ht="22.5" customHeight="1">
      <c r="A10516" s="66"/>
      <c r="B10516" s="67" t="str">
        <f t="shared" si="16"/>
        <v>M: </v>
      </c>
      <c r="C10516" s="68"/>
      <c r="D10516" s="68">
        <v>46801.0</v>
      </c>
      <c r="E10516" s="66">
        <v>4.0</v>
      </c>
      <c r="F10516" s="66" t="str">
        <f>IFERROR(__xludf.DUMMYFUNCTION("GOOGLETRANSLATE(A10516,""en"",""pt"")"),"#VALUE!")</f>
        <v>#VALUE!</v>
      </c>
      <c r="G10516" s="69"/>
    </row>
    <row r="10517" ht="22.5" customHeight="1">
      <c r="A10517" s="66"/>
      <c r="B10517" s="67" t="str">
        <f t="shared" si="16"/>
        <v>M: </v>
      </c>
      <c r="C10517" s="68"/>
      <c r="D10517" s="68">
        <v>46801.0</v>
      </c>
      <c r="E10517" s="66">
        <v>5.0</v>
      </c>
      <c r="F10517" s="66" t="str">
        <f>IFERROR(__xludf.DUMMYFUNCTION("GOOGLETRANSLATE(A10517,""en"",""pt"")"),"#VALUE!")</f>
        <v>#VALUE!</v>
      </c>
      <c r="G10517" s="69"/>
    </row>
    <row r="10518" ht="22.5" customHeight="1">
      <c r="A10518" s="66"/>
      <c r="B10518" s="67" t="str">
        <f t="shared" si="16"/>
        <v>M: </v>
      </c>
      <c r="C10518" s="68"/>
      <c r="D10518" s="68">
        <v>46801.0</v>
      </c>
      <c r="E10518" s="66">
        <v>6.0</v>
      </c>
      <c r="F10518" s="66" t="str">
        <f>IFERROR(__xludf.DUMMYFUNCTION("GOOGLETRANSLATE(A10518,""en"",""pt"")"),"#VALUE!")</f>
        <v>#VALUE!</v>
      </c>
      <c r="G10518" s="69"/>
    </row>
    <row r="10519" ht="22.5" customHeight="1">
      <c r="A10519" s="66"/>
      <c r="B10519" s="67" t="str">
        <f t="shared" si="16"/>
        <v>M: </v>
      </c>
      <c r="C10519" s="68"/>
      <c r="D10519" s="68">
        <v>46801.0</v>
      </c>
      <c r="E10519" s="66">
        <v>7.0</v>
      </c>
      <c r="F10519" s="66" t="str">
        <f>IFERROR(__xludf.DUMMYFUNCTION("GOOGLETRANSLATE(A10519,""en"",""pt"")"),"#VALUE!")</f>
        <v>#VALUE!</v>
      </c>
      <c r="G10519" s="69"/>
    </row>
    <row r="10520" ht="22.5" customHeight="1">
      <c r="A10520" s="66"/>
      <c r="B10520" s="67" t="str">
        <f t="shared" si="16"/>
        <v>M: </v>
      </c>
      <c r="C10520" s="68"/>
      <c r="D10520" s="68">
        <v>46801.0</v>
      </c>
      <c r="E10520" s="66">
        <v>8.0</v>
      </c>
      <c r="F10520" s="66" t="str">
        <f>IFERROR(__xludf.DUMMYFUNCTION("GOOGLETRANSLATE(A10520,""en"",""pt"")"),"#VALUE!")</f>
        <v>#VALUE!</v>
      </c>
      <c r="G10520" s="69"/>
    </row>
    <row r="10521" ht="22.5" customHeight="1">
      <c r="A10521" s="66"/>
      <c r="B10521" s="67" t="str">
        <f t="shared" si="16"/>
        <v>M: </v>
      </c>
      <c r="C10521" s="68"/>
      <c r="D10521" s="68">
        <v>46801.0</v>
      </c>
      <c r="E10521" s="66">
        <v>9.0</v>
      </c>
      <c r="F10521" s="66" t="str">
        <f>IFERROR(__xludf.DUMMYFUNCTION("GOOGLETRANSLATE(A10521,""en"",""pt"")"),"#VALUE!")</f>
        <v>#VALUE!</v>
      </c>
      <c r="G10521" s="69"/>
    </row>
    <row r="10522" ht="22.5" customHeight="1">
      <c r="A10522" s="66"/>
      <c r="B10522" s="67" t="str">
        <f t="shared" si="16"/>
        <v>M: </v>
      </c>
      <c r="C10522" s="68"/>
      <c r="D10522" s="68">
        <v>46802.0</v>
      </c>
      <c r="E10522" s="66">
        <v>10.0</v>
      </c>
      <c r="F10522" s="66" t="str">
        <f>IFERROR(__xludf.DUMMYFUNCTION("GOOGLETRANSLATE(A10522,""en"",""pt"")"),"#VALUE!")</f>
        <v>#VALUE!</v>
      </c>
      <c r="G10522" s="69"/>
    </row>
    <row r="10523" ht="22.5" customHeight="1">
      <c r="A10523" s="66"/>
      <c r="B10523" s="67" t="str">
        <f t="shared" si="16"/>
        <v>M: </v>
      </c>
      <c r="C10523" s="68"/>
      <c r="D10523" s="68">
        <v>46802.0</v>
      </c>
      <c r="E10523" s="66">
        <v>1.0</v>
      </c>
      <c r="F10523" s="66" t="str">
        <f>IFERROR(__xludf.DUMMYFUNCTION("GOOGLETRANSLATE(A10523,""en"",""pt"")"),"#VALUE!")</f>
        <v>#VALUE!</v>
      </c>
      <c r="G10523" s="69"/>
    </row>
    <row r="10524" ht="22.5" customHeight="1">
      <c r="A10524" s="66"/>
      <c r="B10524" s="67" t="str">
        <f t="shared" si="16"/>
        <v>M: </v>
      </c>
      <c r="C10524" s="68"/>
      <c r="D10524" s="68">
        <v>46802.0</v>
      </c>
      <c r="E10524" s="66">
        <v>2.0</v>
      </c>
      <c r="F10524" s="66" t="str">
        <f>IFERROR(__xludf.DUMMYFUNCTION("GOOGLETRANSLATE(A10524,""en"",""pt"")"),"#VALUE!")</f>
        <v>#VALUE!</v>
      </c>
      <c r="G10524" s="69"/>
    </row>
    <row r="10525" ht="22.5" customHeight="1">
      <c r="A10525" s="66"/>
      <c r="B10525" s="67" t="str">
        <f t="shared" si="16"/>
        <v>M: </v>
      </c>
      <c r="C10525" s="68"/>
      <c r="D10525" s="68">
        <v>46802.0</v>
      </c>
      <c r="E10525" s="66">
        <v>3.0</v>
      </c>
      <c r="F10525" s="66" t="str">
        <f>IFERROR(__xludf.DUMMYFUNCTION("GOOGLETRANSLATE(A10525,""en"",""pt"")"),"#VALUE!")</f>
        <v>#VALUE!</v>
      </c>
      <c r="G10525" s="69"/>
    </row>
    <row r="10526" ht="22.5" customHeight="1">
      <c r="A10526" s="66"/>
      <c r="B10526" s="67" t="str">
        <f t="shared" si="16"/>
        <v>M: </v>
      </c>
      <c r="C10526" s="68"/>
      <c r="D10526" s="68">
        <v>46802.0</v>
      </c>
      <c r="E10526" s="66">
        <v>4.0</v>
      </c>
      <c r="F10526" s="66" t="str">
        <f>IFERROR(__xludf.DUMMYFUNCTION("GOOGLETRANSLATE(A10526,""en"",""pt"")"),"#VALUE!")</f>
        <v>#VALUE!</v>
      </c>
      <c r="G10526" s="69"/>
    </row>
    <row r="10527" ht="22.5" customHeight="1">
      <c r="A10527" s="66"/>
      <c r="B10527" s="67" t="str">
        <f t="shared" si="16"/>
        <v>M: </v>
      </c>
      <c r="C10527" s="68"/>
      <c r="D10527" s="68">
        <v>46802.0</v>
      </c>
      <c r="E10527" s="66">
        <v>5.0</v>
      </c>
      <c r="F10527" s="66" t="str">
        <f>IFERROR(__xludf.DUMMYFUNCTION("GOOGLETRANSLATE(A10527,""en"",""pt"")"),"#VALUE!")</f>
        <v>#VALUE!</v>
      </c>
      <c r="G10527" s="69"/>
    </row>
    <row r="10528" ht="22.5" customHeight="1">
      <c r="A10528" s="66"/>
      <c r="B10528" s="67" t="str">
        <f t="shared" si="16"/>
        <v>M: </v>
      </c>
      <c r="C10528" s="68"/>
      <c r="D10528" s="68">
        <v>46802.0</v>
      </c>
      <c r="E10528" s="66">
        <v>6.0</v>
      </c>
      <c r="F10528" s="66" t="str">
        <f>IFERROR(__xludf.DUMMYFUNCTION("GOOGLETRANSLATE(A10528,""en"",""pt"")"),"#VALUE!")</f>
        <v>#VALUE!</v>
      </c>
      <c r="G10528" s="69"/>
    </row>
    <row r="10529" ht="22.5" customHeight="1">
      <c r="A10529" s="66"/>
      <c r="B10529" s="67" t="str">
        <f t="shared" si="16"/>
        <v>M: </v>
      </c>
      <c r="C10529" s="68"/>
      <c r="D10529" s="68">
        <v>46802.0</v>
      </c>
      <c r="E10529" s="66">
        <v>7.0</v>
      </c>
      <c r="F10529" s="66" t="str">
        <f>IFERROR(__xludf.DUMMYFUNCTION("GOOGLETRANSLATE(A10529,""en"",""pt"")"),"#VALUE!")</f>
        <v>#VALUE!</v>
      </c>
      <c r="G10529" s="69"/>
    </row>
    <row r="10530" ht="22.5" customHeight="1">
      <c r="A10530" s="66"/>
      <c r="B10530" s="67" t="str">
        <f t="shared" si="16"/>
        <v>M: </v>
      </c>
      <c r="C10530" s="68"/>
      <c r="D10530" s="68">
        <v>46802.0</v>
      </c>
      <c r="E10530" s="66">
        <v>8.0</v>
      </c>
      <c r="F10530" s="66" t="str">
        <f>IFERROR(__xludf.DUMMYFUNCTION("GOOGLETRANSLATE(A10530,""en"",""pt"")"),"#VALUE!")</f>
        <v>#VALUE!</v>
      </c>
      <c r="G10530" s="69"/>
    </row>
    <row r="10531" ht="22.5" customHeight="1">
      <c r="A10531" s="66"/>
      <c r="B10531" s="67" t="str">
        <f t="shared" si="16"/>
        <v>M: </v>
      </c>
      <c r="C10531" s="68"/>
      <c r="D10531" s="68">
        <v>46802.0</v>
      </c>
      <c r="E10531" s="66">
        <v>9.0</v>
      </c>
      <c r="F10531" s="66" t="str">
        <f>IFERROR(__xludf.DUMMYFUNCTION("GOOGLETRANSLATE(A10531,""en"",""pt"")"),"#VALUE!")</f>
        <v>#VALUE!</v>
      </c>
      <c r="G10531" s="69"/>
    </row>
    <row r="10532" ht="22.5" customHeight="1">
      <c r="A10532" s="66"/>
      <c r="B10532" s="67" t="str">
        <f t="shared" si="16"/>
        <v>M: </v>
      </c>
      <c r="C10532" s="68"/>
      <c r="D10532" s="68">
        <v>46803.0</v>
      </c>
      <c r="E10532" s="66">
        <v>10.0</v>
      </c>
      <c r="F10532" s="66" t="str">
        <f>IFERROR(__xludf.DUMMYFUNCTION("GOOGLETRANSLATE(A10532,""en"",""pt"")"),"#VALUE!")</f>
        <v>#VALUE!</v>
      </c>
      <c r="G10532" s="69"/>
    </row>
    <row r="10533" ht="22.5" customHeight="1">
      <c r="A10533" s="66"/>
      <c r="B10533" s="67" t="str">
        <f t="shared" si="16"/>
        <v>M: </v>
      </c>
      <c r="C10533" s="68"/>
      <c r="D10533" s="68">
        <v>46803.0</v>
      </c>
      <c r="E10533" s="66">
        <v>1.0</v>
      </c>
      <c r="F10533" s="66" t="str">
        <f>IFERROR(__xludf.DUMMYFUNCTION("GOOGLETRANSLATE(A10533,""en"",""pt"")"),"#VALUE!")</f>
        <v>#VALUE!</v>
      </c>
      <c r="G10533" s="69"/>
    </row>
    <row r="10534" ht="22.5" customHeight="1">
      <c r="A10534" s="66"/>
      <c r="B10534" s="67" t="str">
        <f t="shared" si="16"/>
        <v>M: </v>
      </c>
      <c r="C10534" s="68"/>
      <c r="D10534" s="68">
        <v>46803.0</v>
      </c>
      <c r="E10534" s="66">
        <v>2.0</v>
      </c>
      <c r="F10534" s="66" t="str">
        <f>IFERROR(__xludf.DUMMYFUNCTION("GOOGLETRANSLATE(A10534,""en"",""pt"")"),"#VALUE!")</f>
        <v>#VALUE!</v>
      </c>
      <c r="G10534" s="69"/>
    </row>
    <row r="10535" ht="22.5" customHeight="1">
      <c r="A10535" s="66"/>
      <c r="B10535" s="67" t="str">
        <f t="shared" si="16"/>
        <v>M: </v>
      </c>
      <c r="C10535" s="68"/>
      <c r="D10535" s="68">
        <v>46803.0</v>
      </c>
      <c r="E10535" s="66">
        <v>3.0</v>
      </c>
      <c r="F10535" s="66" t="str">
        <f>IFERROR(__xludf.DUMMYFUNCTION("GOOGLETRANSLATE(A10535,""en"",""pt"")"),"#VALUE!")</f>
        <v>#VALUE!</v>
      </c>
      <c r="G10535" s="69"/>
    </row>
    <row r="10536" ht="22.5" customHeight="1">
      <c r="A10536" s="66"/>
      <c r="B10536" s="67" t="str">
        <f t="shared" si="16"/>
        <v>M: </v>
      </c>
      <c r="C10536" s="68"/>
      <c r="D10536" s="68">
        <v>46803.0</v>
      </c>
      <c r="E10536" s="66">
        <v>4.0</v>
      </c>
      <c r="F10536" s="66" t="str">
        <f>IFERROR(__xludf.DUMMYFUNCTION("GOOGLETRANSLATE(A10536,""en"",""pt"")"),"#VALUE!")</f>
        <v>#VALUE!</v>
      </c>
      <c r="G10536" s="69"/>
    </row>
    <row r="10537" ht="22.5" customHeight="1">
      <c r="A10537" s="66"/>
      <c r="B10537" s="67" t="str">
        <f t="shared" si="16"/>
        <v>M: </v>
      </c>
      <c r="C10537" s="68"/>
      <c r="D10537" s="68">
        <v>46803.0</v>
      </c>
      <c r="E10537" s="66">
        <v>5.0</v>
      </c>
      <c r="F10537" s="66" t="str">
        <f>IFERROR(__xludf.DUMMYFUNCTION("GOOGLETRANSLATE(A10537,""en"",""pt"")"),"#VALUE!")</f>
        <v>#VALUE!</v>
      </c>
      <c r="G10537" s="69"/>
    </row>
    <row r="10538" ht="22.5" customHeight="1">
      <c r="A10538" s="66"/>
      <c r="B10538" s="67" t="str">
        <f t="shared" si="16"/>
        <v>M: </v>
      </c>
      <c r="C10538" s="68"/>
      <c r="D10538" s="68">
        <v>46803.0</v>
      </c>
      <c r="E10538" s="66">
        <v>6.0</v>
      </c>
      <c r="F10538" s="66" t="str">
        <f>IFERROR(__xludf.DUMMYFUNCTION("GOOGLETRANSLATE(A10538,""en"",""pt"")"),"#VALUE!")</f>
        <v>#VALUE!</v>
      </c>
      <c r="G10538" s="69"/>
    </row>
    <row r="10539" ht="22.5" customHeight="1">
      <c r="A10539" s="66"/>
      <c r="B10539" s="67" t="str">
        <f t="shared" si="16"/>
        <v>M: </v>
      </c>
      <c r="C10539" s="68"/>
      <c r="D10539" s="68">
        <v>46803.0</v>
      </c>
      <c r="E10539" s="66">
        <v>7.0</v>
      </c>
      <c r="F10539" s="66" t="str">
        <f>IFERROR(__xludf.DUMMYFUNCTION("GOOGLETRANSLATE(A10539,""en"",""pt"")"),"#VALUE!")</f>
        <v>#VALUE!</v>
      </c>
      <c r="G10539" s="69"/>
    </row>
    <row r="10540" ht="22.5" customHeight="1">
      <c r="A10540" s="66"/>
      <c r="B10540" s="67" t="str">
        <f t="shared" si="16"/>
        <v>M: </v>
      </c>
      <c r="C10540" s="68"/>
      <c r="D10540" s="68">
        <v>46803.0</v>
      </c>
      <c r="E10540" s="66">
        <v>8.0</v>
      </c>
      <c r="F10540" s="66" t="str">
        <f>IFERROR(__xludf.DUMMYFUNCTION("GOOGLETRANSLATE(A10540,""en"",""pt"")"),"#VALUE!")</f>
        <v>#VALUE!</v>
      </c>
      <c r="G10540" s="69"/>
    </row>
    <row r="10541" ht="22.5" customHeight="1">
      <c r="A10541" s="66"/>
      <c r="B10541" s="67" t="str">
        <f t="shared" si="16"/>
        <v>M: </v>
      </c>
      <c r="C10541" s="68"/>
      <c r="D10541" s="68">
        <v>46803.0</v>
      </c>
      <c r="E10541" s="66">
        <v>9.0</v>
      </c>
      <c r="F10541" s="66" t="str">
        <f>IFERROR(__xludf.DUMMYFUNCTION("GOOGLETRANSLATE(A10541,""en"",""pt"")"),"#VALUE!")</f>
        <v>#VALUE!</v>
      </c>
      <c r="G10541" s="69"/>
    </row>
    <row r="10542" ht="22.5" customHeight="1">
      <c r="A10542" s="66"/>
      <c r="B10542" s="67" t="str">
        <f t="shared" si="16"/>
        <v>M: </v>
      </c>
      <c r="C10542" s="68"/>
      <c r="D10542" s="68">
        <v>46804.0</v>
      </c>
      <c r="E10542" s="66">
        <v>10.0</v>
      </c>
      <c r="F10542" s="66" t="str">
        <f>IFERROR(__xludf.DUMMYFUNCTION("GOOGLETRANSLATE(A10542,""en"",""pt"")"),"#VALUE!")</f>
        <v>#VALUE!</v>
      </c>
      <c r="G10542" s="69"/>
    </row>
    <row r="10543" ht="22.5" customHeight="1">
      <c r="A10543" s="66"/>
      <c r="B10543" s="67" t="str">
        <f t="shared" si="16"/>
        <v>M: </v>
      </c>
      <c r="C10543" s="68"/>
      <c r="D10543" s="68">
        <v>46804.0</v>
      </c>
      <c r="E10543" s="66">
        <v>1.0</v>
      </c>
      <c r="F10543" s="66" t="str">
        <f>IFERROR(__xludf.DUMMYFUNCTION("GOOGLETRANSLATE(A10543,""en"",""pt"")"),"#VALUE!")</f>
        <v>#VALUE!</v>
      </c>
      <c r="G10543" s="69"/>
    </row>
    <row r="10544" ht="22.5" customHeight="1">
      <c r="A10544" s="66"/>
      <c r="B10544" s="67" t="str">
        <f t="shared" si="16"/>
        <v>M: </v>
      </c>
      <c r="C10544" s="68"/>
      <c r="D10544" s="68">
        <v>46804.0</v>
      </c>
      <c r="E10544" s="66">
        <v>2.0</v>
      </c>
      <c r="F10544" s="66" t="str">
        <f>IFERROR(__xludf.DUMMYFUNCTION("GOOGLETRANSLATE(A10544,""en"",""pt"")"),"#VALUE!")</f>
        <v>#VALUE!</v>
      </c>
      <c r="G10544" s="69"/>
    </row>
    <row r="10545" ht="22.5" customHeight="1">
      <c r="A10545" s="66"/>
      <c r="B10545" s="67" t="str">
        <f t="shared" si="16"/>
        <v>M: </v>
      </c>
      <c r="C10545" s="68"/>
      <c r="D10545" s="68">
        <v>46804.0</v>
      </c>
      <c r="E10545" s="66">
        <v>3.0</v>
      </c>
      <c r="F10545" s="66" t="str">
        <f>IFERROR(__xludf.DUMMYFUNCTION("GOOGLETRANSLATE(A10545,""en"",""pt"")"),"#VALUE!")</f>
        <v>#VALUE!</v>
      </c>
      <c r="G10545" s="69"/>
    </row>
    <row r="10546" ht="22.5" customHeight="1">
      <c r="A10546" s="66"/>
      <c r="B10546" s="67" t="str">
        <f t="shared" si="16"/>
        <v>M: </v>
      </c>
      <c r="C10546" s="68"/>
      <c r="D10546" s="68">
        <v>46804.0</v>
      </c>
      <c r="E10546" s="66">
        <v>4.0</v>
      </c>
      <c r="F10546" s="66" t="str">
        <f>IFERROR(__xludf.DUMMYFUNCTION("GOOGLETRANSLATE(A10546,""en"",""pt"")"),"#VALUE!")</f>
        <v>#VALUE!</v>
      </c>
      <c r="G10546" s="69"/>
    </row>
    <row r="10547" ht="22.5" customHeight="1">
      <c r="A10547" s="66"/>
      <c r="B10547" s="67" t="str">
        <f t="shared" si="16"/>
        <v>M: </v>
      </c>
      <c r="C10547" s="68"/>
      <c r="D10547" s="68">
        <v>46804.0</v>
      </c>
      <c r="E10547" s="66">
        <v>5.0</v>
      </c>
      <c r="F10547" s="66" t="str">
        <f>IFERROR(__xludf.DUMMYFUNCTION("GOOGLETRANSLATE(A10547,""en"",""pt"")"),"#VALUE!")</f>
        <v>#VALUE!</v>
      </c>
      <c r="G10547" s="69"/>
    </row>
    <row r="10548" ht="22.5" customHeight="1">
      <c r="A10548" s="66"/>
      <c r="B10548" s="67" t="str">
        <f t="shared" si="16"/>
        <v>M: </v>
      </c>
      <c r="C10548" s="68"/>
      <c r="D10548" s="68">
        <v>46804.0</v>
      </c>
      <c r="E10548" s="66">
        <v>6.0</v>
      </c>
      <c r="F10548" s="66" t="str">
        <f>IFERROR(__xludf.DUMMYFUNCTION("GOOGLETRANSLATE(A10548,""en"",""pt"")"),"#VALUE!")</f>
        <v>#VALUE!</v>
      </c>
      <c r="G10548" s="69"/>
    </row>
    <row r="10549" ht="22.5" customHeight="1">
      <c r="A10549" s="66"/>
      <c r="B10549" s="67" t="str">
        <f t="shared" si="16"/>
        <v>M: </v>
      </c>
      <c r="C10549" s="68"/>
      <c r="D10549" s="68">
        <v>46804.0</v>
      </c>
      <c r="E10549" s="66">
        <v>7.0</v>
      </c>
      <c r="F10549" s="66" t="str">
        <f>IFERROR(__xludf.DUMMYFUNCTION("GOOGLETRANSLATE(A10549,""en"",""pt"")"),"#VALUE!")</f>
        <v>#VALUE!</v>
      </c>
      <c r="G10549" s="69"/>
    </row>
    <row r="10550" ht="22.5" customHeight="1">
      <c r="A10550" s="66"/>
      <c r="B10550" s="67" t="str">
        <f t="shared" si="16"/>
        <v>M: </v>
      </c>
      <c r="C10550" s="68"/>
      <c r="D10550" s="68">
        <v>46804.0</v>
      </c>
      <c r="E10550" s="66">
        <v>8.0</v>
      </c>
      <c r="F10550" s="66" t="str">
        <f>IFERROR(__xludf.DUMMYFUNCTION("GOOGLETRANSLATE(A10550,""en"",""pt"")"),"#VALUE!")</f>
        <v>#VALUE!</v>
      </c>
      <c r="G10550" s="69"/>
    </row>
    <row r="10551" ht="22.5" customHeight="1">
      <c r="A10551" s="66"/>
      <c r="B10551" s="67" t="str">
        <f t="shared" si="16"/>
        <v>M: </v>
      </c>
      <c r="C10551" s="68"/>
      <c r="D10551" s="68">
        <v>46804.0</v>
      </c>
      <c r="E10551" s="66">
        <v>9.0</v>
      </c>
      <c r="F10551" s="66" t="str">
        <f>IFERROR(__xludf.DUMMYFUNCTION("GOOGLETRANSLATE(A10551,""en"",""pt"")"),"#VALUE!")</f>
        <v>#VALUE!</v>
      </c>
      <c r="G10551" s="69"/>
    </row>
    <row r="10552" ht="22.5" customHeight="1">
      <c r="A10552" s="66"/>
      <c r="B10552" s="67" t="str">
        <f t="shared" si="16"/>
        <v>M: </v>
      </c>
      <c r="C10552" s="68"/>
      <c r="D10552" s="68">
        <v>46805.0</v>
      </c>
      <c r="E10552" s="66">
        <v>10.0</v>
      </c>
      <c r="F10552" s="66" t="str">
        <f>IFERROR(__xludf.DUMMYFUNCTION("GOOGLETRANSLATE(A10552,""en"",""pt"")"),"#VALUE!")</f>
        <v>#VALUE!</v>
      </c>
      <c r="G10552" s="69"/>
    </row>
    <row r="10553" ht="22.5" customHeight="1">
      <c r="A10553" s="66"/>
      <c r="B10553" s="67" t="str">
        <f t="shared" si="16"/>
        <v>M: </v>
      </c>
      <c r="C10553" s="68"/>
      <c r="D10553" s="68">
        <v>46805.0</v>
      </c>
      <c r="E10553" s="66">
        <v>1.0</v>
      </c>
      <c r="F10553" s="66" t="str">
        <f>IFERROR(__xludf.DUMMYFUNCTION("GOOGLETRANSLATE(A10553,""en"",""pt"")"),"#VALUE!")</f>
        <v>#VALUE!</v>
      </c>
      <c r="G10553" s="69"/>
    </row>
    <row r="10554" ht="22.5" customHeight="1">
      <c r="A10554" s="66"/>
      <c r="B10554" s="67" t="str">
        <f t="shared" si="16"/>
        <v>M: </v>
      </c>
      <c r="C10554" s="68"/>
      <c r="D10554" s="68">
        <v>46805.0</v>
      </c>
      <c r="E10554" s="66">
        <v>2.0</v>
      </c>
      <c r="F10554" s="66" t="str">
        <f>IFERROR(__xludf.DUMMYFUNCTION("GOOGLETRANSLATE(A10554,""en"",""pt"")"),"#VALUE!")</f>
        <v>#VALUE!</v>
      </c>
      <c r="G10554" s="69"/>
    </row>
    <row r="10555" ht="22.5" customHeight="1">
      <c r="A10555" s="66"/>
      <c r="B10555" s="67" t="str">
        <f t="shared" si="16"/>
        <v>M: </v>
      </c>
      <c r="C10555" s="68"/>
      <c r="D10555" s="68">
        <v>46805.0</v>
      </c>
      <c r="E10555" s="66">
        <v>3.0</v>
      </c>
      <c r="F10555" s="66" t="str">
        <f>IFERROR(__xludf.DUMMYFUNCTION("GOOGLETRANSLATE(A10555,""en"",""pt"")"),"#VALUE!")</f>
        <v>#VALUE!</v>
      </c>
      <c r="G10555" s="69"/>
    </row>
    <row r="10556" ht="22.5" customHeight="1">
      <c r="A10556" s="66"/>
      <c r="B10556" s="67" t="str">
        <f t="shared" si="16"/>
        <v>M: </v>
      </c>
      <c r="C10556" s="68"/>
      <c r="D10556" s="68">
        <v>46805.0</v>
      </c>
      <c r="E10556" s="66">
        <v>4.0</v>
      </c>
      <c r="F10556" s="66" t="str">
        <f>IFERROR(__xludf.DUMMYFUNCTION("GOOGLETRANSLATE(A10556,""en"",""pt"")"),"#VALUE!")</f>
        <v>#VALUE!</v>
      </c>
      <c r="G10556" s="69"/>
    </row>
    <row r="10557" ht="22.5" customHeight="1">
      <c r="A10557" s="66"/>
      <c r="B10557" s="67" t="str">
        <f t="shared" si="16"/>
        <v>M: </v>
      </c>
      <c r="C10557" s="68"/>
      <c r="D10557" s="68">
        <v>46805.0</v>
      </c>
      <c r="E10557" s="66">
        <v>5.0</v>
      </c>
      <c r="F10557" s="66" t="str">
        <f>IFERROR(__xludf.DUMMYFUNCTION("GOOGLETRANSLATE(A10557,""en"",""pt"")"),"#VALUE!")</f>
        <v>#VALUE!</v>
      </c>
      <c r="G10557" s="69"/>
    </row>
    <row r="10558" ht="22.5" customHeight="1">
      <c r="A10558" s="66"/>
      <c r="B10558" s="67" t="str">
        <f t="shared" si="16"/>
        <v>M: </v>
      </c>
      <c r="C10558" s="68"/>
      <c r="D10558" s="68">
        <v>46805.0</v>
      </c>
      <c r="E10558" s="66">
        <v>6.0</v>
      </c>
      <c r="F10558" s="66" t="str">
        <f>IFERROR(__xludf.DUMMYFUNCTION("GOOGLETRANSLATE(A10558,""en"",""pt"")"),"#VALUE!")</f>
        <v>#VALUE!</v>
      </c>
      <c r="G10558" s="69"/>
    </row>
    <row r="10559" ht="22.5" customHeight="1">
      <c r="A10559" s="66"/>
      <c r="B10559" s="67" t="str">
        <f t="shared" si="16"/>
        <v>M: </v>
      </c>
      <c r="C10559" s="68"/>
      <c r="D10559" s="68">
        <v>46805.0</v>
      </c>
      <c r="E10559" s="66">
        <v>7.0</v>
      </c>
      <c r="F10559" s="66" t="str">
        <f>IFERROR(__xludf.DUMMYFUNCTION("GOOGLETRANSLATE(A10559,""en"",""pt"")"),"#VALUE!")</f>
        <v>#VALUE!</v>
      </c>
      <c r="G10559" s="69"/>
    </row>
    <row r="10560" ht="22.5" customHeight="1">
      <c r="A10560" s="66"/>
      <c r="B10560" s="67" t="str">
        <f t="shared" si="16"/>
        <v>M: </v>
      </c>
      <c r="C10560" s="68"/>
      <c r="D10560" s="68">
        <v>46805.0</v>
      </c>
      <c r="E10560" s="66">
        <v>8.0</v>
      </c>
      <c r="F10560" s="66" t="str">
        <f>IFERROR(__xludf.DUMMYFUNCTION("GOOGLETRANSLATE(A10560,""en"",""pt"")"),"#VALUE!")</f>
        <v>#VALUE!</v>
      </c>
      <c r="G10560" s="69"/>
    </row>
    <row r="10561" ht="22.5" customHeight="1">
      <c r="A10561" s="66"/>
      <c r="B10561" s="67" t="str">
        <f t="shared" si="16"/>
        <v>M: </v>
      </c>
      <c r="C10561" s="68"/>
      <c r="D10561" s="68">
        <v>46805.0</v>
      </c>
      <c r="E10561" s="66">
        <v>9.0</v>
      </c>
      <c r="F10561" s="66" t="str">
        <f>IFERROR(__xludf.DUMMYFUNCTION("GOOGLETRANSLATE(A10561,""en"",""pt"")"),"#VALUE!")</f>
        <v>#VALUE!</v>
      </c>
      <c r="G10561" s="69"/>
    </row>
    <row r="10562" ht="22.5" customHeight="1">
      <c r="A10562" s="66"/>
      <c r="B10562" s="67" t="str">
        <f t="shared" si="16"/>
        <v>M: </v>
      </c>
      <c r="C10562" s="68"/>
      <c r="D10562" s="68">
        <v>46806.0</v>
      </c>
      <c r="E10562" s="66">
        <v>10.0</v>
      </c>
      <c r="F10562" s="66" t="str">
        <f>IFERROR(__xludf.DUMMYFUNCTION("GOOGLETRANSLATE(A10562,""en"",""pt"")"),"#VALUE!")</f>
        <v>#VALUE!</v>
      </c>
      <c r="G10562" s="69"/>
    </row>
    <row r="10563" ht="22.5" customHeight="1">
      <c r="A10563" s="66"/>
      <c r="B10563" s="67" t="str">
        <f t="shared" si="16"/>
        <v>M: </v>
      </c>
      <c r="C10563" s="68"/>
      <c r="D10563" s="68">
        <v>46806.0</v>
      </c>
      <c r="E10563" s="66">
        <v>1.0</v>
      </c>
      <c r="F10563" s="66" t="str">
        <f>IFERROR(__xludf.DUMMYFUNCTION("GOOGLETRANSLATE(A10563,""en"",""pt"")"),"#VALUE!")</f>
        <v>#VALUE!</v>
      </c>
      <c r="G10563" s="69"/>
    </row>
    <row r="10564" ht="22.5" customHeight="1">
      <c r="A10564" s="66"/>
      <c r="B10564" s="67" t="str">
        <f t="shared" si="16"/>
        <v>M: </v>
      </c>
      <c r="C10564" s="68"/>
      <c r="D10564" s="68">
        <v>46806.0</v>
      </c>
      <c r="E10564" s="66">
        <v>2.0</v>
      </c>
      <c r="F10564" s="66" t="str">
        <f>IFERROR(__xludf.DUMMYFUNCTION("GOOGLETRANSLATE(A10564,""en"",""pt"")"),"#VALUE!")</f>
        <v>#VALUE!</v>
      </c>
      <c r="G10564" s="69"/>
    </row>
    <row r="10565" ht="22.5" customHeight="1">
      <c r="A10565" s="66"/>
      <c r="B10565" s="67" t="str">
        <f t="shared" si="16"/>
        <v>M: </v>
      </c>
      <c r="C10565" s="68"/>
      <c r="D10565" s="68">
        <v>46806.0</v>
      </c>
      <c r="E10565" s="66">
        <v>3.0</v>
      </c>
      <c r="F10565" s="66" t="str">
        <f>IFERROR(__xludf.DUMMYFUNCTION("GOOGLETRANSLATE(A10565,""en"",""pt"")"),"#VALUE!")</f>
        <v>#VALUE!</v>
      </c>
      <c r="G10565" s="69"/>
    </row>
    <row r="10566" ht="22.5" customHeight="1">
      <c r="A10566" s="66"/>
      <c r="B10566" s="67" t="str">
        <f t="shared" si="16"/>
        <v>M: </v>
      </c>
      <c r="C10566" s="68"/>
      <c r="D10566" s="68">
        <v>46806.0</v>
      </c>
      <c r="E10566" s="66">
        <v>4.0</v>
      </c>
      <c r="F10566" s="66" t="str">
        <f>IFERROR(__xludf.DUMMYFUNCTION("GOOGLETRANSLATE(A10566,""en"",""pt"")"),"#VALUE!")</f>
        <v>#VALUE!</v>
      </c>
      <c r="G10566" s="69"/>
    </row>
    <row r="10567" ht="22.5" customHeight="1">
      <c r="A10567" s="66"/>
      <c r="B10567" s="67" t="str">
        <f t="shared" si="16"/>
        <v>M: </v>
      </c>
      <c r="C10567" s="68"/>
      <c r="D10567" s="68">
        <v>46806.0</v>
      </c>
      <c r="E10567" s="66">
        <v>5.0</v>
      </c>
      <c r="F10567" s="66" t="str">
        <f>IFERROR(__xludf.DUMMYFUNCTION("GOOGLETRANSLATE(A10567,""en"",""pt"")"),"#VALUE!")</f>
        <v>#VALUE!</v>
      </c>
      <c r="G10567" s="69"/>
    </row>
    <row r="10568" ht="22.5" customHeight="1">
      <c r="A10568" s="66"/>
      <c r="B10568" s="67" t="str">
        <f t="shared" si="16"/>
        <v>M: </v>
      </c>
      <c r="C10568" s="68"/>
      <c r="D10568" s="68">
        <v>46806.0</v>
      </c>
      <c r="E10568" s="66">
        <v>6.0</v>
      </c>
      <c r="F10568" s="66" t="str">
        <f>IFERROR(__xludf.DUMMYFUNCTION("GOOGLETRANSLATE(A10568,""en"",""pt"")"),"#VALUE!")</f>
        <v>#VALUE!</v>
      </c>
      <c r="G10568" s="69"/>
    </row>
    <row r="10569" ht="22.5" customHeight="1">
      <c r="A10569" s="66"/>
      <c r="B10569" s="67" t="str">
        <f t="shared" si="16"/>
        <v>M: </v>
      </c>
      <c r="C10569" s="68"/>
      <c r="D10569" s="68">
        <v>46806.0</v>
      </c>
      <c r="E10569" s="66">
        <v>7.0</v>
      </c>
      <c r="F10569" s="66" t="str">
        <f>IFERROR(__xludf.DUMMYFUNCTION("GOOGLETRANSLATE(A10569,""en"",""pt"")"),"#VALUE!")</f>
        <v>#VALUE!</v>
      </c>
      <c r="G10569" s="69"/>
    </row>
    <row r="10570" ht="22.5" customHeight="1">
      <c r="A10570" s="66"/>
      <c r="B10570" s="67" t="str">
        <f t="shared" si="16"/>
        <v>M: </v>
      </c>
      <c r="C10570" s="68"/>
      <c r="D10570" s="68">
        <v>46806.0</v>
      </c>
      <c r="E10570" s="66">
        <v>8.0</v>
      </c>
      <c r="F10570" s="66" t="str">
        <f>IFERROR(__xludf.DUMMYFUNCTION("GOOGLETRANSLATE(A10570,""en"",""pt"")"),"#VALUE!")</f>
        <v>#VALUE!</v>
      </c>
      <c r="G10570" s="69"/>
    </row>
    <row r="10571" ht="22.5" customHeight="1">
      <c r="A10571" s="66"/>
      <c r="B10571" s="67" t="str">
        <f t="shared" si="16"/>
        <v>M: </v>
      </c>
      <c r="C10571" s="68"/>
      <c r="D10571" s="68">
        <v>46806.0</v>
      </c>
      <c r="E10571" s="66">
        <v>9.0</v>
      </c>
      <c r="F10571" s="66" t="str">
        <f>IFERROR(__xludf.DUMMYFUNCTION("GOOGLETRANSLATE(A10571,""en"",""pt"")"),"#VALUE!")</f>
        <v>#VALUE!</v>
      </c>
      <c r="G10571" s="69"/>
    </row>
    <row r="10572" ht="22.5" customHeight="1">
      <c r="A10572" s="66"/>
      <c r="B10572" s="67" t="str">
        <f t="shared" si="16"/>
        <v>M: </v>
      </c>
      <c r="C10572" s="68"/>
      <c r="D10572" s="68">
        <v>46807.0</v>
      </c>
      <c r="E10572" s="66">
        <v>10.0</v>
      </c>
      <c r="F10572" s="66" t="str">
        <f>IFERROR(__xludf.DUMMYFUNCTION("GOOGLETRANSLATE(A10572,""en"",""pt"")"),"#VALUE!")</f>
        <v>#VALUE!</v>
      </c>
      <c r="G10572" s="69"/>
    </row>
    <row r="10573" ht="22.5" customHeight="1">
      <c r="A10573" s="66"/>
      <c r="B10573" s="67" t="str">
        <f t="shared" si="16"/>
        <v>M: </v>
      </c>
      <c r="C10573" s="68"/>
      <c r="D10573" s="68">
        <v>46807.0</v>
      </c>
      <c r="E10573" s="66">
        <v>1.0</v>
      </c>
      <c r="F10573" s="66" t="str">
        <f>IFERROR(__xludf.DUMMYFUNCTION("GOOGLETRANSLATE(A10573,""en"",""pt"")"),"#VALUE!")</f>
        <v>#VALUE!</v>
      </c>
      <c r="G10573" s="69"/>
    </row>
    <row r="10574" ht="22.5" customHeight="1">
      <c r="A10574" s="66"/>
      <c r="B10574" s="67" t="str">
        <f t="shared" si="16"/>
        <v>M: </v>
      </c>
      <c r="C10574" s="68"/>
      <c r="D10574" s="68">
        <v>46807.0</v>
      </c>
      <c r="E10574" s="66">
        <v>2.0</v>
      </c>
      <c r="F10574" s="66" t="str">
        <f>IFERROR(__xludf.DUMMYFUNCTION("GOOGLETRANSLATE(A10574,""en"",""pt"")"),"#VALUE!")</f>
        <v>#VALUE!</v>
      </c>
      <c r="G10574" s="69"/>
    </row>
    <row r="10575" ht="22.5" customHeight="1">
      <c r="A10575" s="66"/>
      <c r="B10575" s="67" t="str">
        <f t="shared" si="16"/>
        <v>M: </v>
      </c>
      <c r="C10575" s="68"/>
      <c r="D10575" s="68">
        <v>46807.0</v>
      </c>
      <c r="E10575" s="66">
        <v>3.0</v>
      </c>
      <c r="F10575" s="66" t="str">
        <f>IFERROR(__xludf.DUMMYFUNCTION("GOOGLETRANSLATE(A10575,""en"",""pt"")"),"#VALUE!")</f>
        <v>#VALUE!</v>
      </c>
      <c r="G10575" s="69"/>
    </row>
    <row r="10576" ht="22.5" customHeight="1">
      <c r="A10576" s="66"/>
      <c r="B10576" s="67" t="str">
        <f t="shared" si="16"/>
        <v>M: </v>
      </c>
      <c r="C10576" s="68"/>
      <c r="D10576" s="68">
        <v>46807.0</v>
      </c>
      <c r="E10576" s="66">
        <v>4.0</v>
      </c>
      <c r="F10576" s="66" t="str">
        <f>IFERROR(__xludf.DUMMYFUNCTION("GOOGLETRANSLATE(A10576,""en"",""pt"")"),"#VALUE!")</f>
        <v>#VALUE!</v>
      </c>
      <c r="G10576" s="69"/>
    </row>
    <row r="10577" ht="22.5" customHeight="1">
      <c r="A10577" s="66"/>
      <c r="B10577" s="67" t="str">
        <f t="shared" si="16"/>
        <v>M: </v>
      </c>
      <c r="C10577" s="68"/>
      <c r="D10577" s="68">
        <v>46807.0</v>
      </c>
      <c r="E10577" s="66">
        <v>5.0</v>
      </c>
      <c r="F10577" s="66" t="str">
        <f>IFERROR(__xludf.DUMMYFUNCTION("GOOGLETRANSLATE(A10577,""en"",""pt"")"),"#VALUE!")</f>
        <v>#VALUE!</v>
      </c>
      <c r="G10577" s="69"/>
    </row>
    <row r="10578" ht="22.5" customHeight="1">
      <c r="A10578" s="66"/>
      <c r="B10578" s="67" t="str">
        <f t="shared" si="16"/>
        <v>M: </v>
      </c>
      <c r="C10578" s="68"/>
      <c r="D10578" s="68">
        <v>46807.0</v>
      </c>
      <c r="E10578" s="66">
        <v>6.0</v>
      </c>
      <c r="F10578" s="66" t="str">
        <f>IFERROR(__xludf.DUMMYFUNCTION("GOOGLETRANSLATE(A10578,""en"",""pt"")"),"#VALUE!")</f>
        <v>#VALUE!</v>
      </c>
      <c r="G10578" s="69"/>
    </row>
    <row r="10579" ht="22.5" customHeight="1">
      <c r="A10579" s="66"/>
      <c r="B10579" s="67" t="str">
        <f t="shared" si="16"/>
        <v>M: </v>
      </c>
      <c r="C10579" s="68"/>
      <c r="D10579" s="68">
        <v>46807.0</v>
      </c>
      <c r="E10579" s="66">
        <v>7.0</v>
      </c>
      <c r="F10579" s="66" t="str">
        <f>IFERROR(__xludf.DUMMYFUNCTION("GOOGLETRANSLATE(A10579,""en"",""pt"")"),"#VALUE!")</f>
        <v>#VALUE!</v>
      </c>
      <c r="G10579" s="69"/>
    </row>
    <row r="10580" ht="22.5" customHeight="1">
      <c r="A10580" s="66"/>
      <c r="B10580" s="67" t="str">
        <f t="shared" si="16"/>
        <v>M: </v>
      </c>
      <c r="C10580" s="68"/>
      <c r="D10580" s="68">
        <v>46807.0</v>
      </c>
      <c r="E10580" s="66">
        <v>8.0</v>
      </c>
      <c r="F10580" s="66" t="str">
        <f>IFERROR(__xludf.DUMMYFUNCTION("GOOGLETRANSLATE(A10580,""en"",""pt"")"),"#VALUE!")</f>
        <v>#VALUE!</v>
      </c>
      <c r="G10580" s="69"/>
    </row>
    <row r="10581" ht="22.5" customHeight="1">
      <c r="A10581" s="66"/>
      <c r="B10581" s="67" t="str">
        <f t="shared" si="16"/>
        <v>M: </v>
      </c>
      <c r="C10581" s="68"/>
      <c r="D10581" s="68">
        <v>46807.0</v>
      </c>
      <c r="E10581" s="66">
        <v>9.0</v>
      </c>
      <c r="F10581" s="66" t="str">
        <f>IFERROR(__xludf.DUMMYFUNCTION("GOOGLETRANSLATE(A10581,""en"",""pt"")"),"#VALUE!")</f>
        <v>#VALUE!</v>
      </c>
      <c r="G10581" s="69"/>
    </row>
    <row r="10582" ht="22.5" customHeight="1">
      <c r="A10582" s="66"/>
      <c r="B10582" s="67" t="str">
        <f t="shared" si="16"/>
        <v>M: </v>
      </c>
      <c r="C10582" s="68"/>
      <c r="D10582" s="68">
        <v>46808.0</v>
      </c>
      <c r="E10582" s="66">
        <v>10.0</v>
      </c>
      <c r="F10582" s="66" t="str">
        <f>IFERROR(__xludf.DUMMYFUNCTION("GOOGLETRANSLATE(A10582,""en"",""pt"")"),"#VALUE!")</f>
        <v>#VALUE!</v>
      </c>
      <c r="G10582" s="69"/>
    </row>
    <row r="10583" ht="22.5" customHeight="1">
      <c r="A10583" s="66"/>
      <c r="B10583" s="67" t="str">
        <f t="shared" si="16"/>
        <v>M: </v>
      </c>
      <c r="C10583" s="68"/>
      <c r="D10583" s="68">
        <v>46808.0</v>
      </c>
      <c r="E10583" s="66">
        <v>1.0</v>
      </c>
      <c r="F10583" s="66" t="str">
        <f>IFERROR(__xludf.DUMMYFUNCTION("GOOGLETRANSLATE(A10583,""en"",""pt"")"),"#VALUE!")</f>
        <v>#VALUE!</v>
      </c>
      <c r="G10583" s="69"/>
    </row>
    <row r="10584" ht="22.5" customHeight="1">
      <c r="A10584" s="66"/>
      <c r="B10584" s="67" t="str">
        <f t="shared" si="16"/>
        <v>M: </v>
      </c>
      <c r="C10584" s="68"/>
      <c r="D10584" s="68">
        <v>46808.0</v>
      </c>
      <c r="E10584" s="66">
        <v>2.0</v>
      </c>
      <c r="F10584" s="66" t="str">
        <f>IFERROR(__xludf.DUMMYFUNCTION("GOOGLETRANSLATE(A10584,""en"",""pt"")"),"#VALUE!")</f>
        <v>#VALUE!</v>
      </c>
      <c r="G10584" s="69"/>
    </row>
    <row r="10585" ht="22.5" customHeight="1">
      <c r="A10585" s="66"/>
      <c r="B10585" s="67" t="str">
        <f t="shared" si="16"/>
        <v>M: </v>
      </c>
      <c r="C10585" s="68"/>
      <c r="D10585" s="68">
        <v>46808.0</v>
      </c>
      <c r="E10585" s="66">
        <v>3.0</v>
      </c>
      <c r="F10585" s="66" t="str">
        <f>IFERROR(__xludf.DUMMYFUNCTION("GOOGLETRANSLATE(A10585,""en"",""pt"")"),"#VALUE!")</f>
        <v>#VALUE!</v>
      </c>
      <c r="G10585" s="69"/>
    </row>
    <row r="10586" ht="22.5" customHeight="1">
      <c r="A10586" s="66"/>
      <c r="B10586" s="67" t="str">
        <f t="shared" si="16"/>
        <v>M: </v>
      </c>
      <c r="C10586" s="68"/>
      <c r="D10586" s="68">
        <v>46808.0</v>
      </c>
      <c r="E10586" s="66">
        <v>4.0</v>
      </c>
      <c r="F10586" s="66" t="str">
        <f>IFERROR(__xludf.DUMMYFUNCTION("GOOGLETRANSLATE(A10586,""en"",""pt"")"),"#VALUE!")</f>
        <v>#VALUE!</v>
      </c>
      <c r="G10586" s="69"/>
    </row>
    <row r="10587" ht="22.5" customHeight="1">
      <c r="A10587" s="66"/>
      <c r="B10587" s="67" t="str">
        <f t="shared" si="16"/>
        <v>M: </v>
      </c>
      <c r="C10587" s="68"/>
      <c r="D10587" s="68">
        <v>46808.0</v>
      </c>
      <c r="E10587" s="66">
        <v>5.0</v>
      </c>
      <c r="F10587" s="66" t="str">
        <f>IFERROR(__xludf.DUMMYFUNCTION("GOOGLETRANSLATE(A10587,""en"",""pt"")"),"#VALUE!")</f>
        <v>#VALUE!</v>
      </c>
      <c r="G10587" s="69"/>
    </row>
    <row r="10588" ht="22.5" customHeight="1">
      <c r="A10588" s="66"/>
      <c r="B10588" s="67" t="str">
        <f t="shared" si="16"/>
        <v>M: </v>
      </c>
      <c r="C10588" s="68"/>
      <c r="D10588" s="68">
        <v>46808.0</v>
      </c>
      <c r="E10588" s="66">
        <v>6.0</v>
      </c>
      <c r="F10588" s="66" t="str">
        <f>IFERROR(__xludf.DUMMYFUNCTION("GOOGLETRANSLATE(A10588,""en"",""pt"")"),"#VALUE!")</f>
        <v>#VALUE!</v>
      </c>
      <c r="G10588" s="69"/>
    </row>
    <row r="10589" ht="22.5" customHeight="1">
      <c r="A10589" s="66"/>
      <c r="B10589" s="67" t="str">
        <f t="shared" si="16"/>
        <v>M: </v>
      </c>
      <c r="C10589" s="68"/>
      <c r="D10589" s="68">
        <v>46808.0</v>
      </c>
      <c r="E10589" s="66">
        <v>7.0</v>
      </c>
      <c r="F10589" s="66" t="str">
        <f>IFERROR(__xludf.DUMMYFUNCTION("GOOGLETRANSLATE(A10589,""en"",""pt"")"),"#VALUE!")</f>
        <v>#VALUE!</v>
      </c>
      <c r="G10589" s="69"/>
    </row>
    <row r="10590" ht="22.5" customHeight="1">
      <c r="A10590" s="66"/>
      <c r="B10590" s="67" t="str">
        <f t="shared" si="16"/>
        <v>M: </v>
      </c>
      <c r="C10590" s="68"/>
      <c r="D10590" s="68">
        <v>46808.0</v>
      </c>
      <c r="E10590" s="66">
        <v>8.0</v>
      </c>
      <c r="F10590" s="66" t="str">
        <f>IFERROR(__xludf.DUMMYFUNCTION("GOOGLETRANSLATE(A10590,""en"",""pt"")"),"#VALUE!")</f>
        <v>#VALUE!</v>
      </c>
      <c r="G10590" s="69"/>
    </row>
    <row r="10591" ht="22.5" customHeight="1">
      <c r="A10591" s="66"/>
      <c r="B10591" s="67" t="str">
        <f t="shared" si="16"/>
        <v>M: </v>
      </c>
      <c r="C10591" s="68"/>
      <c r="D10591" s="68">
        <v>46808.0</v>
      </c>
      <c r="E10591" s="66">
        <v>9.0</v>
      </c>
      <c r="F10591" s="66" t="str">
        <f>IFERROR(__xludf.DUMMYFUNCTION("GOOGLETRANSLATE(A10591,""en"",""pt"")"),"#VALUE!")</f>
        <v>#VALUE!</v>
      </c>
      <c r="G10591" s="69"/>
    </row>
    <row r="10592" ht="22.5" customHeight="1">
      <c r="A10592" s="66"/>
      <c r="B10592" s="67" t="str">
        <f t="shared" si="16"/>
        <v>M: </v>
      </c>
      <c r="C10592" s="68"/>
      <c r="D10592" s="68">
        <v>46809.0</v>
      </c>
      <c r="E10592" s="66">
        <v>10.0</v>
      </c>
      <c r="F10592" s="66" t="str">
        <f>IFERROR(__xludf.DUMMYFUNCTION("GOOGLETRANSLATE(A10592,""en"",""pt"")"),"#VALUE!")</f>
        <v>#VALUE!</v>
      </c>
      <c r="G10592" s="69"/>
    </row>
    <row r="10593" ht="22.5" customHeight="1">
      <c r="A10593" s="66"/>
      <c r="B10593" s="67" t="str">
        <f t="shared" si="16"/>
        <v>M: </v>
      </c>
      <c r="C10593" s="68"/>
      <c r="D10593" s="68">
        <v>46809.0</v>
      </c>
      <c r="E10593" s="66">
        <v>1.0</v>
      </c>
      <c r="F10593" s="66" t="str">
        <f>IFERROR(__xludf.DUMMYFUNCTION("GOOGLETRANSLATE(A10593,""en"",""pt"")"),"#VALUE!")</f>
        <v>#VALUE!</v>
      </c>
      <c r="G10593" s="69"/>
    </row>
    <row r="10594" ht="22.5" customHeight="1">
      <c r="A10594" s="66"/>
      <c r="B10594" s="67" t="str">
        <f t="shared" si="16"/>
        <v>M: </v>
      </c>
      <c r="C10594" s="68"/>
      <c r="D10594" s="68">
        <v>46809.0</v>
      </c>
      <c r="E10594" s="66">
        <v>2.0</v>
      </c>
      <c r="F10594" s="66" t="str">
        <f>IFERROR(__xludf.DUMMYFUNCTION("GOOGLETRANSLATE(A10594,""en"",""pt"")"),"#VALUE!")</f>
        <v>#VALUE!</v>
      </c>
      <c r="G10594" s="69"/>
    </row>
    <row r="10595" ht="22.5" customHeight="1">
      <c r="A10595" s="66"/>
      <c r="B10595" s="67" t="str">
        <f t="shared" si="16"/>
        <v>M: </v>
      </c>
      <c r="C10595" s="68"/>
      <c r="D10595" s="68">
        <v>46809.0</v>
      </c>
      <c r="E10595" s="66">
        <v>3.0</v>
      </c>
      <c r="F10595" s="66" t="str">
        <f>IFERROR(__xludf.DUMMYFUNCTION("GOOGLETRANSLATE(A10595,""en"",""pt"")"),"#VALUE!")</f>
        <v>#VALUE!</v>
      </c>
      <c r="G10595" s="69"/>
    </row>
    <row r="10596" ht="22.5" customHeight="1">
      <c r="A10596" s="66"/>
      <c r="B10596" s="67" t="str">
        <f t="shared" si="16"/>
        <v>M: </v>
      </c>
      <c r="C10596" s="68"/>
      <c r="D10596" s="68">
        <v>46809.0</v>
      </c>
      <c r="E10596" s="66">
        <v>4.0</v>
      </c>
      <c r="F10596" s="66" t="str">
        <f>IFERROR(__xludf.DUMMYFUNCTION("GOOGLETRANSLATE(A10596,""en"",""pt"")"),"#VALUE!")</f>
        <v>#VALUE!</v>
      </c>
      <c r="G10596" s="69"/>
    </row>
    <row r="10597" ht="22.5" customHeight="1">
      <c r="A10597" s="66"/>
      <c r="B10597" s="67" t="str">
        <f t="shared" si="16"/>
        <v>M: </v>
      </c>
      <c r="C10597" s="68"/>
      <c r="D10597" s="68">
        <v>46809.0</v>
      </c>
      <c r="E10597" s="66">
        <v>5.0</v>
      </c>
      <c r="F10597" s="66" t="str">
        <f>IFERROR(__xludf.DUMMYFUNCTION("GOOGLETRANSLATE(A10597,""en"",""pt"")"),"#VALUE!")</f>
        <v>#VALUE!</v>
      </c>
      <c r="G10597" s="69"/>
    </row>
    <row r="10598" ht="22.5" customHeight="1">
      <c r="A10598" s="66"/>
      <c r="B10598" s="67" t="str">
        <f t="shared" si="16"/>
        <v>M: </v>
      </c>
      <c r="C10598" s="68"/>
      <c r="D10598" s="68">
        <v>46809.0</v>
      </c>
      <c r="E10598" s="66">
        <v>6.0</v>
      </c>
      <c r="F10598" s="66" t="str">
        <f>IFERROR(__xludf.DUMMYFUNCTION("GOOGLETRANSLATE(A10598,""en"",""pt"")"),"#VALUE!")</f>
        <v>#VALUE!</v>
      </c>
      <c r="G10598" s="69"/>
    </row>
    <row r="10599" ht="22.5" customHeight="1">
      <c r="A10599" s="66"/>
      <c r="B10599" s="67" t="str">
        <f t="shared" si="16"/>
        <v>M: </v>
      </c>
      <c r="C10599" s="68"/>
      <c r="D10599" s="68">
        <v>46809.0</v>
      </c>
      <c r="E10599" s="66">
        <v>7.0</v>
      </c>
      <c r="F10599" s="66" t="str">
        <f>IFERROR(__xludf.DUMMYFUNCTION("GOOGLETRANSLATE(A10599,""en"",""pt"")"),"#VALUE!")</f>
        <v>#VALUE!</v>
      </c>
      <c r="G10599" s="69"/>
    </row>
    <row r="10600" ht="22.5" customHeight="1">
      <c r="A10600" s="66"/>
      <c r="B10600" s="67" t="str">
        <f t="shared" si="16"/>
        <v>M: </v>
      </c>
      <c r="C10600" s="68"/>
      <c r="D10600" s="68">
        <v>46809.0</v>
      </c>
      <c r="E10600" s="66">
        <v>8.0</v>
      </c>
      <c r="F10600" s="66" t="str">
        <f>IFERROR(__xludf.DUMMYFUNCTION("GOOGLETRANSLATE(A10600,""en"",""pt"")"),"#VALUE!")</f>
        <v>#VALUE!</v>
      </c>
      <c r="G10600" s="69"/>
    </row>
    <row r="10601" ht="22.5" customHeight="1">
      <c r="A10601" s="66"/>
      <c r="B10601" s="67" t="str">
        <f t="shared" si="16"/>
        <v>M: </v>
      </c>
      <c r="C10601" s="68"/>
      <c r="D10601" s="68">
        <v>46809.0</v>
      </c>
      <c r="E10601" s="66">
        <v>9.0</v>
      </c>
      <c r="F10601" s="66" t="str">
        <f>IFERROR(__xludf.DUMMYFUNCTION("GOOGLETRANSLATE(A10601,""en"",""pt"")"),"#VALUE!")</f>
        <v>#VALUE!</v>
      </c>
      <c r="G10601" s="69"/>
    </row>
    <row r="10602" ht="22.5" customHeight="1">
      <c r="A10602" s="66"/>
      <c r="B10602" s="67" t="str">
        <f t="shared" si="16"/>
        <v>M: </v>
      </c>
      <c r="C10602" s="68"/>
      <c r="D10602" s="68">
        <v>46810.0</v>
      </c>
      <c r="E10602" s="66">
        <v>10.0</v>
      </c>
      <c r="F10602" s="66" t="str">
        <f>IFERROR(__xludf.DUMMYFUNCTION("GOOGLETRANSLATE(A10602,""en"",""pt"")"),"#VALUE!")</f>
        <v>#VALUE!</v>
      </c>
      <c r="G10602" s="69"/>
    </row>
    <row r="10603" ht="22.5" customHeight="1">
      <c r="A10603" s="66"/>
      <c r="B10603" s="67" t="str">
        <f t="shared" si="16"/>
        <v>M: </v>
      </c>
      <c r="C10603" s="68"/>
      <c r="D10603" s="68">
        <v>46810.0</v>
      </c>
      <c r="E10603" s="66">
        <v>1.0</v>
      </c>
      <c r="F10603" s="66" t="str">
        <f>IFERROR(__xludf.DUMMYFUNCTION("GOOGLETRANSLATE(A10603,""en"",""pt"")"),"#VALUE!")</f>
        <v>#VALUE!</v>
      </c>
      <c r="G10603" s="69"/>
    </row>
    <row r="10604" ht="22.5" customHeight="1">
      <c r="A10604" s="66"/>
      <c r="B10604" s="67" t="str">
        <f t="shared" si="16"/>
        <v>M: </v>
      </c>
      <c r="C10604" s="68"/>
      <c r="D10604" s="68">
        <v>46810.0</v>
      </c>
      <c r="E10604" s="66">
        <v>2.0</v>
      </c>
      <c r="F10604" s="66" t="str">
        <f>IFERROR(__xludf.DUMMYFUNCTION("GOOGLETRANSLATE(A10604,""en"",""pt"")"),"#VALUE!")</f>
        <v>#VALUE!</v>
      </c>
      <c r="G10604" s="69"/>
    </row>
    <row r="10605" ht="22.5" customHeight="1">
      <c r="A10605" s="66"/>
      <c r="B10605" s="67" t="str">
        <f t="shared" si="16"/>
        <v>M: </v>
      </c>
      <c r="C10605" s="68"/>
      <c r="D10605" s="68">
        <v>46810.0</v>
      </c>
      <c r="E10605" s="66">
        <v>3.0</v>
      </c>
      <c r="F10605" s="66" t="str">
        <f>IFERROR(__xludf.DUMMYFUNCTION("GOOGLETRANSLATE(A10605,""en"",""pt"")"),"#VALUE!")</f>
        <v>#VALUE!</v>
      </c>
      <c r="G10605" s="69"/>
    </row>
    <row r="10606" ht="22.5" customHeight="1">
      <c r="A10606" s="66"/>
      <c r="B10606" s="67" t="str">
        <f t="shared" si="16"/>
        <v>M: </v>
      </c>
      <c r="C10606" s="68"/>
      <c r="D10606" s="68">
        <v>46810.0</v>
      </c>
      <c r="E10606" s="66">
        <v>4.0</v>
      </c>
      <c r="F10606" s="66" t="str">
        <f>IFERROR(__xludf.DUMMYFUNCTION("GOOGLETRANSLATE(A10606,""en"",""pt"")"),"#VALUE!")</f>
        <v>#VALUE!</v>
      </c>
      <c r="G10606" s="69"/>
    </row>
    <row r="10607" ht="22.5" customHeight="1">
      <c r="A10607" s="66"/>
      <c r="B10607" s="67" t="str">
        <f t="shared" si="16"/>
        <v>M: </v>
      </c>
      <c r="C10607" s="68"/>
      <c r="D10607" s="68">
        <v>46810.0</v>
      </c>
      <c r="E10607" s="66">
        <v>5.0</v>
      </c>
      <c r="F10607" s="66" t="str">
        <f>IFERROR(__xludf.DUMMYFUNCTION("GOOGLETRANSLATE(A10607,""en"",""pt"")"),"#VALUE!")</f>
        <v>#VALUE!</v>
      </c>
      <c r="G10607" s="69"/>
    </row>
    <row r="10608" ht="22.5" customHeight="1">
      <c r="A10608" s="66"/>
      <c r="B10608" s="67" t="str">
        <f t="shared" si="16"/>
        <v>M: </v>
      </c>
      <c r="C10608" s="68"/>
      <c r="D10608" s="68">
        <v>46810.0</v>
      </c>
      <c r="E10608" s="66">
        <v>6.0</v>
      </c>
      <c r="F10608" s="66" t="str">
        <f>IFERROR(__xludf.DUMMYFUNCTION("GOOGLETRANSLATE(A10608,""en"",""pt"")"),"#VALUE!")</f>
        <v>#VALUE!</v>
      </c>
      <c r="G10608" s="69"/>
    </row>
    <row r="10609" ht="22.5" customHeight="1">
      <c r="A10609" s="66"/>
      <c r="B10609" s="67" t="str">
        <f t="shared" si="16"/>
        <v>M: </v>
      </c>
      <c r="C10609" s="68"/>
      <c r="D10609" s="68">
        <v>46810.0</v>
      </c>
      <c r="E10609" s="66">
        <v>7.0</v>
      </c>
      <c r="F10609" s="66" t="str">
        <f>IFERROR(__xludf.DUMMYFUNCTION("GOOGLETRANSLATE(A10609,""en"",""pt"")"),"#VALUE!")</f>
        <v>#VALUE!</v>
      </c>
      <c r="G10609" s="69"/>
    </row>
    <row r="10610" ht="22.5" customHeight="1">
      <c r="A10610" s="66"/>
      <c r="B10610" s="67" t="str">
        <f t="shared" si="16"/>
        <v>M: </v>
      </c>
      <c r="C10610" s="68"/>
      <c r="D10610" s="68">
        <v>46810.0</v>
      </c>
      <c r="E10610" s="66">
        <v>8.0</v>
      </c>
      <c r="F10610" s="66" t="str">
        <f>IFERROR(__xludf.DUMMYFUNCTION("GOOGLETRANSLATE(A10610,""en"",""pt"")"),"#VALUE!")</f>
        <v>#VALUE!</v>
      </c>
      <c r="G10610" s="69"/>
    </row>
    <row r="10611" ht="22.5" customHeight="1">
      <c r="A10611" s="66"/>
      <c r="B10611" s="67" t="str">
        <f t="shared" si="16"/>
        <v>M: </v>
      </c>
      <c r="C10611" s="68"/>
      <c r="D10611" s="68">
        <v>46810.0</v>
      </c>
      <c r="E10611" s="66">
        <v>9.0</v>
      </c>
      <c r="F10611" s="66" t="str">
        <f>IFERROR(__xludf.DUMMYFUNCTION("GOOGLETRANSLATE(A10611,""en"",""pt"")"),"#VALUE!")</f>
        <v>#VALUE!</v>
      </c>
      <c r="G10611" s="69"/>
    </row>
    <row r="10612" ht="22.5" customHeight="1">
      <c r="A10612" s="66"/>
      <c r="B10612" s="67" t="str">
        <f t="shared" si="16"/>
        <v>M: </v>
      </c>
      <c r="C10612" s="68"/>
      <c r="D10612" s="68">
        <v>46811.0</v>
      </c>
      <c r="E10612" s="66">
        <v>10.0</v>
      </c>
      <c r="F10612" s="66" t="str">
        <f>IFERROR(__xludf.DUMMYFUNCTION("GOOGLETRANSLATE(A10612,""en"",""pt"")"),"#VALUE!")</f>
        <v>#VALUE!</v>
      </c>
      <c r="G10612" s="69"/>
    </row>
    <row r="10613" ht="22.5" customHeight="1">
      <c r="A10613" s="66"/>
      <c r="B10613" s="67" t="str">
        <f t="shared" si="16"/>
        <v>M: </v>
      </c>
      <c r="C10613" s="68"/>
      <c r="D10613" s="68">
        <v>46811.0</v>
      </c>
      <c r="E10613" s="66"/>
      <c r="F10613" s="66" t="str">
        <f>IFERROR(__xludf.DUMMYFUNCTION("GOOGLETRANSLATE(A10613,""en"",""pt"")"),"#VALUE!")</f>
        <v>#VALUE!</v>
      </c>
      <c r="G10613" s="69"/>
    </row>
    <row r="10614" ht="22.5" customHeight="1">
      <c r="A10614" s="66"/>
      <c r="B10614" s="67" t="str">
        <f t="shared" si="16"/>
        <v>M: </v>
      </c>
      <c r="C10614" s="68"/>
      <c r="D10614" s="68">
        <v>46811.0</v>
      </c>
      <c r="E10614" s="66"/>
      <c r="F10614" s="66" t="str">
        <f>IFERROR(__xludf.DUMMYFUNCTION("GOOGLETRANSLATE(A10614,""en"",""pt"")"),"#VALUE!")</f>
        <v>#VALUE!</v>
      </c>
      <c r="G10614" s="69"/>
    </row>
    <row r="10615" ht="22.5" customHeight="1">
      <c r="A10615" s="66"/>
      <c r="B10615" s="67" t="str">
        <f t="shared" si="16"/>
        <v>M: </v>
      </c>
      <c r="C10615" s="68"/>
      <c r="D10615" s="68">
        <v>46811.0</v>
      </c>
      <c r="E10615" s="66"/>
      <c r="F10615" s="66" t="str">
        <f>IFERROR(__xludf.DUMMYFUNCTION("GOOGLETRANSLATE(A10615,""en"",""pt"")"),"#VALUE!")</f>
        <v>#VALUE!</v>
      </c>
      <c r="G10615" s="69"/>
    </row>
    <row r="10616" ht="22.5" customHeight="1">
      <c r="A10616" s="66"/>
      <c r="B10616" s="67" t="str">
        <f t="shared" si="16"/>
        <v>M: </v>
      </c>
      <c r="C10616" s="68"/>
      <c r="D10616" s="68">
        <v>46811.0</v>
      </c>
      <c r="E10616" s="66"/>
      <c r="F10616" s="66" t="str">
        <f>IFERROR(__xludf.DUMMYFUNCTION("GOOGLETRANSLATE(A10616,""en"",""pt"")"),"#VALUE!")</f>
        <v>#VALUE!</v>
      </c>
      <c r="G10616" s="69"/>
    </row>
    <row r="10617" ht="22.5" customHeight="1">
      <c r="A10617" s="66"/>
      <c r="B10617" s="67" t="str">
        <f t="shared" si="16"/>
        <v>M: </v>
      </c>
      <c r="C10617" s="68"/>
      <c r="D10617" s="68">
        <v>46811.0</v>
      </c>
      <c r="E10617" s="66"/>
      <c r="F10617" s="66" t="str">
        <f>IFERROR(__xludf.DUMMYFUNCTION("GOOGLETRANSLATE(A10617,""en"",""pt"")"),"#VALUE!")</f>
        <v>#VALUE!</v>
      </c>
      <c r="G10617" s="69"/>
    </row>
    <row r="10618" ht="22.5" customHeight="1">
      <c r="A10618" s="66"/>
      <c r="B10618" s="67" t="str">
        <f t="shared" si="16"/>
        <v>M: </v>
      </c>
      <c r="C10618" s="68"/>
      <c r="D10618" s="68">
        <v>46811.0</v>
      </c>
      <c r="E10618" s="66"/>
      <c r="F10618" s="66" t="str">
        <f>IFERROR(__xludf.DUMMYFUNCTION("GOOGLETRANSLATE(A10618,""en"",""pt"")"),"#VALUE!")</f>
        <v>#VALUE!</v>
      </c>
      <c r="G10618" s="69"/>
    </row>
    <row r="10619" ht="22.5" customHeight="1">
      <c r="A10619" s="66"/>
      <c r="B10619" s="67" t="str">
        <f t="shared" si="16"/>
        <v>M: </v>
      </c>
      <c r="C10619" s="68"/>
      <c r="D10619" s="68">
        <v>46811.0</v>
      </c>
      <c r="E10619" s="66"/>
      <c r="F10619" s="66" t="str">
        <f>IFERROR(__xludf.DUMMYFUNCTION("GOOGLETRANSLATE(A10619,""en"",""pt"")"),"#VALUE!")</f>
        <v>#VALUE!</v>
      </c>
      <c r="G10619" s="69"/>
    </row>
    <row r="10620" ht="22.5" customHeight="1">
      <c r="A10620" s="66"/>
      <c r="B10620" s="67" t="str">
        <f t="shared" si="16"/>
        <v>M: </v>
      </c>
      <c r="C10620" s="68"/>
      <c r="D10620" s="68">
        <v>46811.0</v>
      </c>
      <c r="E10620" s="66"/>
      <c r="F10620" s="66" t="str">
        <f>IFERROR(__xludf.DUMMYFUNCTION("GOOGLETRANSLATE(A10620,""en"",""pt"")"),"#VALUE!")</f>
        <v>#VALUE!</v>
      </c>
      <c r="G10620" s="69"/>
    </row>
    <row r="10621" ht="22.5" customHeight="1">
      <c r="A10621" s="66"/>
      <c r="B10621" s="67" t="str">
        <f t="shared" si="16"/>
        <v>M: </v>
      </c>
      <c r="C10621" s="68"/>
      <c r="D10621" s="68">
        <v>46811.0</v>
      </c>
      <c r="E10621" s="66"/>
      <c r="F10621" s="66" t="str">
        <f>IFERROR(__xludf.DUMMYFUNCTION("GOOGLETRANSLATE(A10621,""en"",""pt"")"),"#VALUE!")</f>
        <v>#VALUE!</v>
      </c>
      <c r="G10621" s="69"/>
    </row>
    <row r="10622" ht="22.5" customHeight="1">
      <c r="A10622" s="66"/>
      <c r="B10622" s="67" t="str">
        <f t="shared" si="16"/>
        <v>M: </v>
      </c>
      <c r="C10622" s="68"/>
      <c r="D10622" s="68"/>
      <c r="E10622" s="66"/>
      <c r="F10622" s="66" t="str">
        <f>IFERROR(__xludf.DUMMYFUNCTION("GOOGLETRANSLATE(A10622,""en"",""pt"")"),"#VALUE!")</f>
        <v>#VALUE!</v>
      </c>
      <c r="G10622" s="69"/>
    </row>
    <row r="10623" ht="22.5" customHeight="1">
      <c r="A10623" s="66"/>
      <c r="B10623" s="67" t="str">
        <f t="shared" si="16"/>
        <v>M: </v>
      </c>
      <c r="C10623" s="68"/>
      <c r="D10623" s="68"/>
      <c r="E10623" s="66"/>
      <c r="F10623" s="66" t="str">
        <f>IFERROR(__xludf.DUMMYFUNCTION("GOOGLETRANSLATE(A10623,""en"",""pt"")"),"#VALUE!")</f>
        <v>#VALUE!</v>
      </c>
      <c r="G10623" s="69"/>
    </row>
    <row r="10624" ht="22.5" customHeight="1">
      <c r="A10624" s="66"/>
      <c r="B10624" s="67" t="str">
        <f t="shared" si="16"/>
        <v>M: </v>
      </c>
      <c r="C10624" s="68"/>
      <c r="D10624" s="68"/>
      <c r="E10624" s="66"/>
      <c r="F10624" s="66" t="str">
        <f>IFERROR(__xludf.DUMMYFUNCTION("GOOGLETRANSLATE(A10624,""en"",""pt"")"),"#VALUE!")</f>
        <v>#VALUE!</v>
      </c>
      <c r="G10624" s="69"/>
    </row>
    <row r="10625" ht="22.5" customHeight="1">
      <c r="A10625" s="66"/>
      <c r="B10625" s="67" t="str">
        <f t="shared" si="16"/>
        <v>M: </v>
      </c>
      <c r="C10625" s="68"/>
      <c r="D10625" s="68"/>
      <c r="E10625" s="66"/>
      <c r="F10625" s="66" t="str">
        <f>IFERROR(__xludf.DUMMYFUNCTION("GOOGLETRANSLATE(A10625,""en"",""pt"")"),"#VALUE!")</f>
        <v>#VALUE!</v>
      </c>
      <c r="G10625" s="69"/>
    </row>
    <row r="10626" ht="22.5" customHeight="1">
      <c r="A10626" s="66"/>
      <c r="B10626" s="67" t="str">
        <f t="shared" si="16"/>
        <v>M: </v>
      </c>
      <c r="C10626" s="68"/>
      <c r="D10626" s="68"/>
      <c r="E10626" s="66"/>
      <c r="F10626" s="66" t="str">
        <f>IFERROR(__xludf.DUMMYFUNCTION("GOOGLETRANSLATE(A10626,""en"",""pt"")"),"#VALUE!")</f>
        <v>#VALUE!</v>
      </c>
      <c r="G10626" s="69"/>
    </row>
    <row r="10627" ht="22.5" customHeight="1">
      <c r="A10627" s="66"/>
      <c r="B10627" s="67" t="str">
        <f t="shared" si="16"/>
        <v>M: </v>
      </c>
      <c r="C10627" s="68"/>
      <c r="D10627" s="68"/>
      <c r="E10627" s="66"/>
      <c r="F10627" s="66" t="str">
        <f>IFERROR(__xludf.DUMMYFUNCTION("GOOGLETRANSLATE(A10627,""en"",""pt"")"),"#VALUE!")</f>
        <v>#VALUE!</v>
      </c>
      <c r="G10627" s="69"/>
    </row>
    <row r="10628" ht="22.5" customHeight="1">
      <c r="A10628" s="66"/>
      <c r="B10628" s="67" t="str">
        <f t="shared" si="16"/>
        <v>M: </v>
      </c>
      <c r="C10628" s="68"/>
      <c r="D10628" s="68"/>
      <c r="E10628" s="66"/>
      <c r="F10628" s="66" t="str">
        <f>IFERROR(__xludf.DUMMYFUNCTION("GOOGLETRANSLATE(A10628,""en"",""pt"")"),"#VALUE!")</f>
        <v>#VALUE!</v>
      </c>
      <c r="G10628" s="69"/>
    </row>
    <row r="10629" ht="22.5" customHeight="1">
      <c r="A10629" s="66"/>
      <c r="B10629" s="67" t="str">
        <f t="shared" si="16"/>
        <v>M: </v>
      </c>
      <c r="C10629" s="68"/>
      <c r="D10629" s="68"/>
      <c r="E10629" s="66"/>
      <c r="F10629" s="66" t="str">
        <f>IFERROR(__xludf.DUMMYFUNCTION("GOOGLETRANSLATE(A10629,""en"",""pt"")"),"#VALUE!")</f>
        <v>#VALUE!</v>
      </c>
      <c r="G10629" s="69"/>
    </row>
    <row r="10630" ht="22.5" customHeight="1">
      <c r="A10630" s="66"/>
      <c r="B10630" s="67" t="str">
        <f t="shared" si="16"/>
        <v>M: </v>
      </c>
      <c r="C10630" s="68"/>
      <c r="D10630" s="68"/>
      <c r="E10630" s="66"/>
      <c r="F10630" s="66" t="str">
        <f>IFERROR(__xludf.DUMMYFUNCTION("GOOGLETRANSLATE(A10630,""en"",""pt"")"),"#VALUE!")</f>
        <v>#VALUE!</v>
      </c>
      <c r="G10630" s="69"/>
    </row>
    <row r="10631" ht="22.5" customHeight="1">
      <c r="A10631" s="66"/>
      <c r="B10631" s="67" t="str">
        <f t="shared" si="16"/>
        <v>M: </v>
      </c>
      <c r="C10631" s="68"/>
      <c r="D10631" s="68"/>
      <c r="E10631" s="66"/>
      <c r="F10631" s="66" t="str">
        <f>IFERROR(__xludf.DUMMYFUNCTION("GOOGLETRANSLATE(A10631,""en"",""pt"")"),"#VALUE!")</f>
        <v>#VALUE!</v>
      </c>
      <c r="G10631" s="69"/>
    </row>
    <row r="10632" ht="22.5" customHeight="1">
      <c r="A10632" s="66"/>
      <c r="B10632" s="67" t="str">
        <f t="shared" si="16"/>
        <v>M: </v>
      </c>
      <c r="C10632" s="68"/>
      <c r="D10632" s="68"/>
      <c r="E10632" s="66"/>
      <c r="F10632" s="66" t="str">
        <f>IFERROR(__xludf.DUMMYFUNCTION("GOOGLETRANSLATE(A10632,""en"",""pt"")"),"#VALUE!")</f>
        <v>#VALUE!</v>
      </c>
      <c r="G10632" s="69"/>
    </row>
    <row r="10633" ht="22.5" customHeight="1">
      <c r="A10633" s="66"/>
      <c r="B10633" s="67" t="str">
        <f t="shared" si="16"/>
        <v>M: </v>
      </c>
      <c r="C10633" s="68"/>
      <c r="D10633" s="68"/>
      <c r="E10633" s="66"/>
      <c r="F10633" s="66" t="str">
        <f>IFERROR(__xludf.DUMMYFUNCTION("GOOGLETRANSLATE(A10633,""en"",""pt"")"),"#VALUE!")</f>
        <v>#VALUE!</v>
      </c>
      <c r="G10633" s="69"/>
    </row>
    <row r="10634" ht="22.5" customHeight="1">
      <c r="A10634" s="66"/>
      <c r="B10634" s="67" t="str">
        <f t="shared" si="16"/>
        <v>M: </v>
      </c>
      <c r="C10634" s="68"/>
      <c r="D10634" s="68"/>
      <c r="E10634" s="66"/>
      <c r="F10634" s="66" t="str">
        <f>IFERROR(__xludf.DUMMYFUNCTION("GOOGLETRANSLATE(A10634,""en"",""pt"")"),"#VALUE!")</f>
        <v>#VALUE!</v>
      </c>
      <c r="G10634" s="69"/>
    </row>
    <row r="10635" ht="22.5" customHeight="1">
      <c r="A10635" s="66"/>
      <c r="B10635" s="67" t="str">
        <f t="shared" si="16"/>
        <v>M: </v>
      </c>
      <c r="C10635" s="68"/>
      <c r="D10635" s="68"/>
      <c r="E10635" s="66"/>
      <c r="F10635" s="66" t="str">
        <f>IFERROR(__xludf.DUMMYFUNCTION("GOOGLETRANSLATE(A10635,""en"",""pt"")"),"#VALUE!")</f>
        <v>#VALUE!</v>
      </c>
      <c r="G10635" s="69"/>
    </row>
    <row r="10636" ht="22.5" customHeight="1">
      <c r="A10636" s="66"/>
      <c r="B10636" s="67" t="str">
        <f t="shared" si="16"/>
        <v>M: </v>
      </c>
      <c r="C10636" s="68"/>
      <c r="D10636" s="68"/>
      <c r="E10636" s="66"/>
      <c r="F10636" s="66" t="str">
        <f>IFERROR(__xludf.DUMMYFUNCTION("GOOGLETRANSLATE(A10636,""en"",""pt"")"),"#VALUE!")</f>
        <v>#VALUE!</v>
      </c>
      <c r="G10636" s="69"/>
    </row>
    <row r="10637" ht="22.5" customHeight="1">
      <c r="A10637" s="66"/>
      <c r="B10637" s="67" t="str">
        <f t="shared" si="16"/>
        <v>M: </v>
      </c>
      <c r="C10637" s="68"/>
      <c r="D10637" s="68"/>
      <c r="E10637" s="66"/>
      <c r="F10637" s="66" t="str">
        <f>IFERROR(__xludf.DUMMYFUNCTION("GOOGLETRANSLATE(A10637,""en"",""pt"")"),"#VALUE!")</f>
        <v>#VALUE!</v>
      </c>
      <c r="G10637" s="69"/>
    </row>
    <row r="10638" ht="22.5" customHeight="1">
      <c r="A10638" s="66"/>
      <c r="B10638" s="67" t="str">
        <f t="shared" si="16"/>
        <v>M: </v>
      </c>
      <c r="C10638" s="68"/>
      <c r="D10638" s="68"/>
      <c r="E10638" s="66"/>
      <c r="F10638" s="66" t="str">
        <f>IFERROR(__xludf.DUMMYFUNCTION("GOOGLETRANSLATE(A10638,""en"",""pt"")"),"#VALUE!")</f>
        <v>#VALUE!</v>
      </c>
      <c r="G10638" s="69"/>
    </row>
    <row r="10639" ht="22.5" customHeight="1">
      <c r="A10639" s="66"/>
      <c r="B10639" s="67" t="str">
        <f t="shared" si="16"/>
        <v>M: </v>
      </c>
      <c r="C10639" s="68"/>
      <c r="D10639" s="68"/>
      <c r="E10639" s="66"/>
      <c r="F10639" s="66" t="str">
        <f>IFERROR(__xludf.DUMMYFUNCTION("GOOGLETRANSLATE(A10639,""en"",""pt"")"),"#VALUE!")</f>
        <v>#VALUE!</v>
      </c>
      <c r="G10639" s="69"/>
    </row>
    <row r="10640" ht="22.5" customHeight="1">
      <c r="A10640" s="66"/>
      <c r="B10640" s="67" t="str">
        <f t="shared" si="16"/>
        <v>M: </v>
      </c>
      <c r="C10640" s="68"/>
      <c r="D10640" s="68"/>
      <c r="E10640" s="66"/>
      <c r="F10640" s="66" t="str">
        <f>IFERROR(__xludf.DUMMYFUNCTION("GOOGLETRANSLATE(A10640,""en"",""pt"")"),"#VALUE!")</f>
        <v>#VALUE!</v>
      </c>
      <c r="G10640" s="69"/>
    </row>
    <row r="10641" ht="22.5" customHeight="1">
      <c r="A10641" s="66"/>
      <c r="B10641" s="67" t="str">
        <f t="shared" si="16"/>
        <v>M: </v>
      </c>
      <c r="C10641" s="68"/>
      <c r="D10641" s="68"/>
      <c r="E10641" s="66"/>
      <c r="F10641" s="66" t="str">
        <f>IFERROR(__xludf.DUMMYFUNCTION("GOOGLETRANSLATE(A10641,""en"",""pt"")"),"#VALUE!")</f>
        <v>#VALUE!</v>
      </c>
      <c r="G10641" s="69"/>
    </row>
    <row r="10642" ht="22.5" customHeight="1">
      <c r="A10642" s="66"/>
      <c r="B10642" s="67" t="str">
        <f t="shared" si="16"/>
        <v>M: </v>
      </c>
      <c r="C10642" s="68"/>
      <c r="D10642" s="68"/>
      <c r="E10642" s="66"/>
      <c r="F10642" s="66" t="str">
        <f>IFERROR(__xludf.DUMMYFUNCTION("GOOGLETRANSLATE(A10642,""en"",""pt"")"),"#VALUE!")</f>
        <v>#VALUE!</v>
      </c>
      <c r="G10642" s="69"/>
    </row>
    <row r="10643" ht="22.5" customHeight="1">
      <c r="A10643" s="66"/>
      <c r="B10643" s="67" t="str">
        <f t="shared" si="16"/>
        <v>M: </v>
      </c>
      <c r="C10643" s="68"/>
      <c r="D10643" s="68"/>
      <c r="E10643" s="66"/>
      <c r="F10643" s="66" t="str">
        <f>IFERROR(__xludf.DUMMYFUNCTION("GOOGLETRANSLATE(A10643,""en"",""pt"")"),"#VALUE!")</f>
        <v>#VALUE!</v>
      </c>
      <c r="G10643" s="69"/>
    </row>
    <row r="10644" ht="22.5" customHeight="1">
      <c r="A10644" s="66"/>
      <c r="B10644" s="67" t="str">
        <f t="shared" si="16"/>
        <v>M: </v>
      </c>
      <c r="C10644" s="68"/>
      <c r="D10644" s="68"/>
      <c r="E10644" s="66"/>
      <c r="F10644" s="66" t="str">
        <f>IFERROR(__xludf.DUMMYFUNCTION("GOOGLETRANSLATE(A10644,""en"",""pt"")"),"#VALUE!")</f>
        <v>#VALUE!</v>
      </c>
      <c r="G10644" s="69"/>
    </row>
    <row r="10645" ht="22.5" customHeight="1">
      <c r="A10645" s="66"/>
      <c r="B10645" s="67" t="str">
        <f t="shared" si="16"/>
        <v>M: </v>
      </c>
      <c r="C10645" s="68"/>
      <c r="D10645" s="68"/>
      <c r="E10645" s="66"/>
      <c r="F10645" s="66" t="str">
        <f>IFERROR(__xludf.DUMMYFUNCTION("GOOGLETRANSLATE(A10645,""en"",""pt"")"),"#VALUE!")</f>
        <v>#VALUE!</v>
      </c>
      <c r="G10645" s="69"/>
    </row>
    <row r="10646" ht="22.5" customHeight="1">
      <c r="A10646" s="66"/>
      <c r="B10646" s="67" t="str">
        <f t="shared" si="16"/>
        <v>M: </v>
      </c>
      <c r="C10646" s="68"/>
      <c r="D10646" s="68"/>
      <c r="E10646" s="66"/>
      <c r="F10646" s="66" t="str">
        <f>IFERROR(__xludf.DUMMYFUNCTION("GOOGLETRANSLATE(A10646,""en"",""pt"")"),"#VALUE!")</f>
        <v>#VALUE!</v>
      </c>
      <c r="G10646" s="69"/>
    </row>
    <row r="10647" ht="22.5" customHeight="1">
      <c r="A10647" s="66"/>
      <c r="B10647" s="67" t="str">
        <f t="shared" si="16"/>
        <v>M: </v>
      </c>
      <c r="C10647" s="68"/>
      <c r="D10647" s="68"/>
      <c r="E10647" s="66"/>
      <c r="F10647" s="66" t="str">
        <f>IFERROR(__xludf.DUMMYFUNCTION("GOOGLETRANSLATE(A10647,""en"",""pt"")"),"#VALUE!")</f>
        <v>#VALUE!</v>
      </c>
      <c r="G10647" s="69"/>
    </row>
    <row r="10648" ht="22.5" customHeight="1">
      <c r="A10648" s="66"/>
      <c r="B10648" s="67" t="str">
        <f t="shared" si="16"/>
        <v>M: </v>
      </c>
      <c r="C10648" s="68"/>
      <c r="D10648" s="68"/>
      <c r="E10648" s="66"/>
      <c r="F10648" s="66" t="str">
        <f>IFERROR(__xludf.DUMMYFUNCTION("GOOGLETRANSLATE(A10648,""en"",""pt"")"),"#VALUE!")</f>
        <v>#VALUE!</v>
      </c>
      <c r="G10648" s="69"/>
    </row>
    <row r="10649" ht="22.5" customHeight="1">
      <c r="A10649" s="66"/>
      <c r="B10649" s="67" t="str">
        <f t="shared" si="16"/>
        <v>M: </v>
      </c>
      <c r="C10649" s="68"/>
      <c r="D10649" s="68"/>
      <c r="E10649" s="66"/>
      <c r="F10649" s="66" t="str">
        <f>IFERROR(__xludf.DUMMYFUNCTION("GOOGLETRANSLATE(A10649,""en"",""pt"")"),"#VALUE!")</f>
        <v>#VALUE!</v>
      </c>
      <c r="G10649" s="69"/>
    </row>
    <row r="10650" ht="22.5" customHeight="1">
      <c r="A10650" s="66"/>
      <c r="B10650" s="67" t="str">
        <f t="shared" si="16"/>
        <v>M: </v>
      </c>
      <c r="C10650" s="68"/>
      <c r="D10650" s="68"/>
      <c r="E10650" s="66"/>
      <c r="F10650" s="66" t="str">
        <f>IFERROR(__xludf.DUMMYFUNCTION("GOOGLETRANSLATE(A10650,""en"",""pt"")"),"#VALUE!")</f>
        <v>#VALUE!</v>
      </c>
      <c r="G10650" s="69"/>
    </row>
    <row r="10651" ht="22.5" customHeight="1">
      <c r="A10651" s="66"/>
      <c r="B10651" s="67" t="str">
        <f t="shared" si="16"/>
        <v>M: </v>
      </c>
      <c r="C10651" s="68"/>
      <c r="D10651" s="68"/>
      <c r="E10651" s="66"/>
      <c r="F10651" s="66" t="str">
        <f>IFERROR(__xludf.DUMMYFUNCTION("GOOGLETRANSLATE(A10651,""en"",""pt"")"),"#VALUE!")</f>
        <v>#VALUE!</v>
      </c>
      <c r="G10651" s="69"/>
    </row>
    <row r="10652" ht="22.5" customHeight="1">
      <c r="A10652" s="66"/>
      <c r="B10652" s="67" t="str">
        <f t="shared" si="16"/>
        <v>M: </v>
      </c>
      <c r="C10652" s="68"/>
      <c r="D10652" s="68"/>
      <c r="E10652" s="66"/>
      <c r="F10652" s="66" t="str">
        <f>IFERROR(__xludf.DUMMYFUNCTION("GOOGLETRANSLATE(A10652,""en"",""pt"")"),"#VALUE!")</f>
        <v>#VALUE!</v>
      </c>
      <c r="G10652" s="69"/>
    </row>
    <row r="10653" ht="22.5" customHeight="1">
      <c r="A10653" s="66"/>
      <c r="B10653" s="67" t="str">
        <f t="shared" si="16"/>
        <v>M: </v>
      </c>
      <c r="C10653" s="68"/>
      <c r="D10653" s="68"/>
      <c r="E10653" s="66"/>
      <c r="F10653" s="66" t="str">
        <f>IFERROR(__xludf.DUMMYFUNCTION("GOOGLETRANSLATE(A10653,""en"",""pt"")"),"#VALUE!")</f>
        <v>#VALUE!</v>
      </c>
      <c r="G10653" s="69"/>
    </row>
    <row r="10654" ht="22.5" customHeight="1">
      <c r="A10654" s="66"/>
      <c r="B10654" s="67" t="str">
        <f t="shared" si="16"/>
        <v>M: </v>
      </c>
      <c r="C10654" s="68"/>
      <c r="D10654" s="68"/>
      <c r="E10654" s="66"/>
      <c r="F10654" s="66" t="str">
        <f>IFERROR(__xludf.DUMMYFUNCTION("GOOGLETRANSLATE(A10654,""en"",""pt"")"),"#VALUE!")</f>
        <v>#VALUE!</v>
      </c>
      <c r="G10654" s="69"/>
    </row>
    <row r="10655" ht="22.5" customHeight="1">
      <c r="A10655" s="66"/>
      <c r="B10655" s="67" t="str">
        <f t="shared" si="16"/>
        <v>M: </v>
      </c>
      <c r="C10655" s="68"/>
      <c r="D10655" s="68"/>
      <c r="E10655" s="66"/>
      <c r="F10655" s="66" t="str">
        <f>IFERROR(__xludf.DUMMYFUNCTION("GOOGLETRANSLATE(A10655,""en"",""pt"")"),"#VALUE!")</f>
        <v>#VALUE!</v>
      </c>
      <c r="G10655" s="69"/>
    </row>
    <row r="10656" ht="22.5" customHeight="1">
      <c r="A10656" s="66"/>
      <c r="B10656" s="67" t="str">
        <f t="shared" si="16"/>
        <v>M: </v>
      </c>
      <c r="C10656" s="68"/>
      <c r="D10656" s="68"/>
      <c r="E10656" s="66"/>
      <c r="F10656" s="66" t="str">
        <f>IFERROR(__xludf.DUMMYFUNCTION("GOOGLETRANSLATE(A10656,""en"",""pt"")"),"#VALUE!")</f>
        <v>#VALUE!</v>
      </c>
      <c r="G10656" s="69"/>
    </row>
    <row r="10657" ht="22.5" customHeight="1">
      <c r="A10657" s="66"/>
      <c r="B10657" s="67" t="str">
        <f t="shared" si="16"/>
        <v>M: </v>
      </c>
      <c r="C10657" s="68"/>
      <c r="D10657" s="68"/>
      <c r="E10657" s="66"/>
      <c r="F10657" s="66" t="str">
        <f>IFERROR(__xludf.DUMMYFUNCTION("GOOGLETRANSLATE(A10657,""en"",""pt"")"),"#VALUE!")</f>
        <v>#VALUE!</v>
      </c>
      <c r="G10657" s="69"/>
    </row>
    <row r="10658" ht="22.5" customHeight="1">
      <c r="A10658" s="66"/>
      <c r="B10658" s="67" t="str">
        <f t="shared" si="16"/>
        <v>M: </v>
      </c>
      <c r="C10658" s="68"/>
      <c r="D10658" s="68"/>
      <c r="E10658" s="66"/>
      <c r="F10658" s="66" t="str">
        <f>IFERROR(__xludf.DUMMYFUNCTION("GOOGLETRANSLATE(A10658,""en"",""pt"")"),"#VALUE!")</f>
        <v>#VALUE!</v>
      </c>
      <c r="G10658" s="69"/>
    </row>
    <row r="10659" ht="22.5" customHeight="1">
      <c r="A10659" s="66"/>
      <c r="B10659" s="67" t="str">
        <f t="shared" si="16"/>
        <v>M: </v>
      </c>
      <c r="C10659" s="68"/>
      <c r="D10659" s="68"/>
      <c r="E10659" s="66"/>
      <c r="F10659" s="66" t="str">
        <f>IFERROR(__xludf.DUMMYFUNCTION("GOOGLETRANSLATE(A10659,""en"",""pt"")"),"#VALUE!")</f>
        <v>#VALUE!</v>
      </c>
      <c r="G10659" s="69"/>
    </row>
    <row r="10660" ht="22.5" customHeight="1">
      <c r="A10660" s="66"/>
      <c r="B10660" s="67" t="str">
        <f t="shared" si="16"/>
        <v>M: </v>
      </c>
      <c r="C10660" s="68"/>
      <c r="D10660" s="68"/>
      <c r="E10660" s="66"/>
      <c r="F10660" s="66" t="str">
        <f>IFERROR(__xludf.DUMMYFUNCTION("GOOGLETRANSLATE(A10660,""en"",""pt"")"),"#VALUE!")</f>
        <v>#VALUE!</v>
      </c>
      <c r="G10660" s="69"/>
    </row>
    <row r="10661" ht="22.5" customHeight="1">
      <c r="A10661" s="66"/>
      <c r="B10661" s="67" t="str">
        <f t="shared" si="16"/>
        <v>M: </v>
      </c>
      <c r="C10661" s="68"/>
      <c r="D10661" s="68"/>
      <c r="E10661" s="66"/>
      <c r="F10661" s="66" t="str">
        <f>IFERROR(__xludf.DUMMYFUNCTION("GOOGLETRANSLATE(A10661,""en"",""pt"")"),"#VALUE!")</f>
        <v>#VALUE!</v>
      </c>
      <c r="G10661" s="69"/>
    </row>
    <row r="10662" ht="22.5" customHeight="1">
      <c r="A10662" s="66"/>
      <c r="B10662" s="67" t="str">
        <f t="shared" si="16"/>
        <v>M: </v>
      </c>
      <c r="C10662" s="68"/>
      <c r="D10662" s="68"/>
      <c r="E10662" s="66"/>
      <c r="F10662" s="66" t="str">
        <f>IFERROR(__xludf.DUMMYFUNCTION("GOOGLETRANSLATE(A10662,""en"",""pt"")"),"#VALUE!")</f>
        <v>#VALUE!</v>
      </c>
      <c r="G10662" s="69"/>
    </row>
    <row r="10663" ht="22.5" customHeight="1">
      <c r="A10663" s="66"/>
      <c r="B10663" s="67" t="str">
        <f t="shared" si="16"/>
        <v>M: </v>
      </c>
      <c r="C10663" s="68"/>
      <c r="D10663" s="68"/>
      <c r="E10663" s="66"/>
      <c r="F10663" s="66" t="str">
        <f>IFERROR(__xludf.DUMMYFUNCTION("GOOGLETRANSLATE(A10663,""en"",""pt"")"),"#VALUE!")</f>
        <v>#VALUE!</v>
      </c>
      <c r="G10663" s="69"/>
    </row>
    <row r="10664" ht="22.5" customHeight="1">
      <c r="A10664" s="66"/>
      <c r="B10664" s="67" t="str">
        <f t="shared" si="16"/>
        <v>M: </v>
      </c>
      <c r="C10664" s="68"/>
      <c r="D10664" s="68"/>
      <c r="E10664" s="66"/>
      <c r="F10664" s="66" t="str">
        <f>IFERROR(__xludf.DUMMYFUNCTION("GOOGLETRANSLATE(A10664,""en"",""pt"")"),"#VALUE!")</f>
        <v>#VALUE!</v>
      </c>
      <c r="G10664" s="69"/>
    </row>
    <row r="10665" ht="22.5" customHeight="1">
      <c r="A10665" s="66"/>
      <c r="B10665" s="67" t="str">
        <f t="shared" si="16"/>
        <v>M: </v>
      </c>
      <c r="C10665" s="68"/>
      <c r="D10665" s="68"/>
      <c r="E10665" s="66"/>
      <c r="F10665" s="66" t="str">
        <f>IFERROR(__xludf.DUMMYFUNCTION("GOOGLETRANSLATE(A10665,""en"",""pt"")"),"#VALUE!")</f>
        <v>#VALUE!</v>
      </c>
      <c r="G10665" s="69"/>
    </row>
    <row r="10666" ht="22.5" customHeight="1">
      <c r="A10666" s="66"/>
      <c r="B10666" s="67" t="str">
        <f t="shared" si="16"/>
        <v>M: </v>
      </c>
      <c r="C10666" s="68"/>
      <c r="D10666" s="68"/>
      <c r="E10666" s="66"/>
      <c r="F10666" s="66" t="str">
        <f>IFERROR(__xludf.DUMMYFUNCTION("GOOGLETRANSLATE(A10666,""en"",""pt"")"),"#VALUE!")</f>
        <v>#VALUE!</v>
      </c>
      <c r="G10666" s="69"/>
    </row>
    <row r="10667" ht="22.5" customHeight="1">
      <c r="A10667" s="66"/>
      <c r="B10667" s="67" t="str">
        <f t="shared" si="16"/>
        <v>M: </v>
      </c>
      <c r="C10667" s="68"/>
      <c r="D10667" s="68"/>
      <c r="E10667" s="66"/>
      <c r="F10667" s="66" t="str">
        <f>IFERROR(__xludf.DUMMYFUNCTION("GOOGLETRANSLATE(A10667,""en"",""pt"")"),"#VALUE!")</f>
        <v>#VALUE!</v>
      </c>
      <c r="G10667" s="69"/>
    </row>
    <row r="10668" ht="22.5" customHeight="1">
      <c r="A10668" s="66"/>
      <c r="B10668" s="67" t="str">
        <f t="shared" si="16"/>
        <v>M: </v>
      </c>
      <c r="C10668" s="68"/>
      <c r="D10668" s="68"/>
      <c r="E10668" s="66"/>
      <c r="F10668" s="66" t="str">
        <f>IFERROR(__xludf.DUMMYFUNCTION("GOOGLETRANSLATE(A10668,""en"",""pt"")"),"#VALUE!")</f>
        <v>#VALUE!</v>
      </c>
      <c r="G10668" s="69"/>
    </row>
    <row r="10669" ht="22.5" customHeight="1">
      <c r="A10669" s="66"/>
      <c r="B10669" s="67" t="str">
        <f t="shared" si="16"/>
        <v>M: </v>
      </c>
      <c r="C10669" s="68"/>
      <c r="D10669" s="68"/>
      <c r="E10669" s="66"/>
      <c r="F10669" s="66" t="str">
        <f>IFERROR(__xludf.DUMMYFUNCTION("GOOGLETRANSLATE(A10669,""en"",""pt"")"),"#VALUE!")</f>
        <v>#VALUE!</v>
      </c>
      <c r="G10669" s="69"/>
    </row>
    <row r="10670" ht="22.5" customHeight="1">
      <c r="A10670" s="66"/>
      <c r="B10670" s="67" t="str">
        <f t="shared" si="16"/>
        <v>M: </v>
      </c>
      <c r="C10670" s="68"/>
      <c r="D10670" s="68"/>
      <c r="E10670" s="66"/>
      <c r="F10670" s="66" t="str">
        <f>IFERROR(__xludf.DUMMYFUNCTION("GOOGLETRANSLATE(A10670,""en"",""pt"")"),"#VALUE!")</f>
        <v>#VALUE!</v>
      </c>
      <c r="G10670" s="69"/>
    </row>
    <row r="10671" ht="22.5" customHeight="1">
      <c r="A10671" s="66"/>
      <c r="B10671" s="67" t="str">
        <f t="shared" si="16"/>
        <v>M: </v>
      </c>
      <c r="C10671" s="68"/>
      <c r="D10671" s="68"/>
      <c r="E10671" s="66"/>
      <c r="F10671" s="66" t="str">
        <f>IFERROR(__xludf.DUMMYFUNCTION("GOOGLETRANSLATE(A10671,""en"",""pt"")"),"#VALUE!")</f>
        <v>#VALUE!</v>
      </c>
      <c r="G10671" s="69"/>
    </row>
    <row r="10672" ht="22.5" customHeight="1">
      <c r="A10672" s="66"/>
      <c r="B10672" s="67" t="str">
        <f t="shared" si="16"/>
        <v>M: </v>
      </c>
      <c r="C10672" s="68"/>
      <c r="D10672" s="68"/>
      <c r="E10672" s="66"/>
      <c r="F10672" s="66" t="str">
        <f>IFERROR(__xludf.DUMMYFUNCTION("GOOGLETRANSLATE(A10672,""en"",""pt"")"),"#VALUE!")</f>
        <v>#VALUE!</v>
      </c>
      <c r="G10672" s="69"/>
    </row>
    <row r="10673" ht="22.5" customHeight="1">
      <c r="A10673" s="66"/>
      <c r="B10673" s="67" t="str">
        <f t="shared" si="16"/>
        <v>M: </v>
      </c>
      <c r="C10673" s="68"/>
      <c r="D10673" s="68"/>
      <c r="E10673" s="66"/>
      <c r="F10673" s="66" t="str">
        <f>IFERROR(__xludf.DUMMYFUNCTION("GOOGLETRANSLATE(A10673,""en"",""pt"")"),"#VALUE!")</f>
        <v>#VALUE!</v>
      </c>
      <c r="G10673" s="69"/>
    </row>
    <row r="10674" ht="22.5" customHeight="1">
      <c r="A10674" s="66"/>
      <c r="B10674" s="67" t="str">
        <f t="shared" si="16"/>
        <v>M: </v>
      </c>
      <c r="C10674" s="68"/>
      <c r="D10674" s="68"/>
      <c r="E10674" s="66"/>
      <c r="F10674" s="66" t="str">
        <f>IFERROR(__xludf.DUMMYFUNCTION("GOOGLETRANSLATE(A10674,""en"",""pt"")"),"#VALUE!")</f>
        <v>#VALUE!</v>
      </c>
      <c r="G10674" s="69"/>
    </row>
    <row r="10675" ht="22.5" customHeight="1">
      <c r="A10675" s="66"/>
      <c r="B10675" s="67" t="str">
        <f t="shared" si="16"/>
        <v>M: </v>
      </c>
      <c r="C10675" s="68"/>
      <c r="D10675" s="68"/>
      <c r="E10675" s="66"/>
      <c r="F10675" s="66" t="str">
        <f>IFERROR(__xludf.DUMMYFUNCTION("GOOGLETRANSLATE(A10675,""en"",""pt"")"),"#VALUE!")</f>
        <v>#VALUE!</v>
      </c>
      <c r="G10675" s="69"/>
    </row>
    <row r="10676" ht="22.5" customHeight="1">
      <c r="A10676" s="66"/>
      <c r="B10676" s="67" t="str">
        <f t="shared" si="16"/>
        <v>M: </v>
      </c>
      <c r="C10676" s="68"/>
      <c r="D10676" s="68"/>
      <c r="E10676" s="66"/>
      <c r="F10676" s="66" t="str">
        <f>IFERROR(__xludf.DUMMYFUNCTION("GOOGLETRANSLATE(A10676,""en"",""pt"")"),"#VALUE!")</f>
        <v>#VALUE!</v>
      </c>
      <c r="G10676" s="69"/>
    </row>
    <row r="10677" ht="22.5" customHeight="1">
      <c r="A10677" s="66"/>
      <c r="B10677" s="67" t="str">
        <f t="shared" si="16"/>
        <v>M: </v>
      </c>
      <c r="C10677" s="68"/>
      <c r="D10677" s="68"/>
      <c r="E10677" s="66"/>
      <c r="F10677" s="66" t="str">
        <f>IFERROR(__xludf.DUMMYFUNCTION("GOOGLETRANSLATE(A10677,""en"",""pt"")"),"#VALUE!")</f>
        <v>#VALUE!</v>
      </c>
      <c r="G10677" s="69"/>
    </row>
    <row r="10678" ht="22.5" customHeight="1">
      <c r="A10678" s="66"/>
      <c r="B10678" s="67" t="str">
        <f t="shared" si="16"/>
        <v>M: </v>
      </c>
      <c r="C10678" s="68"/>
      <c r="D10678" s="68"/>
      <c r="E10678" s="66"/>
      <c r="F10678" s="66" t="str">
        <f>IFERROR(__xludf.DUMMYFUNCTION("GOOGLETRANSLATE(A10678,""en"",""pt"")"),"#VALUE!")</f>
        <v>#VALUE!</v>
      </c>
      <c r="G10678" s="69"/>
    </row>
    <row r="10679" ht="22.5" customHeight="1">
      <c r="A10679" s="66"/>
      <c r="B10679" s="67" t="str">
        <f t="shared" si="16"/>
        <v>M: </v>
      </c>
      <c r="C10679" s="68"/>
      <c r="D10679" s="68"/>
      <c r="E10679" s="66"/>
      <c r="F10679" s="66" t="str">
        <f>IFERROR(__xludf.DUMMYFUNCTION("GOOGLETRANSLATE(A10679,""en"",""pt"")"),"#VALUE!")</f>
        <v>#VALUE!</v>
      </c>
      <c r="G10679" s="69"/>
    </row>
    <row r="10680" ht="22.5" customHeight="1">
      <c r="A10680" s="66"/>
      <c r="B10680" s="67" t="str">
        <f t="shared" si="16"/>
        <v>M: </v>
      </c>
      <c r="C10680" s="68"/>
      <c r="D10680" s="68"/>
      <c r="E10680" s="66"/>
      <c r="F10680" s="66" t="str">
        <f>IFERROR(__xludf.DUMMYFUNCTION("GOOGLETRANSLATE(A10680,""en"",""pt"")"),"#VALUE!")</f>
        <v>#VALUE!</v>
      </c>
      <c r="G10680" s="69"/>
    </row>
    <row r="10681" ht="22.5" customHeight="1">
      <c r="A10681" s="66"/>
      <c r="B10681" s="67" t="str">
        <f t="shared" si="16"/>
        <v>M: </v>
      </c>
      <c r="C10681" s="68"/>
      <c r="D10681" s="68"/>
      <c r="E10681" s="66"/>
      <c r="F10681" s="66" t="str">
        <f>IFERROR(__xludf.DUMMYFUNCTION("GOOGLETRANSLATE(A10681,""en"",""pt"")"),"#VALUE!")</f>
        <v>#VALUE!</v>
      </c>
      <c r="G10681" s="69"/>
    </row>
    <row r="10682" ht="22.5" customHeight="1">
      <c r="A10682" s="66"/>
      <c r="B10682" s="67" t="str">
        <f t="shared" si="16"/>
        <v>M: </v>
      </c>
      <c r="C10682" s="68"/>
      <c r="D10682" s="68"/>
      <c r="E10682" s="66"/>
      <c r="F10682" s="66" t="str">
        <f>IFERROR(__xludf.DUMMYFUNCTION("GOOGLETRANSLATE(A10682,""en"",""pt"")"),"#VALUE!")</f>
        <v>#VALUE!</v>
      </c>
      <c r="G10682" s="69"/>
    </row>
    <row r="10683" ht="22.5" customHeight="1">
      <c r="A10683" s="66"/>
      <c r="B10683" s="67" t="str">
        <f t="shared" si="16"/>
        <v>M: </v>
      </c>
      <c r="C10683" s="68"/>
      <c r="D10683" s="68"/>
      <c r="E10683" s="66"/>
      <c r="F10683" s="66" t="str">
        <f>IFERROR(__xludf.DUMMYFUNCTION("GOOGLETRANSLATE(A10683,""en"",""pt"")"),"#VALUE!")</f>
        <v>#VALUE!</v>
      </c>
      <c r="G10683" s="69"/>
    </row>
    <row r="10684" ht="22.5" customHeight="1">
      <c r="A10684" s="66"/>
      <c r="B10684" s="67" t="str">
        <f t="shared" si="16"/>
        <v>M: </v>
      </c>
      <c r="C10684" s="68"/>
      <c r="D10684" s="68"/>
      <c r="E10684" s="66"/>
      <c r="F10684" s="66" t="str">
        <f>IFERROR(__xludf.DUMMYFUNCTION("GOOGLETRANSLATE(A10684,""en"",""pt"")"),"#VALUE!")</f>
        <v>#VALUE!</v>
      </c>
      <c r="G10684" s="69"/>
    </row>
    <row r="10685" ht="22.5" customHeight="1">
      <c r="A10685" s="66"/>
      <c r="B10685" s="67" t="str">
        <f t="shared" si="16"/>
        <v>M: </v>
      </c>
      <c r="C10685" s="68"/>
      <c r="D10685" s="68"/>
      <c r="E10685" s="66"/>
      <c r="F10685" s="66" t="str">
        <f>IFERROR(__xludf.DUMMYFUNCTION("GOOGLETRANSLATE(A10685,""en"",""pt"")"),"#VALUE!")</f>
        <v>#VALUE!</v>
      </c>
      <c r="G10685" s="69"/>
    </row>
    <row r="10686" ht="22.5" customHeight="1">
      <c r="A10686" s="66"/>
      <c r="B10686" s="67" t="str">
        <f t="shared" si="16"/>
        <v>M: </v>
      </c>
      <c r="C10686" s="68"/>
      <c r="D10686" s="68"/>
      <c r="E10686" s="66"/>
      <c r="F10686" s="66" t="str">
        <f>IFERROR(__xludf.DUMMYFUNCTION("GOOGLETRANSLATE(A10686,""en"",""pt"")"),"#VALUE!")</f>
        <v>#VALUE!</v>
      </c>
      <c r="G10686" s="69"/>
    </row>
    <row r="10687" ht="22.5" customHeight="1">
      <c r="A10687" s="66"/>
      <c r="B10687" s="67" t="str">
        <f t="shared" si="16"/>
        <v>M: </v>
      </c>
      <c r="C10687" s="68"/>
      <c r="D10687" s="68"/>
      <c r="E10687" s="66"/>
      <c r="F10687" s="66" t="str">
        <f>IFERROR(__xludf.DUMMYFUNCTION("GOOGLETRANSLATE(A10687,""en"",""pt"")"),"#VALUE!")</f>
        <v>#VALUE!</v>
      </c>
      <c r="G10687" s="69"/>
    </row>
    <row r="10688" ht="22.5" customHeight="1">
      <c r="A10688" s="66"/>
      <c r="B10688" s="67" t="str">
        <f t="shared" si="16"/>
        <v>M: </v>
      </c>
      <c r="C10688" s="68"/>
      <c r="D10688" s="68"/>
      <c r="E10688" s="66"/>
      <c r="F10688" s="66" t="str">
        <f>IFERROR(__xludf.DUMMYFUNCTION("GOOGLETRANSLATE(A10688,""en"",""pt"")"),"#VALUE!")</f>
        <v>#VALUE!</v>
      </c>
      <c r="G10688" s="69"/>
    </row>
    <row r="10689" ht="22.5" customHeight="1">
      <c r="A10689" s="66"/>
      <c r="B10689" s="67" t="str">
        <f t="shared" si="16"/>
        <v>M: </v>
      </c>
      <c r="C10689" s="68"/>
      <c r="D10689" s="68"/>
      <c r="E10689" s="66"/>
      <c r="F10689" s="66" t="str">
        <f>IFERROR(__xludf.DUMMYFUNCTION("GOOGLETRANSLATE(A10689,""en"",""pt"")"),"#VALUE!")</f>
        <v>#VALUE!</v>
      </c>
      <c r="G10689" s="69"/>
    </row>
    <row r="10690" ht="22.5" customHeight="1">
      <c r="A10690" s="66"/>
      <c r="B10690" s="67" t="str">
        <f t="shared" si="16"/>
        <v>M: </v>
      </c>
      <c r="C10690" s="68"/>
      <c r="D10690" s="68"/>
      <c r="E10690" s="66"/>
      <c r="F10690" s="66" t="str">
        <f>IFERROR(__xludf.DUMMYFUNCTION("GOOGLETRANSLATE(A10690,""en"",""pt"")"),"#VALUE!")</f>
        <v>#VALUE!</v>
      </c>
      <c r="G10690" s="69"/>
    </row>
    <row r="10691" ht="22.5" customHeight="1">
      <c r="A10691" s="66"/>
      <c r="B10691" s="67" t="str">
        <f t="shared" si="16"/>
        <v>M: </v>
      </c>
      <c r="C10691" s="68"/>
      <c r="D10691" s="68"/>
      <c r="E10691" s="66"/>
      <c r="F10691" s="66" t="str">
        <f>IFERROR(__xludf.DUMMYFUNCTION("GOOGLETRANSLATE(A10691,""en"",""pt"")"),"#VALUE!")</f>
        <v>#VALUE!</v>
      </c>
      <c r="G10691" s="69"/>
    </row>
    <row r="10692" ht="22.5" customHeight="1">
      <c r="A10692" s="66"/>
      <c r="B10692" s="67" t="str">
        <f t="shared" si="16"/>
        <v>M: </v>
      </c>
      <c r="C10692" s="68"/>
      <c r="D10692" s="68"/>
      <c r="E10692" s="66"/>
      <c r="F10692" s="66" t="str">
        <f>IFERROR(__xludf.DUMMYFUNCTION("GOOGLETRANSLATE(A10692,""en"",""pt"")"),"#VALUE!")</f>
        <v>#VALUE!</v>
      </c>
      <c r="G10692" s="69"/>
    </row>
    <row r="10693" ht="22.5" customHeight="1">
      <c r="A10693" s="66"/>
      <c r="B10693" s="67" t="str">
        <f t="shared" si="16"/>
        <v>M: </v>
      </c>
      <c r="C10693" s="68"/>
      <c r="D10693" s="68"/>
      <c r="E10693" s="66"/>
      <c r="F10693" s="66" t="str">
        <f>IFERROR(__xludf.DUMMYFUNCTION("GOOGLETRANSLATE(A10693,""en"",""pt"")"),"#VALUE!")</f>
        <v>#VALUE!</v>
      </c>
      <c r="G10693" s="69"/>
    </row>
    <row r="10694" ht="22.5" customHeight="1">
      <c r="A10694" s="66"/>
      <c r="B10694" s="67" t="str">
        <f t="shared" si="16"/>
        <v>M: </v>
      </c>
      <c r="C10694" s="68"/>
      <c r="D10694" s="68"/>
      <c r="E10694" s="66"/>
      <c r="F10694" s="66" t="str">
        <f>IFERROR(__xludf.DUMMYFUNCTION("GOOGLETRANSLATE(A10694,""en"",""pt"")"),"#VALUE!")</f>
        <v>#VALUE!</v>
      </c>
      <c r="G10694" s="69"/>
    </row>
    <row r="10695" ht="22.5" customHeight="1">
      <c r="A10695" s="66"/>
      <c r="B10695" s="67" t="str">
        <f t="shared" si="16"/>
        <v>M: </v>
      </c>
      <c r="C10695" s="68"/>
      <c r="D10695" s="68"/>
      <c r="E10695" s="66"/>
      <c r="F10695" s="66" t="str">
        <f>IFERROR(__xludf.DUMMYFUNCTION("GOOGLETRANSLATE(A10695,""en"",""pt"")"),"#VALUE!")</f>
        <v>#VALUE!</v>
      </c>
      <c r="G10695" s="69"/>
    </row>
    <row r="10696" ht="22.5" customHeight="1">
      <c r="A10696" s="66"/>
      <c r="B10696" s="67" t="str">
        <f t="shared" si="16"/>
        <v>M: </v>
      </c>
      <c r="C10696" s="68"/>
      <c r="D10696" s="68"/>
      <c r="E10696" s="66"/>
      <c r="F10696" s="66" t="str">
        <f>IFERROR(__xludf.DUMMYFUNCTION("GOOGLETRANSLATE(A10696,""en"",""pt"")"),"#VALUE!")</f>
        <v>#VALUE!</v>
      </c>
      <c r="G10696" s="69"/>
    </row>
    <row r="10697" ht="22.5" customHeight="1">
      <c r="A10697" s="66"/>
      <c r="B10697" s="67" t="str">
        <f t="shared" si="16"/>
        <v>M: </v>
      </c>
      <c r="C10697" s="68"/>
      <c r="D10697" s="68"/>
      <c r="E10697" s="66"/>
      <c r="F10697" s="66" t="str">
        <f>IFERROR(__xludf.DUMMYFUNCTION("GOOGLETRANSLATE(A10697,""en"",""pt"")"),"#VALUE!")</f>
        <v>#VALUE!</v>
      </c>
      <c r="G10697" s="69"/>
    </row>
    <row r="10698" ht="22.5" customHeight="1">
      <c r="A10698" s="66"/>
      <c r="B10698" s="67" t="str">
        <f t="shared" si="16"/>
        <v>M: </v>
      </c>
      <c r="C10698" s="68"/>
      <c r="D10698" s="68"/>
      <c r="E10698" s="66"/>
      <c r="F10698" s="66" t="str">
        <f>IFERROR(__xludf.DUMMYFUNCTION("GOOGLETRANSLATE(A10698,""en"",""pt"")"),"#VALUE!")</f>
        <v>#VALUE!</v>
      </c>
      <c r="G10698" s="69"/>
    </row>
    <row r="10699" ht="22.5" customHeight="1">
      <c r="A10699" s="66"/>
      <c r="B10699" s="67" t="str">
        <f t="shared" si="16"/>
        <v>M: </v>
      </c>
      <c r="C10699" s="68"/>
      <c r="D10699" s="68"/>
      <c r="E10699" s="66"/>
      <c r="F10699" s="66" t="str">
        <f>IFERROR(__xludf.DUMMYFUNCTION("GOOGLETRANSLATE(A10699,""en"",""pt"")"),"#VALUE!")</f>
        <v>#VALUE!</v>
      </c>
      <c r="G10699" s="69"/>
    </row>
    <row r="10700" ht="22.5" customHeight="1">
      <c r="A10700" s="66"/>
      <c r="B10700" s="67" t="str">
        <f t="shared" si="16"/>
        <v>M: </v>
      </c>
      <c r="C10700" s="68"/>
      <c r="D10700" s="68"/>
      <c r="E10700" s="66"/>
      <c r="F10700" s="66" t="str">
        <f>IFERROR(__xludf.DUMMYFUNCTION("GOOGLETRANSLATE(A10700,""en"",""pt"")"),"#VALUE!")</f>
        <v>#VALUE!</v>
      </c>
      <c r="G10700" s="69"/>
    </row>
    <row r="10701" ht="22.5" customHeight="1">
      <c r="A10701" s="66"/>
      <c r="B10701" s="67" t="str">
        <f t="shared" si="16"/>
        <v>M: </v>
      </c>
      <c r="C10701" s="68"/>
      <c r="D10701" s="68"/>
      <c r="E10701" s="66"/>
      <c r="F10701" s="66" t="str">
        <f>IFERROR(__xludf.DUMMYFUNCTION("GOOGLETRANSLATE(A10701,""en"",""pt"")"),"#VALUE!")</f>
        <v>#VALUE!</v>
      </c>
      <c r="G10701" s="69"/>
    </row>
    <row r="10702" ht="22.5" customHeight="1">
      <c r="A10702" s="66"/>
      <c r="B10702" s="67" t="str">
        <f t="shared" si="16"/>
        <v>M: </v>
      </c>
      <c r="C10702" s="68"/>
      <c r="D10702" s="68"/>
      <c r="E10702" s="66"/>
      <c r="F10702" s="66" t="str">
        <f>IFERROR(__xludf.DUMMYFUNCTION("GOOGLETRANSLATE(A10702,""en"",""pt"")"),"#VALUE!")</f>
        <v>#VALUE!</v>
      </c>
      <c r="G10702" s="69"/>
    </row>
    <row r="10703" ht="22.5" customHeight="1">
      <c r="A10703" s="66"/>
      <c r="B10703" s="67" t="str">
        <f t="shared" si="16"/>
        <v>M: </v>
      </c>
      <c r="C10703" s="68"/>
      <c r="D10703" s="68"/>
      <c r="E10703" s="66"/>
      <c r="F10703" s="66" t="str">
        <f>IFERROR(__xludf.DUMMYFUNCTION("GOOGLETRANSLATE(A10703,""en"",""pt"")"),"#VALUE!")</f>
        <v>#VALUE!</v>
      </c>
      <c r="G10703" s="69"/>
    </row>
    <row r="10704" ht="22.5" customHeight="1">
      <c r="A10704" s="66"/>
      <c r="B10704" s="67" t="str">
        <f t="shared" si="16"/>
        <v>M: </v>
      </c>
      <c r="C10704" s="68"/>
      <c r="D10704" s="68"/>
      <c r="E10704" s="66"/>
      <c r="F10704" s="66" t="str">
        <f>IFERROR(__xludf.DUMMYFUNCTION("GOOGLETRANSLATE(A10704,""en"",""pt"")"),"#VALUE!")</f>
        <v>#VALUE!</v>
      </c>
      <c r="G10704" s="69"/>
    </row>
    <row r="10705" ht="22.5" customHeight="1">
      <c r="A10705" s="66"/>
      <c r="B10705" s="67" t="str">
        <f t="shared" si="16"/>
        <v>M: </v>
      </c>
      <c r="C10705" s="68"/>
      <c r="D10705" s="68"/>
      <c r="E10705" s="66"/>
      <c r="F10705" s="66" t="str">
        <f>IFERROR(__xludf.DUMMYFUNCTION("GOOGLETRANSLATE(A10705,""en"",""pt"")"),"#VALUE!")</f>
        <v>#VALUE!</v>
      </c>
      <c r="G10705" s="69"/>
    </row>
    <row r="10706" ht="22.5" customHeight="1">
      <c r="A10706" s="66"/>
      <c r="B10706" s="67" t="str">
        <f t="shared" si="16"/>
        <v>M: </v>
      </c>
      <c r="C10706" s="68"/>
      <c r="D10706" s="68"/>
      <c r="E10706" s="66"/>
      <c r="F10706" s="66" t="str">
        <f>IFERROR(__xludf.DUMMYFUNCTION("GOOGLETRANSLATE(A10706,""en"",""pt"")"),"#VALUE!")</f>
        <v>#VALUE!</v>
      </c>
      <c r="G10706" s="69"/>
    </row>
    <row r="10707" ht="22.5" customHeight="1">
      <c r="A10707" s="66"/>
      <c r="B10707" s="67" t="str">
        <f t="shared" si="16"/>
        <v>M: </v>
      </c>
      <c r="C10707" s="68"/>
      <c r="D10707" s="68"/>
      <c r="E10707" s="66"/>
      <c r="F10707" s="66" t="str">
        <f>IFERROR(__xludf.DUMMYFUNCTION("GOOGLETRANSLATE(A10707,""en"",""pt"")"),"#VALUE!")</f>
        <v>#VALUE!</v>
      </c>
      <c r="G10707" s="69"/>
    </row>
    <row r="10708" ht="22.5" customHeight="1">
      <c r="A10708" s="66"/>
      <c r="B10708" s="67" t="str">
        <f t="shared" si="16"/>
        <v>M: </v>
      </c>
      <c r="C10708" s="68"/>
      <c r="D10708" s="68"/>
      <c r="E10708" s="66"/>
      <c r="F10708" s="66" t="str">
        <f>IFERROR(__xludf.DUMMYFUNCTION("GOOGLETRANSLATE(A10708,""en"",""pt"")"),"#VALUE!")</f>
        <v>#VALUE!</v>
      </c>
      <c r="G10708" s="69"/>
    </row>
    <row r="10709" ht="22.5" customHeight="1">
      <c r="A10709" s="66"/>
      <c r="B10709" s="67" t="str">
        <f t="shared" si="16"/>
        <v>M: </v>
      </c>
      <c r="C10709" s="68"/>
      <c r="D10709" s="68"/>
      <c r="E10709" s="66"/>
      <c r="F10709" s="66" t="str">
        <f>IFERROR(__xludf.DUMMYFUNCTION("GOOGLETRANSLATE(A10709,""en"",""pt"")"),"#VALUE!")</f>
        <v>#VALUE!</v>
      </c>
      <c r="G10709" s="69"/>
    </row>
    <row r="10710" ht="22.5" customHeight="1">
      <c r="A10710" s="66"/>
      <c r="B10710" s="67" t="str">
        <f t="shared" si="16"/>
        <v>M: </v>
      </c>
      <c r="C10710" s="68"/>
      <c r="D10710" s="68"/>
      <c r="E10710" s="66"/>
      <c r="F10710" s="66" t="str">
        <f>IFERROR(__xludf.DUMMYFUNCTION("GOOGLETRANSLATE(A10710,""en"",""pt"")"),"#VALUE!")</f>
        <v>#VALUE!</v>
      </c>
      <c r="G10710" s="69"/>
    </row>
    <row r="10711" ht="22.5" customHeight="1">
      <c r="A10711" s="66"/>
      <c r="B10711" s="67" t="str">
        <f t="shared" si="16"/>
        <v>M: </v>
      </c>
      <c r="C10711" s="68"/>
      <c r="D10711" s="68"/>
      <c r="E10711" s="66"/>
      <c r="F10711" s="66" t="str">
        <f>IFERROR(__xludf.DUMMYFUNCTION("GOOGLETRANSLATE(A10711,""en"",""pt"")"),"#VALUE!")</f>
        <v>#VALUE!</v>
      </c>
      <c r="G10711" s="69"/>
    </row>
    <row r="10712" ht="22.5" customHeight="1">
      <c r="A10712" s="66"/>
      <c r="B10712" s="67" t="str">
        <f t="shared" si="16"/>
        <v>M: </v>
      </c>
      <c r="C10712" s="68"/>
      <c r="D10712" s="68"/>
      <c r="E10712" s="66"/>
      <c r="F10712" s="66" t="str">
        <f>IFERROR(__xludf.DUMMYFUNCTION("GOOGLETRANSLATE(A10712,""en"",""pt"")"),"#VALUE!")</f>
        <v>#VALUE!</v>
      </c>
      <c r="G10712" s="69"/>
    </row>
    <row r="10713" ht="22.5" customHeight="1">
      <c r="A10713" s="66"/>
      <c r="B10713" s="67" t="str">
        <f t="shared" si="16"/>
        <v>M: </v>
      </c>
      <c r="C10713" s="68"/>
      <c r="D10713" s="68"/>
      <c r="E10713" s="66"/>
      <c r="F10713" s="66" t="str">
        <f>IFERROR(__xludf.DUMMYFUNCTION("GOOGLETRANSLATE(A10713,""en"",""pt"")"),"#VALUE!")</f>
        <v>#VALUE!</v>
      </c>
      <c r="G10713" s="69"/>
    </row>
    <row r="10714" ht="22.5" customHeight="1">
      <c r="A10714" s="66"/>
      <c r="B10714" s="67" t="str">
        <f t="shared" si="16"/>
        <v>M: </v>
      </c>
      <c r="C10714" s="68"/>
      <c r="D10714" s="68"/>
      <c r="E10714" s="66"/>
      <c r="F10714" s="66" t="str">
        <f>IFERROR(__xludf.DUMMYFUNCTION("GOOGLETRANSLATE(A10714,""en"",""pt"")"),"#VALUE!")</f>
        <v>#VALUE!</v>
      </c>
      <c r="G10714" s="69"/>
    </row>
    <row r="10715" ht="22.5" customHeight="1">
      <c r="A10715" s="66"/>
      <c r="B10715" s="67" t="str">
        <f t="shared" si="16"/>
        <v>M: </v>
      </c>
      <c r="C10715" s="68"/>
      <c r="D10715" s="68"/>
      <c r="E10715" s="66"/>
      <c r="F10715" s="66" t="str">
        <f>IFERROR(__xludf.DUMMYFUNCTION("GOOGLETRANSLATE(A10715,""en"",""pt"")"),"#VALUE!")</f>
        <v>#VALUE!</v>
      </c>
      <c r="G10715" s="69"/>
    </row>
    <row r="10716" ht="22.5" customHeight="1">
      <c r="A10716" s="66"/>
      <c r="B10716" s="67" t="str">
        <f t="shared" si="16"/>
        <v>M: </v>
      </c>
      <c r="C10716" s="68"/>
      <c r="D10716" s="68"/>
      <c r="E10716" s="66"/>
      <c r="F10716" s="66" t="str">
        <f>IFERROR(__xludf.DUMMYFUNCTION("GOOGLETRANSLATE(A10716,""en"",""pt"")"),"#VALUE!")</f>
        <v>#VALUE!</v>
      </c>
      <c r="G10716" s="69"/>
    </row>
    <row r="10717" ht="22.5" customHeight="1">
      <c r="A10717" s="66"/>
      <c r="B10717" s="67" t="str">
        <f t="shared" si="16"/>
        <v>M: </v>
      </c>
      <c r="C10717" s="68"/>
      <c r="D10717" s="68"/>
      <c r="E10717" s="66"/>
      <c r="F10717" s="66" t="str">
        <f>IFERROR(__xludf.DUMMYFUNCTION("GOOGLETRANSLATE(A10717,""en"",""pt"")"),"#VALUE!")</f>
        <v>#VALUE!</v>
      </c>
      <c r="G10717" s="69"/>
    </row>
    <row r="10718" ht="22.5" customHeight="1">
      <c r="A10718" s="66"/>
      <c r="B10718" s="67" t="str">
        <f t="shared" si="16"/>
        <v>M: </v>
      </c>
      <c r="C10718" s="68"/>
      <c r="D10718" s="68"/>
      <c r="E10718" s="66"/>
      <c r="F10718" s="66" t="str">
        <f>IFERROR(__xludf.DUMMYFUNCTION("GOOGLETRANSLATE(A10718,""en"",""pt"")"),"#VALUE!")</f>
        <v>#VALUE!</v>
      </c>
      <c r="G10718" s="69"/>
    </row>
    <row r="10719" ht="22.5" customHeight="1">
      <c r="A10719" s="66"/>
      <c r="B10719" s="67" t="str">
        <f t="shared" si="16"/>
        <v>M: </v>
      </c>
      <c r="C10719" s="68"/>
      <c r="D10719" s="68"/>
      <c r="E10719" s="66"/>
      <c r="F10719" s="66" t="str">
        <f>IFERROR(__xludf.DUMMYFUNCTION("GOOGLETRANSLATE(A10719,""en"",""pt"")"),"#VALUE!")</f>
        <v>#VALUE!</v>
      </c>
      <c r="G10719" s="69"/>
    </row>
    <row r="10720" ht="22.5" customHeight="1">
      <c r="A10720" s="66"/>
      <c r="B10720" s="67" t="str">
        <f t="shared" si="16"/>
        <v>M: </v>
      </c>
      <c r="C10720" s="68"/>
      <c r="D10720" s="68"/>
      <c r="E10720" s="66"/>
      <c r="F10720" s="66" t="str">
        <f>IFERROR(__xludf.DUMMYFUNCTION("GOOGLETRANSLATE(A10720,""en"",""pt"")"),"#VALUE!")</f>
        <v>#VALUE!</v>
      </c>
      <c r="G10720" s="69"/>
    </row>
    <row r="10721" ht="22.5" customHeight="1">
      <c r="A10721" s="66"/>
      <c r="B10721" s="67" t="str">
        <f t="shared" si="16"/>
        <v>M: </v>
      </c>
      <c r="C10721" s="68"/>
      <c r="D10721" s="68"/>
      <c r="E10721" s="66"/>
      <c r="F10721" s="66" t="str">
        <f>IFERROR(__xludf.DUMMYFUNCTION("GOOGLETRANSLATE(A10721,""en"",""pt"")"),"#VALUE!")</f>
        <v>#VALUE!</v>
      </c>
      <c r="G10721" s="69"/>
    </row>
    <row r="10722" ht="22.5" customHeight="1">
      <c r="A10722" s="66"/>
      <c r="B10722" s="67" t="str">
        <f t="shared" si="16"/>
        <v>M: </v>
      </c>
      <c r="C10722" s="68"/>
      <c r="D10722" s="68"/>
      <c r="E10722" s="66"/>
      <c r="F10722" s="66" t="str">
        <f>IFERROR(__xludf.DUMMYFUNCTION("GOOGLETRANSLATE(A10722,""en"",""pt"")"),"#VALUE!")</f>
        <v>#VALUE!</v>
      </c>
      <c r="G10722" s="69"/>
    </row>
    <row r="10723" ht="22.5" customHeight="1">
      <c r="A10723" s="66"/>
      <c r="B10723" s="67" t="str">
        <f t="shared" si="16"/>
        <v>M: </v>
      </c>
      <c r="C10723" s="68"/>
      <c r="D10723" s="68"/>
      <c r="E10723" s="66"/>
      <c r="F10723" s="66" t="str">
        <f>IFERROR(__xludf.DUMMYFUNCTION("GOOGLETRANSLATE(A10723,""en"",""pt"")"),"#VALUE!")</f>
        <v>#VALUE!</v>
      </c>
      <c r="G10723" s="69"/>
    </row>
    <row r="10724" ht="22.5" customHeight="1">
      <c r="A10724" s="66"/>
      <c r="B10724" s="67" t="str">
        <f t="shared" si="16"/>
        <v>M: </v>
      </c>
      <c r="C10724" s="68"/>
      <c r="D10724" s="68"/>
      <c r="E10724" s="66"/>
      <c r="F10724" s="66" t="str">
        <f>IFERROR(__xludf.DUMMYFUNCTION("GOOGLETRANSLATE(A10724,""en"",""pt"")"),"#VALUE!")</f>
        <v>#VALUE!</v>
      </c>
      <c r="G10724" s="69"/>
    </row>
    <row r="10725" ht="22.5" customHeight="1">
      <c r="A10725" s="66"/>
      <c r="B10725" s="67" t="str">
        <f t="shared" si="16"/>
        <v>M: </v>
      </c>
      <c r="C10725" s="68"/>
      <c r="D10725" s="68"/>
      <c r="E10725" s="66"/>
      <c r="F10725" s="66" t="str">
        <f>IFERROR(__xludf.DUMMYFUNCTION("GOOGLETRANSLATE(A10725,""en"",""pt"")"),"#VALUE!")</f>
        <v>#VALUE!</v>
      </c>
      <c r="G10725" s="69"/>
    </row>
    <row r="10726" ht="22.5" customHeight="1">
      <c r="A10726" s="66"/>
      <c r="B10726" s="67" t="str">
        <f t="shared" si="16"/>
        <v>M: </v>
      </c>
      <c r="C10726" s="68"/>
      <c r="D10726" s="68"/>
      <c r="E10726" s="66"/>
      <c r="F10726" s="66" t="str">
        <f>IFERROR(__xludf.DUMMYFUNCTION("GOOGLETRANSLATE(A10726,""en"",""pt"")"),"#VALUE!")</f>
        <v>#VALUE!</v>
      </c>
      <c r="G10726" s="69"/>
    </row>
    <row r="10727" ht="22.5" customHeight="1">
      <c r="A10727" s="66"/>
      <c r="B10727" s="67" t="str">
        <f t="shared" si="16"/>
        <v>M: </v>
      </c>
      <c r="C10727" s="68"/>
      <c r="D10727" s="68"/>
      <c r="E10727" s="66"/>
      <c r="F10727" s="66" t="str">
        <f>IFERROR(__xludf.DUMMYFUNCTION("GOOGLETRANSLATE(A10727,""en"",""pt"")"),"#VALUE!")</f>
        <v>#VALUE!</v>
      </c>
      <c r="G10727" s="69"/>
    </row>
    <row r="10728" ht="22.5" customHeight="1">
      <c r="A10728" s="66"/>
      <c r="B10728" s="67" t="str">
        <f t="shared" si="16"/>
        <v>M: </v>
      </c>
      <c r="C10728" s="68"/>
      <c r="D10728" s="68"/>
      <c r="E10728" s="66"/>
      <c r="F10728" s="66" t="str">
        <f>IFERROR(__xludf.DUMMYFUNCTION("GOOGLETRANSLATE(A10728,""en"",""pt"")"),"#VALUE!")</f>
        <v>#VALUE!</v>
      </c>
      <c r="G10728" s="69"/>
    </row>
    <row r="10729" ht="22.5" customHeight="1">
      <c r="A10729" s="66"/>
      <c r="B10729" s="67" t="str">
        <f t="shared" si="16"/>
        <v>M: </v>
      </c>
      <c r="C10729" s="68"/>
      <c r="D10729" s="68"/>
      <c r="E10729" s="66"/>
      <c r="F10729" s="66" t="str">
        <f>IFERROR(__xludf.DUMMYFUNCTION("GOOGLETRANSLATE(A10729,""en"",""pt"")"),"#VALUE!")</f>
        <v>#VALUE!</v>
      </c>
      <c r="G10729" s="69"/>
    </row>
    <row r="10730" ht="22.5" customHeight="1">
      <c r="A10730" s="66"/>
      <c r="B10730" s="67" t="str">
        <f t="shared" si="16"/>
        <v>M: </v>
      </c>
      <c r="C10730" s="68"/>
      <c r="D10730" s="68"/>
      <c r="E10730" s="66"/>
      <c r="F10730" s="66" t="str">
        <f>IFERROR(__xludf.DUMMYFUNCTION("GOOGLETRANSLATE(A10730,""en"",""pt"")"),"#VALUE!")</f>
        <v>#VALUE!</v>
      </c>
      <c r="G10730" s="69"/>
    </row>
    <row r="10731" ht="22.5" customHeight="1">
      <c r="A10731" s="66"/>
      <c r="B10731" s="67" t="str">
        <f t="shared" si="16"/>
        <v>M: </v>
      </c>
      <c r="C10731" s="68"/>
      <c r="D10731" s="68"/>
      <c r="E10731" s="66"/>
      <c r="F10731" s="66" t="str">
        <f>IFERROR(__xludf.DUMMYFUNCTION("GOOGLETRANSLATE(A10731,""en"",""pt"")"),"#VALUE!")</f>
        <v>#VALUE!</v>
      </c>
      <c r="G10731" s="69"/>
    </row>
    <row r="10732" ht="22.5" customHeight="1">
      <c r="A10732" s="66"/>
      <c r="B10732" s="67" t="str">
        <f t="shared" si="16"/>
        <v>M: </v>
      </c>
      <c r="C10732" s="68"/>
      <c r="D10732" s="68"/>
      <c r="E10732" s="66"/>
      <c r="F10732" s="66" t="str">
        <f>IFERROR(__xludf.DUMMYFUNCTION("GOOGLETRANSLATE(A10732,""en"",""pt"")"),"#VALUE!")</f>
        <v>#VALUE!</v>
      </c>
      <c r="G10732" s="69"/>
    </row>
    <row r="10733" ht="22.5" customHeight="1">
      <c r="A10733" s="66"/>
      <c r="B10733" s="67" t="str">
        <f t="shared" si="16"/>
        <v>M: </v>
      </c>
      <c r="C10733" s="68"/>
      <c r="D10733" s="68"/>
      <c r="E10733" s="66"/>
      <c r="F10733" s="66" t="str">
        <f>IFERROR(__xludf.DUMMYFUNCTION("GOOGLETRANSLATE(A10733,""en"",""pt"")"),"#VALUE!")</f>
        <v>#VALUE!</v>
      </c>
      <c r="G10733" s="69"/>
    </row>
    <row r="10734" ht="22.5" customHeight="1">
      <c r="A10734" s="66"/>
      <c r="B10734" s="67" t="str">
        <f t="shared" si="16"/>
        <v>M: </v>
      </c>
      <c r="C10734" s="68"/>
      <c r="D10734" s="68"/>
      <c r="E10734" s="66"/>
      <c r="F10734" s="66" t="str">
        <f>IFERROR(__xludf.DUMMYFUNCTION("GOOGLETRANSLATE(A10734,""en"",""pt"")"),"#VALUE!")</f>
        <v>#VALUE!</v>
      </c>
      <c r="G10734" s="69"/>
    </row>
    <row r="10735" ht="22.5" customHeight="1">
      <c r="A10735" s="66"/>
      <c r="B10735" s="67" t="str">
        <f t="shared" si="16"/>
        <v>M: </v>
      </c>
      <c r="C10735" s="68"/>
      <c r="D10735" s="68"/>
      <c r="E10735" s="66"/>
      <c r="F10735" s="66" t="str">
        <f>IFERROR(__xludf.DUMMYFUNCTION("GOOGLETRANSLATE(A10735,""en"",""pt"")"),"#VALUE!")</f>
        <v>#VALUE!</v>
      </c>
      <c r="G10735" s="69"/>
    </row>
    <row r="10736" ht="22.5" customHeight="1">
      <c r="A10736" s="66"/>
      <c r="B10736" s="67" t="str">
        <f t="shared" si="16"/>
        <v>M: </v>
      </c>
      <c r="C10736" s="68"/>
      <c r="D10736" s="68"/>
      <c r="E10736" s="66"/>
      <c r="F10736" s="66" t="str">
        <f>IFERROR(__xludf.DUMMYFUNCTION("GOOGLETRANSLATE(A10736,""en"",""pt"")"),"#VALUE!")</f>
        <v>#VALUE!</v>
      </c>
      <c r="G10736" s="69"/>
    </row>
    <row r="10737" ht="22.5" customHeight="1">
      <c r="A10737" s="66"/>
      <c r="B10737" s="67" t="str">
        <f t="shared" si="16"/>
        <v>M: </v>
      </c>
      <c r="C10737" s="68"/>
      <c r="D10737" s="68"/>
      <c r="E10737" s="66"/>
      <c r="F10737" s="66" t="str">
        <f>IFERROR(__xludf.DUMMYFUNCTION("GOOGLETRANSLATE(A10737,""en"",""pt"")"),"#VALUE!")</f>
        <v>#VALUE!</v>
      </c>
      <c r="G10737" s="69"/>
    </row>
    <row r="10738" ht="22.5" customHeight="1">
      <c r="A10738" s="66"/>
      <c r="B10738" s="67" t="str">
        <f t="shared" si="16"/>
        <v>M: </v>
      </c>
      <c r="C10738" s="68"/>
      <c r="D10738" s="68"/>
      <c r="E10738" s="66"/>
      <c r="F10738" s="66" t="str">
        <f>IFERROR(__xludf.DUMMYFUNCTION("GOOGLETRANSLATE(A10738,""en"",""pt"")"),"#VALUE!")</f>
        <v>#VALUE!</v>
      </c>
      <c r="G10738" s="69"/>
    </row>
    <row r="10739" ht="22.5" customHeight="1">
      <c r="A10739" s="66"/>
      <c r="B10739" s="67" t="str">
        <f t="shared" si="16"/>
        <v>M: </v>
      </c>
      <c r="C10739" s="68"/>
      <c r="D10739" s="68"/>
      <c r="E10739" s="66"/>
      <c r="F10739" s="66" t="str">
        <f>IFERROR(__xludf.DUMMYFUNCTION("GOOGLETRANSLATE(A10739,""en"",""pt"")"),"#VALUE!")</f>
        <v>#VALUE!</v>
      </c>
      <c r="G10739" s="69"/>
    </row>
    <row r="10740" ht="22.5" customHeight="1">
      <c r="A10740" s="66"/>
      <c r="B10740" s="67" t="str">
        <f t="shared" si="16"/>
        <v>M: </v>
      </c>
      <c r="C10740" s="68"/>
      <c r="D10740" s="68"/>
      <c r="E10740" s="66"/>
      <c r="F10740" s="66" t="str">
        <f>IFERROR(__xludf.DUMMYFUNCTION("GOOGLETRANSLATE(A10740,""en"",""pt"")"),"#VALUE!")</f>
        <v>#VALUE!</v>
      </c>
      <c r="G10740" s="69"/>
    </row>
    <row r="10741" ht="22.5" customHeight="1">
      <c r="A10741" s="66"/>
      <c r="B10741" s="67" t="str">
        <f t="shared" si="16"/>
        <v>M: </v>
      </c>
      <c r="C10741" s="68"/>
      <c r="D10741" s="68"/>
      <c r="E10741" s="66"/>
      <c r="F10741" s="66" t="str">
        <f>IFERROR(__xludf.DUMMYFUNCTION("GOOGLETRANSLATE(A10741,""en"",""pt"")"),"#VALUE!")</f>
        <v>#VALUE!</v>
      </c>
      <c r="G10741" s="69"/>
    </row>
    <row r="10742" ht="22.5" customHeight="1">
      <c r="A10742" s="66"/>
      <c r="B10742" s="67" t="str">
        <f t="shared" si="16"/>
        <v>M: </v>
      </c>
      <c r="C10742" s="68"/>
      <c r="D10742" s="68"/>
      <c r="E10742" s="66"/>
      <c r="F10742" s="66" t="str">
        <f>IFERROR(__xludf.DUMMYFUNCTION("GOOGLETRANSLATE(A10742,""en"",""pt"")"),"#VALUE!")</f>
        <v>#VALUE!</v>
      </c>
      <c r="G10742" s="69"/>
    </row>
    <row r="10743" ht="22.5" customHeight="1">
      <c r="A10743" s="66"/>
      <c r="B10743" s="67" t="str">
        <f t="shared" si="16"/>
        <v>M: </v>
      </c>
      <c r="C10743" s="68"/>
      <c r="D10743" s="68"/>
      <c r="E10743" s="66"/>
      <c r="F10743" s="66" t="str">
        <f>IFERROR(__xludf.DUMMYFUNCTION("GOOGLETRANSLATE(A10743,""en"",""pt"")"),"#VALUE!")</f>
        <v>#VALUE!</v>
      </c>
      <c r="G10743" s="69"/>
    </row>
    <row r="10744" ht="22.5" customHeight="1">
      <c r="A10744" s="66"/>
      <c r="B10744" s="67" t="str">
        <f t="shared" si="16"/>
        <v>M: </v>
      </c>
      <c r="C10744" s="68"/>
      <c r="D10744" s="68"/>
      <c r="E10744" s="66"/>
      <c r="F10744" s="66" t="str">
        <f>IFERROR(__xludf.DUMMYFUNCTION("GOOGLETRANSLATE(A10744,""en"",""pt"")"),"#VALUE!")</f>
        <v>#VALUE!</v>
      </c>
      <c r="G10744" s="69"/>
    </row>
    <row r="10745" ht="22.5" customHeight="1">
      <c r="A10745" s="66"/>
      <c r="B10745" s="67" t="str">
        <f t="shared" si="16"/>
        <v>M: </v>
      </c>
      <c r="C10745" s="68"/>
      <c r="D10745" s="68"/>
      <c r="E10745" s="66"/>
      <c r="F10745" s="66" t="str">
        <f>IFERROR(__xludf.DUMMYFUNCTION("GOOGLETRANSLATE(A10745,""en"",""pt"")"),"#VALUE!")</f>
        <v>#VALUE!</v>
      </c>
      <c r="G10745" s="69"/>
    </row>
    <row r="10746" ht="22.5" customHeight="1">
      <c r="A10746" s="66"/>
      <c r="B10746" s="67" t="str">
        <f t="shared" si="16"/>
        <v>M: </v>
      </c>
      <c r="C10746" s="68"/>
      <c r="D10746" s="68"/>
      <c r="E10746" s="66"/>
      <c r="F10746" s="66" t="str">
        <f>IFERROR(__xludf.DUMMYFUNCTION("GOOGLETRANSLATE(A10746,""en"",""pt"")"),"#VALUE!")</f>
        <v>#VALUE!</v>
      </c>
      <c r="G10746" s="69"/>
    </row>
    <row r="10747" ht="22.5" customHeight="1">
      <c r="A10747" s="66"/>
      <c r="B10747" s="67" t="str">
        <f t="shared" si="16"/>
        <v>M: </v>
      </c>
      <c r="C10747" s="68"/>
      <c r="D10747" s="68"/>
      <c r="E10747" s="66"/>
      <c r="F10747" s="66" t="str">
        <f>IFERROR(__xludf.DUMMYFUNCTION("GOOGLETRANSLATE(A10747,""en"",""pt"")"),"#VALUE!")</f>
        <v>#VALUE!</v>
      </c>
      <c r="G10747" s="69"/>
    </row>
    <row r="10748" ht="22.5" customHeight="1">
      <c r="A10748" s="66"/>
      <c r="B10748" s="67" t="str">
        <f t="shared" si="16"/>
        <v>M: </v>
      </c>
      <c r="C10748" s="68"/>
      <c r="D10748" s="68"/>
      <c r="E10748" s="66"/>
      <c r="F10748" s="66" t="str">
        <f>IFERROR(__xludf.DUMMYFUNCTION("GOOGLETRANSLATE(A10748,""en"",""pt"")"),"#VALUE!")</f>
        <v>#VALUE!</v>
      </c>
      <c r="G10748" s="69"/>
    </row>
    <row r="10749" ht="22.5" customHeight="1">
      <c r="A10749" s="66"/>
      <c r="B10749" s="67" t="str">
        <f t="shared" si="16"/>
        <v>M: </v>
      </c>
      <c r="C10749" s="68"/>
      <c r="D10749" s="68"/>
      <c r="E10749" s="66"/>
      <c r="F10749" s="66" t="str">
        <f>IFERROR(__xludf.DUMMYFUNCTION("GOOGLETRANSLATE(A10749,""en"",""pt"")"),"#VALUE!")</f>
        <v>#VALUE!</v>
      </c>
      <c r="G10749" s="69"/>
    </row>
    <row r="10750" ht="22.5" customHeight="1">
      <c r="A10750" s="66"/>
      <c r="B10750" s="67" t="str">
        <f t="shared" si="16"/>
        <v>M: </v>
      </c>
      <c r="C10750" s="68"/>
      <c r="D10750" s="68"/>
      <c r="E10750" s="66"/>
      <c r="F10750" s="66" t="str">
        <f>IFERROR(__xludf.DUMMYFUNCTION("GOOGLETRANSLATE(A10750,""en"",""pt"")"),"#VALUE!")</f>
        <v>#VALUE!</v>
      </c>
      <c r="G10750" s="69"/>
    </row>
    <row r="10751" ht="22.5" customHeight="1">
      <c r="A10751" s="66"/>
      <c r="B10751" s="67" t="str">
        <f t="shared" si="16"/>
        <v>M: </v>
      </c>
      <c r="C10751" s="68"/>
      <c r="D10751" s="68"/>
      <c r="E10751" s="66"/>
      <c r="F10751" s="66" t="str">
        <f>IFERROR(__xludf.DUMMYFUNCTION("GOOGLETRANSLATE(A10751,""en"",""pt"")"),"#VALUE!")</f>
        <v>#VALUE!</v>
      </c>
      <c r="G10751" s="69"/>
    </row>
    <row r="10752" ht="22.5" customHeight="1">
      <c r="A10752" s="66"/>
      <c r="B10752" s="67" t="str">
        <f t="shared" si="16"/>
        <v>M: </v>
      </c>
      <c r="C10752" s="68"/>
      <c r="D10752" s="68"/>
      <c r="E10752" s="66"/>
      <c r="F10752" s="66" t="str">
        <f>IFERROR(__xludf.DUMMYFUNCTION("GOOGLETRANSLATE(A10752,""en"",""pt"")"),"#VALUE!")</f>
        <v>#VALUE!</v>
      </c>
      <c r="G10752" s="69"/>
    </row>
    <row r="10753" ht="22.5" customHeight="1">
      <c r="A10753" s="66"/>
      <c r="B10753" s="67" t="str">
        <f t="shared" si="16"/>
        <v>M: </v>
      </c>
      <c r="C10753" s="68"/>
      <c r="D10753" s="68"/>
      <c r="E10753" s="66"/>
      <c r="F10753" s="66" t="str">
        <f>IFERROR(__xludf.DUMMYFUNCTION("GOOGLETRANSLATE(A10753,""en"",""pt"")"),"#VALUE!")</f>
        <v>#VALUE!</v>
      </c>
      <c r="G10753" s="69"/>
    </row>
    <row r="10754" ht="22.5" customHeight="1">
      <c r="A10754" s="66"/>
      <c r="B10754" s="67" t="str">
        <f t="shared" si="16"/>
        <v>M: </v>
      </c>
      <c r="C10754" s="68"/>
      <c r="D10754" s="68"/>
      <c r="E10754" s="66"/>
      <c r="F10754" s="66" t="str">
        <f>IFERROR(__xludf.DUMMYFUNCTION("GOOGLETRANSLATE(A10754,""en"",""pt"")"),"#VALUE!")</f>
        <v>#VALUE!</v>
      </c>
      <c r="G10754" s="69"/>
    </row>
    <row r="10755" ht="22.5" customHeight="1">
      <c r="A10755" s="66"/>
      <c r="B10755" s="67" t="str">
        <f t="shared" si="16"/>
        <v>M: </v>
      </c>
      <c r="C10755" s="68"/>
      <c r="D10755" s="68"/>
      <c r="E10755" s="66"/>
      <c r="F10755" s="66" t="str">
        <f>IFERROR(__xludf.DUMMYFUNCTION("GOOGLETRANSLATE(A10755,""en"",""pt"")"),"#VALUE!")</f>
        <v>#VALUE!</v>
      </c>
      <c r="G10755" s="69"/>
    </row>
    <row r="10756" ht="22.5" customHeight="1">
      <c r="A10756" s="66"/>
      <c r="B10756" s="67" t="str">
        <f t="shared" si="16"/>
        <v>M: </v>
      </c>
      <c r="C10756" s="68"/>
      <c r="D10756" s="68"/>
      <c r="E10756" s="66"/>
      <c r="F10756" s="66" t="str">
        <f>IFERROR(__xludf.DUMMYFUNCTION("GOOGLETRANSLATE(A10756,""en"",""pt"")"),"#VALUE!")</f>
        <v>#VALUE!</v>
      </c>
      <c r="G10756" s="69"/>
    </row>
    <row r="10757" ht="22.5" customHeight="1">
      <c r="A10757" s="66"/>
      <c r="B10757" s="67" t="str">
        <f t="shared" si="16"/>
        <v>M: </v>
      </c>
      <c r="C10757" s="68"/>
      <c r="D10757" s="68"/>
      <c r="E10757" s="66"/>
      <c r="F10757" s="66" t="str">
        <f>IFERROR(__xludf.DUMMYFUNCTION("GOOGLETRANSLATE(A10757,""en"",""pt"")"),"#VALUE!")</f>
        <v>#VALUE!</v>
      </c>
      <c r="G10757" s="69"/>
    </row>
    <row r="10758" ht="22.5" customHeight="1">
      <c r="A10758" s="66"/>
      <c r="B10758" s="67" t="str">
        <f t="shared" si="16"/>
        <v>M: </v>
      </c>
      <c r="C10758" s="68"/>
      <c r="D10758" s="68"/>
      <c r="E10758" s="66"/>
      <c r="F10758" s="66" t="str">
        <f>IFERROR(__xludf.DUMMYFUNCTION("GOOGLETRANSLATE(A10758,""en"",""pt"")"),"#VALUE!")</f>
        <v>#VALUE!</v>
      </c>
      <c r="G10758" s="69"/>
    </row>
    <row r="10759" ht="22.5" customHeight="1">
      <c r="A10759" s="66"/>
      <c r="B10759" s="67" t="str">
        <f t="shared" si="16"/>
        <v>M: </v>
      </c>
      <c r="C10759" s="68"/>
      <c r="D10759" s="68"/>
      <c r="E10759" s="66"/>
      <c r="F10759" s="66" t="str">
        <f>IFERROR(__xludf.DUMMYFUNCTION("GOOGLETRANSLATE(A10759,""en"",""pt"")"),"#VALUE!")</f>
        <v>#VALUE!</v>
      </c>
      <c r="G10759" s="69"/>
    </row>
    <row r="10760" ht="22.5" customHeight="1">
      <c r="A10760" s="66"/>
      <c r="B10760" s="67" t="str">
        <f t="shared" si="16"/>
        <v>M: </v>
      </c>
      <c r="C10760" s="68"/>
      <c r="D10760" s="68"/>
      <c r="E10760" s="66"/>
      <c r="F10760" s="66" t="str">
        <f>IFERROR(__xludf.DUMMYFUNCTION("GOOGLETRANSLATE(A10760,""en"",""pt"")"),"#VALUE!")</f>
        <v>#VALUE!</v>
      </c>
      <c r="G10760" s="69"/>
    </row>
    <row r="10761" ht="22.5" customHeight="1">
      <c r="A10761" s="66"/>
      <c r="B10761" s="67" t="str">
        <f t="shared" si="16"/>
        <v>M: </v>
      </c>
      <c r="C10761" s="68"/>
      <c r="D10761" s="68"/>
      <c r="E10761" s="66"/>
      <c r="F10761" s="66" t="str">
        <f>IFERROR(__xludf.DUMMYFUNCTION("GOOGLETRANSLATE(A10761,""en"",""pt"")"),"#VALUE!")</f>
        <v>#VALUE!</v>
      </c>
      <c r="G10761" s="69"/>
    </row>
    <row r="10762" ht="22.5" customHeight="1">
      <c r="A10762" s="66"/>
      <c r="B10762" s="67" t="str">
        <f t="shared" si="16"/>
        <v>M: </v>
      </c>
      <c r="C10762" s="68"/>
      <c r="D10762" s="68"/>
      <c r="E10762" s="66"/>
      <c r="F10762" s="66" t="str">
        <f>IFERROR(__xludf.DUMMYFUNCTION("GOOGLETRANSLATE(A10762,""en"",""pt"")"),"#VALUE!")</f>
        <v>#VALUE!</v>
      </c>
      <c r="G10762" s="69"/>
    </row>
    <row r="10763" ht="22.5" customHeight="1">
      <c r="A10763" s="66"/>
      <c r="B10763" s="67" t="str">
        <f t="shared" si="16"/>
        <v>M: </v>
      </c>
      <c r="C10763" s="68"/>
      <c r="D10763" s="68"/>
      <c r="E10763" s="66"/>
      <c r="F10763" s="66" t="str">
        <f>IFERROR(__xludf.DUMMYFUNCTION("GOOGLETRANSLATE(A10763,""en"",""pt"")"),"#VALUE!")</f>
        <v>#VALUE!</v>
      </c>
      <c r="G10763" s="69"/>
    </row>
    <row r="10764" ht="22.5" customHeight="1">
      <c r="A10764" s="66"/>
      <c r="B10764" s="67" t="str">
        <f t="shared" si="16"/>
        <v>M: </v>
      </c>
      <c r="C10764" s="68"/>
      <c r="D10764" s="68"/>
      <c r="E10764" s="66"/>
      <c r="F10764" s="66" t="str">
        <f>IFERROR(__xludf.DUMMYFUNCTION("GOOGLETRANSLATE(A10764,""en"",""pt"")"),"#VALUE!")</f>
        <v>#VALUE!</v>
      </c>
      <c r="G10764" s="69"/>
    </row>
    <row r="10765" ht="22.5" customHeight="1">
      <c r="A10765" s="66"/>
      <c r="B10765" s="67" t="str">
        <f t="shared" si="16"/>
        <v>M: </v>
      </c>
      <c r="C10765" s="68"/>
      <c r="D10765" s="68"/>
      <c r="E10765" s="66"/>
      <c r="F10765" s="66" t="str">
        <f>IFERROR(__xludf.DUMMYFUNCTION("GOOGLETRANSLATE(A10765,""en"",""pt"")"),"#VALUE!")</f>
        <v>#VALUE!</v>
      </c>
      <c r="G10765" s="69"/>
    </row>
    <row r="10766" ht="22.5" customHeight="1">
      <c r="A10766" s="66"/>
      <c r="B10766" s="67" t="str">
        <f t="shared" si="16"/>
        <v>M: </v>
      </c>
      <c r="C10766" s="68"/>
      <c r="D10766" s="68"/>
      <c r="E10766" s="66"/>
      <c r="F10766" s="66" t="str">
        <f>IFERROR(__xludf.DUMMYFUNCTION("GOOGLETRANSLATE(A10766,""en"",""pt"")"),"#VALUE!")</f>
        <v>#VALUE!</v>
      </c>
      <c r="G10766" s="69"/>
    </row>
    <row r="10767" ht="22.5" customHeight="1">
      <c r="A10767" s="66"/>
      <c r="B10767" s="67" t="str">
        <f t="shared" si="16"/>
        <v>M: </v>
      </c>
      <c r="C10767" s="68"/>
      <c r="D10767" s="68"/>
      <c r="E10767" s="66"/>
      <c r="F10767" s="66" t="str">
        <f>IFERROR(__xludf.DUMMYFUNCTION("GOOGLETRANSLATE(A10767,""en"",""pt"")"),"#VALUE!")</f>
        <v>#VALUE!</v>
      </c>
      <c r="G10767" s="69"/>
    </row>
    <row r="10768" ht="22.5" customHeight="1">
      <c r="A10768" s="66"/>
      <c r="B10768" s="67" t="str">
        <f t="shared" si="16"/>
        <v>M: </v>
      </c>
      <c r="C10768" s="68"/>
      <c r="D10768" s="68"/>
      <c r="E10768" s="66"/>
      <c r="F10768" s="66" t="str">
        <f>IFERROR(__xludf.DUMMYFUNCTION("GOOGLETRANSLATE(A10768,""en"",""pt"")"),"#VALUE!")</f>
        <v>#VALUE!</v>
      </c>
      <c r="G10768" s="69"/>
    </row>
    <row r="10769" ht="22.5" customHeight="1">
      <c r="A10769" s="66"/>
      <c r="B10769" s="67" t="str">
        <f t="shared" si="16"/>
        <v>M: </v>
      </c>
      <c r="C10769" s="68"/>
      <c r="D10769" s="68"/>
      <c r="E10769" s="66"/>
      <c r="F10769" s="66" t="str">
        <f>IFERROR(__xludf.DUMMYFUNCTION("GOOGLETRANSLATE(A10769,""en"",""pt"")"),"#VALUE!")</f>
        <v>#VALUE!</v>
      </c>
      <c r="G10769" s="69"/>
    </row>
    <row r="10770" ht="22.5" customHeight="1">
      <c r="A10770" s="66"/>
      <c r="B10770" s="67" t="str">
        <f t="shared" si="16"/>
        <v>M: </v>
      </c>
      <c r="C10770" s="68"/>
      <c r="D10770" s="68"/>
      <c r="E10770" s="66"/>
      <c r="F10770" s="66" t="str">
        <f>IFERROR(__xludf.DUMMYFUNCTION("GOOGLETRANSLATE(A10770,""en"",""pt"")"),"#VALUE!")</f>
        <v>#VALUE!</v>
      </c>
      <c r="G10770" s="69"/>
    </row>
    <row r="10771" ht="22.5" customHeight="1">
      <c r="A10771" s="66"/>
      <c r="B10771" s="67" t="str">
        <f t="shared" si="16"/>
        <v>M: </v>
      </c>
      <c r="C10771" s="68"/>
      <c r="D10771" s="68"/>
      <c r="E10771" s="66"/>
      <c r="F10771" s="66" t="str">
        <f>IFERROR(__xludf.DUMMYFUNCTION("GOOGLETRANSLATE(A10771,""en"",""pt"")"),"#VALUE!")</f>
        <v>#VALUE!</v>
      </c>
      <c r="G10771" s="69"/>
    </row>
    <row r="10772" ht="22.5" customHeight="1">
      <c r="A10772" s="66"/>
      <c r="B10772" s="67" t="str">
        <f t="shared" si="16"/>
        <v>M: </v>
      </c>
      <c r="C10772" s="68"/>
      <c r="D10772" s="68"/>
      <c r="E10772" s="66"/>
      <c r="F10772" s="66" t="str">
        <f>IFERROR(__xludf.DUMMYFUNCTION("GOOGLETRANSLATE(A10772,""en"",""pt"")"),"#VALUE!")</f>
        <v>#VALUE!</v>
      </c>
      <c r="G10772" s="69"/>
    </row>
    <row r="10773" ht="22.5" customHeight="1">
      <c r="A10773" s="66"/>
      <c r="B10773" s="67" t="str">
        <f t="shared" si="16"/>
        <v>M: </v>
      </c>
      <c r="C10773" s="68"/>
      <c r="D10773" s="68"/>
      <c r="E10773" s="66"/>
      <c r="F10773" s="66" t="str">
        <f>IFERROR(__xludf.DUMMYFUNCTION("GOOGLETRANSLATE(A10773,""en"",""pt"")"),"#VALUE!")</f>
        <v>#VALUE!</v>
      </c>
      <c r="G10773" s="69"/>
    </row>
    <row r="10774" ht="22.5" customHeight="1">
      <c r="A10774" s="66"/>
      <c r="B10774" s="67" t="str">
        <f t="shared" si="16"/>
        <v>M: </v>
      </c>
      <c r="C10774" s="68"/>
      <c r="D10774" s="68"/>
      <c r="E10774" s="66"/>
      <c r="F10774" s="66" t="str">
        <f>IFERROR(__xludf.DUMMYFUNCTION("GOOGLETRANSLATE(A10774,""en"",""pt"")"),"#VALUE!")</f>
        <v>#VALUE!</v>
      </c>
      <c r="G10774" s="69"/>
    </row>
    <row r="10775" ht="22.5" customHeight="1">
      <c r="A10775" s="66"/>
      <c r="B10775" s="67" t="str">
        <f t="shared" si="16"/>
        <v>M: </v>
      </c>
      <c r="C10775" s="68"/>
      <c r="D10775" s="68"/>
      <c r="E10775" s="66"/>
      <c r="F10775" s="66" t="str">
        <f>IFERROR(__xludf.DUMMYFUNCTION("GOOGLETRANSLATE(A10775,""en"",""pt"")"),"#VALUE!")</f>
        <v>#VALUE!</v>
      </c>
      <c r="G10775" s="69"/>
    </row>
    <row r="10776" ht="22.5" customHeight="1">
      <c r="A10776" s="66"/>
      <c r="B10776" s="67" t="str">
        <f t="shared" si="16"/>
        <v>M: </v>
      </c>
      <c r="C10776" s="68"/>
      <c r="D10776" s="68"/>
      <c r="E10776" s="66"/>
      <c r="F10776" s="66" t="str">
        <f>IFERROR(__xludf.DUMMYFUNCTION("GOOGLETRANSLATE(A10776,""en"",""pt"")"),"#VALUE!")</f>
        <v>#VALUE!</v>
      </c>
      <c r="G10776" s="69"/>
    </row>
    <row r="10777" ht="22.5" customHeight="1">
      <c r="A10777" s="66"/>
      <c r="B10777" s="67" t="str">
        <f t="shared" si="16"/>
        <v>M: </v>
      </c>
      <c r="C10777" s="68"/>
      <c r="D10777" s="68"/>
      <c r="E10777" s="66"/>
      <c r="F10777" s="66" t="str">
        <f>IFERROR(__xludf.DUMMYFUNCTION("GOOGLETRANSLATE(A10777,""en"",""pt"")"),"#VALUE!")</f>
        <v>#VALUE!</v>
      </c>
      <c r="G10777" s="69"/>
    </row>
    <row r="10778" ht="22.5" customHeight="1">
      <c r="A10778" s="66"/>
      <c r="B10778" s="67" t="str">
        <f t="shared" si="16"/>
        <v>M: </v>
      </c>
      <c r="C10778" s="68"/>
      <c r="D10778" s="68"/>
      <c r="E10778" s="66"/>
      <c r="F10778" s="66" t="str">
        <f>IFERROR(__xludf.DUMMYFUNCTION("GOOGLETRANSLATE(A10778,""en"",""pt"")"),"#VALUE!")</f>
        <v>#VALUE!</v>
      </c>
      <c r="G10778" s="69"/>
    </row>
    <row r="10779" ht="22.5" customHeight="1">
      <c r="A10779" s="66"/>
      <c r="B10779" s="67" t="str">
        <f t="shared" si="16"/>
        <v>M: </v>
      </c>
      <c r="C10779" s="68"/>
      <c r="D10779" s="68"/>
      <c r="E10779" s="66"/>
      <c r="F10779" s="66" t="str">
        <f>IFERROR(__xludf.DUMMYFUNCTION("GOOGLETRANSLATE(A10779,""en"",""pt"")"),"#VALUE!")</f>
        <v>#VALUE!</v>
      </c>
      <c r="G10779" s="69"/>
    </row>
    <row r="10780" ht="22.5" customHeight="1">
      <c r="A10780" s="66"/>
      <c r="B10780" s="67" t="str">
        <f t="shared" si="16"/>
        <v>M: </v>
      </c>
      <c r="C10780" s="68"/>
      <c r="D10780" s="68"/>
      <c r="E10780" s="66"/>
      <c r="F10780" s="66" t="str">
        <f>IFERROR(__xludf.DUMMYFUNCTION("GOOGLETRANSLATE(A10780,""en"",""pt"")"),"#VALUE!")</f>
        <v>#VALUE!</v>
      </c>
      <c r="G10780" s="69"/>
    </row>
    <row r="10781" ht="22.5" customHeight="1">
      <c r="A10781" s="66"/>
      <c r="B10781" s="67" t="str">
        <f t="shared" si="16"/>
        <v>M: </v>
      </c>
      <c r="C10781" s="68"/>
      <c r="D10781" s="68"/>
      <c r="E10781" s="66"/>
      <c r="F10781" s="66" t="str">
        <f>IFERROR(__xludf.DUMMYFUNCTION("GOOGLETRANSLATE(A10781,""en"",""pt"")"),"#VALUE!")</f>
        <v>#VALUE!</v>
      </c>
      <c r="G10781" s="69"/>
    </row>
    <row r="10782" ht="22.5" customHeight="1">
      <c r="A10782" s="66"/>
      <c r="B10782" s="67" t="str">
        <f t="shared" si="16"/>
        <v>M: </v>
      </c>
      <c r="C10782" s="68"/>
      <c r="D10782" s="68"/>
      <c r="E10782" s="66"/>
      <c r="F10782" s="66" t="str">
        <f>IFERROR(__xludf.DUMMYFUNCTION("GOOGLETRANSLATE(A10782,""en"",""pt"")"),"#VALUE!")</f>
        <v>#VALUE!</v>
      </c>
      <c r="G10782" s="69"/>
    </row>
    <row r="10783" ht="22.5" customHeight="1">
      <c r="A10783" s="66"/>
      <c r="B10783" s="67" t="str">
        <f t="shared" si="16"/>
        <v>M: </v>
      </c>
      <c r="C10783" s="68"/>
      <c r="D10783" s="68"/>
      <c r="E10783" s="66"/>
      <c r="F10783" s="66" t="str">
        <f>IFERROR(__xludf.DUMMYFUNCTION("GOOGLETRANSLATE(A10783,""en"",""pt"")"),"#VALUE!")</f>
        <v>#VALUE!</v>
      </c>
      <c r="G10783" s="69"/>
    </row>
    <row r="10784" ht="22.5" customHeight="1">
      <c r="A10784" s="66"/>
      <c r="B10784" s="67" t="str">
        <f t="shared" si="16"/>
        <v>M: </v>
      </c>
      <c r="C10784" s="68"/>
      <c r="D10784" s="68"/>
      <c r="E10784" s="66"/>
      <c r="F10784" s="66" t="str">
        <f>IFERROR(__xludf.DUMMYFUNCTION("GOOGLETRANSLATE(A10784,""en"",""pt"")"),"#VALUE!")</f>
        <v>#VALUE!</v>
      </c>
      <c r="G10784" s="69"/>
    </row>
    <row r="10785" ht="22.5" customHeight="1">
      <c r="A10785" s="66"/>
      <c r="B10785" s="67" t="str">
        <f t="shared" si="16"/>
        <v>M: </v>
      </c>
      <c r="C10785" s="68"/>
      <c r="D10785" s="68"/>
      <c r="E10785" s="66"/>
      <c r="F10785" s="66" t="str">
        <f>IFERROR(__xludf.DUMMYFUNCTION("GOOGLETRANSLATE(A10785,""en"",""pt"")"),"#VALUE!")</f>
        <v>#VALUE!</v>
      </c>
      <c r="G10785" s="69"/>
    </row>
    <row r="10786" ht="22.5" customHeight="1">
      <c r="A10786" s="66"/>
      <c r="B10786" s="67" t="str">
        <f t="shared" si="16"/>
        <v>M: </v>
      </c>
      <c r="C10786" s="68"/>
      <c r="D10786" s="68"/>
      <c r="E10786" s="66"/>
      <c r="F10786" s="66" t="str">
        <f>IFERROR(__xludf.DUMMYFUNCTION("GOOGLETRANSLATE(A10786,""en"",""pt"")"),"#VALUE!")</f>
        <v>#VALUE!</v>
      </c>
      <c r="G10786" s="69"/>
    </row>
    <row r="10787" ht="22.5" customHeight="1">
      <c r="A10787" s="66"/>
      <c r="B10787" s="67" t="str">
        <f t="shared" si="16"/>
        <v>M: </v>
      </c>
      <c r="C10787" s="68"/>
      <c r="D10787" s="68"/>
      <c r="E10787" s="66"/>
      <c r="F10787" s="66" t="str">
        <f>IFERROR(__xludf.DUMMYFUNCTION("GOOGLETRANSLATE(A10787,""en"",""pt"")"),"#VALUE!")</f>
        <v>#VALUE!</v>
      </c>
      <c r="G10787" s="69"/>
    </row>
    <row r="10788" ht="22.5" customHeight="1">
      <c r="A10788" s="66"/>
      <c r="B10788" s="67" t="str">
        <f t="shared" si="16"/>
        <v>M: </v>
      </c>
      <c r="C10788" s="68"/>
      <c r="D10788" s="68"/>
      <c r="E10788" s="66"/>
      <c r="F10788" s="66" t="str">
        <f>IFERROR(__xludf.DUMMYFUNCTION("GOOGLETRANSLATE(A10788,""en"",""pt"")"),"#VALUE!")</f>
        <v>#VALUE!</v>
      </c>
      <c r="G10788" s="69"/>
    </row>
    <row r="10789" ht="22.5" customHeight="1">
      <c r="A10789" s="66"/>
      <c r="B10789" s="67" t="str">
        <f t="shared" si="16"/>
        <v>M: </v>
      </c>
      <c r="C10789" s="68"/>
      <c r="D10789" s="68"/>
      <c r="E10789" s="66"/>
      <c r="F10789" s="66" t="str">
        <f>IFERROR(__xludf.DUMMYFUNCTION("GOOGLETRANSLATE(A10789,""en"",""pt"")"),"#VALUE!")</f>
        <v>#VALUE!</v>
      </c>
      <c r="G10789" s="69"/>
    </row>
    <row r="10790" ht="22.5" customHeight="1">
      <c r="A10790" s="66"/>
      <c r="B10790" s="67" t="str">
        <f t="shared" si="16"/>
        <v>M: </v>
      </c>
      <c r="C10790" s="68"/>
      <c r="D10790" s="68"/>
      <c r="E10790" s="66"/>
      <c r="F10790" s="66" t="str">
        <f>IFERROR(__xludf.DUMMYFUNCTION("GOOGLETRANSLATE(A10790,""en"",""pt"")"),"#VALUE!")</f>
        <v>#VALUE!</v>
      </c>
      <c r="G10790" s="69"/>
    </row>
    <row r="10791" ht="22.5" customHeight="1">
      <c r="A10791" s="66"/>
      <c r="B10791" s="67" t="str">
        <f t="shared" si="16"/>
        <v>M: </v>
      </c>
      <c r="C10791" s="68"/>
      <c r="D10791" s="68"/>
      <c r="E10791" s="66"/>
      <c r="F10791" s="66" t="str">
        <f>IFERROR(__xludf.DUMMYFUNCTION("GOOGLETRANSLATE(A10791,""en"",""pt"")"),"#VALUE!")</f>
        <v>#VALUE!</v>
      </c>
      <c r="G10791" s="69"/>
    </row>
    <row r="10792" ht="22.5" customHeight="1">
      <c r="A10792" s="66"/>
      <c r="B10792" s="67" t="str">
        <f t="shared" si="16"/>
        <v>M: </v>
      </c>
      <c r="C10792" s="68"/>
      <c r="D10792" s="68"/>
      <c r="E10792" s="66"/>
      <c r="F10792" s="66" t="str">
        <f>IFERROR(__xludf.DUMMYFUNCTION("GOOGLETRANSLATE(A10792,""en"",""pt"")"),"#VALUE!")</f>
        <v>#VALUE!</v>
      </c>
      <c r="G10792" s="69"/>
    </row>
    <row r="10793" ht="22.5" customHeight="1">
      <c r="A10793" s="66"/>
      <c r="B10793" s="67" t="str">
        <f t="shared" si="16"/>
        <v>M: </v>
      </c>
      <c r="C10793" s="68"/>
      <c r="D10793" s="68"/>
      <c r="E10793" s="66"/>
      <c r="F10793" s="66" t="str">
        <f>IFERROR(__xludf.DUMMYFUNCTION("GOOGLETRANSLATE(A10793,""en"",""pt"")"),"#VALUE!")</f>
        <v>#VALUE!</v>
      </c>
      <c r="G10793" s="69"/>
    </row>
    <row r="10794" ht="22.5" customHeight="1">
      <c r="A10794" s="66"/>
      <c r="B10794" s="67" t="str">
        <f t="shared" si="16"/>
        <v>M: </v>
      </c>
      <c r="C10794" s="68"/>
      <c r="D10794" s="68"/>
      <c r="E10794" s="66"/>
      <c r="F10794" s="66" t="str">
        <f>IFERROR(__xludf.DUMMYFUNCTION("GOOGLETRANSLATE(A10794,""en"",""pt"")"),"#VALUE!")</f>
        <v>#VALUE!</v>
      </c>
      <c r="G10794" s="69"/>
    </row>
    <row r="10795" ht="22.5" customHeight="1">
      <c r="A10795" s="66"/>
      <c r="B10795" s="67" t="str">
        <f t="shared" si="16"/>
        <v>M: </v>
      </c>
      <c r="C10795" s="68"/>
      <c r="D10795" s="68"/>
      <c r="E10795" s="66"/>
      <c r="F10795" s="66" t="str">
        <f>IFERROR(__xludf.DUMMYFUNCTION("GOOGLETRANSLATE(A10795,""en"",""pt"")"),"#VALUE!")</f>
        <v>#VALUE!</v>
      </c>
      <c r="G10795" s="69"/>
    </row>
    <row r="10796" ht="22.5" customHeight="1">
      <c r="A10796" s="66"/>
      <c r="B10796" s="67" t="str">
        <f t="shared" si="16"/>
        <v>M: </v>
      </c>
      <c r="C10796" s="68"/>
      <c r="D10796" s="68"/>
      <c r="E10796" s="66"/>
      <c r="F10796" s="66" t="str">
        <f>IFERROR(__xludf.DUMMYFUNCTION("GOOGLETRANSLATE(A10796,""en"",""pt"")"),"#VALUE!")</f>
        <v>#VALUE!</v>
      </c>
      <c r="G10796" s="69"/>
    </row>
    <row r="10797" ht="22.5" customHeight="1">
      <c r="A10797" s="66"/>
      <c r="B10797" s="67" t="str">
        <f t="shared" si="16"/>
        <v>M: </v>
      </c>
      <c r="C10797" s="68"/>
      <c r="D10797" s="68"/>
      <c r="E10797" s="66"/>
      <c r="F10797" s="66" t="str">
        <f>IFERROR(__xludf.DUMMYFUNCTION("GOOGLETRANSLATE(A10797,""en"",""pt"")"),"#VALUE!")</f>
        <v>#VALUE!</v>
      </c>
      <c r="G10797" s="69"/>
    </row>
    <row r="10798" ht="22.5" customHeight="1">
      <c r="A10798" s="66"/>
      <c r="B10798" s="67" t="str">
        <f t="shared" si="16"/>
        <v>M: </v>
      </c>
      <c r="C10798" s="68"/>
      <c r="D10798" s="68"/>
      <c r="E10798" s="66"/>
      <c r="F10798" s="66" t="str">
        <f>IFERROR(__xludf.DUMMYFUNCTION("GOOGLETRANSLATE(A10798,""en"",""pt"")"),"#VALUE!")</f>
        <v>#VALUE!</v>
      </c>
      <c r="G10798" s="69"/>
    </row>
    <row r="10799" ht="22.5" customHeight="1">
      <c r="A10799" s="66"/>
      <c r="B10799" s="67" t="str">
        <f t="shared" si="16"/>
        <v>M: </v>
      </c>
      <c r="C10799" s="68"/>
      <c r="D10799" s="68"/>
      <c r="E10799" s="66"/>
      <c r="F10799" s="66" t="str">
        <f>IFERROR(__xludf.DUMMYFUNCTION("GOOGLETRANSLATE(A10799,""en"",""pt"")"),"#VALUE!")</f>
        <v>#VALUE!</v>
      </c>
      <c r="G10799" s="69"/>
    </row>
    <row r="10800" ht="22.5" customHeight="1">
      <c r="A10800" s="66"/>
      <c r="B10800" s="67" t="str">
        <f t="shared" si="16"/>
        <v>M: </v>
      </c>
      <c r="C10800" s="68"/>
      <c r="D10800" s="68"/>
      <c r="E10800" s="66"/>
      <c r="F10800" s="66" t="str">
        <f>IFERROR(__xludf.DUMMYFUNCTION("GOOGLETRANSLATE(A10800,""en"",""pt"")"),"#VALUE!")</f>
        <v>#VALUE!</v>
      </c>
      <c r="G10800" s="69"/>
    </row>
    <row r="10801" ht="22.5" customHeight="1">
      <c r="A10801" s="66"/>
      <c r="B10801" s="67" t="str">
        <f t="shared" si="16"/>
        <v>M: </v>
      </c>
      <c r="C10801" s="68"/>
      <c r="D10801" s="68"/>
      <c r="E10801" s="66"/>
      <c r="F10801" s="66" t="str">
        <f>IFERROR(__xludf.DUMMYFUNCTION("GOOGLETRANSLATE(A10801,""en"",""pt"")"),"#VALUE!")</f>
        <v>#VALUE!</v>
      </c>
      <c r="G10801" s="69"/>
    </row>
    <row r="10802" ht="22.5" customHeight="1">
      <c r="A10802" s="66"/>
      <c r="B10802" s="67" t="str">
        <f t="shared" si="16"/>
        <v>M: </v>
      </c>
      <c r="C10802" s="68"/>
      <c r="D10802" s="68"/>
      <c r="E10802" s="66"/>
      <c r="F10802" s="66" t="str">
        <f>IFERROR(__xludf.DUMMYFUNCTION("GOOGLETRANSLATE(A10802,""en"",""pt"")"),"#VALUE!")</f>
        <v>#VALUE!</v>
      </c>
      <c r="G10802" s="69"/>
    </row>
    <row r="10803" ht="22.5" customHeight="1">
      <c r="A10803" s="66"/>
      <c r="B10803" s="67" t="str">
        <f t="shared" si="16"/>
        <v>M: </v>
      </c>
      <c r="C10803" s="68"/>
      <c r="D10803" s="68"/>
      <c r="E10803" s="66"/>
      <c r="F10803" s="66" t="str">
        <f>IFERROR(__xludf.DUMMYFUNCTION("GOOGLETRANSLATE(A10803,""en"",""pt"")"),"#VALUE!")</f>
        <v>#VALUE!</v>
      </c>
      <c r="G10803" s="69"/>
    </row>
    <row r="10804" ht="22.5" customHeight="1">
      <c r="A10804" s="66"/>
      <c r="B10804" s="67" t="str">
        <f t="shared" si="16"/>
        <v>M: </v>
      </c>
      <c r="C10804" s="68"/>
      <c r="D10804" s="68"/>
      <c r="E10804" s="66"/>
      <c r="F10804" s="66" t="str">
        <f>IFERROR(__xludf.DUMMYFUNCTION("GOOGLETRANSLATE(A10804,""en"",""pt"")"),"#VALUE!")</f>
        <v>#VALUE!</v>
      </c>
      <c r="G10804" s="69"/>
    </row>
    <row r="10805" ht="22.5" customHeight="1">
      <c r="A10805" s="66"/>
      <c r="B10805" s="67" t="str">
        <f t="shared" si="16"/>
        <v>M: </v>
      </c>
      <c r="C10805" s="68"/>
      <c r="D10805" s="68"/>
      <c r="E10805" s="66"/>
      <c r="F10805" s="66" t="str">
        <f>IFERROR(__xludf.DUMMYFUNCTION("GOOGLETRANSLATE(A10805,""en"",""pt"")"),"#VALUE!")</f>
        <v>#VALUE!</v>
      </c>
      <c r="G10805" s="69"/>
    </row>
    <row r="10806" ht="22.5" customHeight="1">
      <c r="A10806" s="66"/>
      <c r="B10806" s="67" t="str">
        <f t="shared" si="16"/>
        <v>M: </v>
      </c>
      <c r="C10806" s="68"/>
      <c r="D10806" s="68"/>
      <c r="E10806" s="66"/>
      <c r="F10806" s="66" t="str">
        <f>IFERROR(__xludf.DUMMYFUNCTION("GOOGLETRANSLATE(A10806,""en"",""pt"")"),"#VALUE!")</f>
        <v>#VALUE!</v>
      </c>
      <c r="G10806" s="69"/>
    </row>
    <row r="10807" ht="22.5" customHeight="1">
      <c r="A10807" s="66"/>
      <c r="B10807" s="67" t="str">
        <f t="shared" si="16"/>
        <v>M: </v>
      </c>
      <c r="C10807" s="68"/>
      <c r="D10807" s="68"/>
      <c r="E10807" s="66"/>
      <c r="F10807" s="66" t="str">
        <f>IFERROR(__xludf.DUMMYFUNCTION("GOOGLETRANSLATE(A10807,""en"",""pt"")"),"#VALUE!")</f>
        <v>#VALUE!</v>
      </c>
      <c r="G10807" s="69"/>
    </row>
    <row r="10808" ht="22.5" customHeight="1">
      <c r="A10808" s="66"/>
      <c r="B10808" s="67" t="str">
        <f t="shared" si="16"/>
        <v>M: </v>
      </c>
      <c r="C10808" s="68"/>
      <c r="D10808" s="68"/>
      <c r="E10808" s="66"/>
      <c r="F10808" s="66" t="str">
        <f>IFERROR(__xludf.DUMMYFUNCTION("GOOGLETRANSLATE(A10808,""en"",""pt"")"),"#VALUE!")</f>
        <v>#VALUE!</v>
      </c>
      <c r="G10808" s="69"/>
    </row>
    <row r="10809" ht="22.5" customHeight="1">
      <c r="A10809" s="66"/>
      <c r="B10809" s="67" t="str">
        <f t="shared" si="16"/>
        <v>M: </v>
      </c>
      <c r="C10809" s="68"/>
      <c r="D10809" s="68"/>
      <c r="E10809" s="66"/>
      <c r="F10809" s="66" t="str">
        <f>IFERROR(__xludf.DUMMYFUNCTION("GOOGLETRANSLATE(A10809,""en"",""pt"")"),"#VALUE!")</f>
        <v>#VALUE!</v>
      </c>
      <c r="G10809" s="69"/>
    </row>
    <row r="10810" ht="22.5" customHeight="1">
      <c r="A10810" s="66"/>
      <c r="B10810" s="67" t="str">
        <f t="shared" si="16"/>
        <v>M: </v>
      </c>
      <c r="C10810" s="68"/>
      <c r="D10810" s="68"/>
      <c r="E10810" s="66"/>
      <c r="F10810" s="66" t="str">
        <f>IFERROR(__xludf.DUMMYFUNCTION("GOOGLETRANSLATE(A10810,""en"",""pt"")"),"#VALUE!")</f>
        <v>#VALUE!</v>
      </c>
      <c r="G10810" s="69"/>
    </row>
    <row r="10811" ht="22.5" customHeight="1">
      <c r="A10811" s="66"/>
      <c r="B10811" s="67" t="str">
        <f t="shared" si="16"/>
        <v>M: </v>
      </c>
      <c r="C10811" s="68"/>
      <c r="D10811" s="68"/>
      <c r="E10811" s="66"/>
      <c r="F10811" s="66" t="str">
        <f>IFERROR(__xludf.DUMMYFUNCTION("GOOGLETRANSLATE(A10811,""en"",""pt"")"),"#VALUE!")</f>
        <v>#VALUE!</v>
      </c>
      <c r="G10811" s="69"/>
    </row>
    <row r="10812" ht="22.5" customHeight="1">
      <c r="A10812" s="66"/>
      <c r="B10812" s="67" t="str">
        <f t="shared" si="16"/>
        <v>M: </v>
      </c>
      <c r="C10812" s="68"/>
      <c r="D10812" s="68"/>
      <c r="E10812" s="66"/>
      <c r="F10812" s="66" t="str">
        <f>IFERROR(__xludf.DUMMYFUNCTION("GOOGLETRANSLATE(A10812,""en"",""pt"")"),"#VALUE!")</f>
        <v>#VALUE!</v>
      </c>
      <c r="G10812" s="69"/>
    </row>
    <row r="10813" ht="22.5" customHeight="1">
      <c r="A10813" s="66"/>
      <c r="B10813" s="67" t="str">
        <f t="shared" si="16"/>
        <v>M: </v>
      </c>
      <c r="C10813" s="68"/>
      <c r="D10813" s="68"/>
      <c r="E10813" s="66"/>
      <c r="F10813" s="66" t="str">
        <f>IFERROR(__xludf.DUMMYFUNCTION("GOOGLETRANSLATE(A10813,""en"",""pt"")"),"#VALUE!")</f>
        <v>#VALUE!</v>
      </c>
      <c r="G10813" s="69"/>
    </row>
    <row r="10814" ht="22.5" customHeight="1">
      <c r="A10814" s="66"/>
      <c r="B10814" s="67" t="str">
        <f t="shared" si="16"/>
        <v>M: </v>
      </c>
      <c r="C10814" s="68"/>
      <c r="D10814" s="68"/>
      <c r="E10814" s="66"/>
      <c r="F10814" s="66" t="str">
        <f>IFERROR(__xludf.DUMMYFUNCTION("GOOGLETRANSLATE(A10814,""en"",""pt"")"),"#VALUE!")</f>
        <v>#VALUE!</v>
      </c>
      <c r="G10814" s="69"/>
    </row>
    <row r="10815" ht="22.5" customHeight="1">
      <c r="A10815" s="66"/>
      <c r="B10815" s="67" t="str">
        <f t="shared" si="16"/>
        <v>M: </v>
      </c>
      <c r="C10815" s="68"/>
      <c r="D10815" s="68"/>
      <c r="E10815" s="66"/>
      <c r="F10815" s="66" t="str">
        <f>IFERROR(__xludf.DUMMYFUNCTION("GOOGLETRANSLATE(A10815,""en"",""pt"")"),"#VALUE!")</f>
        <v>#VALUE!</v>
      </c>
      <c r="G10815" s="69"/>
    </row>
    <row r="10816" ht="22.5" customHeight="1">
      <c r="A10816" s="66"/>
      <c r="B10816" s="67" t="str">
        <f t="shared" si="16"/>
        <v>M: </v>
      </c>
      <c r="C10816" s="68"/>
      <c r="D10816" s="68"/>
      <c r="E10816" s="66"/>
      <c r="F10816" s="66" t="str">
        <f>IFERROR(__xludf.DUMMYFUNCTION("GOOGLETRANSLATE(A10816,""en"",""pt"")"),"#VALUE!")</f>
        <v>#VALUE!</v>
      </c>
      <c r="G10816" s="69"/>
    </row>
    <row r="10817" ht="22.5" customHeight="1">
      <c r="A10817" s="66"/>
      <c r="B10817" s="67" t="str">
        <f t="shared" si="16"/>
        <v>M: </v>
      </c>
      <c r="C10817" s="68"/>
      <c r="D10817" s="68"/>
      <c r="E10817" s="66"/>
      <c r="F10817" s="66" t="str">
        <f>IFERROR(__xludf.DUMMYFUNCTION("GOOGLETRANSLATE(A10817,""en"",""pt"")"),"#VALUE!")</f>
        <v>#VALUE!</v>
      </c>
      <c r="G10817" s="69"/>
    </row>
    <row r="10818" ht="22.5" customHeight="1">
      <c r="A10818" s="66"/>
      <c r="B10818" s="67" t="str">
        <f t="shared" si="16"/>
        <v>M: </v>
      </c>
      <c r="C10818" s="68"/>
      <c r="D10818" s="68"/>
      <c r="E10818" s="66"/>
      <c r="F10818" s="66" t="str">
        <f>IFERROR(__xludf.DUMMYFUNCTION("GOOGLETRANSLATE(A10818,""en"",""pt"")"),"#VALUE!")</f>
        <v>#VALUE!</v>
      </c>
      <c r="G10818" s="69"/>
    </row>
    <row r="10819" ht="22.5" customHeight="1">
      <c r="A10819" s="66"/>
      <c r="B10819" s="67" t="str">
        <f t="shared" si="16"/>
        <v>M: </v>
      </c>
      <c r="C10819" s="68"/>
      <c r="D10819" s="68"/>
      <c r="E10819" s="66"/>
      <c r="F10819" s="66" t="str">
        <f>IFERROR(__xludf.DUMMYFUNCTION("GOOGLETRANSLATE(A10819,""en"",""pt"")"),"#VALUE!")</f>
        <v>#VALUE!</v>
      </c>
      <c r="G10819" s="69"/>
    </row>
    <row r="10820" ht="22.5" customHeight="1">
      <c r="A10820" s="66"/>
      <c r="B10820" s="67" t="str">
        <f t="shared" si="16"/>
        <v>M: </v>
      </c>
      <c r="C10820" s="68"/>
      <c r="D10820" s="68"/>
      <c r="E10820" s="66"/>
      <c r="F10820" s="66" t="str">
        <f>IFERROR(__xludf.DUMMYFUNCTION("GOOGLETRANSLATE(A10820,""en"",""pt"")"),"#VALUE!")</f>
        <v>#VALUE!</v>
      </c>
      <c r="G10820" s="69"/>
    </row>
    <row r="10821" ht="22.5" customHeight="1">
      <c r="A10821" s="66"/>
      <c r="B10821" s="67" t="str">
        <f t="shared" si="16"/>
        <v>M: </v>
      </c>
      <c r="C10821" s="68"/>
      <c r="D10821" s="68"/>
      <c r="E10821" s="66"/>
      <c r="F10821" s="66" t="str">
        <f>IFERROR(__xludf.DUMMYFUNCTION("GOOGLETRANSLATE(A10821,""en"",""pt"")"),"#VALUE!")</f>
        <v>#VALUE!</v>
      </c>
      <c r="G10821" s="69"/>
    </row>
    <row r="10822" ht="22.5" customHeight="1">
      <c r="A10822" s="66"/>
      <c r="B10822" s="67" t="str">
        <f t="shared" si="16"/>
        <v>M: </v>
      </c>
      <c r="C10822" s="68"/>
      <c r="D10822" s="68"/>
      <c r="E10822" s="66"/>
      <c r="F10822" s="66" t="str">
        <f>IFERROR(__xludf.DUMMYFUNCTION("GOOGLETRANSLATE(A10822,""en"",""pt"")"),"#VALUE!")</f>
        <v>#VALUE!</v>
      </c>
      <c r="G10822" s="69"/>
    </row>
    <row r="10823" ht="22.5" customHeight="1">
      <c r="A10823" s="66"/>
      <c r="B10823" s="67" t="str">
        <f t="shared" si="16"/>
        <v>M: </v>
      </c>
      <c r="C10823" s="68"/>
      <c r="D10823" s="68"/>
      <c r="E10823" s="66"/>
      <c r="F10823" s="66" t="str">
        <f>IFERROR(__xludf.DUMMYFUNCTION("GOOGLETRANSLATE(A10823,""en"",""pt"")"),"#VALUE!")</f>
        <v>#VALUE!</v>
      </c>
      <c r="G10823" s="69"/>
    </row>
    <row r="10824" ht="22.5" customHeight="1">
      <c r="A10824" s="66"/>
      <c r="B10824" s="67" t="str">
        <f t="shared" si="16"/>
        <v>M: </v>
      </c>
      <c r="C10824" s="68"/>
      <c r="D10824" s="68"/>
      <c r="E10824" s="66"/>
      <c r="F10824" s="66" t="str">
        <f>IFERROR(__xludf.DUMMYFUNCTION("GOOGLETRANSLATE(A10824,""en"",""pt"")"),"#VALUE!")</f>
        <v>#VALUE!</v>
      </c>
      <c r="G10824" s="69"/>
    </row>
    <row r="10825" ht="22.5" customHeight="1">
      <c r="A10825" s="66"/>
      <c r="B10825" s="67" t="str">
        <f t="shared" si="16"/>
        <v>M: </v>
      </c>
      <c r="C10825" s="68"/>
      <c r="D10825" s="68"/>
      <c r="E10825" s="66"/>
      <c r="F10825" s="66" t="str">
        <f>IFERROR(__xludf.DUMMYFUNCTION("GOOGLETRANSLATE(A10825,""en"",""pt"")"),"#VALUE!")</f>
        <v>#VALUE!</v>
      </c>
      <c r="G10825" s="69"/>
    </row>
    <row r="10826" ht="22.5" customHeight="1">
      <c r="A10826" s="66"/>
      <c r="B10826" s="67" t="str">
        <f t="shared" si="16"/>
        <v>M: </v>
      </c>
      <c r="C10826" s="68"/>
      <c r="D10826" s="68"/>
      <c r="E10826" s="66"/>
      <c r="F10826" s="66" t="str">
        <f>IFERROR(__xludf.DUMMYFUNCTION("GOOGLETRANSLATE(A10826,""en"",""pt"")"),"#VALUE!")</f>
        <v>#VALUE!</v>
      </c>
      <c r="G10826" s="69"/>
    </row>
    <row r="10827" ht="22.5" customHeight="1">
      <c r="A10827" s="66"/>
      <c r="B10827" s="67" t="str">
        <f t="shared" si="16"/>
        <v>M: </v>
      </c>
      <c r="C10827" s="68"/>
      <c r="D10827" s="68"/>
      <c r="E10827" s="66"/>
      <c r="F10827" s="66" t="str">
        <f>IFERROR(__xludf.DUMMYFUNCTION("GOOGLETRANSLATE(A10827,""en"",""pt"")"),"#VALUE!")</f>
        <v>#VALUE!</v>
      </c>
      <c r="G10827" s="69"/>
    </row>
    <row r="10828" ht="22.5" customHeight="1">
      <c r="A10828" s="66"/>
      <c r="B10828" s="67" t="str">
        <f t="shared" si="16"/>
        <v>M: </v>
      </c>
      <c r="C10828" s="68"/>
      <c r="D10828" s="68"/>
      <c r="E10828" s="66"/>
      <c r="F10828" s="66" t="str">
        <f>IFERROR(__xludf.DUMMYFUNCTION("GOOGLETRANSLATE(A10828,""en"",""pt"")"),"#VALUE!")</f>
        <v>#VALUE!</v>
      </c>
      <c r="G10828" s="69"/>
    </row>
    <row r="10829" ht="22.5" customHeight="1">
      <c r="A10829" s="66"/>
      <c r="B10829" s="67" t="str">
        <f t="shared" si="16"/>
        <v>M: </v>
      </c>
      <c r="C10829" s="68"/>
      <c r="D10829" s="68"/>
      <c r="E10829" s="66"/>
      <c r="F10829" s="66" t="str">
        <f>IFERROR(__xludf.DUMMYFUNCTION("GOOGLETRANSLATE(A10829,""en"",""pt"")"),"#VALUE!")</f>
        <v>#VALUE!</v>
      </c>
      <c r="G10829" s="69"/>
    </row>
    <row r="10830" ht="22.5" customHeight="1">
      <c r="A10830" s="66"/>
      <c r="B10830" s="67" t="str">
        <f t="shared" si="16"/>
        <v>M: </v>
      </c>
      <c r="C10830" s="68"/>
      <c r="D10830" s="68"/>
      <c r="E10830" s="66"/>
      <c r="F10830" s="66" t="str">
        <f>IFERROR(__xludf.DUMMYFUNCTION("GOOGLETRANSLATE(A10830,""en"",""pt"")"),"#VALUE!")</f>
        <v>#VALUE!</v>
      </c>
      <c r="G10830" s="69"/>
    </row>
    <row r="10831" ht="22.5" customHeight="1">
      <c r="A10831" s="66"/>
      <c r="B10831" s="67" t="str">
        <f t="shared" si="16"/>
        <v>M: </v>
      </c>
      <c r="C10831" s="68"/>
      <c r="D10831" s="68"/>
      <c r="E10831" s="66"/>
      <c r="F10831" s="66" t="str">
        <f>IFERROR(__xludf.DUMMYFUNCTION("GOOGLETRANSLATE(A10831,""en"",""pt"")"),"#VALUE!")</f>
        <v>#VALUE!</v>
      </c>
      <c r="G10831" s="69"/>
    </row>
    <row r="10832" ht="22.5" customHeight="1">
      <c r="A10832" s="66"/>
      <c r="B10832" s="67" t="str">
        <f t="shared" si="16"/>
        <v>M: </v>
      </c>
      <c r="C10832" s="68"/>
      <c r="D10832" s="68"/>
      <c r="E10832" s="66"/>
      <c r="F10832" s="66" t="str">
        <f>IFERROR(__xludf.DUMMYFUNCTION("GOOGLETRANSLATE(A10832,""en"",""pt"")"),"#VALUE!")</f>
        <v>#VALUE!</v>
      </c>
      <c r="G10832" s="69"/>
    </row>
    <row r="10833" ht="22.5" customHeight="1">
      <c r="A10833" s="66"/>
      <c r="B10833" s="67" t="str">
        <f t="shared" si="16"/>
        <v>M: </v>
      </c>
      <c r="C10833" s="68"/>
      <c r="D10833" s="68"/>
      <c r="E10833" s="66"/>
      <c r="F10833" s="66" t="str">
        <f>IFERROR(__xludf.DUMMYFUNCTION("GOOGLETRANSLATE(A10833,""en"",""pt"")"),"#VALUE!")</f>
        <v>#VALUE!</v>
      </c>
      <c r="G10833" s="69"/>
    </row>
    <row r="10834" ht="22.5" customHeight="1">
      <c r="A10834" s="66"/>
      <c r="B10834" s="67" t="str">
        <f t="shared" si="16"/>
        <v>M: </v>
      </c>
      <c r="C10834" s="68"/>
      <c r="D10834" s="68"/>
      <c r="E10834" s="66"/>
      <c r="F10834" s="66" t="str">
        <f>IFERROR(__xludf.DUMMYFUNCTION("GOOGLETRANSLATE(A10834,""en"",""pt"")"),"#VALUE!")</f>
        <v>#VALUE!</v>
      </c>
      <c r="G10834" s="69"/>
    </row>
    <row r="10835" ht="22.5" customHeight="1">
      <c r="A10835" s="66"/>
      <c r="B10835" s="67" t="str">
        <f t="shared" si="16"/>
        <v>M: </v>
      </c>
      <c r="C10835" s="68"/>
      <c r="D10835" s="68"/>
      <c r="E10835" s="66"/>
      <c r="F10835" s="66" t="str">
        <f>IFERROR(__xludf.DUMMYFUNCTION("GOOGLETRANSLATE(A10835,""en"",""pt"")"),"#VALUE!")</f>
        <v>#VALUE!</v>
      </c>
      <c r="G10835" s="69"/>
    </row>
    <row r="10836" ht="22.5" customHeight="1">
      <c r="A10836" s="66"/>
      <c r="B10836" s="67" t="str">
        <f t="shared" si="16"/>
        <v>M: </v>
      </c>
      <c r="C10836" s="68"/>
      <c r="D10836" s="68"/>
      <c r="E10836" s="66"/>
      <c r="F10836" s="66" t="str">
        <f>IFERROR(__xludf.DUMMYFUNCTION("GOOGLETRANSLATE(A10836,""en"",""pt"")"),"#VALUE!")</f>
        <v>#VALUE!</v>
      </c>
      <c r="G10836" s="69"/>
    </row>
    <row r="10837" ht="22.5" customHeight="1">
      <c r="A10837" s="66"/>
      <c r="B10837" s="67" t="str">
        <f t="shared" si="16"/>
        <v>M: </v>
      </c>
      <c r="C10837" s="68"/>
      <c r="D10837" s="68"/>
      <c r="E10837" s="66"/>
      <c r="F10837" s="66" t="str">
        <f>IFERROR(__xludf.DUMMYFUNCTION("GOOGLETRANSLATE(A10837,""en"",""pt"")"),"#VALUE!")</f>
        <v>#VALUE!</v>
      </c>
      <c r="G10837" s="69"/>
    </row>
    <row r="10838" ht="22.5" customHeight="1">
      <c r="A10838" s="66"/>
      <c r="B10838" s="67" t="str">
        <f t="shared" si="16"/>
        <v>M: </v>
      </c>
      <c r="C10838" s="68"/>
      <c r="D10838" s="68"/>
      <c r="E10838" s="66"/>
      <c r="F10838" s="66" t="str">
        <f>IFERROR(__xludf.DUMMYFUNCTION("GOOGLETRANSLATE(A10838,""en"",""pt"")"),"#VALUE!")</f>
        <v>#VALUE!</v>
      </c>
      <c r="G10838" s="69"/>
    </row>
    <row r="10839" ht="22.5" customHeight="1">
      <c r="A10839" s="66"/>
      <c r="B10839" s="67" t="str">
        <f t="shared" si="16"/>
        <v>M: </v>
      </c>
      <c r="C10839" s="68"/>
      <c r="D10839" s="68"/>
      <c r="E10839" s="66"/>
      <c r="F10839" s="66" t="str">
        <f>IFERROR(__xludf.DUMMYFUNCTION("GOOGLETRANSLATE(A10839,""en"",""pt"")"),"#VALUE!")</f>
        <v>#VALUE!</v>
      </c>
      <c r="G10839" s="69"/>
    </row>
    <row r="10840" ht="22.5" customHeight="1">
      <c r="A10840" s="66"/>
      <c r="B10840" s="67" t="str">
        <f t="shared" si="16"/>
        <v>M: </v>
      </c>
      <c r="C10840" s="68"/>
      <c r="D10840" s="68"/>
      <c r="E10840" s="66"/>
      <c r="F10840" s="66" t="str">
        <f>IFERROR(__xludf.DUMMYFUNCTION("GOOGLETRANSLATE(A10840,""en"",""pt"")"),"#VALUE!")</f>
        <v>#VALUE!</v>
      </c>
      <c r="G10840" s="69"/>
    </row>
    <row r="10841" ht="22.5" customHeight="1">
      <c r="A10841" s="66"/>
      <c r="B10841" s="67" t="str">
        <f t="shared" si="16"/>
        <v>M: </v>
      </c>
      <c r="C10841" s="68"/>
      <c r="D10841" s="68"/>
      <c r="E10841" s="66"/>
      <c r="F10841" s="66" t="str">
        <f>IFERROR(__xludf.DUMMYFUNCTION("GOOGLETRANSLATE(A10841,""en"",""pt"")"),"#VALUE!")</f>
        <v>#VALUE!</v>
      </c>
      <c r="G10841" s="69"/>
    </row>
    <row r="10842" ht="22.5" customHeight="1">
      <c r="A10842" s="66"/>
      <c r="B10842" s="67" t="str">
        <f t="shared" si="16"/>
        <v>M: </v>
      </c>
      <c r="C10842" s="68"/>
      <c r="D10842" s="68"/>
      <c r="E10842" s="66"/>
      <c r="F10842" s="66" t="str">
        <f>IFERROR(__xludf.DUMMYFUNCTION("GOOGLETRANSLATE(A10842,""en"",""pt"")"),"#VALUE!")</f>
        <v>#VALUE!</v>
      </c>
      <c r="G10842" s="69"/>
    </row>
    <row r="10843" ht="22.5" customHeight="1">
      <c r="A10843" s="66"/>
      <c r="B10843" s="67" t="str">
        <f t="shared" si="16"/>
        <v>M: </v>
      </c>
      <c r="C10843" s="68"/>
      <c r="D10843" s="68"/>
      <c r="E10843" s="66"/>
      <c r="F10843" s="66" t="str">
        <f>IFERROR(__xludf.DUMMYFUNCTION("GOOGLETRANSLATE(A10843,""en"",""pt"")"),"#VALUE!")</f>
        <v>#VALUE!</v>
      </c>
      <c r="G10843" s="69"/>
    </row>
    <row r="10844" ht="22.5" customHeight="1">
      <c r="A10844" s="66"/>
      <c r="B10844" s="67" t="str">
        <f t="shared" si="16"/>
        <v>M: </v>
      </c>
      <c r="C10844" s="68"/>
      <c r="D10844" s="68"/>
      <c r="E10844" s="66"/>
      <c r="F10844" s="66" t="str">
        <f>IFERROR(__xludf.DUMMYFUNCTION("GOOGLETRANSLATE(A10844,""en"",""pt"")"),"#VALUE!")</f>
        <v>#VALUE!</v>
      </c>
      <c r="G10844" s="69"/>
    </row>
    <row r="10845" ht="22.5" customHeight="1">
      <c r="A10845" s="66"/>
      <c r="B10845" s="67" t="str">
        <f t="shared" si="16"/>
        <v>M: </v>
      </c>
      <c r="C10845" s="68"/>
      <c r="D10845" s="68"/>
      <c r="E10845" s="66"/>
      <c r="F10845" s="66" t="str">
        <f>IFERROR(__xludf.DUMMYFUNCTION("GOOGLETRANSLATE(A10845,""en"",""pt"")"),"#VALUE!")</f>
        <v>#VALUE!</v>
      </c>
      <c r="G10845" s="69"/>
    </row>
    <row r="10846" ht="22.5" customHeight="1">
      <c r="A10846" s="66"/>
      <c r="B10846" s="67" t="str">
        <f t="shared" si="16"/>
        <v>M: </v>
      </c>
      <c r="C10846" s="68"/>
      <c r="D10846" s="68"/>
      <c r="E10846" s="66"/>
      <c r="F10846" s="66" t="str">
        <f>IFERROR(__xludf.DUMMYFUNCTION("GOOGLETRANSLATE(A10846,""en"",""pt"")"),"#VALUE!")</f>
        <v>#VALUE!</v>
      </c>
      <c r="G10846" s="69"/>
    </row>
    <row r="10847" ht="22.5" customHeight="1">
      <c r="A10847" s="66"/>
      <c r="B10847" s="67" t="str">
        <f t="shared" si="16"/>
        <v>M: </v>
      </c>
      <c r="C10847" s="68"/>
      <c r="D10847" s="68"/>
      <c r="E10847" s="66"/>
      <c r="F10847" s="66" t="str">
        <f>IFERROR(__xludf.DUMMYFUNCTION("GOOGLETRANSLATE(A10847,""en"",""pt"")"),"#VALUE!")</f>
        <v>#VALUE!</v>
      </c>
      <c r="G10847" s="69"/>
    </row>
    <row r="10848" ht="22.5" customHeight="1">
      <c r="A10848" s="66"/>
      <c r="B10848" s="67" t="str">
        <f t="shared" si="16"/>
        <v>M: </v>
      </c>
      <c r="C10848" s="68"/>
      <c r="D10848" s="68"/>
      <c r="E10848" s="66"/>
      <c r="F10848" s="66" t="str">
        <f>IFERROR(__xludf.DUMMYFUNCTION("GOOGLETRANSLATE(A10848,""en"",""pt"")"),"#VALUE!")</f>
        <v>#VALUE!</v>
      </c>
      <c r="G10848" s="69"/>
    </row>
    <row r="10849" ht="22.5" customHeight="1">
      <c r="A10849" s="66"/>
      <c r="B10849" s="67" t="str">
        <f t="shared" si="16"/>
        <v>M: </v>
      </c>
      <c r="C10849" s="68"/>
      <c r="D10849" s="68"/>
      <c r="E10849" s="66"/>
      <c r="F10849" s="66" t="str">
        <f>IFERROR(__xludf.DUMMYFUNCTION("GOOGLETRANSLATE(A10849,""en"",""pt"")"),"#VALUE!")</f>
        <v>#VALUE!</v>
      </c>
      <c r="G10849" s="69"/>
    </row>
    <row r="10850" ht="22.5" customHeight="1">
      <c r="A10850" s="66"/>
      <c r="B10850" s="67" t="str">
        <f t="shared" si="16"/>
        <v>M: </v>
      </c>
      <c r="C10850" s="68"/>
      <c r="D10850" s="68"/>
      <c r="E10850" s="66"/>
      <c r="F10850" s="66" t="str">
        <f>IFERROR(__xludf.DUMMYFUNCTION("GOOGLETRANSLATE(A10850,""en"",""pt"")"),"#VALUE!")</f>
        <v>#VALUE!</v>
      </c>
      <c r="G10850" s="69"/>
    </row>
    <row r="10851" ht="22.5" customHeight="1">
      <c r="A10851" s="66"/>
      <c r="B10851" s="67" t="str">
        <f t="shared" si="16"/>
        <v>M: </v>
      </c>
      <c r="C10851" s="68"/>
      <c r="D10851" s="68"/>
      <c r="E10851" s="66"/>
      <c r="F10851" s="66" t="str">
        <f>IFERROR(__xludf.DUMMYFUNCTION("GOOGLETRANSLATE(A10851,""en"",""pt"")"),"#VALUE!")</f>
        <v>#VALUE!</v>
      </c>
      <c r="G10851" s="69"/>
    </row>
    <row r="10852" ht="22.5" customHeight="1">
      <c r="A10852" s="66"/>
      <c r="B10852" s="67" t="str">
        <f t="shared" si="16"/>
        <v>M: </v>
      </c>
      <c r="C10852" s="68"/>
      <c r="D10852" s="68"/>
      <c r="E10852" s="66"/>
      <c r="F10852" s="66" t="str">
        <f>IFERROR(__xludf.DUMMYFUNCTION("GOOGLETRANSLATE(A10852,""en"",""pt"")"),"#VALUE!")</f>
        <v>#VALUE!</v>
      </c>
      <c r="G10852" s="69"/>
    </row>
    <row r="10853" ht="22.5" customHeight="1">
      <c r="A10853" s="66"/>
      <c r="B10853" s="67" t="str">
        <f t="shared" si="16"/>
        <v>M: </v>
      </c>
      <c r="C10853" s="68"/>
      <c r="D10853" s="68"/>
      <c r="E10853" s="66"/>
      <c r="F10853" s="66" t="str">
        <f>IFERROR(__xludf.DUMMYFUNCTION("GOOGLETRANSLATE(A10853,""en"",""pt"")"),"#VALUE!")</f>
        <v>#VALUE!</v>
      </c>
      <c r="G10853" s="69"/>
    </row>
    <row r="10854" ht="22.5" customHeight="1">
      <c r="A10854" s="66"/>
      <c r="B10854" s="67" t="str">
        <f t="shared" si="16"/>
        <v>M: </v>
      </c>
      <c r="C10854" s="68"/>
      <c r="D10854" s="68"/>
      <c r="E10854" s="66"/>
      <c r="F10854" s="66" t="str">
        <f>IFERROR(__xludf.DUMMYFUNCTION("GOOGLETRANSLATE(A10854,""en"",""pt"")"),"#VALUE!")</f>
        <v>#VALUE!</v>
      </c>
      <c r="G10854" s="69"/>
    </row>
    <row r="10855" ht="22.5" customHeight="1">
      <c r="A10855" s="66"/>
      <c r="B10855" s="67" t="str">
        <f t="shared" si="16"/>
        <v>M: </v>
      </c>
      <c r="C10855" s="68"/>
      <c r="D10855" s="68"/>
      <c r="E10855" s="66"/>
      <c r="F10855" s="66" t="str">
        <f>IFERROR(__xludf.DUMMYFUNCTION("GOOGLETRANSLATE(A10855,""en"",""pt"")"),"#VALUE!")</f>
        <v>#VALUE!</v>
      </c>
      <c r="G10855" s="69"/>
    </row>
    <row r="10856" ht="22.5" customHeight="1">
      <c r="A10856" s="66"/>
      <c r="B10856" s="67" t="str">
        <f t="shared" si="16"/>
        <v>M: </v>
      </c>
      <c r="C10856" s="68"/>
      <c r="D10856" s="68"/>
      <c r="E10856" s="66"/>
      <c r="F10856" s="66" t="str">
        <f>IFERROR(__xludf.DUMMYFUNCTION("GOOGLETRANSLATE(A10856,""en"",""pt"")"),"#VALUE!")</f>
        <v>#VALUE!</v>
      </c>
      <c r="G10856" s="69"/>
    </row>
    <row r="10857" ht="22.5" customHeight="1">
      <c r="A10857" s="66"/>
      <c r="B10857" s="67" t="str">
        <f t="shared" si="16"/>
        <v>M: </v>
      </c>
      <c r="C10857" s="68"/>
      <c r="D10857" s="68"/>
      <c r="E10857" s="66"/>
      <c r="F10857" s="66" t="str">
        <f>IFERROR(__xludf.DUMMYFUNCTION("GOOGLETRANSLATE(A10857,""en"",""pt"")"),"#VALUE!")</f>
        <v>#VALUE!</v>
      </c>
      <c r="G10857" s="69"/>
    </row>
    <row r="10858" ht="22.5" customHeight="1">
      <c r="A10858" s="66"/>
      <c r="B10858" s="67" t="str">
        <f t="shared" si="16"/>
        <v>M: </v>
      </c>
      <c r="C10858" s="68"/>
      <c r="D10858" s="68"/>
      <c r="E10858" s="66"/>
      <c r="F10858" s="66" t="str">
        <f>IFERROR(__xludf.DUMMYFUNCTION("GOOGLETRANSLATE(A10858,""en"",""pt"")"),"#VALUE!")</f>
        <v>#VALUE!</v>
      </c>
      <c r="G10858" s="69"/>
    </row>
    <row r="10859" ht="22.5" customHeight="1">
      <c r="A10859" s="66"/>
      <c r="B10859" s="67" t="str">
        <f t="shared" si="16"/>
        <v>M: </v>
      </c>
      <c r="C10859" s="68"/>
      <c r="D10859" s="68"/>
      <c r="E10859" s="66"/>
      <c r="F10859" s="66" t="str">
        <f>IFERROR(__xludf.DUMMYFUNCTION("GOOGLETRANSLATE(A10859,""en"",""pt"")"),"#VALUE!")</f>
        <v>#VALUE!</v>
      </c>
      <c r="G10859" s="69"/>
    </row>
    <row r="10860" ht="22.5" customHeight="1">
      <c r="A10860" s="66"/>
      <c r="B10860" s="67" t="str">
        <f t="shared" si="16"/>
        <v>M: </v>
      </c>
      <c r="C10860" s="68"/>
      <c r="D10860" s="68"/>
      <c r="E10860" s="66"/>
      <c r="F10860" s="66" t="str">
        <f>IFERROR(__xludf.DUMMYFUNCTION("GOOGLETRANSLATE(A10860,""en"",""pt"")"),"#VALUE!")</f>
        <v>#VALUE!</v>
      </c>
      <c r="G10860" s="69"/>
    </row>
    <row r="10861" ht="22.5" customHeight="1">
      <c r="A10861" s="66"/>
      <c r="B10861" s="67" t="str">
        <f t="shared" si="16"/>
        <v>M: </v>
      </c>
      <c r="C10861" s="68"/>
      <c r="D10861" s="68"/>
      <c r="E10861" s="66"/>
      <c r="F10861" s="66" t="str">
        <f>IFERROR(__xludf.DUMMYFUNCTION("GOOGLETRANSLATE(A10861,""en"",""pt"")"),"#VALUE!")</f>
        <v>#VALUE!</v>
      </c>
      <c r="G10861" s="69"/>
    </row>
    <row r="10862" ht="22.5" customHeight="1">
      <c r="A10862" s="66"/>
      <c r="B10862" s="67" t="str">
        <f t="shared" si="16"/>
        <v>M: </v>
      </c>
      <c r="C10862" s="68"/>
      <c r="D10862" s="68"/>
      <c r="E10862" s="66"/>
      <c r="F10862" s="66" t="str">
        <f>IFERROR(__xludf.DUMMYFUNCTION("GOOGLETRANSLATE(A10862,""en"",""pt"")"),"#VALUE!")</f>
        <v>#VALUE!</v>
      </c>
      <c r="G10862" s="69"/>
    </row>
    <row r="10863" ht="22.5" customHeight="1">
      <c r="A10863" s="66"/>
      <c r="B10863" s="67" t="str">
        <f t="shared" si="16"/>
        <v>M: </v>
      </c>
      <c r="C10863" s="68"/>
      <c r="D10863" s="68"/>
      <c r="E10863" s="66"/>
      <c r="F10863" s="66" t="str">
        <f>IFERROR(__xludf.DUMMYFUNCTION("GOOGLETRANSLATE(A10863,""en"",""pt"")"),"#VALUE!")</f>
        <v>#VALUE!</v>
      </c>
      <c r="G10863" s="69"/>
    </row>
    <row r="10864" ht="22.5" customHeight="1">
      <c r="A10864" s="66"/>
      <c r="B10864" s="67" t="str">
        <f t="shared" si="16"/>
        <v>M: </v>
      </c>
      <c r="C10864" s="68"/>
      <c r="D10864" s="68"/>
      <c r="E10864" s="66"/>
      <c r="F10864" s="66" t="str">
        <f>IFERROR(__xludf.DUMMYFUNCTION("GOOGLETRANSLATE(A10864,""en"",""pt"")"),"#VALUE!")</f>
        <v>#VALUE!</v>
      </c>
      <c r="G10864" s="69"/>
    </row>
    <row r="10865" ht="22.5" customHeight="1">
      <c r="A10865" s="66"/>
      <c r="B10865" s="67" t="str">
        <f t="shared" si="16"/>
        <v>M: </v>
      </c>
      <c r="C10865" s="68"/>
      <c r="D10865" s="68"/>
      <c r="E10865" s="66"/>
      <c r="F10865" s="66" t="str">
        <f>IFERROR(__xludf.DUMMYFUNCTION("GOOGLETRANSLATE(A10865,""en"",""pt"")"),"#VALUE!")</f>
        <v>#VALUE!</v>
      </c>
      <c r="G10865" s="69"/>
    </row>
    <row r="10866" ht="22.5" customHeight="1">
      <c r="A10866" s="66"/>
      <c r="B10866" s="67" t="str">
        <f t="shared" si="16"/>
        <v>M: </v>
      </c>
      <c r="C10866" s="68"/>
      <c r="D10866" s="68"/>
      <c r="E10866" s="66"/>
      <c r="F10866" s="66" t="str">
        <f>IFERROR(__xludf.DUMMYFUNCTION("GOOGLETRANSLATE(A10866,""en"",""pt"")"),"#VALUE!")</f>
        <v>#VALUE!</v>
      </c>
      <c r="G10866" s="69"/>
    </row>
    <row r="10867" ht="22.5" customHeight="1">
      <c r="A10867" s="66"/>
      <c r="B10867" s="67" t="str">
        <f t="shared" si="16"/>
        <v>M: </v>
      </c>
      <c r="C10867" s="68"/>
      <c r="D10867" s="68"/>
      <c r="E10867" s="66"/>
      <c r="F10867" s="66" t="str">
        <f>IFERROR(__xludf.DUMMYFUNCTION("GOOGLETRANSLATE(A10867,""en"",""pt"")"),"#VALUE!")</f>
        <v>#VALUE!</v>
      </c>
      <c r="G10867" s="69"/>
    </row>
    <row r="10868" ht="22.5" customHeight="1">
      <c r="A10868" s="66"/>
      <c r="B10868" s="67" t="str">
        <f t="shared" si="16"/>
        <v>M: </v>
      </c>
      <c r="C10868" s="68"/>
      <c r="D10868" s="68"/>
      <c r="E10868" s="66"/>
      <c r="F10868" s="66" t="str">
        <f>IFERROR(__xludf.DUMMYFUNCTION("GOOGLETRANSLATE(A10868,""en"",""pt"")"),"#VALUE!")</f>
        <v>#VALUE!</v>
      </c>
      <c r="G10868" s="69"/>
    </row>
    <row r="10869" ht="22.5" customHeight="1">
      <c r="A10869" s="66"/>
      <c r="B10869" s="67" t="str">
        <f t="shared" si="16"/>
        <v>M: </v>
      </c>
      <c r="C10869" s="68"/>
      <c r="D10869" s="68"/>
      <c r="E10869" s="66"/>
      <c r="F10869" s="66" t="str">
        <f>IFERROR(__xludf.DUMMYFUNCTION("GOOGLETRANSLATE(A10869,""en"",""pt"")"),"#VALUE!")</f>
        <v>#VALUE!</v>
      </c>
      <c r="G10869" s="69"/>
    </row>
    <row r="10870" ht="22.5" customHeight="1">
      <c r="A10870" s="66"/>
      <c r="B10870" s="67" t="str">
        <f t="shared" si="16"/>
        <v>M: </v>
      </c>
      <c r="C10870" s="68"/>
      <c r="D10870" s="68"/>
      <c r="E10870" s="66"/>
      <c r="F10870" s="66" t="str">
        <f>IFERROR(__xludf.DUMMYFUNCTION("GOOGLETRANSLATE(A10870,""en"",""pt"")"),"#VALUE!")</f>
        <v>#VALUE!</v>
      </c>
      <c r="G10870" s="69"/>
    </row>
    <row r="10871" ht="22.5" customHeight="1">
      <c r="A10871" s="66"/>
      <c r="B10871" s="67" t="str">
        <f t="shared" si="16"/>
        <v>M: </v>
      </c>
      <c r="C10871" s="68"/>
      <c r="D10871" s="68"/>
      <c r="E10871" s="66"/>
      <c r="F10871" s="66" t="str">
        <f>IFERROR(__xludf.DUMMYFUNCTION("GOOGLETRANSLATE(A10871,""en"",""pt"")"),"#VALUE!")</f>
        <v>#VALUE!</v>
      </c>
      <c r="G10871" s="69"/>
    </row>
    <row r="10872" ht="22.5" customHeight="1">
      <c r="A10872" s="66"/>
      <c r="B10872" s="67" t="str">
        <f t="shared" si="16"/>
        <v>M: </v>
      </c>
      <c r="C10872" s="68"/>
      <c r="D10872" s="68"/>
      <c r="E10872" s="66"/>
      <c r="F10872" s="66" t="str">
        <f>IFERROR(__xludf.DUMMYFUNCTION("GOOGLETRANSLATE(A10872,""en"",""pt"")"),"#VALUE!")</f>
        <v>#VALUE!</v>
      </c>
      <c r="G10872" s="69"/>
    </row>
    <row r="10873" ht="22.5" customHeight="1">
      <c r="A10873" s="66"/>
      <c r="B10873" s="67" t="str">
        <f t="shared" si="16"/>
        <v>M: </v>
      </c>
      <c r="C10873" s="68"/>
      <c r="D10873" s="68"/>
      <c r="E10873" s="66"/>
      <c r="F10873" s="66" t="str">
        <f>IFERROR(__xludf.DUMMYFUNCTION("GOOGLETRANSLATE(A10873,""en"",""pt"")"),"#VALUE!")</f>
        <v>#VALUE!</v>
      </c>
      <c r="G10873" s="69"/>
    </row>
    <row r="10874" ht="22.5" customHeight="1">
      <c r="A10874" s="66"/>
      <c r="B10874" s="67" t="str">
        <f t="shared" si="16"/>
        <v>M: </v>
      </c>
      <c r="C10874" s="68"/>
      <c r="D10874" s="68"/>
      <c r="E10874" s="66"/>
      <c r="F10874" s="66" t="str">
        <f>IFERROR(__xludf.DUMMYFUNCTION("GOOGLETRANSLATE(A10874,""en"",""pt"")"),"#VALUE!")</f>
        <v>#VALUE!</v>
      </c>
      <c r="G10874" s="69"/>
    </row>
    <row r="10875" ht="22.5" customHeight="1">
      <c r="A10875" s="66"/>
      <c r="B10875" s="67" t="str">
        <f t="shared" si="16"/>
        <v>M: </v>
      </c>
      <c r="C10875" s="68"/>
      <c r="D10875" s="68"/>
      <c r="E10875" s="66"/>
      <c r="F10875" s="66" t="str">
        <f>IFERROR(__xludf.DUMMYFUNCTION("GOOGLETRANSLATE(A10875,""en"",""pt"")"),"#VALUE!")</f>
        <v>#VALUE!</v>
      </c>
      <c r="G10875" s="69"/>
    </row>
    <row r="10876" ht="22.5" customHeight="1">
      <c r="A10876" s="66"/>
      <c r="B10876" s="67" t="str">
        <f t="shared" si="16"/>
        <v>M: </v>
      </c>
      <c r="C10876" s="68"/>
      <c r="D10876" s="68"/>
      <c r="E10876" s="66"/>
      <c r="F10876" s="66" t="str">
        <f>IFERROR(__xludf.DUMMYFUNCTION("GOOGLETRANSLATE(A10876,""en"",""pt"")"),"#VALUE!")</f>
        <v>#VALUE!</v>
      </c>
      <c r="G10876" s="69"/>
    </row>
    <row r="10877" ht="22.5" customHeight="1">
      <c r="A10877" s="66"/>
      <c r="B10877" s="67" t="str">
        <f t="shared" si="16"/>
        <v>M: </v>
      </c>
      <c r="C10877" s="68"/>
      <c r="D10877" s="68"/>
      <c r="E10877" s="66"/>
      <c r="F10877" s="66" t="str">
        <f>IFERROR(__xludf.DUMMYFUNCTION("GOOGLETRANSLATE(A10877,""en"",""pt"")"),"#VALUE!")</f>
        <v>#VALUE!</v>
      </c>
      <c r="G10877" s="69"/>
    </row>
    <row r="10878" ht="22.5" customHeight="1">
      <c r="A10878" s="66"/>
      <c r="B10878" s="67" t="str">
        <f t="shared" si="16"/>
        <v>M: </v>
      </c>
      <c r="C10878" s="68"/>
      <c r="D10878" s="68"/>
      <c r="E10878" s="66"/>
      <c r="F10878" s="66" t="str">
        <f>IFERROR(__xludf.DUMMYFUNCTION("GOOGLETRANSLATE(A10878,""en"",""pt"")"),"#VALUE!")</f>
        <v>#VALUE!</v>
      </c>
      <c r="G10878" s="69"/>
    </row>
    <row r="10879" ht="22.5" customHeight="1">
      <c r="A10879" s="66"/>
      <c r="B10879" s="67" t="str">
        <f t="shared" si="16"/>
        <v>M: </v>
      </c>
      <c r="C10879" s="68"/>
      <c r="D10879" s="68"/>
      <c r="E10879" s="66"/>
      <c r="F10879" s="66" t="str">
        <f>IFERROR(__xludf.DUMMYFUNCTION("GOOGLETRANSLATE(A10879,""en"",""pt"")"),"#VALUE!")</f>
        <v>#VALUE!</v>
      </c>
      <c r="G10879" s="69"/>
    </row>
    <row r="10880" ht="22.5" customHeight="1">
      <c r="A10880" s="66"/>
      <c r="B10880" s="67" t="str">
        <f t="shared" si="16"/>
        <v>M: </v>
      </c>
      <c r="C10880" s="68"/>
      <c r="D10880" s="68"/>
      <c r="E10880" s="66"/>
      <c r="F10880" s="66" t="str">
        <f>IFERROR(__xludf.DUMMYFUNCTION("GOOGLETRANSLATE(A10880,""en"",""pt"")"),"#VALUE!")</f>
        <v>#VALUE!</v>
      </c>
      <c r="G10880" s="69"/>
    </row>
    <row r="10881" ht="22.5" customHeight="1">
      <c r="A10881" s="66"/>
      <c r="B10881" s="67" t="str">
        <f t="shared" si="16"/>
        <v>M: </v>
      </c>
      <c r="C10881" s="68"/>
      <c r="D10881" s="68"/>
      <c r="E10881" s="66"/>
      <c r="F10881" s="66" t="str">
        <f>IFERROR(__xludf.DUMMYFUNCTION("GOOGLETRANSLATE(A10881,""en"",""pt"")"),"#VALUE!")</f>
        <v>#VALUE!</v>
      </c>
      <c r="G10881" s="69"/>
    </row>
    <row r="10882" ht="22.5" customHeight="1">
      <c r="A10882" s="66"/>
      <c r="B10882" s="67" t="str">
        <f t="shared" si="16"/>
        <v>M: </v>
      </c>
      <c r="C10882" s="68"/>
      <c r="D10882" s="68"/>
      <c r="E10882" s="66"/>
      <c r="F10882" s="66" t="str">
        <f>IFERROR(__xludf.DUMMYFUNCTION("GOOGLETRANSLATE(A10882,""en"",""pt"")"),"#VALUE!")</f>
        <v>#VALUE!</v>
      </c>
      <c r="G10882" s="69"/>
    </row>
    <row r="10883" ht="22.5" customHeight="1">
      <c r="A10883" s="66"/>
      <c r="B10883" s="67" t="str">
        <f t="shared" si="16"/>
        <v>M: </v>
      </c>
      <c r="C10883" s="68"/>
      <c r="D10883" s="68"/>
      <c r="E10883" s="66"/>
      <c r="F10883" s="66" t="str">
        <f>IFERROR(__xludf.DUMMYFUNCTION("GOOGLETRANSLATE(A10883,""en"",""pt"")"),"#VALUE!")</f>
        <v>#VALUE!</v>
      </c>
      <c r="G10883" s="69"/>
    </row>
    <row r="10884" ht="22.5" customHeight="1">
      <c r="A10884" s="66"/>
      <c r="B10884" s="67" t="str">
        <f t="shared" si="16"/>
        <v>M: </v>
      </c>
      <c r="C10884" s="68"/>
      <c r="D10884" s="68"/>
      <c r="E10884" s="66"/>
      <c r="F10884" s="66" t="str">
        <f>IFERROR(__xludf.DUMMYFUNCTION("GOOGLETRANSLATE(A10884,""en"",""pt"")"),"#VALUE!")</f>
        <v>#VALUE!</v>
      </c>
      <c r="G10884" s="69"/>
    </row>
    <row r="10885" ht="22.5" customHeight="1">
      <c r="A10885" s="66"/>
      <c r="B10885" s="67" t="str">
        <f t="shared" si="16"/>
        <v>M: </v>
      </c>
      <c r="C10885" s="68"/>
      <c r="D10885" s="68"/>
      <c r="E10885" s="66"/>
      <c r="F10885" s="66" t="str">
        <f>IFERROR(__xludf.DUMMYFUNCTION("GOOGLETRANSLATE(A10885,""en"",""pt"")"),"#VALUE!")</f>
        <v>#VALUE!</v>
      </c>
      <c r="G10885" s="69"/>
    </row>
    <row r="10886" ht="22.5" customHeight="1">
      <c r="A10886" s="66"/>
      <c r="B10886" s="67" t="str">
        <f t="shared" si="16"/>
        <v>M: </v>
      </c>
      <c r="C10886" s="68"/>
      <c r="D10886" s="68"/>
      <c r="E10886" s="66"/>
      <c r="F10886" s="66" t="str">
        <f>IFERROR(__xludf.DUMMYFUNCTION("GOOGLETRANSLATE(A10886,""en"",""pt"")"),"#VALUE!")</f>
        <v>#VALUE!</v>
      </c>
      <c r="G10886" s="69"/>
    </row>
    <row r="10887" ht="22.5" customHeight="1">
      <c r="A10887" s="66"/>
      <c r="B10887" s="67" t="str">
        <f t="shared" si="16"/>
        <v>M: </v>
      </c>
      <c r="C10887" s="68"/>
      <c r="D10887" s="68"/>
      <c r="E10887" s="66"/>
      <c r="F10887" s="66" t="str">
        <f>IFERROR(__xludf.DUMMYFUNCTION("GOOGLETRANSLATE(A10887,""en"",""pt"")"),"#VALUE!")</f>
        <v>#VALUE!</v>
      </c>
      <c r="G10887" s="69"/>
    </row>
    <row r="10888" ht="22.5" customHeight="1">
      <c r="A10888" s="66"/>
      <c r="B10888" s="67" t="str">
        <f t="shared" si="16"/>
        <v>M: </v>
      </c>
      <c r="C10888" s="68"/>
      <c r="D10888" s="68"/>
      <c r="E10888" s="66"/>
      <c r="F10888" s="66" t="str">
        <f>IFERROR(__xludf.DUMMYFUNCTION("GOOGLETRANSLATE(A10888,""en"",""pt"")"),"#VALUE!")</f>
        <v>#VALUE!</v>
      </c>
      <c r="G10888" s="69"/>
    </row>
    <row r="10889" ht="22.5" customHeight="1">
      <c r="A10889" s="66"/>
      <c r="B10889" s="67" t="str">
        <f t="shared" si="16"/>
        <v>M: </v>
      </c>
      <c r="C10889" s="68"/>
      <c r="D10889" s="68"/>
      <c r="E10889" s="66"/>
      <c r="F10889" s="66" t="str">
        <f>IFERROR(__xludf.DUMMYFUNCTION("GOOGLETRANSLATE(A10889,""en"",""pt"")"),"#VALUE!")</f>
        <v>#VALUE!</v>
      </c>
      <c r="G10889" s="69"/>
    </row>
    <row r="10890" ht="22.5" customHeight="1">
      <c r="A10890" s="66"/>
      <c r="B10890" s="67" t="str">
        <f t="shared" si="16"/>
        <v>M: </v>
      </c>
      <c r="C10890" s="68"/>
      <c r="D10890" s="68"/>
      <c r="E10890" s="66"/>
      <c r="F10890" s="66" t="str">
        <f>IFERROR(__xludf.DUMMYFUNCTION("GOOGLETRANSLATE(A10890,""en"",""pt"")"),"#VALUE!")</f>
        <v>#VALUE!</v>
      </c>
      <c r="G10890" s="69"/>
    </row>
    <row r="10891" ht="22.5" customHeight="1">
      <c r="A10891" s="66"/>
      <c r="B10891" s="67" t="str">
        <f t="shared" si="16"/>
        <v>M: </v>
      </c>
      <c r="C10891" s="68"/>
      <c r="D10891" s="68"/>
      <c r="E10891" s="66"/>
      <c r="F10891" s="66" t="str">
        <f>IFERROR(__xludf.DUMMYFUNCTION("GOOGLETRANSLATE(A10891,""en"",""pt"")"),"#VALUE!")</f>
        <v>#VALUE!</v>
      </c>
      <c r="G10891" s="69"/>
    </row>
    <row r="10892" ht="22.5" customHeight="1">
      <c r="A10892" s="66"/>
      <c r="B10892" s="67" t="str">
        <f t="shared" si="16"/>
        <v>M: </v>
      </c>
      <c r="C10892" s="68"/>
      <c r="D10892" s="68"/>
      <c r="E10892" s="66"/>
      <c r="F10892" s="66" t="str">
        <f>IFERROR(__xludf.DUMMYFUNCTION("GOOGLETRANSLATE(A10892,""en"",""pt"")"),"#VALUE!")</f>
        <v>#VALUE!</v>
      </c>
      <c r="G10892" s="69"/>
    </row>
    <row r="10893" ht="22.5" customHeight="1">
      <c r="A10893" s="66"/>
      <c r="B10893" s="67" t="str">
        <f t="shared" si="16"/>
        <v>M: </v>
      </c>
      <c r="C10893" s="68"/>
      <c r="D10893" s="68"/>
      <c r="E10893" s="66"/>
      <c r="F10893" s="66" t="str">
        <f>IFERROR(__xludf.DUMMYFUNCTION("GOOGLETRANSLATE(A10893,""en"",""pt"")"),"#VALUE!")</f>
        <v>#VALUE!</v>
      </c>
      <c r="G10893" s="69"/>
    </row>
    <row r="10894" ht="22.5" customHeight="1">
      <c r="A10894" s="66"/>
      <c r="B10894" s="67" t="str">
        <f t="shared" si="16"/>
        <v>M: </v>
      </c>
      <c r="C10894" s="68"/>
      <c r="D10894" s="68"/>
      <c r="E10894" s="66"/>
      <c r="F10894" s="66" t="str">
        <f>IFERROR(__xludf.DUMMYFUNCTION("GOOGLETRANSLATE(A10894,""en"",""pt"")"),"#VALUE!")</f>
        <v>#VALUE!</v>
      </c>
      <c r="G10894" s="69"/>
    </row>
    <row r="10895" ht="22.5" customHeight="1">
      <c r="A10895" s="66"/>
      <c r="B10895" s="67" t="str">
        <f t="shared" si="16"/>
        <v>M: </v>
      </c>
      <c r="C10895" s="68"/>
      <c r="D10895" s="68"/>
      <c r="E10895" s="66"/>
      <c r="F10895" s="66" t="str">
        <f>IFERROR(__xludf.DUMMYFUNCTION("GOOGLETRANSLATE(A10895,""en"",""pt"")"),"#VALUE!")</f>
        <v>#VALUE!</v>
      </c>
      <c r="G10895" s="69"/>
    </row>
    <row r="10896" ht="22.5" customHeight="1">
      <c r="A10896" s="66"/>
      <c r="B10896" s="67" t="str">
        <f t="shared" si="16"/>
        <v>M: </v>
      </c>
      <c r="C10896" s="68"/>
      <c r="D10896" s="68"/>
      <c r="E10896" s="66"/>
      <c r="F10896" s="66" t="str">
        <f>IFERROR(__xludf.DUMMYFUNCTION("GOOGLETRANSLATE(A10896,""en"",""pt"")"),"#VALUE!")</f>
        <v>#VALUE!</v>
      </c>
      <c r="G10896" s="69"/>
    </row>
    <row r="10897" ht="22.5" customHeight="1">
      <c r="A10897" s="66"/>
      <c r="B10897" s="67" t="str">
        <f t="shared" si="16"/>
        <v>M: </v>
      </c>
      <c r="C10897" s="68"/>
      <c r="D10897" s="68"/>
      <c r="E10897" s="66"/>
      <c r="F10897" s="66" t="str">
        <f>IFERROR(__xludf.DUMMYFUNCTION("GOOGLETRANSLATE(A10897,""en"",""pt"")"),"#VALUE!")</f>
        <v>#VALUE!</v>
      </c>
      <c r="G10897" s="69"/>
    </row>
    <row r="10898" ht="22.5" customHeight="1">
      <c r="A10898" s="66"/>
      <c r="B10898" s="67" t="str">
        <f t="shared" si="16"/>
        <v>M: </v>
      </c>
      <c r="C10898" s="68"/>
      <c r="D10898" s="68"/>
      <c r="E10898" s="66"/>
      <c r="F10898" s="66" t="str">
        <f>IFERROR(__xludf.DUMMYFUNCTION("GOOGLETRANSLATE(A10898,""en"",""pt"")"),"#VALUE!")</f>
        <v>#VALUE!</v>
      </c>
      <c r="G10898" s="69"/>
    </row>
    <row r="10899" ht="22.5" customHeight="1">
      <c r="A10899" s="66"/>
      <c r="B10899" s="67" t="str">
        <f t="shared" si="16"/>
        <v>M: </v>
      </c>
      <c r="C10899" s="68"/>
      <c r="D10899" s="68"/>
      <c r="E10899" s="66"/>
      <c r="F10899" s="66" t="str">
        <f>IFERROR(__xludf.DUMMYFUNCTION("GOOGLETRANSLATE(A10899,""en"",""pt"")"),"#VALUE!")</f>
        <v>#VALUE!</v>
      </c>
      <c r="G10899" s="69"/>
    </row>
    <row r="10900" ht="22.5" customHeight="1">
      <c r="A10900" s="66"/>
      <c r="B10900" s="67" t="str">
        <f t="shared" si="16"/>
        <v>M: </v>
      </c>
      <c r="C10900" s="68"/>
      <c r="D10900" s="68"/>
      <c r="E10900" s="66"/>
      <c r="F10900" s="66" t="str">
        <f>IFERROR(__xludf.DUMMYFUNCTION("GOOGLETRANSLATE(A10900,""en"",""pt"")"),"#VALUE!")</f>
        <v>#VALUE!</v>
      </c>
      <c r="G10900" s="69"/>
    </row>
    <row r="10901" ht="22.5" customHeight="1">
      <c r="A10901" s="66"/>
      <c r="B10901" s="67" t="str">
        <f t="shared" si="16"/>
        <v>M: </v>
      </c>
      <c r="C10901" s="68"/>
      <c r="D10901" s="68"/>
      <c r="E10901" s="66"/>
      <c r="F10901" s="66" t="str">
        <f>IFERROR(__xludf.DUMMYFUNCTION("GOOGLETRANSLATE(A10901,""en"",""pt"")"),"#VALUE!")</f>
        <v>#VALUE!</v>
      </c>
      <c r="G10901" s="69"/>
    </row>
    <row r="10902" ht="22.5" customHeight="1">
      <c r="A10902" s="66"/>
      <c r="B10902" s="67" t="str">
        <f t="shared" si="16"/>
        <v>M: </v>
      </c>
      <c r="C10902" s="68"/>
      <c r="D10902" s="68"/>
      <c r="E10902" s="66"/>
      <c r="F10902" s="66" t="str">
        <f>IFERROR(__xludf.DUMMYFUNCTION("GOOGLETRANSLATE(A10902,""en"",""pt"")"),"#VALUE!")</f>
        <v>#VALUE!</v>
      </c>
      <c r="G10902" s="69"/>
    </row>
    <row r="10903" ht="22.5" customHeight="1">
      <c r="A10903" s="66"/>
      <c r="B10903" s="67" t="str">
        <f t="shared" si="16"/>
        <v>M: </v>
      </c>
      <c r="C10903" s="68"/>
      <c r="D10903" s="68"/>
      <c r="E10903" s="66"/>
      <c r="F10903" s="66" t="str">
        <f>IFERROR(__xludf.DUMMYFUNCTION("GOOGLETRANSLATE(A10903,""en"",""pt"")"),"#VALUE!")</f>
        <v>#VALUE!</v>
      </c>
      <c r="G10903" s="69"/>
    </row>
    <row r="10904" ht="22.5" customHeight="1">
      <c r="A10904" s="66"/>
      <c r="B10904" s="67" t="str">
        <f t="shared" si="16"/>
        <v>M: </v>
      </c>
      <c r="C10904" s="68"/>
      <c r="D10904" s="68"/>
      <c r="E10904" s="66"/>
      <c r="F10904" s="66" t="str">
        <f>IFERROR(__xludf.DUMMYFUNCTION("GOOGLETRANSLATE(A10904,""en"",""pt"")"),"#VALUE!")</f>
        <v>#VALUE!</v>
      </c>
      <c r="G10904" s="69"/>
    </row>
    <row r="10905" ht="22.5" customHeight="1">
      <c r="A10905" s="66"/>
      <c r="B10905" s="67" t="str">
        <f t="shared" si="16"/>
        <v>M: </v>
      </c>
      <c r="C10905" s="68"/>
      <c r="D10905" s="68"/>
      <c r="E10905" s="66"/>
      <c r="F10905" s="66" t="str">
        <f>IFERROR(__xludf.DUMMYFUNCTION("GOOGLETRANSLATE(A10905,""en"",""pt"")"),"#VALUE!")</f>
        <v>#VALUE!</v>
      </c>
      <c r="G10905" s="69"/>
    </row>
    <row r="10906" ht="22.5" customHeight="1">
      <c r="A10906" s="66"/>
      <c r="B10906" s="67" t="str">
        <f t="shared" si="16"/>
        <v>M: </v>
      </c>
      <c r="C10906" s="68"/>
      <c r="D10906" s="68"/>
      <c r="E10906" s="66"/>
      <c r="F10906" s="66" t="str">
        <f>IFERROR(__xludf.DUMMYFUNCTION("GOOGLETRANSLATE(A10906,""en"",""pt"")"),"#VALUE!")</f>
        <v>#VALUE!</v>
      </c>
      <c r="G10906" s="69"/>
    </row>
    <row r="10907" ht="22.5" customHeight="1">
      <c r="A10907" s="66"/>
      <c r="B10907" s="67" t="str">
        <f t="shared" si="16"/>
        <v>M: </v>
      </c>
      <c r="C10907" s="68"/>
      <c r="D10907" s="68"/>
      <c r="E10907" s="66"/>
      <c r="F10907" s="66" t="str">
        <f>IFERROR(__xludf.DUMMYFUNCTION("GOOGLETRANSLATE(A10907,""en"",""pt"")"),"#VALUE!")</f>
        <v>#VALUE!</v>
      </c>
      <c r="G10907" s="69"/>
    </row>
    <row r="10908" ht="22.5" customHeight="1">
      <c r="A10908" s="66"/>
      <c r="B10908" s="67" t="str">
        <f t="shared" si="16"/>
        <v>M: </v>
      </c>
      <c r="C10908" s="68"/>
      <c r="D10908" s="68"/>
      <c r="E10908" s="66"/>
      <c r="F10908" s="66" t="str">
        <f>IFERROR(__xludf.DUMMYFUNCTION("GOOGLETRANSLATE(A10908,""en"",""pt"")"),"#VALUE!")</f>
        <v>#VALUE!</v>
      </c>
      <c r="G10908" s="69"/>
    </row>
    <row r="10909" ht="22.5" customHeight="1">
      <c r="A10909" s="66"/>
      <c r="B10909" s="67" t="str">
        <f t="shared" si="16"/>
        <v>M: </v>
      </c>
      <c r="C10909" s="68"/>
      <c r="D10909" s="68"/>
      <c r="E10909" s="66"/>
      <c r="F10909" s="66" t="str">
        <f>IFERROR(__xludf.DUMMYFUNCTION("GOOGLETRANSLATE(A10909,""en"",""pt"")"),"#VALUE!")</f>
        <v>#VALUE!</v>
      </c>
      <c r="G10909" s="69"/>
    </row>
    <row r="10910" ht="22.5" customHeight="1">
      <c r="A10910" s="66"/>
      <c r="B10910" s="67" t="str">
        <f t="shared" si="16"/>
        <v>M: </v>
      </c>
      <c r="C10910" s="68"/>
      <c r="D10910" s="68"/>
      <c r="E10910" s="66"/>
      <c r="F10910" s="66" t="str">
        <f>IFERROR(__xludf.DUMMYFUNCTION("GOOGLETRANSLATE(A10910,""en"",""pt"")"),"#VALUE!")</f>
        <v>#VALUE!</v>
      </c>
      <c r="G10910" s="69"/>
    </row>
    <row r="10911" ht="22.5" customHeight="1">
      <c r="A10911" s="66"/>
      <c r="B10911" s="67" t="str">
        <f t="shared" si="16"/>
        <v>M: </v>
      </c>
      <c r="C10911" s="68"/>
      <c r="D10911" s="68"/>
      <c r="E10911" s="66"/>
      <c r="F10911" s="66" t="str">
        <f>IFERROR(__xludf.DUMMYFUNCTION("GOOGLETRANSLATE(A10911,""en"",""pt"")"),"#VALUE!")</f>
        <v>#VALUE!</v>
      </c>
      <c r="G10911" s="69"/>
    </row>
    <row r="10912" ht="22.5" customHeight="1">
      <c r="A10912" s="66"/>
      <c r="B10912" s="67" t="str">
        <f t="shared" si="16"/>
        <v>M: </v>
      </c>
      <c r="C10912" s="68"/>
      <c r="D10912" s="68"/>
      <c r="E10912" s="66"/>
      <c r="F10912" s="66" t="str">
        <f>IFERROR(__xludf.DUMMYFUNCTION("GOOGLETRANSLATE(A10912,""en"",""pt"")"),"#VALUE!")</f>
        <v>#VALUE!</v>
      </c>
      <c r="G10912" s="69"/>
    </row>
    <row r="10913" ht="22.5" customHeight="1">
      <c r="A10913" s="66"/>
      <c r="B10913" s="67" t="str">
        <f t="shared" si="16"/>
        <v>M: </v>
      </c>
      <c r="C10913" s="68"/>
      <c r="D10913" s="68"/>
      <c r="E10913" s="66"/>
      <c r="F10913" s="66" t="str">
        <f>IFERROR(__xludf.DUMMYFUNCTION("GOOGLETRANSLATE(A10913,""en"",""pt"")"),"#VALUE!")</f>
        <v>#VALUE!</v>
      </c>
      <c r="G10913" s="69"/>
    </row>
    <row r="10914" ht="22.5" customHeight="1">
      <c r="A10914" s="66"/>
      <c r="B10914" s="67" t="str">
        <f t="shared" si="16"/>
        <v>M: </v>
      </c>
      <c r="C10914" s="68"/>
      <c r="D10914" s="68"/>
      <c r="E10914" s="66"/>
      <c r="F10914" s="66" t="str">
        <f>IFERROR(__xludf.DUMMYFUNCTION("GOOGLETRANSLATE(A10914,""en"",""pt"")"),"#VALUE!")</f>
        <v>#VALUE!</v>
      </c>
      <c r="G10914" s="69"/>
    </row>
    <row r="10915" ht="22.5" customHeight="1">
      <c r="A10915" s="66"/>
      <c r="B10915" s="67" t="str">
        <f t="shared" si="16"/>
        <v>M: </v>
      </c>
      <c r="C10915" s="68"/>
      <c r="D10915" s="68"/>
      <c r="E10915" s="66"/>
      <c r="F10915" s="66" t="str">
        <f>IFERROR(__xludf.DUMMYFUNCTION("GOOGLETRANSLATE(A10915,""en"",""pt"")"),"#VALUE!")</f>
        <v>#VALUE!</v>
      </c>
      <c r="G10915" s="69"/>
    </row>
    <row r="10916" ht="22.5" customHeight="1">
      <c r="A10916" s="66"/>
      <c r="B10916" s="67" t="str">
        <f t="shared" si="16"/>
        <v>M: </v>
      </c>
      <c r="C10916" s="68"/>
      <c r="D10916" s="68"/>
      <c r="E10916" s="66"/>
      <c r="F10916" s="66" t="str">
        <f>IFERROR(__xludf.DUMMYFUNCTION("GOOGLETRANSLATE(A10916,""en"",""pt"")"),"#VALUE!")</f>
        <v>#VALUE!</v>
      </c>
      <c r="G10916" s="69"/>
    </row>
    <row r="10917" ht="22.5" customHeight="1">
      <c r="A10917" s="66"/>
      <c r="B10917" s="67" t="str">
        <f t="shared" si="16"/>
        <v>M: </v>
      </c>
      <c r="C10917" s="68"/>
      <c r="D10917" s="68"/>
      <c r="E10917" s="66"/>
      <c r="F10917" s="66" t="str">
        <f>IFERROR(__xludf.DUMMYFUNCTION("GOOGLETRANSLATE(A10917,""en"",""pt"")"),"#VALUE!")</f>
        <v>#VALUE!</v>
      </c>
      <c r="G10917" s="69"/>
    </row>
    <row r="10918" ht="22.5" customHeight="1">
      <c r="A10918" s="66"/>
      <c r="B10918" s="67" t="str">
        <f t="shared" si="16"/>
        <v>M: </v>
      </c>
      <c r="C10918" s="68"/>
      <c r="D10918" s="68"/>
      <c r="E10918" s="66"/>
      <c r="F10918" s="66" t="str">
        <f>IFERROR(__xludf.DUMMYFUNCTION("GOOGLETRANSLATE(A10918,""en"",""pt"")"),"#VALUE!")</f>
        <v>#VALUE!</v>
      </c>
      <c r="G10918" s="69"/>
    </row>
    <row r="10919" ht="22.5" customHeight="1">
      <c r="A10919" s="66"/>
      <c r="B10919" s="67" t="str">
        <f t="shared" si="16"/>
        <v>M: </v>
      </c>
      <c r="C10919" s="68"/>
      <c r="D10919" s="68"/>
      <c r="E10919" s="66"/>
      <c r="F10919" s="66" t="str">
        <f>IFERROR(__xludf.DUMMYFUNCTION("GOOGLETRANSLATE(A10919,""en"",""pt"")"),"#VALUE!")</f>
        <v>#VALUE!</v>
      </c>
      <c r="G10919" s="69"/>
    </row>
    <row r="10920" ht="22.5" customHeight="1">
      <c r="A10920" s="66"/>
      <c r="B10920" s="67" t="str">
        <f t="shared" si="16"/>
        <v>M: </v>
      </c>
      <c r="C10920" s="68"/>
      <c r="D10920" s="68"/>
      <c r="E10920" s="66"/>
      <c r="F10920" s="66" t="str">
        <f>IFERROR(__xludf.DUMMYFUNCTION("GOOGLETRANSLATE(A10920,""en"",""pt"")"),"#VALUE!")</f>
        <v>#VALUE!</v>
      </c>
      <c r="G10920" s="69"/>
    </row>
    <row r="10921" ht="22.5" customHeight="1">
      <c r="A10921" s="66"/>
      <c r="B10921" s="67" t="str">
        <f t="shared" si="16"/>
        <v>M: </v>
      </c>
      <c r="C10921" s="68"/>
      <c r="D10921" s="68"/>
      <c r="E10921" s="66"/>
      <c r="F10921" s="66" t="str">
        <f>IFERROR(__xludf.DUMMYFUNCTION("GOOGLETRANSLATE(A10921,""en"",""pt"")"),"#VALUE!")</f>
        <v>#VALUE!</v>
      </c>
      <c r="G10921" s="69"/>
    </row>
    <row r="10922" ht="22.5" customHeight="1">
      <c r="A10922" s="66"/>
      <c r="B10922" s="67" t="str">
        <f t="shared" si="16"/>
        <v>M: </v>
      </c>
      <c r="C10922" s="68"/>
      <c r="D10922" s="68"/>
      <c r="E10922" s="66"/>
      <c r="F10922" s="66" t="str">
        <f>IFERROR(__xludf.DUMMYFUNCTION("GOOGLETRANSLATE(A10922,""en"",""pt"")"),"#VALUE!")</f>
        <v>#VALUE!</v>
      </c>
      <c r="G10922" s="69"/>
    </row>
    <row r="10923" ht="22.5" customHeight="1">
      <c r="A10923" s="66"/>
      <c r="B10923" s="67" t="str">
        <f t="shared" si="16"/>
        <v>M: </v>
      </c>
      <c r="C10923" s="68"/>
      <c r="D10923" s="68"/>
      <c r="E10923" s="66"/>
      <c r="F10923" s="66" t="str">
        <f>IFERROR(__xludf.DUMMYFUNCTION("GOOGLETRANSLATE(A10923,""en"",""pt"")"),"#VALUE!")</f>
        <v>#VALUE!</v>
      </c>
      <c r="G10923" s="69"/>
    </row>
    <row r="10924" ht="22.5" customHeight="1">
      <c r="A10924" s="66"/>
      <c r="B10924" s="67" t="str">
        <f t="shared" si="16"/>
        <v>M: </v>
      </c>
      <c r="C10924" s="68"/>
      <c r="D10924" s="68"/>
      <c r="E10924" s="66"/>
      <c r="F10924" s="66" t="str">
        <f>IFERROR(__xludf.DUMMYFUNCTION("GOOGLETRANSLATE(A10924,""en"",""pt"")"),"#VALUE!")</f>
        <v>#VALUE!</v>
      </c>
      <c r="G10924" s="69"/>
    </row>
    <row r="10925" ht="22.5" customHeight="1">
      <c r="A10925" s="66"/>
      <c r="B10925" s="67" t="str">
        <f t="shared" si="16"/>
        <v>M: </v>
      </c>
      <c r="C10925" s="68"/>
      <c r="D10925" s="68"/>
      <c r="E10925" s="66"/>
      <c r="F10925" s="66" t="str">
        <f>IFERROR(__xludf.DUMMYFUNCTION("GOOGLETRANSLATE(A10925,""en"",""pt"")"),"#VALUE!")</f>
        <v>#VALUE!</v>
      </c>
      <c r="G10925" s="69"/>
    </row>
    <row r="10926" ht="22.5" customHeight="1">
      <c r="A10926" s="66"/>
      <c r="B10926" s="67" t="str">
        <f t="shared" si="16"/>
        <v>M: </v>
      </c>
      <c r="C10926" s="68"/>
      <c r="D10926" s="68"/>
      <c r="E10926" s="66"/>
      <c r="F10926" s="66" t="str">
        <f>IFERROR(__xludf.DUMMYFUNCTION("GOOGLETRANSLATE(A10926,""en"",""pt"")"),"#VALUE!")</f>
        <v>#VALUE!</v>
      </c>
      <c r="G10926" s="69"/>
    </row>
    <row r="10927" ht="22.5" customHeight="1">
      <c r="A10927" s="66"/>
      <c r="B10927" s="67" t="str">
        <f t="shared" si="16"/>
        <v>M: </v>
      </c>
      <c r="C10927" s="68"/>
      <c r="D10927" s="68"/>
      <c r="E10927" s="66"/>
      <c r="F10927" s="66" t="str">
        <f>IFERROR(__xludf.DUMMYFUNCTION("GOOGLETRANSLATE(A10927,""en"",""pt"")"),"#VALUE!")</f>
        <v>#VALUE!</v>
      </c>
      <c r="G10927" s="69"/>
    </row>
    <row r="10928" ht="22.5" customHeight="1">
      <c r="A10928" s="66"/>
      <c r="B10928" s="67" t="str">
        <f t="shared" si="16"/>
        <v>M: </v>
      </c>
      <c r="C10928" s="68"/>
      <c r="D10928" s="68"/>
      <c r="E10928" s="66"/>
      <c r="F10928" s="66" t="str">
        <f>IFERROR(__xludf.DUMMYFUNCTION("GOOGLETRANSLATE(A10928,""en"",""pt"")"),"#VALUE!")</f>
        <v>#VALUE!</v>
      </c>
      <c r="G10928" s="69"/>
    </row>
    <row r="10929" ht="22.5" customHeight="1">
      <c r="A10929" s="66"/>
      <c r="B10929" s="67" t="str">
        <f t="shared" si="16"/>
        <v>M: </v>
      </c>
      <c r="C10929" s="68"/>
      <c r="D10929" s="68"/>
      <c r="E10929" s="66"/>
      <c r="F10929" s="66" t="str">
        <f>IFERROR(__xludf.DUMMYFUNCTION("GOOGLETRANSLATE(A10929,""en"",""pt"")"),"#VALUE!")</f>
        <v>#VALUE!</v>
      </c>
      <c r="G10929" s="69"/>
    </row>
    <row r="10930" ht="22.5" customHeight="1">
      <c r="A10930" s="66"/>
      <c r="B10930" s="67" t="str">
        <f t="shared" si="16"/>
        <v>M: </v>
      </c>
      <c r="C10930" s="68"/>
      <c r="D10930" s="68"/>
      <c r="E10930" s="66"/>
      <c r="F10930" s="66" t="str">
        <f>IFERROR(__xludf.DUMMYFUNCTION("GOOGLETRANSLATE(A10930,""en"",""pt"")"),"#VALUE!")</f>
        <v>#VALUE!</v>
      </c>
      <c r="G10930" s="69"/>
    </row>
    <row r="10931" ht="22.5" customHeight="1">
      <c r="A10931" s="66"/>
      <c r="B10931" s="67" t="str">
        <f t="shared" si="16"/>
        <v>M: </v>
      </c>
      <c r="C10931" s="68"/>
      <c r="D10931" s="68"/>
      <c r="E10931" s="66"/>
      <c r="F10931" s="66" t="str">
        <f>IFERROR(__xludf.DUMMYFUNCTION("GOOGLETRANSLATE(A10931,""en"",""pt"")"),"#VALUE!")</f>
        <v>#VALUE!</v>
      </c>
      <c r="G10931" s="69"/>
    </row>
    <row r="10932" ht="22.5" customHeight="1">
      <c r="A10932" s="66"/>
      <c r="B10932" s="67" t="str">
        <f t="shared" si="16"/>
        <v>M: </v>
      </c>
      <c r="C10932" s="68"/>
      <c r="D10932" s="68"/>
      <c r="E10932" s="66"/>
      <c r="F10932" s="66" t="str">
        <f>IFERROR(__xludf.DUMMYFUNCTION("GOOGLETRANSLATE(A10932,""en"",""pt"")"),"#VALUE!")</f>
        <v>#VALUE!</v>
      </c>
      <c r="G10932" s="69"/>
    </row>
    <row r="10933" ht="22.5" customHeight="1">
      <c r="A10933" s="66"/>
      <c r="B10933" s="67" t="str">
        <f t="shared" si="16"/>
        <v>M: </v>
      </c>
      <c r="C10933" s="68"/>
      <c r="D10933" s="68"/>
      <c r="E10933" s="66"/>
      <c r="F10933" s="66" t="str">
        <f>IFERROR(__xludf.DUMMYFUNCTION("GOOGLETRANSLATE(A10933,""en"",""pt"")"),"#VALUE!")</f>
        <v>#VALUE!</v>
      </c>
      <c r="G10933" s="69"/>
    </row>
    <row r="10934" ht="22.5" customHeight="1">
      <c r="A10934" s="66"/>
      <c r="B10934" s="67" t="str">
        <f t="shared" si="16"/>
        <v>M: </v>
      </c>
      <c r="C10934" s="68"/>
      <c r="D10934" s="68"/>
      <c r="E10934" s="66"/>
      <c r="F10934" s="66" t="str">
        <f>IFERROR(__xludf.DUMMYFUNCTION("GOOGLETRANSLATE(A10934,""en"",""pt"")"),"#VALUE!")</f>
        <v>#VALUE!</v>
      </c>
      <c r="G10934" s="69"/>
    </row>
    <row r="10935" ht="22.5" customHeight="1">
      <c r="A10935" s="66"/>
      <c r="B10935" s="67" t="str">
        <f t="shared" si="16"/>
        <v>M: </v>
      </c>
      <c r="C10935" s="68"/>
      <c r="D10935" s="68"/>
      <c r="E10935" s="66"/>
      <c r="F10935" s="66" t="str">
        <f>IFERROR(__xludf.DUMMYFUNCTION("GOOGLETRANSLATE(A10935,""en"",""pt"")"),"#VALUE!")</f>
        <v>#VALUE!</v>
      </c>
      <c r="G10935" s="69"/>
    </row>
    <row r="10936" ht="22.5" customHeight="1">
      <c r="A10936" s="66"/>
      <c r="B10936" s="67" t="str">
        <f t="shared" si="16"/>
        <v>M: </v>
      </c>
      <c r="C10936" s="68"/>
      <c r="D10936" s="68"/>
      <c r="E10936" s="66"/>
      <c r="F10936" s="66" t="str">
        <f>IFERROR(__xludf.DUMMYFUNCTION("GOOGLETRANSLATE(A10936,""en"",""pt"")"),"#VALUE!")</f>
        <v>#VALUE!</v>
      </c>
      <c r="G10936" s="69"/>
    </row>
    <row r="10937" ht="22.5" customHeight="1">
      <c r="A10937" s="66"/>
      <c r="B10937" s="67" t="str">
        <f t="shared" si="16"/>
        <v>M: </v>
      </c>
      <c r="C10937" s="68"/>
      <c r="D10937" s="68"/>
      <c r="E10937" s="66"/>
      <c r="F10937" s="66" t="str">
        <f>IFERROR(__xludf.DUMMYFUNCTION("GOOGLETRANSLATE(A10937,""en"",""pt"")"),"#VALUE!")</f>
        <v>#VALUE!</v>
      </c>
      <c r="G10937" s="69"/>
    </row>
    <row r="10938" ht="22.5" customHeight="1">
      <c r="A10938" s="66"/>
      <c r="B10938" s="67" t="str">
        <f t="shared" si="16"/>
        <v>M: </v>
      </c>
      <c r="C10938" s="68"/>
      <c r="D10938" s="68"/>
      <c r="E10938" s="66"/>
      <c r="F10938" s="66" t="str">
        <f>IFERROR(__xludf.DUMMYFUNCTION("GOOGLETRANSLATE(A10938,""en"",""pt"")"),"#VALUE!")</f>
        <v>#VALUE!</v>
      </c>
      <c r="G10938" s="69"/>
    </row>
    <row r="10939" ht="22.5" customHeight="1">
      <c r="A10939" s="66"/>
      <c r="B10939" s="67" t="str">
        <f t="shared" si="16"/>
        <v>M: </v>
      </c>
      <c r="C10939" s="68"/>
      <c r="D10939" s="68"/>
      <c r="E10939" s="66"/>
      <c r="F10939" s="66" t="str">
        <f>IFERROR(__xludf.DUMMYFUNCTION("GOOGLETRANSLATE(A10939,""en"",""pt"")"),"#VALUE!")</f>
        <v>#VALUE!</v>
      </c>
      <c r="G10939" s="69"/>
    </row>
    <row r="10940" ht="22.5" customHeight="1">
      <c r="A10940" s="66"/>
      <c r="B10940" s="67" t="str">
        <f t="shared" si="16"/>
        <v>M: </v>
      </c>
      <c r="C10940" s="68"/>
      <c r="D10940" s="68"/>
      <c r="E10940" s="66"/>
      <c r="F10940" s="66" t="str">
        <f>IFERROR(__xludf.DUMMYFUNCTION("GOOGLETRANSLATE(A10940,""en"",""pt"")"),"#VALUE!")</f>
        <v>#VALUE!</v>
      </c>
      <c r="G10940" s="69"/>
    </row>
    <row r="10941" ht="22.5" customHeight="1">
      <c r="A10941" s="66"/>
      <c r="B10941" s="67" t="str">
        <f t="shared" si="16"/>
        <v>M: </v>
      </c>
      <c r="C10941" s="68"/>
      <c r="D10941" s="68"/>
      <c r="E10941" s="66"/>
      <c r="F10941" s="66" t="str">
        <f>IFERROR(__xludf.DUMMYFUNCTION("GOOGLETRANSLATE(A10941,""en"",""pt"")"),"#VALUE!")</f>
        <v>#VALUE!</v>
      </c>
      <c r="G10941" s="69"/>
    </row>
    <row r="10942" ht="22.5" customHeight="1">
      <c r="A10942" s="66"/>
      <c r="B10942" s="67" t="str">
        <f t="shared" si="16"/>
        <v>M: </v>
      </c>
      <c r="C10942" s="68"/>
      <c r="D10942" s="68"/>
      <c r="E10942" s="66"/>
      <c r="F10942" s="66" t="str">
        <f>IFERROR(__xludf.DUMMYFUNCTION("GOOGLETRANSLATE(A10942,""en"",""pt"")"),"#VALUE!")</f>
        <v>#VALUE!</v>
      </c>
      <c r="G10942" s="69"/>
    </row>
    <row r="10943" ht="22.5" customHeight="1">
      <c r="A10943" s="66"/>
      <c r="B10943" s="67" t="str">
        <f t="shared" si="16"/>
        <v>M: </v>
      </c>
      <c r="C10943" s="68"/>
      <c r="D10943" s="68"/>
      <c r="E10943" s="66"/>
      <c r="F10943" s="66" t="str">
        <f>IFERROR(__xludf.DUMMYFUNCTION("GOOGLETRANSLATE(A10943,""en"",""pt"")"),"#VALUE!")</f>
        <v>#VALUE!</v>
      </c>
      <c r="G10943" s="69"/>
    </row>
    <row r="10944" ht="22.5" customHeight="1">
      <c r="A10944" s="66"/>
      <c r="B10944" s="67" t="str">
        <f t="shared" si="16"/>
        <v>M: </v>
      </c>
      <c r="C10944" s="68"/>
      <c r="D10944" s="68"/>
      <c r="E10944" s="66"/>
      <c r="F10944" s="66" t="str">
        <f>IFERROR(__xludf.DUMMYFUNCTION("GOOGLETRANSLATE(A10944,""en"",""pt"")"),"#VALUE!")</f>
        <v>#VALUE!</v>
      </c>
      <c r="G10944" s="69"/>
    </row>
    <row r="10945" ht="22.5" customHeight="1">
      <c r="A10945" s="66"/>
      <c r="B10945" s="67" t="str">
        <f t="shared" si="16"/>
        <v>M: </v>
      </c>
      <c r="C10945" s="68"/>
      <c r="D10945" s="68"/>
      <c r="E10945" s="66"/>
      <c r="F10945" s="66" t="str">
        <f>IFERROR(__xludf.DUMMYFUNCTION("GOOGLETRANSLATE(A10945,""en"",""pt"")"),"#VALUE!")</f>
        <v>#VALUE!</v>
      </c>
      <c r="G10945" s="69"/>
    </row>
    <row r="10946" ht="22.5" customHeight="1">
      <c r="A10946" s="66"/>
      <c r="B10946" s="67" t="str">
        <f t="shared" si="16"/>
        <v>M: </v>
      </c>
      <c r="C10946" s="68"/>
      <c r="D10946" s="68"/>
      <c r="E10946" s="66"/>
      <c r="F10946" s="66" t="str">
        <f>IFERROR(__xludf.DUMMYFUNCTION("GOOGLETRANSLATE(A10946,""en"",""pt"")"),"#VALUE!")</f>
        <v>#VALUE!</v>
      </c>
      <c r="G10946" s="69"/>
    </row>
    <row r="10947" ht="22.5" customHeight="1">
      <c r="A10947" s="66"/>
      <c r="B10947" s="67" t="str">
        <f t="shared" si="16"/>
        <v>M: </v>
      </c>
      <c r="C10947" s="68"/>
      <c r="D10947" s="68"/>
      <c r="E10947" s="66"/>
      <c r="F10947" s="66" t="str">
        <f>IFERROR(__xludf.DUMMYFUNCTION("GOOGLETRANSLATE(A10947,""en"",""pt"")"),"#VALUE!")</f>
        <v>#VALUE!</v>
      </c>
      <c r="G10947" s="69"/>
    </row>
    <row r="10948" ht="22.5" customHeight="1">
      <c r="A10948" s="66"/>
      <c r="B10948" s="67" t="str">
        <f t="shared" si="16"/>
        <v>M: </v>
      </c>
      <c r="C10948" s="68"/>
      <c r="D10948" s="68"/>
      <c r="E10948" s="66"/>
      <c r="F10948" s="66" t="str">
        <f>IFERROR(__xludf.DUMMYFUNCTION("GOOGLETRANSLATE(A10948,""en"",""pt"")"),"#VALUE!")</f>
        <v>#VALUE!</v>
      </c>
      <c r="G10948" s="69"/>
    </row>
    <row r="10949" ht="22.5" customHeight="1">
      <c r="A10949" s="66"/>
      <c r="B10949" s="67" t="str">
        <f t="shared" si="16"/>
        <v>M: </v>
      </c>
      <c r="C10949" s="68"/>
      <c r="D10949" s="68"/>
      <c r="E10949" s="66"/>
      <c r="F10949" s="66" t="str">
        <f>IFERROR(__xludf.DUMMYFUNCTION("GOOGLETRANSLATE(A10949,""en"",""pt"")"),"#VALUE!")</f>
        <v>#VALUE!</v>
      </c>
      <c r="G10949" s="69"/>
    </row>
    <row r="10950" ht="22.5" customHeight="1">
      <c r="A10950" s="66"/>
      <c r="B10950" s="67" t="str">
        <f t="shared" si="16"/>
        <v>M: </v>
      </c>
      <c r="C10950" s="68"/>
      <c r="D10950" s="68"/>
      <c r="E10950" s="66"/>
      <c r="F10950" s="66" t="str">
        <f>IFERROR(__xludf.DUMMYFUNCTION("GOOGLETRANSLATE(A10950,""en"",""pt"")"),"#VALUE!")</f>
        <v>#VALUE!</v>
      </c>
      <c r="G10950" s="69"/>
    </row>
    <row r="10951" ht="22.5" customHeight="1">
      <c r="A10951" s="66"/>
      <c r="B10951" s="67" t="str">
        <f t="shared" si="16"/>
        <v>M: </v>
      </c>
      <c r="C10951" s="68"/>
      <c r="D10951" s="68"/>
      <c r="E10951" s="66"/>
      <c r="F10951" s="66" t="str">
        <f>IFERROR(__xludf.DUMMYFUNCTION("GOOGLETRANSLATE(A10951,""en"",""pt"")"),"#VALUE!")</f>
        <v>#VALUE!</v>
      </c>
      <c r="G10951" s="69"/>
    </row>
    <row r="10952" ht="22.5" customHeight="1">
      <c r="A10952" s="66"/>
      <c r="B10952" s="67" t="str">
        <f t="shared" si="16"/>
        <v>M: </v>
      </c>
      <c r="C10952" s="68"/>
      <c r="D10952" s="68"/>
      <c r="E10952" s="66"/>
      <c r="F10952" s="66" t="str">
        <f>IFERROR(__xludf.DUMMYFUNCTION("GOOGLETRANSLATE(A10952,""en"",""pt"")"),"#VALUE!")</f>
        <v>#VALUE!</v>
      </c>
      <c r="G10952" s="69"/>
    </row>
    <row r="10953" ht="22.5" customHeight="1">
      <c r="A10953" s="66"/>
      <c r="B10953" s="67" t="str">
        <f t="shared" si="16"/>
        <v>M: </v>
      </c>
      <c r="C10953" s="68"/>
      <c r="D10953" s="68"/>
      <c r="E10953" s="66"/>
      <c r="F10953" s="66" t="str">
        <f>IFERROR(__xludf.DUMMYFUNCTION("GOOGLETRANSLATE(A10953,""en"",""pt"")"),"#VALUE!")</f>
        <v>#VALUE!</v>
      </c>
      <c r="G10953" s="69"/>
    </row>
    <row r="10954" ht="22.5" customHeight="1">
      <c r="A10954" s="66"/>
      <c r="B10954" s="67" t="str">
        <f t="shared" si="16"/>
        <v>M: </v>
      </c>
      <c r="C10954" s="68"/>
      <c r="D10954" s="68"/>
      <c r="E10954" s="66"/>
      <c r="F10954" s="66" t="str">
        <f>IFERROR(__xludf.DUMMYFUNCTION("GOOGLETRANSLATE(A10954,""en"",""pt"")"),"#VALUE!")</f>
        <v>#VALUE!</v>
      </c>
      <c r="G10954" s="69"/>
    </row>
    <row r="10955" ht="22.5" customHeight="1">
      <c r="A10955" s="66"/>
      <c r="B10955" s="67" t="str">
        <f t="shared" si="16"/>
        <v>M: </v>
      </c>
      <c r="C10955" s="68"/>
      <c r="D10955" s="68"/>
      <c r="E10955" s="66"/>
      <c r="F10955" s="66" t="str">
        <f>IFERROR(__xludf.DUMMYFUNCTION("GOOGLETRANSLATE(A10955,""en"",""pt"")"),"#VALUE!")</f>
        <v>#VALUE!</v>
      </c>
      <c r="G10955" s="69"/>
    </row>
    <row r="10956" ht="22.5" customHeight="1">
      <c r="A10956" s="66"/>
      <c r="B10956" s="67" t="str">
        <f t="shared" si="16"/>
        <v>M: </v>
      </c>
      <c r="C10956" s="68"/>
      <c r="D10956" s="68"/>
      <c r="E10956" s="66"/>
      <c r="F10956" s="66" t="str">
        <f>IFERROR(__xludf.DUMMYFUNCTION("GOOGLETRANSLATE(A10956,""en"",""pt"")"),"#VALUE!")</f>
        <v>#VALUE!</v>
      </c>
      <c r="G10956" s="69"/>
    </row>
    <row r="10957" ht="22.5" customHeight="1">
      <c r="A10957" s="66"/>
      <c r="B10957" s="67" t="str">
        <f t="shared" si="16"/>
        <v>M: </v>
      </c>
      <c r="C10957" s="68"/>
      <c r="D10957" s="68"/>
      <c r="E10957" s="66"/>
      <c r="F10957" s="66" t="str">
        <f>IFERROR(__xludf.DUMMYFUNCTION("GOOGLETRANSLATE(A10957,""en"",""pt"")"),"#VALUE!")</f>
        <v>#VALUE!</v>
      </c>
      <c r="G10957" s="69"/>
    </row>
    <row r="10958" ht="22.5" customHeight="1">
      <c r="A10958" s="66"/>
      <c r="B10958" s="67" t="str">
        <f t="shared" si="16"/>
        <v>M: </v>
      </c>
      <c r="C10958" s="68"/>
      <c r="D10958" s="68"/>
      <c r="E10958" s="66"/>
      <c r="F10958" s="66" t="str">
        <f>IFERROR(__xludf.DUMMYFUNCTION("GOOGLETRANSLATE(A10958,""en"",""pt"")"),"#VALUE!")</f>
        <v>#VALUE!</v>
      </c>
      <c r="G10958" s="69"/>
    </row>
    <row r="10959" ht="22.5" customHeight="1">
      <c r="A10959" s="66"/>
      <c r="B10959" s="67" t="str">
        <f t="shared" si="16"/>
        <v>M: </v>
      </c>
      <c r="C10959" s="68"/>
      <c r="D10959" s="68"/>
      <c r="E10959" s="66"/>
      <c r="F10959" s="66" t="str">
        <f>IFERROR(__xludf.DUMMYFUNCTION("GOOGLETRANSLATE(A10959,""en"",""pt"")"),"#VALUE!")</f>
        <v>#VALUE!</v>
      </c>
      <c r="G10959" s="69"/>
    </row>
    <row r="10960" ht="22.5" customHeight="1">
      <c r="A10960" s="66"/>
      <c r="B10960" s="67" t="str">
        <f t="shared" si="16"/>
        <v>M: </v>
      </c>
      <c r="C10960" s="68"/>
      <c r="D10960" s="68"/>
      <c r="E10960" s="66"/>
      <c r="F10960" s="66" t="str">
        <f>IFERROR(__xludf.DUMMYFUNCTION("GOOGLETRANSLATE(A10960,""en"",""pt"")"),"#VALUE!")</f>
        <v>#VALUE!</v>
      </c>
      <c r="G10960" s="69"/>
    </row>
    <row r="10961" ht="22.5" customHeight="1">
      <c r="A10961" s="66"/>
      <c r="B10961" s="67" t="str">
        <f t="shared" si="16"/>
        <v>M: </v>
      </c>
      <c r="C10961" s="68"/>
      <c r="D10961" s="68"/>
      <c r="E10961" s="66"/>
      <c r="F10961" s="66" t="str">
        <f>IFERROR(__xludf.DUMMYFUNCTION("GOOGLETRANSLATE(A10961,""en"",""pt"")"),"#VALUE!")</f>
        <v>#VALUE!</v>
      </c>
      <c r="G10961" s="69"/>
    </row>
    <row r="10962" ht="22.5" customHeight="1">
      <c r="A10962" s="66"/>
      <c r="B10962" s="67" t="str">
        <f t="shared" si="16"/>
        <v>M: </v>
      </c>
      <c r="C10962" s="68"/>
      <c r="D10962" s="68"/>
      <c r="E10962" s="66"/>
      <c r="F10962" s="66" t="str">
        <f>IFERROR(__xludf.DUMMYFUNCTION("GOOGLETRANSLATE(A10962,""en"",""pt"")"),"#VALUE!")</f>
        <v>#VALUE!</v>
      </c>
      <c r="G10962" s="69"/>
    </row>
    <row r="10963" ht="22.5" customHeight="1">
      <c r="A10963" s="66"/>
      <c r="B10963" s="67" t="str">
        <f t="shared" si="16"/>
        <v>M: </v>
      </c>
      <c r="C10963" s="68"/>
      <c r="D10963" s="68"/>
      <c r="E10963" s="66"/>
      <c r="F10963" s="66" t="str">
        <f>IFERROR(__xludf.DUMMYFUNCTION("GOOGLETRANSLATE(A10963,""en"",""pt"")"),"#VALUE!")</f>
        <v>#VALUE!</v>
      </c>
      <c r="G10963" s="69"/>
    </row>
    <row r="10964" ht="22.5" customHeight="1">
      <c r="A10964" s="66"/>
      <c r="B10964" s="67" t="str">
        <f t="shared" si="16"/>
        <v>M: </v>
      </c>
      <c r="C10964" s="68"/>
      <c r="D10964" s="68"/>
      <c r="E10964" s="66"/>
      <c r="F10964" s="66" t="str">
        <f>IFERROR(__xludf.DUMMYFUNCTION("GOOGLETRANSLATE(A10964,""en"",""pt"")"),"#VALUE!")</f>
        <v>#VALUE!</v>
      </c>
      <c r="G10964" s="69"/>
    </row>
    <row r="10965" ht="22.5" customHeight="1">
      <c r="A10965" s="66"/>
      <c r="B10965" s="67" t="str">
        <f t="shared" si="16"/>
        <v>M: </v>
      </c>
      <c r="C10965" s="68"/>
      <c r="D10965" s="68"/>
      <c r="E10965" s="66"/>
      <c r="F10965" s="66" t="str">
        <f>IFERROR(__xludf.DUMMYFUNCTION("GOOGLETRANSLATE(A10965,""en"",""pt"")"),"#VALUE!")</f>
        <v>#VALUE!</v>
      </c>
      <c r="G10965" s="69"/>
    </row>
    <row r="10966" ht="22.5" customHeight="1">
      <c r="A10966" s="66"/>
      <c r="B10966" s="67" t="str">
        <f t="shared" si="16"/>
        <v>M: </v>
      </c>
      <c r="C10966" s="68"/>
      <c r="D10966" s="68"/>
      <c r="E10966" s="66"/>
      <c r="F10966" s="66" t="str">
        <f>IFERROR(__xludf.DUMMYFUNCTION("GOOGLETRANSLATE(A10966,""en"",""pt"")"),"#VALUE!")</f>
        <v>#VALUE!</v>
      </c>
      <c r="G10966" s="69"/>
    </row>
    <row r="10967" ht="22.5" customHeight="1">
      <c r="A10967" s="66"/>
      <c r="B10967" s="67" t="str">
        <f t="shared" si="16"/>
        <v>M: </v>
      </c>
      <c r="C10967" s="68"/>
      <c r="D10967" s="68"/>
      <c r="E10967" s="66"/>
      <c r="F10967" s="66" t="str">
        <f>IFERROR(__xludf.DUMMYFUNCTION("GOOGLETRANSLATE(A10967,""en"",""pt"")"),"#VALUE!")</f>
        <v>#VALUE!</v>
      </c>
      <c r="G10967" s="69"/>
    </row>
    <row r="10968" ht="22.5" customHeight="1">
      <c r="A10968" s="66"/>
      <c r="B10968" s="67" t="str">
        <f t="shared" si="16"/>
        <v>M: </v>
      </c>
      <c r="C10968" s="68"/>
      <c r="D10968" s="68"/>
      <c r="E10968" s="66"/>
      <c r="F10968" s="66" t="str">
        <f>IFERROR(__xludf.DUMMYFUNCTION("GOOGLETRANSLATE(A10968,""en"",""pt"")"),"#VALUE!")</f>
        <v>#VALUE!</v>
      </c>
      <c r="G10968" s="69"/>
    </row>
    <row r="10969" ht="22.5" customHeight="1">
      <c r="A10969" s="66"/>
      <c r="B10969" s="67" t="str">
        <f t="shared" si="16"/>
        <v>M: </v>
      </c>
      <c r="C10969" s="68"/>
      <c r="D10969" s="68"/>
      <c r="E10969" s="66"/>
      <c r="F10969" s="66" t="str">
        <f>IFERROR(__xludf.DUMMYFUNCTION("GOOGLETRANSLATE(A10969,""en"",""pt"")"),"#VALUE!")</f>
        <v>#VALUE!</v>
      </c>
      <c r="G10969" s="69"/>
    </row>
    <row r="10970" ht="22.5" customHeight="1">
      <c r="A10970" s="66"/>
      <c r="B10970" s="67" t="str">
        <f t="shared" si="16"/>
        <v>M: </v>
      </c>
      <c r="C10970" s="68"/>
      <c r="D10970" s="68"/>
      <c r="E10970" s="66"/>
      <c r="F10970" s="66" t="str">
        <f>IFERROR(__xludf.DUMMYFUNCTION("GOOGLETRANSLATE(A10970,""en"",""pt"")"),"#VALUE!")</f>
        <v>#VALUE!</v>
      </c>
      <c r="G10970" s="69"/>
    </row>
    <row r="10971" ht="22.5" customHeight="1">
      <c r="A10971" s="66"/>
      <c r="B10971" s="67" t="str">
        <f t="shared" si="16"/>
        <v>M: </v>
      </c>
      <c r="C10971" s="68"/>
      <c r="D10971" s="68"/>
      <c r="E10971" s="66"/>
      <c r="F10971" s="66" t="str">
        <f>IFERROR(__xludf.DUMMYFUNCTION("GOOGLETRANSLATE(A10971,""en"",""pt"")"),"#VALUE!")</f>
        <v>#VALUE!</v>
      </c>
      <c r="G10971" s="69"/>
    </row>
    <row r="10972" ht="22.5" customHeight="1">
      <c r="A10972" s="66"/>
      <c r="B10972" s="67" t="str">
        <f t="shared" si="16"/>
        <v>M: </v>
      </c>
      <c r="C10972" s="68"/>
      <c r="D10972" s="68"/>
      <c r="E10972" s="66"/>
      <c r="F10972" s="66" t="str">
        <f>IFERROR(__xludf.DUMMYFUNCTION("GOOGLETRANSLATE(A10972,""en"",""pt"")"),"#VALUE!")</f>
        <v>#VALUE!</v>
      </c>
      <c r="G10972" s="69"/>
    </row>
    <row r="10973" ht="22.5" customHeight="1">
      <c r="A10973" s="66"/>
      <c r="B10973" s="67" t="str">
        <f t="shared" si="16"/>
        <v>M: </v>
      </c>
      <c r="C10973" s="68"/>
      <c r="D10973" s="68"/>
      <c r="E10973" s="66"/>
      <c r="F10973" s="66" t="str">
        <f>IFERROR(__xludf.DUMMYFUNCTION("GOOGLETRANSLATE(A10973,""en"",""pt"")"),"#VALUE!")</f>
        <v>#VALUE!</v>
      </c>
      <c r="G10973" s="69"/>
    </row>
    <row r="10974" ht="22.5" customHeight="1">
      <c r="A10974" s="66"/>
      <c r="B10974" s="67" t="str">
        <f t="shared" si="16"/>
        <v>M: </v>
      </c>
      <c r="C10974" s="68"/>
      <c r="D10974" s="68"/>
      <c r="E10974" s="66"/>
      <c r="F10974" s="66" t="str">
        <f>IFERROR(__xludf.DUMMYFUNCTION("GOOGLETRANSLATE(A10974,""en"",""pt"")"),"#VALUE!")</f>
        <v>#VALUE!</v>
      </c>
      <c r="G10974" s="69"/>
    </row>
    <row r="10975" ht="22.5" customHeight="1">
      <c r="A10975" s="66"/>
      <c r="B10975" s="67" t="str">
        <f t="shared" si="16"/>
        <v>M: </v>
      </c>
      <c r="C10975" s="68"/>
      <c r="D10975" s="68"/>
      <c r="E10975" s="66"/>
      <c r="F10975" s="66" t="str">
        <f>IFERROR(__xludf.DUMMYFUNCTION("GOOGLETRANSLATE(A10975,""en"",""pt"")"),"#VALUE!")</f>
        <v>#VALUE!</v>
      </c>
      <c r="G10975" s="69"/>
    </row>
    <row r="10976" ht="22.5" customHeight="1">
      <c r="A10976" s="66"/>
      <c r="B10976" s="67" t="str">
        <f t="shared" si="16"/>
        <v>M: </v>
      </c>
      <c r="C10976" s="68"/>
      <c r="D10976" s="68"/>
      <c r="E10976" s="66"/>
      <c r="F10976" s="66" t="str">
        <f>IFERROR(__xludf.DUMMYFUNCTION("GOOGLETRANSLATE(A10976,""en"",""pt"")"),"#VALUE!")</f>
        <v>#VALUE!</v>
      </c>
      <c r="G10976" s="69"/>
    </row>
    <row r="10977" ht="22.5" customHeight="1">
      <c r="A10977" s="66"/>
      <c r="B10977" s="67" t="str">
        <f t="shared" si="16"/>
        <v>M: </v>
      </c>
      <c r="C10977" s="68"/>
      <c r="D10977" s="68"/>
      <c r="E10977" s="66"/>
      <c r="F10977" s="66" t="str">
        <f>IFERROR(__xludf.DUMMYFUNCTION("GOOGLETRANSLATE(A10977,""en"",""pt"")"),"#VALUE!")</f>
        <v>#VALUE!</v>
      </c>
      <c r="G10977" s="69"/>
    </row>
    <row r="10978" ht="22.5" customHeight="1">
      <c r="A10978" s="66"/>
      <c r="B10978" s="67" t="str">
        <f t="shared" si="16"/>
        <v>M: </v>
      </c>
      <c r="C10978" s="68"/>
      <c r="D10978" s="68"/>
      <c r="E10978" s="66"/>
      <c r="F10978" s="66" t="str">
        <f>IFERROR(__xludf.DUMMYFUNCTION("GOOGLETRANSLATE(A10978,""en"",""pt"")"),"#VALUE!")</f>
        <v>#VALUE!</v>
      </c>
      <c r="G10978" s="69"/>
    </row>
    <row r="10979" ht="22.5" customHeight="1">
      <c r="A10979" s="66"/>
      <c r="B10979" s="67" t="str">
        <f t="shared" si="16"/>
        <v>M: </v>
      </c>
      <c r="C10979" s="68"/>
      <c r="D10979" s="68"/>
      <c r="E10979" s="66"/>
      <c r="F10979" s="66" t="str">
        <f>IFERROR(__xludf.DUMMYFUNCTION("GOOGLETRANSLATE(A10979,""en"",""pt"")"),"#VALUE!")</f>
        <v>#VALUE!</v>
      </c>
      <c r="G10979" s="69"/>
    </row>
    <row r="10980" ht="22.5" customHeight="1">
      <c r="A10980" s="66"/>
      <c r="B10980" s="67" t="str">
        <f t="shared" si="16"/>
        <v>M: </v>
      </c>
      <c r="C10980" s="68"/>
      <c r="D10980" s="68"/>
      <c r="E10980" s="66"/>
      <c r="F10980" s="66" t="str">
        <f>IFERROR(__xludf.DUMMYFUNCTION("GOOGLETRANSLATE(A10980,""en"",""pt"")"),"#VALUE!")</f>
        <v>#VALUE!</v>
      </c>
      <c r="G10980" s="69"/>
    </row>
    <row r="10981" ht="22.5" customHeight="1">
      <c r="A10981" s="66"/>
      <c r="B10981" s="67" t="str">
        <f t="shared" si="16"/>
        <v>M: </v>
      </c>
      <c r="C10981" s="68"/>
      <c r="D10981" s="68"/>
      <c r="E10981" s="66"/>
      <c r="F10981" s="66" t="str">
        <f>IFERROR(__xludf.DUMMYFUNCTION("GOOGLETRANSLATE(A10981,""en"",""pt"")"),"#VALUE!")</f>
        <v>#VALUE!</v>
      </c>
      <c r="G10981" s="69"/>
    </row>
    <row r="10982" ht="22.5" customHeight="1">
      <c r="A10982" s="66"/>
      <c r="B10982" s="67" t="str">
        <f t="shared" si="16"/>
        <v>M: </v>
      </c>
      <c r="C10982" s="68"/>
      <c r="D10982" s="68"/>
      <c r="E10982" s="66"/>
      <c r="F10982" s="66" t="str">
        <f>IFERROR(__xludf.DUMMYFUNCTION("GOOGLETRANSLATE(A10982,""en"",""pt"")"),"#VALUE!")</f>
        <v>#VALUE!</v>
      </c>
      <c r="G10982" s="69"/>
    </row>
    <row r="10983" ht="22.5" customHeight="1">
      <c r="A10983" s="66"/>
      <c r="B10983" s="67" t="str">
        <f t="shared" si="16"/>
        <v>M: </v>
      </c>
      <c r="C10983" s="68"/>
      <c r="D10983" s="68"/>
      <c r="E10983" s="66"/>
      <c r="F10983" s="66" t="str">
        <f>IFERROR(__xludf.DUMMYFUNCTION("GOOGLETRANSLATE(A10983,""en"",""pt"")"),"#VALUE!")</f>
        <v>#VALUE!</v>
      </c>
      <c r="G10983" s="69"/>
    </row>
    <row r="10984" ht="22.5" customHeight="1">
      <c r="A10984" s="66"/>
      <c r="B10984" s="67" t="str">
        <f t="shared" si="16"/>
        <v>M: </v>
      </c>
      <c r="C10984" s="68"/>
      <c r="D10984" s="68"/>
      <c r="E10984" s="66"/>
      <c r="F10984" s="66" t="str">
        <f>IFERROR(__xludf.DUMMYFUNCTION("GOOGLETRANSLATE(A10984,""en"",""pt"")"),"#VALUE!")</f>
        <v>#VALUE!</v>
      </c>
      <c r="G10984" s="69"/>
    </row>
    <row r="10985" ht="22.5" customHeight="1">
      <c r="A10985" s="66"/>
      <c r="B10985" s="67" t="str">
        <f t="shared" si="16"/>
        <v>M: </v>
      </c>
      <c r="C10985" s="68"/>
      <c r="D10985" s="68"/>
      <c r="E10985" s="66"/>
      <c r="F10985" s="66" t="str">
        <f>IFERROR(__xludf.DUMMYFUNCTION("GOOGLETRANSLATE(A10985,""en"",""pt"")"),"#VALUE!")</f>
        <v>#VALUE!</v>
      </c>
      <c r="G10985" s="69"/>
    </row>
    <row r="10986" ht="22.5" customHeight="1">
      <c r="A10986" s="66"/>
      <c r="B10986" s="67" t="str">
        <f t="shared" si="16"/>
        <v>M: </v>
      </c>
      <c r="C10986" s="68"/>
      <c r="D10986" s="68"/>
      <c r="E10986" s="66"/>
      <c r="F10986" s="66" t="str">
        <f>IFERROR(__xludf.DUMMYFUNCTION("GOOGLETRANSLATE(A10986,""en"",""pt"")"),"#VALUE!")</f>
        <v>#VALUE!</v>
      </c>
      <c r="G10986" s="69"/>
    </row>
    <row r="10987" ht="22.5" customHeight="1">
      <c r="A10987" s="66"/>
      <c r="B10987" s="67" t="str">
        <f t="shared" si="16"/>
        <v>M: </v>
      </c>
      <c r="C10987" s="68"/>
      <c r="D10987" s="68"/>
      <c r="E10987" s="66"/>
      <c r="F10987" s="66" t="str">
        <f>IFERROR(__xludf.DUMMYFUNCTION("GOOGLETRANSLATE(A10987,""en"",""pt"")"),"#VALUE!")</f>
        <v>#VALUE!</v>
      </c>
      <c r="G10987" s="69"/>
    </row>
    <row r="10988" ht="22.5" customHeight="1">
      <c r="A10988" s="66"/>
      <c r="B10988" s="67" t="str">
        <f t="shared" si="16"/>
        <v>M: </v>
      </c>
      <c r="C10988" s="68"/>
      <c r="D10988" s="68"/>
      <c r="E10988" s="66"/>
      <c r="F10988" s="66" t="str">
        <f>IFERROR(__xludf.DUMMYFUNCTION("GOOGLETRANSLATE(A10988,""en"",""pt"")"),"#VALUE!")</f>
        <v>#VALUE!</v>
      </c>
      <c r="G10988" s="69"/>
    </row>
    <row r="10989" ht="22.5" customHeight="1">
      <c r="A10989" s="66"/>
      <c r="B10989" s="67" t="str">
        <f t="shared" si="16"/>
        <v>M: </v>
      </c>
      <c r="C10989" s="68"/>
      <c r="D10989" s="68"/>
      <c r="E10989" s="66"/>
      <c r="F10989" s="66" t="str">
        <f>IFERROR(__xludf.DUMMYFUNCTION("GOOGLETRANSLATE(A10989,""en"",""pt"")"),"#VALUE!")</f>
        <v>#VALUE!</v>
      </c>
      <c r="G10989" s="69"/>
    </row>
    <row r="10990" ht="22.5" customHeight="1">
      <c r="A10990" s="66"/>
      <c r="B10990" s="67" t="str">
        <f t="shared" si="16"/>
        <v>M: </v>
      </c>
      <c r="C10990" s="68"/>
      <c r="D10990" s="68"/>
      <c r="E10990" s="66"/>
      <c r="F10990" s="66" t="str">
        <f>IFERROR(__xludf.DUMMYFUNCTION("GOOGLETRANSLATE(A10990,""en"",""pt"")"),"#VALUE!")</f>
        <v>#VALUE!</v>
      </c>
      <c r="G10990" s="69"/>
    </row>
    <row r="10991" ht="22.5" customHeight="1">
      <c r="A10991" s="66"/>
      <c r="B10991" s="67" t="str">
        <f t="shared" si="16"/>
        <v>M: </v>
      </c>
      <c r="C10991" s="68"/>
      <c r="D10991" s="68"/>
      <c r="E10991" s="66"/>
      <c r="F10991" s="66" t="str">
        <f>IFERROR(__xludf.DUMMYFUNCTION("GOOGLETRANSLATE(A10991,""en"",""pt"")"),"#VALUE!")</f>
        <v>#VALUE!</v>
      </c>
      <c r="G10991" s="69"/>
    </row>
    <row r="10992" ht="22.5" customHeight="1">
      <c r="A10992" s="66"/>
      <c r="B10992" s="67" t="str">
        <f t="shared" si="16"/>
        <v>M: </v>
      </c>
      <c r="C10992" s="68"/>
      <c r="D10992" s="68"/>
      <c r="E10992" s="66"/>
      <c r="F10992" s="66" t="str">
        <f>IFERROR(__xludf.DUMMYFUNCTION("GOOGLETRANSLATE(A10992,""en"",""pt"")"),"#VALUE!")</f>
        <v>#VALUE!</v>
      </c>
      <c r="G10992" s="69"/>
    </row>
    <row r="10993" ht="22.5" customHeight="1">
      <c r="A10993" s="66"/>
      <c r="B10993" s="67" t="str">
        <f t="shared" si="16"/>
        <v>M: </v>
      </c>
      <c r="C10993" s="68"/>
      <c r="D10993" s="68"/>
      <c r="E10993" s="66"/>
      <c r="F10993" s="66" t="str">
        <f>IFERROR(__xludf.DUMMYFUNCTION("GOOGLETRANSLATE(A10993,""en"",""pt"")"),"#VALUE!")</f>
        <v>#VALUE!</v>
      </c>
      <c r="G10993" s="69"/>
    </row>
    <row r="10994" ht="22.5" customHeight="1">
      <c r="A10994" s="66"/>
      <c r="B10994" s="67" t="str">
        <f t="shared" si="16"/>
        <v>M: </v>
      </c>
      <c r="C10994" s="68"/>
      <c r="D10994" s="68"/>
      <c r="E10994" s="66"/>
      <c r="F10994" s="66" t="str">
        <f>IFERROR(__xludf.DUMMYFUNCTION("GOOGLETRANSLATE(A10994,""en"",""pt"")"),"#VALUE!")</f>
        <v>#VALUE!</v>
      </c>
      <c r="G10994" s="69"/>
    </row>
    <row r="10995" ht="22.5" customHeight="1">
      <c r="A10995" s="66"/>
      <c r="B10995" s="67" t="str">
        <f t="shared" si="16"/>
        <v>M: </v>
      </c>
      <c r="C10995" s="68"/>
      <c r="D10995" s="68"/>
      <c r="E10995" s="66"/>
      <c r="F10995" s="66" t="str">
        <f>IFERROR(__xludf.DUMMYFUNCTION("GOOGLETRANSLATE(A10995,""en"",""pt"")"),"#VALUE!")</f>
        <v>#VALUE!</v>
      </c>
      <c r="G10995" s="69"/>
    </row>
    <row r="10996" ht="22.5" customHeight="1">
      <c r="A10996" s="66"/>
      <c r="B10996" s="67" t="str">
        <f t="shared" si="16"/>
        <v>M: </v>
      </c>
      <c r="C10996" s="68"/>
      <c r="D10996" s="68"/>
      <c r="E10996" s="66"/>
      <c r="F10996" s="66" t="str">
        <f>IFERROR(__xludf.DUMMYFUNCTION("GOOGLETRANSLATE(A10996,""en"",""pt"")"),"#VALUE!")</f>
        <v>#VALUE!</v>
      </c>
      <c r="G10996" s="69"/>
    </row>
    <row r="10997" ht="22.5" customHeight="1">
      <c r="A10997" s="66"/>
      <c r="B10997" s="67" t="str">
        <f t="shared" si="16"/>
        <v>M: </v>
      </c>
      <c r="C10997" s="68"/>
      <c r="D10997" s="68"/>
      <c r="E10997" s="66"/>
      <c r="F10997" s="66" t="str">
        <f>IFERROR(__xludf.DUMMYFUNCTION("GOOGLETRANSLATE(A10997,""en"",""pt"")"),"#VALUE!")</f>
        <v>#VALUE!</v>
      </c>
      <c r="G10997" s="69"/>
    </row>
    <row r="10998" ht="22.5" customHeight="1">
      <c r="A10998" s="66"/>
      <c r="B10998" s="67" t="str">
        <f t="shared" si="16"/>
        <v>M: </v>
      </c>
      <c r="C10998" s="68"/>
      <c r="D10998" s="68"/>
      <c r="E10998" s="66"/>
      <c r="F10998" s="66" t="str">
        <f>IFERROR(__xludf.DUMMYFUNCTION("GOOGLETRANSLATE(A10998,""en"",""pt"")"),"#VALUE!")</f>
        <v>#VALUE!</v>
      </c>
      <c r="G10998" s="69"/>
    </row>
    <row r="10999" ht="22.5" customHeight="1">
      <c r="A10999" s="66"/>
      <c r="B10999" s="67" t="str">
        <f t="shared" si="16"/>
        <v>M: </v>
      </c>
      <c r="C10999" s="68"/>
      <c r="D10999" s="68"/>
      <c r="E10999" s="66"/>
      <c r="F10999" s="66" t="str">
        <f>IFERROR(__xludf.DUMMYFUNCTION("GOOGLETRANSLATE(A10999,""en"",""pt"")"),"#VALUE!")</f>
        <v>#VALUE!</v>
      </c>
      <c r="G10999" s="69"/>
    </row>
    <row r="11000" ht="22.5" customHeight="1">
      <c r="A11000" s="66"/>
      <c r="B11000" s="67" t="str">
        <f t="shared" si="16"/>
        <v>M: </v>
      </c>
      <c r="C11000" s="68"/>
      <c r="D11000" s="68"/>
      <c r="E11000" s="66"/>
      <c r="F11000" s="66" t="str">
        <f>IFERROR(__xludf.DUMMYFUNCTION("GOOGLETRANSLATE(A11000,""en"",""pt"")"),"#VALUE!")</f>
        <v>#VALUE!</v>
      </c>
      <c r="G11000" s="69"/>
    </row>
    <row r="11001" ht="22.5" customHeight="1">
      <c r="A11001" s="66"/>
      <c r="B11001" s="67" t="str">
        <f t="shared" si="16"/>
        <v>M: </v>
      </c>
      <c r="C11001" s="68"/>
      <c r="D11001" s="68"/>
      <c r="E11001" s="66"/>
      <c r="F11001" s="66" t="str">
        <f>IFERROR(__xludf.DUMMYFUNCTION("GOOGLETRANSLATE(A11001,""en"",""pt"")"),"#VALUE!")</f>
        <v>#VALUE!</v>
      </c>
      <c r="G11001" s="69"/>
    </row>
    <row r="11002" ht="22.5" customHeight="1">
      <c r="A11002" s="66"/>
      <c r="B11002" s="67" t="str">
        <f t="shared" si="16"/>
        <v>M: </v>
      </c>
      <c r="C11002" s="68"/>
      <c r="D11002" s="68"/>
      <c r="E11002" s="66"/>
      <c r="F11002" s="66" t="str">
        <f>IFERROR(__xludf.DUMMYFUNCTION("GOOGLETRANSLATE(A11002,""en"",""pt"")"),"#VALUE!")</f>
        <v>#VALUE!</v>
      </c>
      <c r="G11002" s="69"/>
    </row>
    <row r="11003" ht="22.5" customHeight="1">
      <c r="A11003" s="66"/>
      <c r="B11003" s="67" t="str">
        <f t="shared" si="16"/>
        <v>M: </v>
      </c>
      <c r="C11003" s="68"/>
      <c r="D11003" s="68"/>
      <c r="E11003" s="66"/>
      <c r="F11003" s="66" t="str">
        <f>IFERROR(__xludf.DUMMYFUNCTION("GOOGLETRANSLATE(A11003,""en"",""pt"")"),"#VALUE!")</f>
        <v>#VALUE!</v>
      </c>
      <c r="G11003" s="69"/>
    </row>
    <row r="11004" ht="22.5" customHeight="1">
      <c r="A11004" s="66"/>
      <c r="B11004" s="67" t="str">
        <f t="shared" si="16"/>
        <v>M: </v>
      </c>
      <c r="C11004" s="68"/>
      <c r="D11004" s="68"/>
      <c r="E11004" s="66"/>
      <c r="F11004" s="66" t="str">
        <f>IFERROR(__xludf.DUMMYFUNCTION("GOOGLETRANSLATE(A11004,""en"",""pt"")"),"#VALUE!")</f>
        <v>#VALUE!</v>
      </c>
      <c r="G11004" s="69"/>
    </row>
    <row r="11005" ht="22.5" customHeight="1">
      <c r="A11005" s="66"/>
      <c r="B11005" s="67" t="str">
        <f t="shared" si="16"/>
        <v>M: </v>
      </c>
      <c r="C11005" s="68"/>
      <c r="D11005" s="68"/>
      <c r="E11005" s="66"/>
      <c r="F11005" s="66" t="str">
        <f>IFERROR(__xludf.DUMMYFUNCTION("GOOGLETRANSLATE(A11005,""en"",""pt"")"),"#VALUE!")</f>
        <v>#VALUE!</v>
      </c>
      <c r="G11005" s="69"/>
    </row>
    <row r="11006" ht="22.5" customHeight="1">
      <c r="A11006" s="66"/>
      <c r="B11006" s="67" t="str">
        <f t="shared" si="16"/>
        <v>M: </v>
      </c>
      <c r="C11006" s="68"/>
      <c r="D11006" s="68"/>
      <c r="E11006" s="66"/>
      <c r="F11006" s="66" t="str">
        <f>IFERROR(__xludf.DUMMYFUNCTION("GOOGLETRANSLATE(A11006,""en"",""pt"")"),"#VALUE!")</f>
        <v>#VALUE!</v>
      </c>
      <c r="G11006" s="69"/>
    </row>
    <row r="11007" ht="22.5" customHeight="1">
      <c r="A11007" s="66"/>
      <c r="B11007" s="67" t="str">
        <f t="shared" si="16"/>
        <v>M: </v>
      </c>
      <c r="C11007" s="68"/>
      <c r="D11007" s="68"/>
      <c r="E11007" s="66"/>
      <c r="F11007" s="66" t="str">
        <f>IFERROR(__xludf.DUMMYFUNCTION("GOOGLETRANSLATE(A11007,""en"",""pt"")"),"#VALUE!")</f>
        <v>#VALUE!</v>
      </c>
      <c r="G11007" s="69"/>
    </row>
    <row r="11008" ht="22.5" customHeight="1">
      <c r="A11008" s="66"/>
      <c r="B11008" s="67" t="str">
        <f t="shared" si="16"/>
        <v>M: </v>
      </c>
      <c r="C11008" s="68"/>
      <c r="D11008" s="68"/>
      <c r="E11008" s="66"/>
      <c r="F11008" s="66" t="str">
        <f>IFERROR(__xludf.DUMMYFUNCTION("GOOGLETRANSLATE(A11008,""en"",""pt"")"),"#VALUE!")</f>
        <v>#VALUE!</v>
      </c>
      <c r="G11008" s="69"/>
    </row>
    <row r="11009" ht="22.5" customHeight="1">
      <c r="A11009" s="66"/>
      <c r="B11009" s="67" t="str">
        <f t="shared" si="16"/>
        <v>M: </v>
      </c>
      <c r="C11009" s="68"/>
      <c r="D11009" s="68"/>
      <c r="E11009" s="66"/>
      <c r="F11009" s="66" t="str">
        <f>IFERROR(__xludf.DUMMYFUNCTION("GOOGLETRANSLATE(A11009,""en"",""pt"")"),"#VALUE!")</f>
        <v>#VALUE!</v>
      </c>
      <c r="G11009" s="69"/>
    </row>
    <row r="11010" ht="22.5" customHeight="1">
      <c r="A11010" s="66"/>
      <c r="B11010" s="67" t="str">
        <f t="shared" si="16"/>
        <v>M: </v>
      </c>
      <c r="C11010" s="68"/>
      <c r="D11010" s="68"/>
      <c r="E11010" s="66"/>
      <c r="F11010" s="66" t="str">
        <f>IFERROR(__xludf.DUMMYFUNCTION("GOOGLETRANSLATE(A11010,""en"",""pt"")"),"#VALUE!")</f>
        <v>#VALUE!</v>
      </c>
      <c r="G11010" s="69"/>
    </row>
    <row r="11011" ht="22.5" customHeight="1">
      <c r="A11011" s="66"/>
      <c r="B11011" s="67" t="str">
        <f t="shared" si="16"/>
        <v>M: </v>
      </c>
      <c r="C11011" s="68"/>
      <c r="D11011" s="68"/>
      <c r="E11011" s="66"/>
      <c r="F11011" s="66" t="str">
        <f>IFERROR(__xludf.DUMMYFUNCTION("GOOGLETRANSLATE(A11011,""en"",""pt"")"),"#VALUE!")</f>
        <v>#VALUE!</v>
      </c>
      <c r="G11011" s="69"/>
    </row>
    <row r="11012" ht="22.5" customHeight="1">
      <c r="A11012" s="66"/>
      <c r="B11012" s="67" t="str">
        <f t="shared" si="16"/>
        <v>M: </v>
      </c>
      <c r="C11012" s="68"/>
      <c r="D11012" s="68"/>
      <c r="E11012" s="66"/>
      <c r="F11012" s="66" t="str">
        <f>IFERROR(__xludf.DUMMYFUNCTION("GOOGLETRANSLATE(A11012,""en"",""pt"")"),"#VALUE!")</f>
        <v>#VALUE!</v>
      </c>
      <c r="G11012" s="69"/>
    </row>
    <row r="11013" ht="22.5" customHeight="1">
      <c r="A11013" s="66"/>
      <c r="B11013" s="67" t="str">
        <f t="shared" si="16"/>
        <v>M: </v>
      </c>
      <c r="C11013" s="68"/>
      <c r="D11013" s="68"/>
      <c r="E11013" s="66"/>
      <c r="F11013" s="66" t="str">
        <f>IFERROR(__xludf.DUMMYFUNCTION("GOOGLETRANSLATE(A11013,""en"",""pt"")"),"#VALUE!")</f>
        <v>#VALUE!</v>
      </c>
      <c r="G11013" s="69"/>
    </row>
    <row r="11014" ht="22.5" customHeight="1">
      <c r="A11014" s="66"/>
      <c r="B11014" s="67" t="str">
        <f t="shared" si="16"/>
        <v>M: </v>
      </c>
      <c r="C11014" s="68"/>
      <c r="D11014" s="68"/>
      <c r="E11014" s="66"/>
      <c r="F11014" s="66" t="str">
        <f>IFERROR(__xludf.DUMMYFUNCTION("GOOGLETRANSLATE(A11014,""en"",""pt"")"),"#VALUE!")</f>
        <v>#VALUE!</v>
      </c>
      <c r="G11014" s="69"/>
    </row>
    <row r="11015" ht="22.5" customHeight="1">
      <c r="A11015" s="66"/>
      <c r="B11015" s="67" t="str">
        <f t="shared" si="16"/>
        <v>M: </v>
      </c>
      <c r="C11015" s="68"/>
      <c r="D11015" s="68"/>
      <c r="E11015" s="66"/>
      <c r="F11015" s="66" t="str">
        <f>IFERROR(__xludf.DUMMYFUNCTION("GOOGLETRANSLATE(A11015,""en"",""pt"")"),"#VALUE!")</f>
        <v>#VALUE!</v>
      </c>
      <c r="G11015" s="69"/>
    </row>
    <row r="11016" ht="22.5" customHeight="1">
      <c r="A11016" s="66"/>
      <c r="B11016" s="67" t="str">
        <f t="shared" si="16"/>
        <v>M: </v>
      </c>
      <c r="C11016" s="68"/>
      <c r="D11016" s="68"/>
      <c r="E11016" s="66"/>
      <c r="F11016" s="66" t="str">
        <f>IFERROR(__xludf.DUMMYFUNCTION("GOOGLETRANSLATE(A11016,""en"",""pt"")"),"#VALUE!")</f>
        <v>#VALUE!</v>
      </c>
      <c r="G11016" s="69"/>
    </row>
    <row r="11017" ht="22.5" customHeight="1">
      <c r="A11017" s="66"/>
      <c r="B11017" s="67" t="str">
        <f t="shared" si="16"/>
        <v>M: </v>
      </c>
      <c r="C11017" s="68"/>
      <c r="D11017" s="68"/>
      <c r="E11017" s="66"/>
      <c r="F11017" s="66" t="str">
        <f>IFERROR(__xludf.DUMMYFUNCTION("GOOGLETRANSLATE(A11017,""en"",""pt"")"),"#VALUE!")</f>
        <v>#VALUE!</v>
      </c>
      <c r="G11017" s="69"/>
    </row>
    <row r="11018" ht="22.5" customHeight="1">
      <c r="A11018" s="66"/>
      <c r="B11018" s="67" t="str">
        <f t="shared" si="16"/>
        <v>M: </v>
      </c>
      <c r="C11018" s="68"/>
      <c r="D11018" s="68"/>
      <c r="E11018" s="66"/>
      <c r="F11018" s="66" t="str">
        <f>IFERROR(__xludf.DUMMYFUNCTION("GOOGLETRANSLATE(A11018,""en"",""pt"")"),"#VALUE!")</f>
        <v>#VALUE!</v>
      </c>
      <c r="G11018" s="69"/>
    </row>
    <row r="11019" ht="22.5" customHeight="1">
      <c r="A11019" s="66"/>
      <c r="B11019" s="67" t="str">
        <f t="shared" si="16"/>
        <v>M: </v>
      </c>
      <c r="C11019" s="68"/>
      <c r="D11019" s="68"/>
      <c r="E11019" s="66"/>
      <c r="F11019" s="66" t="str">
        <f>IFERROR(__xludf.DUMMYFUNCTION("GOOGLETRANSLATE(A11019,""en"",""pt"")"),"#VALUE!")</f>
        <v>#VALUE!</v>
      </c>
      <c r="G11019" s="69"/>
    </row>
    <row r="11020" ht="22.5" customHeight="1">
      <c r="A11020" s="66"/>
      <c r="B11020" s="67" t="str">
        <f t="shared" si="16"/>
        <v>M: </v>
      </c>
      <c r="C11020" s="68"/>
      <c r="D11020" s="68"/>
      <c r="E11020" s="66"/>
      <c r="F11020" s="66" t="str">
        <f>IFERROR(__xludf.DUMMYFUNCTION("GOOGLETRANSLATE(A11020,""en"",""pt"")"),"#VALUE!")</f>
        <v>#VALUE!</v>
      </c>
      <c r="G11020" s="69"/>
    </row>
    <row r="11021" ht="22.5" customHeight="1">
      <c r="A11021" s="66"/>
      <c r="B11021" s="67" t="str">
        <f t="shared" si="16"/>
        <v>M: </v>
      </c>
      <c r="C11021" s="68"/>
      <c r="D11021" s="68"/>
      <c r="E11021" s="66"/>
      <c r="F11021" s="66" t="str">
        <f>IFERROR(__xludf.DUMMYFUNCTION("GOOGLETRANSLATE(A11021,""en"",""pt"")"),"#VALUE!")</f>
        <v>#VALUE!</v>
      </c>
      <c r="G11021" s="69"/>
    </row>
    <row r="11022" ht="22.5" customHeight="1">
      <c r="A11022" s="66"/>
      <c r="B11022" s="67" t="str">
        <f t="shared" si="16"/>
        <v>M: </v>
      </c>
      <c r="C11022" s="68"/>
      <c r="D11022" s="68"/>
      <c r="E11022" s="66"/>
      <c r="F11022" s="66" t="str">
        <f>IFERROR(__xludf.DUMMYFUNCTION("GOOGLETRANSLATE(A11022,""en"",""pt"")"),"#VALUE!")</f>
        <v>#VALUE!</v>
      </c>
      <c r="G11022" s="69"/>
    </row>
    <row r="11023" ht="22.5" customHeight="1">
      <c r="A11023" s="66"/>
      <c r="B11023" s="67" t="str">
        <f t="shared" si="16"/>
        <v>M: </v>
      </c>
      <c r="C11023" s="68"/>
      <c r="D11023" s="68"/>
      <c r="E11023" s="66"/>
      <c r="F11023" s="66" t="str">
        <f>IFERROR(__xludf.DUMMYFUNCTION("GOOGLETRANSLATE(A11023,""en"",""pt"")"),"#VALUE!")</f>
        <v>#VALUE!</v>
      </c>
      <c r="G11023" s="69"/>
    </row>
    <row r="11024" ht="22.5" customHeight="1">
      <c r="A11024" s="66"/>
      <c r="B11024" s="67" t="str">
        <f t="shared" si="16"/>
        <v>M: </v>
      </c>
      <c r="C11024" s="68"/>
      <c r="D11024" s="68"/>
      <c r="E11024" s="66"/>
      <c r="F11024" s="66" t="str">
        <f>IFERROR(__xludf.DUMMYFUNCTION("GOOGLETRANSLATE(A11024,""en"",""pt"")"),"#VALUE!")</f>
        <v>#VALUE!</v>
      </c>
      <c r="G11024" s="69"/>
    </row>
    <row r="11025" ht="22.5" customHeight="1">
      <c r="A11025" s="66"/>
      <c r="B11025" s="67" t="str">
        <f t="shared" si="16"/>
        <v>M: </v>
      </c>
      <c r="C11025" s="68"/>
      <c r="D11025" s="68"/>
      <c r="E11025" s="66"/>
      <c r="F11025" s="66" t="str">
        <f>IFERROR(__xludf.DUMMYFUNCTION("GOOGLETRANSLATE(A11025,""en"",""pt"")"),"#VALUE!")</f>
        <v>#VALUE!</v>
      </c>
      <c r="G11025" s="69"/>
    </row>
    <row r="11026" ht="22.5" customHeight="1">
      <c r="A11026" s="66"/>
      <c r="B11026" s="67" t="str">
        <f t="shared" si="16"/>
        <v>M: </v>
      </c>
      <c r="C11026" s="68"/>
      <c r="D11026" s="68"/>
      <c r="E11026" s="66"/>
      <c r="F11026" s="66" t="str">
        <f>IFERROR(__xludf.DUMMYFUNCTION("GOOGLETRANSLATE(A11026,""en"",""pt"")"),"#VALUE!")</f>
        <v>#VALUE!</v>
      </c>
      <c r="G11026" s="69"/>
    </row>
    <row r="11027" ht="22.5" customHeight="1">
      <c r="A11027" s="66"/>
      <c r="B11027" s="67" t="str">
        <f t="shared" si="16"/>
        <v>M: </v>
      </c>
      <c r="C11027" s="68"/>
      <c r="D11027" s="68"/>
      <c r="E11027" s="66"/>
      <c r="F11027" s="66" t="str">
        <f>IFERROR(__xludf.DUMMYFUNCTION("GOOGLETRANSLATE(A11027,""en"",""pt"")"),"#VALUE!")</f>
        <v>#VALUE!</v>
      </c>
      <c r="G11027" s="69"/>
    </row>
    <row r="11028" ht="22.5" customHeight="1">
      <c r="A11028" s="66"/>
      <c r="B11028" s="67" t="str">
        <f t="shared" si="16"/>
        <v>M: </v>
      </c>
      <c r="C11028" s="68"/>
      <c r="D11028" s="68"/>
      <c r="E11028" s="66"/>
      <c r="F11028" s="66" t="str">
        <f>IFERROR(__xludf.DUMMYFUNCTION("GOOGLETRANSLATE(A11028,""en"",""pt"")"),"#VALUE!")</f>
        <v>#VALUE!</v>
      </c>
      <c r="G11028" s="69"/>
    </row>
    <row r="11029" ht="22.5" customHeight="1">
      <c r="A11029" s="66"/>
      <c r="B11029" s="67" t="str">
        <f t="shared" si="16"/>
        <v>M: </v>
      </c>
      <c r="C11029" s="68"/>
      <c r="D11029" s="68"/>
      <c r="E11029" s="66"/>
      <c r="F11029" s="66" t="str">
        <f>IFERROR(__xludf.DUMMYFUNCTION("GOOGLETRANSLATE(A11029,""en"",""pt"")"),"#VALUE!")</f>
        <v>#VALUE!</v>
      </c>
      <c r="G11029" s="69"/>
    </row>
    <row r="11030" ht="22.5" customHeight="1">
      <c r="A11030" s="66"/>
      <c r="B11030" s="67" t="str">
        <f t="shared" si="16"/>
        <v>M: </v>
      </c>
      <c r="C11030" s="68"/>
      <c r="D11030" s="68"/>
      <c r="E11030" s="66"/>
      <c r="F11030" s="66" t="str">
        <f>IFERROR(__xludf.DUMMYFUNCTION("GOOGLETRANSLATE(A11030,""en"",""pt"")"),"#VALUE!")</f>
        <v>#VALUE!</v>
      </c>
      <c r="G11030" s="69"/>
    </row>
    <row r="11031" ht="22.5" customHeight="1">
      <c r="A11031" s="66"/>
      <c r="B11031" s="67" t="str">
        <f t="shared" si="16"/>
        <v>M: </v>
      </c>
      <c r="C11031" s="68"/>
      <c r="D11031" s="68"/>
      <c r="E11031" s="66"/>
      <c r="F11031" s="66" t="str">
        <f>IFERROR(__xludf.DUMMYFUNCTION("GOOGLETRANSLATE(A11031,""en"",""pt"")"),"#VALUE!")</f>
        <v>#VALUE!</v>
      </c>
      <c r="G11031" s="69"/>
    </row>
    <row r="11032" ht="22.5" customHeight="1">
      <c r="A11032" s="66"/>
      <c r="B11032" s="67" t="str">
        <f t="shared" si="16"/>
        <v>M: </v>
      </c>
      <c r="C11032" s="68"/>
      <c r="D11032" s="68"/>
      <c r="E11032" s="66"/>
      <c r="F11032" s="66" t="str">
        <f>IFERROR(__xludf.DUMMYFUNCTION("GOOGLETRANSLATE(A11032,""en"",""pt"")"),"#VALUE!")</f>
        <v>#VALUE!</v>
      </c>
      <c r="G11032" s="69"/>
    </row>
    <row r="11033" ht="22.5" customHeight="1">
      <c r="A11033" s="66"/>
      <c r="B11033" s="67" t="str">
        <f t="shared" si="16"/>
        <v>M: </v>
      </c>
      <c r="C11033" s="68"/>
      <c r="D11033" s="68"/>
      <c r="E11033" s="66"/>
      <c r="F11033" s="66" t="str">
        <f>IFERROR(__xludf.DUMMYFUNCTION("GOOGLETRANSLATE(A11033,""en"",""pt"")"),"#VALUE!")</f>
        <v>#VALUE!</v>
      </c>
      <c r="G11033" s="69"/>
    </row>
    <row r="11034" ht="22.5" customHeight="1">
      <c r="A11034" s="66"/>
      <c r="B11034" s="67" t="str">
        <f t="shared" si="16"/>
        <v>M: </v>
      </c>
      <c r="C11034" s="68"/>
      <c r="D11034" s="68"/>
      <c r="E11034" s="66"/>
      <c r="F11034" s="66" t="str">
        <f>IFERROR(__xludf.DUMMYFUNCTION("GOOGLETRANSLATE(A11034,""en"",""pt"")"),"#VALUE!")</f>
        <v>#VALUE!</v>
      </c>
      <c r="G11034" s="69"/>
    </row>
    <row r="11035" ht="22.5" customHeight="1">
      <c r="A11035" s="66"/>
      <c r="B11035" s="67" t="str">
        <f t="shared" si="16"/>
        <v>M: </v>
      </c>
      <c r="C11035" s="68"/>
      <c r="D11035" s="68"/>
      <c r="E11035" s="66"/>
      <c r="F11035" s="66" t="str">
        <f>IFERROR(__xludf.DUMMYFUNCTION("GOOGLETRANSLATE(A11035,""en"",""pt"")"),"#VALUE!")</f>
        <v>#VALUE!</v>
      </c>
      <c r="G11035" s="69"/>
    </row>
    <row r="11036" ht="22.5" customHeight="1">
      <c r="A11036" s="66"/>
      <c r="B11036" s="67" t="str">
        <f t="shared" si="16"/>
        <v>M: </v>
      </c>
      <c r="C11036" s="68"/>
      <c r="D11036" s="68"/>
      <c r="E11036" s="66"/>
      <c r="F11036" s="66" t="str">
        <f>IFERROR(__xludf.DUMMYFUNCTION("GOOGLETRANSLATE(A11036,""en"",""pt"")"),"#VALUE!")</f>
        <v>#VALUE!</v>
      </c>
      <c r="G11036" s="69"/>
    </row>
    <row r="11037" ht="22.5" customHeight="1">
      <c r="A11037" s="66"/>
      <c r="B11037" s="67" t="str">
        <f t="shared" si="16"/>
        <v>M: </v>
      </c>
      <c r="C11037" s="68"/>
      <c r="D11037" s="68"/>
      <c r="E11037" s="66"/>
      <c r="F11037" s="66" t="str">
        <f>IFERROR(__xludf.DUMMYFUNCTION("GOOGLETRANSLATE(A11037,""en"",""pt"")"),"#VALUE!")</f>
        <v>#VALUE!</v>
      </c>
      <c r="G11037" s="69"/>
    </row>
    <row r="11038" ht="22.5" customHeight="1">
      <c r="A11038" s="66"/>
      <c r="B11038" s="67" t="str">
        <f t="shared" si="16"/>
        <v>M: </v>
      </c>
      <c r="C11038" s="68"/>
      <c r="D11038" s="68"/>
      <c r="E11038" s="66"/>
      <c r="F11038" s="66" t="str">
        <f>IFERROR(__xludf.DUMMYFUNCTION("GOOGLETRANSLATE(A11038,""en"",""pt"")"),"#VALUE!")</f>
        <v>#VALUE!</v>
      </c>
      <c r="G11038" s="69"/>
    </row>
    <row r="11039" ht="22.5" customHeight="1">
      <c r="A11039" s="66"/>
      <c r="B11039" s="67" t="str">
        <f t="shared" si="16"/>
        <v>M: </v>
      </c>
      <c r="C11039" s="68"/>
      <c r="D11039" s="68"/>
      <c r="E11039" s="66"/>
      <c r="F11039" s="66" t="str">
        <f>IFERROR(__xludf.DUMMYFUNCTION("GOOGLETRANSLATE(A11039,""en"",""pt"")"),"#VALUE!")</f>
        <v>#VALUE!</v>
      </c>
      <c r="G11039" s="69"/>
    </row>
    <row r="11040" ht="22.5" customHeight="1">
      <c r="A11040" s="66"/>
      <c r="B11040" s="67" t="str">
        <f t="shared" si="16"/>
        <v>M: </v>
      </c>
      <c r="C11040" s="68"/>
      <c r="D11040" s="68"/>
      <c r="E11040" s="66"/>
      <c r="F11040" s="66" t="str">
        <f>IFERROR(__xludf.DUMMYFUNCTION("GOOGLETRANSLATE(A11040,""en"",""pt"")"),"#VALUE!")</f>
        <v>#VALUE!</v>
      </c>
      <c r="G11040" s="69"/>
    </row>
    <row r="11041" ht="22.5" customHeight="1">
      <c r="A11041" s="66"/>
      <c r="B11041" s="67" t="str">
        <f t="shared" si="16"/>
        <v>M: </v>
      </c>
      <c r="C11041" s="68"/>
      <c r="D11041" s="68"/>
      <c r="E11041" s="66"/>
      <c r="F11041" s="66" t="str">
        <f>IFERROR(__xludf.DUMMYFUNCTION("GOOGLETRANSLATE(A11041,""en"",""pt"")"),"#VALUE!")</f>
        <v>#VALUE!</v>
      </c>
      <c r="G11041" s="69"/>
    </row>
    <row r="11042" ht="22.5" customHeight="1">
      <c r="A11042" s="66"/>
      <c r="B11042" s="67" t="str">
        <f t="shared" si="16"/>
        <v>M: </v>
      </c>
      <c r="C11042" s="68"/>
      <c r="D11042" s="68"/>
      <c r="E11042" s="66"/>
      <c r="F11042" s="66" t="str">
        <f>IFERROR(__xludf.DUMMYFUNCTION("GOOGLETRANSLATE(A11042,""en"",""pt"")"),"#VALUE!")</f>
        <v>#VALUE!</v>
      </c>
      <c r="G11042" s="69"/>
    </row>
    <row r="11043" ht="22.5" customHeight="1">
      <c r="A11043" s="66"/>
      <c r="B11043" s="67" t="str">
        <f t="shared" si="16"/>
        <v>M: </v>
      </c>
      <c r="C11043" s="68"/>
      <c r="D11043" s="68"/>
      <c r="E11043" s="66"/>
      <c r="F11043" s="66" t="str">
        <f>IFERROR(__xludf.DUMMYFUNCTION("GOOGLETRANSLATE(A11043,""en"",""pt"")"),"#VALUE!")</f>
        <v>#VALUE!</v>
      </c>
      <c r="G11043" s="69"/>
    </row>
    <row r="11044" ht="22.5" customHeight="1">
      <c r="A11044" s="66"/>
      <c r="B11044" s="67" t="str">
        <f t="shared" si="16"/>
        <v>M: </v>
      </c>
      <c r="C11044" s="68"/>
      <c r="D11044" s="68"/>
      <c r="E11044" s="66"/>
      <c r="F11044" s="66" t="str">
        <f>IFERROR(__xludf.DUMMYFUNCTION("GOOGLETRANSLATE(A11044,""en"",""pt"")"),"#VALUE!")</f>
        <v>#VALUE!</v>
      </c>
      <c r="G11044" s="69"/>
    </row>
    <row r="11045" ht="22.5" customHeight="1">
      <c r="A11045" s="66"/>
      <c r="B11045" s="67" t="str">
        <f t="shared" si="16"/>
        <v>M: </v>
      </c>
      <c r="C11045" s="68"/>
      <c r="D11045" s="68"/>
      <c r="E11045" s="66"/>
      <c r="F11045" s="66" t="str">
        <f>IFERROR(__xludf.DUMMYFUNCTION("GOOGLETRANSLATE(A11045,""en"",""pt"")"),"#VALUE!")</f>
        <v>#VALUE!</v>
      </c>
      <c r="G11045" s="69"/>
    </row>
    <row r="11046" ht="22.5" customHeight="1">
      <c r="A11046" s="66"/>
      <c r="B11046" s="67" t="str">
        <f t="shared" si="16"/>
        <v>M: </v>
      </c>
      <c r="C11046" s="68"/>
      <c r="D11046" s="68"/>
      <c r="E11046" s="66"/>
      <c r="F11046" s="66" t="str">
        <f>IFERROR(__xludf.DUMMYFUNCTION("GOOGLETRANSLATE(A11046,""en"",""pt"")"),"#VALUE!")</f>
        <v>#VALUE!</v>
      </c>
      <c r="G11046" s="69"/>
    </row>
    <row r="11047" ht="22.5" customHeight="1">
      <c r="A11047" s="66"/>
      <c r="B11047" s="67" t="str">
        <f t="shared" si="16"/>
        <v>M: </v>
      </c>
      <c r="C11047" s="68"/>
      <c r="D11047" s="68"/>
      <c r="E11047" s="66"/>
      <c r="F11047" s="66" t="str">
        <f>IFERROR(__xludf.DUMMYFUNCTION("GOOGLETRANSLATE(A11047,""en"",""pt"")"),"#VALUE!")</f>
        <v>#VALUE!</v>
      </c>
      <c r="G11047" s="69"/>
    </row>
    <row r="11048" ht="22.5" customHeight="1">
      <c r="A11048" s="66"/>
      <c r="B11048" s="67" t="str">
        <f t="shared" si="16"/>
        <v>M: </v>
      </c>
      <c r="C11048" s="68"/>
      <c r="D11048" s="68"/>
      <c r="E11048" s="66"/>
      <c r="F11048" s="66" t="str">
        <f>IFERROR(__xludf.DUMMYFUNCTION("GOOGLETRANSLATE(A11048,""en"",""pt"")"),"#VALUE!")</f>
        <v>#VALUE!</v>
      </c>
      <c r="G11048" s="69"/>
    </row>
    <row r="11049" ht="22.5" customHeight="1">
      <c r="A11049" s="66"/>
      <c r="B11049" s="67" t="str">
        <f t="shared" si="16"/>
        <v>M: </v>
      </c>
      <c r="C11049" s="68"/>
      <c r="D11049" s="68"/>
      <c r="E11049" s="66"/>
      <c r="F11049" s="66" t="str">
        <f>IFERROR(__xludf.DUMMYFUNCTION("GOOGLETRANSLATE(A11049,""en"",""pt"")"),"#VALUE!")</f>
        <v>#VALUE!</v>
      </c>
      <c r="G11049" s="69"/>
    </row>
    <row r="11050" ht="22.5" customHeight="1">
      <c r="A11050" s="66"/>
      <c r="B11050" s="67" t="str">
        <f t="shared" si="16"/>
        <v>M: </v>
      </c>
      <c r="C11050" s="68"/>
      <c r="D11050" s="68"/>
      <c r="E11050" s="66"/>
      <c r="F11050" s="66" t="str">
        <f>IFERROR(__xludf.DUMMYFUNCTION("GOOGLETRANSLATE(A11050,""en"",""pt"")"),"#VALUE!")</f>
        <v>#VALUE!</v>
      </c>
      <c r="G11050" s="69"/>
    </row>
    <row r="11051" ht="22.5" customHeight="1">
      <c r="A11051" s="66"/>
      <c r="B11051" s="67" t="str">
        <f t="shared" si="16"/>
        <v>M: </v>
      </c>
      <c r="C11051" s="68"/>
      <c r="D11051" s="68"/>
      <c r="E11051" s="66"/>
      <c r="F11051" s="66" t="str">
        <f>IFERROR(__xludf.DUMMYFUNCTION("GOOGLETRANSLATE(A11051,""en"",""pt"")"),"#VALUE!")</f>
        <v>#VALUE!</v>
      </c>
      <c r="G11051" s="69"/>
    </row>
    <row r="11052" ht="22.5" customHeight="1">
      <c r="A11052" s="66"/>
      <c r="B11052" s="67" t="str">
        <f t="shared" si="16"/>
        <v>M: </v>
      </c>
      <c r="C11052" s="68"/>
      <c r="D11052" s="68"/>
      <c r="E11052" s="66"/>
      <c r="F11052" s="66" t="str">
        <f>IFERROR(__xludf.DUMMYFUNCTION("GOOGLETRANSLATE(A11052,""en"",""pt"")"),"#VALUE!")</f>
        <v>#VALUE!</v>
      </c>
      <c r="G11052" s="69"/>
    </row>
    <row r="11053" ht="22.5" customHeight="1">
      <c r="A11053" s="66"/>
      <c r="B11053" s="67" t="str">
        <f t="shared" si="16"/>
        <v>M: </v>
      </c>
      <c r="C11053" s="68"/>
      <c r="D11053" s="68"/>
      <c r="E11053" s="66"/>
      <c r="F11053" s="66" t="str">
        <f>IFERROR(__xludf.DUMMYFUNCTION("GOOGLETRANSLATE(A11053,""en"",""pt"")"),"#VALUE!")</f>
        <v>#VALUE!</v>
      </c>
      <c r="G11053" s="69"/>
    </row>
    <row r="11054" ht="22.5" customHeight="1">
      <c r="A11054" s="66"/>
      <c r="B11054" s="67" t="str">
        <f t="shared" si="16"/>
        <v>M: </v>
      </c>
      <c r="C11054" s="68"/>
      <c r="D11054" s="68"/>
      <c r="E11054" s="66"/>
      <c r="F11054" s="66" t="str">
        <f>IFERROR(__xludf.DUMMYFUNCTION("GOOGLETRANSLATE(A11054,""en"",""pt"")"),"#VALUE!")</f>
        <v>#VALUE!</v>
      </c>
      <c r="G11054" s="69"/>
    </row>
    <row r="11055" ht="22.5" customHeight="1">
      <c r="A11055" s="66"/>
      <c r="B11055" s="67" t="str">
        <f t="shared" si="16"/>
        <v>M: </v>
      </c>
      <c r="C11055" s="68"/>
      <c r="D11055" s="68"/>
      <c r="E11055" s="66"/>
      <c r="F11055" s="66" t="str">
        <f>IFERROR(__xludf.DUMMYFUNCTION("GOOGLETRANSLATE(A11055,""en"",""pt"")"),"#VALUE!")</f>
        <v>#VALUE!</v>
      </c>
      <c r="G11055" s="69"/>
    </row>
    <row r="11056" ht="22.5" customHeight="1">
      <c r="A11056" s="66"/>
      <c r="B11056" s="67" t="str">
        <f t="shared" si="16"/>
        <v>M: </v>
      </c>
      <c r="C11056" s="68"/>
      <c r="D11056" s="68"/>
      <c r="E11056" s="66"/>
      <c r="F11056" s="66" t="str">
        <f>IFERROR(__xludf.DUMMYFUNCTION("GOOGLETRANSLATE(A11056,""en"",""pt"")"),"#VALUE!")</f>
        <v>#VALUE!</v>
      </c>
      <c r="G11056" s="69"/>
    </row>
    <row r="11057" ht="22.5" customHeight="1">
      <c r="A11057" s="66"/>
      <c r="B11057" s="67" t="str">
        <f t="shared" si="16"/>
        <v>M: </v>
      </c>
      <c r="C11057" s="68"/>
      <c r="D11057" s="68"/>
      <c r="E11057" s="66"/>
      <c r="F11057" s="66" t="str">
        <f>IFERROR(__xludf.DUMMYFUNCTION("GOOGLETRANSLATE(A11057,""en"",""pt"")"),"#VALUE!")</f>
        <v>#VALUE!</v>
      </c>
      <c r="G11057" s="69"/>
    </row>
    <row r="11058" ht="22.5" customHeight="1">
      <c r="A11058" s="66"/>
      <c r="B11058" s="67" t="str">
        <f t="shared" si="16"/>
        <v>M: </v>
      </c>
      <c r="C11058" s="68"/>
      <c r="D11058" s="68"/>
      <c r="E11058" s="66"/>
      <c r="F11058" s="66" t="str">
        <f>IFERROR(__xludf.DUMMYFUNCTION("GOOGLETRANSLATE(A11058,""en"",""pt"")"),"#VALUE!")</f>
        <v>#VALUE!</v>
      </c>
      <c r="G11058" s="69"/>
    </row>
    <row r="11059" ht="22.5" customHeight="1">
      <c r="A11059" s="66"/>
      <c r="B11059" s="67" t="str">
        <f t="shared" si="16"/>
        <v>M: </v>
      </c>
      <c r="C11059" s="68"/>
      <c r="D11059" s="68"/>
      <c r="E11059" s="66"/>
      <c r="F11059" s="66" t="str">
        <f>IFERROR(__xludf.DUMMYFUNCTION("GOOGLETRANSLATE(A11059,""en"",""pt"")"),"#VALUE!")</f>
        <v>#VALUE!</v>
      </c>
      <c r="G11059" s="69"/>
    </row>
    <row r="11060" ht="22.5" customHeight="1">
      <c r="A11060" s="66"/>
      <c r="B11060" s="67" t="str">
        <f t="shared" si="16"/>
        <v>M: </v>
      </c>
      <c r="C11060" s="68"/>
      <c r="D11060" s="68"/>
      <c r="E11060" s="66"/>
      <c r="F11060" s="66" t="str">
        <f>IFERROR(__xludf.DUMMYFUNCTION("GOOGLETRANSLATE(A11060,""en"",""pt"")"),"#VALUE!")</f>
        <v>#VALUE!</v>
      </c>
      <c r="G11060" s="69"/>
    </row>
    <row r="11061" ht="22.5" customHeight="1">
      <c r="A11061" s="66"/>
      <c r="B11061" s="67" t="str">
        <f t="shared" si="16"/>
        <v>M: </v>
      </c>
      <c r="C11061" s="68"/>
      <c r="D11061" s="68"/>
      <c r="E11061" s="66"/>
      <c r="F11061" s="66" t="str">
        <f>IFERROR(__xludf.DUMMYFUNCTION("GOOGLETRANSLATE(A11061,""en"",""pt"")"),"#VALUE!")</f>
        <v>#VALUE!</v>
      </c>
      <c r="G11061" s="69"/>
    </row>
    <row r="11062" ht="22.5" customHeight="1">
      <c r="A11062" s="66"/>
      <c r="B11062" s="67" t="str">
        <f t="shared" si="16"/>
        <v>M: </v>
      </c>
      <c r="C11062" s="68"/>
      <c r="D11062" s="68"/>
      <c r="E11062" s="66"/>
      <c r="F11062" s="66" t="str">
        <f>IFERROR(__xludf.DUMMYFUNCTION("GOOGLETRANSLATE(A11062,""en"",""pt"")"),"#VALUE!")</f>
        <v>#VALUE!</v>
      </c>
      <c r="G11062" s="69"/>
    </row>
    <row r="11063" ht="22.5" customHeight="1">
      <c r="A11063" s="66"/>
      <c r="B11063" s="67" t="str">
        <f t="shared" si="16"/>
        <v>M: </v>
      </c>
      <c r="C11063" s="68"/>
      <c r="D11063" s="68"/>
      <c r="E11063" s="66"/>
      <c r="F11063" s="66" t="str">
        <f>IFERROR(__xludf.DUMMYFUNCTION("GOOGLETRANSLATE(A11063,""en"",""pt"")"),"#VALUE!")</f>
        <v>#VALUE!</v>
      </c>
      <c r="G11063" s="69"/>
    </row>
    <row r="11064" ht="22.5" customHeight="1">
      <c r="A11064" s="66"/>
      <c r="B11064" s="67" t="str">
        <f t="shared" si="16"/>
        <v>M: </v>
      </c>
      <c r="C11064" s="68"/>
      <c r="D11064" s="68"/>
      <c r="E11064" s="66"/>
      <c r="F11064" s="66" t="str">
        <f>IFERROR(__xludf.DUMMYFUNCTION("GOOGLETRANSLATE(A11064,""en"",""pt"")"),"#VALUE!")</f>
        <v>#VALUE!</v>
      </c>
      <c r="G11064" s="69"/>
    </row>
    <row r="11065" ht="22.5" customHeight="1">
      <c r="A11065" s="66"/>
      <c r="B11065" s="67" t="str">
        <f t="shared" si="16"/>
        <v>M: </v>
      </c>
      <c r="C11065" s="68"/>
      <c r="D11065" s="68"/>
      <c r="E11065" s="66"/>
      <c r="F11065" s="66" t="str">
        <f>IFERROR(__xludf.DUMMYFUNCTION("GOOGLETRANSLATE(A11065,""en"",""pt"")"),"#VALUE!")</f>
        <v>#VALUE!</v>
      </c>
      <c r="G11065" s="69"/>
    </row>
    <row r="11066" ht="22.5" customHeight="1">
      <c r="A11066" s="66"/>
      <c r="B11066" s="67" t="str">
        <f t="shared" si="16"/>
        <v>M: </v>
      </c>
      <c r="C11066" s="68"/>
      <c r="D11066" s="68"/>
      <c r="E11066" s="66"/>
      <c r="F11066" s="66" t="str">
        <f>IFERROR(__xludf.DUMMYFUNCTION("GOOGLETRANSLATE(A11066,""en"",""pt"")"),"#VALUE!")</f>
        <v>#VALUE!</v>
      </c>
      <c r="G11066" s="69"/>
    </row>
    <row r="11067" ht="22.5" customHeight="1">
      <c r="A11067" s="66"/>
      <c r="B11067" s="67" t="str">
        <f t="shared" si="16"/>
        <v>M: </v>
      </c>
      <c r="C11067" s="68"/>
      <c r="D11067" s="68"/>
      <c r="E11067" s="66"/>
      <c r="F11067" s="66" t="str">
        <f>IFERROR(__xludf.DUMMYFUNCTION("GOOGLETRANSLATE(A11067,""en"",""pt"")"),"#VALUE!")</f>
        <v>#VALUE!</v>
      </c>
      <c r="G11067" s="69"/>
    </row>
    <row r="11068" ht="22.5" customHeight="1">
      <c r="A11068" s="66"/>
      <c r="B11068" s="67" t="str">
        <f t="shared" si="16"/>
        <v>M: </v>
      </c>
      <c r="C11068" s="68"/>
      <c r="D11068" s="68"/>
      <c r="E11068" s="66"/>
      <c r="F11068" s="66" t="str">
        <f>IFERROR(__xludf.DUMMYFUNCTION("GOOGLETRANSLATE(A11068,""en"",""pt"")"),"#VALUE!")</f>
        <v>#VALUE!</v>
      </c>
      <c r="G11068" s="69"/>
    </row>
    <row r="11069" ht="22.5" customHeight="1">
      <c r="A11069" s="66"/>
      <c r="B11069" s="67" t="str">
        <f t="shared" si="16"/>
        <v>M: </v>
      </c>
      <c r="C11069" s="68"/>
      <c r="D11069" s="68"/>
      <c r="E11069" s="66"/>
      <c r="F11069" s="66" t="str">
        <f>IFERROR(__xludf.DUMMYFUNCTION("GOOGLETRANSLATE(A11069,""en"",""pt"")"),"#VALUE!")</f>
        <v>#VALUE!</v>
      </c>
      <c r="G11069" s="69"/>
    </row>
    <row r="11070" ht="22.5" customHeight="1">
      <c r="A11070" s="66"/>
      <c r="B11070" s="67" t="str">
        <f t="shared" si="16"/>
        <v>M: </v>
      </c>
      <c r="C11070" s="68"/>
      <c r="D11070" s="68"/>
      <c r="E11070" s="66"/>
      <c r="F11070" s="66" t="str">
        <f>IFERROR(__xludf.DUMMYFUNCTION("GOOGLETRANSLATE(A11070,""en"",""pt"")"),"#VALUE!")</f>
        <v>#VALUE!</v>
      </c>
      <c r="G11070" s="69"/>
    </row>
    <row r="11071" ht="22.5" customHeight="1">
      <c r="A11071" s="66"/>
      <c r="B11071" s="67" t="str">
        <f t="shared" si="16"/>
        <v>M: </v>
      </c>
      <c r="C11071" s="68"/>
      <c r="D11071" s="68"/>
      <c r="E11071" s="66"/>
      <c r="F11071" s="66" t="str">
        <f>IFERROR(__xludf.DUMMYFUNCTION("GOOGLETRANSLATE(A11071,""en"",""pt"")"),"#VALUE!")</f>
        <v>#VALUE!</v>
      </c>
      <c r="G11071" s="69"/>
    </row>
    <row r="11072" ht="22.5" customHeight="1">
      <c r="A11072" s="66"/>
      <c r="B11072" s="67" t="str">
        <f t="shared" si="16"/>
        <v>M: </v>
      </c>
      <c r="C11072" s="68"/>
      <c r="D11072" s="68"/>
      <c r="E11072" s="66"/>
      <c r="F11072" s="66" t="str">
        <f>IFERROR(__xludf.DUMMYFUNCTION("GOOGLETRANSLATE(A11072,""en"",""pt"")"),"#VALUE!")</f>
        <v>#VALUE!</v>
      </c>
      <c r="G11072" s="69"/>
    </row>
    <row r="11073" ht="22.5" customHeight="1">
      <c r="A11073" s="66"/>
      <c r="B11073" s="67" t="str">
        <f t="shared" si="16"/>
        <v>M: </v>
      </c>
      <c r="C11073" s="68"/>
      <c r="D11073" s="68"/>
      <c r="E11073" s="66"/>
      <c r="F11073" s="66" t="str">
        <f>IFERROR(__xludf.DUMMYFUNCTION("GOOGLETRANSLATE(A11073,""en"",""pt"")"),"#VALUE!")</f>
        <v>#VALUE!</v>
      </c>
      <c r="G11073" s="69"/>
    </row>
    <row r="11074" ht="22.5" customHeight="1">
      <c r="A11074" s="66"/>
      <c r="B11074" s="67" t="str">
        <f t="shared" si="16"/>
        <v>M: </v>
      </c>
      <c r="C11074" s="68"/>
      <c r="D11074" s="68"/>
      <c r="E11074" s="66"/>
      <c r="F11074" s="66" t="str">
        <f>IFERROR(__xludf.DUMMYFUNCTION("GOOGLETRANSLATE(A11074,""en"",""pt"")"),"#VALUE!")</f>
        <v>#VALUE!</v>
      </c>
      <c r="G11074" s="69"/>
    </row>
    <row r="11075" ht="22.5" customHeight="1">
      <c r="A11075" s="66"/>
      <c r="B11075" s="67" t="str">
        <f t="shared" si="16"/>
        <v>M: </v>
      </c>
      <c r="C11075" s="68"/>
      <c r="D11075" s="68"/>
      <c r="E11075" s="66"/>
      <c r="F11075" s="66" t="str">
        <f>IFERROR(__xludf.DUMMYFUNCTION("GOOGLETRANSLATE(A11075,""en"",""pt"")"),"#VALUE!")</f>
        <v>#VALUE!</v>
      </c>
      <c r="G11075" s="69"/>
    </row>
    <row r="11076" ht="22.5" customHeight="1">
      <c r="A11076" s="66"/>
      <c r="B11076" s="67" t="str">
        <f t="shared" si="16"/>
        <v>M: </v>
      </c>
      <c r="C11076" s="68"/>
      <c r="D11076" s="68"/>
      <c r="E11076" s="66"/>
      <c r="F11076" s="66" t="str">
        <f>IFERROR(__xludf.DUMMYFUNCTION("GOOGLETRANSLATE(A11076,""en"",""pt"")"),"#VALUE!")</f>
        <v>#VALUE!</v>
      </c>
      <c r="G11076" s="69"/>
    </row>
    <row r="11077" ht="22.5" customHeight="1">
      <c r="A11077" s="66"/>
      <c r="B11077" s="67" t="str">
        <f t="shared" si="16"/>
        <v>M: </v>
      </c>
      <c r="C11077" s="68"/>
      <c r="D11077" s="68"/>
      <c r="E11077" s="66"/>
      <c r="F11077" s="66" t="str">
        <f>IFERROR(__xludf.DUMMYFUNCTION("GOOGLETRANSLATE(A11077,""en"",""pt"")"),"#VALUE!")</f>
        <v>#VALUE!</v>
      </c>
      <c r="G11077" s="69"/>
    </row>
    <row r="11078" ht="22.5" customHeight="1">
      <c r="A11078" s="66"/>
      <c r="B11078" s="67" t="str">
        <f t="shared" si="16"/>
        <v>M: </v>
      </c>
      <c r="C11078" s="68"/>
      <c r="D11078" s="68"/>
      <c r="E11078" s="66"/>
      <c r="F11078" s="66" t="str">
        <f>IFERROR(__xludf.DUMMYFUNCTION("GOOGLETRANSLATE(A11078,""en"",""pt"")"),"#VALUE!")</f>
        <v>#VALUE!</v>
      </c>
      <c r="G11078" s="69"/>
    </row>
    <row r="11079" ht="22.5" customHeight="1">
      <c r="A11079" s="66"/>
      <c r="B11079" s="67" t="str">
        <f t="shared" si="16"/>
        <v>M: </v>
      </c>
      <c r="C11079" s="68"/>
      <c r="D11079" s="68"/>
      <c r="E11079" s="66"/>
      <c r="F11079" s="66" t="str">
        <f>IFERROR(__xludf.DUMMYFUNCTION("GOOGLETRANSLATE(A11079,""en"",""pt"")"),"#VALUE!")</f>
        <v>#VALUE!</v>
      </c>
      <c r="G11079" s="69"/>
    </row>
    <row r="11080" ht="22.5" customHeight="1">
      <c r="A11080" s="66"/>
      <c r="B11080" s="67" t="str">
        <f t="shared" si="16"/>
        <v>M: </v>
      </c>
      <c r="C11080" s="68"/>
      <c r="D11080" s="68"/>
      <c r="E11080" s="66"/>
      <c r="F11080" s="66" t="str">
        <f>IFERROR(__xludf.DUMMYFUNCTION("GOOGLETRANSLATE(A11080,""en"",""pt"")"),"#VALUE!")</f>
        <v>#VALUE!</v>
      </c>
      <c r="G11080" s="69"/>
    </row>
    <row r="11081" ht="22.5" customHeight="1">
      <c r="A11081" s="66"/>
      <c r="B11081" s="67" t="str">
        <f t="shared" si="16"/>
        <v>M: </v>
      </c>
      <c r="C11081" s="68"/>
      <c r="D11081" s="68"/>
      <c r="E11081" s="66"/>
      <c r="F11081" s="66" t="str">
        <f>IFERROR(__xludf.DUMMYFUNCTION("GOOGLETRANSLATE(A11081,""en"",""pt"")"),"#VALUE!")</f>
        <v>#VALUE!</v>
      </c>
      <c r="G11081" s="69"/>
    </row>
    <row r="11082" ht="22.5" customHeight="1">
      <c r="A11082" s="66"/>
      <c r="B11082" s="67" t="str">
        <f t="shared" si="16"/>
        <v>M: </v>
      </c>
      <c r="C11082" s="68"/>
      <c r="D11082" s="68"/>
      <c r="E11082" s="66"/>
      <c r="F11082" s="66" t="str">
        <f>IFERROR(__xludf.DUMMYFUNCTION("GOOGLETRANSLATE(A11082,""en"",""pt"")"),"#VALUE!")</f>
        <v>#VALUE!</v>
      </c>
      <c r="G11082" s="69"/>
    </row>
    <row r="11083" ht="22.5" customHeight="1">
      <c r="A11083" s="66"/>
      <c r="B11083" s="67" t="str">
        <f t="shared" si="16"/>
        <v>M: </v>
      </c>
      <c r="C11083" s="68"/>
      <c r="D11083" s="68"/>
      <c r="E11083" s="66"/>
      <c r="F11083" s="66" t="str">
        <f>IFERROR(__xludf.DUMMYFUNCTION("GOOGLETRANSLATE(A11083,""en"",""pt"")"),"#VALUE!")</f>
        <v>#VALUE!</v>
      </c>
      <c r="G11083" s="69"/>
    </row>
    <row r="11084" ht="22.5" customHeight="1">
      <c r="A11084" s="66"/>
      <c r="B11084" s="67" t="str">
        <f t="shared" si="16"/>
        <v>M: </v>
      </c>
      <c r="C11084" s="68"/>
      <c r="D11084" s="68"/>
      <c r="E11084" s="66"/>
      <c r="F11084" s="66" t="str">
        <f>IFERROR(__xludf.DUMMYFUNCTION("GOOGLETRANSLATE(A11084,""en"",""pt"")"),"#VALUE!")</f>
        <v>#VALUE!</v>
      </c>
      <c r="G11084" s="69"/>
    </row>
    <row r="11085" ht="22.5" customHeight="1">
      <c r="A11085" s="66"/>
      <c r="B11085" s="67" t="str">
        <f t="shared" si="16"/>
        <v>M: </v>
      </c>
      <c r="C11085" s="68"/>
      <c r="D11085" s="68"/>
      <c r="E11085" s="66"/>
      <c r="F11085" s="66" t="str">
        <f>IFERROR(__xludf.DUMMYFUNCTION("GOOGLETRANSLATE(A11085,""en"",""pt"")"),"#VALUE!")</f>
        <v>#VALUE!</v>
      </c>
      <c r="G11085" s="69"/>
    </row>
    <row r="11086" ht="22.5" customHeight="1">
      <c r="A11086" s="66"/>
      <c r="B11086" s="67" t="str">
        <f t="shared" si="16"/>
        <v>M: </v>
      </c>
      <c r="C11086" s="68"/>
      <c r="D11086" s="68"/>
      <c r="E11086" s="66"/>
      <c r="F11086" s="66" t="str">
        <f>IFERROR(__xludf.DUMMYFUNCTION("GOOGLETRANSLATE(A11086,""en"",""pt"")"),"#VALUE!")</f>
        <v>#VALUE!</v>
      </c>
      <c r="G11086" s="69"/>
    </row>
    <row r="11087" ht="22.5" customHeight="1">
      <c r="A11087" s="66"/>
      <c r="B11087" s="67" t="str">
        <f t="shared" si="16"/>
        <v>M: </v>
      </c>
      <c r="C11087" s="68"/>
      <c r="D11087" s="68"/>
      <c r="E11087" s="66"/>
      <c r="F11087" s="66" t="str">
        <f>IFERROR(__xludf.DUMMYFUNCTION("GOOGLETRANSLATE(A11087,""en"",""pt"")"),"#VALUE!")</f>
        <v>#VALUE!</v>
      </c>
      <c r="G11087" s="69"/>
    </row>
    <row r="11088" ht="22.5" customHeight="1">
      <c r="A11088" s="66"/>
      <c r="B11088" s="67" t="str">
        <f t="shared" si="16"/>
        <v>M: </v>
      </c>
      <c r="C11088" s="68"/>
      <c r="D11088" s="68"/>
      <c r="E11088" s="66"/>
      <c r="F11088" s="66" t="str">
        <f>IFERROR(__xludf.DUMMYFUNCTION("GOOGLETRANSLATE(A11088,""en"",""pt"")"),"#VALUE!")</f>
        <v>#VALUE!</v>
      </c>
      <c r="G11088" s="69"/>
    </row>
    <row r="11089" ht="22.5" customHeight="1">
      <c r="A11089" s="66"/>
      <c r="B11089" s="67" t="str">
        <f t="shared" si="16"/>
        <v>M: </v>
      </c>
      <c r="C11089" s="68"/>
      <c r="D11089" s="68"/>
      <c r="E11089" s="66"/>
      <c r="F11089" s="66" t="str">
        <f>IFERROR(__xludf.DUMMYFUNCTION("GOOGLETRANSLATE(A11089,""en"",""pt"")"),"#VALUE!")</f>
        <v>#VALUE!</v>
      </c>
      <c r="G11089" s="69"/>
    </row>
    <row r="11090" ht="22.5" customHeight="1">
      <c r="A11090" s="66"/>
      <c r="B11090" s="67" t="str">
        <f t="shared" si="16"/>
        <v>M: </v>
      </c>
      <c r="C11090" s="68"/>
      <c r="D11090" s="68"/>
      <c r="E11090" s="66"/>
      <c r="F11090" s="66" t="str">
        <f>IFERROR(__xludf.DUMMYFUNCTION("GOOGLETRANSLATE(A11090,""en"",""pt"")"),"#VALUE!")</f>
        <v>#VALUE!</v>
      </c>
      <c r="G11090" s="69"/>
    </row>
    <row r="11091" ht="22.5" customHeight="1">
      <c r="A11091" s="66"/>
      <c r="B11091" s="67" t="str">
        <f t="shared" si="16"/>
        <v>M: </v>
      </c>
      <c r="C11091" s="68"/>
      <c r="D11091" s="68"/>
      <c r="E11091" s="66"/>
      <c r="F11091" s="66" t="str">
        <f>IFERROR(__xludf.DUMMYFUNCTION("GOOGLETRANSLATE(A11091,""en"",""pt"")"),"#VALUE!")</f>
        <v>#VALUE!</v>
      </c>
      <c r="G11091" s="69"/>
    </row>
    <row r="11092" ht="22.5" customHeight="1">
      <c r="A11092" s="66"/>
      <c r="B11092" s="67" t="str">
        <f t="shared" si="16"/>
        <v>M: </v>
      </c>
      <c r="C11092" s="68"/>
      <c r="D11092" s="68"/>
      <c r="E11092" s="66"/>
      <c r="F11092" s="66" t="str">
        <f>IFERROR(__xludf.DUMMYFUNCTION("GOOGLETRANSLATE(A11092,""en"",""pt"")"),"#VALUE!")</f>
        <v>#VALUE!</v>
      </c>
      <c r="G11092" s="69"/>
    </row>
    <row r="11093" ht="22.5" customHeight="1">
      <c r="A11093" s="66"/>
      <c r="B11093" s="67" t="str">
        <f t="shared" si="16"/>
        <v>M: </v>
      </c>
      <c r="C11093" s="68"/>
      <c r="D11093" s="68"/>
      <c r="E11093" s="66"/>
      <c r="F11093" s="66" t="str">
        <f>IFERROR(__xludf.DUMMYFUNCTION("GOOGLETRANSLATE(A11093,""en"",""pt"")"),"#VALUE!")</f>
        <v>#VALUE!</v>
      </c>
      <c r="G11093" s="69"/>
    </row>
    <row r="11094" ht="22.5" customHeight="1">
      <c r="A11094" s="66"/>
      <c r="B11094" s="67" t="str">
        <f t="shared" si="16"/>
        <v>M: </v>
      </c>
      <c r="C11094" s="68"/>
      <c r="D11094" s="68"/>
      <c r="E11094" s="66"/>
      <c r="F11094" s="66" t="str">
        <f>IFERROR(__xludf.DUMMYFUNCTION("GOOGLETRANSLATE(A11094,""en"",""pt"")"),"#VALUE!")</f>
        <v>#VALUE!</v>
      </c>
      <c r="G11094" s="69"/>
    </row>
    <row r="11095" ht="22.5" customHeight="1">
      <c r="A11095" s="66"/>
      <c r="B11095" s="67" t="str">
        <f t="shared" si="16"/>
        <v>M: </v>
      </c>
      <c r="C11095" s="68"/>
      <c r="D11095" s="68"/>
      <c r="E11095" s="66"/>
      <c r="F11095" s="66" t="str">
        <f>IFERROR(__xludf.DUMMYFUNCTION("GOOGLETRANSLATE(A11095,""en"",""pt"")"),"#VALUE!")</f>
        <v>#VALUE!</v>
      </c>
      <c r="G11095" s="69"/>
    </row>
    <row r="11096" ht="22.5" customHeight="1">
      <c r="A11096" s="66"/>
      <c r="B11096" s="67" t="str">
        <f t="shared" si="16"/>
        <v>M: </v>
      </c>
      <c r="C11096" s="68"/>
      <c r="D11096" s="68"/>
      <c r="E11096" s="66"/>
      <c r="F11096" s="66" t="str">
        <f>IFERROR(__xludf.DUMMYFUNCTION("GOOGLETRANSLATE(A11096,""en"",""pt"")"),"#VALUE!")</f>
        <v>#VALUE!</v>
      </c>
      <c r="G11096" s="69"/>
    </row>
    <row r="11097" ht="22.5" customHeight="1">
      <c r="A11097" s="66"/>
      <c r="B11097" s="67" t="str">
        <f t="shared" si="16"/>
        <v>M: </v>
      </c>
      <c r="C11097" s="68"/>
      <c r="D11097" s="68"/>
      <c r="E11097" s="66"/>
      <c r="F11097" s="66" t="str">
        <f>IFERROR(__xludf.DUMMYFUNCTION("GOOGLETRANSLATE(A11097,""en"",""pt"")"),"#VALUE!")</f>
        <v>#VALUE!</v>
      </c>
      <c r="G11097" s="69"/>
    </row>
    <row r="11098" ht="22.5" customHeight="1">
      <c r="A11098" s="66"/>
      <c r="B11098" s="67" t="str">
        <f t="shared" si="16"/>
        <v>M: </v>
      </c>
      <c r="C11098" s="68"/>
      <c r="D11098" s="68"/>
      <c r="E11098" s="66"/>
      <c r="F11098" s="66" t="str">
        <f>IFERROR(__xludf.DUMMYFUNCTION("GOOGLETRANSLATE(A11098,""en"",""pt"")"),"#VALUE!")</f>
        <v>#VALUE!</v>
      </c>
      <c r="G11098" s="69"/>
    </row>
    <row r="11099" ht="22.5" customHeight="1">
      <c r="A11099" s="66"/>
      <c r="B11099" s="67" t="str">
        <f t="shared" si="16"/>
        <v>M: </v>
      </c>
      <c r="C11099" s="68"/>
      <c r="D11099" s="68"/>
      <c r="E11099" s="66"/>
      <c r="F11099" s="66" t="str">
        <f>IFERROR(__xludf.DUMMYFUNCTION("GOOGLETRANSLATE(A11099,""en"",""pt"")"),"#VALUE!")</f>
        <v>#VALUE!</v>
      </c>
      <c r="G11099" s="69"/>
    </row>
    <row r="11100" ht="22.5" customHeight="1">
      <c r="A11100" s="66"/>
      <c r="B11100" s="67" t="str">
        <f t="shared" si="16"/>
        <v>M: </v>
      </c>
      <c r="C11100" s="68"/>
      <c r="D11100" s="68"/>
      <c r="E11100" s="66"/>
      <c r="F11100" s="66" t="str">
        <f>IFERROR(__xludf.DUMMYFUNCTION("GOOGLETRANSLATE(A11100,""en"",""pt"")"),"#VALUE!")</f>
        <v>#VALUE!</v>
      </c>
      <c r="G11100" s="69"/>
    </row>
    <row r="11101" ht="22.5" customHeight="1">
      <c r="A11101" s="66"/>
      <c r="B11101" s="67" t="str">
        <f t="shared" si="16"/>
        <v>M: </v>
      </c>
      <c r="C11101" s="68"/>
      <c r="D11101" s="68"/>
      <c r="E11101" s="66"/>
      <c r="F11101" s="66" t="str">
        <f>IFERROR(__xludf.DUMMYFUNCTION("GOOGLETRANSLATE(A11101,""en"",""pt"")"),"#VALUE!")</f>
        <v>#VALUE!</v>
      </c>
      <c r="G11101" s="69"/>
    </row>
    <row r="11102" ht="22.5" customHeight="1">
      <c r="A11102" s="66"/>
      <c r="B11102" s="67" t="str">
        <f t="shared" si="16"/>
        <v>M: </v>
      </c>
      <c r="C11102" s="68"/>
      <c r="D11102" s="68"/>
      <c r="E11102" s="66"/>
      <c r="F11102" s="66" t="str">
        <f>IFERROR(__xludf.DUMMYFUNCTION("GOOGLETRANSLATE(A11102,""en"",""pt"")"),"#VALUE!")</f>
        <v>#VALUE!</v>
      </c>
      <c r="G11102" s="69"/>
    </row>
    <row r="11103" ht="22.5" customHeight="1">
      <c r="A11103" s="66"/>
      <c r="B11103" s="67" t="str">
        <f t="shared" si="16"/>
        <v>M: </v>
      </c>
      <c r="C11103" s="68"/>
      <c r="D11103" s="68"/>
      <c r="E11103" s="66"/>
      <c r="F11103" s="66" t="str">
        <f>IFERROR(__xludf.DUMMYFUNCTION("GOOGLETRANSLATE(A11103,""en"",""pt"")"),"#VALUE!")</f>
        <v>#VALUE!</v>
      </c>
      <c r="G11103" s="69"/>
    </row>
    <row r="11104" ht="22.5" customHeight="1">
      <c r="A11104" s="66"/>
      <c r="B11104" s="67" t="str">
        <f t="shared" si="16"/>
        <v>M: </v>
      </c>
      <c r="C11104" s="68"/>
      <c r="D11104" s="68"/>
      <c r="E11104" s="66"/>
      <c r="F11104" s="66" t="str">
        <f>IFERROR(__xludf.DUMMYFUNCTION("GOOGLETRANSLATE(A11104,""en"",""pt"")"),"#VALUE!")</f>
        <v>#VALUE!</v>
      </c>
      <c r="G11104" s="69"/>
    </row>
    <row r="11105" ht="22.5" customHeight="1">
      <c r="A11105" s="66"/>
      <c r="B11105" s="67" t="str">
        <f t="shared" si="16"/>
        <v>M: </v>
      </c>
      <c r="C11105" s="68"/>
      <c r="D11105" s="68"/>
      <c r="E11105" s="66"/>
      <c r="F11105" s="66" t="str">
        <f>IFERROR(__xludf.DUMMYFUNCTION("GOOGLETRANSLATE(A11105,""en"",""pt"")"),"#VALUE!")</f>
        <v>#VALUE!</v>
      </c>
      <c r="G11105" s="69"/>
    </row>
    <row r="11106" ht="22.5" customHeight="1">
      <c r="A11106" s="66"/>
      <c r="B11106" s="67" t="str">
        <f t="shared" si="16"/>
        <v>M: </v>
      </c>
      <c r="C11106" s="68"/>
      <c r="D11106" s="68"/>
      <c r="E11106" s="66"/>
      <c r="F11106" s="66" t="str">
        <f>IFERROR(__xludf.DUMMYFUNCTION("GOOGLETRANSLATE(A11106,""en"",""pt"")"),"#VALUE!")</f>
        <v>#VALUE!</v>
      </c>
      <c r="G11106" s="69"/>
    </row>
    <row r="11107" ht="22.5" customHeight="1">
      <c r="A11107" s="66"/>
      <c r="B11107" s="67" t="str">
        <f t="shared" si="16"/>
        <v>M: </v>
      </c>
      <c r="C11107" s="68"/>
      <c r="D11107" s="68"/>
      <c r="E11107" s="66"/>
      <c r="F11107" s="66" t="str">
        <f>IFERROR(__xludf.DUMMYFUNCTION("GOOGLETRANSLATE(A11107,""en"",""pt"")"),"#VALUE!")</f>
        <v>#VALUE!</v>
      </c>
      <c r="G11107" s="69"/>
    </row>
    <row r="11108" ht="22.5" customHeight="1">
      <c r="A11108" s="66"/>
      <c r="B11108" s="67" t="str">
        <f t="shared" si="16"/>
        <v>M: </v>
      </c>
      <c r="C11108" s="68"/>
      <c r="D11108" s="68"/>
      <c r="E11108" s="66"/>
      <c r="F11108" s="66" t="str">
        <f>IFERROR(__xludf.DUMMYFUNCTION("GOOGLETRANSLATE(A11108,""en"",""pt"")"),"#VALUE!")</f>
        <v>#VALUE!</v>
      </c>
      <c r="G11108" s="69"/>
    </row>
    <row r="11109" ht="22.5" customHeight="1">
      <c r="A11109" s="66"/>
      <c r="B11109" s="67" t="str">
        <f t="shared" si="16"/>
        <v>M: </v>
      </c>
      <c r="C11109" s="68"/>
      <c r="D11109" s="68"/>
      <c r="E11109" s="66"/>
      <c r="F11109" s="66" t="str">
        <f>IFERROR(__xludf.DUMMYFUNCTION("GOOGLETRANSLATE(A11109,""en"",""pt"")"),"#VALUE!")</f>
        <v>#VALUE!</v>
      </c>
      <c r="G11109" s="69"/>
    </row>
    <row r="11110" ht="22.5" customHeight="1">
      <c r="A11110" s="66"/>
      <c r="B11110" s="67" t="str">
        <f t="shared" si="16"/>
        <v>M: </v>
      </c>
      <c r="C11110" s="68"/>
      <c r="D11110" s="68"/>
      <c r="E11110" s="66"/>
      <c r="F11110" s="66" t="str">
        <f>IFERROR(__xludf.DUMMYFUNCTION("GOOGLETRANSLATE(A11110,""en"",""pt"")"),"#VALUE!")</f>
        <v>#VALUE!</v>
      </c>
      <c r="G11110" s="69"/>
    </row>
    <row r="11111" ht="22.5" customHeight="1">
      <c r="A11111" s="66"/>
      <c r="B11111" s="67" t="str">
        <f t="shared" si="16"/>
        <v>M: </v>
      </c>
      <c r="C11111" s="68"/>
      <c r="D11111" s="68"/>
      <c r="E11111" s="66"/>
      <c r="F11111" s="66" t="str">
        <f>IFERROR(__xludf.DUMMYFUNCTION("GOOGLETRANSLATE(A11111,""en"",""pt"")"),"#VALUE!")</f>
        <v>#VALUE!</v>
      </c>
      <c r="G11111" s="69"/>
    </row>
    <row r="11112" ht="22.5" customHeight="1">
      <c r="A11112" s="66"/>
      <c r="B11112" s="67" t="str">
        <f t="shared" si="16"/>
        <v>M: </v>
      </c>
      <c r="C11112" s="68"/>
      <c r="D11112" s="68"/>
      <c r="E11112" s="66"/>
      <c r="F11112" s="66" t="str">
        <f>IFERROR(__xludf.DUMMYFUNCTION("GOOGLETRANSLATE(A11112,""en"",""pt"")"),"#VALUE!")</f>
        <v>#VALUE!</v>
      </c>
      <c r="G11112" s="69"/>
    </row>
    <row r="11113" ht="22.5" customHeight="1">
      <c r="A11113" s="66"/>
      <c r="B11113" s="67" t="str">
        <f t="shared" si="16"/>
        <v>M: </v>
      </c>
      <c r="C11113" s="68"/>
      <c r="D11113" s="68"/>
      <c r="E11113" s="66"/>
      <c r="F11113" s="66" t="str">
        <f>IFERROR(__xludf.DUMMYFUNCTION("GOOGLETRANSLATE(A11113,""en"",""pt"")"),"#VALUE!")</f>
        <v>#VALUE!</v>
      </c>
      <c r="G11113" s="69"/>
    </row>
    <row r="11114" ht="22.5" customHeight="1">
      <c r="A11114" s="66"/>
      <c r="B11114" s="67" t="str">
        <f t="shared" si="16"/>
        <v>M: </v>
      </c>
      <c r="C11114" s="68"/>
      <c r="D11114" s="68"/>
      <c r="E11114" s="66"/>
      <c r="F11114" s="66" t="str">
        <f>IFERROR(__xludf.DUMMYFUNCTION("GOOGLETRANSLATE(A11114,""en"",""pt"")"),"#VALUE!")</f>
        <v>#VALUE!</v>
      </c>
      <c r="G11114" s="69"/>
    </row>
    <row r="11115" ht="22.5" customHeight="1">
      <c r="A11115" s="66"/>
      <c r="B11115" s="67" t="str">
        <f t="shared" si="16"/>
        <v>M: </v>
      </c>
      <c r="C11115" s="68"/>
      <c r="D11115" s="68"/>
      <c r="E11115" s="66"/>
      <c r="F11115" s="66" t="str">
        <f>IFERROR(__xludf.DUMMYFUNCTION("GOOGLETRANSLATE(A11115,""en"",""pt"")"),"#VALUE!")</f>
        <v>#VALUE!</v>
      </c>
      <c r="G11115" s="69"/>
    </row>
    <row r="11116" ht="22.5" customHeight="1">
      <c r="A11116" s="66"/>
      <c r="B11116" s="67" t="str">
        <f t="shared" si="16"/>
        <v>M: </v>
      </c>
      <c r="C11116" s="68"/>
      <c r="D11116" s="68"/>
      <c r="E11116" s="66"/>
      <c r="F11116" s="66" t="str">
        <f>IFERROR(__xludf.DUMMYFUNCTION("GOOGLETRANSLATE(A11116,""en"",""pt"")"),"#VALUE!")</f>
        <v>#VALUE!</v>
      </c>
      <c r="G11116" s="69"/>
    </row>
    <row r="11117" ht="22.5" customHeight="1">
      <c r="A11117" s="66"/>
      <c r="B11117" s="67" t="str">
        <f t="shared" si="16"/>
        <v>M: </v>
      </c>
      <c r="C11117" s="68"/>
      <c r="D11117" s="68"/>
      <c r="E11117" s="66"/>
      <c r="F11117" s="66" t="str">
        <f>IFERROR(__xludf.DUMMYFUNCTION("GOOGLETRANSLATE(A11117,""en"",""pt"")"),"#VALUE!")</f>
        <v>#VALUE!</v>
      </c>
      <c r="G11117" s="69"/>
    </row>
    <row r="11118" ht="22.5" customHeight="1">
      <c r="A11118" s="66"/>
      <c r="B11118" s="67" t="str">
        <f t="shared" si="16"/>
        <v>M: </v>
      </c>
      <c r="C11118" s="68"/>
      <c r="D11118" s="68"/>
      <c r="E11118" s="66"/>
      <c r="F11118" s="66" t="str">
        <f>IFERROR(__xludf.DUMMYFUNCTION("GOOGLETRANSLATE(A11118,""en"",""pt"")"),"#VALUE!")</f>
        <v>#VALUE!</v>
      </c>
      <c r="G11118" s="69"/>
    </row>
    <row r="11119" ht="22.5" customHeight="1">
      <c r="A11119" s="66"/>
      <c r="B11119" s="67" t="str">
        <f t="shared" si="16"/>
        <v>M: </v>
      </c>
      <c r="C11119" s="68"/>
      <c r="D11119" s="68"/>
      <c r="E11119" s="66"/>
      <c r="F11119" s="66" t="str">
        <f>IFERROR(__xludf.DUMMYFUNCTION("GOOGLETRANSLATE(A11119,""en"",""pt"")"),"#VALUE!")</f>
        <v>#VALUE!</v>
      </c>
      <c r="G11119" s="69"/>
    </row>
    <row r="11120" ht="22.5" customHeight="1">
      <c r="A11120" s="66"/>
      <c r="B11120" s="67" t="str">
        <f t="shared" si="16"/>
        <v>M: </v>
      </c>
      <c r="C11120" s="68"/>
      <c r="D11120" s="68"/>
      <c r="E11120" s="66"/>
      <c r="F11120" s="66" t="str">
        <f>IFERROR(__xludf.DUMMYFUNCTION("GOOGLETRANSLATE(A11120,""en"",""pt"")"),"#VALUE!")</f>
        <v>#VALUE!</v>
      </c>
      <c r="G11120" s="69"/>
    </row>
    <row r="11121" ht="22.5" customHeight="1">
      <c r="A11121" s="66"/>
      <c r="B11121" s="67" t="str">
        <f t="shared" si="16"/>
        <v>M: </v>
      </c>
      <c r="C11121" s="68"/>
      <c r="D11121" s="68"/>
      <c r="E11121" s="66"/>
      <c r="F11121" s="66" t="str">
        <f>IFERROR(__xludf.DUMMYFUNCTION("GOOGLETRANSLATE(A11121,""en"",""pt"")"),"#VALUE!")</f>
        <v>#VALUE!</v>
      </c>
      <c r="G11121" s="69"/>
    </row>
    <row r="11122" ht="22.5" customHeight="1">
      <c r="A11122" s="66"/>
      <c r="B11122" s="67" t="str">
        <f t="shared" si="16"/>
        <v>M: </v>
      </c>
      <c r="C11122" s="68"/>
      <c r="D11122" s="68"/>
      <c r="E11122" s="66"/>
      <c r="F11122" s="66" t="str">
        <f>IFERROR(__xludf.DUMMYFUNCTION("GOOGLETRANSLATE(A11122,""en"",""pt"")"),"#VALUE!")</f>
        <v>#VALUE!</v>
      </c>
      <c r="G11122" s="69"/>
    </row>
    <row r="11123" ht="22.5" customHeight="1">
      <c r="A11123" s="66"/>
      <c r="B11123" s="67" t="str">
        <f t="shared" si="16"/>
        <v>M: </v>
      </c>
      <c r="C11123" s="68"/>
      <c r="D11123" s="68"/>
      <c r="E11123" s="66"/>
      <c r="F11123" s="66" t="str">
        <f>IFERROR(__xludf.DUMMYFUNCTION("GOOGLETRANSLATE(A11123,""en"",""pt"")"),"#VALUE!")</f>
        <v>#VALUE!</v>
      </c>
      <c r="G11123" s="69"/>
    </row>
    <row r="11124" ht="22.5" customHeight="1">
      <c r="A11124" s="66"/>
      <c r="B11124" s="67" t="str">
        <f t="shared" si="16"/>
        <v>M: </v>
      </c>
      <c r="C11124" s="68"/>
      <c r="D11124" s="68"/>
      <c r="E11124" s="66"/>
      <c r="F11124" s="66" t="str">
        <f>IFERROR(__xludf.DUMMYFUNCTION("GOOGLETRANSLATE(A11124,""en"",""pt"")"),"#VALUE!")</f>
        <v>#VALUE!</v>
      </c>
      <c r="G11124" s="69"/>
    </row>
    <row r="11125" ht="22.5" customHeight="1">
      <c r="A11125" s="66"/>
      <c r="B11125" s="67" t="str">
        <f t="shared" si="16"/>
        <v>M: </v>
      </c>
      <c r="C11125" s="68"/>
      <c r="D11125" s="68"/>
      <c r="E11125" s="66"/>
      <c r="F11125" s="66" t="str">
        <f>IFERROR(__xludf.DUMMYFUNCTION("GOOGLETRANSLATE(A11125,""en"",""pt"")"),"#VALUE!")</f>
        <v>#VALUE!</v>
      </c>
      <c r="G11125" s="69"/>
    </row>
    <row r="11126" ht="22.5" customHeight="1">
      <c r="A11126" s="66"/>
      <c r="B11126" s="67" t="str">
        <f t="shared" si="16"/>
        <v>M: </v>
      </c>
      <c r="C11126" s="68"/>
      <c r="D11126" s="68"/>
      <c r="E11126" s="66"/>
      <c r="F11126" s="66" t="str">
        <f>IFERROR(__xludf.DUMMYFUNCTION("GOOGLETRANSLATE(A11126,""en"",""pt"")"),"#VALUE!")</f>
        <v>#VALUE!</v>
      </c>
      <c r="G11126" s="69"/>
    </row>
    <row r="11127" ht="22.5" customHeight="1">
      <c r="A11127" s="66"/>
      <c r="B11127" s="67" t="str">
        <f t="shared" si="16"/>
        <v>M: </v>
      </c>
      <c r="C11127" s="68"/>
      <c r="D11127" s="68"/>
      <c r="E11127" s="66"/>
      <c r="F11127" s="66" t="str">
        <f>IFERROR(__xludf.DUMMYFUNCTION("GOOGLETRANSLATE(A11127,""en"",""pt"")"),"#VALUE!")</f>
        <v>#VALUE!</v>
      </c>
      <c r="G11127" s="69"/>
    </row>
    <row r="11128" ht="22.5" customHeight="1">
      <c r="A11128" s="66"/>
      <c r="B11128" s="67" t="str">
        <f t="shared" si="16"/>
        <v>M: </v>
      </c>
      <c r="C11128" s="68"/>
      <c r="D11128" s="68"/>
      <c r="E11128" s="66"/>
      <c r="F11128" s="66" t="str">
        <f>IFERROR(__xludf.DUMMYFUNCTION("GOOGLETRANSLATE(A11128,""en"",""pt"")"),"#VALUE!")</f>
        <v>#VALUE!</v>
      </c>
      <c r="G11128" s="69"/>
    </row>
    <row r="11129" ht="22.5" customHeight="1">
      <c r="A11129" s="66"/>
      <c r="B11129" s="67" t="str">
        <f t="shared" si="16"/>
        <v>M: </v>
      </c>
      <c r="C11129" s="68"/>
      <c r="D11129" s="68"/>
      <c r="E11129" s="66"/>
      <c r="F11129" s="66" t="str">
        <f>IFERROR(__xludf.DUMMYFUNCTION("GOOGLETRANSLATE(A11129,""en"",""pt"")"),"#VALUE!")</f>
        <v>#VALUE!</v>
      </c>
      <c r="G11129" s="69"/>
    </row>
    <row r="11130" ht="22.5" customHeight="1">
      <c r="A11130" s="66"/>
      <c r="B11130" s="67" t="str">
        <f t="shared" si="16"/>
        <v>M: </v>
      </c>
      <c r="C11130" s="68"/>
      <c r="D11130" s="68"/>
      <c r="E11130" s="66"/>
      <c r="F11130" s="66" t="str">
        <f>IFERROR(__xludf.DUMMYFUNCTION("GOOGLETRANSLATE(A11130,""en"",""pt"")"),"#VALUE!")</f>
        <v>#VALUE!</v>
      </c>
      <c r="G11130" s="69"/>
    </row>
    <row r="11131" ht="22.5" customHeight="1">
      <c r="A11131" s="66"/>
      <c r="B11131" s="67" t="str">
        <f t="shared" si="16"/>
        <v>M: </v>
      </c>
      <c r="C11131" s="68"/>
      <c r="D11131" s="68"/>
      <c r="E11131" s="66"/>
      <c r="F11131" s="66" t="str">
        <f>IFERROR(__xludf.DUMMYFUNCTION("GOOGLETRANSLATE(A11131,""en"",""pt"")"),"#VALUE!")</f>
        <v>#VALUE!</v>
      </c>
      <c r="G11131" s="69"/>
    </row>
    <row r="11132" ht="22.5" customHeight="1">
      <c r="A11132" s="66"/>
      <c r="B11132" s="67" t="str">
        <f t="shared" si="16"/>
        <v>M: </v>
      </c>
      <c r="C11132" s="68"/>
      <c r="D11132" s="68"/>
      <c r="E11132" s="66"/>
      <c r="F11132" s="66" t="str">
        <f>IFERROR(__xludf.DUMMYFUNCTION("GOOGLETRANSLATE(A11132,""en"",""pt"")"),"#VALUE!")</f>
        <v>#VALUE!</v>
      </c>
      <c r="G11132" s="69"/>
    </row>
    <row r="11133" ht="22.5" customHeight="1">
      <c r="A11133" s="66"/>
      <c r="B11133" s="67" t="str">
        <f t="shared" si="16"/>
        <v>M: </v>
      </c>
      <c r="C11133" s="68"/>
      <c r="D11133" s="68"/>
      <c r="E11133" s="66"/>
      <c r="F11133" s="66" t="str">
        <f>IFERROR(__xludf.DUMMYFUNCTION("GOOGLETRANSLATE(A11133,""en"",""pt"")"),"#VALUE!")</f>
        <v>#VALUE!</v>
      </c>
      <c r="G11133" s="69"/>
    </row>
    <row r="11134" ht="22.5" customHeight="1">
      <c r="A11134" s="66"/>
      <c r="B11134" s="67" t="str">
        <f t="shared" si="16"/>
        <v>M: </v>
      </c>
      <c r="C11134" s="68"/>
      <c r="D11134" s="68"/>
      <c r="E11134" s="66"/>
      <c r="F11134" s="66" t="str">
        <f>IFERROR(__xludf.DUMMYFUNCTION("GOOGLETRANSLATE(A11134,""en"",""pt"")"),"#VALUE!")</f>
        <v>#VALUE!</v>
      </c>
      <c r="G11134" s="69"/>
    </row>
    <row r="11135" ht="22.5" customHeight="1">
      <c r="A11135" s="66"/>
      <c r="B11135" s="67" t="str">
        <f t="shared" si="16"/>
        <v>M: </v>
      </c>
      <c r="C11135" s="68"/>
      <c r="D11135" s="68"/>
      <c r="E11135" s="66"/>
      <c r="F11135" s="66" t="str">
        <f>IFERROR(__xludf.DUMMYFUNCTION("GOOGLETRANSLATE(A11135,""en"",""pt"")"),"#VALUE!")</f>
        <v>#VALUE!</v>
      </c>
      <c r="G11135" s="69"/>
    </row>
    <row r="11136" ht="22.5" customHeight="1">
      <c r="A11136" s="66"/>
      <c r="B11136" s="67" t="str">
        <f t="shared" si="16"/>
        <v>M: </v>
      </c>
      <c r="C11136" s="68"/>
      <c r="D11136" s="68"/>
      <c r="E11136" s="66"/>
      <c r="F11136" s="66" t="str">
        <f>IFERROR(__xludf.DUMMYFUNCTION("GOOGLETRANSLATE(A11136,""en"",""pt"")"),"#VALUE!")</f>
        <v>#VALUE!</v>
      </c>
      <c r="G11136" s="69"/>
    </row>
    <row r="11137" ht="22.5" customHeight="1">
      <c r="A11137" s="66"/>
      <c r="B11137" s="67" t="str">
        <f t="shared" si="16"/>
        <v>M: </v>
      </c>
      <c r="C11137" s="68"/>
      <c r="D11137" s="68"/>
      <c r="E11137" s="66"/>
      <c r="F11137" s="66" t="str">
        <f>IFERROR(__xludf.DUMMYFUNCTION("GOOGLETRANSLATE(A11137,""en"",""pt"")"),"#VALUE!")</f>
        <v>#VALUE!</v>
      </c>
      <c r="G11137" s="69"/>
    </row>
    <row r="11138" ht="22.5" customHeight="1">
      <c r="A11138" s="66"/>
      <c r="B11138" s="67" t="str">
        <f t="shared" si="16"/>
        <v>M: </v>
      </c>
      <c r="C11138" s="68"/>
      <c r="D11138" s="68"/>
      <c r="E11138" s="66"/>
      <c r="F11138" s="66" t="str">
        <f>IFERROR(__xludf.DUMMYFUNCTION("GOOGLETRANSLATE(A11138,""en"",""pt"")"),"#VALUE!")</f>
        <v>#VALUE!</v>
      </c>
      <c r="G11138" s="69"/>
    </row>
    <row r="11139" ht="22.5" customHeight="1">
      <c r="A11139" s="66"/>
      <c r="B11139" s="67" t="str">
        <f t="shared" si="16"/>
        <v>M: </v>
      </c>
      <c r="C11139" s="68"/>
      <c r="D11139" s="68"/>
      <c r="E11139" s="66"/>
      <c r="F11139" s="66" t="str">
        <f>IFERROR(__xludf.DUMMYFUNCTION("GOOGLETRANSLATE(A11139,""en"",""pt"")"),"#VALUE!")</f>
        <v>#VALUE!</v>
      </c>
      <c r="G11139" s="69"/>
    </row>
    <row r="11140" ht="22.5" customHeight="1">
      <c r="A11140" s="66"/>
      <c r="B11140" s="67" t="str">
        <f t="shared" si="16"/>
        <v>M: </v>
      </c>
      <c r="C11140" s="68"/>
      <c r="D11140" s="68"/>
      <c r="E11140" s="66"/>
      <c r="F11140" s="66" t="str">
        <f>IFERROR(__xludf.DUMMYFUNCTION("GOOGLETRANSLATE(A11140,""en"",""pt"")"),"#VALUE!")</f>
        <v>#VALUE!</v>
      </c>
      <c r="G11140" s="69"/>
    </row>
    <row r="11141" ht="22.5" customHeight="1">
      <c r="A11141" s="66"/>
      <c r="B11141" s="67" t="str">
        <f t="shared" si="16"/>
        <v>M: </v>
      </c>
      <c r="C11141" s="68"/>
      <c r="D11141" s="68"/>
      <c r="E11141" s="66"/>
      <c r="F11141" s="66" t="str">
        <f>IFERROR(__xludf.DUMMYFUNCTION("GOOGLETRANSLATE(A11141,""en"",""pt"")"),"#VALUE!")</f>
        <v>#VALUE!</v>
      </c>
      <c r="G11141" s="69"/>
    </row>
    <row r="11142" ht="22.5" customHeight="1">
      <c r="A11142" s="66"/>
      <c r="B11142" s="67" t="str">
        <f t="shared" si="16"/>
        <v>M: </v>
      </c>
      <c r="C11142" s="68"/>
      <c r="D11142" s="68"/>
      <c r="E11142" s="66"/>
      <c r="F11142" s="66" t="str">
        <f>IFERROR(__xludf.DUMMYFUNCTION("GOOGLETRANSLATE(A11142,""en"",""pt"")"),"#VALUE!")</f>
        <v>#VALUE!</v>
      </c>
      <c r="G11142" s="69"/>
    </row>
    <row r="11143" ht="22.5" customHeight="1">
      <c r="A11143" s="66"/>
      <c r="B11143" s="67" t="str">
        <f t="shared" si="16"/>
        <v>M: </v>
      </c>
      <c r="C11143" s="68"/>
      <c r="D11143" s="68"/>
      <c r="E11143" s="66"/>
      <c r="F11143" s="66" t="str">
        <f>IFERROR(__xludf.DUMMYFUNCTION("GOOGLETRANSLATE(A11143,""en"",""pt"")"),"#VALUE!")</f>
        <v>#VALUE!</v>
      </c>
      <c r="G11143" s="69"/>
    </row>
    <row r="11144" ht="22.5" customHeight="1">
      <c r="A11144" s="66"/>
      <c r="B11144" s="67" t="str">
        <f t="shared" si="16"/>
        <v>M: </v>
      </c>
      <c r="C11144" s="68"/>
      <c r="D11144" s="68"/>
      <c r="E11144" s="66"/>
      <c r="F11144" s="66" t="str">
        <f>IFERROR(__xludf.DUMMYFUNCTION("GOOGLETRANSLATE(A11144,""en"",""pt"")"),"#VALUE!")</f>
        <v>#VALUE!</v>
      </c>
      <c r="G11144" s="69"/>
    </row>
    <row r="11145" ht="22.5" customHeight="1">
      <c r="A11145" s="66"/>
      <c r="B11145" s="67" t="str">
        <f t="shared" si="16"/>
        <v>M: </v>
      </c>
      <c r="C11145" s="68"/>
      <c r="D11145" s="68"/>
      <c r="E11145" s="66"/>
      <c r="F11145" s="66" t="str">
        <f>IFERROR(__xludf.DUMMYFUNCTION("GOOGLETRANSLATE(A11145,""en"",""pt"")"),"#VALUE!")</f>
        <v>#VALUE!</v>
      </c>
      <c r="G11145" s="69"/>
    </row>
    <row r="11146" ht="22.5" customHeight="1">
      <c r="A11146" s="66"/>
      <c r="B11146" s="67" t="str">
        <f t="shared" si="16"/>
        <v>M: </v>
      </c>
      <c r="C11146" s="68"/>
      <c r="D11146" s="68"/>
      <c r="E11146" s="66"/>
      <c r="F11146" s="66" t="str">
        <f>IFERROR(__xludf.DUMMYFUNCTION("GOOGLETRANSLATE(A11146,""en"",""pt"")"),"#VALUE!")</f>
        <v>#VALUE!</v>
      </c>
      <c r="G11146" s="69"/>
    </row>
    <row r="11147" ht="22.5" customHeight="1">
      <c r="A11147" s="66"/>
      <c r="B11147" s="67" t="str">
        <f t="shared" si="16"/>
        <v>M: </v>
      </c>
      <c r="C11147" s="68"/>
      <c r="D11147" s="68"/>
      <c r="E11147" s="66"/>
      <c r="F11147" s="66" t="str">
        <f>IFERROR(__xludf.DUMMYFUNCTION("GOOGLETRANSLATE(A11147,""en"",""pt"")"),"#VALUE!")</f>
        <v>#VALUE!</v>
      </c>
      <c r="G11147" s="69"/>
    </row>
    <row r="11148" ht="22.5" customHeight="1">
      <c r="A11148" s="66"/>
      <c r="B11148" s="67" t="str">
        <f t="shared" si="16"/>
        <v>M: </v>
      </c>
      <c r="C11148" s="68"/>
      <c r="D11148" s="68"/>
      <c r="E11148" s="66"/>
      <c r="F11148" s="66" t="str">
        <f>IFERROR(__xludf.DUMMYFUNCTION("GOOGLETRANSLATE(A11148,""en"",""pt"")"),"#VALUE!")</f>
        <v>#VALUE!</v>
      </c>
      <c r="G11148" s="69"/>
    </row>
    <row r="11149" ht="22.5" customHeight="1">
      <c r="A11149" s="66"/>
      <c r="B11149" s="67" t="str">
        <f t="shared" si="16"/>
        <v>M: </v>
      </c>
      <c r="C11149" s="68"/>
      <c r="D11149" s="68"/>
      <c r="E11149" s="66"/>
      <c r="F11149" s="66" t="str">
        <f>IFERROR(__xludf.DUMMYFUNCTION("GOOGLETRANSLATE(A11149,""en"",""pt"")"),"#VALUE!")</f>
        <v>#VALUE!</v>
      </c>
      <c r="G11149" s="69"/>
    </row>
    <row r="11150" ht="22.5" customHeight="1">
      <c r="A11150" s="66"/>
      <c r="B11150" s="67" t="str">
        <f t="shared" si="16"/>
        <v>M: </v>
      </c>
      <c r="C11150" s="68"/>
      <c r="D11150" s="68"/>
      <c r="E11150" s="66"/>
      <c r="F11150" s="66" t="str">
        <f>IFERROR(__xludf.DUMMYFUNCTION("GOOGLETRANSLATE(A11150,""en"",""pt"")"),"#VALUE!")</f>
        <v>#VALUE!</v>
      </c>
      <c r="G11150" s="69"/>
    </row>
    <row r="11151" ht="22.5" customHeight="1">
      <c r="A11151" s="66"/>
      <c r="B11151" s="67" t="str">
        <f t="shared" si="16"/>
        <v>M: </v>
      </c>
      <c r="C11151" s="68"/>
      <c r="D11151" s="68"/>
      <c r="E11151" s="66"/>
      <c r="F11151" s="66" t="str">
        <f>IFERROR(__xludf.DUMMYFUNCTION("GOOGLETRANSLATE(A11151,""en"",""pt"")"),"#VALUE!")</f>
        <v>#VALUE!</v>
      </c>
      <c r="G11151" s="69"/>
    </row>
    <row r="11152" ht="22.5" customHeight="1">
      <c r="A11152" s="66"/>
      <c r="B11152" s="67" t="str">
        <f t="shared" si="16"/>
        <v>M: </v>
      </c>
      <c r="C11152" s="68"/>
      <c r="D11152" s="68"/>
      <c r="E11152" s="66"/>
      <c r="F11152" s="66" t="str">
        <f>IFERROR(__xludf.DUMMYFUNCTION("GOOGLETRANSLATE(A11152,""en"",""pt"")"),"#VALUE!")</f>
        <v>#VALUE!</v>
      </c>
      <c r="G11152" s="69"/>
    </row>
    <row r="11153" ht="22.5" customHeight="1">
      <c r="A11153" s="66"/>
      <c r="B11153" s="67" t="str">
        <f t="shared" si="16"/>
        <v>M: </v>
      </c>
      <c r="C11153" s="68"/>
      <c r="D11153" s="68"/>
      <c r="E11153" s="66"/>
      <c r="F11153" s="66" t="str">
        <f>IFERROR(__xludf.DUMMYFUNCTION("GOOGLETRANSLATE(A11153,""en"",""pt"")"),"#VALUE!")</f>
        <v>#VALUE!</v>
      </c>
      <c r="G11153" s="69"/>
    </row>
    <row r="11154" ht="22.5" customHeight="1">
      <c r="A11154" s="66"/>
      <c r="B11154" s="67" t="str">
        <f t="shared" si="16"/>
        <v>M: </v>
      </c>
      <c r="C11154" s="68"/>
      <c r="D11154" s="68"/>
      <c r="E11154" s="66"/>
      <c r="F11154" s="66" t="str">
        <f>IFERROR(__xludf.DUMMYFUNCTION("GOOGLETRANSLATE(A11154,""en"",""pt"")"),"#VALUE!")</f>
        <v>#VALUE!</v>
      </c>
      <c r="G11154" s="69"/>
    </row>
    <row r="11155" ht="22.5" customHeight="1">
      <c r="A11155" s="66"/>
      <c r="B11155" s="67" t="str">
        <f t="shared" si="16"/>
        <v>M: </v>
      </c>
      <c r="C11155" s="68"/>
      <c r="D11155" s="68"/>
      <c r="E11155" s="66"/>
      <c r="F11155" s="66" t="str">
        <f>IFERROR(__xludf.DUMMYFUNCTION("GOOGLETRANSLATE(A11155,""en"",""pt"")"),"#VALUE!")</f>
        <v>#VALUE!</v>
      </c>
      <c r="G11155" s="69"/>
    </row>
    <row r="11156" ht="22.5" customHeight="1">
      <c r="A11156" s="66"/>
      <c r="B11156" s="67" t="str">
        <f t="shared" si="16"/>
        <v>M: </v>
      </c>
      <c r="C11156" s="68"/>
      <c r="D11156" s="68"/>
      <c r="E11156" s="66"/>
      <c r="F11156" s="66" t="str">
        <f>IFERROR(__xludf.DUMMYFUNCTION("GOOGLETRANSLATE(A11156,""en"",""pt"")"),"#VALUE!")</f>
        <v>#VALUE!</v>
      </c>
      <c r="G11156" s="69"/>
    </row>
    <row r="11157" ht="22.5" customHeight="1">
      <c r="A11157" s="66"/>
      <c r="B11157" s="67" t="str">
        <f t="shared" si="16"/>
        <v>M: </v>
      </c>
      <c r="C11157" s="68"/>
      <c r="D11157" s="68"/>
      <c r="E11157" s="66"/>
      <c r="F11157" s="66" t="str">
        <f>IFERROR(__xludf.DUMMYFUNCTION("GOOGLETRANSLATE(A11157,""en"",""pt"")"),"#VALUE!")</f>
        <v>#VALUE!</v>
      </c>
      <c r="G11157" s="69"/>
    </row>
    <row r="11158" ht="22.5" customHeight="1">
      <c r="A11158" s="66"/>
      <c r="B11158" s="67" t="str">
        <f t="shared" si="16"/>
        <v>M: </v>
      </c>
      <c r="C11158" s="68"/>
      <c r="D11158" s="68"/>
      <c r="E11158" s="66"/>
      <c r="F11158" s="66" t="str">
        <f>IFERROR(__xludf.DUMMYFUNCTION("GOOGLETRANSLATE(A11158,""en"",""pt"")"),"#VALUE!")</f>
        <v>#VALUE!</v>
      </c>
      <c r="G11158" s="69"/>
    </row>
    <row r="11159" ht="22.5" customHeight="1">
      <c r="A11159" s="66"/>
      <c r="B11159" s="67" t="str">
        <f t="shared" si="16"/>
        <v>M: </v>
      </c>
      <c r="C11159" s="68"/>
      <c r="D11159" s="68"/>
      <c r="E11159" s="66"/>
      <c r="F11159" s="66" t="str">
        <f>IFERROR(__xludf.DUMMYFUNCTION("GOOGLETRANSLATE(A11159,""en"",""pt"")"),"#VALUE!")</f>
        <v>#VALUE!</v>
      </c>
      <c r="G11159" s="69"/>
    </row>
    <row r="11160" ht="22.5" customHeight="1">
      <c r="A11160" s="66"/>
      <c r="B11160" s="67" t="str">
        <f t="shared" si="16"/>
        <v>M: </v>
      </c>
      <c r="C11160" s="68"/>
      <c r="D11160" s="68"/>
      <c r="E11160" s="66"/>
      <c r="F11160" s="66" t="str">
        <f>IFERROR(__xludf.DUMMYFUNCTION("GOOGLETRANSLATE(A11160,""en"",""pt"")"),"#VALUE!")</f>
        <v>#VALUE!</v>
      </c>
      <c r="G11160" s="69"/>
    </row>
    <row r="11161" ht="22.5" customHeight="1">
      <c r="A11161" s="66"/>
      <c r="B11161" s="67" t="str">
        <f t="shared" si="16"/>
        <v>M: </v>
      </c>
      <c r="C11161" s="68"/>
      <c r="D11161" s="68"/>
      <c r="E11161" s="66"/>
      <c r="F11161" s="66" t="str">
        <f>IFERROR(__xludf.DUMMYFUNCTION("GOOGLETRANSLATE(A11161,""en"",""pt"")"),"#VALUE!")</f>
        <v>#VALUE!</v>
      </c>
      <c r="G11161" s="69"/>
    </row>
    <row r="11162" ht="22.5" customHeight="1">
      <c r="A11162" s="66"/>
      <c r="B11162" s="67" t="str">
        <f t="shared" si="16"/>
        <v>M: </v>
      </c>
      <c r="C11162" s="68"/>
      <c r="D11162" s="68"/>
      <c r="E11162" s="66"/>
      <c r="F11162" s="66" t="str">
        <f>IFERROR(__xludf.DUMMYFUNCTION("GOOGLETRANSLATE(A11162,""en"",""pt"")"),"#VALUE!")</f>
        <v>#VALUE!</v>
      </c>
      <c r="G11162" s="69"/>
    </row>
    <row r="11163" ht="22.5" customHeight="1">
      <c r="A11163" s="66"/>
      <c r="B11163" s="67" t="str">
        <f t="shared" si="16"/>
        <v>M: </v>
      </c>
      <c r="C11163" s="68"/>
      <c r="D11163" s="68"/>
      <c r="E11163" s="66"/>
      <c r="F11163" s="66" t="str">
        <f>IFERROR(__xludf.DUMMYFUNCTION("GOOGLETRANSLATE(A11163,""en"",""pt"")"),"#VALUE!")</f>
        <v>#VALUE!</v>
      </c>
      <c r="G11163" s="69"/>
    </row>
    <row r="11164" ht="22.5" customHeight="1">
      <c r="A11164" s="66"/>
      <c r="B11164" s="67" t="str">
        <f t="shared" si="16"/>
        <v>M: </v>
      </c>
      <c r="C11164" s="68"/>
      <c r="D11164" s="68"/>
      <c r="E11164" s="66"/>
      <c r="F11164" s="66" t="str">
        <f>IFERROR(__xludf.DUMMYFUNCTION("GOOGLETRANSLATE(A11164,""en"",""pt"")"),"#VALUE!")</f>
        <v>#VALUE!</v>
      </c>
      <c r="G11164" s="69"/>
    </row>
    <row r="11165" ht="22.5" customHeight="1">
      <c r="A11165" s="66"/>
      <c r="B11165" s="67" t="str">
        <f t="shared" si="16"/>
        <v>M: </v>
      </c>
      <c r="C11165" s="68"/>
      <c r="D11165" s="68"/>
      <c r="E11165" s="66"/>
      <c r="F11165" s="66" t="str">
        <f>IFERROR(__xludf.DUMMYFUNCTION("GOOGLETRANSLATE(A11165,""en"",""pt"")"),"#VALUE!")</f>
        <v>#VALUE!</v>
      </c>
      <c r="G11165" s="69"/>
    </row>
    <row r="11166" ht="22.5" customHeight="1">
      <c r="A11166" s="66"/>
      <c r="B11166" s="67" t="str">
        <f t="shared" si="16"/>
        <v>M: </v>
      </c>
      <c r="C11166" s="68"/>
      <c r="D11166" s="68"/>
      <c r="E11166" s="66"/>
      <c r="F11166" s="66" t="str">
        <f>IFERROR(__xludf.DUMMYFUNCTION("GOOGLETRANSLATE(A11166,""en"",""pt"")"),"#VALUE!")</f>
        <v>#VALUE!</v>
      </c>
      <c r="G11166" s="69"/>
    </row>
    <row r="11167" ht="22.5" customHeight="1">
      <c r="A11167" s="66"/>
      <c r="B11167" s="67" t="str">
        <f t="shared" si="16"/>
        <v>M: </v>
      </c>
      <c r="C11167" s="68"/>
      <c r="D11167" s="68"/>
      <c r="E11167" s="66"/>
      <c r="F11167" s="66" t="str">
        <f>IFERROR(__xludf.DUMMYFUNCTION("GOOGLETRANSLATE(A11167,""en"",""pt"")"),"#VALUE!")</f>
        <v>#VALUE!</v>
      </c>
      <c r="G11167" s="69"/>
    </row>
    <row r="11168" ht="22.5" customHeight="1">
      <c r="A11168" s="66"/>
      <c r="B11168" s="67" t="str">
        <f t="shared" si="16"/>
        <v>M: </v>
      </c>
      <c r="C11168" s="68"/>
      <c r="D11168" s="68"/>
      <c r="E11168" s="66"/>
      <c r="F11168" s="66" t="str">
        <f>IFERROR(__xludf.DUMMYFUNCTION("GOOGLETRANSLATE(A11168,""en"",""pt"")"),"#VALUE!")</f>
        <v>#VALUE!</v>
      </c>
      <c r="G11168" s="69"/>
    </row>
    <row r="11169" ht="22.5" customHeight="1">
      <c r="A11169" s="66"/>
      <c r="B11169" s="67" t="str">
        <f t="shared" si="16"/>
        <v>M: </v>
      </c>
      <c r="C11169" s="68"/>
      <c r="D11169" s="68"/>
      <c r="E11169" s="66"/>
      <c r="F11169" s="66" t="str">
        <f>IFERROR(__xludf.DUMMYFUNCTION("GOOGLETRANSLATE(A11169,""en"",""pt"")"),"#VALUE!")</f>
        <v>#VALUE!</v>
      </c>
      <c r="G11169" s="69"/>
    </row>
    <row r="11170" ht="22.5" customHeight="1">
      <c r="A11170" s="66"/>
      <c r="B11170" s="67" t="str">
        <f t="shared" si="16"/>
        <v>M: </v>
      </c>
      <c r="C11170" s="68"/>
      <c r="D11170" s="68"/>
      <c r="E11170" s="66"/>
      <c r="F11170" s="66" t="str">
        <f>IFERROR(__xludf.DUMMYFUNCTION("GOOGLETRANSLATE(A11170,""en"",""pt"")"),"#VALUE!")</f>
        <v>#VALUE!</v>
      </c>
      <c r="G11170" s="69"/>
    </row>
    <row r="11171" ht="22.5" customHeight="1">
      <c r="A11171" s="66"/>
      <c r="B11171" s="67" t="str">
        <f t="shared" si="16"/>
        <v>M: </v>
      </c>
      <c r="C11171" s="68"/>
      <c r="D11171" s="68"/>
      <c r="E11171" s="66"/>
      <c r="F11171" s="66" t="str">
        <f>IFERROR(__xludf.DUMMYFUNCTION("GOOGLETRANSLATE(A11171,""en"",""pt"")"),"#VALUE!")</f>
        <v>#VALUE!</v>
      </c>
      <c r="G11171" s="69"/>
    </row>
    <row r="11172" ht="22.5" customHeight="1">
      <c r="A11172" s="66"/>
      <c r="B11172" s="67" t="str">
        <f t="shared" si="16"/>
        <v>M: </v>
      </c>
      <c r="C11172" s="68"/>
      <c r="D11172" s="68"/>
      <c r="E11172" s="66"/>
      <c r="F11172" s="66" t="str">
        <f>IFERROR(__xludf.DUMMYFUNCTION("GOOGLETRANSLATE(A11172,""en"",""pt"")"),"#VALUE!")</f>
        <v>#VALUE!</v>
      </c>
      <c r="G11172" s="69"/>
    </row>
    <row r="11173" ht="22.5" customHeight="1">
      <c r="A11173" s="66"/>
      <c r="B11173" s="67" t="str">
        <f t="shared" si="16"/>
        <v>M: </v>
      </c>
      <c r="C11173" s="68"/>
      <c r="D11173" s="68"/>
      <c r="E11173" s="66"/>
      <c r="F11173" s="66" t="str">
        <f>IFERROR(__xludf.DUMMYFUNCTION("GOOGLETRANSLATE(A11173,""en"",""pt"")"),"#VALUE!")</f>
        <v>#VALUE!</v>
      </c>
      <c r="G11173" s="69"/>
    </row>
    <row r="11174" ht="22.5" customHeight="1">
      <c r="A11174" s="66"/>
      <c r="B11174" s="67" t="str">
        <f t="shared" si="16"/>
        <v>M: </v>
      </c>
      <c r="C11174" s="68"/>
      <c r="D11174" s="68"/>
      <c r="E11174" s="66"/>
      <c r="F11174" s="66" t="str">
        <f>IFERROR(__xludf.DUMMYFUNCTION("GOOGLETRANSLATE(A11174,""en"",""pt"")"),"#VALUE!")</f>
        <v>#VALUE!</v>
      </c>
      <c r="G11174" s="69"/>
    </row>
    <row r="11175" ht="22.5" customHeight="1">
      <c r="A11175" s="66"/>
      <c r="B11175" s="67" t="str">
        <f t="shared" si="16"/>
        <v>M: </v>
      </c>
      <c r="C11175" s="68"/>
      <c r="D11175" s="68"/>
      <c r="E11175" s="66"/>
      <c r="F11175" s="66" t="str">
        <f>IFERROR(__xludf.DUMMYFUNCTION("GOOGLETRANSLATE(A11175,""en"",""pt"")"),"#VALUE!")</f>
        <v>#VALUE!</v>
      </c>
      <c r="G11175" s="69"/>
    </row>
    <row r="11176" ht="22.5" customHeight="1">
      <c r="A11176" s="66"/>
      <c r="B11176" s="67" t="str">
        <f t="shared" si="16"/>
        <v>M: </v>
      </c>
      <c r="C11176" s="68"/>
      <c r="D11176" s="68"/>
      <c r="E11176" s="66"/>
      <c r="F11176" s="66" t="str">
        <f>IFERROR(__xludf.DUMMYFUNCTION("GOOGLETRANSLATE(A11176,""en"",""pt"")"),"#VALUE!")</f>
        <v>#VALUE!</v>
      </c>
      <c r="G11176" s="69"/>
    </row>
    <row r="11177" ht="22.5" customHeight="1">
      <c r="A11177" s="66"/>
      <c r="B11177" s="67" t="str">
        <f t="shared" si="16"/>
        <v>M: </v>
      </c>
      <c r="C11177" s="68"/>
      <c r="D11177" s="68"/>
      <c r="E11177" s="66"/>
      <c r="F11177" s="66" t="str">
        <f>IFERROR(__xludf.DUMMYFUNCTION("GOOGLETRANSLATE(A11177,""en"",""pt"")"),"#VALUE!")</f>
        <v>#VALUE!</v>
      </c>
      <c r="G11177" s="69"/>
    </row>
    <row r="11178" ht="22.5" customHeight="1">
      <c r="A11178" s="66"/>
      <c r="B11178" s="67" t="str">
        <f t="shared" si="16"/>
        <v>M: </v>
      </c>
      <c r="C11178" s="68"/>
      <c r="D11178" s="68"/>
      <c r="E11178" s="66"/>
      <c r="F11178" s="66" t="str">
        <f>IFERROR(__xludf.DUMMYFUNCTION("GOOGLETRANSLATE(A11178,""en"",""pt"")"),"#VALUE!")</f>
        <v>#VALUE!</v>
      </c>
      <c r="G11178" s="69"/>
    </row>
    <row r="11179" ht="22.5" customHeight="1">
      <c r="A11179" s="66"/>
      <c r="B11179" s="67" t="str">
        <f t="shared" si="16"/>
        <v>M: </v>
      </c>
      <c r="C11179" s="68"/>
      <c r="D11179" s="68"/>
      <c r="E11179" s="66"/>
      <c r="F11179" s="66" t="str">
        <f>IFERROR(__xludf.DUMMYFUNCTION("GOOGLETRANSLATE(A11179,""en"",""pt"")"),"#VALUE!")</f>
        <v>#VALUE!</v>
      </c>
      <c r="G11179" s="69"/>
    </row>
    <row r="11180" ht="22.5" customHeight="1">
      <c r="A11180" s="66"/>
      <c r="B11180" s="67" t="str">
        <f t="shared" si="16"/>
        <v>M: </v>
      </c>
      <c r="C11180" s="68"/>
      <c r="D11180" s="68"/>
      <c r="E11180" s="66"/>
      <c r="F11180" s="66" t="str">
        <f>IFERROR(__xludf.DUMMYFUNCTION("GOOGLETRANSLATE(A11180,""en"",""pt"")"),"#VALUE!")</f>
        <v>#VALUE!</v>
      </c>
      <c r="G11180" s="69"/>
    </row>
    <row r="11181" ht="22.5" customHeight="1">
      <c r="A11181" s="66"/>
      <c r="B11181" s="67" t="str">
        <f t="shared" si="16"/>
        <v>M: </v>
      </c>
      <c r="C11181" s="68"/>
      <c r="D11181" s="68"/>
      <c r="E11181" s="66"/>
      <c r="F11181" s="66" t="str">
        <f>IFERROR(__xludf.DUMMYFUNCTION("GOOGLETRANSLATE(A11181,""en"",""pt"")"),"#VALUE!")</f>
        <v>#VALUE!</v>
      </c>
      <c r="G11181" s="69"/>
    </row>
    <row r="11182" ht="22.5" customHeight="1">
      <c r="A11182" s="66"/>
      <c r="B11182" s="67" t="str">
        <f t="shared" si="16"/>
        <v>M: </v>
      </c>
      <c r="C11182" s="68"/>
      <c r="D11182" s="68"/>
      <c r="E11182" s="66"/>
      <c r="F11182" s="66" t="str">
        <f>IFERROR(__xludf.DUMMYFUNCTION("GOOGLETRANSLATE(A11182,""en"",""pt"")"),"#VALUE!")</f>
        <v>#VALUE!</v>
      </c>
      <c r="G11182" s="69"/>
    </row>
    <row r="11183" ht="22.5" customHeight="1">
      <c r="A11183" s="66"/>
      <c r="B11183" s="67" t="str">
        <f t="shared" si="16"/>
        <v>M: </v>
      </c>
      <c r="C11183" s="68"/>
      <c r="D11183" s="68"/>
      <c r="E11183" s="66"/>
      <c r="F11183" s="66" t="str">
        <f>IFERROR(__xludf.DUMMYFUNCTION("GOOGLETRANSLATE(A11183,""en"",""pt"")"),"#VALUE!")</f>
        <v>#VALUE!</v>
      </c>
      <c r="G11183" s="69"/>
    </row>
    <row r="11184" ht="22.5" customHeight="1">
      <c r="A11184" s="66"/>
      <c r="B11184" s="67" t="str">
        <f t="shared" si="16"/>
        <v>M: </v>
      </c>
      <c r="C11184" s="68"/>
      <c r="D11184" s="68"/>
      <c r="E11184" s="66"/>
      <c r="F11184" s="66" t="str">
        <f>IFERROR(__xludf.DUMMYFUNCTION("GOOGLETRANSLATE(A11184,""en"",""pt"")"),"#VALUE!")</f>
        <v>#VALUE!</v>
      </c>
      <c r="G11184" s="69"/>
    </row>
    <row r="11185" ht="22.5" customHeight="1">
      <c r="A11185" s="66"/>
      <c r="B11185" s="67" t="str">
        <f t="shared" si="16"/>
        <v>M: </v>
      </c>
      <c r="C11185" s="68"/>
      <c r="D11185" s="68"/>
      <c r="E11185" s="66"/>
      <c r="F11185" s="66" t="str">
        <f>IFERROR(__xludf.DUMMYFUNCTION("GOOGLETRANSLATE(A11185,""en"",""pt"")"),"#VALUE!")</f>
        <v>#VALUE!</v>
      </c>
      <c r="G11185" s="69"/>
    </row>
    <row r="11186" ht="22.5" customHeight="1">
      <c r="A11186" s="66"/>
      <c r="B11186" s="67" t="str">
        <f t="shared" si="16"/>
        <v>M: </v>
      </c>
      <c r="C11186" s="68"/>
      <c r="D11186" s="68"/>
      <c r="E11186" s="66"/>
      <c r="F11186" s="66" t="str">
        <f>IFERROR(__xludf.DUMMYFUNCTION("GOOGLETRANSLATE(A11186,""en"",""pt"")"),"#VALUE!")</f>
        <v>#VALUE!</v>
      </c>
      <c r="G11186" s="69"/>
    </row>
    <row r="11187" ht="22.5" customHeight="1">
      <c r="A11187" s="66"/>
      <c r="B11187" s="67" t="str">
        <f t="shared" si="16"/>
        <v>M: </v>
      </c>
      <c r="C11187" s="68"/>
      <c r="D11187" s="68"/>
      <c r="E11187" s="66"/>
      <c r="F11187" s="66" t="str">
        <f>IFERROR(__xludf.DUMMYFUNCTION("GOOGLETRANSLATE(A11187,""en"",""pt"")"),"#VALUE!")</f>
        <v>#VALUE!</v>
      </c>
      <c r="G11187" s="69"/>
    </row>
    <row r="11188" ht="22.5" customHeight="1">
      <c r="A11188" s="66"/>
      <c r="B11188" s="67" t="str">
        <f t="shared" si="16"/>
        <v>M: </v>
      </c>
      <c r="C11188" s="68"/>
      <c r="D11188" s="68"/>
      <c r="E11188" s="66"/>
      <c r="F11188" s="66" t="str">
        <f>IFERROR(__xludf.DUMMYFUNCTION("GOOGLETRANSLATE(A11188,""en"",""pt"")"),"#VALUE!")</f>
        <v>#VALUE!</v>
      </c>
      <c r="G11188" s="69"/>
    </row>
    <row r="11189" ht="22.5" customHeight="1">
      <c r="A11189" s="66"/>
      <c r="B11189" s="67" t="str">
        <f t="shared" si="16"/>
        <v>M: </v>
      </c>
      <c r="C11189" s="68"/>
      <c r="D11189" s="68"/>
      <c r="E11189" s="66"/>
      <c r="F11189" s="66" t="str">
        <f>IFERROR(__xludf.DUMMYFUNCTION("GOOGLETRANSLATE(A11189,""en"",""pt"")"),"#VALUE!")</f>
        <v>#VALUE!</v>
      </c>
      <c r="G11189" s="69"/>
    </row>
    <row r="11190" ht="22.5" customHeight="1">
      <c r="A11190" s="66"/>
      <c r="B11190" s="67" t="str">
        <f t="shared" si="16"/>
        <v>M: </v>
      </c>
      <c r="C11190" s="68"/>
      <c r="D11190" s="68"/>
      <c r="E11190" s="66"/>
      <c r="F11190" s="66" t="str">
        <f>IFERROR(__xludf.DUMMYFUNCTION("GOOGLETRANSLATE(A11190,""en"",""pt"")"),"#VALUE!")</f>
        <v>#VALUE!</v>
      </c>
      <c r="G11190" s="69"/>
    </row>
    <row r="11191" ht="22.5" customHeight="1">
      <c r="A11191" s="66"/>
      <c r="B11191" s="67" t="str">
        <f t="shared" si="16"/>
        <v>M: </v>
      </c>
      <c r="C11191" s="68"/>
      <c r="D11191" s="68"/>
      <c r="E11191" s="66"/>
      <c r="F11191" s="66" t="str">
        <f>IFERROR(__xludf.DUMMYFUNCTION("GOOGLETRANSLATE(A11191,""en"",""pt"")"),"#VALUE!")</f>
        <v>#VALUE!</v>
      </c>
      <c r="G11191" s="69"/>
    </row>
    <row r="11192" ht="22.5" customHeight="1">
      <c r="A11192" s="66"/>
      <c r="B11192" s="67" t="str">
        <f t="shared" si="16"/>
        <v>M: </v>
      </c>
      <c r="C11192" s="68"/>
      <c r="D11192" s="68"/>
      <c r="E11192" s="66"/>
      <c r="F11192" s="66" t="str">
        <f>IFERROR(__xludf.DUMMYFUNCTION("GOOGLETRANSLATE(A11192,""en"",""pt"")"),"#VALUE!")</f>
        <v>#VALUE!</v>
      </c>
      <c r="G11192" s="69"/>
    </row>
    <row r="11193" ht="22.5" customHeight="1">
      <c r="A11193" s="66"/>
      <c r="B11193" s="67" t="str">
        <f t="shared" si="16"/>
        <v>M: </v>
      </c>
      <c r="C11193" s="68"/>
      <c r="D11193" s="68"/>
      <c r="E11193" s="66"/>
      <c r="F11193" s="66" t="str">
        <f>IFERROR(__xludf.DUMMYFUNCTION("GOOGLETRANSLATE(A11193,""en"",""pt"")"),"#VALUE!")</f>
        <v>#VALUE!</v>
      </c>
      <c r="G11193" s="69"/>
    </row>
    <row r="11194" ht="22.5" customHeight="1">
      <c r="A11194" s="66"/>
      <c r="B11194" s="67" t="str">
        <f t="shared" si="16"/>
        <v>M: </v>
      </c>
      <c r="C11194" s="68"/>
      <c r="D11194" s="68"/>
      <c r="E11194" s="66"/>
      <c r="F11194" s="66" t="str">
        <f>IFERROR(__xludf.DUMMYFUNCTION("GOOGLETRANSLATE(A11194,""en"",""pt"")"),"#VALUE!")</f>
        <v>#VALUE!</v>
      </c>
      <c r="G11194" s="69"/>
    </row>
    <row r="11195" ht="22.5" customHeight="1">
      <c r="A11195" s="66"/>
      <c r="B11195" s="67" t="str">
        <f t="shared" si="16"/>
        <v>M: </v>
      </c>
      <c r="C11195" s="68"/>
      <c r="D11195" s="68"/>
      <c r="E11195" s="66"/>
      <c r="F11195" s="66" t="str">
        <f>IFERROR(__xludf.DUMMYFUNCTION("GOOGLETRANSLATE(A11195,""en"",""pt"")"),"#VALUE!")</f>
        <v>#VALUE!</v>
      </c>
      <c r="G11195" s="69"/>
    </row>
    <row r="11196" ht="22.5" customHeight="1">
      <c r="A11196" s="66"/>
      <c r="B11196" s="67" t="str">
        <f t="shared" si="16"/>
        <v>M: </v>
      </c>
      <c r="C11196" s="68"/>
      <c r="D11196" s="68"/>
      <c r="E11196" s="66"/>
      <c r="F11196" s="66" t="str">
        <f>IFERROR(__xludf.DUMMYFUNCTION("GOOGLETRANSLATE(A11196,""en"",""pt"")"),"#VALUE!")</f>
        <v>#VALUE!</v>
      </c>
      <c r="G11196" s="69"/>
    </row>
    <row r="11197" ht="22.5" customHeight="1">
      <c r="A11197" s="66"/>
      <c r="B11197" s="67" t="str">
        <f t="shared" si="16"/>
        <v>M: </v>
      </c>
      <c r="C11197" s="68"/>
      <c r="D11197" s="68"/>
      <c r="E11197" s="66"/>
      <c r="F11197" s="66" t="str">
        <f>IFERROR(__xludf.DUMMYFUNCTION("GOOGLETRANSLATE(A11197,""en"",""pt"")"),"#VALUE!")</f>
        <v>#VALUE!</v>
      </c>
      <c r="G11197" s="69"/>
    </row>
    <row r="11198" ht="22.5" customHeight="1">
      <c r="A11198" s="66"/>
      <c r="B11198" s="67" t="str">
        <f t="shared" si="16"/>
        <v>M: </v>
      </c>
      <c r="C11198" s="68"/>
      <c r="D11198" s="68"/>
      <c r="E11198" s="66"/>
      <c r="F11198" s="66" t="str">
        <f>IFERROR(__xludf.DUMMYFUNCTION("GOOGLETRANSLATE(A11198,""en"",""pt"")"),"#VALUE!")</f>
        <v>#VALUE!</v>
      </c>
      <c r="G11198" s="69"/>
    </row>
    <row r="11199" ht="22.5" customHeight="1">
      <c r="A11199" s="66"/>
      <c r="B11199" s="67" t="str">
        <f t="shared" si="16"/>
        <v>M: </v>
      </c>
      <c r="C11199" s="68"/>
      <c r="D11199" s="68"/>
      <c r="E11199" s="66"/>
      <c r="F11199" s="66" t="str">
        <f>IFERROR(__xludf.DUMMYFUNCTION("GOOGLETRANSLATE(A11199,""en"",""pt"")"),"#VALUE!")</f>
        <v>#VALUE!</v>
      </c>
      <c r="G11199" s="69"/>
    </row>
    <row r="11200" ht="22.5" customHeight="1">
      <c r="A11200" s="66"/>
      <c r="B11200" s="67" t="str">
        <f t="shared" si="16"/>
        <v>M: </v>
      </c>
      <c r="C11200" s="68"/>
      <c r="D11200" s="68"/>
      <c r="E11200" s="66"/>
      <c r="F11200" s="66" t="str">
        <f>IFERROR(__xludf.DUMMYFUNCTION("GOOGLETRANSLATE(A11200,""en"",""pt"")"),"#VALUE!")</f>
        <v>#VALUE!</v>
      </c>
      <c r="G11200" s="69"/>
    </row>
    <row r="11201" ht="22.5" customHeight="1">
      <c r="A11201" s="66"/>
      <c r="B11201" s="67" t="str">
        <f t="shared" si="16"/>
        <v>M: </v>
      </c>
      <c r="C11201" s="68"/>
      <c r="D11201" s="68"/>
      <c r="E11201" s="66"/>
      <c r="F11201" s="66" t="str">
        <f>IFERROR(__xludf.DUMMYFUNCTION("GOOGLETRANSLATE(A11201,""en"",""pt"")"),"#VALUE!")</f>
        <v>#VALUE!</v>
      </c>
      <c r="G11201" s="69"/>
    </row>
    <row r="11202" ht="22.5" customHeight="1">
      <c r="A11202" s="66"/>
      <c r="B11202" s="67" t="str">
        <f t="shared" si="16"/>
        <v>M: </v>
      </c>
      <c r="C11202" s="68"/>
      <c r="D11202" s="68"/>
      <c r="E11202" s="66"/>
      <c r="F11202" s="66" t="str">
        <f>IFERROR(__xludf.DUMMYFUNCTION("GOOGLETRANSLATE(A11202,""en"",""pt"")"),"#VALUE!")</f>
        <v>#VALUE!</v>
      </c>
      <c r="G11202" s="69"/>
    </row>
    <row r="11203" ht="22.5" customHeight="1">
      <c r="A11203" s="66"/>
      <c r="B11203" s="67" t="str">
        <f t="shared" si="16"/>
        <v>M: </v>
      </c>
      <c r="C11203" s="68"/>
      <c r="D11203" s="68"/>
      <c r="E11203" s="66"/>
      <c r="F11203" s="66" t="str">
        <f>IFERROR(__xludf.DUMMYFUNCTION("GOOGLETRANSLATE(A11203,""en"",""pt"")"),"#VALUE!")</f>
        <v>#VALUE!</v>
      </c>
      <c r="G11203" s="69"/>
    </row>
    <row r="11204" ht="22.5" customHeight="1">
      <c r="A11204" s="66"/>
      <c r="B11204" s="67" t="str">
        <f t="shared" si="16"/>
        <v>M: </v>
      </c>
      <c r="C11204" s="68"/>
      <c r="D11204" s="68"/>
      <c r="E11204" s="66"/>
      <c r="F11204" s="66" t="str">
        <f>IFERROR(__xludf.DUMMYFUNCTION("GOOGLETRANSLATE(A11204,""en"",""pt"")"),"#VALUE!")</f>
        <v>#VALUE!</v>
      </c>
      <c r="G11204" s="69"/>
    </row>
    <row r="11205" ht="22.5" customHeight="1">
      <c r="A11205" s="66"/>
      <c r="B11205" s="67" t="str">
        <f t="shared" si="16"/>
        <v>M: </v>
      </c>
      <c r="C11205" s="68"/>
      <c r="D11205" s="68"/>
      <c r="E11205" s="66"/>
      <c r="F11205" s="66" t="str">
        <f>IFERROR(__xludf.DUMMYFUNCTION("GOOGLETRANSLATE(A11205,""en"",""pt"")"),"#VALUE!")</f>
        <v>#VALUE!</v>
      </c>
      <c r="G11205" s="69"/>
    </row>
    <row r="11206" ht="22.5" customHeight="1">
      <c r="A11206" s="66"/>
      <c r="B11206" s="67" t="str">
        <f t="shared" si="16"/>
        <v>M: </v>
      </c>
      <c r="C11206" s="68"/>
      <c r="D11206" s="68"/>
      <c r="E11206" s="66"/>
      <c r="F11206" s="66" t="str">
        <f>IFERROR(__xludf.DUMMYFUNCTION("GOOGLETRANSLATE(A11206,""en"",""pt"")"),"#VALUE!")</f>
        <v>#VALUE!</v>
      </c>
      <c r="G11206" s="69"/>
    </row>
    <row r="11207" ht="22.5" customHeight="1">
      <c r="A11207" s="66"/>
      <c r="B11207" s="67" t="str">
        <f t="shared" si="16"/>
        <v>M: </v>
      </c>
      <c r="C11207" s="68"/>
      <c r="D11207" s="68"/>
      <c r="E11207" s="66"/>
      <c r="F11207" s="66" t="str">
        <f>IFERROR(__xludf.DUMMYFUNCTION("GOOGLETRANSLATE(A11207,""en"",""pt"")"),"#VALUE!")</f>
        <v>#VALUE!</v>
      </c>
      <c r="G11207" s="69"/>
    </row>
    <row r="11208" ht="22.5" customHeight="1">
      <c r="A11208" s="66"/>
      <c r="B11208" s="67" t="str">
        <f t="shared" si="16"/>
        <v>M: </v>
      </c>
      <c r="C11208" s="68"/>
      <c r="D11208" s="68"/>
      <c r="E11208" s="66"/>
      <c r="F11208" s="66" t="str">
        <f>IFERROR(__xludf.DUMMYFUNCTION("GOOGLETRANSLATE(A11208,""en"",""pt"")"),"#VALUE!")</f>
        <v>#VALUE!</v>
      </c>
      <c r="G11208" s="69"/>
    </row>
    <row r="11209" ht="22.5" customHeight="1">
      <c r="A11209" s="66"/>
      <c r="B11209" s="67" t="str">
        <f t="shared" si="16"/>
        <v>M: </v>
      </c>
      <c r="C11209" s="68"/>
      <c r="D11209" s="68"/>
      <c r="E11209" s="66"/>
      <c r="F11209" s="66" t="str">
        <f>IFERROR(__xludf.DUMMYFUNCTION("GOOGLETRANSLATE(A11209,""en"",""pt"")"),"#VALUE!")</f>
        <v>#VALUE!</v>
      </c>
      <c r="G11209" s="69"/>
    </row>
    <row r="11210" ht="22.5" customHeight="1">
      <c r="A11210" s="66"/>
      <c r="B11210" s="67" t="str">
        <f t="shared" si="16"/>
        <v>M: </v>
      </c>
      <c r="C11210" s="68"/>
      <c r="D11210" s="68"/>
      <c r="E11210" s="66"/>
      <c r="F11210" s="66" t="str">
        <f>IFERROR(__xludf.DUMMYFUNCTION("GOOGLETRANSLATE(A11210,""en"",""pt"")"),"#VALUE!")</f>
        <v>#VALUE!</v>
      </c>
      <c r="G11210" s="69"/>
    </row>
    <row r="11211" ht="22.5" customHeight="1">
      <c r="A11211" s="66"/>
      <c r="B11211" s="67" t="str">
        <f t="shared" si="16"/>
        <v>M: </v>
      </c>
      <c r="C11211" s="68"/>
      <c r="D11211" s="68"/>
      <c r="E11211" s="66"/>
      <c r="F11211" s="66" t="str">
        <f>IFERROR(__xludf.DUMMYFUNCTION("GOOGLETRANSLATE(A11211,""en"",""pt"")"),"#VALUE!")</f>
        <v>#VALUE!</v>
      </c>
      <c r="G11211" s="69"/>
    </row>
    <row r="11212" ht="22.5" customHeight="1">
      <c r="A11212" s="66"/>
      <c r="B11212" s="67" t="str">
        <f t="shared" si="16"/>
        <v>M: </v>
      </c>
      <c r="C11212" s="68"/>
      <c r="D11212" s="68"/>
      <c r="E11212" s="66"/>
      <c r="F11212" s="66" t="str">
        <f>IFERROR(__xludf.DUMMYFUNCTION("GOOGLETRANSLATE(A11212,""en"",""pt"")"),"#VALUE!")</f>
        <v>#VALUE!</v>
      </c>
      <c r="G11212" s="69"/>
    </row>
    <row r="11213" ht="22.5" customHeight="1">
      <c r="A11213" s="66"/>
      <c r="B11213" s="67" t="str">
        <f t="shared" si="16"/>
        <v>M: </v>
      </c>
      <c r="C11213" s="68"/>
      <c r="D11213" s="68"/>
      <c r="E11213" s="66"/>
      <c r="F11213" s="66" t="str">
        <f>IFERROR(__xludf.DUMMYFUNCTION("GOOGLETRANSLATE(A11213,""en"",""pt"")"),"#VALUE!")</f>
        <v>#VALUE!</v>
      </c>
      <c r="G11213" s="69"/>
    </row>
    <row r="11214" ht="22.5" customHeight="1">
      <c r="A11214" s="66"/>
      <c r="B11214" s="67" t="str">
        <f t="shared" si="16"/>
        <v>M: </v>
      </c>
      <c r="C11214" s="68"/>
      <c r="D11214" s="68"/>
      <c r="E11214" s="66"/>
      <c r="F11214" s="66" t="str">
        <f>IFERROR(__xludf.DUMMYFUNCTION("GOOGLETRANSLATE(A11214,""en"",""pt"")"),"#VALUE!")</f>
        <v>#VALUE!</v>
      </c>
      <c r="G11214" s="69"/>
    </row>
    <row r="11215" ht="22.5" customHeight="1">
      <c r="A11215" s="66"/>
      <c r="B11215" s="67" t="str">
        <f t="shared" si="16"/>
        <v>M: </v>
      </c>
      <c r="C11215" s="68"/>
      <c r="D11215" s="68"/>
      <c r="E11215" s="66"/>
      <c r="F11215" s="66" t="str">
        <f>IFERROR(__xludf.DUMMYFUNCTION("GOOGLETRANSLATE(A11215,""en"",""pt"")"),"#VALUE!")</f>
        <v>#VALUE!</v>
      </c>
      <c r="G11215" s="69"/>
    </row>
    <row r="11216" ht="22.5" customHeight="1">
      <c r="A11216" s="66"/>
      <c r="B11216" s="67" t="str">
        <f t="shared" si="16"/>
        <v>M: </v>
      </c>
      <c r="C11216" s="68"/>
      <c r="D11216" s="68"/>
      <c r="E11216" s="66"/>
      <c r="F11216" s="66" t="str">
        <f>IFERROR(__xludf.DUMMYFUNCTION("GOOGLETRANSLATE(A11216,""en"",""pt"")"),"#VALUE!")</f>
        <v>#VALUE!</v>
      </c>
      <c r="G11216" s="69"/>
    </row>
    <row r="11217" ht="22.5" customHeight="1">
      <c r="A11217" s="66"/>
      <c r="B11217" s="67" t="str">
        <f t="shared" si="16"/>
        <v>M: </v>
      </c>
      <c r="C11217" s="68"/>
      <c r="D11217" s="68"/>
      <c r="E11217" s="66"/>
      <c r="F11217" s="66" t="str">
        <f>IFERROR(__xludf.DUMMYFUNCTION("GOOGLETRANSLATE(A11217,""en"",""pt"")"),"#VALUE!")</f>
        <v>#VALUE!</v>
      </c>
      <c r="G11217" s="69"/>
    </row>
    <row r="11218" ht="22.5" customHeight="1">
      <c r="A11218" s="66"/>
      <c r="B11218" s="67" t="str">
        <f t="shared" si="16"/>
        <v>M: </v>
      </c>
      <c r="C11218" s="68"/>
      <c r="D11218" s="68"/>
      <c r="E11218" s="66"/>
      <c r="F11218" s="66" t="str">
        <f>IFERROR(__xludf.DUMMYFUNCTION("GOOGLETRANSLATE(A11218,""en"",""pt"")"),"#VALUE!")</f>
        <v>#VALUE!</v>
      </c>
      <c r="G11218" s="69"/>
    </row>
    <row r="11219" ht="22.5" customHeight="1">
      <c r="A11219" s="66"/>
      <c r="B11219" s="67" t="str">
        <f t="shared" si="16"/>
        <v>M: </v>
      </c>
      <c r="C11219" s="68"/>
      <c r="D11219" s="68"/>
      <c r="E11219" s="66"/>
      <c r="F11219" s="66" t="str">
        <f>IFERROR(__xludf.DUMMYFUNCTION("GOOGLETRANSLATE(A11219,""en"",""pt"")"),"#VALUE!")</f>
        <v>#VALUE!</v>
      </c>
      <c r="G11219" s="69"/>
    </row>
    <row r="11220" ht="22.5" customHeight="1">
      <c r="A11220" s="66"/>
      <c r="B11220" s="67" t="str">
        <f t="shared" si="16"/>
        <v>M: </v>
      </c>
      <c r="C11220" s="68"/>
      <c r="D11220" s="68"/>
      <c r="E11220" s="66"/>
      <c r="F11220" s="66" t="str">
        <f>IFERROR(__xludf.DUMMYFUNCTION("GOOGLETRANSLATE(A11220,""en"",""pt"")"),"#VALUE!")</f>
        <v>#VALUE!</v>
      </c>
      <c r="G11220" s="69"/>
    </row>
    <row r="11221" ht="22.5" customHeight="1">
      <c r="A11221" s="66"/>
      <c r="B11221" s="67" t="str">
        <f t="shared" si="16"/>
        <v>M: </v>
      </c>
      <c r="C11221" s="68"/>
      <c r="D11221" s="68"/>
      <c r="E11221" s="66"/>
      <c r="F11221" s="66" t="str">
        <f>IFERROR(__xludf.DUMMYFUNCTION("GOOGLETRANSLATE(A11221,""en"",""pt"")"),"#VALUE!")</f>
        <v>#VALUE!</v>
      </c>
      <c r="G11221" s="69"/>
    </row>
    <row r="11222" ht="22.5" customHeight="1">
      <c r="A11222" s="66"/>
      <c r="B11222" s="67" t="str">
        <f t="shared" si="16"/>
        <v>M: </v>
      </c>
      <c r="C11222" s="68"/>
      <c r="D11222" s="68"/>
      <c r="E11222" s="66"/>
      <c r="F11222" s="66" t="str">
        <f>IFERROR(__xludf.DUMMYFUNCTION("GOOGLETRANSLATE(A11222,""en"",""pt"")"),"#VALUE!")</f>
        <v>#VALUE!</v>
      </c>
      <c r="G11222" s="69"/>
    </row>
    <row r="11223" ht="22.5" customHeight="1">
      <c r="A11223" s="66"/>
      <c r="B11223" s="67" t="str">
        <f t="shared" si="16"/>
        <v>M: </v>
      </c>
      <c r="C11223" s="68"/>
      <c r="D11223" s="68"/>
      <c r="E11223" s="66"/>
      <c r="F11223" s="66" t="str">
        <f>IFERROR(__xludf.DUMMYFUNCTION("GOOGLETRANSLATE(A11223,""en"",""pt"")"),"#VALUE!")</f>
        <v>#VALUE!</v>
      </c>
      <c r="G11223" s="69"/>
    </row>
    <row r="11224" ht="22.5" customHeight="1">
      <c r="A11224" s="66"/>
      <c r="B11224" s="67" t="str">
        <f t="shared" si="16"/>
        <v>M: </v>
      </c>
      <c r="C11224" s="68"/>
      <c r="D11224" s="68"/>
      <c r="E11224" s="66"/>
      <c r="F11224" s="66" t="str">
        <f>IFERROR(__xludf.DUMMYFUNCTION("GOOGLETRANSLATE(A11224,""en"",""pt"")"),"#VALUE!")</f>
        <v>#VALUE!</v>
      </c>
      <c r="G11224" s="69"/>
    </row>
    <row r="11225" ht="22.5" customHeight="1">
      <c r="A11225" s="66"/>
      <c r="B11225" s="67" t="str">
        <f t="shared" si="16"/>
        <v>M: </v>
      </c>
      <c r="C11225" s="68"/>
      <c r="D11225" s="68"/>
      <c r="E11225" s="66"/>
      <c r="F11225" s="66" t="str">
        <f>IFERROR(__xludf.DUMMYFUNCTION("GOOGLETRANSLATE(A11225,""en"",""pt"")"),"#VALUE!")</f>
        <v>#VALUE!</v>
      </c>
      <c r="G11225" s="69"/>
    </row>
    <row r="11226" ht="22.5" customHeight="1">
      <c r="A11226" s="66"/>
      <c r="B11226" s="67" t="str">
        <f t="shared" si="16"/>
        <v>M: </v>
      </c>
      <c r="C11226" s="68"/>
      <c r="D11226" s="68"/>
      <c r="E11226" s="66"/>
      <c r="F11226" s="66" t="str">
        <f>IFERROR(__xludf.DUMMYFUNCTION("GOOGLETRANSLATE(A11226,""en"",""pt"")"),"#VALUE!")</f>
        <v>#VALUE!</v>
      </c>
      <c r="G11226" s="69"/>
    </row>
    <row r="11227" ht="22.5" customHeight="1">
      <c r="A11227" s="66"/>
      <c r="B11227" s="67" t="str">
        <f t="shared" si="16"/>
        <v>M: </v>
      </c>
      <c r="C11227" s="68"/>
      <c r="D11227" s="68"/>
      <c r="E11227" s="66"/>
      <c r="F11227" s="66" t="str">
        <f>IFERROR(__xludf.DUMMYFUNCTION("GOOGLETRANSLATE(A11227,""en"",""pt"")"),"#VALUE!")</f>
        <v>#VALUE!</v>
      </c>
      <c r="G11227" s="69"/>
    </row>
    <row r="11228" ht="22.5" customHeight="1">
      <c r="A11228" s="66"/>
      <c r="B11228" s="67" t="str">
        <f t="shared" si="16"/>
        <v>M: </v>
      </c>
      <c r="C11228" s="68"/>
      <c r="D11228" s="68"/>
      <c r="E11228" s="66"/>
      <c r="F11228" s="66" t="str">
        <f>IFERROR(__xludf.DUMMYFUNCTION("GOOGLETRANSLATE(A11228,""en"",""pt"")"),"#VALUE!")</f>
        <v>#VALUE!</v>
      </c>
      <c r="G11228" s="69"/>
    </row>
    <row r="11229" ht="22.5" customHeight="1">
      <c r="A11229" s="66"/>
      <c r="B11229" s="67" t="str">
        <f t="shared" si="16"/>
        <v>M: </v>
      </c>
      <c r="C11229" s="68"/>
      <c r="D11229" s="68"/>
      <c r="E11229" s="66"/>
      <c r="F11229" s="66" t="str">
        <f>IFERROR(__xludf.DUMMYFUNCTION("GOOGLETRANSLATE(A11229,""en"",""pt"")"),"#VALUE!")</f>
        <v>#VALUE!</v>
      </c>
      <c r="G11229" s="69"/>
    </row>
    <row r="11230" ht="22.5" customHeight="1">
      <c r="A11230" s="66"/>
      <c r="B11230" s="67" t="str">
        <f t="shared" si="16"/>
        <v>M: </v>
      </c>
      <c r="C11230" s="68"/>
      <c r="D11230" s="68"/>
      <c r="E11230" s="66"/>
      <c r="F11230" s="66" t="str">
        <f>IFERROR(__xludf.DUMMYFUNCTION("GOOGLETRANSLATE(A11230,""en"",""pt"")"),"#VALUE!")</f>
        <v>#VALUE!</v>
      </c>
      <c r="G11230" s="69"/>
    </row>
    <row r="11231" ht="22.5" customHeight="1">
      <c r="A11231" s="66"/>
      <c r="B11231" s="67" t="str">
        <f t="shared" si="16"/>
        <v>M: </v>
      </c>
      <c r="C11231" s="68"/>
      <c r="D11231" s="68"/>
      <c r="E11231" s="66"/>
      <c r="F11231" s="66" t="str">
        <f>IFERROR(__xludf.DUMMYFUNCTION("GOOGLETRANSLATE(A11231,""en"",""pt"")"),"#VALUE!")</f>
        <v>#VALUE!</v>
      </c>
      <c r="G11231" s="69"/>
    </row>
    <row r="11232" ht="22.5" customHeight="1">
      <c r="A11232" s="66"/>
      <c r="B11232" s="67" t="str">
        <f t="shared" si="16"/>
        <v>M: </v>
      </c>
      <c r="C11232" s="68"/>
      <c r="D11232" s="68"/>
      <c r="E11232" s="66"/>
      <c r="F11232" s="66" t="str">
        <f>IFERROR(__xludf.DUMMYFUNCTION("GOOGLETRANSLATE(A11232,""en"",""pt"")"),"#VALUE!")</f>
        <v>#VALUE!</v>
      </c>
      <c r="G11232" s="69"/>
    </row>
    <row r="11233" ht="22.5" customHeight="1">
      <c r="A11233" s="66"/>
      <c r="B11233" s="67" t="str">
        <f t="shared" si="16"/>
        <v>M: </v>
      </c>
      <c r="C11233" s="68"/>
      <c r="D11233" s="68"/>
      <c r="E11233" s="66"/>
      <c r="F11233" s="66" t="str">
        <f>IFERROR(__xludf.DUMMYFUNCTION("GOOGLETRANSLATE(A11233,""en"",""pt"")"),"#VALUE!")</f>
        <v>#VALUE!</v>
      </c>
      <c r="G11233" s="69"/>
    </row>
    <row r="11234" ht="22.5" customHeight="1">
      <c r="A11234" s="66"/>
      <c r="B11234" s="67" t="str">
        <f t="shared" si="16"/>
        <v>M: </v>
      </c>
      <c r="C11234" s="68"/>
      <c r="D11234" s="68"/>
      <c r="E11234" s="66"/>
      <c r="F11234" s="66" t="str">
        <f>IFERROR(__xludf.DUMMYFUNCTION("GOOGLETRANSLATE(A11234,""en"",""pt"")"),"#VALUE!")</f>
        <v>#VALUE!</v>
      </c>
      <c r="G11234" s="69"/>
    </row>
    <row r="11235" ht="22.5" customHeight="1">
      <c r="A11235" s="66"/>
      <c r="B11235" s="67" t="str">
        <f t="shared" si="16"/>
        <v>M: </v>
      </c>
      <c r="C11235" s="68"/>
      <c r="D11235" s="68"/>
      <c r="E11235" s="66"/>
      <c r="F11235" s="66" t="str">
        <f>IFERROR(__xludf.DUMMYFUNCTION("GOOGLETRANSLATE(A11235,""en"",""pt"")"),"#VALUE!")</f>
        <v>#VALUE!</v>
      </c>
      <c r="G11235" s="69"/>
    </row>
    <row r="11236" ht="22.5" customHeight="1">
      <c r="A11236" s="66"/>
      <c r="B11236" s="67" t="str">
        <f t="shared" si="16"/>
        <v>M: </v>
      </c>
      <c r="C11236" s="68"/>
      <c r="D11236" s="68"/>
      <c r="E11236" s="66"/>
      <c r="F11236" s="66" t="str">
        <f>IFERROR(__xludf.DUMMYFUNCTION("GOOGLETRANSLATE(A11236,""en"",""pt"")"),"#VALUE!")</f>
        <v>#VALUE!</v>
      </c>
      <c r="G11236" s="69"/>
    </row>
    <row r="11237" ht="22.5" customHeight="1">
      <c r="A11237" s="66"/>
      <c r="B11237" s="67" t="str">
        <f t="shared" si="16"/>
        <v>M: </v>
      </c>
      <c r="C11237" s="68"/>
      <c r="D11237" s="68"/>
      <c r="E11237" s="66"/>
      <c r="F11237" s="66" t="str">
        <f>IFERROR(__xludf.DUMMYFUNCTION("GOOGLETRANSLATE(A11237,""en"",""pt"")"),"#VALUE!")</f>
        <v>#VALUE!</v>
      </c>
      <c r="G11237" s="69"/>
    </row>
    <row r="11238" ht="22.5" customHeight="1">
      <c r="A11238" s="66"/>
      <c r="B11238" s="67" t="str">
        <f t="shared" si="16"/>
        <v>M: </v>
      </c>
      <c r="C11238" s="68"/>
      <c r="D11238" s="68"/>
      <c r="E11238" s="66"/>
      <c r="F11238" s="66" t="str">
        <f>IFERROR(__xludf.DUMMYFUNCTION("GOOGLETRANSLATE(A11238,""en"",""pt"")"),"#VALUE!")</f>
        <v>#VALUE!</v>
      </c>
      <c r="G11238" s="69"/>
    </row>
    <row r="11239" ht="22.5" customHeight="1">
      <c r="A11239" s="66"/>
      <c r="B11239" s="67" t="str">
        <f t="shared" si="16"/>
        <v>M: </v>
      </c>
      <c r="C11239" s="68"/>
      <c r="D11239" s="68"/>
      <c r="E11239" s="66"/>
      <c r="F11239" s="66" t="str">
        <f>IFERROR(__xludf.DUMMYFUNCTION("GOOGLETRANSLATE(A11239,""en"",""pt"")"),"#VALUE!")</f>
        <v>#VALUE!</v>
      </c>
      <c r="G11239" s="69"/>
    </row>
    <row r="11240" ht="22.5" customHeight="1">
      <c r="A11240" s="66"/>
      <c r="B11240" s="67" t="str">
        <f t="shared" si="16"/>
        <v>M: </v>
      </c>
      <c r="C11240" s="68"/>
      <c r="D11240" s="68"/>
      <c r="E11240" s="66"/>
      <c r="F11240" s="66" t="str">
        <f>IFERROR(__xludf.DUMMYFUNCTION("GOOGLETRANSLATE(A11240,""en"",""pt"")"),"#VALUE!")</f>
        <v>#VALUE!</v>
      </c>
      <c r="G11240" s="69"/>
    </row>
    <row r="11241" ht="22.5" customHeight="1">
      <c r="A11241" s="66"/>
      <c r="B11241" s="67" t="str">
        <f t="shared" si="16"/>
        <v>M: </v>
      </c>
      <c r="C11241" s="68"/>
      <c r="D11241" s="68"/>
      <c r="E11241" s="66"/>
      <c r="F11241" s="66" t="str">
        <f>IFERROR(__xludf.DUMMYFUNCTION("GOOGLETRANSLATE(A11241,""en"",""pt"")"),"#VALUE!")</f>
        <v>#VALUE!</v>
      </c>
      <c r="G11241" s="69"/>
    </row>
    <row r="11242" ht="22.5" customHeight="1">
      <c r="A11242" s="66"/>
      <c r="B11242" s="67" t="str">
        <f t="shared" si="16"/>
        <v>M: </v>
      </c>
      <c r="C11242" s="68"/>
      <c r="D11242" s="68"/>
      <c r="E11242" s="66"/>
      <c r="F11242" s="66" t="str">
        <f>IFERROR(__xludf.DUMMYFUNCTION("GOOGLETRANSLATE(A11242,""en"",""pt"")"),"#VALUE!")</f>
        <v>#VALUE!</v>
      </c>
      <c r="G11242" s="69"/>
    </row>
    <row r="11243" ht="22.5" customHeight="1">
      <c r="A11243" s="66"/>
      <c r="B11243" s="67" t="str">
        <f t="shared" si="16"/>
        <v>M: </v>
      </c>
      <c r="C11243" s="68"/>
      <c r="D11243" s="68"/>
      <c r="E11243" s="66"/>
      <c r="F11243" s="66" t="str">
        <f>IFERROR(__xludf.DUMMYFUNCTION("GOOGLETRANSLATE(A11243,""en"",""pt"")"),"#VALUE!")</f>
        <v>#VALUE!</v>
      </c>
      <c r="G11243" s="69"/>
    </row>
    <row r="11244" ht="22.5" customHeight="1">
      <c r="A11244" s="66"/>
      <c r="B11244" s="67" t="str">
        <f t="shared" si="16"/>
        <v>M: </v>
      </c>
      <c r="C11244" s="68"/>
      <c r="D11244" s="68"/>
      <c r="E11244" s="66"/>
      <c r="F11244" s="66" t="str">
        <f>IFERROR(__xludf.DUMMYFUNCTION("GOOGLETRANSLATE(A11244,""en"",""pt"")"),"#VALUE!")</f>
        <v>#VALUE!</v>
      </c>
      <c r="G11244" s="69"/>
    </row>
    <row r="11245" ht="22.5" customHeight="1">
      <c r="A11245" s="66"/>
      <c r="B11245" s="67" t="str">
        <f t="shared" si="16"/>
        <v>M: </v>
      </c>
      <c r="C11245" s="68"/>
      <c r="D11245" s="68"/>
      <c r="E11245" s="66"/>
      <c r="F11245" s="66" t="str">
        <f>IFERROR(__xludf.DUMMYFUNCTION("GOOGLETRANSLATE(A11245,""en"",""pt"")"),"#VALUE!")</f>
        <v>#VALUE!</v>
      </c>
      <c r="G11245" s="69"/>
    </row>
    <row r="11246" ht="22.5" customHeight="1">
      <c r="A11246" s="66"/>
      <c r="B11246" s="67" t="str">
        <f t="shared" si="16"/>
        <v>M: </v>
      </c>
      <c r="C11246" s="68"/>
      <c r="D11246" s="68"/>
      <c r="E11246" s="66"/>
      <c r="F11246" s="66" t="str">
        <f>IFERROR(__xludf.DUMMYFUNCTION("GOOGLETRANSLATE(A11246,""en"",""pt"")"),"#VALUE!")</f>
        <v>#VALUE!</v>
      </c>
      <c r="G11246" s="69"/>
    </row>
    <row r="11247" ht="22.5" customHeight="1">
      <c r="A11247" s="66"/>
      <c r="B11247" s="67" t="str">
        <f t="shared" si="16"/>
        <v>M: </v>
      </c>
      <c r="C11247" s="68"/>
      <c r="D11247" s="68"/>
      <c r="E11247" s="66"/>
      <c r="F11247" s="66" t="str">
        <f>IFERROR(__xludf.DUMMYFUNCTION("GOOGLETRANSLATE(A11247,""en"",""pt"")"),"#VALUE!")</f>
        <v>#VALUE!</v>
      </c>
      <c r="G11247" s="69"/>
    </row>
    <row r="11248" ht="22.5" customHeight="1">
      <c r="A11248" s="66"/>
      <c r="B11248" s="67" t="str">
        <f t="shared" si="16"/>
        <v>M: </v>
      </c>
      <c r="C11248" s="68"/>
      <c r="D11248" s="68"/>
      <c r="E11248" s="66"/>
      <c r="F11248" s="66" t="str">
        <f>IFERROR(__xludf.DUMMYFUNCTION("GOOGLETRANSLATE(A11248,""en"",""pt"")"),"#VALUE!")</f>
        <v>#VALUE!</v>
      </c>
      <c r="G11248" s="69"/>
    </row>
    <row r="11249" ht="22.5" customHeight="1">
      <c r="A11249" s="66"/>
      <c r="B11249" s="67" t="str">
        <f t="shared" si="16"/>
        <v>M: </v>
      </c>
      <c r="C11249" s="68"/>
      <c r="D11249" s="68"/>
      <c r="E11249" s="66"/>
      <c r="F11249" s="66" t="str">
        <f>IFERROR(__xludf.DUMMYFUNCTION("GOOGLETRANSLATE(A11249,""en"",""pt"")"),"#VALUE!")</f>
        <v>#VALUE!</v>
      </c>
      <c r="G11249" s="69"/>
    </row>
    <row r="11250" ht="22.5" customHeight="1">
      <c r="A11250" s="66"/>
      <c r="B11250" s="67" t="str">
        <f t="shared" si="16"/>
        <v>M: </v>
      </c>
      <c r="C11250" s="68"/>
      <c r="D11250" s="68"/>
      <c r="E11250" s="66"/>
      <c r="F11250" s="66" t="str">
        <f>IFERROR(__xludf.DUMMYFUNCTION("GOOGLETRANSLATE(A11250,""en"",""pt"")"),"#VALUE!")</f>
        <v>#VALUE!</v>
      </c>
      <c r="G11250" s="69"/>
    </row>
    <row r="11251" ht="22.5" customHeight="1">
      <c r="A11251" s="66"/>
      <c r="B11251" s="67" t="str">
        <f t="shared" si="16"/>
        <v>M: </v>
      </c>
      <c r="C11251" s="68"/>
      <c r="D11251" s="68"/>
      <c r="E11251" s="66"/>
      <c r="F11251" s="66" t="str">
        <f>IFERROR(__xludf.DUMMYFUNCTION("GOOGLETRANSLATE(A11251,""en"",""pt"")"),"#VALUE!")</f>
        <v>#VALUE!</v>
      </c>
      <c r="G11251" s="69"/>
    </row>
    <row r="11252" ht="22.5" customHeight="1">
      <c r="A11252" s="66"/>
      <c r="B11252" s="67" t="str">
        <f t="shared" si="16"/>
        <v>M: </v>
      </c>
      <c r="C11252" s="68"/>
      <c r="D11252" s="68"/>
      <c r="E11252" s="66"/>
      <c r="F11252" s="66" t="str">
        <f>IFERROR(__xludf.DUMMYFUNCTION("GOOGLETRANSLATE(A11252,""en"",""pt"")"),"#VALUE!")</f>
        <v>#VALUE!</v>
      </c>
      <c r="G11252" s="69"/>
    </row>
    <row r="11253" ht="22.5" customHeight="1">
      <c r="A11253" s="66"/>
      <c r="B11253" s="67" t="str">
        <f t="shared" si="16"/>
        <v>M: </v>
      </c>
      <c r="C11253" s="68"/>
      <c r="D11253" s="68"/>
      <c r="E11253" s="66"/>
      <c r="F11253" s="66" t="str">
        <f>IFERROR(__xludf.DUMMYFUNCTION("GOOGLETRANSLATE(A11253,""en"",""pt"")"),"#VALUE!")</f>
        <v>#VALUE!</v>
      </c>
      <c r="G11253" s="69"/>
    </row>
    <row r="11254" ht="22.5" customHeight="1">
      <c r="A11254" s="66"/>
      <c r="B11254" s="67" t="str">
        <f t="shared" si="16"/>
        <v>M: </v>
      </c>
      <c r="C11254" s="68"/>
      <c r="D11254" s="68"/>
      <c r="E11254" s="66"/>
      <c r="F11254" s="66" t="str">
        <f>IFERROR(__xludf.DUMMYFUNCTION("GOOGLETRANSLATE(A11254,""en"",""pt"")"),"#VALUE!")</f>
        <v>#VALUE!</v>
      </c>
      <c r="G11254" s="69"/>
    </row>
    <row r="11255" ht="22.5" customHeight="1">
      <c r="A11255" s="66"/>
      <c r="B11255" s="67" t="str">
        <f t="shared" si="16"/>
        <v>M: </v>
      </c>
      <c r="C11255" s="68"/>
      <c r="D11255" s="68"/>
      <c r="E11255" s="66"/>
      <c r="F11255" s="66" t="str">
        <f>IFERROR(__xludf.DUMMYFUNCTION("GOOGLETRANSLATE(A11255,""en"",""pt"")"),"#VALUE!")</f>
        <v>#VALUE!</v>
      </c>
      <c r="G11255" s="69"/>
    </row>
    <row r="11256" ht="22.5" customHeight="1">
      <c r="A11256" s="66"/>
      <c r="B11256" s="67" t="str">
        <f t="shared" si="16"/>
        <v>M: </v>
      </c>
      <c r="C11256" s="68"/>
      <c r="D11256" s="68"/>
      <c r="E11256" s="66"/>
      <c r="F11256" s="66" t="str">
        <f>IFERROR(__xludf.DUMMYFUNCTION("GOOGLETRANSLATE(A11256,""en"",""pt"")"),"#VALUE!")</f>
        <v>#VALUE!</v>
      </c>
      <c r="G11256" s="69"/>
    </row>
    <row r="11257" ht="22.5" customHeight="1">
      <c r="A11257" s="66"/>
      <c r="B11257" s="67" t="str">
        <f t="shared" si="16"/>
        <v>M: </v>
      </c>
      <c r="C11257" s="68"/>
      <c r="D11257" s="68"/>
      <c r="E11257" s="66"/>
      <c r="F11257" s="66" t="str">
        <f>IFERROR(__xludf.DUMMYFUNCTION("GOOGLETRANSLATE(A11257,""en"",""pt"")"),"#VALUE!")</f>
        <v>#VALUE!</v>
      </c>
      <c r="G11257" s="69"/>
    </row>
    <row r="11258" ht="22.5" customHeight="1">
      <c r="A11258" s="66"/>
      <c r="B11258" s="67" t="str">
        <f t="shared" si="16"/>
        <v>M: </v>
      </c>
      <c r="C11258" s="68"/>
      <c r="D11258" s="68"/>
      <c r="E11258" s="66"/>
      <c r="F11258" s="66" t="str">
        <f>IFERROR(__xludf.DUMMYFUNCTION("GOOGLETRANSLATE(A11258,""en"",""pt"")"),"#VALUE!")</f>
        <v>#VALUE!</v>
      </c>
      <c r="G11258" s="69"/>
    </row>
    <row r="11259" ht="22.5" customHeight="1">
      <c r="A11259" s="66"/>
      <c r="B11259" s="67" t="str">
        <f t="shared" si="16"/>
        <v>M: </v>
      </c>
      <c r="C11259" s="68"/>
      <c r="D11259" s="68"/>
      <c r="E11259" s="66"/>
      <c r="F11259" s="66" t="str">
        <f>IFERROR(__xludf.DUMMYFUNCTION("GOOGLETRANSLATE(A11259,""en"",""pt"")"),"#VALUE!")</f>
        <v>#VALUE!</v>
      </c>
      <c r="G11259" s="69"/>
    </row>
    <row r="11260" ht="22.5" customHeight="1">
      <c r="A11260" s="66"/>
      <c r="B11260" s="67" t="str">
        <f t="shared" si="16"/>
        <v>M: </v>
      </c>
      <c r="C11260" s="68"/>
      <c r="D11260" s="68"/>
      <c r="E11260" s="66"/>
      <c r="F11260" s="66" t="str">
        <f>IFERROR(__xludf.DUMMYFUNCTION("GOOGLETRANSLATE(A11260,""en"",""pt"")"),"#VALUE!")</f>
        <v>#VALUE!</v>
      </c>
      <c r="G11260" s="69"/>
    </row>
    <row r="11261" ht="22.5" customHeight="1">
      <c r="A11261" s="66"/>
      <c r="B11261" s="67" t="str">
        <f t="shared" si="16"/>
        <v>M: </v>
      </c>
      <c r="C11261" s="68"/>
      <c r="D11261" s="68"/>
      <c r="E11261" s="66"/>
      <c r="F11261" s="66" t="str">
        <f>IFERROR(__xludf.DUMMYFUNCTION("GOOGLETRANSLATE(A11261,""en"",""pt"")"),"#VALUE!")</f>
        <v>#VALUE!</v>
      </c>
      <c r="G11261" s="69"/>
    </row>
    <row r="11262" ht="22.5" customHeight="1">
      <c r="A11262" s="66"/>
      <c r="B11262" s="67" t="str">
        <f t="shared" si="16"/>
        <v>M: </v>
      </c>
      <c r="C11262" s="68"/>
      <c r="D11262" s="68"/>
      <c r="E11262" s="66"/>
      <c r="F11262" s="66" t="str">
        <f>IFERROR(__xludf.DUMMYFUNCTION("GOOGLETRANSLATE(A11262,""en"",""pt"")"),"#VALUE!")</f>
        <v>#VALUE!</v>
      </c>
      <c r="G11262" s="69"/>
    </row>
    <row r="11263" ht="22.5" customHeight="1">
      <c r="A11263" s="66"/>
      <c r="B11263" s="67" t="str">
        <f t="shared" si="16"/>
        <v>M: </v>
      </c>
      <c r="C11263" s="68"/>
      <c r="D11263" s="68"/>
      <c r="E11263" s="66"/>
      <c r="F11263" s="66" t="str">
        <f>IFERROR(__xludf.DUMMYFUNCTION("GOOGLETRANSLATE(A11263,""en"",""pt"")"),"#VALUE!")</f>
        <v>#VALUE!</v>
      </c>
      <c r="G11263" s="69"/>
    </row>
    <row r="11264" ht="22.5" customHeight="1">
      <c r="A11264" s="66"/>
      <c r="B11264" s="67" t="str">
        <f t="shared" si="16"/>
        <v>M: </v>
      </c>
      <c r="C11264" s="68"/>
      <c r="D11264" s="68"/>
      <c r="E11264" s="66"/>
      <c r="F11264" s="66" t="str">
        <f>IFERROR(__xludf.DUMMYFUNCTION("GOOGLETRANSLATE(A11264,""en"",""pt"")"),"#VALUE!")</f>
        <v>#VALUE!</v>
      </c>
      <c r="G11264" s="69"/>
    </row>
    <row r="11265" ht="22.5" customHeight="1">
      <c r="A11265" s="66"/>
      <c r="B11265" s="67" t="str">
        <f t="shared" si="16"/>
        <v>M: </v>
      </c>
      <c r="C11265" s="68"/>
      <c r="D11265" s="68"/>
      <c r="E11265" s="66"/>
      <c r="F11265" s="66" t="str">
        <f>IFERROR(__xludf.DUMMYFUNCTION("GOOGLETRANSLATE(A11265,""en"",""pt"")"),"#VALUE!")</f>
        <v>#VALUE!</v>
      </c>
      <c r="G11265" s="69"/>
    </row>
    <row r="11266" ht="22.5" customHeight="1">
      <c r="A11266" s="66"/>
      <c r="B11266" s="67" t="str">
        <f t="shared" si="16"/>
        <v>M: </v>
      </c>
      <c r="C11266" s="68"/>
      <c r="D11266" s="68"/>
      <c r="E11266" s="66"/>
      <c r="F11266" s="66" t="str">
        <f>IFERROR(__xludf.DUMMYFUNCTION("GOOGLETRANSLATE(A11266,""en"",""pt"")"),"#VALUE!")</f>
        <v>#VALUE!</v>
      </c>
      <c r="G11266" s="69"/>
    </row>
    <row r="11267" ht="22.5" customHeight="1">
      <c r="A11267" s="66"/>
      <c r="B11267" s="67" t="str">
        <f t="shared" si="16"/>
        <v>M: </v>
      </c>
      <c r="C11267" s="68"/>
      <c r="D11267" s="68"/>
      <c r="E11267" s="66"/>
      <c r="F11267" s="66" t="str">
        <f>IFERROR(__xludf.DUMMYFUNCTION("GOOGLETRANSLATE(A11267,""en"",""pt"")"),"#VALUE!")</f>
        <v>#VALUE!</v>
      </c>
      <c r="G11267" s="69"/>
    </row>
    <row r="11268" ht="22.5" customHeight="1">
      <c r="A11268" s="66"/>
      <c r="B11268" s="67" t="str">
        <f t="shared" si="16"/>
        <v>M: </v>
      </c>
      <c r="C11268" s="68"/>
      <c r="D11268" s="68"/>
      <c r="E11268" s="66"/>
      <c r="F11268" s="66" t="str">
        <f>IFERROR(__xludf.DUMMYFUNCTION("GOOGLETRANSLATE(A11268,""en"",""pt"")"),"#VALUE!")</f>
        <v>#VALUE!</v>
      </c>
      <c r="G11268" s="69"/>
    </row>
    <row r="11269" ht="22.5" customHeight="1">
      <c r="A11269" s="66"/>
      <c r="B11269" s="67" t="str">
        <f t="shared" si="16"/>
        <v>M: </v>
      </c>
      <c r="C11269" s="68"/>
      <c r="D11269" s="68"/>
      <c r="E11269" s="66"/>
      <c r="F11269" s="66" t="str">
        <f>IFERROR(__xludf.DUMMYFUNCTION("GOOGLETRANSLATE(A11269,""en"",""pt"")"),"#VALUE!")</f>
        <v>#VALUE!</v>
      </c>
      <c r="G11269" s="69"/>
    </row>
    <row r="11270" ht="22.5" customHeight="1">
      <c r="A11270" s="66"/>
      <c r="B11270" s="67" t="str">
        <f t="shared" si="16"/>
        <v>M: </v>
      </c>
      <c r="C11270" s="68"/>
      <c r="D11270" s="68"/>
      <c r="E11270" s="66"/>
      <c r="F11270" s="66" t="str">
        <f>IFERROR(__xludf.DUMMYFUNCTION("GOOGLETRANSLATE(A11270,""en"",""pt"")"),"#VALUE!")</f>
        <v>#VALUE!</v>
      </c>
      <c r="G11270" s="69"/>
    </row>
    <row r="11271" ht="22.5" customHeight="1">
      <c r="A11271" s="66"/>
      <c r="B11271" s="67" t="str">
        <f t="shared" si="16"/>
        <v>M: </v>
      </c>
      <c r="C11271" s="68"/>
      <c r="D11271" s="68"/>
      <c r="E11271" s="66"/>
      <c r="F11271" s="66" t="str">
        <f>IFERROR(__xludf.DUMMYFUNCTION("GOOGLETRANSLATE(A11271,""en"",""pt"")"),"#VALUE!")</f>
        <v>#VALUE!</v>
      </c>
      <c r="G11271" s="69"/>
    </row>
    <row r="11272" ht="22.5" customHeight="1">
      <c r="A11272" s="66"/>
      <c r="B11272" s="67" t="str">
        <f t="shared" si="16"/>
        <v>M: </v>
      </c>
      <c r="C11272" s="68"/>
      <c r="D11272" s="68"/>
      <c r="E11272" s="66"/>
      <c r="F11272" s="66" t="str">
        <f>IFERROR(__xludf.DUMMYFUNCTION("GOOGLETRANSLATE(A11272,""en"",""pt"")"),"#VALUE!")</f>
        <v>#VALUE!</v>
      </c>
      <c r="G11272" s="69"/>
    </row>
    <row r="11273" ht="22.5" customHeight="1">
      <c r="A11273" s="66"/>
      <c r="B11273" s="67" t="str">
        <f t="shared" si="16"/>
        <v>M: </v>
      </c>
      <c r="C11273" s="68"/>
      <c r="D11273" s="68"/>
      <c r="E11273" s="66"/>
      <c r="F11273" s="66" t="str">
        <f>IFERROR(__xludf.DUMMYFUNCTION("GOOGLETRANSLATE(A11273,""en"",""pt"")"),"#VALUE!")</f>
        <v>#VALUE!</v>
      </c>
      <c r="G11273" s="69"/>
    </row>
    <row r="11274" ht="22.5" customHeight="1">
      <c r="A11274" s="66"/>
      <c r="B11274" s="67" t="str">
        <f t="shared" si="16"/>
        <v>M: </v>
      </c>
      <c r="C11274" s="68"/>
      <c r="D11274" s="68"/>
      <c r="E11274" s="66"/>
      <c r="F11274" s="66" t="str">
        <f>IFERROR(__xludf.DUMMYFUNCTION("GOOGLETRANSLATE(A11274,""en"",""pt"")"),"#VALUE!")</f>
        <v>#VALUE!</v>
      </c>
      <c r="G11274" s="69"/>
    </row>
    <row r="11275" ht="22.5" customHeight="1">
      <c r="A11275" s="66"/>
      <c r="B11275" s="67" t="str">
        <f t="shared" si="16"/>
        <v>M: </v>
      </c>
      <c r="C11275" s="68"/>
      <c r="D11275" s="68"/>
      <c r="E11275" s="66"/>
      <c r="F11275" s="66" t="str">
        <f>IFERROR(__xludf.DUMMYFUNCTION("GOOGLETRANSLATE(A11275,""en"",""pt"")"),"#VALUE!")</f>
        <v>#VALUE!</v>
      </c>
      <c r="G11275" s="69"/>
    </row>
    <row r="11276" ht="22.5" customHeight="1">
      <c r="A11276" s="66"/>
      <c r="B11276" s="67" t="str">
        <f t="shared" si="16"/>
        <v>M: </v>
      </c>
      <c r="C11276" s="68"/>
      <c r="D11276" s="68"/>
      <c r="E11276" s="66"/>
      <c r="F11276" s="66" t="str">
        <f>IFERROR(__xludf.DUMMYFUNCTION("GOOGLETRANSLATE(A11276,""en"",""pt"")"),"#VALUE!")</f>
        <v>#VALUE!</v>
      </c>
      <c r="G11276" s="69"/>
    </row>
    <row r="11277" ht="22.5" customHeight="1">
      <c r="A11277" s="66"/>
      <c r="B11277" s="67" t="str">
        <f t="shared" si="16"/>
        <v>M: </v>
      </c>
      <c r="C11277" s="68"/>
      <c r="D11277" s="68"/>
      <c r="E11277" s="66"/>
      <c r="F11277" s="66" t="str">
        <f>IFERROR(__xludf.DUMMYFUNCTION("GOOGLETRANSLATE(A11277,""en"",""pt"")"),"#VALUE!")</f>
        <v>#VALUE!</v>
      </c>
      <c r="G11277" s="69"/>
    </row>
    <row r="11278" ht="22.5" customHeight="1">
      <c r="A11278" s="66"/>
      <c r="B11278" s="67" t="str">
        <f t="shared" si="16"/>
        <v>M: </v>
      </c>
      <c r="C11278" s="68"/>
      <c r="D11278" s="68"/>
      <c r="E11278" s="66"/>
      <c r="F11278" s="66" t="str">
        <f>IFERROR(__xludf.DUMMYFUNCTION("GOOGLETRANSLATE(A11278,""en"",""pt"")"),"#VALUE!")</f>
        <v>#VALUE!</v>
      </c>
      <c r="G11278" s="69"/>
    </row>
    <row r="11279" ht="22.5" customHeight="1">
      <c r="A11279" s="66"/>
      <c r="B11279" s="67" t="str">
        <f t="shared" si="16"/>
        <v>M: </v>
      </c>
      <c r="C11279" s="68"/>
      <c r="D11279" s="68"/>
      <c r="E11279" s="66"/>
      <c r="F11279" s="66" t="str">
        <f>IFERROR(__xludf.DUMMYFUNCTION("GOOGLETRANSLATE(A11279,""en"",""pt"")"),"#VALUE!")</f>
        <v>#VALUE!</v>
      </c>
      <c r="G11279" s="69"/>
    </row>
    <row r="11280" ht="22.5" customHeight="1">
      <c r="A11280" s="66"/>
      <c r="B11280" s="67" t="str">
        <f t="shared" si="16"/>
        <v>M: </v>
      </c>
      <c r="C11280" s="68"/>
      <c r="D11280" s="68"/>
      <c r="E11280" s="66"/>
      <c r="F11280" s="66" t="str">
        <f>IFERROR(__xludf.DUMMYFUNCTION("GOOGLETRANSLATE(A11280,""en"",""pt"")"),"#VALUE!")</f>
        <v>#VALUE!</v>
      </c>
      <c r="G11280" s="69"/>
    </row>
    <row r="11281" ht="22.5" customHeight="1">
      <c r="A11281" s="66"/>
      <c r="B11281" s="67" t="str">
        <f t="shared" si="16"/>
        <v>M: </v>
      </c>
      <c r="C11281" s="68"/>
      <c r="D11281" s="68"/>
      <c r="E11281" s="66"/>
      <c r="F11281" s="66" t="str">
        <f>IFERROR(__xludf.DUMMYFUNCTION("GOOGLETRANSLATE(A11281,""en"",""pt"")"),"#VALUE!")</f>
        <v>#VALUE!</v>
      </c>
      <c r="G11281" s="69"/>
    </row>
    <row r="11282" ht="22.5" customHeight="1">
      <c r="A11282" s="66"/>
      <c r="B11282" s="67" t="str">
        <f t="shared" si="16"/>
        <v>M: </v>
      </c>
      <c r="C11282" s="68"/>
      <c r="D11282" s="68"/>
      <c r="E11282" s="66"/>
      <c r="F11282" s="66" t="str">
        <f>IFERROR(__xludf.DUMMYFUNCTION("GOOGLETRANSLATE(A11282,""en"",""pt"")"),"#VALUE!")</f>
        <v>#VALUE!</v>
      </c>
      <c r="G11282" s="69"/>
    </row>
    <row r="11283" ht="22.5" customHeight="1">
      <c r="A11283" s="66"/>
      <c r="B11283" s="67" t="str">
        <f t="shared" si="16"/>
        <v>M: </v>
      </c>
      <c r="C11283" s="68"/>
      <c r="D11283" s="68"/>
      <c r="E11283" s="66"/>
      <c r="F11283" s="66" t="str">
        <f>IFERROR(__xludf.DUMMYFUNCTION("GOOGLETRANSLATE(A11283,""en"",""pt"")"),"#VALUE!")</f>
        <v>#VALUE!</v>
      </c>
      <c r="G11283" s="69"/>
    </row>
    <row r="11284" ht="22.5" customHeight="1">
      <c r="A11284" s="66"/>
      <c r="B11284" s="67" t="str">
        <f t="shared" si="16"/>
        <v>M: </v>
      </c>
      <c r="C11284" s="68"/>
      <c r="D11284" s="68"/>
      <c r="E11284" s="66"/>
      <c r="F11284" s="66" t="str">
        <f>IFERROR(__xludf.DUMMYFUNCTION("GOOGLETRANSLATE(A11284,""en"",""pt"")"),"#VALUE!")</f>
        <v>#VALUE!</v>
      </c>
      <c r="G11284" s="69"/>
    </row>
    <row r="11285" ht="22.5" customHeight="1">
      <c r="A11285" s="66"/>
      <c r="B11285" s="67" t="str">
        <f t="shared" si="16"/>
        <v>M: </v>
      </c>
      <c r="C11285" s="68"/>
      <c r="D11285" s="68"/>
      <c r="E11285" s="66"/>
      <c r="F11285" s="66" t="str">
        <f>IFERROR(__xludf.DUMMYFUNCTION("GOOGLETRANSLATE(A11285,""en"",""pt"")"),"#VALUE!")</f>
        <v>#VALUE!</v>
      </c>
      <c r="G11285" s="69"/>
    </row>
    <row r="11286" ht="22.5" customHeight="1">
      <c r="A11286" s="66"/>
      <c r="B11286" s="67" t="str">
        <f t="shared" si="16"/>
        <v>M: </v>
      </c>
      <c r="C11286" s="68"/>
      <c r="D11286" s="68"/>
      <c r="E11286" s="66"/>
      <c r="F11286" s="66" t="str">
        <f>IFERROR(__xludf.DUMMYFUNCTION("GOOGLETRANSLATE(A11286,""en"",""pt"")"),"#VALUE!")</f>
        <v>#VALUE!</v>
      </c>
      <c r="G11286" s="69"/>
    </row>
    <row r="11287" ht="22.5" customHeight="1">
      <c r="A11287" s="66"/>
      <c r="B11287" s="67" t="str">
        <f t="shared" si="16"/>
        <v>M: </v>
      </c>
      <c r="C11287" s="68"/>
      <c r="D11287" s="68"/>
      <c r="E11287" s="66"/>
      <c r="F11287" s="66" t="str">
        <f>IFERROR(__xludf.DUMMYFUNCTION("GOOGLETRANSLATE(A11287,""en"",""pt"")"),"#VALUE!")</f>
        <v>#VALUE!</v>
      </c>
      <c r="G11287" s="69"/>
    </row>
    <row r="11288" ht="22.5" customHeight="1">
      <c r="A11288" s="66"/>
      <c r="B11288" s="67" t="str">
        <f t="shared" si="16"/>
        <v>M: </v>
      </c>
      <c r="C11288" s="68"/>
      <c r="D11288" s="68"/>
      <c r="E11288" s="66"/>
      <c r="F11288" s="66" t="str">
        <f>IFERROR(__xludf.DUMMYFUNCTION("GOOGLETRANSLATE(A11288,""en"",""pt"")"),"#VALUE!")</f>
        <v>#VALUE!</v>
      </c>
      <c r="G11288" s="69"/>
    </row>
    <row r="11289" ht="22.5" customHeight="1">
      <c r="A11289" s="66"/>
      <c r="B11289" s="67" t="str">
        <f t="shared" si="16"/>
        <v>M: </v>
      </c>
      <c r="C11289" s="68"/>
      <c r="D11289" s="68"/>
      <c r="E11289" s="66"/>
      <c r="F11289" s="66" t="str">
        <f>IFERROR(__xludf.DUMMYFUNCTION("GOOGLETRANSLATE(A11289,""en"",""pt"")"),"#VALUE!")</f>
        <v>#VALUE!</v>
      </c>
      <c r="G11289" s="69"/>
    </row>
    <row r="11290" ht="22.5" customHeight="1">
      <c r="A11290" s="66"/>
      <c r="B11290" s="67" t="str">
        <f t="shared" si="16"/>
        <v>M: </v>
      </c>
      <c r="C11290" s="68"/>
      <c r="D11290" s="68"/>
      <c r="E11290" s="66"/>
      <c r="F11290" s="66" t="str">
        <f>IFERROR(__xludf.DUMMYFUNCTION("GOOGLETRANSLATE(A11290,""en"",""pt"")"),"#VALUE!")</f>
        <v>#VALUE!</v>
      </c>
      <c r="G11290" s="69"/>
    </row>
    <row r="11291" ht="22.5" customHeight="1">
      <c r="A11291" s="66"/>
      <c r="B11291" s="67" t="str">
        <f t="shared" si="16"/>
        <v>M: </v>
      </c>
      <c r="C11291" s="68"/>
      <c r="D11291" s="68"/>
      <c r="E11291" s="66"/>
      <c r="F11291" s="66" t="str">
        <f>IFERROR(__xludf.DUMMYFUNCTION("GOOGLETRANSLATE(A11291,""en"",""pt"")"),"#VALUE!")</f>
        <v>#VALUE!</v>
      </c>
      <c r="G11291" s="69"/>
    </row>
    <row r="11292" ht="22.5" customHeight="1">
      <c r="A11292" s="66"/>
      <c r="B11292" s="67" t="str">
        <f t="shared" si="16"/>
        <v>M: </v>
      </c>
      <c r="C11292" s="68"/>
      <c r="D11292" s="68"/>
      <c r="E11292" s="66"/>
      <c r="F11292" s="66" t="str">
        <f>IFERROR(__xludf.DUMMYFUNCTION("GOOGLETRANSLATE(A11292,""en"",""pt"")"),"#VALUE!")</f>
        <v>#VALUE!</v>
      </c>
      <c r="G11292" s="69"/>
    </row>
    <row r="11293" ht="22.5" customHeight="1">
      <c r="A11293" s="66"/>
      <c r="B11293" s="67" t="str">
        <f t="shared" si="16"/>
        <v>M: </v>
      </c>
      <c r="C11293" s="68"/>
      <c r="D11293" s="68"/>
      <c r="E11293" s="66"/>
      <c r="F11293" s="66" t="str">
        <f>IFERROR(__xludf.DUMMYFUNCTION("GOOGLETRANSLATE(A11293,""en"",""pt"")"),"#VALUE!")</f>
        <v>#VALUE!</v>
      </c>
      <c r="G11293" s="69"/>
    </row>
    <row r="11294" ht="22.5" customHeight="1">
      <c r="A11294" s="66"/>
      <c r="B11294" s="67" t="str">
        <f t="shared" si="16"/>
        <v>M: </v>
      </c>
      <c r="C11294" s="68"/>
      <c r="D11294" s="68"/>
      <c r="E11294" s="66"/>
      <c r="F11294" s="66" t="str">
        <f>IFERROR(__xludf.DUMMYFUNCTION("GOOGLETRANSLATE(A11294,""en"",""pt"")"),"#VALUE!")</f>
        <v>#VALUE!</v>
      </c>
      <c r="G11294" s="69"/>
    </row>
    <row r="11295" ht="22.5" customHeight="1">
      <c r="A11295" s="66"/>
      <c r="B11295" s="67" t="str">
        <f t="shared" si="16"/>
        <v>M: </v>
      </c>
      <c r="C11295" s="68"/>
      <c r="D11295" s="68"/>
      <c r="E11295" s="66"/>
      <c r="F11295" s="66" t="str">
        <f>IFERROR(__xludf.DUMMYFUNCTION("GOOGLETRANSLATE(A11295,""en"",""pt"")"),"#VALUE!")</f>
        <v>#VALUE!</v>
      </c>
      <c r="G11295" s="69"/>
    </row>
    <row r="11296" ht="22.5" customHeight="1">
      <c r="A11296" s="66"/>
      <c r="B11296" s="67" t="str">
        <f t="shared" si="16"/>
        <v>M: </v>
      </c>
      <c r="C11296" s="68"/>
      <c r="D11296" s="68"/>
      <c r="E11296" s="66"/>
      <c r="F11296" s="66" t="str">
        <f>IFERROR(__xludf.DUMMYFUNCTION("GOOGLETRANSLATE(A11296,""en"",""pt"")"),"#VALUE!")</f>
        <v>#VALUE!</v>
      </c>
      <c r="G11296" s="69"/>
    </row>
    <row r="11297" ht="22.5" customHeight="1">
      <c r="A11297" s="66"/>
      <c r="B11297" s="67" t="str">
        <f t="shared" si="16"/>
        <v>M: </v>
      </c>
      <c r="C11297" s="68"/>
      <c r="D11297" s="68"/>
      <c r="E11297" s="66"/>
      <c r="F11297" s="66" t="str">
        <f>IFERROR(__xludf.DUMMYFUNCTION("GOOGLETRANSLATE(A11297,""en"",""pt"")"),"#VALUE!")</f>
        <v>#VALUE!</v>
      </c>
      <c r="G11297" s="69"/>
    </row>
    <row r="11298" ht="22.5" customHeight="1">
      <c r="A11298" s="66"/>
      <c r="B11298" s="67" t="str">
        <f t="shared" si="16"/>
        <v>M: </v>
      </c>
      <c r="C11298" s="68"/>
      <c r="D11298" s="68"/>
      <c r="E11298" s="66"/>
      <c r="F11298" s="66" t="str">
        <f>IFERROR(__xludf.DUMMYFUNCTION("GOOGLETRANSLATE(A11298,""en"",""pt"")"),"#VALUE!")</f>
        <v>#VALUE!</v>
      </c>
      <c r="G11298" s="69"/>
    </row>
    <row r="11299" ht="22.5" customHeight="1">
      <c r="A11299" s="66"/>
      <c r="B11299" s="67" t="str">
        <f t="shared" si="16"/>
        <v>M: </v>
      </c>
      <c r="C11299" s="68"/>
      <c r="D11299" s="68"/>
      <c r="E11299" s="66"/>
      <c r="F11299" s="66" t="str">
        <f>IFERROR(__xludf.DUMMYFUNCTION("GOOGLETRANSLATE(A11299,""en"",""pt"")"),"#VALUE!")</f>
        <v>#VALUE!</v>
      </c>
      <c r="G11299" s="69"/>
    </row>
    <row r="11300" ht="22.5" customHeight="1">
      <c r="A11300" s="66"/>
      <c r="B11300" s="67" t="str">
        <f t="shared" si="16"/>
        <v>M: </v>
      </c>
      <c r="C11300" s="68"/>
      <c r="D11300" s="68"/>
      <c r="E11300" s="66"/>
      <c r="F11300" s="66" t="str">
        <f>IFERROR(__xludf.DUMMYFUNCTION("GOOGLETRANSLATE(A11300,""en"",""pt"")"),"#VALUE!")</f>
        <v>#VALUE!</v>
      </c>
      <c r="G11300" s="69"/>
    </row>
    <row r="11301" ht="22.5" customHeight="1">
      <c r="A11301" s="66"/>
      <c r="B11301" s="67" t="str">
        <f t="shared" si="16"/>
        <v>M: </v>
      </c>
      <c r="C11301" s="68"/>
      <c r="D11301" s="68"/>
      <c r="E11301" s="66"/>
      <c r="F11301" s="66" t="str">
        <f>IFERROR(__xludf.DUMMYFUNCTION("GOOGLETRANSLATE(A11301,""en"",""pt"")"),"#VALUE!")</f>
        <v>#VALUE!</v>
      </c>
      <c r="G11301" s="69"/>
    </row>
    <row r="11302" ht="22.5" customHeight="1">
      <c r="A11302" s="66"/>
      <c r="B11302" s="67" t="str">
        <f t="shared" si="16"/>
        <v>M: </v>
      </c>
      <c r="C11302" s="68"/>
      <c r="D11302" s="68"/>
      <c r="E11302" s="66"/>
      <c r="F11302" s="66" t="str">
        <f>IFERROR(__xludf.DUMMYFUNCTION("GOOGLETRANSLATE(A11302,""en"",""pt"")"),"#VALUE!")</f>
        <v>#VALUE!</v>
      </c>
      <c r="G11302" s="69"/>
    </row>
    <row r="11303" ht="22.5" customHeight="1">
      <c r="A11303" s="66"/>
      <c r="B11303" s="67" t="str">
        <f t="shared" si="16"/>
        <v>M: </v>
      </c>
      <c r="C11303" s="68"/>
      <c r="D11303" s="68"/>
      <c r="E11303" s="66"/>
      <c r="F11303" s="66" t="str">
        <f>IFERROR(__xludf.DUMMYFUNCTION("GOOGLETRANSLATE(A11303,""en"",""pt"")"),"#VALUE!")</f>
        <v>#VALUE!</v>
      </c>
      <c r="G11303" s="69"/>
    </row>
    <row r="11304" ht="22.5" customHeight="1">
      <c r="A11304" s="66"/>
      <c r="B11304" s="67" t="str">
        <f t="shared" si="16"/>
        <v>M: </v>
      </c>
      <c r="C11304" s="68"/>
      <c r="D11304" s="68"/>
      <c r="E11304" s="66"/>
      <c r="F11304" s="66" t="str">
        <f>IFERROR(__xludf.DUMMYFUNCTION("GOOGLETRANSLATE(A11304,""en"",""pt"")"),"#VALUE!")</f>
        <v>#VALUE!</v>
      </c>
      <c r="G11304" s="69"/>
    </row>
    <row r="11305" ht="22.5" customHeight="1">
      <c r="A11305" s="66"/>
      <c r="B11305" s="67" t="str">
        <f t="shared" si="16"/>
        <v>M: </v>
      </c>
      <c r="C11305" s="68"/>
      <c r="D11305" s="68"/>
      <c r="E11305" s="66"/>
      <c r="F11305" s="66" t="str">
        <f>IFERROR(__xludf.DUMMYFUNCTION("GOOGLETRANSLATE(A11305,""en"",""pt"")"),"#VALUE!")</f>
        <v>#VALUE!</v>
      </c>
      <c r="G11305" s="69"/>
    </row>
    <row r="11306" ht="22.5" customHeight="1">
      <c r="A11306" s="66"/>
      <c r="B11306" s="67" t="str">
        <f t="shared" si="16"/>
        <v>M: </v>
      </c>
      <c r="C11306" s="68"/>
      <c r="D11306" s="68"/>
      <c r="E11306" s="66"/>
      <c r="F11306" s="66" t="str">
        <f>IFERROR(__xludf.DUMMYFUNCTION("GOOGLETRANSLATE(A11306,""en"",""pt"")"),"#VALUE!")</f>
        <v>#VALUE!</v>
      </c>
      <c r="G11306" s="69"/>
    </row>
    <row r="11307" ht="22.5" customHeight="1">
      <c r="A11307" s="66"/>
      <c r="B11307" s="67" t="str">
        <f t="shared" si="16"/>
        <v>M: </v>
      </c>
      <c r="C11307" s="68"/>
      <c r="D11307" s="68"/>
      <c r="E11307" s="66"/>
      <c r="F11307" s="66" t="str">
        <f>IFERROR(__xludf.DUMMYFUNCTION("GOOGLETRANSLATE(A11307,""en"",""pt"")"),"#VALUE!")</f>
        <v>#VALUE!</v>
      </c>
      <c r="G11307" s="69"/>
    </row>
    <row r="11308" ht="22.5" customHeight="1">
      <c r="A11308" s="66"/>
      <c r="B11308" s="67" t="str">
        <f t="shared" si="16"/>
        <v>M: </v>
      </c>
      <c r="C11308" s="68"/>
      <c r="D11308" s="68"/>
      <c r="E11308" s="66"/>
      <c r="F11308" s="66" t="str">
        <f>IFERROR(__xludf.DUMMYFUNCTION("GOOGLETRANSLATE(A11308,""en"",""pt"")"),"#VALUE!")</f>
        <v>#VALUE!</v>
      </c>
      <c r="G11308" s="69"/>
    </row>
    <row r="11309" ht="22.5" customHeight="1">
      <c r="A11309" s="66"/>
      <c r="B11309" s="67" t="str">
        <f t="shared" si="16"/>
        <v>M: </v>
      </c>
      <c r="C11309" s="68"/>
      <c r="D11309" s="68"/>
      <c r="E11309" s="66"/>
      <c r="F11309" s="66" t="str">
        <f>IFERROR(__xludf.DUMMYFUNCTION("GOOGLETRANSLATE(A11309,""en"",""pt"")"),"#VALUE!")</f>
        <v>#VALUE!</v>
      </c>
      <c r="G11309" s="69"/>
    </row>
    <row r="11310" ht="22.5" customHeight="1">
      <c r="A11310" s="66"/>
      <c r="B11310" s="67" t="str">
        <f t="shared" si="16"/>
        <v>M: </v>
      </c>
      <c r="C11310" s="68"/>
      <c r="D11310" s="68"/>
      <c r="E11310" s="66"/>
      <c r="F11310" s="66" t="str">
        <f>IFERROR(__xludf.DUMMYFUNCTION("GOOGLETRANSLATE(A11310,""en"",""pt"")"),"#VALUE!")</f>
        <v>#VALUE!</v>
      </c>
      <c r="G11310" s="69"/>
    </row>
    <row r="11311" ht="22.5" customHeight="1">
      <c r="A11311" s="66"/>
      <c r="B11311" s="67" t="str">
        <f t="shared" si="16"/>
        <v>M: </v>
      </c>
      <c r="C11311" s="68"/>
      <c r="D11311" s="68"/>
      <c r="E11311" s="66"/>
      <c r="F11311" s="66" t="str">
        <f>IFERROR(__xludf.DUMMYFUNCTION("GOOGLETRANSLATE(A11311,""en"",""pt"")"),"#VALUE!")</f>
        <v>#VALUE!</v>
      </c>
      <c r="G11311" s="69"/>
    </row>
    <row r="11312" ht="22.5" customHeight="1">
      <c r="A11312" s="66"/>
      <c r="B11312" s="67" t="str">
        <f t="shared" si="16"/>
        <v>M: </v>
      </c>
      <c r="C11312" s="68"/>
      <c r="D11312" s="68"/>
      <c r="E11312" s="66"/>
      <c r="F11312" s="66" t="str">
        <f>IFERROR(__xludf.DUMMYFUNCTION("GOOGLETRANSLATE(A11312,""en"",""pt"")"),"#VALUE!")</f>
        <v>#VALUE!</v>
      </c>
      <c r="G11312" s="69"/>
    </row>
    <row r="11313" ht="22.5" customHeight="1">
      <c r="A11313" s="66"/>
      <c r="B11313" s="67" t="str">
        <f t="shared" si="16"/>
        <v>M: </v>
      </c>
      <c r="C11313" s="68"/>
      <c r="D11313" s="68"/>
      <c r="E11313" s="66"/>
      <c r="F11313" s="66" t="str">
        <f>IFERROR(__xludf.DUMMYFUNCTION("GOOGLETRANSLATE(A11313,""en"",""pt"")"),"#VALUE!")</f>
        <v>#VALUE!</v>
      </c>
      <c r="G11313" s="69"/>
    </row>
    <row r="11314" ht="22.5" customHeight="1">
      <c r="A11314" s="66"/>
      <c r="B11314" s="67" t="str">
        <f t="shared" si="16"/>
        <v>M: </v>
      </c>
      <c r="C11314" s="68"/>
      <c r="D11314" s="68"/>
      <c r="E11314" s="66"/>
      <c r="F11314" s="66" t="str">
        <f>IFERROR(__xludf.DUMMYFUNCTION("GOOGLETRANSLATE(A11314,""en"",""pt"")"),"#VALUE!")</f>
        <v>#VALUE!</v>
      </c>
      <c r="G11314" s="69"/>
    </row>
    <row r="11315" ht="22.5" customHeight="1">
      <c r="A11315" s="66"/>
      <c r="B11315" s="67" t="str">
        <f t="shared" si="16"/>
        <v>M: </v>
      </c>
      <c r="C11315" s="68"/>
      <c r="D11315" s="68"/>
      <c r="E11315" s="66"/>
      <c r="F11315" s="66" t="str">
        <f>IFERROR(__xludf.DUMMYFUNCTION("GOOGLETRANSLATE(A11315,""en"",""pt"")"),"#VALUE!")</f>
        <v>#VALUE!</v>
      </c>
      <c r="G11315" s="69"/>
    </row>
    <row r="11316" ht="22.5" customHeight="1">
      <c r="A11316" s="66"/>
      <c r="B11316" s="67" t="str">
        <f t="shared" si="16"/>
        <v>M: </v>
      </c>
      <c r="C11316" s="68"/>
      <c r="D11316" s="68"/>
      <c r="E11316" s="66"/>
      <c r="F11316" s="66" t="str">
        <f>IFERROR(__xludf.DUMMYFUNCTION("GOOGLETRANSLATE(A11316,""en"",""pt"")"),"#VALUE!")</f>
        <v>#VALUE!</v>
      </c>
      <c r="G11316" s="69"/>
    </row>
    <row r="11317" ht="22.5" customHeight="1">
      <c r="A11317" s="66"/>
      <c r="B11317" s="67" t="str">
        <f t="shared" si="16"/>
        <v>M: </v>
      </c>
      <c r="C11317" s="68"/>
      <c r="D11317" s="68"/>
      <c r="E11317" s="66"/>
      <c r="F11317" s="66" t="str">
        <f>IFERROR(__xludf.DUMMYFUNCTION("GOOGLETRANSLATE(A11317,""en"",""pt"")"),"#VALUE!")</f>
        <v>#VALUE!</v>
      </c>
      <c r="G11317" s="69"/>
    </row>
    <row r="11318" ht="22.5" customHeight="1">
      <c r="A11318" s="66"/>
      <c r="B11318" s="67" t="str">
        <f t="shared" si="16"/>
        <v>M: </v>
      </c>
      <c r="C11318" s="68"/>
      <c r="D11318" s="68"/>
      <c r="E11318" s="66"/>
      <c r="F11318" s="66" t="str">
        <f>IFERROR(__xludf.DUMMYFUNCTION("GOOGLETRANSLATE(A11318,""en"",""pt"")"),"#VALUE!")</f>
        <v>#VALUE!</v>
      </c>
      <c r="G11318" s="69"/>
    </row>
    <row r="11319" ht="22.5" customHeight="1">
      <c r="A11319" s="66"/>
      <c r="B11319" s="67" t="str">
        <f t="shared" si="16"/>
        <v>M: </v>
      </c>
      <c r="C11319" s="68"/>
      <c r="D11319" s="68"/>
      <c r="E11319" s="66"/>
      <c r="F11319" s="66" t="str">
        <f>IFERROR(__xludf.DUMMYFUNCTION("GOOGLETRANSLATE(A11319,""en"",""pt"")"),"#VALUE!")</f>
        <v>#VALUE!</v>
      </c>
      <c r="G11319" s="69"/>
    </row>
    <row r="11320" ht="22.5" customHeight="1">
      <c r="A11320" s="66"/>
      <c r="B11320" s="67" t="str">
        <f t="shared" si="16"/>
        <v>M: </v>
      </c>
      <c r="C11320" s="68"/>
      <c r="D11320" s="68"/>
      <c r="E11320" s="66"/>
      <c r="F11320" s="66" t="str">
        <f>IFERROR(__xludf.DUMMYFUNCTION("GOOGLETRANSLATE(A11320,""en"",""pt"")"),"#VALUE!")</f>
        <v>#VALUE!</v>
      </c>
      <c r="G11320" s="69"/>
    </row>
    <row r="11321" ht="22.5" customHeight="1">
      <c r="A11321" s="66"/>
      <c r="B11321" s="67" t="str">
        <f t="shared" si="16"/>
        <v>M: </v>
      </c>
      <c r="C11321" s="68"/>
      <c r="D11321" s="68"/>
      <c r="E11321" s="66"/>
      <c r="F11321" s="66" t="str">
        <f>IFERROR(__xludf.DUMMYFUNCTION("GOOGLETRANSLATE(A11321,""en"",""pt"")"),"#VALUE!")</f>
        <v>#VALUE!</v>
      </c>
      <c r="G11321" s="69"/>
    </row>
    <row r="11322" ht="22.5" customHeight="1">
      <c r="A11322" s="66"/>
      <c r="B11322" s="67" t="str">
        <f t="shared" si="16"/>
        <v>M: </v>
      </c>
      <c r="C11322" s="68"/>
      <c r="D11322" s="68"/>
      <c r="E11322" s="66"/>
      <c r="F11322" s="66" t="str">
        <f>IFERROR(__xludf.DUMMYFUNCTION("GOOGLETRANSLATE(A11322,""en"",""pt"")"),"#VALUE!")</f>
        <v>#VALUE!</v>
      </c>
      <c r="G11322" s="69"/>
    </row>
    <row r="11323" ht="22.5" customHeight="1">
      <c r="A11323" s="66"/>
      <c r="B11323" s="67" t="str">
        <f t="shared" si="16"/>
        <v>M: </v>
      </c>
      <c r="C11323" s="68"/>
      <c r="D11323" s="68"/>
      <c r="E11323" s="66"/>
      <c r="F11323" s="66" t="str">
        <f>IFERROR(__xludf.DUMMYFUNCTION("GOOGLETRANSLATE(A11323,""en"",""pt"")"),"#VALUE!")</f>
        <v>#VALUE!</v>
      </c>
      <c r="G11323" s="69"/>
    </row>
    <row r="11324" ht="22.5" customHeight="1">
      <c r="A11324" s="66"/>
      <c r="B11324" s="67" t="str">
        <f t="shared" si="16"/>
        <v>M: </v>
      </c>
      <c r="C11324" s="68"/>
      <c r="D11324" s="68"/>
      <c r="E11324" s="66"/>
      <c r="F11324" s="66" t="str">
        <f>IFERROR(__xludf.DUMMYFUNCTION("GOOGLETRANSLATE(A11324,""en"",""pt"")"),"#VALUE!")</f>
        <v>#VALUE!</v>
      </c>
      <c r="G11324" s="69"/>
    </row>
    <row r="11325" ht="22.5" customHeight="1">
      <c r="A11325" s="66"/>
      <c r="B11325" s="67" t="str">
        <f t="shared" si="16"/>
        <v>M: </v>
      </c>
      <c r="C11325" s="68"/>
      <c r="D11325" s="68"/>
      <c r="E11325" s="66"/>
      <c r="F11325" s="66" t="str">
        <f>IFERROR(__xludf.DUMMYFUNCTION("GOOGLETRANSLATE(A11325,""en"",""pt"")"),"#VALUE!")</f>
        <v>#VALUE!</v>
      </c>
      <c r="G11325" s="69"/>
    </row>
    <row r="11326" ht="22.5" customHeight="1">
      <c r="A11326" s="66"/>
      <c r="B11326" s="67" t="str">
        <f t="shared" si="16"/>
        <v>M: </v>
      </c>
      <c r="C11326" s="68"/>
      <c r="D11326" s="68"/>
      <c r="E11326" s="66"/>
      <c r="F11326" s="66" t="str">
        <f>IFERROR(__xludf.DUMMYFUNCTION("GOOGLETRANSLATE(A11326,""en"",""pt"")"),"#VALUE!")</f>
        <v>#VALUE!</v>
      </c>
      <c r="G11326" s="69"/>
    </row>
    <row r="11327" ht="22.5" customHeight="1">
      <c r="A11327" s="66"/>
      <c r="B11327" s="67" t="str">
        <f t="shared" si="16"/>
        <v>M: </v>
      </c>
      <c r="C11327" s="68"/>
      <c r="D11327" s="68"/>
      <c r="E11327" s="66"/>
      <c r="F11327" s="66" t="str">
        <f>IFERROR(__xludf.DUMMYFUNCTION("GOOGLETRANSLATE(A11327,""en"",""pt"")"),"#VALUE!")</f>
        <v>#VALUE!</v>
      </c>
      <c r="G11327" s="69"/>
    </row>
    <row r="11328" ht="22.5" customHeight="1">
      <c r="A11328" s="66"/>
      <c r="B11328" s="67" t="str">
        <f t="shared" si="16"/>
        <v>M: </v>
      </c>
      <c r="C11328" s="68"/>
      <c r="D11328" s="68"/>
      <c r="E11328" s="66"/>
      <c r="F11328" s="66" t="str">
        <f>IFERROR(__xludf.DUMMYFUNCTION("GOOGLETRANSLATE(A11328,""en"",""pt"")"),"#VALUE!")</f>
        <v>#VALUE!</v>
      </c>
      <c r="G11328" s="69"/>
    </row>
    <row r="11329" ht="22.5" customHeight="1">
      <c r="A11329" s="66"/>
      <c r="B11329" s="67" t="str">
        <f t="shared" si="16"/>
        <v>M: </v>
      </c>
      <c r="C11329" s="68"/>
      <c r="D11329" s="68"/>
      <c r="E11329" s="66"/>
      <c r="F11329" s="66" t="str">
        <f>IFERROR(__xludf.DUMMYFUNCTION("GOOGLETRANSLATE(A11329,""en"",""pt"")"),"#VALUE!")</f>
        <v>#VALUE!</v>
      </c>
      <c r="G11329" s="69"/>
    </row>
    <row r="11330" ht="22.5" customHeight="1">
      <c r="A11330" s="66"/>
      <c r="B11330" s="67" t="str">
        <f t="shared" si="16"/>
        <v>M: </v>
      </c>
      <c r="C11330" s="68"/>
      <c r="D11330" s="68"/>
      <c r="E11330" s="66"/>
      <c r="F11330" s="66" t="str">
        <f>IFERROR(__xludf.DUMMYFUNCTION("GOOGLETRANSLATE(A11330,""en"",""pt"")"),"#VALUE!")</f>
        <v>#VALUE!</v>
      </c>
      <c r="G11330" s="69"/>
    </row>
    <row r="11331" ht="22.5" customHeight="1">
      <c r="A11331" s="66"/>
      <c r="B11331" s="67" t="str">
        <f t="shared" si="16"/>
        <v>M: </v>
      </c>
      <c r="C11331" s="68"/>
      <c r="D11331" s="68"/>
      <c r="E11331" s="66"/>
      <c r="F11331" s="66" t="str">
        <f>IFERROR(__xludf.DUMMYFUNCTION("GOOGLETRANSLATE(A11331,""en"",""pt"")"),"#VALUE!")</f>
        <v>#VALUE!</v>
      </c>
      <c r="G11331" s="69"/>
    </row>
    <row r="11332" ht="22.5" customHeight="1">
      <c r="A11332" s="66"/>
      <c r="B11332" s="67" t="str">
        <f t="shared" si="16"/>
        <v>M: </v>
      </c>
      <c r="C11332" s="68"/>
      <c r="D11332" s="68"/>
      <c r="E11332" s="66"/>
      <c r="F11332" s="66" t="str">
        <f>IFERROR(__xludf.DUMMYFUNCTION("GOOGLETRANSLATE(A11332,""en"",""pt"")"),"#VALUE!")</f>
        <v>#VALUE!</v>
      </c>
      <c r="G11332" s="69"/>
    </row>
    <row r="11333" ht="22.5" customHeight="1">
      <c r="A11333" s="66"/>
      <c r="B11333" s="67" t="str">
        <f t="shared" si="16"/>
        <v>M: </v>
      </c>
      <c r="C11333" s="68"/>
      <c r="D11333" s="68"/>
      <c r="E11333" s="66"/>
      <c r="F11333" s="66" t="str">
        <f>IFERROR(__xludf.DUMMYFUNCTION("GOOGLETRANSLATE(A11333,""en"",""pt"")"),"#VALUE!")</f>
        <v>#VALUE!</v>
      </c>
      <c r="G11333" s="69"/>
    </row>
    <row r="11334" ht="22.5" customHeight="1">
      <c r="A11334" s="66"/>
      <c r="B11334" s="67" t="str">
        <f t="shared" si="16"/>
        <v>M: </v>
      </c>
      <c r="C11334" s="68"/>
      <c r="D11334" s="68"/>
      <c r="E11334" s="66"/>
      <c r="F11334" s="66" t="str">
        <f>IFERROR(__xludf.DUMMYFUNCTION("GOOGLETRANSLATE(A11334,""en"",""pt"")"),"#VALUE!")</f>
        <v>#VALUE!</v>
      </c>
      <c r="G11334" s="69"/>
    </row>
    <row r="11335" ht="22.5" customHeight="1">
      <c r="A11335" s="66"/>
      <c r="B11335" s="67" t="str">
        <f t="shared" si="16"/>
        <v>M: </v>
      </c>
      <c r="C11335" s="68"/>
      <c r="D11335" s="68"/>
      <c r="E11335" s="66"/>
      <c r="F11335" s="66" t="str">
        <f>IFERROR(__xludf.DUMMYFUNCTION("GOOGLETRANSLATE(A11335,""en"",""pt"")"),"#VALUE!")</f>
        <v>#VALUE!</v>
      </c>
      <c r="G11335" s="69"/>
    </row>
    <row r="11336" ht="22.5" customHeight="1">
      <c r="A11336" s="66"/>
      <c r="B11336" s="67" t="str">
        <f t="shared" si="16"/>
        <v>M: </v>
      </c>
      <c r="C11336" s="68"/>
      <c r="D11336" s="68"/>
      <c r="E11336" s="66"/>
      <c r="F11336" s="66" t="str">
        <f>IFERROR(__xludf.DUMMYFUNCTION("GOOGLETRANSLATE(A11336,""en"",""pt"")"),"#VALUE!")</f>
        <v>#VALUE!</v>
      </c>
      <c r="G11336" s="69"/>
    </row>
    <row r="11337" ht="22.5" customHeight="1">
      <c r="A11337" s="66"/>
      <c r="B11337" s="67" t="str">
        <f t="shared" si="16"/>
        <v>M: </v>
      </c>
      <c r="C11337" s="68"/>
      <c r="D11337" s="68"/>
      <c r="E11337" s="66"/>
      <c r="F11337" s="66" t="str">
        <f>IFERROR(__xludf.DUMMYFUNCTION("GOOGLETRANSLATE(A11337,""en"",""pt"")"),"#VALUE!")</f>
        <v>#VALUE!</v>
      </c>
      <c r="G11337" s="69"/>
    </row>
    <row r="11338" ht="22.5" customHeight="1">
      <c r="A11338" s="66"/>
      <c r="B11338" s="67" t="str">
        <f t="shared" si="16"/>
        <v>M: </v>
      </c>
      <c r="C11338" s="68"/>
      <c r="D11338" s="68"/>
      <c r="E11338" s="66"/>
      <c r="F11338" s="66" t="str">
        <f>IFERROR(__xludf.DUMMYFUNCTION("GOOGLETRANSLATE(A11338,""en"",""pt"")"),"#VALUE!")</f>
        <v>#VALUE!</v>
      </c>
      <c r="G11338" s="69"/>
    </row>
    <row r="11339" ht="22.5" customHeight="1">
      <c r="A11339" s="66"/>
      <c r="B11339" s="67" t="str">
        <f t="shared" si="16"/>
        <v>M: </v>
      </c>
      <c r="C11339" s="68"/>
      <c r="D11339" s="68"/>
      <c r="E11339" s="66"/>
      <c r="F11339" s="66" t="str">
        <f>IFERROR(__xludf.DUMMYFUNCTION("GOOGLETRANSLATE(A11339,""en"",""pt"")"),"#VALUE!")</f>
        <v>#VALUE!</v>
      </c>
      <c r="G11339" s="69"/>
    </row>
    <row r="11340" ht="22.5" customHeight="1">
      <c r="A11340" s="66"/>
      <c r="B11340" s="67" t="str">
        <f t="shared" si="16"/>
        <v>M: </v>
      </c>
      <c r="C11340" s="68"/>
      <c r="D11340" s="68"/>
      <c r="E11340" s="66"/>
      <c r="F11340" s="66" t="str">
        <f>IFERROR(__xludf.DUMMYFUNCTION("GOOGLETRANSLATE(A11340,""en"",""pt"")"),"#VALUE!")</f>
        <v>#VALUE!</v>
      </c>
      <c r="G11340" s="69"/>
    </row>
    <row r="11341" ht="22.5" customHeight="1">
      <c r="A11341" s="66"/>
      <c r="B11341" s="67" t="str">
        <f t="shared" si="16"/>
        <v>M: </v>
      </c>
      <c r="C11341" s="68"/>
      <c r="D11341" s="68"/>
      <c r="E11341" s="66"/>
      <c r="F11341" s="66" t="str">
        <f>IFERROR(__xludf.DUMMYFUNCTION("GOOGLETRANSLATE(A11341,""en"",""pt"")"),"#VALUE!")</f>
        <v>#VALUE!</v>
      </c>
      <c r="G11341" s="69"/>
    </row>
    <row r="11342" ht="22.5" customHeight="1">
      <c r="A11342" s="66"/>
      <c r="B11342" s="67" t="str">
        <f t="shared" si="16"/>
        <v>M: </v>
      </c>
      <c r="C11342" s="68"/>
      <c r="D11342" s="68"/>
      <c r="E11342" s="66"/>
      <c r="F11342" s="66" t="str">
        <f>IFERROR(__xludf.DUMMYFUNCTION("GOOGLETRANSLATE(A11342,""en"",""pt"")"),"#VALUE!")</f>
        <v>#VALUE!</v>
      </c>
      <c r="G11342" s="69"/>
    </row>
    <row r="11343" ht="22.5" customHeight="1">
      <c r="A11343" s="66"/>
      <c r="B11343" s="67" t="str">
        <f t="shared" si="16"/>
        <v>M: </v>
      </c>
      <c r="C11343" s="68"/>
      <c r="D11343" s="68"/>
      <c r="E11343" s="66"/>
      <c r="F11343" s="66" t="str">
        <f>IFERROR(__xludf.DUMMYFUNCTION("GOOGLETRANSLATE(A11343,""en"",""pt"")"),"#VALUE!")</f>
        <v>#VALUE!</v>
      </c>
      <c r="G11343" s="69"/>
    </row>
    <row r="11344" ht="22.5" customHeight="1">
      <c r="A11344" s="66"/>
      <c r="B11344" s="67" t="str">
        <f t="shared" si="16"/>
        <v>M: </v>
      </c>
      <c r="C11344" s="68"/>
      <c r="D11344" s="68"/>
      <c r="E11344" s="66"/>
      <c r="F11344" s="66" t="str">
        <f>IFERROR(__xludf.DUMMYFUNCTION("GOOGLETRANSLATE(A11344,""en"",""pt"")"),"#VALUE!")</f>
        <v>#VALUE!</v>
      </c>
      <c r="G11344" s="69"/>
    </row>
    <row r="11345" ht="22.5" customHeight="1">
      <c r="A11345" s="66"/>
      <c r="B11345" s="67" t="str">
        <f t="shared" si="16"/>
        <v>M: </v>
      </c>
      <c r="C11345" s="68"/>
      <c r="D11345" s="68"/>
      <c r="E11345" s="66"/>
      <c r="F11345" s="66" t="str">
        <f>IFERROR(__xludf.DUMMYFUNCTION("GOOGLETRANSLATE(A11345,""en"",""pt"")"),"#VALUE!")</f>
        <v>#VALUE!</v>
      </c>
      <c r="G11345" s="69"/>
    </row>
    <row r="11346" ht="22.5" customHeight="1">
      <c r="A11346" s="66"/>
      <c r="B11346" s="67" t="str">
        <f t="shared" si="16"/>
        <v>M: </v>
      </c>
      <c r="C11346" s="68"/>
      <c r="D11346" s="68"/>
      <c r="E11346" s="66"/>
      <c r="F11346" s="66" t="str">
        <f>IFERROR(__xludf.DUMMYFUNCTION("GOOGLETRANSLATE(A11346,""en"",""pt"")"),"#VALUE!")</f>
        <v>#VALUE!</v>
      </c>
      <c r="G11346" s="69"/>
    </row>
    <row r="11347" ht="22.5" customHeight="1">
      <c r="A11347" s="66"/>
      <c r="B11347" s="67" t="str">
        <f t="shared" si="16"/>
        <v>M: </v>
      </c>
      <c r="C11347" s="68"/>
      <c r="D11347" s="68"/>
      <c r="E11347" s="66"/>
      <c r="F11347" s="66" t="str">
        <f>IFERROR(__xludf.DUMMYFUNCTION("GOOGLETRANSLATE(A11347,""en"",""pt"")"),"#VALUE!")</f>
        <v>#VALUE!</v>
      </c>
      <c r="G11347" s="69"/>
    </row>
    <row r="11348" ht="22.5" customHeight="1">
      <c r="A11348" s="66"/>
      <c r="B11348" s="67" t="str">
        <f t="shared" si="16"/>
        <v>M: </v>
      </c>
      <c r="C11348" s="68"/>
      <c r="D11348" s="68"/>
      <c r="E11348" s="66"/>
      <c r="F11348" s="66" t="str">
        <f>IFERROR(__xludf.DUMMYFUNCTION("GOOGLETRANSLATE(A11348,""en"",""pt"")"),"#VALUE!")</f>
        <v>#VALUE!</v>
      </c>
      <c r="G11348" s="69"/>
    </row>
    <row r="11349" ht="22.5" customHeight="1">
      <c r="A11349" s="66"/>
      <c r="B11349" s="67" t="str">
        <f t="shared" si="16"/>
        <v>M: </v>
      </c>
      <c r="C11349" s="68"/>
      <c r="D11349" s="68"/>
      <c r="E11349" s="66"/>
      <c r="F11349" s="66" t="str">
        <f>IFERROR(__xludf.DUMMYFUNCTION("GOOGLETRANSLATE(A11349,""en"",""pt"")"),"#VALUE!")</f>
        <v>#VALUE!</v>
      </c>
      <c r="G11349" s="69"/>
    </row>
    <row r="11350" ht="22.5" customHeight="1">
      <c r="A11350" s="66"/>
      <c r="B11350" s="67" t="str">
        <f t="shared" si="16"/>
        <v>M: </v>
      </c>
      <c r="C11350" s="68"/>
      <c r="D11350" s="68"/>
      <c r="E11350" s="66"/>
      <c r="F11350" s="66" t="str">
        <f>IFERROR(__xludf.DUMMYFUNCTION("GOOGLETRANSLATE(A11350,""en"",""pt"")"),"#VALUE!")</f>
        <v>#VALUE!</v>
      </c>
      <c r="G11350" s="69"/>
    </row>
    <row r="11351" ht="22.5" customHeight="1">
      <c r="A11351" s="66"/>
      <c r="B11351" s="67" t="str">
        <f t="shared" si="16"/>
        <v>M: </v>
      </c>
      <c r="C11351" s="68"/>
      <c r="D11351" s="68"/>
      <c r="E11351" s="66"/>
      <c r="F11351" s="66" t="str">
        <f>IFERROR(__xludf.DUMMYFUNCTION("GOOGLETRANSLATE(A11351,""en"",""pt"")"),"#VALUE!")</f>
        <v>#VALUE!</v>
      </c>
      <c r="G11351" s="69"/>
    </row>
    <row r="11352" ht="22.5" customHeight="1">
      <c r="A11352" s="66"/>
      <c r="B11352" s="67" t="str">
        <f t="shared" si="16"/>
        <v>M: </v>
      </c>
      <c r="C11352" s="68"/>
      <c r="D11352" s="68"/>
      <c r="E11352" s="66"/>
      <c r="F11352" s="66" t="str">
        <f>IFERROR(__xludf.DUMMYFUNCTION("GOOGLETRANSLATE(A11352,""en"",""pt"")"),"#VALUE!")</f>
        <v>#VALUE!</v>
      </c>
      <c r="G11352" s="69"/>
    </row>
    <row r="11353" ht="22.5" customHeight="1">
      <c r="A11353" s="66"/>
      <c r="B11353" s="67" t="str">
        <f t="shared" si="16"/>
        <v>M: </v>
      </c>
      <c r="C11353" s="68"/>
      <c r="D11353" s="68"/>
      <c r="E11353" s="66"/>
      <c r="F11353" s="66" t="str">
        <f>IFERROR(__xludf.DUMMYFUNCTION("GOOGLETRANSLATE(A11353,""en"",""pt"")"),"#VALUE!")</f>
        <v>#VALUE!</v>
      </c>
      <c r="G11353" s="69"/>
    </row>
    <row r="11354" ht="22.5" customHeight="1">
      <c r="A11354" s="66"/>
      <c r="B11354" s="67" t="str">
        <f t="shared" si="16"/>
        <v>M: </v>
      </c>
      <c r="C11354" s="68"/>
      <c r="D11354" s="68"/>
      <c r="E11354" s="66"/>
      <c r="F11354" s="66" t="str">
        <f>IFERROR(__xludf.DUMMYFUNCTION("GOOGLETRANSLATE(A11354,""en"",""pt"")"),"#VALUE!")</f>
        <v>#VALUE!</v>
      </c>
      <c r="G11354" s="69"/>
    </row>
    <row r="11355" ht="22.5" customHeight="1">
      <c r="A11355" s="66"/>
      <c r="B11355" s="67" t="str">
        <f t="shared" si="16"/>
        <v>M: </v>
      </c>
      <c r="C11355" s="68"/>
      <c r="D11355" s="68"/>
      <c r="E11355" s="66"/>
      <c r="F11355" s="66" t="str">
        <f>IFERROR(__xludf.DUMMYFUNCTION("GOOGLETRANSLATE(A11355,""en"",""pt"")"),"#VALUE!")</f>
        <v>#VALUE!</v>
      </c>
      <c r="G11355" s="69"/>
    </row>
    <row r="11356" ht="22.5" customHeight="1">
      <c r="A11356" s="66"/>
      <c r="B11356" s="67" t="str">
        <f t="shared" si="16"/>
        <v>M: </v>
      </c>
      <c r="C11356" s="68"/>
      <c r="D11356" s="68"/>
      <c r="E11356" s="66"/>
      <c r="F11356" s="66" t="str">
        <f>IFERROR(__xludf.DUMMYFUNCTION("GOOGLETRANSLATE(A11356,""en"",""pt"")"),"#VALUE!")</f>
        <v>#VALUE!</v>
      </c>
      <c r="G11356" s="69"/>
    </row>
    <row r="11357" ht="22.5" customHeight="1">
      <c r="A11357" s="66"/>
      <c r="B11357" s="67" t="str">
        <f t="shared" si="16"/>
        <v>M: </v>
      </c>
      <c r="C11357" s="68"/>
      <c r="D11357" s="68"/>
      <c r="E11357" s="66"/>
      <c r="F11357" s="66" t="str">
        <f>IFERROR(__xludf.DUMMYFUNCTION("GOOGLETRANSLATE(A11357,""en"",""pt"")"),"#VALUE!")</f>
        <v>#VALUE!</v>
      </c>
      <c r="G11357" s="69"/>
    </row>
    <row r="11358" ht="22.5" customHeight="1">
      <c r="A11358" s="66"/>
      <c r="B11358" s="67" t="str">
        <f t="shared" si="16"/>
        <v>M: </v>
      </c>
      <c r="C11358" s="68"/>
      <c r="D11358" s="68"/>
      <c r="E11358" s="66"/>
      <c r="F11358" s="66" t="str">
        <f>IFERROR(__xludf.DUMMYFUNCTION("GOOGLETRANSLATE(A11358,""en"",""pt"")"),"#VALUE!")</f>
        <v>#VALUE!</v>
      </c>
      <c r="G11358" s="69"/>
    </row>
    <row r="11359" ht="22.5" customHeight="1">
      <c r="A11359" s="66"/>
      <c r="B11359" s="67" t="str">
        <f t="shared" si="16"/>
        <v>M: </v>
      </c>
      <c r="C11359" s="68"/>
      <c r="D11359" s="68"/>
      <c r="E11359" s="66"/>
      <c r="F11359" s="66" t="str">
        <f>IFERROR(__xludf.DUMMYFUNCTION("GOOGLETRANSLATE(A11359,""en"",""pt"")"),"#VALUE!")</f>
        <v>#VALUE!</v>
      </c>
      <c r="G11359" s="69"/>
    </row>
    <row r="11360" ht="22.5" customHeight="1">
      <c r="A11360" s="66"/>
      <c r="B11360" s="67" t="str">
        <f t="shared" si="16"/>
        <v>M: </v>
      </c>
      <c r="C11360" s="68"/>
      <c r="D11360" s="68"/>
      <c r="E11360" s="66"/>
      <c r="F11360" s="66" t="str">
        <f>IFERROR(__xludf.DUMMYFUNCTION("GOOGLETRANSLATE(A11360,""en"",""pt"")"),"#VALUE!")</f>
        <v>#VALUE!</v>
      </c>
      <c r="G11360" s="69"/>
    </row>
    <row r="11361" ht="22.5" customHeight="1">
      <c r="A11361" s="66"/>
      <c r="B11361" s="67" t="str">
        <f t="shared" si="16"/>
        <v>M: </v>
      </c>
      <c r="C11361" s="68"/>
      <c r="D11361" s="68"/>
      <c r="E11361" s="66"/>
      <c r="F11361" s="66" t="str">
        <f>IFERROR(__xludf.DUMMYFUNCTION("GOOGLETRANSLATE(A11361,""en"",""pt"")"),"#VALUE!")</f>
        <v>#VALUE!</v>
      </c>
      <c r="G11361" s="69"/>
    </row>
    <row r="11362" ht="22.5" customHeight="1">
      <c r="A11362" s="66"/>
      <c r="B11362" s="67" t="str">
        <f t="shared" si="16"/>
        <v>M: </v>
      </c>
      <c r="C11362" s="68"/>
      <c r="D11362" s="68"/>
      <c r="E11362" s="66"/>
      <c r="F11362" s="66" t="str">
        <f>IFERROR(__xludf.DUMMYFUNCTION("GOOGLETRANSLATE(A11362,""en"",""pt"")"),"#VALUE!")</f>
        <v>#VALUE!</v>
      </c>
      <c r="G11362" s="69"/>
    </row>
    <row r="11363" ht="22.5" customHeight="1">
      <c r="A11363" s="66"/>
      <c r="B11363" s="67" t="str">
        <f t="shared" si="16"/>
        <v>M: </v>
      </c>
      <c r="C11363" s="68"/>
      <c r="D11363" s="68"/>
      <c r="E11363" s="66"/>
      <c r="F11363" s="66" t="str">
        <f>IFERROR(__xludf.DUMMYFUNCTION("GOOGLETRANSLATE(A11363,""en"",""pt"")"),"#VALUE!")</f>
        <v>#VALUE!</v>
      </c>
      <c r="G11363" s="69"/>
    </row>
    <row r="11364" ht="22.5" customHeight="1">
      <c r="A11364" s="66"/>
      <c r="B11364" s="67" t="str">
        <f t="shared" si="16"/>
        <v>M: </v>
      </c>
      <c r="C11364" s="68"/>
      <c r="D11364" s="68"/>
      <c r="E11364" s="66"/>
      <c r="F11364" s="66" t="str">
        <f>IFERROR(__xludf.DUMMYFUNCTION("GOOGLETRANSLATE(A11364,""en"",""pt"")"),"#VALUE!")</f>
        <v>#VALUE!</v>
      </c>
      <c r="G11364" s="69"/>
    </row>
    <row r="11365" ht="22.5" customHeight="1">
      <c r="A11365" s="66"/>
      <c r="B11365" s="67" t="str">
        <f t="shared" si="16"/>
        <v>M: </v>
      </c>
      <c r="C11365" s="68"/>
      <c r="D11365" s="68"/>
      <c r="E11365" s="66"/>
      <c r="F11365" s="66" t="str">
        <f>IFERROR(__xludf.DUMMYFUNCTION("GOOGLETRANSLATE(A11365,""en"",""pt"")"),"#VALUE!")</f>
        <v>#VALUE!</v>
      </c>
      <c r="G11365" s="69"/>
    </row>
    <row r="11366" ht="22.5" customHeight="1">
      <c r="A11366" s="66"/>
      <c r="B11366" s="67" t="str">
        <f t="shared" si="16"/>
        <v>M: </v>
      </c>
      <c r="C11366" s="68"/>
      <c r="D11366" s="68"/>
      <c r="E11366" s="66"/>
      <c r="F11366" s="66" t="str">
        <f>IFERROR(__xludf.DUMMYFUNCTION("GOOGLETRANSLATE(A11366,""en"",""pt"")"),"#VALUE!")</f>
        <v>#VALUE!</v>
      </c>
      <c r="G11366" s="69"/>
    </row>
    <row r="11367" ht="22.5" customHeight="1">
      <c r="A11367" s="66"/>
      <c r="B11367" s="67" t="str">
        <f t="shared" si="16"/>
        <v>M: </v>
      </c>
      <c r="C11367" s="68"/>
      <c r="D11367" s="68"/>
      <c r="E11367" s="66"/>
      <c r="F11367" s="66" t="str">
        <f>IFERROR(__xludf.DUMMYFUNCTION("GOOGLETRANSLATE(A11367,""en"",""pt"")"),"#VALUE!")</f>
        <v>#VALUE!</v>
      </c>
      <c r="G11367" s="69"/>
    </row>
    <row r="11368" ht="22.5" customHeight="1">
      <c r="A11368" s="66"/>
      <c r="B11368" s="67" t="str">
        <f t="shared" si="16"/>
        <v>M: </v>
      </c>
      <c r="C11368" s="68"/>
      <c r="D11368" s="68"/>
      <c r="E11368" s="66"/>
      <c r="F11368" s="66" t="str">
        <f>IFERROR(__xludf.DUMMYFUNCTION("GOOGLETRANSLATE(A11368,""en"",""pt"")"),"#VALUE!")</f>
        <v>#VALUE!</v>
      </c>
      <c r="G11368" s="69"/>
    </row>
    <row r="11369" ht="22.5" customHeight="1">
      <c r="A11369" s="66"/>
      <c r="B11369" s="67" t="str">
        <f t="shared" si="16"/>
        <v>M: </v>
      </c>
      <c r="C11369" s="68"/>
      <c r="D11369" s="68"/>
      <c r="E11369" s="66"/>
      <c r="F11369" s="66" t="str">
        <f>IFERROR(__xludf.DUMMYFUNCTION("GOOGLETRANSLATE(A11369,""en"",""pt"")"),"#VALUE!")</f>
        <v>#VALUE!</v>
      </c>
      <c r="G11369" s="69"/>
    </row>
    <row r="11370" ht="22.5" customHeight="1">
      <c r="A11370" s="66"/>
      <c r="B11370" s="67" t="str">
        <f t="shared" si="16"/>
        <v>M: </v>
      </c>
      <c r="C11370" s="68"/>
      <c r="D11370" s="68"/>
      <c r="E11370" s="66"/>
      <c r="F11370" s="66" t="str">
        <f>IFERROR(__xludf.DUMMYFUNCTION("GOOGLETRANSLATE(A11370,""en"",""pt"")"),"#VALUE!")</f>
        <v>#VALUE!</v>
      </c>
      <c r="G11370" s="69"/>
    </row>
    <row r="11371" ht="22.5" customHeight="1">
      <c r="A11371" s="66"/>
      <c r="B11371" s="67" t="str">
        <f t="shared" si="16"/>
        <v>M: </v>
      </c>
      <c r="C11371" s="68"/>
      <c r="D11371" s="68"/>
      <c r="E11371" s="66"/>
      <c r="F11371" s="66" t="str">
        <f>IFERROR(__xludf.DUMMYFUNCTION("GOOGLETRANSLATE(A11371,""en"",""pt"")"),"#VALUE!")</f>
        <v>#VALUE!</v>
      </c>
      <c r="G11371" s="69"/>
    </row>
    <row r="11372" ht="22.5" customHeight="1">
      <c r="A11372" s="66"/>
      <c r="B11372" s="67" t="str">
        <f t="shared" si="16"/>
        <v>M: </v>
      </c>
      <c r="C11372" s="68"/>
      <c r="D11372" s="68"/>
      <c r="E11372" s="66"/>
      <c r="F11372" s="66" t="str">
        <f>IFERROR(__xludf.DUMMYFUNCTION("GOOGLETRANSLATE(A11372,""en"",""pt"")"),"#VALUE!")</f>
        <v>#VALUE!</v>
      </c>
      <c r="G11372" s="69"/>
    </row>
    <row r="11373" ht="22.5" customHeight="1">
      <c r="A11373" s="66"/>
      <c r="B11373" s="67" t="str">
        <f t="shared" si="16"/>
        <v>M: </v>
      </c>
      <c r="C11373" s="68"/>
      <c r="D11373" s="68"/>
      <c r="E11373" s="66"/>
      <c r="F11373" s="66" t="str">
        <f>IFERROR(__xludf.DUMMYFUNCTION("GOOGLETRANSLATE(A11373,""en"",""pt"")"),"#VALUE!")</f>
        <v>#VALUE!</v>
      </c>
      <c r="G11373" s="69"/>
    </row>
    <row r="11374" ht="22.5" customHeight="1">
      <c r="A11374" s="66"/>
      <c r="B11374" s="67" t="str">
        <f t="shared" si="16"/>
        <v>M: </v>
      </c>
      <c r="C11374" s="68"/>
      <c r="D11374" s="68"/>
      <c r="E11374" s="66"/>
      <c r="F11374" s="66" t="str">
        <f>IFERROR(__xludf.DUMMYFUNCTION("GOOGLETRANSLATE(A11374,""en"",""pt"")"),"#VALUE!")</f>
        <v>#VALUE!</v>
      </c>
      <c r="G11374" s="69"/>
    </row>
    <row r="11375" ht="22.5" customHeight="1">
      <c r="A11375" s="66"/>
      <c r="B11375" s="67" t="str">
        <f t="shared" si="16"/>
        <v>M: </v>
      </c>
      <c r="C11375" s="68"/>
      <c r="D11375" s="68"/>
      <c r="E11375" s="66"/>
      <c r="F11375" s="66" t="str">
        <f>IFERROR(__xludf.DUMMYFUNCTION("GOOGLETRANSLATE(A11375,""en"",""pt"")"),"#VALUE!")</f>
        <v>#VALUE!</v>
      </c>
      <c r="G11375" s="69"/>
    </row>
    <row r="11376" ht="22.5" customHeight="1">
      <c r="A11376" s="66"/>
      <c r="B11376" s="67" t="str">
        <f t="shared" si="16"/>
        <v>M: </v>
      </c>
      <c r="C11376" s="68"/>
      <c r="D11376" s="68"/>
      <c r="E11376" s="66"/>
      <c r="F11376" s="66" t="str">
        <f>IFERROR(__xludf.DUMMYFUNCTION("GOOGLETRANSLATE(A11376,""en"",""pt"")"),"#VALUE!")</f>
        <v>#VALUE!</v>
      </c>
      <c r="G11376" s="69"/>
    </row>
    <row r="11377" ht="22.5" customHeight="1">
      <c r="A11377" s="66"/>
      <c r="B11377" s="67" t="str">
        <f t="shared" si="16"/>
        <v>M: </v>
      </c>
      <c r="C11377" s="68"/>
      <c r="D11377" s="68"/>
      <c r="E11377" s="66"/>
      <c r="F11377" s="66" t="str">
        <f>IFERROR(__xludf.DUMMYFUNCTION("GOOGLETRANSLATE(A11377,""en"",""pt"")"),"#VALUE!")</f>
        <v>#VALUE!</v>
      </c>
      <c r="G11377" s="69"/>
    </row>
    <row r="11378" ht="22.5" customHeight="1">
      <c r="A11378" s="66"/>
      <c r="B11378" s="67" t="str">
        <f t="shared" si="16"/>
        <v>M: </v>
      </c>
      <c r="C11378" s="68"/>
      <c r="D11378" s="68"/>
      <c r="E11378" s="66"/>
      <c r="F11378" s="66" t="str">
        <f>IFERROR(__xludf.DUMMYFUNCTION("GOOGLETRANSLATE(A11378,""en"",""pt"")"),"#VALUE!")</f>
        <v>#VALUE!</v>
      </c>
      <c r="G11378" s="69"/>
    </row>
    <row r="11379" ht="22.5" customHeight="1">
      <c r="A11379" s="66"/>
      <c r="B11379" s="67" t="str">
        <f t="shared" si="16"/>
        <v>M: </v>
      </c>
      <c r="C11379" s="68"/>
      <c r="D11379" s="68"/>
      <c r="E11379" s="66"/>
      <c r="F11379" s="66" t="str">
        <f>IFERROR(__xludf.DUMMYFUNCTION("GOOGLETRANSLATE(A11379,""en"",""pt"")"),"#VALUE!")</f>
        <v>#VALUE!</v>
      </c>
      <c r="G11379" s="69"/>
    </row>
    <row r="11380" ht="22.5" customHeight="1">
      <c r="A11380" s="66"/>
      <c r="B11380" s="67" t="str">
        <f t="shared" si="16"/>
        <v>M: </v>
      </c>
      <c r="C11380" s="68"/>
      <c r="D11380" s="68"/>
      <c r="E11380" s="66"/>
      <c r="F11380" s="66" t="str">
        <f>IFERROR(__xludf.DUMMYFUNCTION("GOOGLETRANSLATE(A11380,""en"",""pt"")"),"#VALUE!")</f>
        <v>#VALUE!</v>
      </c>
      <c r="G11380" s="69"/>
    </row>
    <row r="11381" ht="22.5" customHeight="1">
      <c r="A11381" s="66"/>
      <c r="B11381" s="67" t="str">
        <f t="shared" si="16"/>
        <v>M: </v>
      </c>
      <c r="C11381" s="68"/>
      <c r="D11381" s="68"/>
      <c r="E11381" s="66"/>
      <c r="F11381" s="66" t="str">
        <f>IFERROR(__xludf.DUMMYFUNCTION("GOOGLETRANSLATE(A11381,""en"",""pt"")"),"#VALUE!")</f>
        <v>#VALUE!</v>
      </c>
      <c r="G11381" s="69"/>
    </row>
    <row r="11382" ht="22.5" customHeight="1">
      <c r="A11382" s="66"/>
      <c r="B11382" s="67" t="str">
        <f t="shared" si="16"/>
        <v>M: </v>
      </c>
      <c r="C11382" s="68"/>
      <c r="D11382" s="68"/>
      <c r="E11382" s="66"/>
      <c r="F11382" s="66" t="str">
        <f>IFERROR(__xludf.DUMMYFUNCTION("GOOGLETRANSLATE(A11382,""en"",""pt"")"),"#VALUE!")</f>
        <v>#VALUE!</v>
      </c>
      <c r="G11382" s="69"/>
    </row>
    <row r="11383" ht="22.5" customHeight="1">
      <c r="A11383" s="66"/>
      <c r="B11383" s="67" t="str">
        <f t="shared" si="16"/>
        <v>M: </v>
      </c>
      <c r="C11383" s="68"/>
      <c r="D11383" s="68"/>
      <c r="E11383" s="66"/>
      <c r="F11383" s="66" t="str">
        <f>IFERROR(__xludf.DUMMYFUNCTION("GOOGLETRANSLATE(A11383,""en"",""pt"")"),"#VALUE!")</f>
        <v>#VALUE!</v>
      </c>
      <c r="G11383" s="69"/>
    </row>
    <row r="11384" ht="22.5" customHeight="1">
      <c r="A11384" s="66"/>
      <c r="B11384" s="67" t="str">
        <f t="shared" si="16"/>
        <v>M: </v>
      </c>
      <c r="C11384" s="68"/>
      <c r="D11384" s="68"/>
      <c r="E11384" s="66"/>
      <c r="F11384" s="66" t="str">
        <f>IFERROR(__xludf.DUMMYFUNCTION("GOOGLETRANSLATE(A11384,""en"",""pt"")"),"#VALUE!")</f>
        <v>#VALUE!</v>
      </c>
      <c r="G11384" s="69"/>
    </row>
    <row r="11385" ht="22.5" customHeight="1">
      <c r="A11385" s="66"/>
      <c r="B11385" s="67" t="str">
        <f t="shared" si="16"/>
        <v>M: </v>
      </c>
      <c r="C11385" s="68"/>
      <c r="D11385" s="68"/>
      <c r="E11385" s="66"/>
      <c r="F11385" s="66" t="str">
        <f>IFERROR(__xludf.DUMMYFUNCTION("GOOGLETRANSLATE(A11385,""en"",""pt"")"),"#VALUE!")</f>
        <v>#VALUE!</v>
      </c>
      <c r="G11385" s="69"/>
    </row>
    <row r="11386" ht="22.5" customHeight="1">
      <c r="A11386" s="66"/>
      <c r="B11386" s="67" t="str">
        <f t="shared" si="16"/>
        <v>M: </v>
      </c>
      <c r="C11386" s="68"/>
      <c r="D11386" s="68"/>
      <c r="E11386" s="66"/>
      <c r="F11386" s="66" t="str">
        <f>IFERROR(__xludf.DUMMYFUNCTION("GOOGLETRANSLATE(A11386,""en"",""pt"")"),"#VALUE!")</f>
        <v>#VALUE!</v>
      </c>
      <c r="G11386" s="69"/>
    </row>
    <row r="11387" ht="22.5" customHeight="1">
      <c r="A11387" s="66"/>
      <c r="B11387" s="67" t="str">
        <f t="shared" si="16"/>
        <v>M: </v>
      </c>
      <c r="C11387" s="68"/>
      <c r="D11387" s="68"/>
      <c r="E11387" s="66"/>
      <c r="F11387" s="66" t="str">
        <f>IFERROR(__xludf.DUMMYFUNCTION("GOOGLETRANSLATE(A11387,""en"",""pt"")"),"#VALUE!")</f>
        <v>#VALUE!</v>
      </c>
      <c r="G11387" s="69"/>
    </row>
    <row r="11388" ht="22.5" customHeight="1">
      <c r="A11388" s="66"/>
      <c r="B11388" s="67" t="str">
        <f t="shared" si="16"/>
        <v>M: </v>
      </c>
      <c r="C11388" s="68"/>
      <c r="D11388" s="68"/>
      <c r="E11388" s="66"/>
      <c r="F11388" s="66" t="str">
        <f>IFERROR(__xludf.DUMMYFUNCTION("GOOGLETRANSLATE(A11388,""en"",""pt"")"),"#VALUE!")</f>
        <v>#VALUE!</v>
      </c>
      <c r="G11388" s="69"/>
    </row>
    <row r="11389" ht="22.5" customHeight="1">
      <c r="A11389" s="66"/>
      <c r="B11389" s="67" t="str">
        <f t="shared" si="16"/>
        <v>M: </v>
      </c>
      <c r="C11389" s="68"/>
      <c r="D11389" s="68"/>
      <c r="E11389" s="66"/>
      <c r="F11389" s="66" t="str">
        <f>IFERROR(__xludf.DUMMYFUNCTION("GOOGLETRANSLATE(A11389,""en"",""pt"")"),"#VALUE!")</f>
        <v>#VALUE!</v>
      </c>
      <c r="G11389" s="69"/>
    </row>
    <row r="11390" ht="22.5" customHeight="1">
      <c r="A11390" s="66"/>
      <c r="B11390" s="67" t="str">
        <f t="shared" si="16"/>
        <v>M: </v>
      </c>
      <c r="C11390" s="68"/>
      <c r="D11390" s="68"/>
      <c r="E11390" s="66"/>
      <c r="F11390" s="66" t="str">
        <f>IFERROR(__xludf.DUMMYFUNCTION("GOOGLETRANSLATE(A11390,""en"",""pt"")"),"#VALUE!")</f>
        <v>#VALUE!</v>
      </c>
      <c r="G11390" s="69"/>
    </row>
    <row r="11391" ht="22.5" customHeight="1">
      <c r="A11391" s="66"/>
      <c r="B11391" s="67" t="str">
        <f t="shared" si="16"/>
        <v>M: </v>
      </c>
      <c r="C11391" s="68"/>
      <c r="D11391" s="68"/>
      <c r="E11391" s="66"/>
      <c r="F11391" s="66" t="str">
        <f>IFERROR(__xludf.DUMMYFUNCTION("GOOGLETRANSLATE(A11391,""en"",""pt"")"),"#VALUE!")</f>
        <v>#VALUE!</v>
      </c>
      <c r="G11391" s="69"/>
    </row>
    <row r="11392" ht="22.5" customHeight="1">
      <c r="A11392" s="66"/>
      <c r="B11392" s="67" t="str">
        <f t="shared" si="16"/>
        <v>M: </v>
      </c>
      <c r="C11392" s="68"/>
      <c r="D11392" s="68"/>
      <c r="E11392" s="66"/>
      <c r="F11392" s="66" t="str">
        <f>IFERROR(__xludf.DUMMYFUNCTION("GOOGLETRANSLATE(A11392,""en"",""pt"")"),"#VALUE!")</f>
        <v>#VALUE!</v>
      </c>
      <c r="G11392" s="69"/>
    </row>
    <row r="11393" ht="22.5" customHeight="1">
      <c r="A11393" s="66"/>
      <c r="B11393" s="67" t="str">
        <f t="shared" si="16"/>
        <v>M: </v>
      </c>
      <c r="C11393" s="68"/>
      <c r="D11393" s="68"/>
      <c r="E11393" s="66"/>
      <c r="F11393" s="66" t="str">
        <f>IFERROR(__xludf.DUMMYFUNCTION("GOOGLETRANSLATE(A11393,""en"",""pt"")"),"#VALUE!")</f>
        <v>#VALUE!</v>
      </c>
      <c r="G11393" s="69"/>
    </row>
    <row r="11394" ht="22.5" customHeight="1">
      <c r="A11394" s="66"/>
      <c r="B11394" s="67" t="str">
        <f t="shared" si="16"/>
        <v>M: </v>
      </c>
      <c r="C11394" s="68"/>
      <c r="D11394" s="68"/>
      <c r="E11394" s="66"/>
      <c r="F11394" s="66" t="str">
        <f>IFERROR(__xludf.DUMMYFUNCTION("GOOGLETRANSLATE(A11394,""en"",""pt"")"),"#VALUE!")</f>
        <v>#VALUE!</v>
      </c>
      <c r="G11394" s="69"/>
    </row>
    <row r="11395" ht="22.5" customHeight="1">
      <c r="A11395" s="66"/>
      <c r="B11395" s="67" t="str">
        <f t="shared" si="16"/>
        <v>M: </v>
      </c>
      <c r="C11395" s="68"/>
      <c r="D11395" s="68"/>
      <c r="E11395" s="66"/>
      <c r="F11395" s="66" t="str">
        <f>IFERROR(__xludf.DUMMYFUNCTION("GOOGLETRANSLATE(A11395,""en"",""pt"")"),"#VALUE!")</f>
        <v>#VALUE!</v>
      </c>
      <c r="G11395" s="69"/>
    </row>
    <row r="11396" ht="22.5" customHeight="1">
      <c r="A11396" s="66"/>
      <c r="B11396" s="67" t="str">
        <f t="shared" si="16"/>
        <v>M: </v>
      </c>
      <c r="C11396" s="68"/>
      <c r="D11396" s="68"/>
      <c r="E11396" s="66"/>
      <c r="F11396" s="66" t="str">
        <f>IFERROR(__xludf.DUMMYFUNCTION("GOOGLETRANSLATE(A11396,""en"",""pt"")"),"#VALUE!")</f>
        <v>#VALUE!</v>
      </c>
      <c r="G11396" s="69"/>
    </row>
    <row r="11397" ht="22.5" customHeight="1">
      <c r="A11397" s="66"/>
      <c r="B11397" s="67" t="str">
        <f t="shared" si="16"/>
        <v>M: </v>
      </c>
      <c r="C11397" s="68"/>
      <c r="D11397" s="68"/>
      <c r="E11397" s="66"/>
      <c r="F11397" s="66" t="str">
        <f>IFERROR(__xludf.DUMMYFUNCTION("GOOGLETRANSLATE(A11397,""en"",""pt"")"),"#VALUE!")</f>
        <v>#VALUE!</v>
      </c>
      <c r="G11397" s="69"/>
    </row>
    <row r="11398" ht="22.5" customHeight="1">
      <c r="A11398" s="66"/>
      <c r="B11398" s="67" t="str">
        <f t="shared" si="16"/>
        <v>M: </v>
      </c>
      <c r="C11398" s="68"/>
      <c r="D11398" s="68"/>
      <c r="E11398" s="66"/>
      <c r="F11398" s="66" t="str">
        <f>IFERROR(__xludf.DUMMYFUNCTION("GOOGLETRANSLATE(A11398,""en"",""pt"")"),"#VALUE!")</f>
        <v>#VALUE!</v>
      </c>
      <c r="G11398" s="69"/>
    </row>
    <row r="11399" ht="22.5" customHeight="1">
      <c r="A11399" s="66"/>
      <c r="B11399" s="67" t="str">
        <f t="shared" si="16"/>
        <v>M: </v>
      </c>
      <c r="C11399" s="68"/>
      <c r="D11399" s="68"/>
      <c r="E11399" s="66"/>
      <c r="F11399" s="66" t="str">
        <f>IFERROR(__xludf.DUMMYFUNCTION("GOOGLETRANSLATE(A11399,""en"",""pt"")"),"#VALUE!")</f>
        <v>#VALUE!</v>
      </c>
      <c r="G11399" s="69"/>
    </row>
    <row r="11400" ht="22.5" customHeight="1">
      <c r="A11400" s="66"/>
      <c r="B11400" s="67" t="str">
        <f t="shared" si="16"/>
        <v>M: </v>
      </c>
      <c r="C11400" s="68"/>
      <c r="D11400" s="68"/>
      <c r="E11400" s="66"/>
      <c r="F11400" s="66" t="str">
        <f>IFERROR(__xludf.DUMMYFUNCTION("GOOGLETRANSLATE(A11400,""en"",""pt"")"),"#VALUE!")</f>
        <v>#VALUE!</v>
      </c>
      <c r="G11400" s="69"/>
    </row>
    <row r="11401" ht="22.5" customHeight="1">
      <c r="A11401" s="66"/>
      <c r="B11401" s="67" t="str">
        <f t="shared" si="16"/>
        <v>M: </v>
      </c>
      <c r="C11401" s="68"/>
      <c r="D11401" s="68"/>
      <c r="E11401" s="66"/>
      <c r="F11401" s="66" t="str">
        <f>IFERROR(__xludf.DUMMYFUNCTION("GOOGLETRANSLATE(A11401,""en"",""pt"")"),"#VALUE!")</f>
        <v>#VALUE!</v>
      </c>
      <c r="G11401" s="69"/>
    </row>
    <row r="11402" ht="22.5" customHeight="1">
      <c r="A11402" s="66"/>
      <c r="B11402" s="67" t="str">
        <f t="shared" si="16"/>
        <v>M: </v>
      </c>
      <c r="C11402" s="68"/>
      <c r="D11402" s="68"/>
      <c r="E11402" s="66"/>
      <c r="F11402" s="66" t="str">
        <f>IFERROR(__xludf.DUMMYFUNCTION("GOOGLETRANSLATE(A11402,""en"",""pt"")"),"#VALUE!")</f>
        <v>#VALUE!</v>
      </c>
      <c r="G11402" s="69"/>
    </row>
    <row r="11403" ht="22.5" customHeight="1">
      <c r="A11403" s="66"/>
      <c r="B11403" s="67" t="str">
        <f t="shared" si="16"/>
        <v>M: </v>
      </c>
      <c r="C11403" s="68"/>
      <c r="D11403" s="68"/>
      <c r="E11403" s="66"/>
      <c r="F11403" s="66" t="str">
        <f>IFERROR(__xludf.DUMMYFUNCTION("GOOGLETRANSLATE(A11403,""en"",""pt"")"),"#VALUE!")</f>
        <v>#VALUE!</v>
      </c>
      <c r="G11403" s="69"/>
    </row>
    <row r="11404" ht="22.5" customHeight="1">
      <c r="A11404" s="66"/>
      <c r="B11404" s="67" t="str">
        <f t="shared" si="16"/>
        <v>M: </v>
      </c>
      <c r="C11404" s="68"/>
      <c r="D11404" s="68"/>
      <c r="E11404" s="66"/>
      <c r="F11404" s="66" t="str">
        <f>IFERROR(__xludf.DUMMYFUNCTION("GOOGLETRANSLATE(A11404,""en"",""pt"")"),"#VALUE!")</f>
        <v>#VALUE!</v>
      </c>
      <c r="G11404" s="69"/>
    </row>
    <row r="11405" ht="22.5" customHeight="1">
      <c r="A11405" s="66"/>
      <c r="B11405" s="67" t="str">
        <f t="shared" si="16"/>
        <v>M: </v>
      </c>
      <c r="C11405" s="68"/>
      <c r="D11405" s="68"/>
      <c r="E11405" s="66"/>
      <c r="F11405" s="66" t="str">
        <f>IFERROR(__xludf.DUMMYFUNCTION("GOOGLETRANSLATE(A11405,""en"",""pt"")"),"#VALUE!")</f>
        <v>#VALUE!</v>
      </c>
      <c r="G11405" s="69"/>
    </row>
    <row r="11406" ht="22.5" customHeight="1">
      <c r="A11406" s="66"/>
      <c r="B11406" s="67" t="str">
        <f t="shared" si="16"/>
        <v>M: </v>
      </c>
      <c r="C11406" s="68"/>
      <c r="D11406" s="68"/>
      <c r="E11406" s="66"/>
      <c r="F11406" s="66" t="str">
        <f>IFERROR(__xludf.DUMMYFUNCTION("GOOGLETRANSLATE(A11406,""en"",""pt"")"),"#VALUE!")</f>
        <v>#VALUE!</v>
      </c>
      <c r="G11406" s="69"/>
    </row>
    <row r="11407" ht="22.5" customHeight="1">
      <c r="A11407" s="66"/>
      <c r="B11407" s="67" t="str">
        <f t="shared" si="16"/>
        <v>M: </v>
      </c>
      <c r="C11407" s="68"/>
      <c r="D11407" s="68"/>
      <c r="E11407" s="66"/>
      <c r="F11407" s="66" t="str">
        <f>IFERROR(__xludf.DUMMYFUNCTION("GOOGLETRANSLATE(A11407,""en"",""pt"")"),"#VALUE!")</f>
        <v>#VALUE!</v>
      </c>
      <c r="G11407" s="69"/>
    </row>
    <row r="11408" ht="22.5" customHeight="1">
      <c r="A11408" s="66"/>
      <c r="B11408" s="67" t="str">
        <f t="shared" si="16"/>
        <v>M: </v>
      </c>
      <c r="C11408" s="68"/>
      <c r="D11408" s="68"/>
      <c r="E11408" s="66"/>
      <c r="F11408" s="66" t="str">
        <f>IFERROR(__xludf.DUMMYFUNCTION("GOOGLETRANSLATE(A11408,""en"",""pt"")"),"#VALUE!")</f>
        <v>#VALUE!</v>
      </c>
      <c r="G11408" s="69"/>
    </row>
    <row r="11409" ht="22.5" customHeight="1">
      <c r="A11409" s="66"/>
      <c r="B11409" s="67" t="str">
        <f t="shared" si="16"/>
        <v>M: </v>
      </c>
      <c r="C11409" s="68"/>
      <c r="D11409" s="68"/>
      <c r="E11409" s="66"/>
      <c r="F11409" s="66" t="str">
        <f>IFERROR(__xludf.DUMMYFUNCTION("GOOGLETRANSLATE(A11409,""en"",""pt"")"),"#VALUE!")</f>
        <v>#VALUE!</v>
      </c>
      <c r="G11409" s="69"/>
    </row>
    <row r="11410" ht="22.5" customHeight="1">
      <c r="A11410" s="66"/>
      <c r="B11410" s="67" t="str">
        <f t="shared" si="16"/>
        <v>M: </v>
      </c>
      <c r="C11410" s="68"/>
      <c r="D11410" s="68"/>
      <c r="E11410" s="66"/>
      <c r="F11410" s="66" t="str">
        <f>IFERROR(__xludf.DUMMYFUNCTION("GOOGLETRANSLATE(A11410,""en"",""pt"")"),"#VALUE!")</f>
        <v>#VALUE!</v>
      </c>
      <c r="G11410" s="69"/>
    </row>
    <row r="11411" ht="22.5" customHeight="1">
      <c r="A11411" s="66"/>
      <c r="B11411" s="67" t="str">
        <f t="shared" si="16"/>
        <v>M: </v>
      </c>
      <c r="C11411" s="68"/>
      <c r="D11411" s="68"/>
      <c r="E11411" s="66"/>
      <c r="F11411" s="66" t="str">
        <f>IFERROR(__xludf.DUMMYFUNCTION("GOOGLETRANSLATE(A11411,""en"",""pt"")"),"#VALUE!")</f>
        <v>#VALUE!</v>
      </c>
      <c r="G11411" s="69"/>
    </row>
    <row r="11412" ht="22.5" customHeight="1">
      <c r="A11412" s="66"/>
      <c r="B11412" s="67" t="str">
        <f t="shared" si="16"/>
        <v>M: </v>
      </c>
      <c r="C11412" s="68"/>
      <c r="D11412" s="68"/>
      <c r="E11412" s="66"/>
      <c r="F11412" s="66" t="str">
        <f>IFERROR(__xludf.DUMMYFUNCTION("GOOGLETRANSLATE(A11412,""en"",""pt"")"),"#VALUE!")</f>
        <v>#VALUE!</v>
      </c>
      <c r="G11412" s="69"/>
    </row>
    <row r="11413" ht="22.5" customHeight="1">
      <c r="A11413" s="66"/>
      <c r="B11413" s="67" t="str">
        <f t="shared" si="16"/>
        <v>M: </v>
      </c>
      <c r="C11413" s="68"/>
      <c r="D11413" s="68"/>
      <c r="E11413" s="66"/>
      <c r="F11413" s="66" t="str">
        <f>IFERROR(__xludf.DUMMYFUNCTION("GOOGLETRANSLATE(A11413,""en"",""pt"")"),"#VALUE!")</f>
        <v>#VALUE!</v>
      </c>
      <c r="G11413" s="69"/>
    </row>
    <row r="11414" ht="22.5" customHeight="1">
      <c r="A11414" s="66"/>
      <c r="B11414" s="67" t="str">
        <f t="shared" si="16"/>
        <v>M: </v>
      </c>
      <c r="C11414" s="68"/>
      <c r="D11414" s="68"/>
      <c r="E11414" s="66"/>
      <c r="F11414" s="66" t="str">
        <f>IFERROR(__xludf.DUMMYFUNCTION("GOOGLETRANSLATE(A11414,""en"",""pt"")"),"#VALUE!")</f>
        <v>#VALUE!</v>
      </c>
      <c r="G11414" s="69"/>
    </row>
    <row r="11415" ht="22.5" customHeight="1">
      <c r="A11415" s="66"/>
      <c r="B11415" s="67" t="str">
        <f t="shared" si="16"/>
        <v>M: </v>
      </c>
      <c r="C11415" s="68"/>
      <c r="D11415" s="68"/>
      <c r="E11415" s="66"/>
      <c r="F11415" s="66" t="str">
        <f>IFERROR(__xludf.DUMMYFUNCTION("GOOGLETRANSLATE(A11415,""en"",""pt"")"),"#VALUE!")</f>
        <v>#VALUE!</v>
      </c>
      <c r="G11415" s="69"/>
    </row>
    <row r="11416" ht="22.5" customHeight="1">
      <c r="A11416" s="66"/>
      <c r="B11416" s="67" t="str">
        <f t="shared" si="16"/>
        <v>M: </v>
      </c>
      <c r="C11416" s="68"/>
      <c r="D11416" s="68"/>
      <c r="E11416" s="66"/>
      <c r="F11416" s="66" t="str">
        <f>IFERROR(__xludf.DUMMYFUNCTION("GOOGLETRANSLATE(A11416,""en"",""pt"")"),"#VALUE!")</f>
        <v>#VALUE!</v>
      </c>
      <c r="G11416" s="69"/>
    </row>
    <row r="11417" ht="22.5" customHeight="1">
      <c r="A11417" s="66"/>
      <c r="B11417" s="67" t="str">
        <f t="shared" si="16"/>
        <v>M: </v>
      </c>
      <c r="C11417" s="68"/>
      <c r="D11417" s="68"/>
      <c r="E11417" s="66"/>
      <c r="F11417" s="66" t="str">
        <f>IFERROR(__xludf.DUMMYFUNCTION("GOOGLETRANSLATE(A11417,""en"",""pt"")"),"#VALUE!")</f>
        <v>#VALUE!</v>
      </c>
      <c r="G11417" s="69"/>
    </row>
    <row r="11418" ht="22.5" customHeight="1">
      <c r="A11418" s="66"/>
      <c r="B11418" s="67" t="str">
        <f t="shared" si="16"/>
        <v>M: </v>
      </c>
      <c r="C11418" s="68"/>
      <c r="D11418" s="68"/>
      <c r="E11418" s="66"/>
      <c r="F11418" s="66" t="str">
        <f>IFERROR(__xludf.DUMMYFUNCTION("GOOGLETRANSLATE(A11418,""en"",""pt"")"),"#VALUE!")</f>
        <v>#VALUE!</v>
      </c>
      <c r="G11418" s="69"/>
    </row>
    <row r="11419" ht="22.5" customHeight="1">
      <c r="A11419" s="66"/>
      <c r="B11419" s="67" t="str">
        <f t="shared" si="16"/>
        <v>M: </v>
      </c>
      <c r="C11419" s="68"/>
      <c r="D11419" s="68"/>
      <c r="E11419" s="66"/>
      <c r="F11419" s="66" t="str">
        <f>IFERROR(__xludf.DUMMYFUNCTION("GOOGLETRANSLATE(A11419,""en"",""pt"")"),"#VALUE!")</f>
        <v>#VALUE!</v>
      </c>
      <c r="G11419" s="69"/>
    </row>
    <row r="11420" ht="22.5" customHeight="1">
      <c r="A11420" s="66"/>
      <c r="B11420" s="67" t="str">
        <f t="shared" si="16"/>
        <v>M: </v>
      </c>
      <c r="C11420" s="68"/>
      <c r="D11420" s="68"/>
      <c r="E11420" s="66"/>
      <c r="F11420" s="66" t="str">
        <f>IFERROR(__xludf.DUMMYFUNCTION("GOOGLETRANSLATE(A11420,""en"",""pt"")"),"#VALUE!")</f>
        <v>#VALUE!</v>
      </c>
      <c r="G11420" s="69"/>
    </row>
    <row r="11421" ht="22.5" customHeight="1">
      <c r="A11421" s="66"/>
      <c r="B11421" s="67" t="str">
        <f t="shared" si="16"/>
        <v>M: </v>
      </c>
      <c r="C11421" s="68"/>
      <c r="D11421" s="68"/>
      <c r="E11421" s="66"/>
      <c r="F11421" s="66" t="str">
        <f>IFERROR(__xludf.DUMMYFUNCTION("GOOGLETRANSLATE(A11421,""en"",""pt"")"),"#VALUE!")</f>
        <v>#VALUE!</v>
      </c>
      <c r="G11421" s="69"/>
    </row>
    <row r="11422" ht="22.5" customHeight="1">
      <c r="A11422" s="66"/>
      <c r="B11422" s="67" t="str">
        <f t="shared" si="16"/>
        <v>M: </v>
      </c>
      <c r="C11422" s="68"/>
      <c r="D11422" s="68"/>
      <c r="E11422" s="66"/>
      <c r="F11422" s="66" t="str">
        <f>IFERROR(__xludf.DUMMYFUNCTION("GOOGLETRANSLATE(A11422,""en"",""pt"")"),"#VALUE!")</f>
        <v>#VALUE!</v>
      </c>
      <c r="G11422" s="69"/>
    </row>
    <row r="11423" ht="22.5" customHeight="1">
      <c r="A11423" s="66"/>
      <c r="B11423" s="67" t="str">
        <f t="shared" si="16"/>
        <v>M: </v>
      </c>
      <c r="C11423" s="68"/>
      <c r="D11423" s="68"/>
      <c r="E11423" s="66"/>
      <c r="F11423" s="66" t="str">
        <f>IFERROR(__xludf.DUMMYFUNCTION("GOOGLETRANSLATE(A11423,""en"",""pt"")"),"#VALUE!")</f>
        <v>#VALUE!</v>
      </c>
      <c r="G11423" s="69"/>
    </row>
    <row r="11424" ht="22.5" customHeight="1">
      <c r="A11424" s="66"/>
      <c r="B11424" s="67" t="str">
        <f t="shared" si="16"/>
        <v>M: </v>
      </c>
      <c r="C11424" s="68"/>
      <c r="D11424" s="68"/>
      <c r="E11424" s="66"/>
      <c r="F11424" s="66" t="str">
        <f>IFERROR(__xludf.DUMMYFUNCTION("GOOGLETRANSLATE(A11424,""en"",""pt"")"),"#VALUE!")</f>
        <v>#VALUE!</v>
      </c>
      <c r="G11424" s="69"/>
    </row>
    <row r="11425" ht="22.5" customHeight="1">
      <c r="A11425" s="66"/>
      <c r="B11425" s="67" t="str">
        <f t="shared" si="16"/>
        <v>M: </v>
      </c>
      <c r="C11425" s="68"/>
      <c r="D11425" s="68"/>
      <c r="E11425" s="66"/>
      <c r="F11425" s="66" t="str">
        <f>IFERROR(__xludf.DUMMYFUNCTION("GOOGLETRANSLATE(A11425,""en"",""pt"")"),"#VALUE!")</f>
        <v>#VALUE!</v>
      </c>
      <c r="G11425" s="69"/>
    </row>
    <row r="11426" ht="22.5" customHeight="1">
      <c r="A11426" s="66"/>
      <c r="B11426" s="67" t="str">
        <f t="shared" si="16"/>
        <v>M: </v>
      </c>
      <c r="C11426" s="68"/>
      <c r="D11426" s="68"/>
      <c r="E11426" s="66"/>
      <c r="F11426" s="66" t="str">
        <f>IFERROR(__xludf.DUMMYFUNCTION("GOOGLETRANSLATE(A11426,""en"",""pt"")"),"#VALUE!")</f>
        <v>#VALUE!</v>
      </c>
      <c r="G11426" s="69"/>
    </row>
    <row r="11427" ht="22.5" customHeight="1">
      <c r="A11427" s="66"/>
      <c r="B11427" s="67" t="str">
        <f t="shared" si="16"/>
        <v>M: </v>
      </c>
      <c r="C11427" s="68"/>
      <c r="D11427" s="68"/>
      <c r="E11427" s="66"/>
      <c r="F11427" s="66" t="str">
        <f>IFERROR(__xludf.DUMMYFUNCTION("GOOGLETRANSLATE(A11427,""en"",""pt"")"),"#VALUE!")</f>
        <v>#VALUE!</v>
      </c>
      <c r="G11427" s="69"/>
    </row>
    <row r="11428" ht="22.5" customHeight="1">
      <c r="A11428" s="66"/>
      <c r="B11428" s="67" t="str">
        <f t="shared" si="16"/>
        <v>M: </v>
      </c>
      <c r="C11428" s="68"/>
      <c r="D11428" s="68"/>
      <c r="E11428" s="66"/>
      <c r="F11428" s="66" t="str">
        <f>IFERROR(__xludf.DUMMYFUNCTION("GOOGLETRANSLATE(A11428,""en"",""pt"")"),"#VALUE!")</f>
        <v>#VALUE!</v>
      </c>
      <c r="G11428" s="69"/>
    </row>
    <row r="11429" ht="22.5" customHeight="1">
      <c r="A11429" s="66"/>
      <c r="B11429" s="67" t="str">
        <f t="shared" si="16"/>
        <v>M: </v>
      </c>
      <c r="C11429" s="68"/>
      <c r="D11429" s="68"/>
      <c r="E11429" s="66"/>
      <c r="F11429" s="66" t="str">
        <f>IFERROR(__xludf.DUMMYFUNCTION("GOOGLETRANSLATE(A11429,""en"",""pt"")"),"#VALUE!")</f>
        <v>#VALUE!</v>
      </c>
      <c r="G11429" s="69"/>
    </row>
    <row r="11430" ht="22.5" customHeight="1">
      <c r="A11430" s="66"/>
      <c r="B11430" s="67" t="str">
        <f t="shared" si="16"/>
        <v>M: </v>
      </c>
      <c r="C11430" s="68"/>
      <c r="D11430" s="68"/>
      <c r="E11430" s="66"/>
      <c r="F11430" s="66" t="str">
        <f>IFERROR(__xludf.DUMMYFUNCTION("GOOGLETRANSLATE(A11430,""en"",""pt"")"),"#VALUE!")</f>
        <v>#VALUE!</v>
      </c>
      <c r="G11430" s="69"/>
    </row>
    <row r="11431" ht="22.5" customHeight="1">
      <c r="A11431" s="66"/>
      <c r="B11431" s="67" t="str">
        <f t="shared" si="16"/>
        <v>M: </v>
      </c>
      <c r="C11431" s="68"/>
      <c r="D11431" s="68"/>
      <c r="E11431" s="66"/>
      <c r="F11431" s="66" t="str">
        <f>IFERROR(__xludf.DUMMYFUNCTION("GOOGLETRANSLATE(A11431,""en"",""pt"")"),"#VALUE!")</f>
        <v>#VALUE!</v>
      </c>
      <c r="G11431" s="69"/>
    </row>
    <row r="11432" ht="22.5" customHeight="1">
      <c r="A11432" s="66"/>
      <c r="B11432" s="67" t="str">
        <f t="shared" si="16"/>
        <v>M: </v>
      </c>
      <c r="C11432" s="68"/>
      <c r="D11432" s="68"/>
      <c r="E11432" s="66"/>
      <c r="F11432" s="66" t="str">
        <f>IFERROR(__xludf.DUMMYFUNCTION("GOOGLETRANSLATE(A11432,""en"",""pt"")"),"#VALUE!")</f>
        <v>#VALUE!</v>
      </c>
      <c r="G11432" s="69"/>
    </row>
    <row r="11433" ht="22.5" customHeight="1">
      <c r="A11433" s="66"/>
      <c r="B11433" s="67" t="str">
        <f t="shared" si="16"/>
        <v>M: </v>
      </c>
      <c r="C11433" s="68"/>
      <c r="D11433" s="68"/>
      <c r="E11433" s="66"/>
      <c r="F11433" s="66" t="str">
        <f>IFERROR(__xludf.DUMMYFUNCTION("GOOGLETRANSLATE(A11433,""en"",""pt"")"),"#VALUE!")</f>
        <v>#VALUE!</v>
      </c>
      <c r="G11433" s="69"/>
    </row>
    <row r="11434" ht="22.5" customHeight="1">
      <c r="A11434" s="66"/>
      <c r="B11434" s="67" t="str">
        <f t="shared" si="16"/>
        <v>M: </v>
      </c>
      <c r="C11434" s="68"/>
      <c r="D11434" s="68"/>
      <c r="E11434" s="66"/>
      <c r="F11434" s="66" t="str">
        <f>IFERROR(__xludf.DUMMYFUNCTION("GOOGLETRANSLATE(A11434,""en"",""pt"")"),"#VALUE!")</f>
        <v>#VALUE!</v>
      </c>
      <c r="G11434" s="69"/>
    </row>
    <row r="11435" ht="22.5" customHeight="1">
      <c r="A11435" s="66"/>
      <c r="B11435" s="67" t="str">
        <f t="shared" si="16"/>
        <v>M: </v>
      </c>
      <c r="C11435" s="68"/>
      <c r="D11435" s="68"/>
      <c r="E11435" s="66"/>
      <c r="F11435" s="66" t="str">
        <f>IFERROR(__xludf.DUMMYFUNCTION("GOOGLETRANSLATE(A11435,""en"",""pt"")"),"#VALUE!")</f>
        <v>#VALUE!</v>
      </c>
      <c r="G11435" s="69"/>
    </row>
    <row r="11436" ht="22.5" customHeight="1">
      <c r="A11436" s="66"/>
      <c r="B11436" s="67" t="str">
        <f t="shared" si="16"/>
        <v>M: </v>
      </c>
      <c r="C11436" s="68"/>
      <c r="D11436" s="68"/>
      <c r="E11436" s="66"/>
      <c r="F11436" s="66" t="str">
        <f>IFERROR(__xludf.DUMMYFUNCTION("GOOGLETRANSLATE(A11436,""en"",""pt"")"),"#VALUE!")</f>
        <v>#VALUE!</v>
      </c>
      <c r="G11436" s="69"/>
    </row>
    <row r="11437" ht="22.5" customHeight="1">
      <c r="A11437" s="66"/>
      <c r="B11437" s="67" t="str">
        <f t="shared" si="16"/>
        <v>M: </v>
      </c>
      <c r="C11437" s="68"/>
      <c r="D11437" s="68"/>
      <c r="E11437" s="66"/>
      <c r="F11437" s="66" t="str">
        <f>IFERROR(__xludf.DUMMYFUNCTION("GOOGLETRANSLATE(A11437,""en"",""pt"")"),"#VALUE!")</f>
        <v>#VALUE!</v>
      </c>
      <c r="G11437" s="69"/>
    </row>
    <row r="11438" ht="22.5" customHeight="1">
      <c r="A11438" s="66"/>
      <c r="B11438" s="67" t="str">
        <f t="shared" si="16"/>
        <v>M: </v>
      </c>
      <c r="C11438" s="68"/>
      <c r="D11438" s="68"/>
      <c r="E11438" s="66"/>
      <c r="F11438" s="66" t="str">
        <f>IFERROR(__xludf.DUMMYFUNCTION("GOOGLETRANSLATE(A11438,""en"",""pt"")"),"#VALUE!")</f>
        <v>#VALUE!</v>
      </c>
      <c r="G11438" s="69"/>
    </row>
    <row r="11439" ht="22.5" customHeight="1">
      <c r="A11439" s="66"/>
      <c r="B11439" s="67" t="str">
        <f t="shared" si="16"/>
        <v>M: </v>
      </c>
      <c r="C11439" s="68"/>
      <c r="D11439" s="68"/>
      <c r="E11439" s="66"/>
      <c r="F11439" s="66" t="str">
        <f>IFERROR(__xludf.DUMMYFUNCTION("GOOGLETRANSLATE(A11439,""en"",""pt"")"),"#VALUE!")</f>
        <v>#VALUE!</v>
      </c>
      <c r="G11439" s="69"/>
    </row>
    <row r="11440" ht="22.5" customHeight="1">
      <c r="A11440" s="66"/>
      <c r="B11440" s="67" t="str">
        <f t="shared" si="16"/>
        <v>M: </v>
      </c>
      <c r="C11440" s="68"/>
      <c r="D11440" s="68"/>
      <c r="E11440" s="66"/>
      <c r="F11440" s="66" t="str">
        <f>IFERROR(__xludf.DUMMYFUNCTION("GOOGLETRANSLATE(A11440,""en"",""pt"")"),"#VALUE!")</f>
        <v>#VALUE!</v>
      </c>
      <c r="G11440" s="69"/>
    </row>
    <row r="11441" ht="22.5" customHeight="1">
      <c r="A11441" s="66"/>
      <c r="B11441" s="67" t="str">
        <f t="shared" si="16"/>
        <v>M: </v>
      </c>
      <c r="C11441" s="68"/>
      <c r="D11441" s="68"/>
      <c r="E11441" s="66"/>
      <c r="F11441" s="66" t="str">
        <f>IFERROR(__xludf.DUMMYFUNCTION("GOOGLETRANSLATE(A11441,""en"",""pt"")"),"#VALUE!")</f>
        <v>#VALUE!</v>
      </c>
      <c r="G11441" s="69"/>
    </row>
    <row r="11442" ht="22.5" customHeight="1">
      <c r="A11442" s="66"/>
      <c r="B11442" s="67" t="str">
        <f t="shared" si="16"/>
        <v>M: </v>
      </c>
      <c r="C11442" s="68"/>
      <c r="D11442" s="68"/>
      <c r="E11442" s="66"/>
      <c r="F11442" s="66" t="str">
        <f>IFERROR(__xludf.DUMMYFUNCTION("GOOGLETRANSLATE(A11442,""en"",""pt"")"),"#VALUE!")</f>
        <v>#VALUE!</v>
      </c>
      <c r="G11442" s="69"/>
    </row>
    <row r="11443" ht="22.5" customHeight="1">
      <c r="A11443" s="66"/>
      <c r="B11443" s="67" t="str">
        <f t="shared" si="16"/>
        <v>M: </v>
      </c>
      <c r="C11443" s="68"/>
      <c r="D11443" s="68"/>
      <c r="E11443" s="66"/>
      <c r="F11443" s="66" t="str">
        <f>IFERROR(__xludf.DUMMYFUNCTION("GOOGLETRANSLATE(A11443,""en"",""pt"")"),"#VALUE!")</f>
        <v>#VALUE!</v>
      </c>
      <c r="G11443" s="69"/>
    </row>
    <row r="11444" ht="22.5" customHeight="1">
      <c r="A11444" s="66"/>
      <c r="B11444" s="67" t="str">
        <f t="shared" si="16"/>
        <v>M: </v>
      </c>
      <c r="C11444" s="68"/>
      <c r="D11444" s="68"/>
      <c r="E11444" s="66"/>
      <c r="F11444" s="66" t="str">
        <f>IFERROR(__xludf.DUMMYFUNCTION("GOOGLETRANSLATE(A11444,""en"",""pt"")"),"#VALUE!")</f>
        <v>#VALUE!</v>
      </c>
      <c r="G11444" s="69"/>
    </row>
    <row r="11445" ht="22.5" customHeight="1">
      <c r="A11445" s="66"/>
      <c r="B11445" s="67" t="str">
        <f t="shared" si="16"/>
        <v>M: </v>
      </c>
      <c r="C11445" s="68"/>
      <c r="D11445" s="68"/>
      <c r="E11445" s="66"/>
      <c r="F11445" s="66" t="str">
        <f>IFERROR(__xludf.DUMMYFUNCTION("GOOGLETRANSLATE(A11445,""en"",""pt"")"),"#VALUE!")</f>
        <v>#VALUE!</v>
      </c>
      <c r="G11445" s="69"/>
    </row>
    <row r="11446" ht="22.5" customHeight="1">
      <c r="A11446" s="66"/>
      <c r="B11446" s="67" t="str">
        <f t="shared" si="16"/>
        <v>M: </v>
      </c>
      <c r="C11446" s="68"/>
      <c r="D11446" s="68"/>
      <c r="E11446" s="66"/>
      <c r="F11446" s="66" t="str">
        <f>IFERROR(__xludf.DUMMYFUNCTION("GOOGLETRANSLATE(A11446,""en"",""pt"")"),"#VALUE!")</f>
        <v>#VALUE!</v>
      </c>
      <c r="G11446" s="69"/>
    </row>
    <row r="11447" ht="22.5" customHeight="1">
      <c r="A11447" s="66"/>
      <c r="B11447" s="67" t="str">
        <f t="shared" si="16"/>
        <v>M: </v>
      </c>
      <c r="C11447" s="68"/>
      <c r="D11447" s="68"/>
      <c r="E11447" s="66"/>
      <c r="F11447" s="66" t="str">
        <f>IFERROR(__xludf.DUMMYFUNCTION("GOOGLETRANSLATE(A11447,""en"",""pt"")"),"#VALUE!")</f>
        <v>#VALUE!</v>
      </c>
      <c r="G11447" s="69"/>
    </row>
    <row r="11448" ht="22.5" customHeight="1">
      <c r="A11448" s="66"/>
      <c r="B11448" s="67" t="str">
        <f t="shared" si="16"/>
        <v>M: </v>
      </c>
      <c r="C11448" s="68"/>
      <c r="D11448" s="68"/>
      <c r="E11448" s="66"/>
      <c r="F11448" s="66" t="str">
        <f>IFERROR(__xludf.DUMMYFUNCTION("GOOGLETRANSLATE(A11448,""en"",""pt"")"),"#VALUE!")</f>
        <v>#VALUE!</v>
      </c>
      <c r="G11448" s="69"/>
    </row>
    <row r="11449" ht="22.5" customHeight="1">
      <c r="A11449" s="66"/>
      <c r="B11449" s="67" t="str">
        <f t="shared" si="16"/>
        <v>M: </v>
      </c>
      <c r="C11449" s="68"/>
      <c r="D11449" s="68"/>
      <c r="E11449" s="66"/>
      <c r="F11449" s="66" t="str">
        <f>IFERROR(__xludf.DUMMYFUNCTION("GOOGLETRANSLATE(A11449,""en"",""pt"")"),"#VALUE!")</f>
        <v>#VALUE!</v>
      </c>
      <c r="G11449" s="69"/>
    </row>
    <row r="11450" ht="22.5" customHeight="1">
      <c r="A11450" s="66"/>
      <c r="B11450" s="67" t="str">
        <f t="shared" si="16"/>
        <v>M: </v>
      </c>
      <c r="C11450" s="68"/>
      <c r="D11450" s="68"/>
      <c r="E11450" s="66"/>
      <c r="F11450" s="66" t="str">
        <f>IFERROR(__xludf.DUMMYFUNCTION("GOOGLETRANSLATE(A11450,""en"",""pt"")"),"#VALUE!")</f>
        <v>#VALUE!</v>
      </c>
      <c r="G11450" s="69"/>
    </row>
    <row r="11451" ht="22.5" customHeight="1">
      <c r="A11451" s="66"/>
      <c r="B11451" s="67" t="str">
        <f t="shared" si="16"/>
        <v>M: </v>
      </c>
      <c r="C11451" s="68"/>
      <c r="D11451" s="68"/>
      <c r="E11451" s="66"/>
      <c r="F11451" s="66" t="str">
        <f>IFERROR(__xludf.DUMMYFUNCTION("GOOGLETRANSLATE(A11451,""en"",""pt"")"),"#VALUE!")</f>
        <v>#VALUE!</v>
      </c>
      <c r="G11451" s="69"/>
    </row>
    <row r="11452" ht="22.5" customHeight="1">
      <c r="A11452" s="66"/>
      <c r="B11452" s="67" t="str">
        <f t="shared" si="16"/>
        <v>M: </v>
      </c>
      <c r="C11452" s="68"/>
      <c r="D11452" s="68"/>
      <c r="E11452" s="66"/>
      <c r="F11452" s="66" t="str">
        <f>IFERROR(__xludf.DUMMYFUNCTION("GOOGLETRANSLATE(A11452,""en"",""pt"")"),"#VALUE!")</f>
        <v>#VALUE!</v>
      </c>
      <c r="G11452" s="69"/>
    </row>
    <row r="11453" ht="22.5" customHeight="1">
      <c r="A11453" s="66"/>
      <c r="B11453" s="67" t="str">
        <f t="shared" si="16"/>
        <v>M: </v>
      </c>
      <c r="C11453" s="68"/>
      <c r="D11453" s="68"/>
      <c r="E11453" s="66"/>
      <c r="F11453" s="66" t="str">
        <f>IFERROR(__xludf.DUMMYFUNCTION("GOOGLETRANSLATE(A11453,""en"",""pt"")"),"#VALUE!")</f>
        <v>#VALUE!</v>
      </c>
      <c r="G11453" s="69"/>
    </row>
    <row r="11454" ht="22.5" customHeight="1">
      <c r="A11454" s="66"/>
      <c r="B11454" s="67" t="str">
        <f t="shared" si="16"/>
        <v>M: </v>
      </c>
      <c r="C11454" s="68"/>
      <c r="D11454" s="68"/>
      <c r="E11454" s="66"/>
      <c r="F11454" s="66" t="str">
        <f>IFERROR(__xludf.DUMMYFUNCTION("GOOGLETRANSLATE(A11454,""en"",""pt"")"),"#VALUE!")</f>
        <v>#VALUE!</v>
      </c>
      <c r="G11454" s="69"/>
    </row>
    <row r="11455" ht="22.5" customHeight="1">
      <c r="A11455" s="66"/>
      <c r="B11455" s="67" t="str">
        <f t="shared" si="16"/>
        <v>M: </v>
      </c>
      <c r="C11455" s="68"/>
      <c r="D11455" s="68"/>
      <c r="E11455" s="66"/>
      <c r="F11455" s="66" t="str">
        <f>IFERROR(__xludf.DUMMYFUNCTION("GOOGLETRANSLATE(A11455,""en"",""pt"")"),"#VALUE!")</f>
        <v>#VALUE!</v>
      </c>
      <c r="G11455" s="69"/>
    </row>
    <row r="11456" ht="22.5" customHeight="1">
      <c r="A11456" s="66"/>
      <c r="B11456" s="67" t="str">
        <f t="shared" si="16"/>
        <v>M: </v>
      </c>
      <c r="C11456" s="68"/>
      <c r="D11456" s="68"/>
      <c r="E11456" s="66"/>
      <c r="F11456" s="66" t="str">
        <f>IFERROR(__xludf.DUMMYFUNCTION("GOOGLETRANSLATE(A11456,""en"",""pt"")"),"#VALUE!")</f>
        <v>#VALUE!</v>
      </c>
      <c r="G11456" s="69"/>
    </row>
    <row r="11457" ht="22.5" customHeight="1">
      <c r="A11457" s="66"/>
      <c r="B11457" s="67" t="str">
        <f t="shared" si="16"/>
        <v>M: </v>
      </c>
      <c r="C11457" s="68"/>
      <c r="D11457" s="68"/>
      <c r="E11457" s="66"/>
      <c r="F11457" s="66" t="str">
        <f>IFERROR(__xludf.DUMMYFUNCTION("GOOGLETRANSLATE(A11457,""en"",""pt"")"),"#VALUE!")</f>
        <v>#VALUE!</v>
      </c>
      <c r="G11457" s="69"/>
    </row>
    <row r="11458" ht="22.5" customHeight="1">
      <c r="A11458" s="66"/>
      <c r="B11458" s="67" t="str">
        <f t="shared" si="16"/>
        <v>M: </v>
      </c>
      <c r="C11458" s="68"/>
      <c r="D11458" s="68"/>
      <c r="E11458" s="66"/>
      <c r="F11458" s="66" t="str">
        <f>IFERROR(__xludf.DUMMYFUNCTION("GOOGLETRANSLATE(A11458,""en"",""pt"")"),"#VALUE!")</f>
        <v>#VALUE!</v>
      </c>
      <c r="G11458" s="69"/>
    </row>
    <row r="11459" ht="22.5" customHeight="1">
      <c r="A11459" s="66"/>
      <c r="B11459" s="67" t="str">
        <f t="shared" si="16"/>
        <v>M: </v>
      </c>
      <c r="C11459" s="68"/>
      <c r="D11459" s="68"/>
      <c r="E11459" s="66"/>
      <c r="F11459" s="66" t="str">
        <f>IFERROR(__xludf.DUMMYFUNCTION("GOOGLETRANSLATE(A11459,""en"",""pt"")"),"#VALUE!")</f>
        <v>#VALUE!</v>
      </c>
      <c r="G11459" s="69"/>
    </row>
    <row r="11460" ht="22.5" customHeight="1">
      <c r="A11460" s="66"/>
      <c r="B11460" s="67" t="str">
        <f t="shared" si="16"/>
        <v>M: </v>
      </c>
      <c r="C11460" s="68"/>
      <c r="D11460" s="68"/>
      <c r="E11460" s="66"/>
      <c r="F11460" s="66" t="str">
        <f>IFERROR(__xludf.DUMMYFUNCTION("GOOGLETRANSLATE(A11460,""en"",""pt"")"),"#VALUE!")</f>
        <v>#VALUE!</v>
      </c>
      <c r="G11460" s="69"/>
    </row>
    <row r="11461" ht="22.5" customHeight="1">
      <c r="A11461" s="66"/>
      <c r="B11461" s="67" t="str">
        <f t="shared" si="16"/>
        <v>M: </v>
      </c>
      <c r="C11461" s="68"/>
      <c r="D11461" s="68"/>
      <c r="E11461" s="66"/>
      <c r="F11461" s="66" t="str">
        <f>IFERROR(__xludf.DUMMYFUNCTION("GOOGLETRANSLATE(A11461,""en"",""pt"")"),"#VALUE!")</f>
        <v>#VALUE!</v>
      </c>
      <c r="G11461" s="69"/>
    </row>
    <row r="11462" ht="22.5" customHeight="1">
      <c r="A11462" s="66"/>
      <c r="B11462" s="67" t="str">
        <f t="shared" si="16"/>
        <v>M: </v>
      </c>
      <c r="C11462" s="68"/>
      <c r="D11462" s="68"/>
      <c r="E11462" s="66"/>
      <c r="F11462" s="66" t="str">
        <f>IFERROR(__xludf.DUMMYFUNCTION("GOOGLETRANSLATE(A11462,""en"",""pt"")"),"#VALUE!")</f>
        <v>#VALUE!</v>
      </c>
      <c r="G11462" s="69"/>
    </row>
    <row r="11463" ht="22.5" customHeight="1">
      <c r="A11463" s="66"/>
      <c r="B11463" s="67" t="str">
        <f t="shared" si="16"/>
        <v>M: </v>
      </c>
      <c r="C11463" s="68"/>
      <c r="D11463" s="68"/>
      <c r="E11463" s="66"/>
      <c r="F11463" s="66" t="str">
        <f>IFERROR(__xludf.DUMMYFUNCTION("GOOGLETRANSLATE(A11463,""en"",""pt"")"),"#VALUE!")</f>
        <v>#VALUE!</v>
      </c>
      <c r="G11463" s="69"/>
    </row>
    <row r="11464" ht="22.5" customHeight="1">
      <c r="A11464" s="66"/>
      <c r="B11464" s="67" t="str">
        <f t="shared" si="16"/>
        <v>M: </v>
      </c>
      <c r="C11464" s="68"/>
      <c r="D11464" s="68"/>
      <c r="E11464" s="66"/>
      <c r="F11464" s="66" t="str">
        <f>IFERROR(__xludf.DUMMYFUNCTION("GOOGLETRANSLATE(A11464,""en"",""pt"")"),"#VALUE!")</f>
        <v>#VALUE!</v>
      </c>
      <c r="G11464" s="69"/>
    </row>
    <row r="11465" ht="22.5" customHeight="1">
      <c r="A11465" s="66"/>
      <c r="B11465" s="67" t="str">
        <f t="shared" si="16"/>
        <v>M: </v>
      </c>
      <c r="C11465" s="68"/>
      <c r="D11465" s="68"/>
      <c r="E11465" s="66"/>
      <c r="F11465" s="66" t="str">
        <f>IFERROR(__xludf.DUMMYFUNCTION("GOOGLETRANSLATE(A11465,""en"",""pt"")"),"#VALUE!")</f>
        <v>#VALUE!</v>
      </c>
      <c r="G11465" s="69"/>
    </row>
    <row r="11466" ht="22.5" customHeight="1">
      <c r="A11466" s="66"/>
      <c r="B11466" s="67" t="str">
        <f t="shared" si="16"/>
        <v>M: </v>
      </c>
      <c r="C11466" s="68"/>
      <c r="D11466" s="68"/>
      <c r="E11466" s="66"/>
      <c r="F11466" s="66" t="str">
        <f>IFERROR(__xludf.DUMMYFUNCTION("GOOGLETRANSLATE(A11466,""en"",""pt"")"),"#VALUE!")</f>
        <v>#VALUE!</v>
      </c>
      <c r="G11466" s="69"/>
    </row>
    <row r="11467" ht="22.5" customHeight="1">
      <c r="A11467" s="66"/>
      <c r="B11467" s="67" t="str">
        <f t="shared" si="16"/>
        <v>M: </v>
      </c>
      <c r="C11467" s="68"/>
      <c r="D11467" s="68"/>
      <c r="E11467" s="66"/>
      <c r="F11467" s="66" t="str">
        <f>IFERROR(__xludf.DUMMYFUNCTION("GOOGLETRANSLATE(A11467,""en"",""pt"")"),"#VALUE!")</f>
        <v>#VALUE!</v>
      </c>
      <c r="G11467" s="69"/>
    </row>
    <row r="11468" ht="22.5" customHeight="1">
      <c r="A11468" s="66"/>
      <c r="B11468" s="67" t="str">
        <f t="shared" si="16"/>
        <v>M: </v>
      </c>
      <c r="C11468" s="68"/>
      <c r="D11468" s="68"/>
      <c r="E11468" s="66"/>
      <c r="F11468" s="66" t="str">
        <f>IFERROR(__xludf.DUMMYFUNCTION("GOOGLETRANSLATE(A11468,""en"",""pt"")"),"#VALUE!")</f>
        <v>#VALUE!</v>
      </c>
      <c r="G11468" s="69"/>
    </row>
    <row r="11469" ht="22.5" customHeight="1">
      <c r="A11469" s="66"/>
      <c r="B11469" s="67" t="str">
        <f t="shared" si="16"/>
        <v>M: </v>
      </c>
      <c r="C11469" s="68"/>
      <c r="D11469" s="68"/>
      <c r="E11469" s="66"/>
      <c r="F11469" s="66" t="str">
        <f>IFERROR(__xludf.DUMMYFUNCTION("GOOGLETRANSLATE(A11469,""en"",""pt"")"),"#VALUE!")</f>
        <v>#VALUE!</v>
      </c>
      <c r="G11469" s="69"/>
    </row>
    <row r="11470" ht="22.5" customHeight="1">
      <c r="A11470" s="66"/>
      <c r="B11470" s="67" t="str">
        <f t="shared" si="16"/>
        <v>M: </v>
      </c>
      <c r="C11470" s="68"/>
      <c r="D11470" s="68"/>
      <c r="E11470" s="66"/>
      <c r="F11470" s="66" t="str">
        <f>IFERROR(__xludf.DUMMYFUNCTION("GOOGLETRANSLATE(A11470,""en"",""pt"")"),"#VALUE!")</f>
        <v>#VALUE!</v>
      </c>
      <c r="G11470" s="69"/>
    </row>
    <row r="11471" ht="22.5" customHeight="1">
      <c r="A11471" s="66"/>
      <c r="B11471" s="67" t="str">
        <f t="shared" si="16"/>
        <v>M: </v>
      </c>
      <c r="C11471" s="68"/>
      <c r="D11471" s="68"/>
      <c r="E11471" s="66"/>
      <c r="F11471" s="66" t="str">
        <f>IFERROR(__xludf.DUMMYFUNCTION("GOOGLETRANSLATE(A11471,""en"",""pt"")"),"#VALUE!")</f>
        <v>#VALUE!</v>
      </c>
      <c r="G11471" s="69"/>
    </row>
    <row r="11472" ht="22.5" customHeight="1">
      <c r="A11472" s="66"/>
      <c r="B11472" s="67" t="str">
        <f t="shared" si="16"/>
        <v>M: </v>
      </c>
      <c r="C11472" s="68"/>
      <c r="D11472" s="68"/>
      <c r="E11472" s="66"/>
      <c r="F11472" s="66" t="str">
        <f>IFERROR(__xludf.DUMMYFUNCTION("GOOGLETRANSLATE(A11472,""en"",""pt"")"),"#VALUE!")</f>
        <v>#VALUE!</v>
      </c>
      <c r="G11472" s="69"/>
    </row>
    <row r="11473" ht="22.5" customHeight="1">
      <c r="A11473" s="66"/>
      <c r="B11473" s="67" t="str">
        <f t="shared" si="16"/>
        <v>M: </v>
      </c>
      <c r="C11473" s="68"/>
      <c r="D11473" s="68"/>
      <c r="E11473" s="66"/>
      <c r="F11473" s="66" t="str">
        <f>IFERROR(__xludf.DUMMYFUNCTION("GOOGLETRANSLATE(A11473,""en"",""pt"")"),"#VALUE!")</f>
        <v>#VALUE!</v>
      </c>
      <c r="G11473" s="69"/>
    </row>
    <row r="11474" ht="22.5" customHeight="1">
      <c r="A11474" s="66"/>
      <c r="B11474" s="67" t="str">
        <f t="shared" si="16"/>
        <v>M: </v>
      </c>
      <c r="C11474" s="68"/>
      <c r="D11474" s="68"/>
      <c r="E11474" s="66"/>
      <c r="F11474" s="66" t="str">
        <f>IFERROR(__xludf.DUMMYFUNCTION("GOOGLETRANSLATE(A11474,""en"",""pt"")"),"#VALUE!")</f>
        <v>#VALUE!</v>
      </c>
      <c r="G11474" s="69"/>
    </row>
    <row r="11475" ht="22.5" customHeight="1">
      <c r="A11475" s="66"/>
      <c r="B11475" s="67" t="str">
        <f t="shared" si="16"/>
        <v>M: </v>
      </c>
      <c r="C11475" s="68"/>
      <c r="D11475" s="68"/>
      <c r="E11475" s="66"/>
      <c r="F11475" s="66" t="str">
        <f>IFERROR(__xludf.DUMMYFUNCTION("GOOGLETRANSLATE(A11475,""en"",""pt"")"),"#VALUE!")</f>
        <v>#VALUE!</v>
      </c>
      <c r="G11475" s="69"/>
    </row>
    <row r="11476" ht="22.5" customHeight="1">
      <c r="A11476" s="66"/>
      <c r="B11476" s="67" t="str">
        <f t="shared" si="16"/>
        <v>M: </v>
      </c>
      <c r="C11476" s="68"/>
      <c r="D11476" s="68"/>
      <c r="E11476" s="66"/>
      <c r="F11476" s="66" t="str">
        <f>IFERROR(__xludf.DUMMYFUNCTION("GOOGLETRANSLATE(A11476,""en"",""pt"")"),"#VALUE!")</f>
        <v>#VALUE!</v>
      </c>
      <c r="G11476" s="69"/>
    </row>
    <row r="11477" ht="22.5" customHeight="1">
      <c r="A11477" s="66"/>
      <c r="B11477" s="67" t="str">
        <f t="shared" si="16"/>
        <v>M: </v>
      </c>
      <c r="C11477" s="68"/>
      <c r="D11477" s="68"/>
      <c r="E11477" s="66"/>
      <c r="F11477" s="66" t="str">
        <f>IFERROR(__xludf.DUMMYFUNCTION("GOOGLETRANSLATE(A11477,""en"",""pt"")"),"#VALUE!")</f>
        <v>#VALUE!</v>
      </c>
      <c r="G11477" s="69"/>
    </row>
    <row r="11478" ht="22.5" customHeight="1">
      <c r="A11478" s="66"/>
      <c r="B11478" s="67" t="str">
        <f t="shared" si="16"/>
        <v>M: </v>
      </c>
      <c r="C11478" s="68"/>
      <c r="D11478" s="68"/>
      <c r="E11478" s="66"/>
      <c r="F11478" s="66" t="str">
        <f>IFERROR(__xludf.DUMMYFUNCTION("GOOGLETRANSLATE(A11478,""en"",""pt"")"),"#VALUE!")</f>
        <v>#VALUE!</v>
      </c>
      <c r="G11478" s="69"/>
    </row>
    <row r="11479" ht="22.5" customHeight="1">
      <c r="A11479" s="66"/>
      <c r="B11479" s="67" t="str">
        <f t="shared" si="16"/>
        <v>M: </v>
      </c>
      <c r="C11479" s="68"/>
      <c r="D11479" s="68"/>
      <c r="E11479" s="66"/>
      <c r="F11479" s="66" t="str">
        <f>IFERROR(__xludf.DUMMYFUNCTION("GOOGLETRANSLATE(A11479,""en"",""pt"")"),"#VALUE!")</f>
        <v>#VALUE!</v>
      </c>
      <c r="G11479" s="69"/>
    </row>
    <row r="11480" ht="22.5" customHeight="1">
      <c r="A11480" s="66"/>
      <c r="B11480" s="67" t="str">
        <f t="shared" si="16"/>
        <v>M: </v>
      </c>
      <c r="C11480" s="68"/>
      <c r="D11480" s="68"/>
      <c r="E11480" s="66"/>
      <c r="F11480" s="66" t="str">
        <f>IFERROR(__xludf.DUMMYFUNCTION("GOOGLETRANSLATE(A11480,""en"",""pt"")"),"#VALUE!")</f>
        <v>#VALUE!</v>
      </c>
      <c r="G11480" s="69"/>
    </row>
    <row r="11481" ht="22.5" customHeight="1">
      <c r="A11481" s="66"/>
      <c r="B11481" s="67" t="str">
        <f t="shared" si="16"/>
        <v>M: </v>
      </c>
      <c r="C11481" s="68"/>
      <c r="D11481" s="68"/>
      <c r="E11481" s="66"/>
      <c r="F11481" s="66" t="str">
        <f>IFERROR(__xludf.DUMMYFUNCTION("GOOGLETRANSLATE(A11481,""en"",""pt"")"),"#VALUE!")</f>
        <v>#VALUE!</v>
      </c>
      <c r="G11481" s="69"/>
    </row>
    <row r="11482" ht="22.5" customHeight="1">
      <c r="A11482" s="66"/>
      <c r="B11482" s="67" t="str">
        <f t="shared" si="16"/>
        <v>M: </v>
      </c>
      <c r="C11482" s="68"/>
      <c r="D11482" s="68"/>
      <c r="E11482" s="66"/>
      <c r="F11482" s="66" t="str">
        <f>IFERROR(__xludf.DUMMYFUNCTION("GOOGLETRANSLATE(A11482,""en"",""pt"")"),"#VALUE!")</f>
        <v>#VALUE!</v>
      </c>
      <c r="G11482" s="69"/>
    </row>
    <row r="11483" ht="22.5" customHeight="1">
      <c r="A11483" s="66"/>
      <c r="B11483" s="67" t="str">
        <f t="shared" si="16"/>
        <v>M: </v>
      </c>
      <c r="C11483" s="68"/>
      <c r="D11483" s="68"/>
      <c r="E11483" s="66"/>
      <c r="F11483" s="66" t="str">
        <f>IFERROR(__xludf.DUMMYFUNCTION("GOOGLETRANSLATE(A11483,""en"",""pt"")"),"#VALUE!")</f>
        <v>#VALUE!</v>
      </c>
      <c r="G11483" s="69"/>
    </row>
    <row r="11484" ht="22.5" customHeight="1">
      <c r="A11484" s="66"/>
      <c r="B11484" s="67" t="str">
        <f t="shared" si="16"/>
        <v>M: </v>
      </c>
      <c r="C11484" s="68"/>
      <c r="D11484" s="68"/>
      <c r="E11484" s="66"/>
      <c r="F11484" s="66" t="str">
        <f>IFERROR(__xludf.DUMMYFUNCTION("GOOGLETRANSLATE(A11484,""en"",""pt"")"),"#VALUE!")</f>
        <v>#VALUE!</v>
      </c>
      <c r="G11484" s="69"/>
    </row>
    <row r="11485" ht="22.5" customHeight="1">
      <c r="A11485" s="66"/>
      <c r="B11485" s="67" t="str">
        <f t="shared" si="16"/>
        <v>M: </v>
      </c>
      <c r="C11485" s="68"/>
      <c r="D11485" s="68"/>
      <c r="E11485" s="66"/>
      <c r="F11485" s="66" t="str">
        <f>IFERROR(__xludf.DUMMYFUNCTION("GOOGLETRANSLATE(A11485,""en"",""pt"")"),"#VALUE!")</f>
        <v>#VALUE!</v>
      </c>
      <c r="G11485" s="69"/>
    </row>
    <row r="11486" ht="22.5" customHeight="1">
      <c r="A11486" s="66"/>
      <c r="B11486" s="67" t="str">
        <f t="shared" si="16"/>
        <v>M: </v>
      </c>
      <c r="C11486" s="68"/>
      <c r="D11486" s="68"/>
      <c r="E11486" s="66"/>
      <c r="F11486" s="66" t="str">
        <f>IFERROR(__xludf.DUMMYFUNCTION("GOOGLETRANSLATE(A11486,""en"",""pt"")"),"#VALUE!")</f>
        <v>#VALUE!</v>
      </c>
      <c r="G11486" s="69"/>
    </row>
    <row r="11487" ht="22.5" customHeight="1">
      <c r="A11487" s="66"/>
      <c r="B11487" s="67" t="str">
        <f t="shared" si="16"/>
        <v>M: </v>
      </c>
      <c r="C11487" s="68"/>
      <c r="D11487" s="68"/>
      <c r="E11487" s="66"/>
      <c r="F11487" s="66" t="str">
        <f>IFERROR(__xludf.DUMMYFUNCTION("GOOGLETRANSLATE(A11487,""en"",""pt"")"),"#VALUE!")</f>
        <v>#VALUE!</v>
      </c>
      <c r="G11487" s="69"/>
    </row>
    <row r="11488" ht="22.5" customHeight="1">
      <c r="A11488" s="66"/>
      <c r="B11488" s="67" t="str">
        <f t="shared" si="16"/>
        <v>M: </v>
      </c>
      <c r="C11488" s="68"/>
      <c r="D11488" s="68"/>
      <c r="E11488" s="66"/>
      <c r="F11488" s="66" t="str">
        <f>IFERROR(__xludf.DUMMYFUNCTION("GOOGLETRANSLATE(A11488,""en"",""pt"")"),"#VALUE!")</f>
        <v>#VALUE!</v>
      </c>
      <c r="G11488" s="69"/>
    </row>
    <row r="11489" ht="22.5" customHeight="1">
      <c r="A11489" s="66"/>
      <c r="B11489" s="67" t="str">
        <f t="shared" si="16"/>
        <v>M: </v>
      </c>
      <c r="C11489" s="68"/>
      <c r="D11489" s="68"/>
      <c r="E11489" s="66"/>
      <c r="F11489" s="66" t="str">
        <f>IFERROR(__xludf.DUMMYFUNCTION("GOOGLETRANSLATE(A11489,""en"",""pt"")"),"#VALUE!")</f>
        <v>#VALUE!</v>
      </c>
      <c r="G11489" s="69"/>
    </row>
    <row r="11490" ht="22.5" customHeight="1">
      <c r="A11490" s="66"/>
      <c r="B11490" s="67" t="str">
        <f t="shared" si="16"/>
        <v>M: </v>
      </c>
      <c r="C11490" s="68"/>
      <c r="D11490" s="68"/>
      <c r="E11490" s="66"/>
      <c r="F11490" s="66" t="str">
        <f>IFERROR(__xludf.DUMMYFUNCTION("GOOGLETRANSLATE(A11490,""en"",""pt"")"),"#VALUE!")</f>
        <v>#VALUE!</v>
      </c>
      <c r="G11490" s="69"/>
    </row>
    <row r="11491" ht="22.5" customHeight="1">
      <c r="A11491" s="66"/>
      <c r="B11491" s="67" t="str">
        <f t="shared" si="16"/>
        <v>M: </v>
      </c>
      <c r="C11491" s="68"/>
      <c r="D11491" s="68"/>
      <c r="E11491" s="66"/>
      <c r="F11491" s="66" t="str">
        <f>IFERROR(__xludf.DUMMYFUNCTION("GOOGLETRANSLATE(A11491,""en"",""pt"")"),"#VALUE!")</f>
        <v>#VALUE!</v>
      </c>
      <c r="G11491" s="69"/>
    </row>
    <row r="11492" ht="22.5" customHeight="1">
      <c r="A11492" s="66"/>
      <c r="B11492" s="67" t="str">
        <f t="shared" si="16"/>
        <v>M: </v>
      </c>
      <c r="C11492" s="68"/>
      <c r="D11492" s="68"/>
      <c r="E11492" s="66"/>
      <c r="F11492" s="66" t="str">
        <f>IFERROR(__xludf.DUMMYFUNCTION("GOOGLETRANSLATE(A11492,""en"",""pt"")"),"#VALUE!")</f>
        <v>#VALUE!</v>
      </c>
      <c r="G11492" s="69"/>
    </row>
    <row r="11493" ht="22.5" customHeight="1">
      <c r="A11493" s="66"/>
      <c r="B11493" s="67" t="str">
        <f t="shared" si="16"/>
        <v>M: </v>
      </c>
      <c r="C11493" s="68"/>
      <c r="D11493" s="68"/>
      <c r="E11493" s="66"/>
      <c r="F11493" s="66" t="str">
        <f>IFERROR(__xludf.DUMMYFUNCTION("GOOGLETRANSLATE(A11493,""en"",""pt"")"),"#VALUE!")</f>
        <v>#VALUE!</v>
      </c>
      <c r="G11493" s="69"/>
    </row>
    <row r="11494" ht="22.5" customHeight="1">
      <c r="A11494" s="66"/>
      <c r="B11494" s="67" t="str">
        <f t="shared" si="16"/>
        <v>M: </v>
      </c>
      <c r="C11494" s="68"/>
      <c r="D11494" s="68"/>
      <c r="E11494" s="66"/>
      <c r="F11494" s="66" t="str">
        <f>IFERROR(__xludf.DUMMYFUNCTION("GOOGLETRANSLATE(A11494,""en"",""pt"")"),"#VALUE!")</f>
        <v>#VALUE!</v>
      </c>
      <c r="G11494" s="69"/>
    </row>
    <row r="11495" ht="22.5" customHeight="1">
      <c r="A11495" s="66"/>
      <c r="B11495" s="67" t="str">
        <f t="shared" si="16"/>
        <v>M: </v>
      </c>
      <c r="C11495" s="68"/>
      <c r="D11495" s="68"/>
      <c r="E11495" s="66"/>
      <c r="F11495" s="66" t="str">
        <f>IFERROR(__xludf.DUMMYFUNCTION("GOOGLETRANSLATE(A11495,""en"",""pt"")"),"#VALUE!")</f>
        <v>#VALUE!</v>
      </c>
      <c r="G11495" s="69"/>
    </row>
    <row r="11496" ht="22.5" customHeight="1">
      <c r="A11496" s="66"/>
      <c r="B11496" s="67" t="str">
        <f t="shared" si="16"/>
        <v>M: </v>
      </c>
      <c r="C11496" s="68"/>
      <c r="D11496" s="68"/>
      <c r="E11496" s="66"/>
      <c r="F11496" s="66" t="str">
        <f>IFERROR(__xludf.DUMMYFUNCTION("GOOGLETRANSLATE(A11496,""en"",""pt"")"),"#VALUE!")</f>
        <v>#VALUE!</v>
      </c>
      <c r="G11496" s="69"/>
    </row>
    <row r="11497" ht="22.5" customHeight="1">
      <c r="A11497" s="66"/>
      <c r="B11497" s="67" t="str">
        <f t="shared" si="16"/>
        <v>M: </v>
      </c>
      <c r="C11497" s="68"/>
      <c r="D11497" s="68"/>
      <c r="E11497" s="66"/>
      <c r="F11497" s="66" t="str">
        <f>IFERROR(__xludf.DUMMYFUNCTION("GOOGLETRANSLATE(A11497,""en"",""pt"")"),"#VALUE!")</f>
        <v>#VALUE!</v>
      </c>
      <c r="G11497" s="69"/>
    </row>
    <row r="11498" ht="22.5" customHeight="1">
      <c r="A11498" s="66"/>
      <c r="B11498" s="67" t="str">
        <f t="shared" si="16"/>
        <v>M: </v>
      </c>
      <c r="C11498" s="68"/>
      <c r="D11498" s="68"/>
      <c r="E11498" s="66"/>
      <c r="F11498" s="66" t="str">
        <f>IFERROR(__xludf.DUMMYFUNCTION("GOOGLETRANSLATE(A11498,""en"",""pt"")"),"#VALUE!")</f>
        <v>#VALUE!</v>
      </c>
      <c r="G11498" s="69"/>
    </row>
    <row r="11499" ht="22.5" customHeight="1">
      <c r="A11499" s="66"/>
      <c r="B11499" s="67" t="str">
        <f t="shared" si="16"/>
        <v>M: </v>
      </c>
      <c r="C11499" s="68"/>
      <c r="D11499" s="68"/>
      <c r="E11499" s="66"/>
      <c r="F11499" s="66" t="str">
        <f>IFERROR(__xludf.DUMMYFUNCTION("GOOGLETRANSLATE(A11499,""en"",""pt"")"),"#VALUE!")</f>
        <v>#VALUE!</v>
      </c>
      <c r="G11499" s="69"/>
    </row>
    <row r="11500" ht="22.5" customHeight="1">
      <c r="A11500" s="66"/>
      <c r="B11500" s="67" t="str">
        <f t="shared" si="16"/>
        <v>M: </v>
      </c>
      <c r="C11500" s="68"/>
      <c r="D11500" s="68"/>
      <c r="E11500" s="66"/>
      <c r="F11500" s="66" t="str">
        <f>IFERROR(__xludf.DUMMYFUNCTION("GOOGLETRANSLATE(A11500,""en"",""pt"")"),"#VALUE!")</f>
        <v>#VALUE!</v>
      </c>
      <c r="G11500" s="69"/>
    </row>
    <row r="11501" ht="22.5" customHeight="1">
      <c r="A11501" s="66"/>
      <c r="B11501" s="67" t="str">
        <f t="shared" si="16"/>
        <v>M: </v>
      </c>
      <c r="C11501" s="68"/>
      <c r="D11501" s="68"/>
      <c r="E11501" s="66"/>
      <c r="F11501" s="66" t="str">
        <f>IFERROR(__xludf.DUMMYFUNCTION("GOOGLETRANSLATE(A11501,""en"",""pt"")"),"#VALUE!")</f>
        <v>#VALUE!</v>
      </c>
      <c r="G11501" s="69"/>
    </row>
    <row r="11502" ht="22.5" customHeight="1">
      <c r="A11502" s="66"/>
      <c r="B11502" s="67" t="str">
        <f t="shared" si="16"/>
        <v>M: </v>
      </c>
      <c r="C11502" s="68"/>
      <c r="D11502" s="68"/>
      <c r="E11502" s="66"/>
      <c r="F11502" s="66" t="str">
        <f>IFERROR(__xludf.DUMMYFUNCTION("GOOGLETRANSLATE(A11502,""en"",""pt"")"),"#VALUE!")</f>
        <v>#VALUE!</v>
      </c>
      <c r="G11502" s="69"/>
    </row>
    <row r="11503" ht="22.5" customHeight="1">
      <c r="A11503" s="66"/>
      <c r="B11503" s="67" t="str">
        <f t="shared" si="16"/>
        <v>M: </v>
      </c>
      <c r="C11503" s="68"/>
      <c r="D11503" s="68"/>
      <c r="E11503" s="66"/>
      <c r="F11503" s="66" t="str">
        <f>IFERROR(__xludf.DUMMYFUNCTION("GOOGLETRANSLATE(A11503,""en"",""pt"")"),"#VALUE!")</f>
        <v>#VALUE!</v>
      </c>
      <c r="G11503" s="69"/>
    </row>
    <row r="11504" ht="22.5" customHeight="1">
      <c r="A11504" s="66"/>
      <c r="B11504" s="67" t="str">
        <f t="shared" si="16"/>
        <v>M: </v>
      </c>
      <c r="C11504" s="68"/>
      <c r="D11504" s="68"/>
      <c r="E11504" s="66"/>
      <c r="F11504" s="66" t="str">
        <f>IFERROR(__xludf.DUMMYFUNCTION("GOOGLETRANSLATE(A11504,""en"",""pt"")"),"#VALUE!")</f>
        <v>#VALUE!</v>
      </c>
      <c r="G11504" s="69"/>
    </row>
    <row r="11505" ht="22.5" customHeight="1">
      <c r="A11505" s="66"/>
      <c r="B11505" s="67" t="str">
        <f t="shared" si="16"/>
        <v>M: </v>
      </c>
      <c r="C11505" s="68"/>
      <c r="D11505" s="68"/>
      <c r="E11505" s="66"/>
      <c r="F11505" s="66" t="str">
        <f>IFERROR(__xludf.DUMMYFUNCTION("GOOGLETRANSLATE(A11505,""en"",""pt"")"),"#VALUE!")</f>
        <v>#VALUE!</v>
      </c>
      <c r="G11505" s="69"/>
    </row>
    <row r="11506" ht="22.5" customHeight="1">
      <c r="A11506" s="66"/>
      <c r="B11506" s="67" t="str">
        <f t="shared" si="16"/>
        <v>M: </v>
      </c>
      <c r="C11506" s="68"/>
      <c r="D11506" s="68"/>
      <c r="E11506" s="66"/>
      <c r="F11506" s="66" t="str">
        <f>IFERROR(__xludf.DUMMYFUNCTION("GOOGLETRANSLATE(A11506,""en"",""pt"")"),"#VALUE!")</f>
        <v>#VALUE!</v>
      </c>
      <c r="G11506" s="69"/>
    </row>
    <row r="11507" ht="22.5" customHeight="1">
      <c r="A11507" s="66"/>
      <c r="B11507" s="67" t="str">
        <f t="shared" si="16"/>
        <v>M: </v>
      </c>
      <c r="C11507" s="68"/>
      <c r="D11507" s="68"/>
      <c r="E11507" s="66"/>
      <c r="F11507" s="66" t="str">
        <f>IFERROR(__xludf.DUMMYFUNCTION("GOOGLETRANSLATE(A11507,""en"",""pt"")"),"#VALUE!")</f>
        <v>#VALUE!</v>
      </c>
      <c r="G11507" s="69"/>
    </row>
    <row r="11508" ht="22.5" customHeight="1">
      <c r="A11508" s="66"/>
      <c r="B11508" s="67" t="str">
        <f t="shared" si="16"/>
        <v>M: </v>
      </c>
      <c r="C11508" s="68"/>
      <c r="D11508" s="68"/>
      <c r="E11508" s="66"/>
      <c r="F11508" s="66" t="str">
        <f>IFERROR(__xludf.DUMMYFUNCTION("GOOGLETRANSLATE(A11508,""en"",""pt"")"),"#VALUE!")</f>
        <v>#VALUE!</v>
      </c>
      <c r="G11508" s="69"/>
    </row>
    <row r="11509" ht="22.5" customHeight="1">
      <c r="A11509" s="66"/>
      <c r="B11509" s="67" t="str">
        <f t="shared" si="16"/>
        <v>M: </v>
      </c>
      <c r="C11509" s="68"/>
      <c r="D11509" s="68"/>
      <c r="E11509" s="66"/>
      <c r="F11509" s="66" t="str">
        <f>IFERROR(__xludf.DUMMYFUNCTION("GOOGLETRANSLATE(A11509,""en"",""pt"")"),"#VALUE!")</f>
        <v>#VALUE!</v>
      </c>
      <c r="G11509" s="69"/>
    </row>
    <row r="11510" ht="22.5" customHeight="1">
      <c r="A11510" s="66"/>
      <c r="B11510" s="67" t="str">
        <f t="shared" si="16"/>
        <v>M: </v>
      </c>
      <c r="C11510" s="68"/>
      <c r="D11510" s="68"/>
      <c r="E11510" s="66"/>
      <c r="F11510" s="66" t="str">
        <f>IFERROR(__xludf.DUMMYFUNCTION("GOOGLETRANSLATE(A11510,""en"",""pt"")"),"#VALUE!")</f>
        <v>#VALUE!</v>
      </c>
      <c r="G11510" s="69"/>
    </row>
    <row r="11511" ht="22.5" customHeight="1">
      <c r="A11511" s="66"/>
      <c r="B11511" s="67" t="str">
        <f t="shared" si="16"/>
        <v>M: </v>
      </c>
      <c r="C11511" s="68"/>
      <c r="D11511" s="68"/>
      <c r="E11511" s="66"/>
      <c r="F11511" s="66" t="str">
        <f>IFERROR(__xludf.DUMMYFUNCTION("GOOGLETRANSLATE(A11511,""en"",""pt"")"),"#VALUE!")</f>
        <v>#VALUE!</v>
      </c>
      <c r="G11511" s="69"/>
    </row>
    <row r="11512" ht="22.5" customHeight="1">
      <c r="A11512" s="66"/>
      <c r="B11512" s="67" t="str">
        <f t="shared" si="16"/>
        <v>M: </v>
      </c>
      <c r="C11512" s="68"/>
      <c r="D11512" s="68"/>
      <c r="E11512" s="66"/>
      <c r="F11512" s="66" t="str">
        <f>IFERROR(__xludf.DUMMYFUNCTION("GOOGLETRANSLATE(A11512,""en"",""pt"")"),"#VALUE!")</f>
        <v>#VALUE!</v>
      </c>
      <c r="G11512" s="69"/>
    </row>
    <row r="11513" ht="22.5" customHeight="1">
      <c r="A11513" s="66"/>
      <c r="B11513" s="67" t="str">
        <f t="shared" si="16"/>
        <v>M: </v>
      </c>
      <c r="C11513" s="68"/>
      <c r="D11513" s="68"/>
      <c r="E11513" s="66"/>
      <c r="F11513" s="66" t="str">
        <f>IFERROR(__xludf.DUMMYFUNCTION("GOOGLETRANSLATE(A11513,""en"",""pt"")"),"#VALUE!")</f>
        <v>#VALUE!</v>
      </c>
      <c r="G11513" s="69"/>
    </row>
    <row r="11514" ht="22.5" customHeight="1">
      <c r="A11514" s="66"/>
      <c r="B11514" s="67" t="str">
        <f t="shared" si="16"/>
        <v>M: </v>
      </c>
      <c r="C11514" s="68"/>
      <c r="D11514" s="68"/>
      <c r="E11514" s="66"/>
      <c r="F11514" s="66" t="str">
        <f>IFERROR(__xludf.DUMMYFUNCTION("GOOGLETRANSLATE(A11514,""en"",""pt"")"),"#VALUE!")</f>
        <v>#VALUE!</v>
      </c>
      <c r="G11514" s="69"/>
    </row>
    <row r="11515" ht="22.5" customHeight="1">
      <c r="A11515" s="66"/>
      <c r="B11515" s="67" t="str">
        <f t="shared" si="16"/>
        <v>M: </v>
      </c>
      <c r="C11515" s="68"/>
      <c r="D11515" s="68"/>
      <c r="E11515" s="66"/>
      <c r="F11515" s="66" t="str">
        <f>IFERROR(__xludf.DUMMYFUNCTION("GOOGLETRANSLATE(A11515,""en"",""pt"")"),"#VALUE!")</f>
        <v>#VALUE!</v>
      </c>
      <c r="G11515" s="69"/>
    </row>
    <row r="11516" ht="22.5" customHeight="1">
      <c r="A11516" s="66"/>
      <c r="B11516" s="67" t="str">
        <f t="shared" si="16"/>
        <v>M: </v>
      </c>
      <c r="C11516" s="68"/>
      <c r="D11516" s="68"/>
      <c r="E11516" s="66"/>
      <c r="F11516" s="66" t="str">
        <f>IFERROR(__xludf.DUMMYFUNCTION("GOOGLETRANSLATE(A11516,""en"",""pt"")"),"#VALUE!")</f>
        <v>#VALUE!</v>
      </c>
      <c r="G11516" s="69"/>
    </row>
    <row r="11517" ht="22.5" customHeight="1">
      <c r="A11517" s="66"/>
      <c r="B11517" s="67" t="str">
        <f t="shared" si="16"/>
        <v>M: </v>
      </c>
      <c r="C11517" s="68"/>
      <c r="D11517" s="68"/>
      <c r="E11517" s="66"/>
      <c r="F11517" s="66" t="str">
        <f>IFERROR(__xludf.DUMMYFUNCTION("GOOGLETRANSLATE(A11517,""en"",""pt"")"),"#VALUE!")</f>
        <v>#VALUE!</v>
      </c>
      <c r="G11517" s="69"/>
    </row>
    <row r="11518" ht="22.5" customHeight="1">
      <c r="A11518" s="66"/>
      <c r="B11518" s="67" t="str">
        <f t="shared" si="16"/>
        <v>M: </v>
      </c>
      <c r="C11518" s="68"/>
      <c r="D11518" s="68"/>
      <c r="E11518" s="66"/>
      <c r="F11518" s="66" t="str">
        <f>IFERROR(__xludf.DUMMYFUNCTION("GOOGLETRANSLATE(A11518,""en"",""pt"")"),"#VALUE!")</f>
        <v>#VALUE!</v>
      </c>
      <c r="G11518" s="69"/>
    </row>
    <row r="11519" ht="22.5" customHeight="1">
      <c r="A11519" s="66"/>
      <c r="B11519" s="67" t="str">
        <f t="shared" si="16"/>
        <v>M: </v>
      </c>
      <c r="C11519" s="68"/>
      <c r="D11519" s="68"/>
      <c r="E11519" s="66"/>
      <c r="F11519" s="66" t="str">
        <f>IFERROR(__xludf.DUMMYFUNCTION("GOOGLETRANSLATE(A11519,""en"",""pt"")"),"#VALUE!")</f>
        <v>#VALUE!</v>
      </c>
      <c r="G11519" s="69"/>
    </row>
    <row r="11520" ht="22.5" customHeight="1">
      <c r="A11520" s="66"/>
      <c r="B11520" s="67" t="str">
        <f t="shared" si="16"/>
        <v>M: </v>
      </c>
      <c r="C11520" s="68"/>
      <c r="D11520" s="68"/>
      <c r="E11520" s="66"/>
      <c r="F11520" s="66" t="str">
        <f>IFERROR(__xludf.DUMMYFUNCTION("GOOGLETRANSLATE(A11520,""en"",""pt"")"),"#VALUE!")</f>
        <v>#VALUE!</v>
      </c>
      <c r="G11520" s="69"/>
    </row>
    <row r="11521" ht="22.5" customHeight="1">
      <c r="A11521" s="66"/>
      <c r="B11521" s="67" t="str">
        <f t="shared" si="16"/>
        <v>M: </v>
      </c>
      <c r="C11521" s="68"/>
      <c r="D11521" s="68"/>
      <c r="E11521" s="66"/>
      <c r="F11521" s="66" t="str">
        <f>IFERROR(__xludf.DUMMYFUNCTION("GOOGLETRANSLATE(A11521,""en"",""pt"")"),"#VALUE!")</f>
        <v>#VALUE!</v>
      </c>
      <c r="G11521" s="69"/>
    </row>
    <row r="11522" ht="22.5" customHeight="1">
      <c r="A11522" s="66"/>
      <c r="B11522" s="67" t="str">
        <f t="shared" si="16"/>
        <v>M: </v>
      </c>
      <c r="C11522" s="68"/>
      <c r="D11522" s="68"/>
      <c r="E11522" s="66"/>
      <c r="F11522" s="66" t="str">
        <f>IFERROR(__xludf.DUMMYFUNCTION("GOOGLETRANSLATE(A11522,""en"",""pt"")"),"#VALUE!")</f>
        <v>#VALUE!</v>
      </c>
      <c r="G11522" s="69"/>
    </row>
    <row r="11523" ht="22.5" customHeight="1">
      <c r="A11523" s="66"/>
      <c r="B11523" s="67" t="str">
        <f t="shared" si="16"/>
        <v>M: </v>
      </c>
      <c r="C11523" s="68"/>
      <c r="D11523" s="68"/>
      <c r="E11523" s="66"/>
      <c r="F11523" s="66" t="str">
        <f>IFERROR(__xludf.DUMMYFUNCTION("GOOGLETRANSLATE(A11523,""en"",""pt"")"),"#VALUE!")</f>
        <v>#VALUE!</v>
      </c>
      <c r="G11523" s="69"/>
    </row>
    <row r="11524" ht="22.5" customHeight="1">
      <c r="A11524" s="66"/>
      <c r="B11524" s="67" t="str">
        <f t="shared" si="16"/>
        <v>M: </v>
      </c>
      <c r="C11524" s="68"/>
      <c r="D11524" s="68"/>
      <c r="E11524" s="66"/>
      <c r="F11524" s="66" t="str">
        <f>IFERROR(__xludf.DUMMYFUNCTION("GOOGLETRANSLATE(A11524,""en"",""pt"")"),"#VALUE!")</f>
        <v>#VALUE!</v>
      </c>
      <c r="G11524" s="69"/>
    </row>
    <row r="11525" ht="22.5" customHeight="1">
      <c r="A11525" s="66"/>
      <c r="B11525" s="67" t="str">
        <f t="shared" si="16"/>
        <v>M: </v>
      </c>
      <c r="C11525" s="68"/>
      <c r="D11525" s="68"/>
      <c r="E11525" s="66"/>
      <c r="F11525" s="66" t="str">
        <f>IFERROR(__xludf.DUMMYFUNCTION("GOOGLETRANSLATE(A11525,""en"",""pt"")"),"#VALUE!")</f>
        <v>#VALUE!</v>
      </c>
      <c r="G11525" s="69"/>
    </row>
    <row r="11526" ht="22.5" customHeight="1">
      <c r="A11526" s="66"/>
      <c r="B11526" s="67" t="str">
        <f t="shared" si="16"/>
        <v>M: </v>
      </c>
      <c r="C11526" s="68"/>
      <c r="D11526" s="68"/>
      <c r="E11526" s="66"/>
      <c r="F11526" s="66" t="str">
        <f>IFERROR(__xludf.DUMMYFUNCTION("GOOGLETRANSLATE(A11526,""en"",""pt"")"),"#VALUE!")</f>
        <v>#VALUE!</v>
      </c>
      <c r="G11526" s="69"/>
    </row>
    <row r="11527" ht="22.5" customHeight="1">
      <c r="A11527" s="66"/>
      <c r="B11527" s="67" t="str">
        <f t="shared" si="16"/>
        <v>M: </v>
      </c>
      <c r="C11527" s="68"/>
      <c r="D11527" s="68"/>
      <c r="E11527" s="66"/>
      <c r="F11527" s="66" t="str">
        <f>IFERROR(__xludf.DUMMYFUNCTION("GOOGLETRANSLATE(A11527,""en"",""pt"")"),"#VALUE!")</f>
        <v>#VALUE!</v>
      </c>
      <c r="G11527" s="69"/>
    </row>
    <row r="11528" ht="22.5" customHeight="1">
      <c r="A11528" s="66"/>
      <c r="B11528" s="67" t="str">
        <f t="shared" si="16"/>
        <v>M: </v>
      </c>
      <c r="C11528" s="68"/>
      <c r="D11528" s="68"/>
      <c r="E11528" s="66"/>
      <c r="F11528" s="66" t="str">
        <f>IFERROR(__xludf.DUMMYFUNCTION("GOOGLETRANSLATE(A11528,""en"",""pt"")"),"#VALUE!")</f>
        <v>#VALUE!</v>
      </c>
      <c r="G11528" s="69"/>
    </row>
    <row r="11529" ht="22.5" customHeight="1">
      <c r="A11529" s="66"/>
      <c r="B11529" s="67" t="str">
        <f t="shared" si="16"/>
        <v>M: </v>
      </c>
      <c r="C11529" s="68"/>
      <c r="D11529" s="68"/>
      <c r="E11529" s="66"/>
      <c r="F11529" s="66" t="str">
        <f>IFERROR(__xludf.DUMMYFUNCTION("GOOGLETRANSLATE(A11529,""en"",""pt"")"),"#VALUE!")</f>
        <v>#VALUE!</v>
      </c>
      <c r="G11529" s="69"/>
    </row>
    <row r="11530" ht="22.5" customHeight="1">
      <c r="A11530" s="66"/>
      <c r="B11530" s="67" t="str">
        <f t="shared" si="16"/>
        <v>M: </v>
      </c>
      <c r="C11530" s="68"/>
      <c r="D11530" s="68"/>
      <c r="E11530" s="66"/>
      <c r="F11530" s="66" t="str">
        <f>IFERROR(__xludf.DUMMYFUNCTION("GOOGLETRANSLATE(A11530,""en"",""pt"")"),"#VALUE!")</f>
        <v>#VALUE!</v>
      </c>
      <c r="G11530" s="69"/>
    </row>
    <row r="11531" ht="22.5" customHeight="1">
      <c r="A11531" s="66"/>
      <c r="B11531" s="67" t="str">
        <f t="shared" si="16"/>
        <v>M: </v>
      </c>
      <c r="C11531" s="68"/>
      <c r="D11531" s="68"/>
      <c r="E11531" s="66"/>
      <c r="F11531" s="66" t="str">
        <f>IFERROR(__xludf.DUMMYFUNCTION("GOOGLETRANSLATE(A11531,""en"",""pt"")"),"#VALUE!")</f>
        <v>#VALUE!</v>
      </c>
      <c r="G11531" s="69"/>
    </row>
    <row r="11532" ht="22.5" customHeight="1">
      <c r="A11532" s="66"/>
      <c r="B11532" s="67" t="str">
        <f t="shared" si="16"/>
        <v>M: </v>
      </c>
      <c r="C11532" s="68"/>
      <c r="D11532" s="68"/>
      <c r="E11532" s="66"/>
      <c r="F11532" s="66" t="str">
        <f>IFERROR(__xludf.DUMMYFUNCTION("GOOGLETRANSLATE(A11532,""en"",""pt"")"),"#VALUE!")</f>
        <v>#VALUE!</v>
      </c>
      <c r="G11532" s="69"/>
    </row>
    <row r="11533" ht="22.5" customHeight="1">
      <c r="A11533" s="66"/>
      <c r="B11533" s="67" t="str">
        <f t="shared" si="16"/>
        <v>M: </v>
      </c>
      <c r="C11533" s="68"/>
      <c r="D11533" s="68"/>
      <c r="E11533" s="66"/>
      <c r="F11533" s="66" t="str">
        <f>IFERROR(__xludf.DUMMYFUNCTION("GOOGLETRANSLATE(A11533,""en"",""pt"")"),"#VALUE!")</f>
        <v>#VALUE!</v>
      </c>
      <c r="G11533" s="69"/>
    </row>
    <row r="11534" ht="22.5" customHeight="1">
      <c r="A11534" s="66"/>
      <c r="B11534" s="67" t="str">
        <f t="shared" si="16"/>
        <v>M: </v>
      </c>
      <c r="C11534" s="68"/>
      <c r="D11534" s="68"/>
      <c r="E11534" s="66"/>
      <c r="F11534" s="66" t="str">
        <f>IFERROR(__xludf.DUMMYFUNCTION("GOOGLETRANSLATE(A11534,""en"",""pt"")"),"#VALUE!")</f>
        <v>#VALUE!</v>
      </c>
      <c r="G11534" s="69"/>
    </row>
    <row r="11535" ht="22.5" customHeight="1">
      <c r="A11535" s="66"/>
      <c r="B11535" s="67" t="str">
        <f t="shared" si="16"/>
        <v>M: </v>
      </c>
      <c r="C11535" s="68"/>
      <c r="D11535" s="68"/>
      <c r="E11535" s="66"/>
      <c r="F11535" s="66" t="str">
        <f>IFERROR(__xludf.DUMMYFUNCTION("GOOGLETRANSLATE(A11535,""en"",""pt"")"),"#VALUE!")</f>
        <v>#VALUE!</v>
      </c>
      <c r="G11535" s="69"/>
    </row>
    <row r="11536" ht="22.5" customHeight="1">
      <c r="A11536" s="66"/>
      <c r="B11536" s="67" t="str">
        <f t="shared" si="16"/>
        <v>M: </v>
      </c>
      <c r="C11536" s="68"/>
      <c r="D11536" s="68"/>
      <c r="E11536" s="66"/>
      <c r="F11536" s="66" t="str">
        <f>IFERROR(__xludf.DUMMYFUNCTION("GOOGLETRANSLATE(A11536,""en"",""pt"")"),"#VALUE!")</f>
        <v>#VALUE!</v>
      </c>
      <c r="G11536" s="69"/>
    </row>
    <row r="11537" ht="22.5" customHeight="1">
      <c r="A11537" s="66"/>
      <c r="B11537" s="67" t="str">
        <f t="shared" si="16"/>
        <v>M: </v>
      </c>
      <c r="C11537" s="68"/>
      <c r="D11537" s="68"/>
      <c r="E11537" s="66"/>
      <c r="F11537" s="66" t="str">
        <f>IFERROR(__xludf.DUMMYFUNCTION("GOOGLETRANSLATE(A11537,""en"",""pt"")"),"#VALUE!")</f>
        <v>#VALUE!</v>
      </c>
      <c r="G11537" s="69"/>
    </row>
    <row r="11538" ht="22.5" customHeight="1">
      <c r="A11538" s="66"/>
      <c r="B11538" s="67" t="str">
        <f t="shared" si="16"/>
        <v>M: </v>
      </c>
      <c r="C11538" s="68"/>
      <c r="D11538" s="68"/>
      <c r="E11538" s="66"/>
      <c r="F11538" s="66" t="str">
        <f>IFERROR(__xludf.DUMMYFUNCTION("GOOGLETRANSLATE(A11538,""en"",""pt"")"),"#VALUE!")</f>
        <v>#VALUE!</v>
      </c>
      <c r="G11538" s="69"/>
    </row>
    <row r="11539" ht="22.5" customHeight="1">
      <c r="A11539" s="66"/>
      <c r="B11539" s="67" t="str">
        <f t="shared" si="16"/>
        <v>M: </v>
      </c>
      <c r="C11539" s="68"/>
      <c r="D11539" s="68"/>
      <c r="E11539" s="66"/>
      <c r="F11539" s="66" t="str">
        <f>IFERROR(__xludf.DUMMYFUNCTION("GOOGLETRANSLATE(A11539,""en"",""pt"")"),"#VALUE!")</f>
        <v>#VALUE!</v>
      </c>
      <c r="G11539" s="69"/>
    </row>
    <row r="11540" ht="22.5" customHeight="1">
      <c r="A11540" s="66"/>
      <c r="B11540" s="67" t="str">
        <f t="shared" si="16"/>
        <v>M: </v>
      </c>
      <c r="C11540" s="68"/>
      <c r="D11540" s="68"/>
      <c r="E11540" s="66"/>
      <c r="F11540" s="66" t="str">
        <f>IFERROR(__xludf.DUMMYFUNCTION("GOOGLETRANSLATE(A11540,""en"",""pt"")"),"#VALUE!")</f>
        <v>#VALUE!</v>
      </c>
      <c r="G11540" s="69"/>
    </row>
    <row r="11541" ht="22.5" customHeight="1">
      <c r="A11541" s="66"/>
      <c r="B11541" s="67" t="str">
        <f t="shared" si="16"/>
        <v>M: </v>
      </c>
      <c r="C11541" s="68"/>
      <c r="D11541" s="68"/>
      <c r="E11541" s="66"/>
      <c r="F11541" s="66" t="str">
        <f>IFERROR(__xludf.DUMMYFUNCTION("GOOGLETRANSLATE(A11541,""en"",""pt"")"),"#VALUE!")</f>
        <v>#VALUE!</v>
      </c>
      <c r="G11541" s="69"/>
    </row>
    <row r="11542" ht="22.5" customHeight="1">
      <c r="A11542" s="66"/>
      <c r="B11542" s="67" t="str">
        <f t="shared" si="16"/>
        <v>M: </v>
      </c>
      <c r="C11542" s="68"/>
      <c r="D11542" s="68"/>
      <c r="E11542" s="66"/>
      <c r="F11542" s="66" t="str">
        <f>IFERROR(__xludf.DUMMYFUNCTION("GOOGLETRANSLATE(A11542,""en"",""pt"")"),"#VALUE!")</f>
        <v>#VALUE!</v>
      </c>
      <c r="G11542" s="69"/>
    </row>
    <row r="11543" ht="22.5" customHeight="1">
      <c r="A11543" s="66"/>
      <c r="B11543" s="67" t="str">
        <f t="shared" si="16"/>
        <v>M: </v>
      </c>
      <c r="C11543" s="68"/>
      <c r="D11543" s="68"/>
      <c r="E11543" s="66"/>
      <c r="F11543" s="66" t="str">
        <f>IFERROR(__xludf.DUMMYFUNCTION("GOOGLETRANSLATE(A11543,""en"",""pt"")"),"#VALUE!")</f>
        <v>#VALUE!</v>
      </c>
      <c r="G11543" s="69"/>
    </row>
    <row r="11544" ht="22.5" customHeight="1">
      <c r="A11544" s="66"/>
      <c r="B11544" s="67" t="str">
        <f t="shared" si="16"/>
        <v>M: </v>
      </c>
      <c r="C11544" s="68"/>
      <c r="D11544" s="68"/>
      <c r="E11544" s="66"/>
      <c r="F11544" s="66" t="str">
        <f>IFERROR(__xludf.DUMMYFUNCTION("GOOGLETRANSLATE(A11544,""en"",""pt"")"),"#VALUE!")</f>
        <v>#VALUE!</v>
      </c>
      <c r="G11544" s="69"/>
    </row>
    <row r="11545" ht="22.5" customHeight="1">
      <c r="A11545" s="66"/>
      <c r="B11545" s="67" t="str">
        <f t="shared" si="16"/>
        <v>M: </v>
      </c>
      <c r="C11545" s="68"/>
      <c r="D11545" s="68"/>
      <c r="E11545" s="66"/>
      <c r="F11545" s="66" t="str">
        <f>IFERROR(__xludf.DUMMYFUNCTION("GOOGLETRANSLATE(A11545,""en"",""pt"")"),"#VALUE!")</f>
        <v>#VALUE!</v>
      </c>
      <c r="G11545" s="69"/>
    </row>
    <row r="11546" ht="22.5" customHeight="1">
      <c r="A11546" s="66"/>
      <c r="B11546" s="67" t="str">
        <f t="shared" si="16"/>
        <v>M: </v>
      </c>
      <c r="C11546" s="68"/>
      <c r="D11546" s="68"/>
      <c r="E11546" s="66"/>
      <c r="F11546" s="66" t="str">
        <f>IFERROR(__xludf.DUMMYFUNCTION("GOOGLETRANSLATE(A11546,""en"",""pt"")"),"#VALUE!")</f>
        <v>#VALUE!</v>
      </c>
      <c r="G11546" s="69"/>
    </row>
    <row r="11547" ht="22.5" customHeight="1">
      <c r="A11547" s="66"/>
      <c r="B11547" s="67" t="str">
        <f t="shared" si="16"/>
        <v>M: </v>
      </c>
      <c r="C11547" s="68"/>
      <c r="D11547" s="68"/>
      <c r="E11547" s="66"/>
      <c r="F11547" s="66" t="str">
        <f>IFERROR(__xludf.DUMMYFUNCTION("GOOGLETRANSLATE(A11547,""en"",""pt"")"),"#VALUE!")</f>
        <v>#VALUE!</v>
      </c>
      <c r="G11547" s="69"/>
    </row>
    <row r="11548" ht="22.5" customHeight="1">
      <c r="A11548" s="66"/>
      <c r="B11548" s="67" t="str">
        <f t="shared" si="16"/>
        <v>M: </v>
      </c>
      <c r="C11548" s="68"/>
      <c r="D11548" s="68"/>
      <c r="E11548" s="66"/>
      <c r="F11548" s="66" t="str">
        <f>IFERROR(__xludf.DUMMYFUNCTION("GOOGLETRANSLATE(A11548,""en"",""pt"")"),"#VALUE!")</f>
        <v>#VALUE!</v>
      </c>
      <c r="G11548" s="69"/>
    </row>
    <row r="11549" ht="22.5" customHeight="1">
      <c r="A11549" s="66"/>
      <c r="B11549" s="67" t="str">
        <f t="shared" si="16"/>
        <v>M: </v>
      </c>
      <c r="C11549" s="68"/>
      <c r="D11549" s="68"/>
      <c r="E11549" s="66"/>
      <c r="F11549" s="66" t="str">
        <f>IFERROR(__xludf.DUMMYFUNCTION("GOOGLETRANSLATE(A11549,""en"",""pt"")"),"#VALUE!")</f>
        <v>#VALUE!</v>
      </c>
      <c r="G11549" s="69"/>
    </row>
    <row r="11550" ht="22.5" customHeight="1">
      <c r="A11550" s="66"/>
      <c r="B11550" s="67" t="str">
        <f t="shared" si="16"/>
        <v>M: </v>
      </c>
      <c r="C11550" s="68"/>
      <c r="D11550" s="68"/>
      <c r="E11550" s="66"/>
      <c r="F11550" s="66" t="str">
        <f>IFERROR(__xludf.DUMMYFUNCTION("GOOGLETRANSLATE(A11550,""en"",""pt"")"),"#VALUE!")</f>
        <v>#VALUE!</v>
      </c>
      <c r="G11550" s="69"/>
    </row>
    <row r="11551" ht="22.5" customHeight="1">
      <c r="A11551" s="66"/>
      <c r="B11551" s="67" t="str">
        <f t="shared" si="16"/>
        <v>M: </v>
      </c>
      <c r="C11551" s="68"/>
      <c r="D11551" s="68"/>
      <c r="E11551" s="66"/>
      <c r="F11551" s="66" t="str">
        <f>IFERROR(__xludf.DUMMYFUNCTION("GOOGLETRANSLATE(A11551,""en"",""pt"")"),"#VALUE!")</f>
        <v>#VALUE!</v>
      </c>
      <c r="G11551" s="69"/>
    </row>
    <row r="11552" ht="22.5" customHeight="1">
      <c r="A11552" s="66"/>
      <c r="B11552" s="67" t="str">
        <f t="shared" si="16"/>
        <v>M: </v>
      </c>
      <c r="C11552" s="68"/>
      <c r="D11552" s="68"/>
      <c r="E11552" s="66"/>
      <c r="F11552" s="66" t="str">
        <f>IFERROR(__xludf.DUMMYFUNCTION("GOOGLETRANSLATE(A11552,""en"",""pt"")"),"#VALUE!")</f>
        <v>#VALUE!</v>
      </c>
      <c r="G11552" s="69"/>
    </row>
    <row r="11553" ht="22.5" customHeight="1">
      <c r="A11553" s="66"/>
      <c r="B11553" s="67" t="str">
        <f t="shared" si="16"/>
        <v>M: </v>
      </c>
      <c r="C11553" s="68"/>
      <c r="D11553" s="68"/>
      <c r="E11553" s="66"/>
      <c r="F11553" s="66" t="str">
        <f>IFERROR(__xludf.DUMMYFUNCTION("GOOGLETRANSLATE(A11553,""en"",""pt"")"),"#VALUE!")</f>
        <v>#VALUE!</v>
      </c>
      <c r="G11553" s="69"/>
    </row>
    <row r="11554" ht="22.5" customHeight="1">
      <c r="A11554" s="66"/>
      <c r="B11554" s="67" t="str">
        <f t="shared" si="16"/>
        <v>M: </v>
      </c>
      <c r="C11554" s="68"/>
      <c r="D11554" s="68"/>
      <c r="E11554" s="66"/>
      <c r="F11554" s="66" t="str">
        <f>IFERROR(__xludf.DUMMYFUNCTION("GOOGLETRANSLATE(A11554,""en"",""pt"")"),"#VALUE!")</f>
        <v>#VALUE!</v>
      </c>
      <c r="G11554" s="69"/>
    </row>
    <row r="11555" ht="22.5" customHeight="1">
      <c r="A11555" s="66"/>
      <c r="B11555" s="67" t="str">
        <f t="shared" si="16"/>
        <v>M: </v>
      </c>
      <c r="C11555" s="68"/>
      <c r="D11555" s="68"/>
      <c r="E11555" s="66"/>
      <c r="F11555" s="66" t="str">
        <f>IFERROR(__xludf.DUMMYFUNCTION("GOOGLETRANSLATE(A11555,""en"",""pt"")"),"#VALUE!")</f>
        <v>#VALUE!</v>
      </c>
      <c r="G11555" s="69"/>
    </row>
    <row r="11556" ht="22.5" customHeight="1">
      <c r="A11556" s="66"/>
      <c r="B11556" s="67" t="str">
        <f t="shared" si="16"/>
        <v>M: </v>
      </c>
      <c r="C11556" s="68"/>
      <c r="D11556" s="68"/>
      <c r="E11556" s="66"/>
      <c r="F11556" s="66" t="str">
        <f>IFERROR(__xludf.DUMMYFUNCTION("GOOGLETRANSLATE(A11556,""en"",""pt"")"),"#VALUE!")</f>
        <v>#VALUE!</v>
      </c>
      <c r="G11556" s="69"/>
    </row>
    <row r="11557" ht="22.5" customHeight="1">
      <c r="A11557" s="66"/>
      <c r="B11557" s="67" t="str">
        <f t="shared" si="16"/>
        <v>M: </v>
      </c>
      <c r="C11557" s="68"/>
      <c r="D11557" s="68"/>
      <c r="E11557" s="66"/>
      <c r="F11557" s="66" t="str">
        <f>IFERROR(__xludf.DUMMYFUNCTION("GOOGLETRANSLATE(A11557,""en"",""pt"")"),"#VALUE!")</f>
        <v>#VALUE!</v>
      </c>
      <c r="G11557" s="69"/>
    </row>
    <row r="11558" ht="22.5" customHeight="1">
      <c r="A11558" s="66"/>
      <c r="B11558" s="67" t="str">
        <f t="shared" si="16"/>
        <v>M: </v>
      </c>
      <c r="C11558" s="68"/>
      <c r="D11558" s="68"/>
      <c r="E11558" s="66"/>
      <c r="F11558" s="66" t="str">
        <f>IFERROR(__xludf.DUMMYFUNCTION("GOOGLETRANSLATE(A11558,""en"",""pt"")"),"#VALUE!")</f>
        <v>#VALUE!</v>
      </c>
      <c r="G11558" s="69"/>
    </row>
    <row r="11559" ht="22.5" customHeight="1">
      <c r="A11559" s="66"/>
      <c r="B11559" s="67" t="str">
        <f t="shared" si="16"/>
        <v>M: </v>
      </c>
      <c r="C11559" s="68"/>
      <c r="D11559" s="68"/>
      <c r="E11559" s="66"/>
      <c r="F11559" s="66" t="str">
        <f>IFERROR(__xludf.DUMMYFUNCTION("GOOGLETRANSLATE(A11559,""en"",""pt"")"),"#VALUE!")</f>
        <v>#VALUE!</v>
      </c>
      <c r="G11559" s="69"/>
    </row>
    <row r="11560" ht="22.5" customHeight="1">
      <c r="A11560" s="66"/>
      <c r="B11560" s="67" t="str">
        <f t="shared" si="16"/>
        <v>M: </v>
      </c>
      <c r="C11560" s="68"/>
      <c r="D11560" s="68"/>
      <c r="E11560" s="66"/>
      <c r="F11560" s="66" t="str">
        <f>IFERROR(__xludf.DUMMYFUNCTION("GOOGLETRANSLATE(A11560,""en"",""pt"")"),"#VALUE!")</f>
        <v>#VALUE!</v>
      </c>
      <c r="G11560" s="69"/>
    </row>
    <row r="11561" ht="22.5" customHeight="1">
      <c r="A11561" s="66"/>
      <c r="B11561" s="67" t="str">
        <f t="shared" si="16"/>
        <v>M: </v>
      </c>
      <c r="C11561" s="68"/>
      <c r="D11561" s="68"/>
      <c r="E11561" s="66"/>
      <c r="F11561" s="66" t="str">
        <f>IFERROR(__xludf.DUMMYFUNCTION("GOOGLETRANSLATE(A11561,""en"",""pt"")"),"#VALUE!")</f>
        <v>#VALUE!</v>
      </c>
      <c r="G11561" s="69"/>
    </row>
    <row r="11562" ht="22.5" customHeight="1">
      <c r="A11562" s="66"/>
      <c r="B11562" s="67" t="str">
        <f t="shared" si="16"/>
        <v>M: </v>
      </c>
      <c r="C11562" s="68"/>
      <c r="D11562" s="68"/>
      <c r="E11562" s="66"/>
      <c r="F11562" s="66" t="str">
        <f>IFERROR(__xludf.DUMMYFUNCTION("GOOGLETRANSLATE(A11562,""en"",""pt"")"),"#VALUE!")</f>
        <v>#VALUE!</v>
      </c>
      <c r="G11562" s="69"/>
    </row>
    <row r="11563" ht="22.5" customHeight="1">
      <c r="A11563" s="66"/>
      <c r="B11563" s="67" t="str">
        <f t="shared" si="16"/>
        <v>M: </v>
      </c>
      <c r="C11563" s="68"/>
      <c r="D11563" s="68"/>
      <c r="E11563" s="66"/>
      <c r="F11563" s="66" t="str">
        <f>IFERROR(__xludf.DUMMYFUNCTION("GOOGLETRANSLATE(A11563,""en"",""pt"")"),"#VALUE!")</f>
        <v>#VALUE!</v>
      </c>
      <c r="G11563" s="69"/>
    </row>
    <row r="11564" ht="22.5" customHeight="1">
      <c r="A11564" s="66"/>
      <c r="B11564" s="67" t="str">
        <f t="shared" si="16"/>
        <v>M: </v>
      </c>
      <c r="C11564" s="68"/>
      <c r="D11564" s="68"/>
      <c r="E11564" s="66"/>
      <c r="F11564" s="66" t="str">
        <f>IFERROR(__xludf.DUMMYFUNCTION("GOOGLETRANSLATE(A11564,""en"",""pt"")"),"#VALUE!")</f>
        <v>#VALUE!</v>
      </c>
      <c r="G11564" s="69"/>
    </row>
    <row r="11565" ht="22.5" customHeight="1">
      <c r="A11565" s="66"/>
      <c r="B11565" s="67" t="str">
        <f t="shared" si="16"/>
        <v>M: </v>
      </c>
      <c r="C11565" s="68"/>
      <c r="D11565" s="68"/>
      <c r="E11565" s="66"/>
      <c r="F11565" s="66" t="str">
        <f>IFERROR(__xludf.DUMMYFUNCTION("GOOGLETRANSLATE(A11565,""en"",""pt"")"),"#VALUE!")</f>
        <v>#VALUE!</v>
      </c>
      <c r="G11565" s="69"/>
    </row>
    <row r="11566" ht="22.5" customHeight="1">
      <c r="A11566" s="66"/>
      <c r="B11566" s="67" t="str">
        <f t="shared" si="16"/>
        <v>M: </v>
      </c>
      <c r="C11566" s="68"/>
      <c r="D11566" s="68"/>
      <c r="E11566" s="66"/>
      <c r="F11566" s="66" t="str">
        <f>IFERROR(__xludf.DUMMYFUNCTION("GOOGLETRANSLATE(A11566,""en"",""pt"")"),"#VALUE!")</f>
        <v>#VALUE!</v>
      </c>
      <c r="G11566" s="69"/>
    </row>
    <row r="11567" ht="22.5" customHeight="1">
      <c r="A11567" s="66"/>
      <c r="B11567" s="67" t="str">
        <f t="shared" si="16"/>
        <v>M: </v>
      </c>
      <c r="C11567" s="68"/>
      <c r="D11567" s="68"/>
      <c r="E11567" s="66"/>
      <c r="F11567" s="66" t="str">
        <f>IFERROR(__xludf.DUMMYFUNCTION("GOOGLETRANSLATE(A11567,""en"",""pt"")"),"#VALUE!")</f>
        <v>#VALUE!</v>
      </c>
      <c r="G11567" s="69"/>
    </row>
    <row r="11568" ht="22.5" customHeight="1">
      <c r="A11568" s="66"/>
      <c r="B11568" s="67" t="str">
        <f t="shared" si="16"/>
        <v>M: </v>
      </c>
      <c r="C11568" s="68"/>
      <c r="D11568" s="68"/>
      <c r="E11568" s="66"/>
      <c r="F11568" s="66" t="str">
        <f>IFERROR(__xludf.DUMMYFUNCTION("GOOGLETRANSLATE(A11568,""en"",""pt"")"),"#VALUE!")</f>
        <v>#VALUE!</v>
      </c>
      <c r="G11568" s="69"/>
    </row>
    <row r="11569" ht="22.5" customHeight="1">
      <c r="A11569" s="66"/>
      <c r="B11569" s="67" t="str">
        <f t="shared" si="16"/>
        <v>M: </v>
      </c>
      <c r="C11569" s="68"/>
      <c r="D11569" s="68"/>
      <c r="E11569" s="66"/>
      <c r="F11569" s="66" t="str">
        <f>IFERROR(__xludf.DUMMYFUNCTION("GOOGLETRANSLATE(A11569,""en"",""pt"")"),"#VALUE!")</f>
        <v>#VALUE!</v>
      </c>
      <c r="G11569" s="69"/>
    </row>
    <row r="11570" ht="22.5" customHeight="1">
      <c r="A11570" s="66"/>
      <c r="B11570" s="67" t="str">
        <f t="shared" si="16"/>
        <v>M: </v>
      </c>
      <c r="C11570" s="68"/>
      <c r="D11570" s="68"/>
      <c r="E11570" s="66"/>
      <c r="F11570" s="66" t="str">
        <f>IFERROR(__xludf.DUMMYFUNCTION("GOOGLETRANSLATE(A11570,""en"",""pt"")"),"#VALUE!")</f>
        <v>#VALUE!</v>
      </c>
      <c r="G11570" s="69"/>
    </row>
    <row r="11571" ht="22.5" customHeight="1">
      <c r="A11571" s="66"/>
      <c r="B11571" s="67" t="str">
        <f t="shared" si="16"/>
        <v>M: </v>
      </c>
      <c r="C11571" s="68"/>
      <c r="D11571" s="68"/>
      <c r="E11571" s="66"/>
      <c r="F11571" s="66" t="str">
        <f>IFERROR(__xludf.DUMMYFUNCTION("GOOGLETRANSLATE(A11571,""en"",""pt"")"),"#VALUE!")</f>
        <v>#VALUE!</v>
      </c>
      <c r="G11571" s="69"/>
    </row>
    <row r="11572" ht="22.5" customHeight="1">
      <c r="A11572" s="66"/>
      <c r="B11572" s="67" t="str">
        <f t="shared" si="16"/>
        <v>M: </v>
      </c>
      <c r="C11572" s="68"/>
      <c r="D11572" s="68"/>
      <c r="E11572" s="66"/>
      <c r="F11572" s="66" t="str">
        <f>IFERROR(__xludf.DUMMYFUNCTION("GOOGLETRANSLATE(A11572,""en"",""pt"")"),"#VALUE!")</f>
        <v>#VALUE!</v>
      </c>
      <c r="G11572" s="69"/>
    </row>
    <row r="11573" ht="22.5" customHeight="1">
      <c r="A11573" s="66"/>
      <c r="B11573" s="67" t="str">
        <f t="shared" si="16"/>
        <v>M: </v>
      </c>
      <c r="C11573" s="68"/>
      <c r="D11573" s="68"/>
      <c r="E11573" s="66"/>
      <c r="F11573" s="66" t="str">
        <f>IFERROR(__xludf.DUMMYFUNCTION("GOOGLETRANSLATE(A11573,""en"",""pt"")"),"#VALUE!")</f>
        <v>#VALUE!</v>
      </c>
      <c r="G11573" s="69"/>
    </row>
    <row r="11574" ht="22.5" customHeight="1">
      <c r="A11574" s="66"/>
      <c r="B11574" s="67" t="str">
        <f t="shared" si="16"/>
        <v>M: </v>
      </c>
      <c r="C11574" s="68"/>
      <c r="D11574" s="68"/>
      <c r="E11574" s="66"/>
      <c r="F11574" s="66" t="str">
        <f>IFERROR(__xludf.DUMMYFUNCTION("GOOGLETRANSLATE(A11574,""en"",""pt"")"),"#VALUE!")</f>
        <v>#VALUE!</v>
      </c>
      <c r="G11574" s="69"/>
    </row>
    <row r="11575" ht="22.5" customHeight="1">
      <c r="A11575" s="66"/>
      <c r="B11575" s="67" t="str">
        <f t="shared" si="16"/>
        <v>M: </v>
      </c>
      <c r="C11575" s="68"/>
      <c r="D11575" s="68"/>
      <c r="E11575" s="66"/>
      <c r="F11575" s="66" t="str">
        <f>IFERROR(__xludf.DUMMYFUNCTION("GOOGLETRANSLATE(A11575,""en"",""pt"")"),"#VALUE!")</f>
        <v>#VALUE!</v>
      </c>
      <c r="G11575" s="69"/>
    </row>
    <row r="11576" ht="22.5" customHeight="1">
      <c r="A11576" s="66"/>
      <c r="B11576" s="67" t="str">
        <f t="shared" si="16"/>
        <v>M: </v>
      </c>
      <c r="C11576" s="68"/>
      <c r="D11576" s="68"/>
      <c r="E11576" s="66"/>
      <c r="F11576" s="66" t="str">
        <f>IFERROR(__xludf.DUMMYFUNCTION("GOOGLETRANSLATE(A11576,""en"",""pt"")"),"#VALUE!")</f>
        <v>#VALUE!</v>
      </c>
      <c r="G11576" s="69"/>
    </row>
    <row r="11577" ht="22.5" customHeight="1">
      <c r="A11577" s="66"/>
      <c r="B11577" s="67" t="str">
        <f t="shared" si="16"/>
        <v>M: </v>
      </c>
      <c r="C11577" s="68"/>
      <c r="D11577" s="68"/>
      <c r="E11577" s="66"/>
      <c r="F11577" s="66" t="str">
        <f>IFERROR(__xludf.DUMMYFUNCTION("GOOGLETRANSLATE(A11577,""en"",""pt"")"),"#VALUE!")</f>
        <v>#VALUE!</v>
      </c>
      <c r="G11577" s="69"/>
    </row>
    <row r="11578" ht="22.5" customHeight="1">
      <c r="A11578" s="66"/>
      <c r="B11578" s="67" t="str">
        <f t="shared" si="16"/>
        <v>M: </v>
      </c>
      <c r="C11578" s="68"/>
      <c r="D11578" s="68"/>
      <c r="E11578" s="66"/>
      <c r="F11578" s="66" t="str">
        <f>IFERROR(__xludf.DUMMYFUNCTION("GOOGLETRANSLATE(A11578,""en"",""pt"")"),"#VALUE!")</f>
        <v>#VALUE!</v>
      </c>
      <c r="G11578" s="69"/>
    </row>
    <row r="11579" ht="22.5" customHeight="1">
      <c r="A11579" s="66"/>
      <c r="B11579" s="67" t="str">
        <f t="shared" si="16"/>
        <v>M: </v>
      </c>
      <c r="C11579" s="68"/>
      <c r="D11579" s="68"/>
      <c r="E11579" s="66"/>
      <c r="F11579" s="66" t="str">
        <f>IFERROR(__xludf.DUMMYFUNCTION("GOOGLETRANSLATE(A11579,""en"",""pt"")"),"#VALUE!")</f>
        <v>#VALUE!</v>
      </c>
      <c r="G11579" s="69"/>
    </row>
    <row r="11580" ht="22.5" customHeight="1">
      <c r="A11580" s="66"/>
      <c r="B11580" s="67" t="str">
        <f t="shared" si="16"/>
        <v>M: </v>
      </c>
      <c r="C11580" s="68"/>
      <c r="D11580" s="68"/>
      <c r="E11580" s="66"/>
      <c r="F11580" s="66" t="str">
        <f>IFERROR(__xludf.DUMMYFUNCTION("GOOGLETRANSLATE(A11580,""en"",""pt"")"),"#VALUE!")</f>
        <v>#VALUE!</v>
      </c>
      <c r="G11580" s="69"/>
    </row>
    <row r="11581" ht="22.5" customHeight="1">
      <c r="A11581" s="66"/>
      <c r="B11581" s="67" t="str">
        <f t="shared" si="16"/>
        <v>M: </v>
      </c>
      <c r="C11581" s="68"/>
      <c r="D11581" s="68"/>
      <c r="E11581" s="66"/>
      <c r="F11581" s="66" t="str">
        <f>IFERROR(__xludf.DUMMYFUNCTION("GOOGLETRANSLATE(A11581,""en"",""pt"")"),"#VALUE!")</f>
        <v>#VALUE!</v>
      </c>
      <c r="G11581" s="69"/>
    </row>
    <row r="11582" ht="22.5" customHeight="1">
      <c r="A11582" s="66"/>
      <c r="B11582" s="67" t="str">
        <f t="shared" si="16"/>
        <v>M: </v>
      </c>
      <c r="C11582" s="68"/>
      <c r="D11582" s="68"/>
      <c r="E11582" s="66"/>
      <c r="F11582" s="66" t="str">
        <f>IFERROR(__xludf.DUMMYFUNCTION("GOOGLETRANSLATE(A11582,""en"",""pt"")"),"#VALUE!")</f>
        <v>#VALUE!</v>
      </c>
      <c r="G11582" s="69"/>
    </row>
    <row r="11583" ht="22.5" customHeight="1">
      <c r="A11583" s="66"/>
      <c r="B11583" s="67" t="str">
        <f t="shared" si="16"/>
        <v>M: </v>
      </c>
      <c r="C11583" s="68"/>
      <c r="D11583" s="68"/>
      <c r="E11583" s="66"/>
      <c r="F11583" s="66" t="str">
        <f>IFERROR(__xludf.DUMMYFUNCTION("GOOGLETRANSLATE(A11583,""en"",""pt"")"),"#VALUE!")</f>
        <v>#VALUE!</v>
      </c>
      <c r="G11583" s="69"/>
    </row>
    <row r="11584" ht="22.5" customHeight="1">
      <c r="A11584" s="66"/>
      <c r="B11584" s="67" t="str">
        <f t="shared" si="16"/>
        <v>M: </v>
      </c>
      <c r="C11584" s="68"/>
      <c r="D11584" s="68"/>
      <c r="E11584" s="66"/>
      <c r="F11584" s="66" t="str">
        <f>IFERROR(__xludf.DUMMYFUNCTION("GOOGLETRANSLATE(A11584,""en"",""pt"")"),"#VALUE!")</f>
        <v>#VALUE!</v>
      </c>
      <c r="G11584" s="69"/>
    </row>
    <row r="11585" ht="22.5" customHeight="1">
      <c r="A11585" s="66"/>
      <c r="B11585" s="67" t="str">
        <f t="shared" si="16"/>
        <v>M: </v>
      </c>
      <c r="C11585" s="68"/>
      <c r="D11585" s="68"/>
      <c r="E11585" s="66"/>
      <c r="F11585" s="66" t="str">
        <f>IFERROR(__xludf.DUMMYFUNCTION("GOOGLETRANSLATE(A11585,""en"",""pt"")"),"#VALUE!")</f>
        <v>#VALUE!</v>
      </c>
      <c r="G11585" s="69"/>
    </row>
    <row r="11586" ht="22.5" customHeight="1">
      <c r="A11586" s="66"/>
      <c r="B11586" s="67" t="str">
        <f t="shared" si="16"/>
        <v>M: </v>
      </c>
      <c r="C11586" s="68"/>
      <c r="D11586" s="68"/>
      <c r="E11586" s="66"/>
      <c r="F11586" s="66" t="str">
        <f>IFERROR(__xludf.DUMMYFUNCTION("GOOGLETRANSLATE(A11586,""en"",""pt"")"),"#VALUE!")</f>
        <v>#VALUE!</v>
      </c>
      <c r="G11586" s="69"/>
    </row>
    <row r="11587" ht="22.5" customHeight="1">
      <c r="A11587" s="66"/>
      <c r="B11587" s="67" t="str">
        <f t="shared" si="16"/>
        <v>M: </v>
      </c>
      <c r="C11587" s="68"/>
      <c r="D11587" s="68"/>
      <c r="E11587" s="66"/>
      <c r="F11587" s="66" t="str">
        <f>IFERROR(__xludf.DUMMYFUNCTION("GOOGLETRANSLATE(A11587,""en"",""pt"")"),"#VALUE!")</f>
        <v>#VALUE!</v>
      </c>
      <c r="G11587" s="69"/>
    </row>
    <row r="11588" ht="22.5" customHeight="1">
      <c r="A11588" s="66"/>
      <c r="B11588" s="67" t="str">
        <f t="shared" si="16"/>
        <v>M: </v>
      </c>
      <c r="C11588" s="68"/>
      <c r="D11588" s="68"/>
      <c r="E11588" s="66"/>
      <c r="F11588" s="66" t="str">
        <f>IFERROR(__xludf.DUMMYFUNCTION("GOOGLETRANSLATE(A11588,""en"",""pt"")"),"#VALUE!")</f>
        <v>#VALUE!</v>
      </c>
      <c r="G11588" s="69"/>
    </row>
    <row r="11589" ht="22.5" customHeight="1">
      <c r="A11589" s="66"/>
      <c r="B11589" s="67" t="str">
        <f t="shared" si="16"/>
        <v>M: </v>
      </c>
      <c r="C11589" s="68"/>
      <c r="D11589" s="68"/>
      <c r="E11589" s="66"/>
      <c r="F11589" s="66" t="str">
        <f>IFERROR(__xludf.DUMMYFUNCTION("GOOGLETRANSLATE(A11589,""en"",""pt"")"),"#VALUE!")</f>
        <v>#VALUE!</v>
      </c>
      <c r="G11589" s="69"/>
    </row>
    <row r="11590" ht="22.5" customHeight="1">
      <c r="A11590" s="66"/>
      <c r="B11590" s="67" t="str">
        <f t="shared" si="16"/>
        <v>M: </v>
      </c>
      <c r="C11590" s="68"/>
      <c r="D11590" s="68"/>
      <c r="E11590" s="66"/>
      <c r="F11590" s="66" t="str">
        <f>IFERROR(__xludf.DUMMYFUNCTION("GOOGLETRANSLATE(A11590,""en"",""pt"")"),"#VALUE!")</f>
        <v>#VALUE!</v>
      </c>
      <c r="G11590" s="69"/>
    </row>
    <row r="11591" ht="22.5" customHeight="1">
      <c r="A11591" s="66"/>
      <c r="B11591" s="67" t="str">
        <f t="shared" si="16"/>
        <v>M: </v>
      </c>
      <c r="C11591" s="68"/>
      <c r="D11591" s="68"/>
      <c r="E11591" s="66"/>
      <c r="F11591" s="66" t="str">
        <f>IFERROR(__xludf.DUMMYFUNCTION("GOOGLETRANSLATE(A11591,""en"",""pt"")"),"#VALUE!")</f>
        <v>#VALUE!</v>
      </c>
      <c r="G11591" s="69"/>
    </row>
    <row r="11592" ht="22.5" customHeight="1">
      <c r="A11592" s="66"/>
      <c r="B11592" s="67" t="str">
        <f t="shared" si="16"/>
        <v>M: </v>
      </c>
      <c r="C11592" s="68"/>
      <c r="D11592" s="68"/>
      <c r="E11592" s="66"/>
      <c r="F11592" s="66" t="str">
        <f>IFERROR(__xludf.DUMMYFUNCTION("GOOGLETRANSLATE(A11592,""en"",""pt"")"),"#VALUE!")</f>
        <v>#VALUE!</v>
      </c>
      <c r="G11592" s="69"/>
    </row>
    <row r="11593" ht="22.5" customHeight="1">
      <c r="A11593" s="66"/>
      <c r="B11593" s="67" t="str">
        <f t="shared" si="16"/>
        <v>M: </v>
      </c>
      <c r="C11593" s="68"/>
      <c r="D11593" s="68"/>
      <c r="E11593" s="66"/>
      <c r="F11593" s="66" t="str">
        <f>IFERROR(__xludf.DUMMYFUNCTION("GOOGLETRANSLATE(A11593,""en"",""pt"")"),"#VALUE!")</f>
        <v>#VALUE!</v>
      </c>
      <c r="G11593" s="69"/>
    </row>
    <row r="11594" ht="22.5" customHeight="1">
      <c r="A11594" s="66"/>
      <c r="B11594" s="67" t="str">
        <f t="shared" si="16"/>
        <v>M: </v>
      </c>
      <c r="C11594" s="68"/>
      <c r="D11594" s="68"/>
      <c r="E11594" s="66"/>
      <c r="F11594" s="66" t="str">
        <f>IFERROR(__xludf.DUMMYFUNCTION("GOOGLETRANSLATE(A11594,""en"",""pt"")"),"#VALUE!")</f>
        <v>#VALUE!</v>
      </c>
      <c r="G11594" s="69"/>
    </row>
    <row r="11595" ht="22.5" customHeight="1">
      <c r="A11595" s="66"/>
      <c r="B11595" s="67" t="str">
        <f t="shared" si="16"/>
        <v>M: </v>
      </c>
      <c r="C11595" s="68"/>
      <c r="D11595" s="68"/>
      <c r="E11595" s="66"/>
      <c r="F11595" s="66" t="str">
        <f>IFERROR(__xludf.DUMMYFUNCTION("GOOGLETRANSLATE(A11595,""en"",""pt"")"),"#VALUE!")</f>
        <v>#VALUE!</v>
      </c>
      <c r="G11595" s="69"/>
    </row>
    <row r="11596" ht="22.5" customHeight="1">
      <c r="A11596" s="66"/>
      <c r="B11596" s="67" t="str">
        <f t="shared" si="16"/>
        <v>M: </v>
      </c>
      <c r="C11596" s="68"/>
      <c r="D11596" s="68"/>
      <c r="E11596" s="66"/>
      <c r="F11596" s="66" t="str">
        <f>IFERROR(__xludf.DUMMYFUNCTION("GOOGLETRANSLATE(A11596,""en"",""pt"")"),"#VALUE!")</f>
        <v>#VALUE!</v>
      </c>
      <c r="G11596" s="69"/>
    </row>
    <row r="11597" ht="22.5" customHeight="1">
      <c r="A11597" s="66"/>
      <c r="B11597" s="67" t="str">
        <f t="shared" si="16"/>
        <v>M: </v>
      </c>
      <c r="C11597" s="68"/>
      <c r="D11597" s="68"/>
      <c r="E11597" s="66"/>
      <c r="F11597" s="66" t="str">
        <f>IFERROR(__xludf.DUMMYFUNCTION("GOOGLETRANSLATE(A11597,""en"",""pt"")"),"#VALUE!")</f>
        <v>#VALUE!</v>
      </c>
      <c r="G11597" s="69"/>
    </row>
    <row r="11598" ht="22.5" customHeight="1">
      <c r="A11598" s="66"/>
      <c r="B11598" s="67" t="str">
        <f t="shared" si="16"/>
        <v>M: </v>
      </c>
      <c r="C11598" s="68"/>
      <c r="D11598" s="68"/>
      <c r="E11598" s="66"/>
      <c r="F11598" s="66" t="str">
        <f>IFERROR(__xludf.DUMMYFUNCTION("GOOGLETRANSLATE(A11598,""en"",""pt"")"),"#VALUE!")</f>
        <v>#VALUE!</v>
      </c>
      <c r="G11598" s="69"/>
    </row>
    <row r="11599" ht="22.5" customHeight="1">
      <c r="A11599" s="66"/>
      <c r="B11599" s="67" t="str">
        <f t="shared" si="16"/>
        <v>M: </v>
      </c>
      <c r="C11599" s="68"/>
      <c r="D11599" s="68"/>
      <c r="E11599" s="66"/>
      <c r="F11599" s="66" t="str">
        <f>IFERROR(__xludf.DUMMYFUNCTION("GOOGLETRANSLATE(A11599,""en"",""pt"")"),"#VALUE!")</f>
        <v>#VALUE!</v>
      </c>
      <c r="G11599" s="69"/>
    </row>
    <row r="11600" ht="22.5" customHeight="1">
      <c r="A11600" s="66"/>
      <c r="B11600" s="67" t="str">
        <f t="shared" si="16"/>
        <v>M: </v>
      </c>
      <c r="C11600" s="68"/>
      <c r="D11600" s="68"/>
      <c r="E11600" s="66"/>
      <c r="F11600" s="66" t="str">
        <f>IFERROR(__xludf.DUMMYFUNCTION("GOOGLETRANSLATE(A11600,""en"",""pt"")"),"#VALUE!")</f>
        <v>#VALUE!</v>
      </c>
      <c r="G11600" s="69"/>
    </row>
    <row r="11601" ht="22.5" customHeight="1">
      <c r="A11601" s="66"/>
      <c r="B11601" s="67" t="str">
        <f t="shared" si="16"/>
        <v>M: </v>
      </c>
      <c r="C11601" s="68"/>
      <c r="D11601" s="68"/>
      <c r="E11601" s="66"/>
      <c r="F11601" s="66" t="str">
        <f>IFERROR(__xludf.DUMMYFUNCTION("GOOGLETRANSLATE(A11601,""en"",""pt"")"),"#VALUE!")</f>
        <v>#VALUE!</v>
      </c>
      <c r="G11601" s="69"/>
    </row>
    <row r="11602" ht="22.5" customHeight="1">
      <c r="A11602" s="66"/>
      <c r="B11602" s="67" t="str">
        <f t="shared" si="16"/>
        <v>M: </v>
      </c>
      <c r="C11602" s="68"/>
      <c r="D11602" s="68"/>
      <c r="E11602" s="66"/>
      <c r="F11602" s="66" t="str">
        <f>IFERROR(__xludf.DUMMYFUNCTION("GOOGLETRANSLATE(A11602,""en"",""pt"")"),"#VALUE!")</f>
        <v>#VALUE!</v>
      </c>
      <c r="G11602" s="69"/>
    </row>
    <row r="11603" ht="22.5" customHeight="1">
      <c r="A11603" s="66"/>
      <c r="B11603" s="67" t="str">
        <f t="shared" si="16"/>
        <v>M: </v>
      </c>
      <c r="C11603" s="68"/>
      <c r="D11603" s="68"/>
      <c r="E11603" s="66"/>
      <c r="F11603" s="66" t="str">
        <f>IFERROR(__xludf.DUMMYFUNCTION("GOOGLETRANSLATE(A11603,""en"",""pt"")"),"#VALUE!")</f>
        <v>#VALUE!</v>
      </c>
      <c r="G11603" s="69"/>
    </row>
    <row r="11604" ht="22.5" customHeight="1">
      <c r="A11604" s="66"/>
      <c r="B11604" s="67" t="str">
        <f t="shared" si="16"/>
        <v>M: </v>
      </c>
      <c r="C11604" s="68"/>
      <c r="D11604" s="68"/>
      <c r="E11604" s="66"/>
      <c r="F11604" s="66" t="str">
        <f>IFERROR(__xludf.DUMMYFUNCTION("GOOGLETRANSLATE(A11604,""en"",""pt"")"),"#VALUE!")</f>
        <v>#VALUE!</v>
      </c>
      <c r="G11604" s="69"/>
    </row>
    <row r="11605" ht="22.5" customHeight="1">
      <c r="A11605" s="66"/>
      <c r="B11605" s="67" t="str">
        <f t="shared" si="16"/>
        <v>M: </v>
      </c>
      <c r="C11605" s="68"/>
      <c r="D11605" s="68"/>
      <c r="E11605" s="66"/>
      <c r="F11605" s="66" t="str">
        <f>IFERROR(__xludf.DUMMYFUNCTION("GOOGLETRANSLATE(A11605,""en"",""pt"")"),"#VALUE!")</f>
        <v>#VALUE!</v>
      </c>
      <c r="G11605" s="69"/>
    </row>
    <row r="11606" ht="22.5" customHeight="1">
      <c r="A11606" s="66"/>
      <c r="B11606" s="67" t="str">
        <f t="shared" si="16"/>
        <v>M: </v>
      </c>
      <c r="C11606" s="68"/>
      <c r="D11606" s="68"/>
      <c r="E11606" s="66"/>
      <c r="F11606" s="66" t="str">
        <f>IFERROR(__xludf.DUMMYFUNCTION("GOOGLETRANSLATE(A11606,""en"",""pt"")"),"#VALUE!")</f>
        <v>#VALUE!</v>
      </c>
      <c r="G11606" s="69"/>
    </row>
    <row r="11607" ht="22.5" customHeight="1">
      <c r="A11607" s="66"/>
      <c r="B11607" s="67" t="str">
        <f t="shared" si="16"/>
        <v>M: </v>
      </c>
      <c r="C11607" s="68"/>
      <c r="D11607" s="68"/>
      <c r="E11607" s="66"/>
      <c r="F11607" s="66" t="str">
        <f>IFERROR(__xludf.DUMMYFUNCTION("GOOGLETRANSLATE(A11607,""en"",""pt"")"),"#VALUE!")</f>
        <v>#VALUE!</v>
      </c>
      <c r="G11607" s="69"/>
    </row>
    <row r="11608" ht="22.5" customHeight="1">
      <c r="A11608" s="66"/>
      <c r="B11608" s="67" t="str">
        <f t="shared" si="16"/>
        <v>M: </v>
      </c>
      <c r="C11608" s="68"/>
      <c r="D11608" s="68"/>
      <c r="E11608" s="66"/>
      <c r="F11608" s="66" t="str">
        <f>IFERROR(__xludf.DUMMYFUNCTION("GOOGLETRANSLATE(A11608,""en"",""pt"")"),"#VALUE!")</f>
        <v>#VALUE!</v>
      </c>
      <c r="G11608" s="69"/>
    </row>
    <row r="11609" ht="22.5" customHeight="1">
      <c r="A11609" s="66"/>
      <c r="B11609" s="67" t="str">
        <f t="shared" si="16"/>
        <v>M: </v>
      </c>
      <c r="C11609" s="68"/>
      <c r="D11609" s="68"/>
      <c r="E11609" s="66"/>
      <c r="F11609" s="66" t="str">
        <f>IFERROR(__xludf.DUMMYFUNCTION("GOOGLETRANSLATE(A11609,""en"",""pt"")"),"#VALUE!")</f>
        <v>#VALUE!</v>
      </c>
      <c r="G11609" s="69"/>
    </row>
    <row r="11610" ht="22.5" customHeight="1">
      <c r="A11610" s="66"/>
      <c r="B11610" s="67" t="str">
        <f t="shared" si="16"/>
        <v>M: </v>
      </c>
      <c r="C11610" s="68"/>
      <c r="D11610" s="68"/>
      <c r="E11610" s="66"/>
      <c r="F11610" s="66" t="str">
        <f>IFERROR(__xludf.DUMMYFUNCTION("GOOGLETRANSLATE(A11610,""en"",""pt"")"),"#VALUE!")</f>
        <v>#VALUE!</v>
      </c>
      <c r="G11610" s="69"/>
    </row>
    <row r="11611" ht="22.5" customHeight="1">
      <c r="A11611" s="66"/>
      <c r="B11611" s="67" t="str">
        <f t="shared" si="16"/>
        <v>M: </v>
      </c>
      <c r="C11611" s="68"/>
      <c r="D11611" s="68"/>
      <c r="E11611" s="66"/>
      <c r="F11611" s="66" t="str">
        <f>IFERROR(__xludf.DUMMYFUNCTION("GOOGLETRANSLATE(A11611,""en"",""pt"")"),"#VALUE!")</f>
        <v>#VALUE!</v>
      </c>
      <c r="G11611" s="69"/>
    </row>
    <row r="11612" ht="22.5" customHeight="1">
      <c r="A11612" s="66"/>
      <c r="B11612" s="67" t="str">
        <f t="shared" si="16"/>
        <v>M: </v>
      </c>
      <c r="C11612" s="68"/>
      <c r="D11612" s="68"/>
      <c r="E11612" s="66"/>
      <c r="F11612" s="66" t="str">
        <f>IFERROR(__xludf.DUMMYFUNCTION("GOOGLETRANSLATE(A11612,""en"",""pt"")"),"#VALUE!")</f>
        <v>#VALUE!</v>
      </c>
      <c r="G11612" s="69"/>
    </row>
  </sheetData>
  <conditionalFormatting sqref="A2:A4992">
    <cfRule type="expression" dxfId="6" priority="1">
      <formula>COUNTIF($A:$A,A2)&gt;1</formula>
    </cfRule>
  </conditionalFormatting>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0.88"/>
    <col customWidth="1" min="2" max="2" width="8.0"/>
    <col customWidth="1" min="3" max="3" width="15.13"/>
    <col customWidth="1" min="4" max="4" width="22.5"/>
    <col customWidth="1" hidden="1" min="5" max="5" width="17.63"/>
    <col customWidth="1" min="6" max="6" width="36.13"/>
    <col customWidth="1" min="7" max="7" width="12.25"/>
  </cols>
  <sheetData>
    <row r="1">
      <c r="C1" s="76"/>
      <c r="D1" s="77"/>
      <c r="E1" s="76"/>
      <c r="F1" s="78"/>
    </row>
    <row r="2">
      <c r="A2" s="2"/>
      <c r="B2" s="3"/>
      <c r="C2" s="3"/>
      <c r="D2" s="3" t="str">
        <f>CONCATENATE(COUNTA(TI[Curso])," Aulas/Atividades")</f>
        <v>457 Aulas/Atividades</v>
      </c>
      <c r="E2" s="79"/>
      <c r="F2" s="80"/>
      <c r="G2" s="4">
        <f>SUM(TI[Tempo])</f>
        <v>11.24233796</v>
      </c>
    </row>
    <row r="3" ht="22.5" customHeight="1">
      <c r="A3" s="81" t="s">
        <v>0</v>
      </c>
      <c r="B3" s="81" t="s">
        <v>4949</v>
      </c>
      <c r="C3" s="81" t="s">
        <v>4950</v>
      </c>
      <c r="D3" s="82" t="s">
        <v>4951</v>
      </c>
      <c r="E3" s="81" t="s">
        <v>4952</v>
      </c>
      <c r="F3" s="82" t="s">
        <v>3</v>
      </c>
      <c r="G3" s="81" t="s">
        <v>5</v>
      </c>
    </row>
    <row r="4" ht="22.5" customHeight="1">
      <c r="A4" s="83">
        <v>45838.0</v>
      </c>
      <c r="B4" s="21" t="s">
        <v>4951</v>
      </c>
      <c r="C4" s="84" t="s">
        <v>4953</v>
      </c>
      <c r="D4" s="85" t="s">
        <v>4954</v>
      </c>
      <c r="E4" s="84"/>
      <c r="F4" s="86"/>
      <c r="G4" s="23">
        <v>0.041666666666666664</v>
      </c>
    </row>
    <row r="5" ht="22.5" customHeight="1">
      <c r="A5" s="83">
        <v>45839.0</v>
      </c>
      <c r="B5" s="21" t="s">
        <v>4951</v>
      </c>
      <c r="C5" s="84" t="s">
        <v>4953</v>
      </c>
      <c r="D5" s="85" t="s">
        <v>4954</v>
      </c>
      <c r="E5" s="84"/>
      <c r="F5" s="86"/>
      <c r="G5" s="23">
        <v>0.041666666666666664</v>
      </c>
    </row>
    <row r="6" ht="22.5" customHeight="1">
      <c r="A6" s="83">
        <v>45840.0</v>
      </c>
      <c r="B6" s="21" t="s">
        <v>4951</v>
      </c>
      <c r="C6" s="84" t="s">
        <v>4953</v>
      </c>
      <c r="D6" s="85" t="s">
        <v>4954</v>
      </c>
      <c r="E6" s="84"/>
      <c r="F6" s="86"/>
      <c r="G6" s="23">
        <v>0.041666666666666664</v>
      </c>
    </row>
    <row r="7" ht="22.5" customHeight="1">
      <c r="A7" s="83">
        <v>45841.0</v>
      </c>
      <c r="B7" s="21" t="s">
        <v>4951</v>
      </c>
      <c r="C7" s="84" t="s">
        <v>4953</v>
      </c>
      <c r="D7" s="85" t="s">
        <v>4954</v>
      </c>
      <c r="E7" s="84"/>
      <c r="F7" s="86"/>
      <c r="G7" s="23">
        <v>0.041666666666666664</v>
      </c>
    </row>
    <row r="8" ht="22.5" customHeight="1">
      <c r="A8" s="83">
        <v>45842.0</v>
      </c>
      <c r="B8" s="21" t="s">
        <v>4951</v>
      </c>
      <c r="C8" s="84" t="s">
        <v>4953</v>
      </c>
      <c r="D8" s="85" t="s">
        <v>4954</v>
      </c>
      <c r="E8" s="84"/>
      <c r="F8" s="86"/>
      <c r="G8" s="23">
        <v>0.041666666666666664</v>
      </c>
    </row>
    <row r="9" ht="22.5" customHeight="1">
      <c r="A9" s="83">
        <v>45843.0</v>
      </c>
      <c r="B9" s="21" t="s">
        <v>4951</v>
      </c>
      <c r="C9" s="84" t="s">
        <v>4953</v>
      </c>
      <c r="D9" s="85" t="s">
        <v>4954</v>
      </c>
      <c r="E9" s="84"/>
      <c r="F9" s="86"/>
      <c r="G9" s="23">
        <v>0.041666666666666664</v>
      </c>
    </row>
    <row r="10" ht="22.5" customHeight="1">
      <c r="A10" s="83">
        <v>45844.0</v>
      </c>
      <c r="B10" s="21" t="s">
        <v>4951</v>
      </c>
      <c r="C10" s="84" t="s">
        <v>4953</v>
      </c>
      <c r="D10" s="85" t="s">
        <v>4954</v>
      </c>
      <c r="E10" s="84"/>
      <c r="F10" s="86"/>
      <c r="G10" s="23">
        <v>0.041666666666666664</v>
      </c>
    </row>
    <row r="11" ht="22.5" customHeight="1">
      <c r="A11" s="83">
        <v>45845.0</v>
      </c>
      <c r="B11" s="21" t="s">
        <v>4951</v>
      </c>
      <c r="C11" s="84" t="s">
        <v>4953</v>
      </c>
      <c r="D11" s="85" t="s">
        <v>4954</v>
      </c>
      <c r="E11" s="84"/>
      <c r="F11" s="86"/>
      <c r="G11" s="23">
        <v>0.041666666666666664</v>
      </c>
    </row>
    <row r="12" ht="22.5" customHeight="1">
      <c r="A12" s="83">
        <v>45846.0</v>
      </c>
      <c r="B12" s="21" t="s">
        <v>4951</v>
      </c>
      <c r="C12" s="84" t="s">
        <v>4953</v>
      </c>
      <c r="D12" s="85" t="s">
        <v>4954</v>
      </c>
      <c r="E12" s="84"/>
      <c r="F12" s="86"/>
      <c r="G12" s="23">
        <v>0.041666666666666664</v>
      </c>
    </row>
    <row r="13" ht="22.5" customHeight="1">
      <c r="A13" s="83">
        <v>45847.0</v>
      </c>
      <c r="B13" s="21" t="s">
        <v>4951</v>
      </c>
      <c r="C13" s="84" t="s">
        <v>4953</v>
      </c>
      <c r="D13" s="85" t="s">
        <v>4954</v>
      </c>
      <c r="E13" s="84"/>
      <c r="F13" s="86"/>
      <c r="G13" s="23">
        <v>0.041666666666666664</v>
      </c>
    </row>
    <row r="14" ht="22.5" customHeight="1">
      <c r="A14" s="83">
        <v>45848.0</v>
      </c>
      <c r="B14" s="21" t="s">
        <v>4951</v>
      </c>
      <c r="C14" s="84" t="s">
        <v>4953</v>
      </c>
      <c r="D14" s="85" t="s">
        <v>4954</v>
      </c>
      <c r="E14" s="84"/>
      <c r="F14" s="86"/>
      <c r="G14" s="23">
        <v>0.041666666666666664</v>
      </c>
    </row>
    <row r="15" ht="22.5" customHeight="1">
      <c r="A15" s="83">
        <v>45849.0</v>
      </c>
      <c r="B15" s="21" t="s">
        <v>4951</v>
      </c>
      <c r="C15" s="84" t="s">
        <v>4953</v>
      </c>
      <c r="D15" s="85" t="s">
        <v>4954</v>
      </c>
      <c r="E15" s="84"/>
      <c r="F15" s="86"/>
      <c r="G15" s="23">
        <v>0.041666666666666664</v>
      </c>
    </row>
    <row r="16" ht="22.5" customHeight="1">
      <c r="A16" s="83">
        <v>45849.0</v>
      </c>
      <c r="B16" s="21" t="s">
        <v>4951</v>
      </c>
      <c r="C16" s="87" t="s">
        <v>4955</v>
      </c>
      <c r="D16" s="85" t="s">
        <v>4954</v>
      </c>
      <c r="E16" s="87"/>
      <c r="F16" s="88"/>
      <c r="G16" s="36">
        <v>0.0625</v>
      </c>
    </row>
    <row r="17" ht="22.5" customHeight="1">
      <c r="A17" s="83">
        <v>45849.0</v>
      </c>
      <c r="B17" s="21" t="s">
        <v>4951</v>
      </c>
      <c r="C17" s="87" t="s">
        <v>4956</v>
      </c>
      <c r="D17" s="85" t="s">
        <v>4957</v>
      </c>
      <c r="E17" s="87"/>
      <c r="F17" s="88"/>
      <c r="G17" s="36">
        <v>0.052083333333333336</v>
      </c>
    </row>
    <row r="18" ht="22.5" customHeight="1">
      <c r="A18" s="83">
        <v>45850.0</v>
      </c>
      <c r="B18" s="21" t="s">
        <v>4951</v>
      </c>
      <c r="C18" s="84" t="s">
        <v>4953</v>
      </c>
      <c r="D18" s="85" t="s">
        <v>4954</v>
      </c>
      <c r="E18" s="84"/>
      <c r="F18" s="86"/>
      <c r="G18" s="23">
        <v>0.041666666666666664</v>
      </c>
    </row>
    <row r="19" ht="22.5" customHeight="1">
      <c r="A19" s="89">
        <v>45851.0</v>
      </c>
      <c r="B19" s="21" t="s">
        <v>4951</v>
      </c>
      <c r="C19" s="84" t="s">
        <v>4953</v>
      </c>
      <c r="D19" s="90" t="s">
        <v>4958</v>
      </c>
      <c r="E19" s="87" t="s">
        <v>4959</v>
      </c>
      <c r="F19" s="88"/>
      <c r="G19" s="36">
        <v>0.041666666666666664</v>
      </c>
    </row>
    <row r="20" ht="22.5" customHeight="1">
      <c r="A20" s="89">
        <v>45851.0</v>
      </c>
      <c r="B20" s="21" t="s">
        <v>4951</v>
      </c>
      <c r="C20" s="84" t="s">
        <v>4953</v>
      </c>
      <c r="D20" s="90" t="s">
        <v>4960</v>
      </c>
      <c r="E20" s="87" t="s">
        <v>4961</v>
      </c>
      <c r="F20" s="88"/>
      <c r="G20" s="36">
        <v>0.020833333333333332</v>
      </c>
    </row>
    <row r="21" ht="22.5" customHeight="1">
      <c r="A21" s="89">
        <v>45852.0</v>
      </c>
      <c r="B21" s="21" t="s">
        <v>4951</v>
      </c>
      <c r="C21" s="84" t="s">
        <v>4953</v>
      </c>
      <c r="D21" s="90" t="s">
        <v>4958</v>
      </c>
      <c r="E21" s="87" t="s">
        <v>4961</v>
      </c>
      <c r="F21" s="88"/>
      <c r="G21" s="36">
        <v>0.041666666666666664</v>
      </c>
    </row>
    <row r="22" ht="22.5" customHeight="1">
      <c r="A22" s="89">
        <v>45852.0</v>
      </c>
      <c r="B22" s="21" t="s">
        <v>4951</v>
      </c>
      <c r="C22" s="84" t="s">
        <v>4953</v>
      </c>
      <c r="D22" s="90" t="s">
        <v>4960</v>
      </c>
      <c r="E22" s="87" t="s">
        <v>4961</v>
      </c>
      <c r="F22" s="88"/>
      <c r="G22" s="36">
        <v>0.020833333333333332</v>
      </c>
    </row>
    <row r="23" ht="22.5" customHeight="1">
      <c r="A23" s="89">
        <v>45853.0</v>
      </c>
      <c r="B23" s="21" t="s">
        <v>4951</v>
      </c>
      <c r="C23" s="84" t="s">
        <v>4953</v>
      </c>
      <c r="D23" s="90" t="s">
        <v>4958</v>
      </c>
      <c r="E23" s="87" t="s">
        <v>4961</v>
      </c>
      <c r="F23" s="88"/>
      <c r="G23" s="36">
        <v>0.041666666666666664</v>
      </c>
    </row>
    <row r="24" ht="22.5" customHeight="1">
      <c r="A24" s="89">
        <v>45853.0</v>
      </c>
      <c r="B24" s="21" t="s">
        <v>4951</v>
      </c>
      <c r="C24" s="84" t="s">
        <v>4953</v>
      </c>
      <c r="D24" s="90" t="s">
        <v>4960</v>
      </c>
      <c r="E24" s="87" t="s">
        <v>4961</v>
      </c>
      <c r="F24" s="88"/>
      <c r="G24" s="36">
        <v>0.020833333333333332</v>
      </c>
    </row>
    <row r="25" ht="22.5" customHeight="1">
      <c r="A25" s="89">
        <v>45854.0</v>
      </c>
      <c r="B25" s="21" t="s">
        <v>4951</v>
      </c>
      <c r="C25" s="84" t="s">
        <v>4953</v>
      </c>
      <c r="D25" s="90" t="s">
        <v>4958</v>
      </c>
      <c r="E25" s="87" t="s">
        <v>4961</v>
      </c>
      <c r="F25" s="88"/>
      <c r="G25" s="36">
        <v>0.041666666666666664</v>
      </c>
    </row>
    <row r="26" ht="22.5" customHeight="1">
      <c r="A26" s="89">
        <v>45854.0</v>
      </c>
      <c r="B26" s="21" t="s">
        <v>4951</v>
      </c>
      <c r="C26" s="84" t="s">
        <v>4953</v>
      </c>
      <c r="D26" s="90" t="s">
        <v>4960</v>
      </c>
      <c r="E26" s="87" t="s">
        <v>4961</v>
      </c>
      <c r="F26" s="88"/>
      <c r="G26" s="36">
        <v>0.020833333333333332</v>
      </c>
    </row>
    <row r="27" ht="22.5" customHeight="1">
      <c r="A27" s="89">
        <v>45855.0</v>
      </c>
      <c r="B27" s="21" t="s">
        <v>4951</v>
      </c>
      <c r="C27" s="84" t="s">
        <v>4953</v>
      </c>
      <c r="D27" s="90" t="s">
        <v>4962</v>
      </c>
      <c r="E27" s="87"/>
      <c r="F27" s="88"/>
      <c r="G27" s="36">
        <v>0.020833333333333332</v>
      </c>
    </row>
    <row r="28" ht="22.5" customHeight="1">
      <c r="A28" s="89">
        <v>45855.0</v>
      </c>
      <c r="B28" s="21" t="s">
        <v>4951</v>
      </c>
      <c r="C28" s="84" t="s">
        <v>4953</v>
      </c>
      <c r="D28" s="90" t="s">
        <v>4960</v>
      </c>
      <c r="E28" s="87"/>
      <c r="F28" s="88"/>
      <c r="G28" s="36">
        <v>0.0625</v>
      </c>
    </row>
    <row r="29" ht="22.5" customHeight="1">
      <c r="A29" s="89">
        <v>45856.0</v>
      </c>
      <c r="B29" s="21" t="s">
        <v>4951</v>
      </c>
      <c r="C29" s="84" t="s">
        <v>4953</v>
      </c>
      <c r="D29" s="90" t="s">
        <v>4962</v>
      </c>
      <c r="E29" s="87" t="s">
        <v>4961</v>
      </c>
      <c r="F29" s="88"/>
      <c r="G29" s="36">
        <v>0.041666666666666664</v>
      </c>
    </row>
    <row r="30" ht="22.5" customHeight="1">
      <c r="A30" s="89">
        <v>45856.0</v>
      </c>
      <c r="B30" s="21" t="s">
        <v>4951</v>
      </c>
      <c r="C30" s="84" t="s">
        <v>4953</v>
      </c>
      <c r="D30" s="90" t="s">
        <v>4960</v>
      </c>
      <c r="E30" s="87" t="s">
        <v>4961</v>
      </c>
      <c r="F30" s="88"/>
      <c r="G30" s="36">
        <v>0.020833333333333332</v>
      </c>
    </row>
    <row r="31" ht="22.5" customHeight="1">
      <c r="A31" s="89">
        <v>45857.0</v>
      </c>
      <c r="B31" s="21" t="s">
        <v>4951</v>
      </c>
      <c r="C31" s="84" t="s">
        <v>4953</v>
      </c>
      <c r="D31" s="90" t="s">
        <v>4962</v>
      </c>
      <c r="E31" s="87" t="s">
        <v>4961</v>
      </c>
      <c r="F31" s="88"/>
      <c r="G31" s="36">
        <v>0.041666666666666664</v>
      </c>
    </row>
    <row r="32" ht="22.5" customHeight="1">
      <c r="A32" s="89">
        <v>45857.0</v>
      </c>
      <c r="B32" s="21" t="s">
        <v>4951</v>
      </c>
      <c r="C32" s="84" t="s">
        <v>4953</v>
      </c>
      <c r="D32" s="90" t="s">
        <v>4960</v>
      </c>
      <c r="E32" s="87" t="s">
        <v>4961</v>
      </c>
      <c r="F32" s="88"/>
      <c r="G32" s="36">
        <v>0.16666666666666666</v>
      </c>
    </row>
    <row r="33" ht="22.5" customHeight="1">
      <c r="A33" s="89">
        <v>45858.0</v>
      </c>
      <c r="B33" s="21" t="s">
        <v>4951</v>
      </c>
      <c r="C33" s="84" t="s">
        <v>4953</v>
      </c>
      <c r="D33" s="90" t="s">
        <v>4962</v>
      </c>
      <c r="E33" s="87" t="s">
        <v>4961</v>
      </c>
      <c r="F33" s="88"/>
      <c r="G33" s="36">
        <v>0.041666666666666664</v>
      </c>
    </row>
    <row r="34" ht="22.5" customHeight="1">
      <c r="A34" s="89">
        <v>45858.0</v>
      </c>
      <c r="B34" s="21" t="s">
        <v>4951</v>
      </c>
      <c r="C34" s="84" t="s">
        <v>4953</v>
      </c>
      <c r="D34" s="90" t="s">
        <v>4960</v>
      </c>
      <c r="E34" s="87" t="s">
        <v>4961</v>
      </c>
      <c r="F34" s="88"/>
      <c r="G34" s="36">
        <v>0.16666666666666666</v>
      </c>
    </row>
    <row r="35" ht="22.5" customHeight="1">
      <c r="A35" s="89">
        <v>45859.0</v>
      </c>
      <c r="B35" s="21" t="s">
        <v>4951</v>
      </c>
      <c r="C35" s="84" t="s">
        <v>4953</v>
      </c>
      <c r="D35" s="90" t="s">
        <v>4962</v>
      </c>
      <c r="E35" s="87" t="s">
        <v>4961</v>
      </c>
      <c r="F35" s="88"/>
      <c r="G35" s="36">
        <v>0.041666666666666664</v>
      </c>
    </row>
    <row r="36" ht="22.5" customHeight="1">
      <c r="A36" s="89">
        <v>45859.0</v>
      </c>
      <c r="B36" s="21" t="s">
        <v>4951</v>
      </c>
      <c r="C36" s="84" t="s">
        <v>4953</v>
      </c>
      <c r="D36" s="90" t="s">
        <v>4960</v>
      </c>
      <c r="E36" s="87" t="s">
        <v>4961</v>
      </c>
      <c r="F36" s="88"/>
      <c r="G36" s="36">
        <v>0.020833333333333332</v>
      </c>
    </row>
    <row r="37" ht="22.5" customHeight="1">
      <c r="A37" s="89">
        <v>45860.0</v>
      </c>
      <c r="B37" s="21" t="s">
        <v>4951</v>
      </c>
      <c r="C37" s="84" t="s">
        <v>4953</v>
      </c>
      <c r="D37" s="90" t="s">
        <v>4962</v>
      </c>
      <c r="E37" s="87"/>
      <c r="F37" s="88"/>
      <c r="G37" s="36">
        <v>0.020833333333333332</v>
      </c>
    </row>
    <row r="38" ht="22.5" customHeight="1">
      <c r="A38" s="89">
        <v>45860.0</v>
      </c>
      <c r="B38" s="21" t="s">
        <v>4951</v>
      </c>
      <c r="C38" s="84" t="s">
        <v>4953</v>
      </c>
      <c r="D38" s="90" t="s">
        <v>4960</v>
      </c>
      <c r="E38" s="87"/>
      <c r="F38" s="88"/>
      <c r="G38" s="36">
        <v>0.0625</v>
      </c>
    </row>
    <row r="39" ht="22.5" customHeight="1">
      <c r="A39" s="89">
        <v>45861.0</v>
      </c>
      <c r="B39" s="21" t="s">
        <v>4951</v>
      </c>
      <c r="C39" s="87" t="s">
        <v>4963</v>
      </c>
      <c r="D39" s="90" t="s">
        <v>4964</v>
      </c>
      <c r="E39" s="87"/>
      <c r="F39" s="88" t="s">
        <v>4965</v>
      </c>
      <c r="G39" s="36">
        <v>0.004386574074074074</v>
      </c>
    </row>
    <row r="40" ht="21.75" customHeight="1">
      <c r="A40" s="89">
        <v>45861.0</v>
      </c>
      <c r="B40" s="21" t="s">
        <v>4951</v>
      </c>
      <c r="C40" s="87" t="s">
        <v>4963</v>
      </c>
      <c r="D40" s="90" t="s">
        <v>4964</v>
      </c>
      <c r="E40" s="87"/>
      <c r="F40" s="88" t="s">
        <v>4966</v>
      </c>
      <c r="G40" s="36">
        <v>0.020023148148148148</v>
      </c>
    </row>
    <row r="41" ht="22.5" customHeight="1">
      <c r="A41" s="89">
        <v>45861.0</v>
      </c>
      <c r="B41" s="21" t="s">
        <v>4951</v>
      </c>
      <c r="C41" s="87" t="s">
        <v>4963</v>
      </c>
      <c r="D41" s="90" t="s">
        <v>4964</v>
      </c>
      <c r="E41" s="87"/>
      <c r="F41" s="88" t="s">
        <v>4967</v>
      </c>
      <c r="G41" s="36">
        <v>0.01721064814814815</v>
      </c>
    </row>
    <row r="42" ht="22.5" customHeight="1">
      <c r="A42" s="89">
        <v>45861.0</v>
      </c>
      <c r="B42" s="21" t="s">
        <v>4951</v>
      </c>
      <c r="C42" s="87" t="s">
        <v>4963</v>
      </c>
      <c r="D42" s="90" t="s">
        <v>4964</v>
      </c>
      <c r="E42" s="87"/>
      <c r="F42" s="88" t="s">
        <v>4960</v>
      </c>
      <c r="G42" s="36">
        <v>0.041666666666666664</v>
      </c>
    </row>
    <row r="43" ht="22.5" customHeight="1">
      <c r="A43" s="89">
        <v>45862.0</v>
      </c>
      <c r="B43" s="21" t="s">
        <v>4951</v>
      </c>
      <c r="C43" s="87" t="s">
        <v>4963</v>
      </c>
      <c r="D43" s="90" t="s">
        <v>4964</v>
      </c>
      <c r="E43" s="87"/>
      <c r="F43" s="88" t="s">
        <v>4968</v>
      </c>
      <c r="G43" s="36">
        <v>0.0228125</v>
      </c>
    </row>
    <row r="44" ht="22.5" customHeight="1">
      <c r="A44" s="89">
        <v>45862.0</v>
      </c>
      <c r="B44" s="21" t="s">
        <v>4951</v>
      </c>
      <c r="C44" s="87" t="s">
        <v>4963</v>
      </c>
      <c r="D44" s="90" t="s">
        <v>4964</v>
      </c>
      <c r="E44" s="87"/>
      <c r="F44" s="88" t="s">
        <v>4969</v>
      </c>
      <c r="G44" s="36">
        <v>0.016840277777777777</v>
      </c>
    </row>
    <row r="45" ht="22.5" customHeight="1">
      <c r="A45" s="89">
        <v>45862.0</v>
      </c>
      <c r="B45" s="21" t="s">
        <v>4951</v>
      </c>
      <c r="C45" s="87" t="s">
        <v>4963</v>
      </c>
      <c r="D45" s="90" t="s">
        <v>4964</v>
      </c>
      <c r="E45" s="87"/>
      <c r="F45" s="88" t="s">
        <v>4970</v>
      </c>
      <c r="G45" s="36">
        <v>0.0016087962962962963</v>
      </c>
    </row>
    <row r="46" ht="22.5" customHeight="1">
      <c r="A46" s="89">
        <v>45863.0</v>
      </c>
      <c r="B46" s="21" t="s">
        <v>4951</v>
      </c>
      <c r="C46" s="87" t="s">
        <v>4963</v>
      </c>
      <c r="D46" s="90" t="s">
        <v>4964</v>
      </c>
      <c r="E46" s="87"/>
      <c r="F46" s="88" t="s">
        <v>4971</v>
      </c>
      <c r="G46" s="36">
        <v>0.022002314814814815</v>
      </c>
    </row>
    <row r="47" ht="22.5" customHeight="1">
      <c r="A47" s="89">
        <v>45863.0</v>
      </c>
      <c r="B47" s="21" t="s">
        <v>4951</v>
      </c>
      <c r="C47" s="87" t="s">
        <v>4963</v>
      </c>
      <c r="D47" s="90" t="s">
        <v>4964</v>
      </c>
      <c r="E47" s="87"/>
      <c r="F47" s="88" t="s">
        <v>4972</v>
      </c>
      <c r="G47" s="36">
        <v>0.02726851851851852</v>
      </c>
    </row>
    <row r="48" ht="22.5" customHeight="1">
      <c r="A48" s="89">
        <v>45863.0</v>
      </c>
      <c r="B48" s="21" t="s">
        <v>4951</v>
      </c>
      <c r="C48" s="87" t="s">
        <v>4963</v>
      </c>
      <c r="D48" s="90" t="s">
        <v>4964</v>
      </c>
      <c r="E48" s="87"/>
      <c r="F48" s="88" t="s">
        <v>4973</v>
      </c>
      <c r="G48" s="36">
        <v>0.017708333333333333</v>
      </c>
    </row>
    <row r="49" ht="22.5" customHeight="1">
      <c r="A49" s="89">
        <v>45863.0</v>
      </c>
      <c r="B49" s="26" t="s">
        <v>4974</v>
      </c>
      <c r="C49" s="87" t="s">
        <v>4974</v>
      </c>
      <c r="D49" s="90"/>
      <c r="E49" s="87"/>
      <c r="F49" s="88"/>
      <c r="G49" s="36">
        <v>0.003472222222222222</v>
      </c>
    </row>
    <row r="50" ht="22.5" customHeight="1">
      <c r="A50" s="89">
        <v>45863.0</v>
      </c>
      <c r="B50" s="21" t="s">
        <v>4951</v>
      </c>
      <c r="C50" s="87" t="s">
        <v>4963</v>
      </c>
      <c r="D50" s="90" t="s">
        <v>4964</v>
      </c>
      <c r="E50" s="87"/>
      <c r="F50" s="88" t="s">
        <v>4960</v>
      </c>
      <c r="G50" s="36">
        <v>0.049305555555555554</v>
      </c>
    </row>
    <row r="51" ht="22.5" customHeight="1">
      <c r="A51" s="89">
        <v>45864.0</v>
      </c>
      <c r="B51" s="21" t="s">
        <v>4951</v>
      </c>
      <c r="C51" s="87" t="s">
        <v>4963</v>
      </c>
      <c r="D51" s="90" t="s">
        <v>4964</v>
      </c>
      <c r="E51" s="87"/>
      <c r="F51" s="88" t="s">
        <v>4975</v>
      </c>
      <c r="G51" s="36">
        <v>0.016967592592592593</v>
      </c>
    </row>
    <row r="52" ht="22.5" customHeight="1">
      <c r="A52" s="89">
        <v>45864.0</v>
      </c>
      <c r="B52" s="21" t="s">
        <v>4951</v>
      </c>
      <c r="C52" s="87" t="s">
        <v>4963</v>
      </c>
      <c r="D52" s="90" t="s">
        <v>4964</v>
      </c>
      <c r="E52" s="87"/>
      <c r="F52" s="88" t="s">
        <v>4976</v>
      </c>
      <c r="G52" s="36">
        <v>0.001412037037037037</v>
      </c>
    </row>
    <row r="53" ht="22.5" customHeight="1">
      <c r="A53" s="89">
        <v>45864.0</v>
      </c>
      <c r="B53" s="21" t="s">
        <v>4951</v>
      </c>
      <c r="C53" s="87" t="s">
        <v>4963</v>
      </c>
      <c r="D53" s="90" t="s">
        <v>4964</v>
      </c>
      <c r="E53" s="87"/>
      <c r="F53" s="88" t="s">
        <v>4977</v>
      </c>
      <c r="G53" s="36">
        <v>0.01949074074074074</v>
      </c>
    </row>
    <row r="54" ht="22.5" customHeight="1">
      <c r="A54" s="89">
        <v>45864.0</v>
      </c>
      <c r="B54" s="21" t="s">
        <v>4951</v>
      </c>
      <c r="C54" s="87" t="s">
        <v>4963</v>
      </c>
      <c r="D54" s="90" t="s">
        <v>4964</v>
      </c>
      <c r="E54" s="87"/>
      <c r="F54" s="88" t="s">
        <v>4960</v>
      </c>
      <c r="G54" s="36">
        <v>0.052083333333333336</v>
      </c>
    </row>
    <row r="55" ht="22.5" customHeight="1">
      <c r="A55" s="89">
        <v>45864.0</v>
      </c>
      <c r="B55" s="26" t="s">
        <v>4974</v>
      </c>
      <c r="C55" s="87" t="s">
        <v>4974</v>
      </c>
      <c r="D55" s="90"/>
      <c r="E55" s="87"/>
      <c r="F55" s="88"/>
      <c r="G55" s="36">
        <v>0.003472222222222222</v>
      </c>
    </row>
    <row r="56" ht="22.5" customHeight="1">
      <c r="A56" s="89">
        <v>45865.0</v>
      </c>
      <c r="B56" s="26" t="s">
        <v>4978</v>
      </c>
      <c r="C56" s="87" t="s">
        <v>4979</v>
      </c>
      <c r="D56" s="90"/>
      <c r="E56" s="87"/>
      <c r="F56" s="91" t="s">
        <v>4980</v>
      </c>
      <c r="G56" s="36">
        <v>0.015902777777777776</v>
      </c>
    </row>
    <row r="57" ht="22.5" customHeight="1">
      <c r="A57" s="89">
        <v>45865.0</v>
      </c>
      <c r="B57" s="21" t="s">
        <v>4951</v>
      </c>
      <c r="C57" s="87" t="s">
        <v>4963</v>
      </c>
      <c r="D57" s="90" t="s">
        <v>4964</v>
      </c>
      <c r="E57" s="87"/>
      <c r="F57" s="88" t="s">
        <v>4981</v>
      </c>
      <c r="G57" s="36">
        <v>0.020057870370370372</v>
      </c>
    </row>
    <row r="58" ht="22.5" customHeight="1">
      <c r="A58" s="89">
        <v>45865.0</v>
      </c>
      <c r="B58" s="21" t="s">
        <v>4951</v>
      </c>
      <c r="C58" s="87" t="s">
        <v>4963</v>
      </c>
      <c r="D58" s="90" t="s">
        <v>4964</v>
      </c>
      <c r="E58" s="87"/>
      <c r="F58" s="88" t="s">
        <v>4960</v>
      </c>
      <c r="G58" s="36">
        <v>0.027777777777777776</v>
      </c>
    </row>
    <row r="59" ht="22.5" customHeight="1">
      <c r="A59" s="89">
        <v>45866.0</v>
      </c>
      <c r="B59" s="26" t="s">
        <v>4974</v>
      </c>
      <c r="C59" s="87" t="s">
        <v>4974</v>
      </c>
      <c r="D59" s="90"/>
      <c r="E59" s="87"/>
      <c r="F59" s="88"/>
      <c r="G59" s="36">
        <v>0.006944444444444444</v>
      </c>
    </row>
    <row r="60" ht="22.5" customHeight="1">
      <c r="A60" s="89">
        <v>45866.0</v>
      </c>
      <c r="B60" s="21" t="s">
        <v>4951</v>
      </c>
      <c r="C60" s="87" t="s">
        <v>4963</v>
      </c>
      <c r="D60" s="90" t="s">
        <v>4964</v>
      </c>
      <c r="E60" s="87"/>
      <c r="F60" s="88" t="s">
        <v>4982</v>
      </c>
      <c r="G60" s="36">
        <v>0.019085648148148147</v>
      </c>
    </row>
    <row r="61" ht="22.5" customHeight="1">
      <c r="A61" s="89">
        <v>45866.0</v>
      </c>
      <c r="B61" s="21" t="s">
        <v>4951</v>
      </c>
      <c r="C61" s="87" t="s">
        <v>4963</v>
      </c>
      <c r="D61" s="90" t="s">
        <v>4964</v>
      </c>
      <c r="E61" s="87"/>
      <c r="F61" s="88" t="s">
        <v>4960</v>
      </c>
      <c r="G61" s="36">
        <v>0.041666666666666664</v>
      </c>
    </row>
    <row r="62" ht="22.5" customHeight="1">
      <c r="A62" s="89">
        <v>45867.0</v>
      </c>
      <c r="B62" s="26" t="s">
        <v>4974</v>
      </c>
      <c r="C62" s="87" t="s">
        <v>4974</v>
      </c>
      <c r="D62" s="90"/>
      <c r="E62" s="87"/>
      <c r="F62" s="88"/>
      <c r="G62" s="36">
        <v>0.006944444444444444</v>
      </c>
    </row>
    <row r="63" ht="22.5" customHeight="1">
      <c r="A63" s="89">
        <v>45867.0</v>
      </c>
      <c r="B63" s="21" t="s">
        <v>4951</v>
      </c>
      <c r="C63" s="87" t="s">
        <v>4963</v>
      </c>
      <c r="D63" s="90" t="s">
        <v>4964</v>
      </c>
      <c r="E63" s="87"/>
      <c r="F63" s="88" t="s">
        <v>4983</v>
      </c>
      <c r="G63" s="36">
        <v>0.020358796296296295</v>
      </c>
    </row>
    <row r="64" ht="22.5" customHeight="1">
      <c r="A64" s="89">
        <v>45867.0</v>
      </c>
      <c r="B64" s="21" t="s">
        <v>4951</v>
      </c>
      <c r="C64" s="87" t="s">
        <v>4963</v>
      </c>
      <c r="D64" s="90" t="s">
        <v>4964</v>
      </c>
      <c r="E64" s="87"/>
      <c r="F64" s="88" t="s">
        <v>4960</v>
      </c>
      <c r="G64" s="36">
        <v>0.052083333333333336</v>
      </c>
    </row>
    <row r="65" ht="22.5" customHeight="1">
      <c r="A65" s="89">
        <v>45868.0</v>
      </c>
      <c r="B65" s="92" t="s">
        <v>4974</v>
      </c>
      <c r="C65" s="93" t="s">
        <v>4974</v>
      </c>
      <c r="D65" s="94"/>
      <c r="E65" s="95"/>
      <c r="F65" s="88"/>
      <c r="G65" s="36">
        <v>0.006944444444444444</v>
      </c>
    </row>
    <row r="66" ht="22.5" customHeight="1">
      <c r="A66" s="89">
        <v>45868.0</v>
      </c>
      <c r="B66" s="21" t="s">
        <v>4951</v>
      </c>
      <c r="C66" s="87" t="s">
        <v>4963</v>
      </c>
      <c r="D66" s="90" t="s">
        <v>4964</v>
      </c>
      <c r="E66" s="96"/>
      <c r="F66" s="88" t="s">
        <v>4984</v>
      </c>
      <c r="G66" s="36">
        <v>0.010324074074074074</v>
      </c>
    </row>
    <row r="67" ht="22.5" customHeight="1">
      <c r="A67" s="89">
        <v>45868.0</v>
      </c>
      <c r="B67" s="21" t="s">
        <v>4951</v>
      </c>
      <c r="C67" s="87" t="s">
        <v>4963</v>
      </c>
      <c r="D67" s="90" t="s">
        <v>4964</v>
      </c>
      <c r="E67" s="96"/>
      <c r="F67" s="88" t="s">
        <v>4985</v>
      </c>
      <c r="G67" s="36">
        <v>0.012233796296296296</v>
      </c>
    </row>
    <row r="68" ht="22.5" customHeight="1">
      <c r="A68" s="89">
        <v>45868.0</v>
      </c>
      <c r="B68" s="21" t="s">
        <v>4951</v>
      </c>
      <c r="C68" s="87" t="s">
        <v>4963</v>
      </c>
      <c r="D68" s="90" t="s">
        <v>4964</v>
      </c>
      <c r="E68" s="96"/>
      <c r="F68" s="88" t="s">
        <v>4986</v>
      </c>
      <c r="G68" s="36">
        <v>0.007638888888888889</v>
      </c>
    </row>
    <row r="69" ht="22.5" customHeight="1">
      <c r="A69" s="89">
        <v>45868.0</v>
      </c>
      <c r="B69" s="21" t="s">
        <v>4951</v>
      </c>
      <c r="C69" s="87" t="s">
        <v>4963</v>
      </c>
      <c r="D69" s="90" t="s">
        <v>4964</v>
      </c>
      <c r="E69" s="87"/>
      <c r="F69" s="88" t="s">
        <v>4960</v>
      </c>
      <c r="G69" s="36">
        <v>0.04861111111111111</v>
      </c>
    </row>
    <row r="70" ht="22.5" customHeight="1">
      <c r="A70" s="89">
        <v>45869.0</v>
      </c>
      <c r="B70" s="21" t="s">
        <v>4951</v>
      </c>
      <c r="C70" s="87" t="s">
        <v>4963</v>
      </c>
      <c r="D70" s="90" t="s">
        <v>4964</v>
      </c>
      <c r="E70" s="87"/>
      <c r="F70" s="88" t="s">
        <v>4986</v>
      </c>
      <c r="G70" s="36">
        <v>0.00818287037037037</v>
      </c>
    </row>
    <row r="71" ht="22.5" customHeight="1">
      <c r="A71" s="89">
        <v>45869.0</v>
      </c>
      <c r="B71" s="97" t="s">
        <v>4974</v>
      </c>
      <c r="C71" s="98" t="s">
        <v>4974</v>
      </c>
      <c r="D71" s="99"/>
      <c r="E71" s="98"/>
      <c r="F71" s="88"/>
      <c r="G71" s="36">
        <v>0.003472222222222222</v>
      </c>
    </row>
    <row r="72" ht="22.5" customHeight="1">
      <c r="A72" s="89">
        <v>45869.0</v>
      </c>
      <c r="B72" s="26" t="s">
        <v>4951</v>
      </c>
      <c r="C72" s="87" t="s">
        <v>4963</v>
      </c>
      <c r="D72" s="90" t="s">
        <v>4964</v>
      </c>
      <c r="E72" s="87"/>
      <c r="F72" s="88" t="s">
        <v>4960</v>
      </c>
      <c r="G72" s="36">
        <v>0.03125</v>
      </c>
    </row>
    <row r="73" ht="22.5" customHeight="1">
      <c r="A73" s="89">
        <v>45869.0</v>
      </c>
      <c r="B73" s="97" t="s">
        <v>4974</v>
      </c>
      <c r="C73" s="98" t="s">
        <v>4974</v>
      </c>
      <c r="D73" s="99"/>
      <c r="E73" s="98"/>
      <c r="F73" s="88"/>
      <c r="G73" s="36">
        <v>0.003472222222222222</v>
      </c>
    </row>
    <row r="74" ht="22.5" customHeight="1">
      <c r="A74" s="100">
        <v>45870.0</v>
      </c>
      <c r="B74" s="26" t="s">
        <v>4951</v>
      </c>
      <c r="C74" s="87" t="s">
        <v>4963</v>
      </c>
      <c r="D74" s="90" t="s">
        <v>4964</v>
      </c>
      <c r="E74" s="87"/>
      <c r="F74" s="88" t="s">
        <v>4987</v>
      </c>
      <c r="G74" s="36">
        <v>0.0017592592592592592</v>
      </c>
    </row>
    <row r="75" ht="22.5" customHeight="1">
      <c r="A75" s="100">
        <v>45870.0</v>
      </c>
      <c r="B75" s="26" t="s">
        <v>4951</v>
      </c>
      <c r="C75" s="87" t="s">
        <v>4963</v>
      </c>
      <c r="D75" s="90" t="s">
        <v>4964</v>
      </c>
      <c r="E75" s="87"/>
      <c r="F75" s="88" t="s">
        <v>4988</v>
      </c>
      <c r="G75" s="36">
        <v>0.01394675925925926</v>
      </c>
    </row>
    <row r="76" ht="22.5" customHeight="1">
      <c r="A76" s="100">
        <v>45870.0</v>
      </c>
      <c r="B76" s="26" t="s">
        <v>4951</v>
      </c>
      <c r="C76" s="87" t="s">
        <v>4963</v>
      </c>
      <c r="D76" s="90" t="s">
        <v>4964</v>
      </c>
      <c r="E76" s="87"/>
      <c r="F76" s="88" t="s">
        <v>4989</v>
      </c>
      <c r="G76" s="36">
        <v>0.013842592592592592</v>
      </c>
    </row>
    <row r="77" ht="22.5" customHeight="1">
      <c r="A77" s="100">
        <v>45870.0</v>
      </c>
      <c r="B77" s="26" t="s">
        <v>4951</v>
      </c>
      <c r="C77" s="87" t="s">
        <v>4963</v>
      </c>
      <c r="D77" s="90" t="s">
        <v>4964</v>
      </c>
      <c r="E77" s="87"/>
      <c r="F77" s="88" t="s">
        <v>4990</v>
      </c>
      <c r="G77" s="36">
        <v>0.007592592592592593</v>
      </c>
    </row>
    <row r="78" ht="22.5" customHeight="1">
      <c r="A78" s="100">
        <v>45870.0</v>
      </c>
      <c r="B78" s="26" t="s">
        <v>4951</v>
      </c>
      <c r="C78" s="87" t="s">
        <v>4963</v>
      </c>
      <c r="D78" s="90" t="s">
        <v>4964</v>
      </c>
      <c r="E78" s="87"/>
      <c r="F78" s="88" t="s">
        <v>4960</v>
      </c>
      <c r="G78" s="36">
        <v>0.0125</v>
      </c>
    </row>
    <row r="79" ht="22.5" customHeight="1">
      <c r="A79" s="100">
        <v>45871.0</v>
      </c>
      <c r="B79" s="26" t="s">
        <v>4951</v>
      </c>
      <c r="C79" s="87" t="s">
        <v>4963</v>
      </c>
      <c r="D79" s="90" t="s">
        <v>4964</v>
      </c>
      <c r="E79" s="87"/>
      <c r="F79" s="88" t="s">
        <v>4990</v>
      </c>
      <c r="G79" s="36">
        <v>0.006944444444444444</v>
      </c>
      <c r="J79" s="101"/>
    </row>
    <row r="80" ht="22.5" customHeight="1">
      <c r="A80" s="100">
        <v>45871.0</v>
      </c>
      <c r="B80" s="26" t="s">
        <v>4951</v>
      </c>
      <c r="C80" s="87" t="s">
        <v>4963</v>
      </c>
      <c r="D80" s="90" t="s">
        <v>4964</v>
      </c>
      <c r="E80" s="87"/>
      <c r="F80" s="88" t="s">
        <v>4991</v>
      </c>
      <c r="G80" s="36">
        <v>0.013148148148148148</v>
      </c>
      <c r="J80" s="102"/>
    </row>
    <row r="81" ht="22.5" customHeight="1">
      <c r="A81" s="100">
        <v>45871.0</v>
      </c>
      <c r="B81" s="26" t="s">
        <v>4974</v>
      </c>
      <c r="C81" s="87" t="s">
        <v>4974</v>
      </c>
      <c r="D81" s="90"/>
      <c r="E81" s="87"/>
      <c r="F81" s="88"/>
      <c r="G81" s="36">
        <v>0.003472222222222222</v>
      </c>
    </row>
    <row r="82" ht="22.5" customHeight="1">
      <c r="A82" s="100">
        <v>45871.0</v>
      </c>
      <c r="B82" s="26" t="s">
        <v>4951</v>
      </c>
      <c r="C82" s="87" t="s">
        <v>4963</v>
      </c>
      <c r="D82" s="90" t="s">
        <v>4964</v>
      </c>
      <c r="E82" s="87"/>
      <c r="F82" s="88" t="s">
        <v>4960</v>
      </c>
      <c r="G82" s="36">
        <v>0.11597222222222223</v>
      </c>
    </row>
    <row r="83" ht="22.5" customHeight="1">
      <c r="A83" s="100">
        <v>45872.0</v>
      </c>
      <c r="B83" s="26" t="s">
        <v>4974</v>
      </c>
      <c r="C83" s="87" t="s">
        <v>4974</v>
      </c>
      <c r="D83" s="90"/>
      <c r="E83" s="87"/>
      <c r="F83" s="88"/>
      <c r="G83" s="36">
        <v>0.003472222222222222</v>
      </c>
    </row>
    <row r="84" ht="22.5" customHeight="1">
      <c r="A84" s="100">
        <v>45872.0</v>
      </c>
      <c r="B84" s="26" t="s">
        <v>4951</v>
      </c>
      <c r="C84" s="87" t="s">
        <v>4963</v>
      </c>
      <c r="D84" s="90" t="s">
        <v>4964</v>
      </c>
      <c r="E84" s="87"/>
      <c r="F84" s="88" t="s">
        <v>4992</v>
      </c>
      <c r="G84" s="36">
        <v>0.008877314814814815</v>
      </c>
    </row>
    <row r="85" ht="22.5" customHeight="1">
      <c r="A85" s="100">
        <v>45872.0</v>
      </c>
      <c r="B85" s="26" t="s">
        <v>4951</v>
      </c>
      <c r="C85" s="87" t="s">
        <v>4963</v>
      </c>
      <c r="D85" s="90" t="s">
        <v>4964</v>
      </c>
      <c r="E85" s="87"/>
      <c r="F85" s="88" t="s">
        <v>4960</v>
      </c>
      <c r="G85" s="36">
        <v>0.07430555555555556</v>
      </c>
    </row>
    <row r="86" ht="22.5" customHeight="1">
      <c r="A86" s="100">
        <v>45873.0</v>
      </c>
      <c r="B86" s="26" t="s">
        <v>4974</v>
      </c>
      <c r="C86" s="87" t="s">
        <v>4974</v>
      </c>
      <c r="D86" s="90"/>
      <c r="E86" s="87"/>
      <c r="F86" s="88"/>
      <c r="G86" s="36">
        <v>0.003472222222222222</v>
      </c>
    </row>
    <row r="87" ht="22.5" customHeight="1">
      <c r="A87" s="100">
        <v>45873.0</v>
      </c>
      <c r="B87" s="26" t="s">
        <v>4951</v>
      </c>
      <c r="C87" s="87" t="s">
        <v>4963</v>
      </c>
      <c r="D87" s="90" t="s">
        <v>4964</v>
      </c>
      <c r="E87" s="87"/>
      <c r="F87" s="88" t="s">
        <v>4992</v>
      </c>
      <c r="G87" s="36">
        <v>0.008877314814814815</v>
      </c>
    </row>
    <row r="88" ht="22.5" customHeight="1">
      <c r="A88" s="100">
        <v>45873.0</v>
      </c>
      <c r="B88" s="26" t="s">
        <v>4951</v>
      </c>
      <c r="C88" s="87" t="s">
        <v>4963</v>
      </c>
      <c r="D88" s="90" t="s">
        <v>4964</v>
      </c>
      <c r="E88" s="87"/>
      <c r="F88" s="88" t="s">
        <v>4993</v>
      </c>
      <c r="G88" s="36">
        <v>0.023020833333333334</v>
      </c>
    </row>
    <row r="89" ht="22.5" customHeight="1">
      <c r="A89" s="100">
        <v>45873.0</v>
      </c>
      <c r="B89" s="26" t="s">
        <v>4951</v>
      </c>
      <c r="C89" s="87" t="s">
        <v>4963</v>
      </c>
      <c r="D89" s="90" t="s">
        <v>4964</v>
      </c>
      <c r="E89" s="87"/>
      <c r="F89" s="88" t="s">
        <v>4960</v>
      </c>
      <c r="G89" s="36">
        <v>0.03958333333333333</v>
      </c>
    </row>
    <row r="90" ht="22.5" customHeight="1">
      <c r="A90" s="100">
        <v>45874.0</v>
      </c>
      <c r="B90" s="26" t="s">
        <v>4974</v>
      </c>
      <c r="C90" s="87" t="s">
        <v>4974</v>
      </c>
      <c r="D90" s="90"/>
      <c r="E90" s="87"/>
      <c r="F90" s="88"/>
      <c r="G90" s="36">
        <v>0.003472222222222222</v>
      </c>
    </row>
    <row r="91" ht="22.5" customHeight="1">
      <c r="A91" s="100">
        <v>45874.0</v>
      </c>
      <c r="B91" s="26" t="s">
        <v>4951</v>
      </c>
      <c r="C91" s="87" t="s">
        <v>4963</v>
      </c>
      <c r="D91" s="90" t="s">
        <v>4964</v>
      </c>
      <c r="E91" s="87"/>
      <c r="F91" s="88" t="s">
        <v>4994</v>
      </c>
      <c r="G91" s="36">
        <v>0.01832175925925926</v>
      </c>
    </row>
    <row r="92" ht="22.5" customHeight="1">
      <c r="A92" s="100">
        <v>45874.0</v>
      </c>
      <c r="B92" s="26" t="s">
        <v>4951</v>
      </c>
      <c r="C92" s="87" t="s">
        <v>4963</v>
      </c>
      <c r="D92" s="90" t="s">
        <v>4964</v>
      </c>
      <c r="E92" s="87"/>
      <c r="F92" s="88" t="s">
        <v>4960</v>
      </c>
      <c r="G92" s="36">
        <v>0.044444444444444446</v>
      </c>
    </row>
    <row r="93" ht="22.5" customHeight="1">
      <c r="A93" s="100">
        <v>45875.0</v>
      </c>
      <c r="B93" s="26" t="s">
        <v>4951</v>
      </c>
      <c r="C93" s="87" t="s">
        <v>4963</v>
      </c>
      <c r="D93" s="90" t="s">
        <v>4964</v>
      </c>
      <c r="E93" s="87"/>
      <c r="F93" s="88" t="s">
        <v>4995</v>
      </c>
      <c r="G93" s="36">
        <v>0.05555555555555555</v>
      </c>
    </row>
    <row r="94" ht="22.5" customHeight="1">
      <c r="A94" s="100">
        <v>45875.0</v>
      </c>
      <c r="B94" s="26" t="s">
        <v>4974</v>
      </c>
      <c r="C94" s="87" t="s">
        <v>4974</v>
      </c>
      <c r="D94" s="90"/>
      <c r="E94" s="87"/>
      <c r="F94" s="88"/>
      <c r="G94" s="36">
        <v>0.003472222222222222</v>
      </c>
    </row>
    <row r="95" ht="22.5" customHeight="1">
      <c r="A95" s="100">
        <v>45876.0</v>
      </c>
      <c r="B95" s="26" t="s">
        <v>4974</v>
      </c>
      <c r="C95" s="87" t="s">
        <v>4974</v>
      </c>
      <c r="D95" s="90"/>
      <c r="E95" s="87"/>
      <c r="F95" s="88"/>
      <c r="G95" s="36">
        <v>0.003472222222222222</v>
      </c>
    </row>
    <row r="96" ht="22.5" customHeight="1">
      <c r="A96" s="100">
        <v>45876.0</v>
      </c>
      <c r="B96" s="26" t="s">
        <v>4951</v>
      </c>
      <c r="C96" s="87" t="s">
        <v>4963</v>
      </c>
      <c r="D96" s="90" t="s">
        <v>4964</v>
      </c>
      <c r="E96" s="87"/>
      <c r="F96" s="88" t="s">
        <v>4995</v>
      </c>
      <c r="G96" s="36">
        <v>0.05555555555555555</v>
      </c>
    </row>
    <row r="97" ht="22.5" customHeight="1">
      <c r="A97" s="100">
        <v>45876.0</v>
      </c>
      <c r="B97" s="26" t="s">
        <v>4974</v>
      </c>
      <c r="C97" s="87" t="s">
        <v>4974</v>
      </c>
      <c r="D97" s="90"/>
      <c r="E97" s="87"/>
      <c r="F97" s="88"/>
      <c r="G97" s="36">
        <v>0.003472222222222222</v>
      </c>
    </row>
    <row r="98" ht="22.5" customHeight="1">
      <c r="A98" s="100">
        <v>45877.0</v>
      </c>
      <c r="B98" s="26" t="s">
        <v>4951</v>
      </c>
      <c r="C98" s="87" t="s">
        <v>4963</v>
      </c>
      <c r="D98" s="90" t="s">
        <v>4964</v>
      </c>
      <c r="E98" s="87"/>
      <c r="F98" s="88" t="s">
        <v>4995</v>
      </c>
      <c r="G98" s="36">
        <v>0.011620370370370371</v>
      </c>
    </row>
    <row r="99" ht="22.5" customHeight="1">
      <c r="A99" s="100">
        <v>45877.0</v>
      </c>
      <c r="B99" s="26" t="s">
        <v>4951</v>
      </c>
      <c r="C99" s="87" t="s">
        <v>4963</v>
      </c>
      <c r="D99" s="90" t="s">
        <v>4964</v>
      </c>
      <c r="E99" s="87"/>
      <c r="F99" s="88" t="s">
        <v>4996</v>
      </c>
      <c r="G99" s="36">
        <v>0.010902777777777779</v>
      </c>
    </row>
    <row r="100" ht="22.5" customHeight="1">
      <c r="A100" s="100">
        <v>45877.0</v>
      </c>
      <c r="B100" s="26" t="s">
        <v>4951</v>
      </c>
      <c r="C100" s="87" t="s">
        <v>4963</v>
      </c>
      <c r="D100" s="90" t="s">
        <v>4964</v>
      </c>
      <c r="E100" s="87"/>
      <c r="F100" s="88" t="s">
        <v>4960</v>
      </c>
      <c r="G100" s="36">
        <v>0.03125</v>
      </c>
    </row>
    <row r="101" ht="22.5" customHeight="1">
      <c r="A101" s="100">
        <v>45878.0</v>
      </c>
      <c r="B101" s="26" t="s">
        <v>4974</v>
      </c>
      <c r="C101" s="87" t="s">
        <v>4974</v>
      </c>
      <c r="D101" s="90"/>
      <c r="E101" s="87"/>
      <c r="F101" s="88"/>
      <c r="G101" s="36">
        <v>0.003472222222222222</v>
      </c>
    </row>
    <row r="102" ht="22.5" customHeight="1">
      <c r="A102" s="100">
        <v>45878.0</v>
      </c>
      <c r="B102" s="26" t="s">
        <v>4951</v>
      </c>
      <c r="C102" s="87" t="s">
        <v>4953</v>
      </c>
      <c r="D102" s="90" t="s">
        <v>4962</v>
      </c>
      <c r="E102" s="87"/>
      <c r="F102" s="88"/>
      <c r="G102" s="36">
        <v>0.07083333333333333</v>
      </c>
    </row>
    <row r="103" ht="22.5" customHeight="1">
      <c r="A103" s="100">
        <v>45878.0</v>
      </c>
      <c r="B103" s="26" t="s">
        <v>4978</v>
      </c>
      <c r="C103" s="87" t="s">
        <v>4997</v>
      </c>
      <c r="D103" s="90"/>
      <c r="E103" s="87"/>
      <c r="F103" s="91" t="s">
        <v>4998</v>
      </c>
      <c r="G103" s="36">
        <v>0.0061805555555555555</v>
      </c>
    </row>
    <row r="104" ht="22.5" customHeight="1">
      <c r="A104" s="100">
        <v>45878.0</v>
      </c>
      <c r="B104" s="26" t="s">
        <v>4978</v>
      </c>
      <c r="C104" s="87" t="s">
        <v>4997</v>
      </c>
      <c r="D104" s="90"/>
      <c r="E104" s="87"/>
      <c r="F104" s="91" t="s">
        <v>4999</v>
      </c>
      <c r="G104" s="36">
        <v>0.006701388888888889</v>
      </c>
    </row>
    <row r="105" ht="22.5" customHeight="1">
      <c r="A105" s="100">
        <v>45879.0</v>
      </c>
      <c r="B105" s="26" t="s">
        <v>4974</v>
      </c>
      <c r="C105" s="87" t="s">
        <v>4974</v>
      </c>
      <c r="D105" s="90"/>
      <c r="E105" s="87"/>
      <c r="F105" s="88"/>
      <c r="G105" s="36">
        <v>0.003472222222222222</v>
      </c>
    </row>
    <row r="106" ht="22.5" customHeight="1">
      <c r="A106" s="100">
        <v>45879.0</v>
      </c>
      <c r="B106" s="26" t="s">
        <v>4951</v>
      </c>
      <c r="C106" s="87" t="s">
        <v>4953</v>
      </c>
      <c r="D106" s="90" t="s">
        <v>4962</v>
      </c>
      <c r="E106" s="87"/>
      <c r="F106" s="88"/>
      <c r="G106" s="36">
        <v>0.0763888888888889</v>
      </c>
    </row>
    <row r="107" ht="22.5" customHeight="1">
      <c r="A107" s="100">
        <v>45880.0</v>
      </c>
      <c r="B107" s="26" t="s">
        <v>4974</v>
      </c>
      <c r="C107" s="87" t="s">
        <v>4974</v>
      </c>
      <c r="D107" s="90"/>
      <c r="E107" s="87"/>
      <c r="F107" s="88"/>
      <c r="G107" s="36">
        <v>0.003472222222222222</v>
      </c>
    </row>
    <row r="108" ht="22.5" customHeight="1">
      <c r="A108" s="100">
        <v>45880.0</v>
      </c>
      <c r="B108" s="26" t="s">
        <v>4951</v>
      </c>
      <c r="C108" s="87" t="s">
        <v>4953</v>
      </c>
      <c r="D108" s="90" t="s">
        <v>4962</v>
      </c>
      <c r="E108" s="87"/>
      <c r="F108" s="88"/>
      <c r="G108" s="36">
        <v>0.04861111111111111</v>
      </c>
    </row>
    <row r="109" ht="22.5" customHeight="1">
      <c r="A109" s="100">
        <v>45881.0</v>
      </c>
      <c r="B109" s="26" t="s">
        <v>4974</v>
      </c>
      <c r="C109" s="87" t="s">
        <v>4974</v>
      </c>
      <c r="D109" s="90"/>
      <c r="E109" s="87"/>
      <c r="F109" s="88"/>
      <c r="G109" s="36">
        <v>0.003472222222222222</v>
      </c>
    </row>
    <row r="110" ht="22.5" customHeight="1">
      <c r="A110" s="100">
        <v>45881.0</v>
      </c>
      <c r="B110" s="26" t="s">
        <v>4951</v>
      </c>
      <c r="C110" s="87" t="s">
        <v>4953</v>
      </c>
      <c r="D110" s="90" t="s">
        <v>4962</v>
      </c>
      <c r="E110" s="87"/>
      <c r="F110" s="88"/>
      <c r="G110" s="36">
        <v>0.041666666666666664</v>
      </c>
    </row>
    <row r="111" ht="22.5" customHeight="1">
      <c r="A111" s="100">
        <v>45882.0</v>
      </c>
      <c r="B111" s="26" t="s">
        <v>4974</v>
      </c>
      <c r="C111" s="87" t="s">
        <v>4974</v>
      </c>
      <c r="D111" s="90"/>
      <c r="E111" s="87"/>
      <c r="F111" s="88"/>
      <c r="G111" s="36">
        <v>0.003472222222222222</v>
      </c>
    </row>
    <row r="112" ht="22.5" customHeight="1">
      <c r="A112" s="100">
        <v>45882.0</v>
      </c>
      <c r="B112" s="26" t="s">
        <v>4951</v>
      </c>
      <c r="C112" s="87" t="s">
        <v>4953</v>
      </c>
      <c r="D112" s="90" t="s">
        <v>4962</v>
      </c>
      <c r="E112" s="87"/>
      <c r="F112" s="88"/>
      <c r="G112" s="36">
        <v>0.052083333333333336</v>
      </c>
    </row>
    <row r="113" ht="22.5" customHeight="1">
      <c r="A113" s="100">
        <v>45883.0</v>
      </c>
      <c r="B113" s="26" t="s">
        <v>4974</v>
      </c>
      <c r="C113" s="87" t="s">
        <v>4974</v>
      </c>
      <c r="D113" s="90"/>
      <c r="E113" s="87"/>
      <c r="F113" s="88"/>
      <c r="G113" s="36">
        <v>0.003472222222222222</v>
      </c>
    </row>
    <row r="114" ht="22.5" customHeight="1">
      <c r="A114" s="100">
        <v>45883.0</v>
      </c>
      <c r="B114" s="26" t="s">
        <v>4951</v>
      </c>
      <c r="C114" s="87" t="s">
        <v>4953</v>
      </c>
      <c r="D114" s="90" t="s">
        <v>4962</v>
      </c>
      <c r="E114" s="87"/>
      <c r="F114" s="88"/>
      <c r="G114" s="36">
        <v>0.06458333333333334</v>
      </c>
    </row>
    <row r="115" ht="22.5" customHeight="1">
      <c r="A115" s="100">
        <v>45884.0</v>
      </c>
      <c r="B115" s="26" t="s">
        <v>4974</v>
      </c>
      <c r="C115" s="87" t="s">
        <v>4974</v>
      </c>
      <c r="D115" s="90"/>
      <c r="E115" s="87"/>
      <c r="F115" s="88"/>
      <c r="G115" s="36">
        <v>0.003472222222222222</v>
      </c>
    </row>
    <row r="116" ht="22.5" customHeight="1">
      <c r="A116" s="100">
        <v>45884.0</v>
      </c>
      <c r="B116" s="26" t="s">
        <v>4951</v>
      </c>
      <c r="C116" s="87" t="s">
        <v>4953</v>
      </c>
      <c r="D116" s="90" t="s">
        <v>4962</v>
      </c>
      <c r="E116" s="87"/>
      <c r="F116" s="88"/>
      <c r="G116" s="36">
        <v>0.0625</v>
      </c>
    </row>
    <row r="117" ht="22.5" customHeight="1">
      <c r="A117" s="100">
        <v>45885.0</v>
      </c>
      <c r="B117" s="26" t="s">
        <v>4974</v>
      </c>
      <c r="C117" s="87" t="s">
        <v>4974</v>
      </c>
      <c r="D117" s="90"/>
      <c r="E117" s="87"/>
      <c r="F117" s="88"/>
      <c r="G117" s="36">
        <v>0.003472222222222222</v>
      </c>
    </row>
    <row r="118" ht="22.5" customHeight="1">
      <c r="A118" s="100">
        <v>45885.0</v>
      </c>
      <c r="B118" s="26" t="s">
        <v>4951</v>
      </c>
      <c r="C118" s="87" t="s">
        <v>4953</v>
      </c>
      <c r="D118" s="90" t="s">
        <v>4962</v>
      </c>
      <c r="E118" s="87"/>
      <c r="F118" s="88"/>
      <c r="G118" s="36">
        <v>0.034722222222222224</v>
      </c>
    </row>
    <row r="119" ht="22.5" customHeight="1">
      <c r="A119" s="100">
        <v>45886.0</v>
      </c>
      <c r="B119" s="26" t="s">
        <v>4974</v>
      </c>
      <c r="C119" s="87" t="s">
        <v>4974</v>
      </c>
      <c r="D119" s="90"/>
      <c r="E119" s="87"/>
      <c r="F119" s="88"/>
      <c r="G119" s="36">
        <v>0.003472222222222222</v>
      </c>
    </row>
    <row r="120" ht="22.5" customHeight="1">
      <c r="A120" s="100">
        <v>45886.0</v>
      </c>
      <c r="B120" s="26" t="s">
        <v>4951</v>
      </c>
      <c r="C120" s="87" t="s">
        <v>4953</v>
      </c>
      <c r="D120" s="90" t="s">
        <v>4962</v>
      </c>
      <c r="E120" s="87"/>
      <c r="F120" s="88"/>
      <c r="G120" s="36">
        <v>0.0625</v>
      </c>
    </row>
    <row r="121" ht="22.5" customHeight="1">
      <c r="A121" s="100">
        <v>45887.0</v>
      </c>
      <c r="B121" s="26" t="s">
        <v>4974</v>
      </c>
      <c r="C121" s="87" t="s">
        <v>4974</v>
      </c>
      <c r="D121" s="90"/>
      <c r="E121" s="87"/>
      <c r="F121" s="88"/>
      <c r="G121" s="36">
        <v>0.003472222222222222</v>
      </c>
    </row>
    <row r="122" ht="22.5" customHeight="1">
      <c r="A122" s="100">
        <v>45887.0</v>
      </c>
      <c r="B122" s="26" t="s">
        <v>4951</v>
      </c>
      <c r="C122" s="87" t="s">
        <v>4953</v>
      </c>
      <c r="D122" s="90" t="s">
        <v>4962</v>
      </c>
      <c r="E122" s="87"/>
      <c r="F122" s="88"/>
      <c r="G122" s="36">
        <v>0.034722222222222224</v>
      </c>
    </row>
    <row r="123" ht="22.5" customHeight="1">
      <c r="A123" s="100">
        <v>45887.0</v>
      </c>
      <c r="B123" s="26" t="s">
        <v>4951</v>
      </c>
      <c r="C123" s="87" t="s">
        <v>4963</v>
      </c>
      <c r="D123" s="90" t="s">
        <v>5000</v>
      </c>
      <c r="E123" s="87"/>
      <c r="F123" s="88" t="s">
        <v>4960</v>
      </c>
      <c r="G123" s="36">
        <v>0.024305555555555556</v>
      </c>
    </row>
    <row r="124" ht="22.5" customHeight="1">
      <c r="A124" s="100">
        <v>45888.0</v>
      </c>
      <c r="B124" s="103" t="s">
        <v>4974</v>
      </c>
      <c r="C124" s="98" t="s">
        <v>4974</v>
      </c>
      <c r="D124" s="99"/>
      <c r="E124" s="98"/>
      <c r="F124" s="88"/>
      <c r="G124" s="36">
        <v>0.003472222222222222</v>
      </c>
    </row>
    <row r="125" ht="22.5" customHeight="1">
      <c r="A125" s="100">
        <v>45888.0</v>
      </c>
      <c r="B125" s="103" t="s">
        <v>4951</v>
      </c>
      <c r="C125" s="98" t="s">
        <v>4963</v>
      </c>
      <c r="D125" s="99" t="s">
        <v>5000</v>
      </c>
      <c r="E125" s="98"/>
      <c r="F125" s="88" t="s">
        <v>5001</v>
      </c>
      <c r="G125" s="36">
        <v>0.02542824074074074</v>
      </c>
    </row>
    <row r="126" ht="22.5" customHeight="1">
      <c r="A126" s="100">
        <v>45888.0</v>
      </c>
      <c r="B126" s="103" t="s">
        <v>4951</v>
      </c>
      <c r="C126" s="98" t="s">
        <v>4963</v>
      </c>
      <c r="D126" s="99" t="s">
        <v>5000</v>
      </c>
      <c r="E126" s="98"/>
      <c r="F126" s="88" t="s">
        <v>5002</v>
      </c>
      <c r="G126" s="36">
        <v>0.012974537037037038</v>
      </c>
    </row>
    <row r="127" ht="22.5" customHeight="1">
      <c r="A127" s="100">
        <v>45888.0</v>
      </c>
      <c r="B127" s="103" t="s">
        <v>4951</v>
      </c>
      <c r="C127" s="98" t="s">
        <v>4963</v>
      </c>
      <c r="D127" s="99" t="s">
        <v>5000</v>
      </c>
      <c r="E127" s="98"/>
      <c r="F127" s="88" t="s">
        <v>5003</v>
      </c>
      <c r="G127" s="36">
        <v>0.013483796296296296</v>
      </c>
    </row>
    <row r="128" ht="22.5" customHeight="1">
      <c r="A128" s="100">
        <v>45888.0</v>
      </c>
      <c r="B128" s="26" t="s">
        <v>4951</v>
      </c>
      <c r="C128" s="87" t="s">
        <v>4963</v>
      </c>
      <c r="D128" s="90" t="s">
        <v>5000</v>
      </c>
      <c r="E128" s="87"/>
      <c r="F128" s="88" t="s">
        <v>4960</v>
      </c>
      <c r="G128" s="36">
        <v>0.009027777777777777</v>
      </c>
    </row>
    <row r="129" ht="22.5" customHeight="1">
      <c r="A129" s="100">
        <v>45889.0</v>
      </c>
      <c r="B129" s="103" t="s">
        <v>4974</v>
      </c>
      <c r="C129" s="98" t="s">
        <v>4974</v>
      </c>
      <c r="D129" s="99"/>
      <c r="E129" s="98"/>
      <c r="F129" s="88"/>
      <c r="G129" s="36">
        <v>0.003472222222222222</v>
      </c>
    </row>
    <row r="130" ht="22.5" customHeight="1">
      <c r="A130" s="100">
        <v>45889.0</v>
      </c>
      <c r="B130" s="26" t="s">
        <v>4978</v>
      </c>
      <c r="C130" s="87" t="s">
        <v>5004</v>
      </c>
      <c r="D130" s="90"/>
      <c r="E130" s="87"/>
      <c r="F130" s="91" t="s">
        <v>5005</v>
      </c>
      <c r="G130" s="36">
        <v>0.013229166666666667</v>
      </c>
    </row>
    <row r="131" ht="22.5" customHeight="1">
      <c r="A131" s="100">
        <v>45889.0</v>
      </c>
      <c r="B131" s="26" t="s">
        <v>4978</v>
      </c>
      <c r="C131" s="87" t="s">
        <v>5004</v>
      </c>
      <c r="D131" s="90"/>
      <c r="E131" s="87"/>
      <c r="F131" s="91" t="s">
        <v>5006</v>
      </c>
      <c r="G131" s="36">
        <v>0.01570601851851852</v>
      </c>
    </row>
    <row r="132" ht="22.5" customHeight="1">
      <c r="A132" s="100">
        <v>45889.0</v>
      </c>
      <c r="B132" s="26" t="s">
        <v>4978</v>
      </c>
      <c r="C132" s="87" t="s">
        <v>5004</v>
      </c>
      <c r="D132" s="90"/>
      <c r="E132" s="87"/>
      <c r="F132" s="91" t="s">
        <v>5007</v>
      </c>
      <c r="G132" s="36">
        <v>0.006678240740740741</v>
      </c>
    </row>
    <row r="133" ht="22.5" customHeight="1">
      <c r="A133" s="100">
        <v>45889.0</v>
      </c>
      <c r="B133" s="26" t="s">
        <v>4978</v>
      </c>
      <c r="C133" s="87" t="s">
        <v>5004</v>
      </c>
      <c r="D133" s="90"/>
      <c r="E133" s="87"/>
      <c r="F133" s="88" t="s">
        <v>4960</v>
      </c>
      <c r="G133" s="36">
        <v>0.015277777777777777</v>
      </c>
    </row>
    <row r="134" ht="22.5" customHeight="1">
      <c r="A134" s="100">
        <v>45890.0</v>
      </c>
      <c r="B134" s="103" t="s">
        <v>4974</v>
      </c>
      <c r="C134" s="98" t="s">
        <v>4974</v>
      </c>
      <c r="D134" s="99"/>
      <c r="E134" s="98"/>
      <c r="F134" s="88"/>
      <c r="G134" s="36">
        <v>0.003472222222222222</v>
      </c>
    </row>
    <row r="135" ht="22.5" customHeight="1">
      <c r="A135" s="100">
        <v>45890.0</v>
      </c>
      <c r="B135" s="26" t="s">
        <v>4978</v>
      </c>
      <c r="C135" s="87" t="s">
        <v>5008</v>
      </c>
      <c r="D135" s="90"/>
      <c r="E135" s="87"/>
      <c r="F135" s="91" t="s">
        <v>5009</v>
      </c>
      <c r="G135" s="36">
        <v>0.041666666666666664</v>
      </c>
    </row>
    <row r="136" ht="22.5" customHeight="1">
      <c r="A136" s="100">
        <v>45891.0</v>
      </c>
      <c r="B136" s="103" t="s">
        <v>4974</v>
      </c>
      <c r="C136" s="98" t="s">
        <v>4974</v>
      </c>
      <c r="D136" s="99"/>
      <c r="E136" s="98"/>
      <c r="F136" s="88"/>
      <c r="G136" s="36">
        <v>0.003472222222222222</v>
      </c>
    </row>
    <row r="137" ht="22.5" customHeight="1">
      <c r="A137" s="100">
        <v>45891.0</v>
      </c>
      <c r="B137" s="26" t="s">
        <v>4978</v>
      </c>
      <c r="C137" s="87" t="s">
        <v>5008</v>
      </c>
      <c r="D137" s="90"/>
      <c r="E137" s="87"/>
      <c r="F137" s="91" t="s">
        <v>5009</v>
      </c>
      <c r="G137" s="36">
        <v>0.041666666666666664</v>
      </c>
    </row>
    <row r="138" ht="22.5" customHeight="1">
      <c r="A138" s="100">
        <v>45892.0</v>
      </c>
      <c r="B138" s="103" t="s">
        <v>4974</v>
      </c>
      <c r="C138" s="98" t="s">
        <v>4974</v>
      </c>
      <c r="D138" s="99"/>
      <c r="E138" s="98"/>
      <c r="F138" s="88"/>
      <c r="G138" s="36">
        <v>0.003472222222222222</v>
      </c>
    </row>
    <row r="139" ht="22.5" customHeight="1">
      <c r="A139" s="100">
        <v>45892.0</v>
      </c>
      <c r="B139" s="26" t="s">
        <v>4951</v>
      </c>
      <c r="C139" s="87" t="s">
        <v>5010</v>
      </c>
      <c r="D139" s="90" t="s">
        <v>5011</v>
      </c>
      <c r="E139" s="87"/>
      <c r="F139" s="104" t="s">
        <v>5012</v>
      </c>
      <c r="G139" s="36">
        <v>0.003726851851851852</v>
      </c>
    </row>
    <row r="140" ht="22.5" customHeight="1">
      <c r="A140" s="100">
        <v>45892.0</v>
      </c>
      <c r="B140" s="26" t="s">
        <v>4951</v>
      </c>
      <c r="C140" s="87" t="s">
        <v>5010</v>
      </c>
      <c r="D140" s="90" t="s">
        <v>5011</v>
      </c>
      <c r="E140" s="87"/>
      <c r="F140" s="104" t="s">
        <v>5013</v>
      </c>
      <c r="G140" s="36">
        <v>0.01337962962962963</v>
      </c>
    </row>
    <row r="141" ht="22.5" customHeight="1">
      <c r="A141" s="100">
        <v>45892.0</v>
      </c>
      <c r="B141" s="26" t="s">
        <v>4951</v>
      </c>
      <c r="C141" s="87" t="s">
        <v>5010</v>
      </c>
      <c r="D141" s="90" t="s">
        <v>5011</v>
      </c>
      <c r="E141" s="87"/>
      <c r="F141" s="104" t="s">
        <v>5014</v>
      </c>
      <c r="G141" s="36">
        <v>0.011481481481481481</v>
      </c>
    </row>
    <row r="142" ht="22.5" customHeight="1">
      <c r="A142" s="100">
        <v>45892.0</v>
      </c>
      <c r="B142" s="26" t="s">
        <v>4951</v>
      </c>
      <c r="C142" s="87" t="s">
        <v>5010</v>
      </c>
      <c r="D142" s="90" t="s">
        <v>5011</v>
      </c>
      <c r="E142" s="87"/>
      <c r="F142" s="104" t="s">
        <v>5015</v>
      </c>
      <c r="G142" s="36">
        <v>0.014097222222222223</v>
      </c>
    </row>
    <row r="143" ht="22.5" customHeight="1">
      <c r="A143" s="100">
        <v>45892.0</v>
      </c>
      <c r="B143" s="26" t="s">
        <v>4951</v>
      </c>
      <c r="C143" s="87" t="s">
        <v>5010</v>
      </c>
      <c r="D143" s="90" t="s">
        <v>5011</v>
      </c>
      <c r="E143" s="87"/>
      <c r="F143" s="88" t="s">
        <v>4960</v>
      </c>
      <c r="G143" s="36">
        <v>0.03263888888888889</v>
      </c>
    </row>
    <row r="144" ht="22.5" customHeight="1">
      <c r="A144" s="100">
        <v>45893.0</v>
      </c>
      <c r="B144" s="103" t="s">
        <v>4974</v>
      </c>
      <c r="C144" s="98" t="s">
        <v>4974</v>
      </c>
      <c r="D144" s="99"/>
      <c r="E144" s="98"/>
      <c r="F144" s="88"/>
      <c r="G144" s="36">
        <v>0.003472222222222222</v>
      </c>
    </row>
    <row r="145" ht="22.5" customHeight="1">
      <c r="A145" s="100">
        <v>45893.0</v>
      </c>
      <c r="B145" s="26" t="s">
        <v>4951</v>
      </c>
      <c r="C145" s="87" t="s">
        <v>5010</v>
      </c>
      <c r="D145" s="90" t="s">
        <v>5011</v>
      </c>
      <c r="E145" s="87"/>
      <c r="F145" s="104" t="s">
        <v>5016</v>
      </c>
      <c r="G145" s="36">
        <v>0.008217592592592592</v>
      </c>
    </row>
    <row r="146" ht="22.5" customHeight="1">
      <c r="A146" s="100">
        <v>45893.0</v>
      </c>
      <c r="B146" s="26" t="s">
        <v>4951</v>
      </c>
      <c r="C146" s="87" t="s">
        <v>5010</v>
      </c>
      <c r="D146" s="90" t="s">
        <v>5011</v>
      </c>
      <c r="E146" s="87"/>
      <c r="F146" s="104" t="s">
        <v>5017</v>
      </c>
      <c r="G146" s="36">
        <v>0.018865740740740742</v>
      </c>
    </row>
    <row r="147" ht="22.5" customHeight="1">
      <c r="A147" s="100">
        <v>45893.0</v>
      </c>
      <c r="B147" s="26" t="s">
        <v>4951</v>
      </c>
      <c r="C147" s="87" t="s">
        <v>5010</v>
      </c>
      <c r="D147" s="90" t="s">
        <v>5011</v>
      </c>
      <c r="E147" s="87"/>
      <c r="F147" s="104" t="s">
        <v>5018</v>
      </c>
      <c r="G147" s="36">
        <v>0.007233796296296296</v>
      </c>
    </row>
    <row r="148" ht="22.5" customHeight="1">
      <c r="A148" s="100">
        <v>45893.0</v>
      </c>
      <c r="B148" s="26" t="s">
        <v>4951</v>
      </c>
      <c r="C148" s="87" t="s">
        <v>5010</v>
      </c>
      <c r="D148" s="90" t="s">
        <v>5011</v>
      </c>
      <c r="E148" s="87"/>
      <c r="F148" s="88" t="s">
        <v>4960</v>
      </c>
      <c r="G148" s="36">
        <v>0.0625</v>
      </c>
    </row>
    <row r="149" ht="22.5" customHeight="1">
      <c r="A149" s="100">
        <v>45894.0</v>
      </c>
      <c r="B149" s="103" t="s">
        <v>4974</v>
      </c>
      <c r="C149" s="98" t="s">
        <v>4974</v>
      </c>
      <c r="D149" s="99"/>
      <c r="E149" s="98"/>
      <c r="F149" s="88"/>
      <c r="G149" s="36">
        <v>0.003472222222222222</v>
      </c>
    </row>
    <row r="150" ht="22.5" customHeight="1">
      <c r="A150" s="100">
        <v>45894.0</v>
      </c>
      <c r="B150" s="26" t="s">
        <v>4951</v>
      </c>
      <c r="C150" s="87" t="s">
        <v>4963</v>
      </c>
      <c r="D150" s="90" t="s">
        <v>5019</v>
      </c>
      <c r="E150" s="98"/>
      <c r="F150" s="88" t="s">
        <v>5020</v>
      </c>
      <c r="G150" s="36">
        <v>0.026377314814814815</v>
      </c>
    </row>
    <row r="151" ht="22.5" customHeight="1">
      <c r="A151" s="100">
        <v>45894.0</v>
      </c>
      <c r="B151" s="26" t="s">
        <v>4978</v>
      </c>
      <c r="C151" s="87" t="s">
        <v>5004</v>
      </c>
      <c r="D151" s="90"/>
      <c r="E151" s="98"/>
      <c r="F151" s="105" t="s">
        <v>5021</v>
      </c>
      <c r="G151" s="36">
        <v>0.035416666666666666</v>
      </c>
    </row>
    <row r="152" ht="22.5" customHeight="1">
      <c r="A152" s="100">
        <v>45895.0</v>
      </c>
      <c r="B152" s="103" t="s">
        <v>4974</v>
      </c>
      <c r="C152" s="98" t="s">
        <v>4974</v>
      </c>
      <c r="D152" s="99"/>
      <c r="E152" s="98"/>
      <c r="F152" s="88"/>
      <c r="G152" s="36">
        <v>0.003472222222222222</v>
      </c>
    </row>
    <row r="153" ht="22.5" customHeight="1">
      <c r="A153" s="100">
        <v>45895.0</v>
      </c>
      <c r="B153" s="26" t="s">
        <v>4951</v>
      </c>
      <c r="C153" s="87" t="s">
        <v>5010</v>
      </c>
      <c r="D153" s="90" t="s">
        <v>5011</v>
      </c>
      <c r="E153" s="98"/>
      <c r="F153" s="104" t="s">
        <v>5022</v>
      </c>
      <c r="G153" s="36">
        <v>0.01392361111111111</v>
      </c>
    </row>
    <row r="154" ht="22.5" customHeight="1">
      <c r="A154" s="100">
        <v>45895.0</v>
      </c>
      <c r="B154" s="26" t="s">
        <v>4951</v>
      </c>
      <c r="C154" s="87" t="s">
        <v>5010</v>
      </c>
      <c r="D154" s="90" t="s">
        <v>5011</v>
      </c>
      <c r="E154" s="98"/>
      <c r="F154" s="104" t="s">
        <v>5023</v>
      </c>
      <c r="G154" s="36">
        <v>0.012592592592592593</v>
      </c>
    </row>
    <row r="155" ht="22.5" customHeight="1">
      <c r="A155" s="100">
        <v>45895.0</v>
      </c>
      <c r="B155" s="26" t="s">
        <v>4951</v>
      </c>
      <c r="C155" s="87" t="s">
        <v>5010</v>
      </c>
      <c r="D155" s="90" t="s">
        <v>5011</v>
      </c>
      <c r="E155" s="98"/>
      <c r="F155" s="104" t="s">
        <v>5024</v>
      </c>
      <c r="G155" s="36">
        <v>0.015335648148148149</v>
      </c>
    </row>
    <row r="156" ht="22.5" customHeight="1">
      <c r="A156" s="100">
        <v>45895.0</v>
      </c>
      <c r="B156" s="26" t="s">
        <v>4951</v>
      </c>
      <c r="C156" s="87" t="s">
        <v>5004</v>
      </c>
      <c r="D156" s="90"/>
      <c r="E156" s="98"/>
      <c r="F156" s="104" t="s">
        <v>5025</v>
      </c>
      <c r="G156" s="36">
        <v>0.016377314814814813</v>
      </c>
    </row>
    <row r="157" ht="22.5" customHeight="1">
      <c r="A157" s="100">
        <v>45896.0</v>
      </c>
      <c r="B157" s="103" t="s">
        <v>4974</v>
      </c>
      <c r="C157" s="98" t="s">
        <v>4974</v>
      </c>
      <c r="D157" s="99"/>
      <c r="E157" s="98"/>
      <c r="F157" s="88"/>
      <c r="G157" s="36">
        <v>0.003472222222222222</v>
      </c>
    </row>
    <row r="158" ht="22.5" customHeight="1">
      <c r="A158" s="100">
        <v>45896.0</v>
      </c>
      <c r="B158" s="26" t="s">
        <v>4951</v>
      </c>
      <c r="C158" s="87" t="s">
        <v>5010</v>
      </c>
      <c r="D158" s="90" t="s">
        <v>5011</v>
      </c>
      <c r="E158" s="98"/>
      <c r="F158" s="104" t="s">
        <v>5026</v>
      </c>
      <c r="G158" s="36">
        <v>0.011458333333333333</v>
      </c>
    </row>
    <row r="159" ht="22.5" customHeight="1">
      <c r="A159" s="100">
        <v>45896.0</v>
      </c>
      <c r="B159" s="26" t="s">
        <v>4978</v>
      </c>
      <c r="C159" s="87" t="s">
        <v>5004</v>
      </c>
      <c r="D159" s="90"/>
      <c r="E159" s="98"/>
      <c r="F159" s="104" t="s">
        <v>5027</v>
      </c>
      <c r="G159" s="36">
        <v>0.0029861111111111113</v>
      </c>
    </row>
    <row r="160" ht="22.5" customHeight="1">
      <c r="A160" s="100">
        <v>45896.0</v>
      </c>
      <c r="B160" s="26" t="s">
        <v>4951</v>
      </c>
      <c r="C160" s="87" t="s">
        <v>5010</v>
      </c>
      <c r="D160" s="90" t="s">
        <v>5011</v>
      </c>
      <c r="E160" s="98"/>
      <c r="F160" s="88" t="s">
        <v>4960</v>
      </c>
      <c r="G160" s="36">
        <v>0.04861111111111111</v>
      </c>
    </row>
    <row r="161" ht="22.5" customHeight="1">
      <c r="A161" s="100">
        <v>45897.0</v>
      </c>
      <c r="B161" s="26" t="s">
        <v>4951</v>
      </c>
      <c r="C161" s="87" t="s">
        <v>5010</v>
      </c>
      <c r="D161" s="90" t="s">
        <v>5011</v>
      </c>
      <c r="E161" s="98"/>
      <c r="F161" s="104" t="s">
        <v>5028</v>
      </c>
      <c r="G161" s="36">
        <v>0.00920138888888889</v>
      </c>
    </row>
    <row r="162" ht="22.5" customHeight="1">
      <c r="A162" s="100">
        <v>45897.0</v>
      </c>
      <c r="B162" s="26" t="s">
        <v>4951</v>
      </c>
      <c r="C162" s="87" t="s">
        <v>5010</v>
      </c>
      <c r="D162" s="90" t="s">
        <v>5011</v>
      </c>
      <c r="E162" s="98"/>
      <c r="F162" s="88" t="s">
        <v>4960</v>
      </c>
      <c r="G162" s="36">
        <v>0.022222222222222223</v>
      </c>
    </row>
    <row r="163" ht="22.5" customHeight="1">
      <c r="A163" s="100">
        <v>45897.0</v>
      </c>
      <c r="B163" s="26" t="s">
        <v>4951</v>
      </c>
      <c r="C163" s="87" t="s">
        <v>5010</v>
      </c>
      <c r="D163" s="90" t="s">
        <v>5011</v>
      </c>
      <c r="E163" s="98"/>
      <c r="F163" s="104" t="s">
        <v>5029</v>
      </c>
      <c r="G163" s="36">
        <v>0.00755787037037037</v>
      </c>
    </row>
    <row r="164" ht="22.5" customHeight="1">
      <c r="A164" s="100">
        <v>45897.0</v>
      </c>
      <c r="B164" s="26" t="s">
        <v>4951</v>
      </c>
      <c r="C164" s="87" t="s">
        <v>5010</v>
      </c>
      <c r="D164" s="90" t="s">
        <v>5011</v>
      </c>
      <c r="E164" s="98"/>
      <c r="F164" s="88" t="s">
        <v>4960</v>
      </c>
      <c r="G164" s="36">
        <v>0.014583333333333334</v>
      </c>
    </row>
    <row r="165" ht="22.5" customHeight="1">
      <c r="A165" s="100">
        <v>45898.0</v>
      </c>
      <c r="B165" s="26" t="s">
        <v>4951</v>
      </c>
      <c r="C165" s="87" t="s">
        <v>5010</v>
      </c>
      <c r="D165" s="90" t="s">
        <v>5011</v>
      </c>
      <c r="E165" s="98"/>
      <c r="F165" s="104" t="s">
        <v>5030</v>
      </c>
      <c r="G165" s="36">
        <v>0.011724537037037037</v>
      </c>
    </row>
    <row r="166" ht="22.5" customHeight="1">
      <c r="A166" s="100">
        <v>45898.0</v>
      </c>
      <c r="B166" s="26" t="s">
        <v>4951</v>
      </c>
      <c r="C166" s="87" t="s">
        <v>5010</v>
      </c>
      <c r="D166" s="90" t="s">
        <v>5011</v>
      </c>
      <c r="E166" s="98"/>
      <c r="F166" s="104" t="s">
        <v>5031</v>
      </c>
      <c r="G166" s="36">
        <v>0.010219907407407407</v>
      </c>
    </row>
    <row r="167" ht="22.5" customHeight="1">
      <c r="A167" s="100">
        <v>45898.0</v>
      </c>
      <c r="B167" s="26" t="s">
        <v>4951</v>
      </c>
      <c r="C167" s="87" t="s">
        <v>5010</v>
      </c>
      <c r="D167" s="90" t="s">
        <v>5011</v>
      </c>
      <c r="E167" s="98"/>
      <c r="F167" s="104" t="s">
        <v>5032</v>
      </c>
      <c r="G167" s="36">
        <v>0.004560185185185185</v>
      </c>
    </row>
    <row r="168" ht="22.5" customHeight="1">
      <c r="A168" s="100">
        <v>45898.0</v>
      </c>
      <c r="B168" s="26" t="s">
        <v>4951</v>
      </c>
      <c r="C168" s="87" t="s">
        <v>5010</v>
      </c>
      <c r="D168" s="90" t="s">
        <v>5011</v>
      </c>
      <c r="E168" s="98"/>
      <c r="F168" s="88" t="s">
        <v>4960</v>
      </c>
      <c r="G168" s="36">
        <v>0.03194444444444444</v>
      </c>
    </row>
    <row r="169" ht="22.5" customHeight="1">
      <c r="A169" s="100">
        <v>45899.0</v>
      </c>
      <c r="B169" s="103" t="s">
        <v>4974</v>
      </c>
      <c r="C169" s="98" t="s">
        <v>4974</v>
      </c>
      <c r="D169" s="99"/>
      <c r="E169" s="98"/>
      <c r="F169" s="88"/>
      <c r="G169" s="36">
        <v>0.003472222222222222</v>
      </c>
    </row>
    <row r="170" ht="22.5" customHeight="1">
      <c r="A170" s="100">
        <v>45899.0</v>
      </c>
      <c r="B170" s="26" t="s">
        <v>4951</v>
      </c>
      <c r="C170" s="87" t="s">
        <v>5010</v>
      </c>
      <c r="D170" s="90" t="s">
        <v>5011</v>
      </c>
      <c r="E170" s="98"/>
      <c r="F170" s="104" t="s">
        <v>5032</v>
      </c>
      <c r="G170" s="36">
        <v>0.010833333333333334</v>
      </c>
    </row>
    <row r="171" ht="22.5" customHeight="1">
      <c r="A171" s="100">
        <v>45899.0</v>
      </c>
      <c r="B171" s="26" t="s">
        <v>4951</v>
      </c>
      <c r="C171" s="87" t="s">
        <v>5010</v>
      </c>
      <c r="D171" s="90" t="s">
        <v>5011</v>
      </c>
      <c r="E171" s="98"/>
      <c r="F171" s="104" t="s">
        <v>5033</v>
      </c>
      <c r="G171" s="36">
        <v>0.005983796296296296</v>
      </c>
    </row>
    <row r="172" ht="22.5" customHeight="1">
      <c r="A172" s="100">
        <v>45899.0</v>
      </c>
      <c r="B172" s="26" t="s">
        <v>4951</v>
      </c>
      <c r="C172" s="87" t="s">
        <v>5010</v>
      </c>
      <c r="D172" s="90" t="s">
        <v>5011</v>
      </c>
      <c r="E172" s="98"/>
      <c r="F172" s="104" t="s">
        <v>5034</v>
      </c>
      <c r="G172" s="36">
        <v>0.016342592592592593</v>
      </c>
    </row>
    <row r="173" ht="22.5" customHeight="1">
      <c r="A173" s="100">
        <v>45899.0</v>
      </c>
      <c r="B173" s="26" t="s">
        <v>4951</v>
      </c>
      <c r="C173" s="87" t="s">
        <v>5010</v>
      </c>
      <c r="D173" s="90" t="s">
        <v>5011</v>
      </c>
      <c r="E173" s="98"/>
      <c r="F173" s="88" t="s">
        <v>4960</v>
      </c>
      <c r="G173" s="36">
        <v>0.041666666666666664</v>
      </c>
    </row>
    <row r="174" ht="22.5" customHeight="1">
      <c r="A174" s="100">
        <v>45900.0</v>
      </c>
      <c r="B174" s="26" t="s">
        <v>4951</v>
      </c>
      <c r="C174" s="87" t="s">
        <v>5010</v>
      </c>
      <c r="D174" s="90" t="s">
        <v>5011</v>
      </c>
      <c r="E174" s="98"/>
      <c r="F174" s="104" t="s">
        <v>5035</v>
      </c>
      <c r="G174" s="36">
        <v>0.004780092592592593</v>
      </c>
    </row>
    <row r="175" ht="22.5" customHeight="1">
      <c r="A175" s="100">
        <v>45900.0</v>
      </c>
      <c r="B175" s="26" t="s">
        <v>4978</v>
      </c>
      <c r="C175" s="87" t="s">
        <v>5004</v>
      </c>
      <c r="D175" s="90"/>
      <c r="E175" s="98"/>
      <c r="F175" s="104" t="s">
        <v>5036</v>
      </c>
      <c r="G175" s="36">
        <v>0.006921296296296296</v>
      </c>
    </row>
    <row r="176" ht="22.5" customHeight="1">
      <c r="A176" s="100">
        <v>45900.0</v>
      </c>
      <c r="B176" s="26" t="s">
        <v>4951</v>
      </c>
      <c r="C176" s="87" t="s">
        <v>5010</v>
      </c>
      <c r="D176" s="90" t="s">
        <v>5011</v>
      </c>
      <c r="E176" s="98"/>
      <c r="F176" s="88" t="s">
        <v>4960</v>
      </c>
      <c r="G176" s="36">
        <v>0.024305555555555556</v>
      </c>
    </row>
    <row r="177" ht="22.5" customHeight="1">
      <c r="A177" s="100">
        <v>45900.0</v>
      </c>
      <c r="B177" s="26" t="s">
        <v>4951</v>
      </c>
      <c r="C177" s="87" t="s">
        <v>5010</v>
      </c>
      <c r="D177" s="90" t="s">
        <v>5011</v>
      </c>
      <c r="E177" s="98"/>
      <c r="F177" s="104" t="s">
        <v>5037</v>
      </c>
      <c r="G177" s="36">
        <v>0.006550925925925926</v>
      </c>
    </row>
    <row r="178" ht="22.5" customHeight="1">
      <c r="A178" s="100">
        <v>45900.0</v>
      </c>
      <c r="B178" s="106" t="s">
        <v>4978</v>
      </c>
      <c r="C178" s="107" t="s">
        <v>5004</v>
      </c>
      <c r="D178" s="90"/>
      <c r="E178" s="98"/>
      <c r="F178" s="104" t="s">
        <v>5038</v>
      </c>
      <c r="G178" s="36">
        <v>0.008518518518518519</v>
      </c>
    </row>
    <row r="179" ht="22.5" customHeight="1">
      <c r="A179" s="100">
        <v>45900.0</v>
      </c>
      <c r="B179" s="106" t="s">
        <v>4978</v>
      </c>
      <c r="C179" s="107" t="s">
        <v>5004</v>
      </c>
      <c r="D179" s="90"/>
      <c r="E179" s="98"/>
      <c r="F179" s="104" t="s">
        <v>5039</v>
      </c>
      <c r="G179" s="36">
        <v>0.024652777777777777</v>
      </c>
    </row>
    <row r="180" ht="22.5" customHeight="1">
      <c r="A180" s="100">
        <v>45901.0</v>
      </c>
      <c r="B180" s="106" t="s">
        <v>4978</v>
      </c>
      <c r="C180" s="107" t="s">
        <v>5004</v>
      </c>
      <c r="D180" s="90"/>
      <c r="E180" s="98"/>
      <c r="F180" s="105" t="s">
        <v>5040</v>
      </c>
      <c r="G180" s="36">
        <v>0.007662037037037037</v>
      </c>
    </row>
    <row r="181" ht="22.5" customHeight="1">
      <c r="A181" s="100">
        <v>45901.0</v>
      </c>
      <c r="B181" s="106" t="s">
        <v>4978</v>
      </c>
      <c r="C181" s="107" t="s">
        <v>5004</v>
      </c>
      <c r="D181" s="90"/>
      <c r="E181" s="98"/>
      <c r="F181" s="104" t="s">
        <v>5041</v>
      </c>
      <c r="G181" s="36">
        <v>0.008125</v>
      </c>
    </row>
    <row r="182" ht="22.5" customHeight="1">
      <c r="A182" s="100">
        <v>45901.0</v>
      </c>
      <c r="B182" s="106" t="s">
        <v>4978</v>
      </c>
      <c r="C182" s="107" t="s">
        <v>5004</v>
      </c>
      <c r="D182" s="90"/>
      <c r="E182" s="98"/>
      <c r="F182" s="104" t="s">
        <v>5042</v>
      </c>
      <c r="G182" s="36">
        <v>0.0019097222222222222</v>
      </c>
    </row>
    <row r="183" ht="22.5" customHeight="1">
      <c r="A183" s="100">
        <v>45901.0</v>
      </c>
      <c r="B183" s="26" t="s">
        <v>4951</v>
      </c>
      <c r="C183" s="87" t="s">
        <v>5010</v>
      </c>
      <c r="D183" s="90" t="s">
        <v>5011</v>
      </c>
      <c r="E183" s="98"/>
      <c r="F183" s="104" t="s">
        <v>5043</v>
      </c>
      <c r="G183" s="36">
        <v>0.007118055555555555</v>
      </c>
    </row>
    <row r="184" ht="22.5" customHeight="1">
      <c r="A184" s="100">
        <v>45901.0</v>
      </c>
      <c r="B184" s="26" t="s">
        <v>4951</v>
      </c>
      <c r="C184" s="87" t="s">
        <v>5010</v>
      </c>
      <c r="D184" s="90" t="s">
        <v>5011</v>
      </c>
      <c r="E184" s="98"/>
      <c r="F184" s="104" t="s">
        <v>5044</v>
      </c>
      <c r="G184" s="36">
        <v>0.008159722222222223</v>
      </c>
    </row>
    <row r="185" ht="22.5" customHeight="1">
      <c r="A185" s="100">
        <v>45901.0</v>
      </c>
      <c r="B185" s="26" t="s">
        <v>4951</v>
      </c>
      <c r="C185" s="87" t="s">
        <v>5010</v>
      </c>
      <c r="D185" s="90" t="s">
        <v>5011</v>
      </c>
      <c r="E185" s="98"/>
      <c r="F185" s="104" t="s">
        <v>5045</v>
      </c>
      <c r="G185" s="36">
        <v>0.005532407407407408</v>
      </c>
    </row>
    <row r="186" ht="22.5" customHeight="1">
      <c r="A186" s="100">
        <v>45901.0</v>
      </c>
      <c r="B186" s="103" t="s">
        <v>4974</v>
      </c>
      <c r="C186" s="98" t="s">
        <v>4974</v>
      </c>
      <c r="D186" s="99"/>
      <c r="E186" s="98"/>
      <c r="F186" s="88"/>
      <c r="G186" s="36">
        <v>0.003472222222222222</v>
      </c>
    </row>
    <row r="187" ht="22.5" customHeight="1">
      <c r="A187" s="100">
        <v>45901.0</v>
      </c>
      <c r="B187" s="26" t="s">
        <v>4951</v>
      </c>
      <c r="C187" s="87" t="s">
        <v>5010</v>
      </c>
      <c r="D187" s="90" t="s">
        <v>5011</v>
      </c>
      <c r="E187" s="98"/>
      <c r="F187" s="88" t="s">
        <v>4960</v>
      </c>
      <c r="G187" s="36">
        <v>0.03819444444444445</v>
      </c>
    </row>
    <row r="188" ht="22.5" customHeight="1">
      <c r="A188" s="100">
        <v>45902.0</v>
      </c>
      <c r="B188" s="26" t="s">
        <v>4951</v>
      </c>
      <c r="C188" s="87" t="s">
        <v>5010</v>
      </c>
      <c r="D188" s="90" t="s">
        <v>5011</v>
      </c>
      <c r="E188" s="98"/>
      <c r="F188" s="105" t="s">
        <v>5046</v>
      </c>
      <c r="G188" s="36">
        <v>0.006053240740740741</v>
      </c>
    </row>
    <row r="189" ht="22.5" customHeight="1">
      <c r="A189" s="100">
        <v>45902.0</v>
      </c>
      <c r="B189" s="26" t="s">
        <v>4951</v>
      </c>
      <c r="C189" s="87" t="s">
        <v>5010</v>
      </c>
      <c r="D189" s="90" t="s">
        <v>5011</v>
      </c>
      <c r="E189" s="98"/>
      <c r="F189" s="88" t="s">
        <v>4960</v>
      </c>
      <c r="G189" s="36">
        <v>0.014583333333333334</v>
      </c>
    </row>
    <row r="190" ht="22.5" customHeight="1">
      <c r="A190" s="100">
        <v>45902.0</v>
      </c>
      <c r="B190" s="26" t="s">
        <v>4951</v>
      </c>
      <c r="C190" s="87" t="s">
        <v>5010</v>
      </c>
      <c r="D190" s="90" t="s">
        <v>5011</v>
      </c>
      <c r="E190" s="98"/>
      <c r="F190" s="104" t="s">
        <v>5047</v>
      </c>
      <c r="G190" s="36">
        <v>0.008391203703703705</v>
      </c>
    </row>
    <row r="191" ht="22.5" customHeight="1">
      <c r="A191" s="100">
        <v>45902.0</v>
      </c>
      <c r="B191" s="106" t="s">
        <v>4978</v>
      </c>
      <c r="C191" s="87" t="s">
        <v>5010</v>
      </c>
      <c r="D191" s="90" t="s">
        <v>5048</v>
      </c>
      <c r="E191" s="98"/>
      <c r="F191" s="104" t="s">
        <v>5049</v>
      </c>
      <c r="G191" s="36">
        <v>0.008391203703703705</v>
      </c>
    </row>
    <row r="192" ht="22.5" customHeight="1">
      <c r="A192" s="100">
        <v>45902.0</v>
      </c>
      <c r="B192" s="26" t="s">
        <v>4951</v>
      </c>
      <c r="C192" s="87" t="s">
        <v>5010</v>
      </c>
      <c r="D192" s="90" t="s">
        <v>5011</v>
      </c>
      <c r="E192" s="98"/>
      <c r="F192" s="104" t="s">
        <v>5050</v>
      </c>
      <c r="G192" s="36">
        <v>0.007546296296296297</v>
      </c>
    </row>
    <row r="193" ht="22.5" customHeight="1">
      <c r="A193" s="100">
        <v>45902.0</v>
      </c>
      <c r="B193" s="26" t="s">
        <v>4951</v>
      </c>
      <c r="C193" s="87" t="s">
        <v>5010</v>
      </c>
      <c r="D193" s="90" t="s">
        <v>5011</v>
      </c>
      <c r="E193" s="98"/>
      <c r="F193" s="88" t="s">
        <v>4960</v>
      </c>
      <c r="G193" s="36">
        <v>0.006944444444444444</v>
      </c>
    </row>
    <row r="194" ht="22.5" customHeight="1">
      <c r="A194" s="100">
        <v>45902.0</v>
      </c>
      <c r="B194" s="103" t="s">
        <v>4974</v>
      </c>
      <c r="C194" s="98" t="s">
        <v>4974</v>
      </c>
      <c r="D194" s="99"/>
      <c r="E194" s="98"/>
      <c r="F194" s="88"/>
      <c r="G194" s="36">
        <v>0.003472222222222222</v>
      </c>
    </row>
    <row r="195" ht="22.5" customHeight="1">
      <c r="A195" s="100">
        <v>45903.0</v>
      </c>
      <c r="B195" s="26" t="s">
        <v>4951</v>
      </c>
      <c r="C195" s="87" t="s">
        <v>5010</v>
      </c>
      <c r="D195" s="90" t="s">
        <v>5011</v>
      </c>
      <c r="E195" s="98"/>
      <c r="F195" s="105" t="s">
        <v>5051</v>
      </c>
      <c r="G195" s="36">
        <v>0.003564814814814815</v>
      </c>
    </row>
    <row r="196" ht="22.5" customHeight="1">
      <c r="A196" s="100">
        <v>45903.0</v>
      </c>
      <c r="B196" s="26" t="s">
        <v>4951</v>
      </c>
      <c r="C196" s="87" t="s">
        <v>5010</v>
      </c>
      <c r="D196" s="90" t="s">
        <v>5011</v>
      </c>
      <c r="E196" s="98"/>
      <c r="F196" s="105" t="s">
        <v>5052</v>
      </c>
      <c r="G196" s="36">
        <v>0.0028356481481481483</v>
      </c>
    </row>
    <row r="197" ht="22.5" customHeight="1">
      <c r="A197" s="100">
        <v>45903.0</v>
      </c>
      <c r="B197" s="26" t="s">
        <v>4951</v>
      </c>
      <c r="C197" s="87" t="s">
        <v>5010</v>
      </c>
      <c r="D197" s="90" t="s">
        <v>5011</v>
      </c>
      <c r="E197" s="98"/>
      <c r="F197" s="104" t="s">
        <v>5053</v>
      </c>
      <c r="G197" s="36">
        <v>0.005532407407407408</v>
      </c>
    </row>
    <row r="198" ht="22.5" customHeight="1">
      <c r="A198" s="100">
        <v>45903.0</v>
      </c>
      <c r="B198" s="26" t="s">
        <v>4951</v>
      </c>
      <c r="C198" s="87" t="s">
        <v>5010</v>
      </c>
      <c r="D198" s="90" t="s">
        <v>5011</v>
      </c>
      <c r="E198" s="98"/>
      <c r="F198" s="88" t="s">
        <v>4960</v>
      </c>
      <c r="G198" s="36">
        <v>0.043055555555555555</v>
      </c>
    </row>
    <row r="199" ht="22.5" customHeight="1">
      <c r="A199" s="100">
        <v>45904.0</v>
      </c>
      <c r="B199" s="26" t="s">
        <v>4951</v>
      </c>
      <c r="C199" s="87" t="s">
        <v>5010</v>
      </c>
      <c r="D199" s="90" t="s">
        <v>5011</v>
      </c>
      <c r="E199" s="98"/>
      <c r="F199" s="104" t="s">
        <v>5054</v>
      </c>
      <c r="G199" s="36">
        <v>0.0028356481481481483</v>
      </c>
    </row>
    <row r="200" ht="22.5" customHeight="1">
      <c r="A200" s="100">
        <v>45904.0</v>
      </c>
      <c r="B200" s="26" t="s">
        <v>4951</v>
      </c>
      <c r="C200" s="87" t="s">
        <v>5010</v>
      </c>
      <c r="D200" s="90" t="s">
        <v>5011</v>
      </c>
      <c r="E200" s="98"/>
      <c r="F200" s="104" t="s">
        <v>5055</v>
      </c>
      <c r="G200" s="36">
        <v>0.012118055555555556</v>
      </c>
    </row>
    <row r="201" ht="22.5" customHeight="1">
      <c r="A201" s="100">
        <v>45904.0</v>
      </c>
      <c r="B201" s="26" t="s">
        <v>4951</v>
      </c>
      <c r="C201" s="87" t="s">
        <v>5010</v>
      </c>
      <c r="D201" s="90" t="s">
        <v>5011</v>
      </c>
      <c r="E201" s="98"/>
      <c r="F201" s="88" t="s">
        <v>4960</v>
      </c>
      <c r="G201" s="36">
        <v>0.04791666666666667</v>
      </c>
    </row>
    <row r="202" ht="22.5" customHeight="1">
      <c r="A202" s="100">
        <v>45905.0</v>
      </c>
      <c r="B202" s="26" t="s">
        <v>4951</v>
      </c>
      <c r="C202" s="87" t="s">
        <v>5010</v>
      </c>
      <c r="D202" s="90" t="s">
        <v>5011</v>
      </c>
      <c r="E202" s="98"/>
      <c r="F202" s="104" t="s">
        <v>5056</v>
      </c>
      <c r="G202" s="36">
        <v>0.005636574074074074</v>
      </c>
    </row>
    <row r="203" ht="22.5" customHeight="1">
      <c r="A203" s="100">
        <v>45905.0</v>
      </c>
      <c r="B203" s="26" t="s">
        <v>4951</v>
      </c>
      <c r="C203" s="87" t="s">
        <v>5010</v>
      </c>
      <c r="D203" s="90" t="s">
        <v>5011</v>
      </c>
      <c r="E203" s="98"/>
      <c r="F203" s="104" t="s">
        <v>5057</v>
      </c>
      <c r="G203" s="36">
        <v>0.008043981481481482</v>
      </c>
    </row>
    <row r="204" ht="22.5" customHeight="1">
      <c r="A204" s="100">
        <v>45905.0</v>
      </c>
      <c r="B204" s="106" t="s">
        <v>4951</v>
      </c>
      <c r="C204" s="107" t="s">
        <v>5010</v>
      </c>
      <c r="D204" s="108" t="s">
        <v>5011</v>
      </c>
      <c r="E204" s="98"/>
      <c r="F204" s="104" t="s">
        <v>5058</v>
      </c>
      <c r="G204" s="36">
        <v>0.006238425925925926</v>
      </c>
    </row>
    <row r="205" ht="22.5" customHeight="1">
      <c r="A205" s="100">
        <v>45905.0</v>
      </c>
      <c r="B205" s="26" t="s">
        <v>4951</v>
      </c>
      <c r="C205" s="87" t="s">
        <v>5010</v>
      </c>
      <c r="D205" s="90" t="s">
        <v>5011</v>
      </c>
      <c r="E205" s="98"/>
      <c r="F205" s="88" t="s">
        <v>4960</v>
      </c>
      <c r="G205" s="36">
        <v>0.034027777777777775</v>
      </c>
    </row>
    <row r="206" ht="22.5" customHeight="1">
      <c r="A206" s="100">
        <v>45906.0</v>
      </c>
      <c r="B206" s="106" t="s">
        <v>4978</v>
      </c>
      <c r="C206" s="87" t="s">
        <v>5010</v>
      </c>
      <c r="D206" s="90" t="s">
        <v>5048</v>
      </c>
      <c r="E206" s="98"/>
      <c r="F206" s="104" t="s">
        <v>5059</v>
      </c>
      <c r="G206" s="36">
        <v>0.008726851851851852</v>
      </c>
    </row>
    <row r="207" ht="22.5" customHeight="1">
      <c r="A207" s="100">
        <v>45906.0</v>
      </c>
      <c r="B207" s="106" t="s">
        <v>4978</v>
      </c>
      <c r="C207" s="87" t="s">
        <v>5010</v>
      </c>
      <c r="D207" s="90" t="s">
        <v>5048</v>
      </c>
      <c r="E207" s="98"/>
      <c r="F207" s="104" t="s">
        <v>5060</v>
      </c>
      <c r="G207" s="36">
        <v>0.02337962962962963</v>
      </c>
    </row>
    <row r="208" ht="22.5" customHeight="1">
      <c r="A208" s="100">
        <v>45906.0</v>
      </c>
      <c r="B208" s="106" t="s">
        <v>4978</v>
      </c>
      <c r="C208" s="87" t="s">
        <v>5010</v>
      </c>
      <c r="D208" s="90" t="s">
        <v>5048</v>
      </c>
      <c r="E208" s="98"/>
      <c r="F208" s="109" t="s">
        <v>5061</v>
      </c>
      <c r="G208" s="36">
        <v>0.015150462962962963</v>
      </c>
    </row>
    <row r="209" ht="22.5" customHeight="1">
      <c r="A209" s="100">
        <v>45907.0</v>
      </c>
      <c r="B209" s="26" t="s">
        <v>4951</v>
      </c>
      <c r="C209" s="87" t="s">
        <v>5010</v>
      </c>
      <c r="D209" s="90" t="s">
        <v>5011</v>
      </c>
      <c r="E209" s="98"/>
      <c r="F209" s="104" t="s">
        <v>5062</v>
      </c>
      <c r="G209" s="36">
        <v>0.00681712962962963</v>
      </c>
    </row>
    <row r="210" ht="22.5" customHeight="1">
      <c r="A210" s="100">
        <v>45907.0</v>
      </c>
      <c r="B210" s="26" t="s">
        <v>4951</v>
      </c>
      <c r="C210" s="87" t="s">
        <v>5010</v>
      </c>
      <c r="D210" s="90" t="s">
        <v>5011</v>
      </c>
      <c r="E210" s="98"/>
      <c r="F210" s="105" t="s">
        <v>5063</v>
      </c>
      <c r="G210" s="36">
        <v>0.0069328703703703705</v>
      </c>
    </row>
    <row r="211" ht="22.5" customHeight="1">
      <c r="A211" s="100">
        <v>45907.0</v>
      </c>
      <c r="B211" s="26" t="s">
        <v>4951</v>
      </c>
      <c r="C211" s="87" t="s">
        <v>5010</v>
      </c>
      <c r="D211" s="90" t="s">
        <v>5011</v>
      </c>
      <c r="E211" s="98"/>
      <c r="F211" s="104" t="s">
        <v>5064</v>
      </c>
      <c r="G211" s="36">
        <v>0.010787037037037038</v>
      </c>
    </row>
    <row r="212" ht="22.5" customHeight="1">
      <c r="A212" s="100">
        <v>45907.0</v>
      </c>
      <c r="B212" s="26" t="s">
        <v>4951</v>
      </c>
      <c r="C212" s="87" t="s">
        <v>5010</v>
      </c>
      <c r="D212" s="90" t="s">
        <v>5011</v>
      </c>
      <c r="E212" s="110"/>
      <c r="F212" s="111" t="s">
        <v>4960</v>
      </c>
      <c r="G212" s="36">
        <v>0.020833333333333332</v>
      </c>
    </row>
    <row r="213" ht="22.5" customHeight="1">
      <c r="A213" s="100">
        <v>45907.0</v>
      </c>
      <c r="B213" s="26" t="s">
        <v>4951</v>
      </c>
      <c r="C213" s="87" t="s">
        <v>5010</v>
      </c>
      <c r="D213" s="90" t="s">
        <v>5011</v>
      </c>
      <c r="E213" s="112"/>
      <c r="F213" s="113" t="s">
        <v>5065</v>
      </c>
      <c r="G213" s="36">
        <v>0.009432870370370371</v>
      </c>
    </row>
    <row r="214" ht="22.5" customHeight="1">
      <c r="A214" s="100">
        <v>45907.0</v>
      </c>
      <c r="B214" s="26" t="s">
        <v>4951</v>
      </c>
      <c r="C214" s="87" t="s">
        <v>5010</v>
      </c>
      <c r="D214" s="90" t="s">
        <v>5011</v>
      </c>
      <c r="E214" s="112"/>
      <c r="F214" s="113" t="s">
        <v>5066</v>
      </c>
      <c r="G214" s="36">
        <v>0.012002314814814815</v>
      </c>
    </row>
    <row r="215" ht="22.5" customHeight="1">
      <c r="A215" s="100">
        <v>45907.0</v>
      </c>
      <c r="B215" s="26" t="s">
        <v>4951</v>
      </c>
      <c r="C215" s="87" t="s">
        <v>5010</v>
      </c>
      <c r="D215" s="90" t="s">
        <v>5011</v>
      </c>
      <c r="E215" s="114"/>
      <c r="F215" s="115" t="s">
        <v>4960</v>
      </c>
      <c r="G215" s="36">
        <v>0.034722222222222224</v>
      </c>
    </row>
    <row r="216" ht="22.5" customHeight="1">
      <c r="A216" s="100">
        <v>45908.0</v>
      </c>
      <c r="B216" s="26" t="s">
        <v>4951</v>
      </c>
      <c r="C216" s="87" t="s">
        <v>5010</v>
      </c>
      <c r="D216" s="90" t="s">
        <v>5011</v>
      </c>
      <c r="E216" s="96"/>
      <c r="F216" s="116" t="s">
        <v>5067</v>
      </c>
      <c r="G216" s="36">
        <v>0.01193287037037037</v>
      </c>
    </row>
    <row r="217" ht="22.5" customHeight="1">
      <c r="A217" s="100">
        <v>45908.0</v>
      </c>
      <c r="B217" s="26" t="s">
        <v>4951</v>
      </c>
      <c r="C217" s="87" t="s">
        <v>5010</v>
      </c>
      <c r="D217" s="90" t="s">
        <v>5011</v>
      </c>
      <c r="E217" s="96"/>
      <c r="F217" s="116" t="s">
        <v>5068</v>
      </c>
      <c r="G217" s="36">
        <v>0.00849537037037037</v>
      </c>
    </row>
    <row r="218" ht="22.5" customHeight="1">
      <c r="A218" s="100">
        <v>45908.0</v>
      </c>
      <c r="B218" s="26" t="s">
        <v>4951</v>
      </c>
      <c r="C218" s="87" t="s">
        <v>5010</v>
      </c>
      <c r="D218" s="90" t="s">
        <v>5011</v>
      </c>
      <c r="E218" s="96"/>
      <c r="F218" s="116" t="s">
        <v>5069</v>
      </c>
      <c r="G218" s="36">
        <v>0.00636574074074074</v>
      </c>
    </row>
    <row r="219" ht="22.5" customHeight="1">
      <c r="A219" s="100">
        <v>45908.0</v>
      </c>
      <c r="B219" s="26" t="s">
        <v>4951</v>
      </c>
      <c r="C219" s="87" t="s">
        <v>5010</v>
      </c>
      <c r="D219" s="90" t="s">
        <v>5011</v>
      </c>
      <c r="E219" s="96"/>
      <c r="F219" s="116" t="s">
        <v>5070</v>
      </c>
      <c r="G219" s="36">
        <v>0.0062268518518518515</v>
      </c>
    </row>
    <row r="220" ht="22.5" customHeight="1">
      <c r="A220" s="100">
        <v>45908.0</v>
      </c>
      <c r="B220" s="26" t="s">
        <v>4951</v>
      </c>
      <c r="C220" s="87" t="s">
        <v>5010</v>
      </c>
      <c r="D220" s="90" t="s">
        <v>5011</v>
      </c>
      <c r="E220" s="114"/>
      <c r="F220" s="88" t="s">
        <v>4960</v>
      </c>
      <c r="G220" s="36">
        <v>0.08680555555555555</v>
      </c>
    </row>
    <row r="221" ht="22.5" customHeight="1">
      <c r="A221" s="100">
        <v>45909.0</v>
      </c>
      <c r="B221" s="103" t="s">
        <v>4974</v>
      </c>
      <c r="C221" s="98" t="s">
        <v>4974</v>
      </c>
      <c r="D221" s="99"/>
      <c r="E221" s="98"/>
      <c r="F221" s="88" t="s">
        <v>5071</v>
      </c>
      <c r="G221" s="36">
        <v>0.06458333333333334</v>
      </c>
    </row>
    <row r="222" ht="22.5" customHeight="1">
      <c r="A222" s="100">
        <v>45910.0</v>
      </c>
      <c r="B222" s="103" t="s">
        <v>4974</v>
      </c>
      <c r="C222" s="98" t="s">
        <v>4974</v>
      </c>
      <c r="D222" s="99"/>
      <c r="E222" s="98"/>
      <c r="F222" s="88" t="s">
        <v>4974</v>
      </c>
      <c r="G222" s="36">
        <v>0.003472222222222222</v>
      </c>
    </row>
    <row r="223" ht="22.5" customHeight="1">
      <c r="A223" s="100">
        <v>45910.0</v>
      </c>
      <c r="B223" s="26" t="s">
        <v>4951</v>
      </c>
      <c r="C223" s="87" t="s">
        <v>4956</v>
      </c>
      <c r="D223" s="90" t="s">
        <v>5072</v>
      </c>
      <c r="E223" s="87" t="s">
        <v>5073</v>
      </c>
      <c r="F223" s="88" t="s">
        <v>5074</v>
      </c>
      <c r="G223" s="36">
        <v>0.011805555555555555</v>
      </c>
    </row>
    <row r="224" ht="22.5" customHeight="1">
      <c r="A224" s="100">
        <v>45910.0</v>
      </c>
      <c r="B224" s="26" t="s">
        <v>4951</v>
      </c>
      <c r="C224" s="87" t="s">
        <v>4956</v>
      </c>
      <c r="D224" s="90" t="s">
        <v>5072</v>
      </c>
      <c r="E224" s="87" t="s">
        <v>5073</v>
      </c>
      <c r="F224" s="88" t="s">
        <v>5075</v>
      </c>
      <c r="G224" s="36">
        <v>0.002777777777777778</v>
      </c>
    </row>
    <row r="225" ht="22.5" customHeight="1">
      <c r="A225" s="100">
        <v>45910.0</v>
      </c>
      <c r="B225" s="26" t="s">
        <v>4951</v>
      </c>
      <c r="C225" s="87" t="s">
        <v>4956</v>
      </c>
      <c r="D225" s="90" t="s">
        <v>5072</v>
      </c>
      <c r="E225" s="87" t="s">
        <v>5076</v>
      </c>
      <c r="F225" s="88" t="s">
        <v>5077</v>
      </c>
      <c r="G225" s="36">
        <v>6.944444444444445E-4</v>
      </c>
    </row>
    <row r="226" ht="22.5" customHeight="1">
      <c r="A226" s="100">
        <v>45910.0</v>
      </c>
      <c r="B226" s="26" t="s">
        <v>4951</v>
      </c>
      <c r="C226" s="87" t="s">
        <v>4956</v>
      </c>
      <c r="D226" s="90" t="s">
        <v>5072</v>
      </c>
      <c r="E226" s="87" t="s">
        <v>5076</v>
      </c>
      <c r="F226" s="88" t="s">
        <v>5078</v>
      </c>
      <c r="G226" s="36">
        <v>6.944444444444445E-4</v>
      </c>
    </row>
    <row r="227" ht="22.5" customHeight="1">
      <c r="A227" s="100">
        <v>45910.0</v>
      </c>
      <c r="B227" s="26" t="s">
        <v>4951</v>
      </c>
      <c r="C227" s="87" t="s">
        <v>4956</v>
      </c>
      <c r="D227" s="90" t="s">
        <v>5072</v>
      </c>
      <c r="E227" s="87" t="s">
        <v>5076</v>
      </c>
      <c r="F227" s="88" t="s">
        <v>5079</v>
      </c>
      <c r="G227" s="36">
        <v>0.0020833333333333333</v>
      </c>
    </row>
    <row r="228" ht="22.5" customHeight="1">
      <c r="A228" s="100">
        <v>45910.0</v>
      </c>
      <c r="B228" s="26" t="s">
        <v>4951</v>
      </c>
      <c r="C228" s="87" t="s">
        <v>4956</v>
      </c>
      <c r="D228" s="90" t="s">
        <v>5072</v>
      </c>
      <c r="E228" s="87" t="s">
        <v>5076</v>
      </c>
      <c r="F228" s="88" t="s">
        <v>5080</v>
      </c>
      <c r="G228" s="36">
        <v>0.001388888888888889</v>
      </c>
    </row>
    <row r="229" ht="22.5" customHeight="1">
      <c r="A229" s="100">
        <v>45910.0</v>
      </c>
      <c r="B229" s="26" t="s">
        <v>4951</v>
      </c>
      <c r="C229" s="87" t="s">
        <v>4956</v>
      </c>
      <c r="D229" s="90" t="s">
        <v>5072</v>
      </c>
      <c r="E229" s="87" t="s">
        <v>5076</v>
      </c>
      <c r="F229" s="88" t="s">
        <v>5081</v>
      </c>
      <c r="G229" s="36">
        <v>0.002777777777777778</v>
      </c>
    </row>
    <row r="230" ht="22.5" customHeight="1">
      <c r="A230" s="100">
        <v>45910.0</v>
      </c>
      <c r="B230" s="26" t="s">
        <v>4951</v>
      </c>
      <c r="C230" s="87" t="s">
        <v>4956</v>
      </c>
      <c r="D230" s="90" t="s">
        <v>5072</v>
      </c>
      <c r="E230" s="87" t="s">
        <v>5076</v>
      </c>
      <c r="F230" s="88" t="s">
        <v>5082</v>
      </c>
      <c r="G230" s="36">
        <v>0.001388888888888889</v>
      </c>
    </row>
    <row r="231" ht="22.5" customHeight="1">
      <c r="A231" s="100">
        <v>45910.0</v>
      </c>
      <c r="B231" s="26" t="s">
        <v>4951</v>
      </c>
      <c r="C231" s="87" t="s">
        <v>4956</v>
      </c>
      <c r="D231" s="90" t="s">
        <v>5072</v>
      </c>
      <c r="E231" s="87" t="s">
        <v>5076</v>
      </c>
      <c r="F231" s="88" t="s">
        <v>5083</v>
      </c>
      <c r="G231" s="36">
        <v>0.007638888888888889</v>
      </c>
    </row>
    <row r="232" ht="22.5" customHeight="1">
      <c r="A232" s="100">
        <v>45910.0</v>
      </c>
      <c r="B232" s="26" t="s">
        <v>4951</v>
      </c>
      <c r="C232" s="87" t="s">
        <v>4956</v>
      </c>
      <c r="D232" s="90" t="s">
        <v>5072</v>
      </c>
      <c r="E232" s="87" t="s">
        <v>5084</v>
      </c>
      <c r="F232" s="88" t="s">
        <v>5085</v>
      </c>
      <c r="G232" s="36">
        <v>6.944444444444445E-4</v>
      </c>
    </row>
    <row r="233" ht="22.5" customHeight="1">
      <c r="A233" s="100">
        <v>45910.0</v>
      </c>
      <c r="B233" s="26" t="s">
        <v>4951</v>
      </c>
      <c r="C233" s="87" t="s">
        <v>4956</v>
      </c>
      <c r="D233" s="90" t="s">
        <v>5072</v>
      </c>
      <c r="E233" s="87" t="s">
        <v>5084</v>
      </c>
      <c r="F233" s="88" t="s">
        <v>5086</v>
      </c>
      <c r="G233" s="36">
        <v>6.944444444444445E-4</v>
      </c>
    </row>
    <row r="234" ht="22.5" customHeight="1">
      <c r="A234" s="100">
        <v>45910.0</v>
      </c>
      <c r="B234" s="26" t="s">
        <v>4951</v>
      </c>
      <c r="C234" s="87" t="s">
        <v>4956</v>
      </c>
      <c r="D234" s="90" t="s">
        <v>5072</v>
      </c>
      <c r="E234" s="87" t="s">
        <v>5084</v>
      </c>
      <c r="F234" s="88" t="s">
        <v>5087</v>
      </c>
      <c r="G234" s="36">
        <v>0.002777777777777778</v>
      </c>
    </row>
    <row r="235" ht="22.5" customHeight="1">
      <c r="A235" s="100">
        <v>45910.0</v>
      </c>
      <c r="B235" s="26" t="s">
        <v>4951</v>
      </c>
      <c r="C235" s="87" t="s">
        <v>4956</v>
      </c>
      <c r="D235" s="90" t="s">
        <v>5072</v>
      </c>
      <c r="E235" s="87" t="s">
        <v>5084</v>
      </c>
      <c r="F235" s="88" t="s">
        <v>5088</v>
      </c>
      <c r="G235" s="36">
        <v>0.005555555555555556</v>
      </c>
    </row>
    <row r="236" ht="22.5" customHeight="1">
      <c r="A236" s="100">
        <v>45910.0</v>
      </c>
      <c r="B236" s="26" t="s">
        <v>4951</v>
      </c>
      <c r="C236" s="87" t="s">
        <v>4956</v>
      </c>
      <c r="D236" s="90" t="s">
        <v>5072</v>
      </c>
      <c r="E236" s="87" t="s">
        <v>5084</v>
      </c>
      <c r="F236" s="88" t="s">
        <v>5089</v>
      </c>
      <c r="G236" s="36">
        <v>0.004861111111111111</v>
      </c>
    </row>
    <row r="237" ht="22.5" customHeight="1">
      <c r="A237" s="100">
        <v>45910.0</v>
      </c>
      <c r="B237" s="26" t="s">
        <v>4951</v>
      </c>
      <c r="C237" s="87" t="s">
        <v>4956</v>
      </c>
      <c r="D237" s="90" t="s">
        <v>5072</v>
      </c>
      <c r="E237" s="87" t="s">
        <v>5084</v>
      </c>
      <c r="F237" s="88" t="s">
        <v>4960</v>
      </c>
      <c r="G237" s="36">
        <v>0.03125</v>
      </c>
    </row>
    <row r="238" ht="22.5" customHeight="1">
      <c r="A238" s="100">
        <v>45911.0</v>
      </c>
      <c r="B238" s="103" t="s">
        <v>4974</v>
      </c>
      <c r="C238" s="98" t="s">
        <v>4974</v>
      </c>
      <c r="D238" s="99"/>
      <c r="E238" s="98"/>
      <c r="F238" s="88" t="s">
        <v>4974</v>
      </c>
      <c r="G238" s="36">
        <v>0.003472222222222222</v>
      </c>
    </row>
    <row r="239" ht="22.5" customHeight="1">
      <c r="A239" s="100">
        <v>45911.0</v>
      </c>
      <c r="B239" s="26" t="s">
        <v>4951</v>
      </c>
      <c r="C239" s="87" t="s">
        <v>4956</v>
      </c>
      <c r="D239" s="90" t="s">
        <v>5072</v>
      </c>
      <c r="E239" s="87" t="s">
        <v>5084</v>
      </c>
      <c r="F239" s="88" t="s">
        <v>5090</v>
      </c>
      <c r="G239" s="36">
        <v>0.0022569444444444442</v>
      </c>
    </row>
    <row r="240" ht="22.5" customHeight="1">
      <c r="A240" s="100">
        <v>45911.0</v>
      </c>
      <c r="B240" s="26" t="s">
        <v>4951</v>
      </c>
      <c r="C240" s="87" t="s">
        <v>4956</v>
      </c>
      <c r="D240" s="90" t="s">
        <v>5072</v>
      </c>
      <c r="E240" s="87" t="s">
        <v>5084</v>
      </c>
      <c r="F240" s="88" t="s">
        <v>5091</v>
      </c>
      <c r="G240" s="36">
        <v>6.944444444444445E-4</v>
      </c>
    </row>
    <row r="241" ht="22.5" customHeight="1">
      <c r="A241" s="100">
        <v>45911.0</v>
      </c>
      <c r="B241" s="26" t="s">
        <v>4951</v>
      </c>
      <c r="C241" s="87" t="s">
        <v>4956</v>
      </c>
      <c r="D241" s="90" t="s">
        <v>5072</v>
      </c>
      <c r="E241" s="87" t="s">
        <v>5084</v>
      </c>
      <c r="F241" s="88" t="s">
        <v>5092</v>
      </c>
      <c r="G241" s="36">
        <v>0.002361111111111111</v>
      </c>
    </row>
    <row r="242" ht="22.5" customHeight="1">
      <c r="A242" s="100">
        <v>45911.0</v>
      </c>
      <c r="B242" s="26" t="s">
        <v>4951</v>
      </c>
      <c r="C242" s="87" t="s">
        <v>4956</v>
      </c>
      <c r="D242" s="90" t="s">
        <v>5072</v>
      </c>
      <c r="E242" s="87" t="s">
        <v>5084</v>
      </c>
      <c r="F242" s="88" t="s">
        <v>5093</v>
      </c>
      <c r="G242" s="36">
        <v>0.00982638888888889</v>
      </c>
    </row>
    <row r="243" ht="22.5" customHeight="1">
      <c r="A243" s="100">
        <v>45911.0</v>
      </c>
      <c r="B243" s="26" t="s">
        <v>4951</v>
      </c>
      <c r="C243" s="87" t="s">
        <v>4956</v>
      </c>
      <c r="D243" s="90" t="s">
        <v>5072</v>
      </c>
      <c r="E243" s="87" t="s">
        <v>5084</v>
      </c>
      <c r="F243" s="88" t="s">
        <v>4960</v>
      </c>
      <c r="G243" s="36">
        <v>0.020833333333333332</v>
      </c>
    </row>
    <row r="244" ht="22.5" customHeight="1">
      <c r="A244" s="100">
        <v>45911.0</v>
      </c>
      <c r="B244" s="106" t="s">
        <v>4978</v>
      </c>
      <c r="C244" s="87" t="s">
        <v>5010</v>
      </c>
      <c r="D244" s="90" t="s">
        <v>5048</v>
      </c>
      <c r="E244" s="87"/>
      <c r="F244" s="105" t="s">
        <v>5094</v>
      </c>
      <c r="G244" s="36">
        <v>0.015752314814814816</v>
      </c>
    </row>
    <row r="245" ht="22.5" customHeight="1">
      <c r="A245" s="100">
        <v>45912.0</v>
      </c>
      <c r="B245" s="26" t="s">
        <v>4951</v>
      </c>
      <c r="C245" s="87" t="s">
        <v>4956</v>
      </c>
      <c r="D245" s="90" t="s">
        <v>5072</v>
      </c>
      <c r="E245" s="87" t="s">
        <v>5095</v>
      </c>
      <c r="F245" s="88" t="s">
        <v>5096</v>
      </c>
      <c r="G245" s="36">
        <v>5.439814814814814E-4</v>
      </c>
    </row>
    <row r="246" ht="22.5" customHeight="1">
      <c r="A246" s="100">
        <v>45912.0</v>
      </c>
      <c r="B246" s="26" t="s">
        <v>4951</v>
      </c>
      <c r="C246" s="87" t="s">
        <v>4956</v>
      </c>
      <c r="D246" s="90" t="s">
        <v>5072</v>
      </c>
      <c r="E246" s="87" t="s">
        <v>5095</v>
      </c>
      <c r="F246" s="88" t="s">
        <v>5097</v>
      </c>
      <c r="G246" s="36">
        <v>6.944444444444445E-4</v>
      </c>
    </row>
    <row r="247" ht="22.5" customHeight="1">
      <c r="A247" s="100">
        <v>45912.0</v>
      </c>
      <c r="B247" s="26" t="s">
        <v>4951</v>
      </c>
      <c r="C247" s="87" t="s">
        <v>4956</v>
      </c>
      <c r="D247" s="90" t="s">
        <v>5072</v>
      </c>
      <c r="E247" s="87" t="s">
        <v>5095</v>
      </c>
      <c r="F247" s="88" t="s">
        <v>5098</v>
      </c>
      <c r="G247" s="36">
        <v>0.003472222222222222</v>
      </c>
    </row>
    <row r="248" ht="22.5" customHeight="1">
      <c r="A248" s="100">
        <v>45912.0</v>
      </c>
      <c r="B248" s="26" t="s">
        <v>4951</v>
      </c>
      <c r="C248" s="87" t="s">
        <v>4956</v>
      </c>
      <c r="D248" s="90" t="s">
        <v>5072</v>
      </c>
      <c r="E248" s="87" t="s">
        <v>5095</v>
      </c>
      <c r="F248" s="88" t="s">
        <v>5099</v>
      </c>
      <c r="G248" s="36">
        <v>0.008333333333333333</v>
      </c>
    </row>
    <row r="249" ht="22.5" customHeight="1">
      <c r="A249" s="100">
        <v>45912.0</v>
      </c>
      <c r="B249" s="26" t="s">
        <v>4951</v>
      </c>
      <c r="C249" s="87" t="s">
        <v>4956</v>
      </c>
      <c r="D249" s="90" t="s">
        <v>5072</v>
      </c>
      <c r="E249" s="87" t="s">
        <v>5095</v>
      </c>
      <c r="F249" s="88" t="s">
        <v>5100</v>
      </c>
      <c r="G249" s="36">
        <v>0.001388888888888889</v>
      </c>
    </row>
    <row r="250" ht="22.5" customHeight="1">
      <c r="A250" s="100">
        <v>45912.0</v>
      </c>
      <c r="B250" s="26" t="s">
        <v>4951</v>
      </c>
      <c r="C250" s="87" t="s">
        <v>4956</v>
      </c>
      <c r="D250" s="90" t="s">
        <v>5072</v>
      </c>
      <c r="E250" s="87" t="s">
        <v>5095</v>
      </c>
      <c r="F250" s="88" t="s">
        <v>5101</v>
      </c>
      <c r="G250" s="36">
        <v>0.0125</v>
      </c>
    </row>
    <row r="251" ht="22.5" customHeight="1">
      <c r="A251" s="100">
        <v>45912.0</v>
      </c>
      <c r="B251" s="26" t="s">
        <v>4951</v>
      </c>
      <c r="C251" s="87" t="s">
        <v>4956</v>
      </c>
      <c r="D251" s="90" t="s">
        <v>5072</v>
      </c>
      <c r="E251" s="87" t="s">
        <v>5095</v>
      </c>
      <c r="F251" s="88" t="s">
        <v>4960</v>
      </c>
      <c r="G251" s="36">
        <v>0.041666666666666664</v>
      </c>
    </row>
    <row r="252" ht="22.5" customHeight="1">
      <c r="A252" s="100">
        <v>45912.0</v>
      </c>
      <c r="B252" s="103" t="s">
        <v>4974</v>
      </c>
      <c r="C252" s="98" t="s">
        <v>4974</v>
      </c>
      <c r="D252" s="99"/>
      <c r="E252" s="98"/>
      <c r="F252" s="88" t="s">
        <v>4974</v>
      </c>
      <c r="G252" s="36">
        <v>0.003472222222222222</v>
      </c>
    </row>
    <row r="253" ht="22.5" customHeight="1">
      <c r="A253" s="100">
        <v>45913.0</v>
      </c>
      <c r="B253" s="103" t="s">
        <v>4974</v>
      </c>
      <c r="C253" s="98" t="s">
        <v>4974</v>
      </c>
      <c r="D253" s="99"/>
      <c r="E253" s="98"/>
      <c r="F253" s="88" t="s">
        <v>4974</v>
      </c>
      <c r="G253" s="36">
        <v>0.006944444444444444</v>
      </c>
    </row>
    <row r="254" ht="22.5" customHeight="1">
      <c r="A254" s="100">
        <v>45913.0</v>
      </c>
      <c r="B254" s="106" t="s">
        <v>4978</v>
      </c>
      <c r="C254" s="87" t="s">
        <v>5010</v>
      </c>
      <c r="D254" s="90" t="s">
        <v>5048</v>
      </c>
      <c r="E254" s="87"/>
      <c r="F254" s="104" t="s">
        <v>5102</v>
      </c>
      <c r="G254" s="36">
        <v>0.02428240740740741</v>
      </c>
    </row>
    <row r="255" ht="22.5" customHeight="1">
      <c r="A255" s="100">
        <v>45913.0</v>
      </c>
      <c r="B255" s="26" t="s">
        <v>4951</v>
      </c>
      <c r="C255" s="87" t="s">
        <v>4956</v>
      </c>
      <c r="D255" s="90" t="s">
        <v>5072</v>
      </c>
      <c r="E255" s="87" t="s">
        <v>5095</v>
      </c>
      <c r="F255" s="88" t="s">
        <v>5103</v>
      </c>
      <c r="G255" s="36">
        <v>0.005775462962962963</v>
      </c>
    </row>
    <row r="256" ht="22.5" customHeight="1">
      <c r="A256" s="100">
        <v>45913.0</v>
      </c>
      <c r="B256" s="26" t="s">
        <v>4951</v>
      </c>
      <c r="C256" s="87" t="s">
        <v>4956</v>
      </c>
      <c r="D256" s="90" t="s">
        <v>5072</v>
      </c>
      <c r="E256" s="87" t="s">
        <v>5095</v>
      </c>
      <c r="F256" s="88" t="s">
        <v>4960</v>
      </c>
      <c r="G256" s="36">
        <v>0.03263888888888889</v>
      </c>
    </row>
    <row r="257" ht="22.5" customHeight="1">
      <c r="A257" s="100">
        <v>45914.0</v>
      </c>
      <c r="B257" s="106" t="s">
        <v>4974</v>
      </c>
      <c r="C257" s="107" t="s">
        <v>4974</v>
      </c>
      <c r="D257" s="110"/>
      <c r="E257" s="110"/>
      <c r="F257" s="111" t="s">
        <v>4974</v>
      </c>
      <c r="G257" s="117">
        <v>0.006944444444444444</v>
      </c>
    </row>
    <row r="258" ht="22.5" customHeight="1">
      <c r="A258" s="100">
        <v>45914.0</v>
      </c>
      <c r="B258" s="26" t="s">
        <v>4951</v>
      </c>
      <c r="C258" s="87" t="s">
        <v>4956</v>
      </c>
      <c r="D258" s="90" t="s">
        <v>5072</v>
      </c>
      <c r="E258" s="87" t="s">
        <v>5095</v>
      </c>
      <c r="F258" s="88" t="s">
        <v>5103</v>
      </c>
      <c r="G258" s="118">
        <v>0.009722222222222222</v>
      </c>
    </row>
    <row r="259" ht="22.5" customHeight="1">
      <c r="A259" s="100">
        <v>45914.0</v>
      </c>
      <c r="B259" s="26" t="s">
        <v>4951</v>
      </c>
      <c r="C259" s="87" t="s">
        <v>5010</v>
      </c>
      <c r="D259" s="90" t="s">
        <v>5104</v>
      </c>
      <c r="E259" s="87"/>
      <c r="F259" s="104" t="s">
        <v>5105</v>
      </c>
      <c r="G259" s="118">
        <v>0.0042824074074074075</v>
      </c>
    </row>
    <row r="260" ht="22.5" customHeight="1">
      <c r="A260" s="100">
        <v>45914.0</v>
      </c>
      <c r="B260" s="26" t="s">
        <v>4951</v>
      </c>
      <c r="C260" s="87" t="s">
        <v>5010</v>
      </c>
      <c r="D260" s="90" t="s">
        <v>5104</v>
      </c>
      <c r="E260" s="87"/>
      <c r="F260" s="104" t="s">
        <v>5106</v>
      </c>
      <c r="G260" s="118">
        <v>0.004965277777777778</v>
      </c>
    </row>
    <row r="261" ht="22.5" customHeight="1">
      <c r="A261" s="100">
        <v>45914.0</v>
      </c>
      <c r="B261" s="26" t="s">
        <v>4951</v>
      </c>
      <c r="C261" s="87" t="s">
        <v>5010</v>
      </c>
      <c r="D261" s="90" t="s">
        <v>5104</v>
      </c>
      <c r="E261" s="87"/>
      <c r="F261" s="104" t="s">
        <v>5107</v>
      </c>
      <c r="G261" s="118">
        <v>0.007268518518518519</v>
      </c>
    </row>
    <row r="262" ht="22.5" customHeight="1">
      <c r="A262" s="100">
        <v>45914.0</v>
      </c>
      <c r="B262" s="26" t="s">
        <v>4951</v>
      </c>
      <c r="C262" s="87" t="s">
        <v>5010</v>
      </c>
      <c r="D262" s="90" t="s">
        <v>5104</v>
      </c>
      <c r="E262" s="87"/>
      <c r="F262" s="104" t="s">
        <v>5108</v>
      </c>
      <c r="G262" s="118">
        <v>0.006759259259259259</v>
      </c>
    </row>
    <row r="263" ht="22.5" customHeight="1">
      <c r="A263" s="100">
        <v>45914.0</v>
      </c>
      <c r="B263" s="26" t="s">
        <v>4951</v>
      </c>
      <c r="C263" s="87" t="s">
        <v>5010</v>
      </c>
      <c r="D263" s="90" t="s">
        <v>5104</v>
      </c>
      <c r="E263" s="87"/>
      <c r="F263" s="104" t="s">
        <v>5109</v>
      </c>
      <c r="G263" s="118">
        <v>0.005636574074074074</v>
      </c>
    </row>
    <row r="264" ht="22.5" customHeight="1">
      <c r="A264" s="100">
        <v>45914.0</v>
      </c>
      <c r="B264" s="26" t="s">
        <v>4951</v>
      </c>
      <c r="C264" s="87" t="s">
        <v>5010</v>
      </c>
      <c r="D264" s="90" t="s">
        <v>5104</v>
      </c>
      <c r="E264" s="87"/>
      <c r="F264" s="88" t="s">
        <v>4960</v>
      </c>
      <c r="G264" s="118">
        <v>0.020833333333333332</v>
      </c>
    </row>
    <row r="265" ht="22.5" customHeight="1">
      <c r="A265" s="100">
        <v>45915.0</v>
      </c>
      <c r="B265" s="103" t="s">
        <v>4974</v>
      </c>
      <c r="C265" s="98" t="s">
        <v>4974</v>
      </c>
      <c r="D265" s="99"/>
      <c r="E265" s="98"/>
      <c r="F265" s="88" t="s">
        <v>4974</v>
      </c>
      <c r="G265" s="36">
        <v>0.003472222222222222</v>
      </c>
    </row>
    <row r="266" ht="22.5" customHeight="1">
      <c r="A266" s="100">
        <v>45915.0</v>
      </c>
      <c r="B266" s="26" t="s">
        <v>4951</v>
      </c>
      <c r="C266" s="87" t="s">
        <v>5010</v>
      </c>
      <c r="D266" s="90" t="s">
        <v>5104</v>
      </c>
      <c r="E266" s="98"/>
      <c r="F266" s="104" t="s">
        <v>5110</v>
      </c>
      <c r="G266" s="36">
        <v>0.00787037037037037</v>
      </c>
    </row>
    <row r="267" ht="22.5" customHeight="1">
      <c r="A267" s="100">
        <v>45915.0</v>
      </c>
      <c r="B267" s="26" t="s">
        <v>4951</v>
      </c>
      <c r="C267" s="87" t="s">
        <v>5010</v>
      </c>
      <c r="D267" s="90" t="s">
        <v>5104</v>
      </c>
      <c r="E267" s="98"/>
      <c r="F267" s="104" t="s">
        <v>5111</v>
      </c>
      <c r="G267" s="36">
        <v>0.004270833333333333</v>
      </c>
    </row>
    <row r="268" ht="22.5" customHeight="1">
      <c r="A268" s="100">
        <v>45915.0</v>
      </c>
      <c r="B268" s="26" t="s">
        <v>4951</v>
      </c>
      <c r="C268" s="87" t="s">
        <v>5010</v>
      </c>
      <c r="D268" s="90" t="s">
        <v>5104</v>
      </c>
      <c r="E268" s="98"/>
      <c r="F268" s="104" t="s">
        <v>5112</v>
      </c>
      <c r="G268" s="36">
        <v>0.007627314814814815</v>
      </c>
    </row>
    <row r="269" ht="22.5" customHeight="1">
      <c r="A269" s="100">
        <v>45915.0</v>
      </c>
      <c r="B269" s="26" t="s">
        <v>4951</v>
      </c>
      <c r="C269" s="87" t="s">
        <v>5010</v>
      </c>
      <c r="D269" s="90" t="s">
        <v>5104</v>
      </c>
      <c r="E269" s="98"/>
      <c r="F269" s="104" t="s">
        <v>5113</v>
      </c>
      <c r="G269" s="36">
        <v>0.006238425925925926</v>
      </c>
    </row>
    <row r="270" ht="22.5" customHeight="1">
      <c r="A270" s="100">
        <v>45915.0</v>
      </c>
      <c r="B270" s="26" t="s">
        <v>4951</v>
      </c>
      <c r="C270" s="87" t="s">
        <v>5010</v>
      </c>
      <c r="D270" s="90" t="s">
        <v>5104</v>
      </c>
      <c r="E270" s="98"/>
      <c r="F270" s="104" t="s">
        <v>5114</v>
      </c>
      <c r="G270" s="36">
        <v>0.005497685185185185</v>
      </c>
    </row>
    <row r="271" ht="22.5" customHeight="1">
      <c r="A271" s="100">
        <v>45915.0</v>
      </c>
      <c r="B271" s="26" t="s">
        <v>4951</v>
      </c>
      <c r="C271" s="87" t="s">
        <v>5010</v>
      </c>
      <c r="D271" s="90" t="s">
        <v>5104</v>
      </c>
      <c r="E271" s="98"/>
      <c r="F271" s="104" t="s">
        <v>5115</v>
      </c>
      <c r="G271" s="36">
        <v>0.008078703703703704</v>
      </c>
    </row>
    <row r="272" ht="22.5" customHeight="1">
      <c r="A272" s="100">
        <v>45915.0</v>
      </c>
      <c r="B272" s="26" t="s">
        <v>4951</v>
      </c>
      <c r="C272" s="87" t="s">
        <v>5010</v>
      </c>
      <c r="D272" s="90" t="s">
        <v>5104</v>
      </c>
      <c r="E272" s="98"/>
      <c r="F272" s="104" t="s">
        <v>5116</v>
      </c>
      <c r="G272" s="36">
        <v>0.008888888888888889</v>
      </c>
    </row>
    <row r="273" ht="22.5" customHeight="1">
      <c r="A273" s="100">
        <v>45915.0</v>
      </c>
      <c r="B273" s="26" t="s">
        <v>4951</v>
      </c>
      <c r="C273" s="87" t="s">
        <v>5010</v>
      </c>
      <c r="D273" s="90" t="s">
        <v>5104</v>
      </c>
      <c r="E273" s="98"/>
      <c r="F273" s="104" t="s">
        <v>5117</v>
      </c>
      <c r="G273" s="36">
        <v>0.005335648148148148</v>
      </c>
    </row>
    <row r="274" ht="22.5" customHeight="1">
      <c r="A274" s="100">
        <v>45915.0</v>
      </c>
      <c r="B274" s="26" t="s">
        <v>4951</v>
      </c>
      <c r="C274" s="87" t="s">
        <v>5010</v>
      </c>
      <c r="D274" s="90" t="s">
        <v>5104</v>
      </c>
      <c r="E274" s="98"/>
      <c r="F274" s="104" t="s">
        <v>5118</v>
      </c>
      <c r="G274" s="36">
        <v>0.004270833333333333</v>
      </c>
    </row>
    <row r="275" ht="22.5" customHeight="1">
      <c r="A275" s="100">
        <v>45915.0</v>
      </c>
      <c r="B275" s="26" t="s">
        <v>4951</v>
      </c>
      <c r="C275" s="87" t="s">
        <v>5010</v>
      </c>
      <c r="D275" s="90" t="s">
        <v>5104</v>
      </c>
      <c r="E275" s="98"/>
      <c r="F275" s="104" t="s">
        <v>5119</v>
      </c>
      <c r="G275" s="36">
        <v>0.0071875</v>
      </c>
    </row>
    <row r="276" ht="22.5" customHeight="1">
      <c r="A276" s="100">
        <v>45915.0</v>
      </c>
      <c r="B276" s="26" t="s">
        <v>4951</v>
      </c>
      <c r="C276" s="87" t="s">
        <v>5010</v>
      </c>
      <c r="D276" s="90" t="s">
        <v>5104</v>
      </c>
      <c r="E276" s="87"/>
      <c r="F276" s="119" t="s">
        <v>4960</v>
      </c>
      <c r="G276" s="36">
        <v>0.013888888888888888</v>
      </c>
    </row>
    <row r="277" ht="22.5" customHeight="1">
      <c r="A277" s="100">
        <v>45915.0</v>
      </c>
      <c r="B277" s="26" t="s">
        <v>5120</v>
      </c>
      <c r="C277" s="87" t="s">
        <v>5121</v>
      </c>
      <c r="D277" s="90" t="s">
        <v>5122</v>
      </c>
      <c r="E277" s="87"/>
      <c r="F277" s="119"/>
      <c r="G277" s="36">
        <v>0.010416666666666666</v>
      </c>
    </row>
    <row r="278" ht="22.5" customHeight="1">
      <c r="A278" s="100">
        <v>45916.0</v>
      </c>
      <c r="B278" s="103" t="s">
        <v>4974</v>
      </c>
      <c r="C278" s="98" t="s">
        <v>4974</v>
      </c>
      <c r="D278" s="99"/>
      <c r="E278" s="98"/>
      <c r="F278" s="88" t="s">
        <v>4974</v>
      </c>
      <c r="G278" s="36">
        <v>0.003472222222222222</v>
      </c>
    </row>
    <row r="279" ht="22.5" customHeight="1">
      <c r="A279" s="100">
        <v>45916.0</v>
      </c>
      <c r="B279" s="26" t="s">
        <v>4951</v>
      </c>
      <c r="C279" s="87" t="s">
        <v>5010</v>
      </c>
      <c r="D279" s="90" t="s">
        <v>5104</v>
      </c>
      <c r="E279" s="98"/>
      <c r="F279" s="104" t="s">
        <v>5123</v>
      </c>
      <c r="G279" s="36">
        <v>0.005324074074074074</v>
      </c>
    </row>
    <row r="280" ht="22.5" customHeight="1">
      <c r="A280" s="100">
        <v>45916.0</v>
      </c>
      <c r="B280" s="26" t="s">
        <v>4951</v>
      </c>
      <c r="C280" s="87" t="s">
        <v>5010</v>
      </c>
      <c r="D280" s="90" t="s">
        <v>5104</v>
      </c>
      <c r="E280" s="98"/>
      <c r="F280" s="104" t="s">
        <v>5124</v>
      </c>
      <c r="G280" s="36">
        <v>0.006111111111111111</v>
      </c>
    </row>
    <row r="281" ht="22.5" customHeight="1">
      <c r="A281" s="100">
        <v>45916.0</v>
      </c>
      <c r="B281" s="26" t="s">
        <v>4951</v>
      </c>
      <c r="C281" s="87" t="s">
        <v>5010</v>
      </c>
      <c r="D281" s="90" t="s">
        <v>5104</v>
      </c>
      <c r="E281" s="98"/>
      <c r="F281" s="104" t="s">
        <v>5125</v>
      </c>
      <c r="G281" s="36">
        <v>0.006215277777777778</v>
      </c>
    </row>
    <row r="282" ht="22.5" customHeight="1">
      <c r="A282" s="100">
        <v>45916.0</v>
      </c>
      <c r="B282" s="26" t="s">
        <v>4951</v>
      </c>
      <c r="C282" s="87" t="s">
        <v>5010</v>
      </c>
      <c r="D282" s="90" t="s">
        <v>5104</v>
      </c>
      <c r="E282" s="98"/>
      <c r="F282" s="104" t="s">
        <v>5126</v>
      </c>
      <c r="G282" s="36">
        <v>0.005</v>
      </c>
    </row>
    <row r="283" ht="22.5" customHeight="1">
      <c r="A283" s="100">
        <v>45916.0</v>
      </c>
      <c r="B283" s="26" t="s">
        <v>4951</v>
      </c>
      <c r="C283" s="87" t="s">
        <v>5010</v>
      </c>
      <c r="D283" s="90" t="s">
        <v>5104</v>
      </c>
      <c r="E283" s="87"/>
      <c r="F283" s="119" t="s">
        <v>4960</v>
      </c>
      <c r="G283" s="36">
        <v>0.025</v>
      </c>
    </row>
    <row r="284" ht="22.5" customHeight="1">
      <c r="A284" s="100">
        <v>45916.0</v>
      </c>
      <c r="B284" s="26" t="s">
        <v>5120</v>
      </c>
      <c r="C284" s="87" t="s">
        <v>5121</v>
      </c>
      <c r="D284" s="90" t="s">
        <v>5122</v>
      </c>
      <c r="E284" s="87"/>
      <c r="F284" s="119"/>
      <c r="G284" s="36">
        <v>0.010416666666666666</v>
      </c>
    </row>
    <row r="285" ht="22.5" customHeight="1">
      <c r="A285" s="100">
        <v>45917.0</v>
      </c>
      <c r="B285" s="106" t="s">
        <v>4978</v>
      </c>
      <c r="C285" s="87" t="s">
        <v>5010</v>
      </c>
      <c r="D285" s="90" t="s">
        <v>5048</v>
      </c>
      <c r="E285" s="87"/>
      <c r="F285" s="119" t="s">
        <v>5127</v>
      </c>
      <c r="G285" s="36">
        <v>0.015856481481481482</v>
      </c>
    </row>
    <row r="286" ht="22.5" customHeight="1">
      <c r="A286" s="100">
        <v>45917.0</v>
      </c>
      <c r="B286" s="103" t="s">
        <v>4974</v>
      </c>
      <c r="C286" s="98" t="s">
        <v>4974</v>
      </c>
      <c r="D286" s="99"/>
      <c r="E286" s="98"/>
      <c r="F286" s="88" t="s">
        <v>4974</v>
      </c>
      <c r="G286" s="36">
        <v>0.003472222222222222</v>
      </c>
    </row>
    <row r="287" ht="22.5" customHeight="1">
      <c r="A287" s="100">
        <v>45917.0</v>
      </c>
      <c r="B287" s="26" t="s">
        <v>4951</v>
      </c>
      <c r="C287" s="87" t="s">
        <v>5010</v>
      </c>
      <c r="D287" s="90" t="s">
        <v>5104</v>
      </c>
      <c r="E287" s="98"/>
      <c r="F287" s="104" t="s">
        <v>5128</v>
      </c>
      <c r="G287" s="36">
        <v>0.007291666666666667</v>
      </c>
    </row>
    <row r="288" ht="22.5" customHeight="1">
      <c r="A288" s="100">
        <v>45917.0</v>
      </c>
      <c r="B288" s="26" t="s">
        <v>4951</v>
      </c>
      <c r="C288" s="87" t="s">
        <v>5010</v>
      </c>
      <c r="D288" s="90" t="s">
        <v>5104</v>
      </c>
      <c r="E288" s="98"/>
      <c r="F288" s="109" t="s">
        <v>5129</v>
      </c>
      <c r="G288" s="36">
        <v>0.008333333333333333</v>
      </c>
    </row>
    <row r="289" ht="22.5" customHeight="1">
      <c r="A289" s="100">
        <v>45917.0</v>
      </c>
      <c r="B289" s="26" t="s">
        <v>4951</v>
      </c>
      <c r="C289" s="87" t="s">
        <v>5010</v>
      </c>
      <c r="D289" s="90" t="s">
        <v>5104</v>
      </c>
      <c r="E289" s="87"/>
      <c r="F289" s="119" t="s">
        <v>4960</v>
      </c>
      <c r="G289" s="36">
        <v>0.025</v>
      </c>
    </row>
    <row r="290" ht="22.5" customHeight="1">
      <c r="A290" s="100">
        <v>45917.0</v>
      </c>
      <c r="B290" s="26" t="s">
        <v>5120</v>
      </c>
      <c r="C290" s="87" t="s">
        <v>5121</v>
      </c>
      <c r="D290" s="90" t="s">
        <v>5122</v>
      </c>
      <c r="E290" s="87"/>
      <c r="F290" s="119"/>
      <c r="G290" s="36">
        <v>0.010416666666666666</v>
      </c>
    </row>
    <row r="291" ht="22.5" customHeight="1">
      <c r="A291" s="100">
        <v>45918.0</v>
      </c>
      <c r="B291" s="103" t="s">
        <v>4974</v>
      </c>
      <c r="C291" s="98" t="s">
        <v>4974</v>
      </c>
      <c r="D291" s="99"/>
      <c r="E291" s="98"/>
      <c r="F291" s="88" t="s">
        <v>4974</v>
      </c>
      <c r="G291" s="36">
        <v>0.003472222222222222</v>
      </c>
    </row>
    <row r="292" ht="22.5" customHeight="1">
      <c r="A292" s="100">
        <v>45918.0</v>
      </c>
      <c r="B292" s="26" t="s">
        <v>4951</v>
      </c>
      <c r="C292" s="87" t="s">
        <v>5010</v>
      </c>
      <c r="D292" s="90" t="s">
        <v>5104</v>
      </c>
      <c r="E292" s="98"/>
      <c r="F292" s="104" t="s">
        <v>5130</v>
      </c>
      <c r="G292" s="36">
        <v>0.009837962962962963</v>
      </c>
    </row>
    <row r="293" ht="22.5" customHeight="1">
      <c r="A293" s="100">
        <v>45918.0</v>
      </c>
      <c r="B293" s="26" t="s">
        <v>4951</v>
      </c>
      <c r="C293" s="87" t="s">
        <v>5010</v>
      </c>
      <c r="D293" s="90" t="s">
        <v>5104</v>
      </c>
      <c r="E293" s="98"/>
      <c r="F293" s="104" t="s">
        <v>5131</v>
      </c>
      <c r="G293" s="36">
        <v>0.007430555555555556</v>
      </c>
    </row>
    <row r="294" ht="22.5" customHeight="1">
      <c r="A294" s="100">
        <v>45918.0</v>
      </c>
      <c r="B294" s="26" t="s">
        <v>4978</v>
      </c>
      <c r="C294" s="87" t="s">
        <v>5004</v>
      </c>
      <c r="D294" s="90"/>
      <c r="E294" s="98"/>
      <c r="F294" s="104" t="s">
        <v>5132</v>
      </c>
      <c r="G294" s="36">
        <v>0.005891203703703704</v>
      </c>
    </row>
    <row r="295" ht="22.5" customHeight="1">
      <c r="A295" s="100">
        <v>45918.0</v>
      </c>
      <c r="B295" s="26" t="s">
        <v>4978</v>
      </c>
      <c r="C295" s="87" t="s">
        <v>5010</v>
      </c>
      <c r="D295" s="90" t="s">
        <v>5104</v>
      </c>
      <c r="E295" s="87"/>
      <c r="F295" s="119" t="s">
        <v>4960</v>
      </c>
      <c r="G295" s="36">
        <v>0.003472222222222222</v>
      </c>
    </row>
    <row r="296" ht="22.5" customHeight="1">
      <c r="A296" s="100">
        <v>45918.0</v>
      </c>
      <c r="B296" s="26" t="s">
        <v>4978</v>
      </c>
      <c r="C296" s="87" t="s">
        <v>5004</v>
      </c>
      <c r="D296" s="90"/>
      <c r="E296" s="87"/>
      <c r="F296" s="104" t="s">
        <v>5133</v>
      </c>
      <c r="G296" s="36">
        <v>0.021030092592592593</v>
      </c>
    </row>
    <row r="297" ht="22.5" customHeight="1">
      <c r="A297" s="100">
        <v>45918.0</v>
      </c>
      <c r="B297" s="26" t="s">
        <v>5120</v>
      </c>
      <c r="C297" s="87" t="s">
        <v>5121</v>
      </c>
      <c r="D297" s="90" t="s">
        <v>5122</v>
      </c>
      <c r="E297" s="87"/>
      <c r="F297" s="119"/>
      <c r="G297" s="36">
        <v>0.010416666666666666</v>
      </c>
    </row>
    <row r="298" ht="22.5" customHeight="1">
      <c r="A298" s="100">
        <v>45919.0</v>
      </c>
      <c r="B298" s="103" t="s">
        <v>4974</v>
      </c>
      <c r="C298" s="98" t="s">
        <v>4974</v>
      </c>
      <c r="D298" s="99"/>
      <c r="E298" s="98"/>
      <c r="F298" s="88" t="s">
        <v>4974</v>
      </c>
      <c r="G298" s="36">
        <v>0.003472222222222222</v>
      </c>
    </row>
    <row r="299" ht="22.5" customHeight="1">
      <c r="A299" s="100">
        <v>45919.0</v>
      </c>
      <c r="B299" s="26" t="s">
        <v>4978</v>
      </c>
      <c r="C299" s="87" t="s">
        <v>5010</v>
      </c>
      <c r="D299" s="90" t="s">
        <v>5104</v>
      </c>
      <c r="E299" s="98"/>
      <c r="F299" s="104" t="s">
        <v>5134</v>
      </c>
      <c r="G299" s="36">
        <v>0.0037962962962962963</v>
      </c>
    </row>
    <row r="300" ht="22.5" customHeight="1">
      <c r="A300" s="100">
        <v>45919.0</v>
      </c>
      <c r="B300" s="26" t="s">
        <v>4978</v>
      </c>
      <c r="C300" s="87" t="s">
        <v>5010</v>
      </c>
      <c r="D300" s="90" t="s">
        <v>5104</v>
      </c>
      <c r="E300" s="98"/>
      <c r="F300" s="104" t="s">
        <v>5135</v>
      </c>
      <c r="G300" s="36">
        <v>0.007372685185185185</v>
      </c>
    </row>
    <row r="301" ht="22.5" customHeight="1">
      <c r="A301" s="100">
        <v>45919.0</v>
      </c>
      <c r="B301" s="26" t="s">
        <v>4978</v>
      </c>
      <c r="C301" s="87" t="s">
        <v>5004</v>
      </c>
      <c r="D301" s="90"/>
      <c r="E301" s="98"/>
      <c r="F301" s="104" t="s">
        <v>5136</v>
      </c>
      <c r="G301" s="36">
        <v>0.010798611111111111</v>
      </c>
    </row>
    <row r="302" ht="22.5" customHeight="1">
      <c r="A302" s="100">
        <v>45919.0</v>
      </c>
      <c r="B302" s="26" t="s">
        <v>4978</v>
      </c>
      <c r="C302" s="87" t="s">
        <v>5010</v>
      </c>
      <c r="D302" s="90" t="s">
        <v>5104</v>
      </c>
      <c r="E302" s="98"/>
      <c r="F302" s="104" t="s">
        <v>5137</v>
      </c>
      <c r="G302" s="36">
        <v>0.007847222222222222</v>
      </c>
    </row>
    <row r="303" ht="22.5" customHeight="1">
      <c r="A303" s="100">
        <v>45919.0</v>
      </c>
      <c r="B303" s="26" t="s">
        <v>4978</v>
      </c>
      <c r="C303" s="87" t="s">
        <v>5010</v>
      </c>
      <c r="D303" s="90" t="s">
        <v>5104</v>
      </c>
      <c r="E303" s="87"/>
      <c r="F303" s="119" t="s">
        <v>4960</v>
      </c>
      <c r="G303" s="36">
        <v>0.03680555555555556</v>
      </c>
    </row>
    <row r="304" ht="22.5" customHeight="1">
      <c r="A304" s="100">
        <v>45920.0</v>
      </c>
      <c r="B304" s="103" t="s">
        <v>4974</v>
      </c>
      <c r="C304" s="98" t="s">
        <v>4974</v>
      </c>
      <c r="D304" s="99"/>
      <c r="E304" s="98"/>
      <c r="F304" s="88" t="s">
        <v>4974</v>
      </c>
      <c r="G304" s="36">
        <v>0.003472222222222222</v>
      </c>
    </row>
    <row r="305" ht="22.5" customHeight="1">
      <c r="A305" s="100">
        <v>45920.0</v>
      </c>
      <c r="B305" s="26" t="s">
        <v>4978</v>
      </c>
      <c r="C305" s="87" t="s">
        <v>5010</v>
      </c>
      <c r="D305" s="90" t="s">
        <v>5048</v>
      </c>
      <c r="E305" s="98"/>
      <c r="F305" s="104" t="s">
        <v>5138</v>
      </c>
      <c r="G305" s="36">
        <v>0.018726851851851852</v>
      </c>
    </row>
    <row r="306" ht="22.5" customHeight="1">
      <c r="A306" s="100">
        <v>45920.0</v>
      </c>
      <c r="B306" s="26" t="s">
        <v>4978</v>
      </c>
      <c r="C306" s="87" t="s">
        <v>5010</v>
      </c>
      <c r="D306" s="90" t="s">
        <v>5048</v>
      </c>
      <c r="E306" s="98"/>
      <c r="F306" s="104" t="s">
        <v>5139</v>
      </c>
      <c r="G306" s="36">
        <v>0.008275462962962964</v>
      </c>
    </row>
    <row r="307" ht="22.5" customHeight="1">
      <c r="A307" s="100">
        <v>45920.0</v>
      </c>
      <c r="B307" s="26" t="s">
        <v>4978</v>
      </c>
      <c r="C307" s="87" t="s">
        <v>5010</v>
      </c>
      <c r="D307" s="90" t="s">
        <v>5048</v>
      </c>
      <c r="E307" s="98"/>
      <c r="F307" s="104" t="s">
        <v>5140</v>
      </c>
      <c r="G307" s="36">
        <v>0.006469907407407408</v>
      </c>
    </row>
    <row r="308" ht="22.5" customHeight="1">
      <c r="A308" s="100">
        <v>45920.0</v>
      </c>
      <c r="B308" s="26" t="s">
        <v>4978</v>
      </c>
      <c r="C308" s="87" t="s">
        <v>5010</v>
      </c>
      <c r="D308" s="90" t="s">
        <v>5104</v>
      </c>
      <c r="E308" s="98"/>
      <c r="F308" s="104" t="s">
        <v>5141</v>
      </c>
      <c r="G308" s="36">
        <v>0.003576388888888889</v>
      </c>
    </row>
    <row r="309" ht="22.5" customHeight="1">
      <c r="A309" s="100">
        <v>45920.0</v>
      </c>
      <c r="B309" s="26" t="s">
        <v>4978</v>
      </c>
      <c r="C309" s="87" t="s">
        <v>5010</v>
      </c>
      <c r="D309" s="90" t="s">
        <v>5104</v>
      </c>
      <c r="E309" s="98"/>
      <c r="F309" s="104" t="s">
        <v>5142</v>
      </c>
      <c r="G309" s="36">
        <v>0.00900462962962963</v>
      </c>
    </row>
    <row r="310" ht="22.5" customHeight="1">
      <c r="A310" s="100">
        <v>45920.0</v>
      </c>
      <c r="B310" s="26" t="s">
        <v>4978</v>
      </c>
      <c r="C310" s="87" t="s">
        <v>5010</v>
      </c>
      <c r="D310" s="90" t="s">
        <v>5104</v>
      </c>
      <c r="E310" s="98"/>
      <c r="F310" s="119" t="s">
        <v>4960</v>
      </c>
      <c r="G310" s="36">
        <v>0.020833333333333332</v>
      </c>
    </row>
    <row r="311" ht="22.5" customHeight="1">
      <c r="A311" s="100">
        <v>45921.0</v>
      </c>
      <c r="B311" s="26" t="s">
        <v>4978</v>
      </c>
      <c r="C311" s="87" t="s">
        <v>5010</v>
      </c>
      <c r="D311" s="90" t="s">
        <v>5048</v>
      </c>
      <c r="E311" s="98"/>
      <c r="F311" s="104" t="s">
        <v>5143</v>
      </c>
      <c r="G311" s="36">
        <v>0.014965277777777777</v>
      </c>
    </row>
    <row r="312" ht="22.5" customHeight="1">
      <c r="A312" s="100">
        <v>45921.0</v>
      </c>
      <c r="B312" s="26" t="s">
        <v>4978</v>
      </c>
      <c r="C312" s="87" t="s">
        <v>5010</v>
      </c>
      <c r="D312" s="90" t="s">
        <v>5048</v>
      </c>
      <c r="E312" s="98"/>
      <c r="F312" s="104" t="s">
        <v>5144</v>
      </c>
      <c r="G312" s="36">
        <v>0.007766203703703704</v>
      </c>
    </row>
    <row r="313" ht="22.5" customHeight="1">
      <c r="A313" s="100">
        <v>45921.0</v>
      </c>
      <c r="B313" s="26" t="s">
        <v>4978</v>
      </c>
      <c r="C313" s="87" t="s">
        <v>5010</v>
      </c>
      <c r="D313" s="90" t="s">
        <v>5048</v>
      </c>
      <c r="E313" s="98"/>
      <c r="F313" s="104" t="s">
        <v>5145</v>
      </c>
      <c r="G313" s="36">
        <v>0.03002314814814815</v>
      </c>
    </row>
    <row r="314" ht="22.5" customHeight="1">
      <c r="A314" s="100">
        <v>45921.0</v>
      </c>
      <c r="B314" s="26" t="s">
        <v>4978</v>
      </c>
      <c r="C314" s="87" t="s">
        <v>5010</v>
      </c>
      <c r="D314" s="90" t="s">
        <v>5048</v>
      </c>
      <c r="E314" s="98"/>
      <c r="F314" s="104" t="s">
        <v>5146</v>
      </c>
      <c r="G314" s="36">
        <v>0.027349537037037037</v>
      </c>
    </row>
    <row r="315" ht="22.5" customHeight="1">
      <c r="A315" s="100">
        <v>45921.0</v>
      </c>
      <c r="B315" s="103" t="s">
        <v>4974</v>
      </c>
      <c r="C315" s="98" t="s">
        <v>4974</v>
      </c>
      <c r="D315" s="99"/>
      <c r="E315" s="98"/>
      <c r="F315" s="88" t="s">
        <v>4974</v>
      </c>
      <c r="G315" s="36">
        <v>0.003472222222222222</v>
      </c>
    </row>
    <row r="316" ht="22.5" customHeight="1">
      <c r="A316" s="100">
        <v>45922.0</v>
      </c>
      <c r="B316" s="103" t="s">
        <v>4974</v>
      </c>
      <c r="C316" s="98" t="s">
        <v>4974</v>
      </c>
      <c r="D316" s="99"/>
      <c r="E316" s="98"/>
      <c r="F316" s="88" t="s">
        <v>4974</v>
      </c>
      <c r="G316" s="36">
        <v>0.003472222222222222</v>
      </c>
    </row>
    <row r="317" ht="22.5" customHeight="1">
      <c r="A317" s="100">
        <v>45922.0</v>
      </c>
      <c r="B317" s="26" t="s">
        <v>4978</v>
      </c>
      <c r="C317" s="87" t="s">
        <v>5010</v>
      </c>
      <c r="D317" s="90" t="s">
        <v>5104</v>
      </c>
      <c r="E317" s="98"/>
      <c r="F317" s="104" t="s">
        <v>5147</v>
      </c>
      <c r="G317" s="36">
        <v>0.0032523148148148147</v>
      </c>
    </row>
    <row r="318" ht="22.5" customHeight="1">
      <c r="A318" s="100">
        <v>45922.0</v>
      </c>
      <c r="B318" s="26" t="s">
        <v>4978</v>
      </c>
      <c r="C318" s="87" t="s">
        <v>5010</v>
      </c>
      <c r="D318" s="90" t="s">
        <v>5104</v>
      </c>
      <c r="E318" s="98"/>
      <c r="F318" s="104" t="s">
        <v>5148</v>
      </c>
      <c r="G318" s="36">
        <v>0.004201388888888889</v>
      </c>
    </row>
    <row r="319" ht="22.5" customHeight="1">
      <c r="A319" s="100">
        <v>45922.0</v>
      </c>
      <c r="B319" s="26" t="s">
        <v>4978</v>
      </c>
      <c r="C319" s="87" t="s">
        <v>5010</v>
      </c>
      <c r="D319" s="90" t="s">
        <v>5104</v>
      </c>
      <c r="E319" s="98"/>
      <c r="F319" s="104" t="s">
        <v>5149</v>
      </c>
      <c r="G319" s="36">
        <v>0.004953703703703704</v>
      </c>
    </row>
    <row r="320" ht="22.5" customHeight="1">
      <c r="A320" s="100">
        <v>45922.0</v>
      </c>
      <c r="B320" s="26" t="s">
        <v>4978</v>
      </c>
      <c r="C320" s="87" t="s">
        <v>5010</v>
      </c>
      <c r="D320" s="90" t="s">
        <v>5104</v>
      </c>
      <c r="E320" s="98"/>
      <c r="F320" s="119" t="s">
        <v>4960</v>
      </c>
      <c r="G320" s="36">
        <v>0.06666666666666667</v>
      </c>
    </row>
    <row r="321" ht="22.5" customHeight="1">
      <c r="A321" s="100">
        <v>45923.0</v>
      </c>
      <c r="B321" s="120" t="s">
        <v>4974</v>
      </c>
      <c r="C321" s="121" t="s">
        <v>4974</v>
      </c>
      <c r="D321" s="96"/>
      <c r="E321" s="96"/>
      <c r="F321" s="122" t="s">
        <v>4974</v>
      </c>
      <c r="G321" s="123">
        <v>0.003472222222222222</v>
      </c>
    </row>
    <row r="322" ht="22.5" customHeight="1">
      <c r="A322" s="100">
        <v>45923.0</v>
      </c>
      <c r="B322" s="26" t="s">
        <v>4978</v>
      </c>
      <c r="C322" s="87" t="s">
        <v>5010</v>
      </c>
      <c r="D322" s="90" t="s">
        <v>5104</v>
      </c>
      <c r="E322" s="98"/>
      <c r="F322" s="104" t="s">
        <v>5149</v>
      </c>
      <c r="G322" s="36">
        <v>0.004953703703703704</v>
      </c>
    </row>
    <row r="323" ht="22.5" customHeight="1">
      <c r="A323" s="100">
        <v>45923.0</v>
      </c>
      <c r="B323" s="26" t="s">
        <v>4978</v>
      </c>
      <c r="C323" s="87" t="s">
        <v>5010</v>
      </c>
      <c r="D323" s="90" t="s">
        <v>5104</v>
      </c>
      <c r="E323" s="98"/>
      <c r="F323" s="104" t="s">
        <v>5150</v>
      </c>
      <c r="G323" s="36">
        <v>0.004340277777777778</v>
      </c>
    </row>
    <row r="324" ht="22.5" customHeight="1">
      <c r="A324" s="100">
        <v>45923.0</v>
      </c>
      <c r="B324" s="26" t="s">
        <v>4978</v>
      </c>
      <c r="C324" s="87" t="s">
        <v>5010</v>
      </c>
      <c r="D324" s="90" t="s">
        <v>5104</v>
      </c>
      <c r="E324" s="98"/>
      <c r="F324" s="119" t="s">
        <v>4960</v>
      </c>
      <c r="G324" s="36">
        <v>0.03125</v>
      </c>
    </row>
    <row r="325" ht="22.5" customHeight="1">
      <c r="A325" s="100">
        <v>45924.0</v>
      </c>
      <c r="B325" s="26" t="s">
        <v>4978</v>
      </c>
      <c r="C325" s="87" t="s">
        <v>5010</v>
      </c>
      <c r="D325" s="90" t="s">
        <v>5104</v>
      </c>
      <c r="E325" s="98"/>
      <c r="F325" s="104" t="s">
        <v>5151</v>
      </c>
      <c r="G325" s="36">
        <v>0.0077777777777777776</v>
      </c>
    </row>
    <row r="326" ht="22.5" customHeight="1">
      <c r="A326" s="100">
        <v>45924.0</v>
      </c>
      <c r="B326" s="103" t="s">
        <v>4974</v>
      </c>
      <c r="C326" s="98" t="s">
        <v>4974</v>
      </c>
      <c r="D326" s="99"/>
      <c r="E326" s="98"/>
      <c r="F326" s="124" t="s">
        <v>4974</v>
      </c>
      <c r="G326" s="125">
        <v>0.003472222222222222</v>
      </c>
    </row>
    <row r="327" ht="22.5" customHeight="1">
      <c r="A327" s="100">
        <v>45924.0</v>
      </c>
      <c r="B327" s="26" t="s">
        <v>4978</v>
      </c>
      <c r="C327" s="87" t="s">
        <v>5004</v>
      </c>
      <c r="D327" s="99"/>
      <c r="E327" s="98"/>
      <c r="F327" s="104" t="s">
        <v>5152</v>
      </c>
      <c r="G327" s="36">
        <v>0.010069444444444445</v>
      </c>
    </row>
    <row r="328" ht="22.5" customHeight="1">
      <c r="A328" s="100">
        <v>45924.0</v>
      </c>
      <c r="B328" s="26" t="s">
        <v>5120</v>
      </c>
      <c r="C328" s="87" t="s">
        <v>5121</v>
      </c>
      <c r="D328" s="90" t="s">
        <v>5122</v>
      </c>
      <c r="E328" s="87"/>
      <c r="F328" s="119"/>
      <c r="G328" s="36">
        <v>0.010416666666666666</v>
      </c>
    </row>
    <row r="329" ht="22.5" customHeight="1">
      <c r="A329" s="100">
        <v>45924.0</v>
      </c>
      <c r="B329" s="26" t="s">
        <v>4978</v>
      </c>
      <c r="C329" s="87" t="s">
        <v>5010</v>
      </c>
      <c r="D329" s="90" t="s">
        <v>5104</v>
      </c>
      <c r="E329" s="98"/>
      <c r="F329" s="119" t="s">
        <v>4960</v>
      </c>
      <c r="G329" s="36">
        <v>0.027777777777777776</v>
      </c>
    </row>
    <row r="330" ht="22.5" customHeight="1">
      <c r="A330" s="100">
        <v>45925.0</v>
      </c>
      <c r="B330" s="26" t="s">
        <v>4978</v>
      </c>
      <c r="C330" s="87" t="s">
        <v>5004</v>
      </c>
      <c r="D330" s="90"/>
      <c r="E330" s="98"/>
      <c r="F330" s="104" t="s">
        <v>5153</v>
      </c>
      <c r="G330" s="36">
        <v>0.022291666666666668</v>
      </c>
    </row>
    <row r="331" ht="22.5" customHeight="1">
      <c r="A331" s="100">
        <v>45925.0</v>
      </c>
      <c r="B331" s="26" t="s">
        <v>4978</v>
      </c>
      <c r="C331" s="87" t="s">
        <v>5004</v>
      </c>
      <c r="D331" s="90"/>
      <c r="E331" s="98"/>
      <c r="F331" s="104" t="s">
        <v>5154</v>
      </c>
      <c r="G331" s="36">
        <v>0.02361111111111111</v>
      </c>
    </row>
    <row r="332" ht="22.5" customHeight="1">
      <c r="A332" s="100">
        <v>45925.0</v>
      </c>
      <c r="B332" s="26" t="s">
        <v>4978</v>
      </c>
      <c r="C332" s="87" t="s">
        <v>5004</v>
      </c>
      <c r="D332" s="90"/>
      <c r="E332" s="98"/>
      <c r="F332" s="104" t="s">
        <v>5155</v>
      </c>
      <c r="G332" s="36">
        <v>0.008587962962962962</v>
      </c>
    </row>
    <row r="333" ht="22.5" customHeight="1">
      <c r="A333" s="100">
        <v>45925.0</v>
      </c>
      <c r="B333" s="26" t="s">
        <v>4978</v>
      </c>
      <c r="C333" s="87" t="s">
        <v>5010</v>
      </c>
      <c r="D333" s="90" t="s">
        <v>5104</v>
      </c>
      <c r="E333" s="98"/>
      <c r="F333" s="119" t="s">
        <v>4960</v>
      </c>
      <c r="G333" s="36">
        <v>0.006944444444444444</v>
      </c>
    </row>
    <row r="334" ht="22.5" customHeight="1">
      <c r="A334" s="100">
        <v>45925.0</v>
      </c>
      <c r="B334" s="103" t="s">
        <v>4974</v>
      </c>
      <c r="C334" s="98" t="s">
        <v>4974</v>
      </c>
      <c r="D334" s="99"/>
      <c r="E334" s="98"/>
      <c r="F334" s="124" t="s">
        <v>4974</v>
      </c>
      <c r="G334" s="125">
        <v>0.003472222222222222</v>
      </c>
    </row>
    <row r="335" ht="22.5" customHeight="1">
      <c r="A335" s="100">
        <v>45926.0</v>
      </c>
      <c r="B335" s="103" t="s">
        <v>4974</v>
      </c>
      <c r="C335" s="98" t="s">
        <v>4974</v>
      </c>
      <c r="D335" s="99"/>
      <c r="E335" s="98"/>
      <c r="F335" s="124" t="s">
        <v>4974</v>
      </c>
      <c r="G335" s="125">
        <v>0.003472222222222222</v>
      </c>
    </row>
    <row r="336" ht="22.5" customHeight="1">
      <c r="A336" s="100">
        <v>45926.0</v>
      </c>
      <c r="B336" s="26" t="s">
        <v>4978</v>
      </c>
      <c r="C336" s="87" t="s">
        <v>5010</v>
      </c>
      <c r="D336" s="90" t="s">
        <v>5104</v>
      </c>
      <c r="E336" s="98"/>
      <c r="F336" s="105" t="s">
        <v>5151</v>
      </c>
      <c r="G336" s="36">
        <v>0.0077777777777777776</v>
      </c>
    </row>
    <row r="337" ht="22.5" customHeight="1">
      <c r="A337" s="100">
        <v>45926.0</v>
      </c>
      <c r="B337" s="26" t="s">
        <v>4978</v>
      </c>
      <c r="C337" s="87" t="s">
        <v>5010</v>
      </c>
      <c r="D337" s="90" t="s">
        <v>5104</v>
      </c>
      <c r="E337" s="98"/>
      <c r="F337" s="119" t="s">
        <v>4960</v>
      </c>
      <c r="G337" s="36">
        <v>0.07361111111111111</v>
      </c>
    </row>
    <row r="338" ht="22.5" customHeight="1">
      <c r="A338" s="100">
        <v>45927.0</v>
      </c>
      <c r="B338" s="26" t="s">
        <v>4978</v>
      </c>
      <c r="C338" s="87" t="s">
        <v>5010</v>
      </c>
      <c r="D338" s="90" t="s">
        <v>5104</v>
      </c>
      <c r="E338" s="98"/>
      <c r="F338" s="104" t="s">
        <v>5156</v>
      </c>
      <c r="G338" s="36">
        <v>0.0032060185185185186</v>
      </c>
    </row>
    <row r="339" ht="22.5" customHeight="1">
      <c r="A339" s="100">
        <v>45927.0</v>
      </c>
      <c r="B339" s="26" t="s">
        <v>4978</v>
      </c>
      <c r="C339" s="87" t="s">
        <v>5010</v>
      </c>
      <c r="D339" s="90" t="s">
        <v>5104</v>
      </c>
      <c r="E339" s="98"/>
      <c r="F339" s="104" t="s">
        <v>5157</v>
      </c>
      <c r="G339" s="36">
        <v>0.005856481481481482</v>
      </c>
    </row>
    <row r="340" ht="22.5" customHeight="1">
      <c r="A340" s="100">
        <v>45927.0</v>
      </c>
      <c r="B340" s="26" t="s">
        <v>4978</v>
      </c>
      <c r="C340" s="87" t="s">
        <v>5010</v>
      </c>
      <c r="D340" s="90" t="s">
        <v>5104</v>
      </c>
      <c r="E340" s="98"/>
      <c r="F340" s="119" t="s">
        <v>4960</v>
      </c>
      <c r="G340" s="36">
        <v>0.05555555555555555</v>
      </c>
    </row>
    <row r="341" ht="22.5" customHeight="1">
      <c r="A341" s="100">
        <v>45927.0</v>
      </c>
      <c r="B341" s="103" t="s">
        <v>4974</v>
      </c>
      <c r="C341" s="98" t="s">
        <v>4974</v>
      </c>
      <c r="D341" s="99"/>
      <c r="E341" s="98"/>
      <c r="F341" s="124" t="s">
        <v>4974</v>
      </c>
      <c r="G341" s="125">
        <v>0.003472222222222222</v>
      </c>
    </row>
    <row r="342" ht="22.5" customHeight="1">
      <c r="A342" s="100">
        <v>45928.0</v>
      </c>
      <c r="B342" s="26" t="s">
        <v>4978</v>
      </c>
      <c r="C342" s="87" t="s">
        <v>5010</v>
      </c>
      <c r="D342" s="90" t="s">
        <v>5104</v>
      </c>
      <c r="E342" s="98"/>
      <c r="F342" s="119" t="s">
        <v>5158</v>
      </c>
      <c r="G342" s="36">
        <v>0.006458333333333333</v>
      </c>
    </row>
    <row r="343" ht="22.5" customHeight="1">
      <c r="A343" s="100">
        <v>45928.0</v>
      </c>
      <c r="B343" s="103" t="s">
        <v>4974</v>
      </c>
      <c r="C343" s="98" t="s">
        <v>4974</v>
      </c>
      <c r="D343" s="99"/>
      <c r="E343" s="98"/>
      <c r="F343" s="124" t="s">
        <v>4974</v>
      </c>
      <c r="G343" s="125">
        <v>0.003472222222222222</v>
      </c>
    </row>
    <row r="344" ht="22.5" customHeight="1">
      <c r="A344" s="100">
        <v>45928.0</v>
      </c>
      <c r="B344" s="26" t="s">
        <v>4978</v>
      </c>
      <c r="C344" s="87" t="s">
        <v>5010</v>
      </c>
      <c r="D344" s="90" t="s">
        <v>5048</v>
      </c>
      <c r="E344" s="98"/>
      <c r="F344" s="104" t="s">
        <v>5159</v>
      </c>
      <c r="G344" s="36">
        <v>0.025034722222222222</v>
      </c>
    </row>
    <row r="345" ht="22.5" customHeight="1">
      <c r="A345" s="100">
        <v>45928.0</v>
      </c>
      <c r="B345" s="26" t="s">
        <v>4978</v>
      </c>
      <c r="C345" s="87" t="s">
        <v>5010</v>
      </c>
      <c r="D345" s="90" t="s">
        <v>5048</v>
      </c>
      <c r="E345" s="98"/>
      <c r="F345" s="104" t="s">
        <v>5160</v>
      </c>
      <c r="G345" s="36">
        <v>0.00369212962962963</v>
      </c>
    </row>
    <row r="346" ht="22.5" customHeight="1">
      <c r="A346" s="100">
        <v>45928.0</v>
      </c>
      <c r="B346" s="26" t="s">
        <v>4978</v>
      </c>
      <c r="C346" s="87" t="s">
        <v>5010</v>
      </c>
      <c r="D346" s="90" t="s">
        <v>5104</v>
      </c>
      <c r="E346" s="98"/>
      <c r="F346" s="119" t="s">
        <v>4960</v>
      </c>
      <c r="G346" s="36">
        <v>0.020833333333333332</v>
      </c>
    </row>
    <row r="347" ht="22.5" customHeight="1">
      <c r="A347" s="100">
        <v>45929.0</v>
      </c>
      <c r="B347" s="26" t="s">
        <v>4978</v>
      </c>
      <c r="C347" s="87" t="s">
        <v>5010</v>
      </c>
      <c r="D347" s="90" t="s">
        <v>5104</v>
      </c>
      <c r="E347" s="98"/>
      <c r="F347" s="104" t="s">
        <v>5161</v>
      </c>
      <c r="G347" s="36">
        <v>0.009375</v>
      </c>
    </row>
    <row r="348" ht="22.5" customHeight="1">
      <c r="A348" s="100">
        <v>45929.0</v>
      </c>
      <c r="B348" s="103" t="s">
        <v>4974</v>
      </c>
      <c r="C348" s="98" t="s">
        <v>4974</v>
      </c>
      <c r="D348" s="99"/>
      <c r="E348" s="98"/>
      <c r="F348" s="124" t="s">
        <v>4974</v>
      </c>
      <c r="G348" s="125">
        <v>0.003472222222222222</v>
      </c>
    </row>
    <row r="349" ht="22.5" customHeight="1">
      <c r="A349" s="100">
        <v>45929.0</v>
      </c>
      <c r="B349" s="26" t="s">
        <v>4978</v>
      </c>
      <c r="C349" s="87" t="s">
        <v>5010</v>
      </c>
      <c r="D349" s="90" t="s">
        <v>5104</v>
      </c>
      <c r="E349" s="98"/>
      <c r="F349" s="104" t="s">
        <v>5162</v>
      </c>
      <c r="G349" s="36">
        <v>0.0038425925925925928</v>
      </c>
    </row>
    <row r="350" ht="22.5" customHeight="1">
      <c r="A350" s="100">
        <v>45929.0</v>
      </c>
      <c r="B350" s="26" t="s">
        <v>4978</v>
      </c>
      <c r="C350" s="87" t="s">
        <v>5010</v>
      </c>
      <c r="D350" s="90" t="s">
        <v>5104</v>
      </c>
      <c r="E350" s="98"/>
      <c r="F350" s="109" t="s">
        <v>5163</v>
      </c>
      <c r="G350" s="36">
        <v>0.007430555555555556</v>
      </c>
    </row>
    <row r="351" ht="22.5" customHeight="1">
      <c r="A351" s="100">
        <v>45929.0</v>
      </c>
      <c r="B351" s="26" t="s">
        <v>4978</v>
      </c>
      <c r="C351" s="87" t="s">
        <v>5010</v>
      </c>
      <c r="D351" s="90" t="s">
        <v>5104</v>
      </c>
      <c r="E351" s="98"/>
      <c r="F351" s="119" t="s">
        <v>4960</v>
      </c>
      <c r="G351" s="36">
        <v>0.041666666666666664</v>
      </c>
    </row>
    <row r="352" ht="22.5" customHeight="1">
      <c r="A352" s="100">
        <v>45930.0</v>
      </c>
      <c r="B352" s="103" t="s">
        <v>4974</v>
      </c>
      <c r="C352" s="98" t="s">
        <v>4974</v>
      </c>
      <c r="D352" s="99"/>
      <c r="E352" s="98"/>
      <c r="F352" s="124" t="s">
        <v>4974</v>
      </c>
      <c r="G352" s="125">
        <v>0.003472222222222222</v>
      </c>
    </row>
    <row r="353" ht="22.5" customHeight="1">
      <c r="A353" s="100">
        <v>45930.0</v>
      </c>
      <c r="B353" s="26" t="s">
        <v>4978</v>
      </c>
      <c r="C353" s="87" t="s">
        <v>5010</v>
      </c>
      <c r="D353" s="90" t="s">
        <v>5104</v>
      </c>
      <c r="E353" s="98"/>
      <c r="F353" s="119" t="s">
        <v>5164</v>
      </c>
      <c r="G353" s="36">
        <v>0.013344907407407408</v>
      </c>
    </row>
    <row r="354" ht="22.5" customHeight="1">
      <c r="A354" s="100">
        <v>45930.0</v>
      </c>
      <c r="B354" s="26" t="s">
        <v>4978</v>
      </c>
      <c r="C354" s="87" t="s">
        <v>5010</v>
      </c>
      <c r="D354" s="90" t="s">
        <v>5104</v>
      </c>
      <c r="E354" s="98"/>
      <c r="F354" s="119" t="s">
        <v>5165</v>
      </c>
      <c r="G354" s="36">
        <v>0.006122685185185185</v>
      </c>
    </row>
    <row r="355" ht="22.5" customHeight="1">
      <c r="A355" s="100">
        <v>45930.0</v>
      </c>
      <c r="B355" s="26" t="s">
        <v>4978</v>
      </c>
      <c r="C355" s="87" t="s">
        <v>5004</v>
      </c>
      <c r="D355" s="90"/>
      <c r="E355" s="98"/>
      <c r="F355" s="104" t="s">
        <v>5166</v>
      </c>
      <c r="G355" s="36">
        <v>0.008043981481481482</v>
      </c>
    </row>
    <row r="356" ht="22.5" customHeight="1">
      <c r="A356" s="100">
        <v>45930.0</v>
      </c>
      <c r="B356" s="26" t="s">
        <v>4978</v>
      </c>
      <c r="C356" s="87" t="s">
        <v>5010</v>
      </c>
      <c r="D356" s="90" t="s">
        <v>5104</v>
      </c>
      <c r="E356" s="98"/>
      <c r="F356" s="119" t="s">
        <v>4960</v>
      </c>
      <c r="G356" s="36">
        <v>0.027777777777777776</v>
      </c>
    </row>
    <row r="357" ht="22.5" customHeight="1">
      <c r="A357" s="100">
        <v>45931.0</v>
      </c>
      <c r="B357" s="103" t="s">
        <v>4974</v>
      </c>
      <c r="C357" s="98" t="s">
        <v>4974</v>
      </c>
      <c r="D357" s="99"/>
      <c r="E357" s="98"/>
      <c r="F357" s="124" t="s">
        <v>4974</v>
      </c>
      <c r="G357" s="125">
        <v>0.003472222222222222</v>
      </c>
    </row>
    <row r="358" ht="22.5" customHeight="1">
      <c r="A358" s="100">
        <v>45931.0</v>
      </c>
      <c r="B358" s="26" t="s">
        <v>4978</v>
      </c>
      <c r="C358" s="87" t="s">
        <v>5010</v>
      </c>
      <c r="D358" s="90" t="s">
        <v>5104</v>
      </c>
      <c r="E358" s="98"/>
      <c r="F358" s="119" t="s">
        <v>5167</v>
      </c>
      <c r="G358" s="36">
        <v>0.0061342592592592594</v>
      </c>
    </row>
    <row r="359" ht="22.5" customHeight="1">
      <c r="A359" s="100">
        <v>45931.0</v>
      </c>
      <c r="B359" s="26" t="s">
        <v>4978</v>
      </c>
      <c r="C359" s="87" t="s">
        <v>5010</v>
      </c>
      <c r="D359" s="90" t="s">
        <v>5104</v>
      </c>
      <c r="E359" s="98"/>
      <c r="F359" s="119" t="s">
        <v>5168</v>
      </c>
      <c r="G359" s="36">
        <v>0.005740740740740741</v>
      </c>
    </row>
    <row r="360" ht="22.5" customHeight="1">
      <c r="A360" s="100">
        <v>45931.0</v>
      </c>
      <c r="B360" s="26" t="s">
        <v>4978</v>
      </c>
      <c r="C360" s="87" t="s">
        <v>5010</v>
      </c>
      <c r="D360" s="90" t="s">
        <v>5104</v>
      </c>
      <c r="E360" s="98"/>
      <c r="F360" s="119" t="s">
        <v>5169</v>
      </c>
      <c r="G360" s="36">
        <v>0.0035300925925925925</v>
      </c>
    </row>
    <row r="361" ht="22.5" customHeight="1">
      <c r="A361" s="100">
        <v>45931.0</v>
      </c>
      <c r="B361" s="26" t="s">
        <v>4978</v>
      </c>
      <c r="C361" s="87" t="s">
        <v>5010</v>
      </c>
      <c r="D361" s="90" t="s">
        <v>5104</v>
      </c>
      <c r="E361" s="98"/>
      <c r="F361" s="119" t="s">
        <v>4960</v>
      </c>
      <c r="G361" s="36">
        <v>0.041666666666666664</v>
      </c>
    </row>
    <row r="362" ht="22.5" customHeight="1">
      <c r="A362" s="100">
        <v>45932.0</v>
      </c>
      <c r="B362" s="103" t="s">
        <v>4974</v>
      </c>
      <c r="C362" s="98" t="s">
        <v>4974</v>
      </c>
      <c r="D362" s="99"/>
      <c r="E362" s="98"/>
      <c r="F362" s="124" t="s">
        <v>4974</v>
      </c>
      <c r="G362" s="125">
        <v>0.003472222222222222</v>
      </c>
    </row>
    <row r="363" ht="22.5" customHeight="1">
      <c r="A363" s="100">
        <v>45932.0</v>
      </c>
      <c r="B363" s="26" t="s">
        <v>4978</v>
      </c>
      <c r="C363" s="87" t="s">
        <v>5010</v>
      </c>
      <c r="D363" s="90" t="s">
        <v>5104</v>
      </c>
      <c r="E363" s="98"/>
      <c r="F363" s="119" t="s">
        <v>5170</v>
      </c>
      <c r="G363" s="36">
        <v>0.006296296296296296</v>
      </c>
    </row>
    <row r="364" ht="22.5" customHeight="1">
      <c r="A364" s="100">
        <v>45932.0</v>
      </c>
      <c r="B364" s="26" t="s">
        <v>4978</v>
      </c>
      <c r="C364" s="87" t="s">
        <v>5010</v>
      </c>
      <c r="D364" s="90" t="s">
        <v>5104</v>
      </c>
      <c r="E364" s="98"/>
      <c r="F364" s="119" t="s">
        <v>5171</v>
      </c>
      <c r="G364" s="36">
        <v>0.0061342592592592594</v>
      </c>
    </row>
    <row r="365" ht="22.5" customHeight="1">
      <c r="A365" s="100">
        <v>45932.0</v>
      </c>
      <c r="B365" s="26" t="s">
        <v>4978</v>
      </c>
      <c r="C365" s="87" t="s">
        <v>5010</v>
      </c>
      <c r="D365" s="90" t="s">
        <v>5104</v>
      </c>
      <c r="E365" s="98"/>
      <c r="F365" s="119" t="s">
        <v>4960</v>
      </c>
      <c r="G365" s="36">
        <v>0.041666666666666664</v>
      </c>
    </row>
    <row r="366" ht="22.5" customHeight="1">
      <c r="A366" s="100">
        <v>45933.0</v>
      </c>
      <c r="B366" s="26" t="s">
        <v>4978</v>
      </c>
      <c r="C366" s="87" t="s">
        <v>5004</v>
      </c>
      <c r="D366" s="90"/>
      <c r="E366" s="98"/>
      <c r="F366" s="104" t="s">
        <v>5172</v>
      </c>
      <c r="G366" s="36">
        <v>0.019444444444444445</v>
      </c>
    </row>
    <row r="367" ht="22.5" customHeight="1">
      <c r="A367" s="100">
        <v>45933.0</v>
      </c>
      <c r="B367" s="26" t="s">
        <v>4978</v>
      </c>
      <c r="C367" s="87" t="s">
        <v>5010</v>
      </c>
      <c r="D367" s="90" t="s">
        <v>5104</v>
      </c>
      <c r="E367" s="98"/>
      <c r="F367" s="109" t="s">
        <v>5173</v>
      </c>
      <c r="G367" s="36">
        <v>0.003472222222222222</v>
      </c>
    </row>
    <row r="368" ht="22.5" customHeight="1">
      <c r="A368" s="100">
        <v>45933.0</v>
      </c>
      <c r="B368" s="26" t="s">
        <v>4978</v>
      </c>
      <c r="C368" s="87" t="s">
        <v>5010</v>
      </c>
      <c r="D368" s="90" t="s">
        <v>5104</v>
      </c>
      <c r="E368" s="98"/>
      <c r="F368" s="119" t="s">
        <v>4960</v>
      </c>
      <c r="G368" s="36">
        <v>0.027777777777777776</v>
      </c>
    </row>
    <row r="369" ht="22.5" customHeight="1">
      <c r="A369" s="100">
        <v>45934.0</v>
      </c>
      <c r="B369" s="26" t="s">
        <v>4978</v>
      </c>
      <c r="C369" s="87" t="s">
        <v>5004</v>
      </c>
      <c r="D369" s="90"/>
      <c r="E369" s="98"/>
      <c r="F369" s="104" t="s">
        <v>5174</v>
      </c>
      <c r="G369" s="36">
        <v>0.021030092592592593</v>
      </c>
    </row>
    <row r="370" ht="22.5" customHeight="1">
      <c r="A370" s="100">
        <v>45934.0</v>
      </c>
      <c r="B370" s="26" t="s">
        <v>4978</v>
      </c>
      <c r="C370" s="87" t="s">
        <v>5004</v>
      </c>
      <c r="D370" s="90"/>
      <c r="E370" s="98"/>
      <c r="F370" s="104" t="s">
        <v>5175</v>
      </c>
      <c r="G370" s="36">
        <v>0.010694444444444444</v>
      </c>
    </row>
    <row r="371" ht="22.5" customHeight="1">
      <c r="A371" s="100">
        <v>45934.0</v>
      </c>
      <c r="B371" s="26" t="s">
        <v>4978</v>
      </c>
      <c r="C371" s="87" t="s">
        <v>5004</v>
      </c>
      <c r="D371" s="90"/>
      <c r="E371" s="98"/>
      <c r="F371" s="104" t="s">
        <v>5176</v>
      </c>
      <c r="G371" s="36">
        <v>0.004247685185185185</v>
      </c>
    </row>
    <row r="372" ht="22.5" customHeight="1">
      <c r="A372" s="100">
        <v>45934.0</v>
      </c>
      <c r="B372" s="26" t="s">
        <v>4978</v>
      </c>
      <c r="C372" s="87" t="s">
        <v>5004</v>
      </c>
      <c r="D372" s="90"/>
      <c r="E372" s="98"/>
      <c r="F372" s="104" t="s">
        <v>5177</v>
      </c>
      <c r="G372" s="36">
        <v>0.015335648148148149</v>
      </c>
    </row>
    <row r="373" ht="22.5" customHeight="1">
      <c r="A373" s="100">
        <v>45934.0</v>
      </c>
      <c r="B373" s="103" t="s">
        <v>4974</v>
      </c>
      <c r="C373" s="98" t="s">
        <v>4974</v>
      </c>
      <c r="D373" s="99"/>
      <c r="E373" s="98"/>
      <c r="F373" s="124" t="s">
        <v>4974</v>
      </c>
      <c r="G373" s="125">
        <v>0.003472222222222222</v>
      </c>
    </row>
    <row r="374" ht="22.5" customHeight="1">
      <c r="A374" s="100">
        <v>45935.0</v>
      </c>
      <c r="B374" s="103" t="s">
        <v>4974</v>
      </c>
      <c r="C374" s="98" t="s">
        <v>4974</v>
      </c>
      <c r="D374" s="99"/>
      <c r="E374" s="98"/>
      <c r="F374" s="124" t="s">
        <v>4974</v>
      </c>
      <c r="G374" s="125">
        <v>0.003472222222222222</v>
      </c>
    </row>
    <row r="375" ht="22.5" customHeight="1">
      <c r="A375" s="100">
        <v>45935.0</v>
      </c>
      <c r="B375" s="26" t="s">
        <v>4978</v>
      </c>
      <c r="C375" s="87" t="s">
        <v>5010</v>
      </c>
      <c r="D375" s="90" t="s">
        <v>5104</v>
      </c>
      <c r="E375" s="98"/>
      <c r="F375" s="119" t="s">
        <v>5173</v>
      </c>
      <c r="G375" s="36">
        <v>0.006215277777777778</v>
      </c>
    </row>
    <row r="376" ht="22.5" customHeight="1">
      <c r="A376" s="100">
        <v>45935.0</v>
      </c>
      <c r="B376" s="26" t="s">
        <v>4978</v>
      </c>
      <c r="C376" s="87" t="s">
        <v>5010</v>
      </c>
      <c r="D376" s="90" t="s">
        <v>5104</v>
      </c>
      <c r="E376" s="98"/>
      <c r="F376" s="119" t="s">
        <v>5178</v>
      </c>
      <c r="G376" s="36">
        <v>0.005891203703703704</v>
      </c>
    </row>
    <row r="377" ht="22.5" customHeight="1">
      <c r="A377" s="100">
        <v>45935.0</v>
      </c>
      <c r="B377" s="26" t="s">
        <v>5120</v>
      </c>
      <c r="C377" s="87" t="s">
        <v>5179</v>
      </c>
      <c r="D377" s="90"/>
      <c r="E377" s="98"/>
      <c r="F377" s="104" t="s">
        <v>5180</v>
      </c>
      <c r="G377" s="36">
        <v>0.020833333333333332</v>
      </c>
    </row>
    <row r="378" ht="22.5" customHeight="1">
      <c r="A378" s="100">
        <v>45935.0</v>
      </c>
      <c r="B378" s="26" t="s">
        <v>4978</v>
      </c>
      <c r="C378" s="87" t="s">
        <v>5010</v>
      </c>
      <c r="D378" s="90" t="s">
        <v>5104</v>
      </c>
      <c r="E378" s="98"/>
      <c r="F378" s="119" t="s">
        <v>4960</v>
      </c>
      <c r="G378" s="36">
        <v>0.020833333333333332</v>
      </c>
    </row>
    <row r="379" ht="22.5" customHeight="1">
      <c r="A379" s="100">
        <v>45935.0</v>
      </c>
      <c r="B379" s="26" t="s">
        <v>4978</v>
      </c>
      <c r="C379" s="87" t="s">
        <v>5004</v>
      </c>
      <c r="D379" s="90"/>
      <c r="E379" s="98"/>
      <c r="F379" s="104" t="s">
        <v>5181</v>
      </c>
      <c r="G379" s="36">
        <v>0.017361111111111112</v>
      </c>
    </row>
    <row r="380" ht="22.5" customHeight="1">
      <c r="A380" s="100">
        <v>45936.0</v>
      </c>
      <c r="B380" s="26" t="s">
        <v>4978</v>
      </c>
      <c r="C380" s="87" t="s">
        <v>5010</v>
      </c>
      <c r="D380" s="90" t="s">
        <v>5104</v>
      </c>
      <c r="E380" s="98"/>
      <c r="F380" s="109" t="s">
        <v>5182</v>
      </c>
      <c r="G380" s="36">
        <v>0.00738425925925926</v>
      </c>
    </row>
    <row r="381" ht="22.5" customHeight="1">
      <c r="A381" s="100">
        <v>45936.0</v>
      </c>
      <c r="B381" s="26" t="s">
        <v>4978</v>
      </c>
      <c r="C381" s="87" t="s">
        <v>5010</v>
      </c>
      <c r="D381" s="90" t="s">
        <v>5104</v>
      </c>
      <c r="E381" s="98"/>
      <c r="F381" s="109" t="s">
        <v>5183</v>
      </c>
      <c r="G381" s="36">
        <v>0.010104166666666666</v>
      </c>
    </row>
    <row r="382" ht="22.5" customHeight="1">
      <c r="A382" s="100">
        <v>45936.0</v>
      </c>
      <c r="B382" s="103" t="s">
        <v>4974</v>
      </c>
      <c r="C382" s="98" t="s">
        <v>4974</v>
      </c>
      <c r="D382" s="99"/>
      <c r="E382" s="98"/>
      <c r="F382" s="124" t="s">
        <v>4974</v>
      </c>
      <c r="G382" s="125">
        <v>0.003472222222222222</v>
      </c>
    </row>
    <row r="383" ht="22.5" customHeight="1">
      <c r="A383" s="100">
        <v>45936.0</v>
      </c>
      <c r="B383" s="26" t="s">
        <v>4978</v>
      </c>
      <c r="C383" s="87" t="s">
        <v>5010</v>
      </c>
      <c r="D383" s="90" t="s">
        <v>5104</v>
      </c>
      <c r="E383" s="98"/>
      <c r="F383" s="119" t="s">
        <v>4960</v>
      </c>
      <c r="G383" s="36">
        <v>0.04861111111111111</v>
      </c>
    </row>
    <row r="384" ht="22.5" customHeight="1">
      <c r="A384" s="100">
        <v>45937.0</v>
      </c>
      <c r="B384" s="103" t="s">
        <v>4974</v>
      </c>
      <c r="C384" s="98" t="s">
        <v>4974</v>
      </c>
      <c r="D384" s="99"/>
      <c r="E384" s="98"/>
      <c r="F384" s="124" t="s">
        <v>4974</v>
      </c>
      <c r="G384" s="125">
        <v>0.003472222222222222</v>
      </c>
    </row>
    <row r="385" ht="22.5" customHeight="1">
      <c r="A385" s="100">
        <v>45937.0</v>
      </c>
      <c r="B385" s="26" t="s">
        <v>4978</v>
      </c>
      <c r="C385" s="87" t="s">
        <v>5010</v>
      </c>
      <c r="D385" s="90" t="s">
        <v>5104</v>
      </c>
      <c r="E385" s="98"/>
      <c r="F385" s="104" t="s">
        <v>5184</v>
      </c>
      <c r="G385" s="36">
        <v>0.004988425925925926</v>
      </c>
    </row>
    <row r="386" ht="22.5" customHeight="1">
      <c r="A386" s="100">
        <v>45937.0</v>
      </c>
      <c r="B386" s="26" t="s">
        <v>4978</v>
      </c>
      <c r="C386" s="87" t="s">
        <v>5010</v>
      </c>
      <c r="D386" s="90" t="s">
        <v>5104</v>
      </c>
      <c r="E386" s="98"/>
      <c r="F386" s="109" t="s">
        <v>5185</v>
      </c>
      <c r="G386" s="36">
        <v>0.005787037037037037</v>
      </c>
    </row>
    <row r="387" ht="22.5" customHeight="1">
      <c r="A387" s="100">
        <v>45937.0</v>
      </c>
      <c r="B387" s="26" t="s">
        <v>4978</v>
      </c>
      <c r="C387" s="87" t="s">
        <v>5010</v>
      </c>
      <c r="D387" s="90" t="s">
        <v>5104</v>
      </c>
      <c r="E387" s="98"/>
      <c r="F387" s="119" t="s">
        <v>4960</v>
      </c>
      <c r="G387" s="36">
        <v>0.05555555555555555</v>
      </c>
    </row>
    <row r="388" ht="22.5" customHeight="1">
      <c r="A388" s="100">
        <v>45938.0</v>
      </c>
      <c r="B388" s="26" t="s">
        <v>4978</v>
      </c>
      <c r="C388" s="87" t="s">
        <v>5010</v>
      </c>
      <c r="D388" s="90" t="s">
        <v>5104</v>
      </c>
      <c r="E388" s="98"/>
      <c r="F388" s="119" t="s">
        <v>5186</v>
      </c>
      <c r="G388" s="36">
        <v>6.944444444444445E-4</v>
      </c>
    </row>
    <row r="389" ht="22.5" customHeight="1">
      <c r="A389" s="100">
        <v>45938.0</v>
      </c>
      <c r="B389" s="26" t="s">
        <v>4978</v>
      </c>
      <c r="C389" s="87" t="s">
        <v>5010</v>
      </c>
      <c r="D389" s="90" t="s">
        <v>5104</v>
      </c>
      <c r="E389" s="98"/>
      <c r="F389" s="119" t="s">
        <v>4960</v>
      </c>
      <c r="G389" s="36">
        <v>0.05555555555555555</v>
      </c>
    </row>
    <row r="390" ht="22.5" customHeight="1">
      <c r="A390" s="100">
        <v>45938.0</v>
      </c>
      <c r="B390" s="103" t="s">
        <v>4974</v>
      </c>
      <c r="C390" s="98" t="s">
        <v>4974</v>
      </c>
      <c r="D390" s="99"/>
      <c r="E390" s="98"/>
      <c r="F390" s="124" t="s">
        <v>4974</v>
      </c>
      <c r="G390" s="125">
        <v>0.003472222222222222</v>
      </c>
    </row>
    <row r="391" ht="22.5" customHeight="1">
      <c r="A391" s="100">
        <v>45939.0</v>
      </c>
      <c r="B391" s="103" t="s">
        <v>4974</v>
      </c>
      <c r="C391" s="98" t="s">
        <v>4974</v>
      </c>
      <c r="D391" s="99"/>
      <c r="E391" s="98"/>
      <c r="F391" s="124" t="s">
        <v>4974</v>
      </c>
      <c r="G391" s="125">
        <v>0.003472222222222222</v>
      </c>
    </row>
    <row r="392" ht="22.5" customHeight="1">
      <c r="A392" s="100">
        <v>45939.0</v>
      </c>
      <c r="B392" s="26" t="s">
        <v>4978</v>
      </c>
      <c r="C392" s="87" t="s">
        <v>5010</v>
      </c>
      <c r="D392" s="90" t="s">
        <v>5104</v>
      </c>
      <c r="E392" s="98"/>
      <c r="F392" s="119" t="s">
        <v>5186</v>
      </c>
      <c r="G392" s="36">
        <v>0.006111111111111111</v>
      </c>
    </row>
    <row r="393" ht="22.5" customHeight="1">
      <c r="A393" s="100">
        <v>45939.0</v>
      </c>
      <c r="B393" s="26" t="s">
        <v>4978</v>
      </c>
      <c r="C393" s="87" t="s">
        <v>5010</v>
      </c>
      <c r="D393" s="90" t="s">
        <v>5104</v>
      </c>
      <c r="E393" s="98"/>
      <c r="F393" s="119" t="s">
        <v>4960</v>
      </c>
      <c r="G393" s="36">
        <v>0.06597222222222222</v>
      </c>
    </row>
    <row r="394" ht="22.5" customHeight="1">
      <c r="A394" s="100">
        <v>45940.0</v>
      </c>
      <c r="B394" s="26" t="s">
        <v>4978</v>
      </c>
      <c r="C394" s="87" t="s">
        <v>5010</v>
      </c>
      <c r="D394" s="90" t="s">
        <v>5104</v>
      </c>
      <c r="E394" s="98"/>
      <c r="F394" s="119" t="s">
        <v>5187</v>
      </c>
      <c r="G394" s="36">
        <v>0.012233796296296296</v>
      </c>
    </row>
    <row r="395" ht="22.5" customHeight="1">
      <c r="A395" s="100">
        <v>45940.0</v>
      </c>
      <c r="B395" s="26" t="s">
        <v>4978</v>
      </c>
      <c r="C395" s="87" t="s">
        <v>5010</v>
      </c>
      <c r="D395" s="90" t="s">
        <v>5104</v>
      </c>
      <c r="E395" s="98"/>
      <c r="F395" s="119" t="s">
        <v>4960</v>
      </c>
      <c r="G395" s="36">
        <v>0.04513888888888889</v>
      </c>
    </row>
    <row r="396" ht="22.5" customHeight="1">
      <c r="A396" s="100">
        <v>45940.0</v>
      </c>
      <c r="B396" s="103" t="s">
        <v>4974</v>
      </c>
      <c r="C396" s="98" t="s">
        <v>4974</v>
      </c>
      <c r="D396" s="99"/>
      <c r="E396" s="98"/>
      <c r="F396" s="124" t="s">
        <v>4974</v>
      </c>
      <c r="G396" s="125">
        <v>0.003472222222222222</v>
      </c>
    </row>
    <row r="397" ht="22.5" customHeight="1">
      <c r="A397" s="100">
        <v>45941.0</v>
      </c>
      <c r="B397" s="103" t="s">
        <v>4974</v>
      </c>
      <c r="C397" s="98" t="s">
        <v>4974</v>
      </c>
      <c r="D397" s="99"/>
      <c r="E397" s="98"/>
      <c r="F397" s="124" t="s">
        <v>4974</v>
      </c>
      <c r="G397" s="125">
        <v>0.003472222222222222</v>
      </c>
    </row>
    <row r="398" ht="22.5" customHeight="1">
      <c r="A398" s="100">
        <v>45941.0</v>
      </c>
      <c r="B398" s="26" t="s">
        <v>4978</v>
      </c>
      <c r="C398" s="87" t="s">
        <v>5004</v>
      </c>
      <c r="D398" s="99"/>
      <c r="E398" s="98"/>
      <c r="F398" s="119" t="s">
        <v>5188</v>
      </c>
      <c r="G398" s="36">
        <v>0.026111111111111113</v>
      </c>
    </row>
    <row r="399" ht="22.5" customHeight="1">
      <c r="A399" s="100">
        <v>45941.0</v>
      </c>
      <c r="B399" s="26" t="s">
        <v>4978</v>
      </c>
      <c r="C399" s="87" t="s">
        <v>5004</v>
      </c>
      <c r="D399" s="99"/>
      <c r="E399" s="98"/>
      <c r="F399" s="119" t="s">
        <v>5189</v>
      </c>
      <c r="G399" s="36">
        <v>0.013888888888888888</v>
      </c>
    </row>
    <row r="400" ht="22.5" customHeight="1">
      <c r="A400" s="100">
        <v>45942.0</v>
      </c>
      <c r="B400" s="26" t="s">
        <v>4978</v>
      </c>
      <c r="C400" s="87" t="s">
        <v>5010</v>
      </c>
      <c r="D400" s="90" t="s">
        <v>5104</v>
      </c>
      <c r="E400" s="98"/>
      <c r="F400" s="119" t="s">
        <v>5190</v>
      </c>
      <c r="G400" s="36">
        <v>0.004861111111111111</v>
      </c>
    </row>
    <row r="401" ht="22.5" customHeight="1">
      <c r="A401" s="100">
        <v>45942.0</v>
      </c>
      <c r="B401" s="26" t="s">
        <v>4978</v>
      </c>
      <c r="C401" s="87" t="s">
        <v>5010</v>
      </c>
      <c r="D401" s="90" t="s">
        <v>5104</v>
      </c>
      <c r="E401" s="98"/>
      <c r="F401" s="119" t="s">
        <v>4960</v>
      </c>
      <c r="G401" s="36">
        <v>0.05555555555555555</v>
      </c>
    </row>
    <row r="402" ht="22.5" customHeight="1">
      <c r="A402" s="100">
        <v>45942.0</v>
      </c>
      <c r="B402" s="103" t="s">
        <v>4974</v>
      </c>
      <c r="C402" s="98" t="s">
        <v>4974</v>
      </c>
      <c r="D402" s="99"/>
      <c r="E402" s="98"/>
      <c r="F402" s="124" t="s">
        <v>4974</v>
      </c>
      <c r="G402" s="125">
        <v>0.003472222222222222</v>
      </c>
    </row>
    <row r="403" ht="22.5" customHeight="1">
      <c r="A403" s="100">
        <v>45943.0</v>
      </c>
      <c r="B403" s="92" t="s">
        <v>4974</v>
      </c>
      <c r="C403" s="93" t="s">
        <v>4974</v>
      </c>
      <c r="D403" s="95"/>
      <c r="E403" s="95"/>
      <c r="F403" s="126" t="s">
        <v>4974</v>
      </c>
      <c r="G403" s="127">
        <v>0.003472222222222222</v>
      </c>
    </row>
    <row r="404" ht="22.5" customHeight="1">
      <c r="A404" s="100">
        <v>45943.0</v>
      </c>
      <c r="B404" s="26" t="s">
        <v>4978</v>
      </c>
      <c r="C404" s="87" t="s">
        <v>5010</v>
      </c>
      <c r="D404" s="90" t="s">
        <v>5104</v>
      </c>
      <c r="E404" s="96"/>
      <c r="F404" s="128" t="s">
        <v>5191</v>
      </c>
      <c r="G404" s="36">
        <v>0.006944444444444444</v>
      </c>
    </row>
    <row r="405" ht="22.5" customHeight="1">
      <c r="A405" s="100">
        <v>45943.0</v>
      </c>
      <c r="B405" s="26" t="s">
        <v>4978</v>
      </c>
      <c r="C405" s="87" t="s">
        <v>5010</v>
      </c>
      <c r="D405" s="90" t="s">
        <v>5104</v>
      </c>
      <c r="E405" s="98"/>
      <c r="F405" s="119" t="s">
        <v>4960</v>
      </c>
      <c r="G405" s="36">
        <v>0.041666666666666664</v>
      </c>
    </row>
    <row r="406" ht="22.5" customHeight="1">
      <c r="A406" s="100">
        <v>45944.0</v>
      </c>
      <c r="B406" s="26" t="s">
        <v>4978</v>
      </c>
      <c r="C406" s="87" t="s">
        <v>5010</v>
      </c>
      <c r="D406" s="90" t="s">
        <v>5104</v>
      </c>
      <c r="E406" s="98"/>
      <c r="F406" s="128" t="s">
        <v>5191</v>
      </c>
      <c r="G406" s="36">
        <v>0.024305555555555556</v>
      </c>
    </row>
    <row r="407" ht="22.5" customHeight="1">
      <c r="A407" s="100">
        <v>45944.0</v>
      </c>
      <c r="B407" s="26" t="s">
        <v>4978</v>
      </c>
      <c r="C407" s="87" t="s">
        <v>5010</v>
      </c>
      <c r="D407" s="90" t="s">
        <v>5104</v>
      </c>
      <c r="E407" s="98"/>
      <c r="F407" s="119" t="s">
        <v>4960</v>
      </c>
      <c r="G407" s="36">
        <v>0.010416666666666666</v>
      </c>
    </row>
    <row r="408" ht="22.5" customHeight="1">
      <c r="A408" s="100">
        <v>45944.0</v>
      </c>
      <c r="B408" s="92" t="s">
        <v>4974</v>
      </c>
      <c r="C408" s="93" t="s">
        <v>4974</v>
      </c>
      <c r="D408" s="95"/>
      <c r="E408" s="95"/>
      <c r="F408" s="126" t="s">
        <v>4974</v>
      </c>
      <c r="G408" s="127">
        <v>0.003472222222222222</v>
      </c>
    </row>
    <row r="409" ht="22.5" customHeight="1">
      <c r="A409" s="100">
        <v>45945.0</v>
      </c>
      <c r="B409" s="26" t="s">
        <v>4978</v>
      </c>
      <c r="C409" s="87" t="s">
        <v>5010</v>
      </c>
      <c r="D409" s="90" t="s">
        <v>5104</v>
      </c>
      <c r="E409" s="98"/>
      <c r="F409" s="128" t="s">
        <v>5191</v>
      </c>
      <c r="G409" s="129">
        <v>0.011805555555555555</v>
      </c>
    </row>
    <row r="410" ht="22.5" customHeight="1">
      <c r="A410" s="100">
        <v>45945.0</v>
      </c>
      <c r="B410" s="103" t="s">
        <v>4974</v>
      </c>
      <c r="C410" s="98" t="s">
        <v>4974</v>
      </c>
      <c r="D410" s="99"/>
      <c r="E410" s="98"/>
      <c r="F410" s="124" t="s">
        <v>4974</v>
      </c>
      <c r="G410" s="125">
        <v>0.003472222222222222</v>
      </c>
    </row>
    <row r="411" ht="22.5" customHeight="1">
      <c r="A411" s="100">
        <v>45945.0</v>
      </c>
      <c r="B411" s="26" t="s">
        <v>4978</v>
      </c>
      <c r="C411" s="87" t="s">
        <v>5010</v>
      </c>
      <c r="D411" s="90" t="s">
        <v>5104</v>
      </c>
      <c r="E411" s="98"/>
      <c r="F411" s="119" t="s">
        <v>4960</v>
      </c>
      <c r="G411" s="36">
        <v>0.06736111111111111</v>
      </c>
    </row>
    <row r="412" ht="22.5" customHeight="1">
      <c r="A412" s="100">
        <v>45946.0</v>
      </c>
      <c r="B412" s="26" t="s">
        <v>4978</v>
      </c>
      <c r="C412" s="87" t="s">
        <v>5010</v>
      </c>
      <c r="D412" s="90" t="s">
        <v>5104</v>
      </c>
      <c r="E412" s="98"/>
      <c r="F412" s="119" t="s">
        <v>5192</v>
      </c>
      <c r="G412" s="36">
        <v>0.004050925925925926</v>
      </c>
    </row>
    <row r="413" ht="22.5" customHeight="1">
      <c r="A413" s="100">
        <v>45946.0</v>
      </c>
      <c r="B413" s="103" t="s">
        <v>4974</v>
      </c>
      <c r="C413" s="98" t="s">
        <v>4974</v>
      </c>
      <c r="D413" s="99"/>
      <c r="E413" s="98"/>
      <c r="F413" s="124" t="s">
        <v>4974</v>
      </c>
      <c r="G413" s="125">
        <v>0.003472222222222222</v>
      </c>
    </row>
    <row r="414" ht="22.5" customHeight="1">
      <c r="A414" s="100">
        <v>45946.0</v>
      </c>
      <c r="B414" s="26" t="s">
        <v>4978</v>
      </c>
      <c r="C414" s="87" t="s">
        <v>5004</v>
      </c>
      <c r="D414" s="99"/>
      <c r="E414" s="98"/>
      <c r="F414" s="119" t="s">
        <v>5193</v>
      </c>
      <c r="G414" s="36">
        <v>0.017175925925925924</v>
      </c>
    </row>
    <row r="415" ht="22.5" customHeight="1">
      <c r="A415" s="100">
        <v>45946.0</v>
      </c>
      <c r="B415" s="26" t="s">
        <v>4978</v>
      </c>
      <c r="C415" s="87" t="s">
        <v>5004</v>
      </c>
      <c r="D415" s="99"/>
      <c r="E415" s="98"/>
      <c r="F415" s="119" t="s">
        <v>5194</v>
      </c>
      <c r="G415" s="36">
        <v>0.013078703703703703</v>
      </c>
    </row>
    <row r="416" ht="22.5" customHeight="1">
      <c r="A416" s="100">
        <v>45946.0</v>
      </c>
      <c r="B416" s="26" t="s">
        <v>4978</v>
      </c>
      <c r="C416" s="87" t="s">
        <v>5010</v>
      </c>
      <c r="D416" s="90" t="s">
        <v>5104</v>
      </c>
      <c r="E416" s="98"/>
      <c r="F416" s="119" t="s">
        <v>4960</v>
      </c>
      <c r="G416" s="36">
        <v>0.006944444444444444</v>
      </c>
    </row>
    <row r="417" ht="22.5" customHeight="1">
      <c r="A417" s="100">
        <v>45947.0</v>
      </c>
      <c r="B417" s="103" t="s">
        <v>4974</v>
      </c>
      <c r="C417" s="98" t="s">
        <v>4974</v>
      </c>
      <c r="D417" s="99"/>
      <c r="E417" s="98"/>
      <c r="F417" s="124" t="s">
        <v>4974</v>
      </c>
      <c r="G417" s="125">
        <v>0.003472222222222222</v>
      </c>
    </row>
    <row r="418" ht="22.5" customHeight="1">
      <c r="A418" s="100">
        <v>45947.0</v>
      </c>
      <c r="B418" s="26" t="s">
        <v>4978</v>
      </c>
      <c r="C418" s="87" t="s">
        <v>5010</v>
      </c>
      <c r="D418" s="90" t="s">
        <v>5104</v>
      </c>
      <c r="E418" s="98"/>
      <c r="F418" s="119" t="s">
        <v>5187</v>
      </c>
      <c r="G418" s="36">
        <v>0.012222222222222223</v>
      </c>
    </row>
    <row r="419" ht="22.5" customHeight="1">
      <c r="A419" s="100">
        <v>45947.0</v>
      </c>
      <c r="B419" s="26" t="s">
        <v>4978</v>
      </c>
      <c r="C419" s="87" t="s">
        <v>5010</v>
      </c>
      <c r="D419" s="90" t="s">
        <v>5104</v>
      </c>
      <c r="E419" s="98"/>
      <c r="F419" s="119" t="s">
        <v>4960</v>
      </c>
      <c r="G419" s="36">
        <v>0.04513888888888889</v>
      </c>
    </row>
    <row r="420" ht="22.5" customHeight="1">
      <c r="A420" s="100">
        <v>45948.0</v>
      </c>
      <c r="B420" s="26" t="s">
        <v>4978</v>
      </c>
      <c r="C420" s="87" t="s">
        <v>5010</v>
      </c>
      <c r="D420" s="90" t="s">
        <v>5104</v>
      </c>
      <c r="E420" s="98"/>
      <c r="F420" s="119" t="s">
        <v>5195</v>
      </c>
      <c r="G420" s="36">
        <v>0.004861111111111111</v>
      </c>
    </row>
    <row r="421" ht="22.5" customHeight="1">
      <c r="A421" s="100">
        <v>45948.0</v>
      </c>
      <c r="B421" s="103" t="s">
        <v>4974</v>
      </c>
      <c r="C421" s="98" t="s">
        <v>4974</v>
      </c>
      <c r="D421" s="99"/>
      <c r="E421" s="98"/>
      <c r="F421" s="124" t="s">
        <v>4974</v>
      </c>
      <c r="G421" s="125">
        <v>0.003472222222222222</v>
      </c>
    </row>
    <row r="422" ht="22.5" customHeight="1">
      <c r="A422" s="100">
        <v>45948.0</v>
      </c>
      <c r="B422" s="26" t="s">
        <v>4978</v>
      </c>
      <c r="C422" s="87" t="s">
        <v>5004</v>
      </c>
      <c r="D422" s="99"/>
      <c r="E422" s="98"/>
      <c r="F422" s="119" t="s">
        <v>5196</v>
      </c>
      <c r="G422" s="36">
        <v>0.01597222222222222</v>
      </c>
    </row>
    <row r="423" ht="22.5" customHeight="1">
      <c r="A423" s="100">
        <v>45948.0</v>
      </c>
      <c r="B423" s="26" t="s">
        <v>4978</v>
      </c>
      <c r="C423" s="87" t="s">
        <v>5010</v>
      </c>
      <c r="D423" s="90" t="s">
        <v>5104</v>
      </c>
      <c r="E423" s="98"/>
      <c r="F423" s="119" t="s">
        <v>4960</v>
      </c>
      <c r="G423" s="36">
        <v>0.020833333333333332</v>
      </c>
    </row>
    <row r="424" ht="22.5" customHeight="1">
      <c r="A424" s="100">
        <v>45949.0</v>
      </c>
      <c r="B424" s="103" t="s">
        <v>4974</v>
      </c>
      <c r="C424" s="98" t="s">
        <v>4974</v>
      </c>
      <c r="D424" s="99"/>
      <c r="E424" s="98"/>
      <c r="F424" s="124" t="s">
        <v>4974</v>
      </c>
      <c r="G424" s="125">
        <v>0.003472222222222222</v>
      </c>
    </row>
    <row r="425" ht="22.5" customHeight="1">
      <c r="A425" s="100">
        <v>45949.0</v>
      </c>
      <c r="B425" s="26" t="s">
        <v>4978</v>
      </c>
      <c r="C425" s="87" t="s">
        <v>5010</v>
      </c>
      <c r="D425" s="90" t="s">
        <v>5104</v>
      </c>
      <c r="E425" s="98"/>
      <c r="F425" s="119" t="s">
        <v>5197</v>
      </c>
      <c r="G425" s="36">
        <v>0.003472222222222222</v>
      </c>
    </row>
    <row r="426" ht="22.5" customHeight="1">
      <c r="A426" s="100">
        <v>45949.0</v>
      </c>
      <c r="B426" s="26" t="s">
        <v>4978</v>
      </c>
      <c r="C426" s="87" t="s">
        <v>5010</v>
      </c>
      <c r="D426" s="90" t="s">
        <v>5104</v>
      </c>
      <c r="E426" s="98"/>
      <c r="F426" s="119" t="s">
        <v>4960</v>
      </c>
      <c r="G426" s="36">
        <v>0.052083333333333336</v>
      </c>
    </row>
    <row r="427" ht="22.5" customHeight="1">
      <c r="A427" s="100">
        <v>45950.0</v>
      </c>
      <c r="B427" s="26" t="s">
        <v>4978</v>
      </c>
      <c r="C427" s="87" t="s">
        <v>5010</v>
      </c>
      <c r="D427" s="90" t="s">
        <v>5104</v>
      </c>
      <c r="E427" s="98"/>
      <c r="F427" s="119" t="s">
        <v>5197</v>
      </c>
      <c r="G427" s="36">
        <v>0.011516203703703704</v>
      </c>
    </row>
    <row r="428" ht="22.5" customHeight="1">
      <c r="A428" s="100">
        <v>45950.0</v>
      </c>
      <c r="B428" s="120" t="s">
        <v>4974</v>
      </c>
      <c r="C428" s="121" t="s">
        <v>4974</v>
      </c>
      <c r="D428" s="96"/>
      <c r="E428" s="96"/>
      <c r="F428" s="122" t="s">
        <v>4974</v>
      </c>
      <c r="G428" s="123">
        <v>0.003472222222222222</v>
      </c>
    </row>
    <row r="429" ht="22.5" customHeight="1">
      <c r="A429" s="100">
        <v>45950.0</v>
      </c>
      <c r="B429" s="26" t="s">
        <v>4978</v>
      </c>
      <c r="C429" s="87" t="s">
        <v>5010</v>
      </c>
      <c r="D429" s="90" t="s">
        <v>5104</v>
      </c>
      <c r="E429" s="98"/>
      <c r="F429" s="119" t="s">
        <v>4960</v>
      </c>
      <c r="G429" s="129">
        <v>0.041666666666666664</v>
      </c>
    </row>
    <row r="430" ht="22.5" customHeight="1">
      <c r="A430" s="100">
        <v>45951.0</v>
      </c>
      <c r="B430" s="26" t="s">
        <v>4978</v>
      </c>
      <c r="C430" s="87" t="s">
        <v>5010</v>
      </c>
      <c r="D430" s="90" t="s">
        <v>5104</v>
      </c>
      <c r="E430" s="98"/>
      <c r="F430" s="119" t="s">
        <v>5198</v>
      </c>
      <c r="G430" s="129">
        <v>0.007604166666666667</v>
      </c>
    </row>
    <row r="431" ht="22.5" customHeight="1">
      <c r="A431" s="100">
        <v>45951.0</v>
      </c>
      <c r="B431" s="26" t="s">
        <v>4978</v>
      </c>
      <c r="C431" s="87" t="s">
        <v>5010</v>
      </c>
      <c r="D431" s="90" t="s">
        <v>5104</v>
      </c>
      <c r="E431" s="98"/>
      <c r="F431" s="119" t="s">
        <v>4960</v>
      </c>
      <c r="G431" s="129">
        <v>0.04513888888888889</v>
      </c>
    </row>
    <row r="432" ht="22.5" customHeight="1">
      <c r="A432" s="100">
        <v>45952.0</v>
      </c>
      <c r="B432" s="26" t="s">
        <v>5199</v>
      </c>
      <c r="C432" s="87" t="s">
        <v>5010</v>
      </c>
      <c r="D432" s="90" t="s">
        <v>5104</v>
      </c>
      <c r="E432" s="98"/>
      <c r="F432" s="119" t="s">
        <v>5200</v>
      </c>
      <c r="G432" s="129">
        <v>0.027777777777777776</v>
      </c>
    </row>
    <row r="433" ht="22.5" customHeight="1">
      <c r="A433" s="100">
        <v>45952.0</v>
      </c>
      <c r="B433" s="26" t="s">
        <v>4978</v>
      </c>
      <c r="C433" s="87" t="s">
        <v>5010</v>
      </c>
      <c r="D433" s="90" t="s">
        <v>5104</v>
      </c>
      <c r="E433" s="98"/>
      <c r="F433" s="119" t="s">
        <v>4960</v>
      </c>
      <c r="G433" s="129">
        <v>0.020833333333333332</v>
      </c>
    </row>
    <row r="434" ht="22.5" customHeight="1">
      <c r="A434" s="100">
        <v>45952.0</v>
      </c>
      <c r="B434" s="120" t="s">
        <v>4974</v>
      </c>
      <c r="C434" s="121" t="s">
        <v>4974</v>
      </c>
      <c r="D434" s="96"/>
      <c r="E434" s="96"/>
      <c r="F434" s="122" t="s">
        <v>4974</v>
      </c>
      <c r="G434" s="123">
        <v>0.003472222222222222</v>
      </c>
    </row>
    <row r="435" ht="22.5" customHeight="1">
      <c r="A435" s="100">
        <v>45953.0</v>
      </c>
      <c r="B435" s="26" t="s">
        <v>4978</v>
      </c>
      <c r="C435" s="87" t="s">
        <v>5010</v>
      </c>
      <c r="D435" s="90" t="s">
        <v>5104</v>
      </c>
      <c r="E435" s="96"/>
      <c r="F435" s="128" t="s">
        <v>5201</v>
      </c>
      <c r="G435" s="129">
        <v>0.0059490740740740745</v>
      </c>
    </row>
    <row r="436" ht="22.5" customHeight="1">
      <c r="A436" s="100">
        <v>45953.0</v>
      </c>
      <c r="B436" s="26" t="s">
        <v>4978</v>
      </c>
      <c r="C436" s="87" t="s">
        <v>5010</v>
      </c>
      <c r="D436" s="90" t="s">
        <v>5104</v>
      </c>
      <c r="E436" s="98"/>
      <c r="F436" s="119" t="s">
        <v>4960</v>
      </c>
      <c r="G436" s="129">
        <v>0.05694444444444444</v>
      </c>
    </row>
    <row r="437" ht="22.5" customHeight="1">
      <c r="A437" s="100">
        <v>45953.0</v>
      </c>
      <c r="B437" s="120" t="s">
        <v>4974</v>
      </c>
      <c r="C437" s="121" t="s">
        <v>4974</v>
      </c>
      <c r="D437" s="96"/>
      <c r="E437" s="96"/>
      <c r="F437" s="122" t="s">
        <v>4974</v>
      </c>
      <c r="G437" s="123">
        <v>0.003472222222222222</v>
      </c>
    </row>
    <row r="438" ht="22.5" customHeight="1">
      <c r="A438" s="100">
        <v>45954.0</v>
      </c>
      <c r="B438" s="26" t="s">
        <v>4978</v>
      </c>
      <c r="C438" s="87" t="s">
        <v>5010</v>
      </c>
      <c r="D438" s="90" t="s">
        <v>5104</v>
      </c>
      <c r="E438" s="96"/>
      <c r="F438" s="128" t="s">
        <v>5202</v>
      </c>
      <c r="G438" s="129">
        <v>0.007997685185185186</v>
      </c>
    </row>
    <row r="439" ht="22.5" customHeight="1">
      <c r="A439" s="100">
        <v>45954.0</v>
      </c>
      <c r="B439" s="130" t="s">
        <v>4974</v>
      </c>
      <c r="C439" s="131" t="s">
        <v>4974</v>
      </c>
      <c r="D439" s="110"/>
      <c r="E439" s="110"/>
      <c r="F439" s="132" t="s">
        <v>4974</v>
      </c>
      <c r="G439" s="133">
        <v>0.003472222222222222</v>
      </c>
    </row>
    <row r="440" ht="22.5" customHeight="1">
      <c r="A440" s="100">
        <v>45954.0</v>
      </c>
      <c r="B440" s="26" t="s">
        <v>4978</v>
      </c>
      <c r="C440" s="87" t="s">
        <v>5010</v>
      </c>
      <c r="D440" s="90" t="s">
        <v>5104</v>
      </c>
      <c r="E440" s="98"/>
      <c r="F440" s="119" t="s">
        <v>4960</v>
      </c>
      <c r="G440" s="134">
        <v>0.041666666666666664</v>
      </c>
    </row>
    <row r="441" ht="22.5" customHeight="1">
      <c r="A441" s="100">
        <v>45955.0</v>
      </c>
      <c r="B441" s="26" t="s">
        <v>4978</v>
      </c>
      <c r="C441" s="87" t="s">
        <v>5010</v>
      </c>
      <c r="D441" s="90" t="s">
        <v>5104</v>
      </c>
      <c r="E441" s="96"/>
      <c r="F441" s="128" t="s">
        <v>5202</v>
      </c>
      <c r="G441" s="129">
        <v>0.007997685185185186</v>
      </c>
    </row>
    <row r="442" ht="22.5" customHeight="1">
      <c r="A442" s="100">
        <v>45955.0</v>
      </c>
      <c r="B442" s="120" t="s">
        <v>4974</v>
      </c>
      <c r="C442" s="121" t="s">
        <v>4974</v>
      </c>
      <c r="D442" s="96"/>
      <c r="E442" s="96"/>
      <c r="F442" s="122" t="s">
        <v>4974</v>
      </c>
      <c r="G442" s="123">
        <v>0.003472222222222222</v>
      </c>
    </row>
    <row r="443" ht="22.5" customHeight="1">
      <c r="A443" s="100">
        <v>45955.0</v>
      </c>
      <c r="B443" s="26" t="s">
        <v>4978</v>
      </c>
      <c r="C443" s="87" t="s">
        <v>5010</v>
      </c>
      <c r="D443" s="90" t="s">
        <v>5104</v>
      </c>
      <c r="E443" s="96"/>
      <c r="F443" s="128" t="s">
        <v>5203</v>
      </c>
      <c r="G443" s="129">
        <v>0.010347222222222223</v>
      </c>
    </row>
    <row r="444" ht="22.5" customHeight="1">
      <c r="A444" s="100">
        <v>45955.0</v>
      </c>
      <c r="B444" s="26" t="s">
        <v>5199</v>
      </c>
      <c r="C444" s="87" t="s">
        <v>5010</v>
      </c>
      <c r="D444" s="90" t="s">
        <v>5104</v>
      </c>
      <c r="E444" s="96"/>
      <c r="F444" s="119" t="s">
        <v>5200</v>
      </c>
      <c r="G444" s="129">
        <v>0.013888888888888888</v>
      </c>
    </row>
    <row r="445" ht="22.5" customHeight="1">
      <c r="A445" s="100">
        <v>45955.0</v>
      </c>
      <c r="B445" s="26" t="s">
        <v>4978</v>
      </c>
      <c r="C445" s="87" t="s">
        <v>5010</v>
      </c>
      <c r="D445" s="90" t="s">
        <v>5104</v>
      </c>
      <c r="E445" s="98"/>
      <c r="F445" s="119" t="s">
        <v>4960</v>
      </c>
      <c r="G445" s="129">
        <v>0.03125</v>
      </c>
    </row>
    <row r="446" ht="22.5" customHeight="1">
      <c r="A446" s="100">
        <v>45956.0</v>
      </c>
      <c r="B446" s="120" t="s">
        <v>4974</v>
      </c>
      <c r="C446" s="121" t="s">
        <v>4974</v>
      </c>
      <c r="D446" s="96"/>
      <c r="E446" s="96"/>
      <c r="F446" s="122" t="s">
        <v>4974</v>
      </c>
      <c r="G446" s="123">
        <v>0.003472222222222222</v>
      </c>
    </row>
    <row r="447" ht="22.5" customHeight="1">
      <c r="A447" s="100">
        <v>45956.0</v>
      </c>
      <c r="B447" s="26" t="s">
        <v>4978</v>
      </c>
      <c r="C447" s="87" t="s">
        <v>5010</v>
      </c>
      <c r="D447" s="90" t="s">
        <v>5104</v>
      </c>
      <c r="E447" s="96"/>
      <c r="F447" s="128" t="s">
        <v>5203</v>
      </c>
      <c r="G447" s="129">
        <v>0.010347222222222223</v>
      </c>
    </row>
    <row r="448" ht="22.5" customHeight="1">
      <c r="A448" s="100">
        <v>45956.0</v>
      </c>
      <c r="B448" s="26" t="s">
        <v>4978</v>
      </c>
      <c r="C448" s="87" t="s">
        <v>5010</v>
      </c>
      <c r="D448" s="90" t="s">
        <v>5104</v>
      </c>
      <c r="E448" s="98"/>
      <c r="F448" s="119" t="s">
        <v>4960</v>
      </c>
      <c r="G448" s="129">
        <v>0.0625</v>
      </c>
    </row>
    <row r="449" ht="22.5" customHeight="1">
      <c r="A449" s="100">
        <v>45957.0</v>
      </c>
      <c r="B449" s="26" t="s">
        <v>5199</v>
      </c>
      <c r="C449" s="87" t="s">
        <v>5010</v>
      </c>
      <c r="D449" s="90" t="s">
        <v>5104</v>
      </c>
      <c r="E449" s="96"/>
      <c r="F449" s="119" t="s">
        <v>5200</v>
      </c>
      <c r="G449" s="129">
        <v>0.041666666666666664</v>
      </c>
    </row>
    <row r="450" ht="22.5" customHeight="1">
      <c r="A450" s="100">
        <v>45957.0</v>
      </c>
      <c r="B450" s="26" t="s">
        <v>4978</v>
      </c>
      <c r="C450" s="87" t="s">
        <v>5010</v>
      </c>
      <c r="D450" s="90" t="s">
        <v>5104</v>
      </c>
      <c r="E450" s="98"/>
      <c r="F450" s="119" t="s">
        <v>4960</v>
      </c>
      <c r="G450" s="129">
        <v>0.020833333333333332</v>
      </c>
    </row>
    <row r="451" ht="22.5" customHeight="1">
      <c r="A451" s="100">
        <v>45957.0</v>
      </c>
      <c r="B451" s="120" t="s">
        <v>4974</v>
      </c>
      <c r="C451" s="121" t="s">
        <v>4974</v>
      </c>
      <c r="D451" s="96"/>
      <c r="E451" s="96"/>
      <c r="F451" s="122" t="s">
        <v>4974</v>
      </c>
      <c r="G451" s="123">
        <v>0.003472222222222222</v>
      </c>
    </row>
    <row r="452" ht="22.5" customHeight="1">
      <c r="A452" s="100">
        <v>45958.0</v>
      </c>
      <c r="B452" s="120" t="s">
        <v>4974</v>
      </c>
      <c r="C452" s="121" t="s">
        <v>4974</v>
      </c>
      <c r="D452" s="96"/>
      <c r="E452" s="96"/>
      <c r="F452" s="122" t="s">
        <v>4974</v>
      </c>
      <c r="G452" s="123">
        <v>0.003472222222222222</v>
      </c>
    </row>
    <row r="453" ht="22.5" customHeight="1">
      <c r="A453" s="100">
        <v>45958.0</v>
      </c>
      <c r="B453" s="26" t="s">
        <v>4978</v>
      </c>
      <c r="C453" s="87" t="s">
        <v>5010</v>
      </c>
      <c r="D453" s="90" t="s">
        <v>5104</v>
      </c>
      <c r="E453" s="98"/>
      <c r="F453" s="119" t="s">
        <v>4960</v>
      </c>
      <c r="G453" s="129">
        <v>0.07291666666666667</v>
      </c>
    </row>
    <row r="454" ht="22.5" customHeight="1">
      <c r="A454" s="100">
        <v>45959.0</v>
      </c>
      <c r="B454" s="120" t="s">
        <v>4974</v>
      </c>
      <c r="C454" s="121" t="s">
        <v>4974</v>
      </c>
      <c r="D454" s="96"/>
      <c r="E454" s="96"/>
      <c r="F454" s="122" t="s">
        <v>4974</v>
      </c>
      <c r="G454" s="123">
        <v>0.003472222222222222</v>
      </c>
    </row>
    <row r="455" ht="22.5" customHeight="1">
      <c r="A455" s="100">
        <v>45959.0</v>
      </c>
      <c r="B455" s="26" t="s">
        <v>4978</v>
      </c>
      <c r="C455" s="87" t="s">
        <v>5010</v>
      </c>
      <c r="D455" s="90" t="s">
        <v>5104</v>
      </c>
      <c r="E455" s="96"/>
      <c r="F455" s="128" t="s">
        <v>5204</v>
      </c>
      <c r="G455" s="129">
        <v>0.006435185185185185</v>
      </c>
    </row>
    <row r="456" ht="22.5" customHeight="1">
      <c r="A456" s="100">
        <v>45959.0</v>
      </c>
      <c r="B456" s="26" t="s">
        <v>5199</v>
      </c>
      <c r="C456" s="87" t="s">
        <v>5010</v>
      </c>
      <c r="D456" s="90" t="s">
        <v>5104</v>
      </c>
      <c r="E456" s="96"/>
      <c r="F456" s="119" t="s">
        <v>5200</v>
      </c>
      <c r="G456" s="129">
        <v>0.027777777777777776</v>
      </c>
    </row>
    <row r="457" ht="22.5" customHeight="1">
      <c r="A457" s="100">
        <v>45959.0</v>
      </c>
      <c r="B457" s="26" t="s">
        <v>4978</v>
      </c>
      <c r="C457" s="87" t="s">
        <v>5010</v>
      </c>
      <c r="D457" s="90" t="s">
        <v>5104</v>
      </c>
      <c r="E457" s="98"/>
      <c r="F457" s="119" t="s">
        <v>4960</v>
      </c>
      <c r="G457" s="129">
        <v>0.020833333333333332</v>
      </c>
    </row>
    <row r="458" ht="22.5" customHeight="1">
      <c r="A458" s="100">
        <v>45960.0</v>
      </c>
      <c r="B458" s="26" t="s">
        <v>4978</v>
      </c>
      <c r="C458" s="87" t="s">
        <v>5010</v>
      </c>
      <c r="D458" s="90" t="s">
        <v>5104</v>
      </c>
      <c r="E458" s="98"/>
      <c r="F458" s="119" t="s">
        <v>5205</v>
      </c>
      <c r="G458" s="129">
        <v>0.0059953703703703705</v>
      </c>
    </row>
    <row r="459" ht="22.5" customHeight="1">
      <c r="A459" s="100">
        <v>45960.0</v>
      </c>
      <c r="B459" s="120" t="s">
        <v>4974</v>
      </c>
      <c r="C459" s="121" t="s">
        <v>4974</v>
      </c>
      <c r="D459" s="96"/>
      <c r="E459" s="96"/>
      <c r="F459" s="122" t="s">
        <v>4974</v>
      </c>
      <c r="G459" s="123">
        <v>0.003472222222222222</v>
      </c>
    </row>
    <row r="460" ht="22.5" customHeight="1">
      <c r="A460" s="100">
        <v>45960.0</v>
      </c>
      <c r="B460" s="26" t="s">
        <v>4978</v>
      </c>
      <c r="C460" s="87" t="s">
        <v>5010</v>
      </c>
      <c r="D460" s="90" t="s">
        <v>5104</v>
      </c>
      <c r="E460" s="98"/>
      <c r="F460" s="119" t="s">
        <v>4960</v>
      </c>
      <c r="G460" s="129">
        <v>0.034722222222222224</v>
      </c>
    </row>
    <row r="461" ht="22.5" customHeight="1">
      <c r="A461" s="100">
        <v>45961.0</v>
      </c>
      <c r="B461" s="26" t="s">
        <v>5199</v>
      </c>
      <c r="C461" s="87" t="s">
        <v>5010</v>
      </c>
      <c r="D461" s="90" t="s">
        <v>5104</v>
      </c>
      <c r="E461" s="96"/>
      <c r="F461" s="119" t="s">
        <v>5200</v>
      </c>
      <c r="G461" s="129">
        <v>0.027777777777777776</v>
      </c>
    </row>
    <row r="462" ht="22.5" customHeight="1">
      <c r="A462" s="100">
        <v>45961.0</v>
      </c>
      <c r="B462" s="103" t="s">
        <v>4974</v>
      </c>
      <c r="C462" s="98" t="s">
        <v>4974</v>
      </c>
      <c r="D462" s="99"/>
      <c r="E462" s="96"/>
      <c r="F462" s="124" t="s">
        <v>4974</v>
      </c>
      <c r="G462" s="123">
        <v>0.003472222222222222</v>
      </c>
    </row>
    <row r="463" ht="22.5" customHeight="1">
      <c r="A463" s="100">
        <v>45961.0</v>
      </c>
      <c r="B463" s="26" t="s">
        <v>4978</v>
      </c>
      <c r="C463" s="87" t="s">
        <v>5010</v>
      </c>
      <c r="D463" s="90" t="s">
        <v>5104</v>
      </c>
      <c r="E463" s="98"/>
      <c r="F463" s="119" t="s">
        <v>4960</v>
      </c>
      <c r="G463" s="129">
        <v>0.041666666666666664</v>
      </c>
    </row>
    <row r="464" ht="22.5" customHeight="1">
      <c r="A464" s="100">
        <v>45962.0</v>
      </c>
      <c r="B464" s="103" t="s">
        <v>4974</v>
      </c>
      <c r="C464" s="98" t="s">
        <v>4974</v>
      </c>
      <c r="D464" s="99"/>
      <c r="E464" s="96"/>
      <c r="F464" s="124" t="s">
        <v>4974</v>
      </c>
      <c r="G464" s="123">
        <v>0.003472222222222222</v>
      </c>
    </row>
    <row r="465" ht="22.5" customHeight="1">
      <c r="A465" s="100">
        <v>45962.0</v>
      </c>
      <c r="B465" s="26" t="s">
        <v>4978</v>
      </c>
      <c r="C465" s="87" t="s">
        <v>5206</v>
      </c>
      <c r="D465" s="99"/>
      <c r="E465" s="96"/>
      <c r="F465" s="104" t="s">
        <v>5207</v>
      </c>
      <c r="G465" s="129">
        <v>0.014675925925925926</v>
      </c>
    </row>
    <row r="466" ht="22.5" customHeight="1">
      <c r="A466" s="100">
        <v>45962.0</v>
      </c>
      <c r="B466" s="26" t="s">
        <v>4978</v>
      </c>
      <c r="C466" s="87" t="s">
        <v>5206</v>
      </c>
      <c r="D466" s="99"/>
      <c r="E466" s="96"/>
      <c r="F466" s="104" t="s">
        <v>5208</v>
      </c>
      <c r="G466" s="129">
        <v>0.03364583333333333</v>
      </c>
    </row>
    <row r="467" ht="22.5" customHeight="1">
      <c r="A467" s="100">
        <v>45963.0</v>
      </c>
      <c r="B467" s="103" t="s">
        <v>4974</v>
      </c>
      <c r="C467" s="98" t="s">
        <v>4974</v>
      </c>
      <c r="D467" s="99"/>
      <c r="E467" s="96"/>
      <c r="F467" s="124" t="s">
        <v>4974</v>
      </c>
      <c r="G467" s="123">
        <v>0.003472222222222222</v>
      </c>
    </row>
    <row r="468" ht="22.5" customHeight="1">
      <c r="A468" s="100">
        <v>45963.0</v>
      </c>
      <c r="B468" s="26" t="s">
        <v>4978</v>
      </c>
      <c r="C468" s="87" t="s">
        <v>5010</v>
      </c>
      <c r="D468" s="90" t="s">
        <v>5104</v>
      </c>
      <c r="E468" s="96"/>
      <c r="F468" s="119" t="s">
        <v>5209</v>
      </c>
      <c r="G468" s="129">
        <v>0.005462962962962963</v>
      </c>
    </row>
    <row r="469" ht="22.5" customHeight="1">
      <c r="A469" s="100">
        <v>45963.0</v>
      </c>
      <c r="B469" s="26" t="s">
        <v>4978</v>
      </c>
      <c r="C469" s="87" t="s">
        <v>5010</v>
      </c>
      <c r="D469" s="90" t="s">
        <v>5104</v>
      </c>
      <c r="E469" s="96"/>
      <c r="F469" s="119" t="s">
        <v>5210</v>
      </c>
      <c r="G469" s="129">
        <v>0.005439814814814815</v>
      </c>
    </row>
    <row r="470" ht="22.5" customHeight="1">
      <c r="A470" s="100">
        <v>45963.0</v>
      </c>
      <c r="B470" s="26" t="s">
        <v>4978</v>
      </c>
      <c r="C470" s="87" t="s">
        <v>5010</v>
      </c>
      <c r="D470" s="90" t="s">
        <v>5104</v>
      </c>
      <c r="E470" s="98"/>
      <c r="F470" s="119" t="s">
        <v>4960</v>
      </c>
      <c r="G470" s="129">
        <v>0.05555555555555555</v>
      </c>
    </row>
    <row r="471" ht="22.5" customHeight="1">
      <c r="A471" s="100">
        <v>45964.0</v>
      </c>
      <c r="B471" s="26" t="s">
        <v>4978</v>
      </c>
      <c r="C471" s="87" t="s">
        <v>5010</v>
      </c>
      <c r="D471" s="90" t="s">
        <v>5104</v>
      </c>
      <c r="E471" s="96"/>
      <c r="F471" s="119" t="s">
        <v>5210</v>
      </c>
      <c r="G471" s="129">
        <v>0.005439814814814815</v>
      </c>
    </row>
    <row r="472" ht="22.5" customHeight="1">
      <c r="A472" s="100">
        <v>45964.0</v>
      </c>
      <c r="B472" s="103" t="s">
        <v>4974</v>
      </c>
      <c r="C472" s="98" t="s">
        <v>4974</v>
      </c>
      <c r="D472" s="99"/>
      <c r="E472" s="96"/>
      <c r="F472" s="124" t="s">
        <v>4974</v>
      </c>
      <c r="G472" s="123">
        <v>0.003472222222222222</v>
      </c>
    </row>
    <row r="473" ht="22.5" customHeight="1">
      <c r="A473" s="100">
        <v>45964.0</v>
      </c>
      <c r="B473" s="26" t="s">
        <v>4978</v>
      </c>
      <c r="C473" s="87" t="s">
        <v>5010</v>
      </c>
      <c r="D473" s="90" t="s">
        <v>5104</v>
      </c>
      <c r="E473" s="98"/>
      <c r="F473" s="119" t="s">
        <v>4960</v>
      </c>
      <c r="G473" s="129">
        <v>0.04861111111111111</v>
      </c>
    </row>
    <row r="474" ht="22.5" customHeight="1">
      <c r="A474" s="100">
        <v>45965.0</v>
      </c>
      <c r="B474" s="26" t="s">
        <v>4978</v>
      </c>
      <c r="C474" s="87" t="s">
        <v>5010</v>
      </c>
      <c r="D474" s="90" t="s">
        <v>5104</v>
      </c>
      <c r="E474" s="98"/>
      <c r="F474" s="119" t="s">
        <v>5211</v>
      </c>
      <c r="G474" s="129">
        <v>0.005138888888888889</v>
      </c>
    </row>
    <row r="475" ht="22.5" customHeight="1">
      <c r="A475" s="100">
        <v>45965.0</v>
      </c>
      <c r="B475" s="103" t="s">
        <v>4974</v>
      </c>
      <c r="C475" s="98" t="s">
        <v>4974</v>
      </c>
      <c r="D475" s="99"/>
      <c r="E475" s="96"/>
      <c r="F475" s="124" t="s">
        <v>4974</v>
      </c>
      <c r="G475" s="123">
        <v>0.003472222222222222</v>
      </c>
    </row>
    <row r="476" ht="22.5" customHeight="1">
      <c r="A476" s="100">
        <v>45965.0</v>
      </c>
      <c r="B476" s="26" t="s">
        <v>4978</v>
      </c>
      <c r="C476" s="87" t="s">
        <v>5010</v>
      </c>
      <c r="D476" s="90" t="s">
        <v>5104</v>
      </c>
      <c r="E476" s="98"/>
      <c r="F476" s="119" t="s">
        <v>4960</v>
      </c>
      <c r="G476" s="129">
        <v>0.04861111111111111</v>
      </c>
    </row>
    <row r="477" ht="22.5" customHeight="1">
      <c r="A477" s="100">
        <v>45966.0</v>
      </c>
      <c r="B477" s="26" t="s">
        <v>4978</v>
      </c>
      <c r="C477" s="87" t="s">
        <v>5010</v>
      </c>
      <c r="D477" s="90" t="s">
        <v>5104</v>
      </c>
      <c r="E477" s="98"/>
      <c r="F477" s="119" t="s">
        <v>5209</v>
      </c>
      <c r="G477" s="129">
        <v>0.005462962962962963</v>
      </c>
    </row>
    <row r="478" ht="22.5" customHeight="1">
      <c r="A478" s="100">
        <v>45966.0</v>
      </c>
      <c r="B478" s="26" t="s">
        <v>4978</v>
      </c>
      <c r="C478" s="87" t="s">
        <v>5010</v>
      </c>
      <c r="D478" s="90" t="s">
        <v>5104</v>
      </c>
      <c r="E478" s="98"/>
      <c r="F478" s="119" t="s">
        <v>5210</v>
      </c>
      <c r="G478" s="129">
        <v>0.005439814814814815</v>
      </c>
    </row>
    <row r="479" ht="22.5" customHeight="1">
      <c r="A479" s="100">
        <v>45966.0</v>
      </c>
      <c r="B479" s="26" t="s">
        <v>4978</v>
      </c>
      <c r="C479" s="87" t="s">
        <v>5010</v>
      </c>
      <c r="D479" s="90" t="s">
        <v>5104</v>
      </c>
      <c r="E479" s="98"/>
      <c r="F479" s="119" t="s">
        <v>5211</v>
      </c>
      <c r="G479" s="129">
        <v>0.005138888888888889</v>
      </c>
    </row>
    <row r="480" ht="22.5" customHeight="1">
      <c r="A480" s="100">
        <v>45966.0</v>
      </c>
      <c r="B480" s="26" t="s">
        <v>4978</v>
      </c>
      <c r="C480" s="87" t="s">
        <v>5010</v>
      </c>
      <c r="D480" s="90" t="s">
        <v>5104</v>
      </c>
      <c r="E480" s="98"/>
      <c r="F480" s="119" t="s">
        <v>4960</v>
      </c>
      <c r="G480" s="129">
        <v>0.020833333333333332</v>
      </c>
    </row>
    <row r="481" ht="22.5" customHeight="1">
      <c r="A481" s="100">
        <v>45966.0</v>
      </c>
      <c r="B481" s="103" t="s">
        <v>4974</v>
      </c>
      <c r="C481" s="98" t="s">
        <v>4974</v>
      </c>
      <c r="D481" s="99"/>
      <c r="E481" s="96"/>
      <c r="F481" s="124" t="s">
        <v>4974</v>
      </c>
      <c r="G481" s="123">
        <v>0.003472222222222222</v>
      </c>
    </row>
    <row r="482" ht="22.5" customHeight="1">
      <c r="A482" s="100">
        <v>45967.0</v>
      </c>
      <c r="B482" s="103" t="s">
        <v>4974</v>
      </c>
      <c r="C482" s="98" t="s">
        <v>4974</v>
      </c>
      <c r="D482" s="99"/>
      <c r="E482" s="96"/>
      <c r="F482" s="124" t="s">
        <v>4974</v>
      </c>
      <c r="G482" s="123">
        <v>0.003472222222222222</v>
      </c>
    </row>
    <row r="483" ht="22.5" customHeight="1">
      <c r="A483" s="100">
        <v>45967.0</v>
      </c>
      <c r="B483" s="26" t="s">
        <v>4978</v>
      </c>
      <c r="C483" s="87" t="s">
        <v>5010</v>
      </c>
      <c r="D483" s="90" t="s">
        <v>5104</v>
      </c>
      <c r="E483" s="98"/>
      <c r="F483" s="119" t="s">
        <v>5209</v>
      </c>
      <c r="G483" s="129">
        <v>0.005462962962962963</v>
      </c>
    </row>
    <row r="484" ht="22.5" customHeight="1">
      <c r="A484" s="100">
        <v>45967.0</v>
      </c>
      <c r="B484" s="26" t="s">
        <v>4978</v>
      </c>
      <c r="C484" s="87" t="s">
        <v>5010</v>
      </c>
      <c r="D484" s="90" t="s">
        <v>5104</v>
      </c>
      <c r="E484" s="98"/>
      <c r="F484" s="119" t="s">
        <v>5210</v>
      </c>
      <c r="G484" s="129">
        <v>0.005439814814814815</v>
      </c>
    </row>
    <row r="485" ht="22.5" customHeight="1">
      <c r="A485" s="100">
        <v>45967.0</v>
      </c>
      <c r="B485" s="26" t="s">
        <v>4978</v>
      </c>
      <c r="C485" s="87" t="s">
        <v>5010</v>
      </c>
      <c r="D485" s="90" t="s">
        <v>5104</v>
      </c>
      <c r="E485" s="98"/>
      <c r="F485" s="119" t="s">
        <v>5211</v>
      </c>
      <c r="G485" s="129">
        <v>0.005138888888888889</v>
      </c>
    </row>
    <row r="486" ht="22.5" customHeight="1">
      <c r="A486" s="100">
        <v>45967.0</v>
      </c>
      <c r="B486" s="26" t="s">
        <v>4978</v>
      </c>
      <c r="C486" s="87" t="s">
        <v>5004</v>
      </c>
      <c r="D486" s="90"/>
      <c r="E486" s="98"/>
      <c r="F486" s="105" t="s">
        <v>5212</v>
      </c>
      <c r="G486" s="129">
        <v>0.011585648148148149</v>
      </c>
    </row>
    <row r="487" ht="22.5" customHeight="1">
      <c r="A487" s="100">
        <v>45967.0</v>
      </c>
      <c r="B487" s="26" t="s">
        <v>4978</v>
      </c>
      <c r="C487" s="87" t="s">
        <v>5010</v>
      </c>
      <c r="D487" s="90" t="s">
        <v>5104</v>
      </c>
      <c r="E487" s="98"/>
      <c r="F487" s="119" t="s">
        <v>4960</v>
      </c>
      <c r="G487" s="129">
        <v>0.013888888888888888</v>
      </c>
    </row>
    <row r="488" ht="22.5" customHeight="1">
      <c r="A488" s="100">
        <v>45968.0</v>
      </c>
      <c r="B488" s="26" t="s">
        <v>4978</v>
      </c>
      <c r="C488" s="87" t="s">
        <v>5010</v>
      </c>
      <c r="D488" s="90" t="s">
        <v>5104</v>
      </c>
      <c r="E488" s="98"/>
      <c r="F488" s="119" t="s">
        <v>4960</v>
      </c>
      <c r="G488" s="129">
        <v>0.041666666666666664</v>
      </c>
    </row>
    <row r="489" ht="22.5" customHeight="1">
      <c r="A489" s="100">
        <v>45968.0</v>
      </c>
      <c r="B489" s="103" t="s">
        <v>4974</v>
      </c>
      <c r="C489" s="98" t="s">
        <v>4974</v>
      </c>
      <c r="D489" s="99"/>
      <c r="E489" s="96"/>
      <c r="F489" s="124" t="s">
        <v>4974</v>
      </c>
      <c r="G489" s="123">
        <v>0.003472222222222222</v>
      </c>
    </row>
    <row r="490" ht="22.5" customHeight="1">
      <c r="A490" s="100">
        <v>45969.0</v>
      </c>
      <c r="B490" s="26" t="s">
        <v>4978</v>
      </c>
      <c r="C490" s="87" t="s">
        <v>5206</v>
      </c>
      <c r="D490" s="99"/>
      <c r="E490" s="96"/>
      <c r="F490" s="104" t="s">
        <v>5213</v>
      </c>
      <c r="G490" s="129">
        <v>0.03417824074074074</v>
      </c>
    </row>
    <row r="491" ht="22.5" customHeight="1">
      <c r="A491" s="100">
        <v>45969.0</v>
      </c>
      <c r="B491" s="26" t="s">
        <v>4978</v>
      </c>
      <c r="C491" s="87" t="s">
        <v>5004</v>
      </c>
      <c r="D491" s="99"/>
      <c r="E491" s="96"/>
      <c r="F491" s="104" t="s">
        <v>5214</v>
      </c>
      <c r="G491" s="129">
        <v>0.016909722222222222</v>
      </c>
    </row>
    <row r="492" ht="22.5" customHeight="1">
      <c r="A492" s="100">
        <v>45969.0</v>
      </c>
      <c r="B492" s="103" t="s">
        <v>4974</v>
      </c>
      <c r="C492" s="98" t="s">
        <v>4974</v>
      </c>
      <c r="D492" s="99"/>
      <c r="E492" s="96"/>
      <c r="F492" s="124" t="s">
        <v>4974</v>
      </c>
      <c r="G492" s="123">
        <v>0.003472222222222222</v>
      </c>
    </row>
    <row r="493" ht="22.5" customHeight="1">
      <c r="A493" s="100">
        <v>45970.0</v>
      </c>
      <c r="B493" s="26" t="s">
        <v>4978</v>
      </c>
      <c r="C493" s="87" t="s">
        <v>5010</v>
      </c>
      <c r="D493" s="90" t="s">
        <v>5104</v>
      </c>
      <c r="E493" s="98"/>
      <c r="F493" s="119" t="s">
        <v>4960</v>
      </c>
      <c r="G493" s="129">
        <v>0.04861111111111111</v>
      </c>
    </row>
    <row r="494" ht="22.5" customHeight="1">
      <c r="A494" s="100">
        <v>45970.0</v>
      </c>
      <c r="B494" s="103" t="s">
        <v>4974</v>
      </c>
      <c r="C494" s="98" t="s">
        <v>4974</v>
      </c>
      <c r="D494" s="99"/>
      <c r="E494" s="96"/>
      <c r="F494" s="124" t="s">
        <v>4974</v>
      </c>
      <c r="G494" s="123">
        <v>0.003472222222222222</v>
      </c>
    </row>
    <row r="495" ht="22.5" customHeight="1">
      <c r="A495" s="100">
        <v>45971.0</v>
      </c>
      <c r="B495" s="26" t="s">
        <v>4978</v>
      </c>
      <c r="C495" s="87" t="s">
        <v>5010</v>
      </c>
      <c r="D495" s="90" t="s">
        <v>5104</v>
      </c>
      <c r="E495" s="98"/>
      <c r="F495" s="119" t="s">
        <v>5209</v>
      </c>
      <c r="G495" s="129">
        <v>0.005462962962962963</v>
      </c>
    </row>
    <row r="496" ht="22.5" customHeight="1">
      <c r="A496" s="100">
        <v>45971.0</v>
      </c>
      <c r="B496" s="26" t="s">
        <v>4978</v>
      </c>
      <c r="C496" s="87" t="s">
        <v>5010</v>
      </c>
      <c r="D496" s="90" t="s">
        <v>5104</v>
      </c>
      <c r="E496" s="98"/>
      <c r="F496" s="119" t="s">
        <v>5210</v>
      </c>
      <c r="G496" s="129">
        <v>0.005439814814814815</v>
      </c>
    </row>
    <row r="497" ht="22.5" customHeight="1">
      <c r="A497" s="100">
        <v>45971.0</v>
      </c>
      <c r="B497" s="26" t="s">
        <v>4978</v>
      </c>
      <c r="C497" s="87" t="s">
        <v>5010</v>
      </c>
      <c r="D497" s="90" t="s">
        <v>5104</v>
      </c>
      <c r="E497" s="98"/>
      <c r="F497" s="119" t="s">
        <v>5211</v>
      </c>
      <c r="G497" s="129">
        <v>0.005138888888888889</v>
      </c>
    </row>
    <row r="498" ht="22.5" customHeight="1">
      <c r="A498" s="100">
        <v>45971.0</v>
      </c>
      <c r="B498" s="26" t="s">
        <v>4978</v>
      </c>
      <c r="C498" s="87" t="s">
        <v>5004</v>
      </c>
      <c r="D498" s="90"/>
      <c r="E498" s="98"/>
      <c r="F498" s="105" t="s">
        <v>5212</v>
      </c>
      <c r="G498" s="129">
        <v>0.011585648148148149</v>
      </c>
    </row>
    <row r="499" ht="22.5" customHeight="1">
      <c r="A499" s="100">
        <v>45971.0</v>
      </c>
      <c r="B499" s="103" t="s">
        <v>4974</v>
      </c>
      <c r="C499" s="98" t="s">
        <v>4974</v>
      </c>
      <c r="D499" s="99"/>
      <c r="E499" s="96"/>
      <c r="F499" s="124" t="s">
        <v>4974</v>
      </c>
      <c r="G499" s="123">
        <v>0.003472222222222222</v>
      </c>
    </row>
    <row r="500" ht="22.5" customHeight="1">
      <c r="A500" s="100">
        <v>45972.0</v>
      </c>
      <c r="B500" s="103" t="s">
        <v>4974</v>
      </c>
      <c r="C500" s="98" t="s">
        <v>4974</v>
      </c>
      <c r="D500" s="99"/>
      <c r="E500" s="96"/>
      <c r="F500" s="124" t="s">
        <v>4974</v>
      </c>
      <c r="G500" s="123">
        <v>0.003472222222222222</v>
      </c>
    </row>
    <row r="501" ht="22.5" customHeight="1">
      <c r="A501" s="100">
        <v>45972.0</v>
      </c>
      <c r="B501" s="26" t="s">
        <v>4978</v>
      </c>
      <c r="C501" s="87" t="s">
        <v>5010</v>
      </c>
      <c r="D501" s="90" t="s">
        <v>5104</v>
      </c>
      <c r="E501" s="98"/>
      <c r="F501" s="119" t="s">
        <v>5209</v>
      </c>
      <c r="G501" s="129">
        <v>0.005462962962962963</v>
      </c>
    </row>
    <row r="502" ht="22.5" customHeight="1">
      <c r="A502" s="100">
        <v>45972.0</v>
      </c>
      <c r="B502" s="26" t="s">
        <v>4978</v>
      </c>
      <c r="C502" s="87" t="s">
        <v>5010</v>
      </c>
      <c r="D502" s="90" t="s">
        <v>5104</v>
      </c>
      <c r="E502" s="98"/>
      <c r="F502" s="119" t="s">
        <v>5210</v>
      </c>
      <c r="G502" s="129">
        <v>0.005439814814814815</v>
      </c>
    </row>
    <row r="503" ht="22.5" customHeight="1">
      <c r="A503" s="100">
        <v>45972.0</v>
      </c>
      <c r="B503" s="26" t="s">
        <v>4978</v>
      </c>
      <c r="C503" s="87" t="s">
        <v>5010</v>
      </c>
      <c r="D503" s="90" t="s">
        <v>5104</v>
      </c>
      <c r="E503" s="98"/>
      <c r="F503" s="119" t="s">
        <v>5211</v>
      </c>
      <c r="G503" s="129">
        <v>0.005138888888888889</v>
      </c>
    </row>
    <row r="504" ht="22.5" customHeight="1">
      <c r="A504" s="100">
        <v>45972.0</v>
      </c>
      <c r="B504" s="26" t="s">
        <v>4978</v>
      </c>
      <c r="C504" s="87" t="s">
        <v>5010</v>
      </c>
      <c r="D504" s="90" t="s">
        <v>5104</v>
      </c>
      <c r="E504" s="98"/>
      <c r="F504" s="119" t="s">
        <v>5215</v>
      </c>
      <c r="G504" s="129">
        <v>0.007465277777777778</v>
      </c>
    </row>
    <row r="505" ht="22.5" customHeight="1">
      <c r="A505" s="100">
        <v>45972.0</v>
      </c>
      <c r="B505" s="26" t="s">
        <v>4978</v>
      </c>
      <c r="C505" s="87" t="s">
        <v>5010</v>
      </c>
      <c r="D505" s="90" t="s">
        <v>5104</v>
      </c>
      <c r="E505" s="98"/>
      <c r="F505" s="119" t="s">
        <v>4960</v>
      </c>
      <c r="G505" s="129">
        <v>0.006944444444444444</v>
      </c>
    </row>
    <row r="506" ht="22.5" customHeight="1">
      <c r="A506" s="100">
        <v>45973.0</v>
      </c>
      <c r="B506" s="26" t="s">
        <v>4978</v>
      </c>
      <c r="C506" s="87" t="s">
        <v>5010</v>
      </c>
      <c r="D506" s="90" t="s">
        <v>5104</v>
      </c>
      <c r="E506" s="98"/>
      <c r="F506" s="119" t="s">
        <v>5209</v>
      </c>
      <c r="G506" s="129">
        <v>0.005462962962962963</v>
      </c>
    </row>
    <row r="507" ht="22.5" customHeight="1">
      <c r="A507" s="100">
        <v>45973.0</v>
      </c>
      <c r="B507" s="26" t="s">
        <v>4978</v>
      </c>
      <c r="C507" s="87" t="s">
        <v>5010</v>
      </c>
      <c r="D507" s="90" t="s">
        <v>5104</v>
      </c>
      <c r="E507" s="98"/>
      <c r="F507" s="119" t="s">
        <v>5210</v>
      </c>
      <c r="G507" s="129">
        <v>0.005439814814814815</v>
      </c>
    </row>
    <row r="508" ht="22.5" customHeight="1">
      <c r="A508" s="100">
        <v>45973.0</v>
      </c>
      <c r="B508" s="26" t="s">
        <v>4978</v>
      </c>
      <c r="C508" s="87" t="s">
        <v>5010</v>
      </c>
      <c r="D508" s="90" t="s">
        <v>5104</v>
      </c>
      <c r="E508" s="98"/>
      <c r="F508" s="119" t="s">
        <v>5211</v>
      </c>
      <c r="G508" s="129">
        <v>0.005138888888888889</v>
      </c>
    </row>
    <row r="509" ht="22.5" customHeight="1">
      <c r="A509" s="100">
        <v>45973.0</v>
      </c>
      <c r="B509" s="26" t="s">
        <v>4978</v>
      </c>
      <c r="C509" s="87" t="s">
        <v>5010</v>
      </c>
      <c r="D509" s="90" t="s">
        <v>5104</v>
      </c>
      <c r="E509" s="98"/>
      <c r="F509" s="119" t="s">
        <v>5215</v>
      </c>
      <c r="G509" s="129">
        <v>0.007465277777777778</v>
      </c>
    </row>
    <row r="510" ht="22.5" customHeight="1">
      <c r="A510" s="100">
        <v>45973.0</v>
      </c>
      <c r="B510" s="103" t="s">
        <v>4974</v>
      </c>
      <c r="C510" s="98" t="s">
        <v>4974</v>
      </c>
      <c r="D510" s="99"/>
      <c r="E510" s="96"/>
      <c r="F510" s="124" t="s">
        <v>4974</v>
      </c>
      <c r="G510" s="123">
        <v>0.003472222222222222</v>
      </c>
    </row>
    <row r="511" ht="22.5" customHeight="1">
      <c r="A511" s="100">
        <v>45973.0</v>
      </c>
      <c r="B511" s="26" t="s">
        <v>4978</v>
      </c>
      <c r="C511" s="87" t="s">
        <v>5010</v>
      </c>
      <c r="D511" s="90" t="s">
        <v>5104</v>
      </c>
      <c r="E511" s="98"/>
      <c r="F511" s="119" t="s">
        <v>4960</v>
      </c>
      <c r="G511" s="129">
        <v>0.010416666666666666</v>
      </c>
    </row>
    <row r="512" ht="22.5" customHeight="1">
      <c r="A512" s="100">
        <v>45974.0</v>
      </c>
      <c r="B512" s="26" t="s">
        <v>4978</v>
      </c>
      <c r="C512" s="87" t="s">
        <v>5010</v>
      </c>
      <c r="D512" s="90" t="s">
        <v>5104</v>
      </c>
      <c r="E512" s="98"/>
      <c r="F512" s="119" t="s">
        <v>5211</v>
      </c>
      <c r="G512" s="129">
        <v>0.005138888888888889</v>
      </c>
    </row>
    <row r="513" ht="22.5" customHeight="1">
      <c r="A513" s="100">
        <v>45974.0</v>
      </c>
      <c r="B513" s="26" t="s">
        <v>4978</v>
      </c>
      <c r="C513" s="87" t="s">
        <v>5010</v>
      </c>
      <c r="D513" s="90" t="s">
        <v>5104</v>
      </c>
      <c r="E513" s="98"/>
      <c r="F513" s="119" t="s">
        <v>5215</v>
      </c>
      <c r="G513" s="129">
        <v>0.007465277777777778</v>
      </c>
    </row>
    <row r="514" ht="22.5" customHeight="1">
      <c r="A514" s="100">
        <v>45974.0</v>
      </c>
      <c r="B514" s="103" t="s">
        <v>4974</v>
      </c>
      <c r="C514" s="98" t="s">
        <v>4974</v>
      </c>
      <c r="D514" s="99"/>
      <c r="E514" s="96"/>
      <c r="F514" s="124" t="s">
        <v>4974</v>
      </c>
      <c r="G514" s="123">
        <v>0.003472222222222222</v>
      </c>
    </row>
    <row r="515" ht="22.5" customHeight="1">
      <c r="A515" s="100">
        <v>45974.0</v>
      </c>
      <c r="B515" s="26" t="s">
        <v>4978</v>
      </c>
      <c r="C515" s="87" t="s">
        <v>5010</v>
      </c>
      <c r="D515" s="90" t="s">
        <v>5104</v>
      </c>
      <c r="E515" s="98"/>
      <c r="F515" s="119" t="s">
        <v>4960</v>
      </c>
      <c r="G515" s="129">
        <v>0.034722222222222224</v>
      </c>
    </row>
    <row r="516" ht="22.5" customHeight="1">
      <c r="A516" s="100">
        <v>45975.0</v>
      </c>
      <c r="B516" s="26" t="s">
        <v>4978</v>
      </c>
      <c r="C516" s="87" t="s">
        <v>5004</v>
      </c>
      <c r="D516" s="90"/>
      <c r="E516" s="98"/>
      <c r="F516" s="105" t="s">
        <v>5212</v>
      </c>
      <c r="G516" s="129">
        <v>0.011585648148148149</v>
      </c>
    </row>
    <row r="517" ht="22.5" customHeight="1">
      <c r="A517" s="100">
        <v>45975.0</v>
      </c>
      <c r="B517" s="26" t="s">
        <v>4978</v>
      </c>
      <c r="C517" s="87" t="s">
        <v>5004</v>
      </c>
      <c r="D517" s="90"/>
      <c r="E517" s="98"/>
      <c r="F517" s="104" t="s">
        <v>5216</v>
      </c>
      <c r="G517" s="129">
        <v>0.011238425925925926</v>
      </c>
    </row>
    <row r="518" ht="22.5" customHeight="1">
      <c r="A518" s="100">
        <v>45975.0</v>
      </c>
      <c r="B518" s="26" t="s">
        <v>4978</v>
      </c>
      <c r="C518" s="87" t="s">
        <v>5004</v>
      </c>
      <c r="D518" s="90"/>
      <c r="E518" s="98"/>
      <c r="F518" s="104" t="s">
        <v>5217</v>
      </c>
      <c r="G518" s="129">
        <v>0.004664351851851852</v>
      </c>
    </row>
    <row r="519" ht="22.5" customHeight="1">
      <c r="A519" s="100">
        <v>45975.0</v>
      </c>
      <c r="B519" s="26" t="s">
        <v>4978</v>
      </c>
      <c r="C519" s="87" t="s">
        <v>5004</v>
      </c>
      <c r="D519" s="90"/>
      <c r="E519" s="98"/>
      <c r="F519" s="105" t="s">
        <v>5218</v>
      </c>
      <c r="G519" s="129">
        <v>0.008796296296296297</v>
      </c>
    </row>
    <row r="520" ht="22.5" customHeight="1">
      <c r="A520" s="100">
        <v>45975.0</v>
      </c>
      <c r="B520" s="103" t="s">
        <v>4974</v>
      </c>
      <c r="C520" s="98" t="s">
        <v>4974</v>
      </c>
      <c r="D520" s="99"/>
      <c r="E520" s="96"/>
      <c r="F520" s="124" t="s">
        <v>4974</v>
      </c>
      <c r="G520" s="123">
        <v>0.003472222222222222</v>
      </c>
    </row>
    <row r="521" ht="22.5" customHeight="1">
      <c r="A521" s="100">
        <v>45976.0</v>
      </c>
      <c r="B521" s="26" t="s">
        <v>4978</v>
      </c>
      <c r="C521" s="87" t="s">
        <v>5010</v>
      </c>
      <c r="D521" s="90" t="s">
        <v>5104</v>
      </c>
      <c r="E521" s="98"/>
      <c r="F521" s="119" t="s">
        <v>5211</v>
      </c>
      <c r="G521" s="129">
        <v>0.005138888888888889</v>
      </c>
    </row>
    <row r="522" ht="22.5" customHeight="1">
      <c r="A522" s="100">
        <v>45976.0</v>
      </c>
      <c r="B522" s="26" t="s">
        <v>4978</v>
      </c>
      <c r="C522" s="87" t="s">
        <v>5010</v>
      </c>
      <c r="D522" s="90" t="s">
        <v>5104</v>
      </c>
      <c r="E522" s="98"/>
      <c r="F522" s="119" t="s">
        <v>5215</v>
      </c>
      <c r="G522" s="129">
        <v>0.007465277777777778</v>
      </c>
    </row>
    <row r="523" ht="22.5" customHeight="1">
      <c r="A523" s="100">
        <v>45976.0</v>
      </c>
      <c r="B523" s="103" t="s">
        <v>4974</v>
      </c>
      <c r="C523" s="98" t="s">
        <v>4974</v>
      </c>
      <c r="D523" s="99"/>
      <c r="E523" s="96"/>
      <c r="F523" s="124" t="s">
        <v>4974</v>
      </c>
      <c r="G523" s="123">
        <v>0.003472222222222222</v>
      </c>
    </row>
    <row r="524" ht="22.5" customHeight="1">
      <c r="A524" s="100">
        <v>45976.0</v>
      </c>
      <c r="B524" s="26" t="s">
        <v>4978</v>
      </c>
      <c r="C524" s="87" t="s">
        <v>5010</v>
      </c>
      <c r="D524" s="90" t="s">
        <v>5104</v>
      </c>
      <c r="E524" s="98"/>
      <c r="F524" s="119" t="s">
        <v>4960</v>
      </c>
      <c r="G524" s="129">
        <v>0.041666666666666664</v>
      </c>
    </row>
    <row r="525" ht="22.5" customHeight="1">
      <c r="A525" s="100">
        <v>45977.0</v>
      </c>
      <c r="B525" s="103" t="s">
        <v>4974</v>
      </c>
      <c r="C525" s="98" t="s">
        <v>4974</v>
      </c>
      <c r="D525" s="99"/>
      <c r="E525" s="96"/>
      <c r="F525" s="124" t="s">
        <v>4974</v>
      </c>
      <c r="G525" s="123">
        <v>0.003472222222222222</v>
      </c>
    </row>
    <row r="526" ht="22.5" customHeight="1">
      <c r="A526" s="100">
        <v>45977.0</v>
      </c>
      <c r="B526" s="26" t="s">
        <v>4978</v>
      </c>
      <c r="C526" s="87" t="s">
        <v>5010</v>
      </c>
      <c r="D526" s="90" t="s">
        <v>5104</v>
      </c>
      <c r="E526" s="98"/>
      <c r="F526" s="119" t="s">
        <v>5200</v>
      </c>
      <c r="G526" s="129">
        <v>0.05555555555555555</v>
      </c>
    </row>
    <row r="527" ht="22.5" customHeight="1">
      <c r="A527" s="100">
        <v>45978.0</v>
      </c>
      <c r="B527" s="103" t="s">
        <v>4974</v>
      </c>
      <c r="C527" s="98" t="s">
        <v>4974</v>
      </c>
      <c r="D527" s="99"/>
      <c r="E527" s="96"/>
      <c r="F527" s="124" t="s">
        <v>4974</v>
      </c>
      <c r="G527" s="123">
        <v>0.003472222222222222</v>
      </c>
    </row>
    <row r="528" ht="22.5" customHeight="1">
      <c r="A528" s="100">
        <v>45978.0</v>
      </c>
      <c r="B528" s="26" t="s">
        <v>4978</v>
      </c>
      <c r="C528" s="87" t="s">
        <v>5010</v>
      </c>
      <c r="D528" s="90" t="s">
        <v>5104</v>
      </c>
      <c r="E528" s="98"/>
      <c r="F528" s="119" t="s">
        <v>5200</v>
      </c>
      <c r="G528" s="129">
        <v>0.04861111111111111</v>
      </c>
    </row>
    <row r="529" ht="22.5" customHeight="1">
      <c r="A529" s="100">
        <v>45978.0</v>
      </c>
      <c r="B529" s="103" t="s">
        <v>4974</v>
      </c>
      <c r="C529" s="98" t="s">
        <v>4974</v>
      </c>
      <c r="D529" s="99"/>
      <c r="E529" s="96"/>
      <c r="F529" s="124" t="s">
        <v>4974</v>
      </c>
      <c r="G529" s="123">
        <v>0.003472222222222222</v>
      </c>
    </row>
    <row r="530" ht="22.5" customHeight="1">
      <c r="A530" s="100">
        <v>45979.0</v>
      </c>
      <c r="B530" s="26" t="s">
        <v>4978</v>
      </c>
      <c r="C530" s="87" t="s">
        <v>5010</v>
      </c>
      <c r="D530" s="90" t="s">
        <v>5104</v>
      </c>
      <c r="E530" s="98"/>
      <c r="F530" s="119" t="s">
        <v>5200</v>
      </c>
      <c r="G530" s="129">
        <v>0.04861111111111111</v>
      </c>
    </row>
    <row r="531" ht="22.5" customHeight="1">
      <c r="A531" s="100">
        <v>45979.0</v>
      </c>
      <c r="B531" s="103" t="s">
        <v>4974</v>
      </c>
      <c r="C531" s="98" t="s">
        <v>4974</v>
      </c>
      <c r="D531" s="99"/>
      <c r="E531" s="96"/>
      <c r="F531" s="124" t="s">
        <v>4974</v>
      </c>
      <c r="G531" s="123">
        <v>0.003472222222222222</v>
      </c>
    </row>
    <row r="532" ht="22.5" customHeight="1">
      <c r="A532" s="100">
        <v>45980.0</v>
      </c>
      <c r="B532" s="103" t="s">
        <v>4974</v>
      </c>
      <c r="C532" s="98" t="s">
        <v>4974</v>
      </c>
      <c r="D532" s="99"/>
      <c r="E532" s="96"/>
      <c r="F532" s="124" t="s">
        <v>4974</v>
      </c>
      <c r="G532" s="123">
        <v>0.003472222222222222</v>
      </c>
    </row>
    <row r="533" ht="22.5" customHeight="1">
      <c r="A533" s="100">
        <v>45980.0</v>
      </c>
      <c r="B533" s="26" t="s">
        <v>4978</v>
      </c>
      <c r="C533" s="87" t="s">
        <v>5010</v>
      </c>
      <c r="D533" s="90" t="s">
        <v>5104</v>
      </c>
      <c r="E533" s="98"/>
      <c r="F533" s="119" t="s">
        <v>5200</v>
      </c>
      <c r="G533" s="129">
        <v>0.04861111111111111</v>
      </c>
    </row>
    <row r="534" ht="22.5" customHeight="1">
      <c r="A534" s="100">
        <v>45980.0</v>
      </c>
      <c r="B534" s="103" t="s">
        <v>4974</v>
      </c>
      <c r="C534" s="98" t="s">
        <v>4974</v>
      </c>
      <c r="D534" s="99"/>
      <c r="E534" s="96"/>
      <c r="F534" s="124" t="s">
        <v>4974</v>
      </c>
      <c r="G534" s="123">
        <v>0.003472222222222222</v>
      </c>
    </row>
    <row r="535" ht="22.5" customHeight="1">
      <c r="A535" s="100">
        <v>45981.0</v>
      </c>
      <c r="B535" s="26" t="s">
        <v>4978</v>
      </c>
      <c r="C535" s="87" t="s">
        <v>5010</v>
      </c>
      <c r="D535" s="90" t="s">
        <v>5104</v>
      </c>
      <c r="E535" s="98"/>
      <c r="F535" s="119" t="s">
        <v>5200</v>
      </c>
      <c r="G535" s="129">
        <v>0.041666666666666664</v>
      </c>
    </row>
    <row r="536" ht="22.5" customHeight="1">
      <c r="A536" s="100">
        <v>45981.0</v>
      </c>
      <c r="B536" s="26" t="s">
        <v>4978</v>
      </c>
      <c r="C536" s="87" t="s">
        <v>5010</v>
      </c>
      <c r="D536" s="90" t="s">
        <v>5104</v>
      </c>
      <c r="E536" s="98"/>
      <c r="F536" s="119" t="s">
        <v>4960</v>
      </c>
      <c r="G536" s="129">
        <v>0.010416666666666666</v>
      </c>
    </row>
    <row r="537" ht="22.5" customHeight="1">
      <c r="A537" s="100">
        <v>45981.0</v>
      </c>
      <c r="B537" s="103" t="s">
        <v>4974</v>
      </c>
      <c r="C537" s="98" t="s">
        <v>4974</v>
      </c>
      <c r="D537" s="99"/>
      <c r="E537" s="96"/>
      <c r="F537" s="124" t="s">
        <v>4974</v>
      </c>
      <c r="G537" s="123">
        <v>0.003472222222222222</v>
      </c>
    </row>
    <row r="538" ht="22.5" customHeight="1">
      <c r="A538" s="100">
        <v>45982.0</v>
      </c>
      <c r="B538" s="103" t="s">
        <v>4974</v>
      </c>
      <c r="C538" s="98" t="s">
        <v>4974</v>
      </c>
      <c r="D538" s="99"/>
      <c r="E538" s="96"/>
      <c r="F538" s="124" t="s">
        <v>4974</v>
      </c>
      <c r="G538" s="123">
        <v>0.003472222222222222</v>
      </c>
    </row>
    <row r="539" ht="22.5" customHeight="1">
      <c r="A539" s="100">
        <v>45982.0</v>
      </c>
      <c r="B539" s="26" t="s">
        <v>4978</v>
      </c>
      <c r="C539" s="87" t="s">
        <v>5004</v>
      </c>
      <c r="D539" s="99"/>
      <c r="E539" s="96"/>
      <c r="F539" s="119" t="s">
        <v>5219</v>
      </c>
      <c r="G539" s="129">
        <v>0.007037037037037037</v>
      </c>
    </row>
    <row r="540" ht="22.5" customHeight="1">
      <c r="A540" s="100">
        <v>45982.0</v>
      </c>
      <c r="B540" s="103" t="s">
        <v>4974</v>
      </c>
      <c r="C540" s="98" t="s">
        <v>4974</v>
      </c>
      <c r="D540" s="99"/>
      <c r="E540" s="96"/>
      <c r="F540" s="124" t="s">
        <v>4974</v>
      </c>
      <c r="G540" s="123">
        <v>0.003472222222222222</v>
      </c>
    </row>
    <row r="541" ht="22.5" customHeight="1">
      <c r="A541" s="100">
        <v>45982.0</v>
      </c>
      <c r="B541" s="26" t="s">
        <v>4978</v>
      </c>
      <c r="C541" s="87" t="s">
        <v>5004</v>
      </c>
      <c r="D541" s="99"/>
      <c r="E541" s="96"/>
      <c r="F541" s="119" t="s">
        <v>5220</v>
      </c>
      <c r="G541" s="129">
        <v>0.019375</v>
      </c>
    </row>
    <row r="542" ht="22.5" customHeight="1">
      <c r="A542" s="100">
        <v>45982.0</v>
      </c>
      <c r="B542" s="26" t="s">
        <v>4978</v>
      </c>
      <c r="C542" s="87" t="s">
        <v>5004</v>
      </c>
      <c r="D542" s="99"/>
      <c r="E542" s="96"/>
      <c r="F542" s="119" t="s">
        <v>5221</v>
      </c>
      <c r="G542" s="129">
        <v>0.016493055555555556</v>
      </c>
    </row>
    <row r="543" ht="22.5" customHeight="1">
      <c r="A543" s="100">
        <v>45983.0</v>
      </c>
      <c r="B543" s="103" t="s">
        <v>4974</v>
      </c>
      <c r="C543" s="98" t="s">
        <v>4974</v>
      </c>
      <c r="D543" s="99"/>
      <c r="E543" s="96"/>
      <c r="F543" s="124" t="s">
        <v>4974</v>
      </c>
      <c r="G543" s="123">
        <v>0.003472222222222222</v>
      </c>
    </row>
    <row r="544" ht="22.5" customHeight="1">
      <c r="A544" s="100">
        <v>45983.0</v>
      </c>
      <c r="B544" s="26" t="s">
        <v>4978</v>
      </c>
      <c r="C544" s="87" t="s">
        <v>5004</v>
      </c>
      <c r="D544" s="99"/>
      <c r="E544" s="96"/>
      <c r="F544" s="119" t="s">
        <v>5222</v>
      </c>
      <c r="G544" s="129">
        <v>0.005787037037037037</v>
      </c>
    </row>
    <row r="545" ht="22.5" customHeight="1">
      <c r="A545" s="100">
        <v>45983.0</v>
      </c>
      <c r="B545" s="26" t="s">
        <v>4978</v>
      </c>
      <c r="C545" s="87" t="s">
        <v>5004</v>
      </c>
      <c r="D545" s="99"/>
      <c r="E545" s="96"/>
      <c r="F545" s="119" t="s">
        <v>5223</v>
      </c>
      <c r="G545" s="129">
        <v>0.011574074074074073</v>
      </c>
    </row>
    <row r="546" ht="22.5" customHeight="1">
      <c r="A546" s="100">
        <v>45983.0</v>
      </c>
      <c r="B546" s="26" t="s">
        <v>4978</v>
      </c>
      <c r="C546" s="87" t="s">
        <v>5004</v>
      </c>
      <c r="D546" s="99"/>
      <c r="E546" s="96"/>
      <c r="F546" s="119" t="s">
        <v>5224</v>
      </c>
      <c r="G546" s="129">
        <v>0.017222222222222222</v>
      </c>
    </row>
    <row r="547" ht="22.5" customHeight="1">
      <c r="A547" s="100">
        <v>45983.0</v>
      </c>
      <c r="B547" s="26" t="s">
        <v>4978</v>
      </c>
      <c r="C547" s="87" t="s">
        <v>5010</v>
      </c>
      <c r="D547" s="90" t="s">
        <v>5104</v>
      </c>
      <c r="E547" s="98"/>
      <c r="F547" s="119" t="s">
        <v>4960</v>
      </c>
      <c r="G547" s="129">
        <v>0.013888888888888888</v>
      </c>
    </row>
    <row r="548" ht="22.5" customHeight="1">
      <c r="A548" s="100">
        <v>45984.0</v>
      </c>
      <c r="B548" s="103" t="s">
        <v>4974</v>
      </c>
      <c r="C548" s="98" t="s">
        <v>4974</v>
      </c>
      <c r="D548" s="99"/>
      <c r="E548" s="96"/>
      <c r="F548" s="124" t="s">
        <v>4974</v>
      </c>
      <c r="G548" s="123">
        <v>0.003472222222222222</v>
      </c>
    </row>
    <row r="549" ht="22.5" customHeight="1">
      <c r="A549" s="100">
        <v>45984.0</v>
      </c>
      <c r="B549" s="26" t="s">
        <v>4978</v>
      </c>
      <c r="C549" s="87" t="s">
        <v>5010</v>
      </c>
      <c r="D549" s="90" t="s">
        <v>5104</v>
      </c>
      <c r="E549" s="96"/>
      <c r="F549" s="119" t="s">
        <v>5225</v>
      </c>
      <c r="G549" s="129">
        <v>0.005844907407407407</v>
      </c>
    </row>
    <row r="550" ht="22.5" customHeight="1">
      <c r="A550" s="100">
        <v>45984.0</v>
      </c>
      <c r="B550" s="26" t="s">
        <v>4978</v>
      </c>
      <c r="C550" s="87" t="s">
        <v>5010</v>
      </c>
      <c r="D550" s="90" t="s">
        <v>5104</v>
      </c>
      <c r="E550" s="98"/>
      <c r="F550" s="119" t="s">
        <v>4960</v>
      </c>
      <c r="G550" s="129">
        <v>0.035416666666666666</v>
      </c>
    </row>
    <row r="551" ht="22.5" customHeight="1">
      <c r="A551" s="100">
        <v>45985.0</v>
      </c>
      <c r="B551" s="103" t="s">
        <v>4974</v>
      </c>
      <c r="C551" s="98" t="s">
        <v>4974</v>
      </c>
      <c r="D551" s="99"/>
      <c r="E551" s="96"/>
      <c r="F551" s="124" t="s">
        <v>4974</v>
      </c>
      <c r="G551" s="123">
        <v>0.003472222222222222</v>
      </c>
    </row>
    <row r="552" ht="22.5" customHeight="1">
      <c r="A552" s="100">
        <v>45985.0</v>
      </c>
      <c r="B552" s="26" t="s">
        <v>4978</v>
      </c>
      <c r="C552" s="87" t="s">
        <v>5004</v>
      </c>
      <c r="D552" s="99"/>
      <c r="E552" s="96"/>
      <c r="F552" s="119" t="s">
        <v>5226</v>
      </c>
      <c r="G552" s="129">
        <v>0.012789351851851852</v>
      </c>
    </row>
    <row r="553" ht="22.5" customHeight="1">
      <c r="A553" s="100">
        <v>45986.0</v>
      </c>
      <c r="B553" s="103" t="s">
        <v>4974</v>
      </c>
      <c r="C553" s="98" t="s">
        <v>4974</v>
      </c>
      <c r="D553" s="99"/>
      <c r="E553" s="96"/>
      <c r="F553" s="124" t="s">
        <v>4974</v>
      </c>
      <c r="G553" s="123">
        <v>0.003472222222222222</v>
      </c>
    </row>
    <row r="554" ht="22.5" customHeight="1">
      <c r="A554" s="100">
        <v>45986.0</v>
      </c>
      <c r="B554" s="26" t="s">
        <v>4978</v>
      </c>
      <c r="C554" s="87" t="s">
        <v>5010</v>
      </c>
      <c r="D554" s="90" t="s">
        <v>5104</v>
      </c>
      <c r="E554" s="98"/>
      <c r="F554" s="119" t="s">
        <v>5200</v>
      </c>
      <c r="G554" s="129">
        <v>0.041666666666666664</v>
      </c>
    </row>
    <row r="555" ht="22.5" customHeight="1">
      <c r="A555" s="100">
        <v>45987.0</v>
      </c>
      <c r="B555" s="103" t="s">
        <v>4974</v>
      </c>
      <c r="C555" s="98" t="s">
        <v>4974</v>
      </c>
      <c r="D555" s="99"/>
      <c r="E555" s="96"/>
      <c r="F555" s="124" t="s">
        <v>4974</v>
      </c>
      <c r="G555" s="123">
        <v>0.003472222222222222</v>
      </c>
    </row>
    <row r="556" ht="22.5" customHeight="1">
      <c r="A556" s="100">
        <v>45987.0</v>
      </c>
      <c r="B556" s="26" t="s">
        <v>4978</v>
      </c>
      <c r="C556" s="87" t="s">
        <v>5010</v>
      </c>
      <c r="D556" s="90" t="s">
        <v>5104</v>
      </c>
      <c r="E556" s="98"/>
      <c r="F556" s="119" t="s">
        <v>4960</v>
      </c>
      <c r="G556" s="129">
        <v>0.020833333333333332</v>
      </c>
    </row>
    <row r="557" ht="22.5" customHeight="1">
      <c r="A557" s="100">
        <v>45988.0</v>
      </c>
      <c r="B557" s="103" t="s">
        <v>4974</v>
      </c>
      <c r="C557" s="98" t="s">
        <v>4974</v>
      </c>
      <c r="D557" s="99"/>
      <c r="E557" s="96"/>
      <c r="F557" s="124" t="s">
        <v>4974</v>
      </c>
      <c r="G557" s="123">
        <v>0.003472222222222222</v>
      </c>
    </row>
    <row r="558" ht="22.5" customHeight="1">
      <c r="A558" s="100">
        <v>45988.0</v>
      </c>
      <c r="B558" s="26" t="s">
        <v>4978</v>
      </c>
      <c r="C558" s="87" t="s">
        <v>5010</v>
      </c>
      <c r="D558" s="90" t="s">
        <v>5104</v>
      </c>
      <c r="E558" s="98"/>
      <c r="F558" s="119" t="s">
        <v>5200</v>
      </c>
      <c r="G558" s="129">
        <v>0.041666666666666664</v>
      </c>
    </row>
    <row r="559" ht="22.5" customHeight="1">
      <c r="A559" s="100">
        <v>45989.0</v>
      </c>
      <c r="B559" s="26" t="s">
        <v>4978</v>
      </c>
      <c r="C559" s="87" t="s">
        <v>5010</v>
      </c>
      <c r="D559" s="90" t="s">
        <v>5104</v>
      </c>
      <c r="E559" s="98"/>
      <c r="F559" s="119" t="s">
        <v>5227</v>
      </c>
      <c r="G559" s="129">
        <v>0.013344907407407408</v>
      </c>
    </row>
    <row r="560" ht="22.5" customHeight="1">
      <c r="A560" s="100">
        <v>45989.0</v>
      </c>
      <c r="B560" s="103" t="s">
        <v>4974</v>
      </c>
      <c r="C560" s="98" t="s">
        <v>4974</v>
      </c>
      <c r="D560" s="99"/>
      <c r="E560" s="96"/>
      <c r="F560" s="124" t="s">
        <v>4974</v>
      </c>
      <c r="G560" s="123">
        <v>0.003472222222222222</v>
      </c>
    </row>
    <row r="561" ht="22.5" customHeight="1">
      <c r="A561" s="100">
        <v>45989.0</v>
      </c>
      <c r="B561" s="26" t="s">
        <v>4978</v>
      </c>
      <c r="C561" s="87" t="s">
        <v>5004</v>
      </c>
      <c r="D561" s="99"/>
      <c r="E561" s="96"/>
      <c r="F561" s="104" t="s">
        <v>5228</v>
      </c>
      <c r="G561" s="129">
        <v>0.014189814814814815</v>
      </c>
    </row>
    <row r="562" ht="22.5" customHeight="1">
      <c r="A562" s="100">
        <v>45989.0</v>
      </c>
      <c r="B562" s="26" t="s">
        <v>4978</v>
      </c>
      <c r="C562" s="87" t="s">
        <v>5010</v>
      </c>
      <c r="D562" s="90" t="s">
        <v>5104</v>
      </c>
      <c r="E562" s="98"/>
      <c r="F562" s="119" t="s">
        <v>4960</v>
      </c>
      <c r="G562" s="129">
        <v>0.010416666666666666</v>
      </c>
    </row>
    <row r="563" ht="22.5" customHeight="1">
      <c r="A563" s="100">
        <v>45990.0</v>
      </c>
      <c r="B563" s="26" t="s">
        <v>4978</v>
      </c>
      <c r="C563" s="87" t="s">
        <v>5010</v>
      </c>
      <c r="D563" s="90" t="s">
        <v>5104</v>
      </c>
      <c r="E563" s="98"/>
      <c r="F563" s="119" t="s">
        <v>4960</v>
      </c>
      <c r="G563" s="129">
        <v>0.020833333333333332</v>
      </c>
    </row>
    <row r="564" ht="22.5" customHeight="1">
      <c r="A564" s="100">
        <v>45990.0</v>
      </c>
      <c r="B564" s="103" t="s">
        <v>4974</v>
      </c>
      <c r="C564" s="98" t="s">
        <v>4974</v>
      </c>
      <c r="D564" s="99"/>
      <c r="E564" s="96"/>
      <c r="F564" s="124" t="s">
        <v>4974</v>
      </c>
      <c r="G564" s="123">
        <v>0.003472222222222222</v>
      </c>
    </row>
    <row r="565" ht="22.5" customHeight="1">
      <c r="A565" s="100">
        <v>45990.0</v>
      </c>
      <c r="B565" s="26" t="s">
        <v>4978</v>
      </c>
      <c r="C565" s="87" t="s">
        <v>5004</v>
      </c>
      <c r="D565" s="99"/>
      <c r="E565" s="96"/>
      <c r="F565" s="104" t="s">
        <v>5228</v>
      </c>
      <c r="G565" s="129">
        <v>0.014189814814814815</v>
      </c>
    </row>
    <row r="566" ht="22.5" customHeight="1">
      <c r="A566" s="100">
        <v>45990.0</v>
      </c>
      <c r="B566" s="26" t="s">
        <v>4978</v>
      </c>
      <c r="C566" s="87" t="s">
        <v>5010</v>
      </c>
      <c r="D566" s="90" t="s">
        <v>5104</v>
      </c>
      <c r="E566" s="96"/>
      <c r="F566" s="109" t="s">
        <v>5229</v>
      </c>
      <c r="G566" s="129">
        <v>0.01025462962962963</v>
      </c>
    </row>
    <row r="567" ht="22.5" customHeight="1">
      <c r="A567" s="100">
        <v>45990.0</v>
      </c>
      <c r="B567" s="26" t="s">
        <v>4978</v>
      </c>
      <c r="C567" s="87" t="s">
        <v>5010</v>
      </c>
      <c r="D567" s="90" t="s">
        <v>5104</v>
      </c>
      <c r="E567" s="96"/>
      <c r="F567" s="109" t="s">
        <v>5230</v>
      </c>
      <c r="G567" s="129">
        <v>0.005567129629629629</v>
      </c>
    </row>
    <row r="568" ht="22.5" customHeight="1">
      <c r="A568" s="100">
        <v>45991.0</v>
      </c>
      <c r="B568" s="103" t="s">
        <v>4974</v>
      </c>
      <c r="C568" s="98" t="s">
        <v>4974</v>
      </c>
      <c r="D568" s="99"/>
      <c r="E568" s="96"/>
      <c r="F568" s="124" t="s">
        <v>4974</v>
      </c>
      <c r="G568" s="123">
        <v>0.003472222222222222</v>
      </c>
    </row>
    <row r="569" ht="22.5" customHeight="1">
      <c r="A569" s="100">
        <v>45991.0</v>
      </c>
      <c r="B569" s="26" t="s">
        <v>4978</v>
      </c>
      <c r="C569" s="87" t="s">
        <v>5010</v>
      </c>
      <c r="D569" s="90" t="s">
        <v>5104</v>
      </c>
      <c r="E569" s="96"/>
      <c r="F569" s="109" t="s">
        <v>5229</v>
      </c>
      <c r="G569" s="129">
        <v>0.01025462962962963</v>
      </c>
    </row>
    <row r="570" ht="22.5" customHeight="1">
      <c r="A570" s="100">
        <v>45991.0</v>
      </c>
      <c r="B570" s="26" t="s">
        <v>4978</v>
      </c>
      <c r="C570" s="87" t="s">
        <v>5010</v>
      </c>
      <c r="D570" s="90" t="s">
        <v>5104</v>
      </c>
      <c r="E570" s="96"/>
      <c r="F570" s="109" t="s">
        <v>5230</v>
      </c>
      <c r="G570" s="129">
        <v>0.005567129629629629</v>
      </c>
    </row>
    <row r="571" ht="22.5" customHeight="1">
      <c r="A571" s="100">
        <v>45991.0</v>
      </c>
      <c r="B571" s="26" t="s">
        <v>4978</v>
      </c>
      <c r="C571" s="87" t="s">
        <v>5010</v>
      </c>
      <c r="D571" s="90" t="s">
        <v>5104</v>
      </c>
      <c r="E571" s="98"/>
      <c r="F571" s="119" t="s">
        <v>4960</v>
      </c>
      <c r="G571" s="129">
        <v>0.020833333333333332</v>
      </c>
    </row>
    <row r="572" ht="22.5" customHeight="1">
      <c r="A572" s="100">
        <v>45992.0</v>
      </c>
      <c r="B572" s="103" t="s">
        <v>4974</v>
      </c>
      <c r="C572" s="98" t="s">
        <v>4974</v>
      </c>
      <c r="D572" s="99"/>
      <c r="E572" s="96"/>
      <c r="F572" s="124" t="s">
        <v>4974</v>
      </c>
      <c r="G572" s="123">
        <v>0.003472222222222222</v>
      </c>
    </row>
    <row r="573" ht="22.5" customHeight="1">
      <c r="A573" s="100">
        <v>45992.0</v>
      </c>
      <c r="B573" s="26" t="s">
        <v>4978</v>
      </c>
      <c r="C573" s="87" t="s">
        <v>5010</v>
      </c>
      <c r="D573" s="90" t="s">
        <v>5104</v>
      </c>
      <c r="E573" s="96"/>
      <c r="F573" s="109" t="s">
        <v>5229</v>
      </c>
      <c r="G573" s="129">
        <v>0.01025462962962963</v>
      </c>
    </row>
    <row r="574" ht="22.5" customHeight="1">
      <c r="A574" s="100">
        <v>45992.0</v>
      </c>
      <c r="B574" s="26" t="s">
        <v>4978</v>
      </c>
      <c r="C574" s="87" t="s">
        <v>5010</v>
      </c>
      <c r="D574" s="90" t="s">
        <v>5104</v>
      </c>
      <c r="E574" s="96"/>
      <c r="F574" s="109" t="s">
        <v>5230</v>
      </c>
      <c r="G574" s="129">
        <v>0.005567129629629629</v>
      </c>
    </row>
    <row r="575" ht="22.5" customHeight="1">
      <c r="A575" s="100">
        <v>45992.0</v>
      </c>
      <c r="B575" s="26" t="s">
        <v>4978</v>
      </c>
      <c r="C575" s="87" t="s">
        <v>5010</v>
      </c>
      <c r="D575" s="90" t="s">
        <v>5104</v>
      </c>
      <c r="E575" s="98"/>
      <c r="F575" s="119" t="s">
        <v>4960</v>
      </c>
      <c r="G575" s="129">
        <v>0.027777777777777776</v>
      </c>
    </row>
    <row r="576" ht="22.5" customHeight="1">
      <c r="A576" s="100">
        <v>45993.0</v>
      </c>
      <c r="B576" s="26" t="s">
        <v>4978</v>
      </c>
      <c r="C576" s="87" t="s">
        <v>5010</v>
      </c>
      <c r="D576" s="90" t="s">
        <v>5104</v>
      </c>
      <c r="E576" s="98"/>
      <c r="F576" s="119" t="s">
        <v>5231</v>
      </c>
      <c r="G576" s="129">
        <v>0.004293981481481481</v>
      </c>
    </row>
    <row r="577" ht="22.5" customHeight="1">
      <c r="A577" s="100">
        <v>45993.0</v>
      </c>
      <c r="B577" s="103" t="s">
        <v>4974</v>
      </c>
      <c r="C577" s="98" t="s">
        <v>4974</v>
      </c>
      <c r="D577" s="99"/>
      <c r="E577" s="96"/>
      <c r="F577" s="124" t="s">
        <v>4974</v>
      </c>
      <c r="G577" s="123">
        <v>0.003472222222222222</v>
      </c>
    </row>
    <row r="578" ht="22.5" customHeight="1">
      <c r="A578" s="100">
        <v>45993.0</v>
      </c>
      <c r="B578" s="26" t="s">
        <v>4978</v>
      </c>
      <c r="C578" s="87" t="s">
        <v>5010</v>
      </c>
      <c r="D578" s="90" t="s">
        <v>5104</v>
      </c>
      <c r="E578" s="98"/>
      <c r="F578" s="119" t="s">
        <v>4960</v>
      </c>
      <c r="G578" s="129">
        <v>0.013888888888888888</v>
      </c>
    </row>
    <row r="579" ht="22.5" customHeight="1">
      <c r="A579" s="100">
        <v>45994.0</v>
      </c>
      <c r="B579" s="103" t="s">
        <v>4974</v>
      </c>
      <c r="C579" s="98" t="s">
        <v>4974</v>
      </c>
      <c r="D579" s="99"/>
      <c r="E579" s="96"/>
      <c r="F579" s="124" t="s">
        <v>4974</v>
      </c>
      <c r="G579" s="123">
        <v>0.003472222222222222</v>
      </c>
    </row>
    <row r="580" ht="22.5" customHeight="1">
      <c r="A580" s="100">
        <v>45994.0</v>
      </c>
      <c r="B580" s="26" t="s">
        <v>4978</v>
      </c>
      <c r="C580" s="87" t="s">
        <v>5010</v>
      </c>
      <c r="D580" s="90" t="s">
        <v>5104</v>
      </c>
      <c r="E580" s="98"/>
      <c r="F580" s="119" t="s">
        <v>5231</v>
      </c>
      <c r="G580" s="129">
        <v>0.004293981481481481</v>
      </c>
    </row>
    <row r="581" ht="22.5" customHeight="1">
      <c r="A581" s="100">
        <v>45994.0</v>
      </c>
      <c r="B581" s="26" t="s">
        <v>4978</v>
      </c>
      <c r="C581" s="87" t="s">
        <v>5010</v>
      </c>
      <c r="D581" s="90" t="s">
        <v>5104</v>
      </c>
      <c r="E581" s="98"/>
      <c r="F581" s="119" t="s">
        <v>4960</v>
      </c>
      <c r="G581" s="129">
        <v>0.020833333333333332</v>
      </c>
    </row>
    <row r="582" ht="22.5" customHeight="1">
      <c r="A582" s="100">
        <v>45995.0</v>
      </c>
      <c r="B582" s="103" t="s">
        <v>4974</v>
      </c>
      <c r="C582" s="98" t="s">
        <v>4974</v>
      </c>
      <c r="D582" s="99"/>
      <c r="E582" s="96"/>
      <c r="F582" s="124" t="s">
        <v>4974</v>
      </c>
      <c r="G582" s="123">
        <v>0.003472222222222222</v>
      </c>
    </row>
    <row r="583" ht="22.5" customHeight="1">
      <c r="A583" s="100">
        <v>45995.0</v>
      </c>
      <c r="B583" s="26" t="s">
        <v>4978</v>
      </c>
      <c r="C583" s="87" t="s">
        <v>5004</v>
      </c>
      <c r="D583" s="99"/>
      <c r="E583" s="96"/>
      <c r="F583" s="104" t="s">
        <v>5232</v>
      </c>
      <c r="G583" s="129">
        <v>0.021574074074074075</v>
      </c>
    </row>
    <row r="584" ht="22.5" customHeight="1">
      <c r="A584" s="100">
        <v>45995.0</v>
      </c>
      <c r="B584" s="26" t="s">
        <v>4978</v>
      </c>
      <c r="C584" s="87" t="s">
        <v>5004</v>
      </c>
      <c r="D584" s="99"/>
      <c r="E584" s="96"/>
      <c r="F584" s="104" t="s">
        <v>5233</v>
      </c>
      <c r="G584" s="129">
        <v>0.006319444444444444</v>
      </c>
    </row>
    <row r="585" ht="22.5" customHeight="1">
      <c r="A585" s="100">
        <v>45996.0</v>
      </c>
      <c r="B585" s="103" t="s">
        <v>4974</v>
      </c>
      <c r="C585" s="98" t="s">
        <v>4974</v>
      </c>
      <c r="D585" s="99"/>
      <c r="E585" s="96"/>
      <c r="F585" s="124" t="s">
        <v>4974</v>
      </c>
      <c r="G585" s="123">
        <v>0.003472222222222222</v>
      </c>
    </row>
    <row r="586" ht="22.5" customHeight="1">
      <c r="A586" s="100">
        <v>45996.0</v>
      </c>
      <c r="B586" s="106" t="s">
        <v>4978</v>
      </c>
      <c r="C586" s="107" t="s">
        <v>5004</v>
      </c>
      <c r="D586" s="110"/>
      <c r="E586" s="110"/>
      <c r="F586" s="135" t="s">
        <v>5228</v>
      </c>
      <c r="G586" s="133">
        <v>0.014189814814814815</v>
      </c>
    </row>
    <row r="587" ht="22.5" customHeight="1">
      <c r="A587" s="100">
        <v>45996.0</v>
      </c>
      <c r="B587" s="106" t="s">
        <v>4978</v>
      </c>
      <c r="C587" s="107" t="s">
        <v>5004</v>
      </c>
      <c r="D587" s="112"/>
      <c r="E587" s="112"/>
      <c r="F587" s="136" t="s">
        <v>5234</v>
      </c>
      <c r="G587" s="134">
        <v>0.010023148148148147</v>
      </c>
    </row>
    <row r="588" ht="22.5" customHeight="1">
      <c r="A588" s="100">
        <v>45996.0</v>
      </c>
      <c r="B588" s="106" t="s">
        <v>4978</v>
      </c>
      <c r="C588" s="107" t="s">
        <v>5004</v>
      </c>
      <c r="D588" s="112"/>
      <c r="E588" s="112"/>
      <c r="F588" s="136" t="s">
        <v>5235</v>
      </c>
      <c r="G588" s="134">
        <v>0.01951388888888889</v>
      </c>
    </row>
    <row r="589" ht="22.5" customHeight="1">
      <c r="A589" s="100">
        <v>45997.0</v>
      </c>
      <c r="B589" s="103" t="s">
        <v>4974</v>
      </c>
      <c r="C589" s="98" t="s">
        <v>4974</v>
      </c>
      <c r="D589" s="99"/>
      <c r="E589" s="96"/>
      <c r="F589" s="124" t="s">
        <v>4974</v>
      </c>
      <c r="G589" s="123">
        <v>0.003472222222222222</v>
      </c>
    </row>
    <row r="590" ht="22.5" customHeight="1">
      <c r="A590" s="100">
        <v>45997.0</v>
      </c>
      <c r="B590" s="106" t="s">
        <v>4978</v>
      </c>
      <c r="C590" s="107" t="s">
        <v>5004</v>
      </c>
      <c r="D590" s="99"/>
      <c r="E590" s="96"/>
      <c r="F590" s="104" t="s">
        <v>5236</v>
      </c>
      <c r="G590" s="129">
        <v>0.024675925925925928</v>
      </c>
    </row>
    <row r="591" ht="22.5" customHeight="1">
      <c r="A591" s="100">
        <v>45998.0</v>
      </c>
      <c r="B591" s="106" t="s">
        <v>4978</v>
      </c>
      <c r="C591" s="107" t="s">
        <v>5004</v>
      </c>
      <c r="D591" s="99"/>
      <c r="E591" s="96"/>
      <c r="F591" s="104" t="s">
        <v>5237</v>
      </c>
      <c r="G591" s="129">
        <v>0.025810185185185186</v>
      </c>
    </row>
    <row r="592" ht="22.5" customHeight="1">
      <c r="A592" s="100">
        <v>45998.0</v>
      </c>
      <c r="B592" s="103" t="s">
        <v>4974</v>
      </c>
      <c r="C592" s="98" t="s">
        <v>4974</v>
      </c>
      <c r="D592" s="99"/>
      <c r="E592" s="96"/>
      <c r="F592" s="124" t="s">
        <v>4974</v>
      </c>
      <c r="G592" s="123">
        <v>0.003472222222222222</v>
      </c>
    </row>
    <row r="593" ht="22.5" customHeight="1">
      <c r="A593" s="100">
        <v>45998.0</v>
      </c>
      <c r="B593" s="106" t="s">
        <v>4978</v>
      </c>
      <c r="C593" s="107" t="s">
        <v>5004</v>
      </c>
      <c r="D593" s="99"/>
      <c r="E593" s="96"/>
      <c r="F593" s="104" t="s">
        <v>5238</v>
      </c>
      <c r="G593" s="129">
        <v>0.006145833333333333</v>
      </c>
    </row>
    <row r="594" ht="22.5" customHeight="1">
      <c r="A594" s="100">
        <v>45999.0</v>
      </c>
      <c r="B594" s="26" t="s">
        <v>4978</v>
      </c>
      <c r="C594" s="87" t="s">
        <v>5010</v>
      </c>
      <c r="D594" s="90" t="s">
        <v>5104</v>
      </c>
      <c r="E594" s="96"/>
      <c r="F594" s="109" t="s">
        <v>5229</v>
      </c>
      <c r="G594" s="129">
        <v>0.01025462962962963</v>
      </c>
    </row>
    <row r="595" ht="22.5" customHeight="1">
      <c r="A595" s="100">
        <v>45999.0</v>
      </c>
      <c r="B595" s="26" t="s">
        <v>4978</v>
      </c>
      <c r="C595" s="87" t="s">
        <v>5010</v>
      </c>
      <c r="D595" s="90" t="s">
        <v>5104</v>
      </c>
      <c r="E595" s="96"/>
      <c r="F595" s="109" t="s">
        <v>5230</v>
      </c>
      <c r="G595" s="129">
        <v>0.005567129629629629</v>
      </c>
    </row>
    <row r="596" ht="22.5" customHeight="1">
      <c r="A596" s="100">
        <v>45999.0</v>
      </c>
      <c r="B596" s="26" t="s">
        <v>4978</v>
      </c>
      <c r="C596" s="87" t="s">
        <v>5010</v>
      </c>
      <c r="D596" s="90" t="s">
        <v>5104</v>
      </c>
      <c r="E596" s="98"/>
      <c r="F596" s="119" t="s">
        <v>5231</v>
      </c>
      <c r="G596" s="129">
        <v>0.004293981481481481</v>
      </c>
    </row>
    <row r="597" ht="22.5" customHeight="1">
      <c r="A597" s="100">
        <v>45999.0</v>
      </c>
      <c r="B597" s="103" t="s">
        <v>4974</v>
      </c>
      <c r="C597" s="98" t="s">
        <v>4974</v>
      </c>
      <c r="D597" s="99"/>
      <c r="E597" s="96"/>
      <c r="F597" s="124" t="s">
        <v>4974</v>
      </c>
      <c r="G597" s="123">
        <v>0.003472222222222222</v>
      </c>
    </row>
    <row r="598" ht="22.5" customHeight="1">
      <c r="A598" s="100">
        <v>45999.0</v>
      </c>
      <c r="B598" s="26" t="s">
        <v>4978</v>
      </c>
      <c r="C598" s="87" t="s">
        <v>5010</v>
      </c>
      <c r="D598" s="90" t="s">
        <v>5104</v>
      </c>
      <c r="E598" s="98"/>
      <c r="F598" s="119" t="s">
        <v>4960</v>
      </c>
      <c r="G598" s="129">
        <v>0.034722222222222224</v>
      </c>
    </row>
    <row r="599" ht="22.5" customHeight="1">
      <c r="A599" s="100">
        <v>46000.0</v>
      </c>
      <c r="B599" s="103" t="s">
        <v>4974</v>
      </c>
      <c r="C599" s="98" t="s">
        <v>4974</v>
      </c>
      <c r="D599" s="99"/>
      <c r="E599" s="96"/>
      <c r="F599" s="124" t="s">
        <v>4974</v>
      </c>
      <c r="G599" s="123">
        <v>0.003472222222222222</v>
      </c>
    </row>
    <row r="600" ht="22.5" customHeight="1">
      <c r="A600" s="100">
        <v>46000.0</v>
      </c>
      <c r="B600" s="106" t="s">
        <v>4978</v>
      </c>
      <c r="C600" s="137" t="s">
        <v>5239</v>
      </c>
      <c r="D600" s="99"/>
      <c r="E600" s="96"/>
      <c r="F600" s="104" t="s">
        <v>5188</v>
      </c>
      <c r="G600" s="129">
        <v>0.026111111111111113</v>
      </c>
    </row>
    <row r="601" ht="22.5" customHeight="1">
      <c r="A601" s="100">
        <v>46000.0</v>
      </c>
      <c r="B601" s="106" t="s">
        <v>4978</v>
      </c>
      <c r="C601" s="107" t="s">
        <v>5004</v>
      </c>
      <c r="D601" s="99"/>
      <c r="E601" s="96"/>
      <c r="F601" s="104" t="s">
        <v>5240</v>
      </c>
      <c r="G601" s="129">
        <v>0.023229166666666665</v>
      </c>
    </row>
    <row r="602" ht="22.5" customHeight="1">
      <c r="A602" s="100">
        <v>46001.0</v>
      </c>
      <c r="B602" s="103" t="s">
        <v>4974</v>
      </c>
      <c r="C602" s="98" t="s">
        <v>4974</v>
      </c>
      <c r="D602" s="99"/>
      <c r="E602" s="96"/>
      <c r="F602" s="124" t="s">
        <v>4974</v>
      </c>
      <c r="G602" s="123">
        <v>0.003472222222222222</v>
      </c>
    </row>
    <row r="603" ht="22.5" customHeight="1">
      <c r="A603" s="100">
        <v>46001.0</v>
      </c>
      <c r="B603" s="26" t="s">
        <v>4978</v>
      </c>
      <c r="C603" s="87" t="s">
        <v>5010</v>
      </c>
      <c r="D603" s="90" t="s">
        <v>5104</v>
      </c>
      <c r="E603" s="96"/>
      <c r="F603" s="119" t="s">
        <v>5241</v>
      </c>
      <c r="G603" s="129">
        <v>0.008287037037037037</v>
      </c>
    </row>
    <row r="604" ht="22.5" customHeight="1">
      <c r="A604" s="100">
        <v>46001.0</v>
      </c>
      <c r="B604" s="26" t="s">
        <v>4978</v>
      </c>
      <c r="C604" s="87" t="s">
        <v>5010</v>
      </c>
      <c r="D604" s="90" t="s">
        <v>5104</v>
      </c>
      <c r="E604" s="98"/>
      <c r="F604" s="119" t="s">
        <v>4960</v>
      </c>
      <c r="G604" s="129">
        <v>0.034722222222222224</v>
      </c>
    </row>
    <row r="605" ht="22.5" customHeight="1">
      <c r="A605" s="100">
        <v>46002.0</v>
      </c>
      <c r="B605" s="103" t="s">
        <v>4974</v>
      </c>
      <c r="C605" s="98" t="s">
        <v>4974</v>
      </c>
      <c r="D605" s="99"/>
      <c r="E605" s="96"/>
      <c r="F605" s="124" t="s">
        <v>4974</v>
      </c>
      <c r="G605" s="123">
        <v>0.003472222222222222</v>
      </c>
    </row>
    <row r="606" ht="22.5" customHeight="1">
      <c r="A606" s="100">
        <v>46002.0</v>
      </c>
      <c r="B606" s="26" t="s">
        <v>4978</v>
      </c>
      <c r="C606" s="87" t="s">
        <v>5010</v>
      </c>
      <c r="D606" s="90" t="s">
        <v>5104</v>
      </c>
      <c r="E606" s="96"/>
      <c r="F606" s="119" t="s">
        <v>5242</v>
      </c>
      <c r="G606" s="129">
        <v>0.00662037037037037</v>
      </c>
    </row>
    <row r="607" ht="22.5" customHeight="1">
      <c r="A607" s="100">
        <v>46002.0</v>
      </c>
      <c r="B607" s="26" t="s">
        <v>4978</v>
      </c>
      <c r="C607" s="87" t="s">
        <v>5010</v>
      </c>
      <c r="D607" s="90" t="s">
        <v>5104</v>
      </c>
      <c r="E607" s="98"/>
      <c r="F607" s="119" t="s">
        <v>4960</v>
      </c>
      <c r="G607" s="129">
        <v>0.020833333333333332</v>
      </c>
    </row>
    <row r="608" ht="22.5" customHeight="1">
      <c r="A608" s="100">
        <v>46002.0</v>
      </c>
      <c r="B608" s="103" t="s">
        <v>4978</v>
      </c>
      <c r="C608" s="87" t="s">
        <v>5239</v>
      </c>
      <c r="D608" s="90"/>
      <c r="E608" s="98"/>
      <c r="F608" s="104" t="s">
        <v>5243</v>
      </c>
      <c r="G608" s="129">
        <v>0.0128125</v>
      </c>
    </row>
    <row r="609" ht="22.5" customHeight="1">
      <c r="A609" s="100">
        <v>46003.0</v>
      </c>
      <c r="B609" s="106" t="s">
        <v>4978</v>
      </c>
      <c r="C609" s="137" t="s">
        <v>5244</v>
      </c>
      <c r="D609" s="90"/>
      <c r="E609" s="98"/>
      <c r="F609" s="104" t="s">
        <v>5245</v>
      </c>
      <c r="G609" s="129">
        <v>0.01363425925925926</v>
      </c>
    </row>
    <row r="610" ht="22.5" customHeight="1">
      <c r="A610" s="100">
        <v>46003.0</v>
      </c>
      <c r="B610" s="103" t="s">
        <v>4974</v>
      </c>
      <c r="C610" s="98" t="s">
        <v>4974</v>
      </c>
      <c r="D610" s="99"/>
      <c r="E610" s="96"/>
      <c r="F610" s="124" t="s">
        <v>4974</v>
      </c>
      <c r="G610" s="123">
        <v>0.003472222222222222</v>
      </c>
    </row>
    <row r="611" ht="22.5" customHeight="1">
      <c r="A611" s="100">
        <v>46003.0</v>
      </c>
      <c r="B611" s="106" t="s">
        <v>4978</v>
      </c>
      <c r="C611" s="137" t="s">
        <v>5244</v>
      </c>
      <c r="D611" s="99"/>
      <c r="E611" s="96"/>
      <c r="F611" s="104" t="s">
        <v>5246</v>
      </c>
      <c r="G611" s="129">
        <v>0.039386574074074074</v>
      </c>
    </row>
    <row r="612" ht="22.5" customHeight="1">
      <c r="A612" s="100">
        <v>46003.0</v>
      </c>
      <c r="B612" s="26" t="s">
        <v>4978</v>
      </c>
      <c r="C612" s="87" t="s">
        <v>5010</v>
      </c>
      <c r="D612" s="90" t="s">
        <v>5104</v>
      </c>
      <c r="E612" s="98"/>
      <c r="F612" s="119" t="s">
        <v>4960</v>
      </c>
      <c r="G612" s="129">
        <v>0.006944444444444444</v>
      </c>
    </row>
    <row r="613" ht="22.5" customHeight="1">
      <c r="A613" s="100">
        <v>46004.0</v>
      </c>
      <c r="B613" s="103" t="s">
        <v>4974</v>
      </c>
      <c r="C613" s="98" t="s">
        <v>4974</v>
      </c>
      <c r="D613" s="99"/>
      <c r="E613" s="96"/>
      <c r="F613" s="124" t="s">
        <v>4974</v>
      </c>
      <c r="G613" s="123">
        <v>0.003472222222222222</v>
      </c>
    </row>
    <row r="614" ht="22.5" customHeight="1">
      <c r="A614" s="100">
        <v>46004.0</v>
      </c>
      <c r="B614" s="26" t="s">
        <v>4978</v>
      </c>
      <c r="C614" s="87" t="s">
        <v>5010</v>
      </c>
      <c r="D614" s="90" t="s">
        <v>5104</v>
      </c>
      <c r="E614" s="98"/>
      <c r="F614" s="119" t="s">
        <v>5200</v>
      </c>
      <c r="G614" s="129">
        <v>0.027777777777777776</v>
      </c>
    </row>
    <row r="615" ht="22.5" customHeight="1">
      <c r="A615" s="100">
        <v>46004.0</v>
      </c>
      <c r="B615" s="26" t="s">
        <v>4978</v>
      </c>
      <c r="C615" s="87" t="s">
        <v>5010</v>
      </c>
      <c r="D615" s="90" t="s">
        <v>5104</v>
      </c>
      <c r="E615" s="98"/>
      <c r="F615" s="119" t="s">
        <v>4960</v>
      </c>
      <c r="G615" s="129">
        <v>0.03125</v>
      </c>
    </row>
    <row r="616" ht="22.5" customHeight="1">
      <c r="A616" s="100">
        <v>46005.0</v>
      </c>
      <c r="B616" s="103" t="s">
        <v>4974</v>
      </c>
      <c r="C616" s="98" t="s">
        <v>4974</v>
      </c>
      <c r="D616" s="99"/>
      <c r="E616" s="96"/>
      <c r="F616" s="124" t="s">
        <v>4974</v>
      </c>
      <c r="G616" s="123">
        <v>0.003472222222222222</v>
      </c>
    </row>
    <row r="617" ht="22.5" customHeight="1">
      <c r="A617" s="100">
        <v>46005.0</v>
      </c>
      <c r="B617" s="26" t="s">
        <v>4978</v>
      </c>
      <c r="C617" s="87" t="s">
        <v>5010</v>
      </c>
      <c r="D617" s="90" t="s">
        <v>5104</v>
      </c>
      <c r="E617" s="96"/>
      <c r="F617" s="119" t="s">
        <v>5247</v>
      </c>
      <c r="G617" s="129">
        <v>0.005451388888888889</v>
      </c>
    </row>
    <row r="618" ht="22.5" customHeight="1">
      <c r="A618" s="100">
        <v>46005.0</v>
      </c>
      <c r="B618" s="26" t="s">
        <v>4978</v>
      </c>
      <c r="C618" s="87" t="s">
        <v>5010</v>
      </c>
      <c r="D618" s="90" t="s">
        <v>5104</v>
      </c>
      <c r="E618" s="98"/>
      <c r="F618" s="119" t="s">
        <v>4960</v>
      </c>
      <c r="G618" s="129">
        <v>0.034722222222222224</v>
      </c>
    </row>
    <row r="619" ht="22.5" customHeight="1">
      <c r="A619" s="100">
        <v>46005.0</v>
      </c>
      <c r="B619" s="26" t="s">
        <v>4978</v>
      </c>
      <c r="C619" s="87" t="s">
        <v>5010</v>
      </c>
      <c r="D619" s="90" t="s">
        <v>5104</v>
      </c>
      <c r="E619" s="98"/>
      <c r="F619" s="119" t="s">
        <v>5200</v>
      </c>
      <c r="G619" s="129">
        <v>0.013888888888888888</v>
      </c>
    </row>
    <row r="620" ht="22.5" customHeight="1">
      <c r="A620" s="100">
        <v>46006.0</v>
      </c>
      <c r="B620" s="26" t="s">
        <v>4978</v>
      </c>
      <c r="C620" s="87" t="s">
        <v>5010</v>
      </c>
      <c r="D620" s="90" t="s">
        <v>5104</v>
      </c>
      <c r="E620" s="98"/>
      <c r="F620" s="119" t="s">
        <v>5248</v>
      </c>
      <c r="G620" s="129">
        <v>0.006215277777777778</v>
      </c>
    </row>
    <row r="621" ht="22.5" customHeight="1">
      <c r="A621" s="100">
        <v>46006.0</v>
      </c>
      <c r="B621" s="103" t="s">
        <v>4974</v>
      </c>
      <c r="C621" s="98" t="s">
        <v>4974</v>
      </c>
      <c r="D621" s="99"/>
      <c r="E621" s="96"/>
      <c r="F621" s="124" t="s">
        <v>4974</v>
      </c>
      <c r="G621" s="123">
        <v>0.003472222222222222</v>
      </c>
    </row>
    <row r="622" ht="22.5" customHeight="1">
      <c r="A622" s="100">
        <v>46006.0</v>
      </c>
      <c r="B622" s="26" t="s">
        <v>4978</v>
      </c>
      <c r="C622" s="87" t="s">
        <v>5010</v>
      </c>
      <c r="D622" s="90" t="s">
        <v>5104</v>
      </c>
      <c r="E622" s="96"/>
      <c r="F622" s="119" t="s">
        <v>5249</v>
      </c>
      <c r="G622" s="129">
        <v>0.004583333333333333</v>
      </c>
    </row>
    <row r="623" ht="22.5" customHeight="1">
      <c r="A623" s="100">
        <v>46006.0</v>
      </c>
      <c r="B623" s="26" t="s">
        <v>4978</v>
      </c>
      <c r="C623" s="87" t="s">
        <v>5010</v>
      </c>
      <c r="D623" s="90" t="s">
        <v>5104</v>
      </c>
      <c r="E623" s="98"/>
      <c r="F623" s="119" t="s">
        <v>5200</v>
      </c>
      <c r="G623" s="129">
        <v>0.013888888888888888</v>
      </c>
    </row>
    <row r="624" ht="22.5" customHeight="1">
      <c r="A624" s="100">
        <v>46006.0</v>
      </c>
      <c r="B624" s="26" t="s">
        <v>4978</v>
      </c>
      <c r="C624" s="87" t="s">
        <v>5010</v>
      </c>
      <c r="D624" s="90" t="s">
        <v>5104</v>
      </c>
      <c r="E624" s="98"/>
      <c r="F624" s="119" t="s">
        <v>4960</v>
      </c>
      <c r="G624" s="129">
        <v>0.024305555555555556</v>
      </c>
    </row>
    <row r="625" ht="22.5" customHeight="1">
      <c r="A625" s="100">
        <v>46007.0</v>
      </c>
      <c r="B625" s="103" t="s">
        <v>4974</v>
      </c>
      <c r="C625" s="98" t="s">
        <v>4974</v>
      </c>
      <c r="D625" s="99"/>
      <c r="E625" s="96"/>
      <c r="F625" s="124" t="s">
        <v>4974</v>
      </c>
      <c r="G625" s="123">
        <v>0.003472222222222222</v>
      </c>
    </row>
    <row r="626" ht="22.5" customHeight="1">
      <c r="A626" s="100">
        <v>46007.0</v>
      </c>
      <c r="B626" s="26" t="s">
        <v>4978</v>
      </c>
      <c r="C626" s="87" t="s">
        <v>5010</v>
      </c>
      <c r="D626" s="90" t="s">
        <v>5104</v>
      </c>
      <c r="E626" s="96"/>
      <c r="F626" s="119" t="s">
        <v>5250</v>
      </c>
      <c r="G626" s="129">
        <v>0.004039351851851852</v>
      </c>
    </row>
    <row r="627" ht="22.5" customHeight="1">
      <c r="A627" s="100">
        <v>46007.0</v>
      </c>
      <c r="B627" s="26" t="s">
        <v>4978</v>
      </c>
      <c r="C627" s="87" t="s">
        <v>5010</v>
      </c>
      <c r="D627" s="90" t="s">
        <v>5104</v>
      </c>
      <c r="E627" s="98"/>
      <c r="F627" s="119" t="s">
        <v>4960</v>
      </c>
      <c r="G627" s="129">
        <v>0.017361111111111112</v>
      </c>
    </row>
    <row r="628" ht="22.5" customHeight="1">
      <c r="A628" s="100">
        <v>46008.0</v>
      </c>
      <c r="B628" s="103" t="s">
        <v>4974</v>
      </c>
      <c r="C628" s="98" t="s">
        <v>4974</v>
      </c>
      <c r="D628" s="99"/>
      <c r="E628" s="96"/>
      <c r="F628" s="124" t="s">
        <v>4974</v>
      </c>
      <c r="G628" s="123">
        <v>0.003472222222222222</v>
      </c>
    </row>
    <row r="629" ht="22.5" customHeight="1">
      <c r="A629" s="100">
        <v>46008.0</v>
      </c>
      <c r="B629" s="26" t="s">
        <v>4978</v>
      </c>
      <c r="C629" s="87" t="s">
        <v>5010</v>
      </c>
      <c r="D629" s="90" t="s">
        <v>5104</v>
      </c>
      <c r="E629" s="96"/>
      <c r="F629" s="119" t="s">
        <v>5251</v>
      </c>
      <c r="G629" s="129">
        <v>0.009351851851851853</v>
      </c>
    </row>
    <row r="630" ht="22.5" customHeight="1">
      <c r="A630" s="100">
        <v>46008.0</v>
      </c>
      <c r="B630" s="26" t="s">
        <v>4978</v>
      </c>
      <c r="C630" s="87" t="s">
        <v>5010</v>
      </c>
      <c r="D630" s="90" t="s">
        <v>5104</v>
      </c>
      <c r="E630" s="96"/>
      <c r="F630" s="119" t="s">
        <v>5252</v>
      </c>
      <c r="G630" s="129">
        <v>0.00829861111111111</v>
      </c>
    </row>
    <row r="631" ht="22.5" customHeight="1">
      <c r="A631" s="100">
        <v>46008.0</v>
      </c>
      <c r="B631" s="26" t="s">
        <v>4978</v>
      </c>
      <c r="C631" s="87" t="s">
        <v>5010</v>
      </c>
      <c r="D631" s="90" t="s">
        <v>5104</v>
      </c>
      <c r="E631" s="98"/>
      <c r="F631" s="119" t="s">
        <v>4960</v>
      </c>
      <c r="G631" s="129">
        <v>0.04861111111111111</v>
      </c>
    </row>
    <row r="632" ht="22.5" customHeight="1">
      <c r="A632" s="100">
        <v>46009.0</v>
      </c>
      <c r="B632" s="103" t="s">
        <v>4974</v>
      </c>
      <c r="C632" s="98" t="s">
        <v>4974</v>
      </c>
      <c r="D632" s="99"/>
      <c r="E632" s="96"/>
      <c r="F632" s="124" t="s">
        <v>4974</v>
      </c>
      <c r="G632" s="123">
        <v>0.003472222222222222</v>
      </c>
    </row>
    <row r="633" ht="22.5" customHeight="1">
      <c r="A633" s="100">
        <v>46009.0</v>
      </c>
      <c r="B633" s="26" t="s">
        <v>4978</v>
      </c>
      <c r="C633" s="87" t="s">
        <v>5010</v>
      </c>
      <c r="D633" s="90" t="s">
        <v>5104</v>
      </c>
      <c r="E633" s="96"/>
      <c r="F633" s="119" t="s">
        <v>5253</v>
      </c>
      <c r="G633" s="129">
        <v>0.005462962962962963</v>
      </c>
    </row>
    <row r="634" ht="22.5" customHeight="1">
      <c r="A634" s="100">
        <v>46009.0</v>
      </c>
      <c r="B634" s="26" t="s">
        <v>4978</v>
      </c>
      <c r="C634" s="87" t="s">
        <v>5010</v>
      </c>
      <c r="D634" s="90" t="s">
        <v>5104</v>
      </c>
      <c r="E634" s="96"/>
      <c r="F634" s="119" t="s">
        <v>5254</v>
      </c>
      <c r="G634" s="129">
        <v>0.003958333333333334</v>
      </c>
    </row>
    <row r="635" ht="22.5" customHeight="1">
      <c r="A635" s="100">
        <v>46009.0</v>
      </c>
      <c r="B635" s="26" t="s">
        <v>4978</v>
      </c>
      <c r="C635" s="87" t="s">
        <v>5010</v>
      </c>
      <c r="D635" s="90" t="s">
        <v>5104</v>
      </c>
      <c r="E635" s="98"/>
      <c r="F635" s="119" t="s">
        <v>4960</v>
      </c>
      <c r="G635" s="129">
        <v>0.043055555555555555</v>
      </c>
    </row>
    <row r="636" ht="22.5" customHeight="1">
      <c r="A636" s="100">
        <v>46010.0</v>
      </c>
      <c r="B636" s="106" t="s">
        <v>4978</v>
      </c>
      <c r="C636" s="107" t="s">
        <v>5004</v>
      </c>
      <c r="D636" s="90"/>
      <c r="E636" s="98"/>
      <c r="F636" s="119" t="s">
        <v>5255</v>
      </c>
      <c r="G636" s="129">
        <v>0.011817129629629629</v>
      </c>
    </row>
    <row r="637" ht="22.5" customHeight="1">
      <c r="A637" s="100">
        <v>46010.0</v>
      </c>
      <c r="B637" s="103" t="s">
        <v>4974</v>
      </c>
      <c r="C637" s="98" t="s">
        <v>4974</v>
      </c>
      <c r="D637" s="99"/>
      <c r="E637" s="96"/>
      <c r="F637" s="124" t="s">
        <v>4974</v>
      </c>
      <c r="G637" s="123">
        <v>0.003472222222222222</v>
      </c>
    </row>
    <row r="638" ht="22.5" customHeight="1">
      <c r="A638" s="100">
        <v>46010.0</v>
      </c>
      <c r="B638" s="106" t="s">
        <v>4978</v>
      </c>
      <c r="C638" s="107" t="s">
        <v>5004</v>
      </c>
      <c r="D638" s="99"/>
      <c r="E638" s="96"/>
      <c r="F638" s="119" t="s">
        <v>5256</v>
      </c>
      <c r="G638" s="129">
        <v>0.00369212962962963</v>
      </c>
    </row>
    <row r="639" ht="22.5" customHeight="1">
      <c r="A639" s="100">
        <v>46010.0</v>
      </c>
      <c r="B639" s="26" t="s">
        <v>4978</v>
      </c>
      <c r="C639" s="87" t="s">
        <v>5010</v>
      </c>
      <c r="D639" s="90" t="s">
        <v>5104</v>
      </c>
      <c r="E639" s="98"/>
      <c r="F639" s="119" t="s">
        <v>4960</v>
      </c>
      <c r="G639" s="129">
        <v>0.018055555555555554</v>
      </c>
    </row>
    <row r="640" ht="22.5" customHeight="1">
      <c r="A640" s="100">
        <v>46011.0</v>
      </c>
      <c r="B640" s="103" t="s">
        <v>4974</v>
      </c>
      <c r="C640" s="98" t="s">
        <v>4974</v>
      </c>
      <c r="D640" s="99"/>
      <c r="E640" s="96"/>
      <c r="F640" s="124" t="s">
        <v>4974</v>
      </c>
      <c r="G640" s="123">
        <v>0.003472222222222222</v>
      </c>
    </row>
    <row r="641" ht="22.5" customHeight="1">
      <c r="A641" s="100">
        <v>46011.0</v>
      </c>
      <c r="B641" s="26" t="s">
        <v>4978</v>
      </c>
      <c r="C641" s="87" t="s">
        <v>5010</v>
      </c>
      <c r="D641" s="90" t="s">
        <v>5104</v>
      </c>
      <c r="E641" s="98"/>
      <c r="F641" s="119" t="s">
        <v>5200</v>
      </c>
      <c r="G641" s="129">
        <v>0.05</v>
      </c>
    </row>
    <row r="642" ht="22.5" customHeight="1">
      <c r="A642" s="100">
        <v>46012.0</v>
      </c>
      <c r="B642" s="103" t="s">
        <v>4974</v>
      </c>
      <c r="C642" s="98" t="s">
        <v>4974</v>
      </c>
      <c r="D642" s="99"/>
      <c r="E642" s="96"/>
      <c r="F642" s="124" t="s">
        <v>4974</v>
      </c>
      <c r="G642" s="123">
        <v>0.003472222222222222</v>
      </c>
    </row>
    <row r="643" ht="22.5" customHeight="1">
      <c r="A643" s="100">
        <v>46012.0</v>
      </c>
      <c r="B643" s="26" t="s">
        <v>4978</v>
      </c>
      <c r="C643" s="87" t="s">
        <v>5010</v>
      </c>
      <c r="D643" s="90" t="s">
        <v>5104</v>
      </c>
      <c r="E643" s="96"/>
      <c r="F643" s="119" t="s">
        <v>5257</v>
      </c>
      <c r="G643" s="129">
        <v>0.006238425925925926</v>
      </c>
    </row>
    <row r="644" ht="22.5" customHeight="1">
      <c r="A644" s="100">
        <v>46012.0</v>
      </c>
      <c r="B644" s="26" t="s">
        <v>4978</v>
      </c>
      <c r="C644" s="87" t="s">
        <v>5010</v>
      </c>
      <c r="D644" s="90" t="s">
        <v>5104</v>
      </c>
      <c r="E644" s="96"/>
      <c r="F644" s="119" t="s">
        <v>5258</v>
      </c>
      <c r="G644" s="129">
        <v>0.005717592592592593</v>
      </c>
    </row>
    <row r="645" ht="22.5" customHeight="1">
      <c r="A645" s="100">
        <v>46012.0</v>
      </c>
      <c r="B645" s="26" t="s">
        <v>4978</v>
      </c>
      <c r="C645" s="87" t="s">
        <v>5010</v>
      </c>
      <c r="D645" s="90" t="s">
        <v>5104</v>
      </c>
      <c r="E645" s="96"/>
      <c r="F645" s="119" t="s">
        <v>5259</v>
      </c>
      <c r="G645" s="129">
        <v>0.0036689814814814814</v>
      </c>
    </row>
    <row r="646" ht="22.5" customHeight="1">
      <c r="A646" s="100">
        <v>46012.0</v>
      </c>
      <c r="B646" s="26" t="s">
        <v>4978</v>
      </c>
      <c r="C646" s="87" t="s">
        <v>5010</v>
      </c>
      <c r="D646" s="90" t="s">
        <v>5104</v>
      </c>
      <c r="E646" s="98"/>
      <c r="F646" s="119" t="s">
        <v>4960</v>
      </c>
      <c r="G646" s="129">
        <v>0.04027777777777778</v>
      </c>
    </row>
    <row r="647" ht="22.5" customHeight="1">
      <c r="A647" s="100">
        <v>46013.0</v>
      </c>
      <c r="B647" s="103" t="s">
        <v>4974</v>
      </c>
      <c r="C647" s="98" t="s">
        <v>4974</v>
      </c>
      <c r="D647" s="99"/>
      <c r="E647" s="96"/>
      <c r="F647" s="124" t="s">
        <v>4974</v>
      </c>
      <c r="G647" s="123">
        <v>0.003472222222222222</v>
      </c>
    </row>
    <row r="648" ht="22.5" customHeight="1">
      <c r="A648" s="100">
        <v>46013.0</v>
      </c>
      <c r="B648" s="26" t="s">
        <v>4978</v>
      </c>
      <c r="C648" s="87" t="s">
        <v>5010</v>
      </c>
      <c r="D648" s="90" t="s">
        <v>5104</v>
      </c>
      <c r="E648" s="98"/>
      <c r="F648" s="119" t="s">
        <v>4960</v>
      </c>
      <c r="G648" s="129">
        <v>0.020833333333333332</v>
      </c>
    </row>
    <row r="649" ht="22.5" customHeight="1">
      <c r="A649" s="100">
        <v>46013.0</v>
      </c>
      <c r="B649" s="26" t="s">
        <v>4978</v>
      </c>
      <c r="C649" s="87" t="s">
        <v>5010</v>
      </c>
      <c r="D649" s="90" t="s">
        <v>5104</v>
      </c>
      <c r="E649" s="98"/>
      <c r="F649" s="119" t="s">
        <v>5200</v>
      </c>
      <c r="G649" s="129">
        <v>0.022916666666666665</v>
      </c>
    </row>
    <row r="650" ht="22.5" customHeight="1">
      <c r="A650" s="100">
        <v>46014.0</v>
      </c>
      <c r="B650" s="103" t="s">
        <v>4974</v>
      </c>
      <c r="C650" s="98" t="s">
        <v>4974</v>
      </c>
      <c r="D650" s="99"/>
      <c r="E650" s="96"/>
      <c r="F650" s="124" t="s">
        <v>4974</v>
      </c>
      <c r="G650" s="123">
        <v>0.003472222222222222</v>
      </c>
    </row>
    <row r="651" ht="22.5" customHeight="1">
      <c r="A651" s="100">
        <v>46014.0</v>
      </c>
      <c r="B651" s="26" t="s">
        <v>4978</v>
      </c>
      <c r="C651" s="87" t="s">
        <v>5010</v>
      </c>
      <c r="D651" s="90" t="s">
        <v>5104</v>
      </c>
      <c r="E651" s="96"/>
      <c r="F651" s="119" t="s">
        <v>5260</v>
      </c>
      <c r="G651" s="129">
        <v>0.005185185185185185</v>
      </c>
    </row>
    <row r="652" ht="22.5" customHeight="1">
      <c r="A652" s="100">
        <v>46014.0</v>
      </c>
      <c r="B652" s="26" t="s">
        <v>4978</v>
      </c>
      <c r="C652" s="87" t="s">
        <v>5010</v>
      </c>
      <c r="D652" s="90" t="s">
        <v>5104</v>
      </c>
      <c r="E652" s="96"/>
      <c r="F652" s="119" t="s">
        <v>5261</v>
      </c>
      <c r="G652" s="129">
        <v>0.005902777777777778</v>
      </c>
    </row>
    <row r="653" ht="22.5" customHeight="1">
      <c r="A653" s="100">
        <v>46014.0</v>
      </c>
      <c r="B653" s="26" t="s">
        <v>4978</v>
      </c>
      <c r="C653" s="87" t="s">
        <v>5010</v>
      </c>
      <c r="D653" s="90" t="s">
        <v>5104</v>
      </c>
      <c r="E653" s="96"/>
      <c r="F653" s="119" t="s">
        <v>5262</v>
      </c>
      <c r="G653" s="129">
        <v>0.004409722222222222</v>
      </c>
    </row>
    <row r="654" ht="22.5" customHeight="1">
      <c r="A654" s="100">
        <v>46014.0</v>
      </c>
      <c r="B654" s="26" t="s">
        <v>4978</v>
      </c>
      <c r="C654" s="87" t="s">
        <v>5010</v>
      </c>
      <c r="D654" s="90" t="s">
        <v>5104</v>
      </c>
      <c r="E654" s="98"/>
      <c r="F654" s="119" t="s">
        <v>4960</v>
      </c>
      <c r="G654" s="129">
        <v>0.03125</v>
      </c>
    </row>
    <row r="655" ht="22.5" customHeight="1">
      <c r="A655" s="100">
        <v>46015.0</v>
      </c>
      <c r="B655" s="103" t="s">
        <v>4974</v>
      </c>
      <c r="C655" s="98" t="s">
        <v>4974</v>
      </c>
      <c r="D655" s="99"/>
      <c r="E655" s="96"/>
      <c r="F655" s="124" t="s">
        <v>4974</v>
      </c>
      <c r="G655" s="123">
        <v>0.003472222222222222</v>
      </c>
    </row>
    <row r="656" ht="22.5" customHeight="1">
      <c r="A656" s="100">
        <v>46015.0</v>
      </c>
      <c r="B656" s="26" t="s">
        <v>4978</v>
      </c>
      <c r="C656" s="87" t="s">
        <v>5010</v>
      </c>
      <c r="D656" s="90" t="s">
        <v>5104</v>
      </c>
      <c r="E656" s="98"/>
      <c r="F656" s="119" t="s">
        <v>5200</v>
      </c>
      <c r="G656" s="129">
        <v>0.03819444444444445</v>
      </c>
    </row>
    <row r="657" ht="22.5" customHeight="1">
      <c r="A657" s="100">
        <v>46015.0</v>
      </c>
      <c r="B657" s="26" t="s">
        <v>4978</v>
      </c>
      <c r="C657" s="87" t="s">
        <v>5010</v>
      </c>
      <c r="D657" s="90" t="s">
        <v>5104</v>
      </c>
      <c r="E657" s="98"/>
      <c r="F657" s="119" t="s">
        <v>4960</v>
      </c>
      <c r="G657" s="129">
        <v>0.010416666666666666</v>
      </c>
    </row>
    <row r="658" ht="22.5" customHeight="1">
      <c r="A658" s="100">
        <v>46016.0</v>
      </c>
      <c r="B658" s="103" t="s">
        <v>4974</v>
      </c>
      <c r="C658" s="98" t="s">
        <v>4974</v>
      </c>
      <c r="D658" s="99"/>
      <c r="E658" s="96"/>
      <c r="F658" s="124" t="s">
        <v>4974</v>
      </c>
      <c r="G658" s="123">
        <v>0.003472222222222222</v>
      </c>
    </row>
    <row r="659" ht="22.5" customHeight="1">
      <c r="A659" s="100">
        <v>46016.0</v>
      </c>
      <c r="B659" s="26" t="s">
        <v>4978</v>
      </c>
      <c r="C659" s="87" t="s">
        <v>5010</v>
      </c>
      <c r="D659" s="90" t="s">
        <v>5104</v>
      </c>
      <c r="E659" s="96"/>
      <c r="F659" s="119" t="s">
        <v>5263</v>
      </c>
      <c r="G659" s="129">
        <v>0.010810185185185185</v>
      </c>
    </row>
    <row r="660" ht="22.5" customHeight="1">
      <c r="A660" s="100">
        <v>46016.0</v>
      </c>
      <c r="B660" s="26" t="s">
        <v>4978</v>
      </c>
      <c r="C660" s="87" t="s">
        <v>5010</v>
      </c>
      <c r="D660" s="90" t="s">
        <v>5104</v>
      </c>
      <c r="E660" s="98"/>
      <c r="F660" s="119" t="s">
        <v>4960</v>
      </c>
      <c r="G660" s="129">
        <v>0.041666666666666664</v>
      </c>
    </row>
    <row r="661" ht="22.5" customHeight="1">
      <c r="A661" s="100">
        <v>46017.0</v>
      </c>
      <c r="B661" s="103" t="s">
        <v>4974</v>
      </c>
      <c r="C661" s="98" t="s">
        <v>4974</v>
      </c>
      <c r="D661" s="99"/>
      <c r="E661" s="96"/>
      <c r="F661" s="124" t="s">
        <v>4974</v>
      </c>
      <c r="G661" s="123">
        <v>0.003472222222222222</v>
      </c>
    </row>
    <row r="662" ht="22.5" customHeight="1">
      <c r="A662" s="100">
        <v>46017.0</v>
      </c>
      <c r="B662" s="26" t="s">
        <v>4978</v>
      </c>
      <c r="C662" s="87" t="s">
        <v>5010</v>
      </c>
      <c r="D662" s="90" t="s">
        <v>5104</v>
      </c>
      <c r="E662" s="96"/>
      <c r="F662" s="119" t="s">
        <v>5264</v>
      </c>
      <c r="G662" s="129">
        <v>0.008020833333333333</v>
      </c>
    </row>
    <row r="663" ht="22.5" customHeight="1">
      <c r="A663" s="100">
        <v>46017.0</v>
      </c>
      <c r="B663" s="26" t="s">
        <v>4978</v>
      </c>
      <c r="C663" s="87" t="s">
        <v>5010</v>
      </c>
      <c r="D663" s="90" t="s">
        <v>5104</v>
      </c>
      <c r="E663" s="96"/>
      <c r="F663" s="119" t="s">
        <v>5265</v>
      </c>
      <c r="G663" s="129">
        <v>0.005509259259259259</v>
      </c>
    </row>
    <row r="664" ht="22.5" customHeight="1">
      <c r="A664" s="100">
        <v>46017.0</v>
      </c>
      <c r="B664" s="26" t="s">
        <v>4978</v>
      </c>
      <c r="C664" s="87" t="s">
        <v>5010</v>
      </c>
      <c r="D664" s="90" t="s">
        <v>5104</v>
      </c>
      <c r="E664" s="98"/>
      <c r="F664" s="119" t="s">
        <v>4960</v>
      </c>
      <c r="G664" s="129">
        <v>0.03680555555555556</v>
      </c>
    </row>
    <row r="665" ht="22.5" customHeight="1">
      <c r="A665" s="100">
        <v>46018.0</v>
      </c>
      <c r="B665" s="26" t="s">
        <v>4978</v>
      </c>
      <c r="C665" s="87" t="s">
        <v>5010</v>
      </c>
      <c r="D665" s="90" t="s">
        <v>5104</v>
      </c>
      <c r="E665" s="98"/>
      <c r="F665" s="119" t="s">
        <v>5266</v>
      </c>
      <c r="G665" s="129">
        <v>0.006527777777777778</v>
      </c>
    </row>
    <row r="666" ht="22.5" customHeight="1">
      <c r="A666" s="100">
        <v>46018.0</v>
      </c>
      <c r="B666" s="26" t="s">
        <v>4978</v>
      </c>
      <c r="C666" s="87" t="s">
        <v>5010</v>
      </c>
      <c r="D666" s="90" t="s">
        <v>5104</v>
      </c>
      <c r="E666" s="98"/>
      <c r="F666" s="119" t="s">
        <v>5267</v>
      </c>
      <c r="G666" s="129">
        <v>0.005821759259259259</v>
      </c>
    </row>
    <row r="667" ht="22.5" customHeight="1">
      <c r="A667" s="100">
        <v>46018.0</v>
      </c>
      <c r="B667" s="103" t="s">
        <v>4974</v>
      </c>
      <c r="C667" s="98" t="s">
        <v>4974</v>
      </c>
      <c r="D667" s="99"/>
      <c r="E667" s="96"/>
      <c r="F667" s="124" t="s">
        <v>4974</v>
      </c>
      <c r="G667" s="123">
        <v>0.003472222222222222</v>
      </c>
    </row>
    <row r="668" ht="22.5" customHeight="1">
      <c r="A668" s="100">
        <v>46018.0</v>
      </c>
      <c r="B668" s="26" t="s">
        <v>4978</v>
      </c>
      <c r="C668" s="87" t="s">
        <v>5010</v>
      </c>
      <c r="D668" s="90" t="s">
        <v>5104</v>
      </c>
      <c r="E668" s="98"/>
      <c r="F668" s="119" t="s">
        <v>4960</v>
      </c>
      <c r="G668" s="129">
        <v>0.04861111111111111</v>
      </c>
    </row>
    <row r="669" ht="22.5" customHeight="1">
      <c r="A669" s="138">
        <v>46019.0</v>
      </c>
      <c r="B669" s="106" t="s">
        <v>4974</v>
      </c>
      <c r="C669" s="107" t="s">
        <v>4974</v>
      </c>
      <c r="D669" s="110"/>
      <c r="E669" s="110"/>
      <c r="F669" s="111" t="s">
        <v>4974</v>
      </c>
      <c r="G669" s="133">
        <v>0.003472222222222222</v>
      </c>
    </row>
    <row r="670" ht="22.5" customHeight="1">
      <c r="A670" s="138">
        <v>46019.0</v>
      </c>
      <c r="B670" s="26" t="s">
        <v>4978</v>
      </c>
      <c r="C670" s="87" t="s">
        <v>5010</v>
      </c>
      <c r="D670" s="90" t="s">
        <v>5104</v>
      </c>
      <c r="E670" s="98"/>
      <c r="F670" s="119" t="s">
        <v>4960</v>
      </c>
      <c r="G670" s="129">
        <v>0.013888888888888888</v>
      </c>
    </row>
    <row r="671" ht="22.5" customHeight="1">
      <c r="A671" s="138">
        <v>46019.0</v>
      </c>
      <c r="B671" s="26" t="s">
        <v>4978</v>
      </c>
      <c r="C671" s="87" t="s">
        <v>5010</v>
      </c>
      <c r="D671" s="90" t="s">
        <v>5104</v>
      </c>
      <c r="E671" s="98"/>
      <c r="F671" s="119" t="s">
        <v>5200</v>
      </c>
      <c r="G671" s="129">
        <v>0.024305555555555556</v>
      </c>
    </row>
    <row r="672" ht="22.5" customHeight="1">
      <c r="A672" s="138">
        <v>46020.0</v>
      </c>
      <c r="B672" s="26" t="s">
        <v>4978</v>
      </c>
      <c r="C672" s="87" t="s">
        <v>5010</v>
      </c>
      <c r="D672" s="90" t="s">
        <v>5104</v>
      </c>
      <c r="E672" s="98"/>
      <c r="F672" s="119" t="s">
        <v>5268</v>
      </c>
      <c r="G672" s="129">
        <v>0.0067708333333333336</v>
      </c>
    </row>
    <row r="673" ht="22.5" customHeight="1">
      <c r="A673" s="138">
        <v>46020.0</v>
      </c>
      <c r="B673" s="26" t="s">
        <v>4978</v>
      </c>
      <c r="C673" s="87" t="s">
        <v>5010</v>
      </c>
      <c r="D673" s="90" t="s">
        <v>5104</v>
      </c>
      <c r="E673" s="98"/>
      <c r="F673" s="119" t="s">
        <v>5269</v>
      </c>
      <c r="G673" s="129">
        <v>0.0062037037037037035</v>
      </c>
    </row>
    <row r="674" ht="22.5" customHeight="1">
      <c r="A674" s="138">
        <v>46020.0</v>
      </c>
      <c r="B674" s="26" t="s">
        <v>4978</v>
      </c>
      <c r="C674" s="87" t="s">
        <v>5010</v>
      </c>
      <c r="D674" s="90" t="s">
        <v>5104</v>
      </c>
      <c r="E674" s="98"/>
      <c r="F674" s="119" t="s">
        <v>4960</v>
      </c>
      <c r="G674" s="129">
        <v>0.034722222222222224</v>
      </c>
    </row>
    <row r="675" ht="22.5" customHeight="1">
      <c r="A675" s="138">
        <v>46020.0</v>
      </c>
      <c r="B675" s="106" t="s">
        <v>4974</v>
      </c>
      <c r="C675" s="107" t="s">
        <v>4974</v>
      </c>
      <c r="D675" s="110"/>
      <c r="E675" s="110"/>
      <c r="F675" s="111" t="s">
        <v>4974</v>
      </c>
      <c r="G675" s="133">
        <v>0.003472222222222222</v>
      </c>
    </row>
    <row r="676" ht="22.5" customHeight="1">
      <c r="A676" s="138">
        <v>46021.0</v>
      </c>
      <c r="B676" s="106" t="s">
        <v>4974</v>
      </c>
      <c r="C676" s="107" t="s">
        <v>4974</v>
      </c>
      <c r="D676" s="110"/>
      <c r="E676" s="110"/>
      <c r="F676" s="111" t="s">
        <v>4974</v>
      </c>
      <c r="G676" s="133">
        <v>0.003472222222222222</v>
      </c>
    </row>
    <row r="677" ht="22.5" customHeight="1">
      <c r="A677" s="138">
        <v>46021.0</v>
      </c>
      <c r="B677" s="26" t="s">
        <v>4978</v>
      </c>
      <c r="C677" s="87" t="s">
        <v>5010</v>
      </c>
      <c r="D677" s="90" t="s">
        <v>5104</v>
      </c>
      <c r="E677" s="112"/>
      <c r="F677" s="113" t="s">
        <v>5270</v>
      </c>
      <c r="G677" s="134">
        <v>0.005208333333333333</v>
      </c>
    </row>
    <row r="678" ht="22.5" customHeight="1">
      <c r="A678" s="138">
        <v>46021.0</v>
      </c>
      <c r="B678" s="26" t="s">
        <v>4978</v>
      </c>
      <c r="C678" s="87" t="s">
        <v>5010</v>
      </c>
      <c r="D678" s="90" t="s">
        <v>5104</v>
      </c>
      <c r="E678" s="112"/>
      <c r="F678" s="119" t="s">
        <v>4960</v>
      </c>
      <c r="G678" s="129">
        <v>0.041666666666666664</v>
      </c>
    </row>
    <row r="679" ht="22.5" customHeight="1">
      <c r="A679" s="138">
        <v>46022.0</v>
      </c>
      <c r="B679" s="26" t="s">
        <v>4978</v>
      </c>
      <c r="C679" s="87" t="s">
        <v>5010</v>
      </c>
      <c r="D679" s="90" t="s">
        <v>5104</v>
      </c>
      <c r="E679" s="112"/>
      <c r="F679" s="113" t="s">
        <v>5270</v>
      </c>
      <c r="G679" s="134">
        <v>0.012488425925925925</v>
      </c>
    </row>
    <row r="680" ht="22.5" customHeight="1">
      <c r="A680" s="138">
        <v>46022.0</v>
      </c>
      <c r="B680" s="106" t="s">
        <v>4974</v>
      </c>
      <c r="C680" s="107" t="s">
        <v>4974</v>
      </c>
      <c r="D680" s="110"/>
      <c r="E680" s="110"/>
      <c r="F680" s="111" t="s">
        <v>4974</v>
      </c>
      <c r="G680" s="133">
        <v>0.003472222222222222</v>
      </c>
    </row>
    <row r="681" ht="22.5" customHeight="1">
      <c r="A681" s="138">
        <v>46022.0</v>
      </c>
      <c r="B681" s="26" t="s">
        <v>4978</v>
      </c>
      <c r="C681" s="87" t="s">
        <v>5010</v>
      </c>
      <c r="D681" s="90" t="s">
        <v>5104</v>
      </c>
      <c r="E681" s="112"/>
      <c r="F681" s="119" t="s">
        <v>4960</v>
      </c>
      <c r="G681" s="129">
        <v>0.022916666666666665</v>
      </c>
    </row>
    <row r="682" ht="22.5" customHeight="1">
      <c r="A682" s="139">
        <v>46023.0</v>
      </c>
      <c r="B682" s="26" t="s">
        <v>4978</v>
      </c>
      <c r="C682" s="87" t="s">
        <v>5010</v>
      </c>
      <c r="D682" s="90" t="s">
        <v>5104</v>
      </c>
      <c r="E682" s="98"/>
      <c r="F682" s="119" t="s">
        <v>5268</v>
      </c>
      <c r="G682" s="129">
        <v>0.0067708333333333336</v>
      </c>
    </row>
    <row r="683" ht="22.5" customHeight="1">
      <c r="A683" s="139">
        <v>46023.0</v>
      </c>
      <c r="B683" s="106" t="s">
        <v>4974</v>
      </c>
      <c r="C683" s="107" t="s">
        <v>4974</v>
      </c>
      <c r="D683" s="110"/>
      <c r="E683" s="110"/>
      <c r="F683" s="111" t="s">
        <v>4974</v>
      </c>
      <c r="G683" s="133">
        <v>0.003472222222222222</v>
      </c>
    </row>
    <row r="684" ht="22.5" customHeight="1">
      <c r="A684" s="139">
        <v>46023.0</v>
      </c>
      <c r="B684" s="26" t="s">
        <v>4978</v>
      </c>
      <c r="C684" s="87" t="s">
        <v>5010</v>
      </c>
      <c r="D684" s="90" t="s">
        <v>5104</v>
      </c>
      <c r="E684" s="112"/>
      <c r="F684" s="119" t="s">
        <v>4960</v>
      </c>
      <c r="G684" s="129">
        <v>0.029166666666666667</v>
      </c>
    </row>
    <row r="685">
      <c r="C685" s="76"/>
      <c r="D685" s="77"/>
      <c r="E685" s="76"/>
      <c r="F685" s="78"/>
    </row>
    <row r="686">
      <c r="C686" s="76"/>
      <c r="D686" s="77"/>
      <c r="E686" s="76"/>
      <c r="F686" s="78"/>
    </row>
    <row r="687">
      <c r="C687" s="76"/>
      <c r="D687" s="77"/>
      <c r="E687" s="76"/>
      <c r="F687" s="78"/>
    </row>
    <row r="688">
      <c r="C688" s="76"/>
      <c r="D688" s="77"/>
      <c r="E688" s="76"/>
      <c r="F688" s="78"/>
    </row>
    <row r="689">
      <c r="C689" s="76"/>
      <c r="D689" s="77"/>
      <c r="E689" s="76"/>
      <c r="F689" s="78"/>
    </row>
    <row r="690">
      <c r="C690" s="76"/>
      <c r="D690" s="77"/>
      <c r="E690" s="76"/>
      <c r="F690" s="78"/>
    </row>
    <row r="691">
      <c r="C691" s="76"/>
      <c r="D691" s="77"/>
      <c r="E691" s="76"/>
      <c r="F691" s="78"/>
    </row>
    <row r="692">
      <c r="C692" s="76"/>
      <c r="D692" s="77"/>
      <c r="E692" s="76"/>
      <c r="F692" s="78"/>
    </row>
    <row r="693">
      <c r="C693" s="76"/>
      <c r="D693" s="77"/>
      <c r="E693" s="76"/>
      <c r="F693" s="78"/>
    </row>
    <row r="694">
      <c r="C694" s="76"/>
      <c r="D694" s="77"/>
      <c r="E694" s="76"/>
      <c r="F694" s="78"/>
    </row>
    <row r="695">
      <c r="C695" s="76"/>
      <c r="D695" s="77"/>
      <c r="E695" s="76"/>
      <c r="F695" s="78"/>
    </row>
    <row r="696">
      <c r="C696" s="76"/>
      <c r="D696" s="77"/>
      <c r="E696" s="76"/>
      <c r="F696" s="78"/>
    </row>
    <row r="697">
      <c r="C697" s="76"/>
      <c r="D697" s="77"/>
      <c r="E697" s="76"/>
      <c r="F697" s="78"/>
    </row>
    <row r="698">
      <c r="C698" s="76"/>
      <c r="D698" s="77"/>
      <c r="E698" s="76"/>
      <c r="F698" s="78"/>
    </row>
    <row r="699">
      <c r="C699" s="76"/>
      <c r="D699" s="77"/>
      <c r="E699" s="76"/>
      <c r="F699" s="78"/>
    </row>
    <row r="700">
      <c r="C700" s="76"/>
      <c r="D700" s="77"/>
      <c r="E700" s="76"/>
      <c r="F700" s="78"/>
    </row>
    <row r="701">
      <c r="C701" s="76"/>
      <c r="D701" s="77"/>
      <c r="E701" s="76"/>
      <c r="F701" s="78"/>
    </row>
    <row r="702">
      <c r="C702" s="76"/>
      <c r="D702" s="77"/>
      <c r="E702" s="76"/>
      <c r="F702" s="78"/>
    </row>
    <row r="703">
      <c r="C703" s="76"/>
      <c r="D703" s="77"/>
      <c r="E703" s="76"/>
      <c r="F703" s="78"/>
    </row>
    <row r="704">
      <c r="C704" s="76"/>
      <c r="D704" s="77"/>
      <c r="E704" s="76"/>
      <c r="F704" s="78"/>
    </row>
    <row r="705">
      <c r="C705" s="76"/>
      <c r="D705" s="77"/>
      <c r="E705" s="76"/>
      <c r="F705" s="78"/>
    </row>
    <row r="706">
      <c r="C706" s="76"/>
      <c r="D706" s="77"/>
      <c r="E706" s="76"/>
      <c r="F706" s="78"/>
    </row>
    <row r="707">
      <c r="C707" s="76"/>
      <c r="D707" s="77"/>
      <c r="E707" s="76"/>
      <c r="F707" s="78"/>
    </row>
    <row r="708">
      <c r="C708" s="76"/>
      <c r="D708" s="77"/>
      <c r="E708" s="76"/>
      <c r="F708" s="78"/>
    </row>
    <row r="709">
      <c r="C709" s="76"/>
      <c r="D709" s="77"/>
      <c r="E709" s="76"/>
      <c r="F709" s="78"/>
    </row>
    <row r="710">
      <c r="C710" s="76"/>
      <c r="D710" s="77"/>
      <c r="E710" s="76"/>
      <c r="F710" s="78"/>
    </row>
    <row r="711">
      <c r="C711" s="76"/>
      <c r="D711" s="77"/>
      <c r="E711" s="76"/>
      <c r="F711" s="78"/>
    </row>
    <row r="712">
      <c r="C712" s="76"/>
      <c r="D712" s="77"/>
      <c r="E712" s="76"/>
      <c r="F712" s="78"/>
    </row>
    <row r="713">
      <c r="C713" s="76"/>
      <c r="D713" s="77"/>
      <c r="E713" s="76"/>
      <c r="F713" s="78"/>
    </row>
    <row r="714">
      <c r="C714" s="76"/>
      <c r="D714" s="77"/>
      <c r="E714" s="76"/>
      <c r="F714" s="78"/>
    </row>
    <row r="715">
      <c r="C715" s="76"/>
      <c r="D715" s="77"/>
      <c r="E715" s="76"/>
      <c r="F715" s="78"/>
    </row>
    <row r="716">
      <c r="C716" s="76"/>
      <c r="D716" s="77"/>
      <c r="E716" s="76"/>
      <c r="F716" s="78"/>
    </row>
    <row r="717">
      <c r="C717" s="76"/>
      <c r="D717" s="77"/>
      <c r="E717" s="76"/>
      <c r="F717" s="78"/>
    </row>
    <row r="718">
      <c r="C718" s="76"/>
      <c r="D718" s="77"/>
      <c r="E718" s="76"/>
      <c r="F718" s="78"/>
    </row>
    <row r="719">
      <c r="C719" s="76"/>
      <c r="D719" s="77"/>
      <c r="E719" s="76"/>
      <c r="F719" s="78"/>
    </row>
    <row r="720">
      <c r="C720" s="76"/>
      <c r="D720" s="77"/>
      <c r="E720" s="76"/>
      <c r="F720" s="78"/>
    </row>
    <row r="721">
      <c r="C721" s="76"/>
      <c r="D721" s="77"/>
      <c r="E721" s="76"/>
      <c r="F721" s="78"/>
    </row>
    <row r="722">
      <c r="C722" s="76"/>
      <c r="D722" s="77"/>
      <c r="E722" s="76"/>
      <c r="F722" s="78"/>
    </row>
    <row r="723">
      <c r="C723" s="76"/>
      <c r="D723" s="77"/>
      <c r="E723" s="76"/>
      <c r="F723" s="78"/>
    </row>
    <row r="724">
      <c r="C724" s="76"/>
      <c r="D724" s="77"/>
      <c r="E724" s="76"/>
      <c r="F724" s="78"/>
    </row>
    <row r="725">
      <c r="C725" s="76"/>
      <c r="D725" s="77"/>
      <c r="E725" s="76"/>
      <c r="F725" s="78"/>
    </row>
    <row r="726">
      <c r="C726" s="76"/>
      <c r="D726" s="77"/>
      <c r="E726" s="76"/>
      <c r="F726" s="78"/>
    </row>
    <row r="727">
      <c r="C727" s="76"/>
      <c r="D727" s="77"/>
      <c r="E727" s="76"/>
      <c r="F727" s="78"/>
    </row>
    <row r="728">
      <c r="C728" s="76"/>
      <c r="D728" s="77"/>
      <c r="E728" s="76"/>
      <c r="F728" s="78"/>
    </row>
    <row r="729">
      <c r="C729" s="76"/>
      <c r="D729" s="77"/>
      <c r="E729" s="76"/>
      <c r="F729" s="78"/>
    </row>
    <row r="730">
      <c r="C730" s="76"/>
      <c r="D730" s="77"/>
      <c r="E730" s="76"/>
      <c r="F730" s="78"/>
    </row>
    <row r="731">
      <c r="C731" s="76"/>
      <c r="D731" s="77"/>
      <c r="E731" s="76"/>
      <c r="F731" s="78"/>
    </row>
    <row r="732">
      <c r="C732" s="76"/>
      <c r="D732" s="77"/>
      <c r="E732" s="76"/>
      <c r="F732" s="78"/>
    </row>
    <row r="733">
      <c r="C733" s="76"/>
      <c r="D733" s="77"/>
      <c r="E733" s="76"/>
      <c r="F733" s="78"/>
    </row>
    <row r="734">
      <c r="C734" s="76"/>
      <c r="D734" s="77"/>
      <c r="E734" s="76"/>
      <c r="F734" s="78"/>
    </row>
    <row r="735">
      <c r="C735" s="76"/>
      <c r="D735" s="77"/>
      <c r="E735" s="76"/>
      <c r="F735" s="78"/>
    </row>
    <row r="736">
      <c r="C736" s="76"/>
      <c r="D736" s="77"/>
      <c r="E736" s="76"/>
      <c r="F736" s="78"/>
    </row>
    <row r="737">
      <c r="C737" s="76"/>
      <c r="D737" s="77"/>
      <c r="E737" s="76"/>
      <c r="F737" s="78"/>
    </row>
    <row r="738">
      <c r="C738" s="76"/>
      <c r="D738" s="77"/>
      <c r="E738" s="76"/>
      <c r="F738" s="78"/>
    </row>
    <row r="739">
      <c r="C739" s="76"/>
      <c r="D739" s="77"/>
      <c r="E739" s="76"/>
      <c r="F739" s="78"/>
    </row>
    <row r="740">
      <c r="C740" s="76"/>
      <c r="D740" s="77"/>
      <c r="E740" s="76"/>
      <c r="F740" s="78"/>
    </row>
    <row r="741">
      <c r="C741" s="76"/>
      <c r="D741" s="77"/>
      <c r="E741" s="76"/>
      <c r="F741" s="78"/>
    </row>
    <row r="742">
      <c r="C742" s="76"/>
      <c r="D742" s="77"/>
      <c r="E742" s="76"/>
      <c r="F742" s="78"/>
    </row>
    <row r="743">
      <c r="C743" s="76"/>
      <c r="D743" s="77"/>
      <c r="E743" s="76"/>
      <c r="F743" s="78"/>
    </row>
    <row r="744">
      <c r="C744" s="76"/>
      <c r="D744" s="77"/>
      <c r="E744" s="76"/>
      <c r="F744" s="78"/>
    </row>
    <row r="745">
      <c r="C745" s="76"/>
      <c r="D745" s="77"/>
      <c r="E745" s="76"/>
      <c r="F745" s="78"/>
    </row>
    <row r="746">
      <c r="C746" s="76"/>
      <c r="D746" s="77"/>
      <c r="E746" s="76"/>
      <c r="F746" s="78"/>
    </row>
    <row r="747">
      <c r="C747" s="76"/>
      <c r="D747" s="77"/>
      <c r="E747" s="76"/>
      <c r="F747" s="78"/>
    </row>
    <row r="748">
      <c r="C748" s="76"/>
      <c r="D748" s="77"/>
      <c r="E748" s="76"/>
      <c r="F748" s="78"/>
    </row>
    <row r="749">
      <c r="C749" s="76"/>
      <c r="D749" s="77"/>
      <c r="E749" s="76"/>
      <c r="F749" s="78"/>
    </row>
    <row r="750">
      <c r="C750" s="76"/>
      <c r="D750" s="77"/>
      <c r="E750" s="76"/>
      <c r="F750" s="78"/>
    </row>
    <row r="751">
      <c r="C751" s="76"/>
      <c r="D751" s="77"/>
      <c r="E751" s="76"/>
      <c r="F751" s="78"/>
    </row>
    <row r="752">
      <c r="C752" s="76"/>
      <c r="D752" s="77"/>
      <c r="E752" s="76"/>
      <c r="F752" s="78"/>
    </row>
    <row r="753">
      <c r="C753" s="76"/>
      <c r="D753" s="77"/>
      <c r="E753" s="76"/>
      <c r="F753" s="78"/>
    </row>
    <row r="754">
      <c r="C754" s="76"/>
      <c r="D754" s="77"/>
      <c r="E754" s="76"/>
      <c r="F754" s="78"/>
    </row>
    <row r="755">
      <c r="C755" s="76"/>
      <c r="D755" s="77"/>
      <c r="E755" s="76"/>
      <c r="F755" s="78"/>
    </row>
    <row r="756">
      <c r="C756" s="76"/>
      <c r="D756" s="77"/>
      <c r="E756" s="76"/>
      <c r="F756" s="78"/>
    </row>
    <row r="757">
      <c r="C757" s="76"/>
      <c r="D757" s="77"/>
      <c r="E757" s="76"/>
      <c r="F757" s="78"/>
    </row>
    <row r="758">
      <c r="C758" s="76"/>
      <c r="D758" s="77"/>
      <c r="E758" s="76"/>
      <c r="F758" s="78"/>
    </row>
    <row r="759">
      <c r="C759" s="76"/>
      <c r="D759" s="77"/>
      <c r="E759" s="76"/>
      <c r="F759" s="78"/>
    </row>
    <row r="760">
      <c r="C760" s="76"/>
      <c r="D760" s="77"/>
      <c r="E760" s="76"/>
      <c r="F760" s="78"/>
    </row>
    <row r="761">
      <c r="C761" s="76"/>
      <c r="D761" s="77"/>
      <c r="E761" s="76"/>
      <c r="F761" s="78"/>
    </row>
    <row r="762">
      <c r="C762" s="76"/>
      <c r="D762" s="77"/>
      <c r="E762" s="76"/>
      <c r="F762" s="78"/>
    </row>
    <row r="763">
      <c r="C763" s="76"/>
      <c r="D763" s="77"/>
      <c r="E763" s="76"/>
      <c r="F763" s="78"/>
    </row>
    <row r="764">
      <c r="C764" s="76"/>
      <c r="D764" s="77"/>
      <c r="E764" s="76"/>
      <c r="F764" s="78"/>
    </row>
    <row r="765">
      <c r="C765" s="76"/>
      <c r="D765" s="77"/>
      <c r="E765" s="76"/>
      <c r="F765" s="78"/>
    </row>
    <row r="766">
      <c r="C766" s="76"/>
      <c r="D766" s="77"/>
      <c r="E766" s="76"/>
      <c r="F766" s="78"/>
    </row>
    <row r="767">
      <c r="C767" s="76"/>
      <c r="D767" s="77"/>
      <c r="E767" s="76"/>
      <c r="F767" s="78"/>
    </row>
    <row r="768">
      <c r="C768" s="76"/>
      <c r="D768" s="77"/>
      <c r="E768" s="76"/>
      <c r="F768" s="78"/>
    </row>
    <row r="769">
      <c r="C769" s="76"/>
      <c r="D769" s="77"/>
      <c r="E769" s="76"/>
      <c r="F769" s="78"/>
    </row>
    <row r="770">
      <c r="C770" s="76"/>
      <c r="D770" s="77"/>
      <c r="E770" s="76"/>
      <c r="F770" s="78"/>
    </row>
    <row r="771">
      <c r="C771" s="76"/>
      <c r="D771" s="77"/>
      <c r="E771" s="76"/>
      <c r="F771" s="78"/>
    </row>
    <row r="772">
      <c r="C772" s="76"/>
      <c r="D772" s="77"/>
      <c r="E772" s="76"/>
      <c r="F772" s="78"/>
    </row>
    <row r="773">
      <c r="C773" s="76"/>
      <c r="D773" s="77"/>
      <c r="E773" s="76"/>
      <c r="F773" s="78"/>
    </row>
    <row r="774">
      <c r="C774" s="76"/>
      <c r="D774" s="77"/>
      <c r="E774" s="76"/>
      <c r="F774" s="78"/>
    </row>
    <row r="775">
      <c r="C775" s="76"/>
      <c r="D775" s="77"/>
      <c r="E775" s="76"/>
      <c r="F775" s="78"/>
    </row>
    <row r="776">
      <c r="C776" s="76"/>
      <c r="D776" s="77"/>
      <c r="E776" s="76"/>
      <c r="F776" s="78"/>
    </row>
    <row r="777">
      <c r="C777" s="76"/>
      <c r="D777" s="77"/>
      <c r="E777" s="76"/>
      <c r="F777" s="78"/>
    </row>
    <row r="778">
      <c r="C778" s="76"/>
      <c r="D778" s="77"/>
      <c r="E778" s="76"/>
      <c r="F778" s="78"/>
    </row>
    <row r="779">
      <c r="C779" s="76"/>
      <c r="D779" s="77"/>
      <c r="E779" s="76"/>
      <c r="F779" s="78"/>
    </row>
    <row r="780">
      <c r="C780" s="76"/>
      <c r="D780" s="77"/>
      <c r="E780" s="76"/>
      <c r="F780" s="78"/>
    </row>
    <row r="781">
      <c r="C781" s="76"/>
      <c r="D781" s="77"/>
      <c r="E781" s="76"/>
      <c r="F781" s="78"/>
    </row>
    <row r="782">
      <c r="C782" s="76"/>
      <c r="D782" s="77"/>
      <c r="E782" s="76"/>
      <c r="F782" s="78"/>
    </row>
    <row r="783">
      <c r="C783" s="76"/>
      <c r="D783" s="77"/>
      <c r="E783" s="76"/>
      <c r="F783" s="78"/>
    </row>
    <row r="784">
      <c r="C784" s="76"/>
      <c r="D784" s="77"/>
      <c r="E784" s="76"/>
      <c r="F784" s="78"/>
    </row>
    <row r="785">
      <c r="C785" s="76"/>
      <c r="D785" s="77"/>
      <c r="E785" s="76"/>
      <c r="F785" s="78"/>
    </row>
    <row r="786">
      <c r="C786" s="76"/>
      <c r="D786" s="77"/>
      <c r="E786" s="76"/>
      <c r="F786" s="78"/>
    </row>
    <row r="787">
      <c r="C787" s="76"/>
      <c r="D787" s="77"/>
      <c r="E787" s="76"/>
      <c r="F787" s="78"/>
    </row>
    <row r="788">
      <c r="C788" s="76"/>
      <c r="D788" s="77"/>
      <c r="E788" s="76"/>
      <c r="F788" s="78"/>
    </row>
    <row r="789">
      <c r="C789" s="76"/>
      <c r="D789" s="77"/>
      <c r="E789" s="76"/>
      <c r="F789" s="78"/>
    </row>
    <row r="790">
      <c r="C790" s="76"/>
      <c r="D790" s="77"/>
      <c r="E790" s="76"/>
      <c r="F790" s="78"/>
    </row>
    <row r="791">
      <c r="C791" s="76"/>
      <c r="D791" s="77"/>
      <c r="E791" s="76"/>
      <c r="F791" s="78"/>
    </row>
    <row r="792">
      <c r="C792" s="76"/>
      <c r="D792" s="77"/>
      <c r="E792" s="76"/>
      <c r="F792" s="78"/>
    </row>
    <row r="793">
      <c r="C793" s="76"/>
      <c r="D793" s="77"/>
      <c r="E793" s="76"/>
      <c r="F793" s="78"/>
    </row>
    <row r="794">
      <c r="C794" s="76"/>
      <c r="D794" s="77"/>
      <c r="E794" s="76"/>
      <c r="F794" s="78"/>
    </row>
    <row r="795">
      <c r="C795" s="76"/>
      <c r="D795" s="77"/>
      <c r="E795" s="76"/>
      <c r="F795" s="78"/>
    </row>
    <row r="796">
      <c r="C796" s="76"/>
      <c r="D796" s="77"/>
      <c r="E796" s="76"/>
      <c r="F796" s="78"/>
    </row>
    <row r="797">
      <c r="C797" s="76"/>
      <c r="D797" s="77"/>
      <c r="E797" s="76"/>
      <c r="F797" s="78"/>
    </row>
    <row r="798">
      <c r="C798" s="76"/>
      <c r="D798" s="77"/>
      <c r="E798" s="76"/>
      <c r="F798" s="78"/>
    </row>
    <row r="799">
      <c r="C799" s="76"/>
      <c r="D799" s="77"/>
      <c r="E799" s="76"/>
      <c r="F799" s="78"/>
    </row>
    <row r="800">
      <c r="C800" s="76"/>
      <c r="D800" s="77"/>
      <c r="E800" s="76"/>
      <c r="F800" s="78"/>
    </row>
    <row r="801">
      <c r="C801" s="76"/>
      <c r="D801" s="77"/>
      <c r="E801" s="76"/>
      <c r="F801" s="78"/>
    </row>
    <row r="802">
      <c r="C802" s="76"/>
      <c r="D802" s="77"/>
      <c r="E802" s="76"/>
      <c r="F802" s="78"/>
    </row>
    <row r="803">
      <c r="C803" s="76"/>
      <c r="D803" s="77"/>
      <c r="E803" s="76"/>
      <c r="F803" s="78"/>
    </row>
    <row r="804">
      <c r="C804" s="76"/>
      <c r="D804" s="77"/>
      <c r="E804" s="76"/>
      <c r="F804" s="78"/>
    </row>
    <row r="805">
      <c r="C805" s="76"/>
      <c r="D805" s="77"/>
      <c r="E805" s="76"/>
      <c r="F805" s="78"/>
    </row>
    <row r="806">
      <c r="C806" s="76"/>
      <c r="D806" s="77"/>
      <c r="E806" s="76"/>
      <c r="F806" s="78"/>
    </row>
    <row r="807">
      <c r="C807" s="76"/>
      <c r="D807" s="77"/>
      <c r="E807" s="76"/>
      <c r="F807" s="78"/>
    </row>
    <row r="808">
      <c r="C808" s="76"/>
      <c r="D808" s="77"/>
      <c r="E808" s="76"/>
      <c r="F808" s="78"/>
    </row>
    <row r="809">
      <c r="C809" s="76"/>
      <c r="D809" s="77"/>
      <c r="E809" s="76"/>
      <c r="F809" s="78"/>
    </row>
    <row r="810">
      <c r="C810" s="76"/>
      <c r="D810" s="77"/>
      <c r="E810" s="76"/>
      <c r="F810" s="78"/>
    </row>
    <row r="811">
      <c r="C811" s="76"/>
      <c r="D811" s="77"/>
      <c r="E811" s="76"/>
      <c r="F811" s="78"/>
    </row>
    <row r="812">
      <c r="C812" s="76"/>
      <c r="D812" s="77"/>
      <c r="E812" s="76"/>
      <c r="F812" s="78"/>
    </row>
    <row r="813">
      <c r="C813" s="76"/>
      <c r="D813" s="77"/>
      <c r="E813" s="76"/>
      <c r="F813" s="78"/>
    </row>
    <row r="814">
      <c r="C814" s="76"/>
      <c r="D814" s="77"/>
      <c r="E814" s="76"/>
      <c r="F814" s="78"/>
    </row>
    <row r="815">
      <c r="C815" s="76"/>
      <c r="D815" s="77"/>
      <c r="E815" s="76"/>
      <c r="F815" s="78"/>
    </row>
    <row r="816">
      <c r="C816" s="76"/>
      <c r="D816" s="77"/>
      <c r="E816" s="76"/>
      <c r="F816" s="78"/>
    </row>
    <row r="817">
      <c r="C817" s="76"/>
      <c r="D817" s="77"/>
      <c r="E817" s="76"/>
      <c r="F817" s="78"/>
    </row>
    <row r="818">
      <c r="C818" s="76"/>
      <c r="D818" s="77"/>
      <c r="E818" s="76"/>
      <c r="F818" s="78"/>
    </row>
    <row r="819">
      <c r="C819" s="76"/>
      <c r="D819" s="77"/>
      <c r="E819" s="76"/>
      <c r="F819" s="78"/>
    </row>
    <row r="820">
      <c r="C820" s="76"/>
      <c r="D820" s="77"/>
      <c r="E820" s="76"/>
      <c r="F820" s="78"/>
    </row>
    <row r="821">
      <c r="C821" s="76"/>
      <c r="D821" s="77"/>
      <c r="E821" s="76"/>
      <c r="F821" s="78"/>
    </row>
    <row r="822">
      <c r="C822" s="76"/>
      <c r="D822" s="77"/>
      <c r="E822" s="76"/>
      <c r="F822" s="78"/>
    </row>
    <row r="823">
      <c r="C823" s="76"/>
      <c r="D823" s="77"/>
      <c r="E823" s="76"/>
      <c r="F823" s="78"/>
    </row>
    <row r="824">
      <c r="C824" s="76"/>
      <c r="D824" s="77"/>
      <c r="E824" s="76"/>
      <c r="F824" s="78"/>
    </row>
    <row r="825">
      <c r="C825" s="76"/>
      <c r="D825" s="77"/>
      <c r="E825" s="76"/>
      <c r="F825" s="78"/>
    </row>
    <row r="826">
      <c r="C826" s="76"/>
      <c r="D826" s="77"/>
      <c r="E826" s="76"/>
      <c r="F826" s="78"/>
    </row>
    <row r="827">
      <c r="C827" s="76"/>
      <c r="D827" s="77"/>
      <c r="E827" s="76"/>
      <c r="F827" s="78"/>
    </row>
    <row r="828">
      <c r="C828" s="76"/>
      <c r="D828" s="77"/>
      <c r="E828" s="76"/>
      <c r="F828" s="78"/>
    </row>
    <row r="829">
      <c r="C829" s="76"/>
      <c r="D829" s="77"/>
      <c r="E829" s="76"/>
      <c r="F829" s="78"/>
    </row>
    <row r="830">
      <c r="C830" s="76"/>
      <c r="D830" s="77"/>
      <c r="E830" s="76"/>
      <c r="F830" s="78"/>
    </row>
    <row r="831">
      <c r="C831" s="76"/>
      <c r="D831" s="77"/>
      <c r="E831" s="76"/>
      <c r="F831" s="78"/>
    </row>
    <row r="832">
      <c r="C832" s="76"/>
      <c r="D832" s="77"/>
      <c r="E832" s="76"/>
      <c r="F832" s="78"/>
    </row>
    <row r="833">
      <c r="C833" s="76"/>
      <c r="D833" s="77"/>
      <c r="E833" s="76"/>
      <c r="F833" s="78"/>
    </row>
    <row r="834">
      <c r="C834" s="76"/>
      <c r="D834" s="77"/>
      <c r="E834" s="76"/>
      <c r="F834" s="78"/>
    </row>
    <row r="835">
      <c r="C835" s="76"/>
      <c r="D835" s="77"/>
      <c r="E835" s="76"/>
      <c r="F835" s="78"/>
    </row>
    <row r="836">
      <c r="C836" s="76"/>
      <c r="D836" s="77"/>
      <c r="E836" s="76"/>
      <c r="F836" s="78"/>
    </row>
    <row r="837">
      <c r="C837" s="76"/>
      <c r="D837" s="77"/>
      <c r="E837" s="76"/>
      <c r="F837" s="78"/>
    </row>
    <row r="838">
      <c r="C838" s="76"/>
      <c r="D838" s="77"/>
      <c r="E838" s="76"/>
      <c r="F838" s="78"/>
    </row>
    <row r="839">
      <c r="C839" s="76"/>
      <c r="D839" s="77"/>
      <c r="E839" s="76"/>
      <c r="F839" s="78"/>
    </row>
    <row r="840">
      <c r="C840" s="76"/>
      <c r="D840" s="77"/>
      <c r="E840" s="76"/>
      <c r="F840" s="78"/>
    </row>
    <row r="841">
      <c r="C841" s="76"/>
      <c r="D841" s="77"/>
      <c r="E841" s="76"/>
      <c r="F841" s="78"/>
    </row>
    <row r="842">
      <c r="C842" s="76"/>
      <c r="D842" s="77"/>
      <c r="E842" s="76"/>
      <c r="F842" s="78"/>
    </row>
    <row r="843">
      <c r="C843" s="76"/>
      <c r="D843" s="77"/>
      <c r="E843" s="76"/>
      <c r="F843" s="78"/>
    </row>
    <row r="844">
      <c r="C844" s="76"/>
      <c r="D844" s="77"/>
      <c r="E844" s="76"/>
      <c r="F844" s="78"/>
    </row>
    <row r="845">
      <c r="C845" s="76"/>
      <c r="D845" s="77"/>
      <c r="E845" s="76"/>
      <c r="F845" s="78"/>
    </row>
    <row r="846">
      <c r="C846" s="76"/>
      <c r="D846" s="77"/>
      <c r="E846" s="76"/>
      <c r="F846" s="78"/>
    </row>
    <row r="847">
      <c r="C847" s="76"/>
      <c r="D847" s="77"/>
      <c r="E847" s="76"/>
      <c r="F847" s="78"/>
    </row>
    <row r="848">
      <c r="C848" s="76"/>
      <c r="D848" s="77"/>
      <c r="E848" s="76"/>
      <c r="F848" s="78"/>
    </row>
    <row r="849">
      <c r="C849" s="76"/>
      <c r="D849" s="77"/>
      <c r="E849" s="76"/>
      <c r="F849" s="78"/>
    </row>
    <row r="850">
      <c r="C850" s="76"/>
      <c r="D850" s="77"/>
      <c r="E850" s="76"/>
      <c r="F850" s="78"/>
    </row>
    <row r="851">
      <c r="C851" s="76"/>
      <c r="D851" s="77"/>
      <c r="E851" s="76"/>
      <c r="F851" s="78"/>
    </row>
    <row r="852">
      <c r="C852" s="76"/>
      <c r="D852" s="77"/>
      <c r="E852" s="76"/>
      <c r="F852" s="78"/>
    </row>
    <row r="853">
      <c r="C853" s="76"/>
      <c r="D853" s="77"/>
      <c r="E853" s="76"/>
      <c r="F853" s="78"/>
    </row>
    <row r="854">
      <c r="C854" s="76"/>
      <c r="D854" s="77"/>
      <c r="E854" s="76"/>
      <c r="F854" s="78"/>
    </row>
    <row r="855">
      <c r="C855" s="76"/>
      <c r="D855" s="77"/>
      <c r="E855" s="76"/>
      <c r="F855" s="78"/>
    </row>
    <row r="856">
      <c r="C856" s="76"/>
      <c r="D856" s="77"/>
      <c r="E856" s="76"/>
      <c r="F856" s="78"/>
    </row>
    <row r="857">
      <c r="C857" s="76"/>
      <c r="D857" s="77"/>
      <c r="E857" s="76"/>
      <c r="F857" s="78"/>
    </row>
    <row r="858">
      <c r="C858" s="76"/>
      <c r="D858" s="77"/>
      <c r="E858" s="76"/>
      <c r="F858" s="78"/>
    </row>
    <row r="859">
      <c r="C859" s="76"/>
      <c r="D859" s="77"/>
      <c r="E859" s="76"/>
      <c r="F859" s="78"/>
    </row>
    <row r="860">
      <c r="C860" s="76"/>
      <c r="D860" s="77"/>
      <c r="E860" s="76"/>
      <c r="F860" s="78"/>
    </row>
    <row r="861">
      <c r="C861" s="76"/>
      <c r="D861" s="77"/>
      <c r="E861" s="76"/>
      <c r="F861" s="78"/>
    </row>
    <row r="862">
      <c r="C862" s="76"/>
      <c r="D862" s="77"/>
      <c r="E862" s="76"/>
      <c r="F862" s="78"/>
    </row>
    <row r="863">
      <c r="C863" s="76"/>
      <c r="D863" s="77"/>
      <c r="E863" s="76"/>
      <c r="F863" s="78"/>
    </row>
    <row r="864">
      <c r="C864" s="76"/>
      <c r="D864" s="77"/>
      <c r="E864" s="76"/>
      <c r="F864" s="78"/>
    </row>
    <row r="865">
      <c r="C865" s="76"/>
      <c r="D865" s="77"/>
      <c r="E865" s="76"/>
      <c r="F865" s="78"/>
    </row>
    <row r="866">
      <c r="C866" s="76"/>
      <c r="D866" s="77"/>
      <c r="E866" s="76"/>
      <c r="F866" s="78"/>
    </row>
    <row r="867">
      <c r="C867" s="76"/>
      <c r="D867" s="77"/>
      <c r="E867" s="76"/>
      <c r="F867" s="78"/>
    </row>
    <row r="868">
      <c r="C868" s="76"/>
      <c r="D868" s="77"/>
      <c r="E868" s="76"/>
      <c r="F868" s="78"/>
    </row>
    <row r="869">
      <c r="C869" s="76"/>
      <c r="D869" s="77"/>
      <c r="E869" s="76"/>
      <c r="F869" s="78"/>
    </row>
    <row r="870">
      <c r="C870" s="76"/>
      <c r="D870" s="77"/>
      <c r="E870" s="76"/>
      <c r="F870" s="78"/>
    </row>
    <row r="871">
      <c r="C871" s="76"/>
      <c r="D871" s="77"/>
      <c r="E871" s="76"/>
      <c r="F871" s="78"/>
    </row>
    <row r="872">
      <c r="C872" s="76"/>
      <c r="D872" s="77"/>
      <c r="E872" s="76"/>
      <c r="F872" s="78"/>
    </row>
    <row r="873">
      <c r="C873" s="76"/>
      <c r="D873" s="77"/>
      <c r="E873" s="76"/>
      <c r="F873" s="78"/>
    </row>
    <row r="874">
      <c r="C874" s="76"/>
      <c r="D874" s="77"/>
      <c r="E874" s="76"/>
      <c r="F874" s="78"/>
    </row>
    <row r="875">
      <c r="C875" s="76"/>
      <c r="D875" s="77"/>
      <c r="E875" s="76"/>
      <c r="F875" s="78"/>
    </row>
    <row r="876">
      <c r="C876" s="76"/>
      <c r="D876" s="77"/>
      <c r="E876" s="76"/>
      <c r="F876" s="78"/>
    </row>
    <row r="877">
      <c r="C877" s="76"/>
      <c r="D877" s="77"/>
      <c r="E877" s="76"/>
      <c r="F877" s="78"/>
    </row>
    <row r="878">
      <c r="C878" s="76"/>
      <c r="D878" s="77"/>
      <c r="E878" s="76"/>
      <c r="F878" s="78"/>
    </row>
    <row r="879">
      <c r="C879" s="76"/>
      <c r="D879" s="77"/>
      <c r="E879" s="76"/>
      <c r="F879" s="78"/>
    </row>
    <row r="880">
      <c r="C880" s="76"/>
      <c r="D880" s="77"/>
      <c r="E880" s="76"/>
      <c r="F880" s="78"/>
    </row>
    <row r="881">
      <c r="C881" s="76"/>
      <c r="D881" s="77"/>
      <c r="E881" s="76"/>
      <c r="F881" s="78"/>
    </row>
    <row r="882">
      <c r="C882" s="76"/>
      <c r="D882" s="77"/>
      <c r="E882" s="76"/>
      <c r="F882" s="78"/>
    </row>
    <row r="883">
      <c r="C883" s="76"/>
      <c r="D883" s="77"/>
      <c r="E883" s="76"/>
      <c r="F883" s="78"/>
    </row>
    <row r="884">
      <c r="C884" s="76"/>
      <c r="D884" s="77"/>
      <c r="E884" s="76"/>
      <c r="F884" s="78"/>
    </row>
    <row r="885">
      <c r="C885" s="76"/>
      <c r="D885" s="77"/>
      <c r="E885" s="76"/>
      <c r="F885" s="78"/>
    </row>
    <row r="886">
      <c r="C886" s="76"/>
      <c r="D886" s="77"/>
      <c r="E886" s="76"/>
      <c r="F886" s="78"/>
    </row>
    <row r="887">
      <c r="C887" s="76"/>
      <c r="D887" s="77"/>
      <c r="E887" s="76"/>
      <c r="F887" s="78"/>
    </row>
    <row r="888">
      <c r="C888" s="76"/>
      <c r="D888" s="77"/>
      <c r="E888" s="76"/>
      <c r="F888" s="78"/>
    </row>
    <row r="889">
      <c r="C889" s="76"/>
      <c r="D889" s="77"/>
      <c r="E889" s="76"/>
      <c r="F889" s="78"/>
    </row>
    <row r="890">
      <c r="C890" s="76"/>
      <c r="D890" s="77"/>
      <c r="E890" s="76"/>
      <c r="F890" s="78"/>
    </row>
    <row r="891">
      <c r="C891" s="76"/>
      <c r="D891" s="77"/>
      <c r="E891" s="76"/>
      <c r="F891" s="78"/>
    </row>
    <row r="892">
      <c r="C892" s="76"/>
      <c r="D892" s="77"/>
      <c r="E892" s="76"/>
      <c r="F892" s="78"/>
    </row>
    <row r="893">
      <c r="C893" s="76"/>
      <c r="D893" s="77"/>
      <c r="E893" s="76"/>
      <c r="F893" s="78"/>
    </row>
    <row r="894">
      <c r="C894" s="76"/>
      <c r="D894" s="77"/>
      <c r="E894" s="76"/>
      <c r="F894" s="78"/>
    </row>
    <row r="895">
      <c r="C895" s="76"/>
      <c r="D895" s="77"/>
      <c r="E895" s="76"/>
      <c r="F895" s="78"/>
    </row>
    <row r="896">
      <c r="C896" s="76"/>
      <c r="D896" s="77"/>
      <c r="E896" s="76"/>
      <c r="F896" s="78"/>
    </row>
    <row r="897">
      <c r="C897" s="76"/>
      <c r="D897" s="77"/>
      <c r="E897" s="76"/>
      <c r="F897" s="78"/>
    </row>
    <row r="898">
      <c r="C898" s="76"/>
      <c r="D898" s="77"/>
      <c r="E898" s="76"/>
      <c r="F898" s="78"/>
    </row>
    <row r="899">
      <c r="C899" s="76"/>
      <c r="D899" s="77"/>
      <c r="E899" s="76"/>
      <c r="F899" s="78"/>
    </row>
    <row r="900">
      <c r="C900" s="76"/>
      <c r="D900" s="77"/>
      <c r="E900" s="76"/>
      <c r="F900" s="78"/>
    </row>
    <row r="901">
      <c r="C901" s="76"/>
      <c r="D901" s="77"/>
      <c r="E901" s="76"/>
      <c r="F901" s="78"/>
    </row>
    <row r="902">
      <c r="C902" s="76"/>
      <c r="D902" s="77"/>
      <c r="E902" s="76"/>
      <c r="F902" s="78"/>
    </row>
    <row r="903">
      <c r="C903" s="76"/>
      <c r="D903" s="77"/>
      <c r="E903" s="76"/>
      <c r="F903" s="78"/>
    </row>
    <row r="904">
      <c r="C904" s="76"/>
      <c r="D904" s="77"/>
      <c r="E904" s="76"/>
      <c r="F904" s="78"/>
    </row>
    <row r="905">
      <c r="C905" s="76"/>
      <c r="D905" s="77"/>
      <c r="E905" s="76"/>
      <c r="F905" s="78"/>
    </row>
    <row r="906">
      <c r="C906" s="76"/>
      <c r="D906" s="77"/>
      <c r="E906" s="76"/>
      <c r="F906" s="78"/>
    </row>
    <row r="907">
      <c r="C907" s="76"/>
      <c r="D907" s="77"/>
      <c r="E907" s="76"/>
      <c r="F907" s="78"/>
    </row>
    <row r="908">
      <c r="C908" s="76"/>
      <c r="D908" s="77"/>
      <c r="E908" s="76"/>
      <c r="F908" s="78"/>
    </row>
    <row r="909">
      <c r="C909" s="76"/>
      <c r="D909" s="77"/>
      <c r="E909" s="76"/>
      <c r="F909" s="78"/>
    </row>
    <row r="910">
      <c r="C910" s="76"/>
      <c r="D910" s="77"/>
      <c r="E910" s="76"/>
      <c r="F910" s="78"/>
    </row>
    <row r="911">
      <c r="C911" s="76"/>
      <c r="D911" s="77"/>
      <c r="E911" s="76"/>
      <c r="F911" s="78"/>
    </row>
    <row r="912">
      <c r="C912" s="76"/>
      <c r="D912" s="77"/>
      <c r="E912" s="76"/>
      <c r="F912" s="78"/>
    </row>
    <row r="913">
      <c r="C913" s="76"/>
      <c r="D913" s="77"/>
      <c r="E913" s="76"/>
      <c r="F913" s="78"/>
    </row>
    <row r="914">
      <c r="C914" s="76"/>
      <c r="D914" s="77"/>
      <c r="E914" s="76"/>
      <c r="F914" s="78"/>
    </row>
    <row r="915">
      <c r="C915" s="76"/>
      <c r="D915" s="77"/>
      <c r="E915" s="76"/>
      <c r="F915" s="78"/>
    </row>
    <row r="916">
      <c r="C916" s="76"/>
      <c r="D916" s="77"/>
      <c r="E916" s="76"/>
      <c r="F916" s="78"/>
    </row>
    <row r="917">
      <c r="C917" s="76"/>
      <c r="D917" s="77"/>
      <c r="E917" s="76"/>
      <c r="F917" s="78"/>
    </row>
    <row r="918">
      <c r="C918" s="76"/>
      <c r="D918" s="77"/>
      <c r="E918" s="76"/>
      <c r="F918" s="78"/>
    </row>
    <row r="919">
      <c r="C919" s="76"/>
      <c r="D919" s="77"/>
      <c r="E919" s="76"/>
      <c r="F919" s="78"/>
    </row>
    <row r="920">
      <c r="C920" s="76"/>
      <c r="D920" s="77"/>
      <c r="E920" s="76"/>
      <c r="F920" s="78"/>
    </row>
    <row r="921">
      <c r="C921" s="76"/>
      <c r="D921" s="77"/>
      <c r="E921" s="76"/>
      <c r="F921" s="78"/>
    </row>
    <row r="922">
      <c r="C922" s="76"/>
      <c r="D922" s="77"/>
      <c r="E922" s="76"/>
      <c r="F922" s="78"/>
    </row>
    <row r="923">
      <c r="C923" s="76"/>
      <c r="D923" s="77"/>
      <c r="E923" s="76"/>
      <c r="F923" s="78"/>
    </row>
    <row r="924">
      <c r="C924" s="76"/>
      <c r="D924" s="77"/>
      <c r="E924" s="76"/>
      <c r="F924" s="78"/>
    </row>
    <row r="925">
      <c r="C925" s="76"/>
      <c r="D925" s="77"/>
      <c r="E925" s="76"/>
      <c r="F925" s="78"/>
    </row>
    <row r="926">
      <c r="C926" s="76"/>
      <c r="D926" s="77"/>
      <c r="E926" s="76"/>
      <c r="F926" s="78"/>
    </row>
    <row r="927">
      <c r="C927" s="76"/>
      <c r="D927" s="77"/>
      <c r="E927" s="76"/>
      <c r="F927" s="78"/>
    </row>
    <row r="928">
      <c r="C928" s="76"/>
      <c r="D928" s="77"/>
      <c r="E928" s="76"/>
      <c r="F928" s="78"/>
    </row>
    <row r="929">
      <c r="C929" s="76"/>
      <c r="D929" s="77"/>
      <c r="E929" s="76"/>
      <c r="F929" s="78"/>
    </row>
    <row r="930">
      <c r="C930" s="76"/>
      <c r="D930" s="77"/>
      <c r="E930" s="76"/>
      <c r="F930" s="78"/>
    </row>
    <row r="931">
      <c r="C931" s="76"/>
      <c r="D931" s="77"/>
      <c r="E931" s="76"/>
      <c r="F931" s="78"/>
    </row>
    <row r="932">
      <c r="C932" s="76"/>
      <c r="D932" s="77"/>
      <c r="E932" s="76"/>
      <c r="F932" s="78"/>
    </row>
    <row r="933">
      <c r="C933" s="76"/>
      <c r="D933" s="77"/>
      <c r="E933" s="76"/>
      <c r="F933" s="78"/>
    </row>
    <row r="934">
      <c r="C934" s="76"/>
      <c r="D934" s="77"/>
      <c r="E934" s="76"/>
      <c r="F934" s="78"/>
    </row>
    <row r="935">
      <c r="C935" s="76"/>
      <c r="D935" s="77"/>
      <c r="E935" s="76"/>
      <c r="F935" s="78"/>
    </row>
    <row r="936">
      <c r="C936" s="76"/>
      <c r="D936" s="77"/>
      <c r="E936" s="76"/>
      <c r="F936" s="78"/>
    </row>
    <row r="937">
      <c r="C937" s="76"/>
      <c r="D937" s="77"/>
      <c r="E937" s="76"/>
      <c r="F937" s="78"/>
    </row>
    <row r="938">
      <c r="C938" s="76"/>
      <c r="D938" s="77"/>
      <c r="E938" s="76"/>
      <c r="F938" s="78"/>
    </row>
    <row r="939">
      <c r="C939" s="76"/>
      <c r="D939" s="77"/>
      <c r="E939" s="76"/>
      <c r="F939" s="78"/>
    </row>
    <row r="940">
      <c r="C940" s="76"/>
      <c r="D940" s="77"/>
      <c r="E940" s="76"/>
      <c r="F940" s="78"/>
    </row>
    <row r="941">
      <c r="C941" s="76"/>
      <c r="D941" s="77"/>
      <c r="E941" s="76"/>
      <c r="F941" s="78"/>
    </row>
    <row r="942">
      <c r="C942" s="76"/>
      <c r="D942" s="77"/>
      <c r="E942" s="76"/>
      <c r="F942" s="78"/>
    </row>
    <row r="943">
      <c r="C943" s="76"/>
      <c r="D943" s="77"/>
      <c r="E943" s="76"/>
      <c r="F943" s="78"/>
    </row>
    <row r="944">
      <c r="C944" s="76"/>
      <c r="D944" s="77"/>
      <c r="E944" s="76"/>
      <c r="F944" s="78"/>
    </row>
    <row r="945">
      <c r="C945" s="76"/>
      <c r="D945" s="77"/>
      <c r="E945" s="76"/>
      <c r="F945" s="78"/>
    </row>
    <row r="946">
      <c r="C946" s="76"/>
      <c r="D946" s="77"/>
      <c r="E946" s="76"/>
      <c r="F946" s="78"/>
    </row>
    <row r="947">
      <c r="C947" s="76"/>
      <c r="D947" s="77"/>
      <c r="E947" s="76"/>
      <c r="F947" s="78"/>
    </row>
    <row r="948">
      <c r="C948" s="76"/>
      <c r="D948" s="77"/>
      <c r="E948" s="76"/>
      <c r="F948" s="78"/>
    </row>
    <row r="949">
      <c r="C949" s="76"/>
      <c r="D949" s="77"/>
      <c r="E949" s="76"/>
      <c r="F949" s="78"/>
    </row>
    <row r="950">
      <c r="C950" s="76"/>
      <c r="D950" s="77"/>
      <c r="E950" s="76"/>
      <c r="F950" s="78"/>
    </row>
    <row r="951">
      <c r="C951" s="76"/>
      <c r="D951" s="77"/>
      <c r="E951" s="76"/>
      <c r="F951" s="78"/>
    </row>
    <row r="952">
      <c r="C952" s="76"/>
      <c r="D952" s="77"/>
      <c r="E952" s="76"/>
      <c r="F952" s="78"/>
    </row>
    <row r="953">
      <c r="C953" s="76"/>
      <c r="D953" s="77"/>
      <c r="E953" s="76"/>
      <c r="F953" s="78"/>
    </row>
    <row r="954">
      <c r="C954" s="76"/>
      <c r="D954" s="77"/>
      <c r="E954" s="76"/>
      <c r="F954" s="78"/>
    </row>
    <row r="955">
      <c r="C955" s="76"/>
      <c r="D955" s="77"/>
      <c r="E955" s="76"/>
      <c r="F955" s="78"/>
    </row>
    <row r="956">
      <c r="C956" s="76"/>
      <c r="D956" s="77"/>
      <c r="E956" s="76"/>
      <c r="F956" s="78"/>
    </row>
    <row r="957">
      <c r="C957" s="76"/>
      <c r="D957" s="77"/>
      <c r="E957" s="76"/>
      <c r="F957" s="78"/>
    </row>
    <row r="958">
      <c r="C958" s="76"/>
      <c r="D958" s="77"/>
      <c r="E958" s="76"/>
      <c r="F958" s="78"/>
    </row>
    <row r="959">
      <c r="C959" s="76"/>
      <c r="D959" s="77"/>
      <c r="E959" s="76"/>
      <c r="F959" s="78"/>
    </row>
    <row r="960">
      <c r="C960" s="76"/>
      <c r="D960" s="77"/>
      <c r="E960" s="76"/>
      <c r="F960" s="78"/>
    </row>
    <row r="961">
      <c r="C961" s="76"/>
      <c r="D961" s="77"/>
      <c r="E961" s="76"/>
      <c r="F961" s="78"/>
    </row>
    <row r="962">
      <c r="C962" s="76"/>
      <c r="D962" s="77"/>
      <c r="E962" s="76"/>
      <c r="F962" s="78"/>
    </row>
    <row r="963">
      <c r="C963" s="76"/>
      <c r="D963" s="77"/>
      <c r="E963" s="76"/>
      <c r="F963" s="78"/>
    </row>
    <row r="964">
      <c r="C964" s="76"/>
      <c r="D964" s="77"/>
      <c r="E964" s="76"/>
      <c r="F964" s="78"/>
    </row>
    <row r="965">
      <c r="C965" s="76"/>
      <c r="D965" s="77"/>
      <c r="E965" s="76"/>
      <c r="F965" s="78"/>
    </row>
    <row r="966">
      <c r="C966" s="76"/>
      <c r="D966" s="77"/>
      <c r="E966" s="76"/>
      <c r="F966" s="78"/>
    </row>
    <row r="967">
      <c r="C967" s="76"/>
      <c r="D967" s="77"/>
      <c r="E967" s="76"/>
      <c r="F967" s="78"/>
    </row>
    <row r="968">
      <c r="C968" s="76"/>
      <c r="D968" s="77"/>
      <c r="E968" s="76"/>
      <c r="F968" s="78"/>
    </row>
    <row r="969">
      <c r="C969" s="76"/>
      <c r="D969" s="77"/>
      <c r="E969" s="76"/>
      <c r="F969" s="78"/>
    </row>
  </sheetData>
  <dataValidations>
    <dataValidation type="custom" allowBlank="1" showDropDown="1" sqref="G4:G684">
      <formula1>OR(TIMEVALUE(TEXT(G4, "hh:mm:ss"))=G4, AND(ISNUMBER(G4), LEFT(CELL("format", G4))="D"))</formula1>
    </dataValidation>
    <dataValidation type="custom" allowBlank="1" showDropDown="1" sqref="A4:A684">
      <formula1>OR(NOT(ISERROR(DATEVALUE(A4))), AND(ISNUMBER(A4), LEFT(CELL("format", A4))="D"))</formula1>
    </dataValidation>
  </dataValidations>
  <hyperlinks>
    <hyperlink r:id="rId1" ref="F56"/>
    <hyperlink r:id="rId2" ref="F103"/>
    <hyperlink r:id="rId3" ref="F104"/>
    <hyperlink r:id="rId4" ref="F130"/>
    <hyperlink r:id="rId5" ref="F131"/>
    <hyperlink r:id="rId6" ref="F132"/>
    <hyperlink r:id="rId7" ref="F135"/>
    <hyperlink r:id="rId8" ref="F137"/>
    <hyperlink r:id="rId9" ref="F139"/>
    <hyperlink r:id="rId10" ref="F140"/>
    <hyperlink r:id="rId11" ref="F141"/>
    <hyperlink r:id="rId12" ref="F142"/>
    <hyperlink r:id="rId13" ref="F145"/>
    <hyperlink r:id="rId14" ref="F146"/>
    <hyperlink r:id="rId15" ref="F147"/>
    <hyperlink r:id="rId16" ref="F151"/>
    <hyperlink r:id="rId17" ref="F153"/>
    <hyperlink r:id="rId18" ref="F154"/>
    <hyperlink r:id="rId19" ref="F155"/>
    <hyperlink r:id="rId20" ref="F156"/>
    <hyperlink r:id="rId21" ref="F158"/>
    <hyperlink r:id="rId22" ref="F159"/>
    <hyperlink r:id="rId23" ref="F161"/>
    <hyperlink r:id="rId24" ref="F163"/>
    <hyperlink r:id="rId25" ref="F165"/>
    <hyperlink r:id="rId26" ref="F166"/>
    <hyperlink r:id="rId27" ref="F167"/>
    <hyperlink r:id="rId28" ref="F170"/>
    <hyperlink r:id="rId29" ref="F171"/>
    <hyperlink r:id="rId30" ref="F172"/>
    <hyperlink r:id="rId31" ref="F174"/>
    <hyperlink r:id="rId32" ref="F175"/>
    <hyperlink r:id="rId33" ref="F177"/>
    <hyperlink r:id="rId34" ref="F178"/>
    <hyperlink r:id="rId35" ref="F179"/>
    <hyperlink r:id="rId36" ref="F180"/>
    <hyperlink r:id="rId37" ref="F181"/>
    <hyperlink r:id="rId38" ref="F182"/>
    <hyperlink r:id="rId39" ref="F183"/>
    <hyperlink r:id="rId40" ref="F184"/>
    <hyperlink r:id="rId41" ref="F185"/>
    <hyperlink r:id="rId42" ref="F188"/>
    <hyperlink r:id="rId43" ref="F190"/>
    <hyperlink r:id="rId44" ref="F191"/>
    <hyperlink r:id="rId45" ref="F192"/>
    <hyperlink r:id="rId46" ref="F195"/>
    <hyperlink r:id="rId47" ref="F196"/>
    <hyperlink r:id="rId48" ref="F197"/>
    <hyperlink r:id="rId49" ref="F199"/>
    <hyperlink r:id="rId50" ref="F200"/>
    <hyperlink r:id="rId51" ref="F202"/>
    <hyperlink r:id="rId52" ref="F203"/>
    <hyperlink r:id="rId53" ref="F204"/>
    <hyperlink r:id="rId54" ref="F206"/>
    <hyperlink r:id="rId55" ref="F207"/>
    <hyperlink r:id="rId56" ref="F209"/>
    <hyperlink r:id="rId57" ref="F210"/>
    <hyperlink r:id="rId58" ref="F211"/>
    <hyperlink r:id="rId59" ref="F244"/>
    <hyperlink r:id="rId60" ref="F254"/>
    <hyperlink r:id="rId61" ref="F259"/>
    <hyperlink r:id="rId62" ref="F260"/>
    <hyperlink r:id="rId63" ref="F261"/>
    <hyperlink r:id="rId64" ref="F262"/>
    <hyperlink r:id="rId65" ref="F263"/>
    <hyperlink r:id="rId66" ref="F266"/>
    <hyperlink r:id="rId67" ref="F267"/>
    <hyperlink r:id="rId68" ref="F268"/>
    <hyperlink r:id="rId69" ref="F269"/>
    <hyperlink r:id="rId70" ref="F270"/>
    <hyperlink r:id="rId71" ref="F271"/>
    <hyperlink r:id="rId72" ref="F272"/>
    <hyperlink r:id="rId73" ref="F273"/>
    <hyperlink r:id="rId74" ref="F274"/>
    <hyperlink r:id="rId75" ref="F275"/>
    <hyperlink r:id="rId76" ref="F279"/>
    <hyperlink r:id="rId77" ref="F280"/>
    <hyperlink r:id="rId78" ref="F281"/>
    <hyperlink r:id="rId79" ref="F282"/>
    <hyperlink r:id="rId80" ref="F287"/>
    <hyperlink r:id="rId81" ref="F292"/>
    <hyperlink r:id="rId82" ref="F293"/>
    <hyperlink r:id="rId83" ref="F294"/>
    <hyperlink r:id="rId84" ref="F296"/>
    <hyperlink r:id="rId85" ref="F299"/>
    <hyperlink r:id="rId86" ref="F300"/>
    <hyperlink r:id="rId87" ref="F301"/>
    <hyperlink r:id="rId88" ref="F302"/>
    <hyperlink r:id="rId89" ref="F305"/>
    <hyperlink r:id="rId90" ref="F306"/>
    <hyperlink r:id="rId91" ref="F307"/>
    <hyperlink r:id="rId92" ref="F308"/>
    <hyperlink r:id="rId93" ref="F309"/>
    <hyperlink r:id="rId94" ref="F311"/>
    <hyperlink r:id="rId95" ref="F312"/>
    <hyperlink r:id="rId96" ref="F313"/>
    <hyperlink r:id="rId97" ref="F314"/>
    <hyperlink r:id="rId98" ref="F317"/>
    <hyperlink r:id="rId99" ref="F318"/>
    <hyperlink r:id="rId100" ref="F319"/>
    <hyperlink r:id="rId101" ref="F322"/>
    <hyperlink r:id="rId102" ref="F323"/>
    <hyperlink r:id="rId103" ref="F325"/>
    <hyperlink r:id="rId104" ref="F327"/>
    <hyperlink r:id="rId105" ref="F330"/>
    <hyperlink r:id="rId106" ref="F331"/>
    <hyperlink r:id="rId107" ref="F332"/>
    <hyperlink r:id="rId108" ref="F336"/>
    <hyperlink r:id="rId109" ref="F338"/>
    <hyperlink r:id="rId110" ref="F339"/>
    <hyperlink r:id="rId111" ref="F344"/>
    <hyperlink r:id="rId112" ref="F345"/>
    <hyperlink r:id="rId113" ref="F347"/>
    <hyperlink r:id="rId114" ref="F349"/>
    <hyperlink r:id="rId115" ref="F355"/>
    <hyperlink r:id="rId116" ref="F366"/>
    <hyperlink r:id="rId117" ref="F369"/>
    <hyperlink r:id="rId118" ref="F370"/>
    <hyperlink r:id="rId119" ref="F371"/>
    <hyperlink r:id="rId120" ref="F372"/>
    <hyperlink r:id="rId121" ref="F377"/>
    <hyperlink r:id="rId122" ref="F379"/>
    <hyperlink r:id="rId123" ref="F385"/>
    <hyperlink r:id="rId124" ref="F465"/>
    <hyperlink r:id="rId125" ref="F466"/>
    <hyperlink r:id="rId126" ref="F486"/>
    <hyperlink r:id="rId127" ref="F490"/>
    <hyperlink r:id="rId128" ref="F491"/>
    <hyperlink r:id="rId129" ref="F498"/>
    <hyperlink r:id="rId130" ref="F516"/>
    <hyperlink r:id="rId131" ref="F517"/>
    <hyperlink r:id="rId132" ref="F518"/>
    <hyperlink r:id="rId133" ref="F561"/>
    <hyperlink r:id="rId134" ref="F565"/>
    <hyperlink r:id="rId135" ref="F583"/>
    <hyperlink r:id="rId136" ref="F584"/>
    <hyperlink r:id="rId137" ref="F586"/>
    <hyperlink r:id="rId138" ref="F587"/>
    <hyperlink r:id="rId139" ref="F588"/>
    <hyperlink r:id="rId140" ref="F590"/>
    <hyperlink r:id="rId141" ref="F591"/>
    <hyperlink r:id="rId142" ref="F593"/>
    <hyperlink r:id="rId143" ref="F600"/>
    <hyperlink r:id="rId144" ref="F601"/>
    <hyperlink r:id="rId145" ref="F608"/>
    <hyperlink r:id="rId146" ref="F609"/>
    <hyperlink r:id="rId147" ref="F611"/>
  </hyperlinks>
  <drawing r:id="rId148"/>
  <tableParts count="1">
    <tablePart r:id="rId150"/>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13"/>
    <col customWidth="1" min="2" max="2" width="14.0"/>
    <col customWidth="1" min="3" max="3" width="46.25"/>
    <col customWidth="1" min="4" max="4" width="58.25"/>
    <col customWidth="1" min="5" max="6" width="22.63"/>
  </cols>
  <sheetData>
    <row r="1" ht="22.5" customHeight="1">
      <c r="A1" s="62" t="s">
        <v>5271</v>
      </c>
      <c r="B1" s="62" t="s">
        <v>5272</v>
      </c>
      <c r="C1" s="62" t="s">
        <v>5273</v>
      </c>
      <c r="D1" s="62" t="s">
        <v>5274</v>
      </c>
      <c r="E1" s="76"/>
      <c r="F1" s="76"/>
      <c r="G1" s="76"/>
      <c r="H1" s="76"/>
      <c r="I1" s="76"/>
      <c r="J1" s="76"/>
      <c r="K1" s="76"/>
      <c r="L1" s="76"/>
      <c r="M1" s="76"/>
      <c r="N1" s="76"/>
      <c r="O1" s="76"/>
      <c r="P1" s="76"/>
      <c r="Q1" s="76"/>
      <c r="R1" s="76"/>
      <c r="S1" s="76"/>
      <c r="T1" s="76"/>
      <c r="U1" s="76"/>
      <c r="V1" s="76"/>
      <c r="W1" s="76"/>
      <c r="X1" s="76"/>
      <c r="Y1" s="76"/>
      <c r="Z1" s="76"/>
    </row>
    <row r="2" ht="22.5" hidden="1" customHeight="1">
      <c r="A2" s="140"/>
      <c r="B2" s="141"/>
      <c r="C2" s="141" t="s">
        <v>5275</v>
      </c>
      <c r="D2" s="140"/>
      <c r="E2" s="76"/>
      <c r="F2" s="76"/>
      <c r="G2" s="76"/>
      <c r="H2" s="76"/>
      <c r="I2" s="76"/>
      <c r="J2" s="76"/>
      <c r="K2" s="76"/>
      <c r="L2" s="76"/>
      <c r="M2" s="76"/>
      <c r="N2" s="76"/>
      <c r="O2" s="76"/>
      <c r="P2" s="76"/>
      <c r="Q2" s="76"/>
      <c r="R2" s="76"/>
      <c r="S2" s="76"/>
      <c r="T2" s="76"/>
      <c r="U2" s="76"/>
      <c r="V2" s="76"/>
      <c r="W2" s="76"/>
      <c r="X2" s="76"/>
      <c r="Y2" s="76"/>
      <c r="Z2" s="76"/>
    </row>
    <row r="3" ht="22.5" hidden="1" customHeight="1">
      <c r="A3" s="140"/>
      <c r="B3" s="141"/>
      <c r="C3" s="141" t="s">
        <v>3096</v>
      </c>
      <c r="D3" s="140"/>
      <c r="E3" s="76"/>
      <c r="F3" s="76"/>
      <c r="G3" s="76"/>
      <c r="H3" s="76"/>
      <c r="I3" s="76"/>
      <c r="J3" s="76"/>
      <c r="K3" s="76"/>
      <c r="L3" s="76"/>
      <c r="M3" s="76"/>
      <c r="N3" s="76"/>
      <c r="O3" s="76"/>
      <c r="P3" s="76"/>
      <c r="Q3" s="76"/>
      <c r="R3" s="76"/>
      <c r="S3" s="76"/>
      <c r="T3" s="76"/>
      <c r="U3" s="76"/>
      <c r="V3" s="76"/>
      <c r="W3" s="76"/>
      <c r="X3" s="76"/>
      <c r="Y3" s="76"/>
      <c r="Z3" s="76"/>
    </row>
    <row r="4" ht="22.5" hidden="1" customHeight="1">
      <c r="A4" s="140"/>
      <c r="B4" s="141"/>
      <c r="C4" s="141" t="s">
        <v>2699</v>
      </c>
      <c r="D4" s="140"/>
      <c r="E4" s="76"/>
      <c r="F4" s="76"/>
      <c r="G4" s="76"/>
      <c r="H4" s="76"/>
      <c r="I4" s="76"/>
      <c r="J4" s="76"/>
      <c r="K4" s="76"/>
      <c r="L4" s="76"/>
      <c r="M4" s="76"/>
      <c r="N4" s="76"/>
      <c r="O4" s="76"/>
      <c r="P4" s="76"/>
      <c r="Q4" s="76"/>
      <c r="R4" s="76"/>
      <c r="S4" s="76"/>
      <c r="T4" s="76"/>
      <c r="U4" s="76"/>
      <c r="V4" s="76"/>
      <c r="W4" s="76"/>
      <c r="X4" s="76"/>
      <c r="Y4" s="76"/>
      <c r="Z4" s="76"/>
    </row>
    <row r="5" ht="22.5" hidden="1" customHeight="1">
      <c r="A5" s="140"/>
      <c r="B5" s="141"/>
      <c r="C5" s="141" t="s">
        <v>5276</v>
      </c>
      <c r="D5" s="140"/>
      <c r="E5" s="76"/>
      <c r="F5" s="76"/>
      <c r="G5" s="76"/>
      <c r="H5" s="76"/>
      <c r="I5" s="76"/>
      <c r="J5" s="76"/>
      <c r="K5" s="76"/>
      <c r="L5" s="76"/>
      <c r="M5" s="76"/>
      <c r="N5" s="76"/>
      <c r="O5" s="76"/>
      <c r="P5" s="76"/>
      <c r="Q5" s="76"/>
      <c r="R5" s="76"/>
      <c r="S5" s="76"/>
      <c r="T5" s="76"/>
      <c r="U5" s="76"/>
      <c r="V5" s="76"/>
      <c r="W5" s="76"/>
      <c r="X5" s="76"/>
      <c r="Y5" s="76"/>
      <c r="Z5" s="76"/>
    </row>
    <row r="6" ht="22.5" hidden="1" customHeight="1">
      <c r="A6" s="140"/>
      <c r="B6" s="141"/>
      <c r="C6" s="141" t="s">
        <v>5277</v>
      </c>
      <c r="D6" s="140"/>
      <c r="E6" s="76"/>
      <c r="F6" s="76"/>
      <c r="G6" s="76"/>
      <c r="H6" s="76"/>
      <c r="I6" s="76"/>
      <c r="J6" s="76"/>
      <c r="K6" s="76"/>
      <c r="L6" s="76"/>
      <c r="M6" s="76"/>
      <c r="N6" s="76"/>
      <c r="O6" s="76"/>
      <c r="P6" s="76"/>
      <c r="Q6" s="76"/>
      <c r="R6" s="76"/>
      <c r="S6" s="76"/>
      <c r="T6" s="76"/>
      <c r="U6" s="76"/>
      <c r="V6" s="76"/>
      <c r="W6" s="76"/>
      <c r="X6" s="76"/>
      <c r="Y6" s="76"/>
      <c r="Z6" s="76"/>
    </row>
    <row r="7" ht="22.5" hidden="1" customHeight="1">
      <c r="A7" s="140"/>
      <c r="B7" s="141"/>
      <c r="C7" s="141" t="s">
        <v>5278</v>
      </c>
      <c r="D7" s="140"/>
      <c r="E7" s="76"/>
      <c r="F7" s="76"/>
      <c r="G7" s="76"/>
      <c r="H7" s="76"/>
      <c r="I7" s="76"/>
      <c r="J7" s="76"/>
      <c r="K7" s="76"/>
      <c r="L7" s="76"/>
      <c r="M7" s="76"/>
      <c r="N7" s="76"/>
      <c r="O7" s="76"/>
      <c r="P7" s="76"/>
      <c r="Q7" s="76"/>
      <c r="R7" s="76"/>
      <c r="S7" s="76"/>
      <c r="T7" s="76"/>
      <c r="U7" s="76"/>
      <c r="V7" s="76"/>
      <c r="W7" s="76"/>
      <c r="X7" s="76"/>
      <c r="Y7" s="76"/>
      <c r="Z7" s="76"/>
    </row>
    <row r="8" ht="22.5" hidden="1" customHeight="1">
      <c r="A8" s="140"/>
      <c r="B8" s="141"/>
      <c r="C8" s="141" t="s">
        <v>5279</v>
      </c>
      <c r="D8" s="140"/>
      <c r="E8" s="76"/>
      <c r="F8" s="76"/>
      <c r="G8" s="76"/>
      <c r="H8" s="76"/>
      <c r="I8" s="76"/>
      <c r="J8" s="76"/>
      <c r="K8" s="76"/>
      <c r="L8" s="76"/>
      <c r="M8" s="76"/>
      <c r="N8" s="76"/>
      <c r="O8" s="76"/>
      <c r="P8" s="76"/>
      <c r="Q8" s="76"/>
      <c r="R8" s="76"/>
      <c r="S8" s="76"/>
      <c r="T8" s="76"/>
      <c r="U8" s="76"/>
      <c r="V8" s="76"/>
      <c r="W8" s="76"/>
      <c r="X8" s="76"/>
      <c r="Y8" s="76"/>
      <c r="Z8" s="76"/>
    </row>
    <row r="9" ht="22.5" hidden="1" customHeight="1">
      <c r="A9" s="140"/>
      <c r="B9" s="141"/>
      <c r="C9" s="141" t="s">
        <v>5280</v>
      </c>
      <c r="D9" s="140"/>
      <c r="E9" s="76"/>
      <c r="F9" s="76"/>
      <c r="G9" s="76"/>
      <c r="H9" s="76"/>
      <c r="I9" s="76"/>
      <c r="J9" s="76"/>
      <c r="K9" s="76"/>
      <c r="L9" s="76"/>
      <c r="M9" s="76"/>
      <c r="N9" s="76"/>
      <c r="O9" s="76"/>
      <c r="P9" s="76"/>
      <c r="Q9" s="76"/>
      <c r="R9" s="76"/>
      <c r="S9" s="76"/>
      <c r="T9" s="76"/>
      <c r="U9" s="76"/>
      <c r="V9" s="76"/>
      <c r="W9" s="76"/>
      <c r="X9" s="76"/>
      <c r="Y9" s="76"/>
      <c r="Z9" s="76"/>
    </row>
    <row r="10" ht="22.5" hidden="1" customHeight="1">
      <c r="A10" s="140"/>
      <c r="B10" s="141"/>
      <c r="C10" s="141" t="s">
        <v>5281</v>
      </c>
      <c r="D10" s="140"/>
      <c r="E10" s="76"/>
      <c r="F10" s="76"/>
      <c r="G10" s="76"/>
      <c r="H10" s="76"/>
      <c r="I10" s="76"/>
      <c r="J10" s="76"/>
      <c r="K10" s="76"/>
      <c r="L10" s="76"/>
      <c r="M10" s="76"/>
      <c r="N10" s="76"/>
      <c r="O10" s="76"/>
      <c r="P10" s="76"/>
      <c r="Q10" s="76"/>
      <c r="R10" s="76"/>
      <c r="S10" s="76"/>
      <c r="T10" s="76"/>
      <c r="U10" s="76"/>
      <c r="V10" s="76"/>
      <c r="W10" s="76"/>
      <c r="X10" s="76"/>
      <c r="Y10" s="76"/>
      <c r="Z10" s="76"/>
    </row>
    <row r="11" ht="22.5" hidden="1" customHeight="1">
      <c r="A11" s="140"/>
      <c r="B11" s="141"/>
      <c r="C11" s="141" t="s">
        <v>5282</v>
      </c>
      <c r="D11" s="140"/>
      <c r="E11" s="76"/>
      <c r="F11" s="76"/>
      <c r="G11" s="76"/>
      <c r="H11" s="76"/>
      <c r="I11" s="76"/>
      <c r="J11" s="76"/>
      <c r="K11" s="76"/>
      <c r="L11" s="76"/>
      <c r="M11" s="76"/>
      <c r="N11" s="76"/>
      <c r="O11" s="76"/>
      <c r="P11" s="76"/>
      <c r="Q11" s="76"/>
      <c r="R11" s="76"/>
      <c r="S11" s="76"/>
      <c r="T11" s="76"/>
      <c r="U11" s="76"/>
      <c r="V11" s="76"/>
      <c r="W11" s="76"/>
      <c r="X11" s="76"/>
      <c r="Y11" s="76"/>
      <c r="Z11" s="76"/>
    </row>
    <row r="12" ht="22.5" hidden="1" customHeight="1">
      <c r="A12" s="140"/>
      <c r="B12" s="141"/>
      <c r="C12" s="141" t="s">
        <v>5283</v>
      </c>
      <c r="D12" s="140"/>
      <c r="E12" s="76"/>
      <c r="F12" s="76"/>
      <c r="G12" s="76"/>
      <c r="H12" s="76"/>
      <c r="I12" s="76"/>
      <c r="J12" s="76"/>
      <c r="K12" s="76"/>
      <c r="L12" s="76"/>
      <c r="M12" s="76"/>
      <c r="N12" s="76"/>
      <c r="O12" s="76"/>
      <c r="P12" s="76"/>
      <c r="Q12" s="76"/>
      <c r="R12" s="76"/>
      <c r="S12" s="76"/>
      <c r="T12" s="76"/>
      <c r="U12" s="76"/>
      <c r="V12" s="76"/>
      <c r="W12" s="76"/>
      <c r="X12" s="76"/>
      <c r="Y12" s="76"/>
      <c r="Z12" s="76"/>
    </row>
    <row r="13" ht="22.5" hidden="1" customHeight="1">
      <c r="A13" s="140"/>
      <c r="B13" s="141"/>
      <c r="C13" s="141" t="s">
        <v>5284</v>
      </c>
      <c r="D13" s="140"/>
      <c r="E13" s="76"/>
      <c r="F13" s="76"/>
      <c r="G13" s="76"/>
      <c r="H13" s="76"/>
      <c r="I13" s="76"/>
      <c r="J13" s="76"/>
      <c r="K13" s="76"/>
      <c r="L13" s="76"/>
      <c r="M13" s="76"/>
      <c r="N13" s="76"/>
      <c r="O13" s="76"/>
      <c r="P13" s="76"/>
      <c r="Q13" s="76"/>
      <c r="R13" s="76"/>
      <c r="S13" s="76"/>
      <c r="T13" s="76"/>
      <c r="U13" s="76"/>
      <c r="V13" s="76"/>
      <c r="W13" s="76"/>
      <c r="X13" s="76"/>
      <c r="Y13" s="76"/>
      <c r="Z13" s="76"/>
    </row>
    <row r="14" ht="22.5" hidden="1" customHeight="1">
      <c r="A14" s="140"/>
      <c r="B14" s="141"/>
      <c r="C14" s="141" t="s">
        <v>5285</v>
      </c>
      <c r="D14" s="140"/>
      <c r="E14" s="76"/>
      <c r="F14" s="76"/>
      <c r="G14" s="76"/>
      <c r="H14" s="76"/>
      <c r="I14" s="76"/>
      <c r="J14" s="76"/>
      <c r="K14" s="76"/>
      <c r="L14" s="76"/>
      <c r="M14" s="76"/>
      <c r="N14" s="76"/>
      <c r="O14" s="76"/>
      <c r="P14" s="76"/>
      <c r="Q14" s="76"/>
      <c r="R14" s="76"/>
      <c r="S14" s="76"/>
      <c r="T14" s="76"/>
      <c r="U14" s="76"/>
      <c r="V14" s="76"/>
      <c r="W14" s="76"/>
      <c r="X14" s="76"/>
      <c r="Y14" s="76"/>
      <c r="Z14" s="76"/>
    </row>
    <row r="15" ht="22.5" hidden="1" customHeight="1">
      <c r="A15" s="140"/>
      <c r="B15" s="141"/>
      <c r="C15" s="141" t="s">
        <v>5286</v>
      </c>
      <c r="D15" s="140"/>
      <c r="E15" s="76"/>
      <c r="F15" s="76"/>
      <c r="G15" s="76"/>
      <c r="H15" s="76"/>
      <c r="I15" s="76"/>
      <c r="J15" s="76"/>
      <c r="K15" s="76"/>
      <c r="L15" s="76"/>
      <c r="M15" s="76"/>
      <c r="N15" s="76"/>
      <c r="O15" s="76"/>
      <c r="P15" s="76"/>
      <c r="Q15" s="76"/>
      <c r="R15" s="76"/>
      <c r="S15" s="76"/>
      <c r="T15" s="76"/>
      <c r="U15" s="76"/>
      <c r="V15" s="76"/>
      <c r="W15" s="76"/>
      <c r="X15" s="76"/>
      <c r="Y15" s="76"/>
      <c r="Z15" s="76"/>
    </row>
    <row r="16" ht="22.5" hidden="1" customHeight="1">
      <c r="A16" s="140"/>
      <c r="B16" s="141"/>
      <c r="C16" s="141" t="s">
        <v>5287</v>
      </c>
      <c r="D16" s="140"/>
      <c r="E16" s="76"/>
      <c r="F16" s="76"/>
      <c r="G16" s="76"/>
      <c r="H16" s="76"/>
      <c r="I16" s="76"/>
      <c r="J16" s="76"/>
      <c r="K16" s="76"/>
      <c r="L16" s="76"/>
      <c r="M16" s="76"/>
      <c r="N16" s="76"/>
      <c r="O16" s="76"/>
      <c r="P16" s="76"/>
      <c r="Q16" s="76"/>
      <c r="R16" s="76"/>
      <c r="S16" s="76"/>
      <c r="T16" s="76"/>
      <c r="U16" s="76"/>
      <c r="V16" s="76"/>
      <c r="W16" s="76"/>
      <c r="X16" s="76"/>
      <c r="Y16" s="76"/>
      <c r="Z16" s="76"/>
    </row>
    <row r="17" ht="22.5" hidden="1" customHeight="1">
      <c r="A17" s="140"/>
      <c r="B17" s="141"/>
      <c r="C17" s="141" t="s">
        <v>5288</v>
      </c>
      <c r="D17" s="140"/>
      <c r="E17" s="76"/>
      <c r="F17" s="76"/>
      <c r="G17" s="76"/>
      <c r="H17" s="76"/>
      <c r="I17" s="76"/>
      <c r="J17" s="76"/>
      <c r="K17" s="76"/>
      <c r="L17" s="76"/>
      <c r="M17" s="76"/>
      <c r="N17" s="76"/>
      <c r="O17" s="76"/>
      <c r="P17" s="76"/>
      <c r="Q17" s="76"/>
      <c r="R17" s="76"/>
      <c r="S17" s="76"/>
      <c r="T17" s="76"/>
      <c r="U17" s="76"/>
      <c r="V17" s="76"/>
      <c r="W17" s="76"/>
      <c r="X17" s="76"/>
      <c r="Y17" s="76"/>
      <c r="Z17" s="76"/>
    </row>
    <row r="18" ht="22.5" hidden="1" customHeight="1">
      <c r="A18" s="140"/>
      <c r="B18" s="141"/>
      <c r="C18" s="141" t="s">
        <v>257</v>
      </c>
      <c r="D18" s="140"/>
      <c r="E18" s="76"/>
      <c r="F18" s="76"/>
      <c r="G18" s="76"/>
      <c r="H18" s="76"/>
      <c r="I18" s="76"/>
      <c r="J18" s="76"/>
      <c r="K18" s="76"/>
      <c r="L18" s="76"/>
      <c r="M18" s="76"/>
      <c r="N18" s="76"/>
      <c r="O18" s="76"/>
      <c r="P18" s="76"/>
      <c r="Q18" s="76"/>
      <c r="R18" s="76"/>
      <c r="S18" s="76"/>
      <c r="T18" s="76"/>
      <c r="U18" s="76"/>
      <c r="V18" s="76"/>
      <c r="W18" s="76"/>
      <c r="X18" s="76"/>
      <c r="Y18" s="76"/>
      <c r="Z18" s="76"/>
    </row>
    <row r="19" ht="22.5" hidden="1" customHeight="1">
      <c r="A19" s="140"/>
      <c r="B19" s="141"/>
      <c r="C19" s="141" t="s">
        <v>5289</v>
      </c>
      <c r="D19" s="140"/>
      <c r="E19" s="76"/>
      <c r="F19" s="76"/>
      <c r="G19" s="76"/>
      <c r="H19" s="76"/>
      <c r="I19" s="76"/>
      <c r="J19" s="76"/>
      <c r="K19" s="76"/>
      <c r="L19" s="76"/>
      <c r="M19" s="76"/>
      <c r="N19" s="76"/>
      <c r="O19" s="76"/>
      <c r="P19" s="76"/>
      <c r="Q19" s="76"/>
      <c r="R19" s="76"/>
      <c r="S19" s="76"/>
      <c r="T19" s="76"/>
      <c r="U19" s="76"/>
      <c r="V19" s="76"/>
      <c r="W19" s="76"/>
      <c r="X19" s="76"/>
      <c r="Y19" s="76"/>
      <c r="Z19" s="76"/>
    </row>
    <row r="20" ht="22.5" hidden="1" customHeight="1">
      <c r="A20" s="140"/>
      <c r="B20" s="141"/>
      <c r="C20" s="141" t="s">
        <v>5290</v>
      </c>
      <c r="D20" s="140"/>
      <c r="E20" s="76"/>
      <c r="F20" s="76"/>
      <c r="G20" s="76"/>
      <c r="H20" s="76"/>
      <c r="I20" s="76"/>
      <c r="J20" s="76"/>
      <c r="K20" s="76"/>
      <c r="L20" s="76"/>
      <c r="M20" s="76"/>
      <c r="N20" s="76"/>
      <c r="O20" s="76"/>
      <c r="P20" s="76"/>
      <c r="Q20" s="76"/>
      <c r="R20" s="76"/>
      <c r="S20" s="76"/>
      <c r="T20" s="76"/>
      <c r="U20" s="76"/>
      <c r="V20" s="76"/>
      <c r="W20" s="76"/>
      <c r="X20" s="76"/>
      <c r="Y20" s="76"/>
      <c r="Z20" s="76"/>
    </row>
    <row r="21" ht="22.5" hidden="1" customHeight="1">
      <c r="A21" s="140"/>
      <c r="B21" s="141"/>
      <c r="C21" s="141" t="s">
        <v>5291</v>
      </c>
      <c r="D21" s="140"/>
      <c r="E21" s="76"/>
      <c r="F21" s="76"/>
      <c r="G21" s="76"/>
      <c r="H21" s="76"/>
      <c r="I21" s="76"/>
      <c r="J21" s="76"/>
      <c r="K21" s="76"/>
      <c r="L21" s="76"/>
      <c r="M21" s="76"/>
      <c r="N21" s="76"/>
      <c r="O21" s="76"/>
      <c r="P21" s="76"/>
      <c r="Q21" s="76"/>
      <c r="R21" s="76"/>
      <c r="S21" s="76"/>
      <c r="T21" s="76"/>
      <c r="U21" s="76"/>
      <c r="V21" s="76"/>
      <c r="W21" s="76"/>
      <c r="X21" s="76"/>
      <c r="Y21" s="76"/>
      <c r="Z21" s="76"/>
    </row>
    <row r="22" ht="22.5" hidden="1" customHeight="1">
      <c r="A22" s="140"/>
      <c r="B22" s="141"/>
      <c r="C22" s="141" t="s">
        <v>5292</v>
      </c>
      <c r="D22" s="140"/>
      <c r="E22" s="76"/>
      <c r="F22" s="76"/>
      <c r="G22" s="76"/>
      <c r="H22" s="76"/>
      <c r="I22" s="76"/>
      <c r="J22" s="76"/>
      <c r="K22" s="76"/>
      <c r="L22" s="76"/>
      <c r="M22" s="76"/>
      <c r="N22" s="76"/>
      <c r="O22" s="76"/>
      <c r="P22" s="76"/>
      <c r="Q22" s="76"/>
      <c r="R22" s="76"/>
      <c r="S22" s="76"/>
      <c r="T22" s="76"/>
      <c r="U22" s="76"/>
      <c r="V22" s="76"/>
      <c r="W22" s="76"/>
      <c r="X22" s="76"/>
      <c r="Y22" s="76"/>
      <c r="Z22" s="76"/>
    </row>
    <row r="23" ht="22.5" hidden="1" customHeight="1">
      <c r="A23" s="140"/>
      <c r="B23" s="141"/>
      <c r="C23" s="141" t="s">
        <v>5293</v>
      </c>
      <c r="D23" s="140"/>
      <c r="E23" s="76"/>
      <c r="F23" s="76"/>
      <c r="G23" s="76"/>
      <c r="H23" s="76"/>
      <c r="I23" s="76"/>
      <c r="J23" s="76"/>
      <c r="K23" s="76"/>
      <c r="L23" s="76"/>
      <c r="M23" s="76"/>
      <c r="N23" s="76"/>
      <c r="O23" s="76"/>
      <c r="P23" s="76"/>
      <c r="Q23" s="76"/>
      <c r="R23" s="76"/>
      <c r="S23" s="76"/>
      <c r="T23" s="76"/>
      <c r="U23" s="76"/>
      <c r="V23" s="76"/>
      <c r="W23" s="76"/>
      <c r="X23" s="76"/>
      <c r="Y23" s="76"/>
      <c r="Z23" s="76"/>
    </row>
    <row r="24" ht="22.5" hidden="1" customHeight="1">
      <c r="A24" s="140"/>
      <c r="B24" s="141"/>
      <c r="C24" s="141" t="s">
        <v>5294</v>
      </c>
      <c r="D24" s="140"/>
      <c r="E24" s="76"/>
      <c r="F24" s="76"/>
      <c r="G24" s="76"/>
      <c r="H24" s="76"/>
      <c r="I24" s="76"/>
      <c r="J24" s="76"/>
      <c r="K24" s="76"/>
      <c r="L24" s="76"/>
      <c r="M24" s="76"/>
      <c r="N24" s="76"/>
      <c r="O24" s="76"/>
      <c r="P24" s="76"/>
      <c r="Q24" s="76"/>
      <c r="R24" s="76"/>
      <c r="S24" s="76"/>
      <c r="T24" s="76"/>
      <c r="U24" s="76"/>
      <c r="V24" s="76"/>
      <c r="W24" s="76"/>
      <c r="X24" s="76"/>
      <c r="Y24" s="76"/>
      <c r="Z24" s="76"/>
    </row>
    <row r="25" ht="22.5" hidden="1" customHeight="1">
      <c r="A25" s="140"/>
      <c r="B25" s="141"/>
      <c r="C25" s="141" t="s">
        <v>5295</v>
      </c>
      <c r="D25" s="140"/>
      <c r="E25" s="76"/>
      <c r="F25" s="76"/>
      <c r="G25" s="76"/>
      <c r="H25" s="76"/>
      <c r="I25" s="76"/>
      <c r="J25" s="76"/>
      <c r="K25" s="76"/>
      <c r="L25" s="76"/>
      <c r="M25" s="76"/>
      <c r="N25" s="76"/>
      <c r="O25" s="76"/>
      <c r="P25" s="76"/>
      <c r="Q25" s="76"/>
      <c r="R25" s="76"/>
      <c r="S25" s="76"/>
      <c r="T25" s="76"/>
      <c r="U25" s="76"/>
      <c r="V25" s="76"/>
      <c r="W25" s="76"/>
      <c r="X25" s="76"/>
      <c r="Y25" s="76"/>
      <c r="Z25" s="76"/>
    </row>
    <row r="26" ht="22.5" hidden="1" customHeight="1">
      <c r="A26" s="140"/>
      <c r="B26" s="141"/>
      <c r="C26" s="141" t="s">
        <v>5296</v>
      </c>
      <c r="D26" s="140"/>
      <c r="E26" s="76"/>
      <c r="F26" s="76"/>
      <c r="G26" s="76"/>
      <c r="H26" s="76"/>
      <c r="I26" s="76"/>
      <c r="J26" s="76"/>
      <c r="K26" s="76"/>
      <c r="L26" s="76"/>
      <c r="M26" s="76"/>
      <c r="N26" s="76"/>
      <c r="O26" s="76"/>
      <c r="P26" s="76"/>
      <c r="Q26" s="76"/>
      <c r="R26" s="76"/>
      <c r="S26" s="76"/>
      <c r="T26" s="76"/>
      <c r="U26" s="76"/>
      <c r="V26" s="76"/>
      <c r="W26" s="76"/>
      <c r="X26" s="76"/>
      <c r="Y26" s="76"/>
      <c r="Z26" s="76"/>
    </row>
    <row r="27" ht="22.5" hidden="1" customHeight="1">
      <c r="A27" s="140"/>
      <c r="B27" s="141"/>
      <c r="C27" s="141" t="s">
        <v>5297</v>
      </c>
      <c r="D27" s="140"/>
      <c r="E27" s="76"/>
      <c r="F27" s="76"/>
      <c r="G27" s="76"/>
      <c r="H27" s="76"/>
      <c r="I27" s="76"/>
      <c r="J27" s="76"/>
      <c r="K27" s="76"/>
      <c r="L27" s="76"/>
      <c r="M27" s="76"/>
      <c r="N27" s="76"/>
      <c r="O27" s="76"/>
      <c r="P27" s="76"/>
      <c r="Q27" s="76"/>
      <c r="R27" s="76"/>
      <c r="S27" s="76"/>
      <c r="T27" s="76"/>
      <c r="U27" s="76"/>
      <c r="V27" s="76"/>
      <c r="W27" s="76"/>
      <c r="X27" s="76"/>
      <c r="Y27" s="76"/>
      <c r="Z27" s="76"/>
    </row>
    <row r="28" ht="22.5" hidden="1" customHeight="1">
      <c r="A28" s="140"/>
      <c r="B28" s="141"/>
      <c r="C28" s="141" t="s">
        <v>5298</v>
      </c>
      <c r="D28" s="140"/>
      <c r="E28" s="76"/>
      <c r="F28" s="76"/>
      <c r="G28" s="76"/>
      <c r="H28" s="76"/>
      <c r="I28" s="76"/>
      <c r="J28" s="76"/>
      <c r="K28" s="76"/>
      <c r="L28" s="76"/>
      <c r="M28" s="76"/>
      <c r="N28" s="76"/>
      <c r="O28" s="76"/>
      <c r="P28" s="76"/>
      <c r="Q28" s="76"/>
      <c r="R28" s="76"/>
      <c r="S28" s="76"/>
      <c r="T28" s="76"/>
      <c r="U28" s="76"/>
      <c r="V28" s="76"/>
      <c r="W28" s="76"/>
      <c r="X28" s="76"/>
      <c r="Y28" s="76"/>
      <c r="Z28" s="76"/>
    </row>
    <row r="29" ht="22.5" hidden="1" customHeight="1">
      <c r="A29" s="140"/>
      <c r="B29" s="141"/>
      <c r="C29" s="141" t="s">
        <v>5299</v>
      </c>
      <c r="D29" s="140"/>
      <c r="E29" s="76"/>
      <c r="F29" s="76"/>
      <c r="G29" s="76"/>
      <c r="H29" s="76"/>
      <c r="I29" s="76"/>
      <c r="J29" s="76"/>
      <c r="K29" s="76"/>
      <c r="L29" s="76"/>
      <c r="M29" s="76"/>
      <c r="N29" s="76"/>
      <c r="O29" s="76"/>
      <c r="P29" s="76"/>
      <c r="Q29" s="76"/>
      <c r="R29" s="76"/>
      <c r="S29" s="76"/>
      <c r="T29" s="76"/>
      <c r="U29" s="76"/>
      <c r="V29" s="76"/>
      <c r="W29" s="76"/>
      <c r="X29" s="76"/>
      <c r="Y29" s="76"/>
      <c r="Z29" s="76"/>
    </row>
    <row r="30" ht="22.5" hidden="1" customHeight="1">
      <c r="A30" s="140"/>
      <c r="B30" s="141"/>
      <c r="C30" s="141" t="s">
        <v>5300</v>
      </c>
      <c r="D30" s="140"/>
      <c r="E30" s="76"/>
      <c r="F30" s="76"/>
      <c r="G30" s="76"/>
      <c r="H30" s="76"/>
      <c r="I30" s="76"/>
      <c r="J30" s="76"/>
      <c r="K30" s="76"/>
      <c r="L30" s="76"/>
      <c r="M30" s="76"/>
      <c r="N30" s="76"/>
      <c r="O30" s="76"/>
      <c r="P30" s="76"/>
      <c r="Q30" s="76"/>
      <c r="R30" s="76"/>
      <c r="S30" s="76"/>
      <c r="T30" s="76"/>
      <c r="U30" s="76"/>
      <c r="V30" s="76"/>
      <c r="W30" s="76"/>
      <c r="X30" s="76"/>
      <c r="Y30" s="76"/>
      <c r="Z30" s="76"/>
    </row>
    <row r="31" ht="22.5" hidden="1" customHeight="1">
      <c r="A31" s="140"/>
      <c r="B31" s="141"/>
      <c r="C31" s="141" t="s">
        <v>5301</v>
      </c>
      <c r="D31" s="140"/>
      <c r="E31" s="76"/>
      <c r="F31" s="76"/>
      <c r="G31" s="76"/>
      <c r="H31" s="76"/>
      <c r="I31" s="76"/>
      <c r="J31" s="76"/>
      <c r="K31" s="76"/>
      <c r="L31" s="76"/>
      <c r="M31" s="76"/>
      <c r="N31" s="76"/>
      <c r="O31" s="76"/>
      <c r="P31" s="76"/>
      <c r="Q31" s="76"/>
      <c r="R31" s="76"/>
      <c r="S31" s="76"/>
      <c r="T31" s="76"/>
      <c r="U31" s="76"/>
      <c r="V31" s="76"/>
      <c r="W31" s="76"/>
      <c r="X31" s="76"/>
      <c r="Y31" s="76"/>
      <c r="Z31" s="76"/>
    </row>
    <row r="32" ht="22.5" hidden="1" customHeight="1">
      <c r="A32" s="140"/>
      <c r="B32" s="141"/>
      <c r="C32" s="141" t="s">
        <v>5302</v>
      </c>
      <c r="D32" s="140"/>
      <c r="E32" s="76"/>
      <c r="F32" s="76"/>
      <c r="G32" s="76"/>
      <c r="H32" s="76"/>
      <c r="I32" s="76"/>
      <c r="J32" s="76"/>
      <c r="K32" s="76"/>
      <c r="L32" s="76"/>
      <c r="M32" s="76"/>
      <c r="N32" s="76"/>
      <c r="O32" s="76"/>
      <c r="P32" s="76"/>
      <c r="Q32" s="76"/>
      <c r="R32" s="76"/>
      <c r="S32" s="76"/>
      <c r="T32" s="76"/>
      <c r="U32" s="76"/>
      <c r="V32" s="76"/>
      <c r="W32" s="76"/>
      <c r="X32" s="76"/>
      <c r="Y32" s="76"/>
      <c r="Z32" s="76"/>
    </row>
    <row r="33" ht="22.5" hidden="1" customHeight="1">
      <c r="A33" s="140"/>
      <c r="B33" s="141"/>
      <c r="C33" s="141" t="s">
        <v>5303</v>
      </c>
      <c r="D33" s="140"/>
      <c r="E33" s="76"/>
      <c r="F33" s="76"/>
      <c r="G33" s="76"/>
      <c r="H33" s="76"/>
      <c r="I33" s="76"/>
      <c r="J33" s="76"/>
      <c r="K33" s="76"/>
      <c r="L33" s="76"/>
      <c r="M33" s="76"/>
      <c r="N33" s="76"/>
      <c r="O33" s="76"/>
      <c r="P33" s="76"/>
      <c r="Q33" s="76"/>
      <c r="R33" s="76"/>
      <c r="S33" s="76"/>
      <c r="T33" s="76"/>
      <c r="U33" s="76"/>
      <c r="V33" s="76"/>
      <c r="W33" s="76"/>
      <c r="X33" s="76"/>
      <c r="Y33" s="76"/>
      <c r="Z33" s="76"/>
    </row>
    <row r="34" ht="22.5" hidden="1" customHeight="1">
      <c r="A34" s="140"/>
      <c r="B34" s="141"/>
      <c r="C34" s="141" t="s">
        <v>5304</v>
      </c>
      <c r="D34" s="140"/>
      <c r="E34" s="76"/>
      <c r="F34" s="76"/>
      <c r="G34" s="76"/>
      <c r="H34" s="76"/>
      <c r="I34" s="76"/>
      <c r="J34" s="76"/>
      <c r="K34" s="76"/>
      <c r="L34" s="76"/>
      <c r="M34" s="76"/>
      <c r="N34" s="76"/>
      <c r="O34" s="76"/>
      <c r="P34" s="76"/>
      <c r="Q34" s="76"/>
      <c r="R34" s="76"/>
      <c r="S34" s="76"/>
      <c r="T34" s="76"/>
      <c r="U34" s="76"/>
      <c r="V34" s="76"/>
      <c r="W34" s="76"/>
      <c r="X34" s="76"/>
      <c r="Y34" s="76"/>
      <c r="Z34" s="76"/>
    </row>
    <row r="35" ht="22.5" hidden="1" customHeight="1">
      <c r="A35" s="140"/>
      <c r="B35" s="141"/>
      <c r="C35" s="141" t="s">
        <v>5305</v>
      </c>
      <c r="D35" s="140"/>
      <c r="E35" s="76"/>
      <c r="F35" s="76"/>
      <c r="G35" s="76"/>
      <c r="H35" s="76"/>
      <c r="I35" s="76"/>
      <c r="J35" s="76"/>
      <c r="K35" s="76"/>
      <c r="L35" s="76"/>
      <c r="M35" s="76"/>
      <c r="N35" s="76"/>
      <c r="O35" s="76"/>
      <c r="P35" s="76"/>
      <c r="Q35" s="76"/>
      <c r="R35" s="76"/>
      <c r="S35" s="76"/>
      <c r="T35" s="76"/>
      <c r="U35" s="76"/>
      <c r="V35" s="76"/>
      <c r="W35" s="76"/>
      <c r="X35" s="76"/>
      <c r="Y35" s="76"/>
      <c r="Z35" s="76"/>
    </row>
    <row r="36" ht="22.5" hidden="1" customHeight="1">
      <c r="A36" s="140"/>
      <c r="B36" s="141"/>
      <c r="C36" s="141" t="s">
        <v>5305</v>
      </c>
      <c r="D36" s="140"/>
      <c r="E36" s="76"/>
      <c r="F36" s="76"/>
      <c r="G36" s="76"/>
      <c r="H36" s="76"/>
      <c r="I36" s="76"/>
      <c r="J36" s="76"/>
      <c r="K36" s="76"/>
      <c r="L36" s="76"/>
      <c r="M36" s="76"/>
      <c r="N36" s="76"/>
      <c r="O36" s="76"/>
      <c r="P36" s="76"/>
      <c r="Q36" s="76"/>
      <c r="R36" s="76"/>
      <c r="S36" s="76"/>
      <c r="T36" s="76"/>
      <c r="U36" s="76"/>
      <c r="V36" s="76"/>
      <c r="W36" s="76"/>
      <c r="X36" s="76"/>
      <c r="Y36" s="76"/>
      <c r="Z36" s="76"/>
    </row>
    <row r="37" ht="22.5" hidden="1" customHeight="1">
      <c r="A37" s="140"/>
      <c r="B37" s="141"/>
      <c r="C37" s="141" t="s">
        <v>5306</v>
      </c>
      <c r="D37" s="140"/>
      <c r="E37" s="76"/>
      <c r="F37" s="76"/>
      <c r="G37" s="76"/>
      <c r="H37" s="76"/>
      <c r="I37" s="76"/>
      <c r="J37" s="76"/>
      <c r="K37" s="76"/>
      <c r="L37" s="76"/>
      <c r="M37" s="76"/>
      <c r="N37" s="76"/>
      <c r="O37" s="76"/>
      <c r="P37" s="76"/>
      <c r="Q37" s="76"/>
      <c r="R37" s="76"/>
      <c r="S37" s="76"/>
      <c r="T37" s="76"/>
      <c r="U37" s="76"/>
      <c r="V37" s="76"/>
      <c r="W37" s="76"/>
      <c r="X37" s="76"/>
      <c r="Y37" s="76"/>
      <c r="Z37" s="76"/>
    </row>
    <row r="38" ht="22.5" hidden="1" customHeight="1">
      <c r="A38" s="140"/>
      <c r="B38" s="141"/>
      <c r="C38" s="141" t="s">
        <v>4055</v>
      </c>
      <c r="D38" s="140"/>
      <c r="E38" s="76"/>
      <c r="F38" s="76"/>
      <c r="G38" s="76"/>
      <c r="H38" s="76"/>
      <c r="I38" s="76"/>
      <c r="J38" s="76"/>
      <c r="K38" s="76"/>
      <c r="L38" s="76"/>
      <c r="M38" s="76"/>
      <c r="N38" s="76"/>
      <c r="O38" s="76"/>
      <c r="P38" s="76"/>
      <c r="Q38" s="76"/>
      <c r="R38" s="76"/>
      <c r="S38" s="76"/>
      <c r="T38" s="76"/>
      <c r="U38" s="76"/>
      <c r="V38" s="76"/>
      <c r="W38" s="76"/>
      <c r="X38" s="76"/>
      <c r="Y38" s="76"/>
      <c r="Z38" s="76"/>
    </row>
    <row r="39" ht="22.5" hidden="1" customHeight="1">
      <c r="A39" s="140"/>
      <c r="B39" s="141"/>
      <c r="C39" s="141" t="s">
        <v>5307</v>
      </c>
      <c r="D39" s="140"/>
      <c r="E39" s="76"/>
      <c r="F39" s="76"/>
      <c r="G39" s="76"/>
      <c r="H39" s="76"/>
      <c r="I39" s="76"/>
      <c r="J39" s="76"/>
      <c r="K39" s="76"/>
      <c r="L39" s="76"/>
      <c r="M39" s="76"/>
      <c r="N39" s="76"/>
      <c r="O39" s="76"/>
      <c r="P39" s="76"/>
      <c r="Q39" s="76"/>
      <c r="R39" s="76"/>
      <c r="S39" s="76"/>
      <c r="T39" s="76"/>
      <c r="U39" s="76"/>
      <c r="V39" s="76"/>
      <c r="W39" s="76"/>
      <c r="X39" s="76"/>
      <c r="Y39" s="76"/>
      <c r="Z39" s="76"/>
    </row>
    <row r="40" ht="22.5" hidden="1" customHeight="1">
      <c r="A40" s="140"/>
      <c r="B40" s="141"/>
      <c r="C40" s="141" t="s">
        <v>4859</v>
      </c>
      <c r="D40" s="140"/>
      <c r="E40" s="76"/>
      <c r="F40" s="76"/>
      <c r="G40" s="76"/>
      <c r="H40" s="76"/>
      <c r="I40" s="76"/>
      <c r="J40" s="76"/>
      <c r="K40" s="76"/>
      <c r="L40" s="76"/>
      <c r="M40" s="76"/>
      <c r="N40" s="76"/>
      <c r="O40" s="76"/>
      <c r="P40" s="76"/>
      <c r="Q40" s="76"/>
      <c r="R40" s="76"/>
      <c r="S40" s="76"/>
      <c r="T40" s="76"/>
      <c r="U40" s="76"/>
      <c r="V40" s="76"/>
      <c r="W40" s="76"/>
      <c r="X40" s="76"/>
      <c r="Y40" s="76"/>
      <c r="Z40" s="76"/>
    </row>
    <row r="41" ht="22.5" hidden="1" customHeight="1">
      <c r="A41" s="140"/>
      <c r="B41" s="141"/>
      <c r="C41" s="141" t="s">
        <v>5308</v>
      </c>
      <c r="D41" s="140"/>
      <c r="E41" s="76"/>
      <c r="F41" s="76"/>
      <c r="G41" s="76"/>
      <c r="H41" s="76"/>
      <c r="I41" s="76"/>
      <c r="J41" s="76"/>
      <c r="K41" s="76"/>
      <c r="L41" s="76"/>
      <c r="M41" s="76"/>
      <c r="N41" s="76"/>
      <c r="O41" s="76"/>
      <c r="P41" s="76"/>
      <c r="Q41" s="76"/>
      <c r="R41" s="76"/>
      <c r="S41" s="76"/>
      <c r="T41" s="76"/>
      <c r="U41" s="76"/>
      <c r="V41" s="76"/>
      <c r="W41" s="76"/>
      <c r="X41" s="76"/>
      <c r="Y41" s="76"/>
      <c r="Z41" s="76"/>
    </row>
    <row r="42" ht="22.5" hidden="1" customHeight="1">
      <c r="A42" s="140"/>
      <c r="B42" s="141"/>
      <c r="C42" s="141" t="s">
        <v>5309</v>
      </c>
      <c r="D42" s="140"/>
      <c r="E42" s="76"/>
      <c r="F42" s="76"/>
      <c r="G42" s="76"/>
      <c r="H42" s="76"/>
      <c r="I42" s="76"/>
      <c r="J42" s="76"/>
      <c r="K42" s="76"/>
      <c r="L42" s="76"/>
      <c r="M42" s="76"/>
      <c r="N42" s="76"/>
      <c r="O42" s="76"/>
      <c r="P42" s="76"/>
      <c r="Q42" s="76"/>
      <c r="R42" s="76"/>
      <c r="S42" s="76"/>
      <c r="T42" s="76"/>
      <c r="U42" s="76"/>
      <c r="V42" s="76"/>
      <c r="W42" s="76"/>
      <c r="X42" s="76"/>
      <c r="Y42" s="76"/>
      <c r="Z42" s="76"/>
    </row>
    <row r="43" ht="22.5" hidden="1" customHeight="1">
      <c r="A43" s="140"/>
      <c r="B43" s="141"/>
      <c r="C43" s="141" t="s">
        <v>5310</v>
      </c>
      <c r="D43" s="140"/>
      <c r="E43" s="76"/>
      <c r="F43" s="76"/>
      <c r="G43" s="76"/>
      <c r="H43" s="76"/>
      <c r="I43" s="76"/>
      <c r="J43" s="76"/>
      <c r="K43" s="76"/>
      <c r="L43" s="76"/>
      <c r="M43" s="76"/>
      <c r="N43" s="76"/>
      <c r="O43" s="76"/>
      <c r="P43" s="76"/>
      <c r="Q43" s="76"/>
      <c r="R43" s="76"/>
      <c r="S43" s="76"/>
      <c r="T43" s="76"/>
      <c r="U43" s="76"/>
      <c r="V43" s="76"/>
      <c r="W43" s="76"/>
      <c r="X43" s="76"/>
      <c r="Y43" s="76"/>
      <c r="Z43" s="76"/>
    </row>
    <row r="44" ht="22.5" hidden="1" customHeight="1">
      <c r="A44" s="140"/>
      <c r="B44" s="141"/>
      <c r="C44" s="141" t="s">
        <v>5311</v>
      </c>
      <c r="D44" s="140"/>
      <c r="E44" s="76"/>
      <c r="F44" s="76"/>
      <c r="G44" s="76"/>
      <c r="H44" s="76"/>
      <c r="I44" s="76"/>
      <c r="J44" s="76"/>
      <c r="K44" s="76"/>
      <c r="L44" s="76"/>
      <c r="M44" s="76"/>
      <c r="N44" s="76"/>
      <c r="O44" s="76"/>
      <c r="P44" s="76"/>
      <c r="Q44" s="76"/>
      <c r="R44" s="76"/>
      <c r="S44" s="76"/>
      <c r="T44" s="76"/>
      <c r="U44" s="76"/>
      <c r="V44" s="76"/>
      <c r="W44" s="76"/>
      <c r="X44" s="76"/>
      <c r="Y44" s="76"/>
      <c r="Z44" s="76"/>
    </row>
    <row r="45" ht="22.5" hidden="1" customHeight="1">
      <c r="A45" s="140"/>
      <c r="B45" s="141"/>
      <c r="C45" s="141" t="s">
        <v>5312</v>
      </c>
      <c r="D45" s="140"/>
      <c r="E45" s="76"/>
      <c r="F45" s="76"/>
      <c r="G45" s="76"/>
      <c r="H45" s="76"/>
      <c r="I45" s="76"/>
      <c r="J45" s="76"/>
      <c r="K45" s="76"/>
      <c r="L45" s="76"/>
      <c r="M45" s="76"/>
      <c r="N45" s="76"/>
      <c r="O45" s="76"/>
      <c r="P45" s="76"/>
      <c r="Q45" s="76"/>
      <c r="R45" s="76"/>
      <c r="S45" s="76"/>
      <c r="T45" s="76"/>
      <c r="U45" s="76"/>
      <c r="V45" s="76"/>
      <c r="W45" s="76"/>
      <c r="X45" s="76"/>
      <c r="Y45" s="76"/>
      <c r="Z45" s="76"/>
    </row>
    <row r="46" ht="22.5" hidden="1" customHeight="1">
      <c r="A46" s="140"/>
      <c r="B46" s="141"/>
      <c r="C46" s="141" t="s">
        <v>5313</v>
      </c>
      <c r="D46" s="140"/>
      <c r="E46" s="76"/>
      <c r="F46" s="76"/>
      <c r="G46" s="76"/>
      <c r="H46" s="76"/>
      <c r="I46" s="76"/>
      <c r="J46" s="76"/>
      <c r="K46" s="76"/>
      <c r="L46" s="76"/>
      <c r="M46" s="76"/>
      <c r="N46" s="76"/>
      <c r="O46" s="76"/>
      <c r="P46" s="76"/>
      <c r="Q46" s="76"/>
      <c r="R46" s="76"/>
      <c r="S46" s="76"/>
      <c r="T46" s="76"/>
      <c r="U46" s="76"/>
      <c r="V46" s="76"/>
      <c r="W46" s="76"/>
      <c r="X46" s="76"/>
      <c r="Y46" s="76"/>
      <c r="Z46" s="76"/>
    </row>
    <row r="47" ht="22.5" hidden="1" customHeight="1">
      <c r="A47" s="140"/>
      <c r="B47" s="141"/>
      <c r="C47" s="141" t="s">
        <v>5314</v>
      </c>
      <c r="D47" s="140"/>
      <c r="E47" s="76"/>
      <c r="F47" s="76"/>
      <c r="G47" s="76"/>
      <c r="H47" s="76"/>
      <c r="I47" s="76"/>
      <c r="J47" s="76"/>
      <c r="K47" s="76"/>
      <c r="L47" s="76"/>
      <c r="M47" s="76"/>
      <c r="N47" s="76"/>
      <c r="O47" s="76"/>
      <c r="P47" s="76"/>
      <c r="Q47" s="76"/>
      <c r="R47" s="76"/>
      <c r="S47" s="76"/>
      <c r="T47" s="76"/>
      <c r="U47" s="76"/>
      <c r="V47" s="76"/>
      <c r="W47" s="76"/>
      <c r="X47" s="76"/>
      <c r="Y47" s="76"/>
      <c r="Z47" s="76"/>
    </row>
    <row r="48" ht="22.5" hidden="1" customHeight="1">
      <c r="A48" s="140"/>
      <c r="B48" s="141"/>
      <c r="C48" s="141" t="s">
        <v>5315</v>
      </c>
      <c r="D48" s="140"/>
      <c r="E48" s="76"/>
      <c r="F48" s="76"/>
      <c r="G48" s="76"/>
      <c r="H48" s="76"/>
      <c r="I48" s="76"/>
      <c r="J48" s="76"/>
      <c r="K48" s="76"/>
      <c r="L48" s="76"/>
      <c r="M48" s="76"/>
      <c r="N48" s="76"/>
      <c r="O48" s="76"/>
      <c r="P48" s="76"/>
      <c r="Q48" s="76"/>
      <c r="R48" s="76"/>
      <c r="S48" s="76"/>
      <c r="T48" s="76"/>
      <c r="U48" s="76"/>
      <c r="V48" s="76"/>
      <c r="W48" s="76"/>
      <c r="X48" s="76"/>
      <c r="Y48" s="76"/>
      <c r="Z48" s="76"/>
    </row>
    <row r="49" ht="22.5" hidden="1" customHeight="1">
      <c r="A49" s="140"/>
      <c r="B49" s="141"/>
      <c r="C49" s="141" t="s">
        <v>5316</v>
      </c>
      <c r="D49" s="140"/>
      <c r="E49" s="76"/>
      <c r="F49" s="76"/>
      <c r="G49" s="76"/>
      <c r="H49" s="76"/>
      <c r="I49" s="76"/>
      <c r="J49" s="76"/>
      <c r="K49" s="76"/>
      <c r="L49" s="76"/>
      <c r="M49" s="76"/>
      <c r="N49" s="76"/>
      <c r="O49" s="76"/>
      <c r="P49" s="76"/>
      <c r="Q49" s="76"/>
      <c r="R49" s="76"/>
      <c r="S49" s="76"/>
      <c r="T49" s="76"/>
      <c r="U49" s="76"/>
      <c r="V49" s="76"/>
      <c r="W49" s="76"/>
      <c r="X49" s="76"/>
      <c r="Y49" s="76"/>
      <c r="Z49" s="76"/>
    </row>
    <row r="50" ht="22.5" hidden="1" customHeight="1">
      <c r="A50" s="140"/>
      <c r="B50" s="141"/>
      <c r="C50" s="141" t="s">
        <v>5317</v>
      </c>
      <c r="D50" s="140"/>
      <c r="E50" s="76"/>
      <c r="F50" s="76"/>
      <c r="G50" s="76"/>
      <c r="H50" s="76"/>
      <c r="I50" s="76"/>
      <c r="J50" s="76"/>
      <c r="K50" s="76"/>
      <c r="L50" s="76"/>
      <c r="M50" s="76"/>
      <c r="N50" s="76"/>
      <c r="O50" s="76"/>
      <c r="P50" s="76"/>
      <c r="Q50" s="76"/>
      <c r="R50" s="76"/>
      <c r="S50" s="76"/>
      <c r="T50" s="76"/>
      <c r="U50" s="76"/>
      <c r="V50" s="76"/>
      <c r="W50" s="76"/>
      <c r="X50" s="76"/>
      <c r="Y50" s="76"/>
      <c r="Z50" s="76"/>
    </row>
    <row r="51" ht="22.5" hidden="1" customHeight="1">
      <c r="A51" s="140"/>
      <c r="B51" s="141"/>
      <c r="C51" s="141" t="s">
        <v>5318</v>
      </c>
      <c r="D51" s="140"/>
      <c r="E51" s="76"/>
      <c r="F51" s="76"/>
      <c r="G51" s="76"/>
      <c r="H51" s="76"/>
      <c r="I51" s="76"/>
      <c r="J51" s="76"/>
      <c r="K51" s="76"/>
      <c r="L51" s="76"/>
      <c r="M51" s="76"/>
      <c r="N51" s="76"/>
      <c r="O51" s="76"/>
      <c r="P51" s="76"/>
      <c r="Q51" s="76"/>
      <c r="R51" s="76"/>
      <c r="S51" s="76"/>
      <c r="T51" s="76"/>
      <c r="U51" s="76"/>
      <c r="V51" s="76"/>
      <c r="W51" s="76"/>
      <c r="X51" s="76"/>
      <c r="Y51" s="76"/>
      <c r="Z51" s="76"/>
    </row>
    <row r="52" ht="22.5" hidden="1" customHeight="1">
      <c r="A52" s="140"/>
      <c r="B52" s="141"/>
      <c r="C52" s="141" t="s">
        <v>5319</v>
      </c>
      <c r="D52" s="140"/>
      <c r="E52" s="76"/>
      <c r="F52" s="76"/>
      <c r="G52" s="76"/>
      <c r="H52" s="76"/>
      <c r="I52" s="76"/>
      <c r="J52" s="76"/>
      <c r="K52" s="76"/>
      <c r="L52" s="76"/>
      <c r="M52" s="76"/>
      <c r="N52" s="76"/>
      <c r="O52" s="76"/>
      <c r="P52" s="76"/>
      <c r="Q52" s="76"/>
      <c r="R52" s="76"/>
      <c r="S52" s="76"/>
      <c r="T52" s="76"/>
      <c r="U52" s="76"/>
      <c r="V52" s="76"/>
      <c r="W52" s="76"/>
      <c r="X52" s="76"/>
      <c r="Y52" s="76"/>
      <c r="Z52" s="76"/>
    </row>
    <row r="53" ht="22.5" hidden="1" customHeight="1">
      <c r="A53" s="140"/>
      <c r="B53" s="141"/>
      <c r="C53" s="141" t="s">
        <v>5320</v>
      </c>
      <c r="D53" s="140"/>
      <c r="E53" s="76"/>
      <c r="F53" s="76"/>
      <c r="G53" s="76"/>
      <c r="H53" s="76"/>
      <c r="I53" s="76"/>
      <c r="J53" s="76"/>
      <c r="K53" s="76"/>
      <c r="L53" s="76"/>
      <c r="M53" s="76"/>
      <c r="N53" s="76"/>
      <c r="O53" s="76"/>
      <c r="P53" s="76"/>
      <c r="Q53" s="76"/>
      <c r="R53" s="76"/>
      <c r="S53" s="76"/>
      <c r="T53" s="76"/>
      <c r="U53" s="76"/>
      <c r="V53" s="76"/>
      <c r="W53" s="76"/>
      <c r="X53" s="76"/>
      <c r="Y53" s="76"/>
      <c r="Z53" s="76"/>
    </row>
    <row r="54" ht="22.5" hidden="1" customHeight="1">
      <c r="A54" s="140"/>
      <c r="B54" s="141"/>
      <c r="C54" s="141" t="s">
        <v>5321</v>
      </c>
      <c r="D54" s="140"/>
      <c r="E54" s="76"/>
      <c r="F54" s="76"/>
      <c r="G54" s="76"/>
      <c r="H54" s="76"/>
      <c r="I54" s="76"/>
      <c r="J54" s="76"/>
      <c r="K54" s="76"/>
      <c r="L54" s="76"/>
      <c r="M54" s="76"/>
      <c r="N54" s="76"/>
      <c r="O54" s="76"/>
      <c r="P54" s="76"/>
      <c r="Q54" s="76"/>
      <c r="R54" s="76"/>
      <c r="S54" s="76"/>
      <c r="T54" s="76"/>
      <c r="U54" s="76"/>
      <c r="V54" s="76"/>
      <c r="W54" s="76"/>
      <c r="X54" s="76"/>
      <c r="Y54" s="76"/>
      <c r="Z54" s="76"/>
    </row>
    <row r="55" ht="22.5" hidden="1" customHeight="1">
      <c r="A55" s="140"/>
      <c r="B55" s="141"/>
      <c r="C55" s="141" t="s">
        <v>5322</v>
      </c>
      <c r="D55" s="140"/>
      <c r="E55" s="76"/>
      <c r="F55" s="76"/>
      <c r="G55" s="76"/>
      <c r="H55" s="76"/>
      <c r="I55" s="76"/>
      <c r="J55" s="76"/>
      <c r="K55" s="76"/>
      <c r="L55" s="76"/>
      <c r="M55" s="76"/>
      <c r="N55" s="76"/>
      <c r="O55" s="76"/>
      <c r="P55" s="76"/>
      <c r="Q55" s="76"/>
      <c r="R55" s="76"/>
      <c r="S55" s="76"/>
      <c r="T55" s="76"/>
      <c r="U55" s="76"/>
      <c r="V55" s="76"/>
      <c r="W55" s="76"/>
      <c r="X55" s="76"/>
      <c r="Y55" s="76"/>
      <c r="Z55" s="76"/>
    </row>
    <row r="56" ht="22.5" hidden="1" customHeight="1">
      <c r="A56" s="140"/>
      <c r="B56" s="141"/>
      <c r="C56" s="141" t="s">
        <v>5323</v>
      </c>
      <c r="D56" s="140"/>
      <c r="E56" s="76"/>
      <c r="F56" s="76"/>
      <c r="G56" s="76"/>
      <c r="H56" s="76"/>
      <c r="I56" s="76"/>
      <c r="J56" s="76"/>
      <c r="K56" s="76"/>
      <c r="L56" s="76"/>
      <c r="M56" s="76"/>
      <c r="N56" s="76"/>
      <c r="O56" s="76"/>
      <c r="P56" s="76"/>
      <c r="Q56" s="76"/>
      <c r="R56" s="76"/>
      <c r="S56" s="76"/>
      <c r="T56" s="76"/>
      <c r="U56" s="76"/>
      <c r="V56" s="76"/>
      <c r="W56" s="76"/>
      <c r="X56" s="76"/>
      <c r="Y56" s="76"/>
      <c r="Z56" s="76"/>
    </row>
    <row r="57" ht="22.5" hidden="1" customHeight="1">
      <c r="A57" s="140"/>
      <c r="B57" s="141"/>
      <c r="C57" s="141" t="s">
        <v>5324</v>
      </c>
      <c r="D57" s="140"/>
      <c r="E57" s="76"/>
      <c r="F57" s="76"/>
      <c r="G57" s="76"/>
      <c r="H57" s="76"/>
      <c r="I57" s="76"/>
      <c r="J57" s="76"/>
      <c r="K57" s="76"/>
      <c r="L57" s="76"/>
      <c r="M57" s="76"/>
      <c r="N57" s="76"/>
      <c r="O57" s="76"/>
      <c r="P57" s="76"/>
      <c r="Q57" s="76"/>
      <c r="R57" s="76"/>
      <c r="S57" s="76"/>
      <c r="T57" s="76"/>
      <c r="U57" s="76"/>
      <c r="V57" s="76"/>
      <c r="W57" s="76"/>
      <c r="X57" s="76"/>
      <c r="Y57" s="76"/>
      <c r="Z57" s="76"/>
    </row>
    <row r="58" ht="22.5" hidden="1" customHeight="1">
      <c r="A58" s="140"/>
      <c r="B58" s="141"/>
      <c r="C58" s="141" t="s">
        <v>5325</v>
      </c>
      <c r="D58" s="140"/>
      <c r="E58" s="76"/>
      <c r="F58" s="76"/>
      <c r="G58" s="76"/>
      <c r="H58" s="76"/>
      <c r="I58" s="76"/>
      <c r="J58" s="76"/>
      <c r="K58" s="76"/>
      <c r="L58" s="76"/>
      <c r="M58" s="76"/>
      <c r="N58" s="76"/>
      <c r="O58" s="76"/>
      <c r="P58" s="76"/>
      <c r="Q58" s="76"/>
      <c r="R58" s="76"/>
      <c r="S58" s="76"/>
      <c r="T58" s="76"/>
      <c r="U58" s="76"/>
      <c r="V58" s="76"/>
      <c r="W58" s="76"/>
      <c r="X58" s="76"/>
      <c r="Y58" s="76"/>
      <c r="Z58" s="76"/>
    </row>
    <row r="59" ht="22.5" hidden="1" customHeight="1">
      <c r="A59" s="140"/>
      <c r="B59" s="141"/>
      <c r="C59" s="141" t="s">
        <v>5326</v>
      </c>
      <c r="D59" s="140"/>
      <c r="E59" s="76"/>
      <c r="F59" s="76"/>
      <c r="G59" s="76"/>
      <c r="H59" s="76"/>
      <c r="I59" s="76"/>
      <c r="J59" s="76"/>
      <c r="K59" s="76"/>
      <c r="L59" s="76"/>
      <c r="M59" s="76"/>
      <c r="N59" s="76"/>
      <c r="O59" s="76"/>
      <c r="P59" s="76"/>
      <c r="Q59" s="76"/>
      <c r="R59" s="76"/>
      <c r="S59" s="76"/>
      <c r="T59" s="76"/>
      <c r="U59" s="76"/>
      <c r="V59" s="76"/>
      <c r="W59" s="76"/>
      <c r="X59" s="76"/>
      <c r="Y59" s="76"/>
      <c r="Z59" s="76"/>
    </row>
    <row r="60" ht="22.5" hidden="1" customHeight="1">
      <c r="A60" s="140"/>
      <c r="B60" s="141"/>
      <c r="C60" s="141" t="s">
        <v>5327</v>
      </c>
      <c r="D60" s="140"/>
      <c r="E60" s="76"/>
      <c r="F60" s="76"/>
      <c r="G60" s="76"/>
      <c r="H60" s="76"/>
      <c r="I60" s="76"/>
      <c r="J60" s="76"/>
      <c r="K60" s="76"/>
      <c r="L60" s="76"/>
      <c r="M60" s="76"/>
      <c r="N60" s="76"/>
      <c r="O60" s="76"/>
      <c r="P60" s="76"/>
      <c r="Q60" s="76"/>
      <c r="R60" s="76"/>
      <c r="S60" s="76"/>
      <c r="T60" s="76"/>
      <c r="U60" s="76"/>
      <c r="V60" s="76"/>
      <c r="W60" s="76"/>
      <c r="X60" s="76"/>
      <c r="Y60" s="76"/>
      <c r="Z60" s="76"/>
    </row>
    <row r="61" ht="22.5" hidden="1" customHeight="1">
      <c r="A61" s="140"/>
      <c r="B61" s="141"/>
      <c r="C61" s="141" t="s">
        <v>5328</v>
      </c>
      <c r="D61" s="140"/>
      <c r="E61" s="76"/>
      <c r="F61" s="76"/>
      <c r="G61" s="76"/>
      <c r="H61" s="76"/>
      <c r="I61" s="76"/>
      <c r="J61" s="76"/>
      <c r="K61" s="76"/>
      <c r="L61" s="76"/>
      <c r="M61" s="76"/>
      <c r="N61" s="76"/>
      <c r="O61" s="76"/>
      <c r="P61" s="76"/>
      <c r="Q61" s="76"/>
      <c r="R61" s="76"/>
      <c r="S61" s="76"/>
      <c r="T61" s="76"/>
      <c r="U61" s="76"/>
      <c r="V61" s="76"/>
      <c r="W61" s="76"/>
      <c r="X61" s="76"/>
      <c r="Y61" s="76"/>
      <c r="Z61" s="76"/>
    </row>
    <row r="62" ht="22.5" hidden="1" customHeight="1">
      <c r="A62" s="140"/>
      <c r="B62" s="141"/>
      <c r="C62" s="141" t="s">
        <v>5329</v>
      </c>
      <c r="D62" s="140"/>
      <c r="E62" s="76"/>
      <c r="F62" s="76"/>
      <c r="G62" s="76"/>
      <c r="H62" s="76"/>
      <c r="I62" s="76"/>
      <c r="J62" s="76"/>
      <c r="K62" s="76"/>
      <c r="L62" s="76"/>
      <c r="M62" s="76"/>
      <c r="N62" s="76"/>
      <c r="O62" s="76"/>
      <c r="P62" s="76"/>
      <c r="Q62" s="76"/>
      <c r="R62" s="76"/>
      <c r="S62" s="76"/>
      <c r="T62" s="76"/>
      <c r="U62" s="76"/>
      <c r="V62" s="76"/>
      <c r="W62" s="76"/>
      <c r="X62" s="76"/>
      <c r="Y62" s="76"/>
      <c r="Z62" s="76"/>
    </row>
    <row r="63" ht="22.5" hidden="1" customHeight="1">
      <c r="A63" s="140"/>
      <c r="B63" s="141"/>
      <c r="C63" s="141" t="s">
        <v>5330</v>
      </c>
      <c r="D63" s="140"/>
      <c r="E63" s="76"/>
      <c r="F63" s="76"/>
      <c r="G63" s="76"/>
      <c r="H63" s="76"/>
      <c r="I63" s="76"/>
      <c r="J63" s="76"/>
      <c r="K63" s="76"/>
      <c r="L63" s="76"/>
      <c r="M63" s="76"/>
      <c r="N63" s="76"/>
      <c r="O63" s="76"/>
      <c r="P63" s="76"/>
      <c r="Q63" s="76"/>
      <c r="R63" s="76"/>
      <c r="S63" s="76"/>
      <c r="T63" s="76"/>
      <c r="U63" s="76"/>
      <c r="V63" s="76"/>
      <c r="W63" s="76"/>
      <c r="X63" s="76"/>
      <c r="Y63" s="76"/>
      <c r="Z63" s="76"/>
    </row>
    <row r="64" ht="22.5" hidden="1" customHeight="1">
      <c r="A64" s="140"/>
      <c r="B64" s="141"/>
      <c r="C64" s="141" t="s">
        <v>5331</v>
      </c>
      <c r="D64" s="140"/>
      <c r="E64" s="76"/>
      <c r="F64" s="76"/>
      <c r="G64" s="76"/>
      <c r="H64" s="76"/>
      <c r="I64" s="76"/>
      <c r="J64" s="76"/>
      <c r="K64" s="76"/>
      <c r="L64" s="76"/>
      <c r="M64" s="76"/>
      <c r="N64" s="76"/>
      <c r="O64" s="76"/>
      <c r="P64" s="76"/>
      <c r="Q64" s="76"/>
      <c r="R64" s="76"/>
      <c r="S64" s="76"/>
      <c r="T64" s="76"/>
      <c r="U64" s="76"/>
      <c r="V64" s="76"/>
      <c r="W64" s="76"/>
      <c r="X64" s="76"/>
      <c r="Y64" s="76"/>
      <c r="Z64" s="76"/>
    </row>
    <row r="65" ht="22.5" hidden="1" customHeight="1">
      <c r="A65" s="140"/>
      <c r="B65" s="141"/>
      <c r="C65" s="141" t="s">
        <v>5332</v>
      </c>
      <c r="D65" s="140"/>
      <c r="E65" s="76"/>
      <c r="F65" s="76"/>
      <c r="G65" s="76"/>
      <c r="H65" s="76"/>
      <c r="I65" s="76"/>
      <c r="J65" s="76"/>
      <c r="K65" s="76"/>
      <c r="L65" s="76"/>
      <c r="M65" s="76"/>
      <c r="N65" s="76"/>
      <c r="O65" s="76"/>
      <c r="P65" s="76"/>
      <c r="Q65" s="76"/>
      <c r="R65" s="76"/>
      <c r="S65" s="76"/>
      <c r="T65" s="76"/>
      <c r="U65" s="76"/>
      <c r="V65" s="76"/>
      <c r="W65" s="76"/>
      <c r="X65" s="76"/>
      <c r="Y65" s="76"/>
      <c r="Z65" s="76"/>
    </row>
    <row r="66" ht="22.5" hidden="1" customHeight="1">
      <c r="A66" s="140"/>
      <c r="B66" s="141"/>
      <c r="C66" s="141" t="s">
        <v>5333</v>
      </c>
      <c r="D66" s="140"/>
      <c r="E66" s="76"/>
      <c r="F66" s="76"/>
      <c r="G66" s="76"/>
      <c r="H66" s="76"/>
      <c r="I66" s="76"/>
      <c r="J66" s="76"/>
      <c r="K66" s="76"/>
      <c r="L66" s="76"/>
      <c r="M66" s="76"/>
      <c r="N66" s="76"/>
      <c r="O66" s="76"/>
      <c r="P66" s="76"/>
      <c r="Q66" s="76"/>
      <c r="R66" s="76"/>
      <c r="S66" s="76"/>
      <c r="T66" s="76"/>
      <c r="U66" s="76"/>
      <c r="V66" s="76"/>
      <c r="W66" s="76"/>
      <c r="X66" s="76"/>
      <c r="Y66" s="76"/>
      <c r="Z66" s="76"/>
    </row>
    <row r="67" ht="22.5" hidden="1" customHeight="1">
      <c r="A67" s="140"/>
      <c r="B67" s="141"/>
      <c r="C67" s="141" t="s">
        <v>5334</v>
      </c>
      <c r="D67" s="140"/>
      <c r="E67" s="76"/>
      <c r="F67" s="76"/>
      <c r="G67" s="76"/>
      <c r="H67" s="76"/>
      <c r="I67" s="76"/>
      <c r="J67" s="76"/>
      <c r="K67" s="76"/>
      <c r="L67" s="76"/>
      <c r="M67" s="76"/>
      <c r="N67" s="76"/>
      <c r="O67" s="76"/>
      <c r="P67" s="76"/>
      <c r="Q67" s="76"/>
      <c r="R67" s="76"/>
      <c r="S67" s="76"/>
      <c r="T67" s="76"/>
      <c r="U67" s="76"/>
      <c r="V67" s="76"/>
      <c r="W67" s="76"/>
      <c r="X67" s="76"/>
      <c r="Y67" s="76"/>
      <c r="Z67" s="76"/>
    </row>
    <row r="68" ht="22.5" hidden="1" customHeight="1">
      <c r="A68" s="140"/>
      <c r="B68" s="141"/>
      <c r="C68" s="141" t="s">
        <v>5335</v>
      </c>
      <c r="D68" s="140"/>
      <c r="E68" s="76"/>
      <c r="F68" s="76"/>
      <c r="G68" s="76"/>
      <c r="H68" s="76"/>
      <c r="I68" s="76"/>
      <c r="J68" s="76"/>
      <c r="K68" s="76"/>
      <c r="L68" s="76"/>
      <c r="M68" s="76"/>
      <c r="N68" s="76"/>
      <c r="O68" s="76"/>
      <c r="P68" s="76"/>
      <c r="Q68" s="76"/>
      <c r="R68" s="76"/>
      <c r="S68" s="76"/>
      <c r="T68" s="76"/>
      <c r="U68" s="76"/>
      <c r="V68" s="76"/>
      <c r="W68" s="76"/>
      <c r="X68" s="76"/>
      <c r="Y68" s="76"/>
      <c r="Z68" s="76"/>
    </row>
    <row r="69" ht="22.5" hidden="1" customHeight="1">
      <c r="A69" s="140"/>
      <c r="B69" s="140"/>
      <c r="C69" s="141" t="s">
        <v>5336</v>
      </c>
      <c r="D69" s="140"/>
      <c r="E69" s="76"/>
      <c r="F69" s="76"/>
      <c r="G69" s="76"/>
      <c r="H69" s="76"/>
      <c r="I69" s="76"/>
      <c r="J69" s="76"/>
      <c r="K69" s="76"/>
      <c r="L69" s="76"/>
      <c r="M69" s="76"/>
      <c r="N69" s="76"/>
      <c r="O69" s="76"/>
      <c r="P69" s="76"/>
      <c r="Q69" s="76"/>
      <c r="R69" s="76"/>
      <c r="S69" s="76"/>
      <c r="T69" s="76"/>
      <c r="U69" s="76"/>
      <c r="V69" s="76"/>
      <c r="W69" s="76"/>
      <c r="X69" s="76"/>
      <c r="Y69" s="76"/>
      <c r="Z69" s="76"/>
    </row>
    <row r="70" ht="22.5" hidden="1" customHeight="1">
      <c r="A70" s="140"/>
      <c r="B70" s="140"/>
      <c r="C70" s="141" t="s">
        <v>5337</v>
      </c>
      <c r="D70" s="140"/>
      <c r="E70" s="76"/>
      <c r="F70" s="76"/>
      <c r="G70" s="76"/>
      <c r="H70" s="76"/>
      <c r="I70" s="76"/>
      <c r="J70" s="76"/>
      <c r="K70" s="76"/>
      <c r="L70" s="76"/>
      <c r="M70" s="76"/>
      <c r="N70" s="76"/>
      <c r="O70" s="76"/>
      <c r="P70" s="76"/>
      <c r="Q70" s="76"/>
      <c r="R70" s="76"/>
      <c r="S70" s="76"/>
      <c r="T70" s="76"/>
      <c r="U70" s="76"/>
      <c r="V70" s="76"/>
      <c r="W70" s="76"/>
      <c r="X70" s="76"/>
      <c r="Y70" s="76"/>
      <c r="Z70" s="76"/>
    </row>
    <row r="71" ht="22.5" hidden="1" customHeight="1">
      <c r="A71" s="140"/>
      <c r="B71" s="140"/>
      <c r="C71" s="141" t="s">
        <v>5338</v>
      </c>
      <c r="D71" s="140"/>
      <c r="E71" s="76"/>
      <c r="F71" s="76"/>
      <c r="G71" s="76"/>
      <c r="H71" s="76"/>
      <c r="I71" s="76"/>
      <c r="J71" s="76"/>
      <c r="K71" s="76"/>
      <c r="L71" s="76"/>
      <c r="M71" s="76"/>
      <c r="N71" s="76"/>
      <c r="O71" s="76"/>
      <c r="P71" s="76"/>
      <c r="Q71" s="76"/>
      <c r="R71" s="76"/>
      <c r="S71" s="76"/>
      <c r="T71" s="76"/>
      <c r="U71" s="76"/>
      <c r="V71" s="76"/>
      <c r="W71" s="76"/>
      <c r="X71" s="76"/>
      <c r="Y71" s="76"/>
      <c r="Z71" s="76"/>
    </row>
    <row r="72" ht="22.5" hidden="1" customHeight="1">
      <c r="A72" s="140"/>
      <c r="B72" s="140"/>
      <c r="C72" s="141" t="s">
        <v>5339</v>
      </c>
      <c r="D72" s="140"/>
      <c r="E72" s="76"/>
      <c r="F72" s="76"/>
      <c r="G72" s="76"/>
      <c r="H72" s="76"/>
      <c r="I72" s="76"/>
      <c r="J72" s="76"/>
      <c r="K72" s="76"/>
      <c r="L72" s="76"/>
      <c r="M72" s="76"/>
      <c r="N72" s="76"/>
      <c r="O72" s="76"/>
      <c r="P72" s="76"/>
      <c r="Q72" s="76"/>
      <c r="R72" s="76"/>
      <c r="S72" s="76"/>
      <c r="T72" s="76"/>
      <c r="U72" s="76"/>
      <c r="V72" s="76"/>
      <c r="W72" s="76"/>
      <c r="X72" s="76"/>
      <c r="Y72" s="76"/>
      <c r="Z72" s="76"/>
    </row>
    <row r="73" ht="22.5" hidden="1" customHeight="1">
      <c r="A73" s="140"/>
      <c r="B73" s="140"/>
      <c r="C73" s="141" t="s">
        <v>5340</v>
      </c>
      <c r="D73" s="140"/>
      <c r="E73" s="76"/>
      <c r="F73" s="76"/>
      <c r="G73" s="76"/>
      <c r="H73" s="76"/>
      <c r="I73" s="76"/>
      <c r="J73" s="76"/>
      <c r="K73" s="76"/>
      <c r="L73" s="76"/>
      <c r="M73" s="76"/>
      <c r="N73" s="76"/>
      <c r="O73" s="76"/>
      <c r="P73" s="76"/>
      <c r="Q73" s="76"/>
      <c r="R73" s="76"/>
      <c r="S73" s="76"/>
      <c r="T73" s="76"/>
      <c r="U73" s="76"/>
      <c r="V73" s="76"/>
      <c r="W73" s="76"/>
      <c r="X73" s="76"/>
      <c r="Y73" s="76"/>
      <c r="Z73" s="76"/>
    </row>
    <row r="74" ht="22.5" hidden="1" customHeight="1">
      <c r="A74" s="140"/>
      <c r="B74" s="140"/>
      <c r="C74" s="141" t="s">
        <v>5341</v>
      </c>
      <c r="D74" s="140"/>
      <c r="E74" s="76"/>
      <c r="F74" s="76"/>
      <c r="G74" s="76"/>
      <c r="H74" s="76"/>
      <c r="I74" s="76"/>
      <c r="J74" s="76"/>
      <c r="K74" s="76"/>
      <c r="L74" s="76"/>
      <c r="M74" s="76"/>
      <c r="N74" s="76"/>
      <c r="O74" s="76"/>
      <c r="P74" s="76"/>
      <c r="Q74" s="76"/>
      <c r="R74" s="76"/>
      <c r="S74" s="76"/>
      <c r="T74" s="76"/>
      <c r="U74" s="76"/>
      <c r="V74" s="76"/>
      <c r="W74" s="76"/>
      <c r="X74" s="76"/>
      <c r="Y74" s="76"/>
      <c r="Z74" s="76"/>
    </row>
    <row r="75" ht="22.5" hidden="1" customHeight="1">
      <c r="A75" s="140"/>
      <c r="B75" s="140"/>
      <c r="C75" s="141" t="s">
        <v>5342</v>
      </c>
      <c r="D75" s="140"/>
      <c r="E75" s="76"/>
      <c r="F75" s="76"/>
      <c r="G75" s="76"/>
      <c r="H75" s="76"/>
      <c r="I75" s="76"/>
      <c r="J75" s="76"/>
      <c r="K75" s="76"/>
      <c r="L75" s="76"/>
      <c r="M75" s="76"/>
      <c r="N75" s="76"/>
      <c r="O75" s="76"/>
      <c r="P75" s="76"/>
      <c r="Q75" s="76"/>
      <c r="R75" s="76"/>
      <c r="S75" s="76"/>
      <c r="T75" s="76"/>
      <c r="U75" s="76"/>
      <c r="V75" s="76"/>
      <c r="W75" s="76"/>
      <c r="X75" s="76"/>
      <c r="Y75" s="76"/>
      <c r="Z75" s="76"/>
    </row>
    <row r="76" ht="22.5" hidden="1" customHeight="1">
      <c r="A76" s="140"/>
      <c r="B76" s="140"/>
      <c r="C76" s="141" t="s">
        <v>5343</v>
      </c>
      <c r="D76" s="140"/>
      <c r="E76" s="76"/>
      <c r="F76" s="76"/>
      <c r="G76" s="76"/>
      <c r="H76" s="76"/>
      <c r="I76" s="76"/>
      <c r="J76" s="76"/>
      <c r="K76" s="76"/>
      <c r="L76" s="76"/>
      <c r="M76" s="76"/>
      <c r="N76" s="76"/>
      <c r="O76" s="76"/>
      <c r="P76" s="76"/>
      <c r="Q76" s="76"/>
      <c r="R76" s="76"/>
      <c r="S76" s="76"/>
      <c r="T76" s="76"/>
      <c r="U76" s="76"/>
      <c r="V76" s="76"/>
      <c r="W76" s="76"/>
      <c r="X76" s="76"/>
      <c r="Y76" s="76"/>
      <c r="Z76" s="76"/>
    </row>
    <row r="77" ht="22.5" hidden="1" customHeight="1">
      <c r="A77" s="140"/>
      <c r="B77" s="140"/>
      <c r="C77" s="141" t="s">
        <v>5344</v>
      </c>
      <c r="D77" s="140"/>
      <c r="E77" s="76"/>
      <c r="F77" s="76"/>
      <c r="G77" s="76"/>
      <c r="H77" s="76"/>
      <c r="I77" s="76"/>
      <c r="J77" s="76"/>
      <c r="K77" s="76"/>
      <c r="L77" s="76"/>
      <c r="M77" s="76"/>
      <c r="N77" s="76"/>
      <c r="O77" s="76"/>
      <c r="P77" s="76"/>
      <c r="Q77" s="76"/>
      <c r="R77" s="76"/>
      <c r="S77" s="76"/>
      <c r="T77" s="76"/>
      <c r="U77" s="76"/>
      <c r="V77" s="76"/>
      <c r="W77" s="76"/>
      <c r="X77" s="76"/>
      <c r="Y77" s="76"/>
      <c r="Z77" s="76"/>
    </row>
    <row r="78" ht="22.5" hidden="1" customHeight="1">
      <c r="A78" s="140"/>
      <c r="B78" s="140"/>
      <c r="C78" s="141" t="s">
        <v>5345</v>
      </c>
      <c r="D78" s="140"/>
      <c r="E78" s="76"/>
      <c r="F78" s="76"/>
      <c r="G78" s="76"/>
      <c r="H78" s="76"/>
      <c r="I78" s="76"/>
      <c r="J78" s="76"/>
      <c r="K78" s="76"/>
      <c r="L78" s="76"/>
      <c r="M78" s="76"/>
      <c r="N78" s="76"/>
      <c r="O78" s="76"/>
      <c r="P78" s="76"/>
      <c r="Q78" s="76"/>
      <c r="R78" s="76"/>
      <c r="S78" s="76"/>
      <c r="T78" s="76"/>
      <c r="U78" s="76"/>
      <c r="V78" s="76"/>
      <c r="W78" s="76"/>
      <c r="X78" s="76"/>
      <c r="Y78" s="76"/>
      <c r="Z78" s="76"/>
    </row>
    <row r="79" ht="22.5" hidden="1" customHeight="1">
      <c r="A79" s="140"/>
      <c r="B79" s="140"/>
      <c r="C79" s="141" t="s">
        <v>5346</v>
      </c>
      <c r="D79" s="140"/>
      <c r="E79" s="76"/>
      <c r="F79" s="76"/>
      <c r="G79" s="76"/>
      <c r="H79" s="76"/>
      <c r="I79" s="76"/>
      <c r="J79" s="76"/>
      <c r="K79" s="76"/>
      <c r="L79" s="76"/>
      <c r="M79" s="76"/>
      <c r="N79" s="76"/>
      <c r="O79" s="76"/>
      <c r="P79" s="76"/>
      <c r="Q79" s="76"/>
      <c r="R79" s="76"/>
      <c r="S79" s="76"/>
      <c r="T79" s="76"/>
      <c r="U79" s="76"/>
      <c r="V79" s="76"/>
      <c r="W79" s="76"/>
      <c r="X79" s="76"/>
      <c r="Y79" s="76"/>
      <c r="Z79" s="76"/>
    </row>
    <row r="80" ht="22.5" hidden="1" customHeight="1">
      <c r="A80" s="140"/>
      <c r="B80" s="140"/>
      <c r="C80" s="141" t="s">
        <v>5347</v>
      </c>
      <c r="D80" s="140"/>
      <c r="E80" s="76"/>
      <c r="F80" s="76"/>
      <c r="G80" s="76"/>
      <c r="H80" s="76"/>
      <c r="I80" s="76"/>
      <c r="J80" s="76"/>
      <c r="K80" s="76"/>
      <c r="L80" s="76"/>
      <c r="M80" s="76"/>
      <c r="N80" s="76"/>
      <c r="O80" s="76"/>
      <c r="P80" s="76"/>
      <c r="Q80" s="76"/>
      <c r="R80" s="76"/>
      <c r="S80" s="76"/>
      <c r="T80" s="76"/>
      <c r="U80" s="76"/>
      <c r="V80" s="76"/>
      <c r="W80" s="76"/>
      <c r="X80" s="76"/>
      <c r="Y80" s="76"/>
      <c r="Z80" s="76"/>
    </row>
    <row r="81" ht="22.5" hidden="1" customHeight="1">
      <c r="A81" s="140"/>
      <c r="B81" s="140"/>
      <c r="C81" s="141" t="s">
        <v>5348</v>
      </c>
      <c r="D81" s="140"/>
      <c r="E81" s="76"/>
      <c r="F81" s="76"/>
      <c r="G81" s="76"/>
      <c r="H81" s="76"/>
      <c r="I81" s="76"/>
      <c r="J81" s="76"/>
      <c r="K81" s="76"/>
      <c r="L81" s="76"/>
      <c r="M81" s="76"/>
      <c r="N81" s="76"/>
      <c r="O81" s="76"/>
      <c r="P81" s="76"/>
      <c r="Q81" s="76"/>
      <c r="R81" s="76"/>
      <c r="S81" s="76"/>
      <c r="T81" s="76"/>
      <c r="U81" s="76"/>
      <c r="V81" s="76"/>
      <c r="W81" s="76"/>
      <c r="X81" s="76"/>
      <c r="Y81" s="76"/>
      <c r="Z81" s="76"/>
    </row>
    <row r="82" ht="22.5" hidden="1" customHeight="1">
      <c r="A82" s="140"/>
      <c r="B82" s="140"/>
      <c r="C82" s="141" t="s">
        <v>5349</v>
      </c>
      <c r="D82" s="140"/>
      <c r="E82" s="76"/>
      <c r="F82" s="76"/>
      <c r="G82" s="76"/>
      <c r="H82" s="76"/>
      <c r="I82" s="76"/>
      <c r="J82" s="76"/>
      <c r="K82" s="76"/>
      <c r="L82" s="76"/>
      <c r="M82" s="76"/>
      <c r="N82" s="76"/>
      <c r="O82" s="76"/>
      <c r="P82" s="76"/>
      <c r="Q82" s="76"/>
      <c r="R82" s="76"/>
      <c r="S82" s="76"/>
      <c r="T82" s="76"/>
      <c r="U82" s="76"/>
      <c r="V82" s="76"/>
      <c r="W82" s="76"/>
      <c r="X82" s="76"/>
      <c r="Y82" s="76"/>
      <c r="Z82" s="76"/>
    </row>
    <row r="83" ht="22.5" hidden="1" customHeight="1">
      <c r="A83" s="140"/>
      <c r="B83" s="140"/>
      <c r="C83" s="141" t="s">
        <v>5350</v>
      </c>
      <c r="D83" s="140"/>
      <c r="E83" s="76"/>
      <c r="F83" s="76"/>
      <c r="G83" s="76"/>
      <c r="H83" s="76"/>
      <c r="I83" s="76"/>
      <c r="J83" s="76"/>
      <c r="K83" s="76"/>
      <c r="L83" s="76"/>
      <c r="M83" s="76"/>
      <c r="N83" s="76"/>
      <c r="O83" s="76"/>
      <c r="P83" s="76"/>
      <c r="Q83" s="76"/>
      <c r="R83" s="76"/>
      <c r="S83" s="76"/>
      <c r="T83" s="76"/>
      <c r="U83" s="76"/>
      <c r="V83" s="76"/>
      <c r="W83" s="76"/>
      <c r="X83" s="76"/>
      <c r="Y83" s="76"/>
      <c r="Z83" s="76"/>
    </row>
    <row r="84" ht="22.5" hidden="1" customHeight="1">
      <c r="A84" s="140"/>
      <c r="B84" s="140"/>
      <c r="C84" s="141" t="s">
        <v>5351</v>
      </c>
      <c r="D84" s="140"/>
      <c r="E84" s="76"/>
      <c r="F84" s="76"/>
      <c r="G84" s="76"/>
      <c r="H84" s="76"/>
      <c r="I84" s="76"/>
      <c r="J84" s="76"/>
      <c r="K84" s="76"/>
      <c r="L84" s="76"/>
      <c r="M84" s="76"/>
      <c r="N84" s="76"/>
      <c r="O84" s="76"/>
      <c r="P84" s="76"/>
      <c r="Q84" s="76"/>
      <c r="R84" s="76"/>
      <c r="S84" s="76"/>
      <c r="T84" s="76"/>
      <c r="U84" s="76"/>
      <c r="V84" s="76"/>
      <c r="W84" s="76"/>
      <c r="X84" s="76"/>
      <c r="Y84" s="76"/>
      <c r="Z84" s="76"/>
    </row>
    <row r="85" ht="22.5" hidden="1" customHeight="1">
      <c r="A85" s="140"/>
      <c r="B85" s="140"/>
      <c r="C85" s="141" t="s">
        <v>5352</v>
      </c>
      <c r="D85" s="140"/>
      <c r="E85" s="76"/>
      <c r="F85" s="76"/>
      <c r="G85" s="76"/>
      <c r="H85" s="76"/>
      <c r="I85" s="76"/>
      <c r="J85" s="76"/>
      <c r="K85" s="76"/>
      <c r="L85" s="76"/>
      <c r="M85" s="76"/>
      <c r="N85" s="76"/>
      <c r="O85" s="76"/>
      <c r="P85" s="76"/>
      <c r="Q85" s="76"/>
      <c r="R85" s="76"/>
      <c r="S85" s="76"/>
      <c r="T85" s="76"/>
      <c r="U85" s="76"/>
      <c r="V85" s="76"/>
      <c r="W85" s="76"/>
      <c r="X85" s="76"/>
      <c r="Y85" s="76"/>
      <c r="Z85" s="76"/>
    </row>
    <row r="86" ht="22.5" hidden="1" customHeight="1">
      <c r="A86" s="140"/>
      <c r="B86" s="140"/>
      <c r="C86" s="141" t="s">
        <v>5353</v>
      </c>
      <c r="D86" s="140"/>
      <c r="E86" s="76"/>
      <c r="F86" s="76"/>
      <c r="G86" s="76"/>
      <c r="H86" s="76"/>
      <c r="I86" s="76"/>
      <c r="J86" s="76"/>
      <c r="K86" s="76"/>
      <c r="L86" s="76"/>
      <c r="M86" s="76"/>
      <c r="N86" s="76"/>
      <c r="O86" s="76"/>
      <c r="P86" s="76"/>
      <c r="Q86" s="76"/>
      <c r="R86" s="76"/>
      <c r="S86" s="76"/>
      <c r="T86" s="76"/>
      <c r="U86" s="76"/>
      <c r="V86" s="76"/>
      <c r="W86" s="76"/>
      <c r="X86" s="76"/>
      <c r="Y86" s="76"/>
      <c r="Z86" s="76"/>
    </row>
    <row r="87" ht="22.5" hidden="1" customHeight="1">
      <c r="A87" s="140"/>
      <c r="B87" s="140"/>
      <c r="C87" s="141" t="s">
        <v>5354</v>
      </c>
      <c r="D87" s="140"/>
      <c r="E87" s="76"/>
      <c r="F87" s="76"/>
      <c r="G87" s="76"/>
      <c r="H87" s="76"/>
      <c r="I87" s="76"/>
      <c r="J87" s="76"/>
      <c r="K87" s="76"/>
      <c r="L87" s="76"/>
      <c r="M87" s="76"/>
      <c r="N87" s="76"/>
      <c r="O87" s="76"/>
      <c r="P87" s="76"/>
      <c r="Q87" s="76"/>
      <c r="R87" s="76"/>
      <c r="S87" s="76"/>
      <c r="T87" s="76"/>
      <c r="U87" s="76"/>
      <c r="V87" s="76"/>
      <c r="W87" s="76"/>
      <c r="X87" s="76"/>
      <c r="Y87" s="76"/>
      <c r="Z87" s="76"/>
    </row>
    <row r="88" ht="22.5" hidden="1" customHeight="1">
      <c r="A88" s="140"/>
      <c r="B88" s="140"/>
      <c r="C88" s="141" t="s">
        <v>5355</v>
      </c>
      <c r="D88" s="140"/>
      <c r="E88" s="76"/>
      <c r="F88" s="76"/>
      <c r="G88" s="76"/>
      <c r="H88" s="76"/>
      <c r="I88" s="76"/>
      <c r="J88" s="76"/>
      <c r="K88" s="76"/>
      <c r="L88" s="76"/>
      <c r="M88" s="76"/>
      <c r="N88" s="76"/>
      <c r="O88" s="76"/>
      <c r="P88" s="76"/>
      <c r="Q88" s="76"/>
      <c r="R88" s="76"/>
      <c r="S88" s="76"/>
      <c r="T88" s="76"/>
      <c r="U88" s="76"/>
      <c r="V88" s="76"/>
      <c r="W88" s="76"/>
      <c r="X88" s="76"/>
      <c r="Y88" s="76"/>
      <c r="Z88" s="76"/>
    </row>
    <row r="89" ht="22.5" hidden="1" customHeight="1">
      <c r="A89" s="140"/>
      <c r="B89" s="140"/>
      <c r="C89" s="141" t="s">
        <v>5356</v>
      </c>
      <c r="D89" s="140"/>
      <c r="E89" s="76"/>
      <c r="F89" s="76"/>
      <c r="G89" s="76"/>
      <c r="H89" s="76"/>
      <c r="I89" s="76"/>
      <c r="J89" s="76"/>
      <c r="K89" s="76"/>
      <c r="L89" s="76"/>
      <c r="M89" s="76"/>
      <c r="N89" s="76"/>
      <c r="O89" s="76"/>
      <c r="P89" s="76"/>
      <c r="Q89" s="76"/>
      <c r="R89" s="76"/>
      <c r="S89" s="76"/>
      <c r="T89" s="76"/>
      <c r="U89" s="76"/>
      <c r="V89" s="76"/>
      <c r="W89" s="76"/>
      <c r="X89" s="76"/>
      <c r="Y89" s="76"/>
      <c r="Z89" s="76"/>
    </row>
    <row r="90" ht="22.5" hidden="1" customHeight="1">
      <c r="A90" s="140"/>
      <c r="B90" s="140"/>
      <c r="C90" s="141" t="s">
        <v>5357</v>
      </c>
      <c r="D90" s="140"/>
      <c r="E90" s="76"/>
      <c r="F90" s="76"/>
      <c r="G90" s="76"/>
      <c r="H90" s="76"/>
      <c r="I90" s="76"/>
      <c r="J90" s="76"/>
      <c r="K90" s="76"/>
      <c r="L90" s="76"/>
      <c r="M90" s="76"/>
      <c r="N90" s="76"/>
      <c r="O90" s="76"/>
      <c r="P90" s="76"/>
      <c r="Q90" s="76"/>
      <c r="R90" s="76"/>
      <c r="S90" s="76"/>
      <c r="T90" s="76"/>
      <c r="U90" s="76"/>
      <c r="V90" s="76"/>
      <c r="W90" s="76"/>
      <c r="X90" s="76"/>
      <c r="Y90" s="76"/>
      <c r="Z90" s="76"/>
    </row>
    <row r="91" ht="22.5" hidden="1" customHeight="1">
      <c r="A91" s="140"/>
      <c r="B91" s="140"/>
      <c r="C91" s="141" t="s">
        <v>5358</v>
      </c>
      <c r="D91" s="140"/>
      <c r="E91" s="76"/>
      <c r="F91" s="76"/>
      <c r="G91" s="76"/>
      <c r="H91" s="76"/>
      <c r="I91" s="76"/>
      <c r="J91" s="76"/>
      <c r="K91" s="76"/>
      <c r="L91" s="76"/>
      <c r="M91" s="76"/>
      <c r="N91" s="76"/>
      <c r="O91" s="76"/>
      <c r="P91" s="76"/>
      <c r="Q91" s="76"/>
      <c r="R91" s="76"/>
      <c r="S91" s="76"/>
      <c r="T91" s="76"/>
      <c r="U91" s="76"/>
      <c r="V91" s="76"/>
      <c r="W91" s="76"/>
      <c r="X91" s="76"/>
      <c r="Y91" s="76"/>
      <c r="Z91" s="76"/>
    </row>
    <row r="92" ht="22.5" hidden="1" customHeight="1">
      <c r="A92" s="140"/>
      <c r="B92" s="140"/>
      <c r="C92" s="141" t="s">
        <v>5359</v>
      </c>
      <c r="D92" s="140"/>
      <c r="E92" s="76"/>
      <c r="F92" s="76"/>
      <c r="G92" s="76"/>
      <c r="H92" s="76"/>
      <c r="I92" s="76"/>
      <c r="J92" s="76"/>
      <c r="K92" s="76"/>
      <c r="L92" s="76"/>
      <c r="M92" s="76"/>
      <c r="N92" s="76"/>
      <c r="O92" s="76"/>
      <c r="P92" s="76"/>
      <c r="Q92" s="76"/>
      <c r="R92" s="76"/>
      <c r="S92" s="76"/>
      <c r="T92" s="76"/>
      <c r="U92" s="76"/>
      <c r="V92" s="76"/>
      <c r="W92" s="76"/>
      <c r="X92" s="76"/>
      <c r="Y92" s="76"/>
      <c r="Z92" s="76"/>
    </row>
    <row r="93" ht="22.5" hidden="1" customHeight="1">
      <c r="A93" s="140"/>
      <c r="B93" s="140"/>
      <c r="C93" s="141" t="s">
        <v>5360</v>
      </c>
      <c r="D93" s="140"/>
      <c r="E93" s="76"/>
      <c r="F93" s="76"/>
      <c r="G93" s="76"/>
      <c r="H93" s="76"/>
      <c r="I93" s="76"/>
      <c r="J93" s="76"/>
      <c r="K93" s="76"/>
      <c r="L93" s="76"/>
      <c r="M93" s="76"/>
      <c r="N93" s="76"/>
      <c r="O93" s="76"/>
      <c r="P93" s="76"/>
      <c r="Q93" s="76"/>
      <c r="R93" s="76"/>
      <c r="S93" s="76"/>
      <c r="T93" s="76"/>
      <c r="U93" s="76"/>
      <c r="V93" s="76"/>
      <c r="W93" s="76"/>
      <c r="X93" s="76"/>
      <c r="Y93" s="76"/>
      <c r="Z93" s="76"/>
    </row>
    <row r="94" ht="22.5" hidden="1" customHeight="1">
      <c r="A94" s="140"/>
      <c r="B94" s="140"/>
      <c r="C94" s="141" t="s">
        <v>5361</v>
      </c>
      <c r="D94" s="140"/>
      <c r="E94" s="76"/>
      <c r="F94" s="76"/>
      <c r="G94" s="76"/>
      <c r="H94" s="76"/>
      <c r="I94" s="76"/>
      <c r="J94" s="76"/>
      <c r="K94" s="76"/>
      <c r="L94" s="76"/>
      <c r="M94" s="76"/>
      <c r="N94" s="76"/>
      <c r="O94" s="76"/>
      <c r="P94" s="76"/>
      <c r="Q94" s="76"/>
      <c r="R94" s="76"/>
      <c r="S94" s="76"/>
      <c r="T94" s="76"/>
      <c r="U94" s="76"/>
      <c r="V94" s="76"/>
      <c r="W94" s="76"/>
      <c r="X94" s="76"/>
      <c r="Y94" s="76"/>
      <c r="Z94" s="76"/>
    </row>
    <row r="95" ht="22.5" hidden="1" customHeight="1">
      <c r="A95" s="140"/>
      <c r="B95" s="140"/>
      <c r="C95" s="141" t="s">
        <v>5362</v>
      </c>
      <c r="D95" s="140"/>
      <c r="E95" s="76"/>
      <c r="F95" s="76"/>
      <c r="G95" s="76"/>
      <c r="H95" s="76"/>
      <c r="I95" s="76"/>
      <c r="J95" s="76"/>
      <c r="K95" s="76"/>
      <c r="L95" s="76"/>
      <c r="M95" s="76"/>
      <c r="N95" s="76"/>
      <c r="O95" s="76"/>
      <c r="P95" s="76"/>
      <c r="Q95" s="76"/>
      <c r="R95" s="76"/>
      <c r="S95" s="76"/>
      <c r="T95" s="76"/>
      <c r="U95" s="76"/>
      <c r="V95" s="76"/>
      <c r="W95" s="76"/>
      <c r="X95" s="76"/>
      <c r="Y95" s="76"/>
      <c r="Z95" s="76"/>
    </row>
    <row r="96" ht="22.5" hidden="1" customHeight="1">
      <c r="A96" s="140"/>
      <c r="B96" s="140"/>
      <c r="C96" s="141" t="s">
        <v>5363</v>
      </c>
      <c r="D96" s="140"/>
      <c r="E96" s="76"/>
      <c r="F96" s="76"/>
      <c r="G96" s="76"/>
      <c r="H96" s="76"/>
      <c r="I96" s="76"/>
      <c r="J96" s="76"/>
      <c r="K96" s="76"/>
      <c r="L96" s="76"/>
      <c r="M96" s="76"/>
      <c r="N96" s="76"/>
      <c r="O96" s="76"/>
      <c r="P96" s="76"/>
      <c r="Q96" s="76"/>
      <c r="R96" s="76"/>
      <c r="S96" s="76"/>
      <c r="T96" s="76"/>
      <c r="U96" s="76"/>
      <c r="V96" s="76"/>
      <c r="W96" s="76"/>
      <c r="X96" s="76"/>
      <c r="Y96" s="76"/>
      <c r="Z96" s="76"/>
    </row>
    <row r="97" ht="22.5" hidden="1" customHeight="1">
      <c r="A97" s="140"/>
      <c r="B97" s="140"/>
      <c r="C97" s="141" t="s">
        <v>5364</v>
      </c>
      <c r="D97" s="140"/>
      <c r="E97" s="76"/>
      <c r="F97" s="76"/>
      <c r="G97" s="76"/>
      <c r="H97" s="76"/>
      <c r="I97" s="76"/>
      <c r="J97" s="76"/>
      <c r="K97" s="76"/>
      <c r="L97" s="76"/>
      <c r="M97" s="76"/>
      <c r="N97" s="76"/>
      <c r="O97" s="76"/>
      <c r="P97" s="76"/>
      <c r="Q97" s="76"/>
      <c r="R97" s="76"/>
      <c r="S97" s="76"/>
      <c r="T97" s="76"/>
      <c r="U97" s="76"/>
      <c r="V97" s="76"/>
      <c r="W97" s="76"/>
      <c r="X97" s="76"/>
      <c r="Y97" s="76"/>
      <c r="Z97" s="76"/>
    </row>
    <row r="98" ht="22.5" hidden="1" customHeight="1">
      <c r="A98" s="140"/>
      <c r="B98" s="140"/>
      <c r="C98" s="141" t="s">
        <v>5365</v>
      </c>
      <c r="D98" s="140"/>
      <c r="E98" s="76"/>
      <c r="F98" s="76"/>
      <c r="G98" s="76"/>
      <c r="H98" s="76"/>
      <c r="I98" s="76"/>
      <c r="J98" s="76"/>
      <c r="K98" s="76"/>
      <c r="L98" s="76"/>
      <c r="M98" s="76"/>
      <c r="N98" s="76"/>
      <c r="O98" s="76"/>
      <c r="P98" s="76"/>
      <c r="Q98" s="76"/>
      <c r="R98" s="76"/>
      <c r="S98" s="76"/>
      <c r="T98" s="76"/>
      <c r="U98" s="76"/>
      <c r="V98" s="76"/>
      <c r="W98" s="76"/>
      <c r="X98" s="76"/>
      <c r="Y98" s="76"/>
      <c r="Z98" s="76"/>
    </row>
    <row r="99" ht="22.5" hidden="1" customHeight="1">
      <c r="A99" s="140"/>
      <c r="B99" s="140"/>
      <c r="C99" s="141" t="s">
        <v>5366</v>
      </c>
      <c r="D99" s="140"/>
      <c r="E99" s="76"/>
      <c r="F99" s="76"/>
      <c r="G99" s="76"/>
      <c r="H99" s="76"/>
      <c r="I99" s="76"/>
      <c r="J99" s="76"/>
      <c r="K99" s="76"/>
      <c r="L99" s="76"/>
      <c r="M99" s="76"/>
      <c r="N99" s="76"/>
      <c r="O99" s="76"/>
      <c r="P99" s="76"/>
      <c r="Q99" s="76"/>
      <c r="R99" s="76"/>
      <c r="S99" s="76"/>
      <c r="T99" s="76"/>
      <c r="U99" s="76"/>
      <c r="V99" s="76"/>
      <c r="W99" s="76"/>
      <c r="X99" s="76"/>
      <c r="Y99" s="76"/>
      <c r="Z99" s="76"/>
    </row>
    <row r="100" ht="22.5" hidden="1" customHeight="1">
      <c r="A100" s="140"/>
      <c r="B100" s="140"/>
      <c r="C100" s="141" t="s">
        <v>5367</v>
      </c>
      <c r="D100" s="140"/>
      <c r="E100" s="76"/>
      <c r="F100" s="76"/>
      <c r="G100" s="76"/>
      <c r="H100" s="76"/>
      <c r="I100" s="76"/>
      <c r="J100" s="76"/>
      <c r="K100" s="76"/>
      <c r="L100" s="76"/>
      <c r="M100" s="76"/>
      <c r="N100" s="76"/>
      <c r="O100" s="76"/>
      <c r="P100" s="76"/>
      <c r="Q100" s="76"/>
      <c r="R100" s="76"/>
      <c r="S100" s="76"/>
      <c r="T100" s="76"/>
      <c r="U100" s="76"/>
      <c r="V100" s="76"/>
      <c r="W100" s="76"/>
      <c r="X100" s="76"/>
      <c r="Y100" s="76"/>
      <c r="Z100" s="76"/>
    </row>
    <row r="101" ht="22.5" customHeight="1">
      <c r="A101" s="140"/>
      <c r="B101" s="141" t="s">
        <v>247</v>
      </c>
      <c r="C101" s="141" t="s">
        <v>5368</v>
      </c>
      <c r="D101" s="141" t="s">
        <v>5369</v>
      </c>
      <c r="E101" s="76"/>
      <c r="F101" s="76"/>
      <c r="G101" s="76"/>
      <c r="H101" s="76"/>
      <c r="I101" s="76"/>
      <c r="J101" s="76"/>
      <c r="K101" s="76"/>
      <c r="L101" s="76"/>
      <c r="M101" s="76"/>
      <c r="N101" s="76"/>
      <c r="O101" s="76"/>
      <c r="P101" s="76"/>
      <c r="Q101" s="76"/>
      <c r="R101" s="76"/>
      <c r="S101" s="76"/>
      <c r="T101" s="76"/>
      <c r="U101" s="76"/>
      <c r="V101" s="76"/>
      <c r="W101" s="76"/>
      <c r="X101" s="76"/>
      <c r="Y101" s="76"/>
      <c r="Z101" s="76"/>
    </row>
    <row r="102" ht="22.5" customHeight="1">
      <c r="A102" s="140"/>
      <c r="B102" s="141" t="s">
        <v>247</v>
      </c>
      <c r="C102" s="141" t="s">
        <v>5370</v>
      </c>
      <c r="D102" s="141" t="s">
        <v>5371</v>
      </c>
      <c r="E102" s="76"/>
      <c r="F102" s="76"/>
      <c r="G102" s="76"/>
      <c r="H102" s="76"/>
      <c r="I102" s="76"/>
      <c r="J102" s="76"/>
      <c r="K102" s="76"/>
      <c r="L102" s="76"/>
      <c r="M102" s="76"/>
      <c r="N102" s="76"/>
      <c r="O102" s="76"/>
      <c r="P102" s="76"/>
      <c r="Q102" s="76"/>
      <c r="R102" s="76"/>
      <c r="S102" s="76"/>
      <c r="T102" s="76"/>
      <c r="U102" s="76"/>
      <c r="V102" s="76"/>
      <c r="W102" s="76"/>
      <c r="X102" s="76"/>
      <c r="Y102" s="76"/>
      <c r="Z102" s="76"/>
    </row>
    <row r="103" ht="22.5" customHeight="1">
      <c r="A103" s="140"/>
      <c r="B103" s="141" t="s">
        <v>247</v>
      </c>
      <c r="C103" s="141" t="s">
        <v>5372</v>
      </c>
      <c r="D103" s="141" t="s">
        <v>5373</v>
      </c>
      <c r="E103" s="76"/>
      <c r="F103" s="76"/>
      <c r="G103" s="76"/>
      <c r="H103" s="76"/>
      <c r="I103" s="76"/>
      <c r="J103" s="76"/>
      <c r="K103" s="76"/>
      <c r="L103" s="76"/>
      <c r="M103" s="76"/>
      <c r="N103" s="76"/>
      <c r="O103" s="76"/>
      <c r="P103" s="76"/>
      <c r="Q103" s="76"/>
      <c r="R103" s="76"/>
      <c r="S103" s="76"/>
      <c r="T103" s="76"/>
      <c r="U103" s="76"/>
      <c r="V103" s="76"/>
      <c r="W103" s="76"/>
      <c r="X103" s="76"/>
      <c r="Y103" s="76"/>
      <c r="Z103" s="76"/>
    </row>
    <row r="104" ht="22.5" customHeight="1">
      <c r="A104" s="140"/>
      <c r="B104" s="141" t="s">
        <v>247</v>
      </c>
      <c r="C104" s="141" t="s">
        <v>5374</v>
      </c>
      <c r="D104" s="141" t="s">
        <v>5375</v>
      </c>
      <c r="E104" s="76"/>
      <c r="F104" s="76"/>
      <c r="G104" s="76"/>
      <c r="H104" s="76"/>
      <c r="I104" s="76"/>
      <c r="J104" s="76"/>
      <c r="K104" s="76"/>
      <c r="L104" s="76"/>
      <c r="M104" s="76"/>
      <c r="N104" s="76"/>
      <c r="O104" s="76"/>
      <c r="P104" s="76"/>
      <c r="Q104" s="76"/>
      <c r="R104" s="76"/>
      <c r="S104" s="76"/>
      <c r="T104" s="76"/>
      <c r="U104" s="76"/>
      <c r="V104" s="76"/>
      <c r="W104" s="76"/>
      <c r="X104" s="76"/>
      <c r="Y104" s="76"/>
      <c r="Z104" s="76"/>
    </row>
    <row r="105" ht="22.5" customHeight="1">
      <c r="A105" s="140"/>
      <c r="B105" s="141" t="s">
        <v>247</v>
      </c>
      <c r="C105" s="141" t="s">
        <v>5376</v>
      </c>
      <c r="D105" s="141" t="s">
        <v>5377</v>
      </c>
      <c r="E105" s="76"/>
      <c r="F105" s="76"/>
      <c r="G105" s="76"/>
      <c r="H105" s="76"/>
      <c r="I105" s="76"/>
      <c r="J105" s="76"/>
      <c r="K105" s="76"/>
      <c r="L105" s="76"/>
      <c r="M105" s="76"/>
      <c r="N105" s="76"/>
      <c r="O105" s="76"/>
      <c r="P105" s="76"/>
      <c r="Q105" s="76"/>
      <c r="R105" s="76"/>
      <c r="S105" s="76"/>
      <c r="T105" s="76"/>
      <c r="U105" s="76"/>
      <c r="V105" s="76"/>
      <c r="W105" s="76"/>
      <c r="X105" s="76"/>
      <c r="Y105" s="76"/>
      <c r="Z105" s="76"/>
    </row>
    <row r="106" ht="22.5" customHeight="1">
      <c r="A106" s="140"/>
      <c r="B106" s="141" t="s">
        <v>247</v>
      </c>
      <c r="C106" s="141" t="s">
        <v>5378</v>
      </c>
      <c r="D106" s="141" t="s">
        <v>5379</v>
      </c>
      <c r="E106" s="76"/>
      <c r="F106" s="76"/>
      <c r="G106" s="76"/>
      <c r="H106" s="76"/>
      <c r="I106" s="76"/>
      <c r="J106" s="76"/>
      <c r="K106" s="76"/>
      <c r="L106" s="76"/>
      <c r="M106" s="76"/>
      <c r="N106" s="76"/>
      <c r="O106" s="76"/>
      <c r="P106" s="76"/>
      <c r="Q106" s="76"/>
      <c r="R106" s="76"/>
      <c r="S106" s="76"/>
      <c r="T106" s="76"/>
      <c r="U106" s="76"/>
      <c r="V106" s="76"/>
      <c r="W106" s="76"/>
      <c r="X106" s="76"/>
      <c r="Y106" s="76"/>
      <c r="Z106" s="76"/>
    </row>
    <row r="107" ht="22.5" customHeight="1">
      <c r="A107" s="140"/>
      <c r="B107" s="141" t="s">
        <v>247</v>
      </c>
      <c r="C107" s="141" t="s">
        <v>5380</v>
      </c>
      <c r="D107" s="141" t="s">
        <v>5381</v>
      </c>
      <c r="E107" s="76"/>
      <c r="F107" s="76"/>
      <c r="G107" s="76"/>
      <c r="H107" s="76"/>
      <c r="I107" s="76"/>
      <c r="J107" s="76"/>
      <c r="K107" s="76"/>
      <c r="L107" s="76"/>
      <c r="M107" s="76"/>
      <c r="N107" s="76"/>
      <c r="O107" s="76"/>
      <c r="P107" s="76"/>
      <c r="Q107" s="76"/>
      <c r="R107" s="76"/>
      <c r="S107" s="76"/>
      <c r="T107" s="76"/>
      <c r="U107" s="76"/>
      <c r="V107" s="76"/>
      <c r="W107" s="76"/>
      <c r="X107" s="76"/>
      <c r="Y107" s="76"/>
      <c r="Z107" s="76"/>
    </row>
    <row r="108" ht="22.5" customHeight="1">
      <c r="A108" s="140"/>
      <c r="B108" s="141" t="s">
        <v>247</v>
      </c>
      <c r="C108" s="142" t="s">
        <v>5382</v>
      </c>
      <c r="D108" s="142" t="s">
        <v>5383</v>
      </c>
      <c r="E108" s="76"/>
      <c r="F108" s="76"/>
      <c r="G108" s="76"/>
      <c r="H108" s="76"/>
      <c r="I108" s="76"/>
      <c r="J108" s="76"/>
      <c r="K108" s="76"/>
      <c r="L108" s="76"/>
      <c r="M108" s="76"/>
      <c r="N108" s="76"/>
      <c r="O108" s="76"/>
      <c r="P108" s="76"/>
      <c r="Q108" s="76"/>
      <c r="R108" s="76"/>
      <c r="S108" s="76"/>
      <c r="T108" s="76"/>
      <c r="U108" s="76"/>
      <c r="V108" s="76"/>
      <c r="W108" s="76"/>
      <c r="X108" s="76"/>
      <c r="Y108" s="76"/>
      <c r="Z108" s="76"/>
    </row>
    <row r="109" ht="22.5" customHeight="1">
      <c r="A109" s="140"/>
      <c r="B109" s="141" t="s">
        <v>247</v>
      </c>
      <c r="C109" s="142" t="s">
        <v>5384</v>
      </c>
      <c r="D109" s="142" t="s">
        <v>5385</v>
      </c>
      <c r="E109" s="76"/>
      <c r="F109" s="76"/>
      <c r="G109" s="76"/>
      <c r="H109" s="76"/>
      <c r="I109" s="76"/>
      <c r="J109" s="76"/>
      <c r="K109" s="76"/>
      <c r="L109" s="76"/>
      <c r="M109" s="76"/>
      <c r="N109" s="76"/>
      <c r="O109" s="76"/>
      <c r="P109" s="76"/>
      <c r="Q109" s="76"/>
      <c r="R109" s="76"/>
      <c r="S109" s="76"/>
      <c r="T109" s="76"/>
      <c r="U109" s="76"/>
      <c r="V109" s="76"/>
      <c r="W109" s="76"/>
      <c r="X109" s="76"/>
      <c r="Y109" s="76"/>
      <c r="Z109" s="76"/>
    </row>
    <row r="110" ht="22.5" customHeight="1">
      <c r="A110" s="140"/>
      <c r="B110" s="141" t="s">
        <v>247</v>
      </c>
      <c r="C110" s="142" t="s">
        <v>5386</v>
      </c>
      <c r="D110" s="142" t="s">
        <v>5387</v>
      </c>
      <c r="E110" s="76"/>
      <c r="F110" s="76"/>
      <c r="G110" s="76"/>
      <c r="H110" s="76"/>
      <c r="I110" s="76"/>
      <c r="J110" s="76"/>
      <c r="K110" s="76"/>
      <c r="L110" s="76"/>
      <c r="M110" s="76"/>
      <c r="N110" s="76"/>
      <c r="O110" s="76"/>
      <c r="P110" s="76"/>
      <c r="Q110" s="76"/>
      <c r="R110" s="76"/>
      <c r="S110" s="76"/>
      <c r="T110" s="76"/>
      <c r="U110" s="76"/>
      <c r="V110" s="76"/>
      <c r="W110" s="76"/>
      <c r="X110" s="76"/>
      <c r="Y110" s="76"/>
      <c r="Z110" s="76"/>
    </row>
    <row r="111" ht="22.5" customHeight="1">
      <c r="A111" s="140"/>
      <c r="B111" s="141" t="s">
        <v>247</v>
      </c>
      <c r="C111" s="142" t="s">
        <v>5388</v>
      </c>
      <c r="D111" s="142" t="s">
        <v>5389</v>
      </c>
      <c r="E111" s="76"/>
      <c r="F111" s="76"/>
      <c r="G111" s="76"/>
      <c r="H111" s="76"/>
      <c r="I111" s="76"/>
      <c r="J111" s="76"/>
      <c r="K111" s="76"/>
      <c r="L111" s="76"/>
      <c r="M111" s="76"/>
      <c r="N111" s="76"/>
      <c r="O111" s="76"/>
      <c r="P111" s="76"/>
      <c r="Q111" s="76"/>
      <c r="R111" s="76"/>
      <c r="S111" s="76"/>
      <c r="T111" s="76"/>
      <c r="U111" s="76"/>
      <c r="V111" s="76"/>
      <c r="W111" s="76"/>
      <c r="X111" s="76"/>
      <c r="Y111" s="76"/>
      <c r="Z111" s="76"/>
    </row>
    <row r="112" ht="22.5" customHeight="1">
      <c r="A112" s="140"/>
      <c r="B112" s="141" t="s">
        <v>247</v>
      </c>
      <c r="C112" s="142" t="s">
        <v>5390</v>
      </c>
      <c r="D112" s="142" t="s">
        <v>5391</v>
      </c>
      <c r="E112" s="76"/>
      <c r="F112" s="76"/>
      <c r="G112" s="76"/>
      <c r="H112" s="76"/>
      <c r="I112" s="76"/>
      <c r="J112" s="76"/>
      <c r="K112" s="76"/>
      <c r="L112" s="76"/>
      <c r="M112" s="76"/>
      <c r="N112" s="76"/>
      <c r="O112" s="76"/>
      <c r="P112" s="76"/>
      <c r="Q112" s="76"/>
      <c r="R112" s="76"/>
      <c r="S112" s="76"/>
      <c r="T112" s="76"/>
      <c r="U112" s="76"/>
      <c r="V112" s="76"/>
      <c r="W112" s="76"/>
      <c r="X112" s="76"/>
      <c r="Y112" s="76"/>
      <c r="Z112" s="76"/>
    </row>
    <row r="113" ht="22.5" customHeight="1">
      <c r="A113" s="140"/>
      <c r="B113" s="141" t="s">
        <v>247</v>
      </c>
      <c r="C113" s="142" t="s">
        <v>5392</v>
      </c>
      <c r="D113" s="142" t="s">
        <v>5393</v>
      </c>
      <c r="E113" s="76"/>
      <c r="F113" s="76"/>
      <c r="G113" s="76"/>
      <c r="H113" s="76"/>
      <c r="I113" s="76"/>
      <c r="J113" s="76"/>
      <c r="K113" s="76"/>
      <c r="L113" s="76"/>
      <c r="M113" s="76"/>
      <c r="N113" s="76"/>
      <c r="O113" s="76"/>
      <c r="P113" s="76"/>
      <c r="Q113" s="76"/>
      <c r="R113" s="76"/>
      <c r="S113" s="76"/>
      <c r="T113" s="76"/>
      <c r="U113" s="76"/>
      <c r="V113" s="76"/>
      <c r="W113" s="76"/>
      <c r="X113" s="76"/>
      <c r="Y113" s="76"/>
      <c r="Z113" s="76"/>
    </row>
    <row r="114" ht="22.5" customHeight="1">
      <c r="A114" s="140"/>
      <c r="B114" s="141" t="s">
        <v>247</v>
      </c>
      <c r="C114" s="142" t="s">
        <v>5394</v>
      </c>
      <c r="D114" s="142" t="s">
        <v>5395</v>
      </c>
      <c r="E114" s="76"/>
      <c r="F114" s="76"/>
      <c r="G114" s="76"/>
      <c r="H114" s="76"/>
      <c r="I114" s="76"/>
      <c r="J114" s="76"/>
      <c r="K114" s="76"/>
      <c r="L114" s="76"/>
      <c r="M114" s="76"/>
      <c r="N114" s="76"/>
      <c r="O114" s="76"/>
      <c r="P114" s="76"/>
      <c r="Q114" s="76"/>
      <c r="R114" s="76"/>
      <c r="S114" s="76"/>
      <c r="T114" s="76"/>
      <c r="U114" s="76"/>
      <c r="V114" s="76"/>
      <c r="W114" s="76"/>
      <c r="X114" s="76"/>
      <c r="Y114" s="76"/>
      <c r="Z114" s="76"/>
    </row>
    <row r="115" ht="22.5" customHeight="1">
      <c r="A115" s="140"/>
      <c r="B115" s="141" t="s">
        <v>247</v>
      </c>
      <c r="C115" s="142" t="s">
        <v>5396</v>
      </c>
      <c r="D115" s="142" t="s">
        <v>5397</v>
      </c>
      <c r="E115" s="76"/>
      <c r="F115" s="76"/>
      <c r="G115" s="76"/>
      <c r="H115" s="76"/>
      <c r="I115" s="76"/>
      <c r="J115" s="76"/>
      <c r="K115" s="76"/>
      <c r="L115" s="76"/>
      <c r="M115" s="76"/>
      <c r="N115" s="76"/>
      <c r="O115" s="76"/>
      <c r="P115" s="76"/>
      <c r="Q115" s="76"/>
      <c r="R115" s="76"/>
      <c r="S115" s="76"/>
      <c r="T115" s="76"/>
      <c r="U115" s="76"/>
      <c r="V115" s="76"/>
      <c r="W115" s="76"/>
      <c r="X115" s="76"/>
      <c r="Y115" s="76"/>
      <c r="Z115" s="76"/>
    </row>
    <row r="116" ht="22.5" customHeight="1">
      <c r="A116" s="140"/>
      <c r="B116" s="141" t="s">
        <v>247</v>
      </c>
      <c r="C116" s="142" t="s">
        <v>5398</v>
      </c>
      <c r="D116" s="142" t="s">
        <v>5399</v>
      </c>
      <c r="E116" s="76"/>
      <c r="F116" s="76"/>
      <c r="G116" s="76"/>
      <c r="H116" s="76"/>
      <c r="I116" s="76"/>
      <c r="J116" s="76"/>
      <c r="K116" s="76"/>
      <c r="L116" s="76"/>
      <c r="M116" s="76"/>
      <c r="N116" s="76"/>
      <c r="O116" s="76"/>
      <c r="P116" s="76"/>
      <c r="Q116" s="76"/>
      <c r="R116" s="76"/>
      <c r="S116" s="76"/>
      <c r="T116" s="76"/>
      <c r="U116" s="76"/>
      <c r="V116" s="76"/>
      <c r="W116" s="76"/>
      <c r="X116" s="76"/>
      <c r="Y116" s="76"/>
      <c r="Z116" s="76"/>
    </row>
    <row r="117" ht="22.5" customHeight="1">
      <c r="A117" s="140"/>
      <c r="B117" s="141" t="s">
        <v>247</v>
      </c>
      <c r="C117" s="142" t="s">
        <v>5400</v>
      </c>
      <c r="D117" s="143" t="s">
        <v>5401</v>
      </c>
      <c r="E117" s="76"/>
      <c r="F117" s="76"/>
      <c r="G117" s="76"/>
      <c r="H117" s="76"/>
      <c r="I117" s="76"/>
      <c r="J117" s="76"/>
      <c r="K117" s="76"/>
      <c r="L117" s="76"/>
      <c r="M117" s="76"/>
      <c r="N117" s="76"/>
      <c r="O117" s="76"/>
      <c r="P117" s="76"/>
      <c r="Q117" s="76"/>
      <c r="R117" s="76"/>
      <c r="S117" s="76"/>
      <c r="T117" s="76"/>
      <c r="U117" s="76"/>
      <c r="V117" s="76"/>
      <c r="W117" s="76"/>
      <c r="X117" s="76"/>
      <c r="Y117" s="76"/>
      <c r="Z117" s="76"/>
    </row>
    <row r="118" ht="22.5" customHeight="1">
      <c r="A118" s="140"/>
      <c r="B118" s="141" t="s">
        <v>247</v>
      </c>
      <c r="C118" s="142" t="s">
        <v>5402</v>
      </c>
      <c r="D118" s="143" t="s">
        <v>5403</v>
      </c>
      <c r="E118" s="76"/>
      <c r="F118" s="76"/>
      <c r="G118" s="76"/>
      <c r="H118" s="76"/>
      <c r="I118" s="76"/>
      <c r="J118" s="76"/>
      <c r="K118" s="76"/>
      <c r="L118" s="76"/>
      <c r="M118" s="76"/>
      <c r="N118" s="76"/>
      <c r="O118" s="76"/>
      <c r="P118" s="76"/>
      <c r="Q118" s="76"/>
      <c r="R118" s="76"/>
      <c r="S118" s="76"/>
      <c r="T118" s="76"/>
      <c r="U118" s="76"/>
      <c r="V118" s="76"/>
      <c r="W118" s="76"/>
      <c r="X118" s="76"/>
      <c r="Y118" s="76"/>
      <c r="Z118" s="76"/>
    </row>
    <row r="119" ht="22.5" customHeight="1">
      <c r="A119" s="140"/>
      <c r="B119" s="141" t="s">
        <v>247</v>
      </c>
      <c r="C119" s="142" t="s">
        <v>5404</v>
      </c>
      <c r="D119" s="142" t="s">
        <v>5405</v>
      </c>
      <c r="E119" s="76"/>
      <c r="F119" s="76"/>
      <c r="G119" s="76"/>
      <c r="H119" s="76"/>
      <c r="I119" s="76"/>
      <c r="J119" s="76"/>
      <c r="K119" s="76"/>
      <c r="L119" s="76"/>
      <c r="M119" s="76"/>
      <c r="N119" s="76"/>
      <c r="O119" s="76"/>
      <c r="P119" s="76"/>
      <c r="Q119" s="76"/>
      <c r="R119" s="76"/>
      <c r="S119" s="76"/>
      <c r="T119" s="76"/>
      <c r="U119" s="76"/>
      <c r="V119" s="76"/>
      <c r="W119" s="76"/>
      <c r="X119" s="76"/>
      <c r="Y119" s="76"/>
      <c r="Z119" s="76"/>
    </row>
    <row r="120" ht="22.5" customHeight="1">
      <c r="A120" s="140"/>
      <c r="B120" s="141" t="s">
        <v>247</v>
      </c>
      <c r="C120" s="142" t="s">
        <v>5406</v>
      </c>
      <c r="D120" s="142" t="s">
        <v>5407</v>
      </c>
      <c r="E120" s="76"/>
      <c r="F120" s="76"/>
      <c r="G120" s="76"/>
      <c r="H120" s="76"/>
      <c r="I120" s="76"/>
      <c r="J120" s="76"/>
      <c r="K120" s="76"/>
      <c r="L120" s="76"/>
      <c r="M120" s="76"/>
      <c r="N120" s="76"/>
      <c r="O120" s="76"/>
      <c r="P120" s="76"/>
      <c r="Q120" s="76"/>
      <c r="R120" s="76"/>
      <c r="S120" s="76"/>
      <c r="T120" s="76"/>
      <c r="U120" s="76"/>
      <c r="V120" s="76"/>
      <c r="W120" s="76"/>
      <c r="X120" s="76"/>
      <c r="Y120" s="76"/>
      <c r="Z120" s="76"/>
    </row>
    <row r="121" ht="22.5" customHeight="1">
      <c r="A121" s="140"/>
      <c r="B121" s="141" t="s">
        <v>247</v>
      </c>
      <c r="C121" s="142" t="s">
        <v>5408</v>
      </c>
      <c r="D121" s="142" t="s">
        <v>5409</v>
      </c>
      <c r="E121" s="76"/>
      <c r="F121" s="76"/>
      <c r="G121" s="76"/>
      <c r="H121" s="76"/>
      <c r="I121" s="76"/>
      <c r="J121" s="76"/>
      <c r="K121" s="76"/>
      <c r="L121" s="76"/>
      <c r="M121" s="76"/>
      <c r="N121" s="76"/>
      <c r="O121" s="76"/>
      <c r="P121" s="76"/>
      <c r="Q121" s="76"/>
      <c r="R121" s="76"/>
      <c r="S121" s="76"/>
      <c r="T121" s="76"/>
      <c r="U121" s="76"/>
      <c r="V121" s="76"/>
      <c r="W121" s="76"/>
      <c r="X121" s="76"/>
      <c r="Y121" s="76"/>
      <c r="Z121" s="76"/>
    </row>
    <row r="122" ht="22.5" customHeight="1">
      <c r="A122" s="140"/>
      <c r="B122" s="141" t="s">
        <v>247</v>
      </c>
      <c r="C122" s="142" t="s">
        <v>5410</v>
      </c>
      <c r="D122" s="142" t="s">
        <v>5411</v>
      </c>
      <c r="E122" s="76"/>
      <c r="F122" s="76"/>
      <c r="G122" s="76"/>
      <c r="H122" s="76"/>
      <c r="I122" s="76"/>
      <c r="J122" s="76"/>
      <c r="K122" s="76"/>
      <c r="L122" s="76"/>
      <c r="M122" s="76"/>
      <c r="N122" s="76"/>
      <c r="O122" s="76"/>
      <c r="P122" s="76"/>
      <c r="Q122" s="76"/>
      <c r="R122" s="76"/>
      <c r="S122" s="76"/>
      <c r="T122" s="76"/>
      <c r="U122" s="76"/>
      <c r="V122" s="76"/>
      <c r="W122" s="76"/>
      <c r="X122" s="76"/>
      <c r="Y122" s="76"/>
      <c r="Z122" s="76"/>
    </row>
    <row r="123" ht="22.5" customHeight="1">
      <c r="A123" s="140"/>
      <c r="B123" s="141" t="s">
        <v>247</v>
      </c>
      <c r="C123" s="142" t="s">
        <v>5412</v>
      </c>
      <c r="D123" s="142" t="s">
        <v>5413</v>
      </c>
      <c r="E123" s="76"/>
      <c r="F123" s="76"/>
      <c r="G123" s="76"/>
      <c r="H123" s="76"/>
      <c r="I123" s="76"/>
      <c r="J123" s="76"/>
      <c r="K123" s="76"/>
      <c r="L123" s="76"/>
      <c r="M123" s="76"/>
      <c r="N123" s="76"/>
      <c r="O123" s="76"/>
      <c r="P123" s="76"/>
      <c r="Q123" s="76"/>
      <c r="R123" s="76"/>
      <c r="S123" s="76"/>
      <c r="T123" s="76"/>
      <c r="U123" s="76"/>
      <c r="V123" s="76"/>
      <c r="W123" s="76"/>
      <c r="X123" s="76"/>
      <c r="Y123" s="76"/>
      <c r="Z123" s="76"/>
    </row>
    <row r="124" ht="22.5" customHeight="1">
      <c r="A124" s="140"/>
      <c r="B124" s="141" t="s">
        <v>247</v>
      </c>
      <c r="C124" s="142" t="s">
        <v>5414</v>
      </c>
      <c r="D124" s="142" t="s">
        <v>5415</v>
      </c>
      <c r="E124" s="76"/>
      <c r="F124" s="76"/>
      <c r="G124" s="76"/>
      <c r="H124" s="76"/>
      <c r="I124" s="76"/>
      <c r="J124" s="76"/>
      <c r="K124" s="76"/>
      <c r="L124" s="76"/>
      <c r="M124" s="76"/>
      <c r="N124" s="76"/>
      <c r="O124" s="76"/>
      <c r="P124" s="76"/>
      <c r="Q124" s="76"/>
      <c r="R124" s="76"/>
      <c r="S124" s="76"/>
      <c r="T124" s="76"/>
      <c r="U124" s="76"/>
      <c r="V124" s="76"/>
      <c r="W124" s="76"/>
      <c r="X124" s="76"/>
      <c r="Y124" s="76"/>
      <c r="Z124" s="76"/>
    </row>
    <row r="125" ht="22.5" customHeight="1">
      <c r="A125" s="140"/>
      <c r="B125" s="141" t="s">
        <v>247</v>
      </c>
      <c r="C125" s="142" t="s">
        <v>5416</v>
      </c>
      <c r="D125" s="142" t="s">
        <v>5417</v>
      </c>
      <c r="E125" s="76"/>
      <c r="F125" s="76"/>
      <c r="G125" s="76"/>
      <c r="H125" s="76"/>
      <c r="I125" s="76"/>
      <c r="J125" s="76"/>
      <c r="K125" s="76"/>
      <c r="L125" s="76"/>
      <c r="M125" s="76"/>
      <c r="N125" s="76"/>
      <c r="O125" s="76"/>
      <c r="P125" s="76"/>
      <c r="Q125" s="76"/>
      <c r="R125" s="76"/>
      <c r="S125" s="76"/>
      <c r="T125" s="76"/>
      <c r="U125" s="76"/>
      <c r="V125" s="76"/>
      <c r="W125" s="76"/>
      <c r="X125" s="76"/>
      <c r="Y125" s="76"/>
      <c r="Z125" s="76"/>
    </row>
    <row r="126" ht="22.5" customHeight="1">
      <c r="A126" s="140"/>
      <c r="B126" s="141" t="s">
        <v>247</v>
      </c>
      <c r="C126" s="142" t="s">
        <v>5418</v>
      </c>
      <c r="D126" s="142" t="s">
        <v>5419</v>
      </c>
      <c r="E126" s="76"/>
      <c r="F126" s="76"/>
      <c r="G126" s="76"/>
      <c r="H126" s="76"/>
      <c r="I126" s="76"/>
      <c r="J126" s="76"/>
      <c r="K126" s="76"/>
      <c r="L126" s="76"/>
      <c r="M126" s="76"/>
      <c r="N126" s="76"/>
      <c r="O126" s="76"/>
      <c r="P126" s="76"/>
      <c r="Q126" s="76"/>
      <c r="R126" s="76"/>
      <c r="S126" s="76"/>
      <c r="T126" s="76"/>
      <c r="U126" s="76"/>
      <c r="V126" s="76"/>
      <c r="W126" s="76"/>
      <c r="X126" s="76"/>
      <c r="Y126" s="76"/>
      <c r="Z126" s="76"/>
    </row>
    <row r="127" ht="22.5" customHeight="1">
      <c r="A127" s="140"/>
      <c r="B127" s="141" t="s">
        <v>247</v>
      </c>
      <c r="C127" s="142" t="s">
        <v>5420</v>
      </c>
      <c r="D127" s="142" t="s">
        <v>5421</v>
      </c>
      <c r="E127" s="76"/>
      <c r="F127" s="76"/>
      <c r="G127" s="76"/>
      <c r="H127" s="76"/>
      <c r="I127" s="76"/>
      <c r="J127" s="76"/>
      <c r="K127" s="76"/>
      <c r="L127" s="76"/>
      <c r="M127" s="76"/>
      <c r="N127" s="76"/>
      <c r="O127" s="76"/>
      <c r="P127" s="76"/>
      <c r="Q127" s="76"/>
      <c r="R127" s="76"/>
      <c r="S127" s="76"/>
      <c r="T127" s="76"/>
      <c r="U127" s="76"/>
      <c r="V127" s="76"/>
      <c r="W127" s="76"/>
      <c r="X127" s="76"/>
      <c r="Y127" s="76"/>
      <c r="Z127" s="76"/>
    </row>
    <row r="128" ht="22.5" customHeight="1">
      <c r="A128" s="140"/>
      <c r="B128" s="141" t="s">
        <v>247</v>
      </c>
      <c r="C128" s="142" t="s">
        <v>5422</v>
      </c>
      <c r="D128" s="142" t="s">
        <v>5423</v>
      </c>
      <c r="E128" s="76"/>
      <c r="F128" s="76"/>
      <c r="G128" s="76"/>
      <c r="H128" s="76"/>
      <c r="I128" s="76"/>
      <c r="J128" s="76"/>
      <c r="K128" s="76"/>
      <c r="L128" s="76"/>
      <c r="M128" s="76"/>
      <c r="N128" s="76"/>
      <c r="O128" s="76"/>
      <c r="P128" s="76"/>
      <c r="Q128" s="76"/>
      <c r="R128" s="76"/>
      <c r="S128" s="76"/>
      <c r="T128" s="76"/>
      <c r="U128" s="76"/>
      <c r="V128" s="76"/>
      <c r="W128" s="76"/>
      <c r="X128" s="76"/>
      <c r="Y128" s="76"/>
      <c r="Z128" s="76"/>
    </row>
    <row r="129" ht="22.5" customHeight="1">
      <c r="A129" s="140"/>
      <c r="B129" s="141" t="s">
        <v>247</v>
      </c>
      <c r="C129" s="142" t="s">
        <v>5424</v>
      </c>
      <c r="D129" s="142" t="s">
        <v>5425</v>
      </c>
      <c r="E129" s="76"/>
      <c r="F129" s="76"/>
      <c r="G129" s="76"/>
      <c r="H129" s="76"/>
      <c r="I129" s="76"/>
      <c r="J129" s="76"/>
      <c r="K129" s="76"/>
      <c r="L129" s="76"/>
      <c r="M129" s="76"/>
      <c r="N129" s="76"/>
      <c r="O129" s="76"/>
      <c r="P129" s="76"/>
      <c r="Q129" s="76"/>
      <c r="R129" s="76"/>
      <c r="S129" s="76"/>
      <c r="T129" s="76"/>
      <c r="U129" s="76"/>
      <c r="V129" s="76"/>
      <c r="W129" s="76"/>
      <c r="X129" s="76"/>
      <c r="Y129" s="76"/>
      <c r="Z129" s="76"/>
    </row>
    <row r="130" ht="22.5" customHeight="1">
      <c r="A130" s="140"/>
      <c r="B130" s="141" t="s">
        <v>247</v>
      </c>
      <c r="C130" s="142" t="s">
        <v>5426</v>
      </c>
      <c r="D130" s="142" t="s">
        <v>5427</v>
      </c>
      <c r="E130" s="76"/>
      <c r="F130" s="76"/>
      <c r="G130" s="76"/>
      <c r="H130" s="76"/>
      <c r="I130" s="76"/>
      <c r="J130" s="76"/>
      <c r="K130" s="76"/>
      <c r="L130" s="76"/>
      <c r="M130" s="76"/>
      <c r="N130" s="76"/>
      <c r="O130" s="76"/>
      <c r="P130" s="76"/>
      <c r="Q130" s="76"/>
      <c r="R130" s="76"/>
      <c r="S130" s="76"/>
      <c r="T130" s="76"/>
      <c r="U130" s="76"/>
      <c r="V130" s="76"/>
      <c r="W130" s="76"/>
      <c r="X130" s="76"/>
      <c r="Y130" s="76"/>
      <c r="Z130" s="76"/>
    </row>
    <row r="131" ht="22.5" customHeight="1">
      <c r="A131" s="140"/>
      <c r="B131" s="141" t="s">
        <v>247</v>
      </c>
      <c r="C131" s="142" t="s">
        <v>5428</v>
      </c>
      <c r="D131" s="142" t="s">
        <v>5429</v>
      </c>
      <c r="E131" s="76"/>
      <c r="F131" s="76"/>
      <c r="G131" s="76"/>
      <c r="H131" s="76"/>
      <c r="I131" s="76"/>
      <c r="J131" s="76"/>
      <c r="K131" s="76"/>
      <c r="L131" s="76"/>
      <c r="M131" s="76"/>
      <c r="N131" s="76"/>
      <c r="O131" s="76"/>
      <c r="P131" s="76"/>
      <c r="Q131" s="76"/>
      <c r="R131" s="76"/>
      <c r="S131" s="76"/>
      <c r="T131" s="76"/>
      <c r="U131" s="76"/>
      <c r="V131" s="76"/>
      <c r="W131" s="76"/>
      <c r="X131" s="76"/>
      <c r="Y131" s="76"/>
      <c r="Z131" s="76"/>
    </row>
    <row r="132" ht="22.5" customHeight="1">
      <c r="A132" s="140"/>
      <c r="B132" s="141" t="s">
        <v>247</v>
      </c>
      <c r="C132" s="142" t="s">
        <v>5430</v>
      </c>
      <c r="D132" s="142" t="s">
        <v>5431</v>
      </c>
      <c r="E132" s="76"/>
      <c r="F132" s="76"/>
      <c r="G132" s="76"/>
      <c r="H132" s="76"/>
      <c r="I132" s="76"/>
      <c r="J132" s="76"/>
      <c r="K132" s="76"/>
      <c r="L132" s="76"/>
      <c r="M132" s="76"/>
      <c r="N132" s="76"/>
      <c r="O132" s="76"/>
      <c r="P132" s="76"/>
      <c r="Q132" s="76"/>
      <c r="R132" s="76"/>
      <c r="S132" s="76"/>
      <c r="T132" s="76"/>
      <c r="U132" s="76"/>
      <c r="V132" s="76"/>
      <c r="W132" s="76"/>
      <c r="X132" s="76"/>
      <c r="Y132" s="76"/>
      <c r="Z132" s="76"/>
    </row>
    <row r="133" ht="22.5" customHeight="1">
      <c r="A133" s="140"/>
      <c r="B133" s="141" t="s">
        <v>247</v>
      </c>
      <c r="C133" s="142" t="s">
        <v>5432</v>
      </c>
      <c r="D133" s="143" t="s">
        <v>5433</v>
      </c>
      <c r="E133" s="76"/>
      <c r="F133" s="76"/>
      <c r="G133" s="76"/>
      <c r="H133" s="76"/>
      <c r="I133" s="76"/>
      <c r="J133" s="76"/>
      <c r="K133" s="76"/>
      <c r="L133" s="76"/>
      <c r="M133" s="76"/>
      <c r="N133" s="76"/>
      <c r="O133" s="76"/>
      <c r="P133" s="76"/>
      <c r="Q133" s="76"/>
      <c r="R133" s="76"/>
      <c r="S133" s="76"/>
      <c r="T133" s="76"/>
      <c r="U133" s="76"/>
      <c r="V133" s="76"/>
      <c r="W133" s="76"/>
      <c r="X133" s="76"/>
      <c r="Y133" s="76"/>
      <c r="Z133" s="76"/>
    </row>
    <row r="134" ht="22.5" customHeight="1">
      <c r="A134" s="140"/>
      <c r="B134" s="141" t="s">
        <v>247</v>
      </c>
      <c r="C134" s="142" t="s">
        <v>5434</v>
      </c>
      <c r="D134" s="142" t="s">
        <v>5435</v>
      </c>
      <c r="E134" s="76"/>
      <c r="F134" s="76"/>
      <c r="G134" s="76"/>
      <c r="H134" s="76"/>
      <c r="I134" s="76"/>
      <c r="J134" s="76"/>
      <c r="K134" s="76"/>
      <c r="L134" s="76"/>
      <c r="M134" s="76"/>
      <c r="N134" s="76"/>
      <c r="O134" s="76"/>
      <c r="P134" s="76"/>
      <c r="Q134" s="76"/>
      <c r="R134" s="76"/>
      <c r="S134" s="76"/>
      <c r="T134" s="76"/>
      <c r="U134" s="76"/>
      <c r="V134" s="76"/>
      <c r="W134" s="76"/>
      <c r="X134" s="76"/>
      <c r="Y134" s="76"/>
      <c r="Z134" s="76"/>
    </row>
    <row r="135" ht="22.5" customHeight="1">
      <c r="A135" s="140"/>
      <c r="B135" s="141" t="s">
        <v>247</v>
      </c>
      <c r="C135" s="142" t="s">
        <v>5436</v>
      </c>
      <c r="D135" s="142" t="s">
        <v>5437</v>
      </c>
      <c r="E135" s="76"/>
      <c r="F135" s="76"/>
      <c r="G135" s="76"/>
      <c r="H135" s="76"/>
      <c r="I135" s="76"/>
      <c r="J135" s="76"/>
      <c r="K135" s="76"/>
      <c r="L135" s="76"/>
      <c r="M135" s="76"/>
      <c r="N135" s="76"/>
      <c r="O135" s="76"/>
      <c r="P135" s="76"/>
      <c r="Q135" s="76"/>
      <c r="R135" s="76"/>
      <c r="S135" s="76"/>
      <c r="T135" s="76"/>
      <c r="U135" s="76"/>
      <c r="V135" s="76"/>
      <c r="W135" s="76"/>
      <c r="X135" s="76"/>
      <c r="Y135" s="76"/>
      <c r="Z135" s="76"/>
    </row>
    <row r="136" ht="22.5" customHeight="1">
      <c r="A136" s="140"/>
      <c r="B136" s="141" t="s">
        <v>247</v>
      </c>
      <c r="C136" s="142" t="s">
        <v>5438</v>
      </c>
      <c r="D136" s="142" t="s">
        <v>5439</v>
      </c>
      <c r="E136" s="76"/>
      <c r="F136" s="76"/>
      <c r="G136" s="76"/>
      <c r="H136" s="76"/>
      <c r="I136" s="76"/>
      <c r="J136" s="76"/>
      <c r="K136" s="76"/>
      <c r="L136" s="76"/>
      <c r="M136" s="76"/>
      <c r="N136" s="76"/>
      <c r="O136" s="76"/>
      <c r="P136" s="76"/>
      <c r="Q136" s="76"/>
      <c r="R136" s="76"/>
      <c r="S136" s="76"/>
      <c r="T136" s="76"/>
      <c r="U136" s="76"/>
      <c r="V136" s="76"/>
      <c r="W136" s="76"/>
      <c r="X136" s="76"/>
      <c r="Y136" s="76"/>
      <c r="Z136" s="76"/>
    </row>
    <row r="137" ht="22.5" customHeight="1">
      <c r="A137" s="140"/>
      <c r="B137" s="141" t="s">
        <v>247</v>
      </c>
      <c r="C137" s="142" t="s">
        <v>5440</v>
      </c>
      <c r="D137" s="142" t="s">
        <v>5441</v>
      </c>
      <c r="E137" s="76"/>
      <c r="F137" s="76"/>
      <c r="G137" s="76"/>
      <c r="H137" s="76"/>
      <c r="I137" s="76"/>
      <c r="J137" s="76"/>
      <c r="K137" s="76"/>
      <c r="L137" s="76"/>
      <c r="M137" s="76"/>
      <c r="N137" s="76"/>
      <c r="O137" s="76"/>
      <c r="P137" s="76"/>
      <c r="Q137" s="76"/>
      <c r="R137" s="76"/>
      <c r="S137" s="76"/>
      <c r="T137" s="76"/>
      <c r="U137" s="76"/>
      <c r="V137" s="76"/>
      <c r="W137" s="76"/>
      <c r="X137" s="76"/>
      <c r="Y137" s="76"/>
      <c r="Z137" s="76"/>
    </row>
    <row r="138" ht="22.5" customHeight="1">
      <c r="A138" s="140"/>
      <c r="B138" s="141" t="s">
        <v>247</v>
      </c>
      <c r="C138" s="142" t="s">
        <v>5442</v>
      </c>
      <c r="D138" s="142" t="s">
        <v>5443</v>
      </c>
      <c r="E138" s="76"/>
      <c r="F138" s="76"/>
      <c r="G138" s="76"/>
      <c r="H138" s="76"/>
      <c r="I138" s="76"/>
      <c r="J138" s="76"/>
      <c r="K138" s="76"/>
      <c r="L138" s="76"/>
      <c r="M138" s="76"/>
      <c r="N138" s="76"/>
      <c r="O138" s="76"/>
      <c r="P138" s="76"/>
      <c r="Q138" s="76"/>
      <c r="R138" s="76"/>
      <c r="S138" s="76"/>
      <c r="T138" s="76"/>
      <c r="U138" s="76"/>
      <c r="V138" s="76"/>
      <c r="W138" s="76"/>
      <c r="X138" s="76"/>
      <c r="Y138" s="76"/>
      <c r="Z138" s="76"/>
    </row>
    <row r="139" ht="22.5" customHeight="1">
      <c r="A139" s="140"/>
      <c r="B139" s="141" t="s">
        <v>247</v>
      </c>
      <c r="C139" s="142" t="s">
        <v>5444</v>
      </c>
      <c r="D139" s="142" t="s">
        <v>5445</v>
      </c>
      <c r="E139" s="76"/>
      <c r="F139" s="76"/>
      <c r="G139" s="76"/>
      <c r="H139" s="76"/>
      <c r="I139" s="76"/>
      <c r="J139" s="76"/>
      <c r="K139" s="76"/>
      <c r="L139" s="76"/>
      <c r="M139" s="76"/>
      <c r="N139" s="76"/>
      <c r="O139" s="76"/>
      <c r="P139" s="76"/>
      <c r="Q139" s="76"/>
      <c r="R139" s="76"/>
      <c r="S139" s="76"/>
      <c r="T139" s="76"/>
      <c r="U139" s="76"/>
      <c r="V139" s="76"/>
      <c r="W139" s="76"/>
      <c r="X139" s="76"/>
      <c r="Y139" s="76"/>
      <c r="Z139" s="76"/>
    </row>
    <row r="140" ht="22.5" customHeight="1">
      <c r="A140" s="140"/>
      <c r="B140" s="141" t="s">
        <v>247</v>
      </c>
      <c r="C140" s="142" t="s">
        <v>5446</v>
      </c>
      <c r="D140" s="142" t="s">
        <v>5447</v>
      </c>
      <c r="E140" s="76"/>
      <c r="F140" s="76"/>
      <c r="G140" s="76"/>
      <c r="H140" s="76"/>
      <c r="I140" s="76"/>
      <c r="J140" s="76"/>
      <c r="K140" s="76"/>
      <c r="L140" s="76"/>
      <c r="M140" s="76"/>
      <c r="N140" s="76"/>
      <c r="O140" s="76"/>
      <c r="P140" s="76"/>
      <c r="Q140" s="76"/>
      <c r="R140" s="76"/>
      <c r="S140" s="76"/>
      <c r="T140" s="76"/>
      <c r="U140" s="76"/>
      <c r="V140" s="76"/>
      <c r="W140" s="76"/>
      <c r="X140" s="76"/>
      <c r="Y140" s="76"/>
      <c r="Z140" s="76"/>
    </row>
    <row r="141" ht="22.5" customHeight="1">
      <c r="A141" s="140"/>
      <c r="B141" s="141" t="s">
        <v>247</v>
      </c>
      <c r="C141" s="142" t="s">
        <v>5448</v>
      </c>
      <c r="D141" s="142" t="s">
        <v>5449</v>
      </c>
      <c r="E141" s="76"/>
      <c r="F141" s="76"/>
      <c r="G141" s="76"/>
      <c r="H141" s="76"/>
      <c r="I141" s="76"/>
      <c r="J141" s="76"/>
      <c r="K141" s="76"/>
      <c r="L141" s="76"/>
      <c r="M141" s="76"/>
      <c r="N141" s="76"/>
      <c r="O141" s="76"/>
      <c r="P141" s="76"/>
      <c r="Q141" s="76"/>
      <c r="R141" s="76"/>
      <c r="S141" s="76"/>
      <c r="T141" s="76"/>
      <c r="U141" s="76"/>
      <c r="V141" s="76"/>
      <c r="W141" s="76"/>
      <c r="X141" s="76"/>
      <c r="Y141" s="76"/>
      <c r="Z141" s="76"/>
    </row>
    <row r="142" ht="22.5" customHeight="1">
      <c r="A142" s="140"/>
      <c r="B142" s="141" t="s">
        <v>247</v>
      </c>
      <c r="C142" s="142" t="s">
        <v>5450</v>
      </c>
      <c r="D142" s="142" t="s">
        <v>5451</v>
      </c>
      <c r="E142" s="76"/>
      <c r="F142" s="76"/>
      <c r="G142" s="76"/>
      <c r="H142" s="76"/>
      <c r="I142" s="76"/>
      <c r="J142" s="76"/>
      <c r="K142" s="76"/>
      <c r="L142" s="76"/>
      <c r="M142" s="76"/>
      <c r="N142" s="76"/>
      <c r="O142" s="76"/>
      <c r="P142" s="76"/>
      <c r="Q142" s="76"/>
      <c r="R142" s="76"/>
      <c r="S142" s="76"/>
      <c r="T142" s="76"/>
      <c r="U142" s="76"/>
      <c r="V142" s="76"/>
      <c r="W142" s="76"/>
      <c r="X142" s="76"/>
      <c r="Y142" s="76"/>
      <c r="Z142" s="76"/>
    </row>
    <row r="143" ht="22.5" customHeight="1">
      <c r="A143" s="140"/>
      <c r="B143" s="141" t="s">
        <v>247</v>
      </c>
      <c r="C143" s="142" t="s">
        <v>5452</v>
      </c>
      <c r="D143" s="142" t="s">
        <v>5453</v>
      </c>
      <c r="E143" s="76"/>
      <c r="F143" s="76"/>
      <c r="G143" s="76"/>
      <c r="H143" s="76"/>
      <c r="I143" s="76"/>
      <c r="J143" s="76"/>
      <c r="K143" s="76"/>
      <c r="L143" s="76"/>
      <c r="M143" s="76"/>
      <c r="N143" s="76"/>
      <c r="O143" s="76"/>
      <c r="P143" s="76"/>
      <c r="Q143" s="76"/>
      <c r="R143" s="76"/>
      <c r="S143" s="76"/>
      <c r="T143" s="76"/>
      <c r="U143" s="76"/>
      <c r="V143" s="76"/>
      <c r="W143" s="76"/>
      <c r="X143" s="76"/>
      <c r="Y143" s="76"/>
      <c r="Z143" s="76"/>
    </row>
    <row r="144" ht="22.5" customHeight="1">
      <c r="A144" s="140"/>
      <c r="B144" s="141" t="s">
        <v>247</v>
      </c>
      <c r="C144" s="142" t="s">
        <v>5454</v>
      </c>
      <c r="D144" s="142" t="s">
        <v>5455</v>
      </c>
      <c r="E144" s="76"/>
      <c r="F144" s="76"/>
      <c r="G144" s="76"/>
      <c r="H144" s="76"/>
      <c r="I144" s="76"/>
      <c r="J144" s="76"/>
      <c r="K144" s="76"/>
      <c r="L144" s="76"/>
      <c r="M144" s="76"/>
      <c r="N144" s="76"/>
      <c r="O144" s="76"/>
      <c r="P144" s="76"/>
      <c r="Q144" s="76"/>
      <c r="R144" s="76"/>
      <c r="S144" s="76"/>
      <c r="T144" s="76"/>
      <c r="U144" s="76"/>
      <c r="V144" s="76"/>
      <c r="W144" s="76"/>
      <c r="X144" s="76"/>
      <c r="Y144" s="76"/>
      <c r="Z144" s="76"/>
    </row>
    <row r="145" ht="22.5" customHeight="1">
      <c r="A145" s="140"/>
      <c r="B145" s="141" t="s">
        <v>247</v>
      </c>
      <c r="C145" s="142" t="s">
        <v>5456</v>
      </c>
      <c r="D145" s="143" t="s">
        <v>5457</v>
      </c>
      <c r="E145" s="76"/>
      <c r="F145" s="76"/>
      <c r="G145" s="76"/>
      <c r="H145" s="76"/>
      <c r="I145" s="76"/>
      <c r="J145" s="76"/>
      <c r="K145" s="76"/>
      <c r="L145" s="76"/>
      <c r="M145" s="76"/>
      <c r="N145" s="76"/>
      <c r="O145" s="76"/>
      <c r="P145" s="76"/>
      <c r="Q145" s="76"/>
      <c r="R145" s="76"/>
      <c r="S145" s="76"/>
      <c r="T145" s="76"/>
      <c r="U145" s="76"/>
      <c r="V145" s="76"/>
      <c r="W145" s="76"/>
      <c r="X145" s="76"/>
      <c r="Y145" s="76"/>
      <c r="Z145" s="76"/>
    </row>
    <row r="146" ht="22.5" customHeight="1">
      <c r="A146" s="140"/>
      <c r="B146" s="141" t="s">
        <v>247</v>
      </c>
      <c r="C146" s="142" t="s">
        <v>5458</v>
      </c>
      <c r="D146" s="142" t="s">
        <v>5459</v>
      </c>
      <c r="E146" s="76"/>
      <c r="F146" s="76"/>
      <c r="G146" s="76"/>
      <c r="H146" s="76"/>
      <c r="I146" s="76"/>
      <c r="J146" s="76"/>
      <c r="K146" s="76"/>
      <c r="L146" s="76"/>
      <c r="M146" s="76"/>
      <c r="N146" s="76"/>
      <c r="O146" s="76"/>
      <c r="P146" s="76"/>
      <c r="Q146" s="76"/>
      <c r="R146" s="76"/>
      <c r="S146" s="76"/>
      <c r="T146" s="76"/>
      <c r="U146" s="76"/>
      <c r="V146" s="76"/>
      <c r="W146" s="76"/>
      <c r="X146" s="76"/>
      <c r="Y146" s="76"/>
      <c r="Z146" s="76"/>
    </row>
    <row r="147" ht="22.5" customHeight="1">
      <c r="A147" s="140"/>
      <c r="B147" s="141" t="s">
        <v>247</v>
      </c>
      <c r="C147" s="142" t="s">
        <v>5460</v>
      </c>
      <c r="D147" s="142" t="s">
        <v>5461</v>
      </c>
      <c r="E147" s="76"/>
      <c r="F147" s="76"/>
      <c r="G147" s="76"/>
      <c r="H147" s="76"/>
      <c r="I147" s="76"/>
      <c r="J147" s="76"/>
      <c r="K147" s="76"/>
      <c r="L147" s="76"/>
      <c r="M147" s="76"/>
      <c r="N147" s="76"/>
      <c r="O147" s="76"/>
      <c r="P147" s="76"/>
      <c r="Q147" s="76"/>
      <c r="R147" s="76"/>
      <c r="S147" s="76"/>
      <c r="T147" s="76"/>
      <c r="U147" s="76"/>
      <c r="V147" s="76"/>
      <c r="W147" s="76"/>
      <c r="X147" s="76"/>
      <c r="Y147" s="76"/>
      <c r="Z147" s="76"/>
    </row>
    <row r="148" ht="22.5" customHeight="1">
      <c r="A148" s="140"/>
      <c r="B148" s="141" t="s">
        <v>247</v>
      </c>
      <c r="C148" s="142" t="s">
        <v>5462</v>
      </c>
      <c r="D148" s="142" t="s">
        <v>5463</v>
      </c>
      <c r="E148" s="76"/>
      <c r="F148" s="76"/>
      <c r="G148" s="76"/>
      <c r="H148" s="76"/>
      <c r="I148" s="76"/>
      <c r="J148" s="76"/>
      <c r="K148" s="76"/>
      <c r="L148" s="76"/>
      <c r="M148" s="76"/>
      <c r="N148" s="76"/>
      <c r="O148" s="76"/>
      <c r="P148" s="76"/>
      <c r="Q148" s="76"/>
      <c r="R148" s="76"/>
      <c r="S148" s="76"/>
      <c r="T148" s="76"/>
      <c r="U148" s="76"/>
      <c r="V148" s="76"/>
      <c r="W148" s="76"/>
      <c r="X148" s="76"/>
      <c r="Y148" s="76"/>
      <c r="Z148" s="76"/>
    </row>
    <row r="149" ht="22.5" customHeight="1">
      <c r="A149" s="140"/>
      <c r="B149" s="141" t="s">
        <v>247</v>
      </c>
      <c r="C149" s="142" t="s">
        <v>5464</v>
      </c>
      <c r="D149" s="142" t="s">
        <v>5465</v>
      </c>
      <c r="E149" s="76"/>
      <c r="F149" s="76"/>
      <c r="G149" s="76"/>
      <c r="H149" s="76"/>
      <c r="I149" s="76"/>
      <c r="J149" s="76"/>
      <c r="K149" s="76"/>
      <c r="L149" s="76"/>
      <c r="M149" s="76"/>
      <c r="N149" s="76"/>
      <c r="O149" s="76"/>
      <c r="P149" s="76"/>
      <c r="Q149" s="76"/>
      <c r="R149" s="76"/>
      <c r="S149" s="76"/>
      <c r="T149" s="76"/>
      <c r="U149" s="76"/>
      <c r="V149" s="76"/>
      <c r="W149" s="76"/>
      <c r="X149" s="76"/>
      <c r="Y149" s="76"/>
      <c r="Z149" s="76"/>
    </row>
    <row r="150" ht="22.5" customHeight="1">
      <c r="A150" s="140"/>
      <c r="B150" s="141" t="s">
        <v>247</v>
      </c>
      <c r="C150" s="142" t="s">
        <v>5466</v>
      </c>
      <c r="D150" s="142" t="s">
        <v>5467</v>
      </c>
      <c r="E150" s="76"/>
      <c r="F150" s="76"/>
      <c r="G150" s="76"/>
      <c r="H150" s="76"/>
      <c r="I150" s="76"/>
      <c r="J150" s="76"/>
      <c r="K150" s="76"/>
      <c r="L150" s="76"/>
      <c r="M150" s="76"/>
      <c r="N150" s="76"/>
      <c r="O150" s="76"/>
      <c r="P150" s="76"/>
      <c r="Q150" s="76"/>
      <c r="R150" s="76"/>
      <c r="S150" s="76"/>
      <c r="T150" s="76"/>
      <c r="U150" s="76"/>
      <c r="V150" s="76"/>
      <c r="W150" s="76"/>
      <c r="X150" s="76"/>
      <c r="Y150" s="76"/>
      <c r="Z150" s="76"/>
    </row>
    <row r="151" ht="22.5" customHeight="1">
      <c r="A151" s="140"/>
      <c r="B151" s="141" t="s">
        <v>247</v>
      </c>
      <c r="C151" s="142" t="s">
        <v>5468</v>
      </c>
      <c r="D151" s="142" t="s">
        <v>5469</v>
      </c>
      <c r="E151" s="76"/>
      <c r="F151" s="76"/>
      <c r="G151" s="76"/>
      <c r="H151" s="76"/>
      <c r="I151" s="76"/>
      <c r="J151" s="76"/>
      <c r="K151" s="76"/>
      <c r="L151" s="76"/>
      <c r="M151" s="76"/>
      <c r="N151" s="76"/>
      <c r="O151" s="76"/>
      <c r="P151" s="76"/>
      <c r="Q151" s="76"/>
      <c r="R151" s="76"/>
      <c r="S151" s="76"/>
      <c r="T151" s="76"/>
      <c r="U151" s="76"/>
      <c r="V151" s="76"/>
      <c r="W151" s="76"/>
      <c r="X151" s="76"/>
      <c r="Y151" s="76"/>
      <c r="Z151" s="76"/>
    </row>
    <row r="152" ht="22.5" customHeight="1">
      <c r="A152" s="140"/>
      <c r="B152" s="141" t="s">
        <v>247</v>
      </c>
      <c r="C152" s="142" t="s">
        <v>5470</v>
      </c>
      <c r="D152" s="142" t="s">
        <v>5471</v>
      </c>
      <c r="E152" s="76"/>
      <c r="F152" s="76"/>
      <c r="G152" s="76"/>
      <c r="H152" s="76"/>
      <c r="I152" s="76"/>
      <c r="J152" s="76"/>
      <c r="K152" s="76"/>
      <c r="L152" s="76"/>
      <c r="M152" s="76"/>
      <c r="N152" s="76"/>
      <c r="O152" s="76"/>
      <c r="P152" s="76"/>
      <c r="Q152" s="76"/>
      <c r="R152" s="76"/>
      <c r="S152" s="76"/>
      <c r="T152" s="76"/>
      <c r="U152" s="76"/>
      <c r="V152" s="76"/>
      <c r="W152" s="76"/>
      <c r="X152" s="76"/>
      <c r="Y152" s="76"/>
      <c r="Z152" s="76"/>
    </row>
    <row r="153" ht="22.5" customHeight="1">
      <c r="A153" s="140"/>
      <c r="B153" s="141" t="s">
        <v>247</v>
      </c>
      <c r="C153" s="142" t="s">
        <v>5472</v>
      </c>
      <c r="D153" s="142" t="s">
        <v>5473</v>
      </c>
      <c r="E153" s="76"/>
      <c r="F153" s="76"/>
      <c r="G153" s="76"/>
      <c r="H153" s="76"/>
      <c r="I153" s="76"/>
      <c r="J153" s="76"/>
      <c r="K153" s="76"/>
      <c r="L153" s="76"/>
      <c r="M153" s="76"/>
      <c r="N153" s="76"/>
      <c r="O153" s="76"/>
      <c r="P153" s="76"/>
      <c r="Q153" s="76"/>
      <c r="R153" s="76"/>
      <c r="S153" s="76"/>
      <c r="T153" s="76"/>
      <c r="U153" s="76"/>
      <c r="V153" s="76"/>
      <c r="W153" s="76"/>
      <c r="X153" s="76"/>
      <c r="Y153" s="76"/>
      <c r="Z153" s="76"/>
    </row>
    <row r="154" ht="22.5" customHeight="1">
      <c r="A154" s="140"/>
      <c r="B154" s="141" t="s">
        <v>247</v>
      </c>
      <c r="C154" s="142" t="s">
        <v>5474</v>
      </c>
      <c r="D154" s="142" t="s">
        <v>5475</v>
      </c>
      <c r="E154" s="76"/>
      <c r="F154" s="76"/>
      <c r="G154" s="76"/>
      <c r="H154" s="76"/>
      <c r="I154" s="76"/>
      <c r="J154" s="76"/>
      <c r="K154" s="76"/>
      <c r="L154" s="76"/>
      <c r="M154" s="76"/>
      <c r="N154" s="76"/>
      <c r="O154" s="76"/>
      <c r="P154" s="76"/>
      <c r="Q154" s="76"/>
      <c r="R154" s="76"/>
      <c r="S154" s="76"/>
      <c r="T154" s="76"/>
      <c r="U154" s="76"/>
      <c r="V154" s="76"/>
      <c r="W154" s="76"/>
      <c r="X154" s="76"/>
      <c r="Y154" s="76"/>
      <c r="Z154" s="76"/>
    </row>
    <row r="155" ht="22.5" customHeight="1">
      <c r="A155" s="140"/>
      <c r="B155" s="141" t="s">
        <v>247</v>
      </c>
      <c r="C155" s="142" t="s">
        <v>5476</v>
      </c>
      <c r="D155" s="142" t="s">
        <v>5477</v>
      </c>
      <c r="E155" s="76"/>
      <c r="F155" s="76"/>
      <c r="G155" s="76"/>
      <c r="H155" s="76"/>
      <c r="I155" s="76"/>
      <c r="J155" s="76"/>
      <c r="K155" s="76"/>
      <c r="L155" s="76"/>
      <c r="M155" s="76"/>
      <c r="N155" s="76"/>
      <c r="O155" s="76"/>
      <c r="P155" s="76"/>
      <c r="Q155" s="76"/>
      <c r="R155" s="76"/>
      <c r="S155" s="76"/>
      <c r="T155" s="76"/>
      <c r="U155" s="76"/>
      <c r="V155" s="76"/>
      <c r="W155" s="76"/>
      <c r="X155" s="76"/>
      <c r="Y155" s="76"/>
      <c r="Z155" s="76"/>
    </row>
    <row r="156" ht="22.5" customHeight="1">
      <c r="A156" s="140"/>
      <c r="B156" s="141" t="s">
        <v>247</v>
      </c>
      <c r="C156" s="142" t="s">
        <v>5478</v>
      </c>
      <c r="D156" s="142" t="s">
        <v>5479</v>
      </c>
      <c r="E156" s="76"/>
      <c r="F156" s="76"/>
      <c r="G156" s="76"/>
      <c r="H156" s="76"/>
      <c r="I156" s="76"/>
      <c r="J156" s="76"/>
      <c r="K156" s="76"/>
      <c r="L156" s="76"/>
      <c r="M156" s="76"/>
      <c r="N156" s="76"/>
      <c r="O156" s="76"/>
      <c r="P156" s="76"/>
      <c r="Q156" s="76"/>
      <c r="R156" s="76"/>
      <c r="S156" s="76"/>
      <c r="T156" s="76"/>
      <c r="U156" s="76"/>
      <c r="V156" s="76"/>
      <c r="W156" s="76"/>
      <c r="X156" s="76"/>
      <c r="Y156" s="76"/>
      <c r="Z156" s="76"/>
    </row>
    <row r="157" ht="22.5" customHeight="1">
      <c r="A157" s="140"/>
      <c r="B157" s="141" t="s">
        <v>247</v>
      </c>
      <c r="C157" s="142" t="s">
        <v>5480</v>
      </c>
      <c r="D157" s="142" t="s">
        <v>5481</v>
      </c>
      <c r="E157" s="76"/>
      <c r="F157" s="76"/>
      <c r="G157" s="76"/>
      <c r="H157" s="76"/>
      <c r="I157" s="76"/>
      <c r="J157" s="76"/>
      <c r="K157" s="76"/>
      <c r="L157" s="76"/>
      <c r="M157" s="76"/>
      <c r="N157" s="76"/>
      <c r="O157" s="76"/>
      <c r="P157" s="76"/>
      <c r="Q157" s="76"/>
      <c r="R157" s="76"/>
      <c r="S157" s="76"/>
      <c r="T157" s="76"/>
      <c r="U157" s="76"/>
      <c r="V157" s="76"/>
      <c r="W157" s="76"/>
      <c r="X157" s="76"/>
      <c r="Y157" s="76"/>
      <c r="Z157" s="76"/>
    </row>
    <row r="158" ht="22.5" customHeight="1">
      <c r="A158" s="140"/>
      <c r="B158" s="141" t="s">
        <v>247</v>
      </c>
      <c r="C158" s="142" t="s">
        <v>5482</v>
      </c>
      <c r="D158" s="142" t="s">
        <v>5483</v>
      </c>
      <c r="E158" s="76"/>
      <c r="F158" s="76"/>
      <c r="G158" s="76"/>
      <c r="H158" s="76"/>
      <c r="I158" s="76"/>
      <c r="J158" s="76"/>
      <c r="K158" s="76"/>
      <c r="L158" s="76"/>
      <c r="M158" s="76"/>
      <c r="N158" s="76"/>
      <c r="O158" s="76"/>
      <c r="P158" s="76"/>
      <c r="Q158" s="76"/>
      <c r="R158" s="76"/>
      <c r="S158" s="76"/>
      <c r="T158" s="76"/>
      <c r="U158" s="76"/>
      <c r="V158" s="76"/>
      <c r="W158" s="76"/>
      <c r="X158" s="76"/>
      <c r="Y158" s="76"/>
      <c r="Z158" s="76"/>
    </row>
    <row r="159" ht="22.5" customHeight="1">
      <c r="A159" s="140"/>
      <c r="B159" s="141" t="s">
        <v>247</v>
      </c>
      <c r="C159" s="142" t="s">
        <v>5484</v>
      </c>
      <c r="D159" s="142" t="s">
        <v>5485</v>
      </c>
      <c r="E159" s="76"/>
      <c r="F159" s="76"/>
      <c r="G159" s="76"/>
      <c r="H159" s="76"/>
      <c r="I159" s="76"/>
      <c r="J159" s="76"/>
      <c r="K159" s="76"/>
      <c r="L159" s="76"/>
      <c r="M159" s="76"/>
      <c r="N159" s="76"/>
      <c r="O159" s="76"/>
      <c r="P159" s="76"/>
      <c r="Q159" s="76"/>
      <c r="R159" s="76"/>
      <c r="S159" s="76"/>
      <c r="T159" s="76"/>
      <c r="U159" s="76"/>
      <c r="V159" s="76"/>
      <c r="W159" s="76"/>
      <c r="X159" s="76"/>
      <c r="Y159" s="76"/>
      <c r="Z159" s="76"/>
    </row>
    <row r="160" ht="22.5" customHeight="1">
      <c r="A160" s="140"/>
      <c r="B160" s="141" t="s">
        <v>247</v>
      </c>
      <c r="C160" s="142" t="s">
        <v>5486</v>
      </c>
      <c r="D160" s="142" t="s">
        <v>5487</v>
      </c>
      <c r="E160" s="76"/>
      <c r="F160" s="76"/>
      <c r="G160" s="76"/>
      <c r="H160" s="76"/>
      <c r="I160" s="76"/>
      <c r="J160" s="76"/>
      <c r="K160" s="76"/>
      <c r="L160" s="76"/>
      <c r="M160" s="76"/>
      <c r="N160" s="76"/>
      <c r="O160" s="76"/>
      <c r="P160" s="76"/>
      <c r="Q160" s="76"/>
      <c r="R160" s="76"/>
      <c r="S160" s="76"/>
      <c r="T160" s="76"/>
      <c r="U160" s="76"/>
      <c r="V160" s="76"/>
      <c r="W160" s="76"/>
      <c r="X160" s="76"/>
      <c r="Y160" s="76"/>
      <c r="Z160" s="76"/>
    </row>
    <row r="161" ht="22.5" customHeight="1">
      <c r="A161" s="140"/>
      <c r="B161" s="141" t="s">
        <v>247</v>
      </c>
      <c r="C161" s="142" t="s">
        <v>5488</v>
      </c>
      <c r="D161" s="142" t="s">
        <v>5489</v>
      </c>
      <c r="E161" s="76"/>
      <c r="F161" s="76"/>
      <c r="G161" s="76"/>
      <c r="H161" s="76"/>
      <c r="I161" s="76"/>
      <c r="J161" s="76"/>
      <c r="K161" s="76"/>
      <c r="L161" s="76"/>
      <c r="M161" s="76"/>
      <c r="N161" s="76"/>
      <c r="O161" s="76"/>
      <c r="P161" s="76"/>
      <c r="Q161" s="76"/>
      <c r="R161" s="76"/>
      <c r="S161" s="76"/>
      <c r="T161" s="76"/>
      <c r="U161" s="76"/>
      <c r="V161" s="76"/>
      <c r="W161" s="76"/>
      <c r="X161" s="76"/>
      <c r="Y161" s="76"/>
      <c r="Z161" s="76"/>
    </row>
    <row r="162" ht="22.5" customHeight="1">
      <c r="A162" s="140"/>
      <c r="B162" s="141" t="s">
        <v>247</v>
      </c>
      <c r="C162" s="142" t="s">
        <v>5490</v>
      </c>
      <c r="D162" s="142" t="s">
        <v>5491</v>
      </c>
      <c r="E162" s="76"/>
      <c r="F162" s="76"/>
      <c r="G162" s="76"/>
      <c r="H162" s="76"/>
      <c r="I162" s="76"/>
      <c r="J162" s="76"/>
      <c r="K162" s="76"/>
      <c r="L162" s="76"/>
      <c r="M162" s="76"/>
      <c r="N162" s="76"/>
      <c r="O162" s="76"/>
      <c r="P162" s="76"/>
      <c r="Q162" s="76"/>
      <c r="R162" s="76"/>
      <c r="S162" s="76"/>
      <c r="T162" s="76"/>
      <c r="U162" s="76"/>
      <c r="V162" s="76"/>
      <c r="W162" s="76"/>
      <c r="X162" s="76"/>
      <c r="Y162" s="76"/>
      <c r="Z162" s="76"/>
    </row>
    <row r="163" ht="22.5" customHeight="1">
      <c r="A163" s="140"/>
      <c r="B163" s="141" t="s">
        <v>247</v>
      </c>
      <c r="C163" s="142" t="s">
        <v>5492</v>
      </c>
      <c r="D163" s="142" t="s">
        <v>5493</v>
      </c>
      <c r="E163" s="76"/>
      <c r="F163" s="76"/>
      <c r="G163" s="76"/>
      <c r="H163" s="76"/>
      <c r="I163" s="76"/>
      <c r="J163" s="76"/>
      <c r="K163" s="76"/>
      <c r="L163" s="76"/>
      <c r="M163" s="76"/>
      <c r="N163" s="76"/>
      <c r="O163" s="76"/>
      <c r="P163" s="76"/>
      <c r="Q163" s="76"/>
      <c r="R163" s="76"/>
      <c r="S163" s="76"/>
      <c r="T163" s="76"/>
      <c r="U163" s="76"/>
      <c r="V163" s="76"/>
      <c r="W163" s="76"/>
      <c r="X163" s="76"/>
      <c r="Y163" s="76"/>
      <c r="Z163" s="76"/>
    </row>
    <row r="164" ht="22.5" customHeight="1">
      <c r="A164" s="140"/>
      <c r="B164" s="141" t="s">
        <v>247</v>
      </c>
      <c r="C164" s="142" t="s">
        <v>5494</v>
      </c>
      <c r="D164" s="142" t="s">
        <v>5495</v>
      </c>
      <c r="E164" s="76"/>
      <c r="F164" s="76"/>
      <c r="G164" s="76"/>
      <c r="H164" s="76"/>
      <c r="I164" s="76"/>
      <c r="J164" s="76"/>
      <c r="K164" s="76"/>
      <c r="L164" s="76"/>
      <c r="M164" s="76"/>
      <c r="N164" s="76"/>
      <c r="O164" s="76"/>
      <c r="P164" s="76"/>
      <c r="Q164" s="76"/>
      <c r="R164" s="76"/>
      <c r="S164" s="76"/>
      <c r="T164" s="76"/>
      <c r="U164" s="76"/>
      <c r="V164" s="76"/>
      <c r="W164" s="76"/>
      <c r="X164" s="76"/>
      <c r="Y164" s="76"/>
      <c r="Z164" s="76"/>
    </row>
    <row r="165" ht="22.5" customHeight="1">
      <c r="A165" s="140"/>
      <c r="B165" s="141" t="s">
        <v>247</v>
      </c>
      <c r="C165" s="142" t="s">
        <v>5496</v>
      </c>
      <c r="D165" s="142" t="s">
        <v>5497</v>
      </c>
      <c r="E165" s="76"/>
      <c r="F165" s="76"/>
      <c r="G165" s="76"/>
      <c r="H165" s="76"/>
      <c r="I165" s="76"/>
      <c r="J165" s="76"/>
      <c r="K165" s="76"/>
      <c r="L165" s="76"/>
      <c r="M165" s="76"/>
      <c r="N165" s="76"/>
      <c r="O165" s="76"/>
      <c r="P165" s="76"/>
      <c r="Q165" s="76"/>
      <c r="R165" s="76"/>
      <c r="S165" s="76"/>
      <c r="T165" s="76"/>
      <c r="U165" s="76"/>
      <c r="V165" s="76"/>
      <c r="W165" s="76"/>
      <c r="X165" s="76"/>
      <c r="Y165" s="76"/>
      <c r="Z165" s="76"/>
    </row>
    <row r="166" ht="22.5" customHeight="1">
      <c r="A166" s="140"/>
      <c r="B166" s="141" t="s">
        <v>247</v>
      </c>
      <c r="C166" s="142" t="s">
        <v>5498</v>
      </c>
      <c r="D166" s="142" t="s">
        <v>5499</v>
      </c>
      <c r="E166" s="76"/>
      <c r="F166" s="76"/>
      <c r="G166" s="76"/>
      <c r="H166" s="76"/>
      <c r="I166" s="76"/>
      <c r="J166" s="76"/>
      <c r="K166" s="76"/>
      <c r="L166" s="76"/>
      <c r="M166" s="76"/>
      <c r="N166" s="76"/>
      <c r="O166" s="76"/>
      <c r="P166" s="76"/>
      <c r="Q166" s="76"/>
      <c r="R166" s="76"/>
      <c r="S166" s="76"/>
      <c r="T166" s="76"/>
      <c r="U166" s="76"/>
      <c r="V166" s="76"/>
      <c r="W166" s="76"/>
      <c r="X166" s="76"/>
      <c r="Y166" s="76"/>
      <c r="Z166" s="76"/>
    </row>
    <row r="167" ht="22.5" customHeight="1">
      <c r="A167" s="140"/>
      <c r="B167" s="141" t="s">
        <v>247</v>
      </c>
      <c r="C167" s="142" t="s">
        <v>5500</v>
      </c>
      <c r="D167" s="142" t="s">
        <v>5501</v>
      </c>
      <c r="E167" s="76"/>
      <c r="F167" s="76"/>
      <c r="G167" s="76"/>
      <c r="H167" s="76"/>
      <c r="I167" s="76"/>
      <c r="J167" s="76"/>
      <c r="K167" s="76"/>
      <c r="L167" s="76"/>
      <c r="M167" s="76"/>
      <c r="N167" s="76"/>
      <c r="O167" s="76"/>
      <c r="P167" s="76"/>
      <c r="Q167" s="76"/>
      <c r="R167" s="76"/>
      <c r="S167" s="76"/>
      <c r="T167" s="76"/>
      <c r="U167" s="76"/>
      <c r="V167" s="76"/>
      <c r="W167" s="76"/>
      <c r="X167" s="76"/>
      <c r="Y167" s="76"/>
      <c r="Z167" s="76"/>
    </row>
    <row r="168" ht="22.5" customHeight="1">
      <c r="A168" s="140"/>
      <c r="B168" s="141" t="s">
        <v>247</v>
      </c>
      <c r="C168" s="142" t="s">
        <v>5502</v>
      </c>
      <c r="D168" s="142" t="s">
        <v>5503</v>
      </c>
      <c r="E168" s="76"/>
      <c r="F168" s="76"/>
      <c r="G168" s="76"/>
      <c r="H168" s="76"/>
      <c r="I168" s="76"/>
      <c r="J168" s="76"/>
      <c r="K168" s="76"/>
      <c r="L168" s="76"/>
      <c r="M168" s="76"/>
      <c r="N168" s="76"/>
      <c r="O168" s="76"/>
      <c r="P168" s="76"/>
      <c r="Q168" s="76"/>
      <c r="R168" s="76"/>
      <c r="S168" s="76"/>
      <c r="T168" s="76"/>
      <c r="U168" s="76"/>
      <c r="V168" s="76"/>
      <c r="W168" s="76"/>
      <c r="X168" s="76"/>
      <c r="Y168" s="76"/>
      <c r="Z168" s="76"/>
    </row>
    <row r="169" ht="22.5" customHeight="1">
      <c r="A169" s="140"/>
      <c r="B169" s="141" t="s">
        <v>247</v>
      </c>
      <c r="C169" s="142" t="s">
        <v>5504</v>
      </c>
      <c r="D169" s="142" t="s">
        <v>5505</v>
      </c>
      <c r="E169" s="76"/>
      <c r="F169" s="76"/>
      <c r="G169" s="76"/>
      <c r="H169" s="76"/>
      <c r="I169" s="76"/>
      <c r="J169" s="76"/>
      <c r="K169" s="76"/>
      <c r="L169" s="76"/>
      <c r="M169" s="76"/>
      <c r="N169" s="76"/>
      <c r="O169" s="76"/>
      <c r="P169" s="76"/>
      <c r="Q169" s="76"/>
      <c r="R169" s="76"/>
      <c r="S169" s="76"/>
      <c r="T169" s="76"/>
      <c r="U169" s="76"/>
      <c r="V169" s="76"/>
      <c r="W169" s="76"/>
      <c r="X169" s="76"/>
      <c r="Y169" s="76"/>
      <c r="Z169" s="76"/>
    </row>
    <row r="170" ht="22.5" customHeight="1">
      <c r="A170" s="140"/>
      <c r="B170" s="141" t="s">
        <v>247</v>
      </c>
      <c r="C170" s="142" t="s">
        <v>5506</v>
      </c>
      <c r="D170" s="142" t="s">
        <v>5507</v>
      </c>
      <c r="E170" s="76"/>
      <c r="F170" s="76"/>
      <c r="G170" s="76"/>
      <c r="H170" s="76"/>
      <c r="I170" s="76"/>
      <c r="J170" s="76"/>
      <c r="K170" s="76"/>
      <c r="L170" s="76"/>
      <c r="M170" s="76"/>
      <c r="N170" s="76"/>
      <c r="O170" s="76"/>
      <c r="P170" s="76"/>
      <c r="Q170" s="76"/>
      <c r="R170" s="76"/>
      <c r="S170" s="76"/>
      <c r="T170" s="76"/>
      <c r="U170" s="76"/>
      <c r="V170" s="76"/>
      <c r="W170" s="76"/>
      <c r="X170" s="76"/>
      <c r="Y170" s="76"/>
      <c r="Z170" s="76"/>
    </row>
    <row r="171" ht="22.5" customHeight="1">
      <c r="A171" s="140"/>
      <c r="B171" s="141" t="s">
        <v>247</v>
      </c>
      <c r="C171" s="142" t="s">
        <v>5508</v>
      </c>
      <c r="D171" s="142" t="s">
        <v>5509</v>
      </c>
      <c r="E171" s="76"/>
      <c r="F171" s="76"/>
      <c r="G171" s="76"/>
      <c r="H171" s="76"/>
      <c r="I171" s="76"/>
      <c r="J171" s="76"/>
      <c r="K171" s="76"/>
      <c r="L171" s="76"/>
      <c r="M171" s="76"/>
      <c r="N171" s="76"/>
      <c r="O171" s="76"/>
      <c r="P171" s="76"/>
      <c r="Q171" s="76"/>
      <c r="R171" s="76"/>
      <c r="S171" s="76"/>
      <c r="T171" s="76"/>
      <c r="U171" s="76"/>
      <c r="V171" s="76"/>
      <c r="W171" s="76"/>
      <c r="X171" s="76"/>
      <c r="Y171" s="76"/>
      <c r="Z171" s="76"/>
    </row>
    <row r="172" ht="22.5" customHeight="1">
      <c r="A172" s="140"/>
      <c r="B172" s="141" t="s">
        <v>247</v>
      </c>
      <c r="C172" s="142" t="s">
        <v>5510</v>
      </c>
      <c r="D172" s="142" t="s">
        <v>5511</v>
      </c>
      <c r="E172" s="76"/>
      <c r="F172" s="76"/>
      <c r="G172" s="76"/>
      <c r="H172" s="76"/>
      <c r="I172" s="76"/>
      <c r="J172" s="76"/>
      <c r="K172" s="76"/>
      <c r="L172" s="76"/>
      <c r="M172" s="76"/>
      <c r="N172" s="76"/>
      <c r="O172" s="76"/>
      <c r="P172" s="76"/>
      <c r="Q172" s="76"/>
      <c r="R172" s="76"/>
      <c r="S172" s="76"/>
      <c r="T172" s="76"/>
      <c r="U172" s="76"/>
      <c r="V172" s="76"/>
      <c r="W172" s="76"/>
      <c r="X172" s="76"/>
      <c r="Y172" s="76"/>
      <c r="Z172" s="76"/>
    </row>
    <row r="173" ht="22.5" customHeight="1">
      <c r="A173" s="140"/>
      <c r="B173" s="141" t="s">
        <v>247</v>
      </c>
      <c r="C173" s="142" t="s">
        <v>5512</v>
      </c>
      <c r="D173" s="143" t="s">
        <v>5513</v>
      </c>
      <c r="E173" s="76"/>
      <c r="F173" s="76"/>
      <c r="G173" s="76"/>
      <c r="H173" s="76"/>
      <c r="I173" s="76"/>
      <c r="J173" s="76"/>
      <c r="K173" s="76"/>
      <c r="L173" s="76"/>
      <c r="M173" s="76"/>
      <c r="N173" s="76"/>
      <c r="O173" s="76"/>
      <c r="P173" s="76"/>
      <c r="Q173" s="76"/>
      <c r="R173" s="76"/>
      <c r="S173" s="76"/>
      <c r="T173" s="76"/>
      <c r="U173" s="76"/>
      <c r="V173" s="76"/>
      <c r="W173" s="76"/>
      <c r="X173" s="76"/>
      <c r="Y173" s="76"/>
      <c r="Z173" s="76"/>
    </row>
    <row r="174" ht="22.5" customHeight="1">
      <c r="A174" s="140"/>
      <c r="B174" s="141" t="s">
        <v>247</v>
      </c>
      <c r="C174" s="142" t="s">
        <v>5514</v>
      </c>
      <c r="D174" s="142" t="s">
        <v>5515</v>
      </c>
      <c r="E174" s="76"/>
      <c r="F174" s="76"/>
      <c r="G174" s="76"/>
      <c r="H174" s="76"/>
      <c r="I174" s="76"/>
      <c r="J174" s="76"/>
      <c r="K174" s="76"/>
      <c r="L174" s="76"/>
      <c r="M174" s="76"/>
      <c r="N174" s="76"/>
      <c r="O174" s="76"/>
      <c r="P174" s="76"/>
      <c r="Q174" s="76"/>
      <c r="R174" s="76"/>
      <c r="S174" s="76"/>
      <c r="T174" s="76"/>
      <c r="U174" s="76"/>
      <c r="V174" s="76"/>
      <c r="W174" s="76"/>
      <c r="X174" s="76"/>
      <c r="Y174" s="76"/>
      <c r="Z174" s="76"/>
    </row>
    <row r="175" ht="22.5" customHeight="1">
      <c r="A175" s="140"/>
      <c r="B175" s="141" t="s">
        <v>247</v>
      </c>
      <c r="C175" s="142" t="s">
        <v>5516</v>
      </c>
      <c r="D175" s="142" t="s">
        <v>5517</v>
      </c>
      <c r="E175" s="76"/>
      <c r="F175" s="76"/>
      <c r="G175" s="76"/>
      <c r="H175" s="76"/>
      <c r="I175" s="76"/>
      <c r="J175" s="76"/>
      <c r="K175" s="76"/>
      <c r="L175" s="76"/>
      <c r="M175" s="76"/>
      <c r="N175" s="76"/>
      <c r="O175" s="76"/>
      <c r="P175" s="76"/>
      <c r="Q175" s="76"/>
      <c r="R175" s="76"/>
      <c r="S175" s="76"/>
      <c r="T175" s="76"/>
      <c r="U175" s="76"/>
      <c r="V175" s="76"/>
      <c r="W175" s="76"/>
      <c r="X175" s="76"/>
      <c r="Y175" s="76"/>
      <c r="Z175" s="76"/>
    </row>
    <row r="176" ht="22.5" customHeight="1">
      <c r="A176" s="140"/>
      <c r="B176" s="141" t="s">
        <v>247</v>
      </c>
      <c r="C176" s="142" t="s">
        <v>5518</v>
      </c>
      <c r="D176" s="143" t="s">
        <v>5519</v>
      </c>
      <c r="E176" s="76"/>
      <c r="F176" s="76"/>
      <c r="G176" s="76"/>
      <c r="H176" s="76"/>
      <c r="I176" s="76"/>
      <c r="J176" s="76"/>
      <c r="K176" s="76"/>
      <c r="L176" s="76"/>
      <c r="M176" s="76"/>
      <c r="N176" s="76"/>
      <c r="O176" s="76"/>
      <c r="P176" s="76"/>
      <c r="Q176" s="76"/>
      <c r="R176" s="76"/>
      <c r="S176" s="76"/>
      <c r="T176" s="76"/>
      <c r="U176" s="76"/>
      <c r="V176" s="76"/>
      <c r="W176" s="76"/>
      <c r="X176" s="76"/>
      <c r="Y176" s="76"/>
      <c r="Z176" s="76"/>
    </row>
    <row r="177" ht="22.5" customHeight="1">
      <c r="A177" s="140"/>
      <c r="B177" s="141" t="s">
        <v>247</v>
      </c>
      <c r="C177" s="142" t="s">
        <v>5520</v>
      </c>
      <c r="D177" s="142" t="s">
        <v>5521</v>
      </c>
      <c r="E177" s="76"/>
      <c r="F177" s="76"/>
      <c r="G177" s="76"/>
      <c r="H177" s="76"/>
      <c r="I177" s="76"/>
      <c r="J177" s="76"/>
      <c r="K177" s="76"/>
      <c r="L177" s="76"/>
      <c r="M177" s="76"/>
      <c r="N177" s="76"/>
      <c r="O177" s="76"/>
      <c r="P177" s="76"/>
      <c r="Q177" s="76"/>
      <c r="R177" s="76"/>
      <c r="S177" s="76"/>
      <c r="T177" s="76"/>
      <c r="U177" s="76"/>
      <c r="V177" s="76"/>
      <c r="W177" s="76"/>
      <c r="X177" s="76"/>
      <c r="Y177" s="76"/>
      <c r="Z177" s="76"/>
    </row>
    <row r="178" ht="22.5" customHeight="1">
      <c r="A178" s="140"/>
      <c r="B178" s="141" t="s">
        <v>247</v>
      </c>
      <c r="C178" s="142" t="s">
        <v>5522</v>
      </c>
      <c r="D178" s="142" t="s">
        <v>5523</v>
      </c>
      <c r="E178" s="76"/>
      <c r="F178" s="76"/>
      <c r="G178" s="76"/>
      <c r="H178" s="76"/>
      <c r="I178" s="76"/>
      <c r="J178" s="76"/>
      <c r="K178" s="76"/>
      <c r="L178" s="76"/>
      <c r="M178" s="76"/>
      <c r="N178" s="76"/>
      <c r="O178" s="76"/>
      <c r="P178" s="76"/>
      <c r="Q178" s="76"/>
      <c r="R178" s="76"/>
      <c r="S178" s="76"/>
      <c r="T178" s="76"/>
      <c r="U178" s="76"/>
      <c r="V178" s="76"/>
      <c r="W178" s="76"/>
      <c r="X178" s="76"/>
      <c r="Y178" s="76"/>
      <c r="Z178" s="76"/>
    </row>
    <row r="179" ht="22.5" customHeight="1">
      <c r="A179" s="140"/>
      <c r="B179" s="141" t="s">
        <v>247</v>
      </c>
      <c r="C179" s="142" t="s">
        <v>5524</v>
      </c>
      <c r="D179" s="142" t="s">
        <v>5525</v>
      </c>
      <c r="E179" s="76"/>
      <c r="F179" s="76"/>
      <c r="G179" s="76"/>
      <c r="H179" s="76"/>
      <c r="I179" s="76"/>
      <c r="J179" s="76"/>
      <c r="K179" s="76"/>
      <c r="L179" s="76"/>
      <c r="M179" s="76"/>
      <c r="N179" s="76"/>
      <c r="O179" s="76"/>
      <c r="P179" s="76"/>
      <c r="Q179" s="76"/>
      <c r="R179" s="76"/>
      <c r="S179" s="76"/>
      <c r="T179" s="76"/>
      <c r="U179" s="76"/>
      <c r="V179" s="76"/>
      <c r="W179" s="76"/>
      <c r="X179" s="76"/>
      <c r="Y179" s="76"/>
      <c r="Z179" s="76"/>
    </row>
    <row r="180" ht="22.5" customHeight="1">
      <c r="A180" s="140"/>
      <c r="B180" s="141" t="s">
        <v>247</v>
      </c>
      <c r="C180" s="142" t="s">
        <v>5526</v>
      </c>
      <c r="D180" s="142" t="s">
        <v>5527</v>
      </c>
      <c r="E180" s="76"/>
      <c r="F180" s="76"/>
      <c r="G180" s="76"/>
      <c r="H180" s="76"/>
      <c r="I180" s="76"/>
      <c r="J180" s="76"/>
      <c r="K180" s="76"/>
      <c r="L180" s="76"/>
      <c r="M180" s="76"/>
      <c r="N180" s="76"/>
      <c r="O180" s="76"/>
      <c r="P180" s="76"/>
      <c r="Q180" s="76"/>
      <c r="R180" s="76"/>
      <c r="S180" s="76"/>
      <c r="T180" s="76"/>
      <c r="U180" s="76"/>
      <c r="V180" s="76"/>
      <c r="W180" s="76"/>
      <c r="X180" s="76"/>
      <c r="Y180" s="76"/>
      <c r="Z180" s="76"/>
    </row>
    <row r="181" ht="22.5" customHeight="1">
      <c r="A181" s="140"/>
      <c r="B181" s="141" t="s">
        <v>247</v>
      </c>
      <c r="C181" s="142" t="s">
        <v>5528</v>
      </c>
      <c r="D181" s="142" t="s">
        <v>5529</v>
      </c>
      <c r="E181" s="76"/>
      <c r="F181" s="76"/>
      <c r="G181" s="76"/>
      <c r="H181" s="76"/>
      <c r="I181" s="76"/>
      <c r="J181" s="76"/>
      <c r="K181" s="76"/>
      <c r="L181" s="76"/>
      <c r="M181" s="76"/>
      <c r="N181" s="76"/>
      <c r="O181" s="76"/>
      <c r="P181" s="76"/>
      <c r="Q181" s="76"/>
      <c r="R181" s="76"/>
      <c r="S181" s="76"/>
      <c r="T181" s="76"/>
      <c r="U181" s="76"/>
      <c r="V181" s="76"/>
      <c r="W181" s="76"/>
      <c r="X181" s="76"/>
      <c r="Y181" s="76"/>
      <c r="Z181" s="76"/>
    </row>
    <row r="182" ht="22.5" customHeight="1">
      <c r="A182" s="140"/>
      <c r="B182" s="141" t="s">
        <v>247</v>
      </c>
      <c r="C182" s="142" t="s">
        <v>5530</v>
      </c>
      <c r="D182" s="142" t="s">
        <v>5531</v>
      </c>
      <c r="E182" s="76"/>
      <c r="F182" s="76"/>
      <c r="G182" s="76"/>
      <c r="H182" s="76"/>
      <c r="I182" s="76"/>
      <c r="J182" s="76"/>
      <c r="K182" s="76"/>
      <c r="L182" s="76"/>
      <c r="M182" s="76"/>
      <c r="N182" s="76"/>
      <c r="O182" s="76"/>
      <c r="P182" s="76"/>
      <c r="Q182" s="76"/>
      <c r="R182" s="76"/>
      <c r="S182" s="76"/>
      <c r="T182" s="76"/>
      <c r="U182" s="76"/>
      <c r="V182" s="76"/>
      <c r="W182" s="76"/>
      <c r="X182" s="76"/>
      <c r="Y182" s="76"/>
      <c r="Z182" s="76"/>
    </row>
    <row r="183" ht="22.5" customHeight="1">
      <c r="A183" s="140"/>
      <c r="B183" s="141" t="s">
        <v>247</v>
      </c>
      <c r="C183" s="142" t="s">
        <v>5532</v>
      </c>
      <c r="D183" s="142" t="s">
        <v>5533</v>
      </c>
      <c r="E183" s="76"/>
      <c r="F183" s="76"/>
      <c r="G183" s="76"/>
      <c r="H183" s="76"/>
      <c r="I183" s="76"/>
      <c r="J183" s="76"/>
      <c r="K183" s="76"/>
      <c r="L183" s="76"/>
      <c r="M183" s="76"/>
      <c r="N183" s="76"/>
      <c r="O183" s="76"/>
      <c r="P183" s="76"/>
      <c r="Q183" s="76"/>
      <c r="R183" s="76"/>
      <c r="S183" s="76"/>
      <c r="T183" s="76"/>
      <c r="U183" s="76"/>
      <c r="V183" s="76"/>
      <c r="W183" s="76"/>
      <c r="X183" s="76"/>
      <c r="Y183" s="76"/>
      <c r="Z183" s="76"/>
    </row>
    <row r="184" ht="22.5" customHeight="1">
      <c r="A184" s="140"/>
      <c r="B184" s="141" t="s">
        <v>247</v>
      </c>
      <c r="C184" s="142" t="s">
        <v>5534</v>
      </c>
      <c r="D184" s="142" t="s">
        <v>5535</v>
      </c>
      <c r="E184" s="76"/>
      <c r="F184" s="76"/>
      <c r="G184" s="76"/>
      <c r="H184" s="76"/>
      <c r="I184" s="76"/>
      <c r="J184" s="76"/>
      <c r="K184" s="76"/>
      <c r="L184" s="76"/>
      <c r="M184" s="76"/>
      <c r="N184" s="76"/>
      <c r="O184" s="76"/>
      <c r="P184" s="76"/>
      <c r="Q184" s="76"/>
      <c r="R184" s="76"/>
      <c r="S184" s="76"/>
      <c r="T184" s="76"/>
      <c r="U184" s="76"/>
      <c r="V184" s="76"/>
      <c r="W184" s="76"/>
      <c r="X184" s="76"/>
      <c r="Y184" s="76"/>
      <c r="Z184" s="76"/>
    </row>
    <row r="185" ht="22.5" customHeight="1">
      <c r="A185" s="140"/>
      <c r="B185" s="141" t="s">
        <v>247</v>
      </c>
      <c r="C185" s="142" t="s">
        <v>5536</v>
      </c>
      <c r="D185" s="142" t="s">
        <v>5537</v>
      </c>
      <c r="E185" s="76"/>
      <c r="F185" s="76"/>
      <c r="G185" s="76"/>
      <c r="H185" s="76"/>
      <c r="I185" s="76"/>
      <c r="J185" s="76"/>
      <c r="K185" s="76"/>
      <c r="L185" s="76"/>
      <c r="M185" s="76"/>
      <c r="N185" s="76"/>
      <c r="O185" s="76"/>
      <c r="P185" s="76"/>
      <c r="Q185" s="76"/>
      <c r="R185" s="76"/>
      <c r="S185" s="76"/>
      <c r="T185" s="76"/>
      <c r="U185" s="76"/>
      <c r="V185" s="76"/>
      <c r="W185" s="76"/>
      <c r="X185" s="76"/>
      <c r="Y185" s="76"/>
      <c r="Z185" s="76"/>
    </row>
    <row r="186" ht="22.5" customHeight="1">
      <c r="A186" s="140"/>
      <c r="B186" s="141" t="s">
        <v>247</v>
      </c>
      <c r="C186" s="141" t="s">
        <v>5538</v>
      </c>
      <c r="D186" s="141" t="s">
        <v>5539</v>
      </c>
      <c r="E186" s="76"/>
      <c r="F186" s="76"/>
      <c r="G186" s="76"/>
      <c r="H186" s="76"/>
      <c r="I186" s="76"/>
      <c r="J186" s="76"/>
      <c r="K186" s="76"/>
      <c r="L186" s="76"/>
      <c r="M186" s="76"/>
      <c r="N186" s="76"/>
      <c r="O186" s="76"/>
      <c r="P186" s="76"/>
      <c r="Q186" s="76"/>
      <c r="R186" s="76"/>
      <c r="S186" s="76"/>
      <c r="T186" s="76"/>
      <c r="U186" s="76"/>
      <c r="V186" s="76"/>
      <c r="W186" s="76"/>
      <c r="X186" s="76"/>
      <c r="Y186" s="76"/>
      <c r="Z186" s="76"/>
    </row>
    <row r="187" ht="22.5" customHeight="1">
      <c r="A187" s="140"/>
      <c r="B187" s="141" t="s">
        <v>247</v>
      </c>
      <c r="C187" s="141" t="s">
        <v>5540</v>
      </c>
      <c r="D187" s="141" t="s">
        <v>5541</v>
      </c>
      <c r="E187" s="76"/>
      <c r="F187" s="76"/>
      <c r="G187" s="76"/>
      <c r="H187" s="76"/>
      <c r="I187" s="76"/>
      <c r="J187" s="76"/>
      <c r="K187" s="76"/>
      <c r="L187" s="76"/>
      <c r="M187" s="76"/>
      <c r="N187" s="76"/>
      <c r="O187" s="76"/>
      <c r="P187" s="76"/>
      <c r="Q187" s="76"/>
      <c r="R187" s="76"/>
      <c r="S187" s="76"/>
      <c r="T187" s="76"/>
      <c r="U187" s="76"/>
      <c r="V187" s="76"/>
      <c r="W187" s="76"/>
      <c r="X187" s="76"/>
      <c r="Y187" s="76"/>
      <c r="Z187" s="76"/>
    </row>
    <row r="188" ht="22.5" customHeight="1">
      <c r="A188" s="140"/>
      <c r="B188" s="141" t="s">
        <v>247</v>
      </c>
      <c r="C188" s="141" t="s">
        <v>5542</v>
      </c>
      <c r="D188" s="141" t="s">
        <v>5543</v>
      </c>
      <c r="E188" s="76"/>
      <c r="F188" s="76"/>
      <c r="G188" s="76"/>
      <c r="H188" s="76"/>
      <c r="I188" s="76"/>
      <c r="J188" s="76"/>
      <c r="K188" s="76"/>
      <c r="L188" s="76"/>
      <c r="M188" s="76"/>
      <c r="N188" s="76"/>
      <c r="O188" s="76"/>
      <c r="P188" s="76"/>
      <c r="Q188" s="76"/>
      <c r="R188" s="76"/>
      <c r="S188" s="76"/>
      <c r="T188" s="76"/>
      <c r="U188" s="76"/>
      <c r="V188" s="76"/>
      <c r="W188" s="76"/>
      <c r="X188" s="76"/>
      <c r="Y188" s="76"/>
      <c r="Z188" s="76"/>
    </row>
    <row r="189" ht="22.5" customHeight="1">
      <c r="A189" s="140"/>
      <c r="B189" s="141" t="s">
        <v>247</v>
      </c>
      <c r="C189" s="141" t="s">
        <v>5544</v>
      </c>
      <c r="D189" s="141" t="s">
        <v>5545</v>
      </c>
      <c r="E189" s="76"/>
      <c r="F189" s="76"/>
      <c r="G189" s="76"/>
      <c r="H189" s="76"/>
      <c r="I189" s="76"/>
      <c r="J189" s="76"/>
      <c r="K189" s="76"/>
      <c r="L189" s="76"/>
      <c r="M189" s="76"/>
      <c r="N189" s="76"/>
      <c r="O189" s="76"/>
      <c r="P189" s="76"/>
      <c r="Q189" s="76"/>
      <c r="R189" s="76"/>
      <c r="S189" s="76"/>
      <c r="T189" s="76"/>
      <c r="U189" s="76"/>
      <c r="V189" s="76"/>
      <c r="W189" s="76"/>
      <c r="X189" s="76"/>
      <c r="Y189" s="76"/>
      <c r="Z189" s="76"/>
    </row>
    <row r="190" ht="22.5" customHeight="1">
      <c r="A190" s="140"/>
      <c r="B190" s="141" t="s">
        <v>247</v>
      </c>
      <c r="C190" s="141" t="s">
        <v>5546</v>
      </c>
      <c r="D190" s="141" t="s">
        <v>5547</v>
      </c>
      <c r="E190" s="76"/>
      <c r="F190" s="76"/>
      <c r="G190" s="76"/>
      <c r="H190" s="76"/>
      <c r="I190" s="76"/>
      <c r="J190" s="76"/>
      <c r="K190" s="76"/>
      <c r="L190" s="76"/>
      <c r="M190" s="76"/>
      <c r="N190" s="76"/>
      <c r="O190" s="76"/>
      <c r="P190" s="76"/>
      <c r="Q190" s="76"/>
      <c r="R190" s="76"/>
      <c r="S190" s="76"/>
      <c r="T190" s="76"/>
      <c r="U190" s="76"/>
      <c r="V190" s="76"/>
      <c r="W190" s="76"/>
      <c r="X190" s="76"/>
      <c r="Y190" s="76"/>
      <c r="Z190" s="76"/>
    </row>
    <row r="191" ht="22.5" customHeight="1">
      <c r="A191" s="140"/>
      <c r="B191" s="141" t="s">
        <v>247</v>
      </c>
      <c r="C191" s="141" t="s">
        <v>5548</v>
      </c>
      <c r="D191" s="141" t="s">
        <v>5549</v>
      </c>
      <c r="E191" s="76"/>
      <c r="F191" s="76"/>
      <c r="G191" s="76"/>
      <c r="H191" s="76"/>
      <c r="I191" s="76"/>
      <c r="J191" s="76"/>
      <c r="K191" s="76"/>
      <c r="L191" s="76"/>
      <c r="M191" s="76"/>
      <c r="N191" s="76"/>
      <c r="O191" s="76"/>
      <c r="P191" s="76"/>
      <c r="Q191" s="76"/>
      <c r="R191" s="76"/>
      <c r="S191" s="76"/>
      <c r="T191" s="76"/>
      <c r="U191" s="76"/>
      <c r="V191" s="76"/>
      <c r="W191" s="76"/>
      <c r="X191" s="76"/>
      <c r="Y191" s="76"/>
      <c r="Z191" s="76"/>
    </row>
    <row r="192" ht="22.5" customHeight="1">
      <c r="A192" s="140"/>
      <c r="B192" s="141" t="s">
        <v>247</v>
      </c>
      <c r="C192" s="141" t="s">
        <v>5550</v>
      </c>
      <c r="D192" s="141" t="s">
        <v>5551</v>
      </c>
      <c r="E192" s="76"/>
      <c r="F192" s="76"/>
      <c r="G192" s="76"/>
      <c r="H192" s="76"/>
      <c r="I192" s="76"/>
      <c r="J192" s="76"/>
      <c r="K192" s="76"/>
      <c r="L192" s="76"/>
      <c r="M192" s="76"/>
      <c r="N192" s="76"/>
      <c r="O192" s="76"/>
      <c r="P192" s="76"/>
      <c r="Q192" s="76"/>
      <c r="R192" s="76"/>
      <c r="S192" s="76"/>
      <c r="T192" s="76"/>
      <c r="U192" s="76"/>
      <c r="V192" s="76"/>
      <c r="W192" s="76"/>
      <c r="X192" s="76"/>
      <c r="Y192" s="76"/>
      <c r="Z192" s="76"/>
    </row>
    <row r="193" ht="22.5" customHeight="1">
      <c r="A193" s="140"/>
      <c r="B193" s="141" t="s">
        <v>247</v>
      </c>
      <c r="C193" s="141" t="s">
        <v>5552</v>
      </c>
      <c r="D193" s="141" t="s">
        <v>5553</v>
      </c>
      <c r="E193" s="76"/>
      <c r="F193" s="76"/>
      <c r="G193" s="76"/>
      <c r="H193" s="76"/>
      <c r="I193" s="76"/>
      <c r="J193" s="76"/>
      <c r="K193" s="76"/>
      <c r="L193" s="76"/>
      <c r="M193" s="76"/>
      <c r="N193" s="76"/>
      <c r="O193" s="76"/>
      <c r="P193" s="76"/>
      <c r="Q193" s="76"/>
      <c r="R193" s="76"/>
      <c r="S193" s="76"/>
      <c r="T193" s="76"/>
      <c r="U193" s="76"/>
      <c r="V193" s="76"/>
      <c r="W193" s="76"/>
      <c r="X193" s="76"/>
      <c r="Y193" s="76"/>
      <c r="Z193" s="76"/>
    </row>
    <row r="194" ht="22.5" customHeight="1">
      <c r="A194" s="140"/>
      <c r="B194" s="141" t="s">
        <v>247</v>
      </c>
      <c r="C194" s="141" t="s">
        <v>5554</v>
      </c>
      <c r="D194" s="141" t="s">
        <v>5555</v>
      </c>
      <c r="E194" s="76"/>
      <c r="F194" s="76"/>
      <c r="G194" s="76"/>
      <c r="H194" s="76"/>
      <c r="I194" s="76"/>
      <c r="J194" s="76"/>
      <c r="K194" s="76"/>
      <c r="L194" s="76"/>
      <c r="M194" s="76"/>
      <c r="N194" s="76"/>
      <c r="O194" s="76"/>
      <c r="P194" s="76"/>
      <c r="Q194" s="76"/>
      <c r="R194" s="76"/>
      <c r="S194" s="76"/>
      <c r="T194" s="76"/>
      <c r="U194" s="76"/>
      <c r="V194" s="76"/>
      <c r="W194" s="76"/>
      <c r="X194" s="76"/>
      <c r="Y194" s="76"/>
      <c r="Z194" s="76"/>
    </row>
    <row r="195" ht="22.5" customHeight="1">
      <c r="A195" s="140"/>
      <c r="B195" s="141" t="s">
        <v>247</v>
      </c>
      <c r="C195" s="141" t="s">
        <v>5556</v>
      </c>
      <c r="D195" s="141" t="s">
        <v>5557</v>
      </c>
      <c r="E195" s="76"/>
      <c r="F195" s="76"/>
      <c r="G195" s="76"/>
      <c r="H195" s="76"/>
      <c r="I195" s="76"/>
      <c r="J195" s="76"/>
      <c r="K195" s="76"/>
      <c r="L195" s="76"/>
      <c r="M195" s="76"/>
      <c r="N195" s="76"/>
      <c r="O195" s="76"/>
      <c r="P195" s="76"/>
      <c r="Q195" s="76"/>
      <c r="R195" s="76"/>
      <c r="S195" s="76"/>
      <c r="T195" s="76"/>
      <c r="U195" s="76"/>
      <c r="V195" s="76"/>
      <c r="W195" s="76"/>
      <c r="X195" s="76"/>
      <c r="Y195" s="76"/>
      <c r="Z195" s="76"/>
    </row>
    <row r="196" ht="22.5" customHeight="1">
      <c r="A196" s="140"/>
      <c r="B196" s="141" t="s">
        <v>247</v>
      </c>
      <c r="C196" s="141" t="s">
        <v>5558</v>
      </c>
      <c r="D196" s="141" t="s">
        <v>5559</v>
      </c>
      <c r="E196" s="76"/>
      <c r="F196" s="76"/>
      <c r="G196" s="76"/>
      <c r="H196" s="76"/>
      <c r="I196" s="76"/>
      <c r="J196" s="76"/>
      <c r="K196" s="76"/>
      <c r="L196" s="76"/>
      <c r="M196" s="76"/>
      <c r="N196" s="76"/>
      <c r="O196" s="76"/>
      <c r="P196" s="76"/>
      <c r="Q196" s="76"/>
      <c r="R196" s="76"/>
      <c r="S196" s="76"/>
      <c r="T196" s="76"/>
      <c r="U196" s="76"/>
      <c r="V196" s="76"/>
      <c r="W196" s="76"/>
      <c r="X196" s="76"/>
      <c r="Y196" s="76"/>
      <c r="Z196" s="76"/>
    </row>
    <row r="197" ht="22.5" customHeight="1">
      <c r="A197" s="140"/>
      <c r="B197" s="141" t="s">
        <v>247</v>
      </c>
      <c r="C197" s="141" t="s">
        <v>5560</v>
      </c>
      <c r="D197" s="141" t="s">
        <v>5561</v>
      </c>
      <c r="E197" s="76"/>
      <c r="F197" s="76"/>
      <c r="G197" s="76"/>
      <c r="H197" s="76"/>
      <c r="I197" s="76"/>
      <c r="J197" s="76"/>
      <c r="K197" s="76"/>
      <c r="L197" s="76"/>
      <c r="M197" s="76"/>
      <c r="N197" s="76"/>
      <c r="O197" s="76"/>
      <c r="P197" s="76"/>
      <c r="Q197" s="76"/>
      <c r="R197" s="76"/>
      <c r="S197" s="76"/>
      <c r="T197" s="76"/>
      <c r="U197" s="76"/>
      <c r="V197" s="76"/>
      <c r="W197" s="76"/>
      <c r="X197" s="76"/>
      <c r="Y197" s="76"/>
      <c r="Z197" s="76"/>
    </row>
    <row r="198" ht="22.5" customHeight="1">
      <c r="A198" s="140"/>
      <c r="B198" s="141" t="s">
        <v>247</v>
      </c>
      <c r="C198" s="141" t="s">
        <v>5562</v>
      </c>
      <c r="D198" s="141" t="s">
        <v>5563</v>
      </c>
      <c r="E198" s="76"/>
      <c r="F198" s="76"/>
      <c r="G198" s="76"/>
      <c r="H198" s="76"/>
      <c r="I198" s="76"/>
      <c r="J198" s="76"/>
      <c r="K198" s="76"/>
      <c r="L198" s="76"/>
      <c r="M198" s="76"/>
      <c r="N198" s="76"/>
      <c r="O198" s="76"/>
      <c r="P198" s="76"/>
      <c r="Q198" s="76"/>
      <c r="R198" s="76"/>
      <c r="S198" s="76"/>
      <c r="T198" s="76"/>
      <c r="U198" s="76"/>
      <c r="V198" s="76"/>
      <c r="W198" s="76"/>
      <c r="X198" s="76"/>
      <c r="Y198" s="76"/>
      <c r="Z198" s="76"/>
    </row>
    <row r="199" ht="22.5" customHeight="1">
      <c r="A199" s="140"/>
      <c r="B199" s="141" t="s">
        <v>247</v>
      </c>
      <c r="C199" s="141" t="s">
        <v>5564</v>
      </c>
      <c r="D199" s="141" t="s">
        <v>5565</v>
      </c>
      <c r="E199" s="76"/>
      <c r="F199" s="76"/>
      <c r="G199" s="76"/>
      <c r="H199" s="76"/>
      <c r="I199" s="76"/>
      <c r="J199" s="76"/>
      <c r="K199" s="76"/>
      <c r="L199" s="76"/>
      <c r="M199" s="76"/>
      <c r="N199" s="76"/>
      <c r="O199" s="76"/>
      <c r="P199" s="76"/>
      <c r="Q199" s="76"/>
      <c r="R199" s="76"/>
      <c r="S199" s="76"/>
      <c r="T199" s="76"/>
      <c r="U199" s="76"/>
      <c r="V199" s="76"/>
      <c r="W199" s="76"/>
      <c r="X199" s="76"/>
      <c r="Y199" s="76"/>
      <c r="Z199" s="76"/>
    </row>
    <row r="200" ht="22.5" customHeight="1">
      <c r="A200" s="140"/>
      <c r="B200" s="141" t="s">
        <v>247</v>
      </c>
      <c r="C200" s="141" t="s">
        <v>5566</v>
      </c>
      <c r="D200" s="141" t="s">
        <v>5567</v>
      </c>
      <c r="E200" s="76"/>
      <c r="F200" s="76"/>
      <c r="G200" s="76"/>
      <c r="H200" s="76"/>
      <c r="I200" s="76"/>
      <c r="J200" s="76"/>
      <c r="K200" s="76"/>
      <c r="L200" s="76"/>
      <c r="M200" s="76"/>
      <c r="N200" s="76"/>
      <c r="O200" s="76"/>
      <c r="P200" s="76"/>
      <c r="Q200" s="76"/>
      <c r="R200" s="76"/>
      <c r="S200" s="76"/>
      <c r="T200" s="76"/>
      <c r="U200" s="76"/>
      <c r="V200" s="76"/>
      <c r="W200" s="76"/>
      <c r="X200" s="76"/>
      <c r="Y200" s="76"/>
      <c r="Z200" s="76"/>
    </row>
    <row r="201" ht="22.5" customHeight="1">
      <c r="A201" s="140"/>
      <c r="B201" s="141" t="s">
        <v>247</v>
      </c>
      <c r="C201" s="141" t="s">
        <v>5568</v>
      </c>
      <c r="D201" s="141" t="s">
        <v>5569</v>
      </c>
      <c r="E201" s="76"/>
      <c r="F201" s="76"/>
      <c r="G201" s="76"/>
      <c r="H201" s="76"/>
      <c r="I201" s="76"/>
      <c r="J201" s="76"/>
      <c r="K201" s="76"/>
      <c r="L201" s="76"/>
      <c r="M201" s="76"/>
      <c r="N201" s="76"/>
      <c r="O201" s="76"/>
      <c r="P201" s="76"/>
      <c r="Q201" s="76"/>
      <c r="R201" s="76"/>
      <c r="S201" s="76"/>
      <c r="T201" s="76"/>
      <c r="U201" s="76"/>
      <c r="V201" s="76"/>
      <c r="W201" s="76"/>
      <c r="X201" s="76"/>
      <c r="Y201" s="76"/>
      <c r="Z201" s="76"/>
    </row>
    <row r="202" ht="22.5" customHeight="1">
      <c r="A202" s="140"/>
      <c r="B202" s="141" t="s">
        <v>247</v>
      </c>
      <c r="C202" s="141" t="s">
        <v>5570</v>
      </c>
      <c r="D202" s="141" t="s">
        <v>5571</v>
      </c>
      <c r="E202" s="76"/>
      <c r="F202" s="76"/>
      <c r="G202" s="76"/>
      <c r="H202" s="76"/>
      <c r="I202" s="76"/>
      <c r="J202" s="76"/>
      <c r="K202" s="76"/>
      <c r="L202" s="76"/>
      <c r="M202" s="76"/>
      <c r="N202" s="76"/>
      <c r="O202" s="76"/>
      <c r="P202" s="76"/>
      <c r="Q202" s="76"/>
      <c r="R202" s="76"/>
      <c r="S202" s="76"/>
      <c r="T202" s="76"/>
      <c r="U202" s="76"/>
      <c r="V202" s="76"/>
      <c r="W202" s="76"/>
      <c r="X202" s="76"/>
      <c r="Y202" s="76"/>
      <c r="Z202" s="76"/>
    </row>
    <row r="203" ht="22.5" customHeight="1">
      <c r="A203" s="140"/>
      <c r="B203" s="141" t="s">
        <v>247</v>
      </c>
      <c r="C203" s="141" t="s">
        <v>5572</v>
      </c>
      <c r="D203" s="141" t="s">
        <v>5573</v>
      </c>
      <c r="E203" s="76"/>
      <c r="F203" s="76"/>
      <c r="G203" s="76"/>
      <c r="H203" s="76"/>
      <c r="I203" s="76"/>
      <c r="J203" s="76"/>
      <c r="K203" s="76"/>
      <c r="L203" s="76"/>
      <c r="M203" s="76"/>
      <c r="N203" s="76"/>
      <c r="O203" s="76"/>
      <c r="P203" s="76"/>
      <c r="Q203" s="76"/>
      <c r="R203" s="76"/>
      <c r="S203" s="76"/>
      <c r="T203" s="76"/>
      <c r="U203" s="76"/>
      <c r="V203" s="76"/>
      <c r="W203" s="76"/>
      <c r="X203" s="76"/>
      <c r="Y203" s="76"/>
      <c r="Z203" s="76"/>
    </row>
    <row r="204" ht="22.5" customHeight="1">
      <c r="A204" s="140"/>
      <c r="B204" s="141" t="s">
        <v>247</v>
      </c>
      <c r="C204" s="141" t="s">
        <v>5574</v>
      </c>
      <c r="D204" s="141" t="s">
        <v>5575</v>
      </c>
      <c r="E204" s="76"/>
      <c r="F204" s="76"/>
      <c r="G204" s="76"/>
      <c r="H204" s="76"/>
      <c r="I204" s="76"/>
      <c r="J204" s="76"/>
      <c r="K204" s="76"/>
      <c r="L204" s="76"/>
      <c r="M204" s="76"/>
      <c r="N204" s="76"/>
      <c r="O204" s="76"/>
      <c r="P204" s="76"/>
      <c r="Q204" s="76"/>
      <c r="R204" s="76"/>
      <c r="S204" s="76"/>
      <c r="T204" s="76"/>
      <c r="U204" s="76"/>
      <c r="V204" s="76"/>
      <c r="W204" s="76"/>
      <c r="X204" s="76"/>
      <c r="Y204" s="76"/>
      <c r="Z204" s="76"/>
    </row>
    <row r="205" ht="22.5" customHeight="1">
      <c r="A205" s="140"/>
      <c r="B205" s="141" t="s">
        <v>247</v>
      </c>
      <c r="C205" s="141" t="s">
        <v>5576</v>
      </c>
      <c r="D205" s="141" t="s">
        <v>5577</v>
      </c>
      <c r="E205" s="76"/>
      <c r="F205" s="76"/>
      <c r="G205" s="76"/>
      <c r="H205" s="76"/>
      <c r="I205" s="76"/>
      <c r="J205" s="76"/>
      <c r="K205" s="76"/>
      <c r="L205" s="76"/>
      <c r="M205" s="76"/>
      <c r="N205" s="76"/>
      <c r="O205" s="76"/>
      <c r="P205" s="76"/>
      <c r="Q205" s="76"/>
      <c r="R205" s="76"/>
      <c r="S205" s="76"/>
      <c r="T205" s="76"/>
      <c r="U205" s="76"/>
      <c r="V205" s="76"/>
      <c r="W205" s="76"/>
      <c r="X205" s="76"/>
      <c r="Y205" s="76"/>
      <c r="Z205" s="76"/>
    </row>
    <row r="206" ht="22.5" customHeight="1">
      <c r="A206" s="140"/>
      <c r="B206" s="141" t="s">
        <v>247</v>
      </c>
      <c r="C206" s="141" t="s">
        <v>5578</v>
      </c>
      <c r="D206" s="141" t="s">
        <v>5579</v>
      </c>
      <c r="E206" s="76"/>
      <c r="F206" s="76"/>
      <c r="G206" s="76"/>
      <c r="H206" s="76"/>
      <c r="I206" s="76"/>
      <c r="J206" s="76"/>
      <c r="K206" s="76"/>
      <c r="L206" s="76"/>
      <c r="M206" s="76"/>
      <c r="N206" s="76"/>
      <c r="O206" s="76"/>
      <c r="P206" s="76"/>
      <c r="Q206" s="76"/>
      <c r="R206" s="76"/>
      <c r="S206" s="76"/>
      <c r="T206" s="76"/>
      <c r="U206" s="76"/>
      <c r="V206" s="76"/>
      <c r="W206" s="76"/>
      <c r="X206" s="76"/>
      <c r="Y206" s="76"/>
      <c r="Z206" s="76"/>
    </row>
    <row r="207" ht="22.5" customHeight="1">
      <c r="A207" s="140"/>
      <c r="B207" s="141" t="s">
        <v>247</v>
      </c>
      <c r="C207" s="141" t="s">
        <v>5580</v>
      </c>
      <c r="D207" s="141" t="s">
        <v>5581</v>
      </c>
      <c r="E207" s="76"/>
      <c r="F207" s="76"/>
      <c r="G207" s="76"/>
      <c r="H207" s="76"/>
      <c r="I207" s="76"/>
      <c r="J207" s="76"/>
      <c r="K207" s="76"/>
      <c r="L207" s="76"/>
      <c r="M207" s="76"/>
      <c r="N207" s="76"/>
      <c r="O207" s="76"/>
      <c r="P207" s="76"/>
      <c r="Q207" s="76"/>
      <c r="R207" s="76"/>
      <c r="S207" s="76"/>
      <c r="T207" s="76"/>
      <c r="U207" s="76"/>
      <c r="V207" s="76"/>
      <c r="W207" s="76"/>
      <c r="X207" s="76"/>
      <c r="Y207" s="76"/>
      <c r="Z207" s="76"/>
    </row>
    <row r="208" ht="22.5" customHeight="1">
      <c r="A208" s="140"/>
      <c r="B208" s="141" t="s">
        <v>247</v>
      </c>
      <c r="C208" s="141" t="s">
        <v>5582</v>
      </c>
      <c r="D208" s="141" t="s">
        <v>5583</v>
      </c>
      <c r="E208" s="76"/>
      <c r="F208" s="76"/>
      <c r="G208" s="76"/>
      <c r="H208" s="76"/>
      <c r="I208" s="76"/>
      <c r="J208" s="76"/>
      <c r="K208" s="76"/>
      <c r="L208" s="76"/>
      <c r="M208" s="76"/>
      <c r="N208" s="76"/>
      <c r="O208" s="76"/>
      <c r="P208" s="76"/>
      <c r="Q208" s="76"/>
      <c r="R208" s="76"/>
      <c r="S208" s="76"/>
      <c r="T208" s="76"/>
      <c r="U208" s="76"/>
      <c r="V208" s="76"/>
      <c r="W208" s="76"/>
      <c r="X208" s="76"/>
      <c r="Y208" s="76"/>
      <c r="Z208" s="76"/>
    </row>
    <row r="209" ht="22.5" customHeight="1">
      <c r="A209" s="140"/>
      <c r="B209" s="141" t="s">
        <v>247</v>
      </c>
      <c r="C209" s="141" t="s">
        <v>5584</v>
      </c>
      <c r="D209" s="141" t="s">
        <v>5585</v>
      </c>
      <c r="E209" s="76"/>
      <c r="F209" s="76"/>
      <c r="G209" s="76"/>
      <c r="H209" s="76"/>
      <c r="I209" s="76"/>
      <c r="J209" s="76"/>
      <c r="K209" s="76"/>
      <c r="L209" s="76"/>
      <c r="M209" s="76"/>
      <c r="N209" s="76"/>
      <c r="O209" s="76"/>
      <c r="P209" s="76"/>
      <c r="Q209" s="76"/>
      <c r="R209" s="76"/>
      <c r="S209" s="76"/>
      <c r="T209" s="76"/>
      <c r="U209" s="76"/>
      <c r="V209" s="76"/>
      <c r="W209" s="76"/>
      <c r="X209" s="76"/>
      <c r="Y209" s="76"/>
      <c r="Z209" s="76"/>
    </row>
    <row r="210" ht="22.5" customHeight="1">
      <c r="A210" s="140"/>
      <c r="B210" s="141" t="s">
        <v>247</v>
      </c>
      <c r="C210" s="141" t="s">
        <v>5586</v>
      </c>
      <c r="D210" s="141" t="s">
        <v>5587</v>
      </c>
      <c r="E210" s="76"/>
      <c r="F210" s="76"/>
      <c r="G210" s="76"/>
      <c r="H210" s="76"/>
      <c r="I210" s="76"/>
      <c r="J210" s="76"/>
      <c r="K210" s="76"/>
      <c r="L210" s="76"/>
      <c r="M210" s="76"/>
      <c r="N210" s="76"/>
      <c r="O210" s="76"/>
      <c r="P210" s="76"/>
      <c r="Q210" s="76"/>
      <c r="R210" s="76"/>
      <c r="S210" s="76"/>
      <c r="T210" s="76"/>
      <c r="U210" s="76"/>
      <c r="V210" s="76"/>
      <c r="W210" s="76"/>
      <c r="X210" s="76"/>
      <c r="Y210" s="76"/>
      <c r="Z210" s="76"/>
    </row>
    <row r="211" ht="22.5" customHeight="1">
      <c r="A211" s="140"/>
      <c r="B211" s="141" t="s">
        <v>247</v>
      </c>
      <c r="C211" s="141" t="s">
        <v>5588</v>
      </c>
      <c r="D211" s="141" t="s">
        <v>5589</v>
      </c>
      <c r="E211" s="76"/>
      <c r="F211" s="76"/>
      <c r="G211" s="76"/>
      <c r="H211" s="76"/>
      <c r="I211" s="76"/>
      <c r="J211" s="76"/>
      <c r="K211" s="76"/>
      <c r="L211" s="76"/>
      <c r="M211" s="76"/>
      <c r="N211" s="76"/>
      <c r="O211" s="76"/>
      <c r="P211" s="76"/>
      <c r="Q211" s="76"/>
      <c r="R211" s="76"/>
      <c r="S211" s="76"/>
      <c r="T211" s="76"/>
      <c r="U211" s="76"/>
      <c r="V211" s="76"/>
      <c r="W211" s="76"/>
      <c r="X211" s="76"/>
      <c r="Y211" s="76"/>
      <c r="Z211" s="76"/>
    </row>
    <row r="212" ht="22.5" customHeight="1">
      <c r="A212" s="140"/>
      <c r="B212" s="141" t="s">
        <v>247</v>
      </c>
      <c r="C212" s="141" t="s">
        <v>5590</v>
      </c>
      <c r="D212" s="141" t="s">
        <v>5591</v>
      </c>
      <c r="E212" s="76"/>
      <c r="F212" s="76"/>
      <c r="G212" s="76"/>
      <c r="H212" s="76"/>
      <c r="I212" s="76"/>
      <c r="J212" s="76"/>
      <c r="K212" s="76"/>
      <c r="L212" s="76"/>
      <c r="M212" s="76"/>
      <c r="N212" s="76"/>
      <c r="O212" s="76"/>
      <c r="P212" s="76"/>
      <c r="Q212" s="76"/>
      <c r="R212" s="76"/>
      <c r="S212" s="76"/>
      <c r="T212" s="76"/>
      <c r="U212" s="76"/>
      <c r="V212" s="76"/>
      <c r="W212" s="76"/>
      <c r="X212" s="76"/>
      <c r="Y212" s="76"/>
      <c r="Z212" s="76"/>
    </row>
    <row r="213" ht="22.5" customHeight="1">
      <c r="A213" s="140"/>
      <c r="B213" s="141" t="s">
        <v>247</v>
      </c>
      <c r="C213" s="141" t="s">
        <v>5592</v>
      </c>
      <c r="D213" s="141" t="s">
        <v>5593</v>
      </c>
      <c r="E213" s="76"/>
      <c r="F213" s="76"/>
      <c r="G213" s="76"/>
      <c r="H213" s="76"/>
      <c r="I213" s="76"/>
      <c r="J213" s="76"/>
      <c r="K213" s="76"/>
      <c r="L213" s="76"/>
      <c r="M213" s="76"/>
      <c r="N213" s="76"/>
      <c r="O213" s="76"/>
      <c r="P213" s="76"/>
      <c r="Q213" s="76"/>
      <c r="R213" s="76"/>
      <c r="S213" s="76"/>
      <c r="T213" s="76"/>
      <c r="U213" s="76"/>
      <c r="V213" s="76"/>
      <c r="W213" s="76"/>
      <c r="X213" s="76"/>
      <c r="Y213" s="76"/>
      <c r="Z213" s="76"/>
    </row>
    <row r="214" ht="22.5" customHeight="1">
      <c r="A214" s="140"/>
      <c r="B214" s="141" t="s">
        <v>247</v>
      </c>
      <c r="C214" s="141" t="s">
        <v>5594</v>
      </c>
      <c r="D214" s="141" t="s">
        <v>5595</v>
      </c>
      <c r="E214" s="76"/>
      <c r="F214" s="76"/>
      <c r="G214" s="76"/>
      <c r="H214" s="76"/>
      <c r="I214" s="76"/>
      <c r="J214" s="76"/>
      <c r="K214" s="76"/>
      <c r="L214" s="76"/>
      <c r="M214" s="76"/>
      <c r="N214" s="76"/>
      <c r="O214" s="76"/>
      <c r="P214" s="76"/>
      <c r="Q214" s="76"/>
      <c r="R214" s="76"/>
      <c r="S214" s="76"/>
      <c r="T214" s="76"/>
      <c r="U214" s="76"/>
      <c r="V214" s="76"/>
      <c r="W214" s="76"/>
      <c r="X214" s="76"/>
      <c r="Y214" s="76"/>
      <c r="Z214" s="76"/>
    </row>
    <row r="215" ht="22.5" customHeight="1">
      <c r="A215" s="140"/>
      <c r="B215" s="141" t="s">
        <v>247</v>
      </c>
      <c r="C215" s="141" t="s">
        <v>5596</v>
      </c>
      <c r="D215" s="141" t="s">
        <v>5597</v>
      </c>
      <c r="E215" s="76"/>
      <c r="F215" s="76"/>
      <c r="G215" s="76"/>
      <c r="H215" s="76"/>
      <c r="I215" s="76"/>
      <c r="J215" s="76"/>
      <c r="K215" s="76"/>
      <c r="L215" s="76"/>
      <c r="M215" s="76"/>
      <c r="N215" s="76"/>
      <c r="O215" s="76"/>
      <c r="P215" s="76"/>
      <c r="Q215" s="76"/>
      <c r="R215" s="76"/>
      <c r="S215" s="76"/>
      <c r="T215" s="76"/>
      <c r="U215" s="76"/>
      <c r="V215" s="76"/>
      <c r="W215" s="76"/>
      <c r="X215" s="76"/>
      <c r="Y215" s="76"/>
      <c r="Z215" s="76"/>
    </row>
    <row r="216" ht="22.5" customHeight="1">
      <c r="A216" s="140"/>
      <c r="B216" s="141" t="s">
        <v>247</v>
      </c>
      <c r="C216" s="141" t="s">
        <v>5598</v>
      </c>
      <c r="D216" s="141" t="s">
        <v>5599</v>
      </c>
      <c r="E216" s="76"/>
      <c r="F216" s="76"/>
      <c r="G216" s="76"/>
      <c r="H216" s="76"/>
      <c r="I216" s="76"/>
      <c r="J216" s="76"/>
      <c r="K216" s="76"/>
      <c r="L216" s="76"/>
      <c r="M216" s="76"/>
      <c r="N216" s="76"/>
      <c r="O216" s="76"/>
      <c r="P216" s="76"/>
      <c r="Q216" s="76"/>
      <c r="R216" s="76"/>
      <c r="S216" s="76"/>
      <c r="T216" s="76"/>
      <c r="U216" s="76"/>
      <c r="V216" s="76"/>
      <c r="W216" s="76"/>
      <c r="X216" s="76"/>
      <c r="Y216" s="76"/>
      <c r="Z216" s="76"/>
    </row>
    <row r="217" ht="22.5" customHeight="1">
      <c r="A217" s="140"/>
      <c r="B217" s="141" t="s">
        <v>247</v>
      </c>
      <c r="C217" s="141" t="s">
        <v>5600</v>
      </c>
      <c r="D217" s="141" t="s">
        <v>5601</v>
      </c>
      <c r="E217" s="76"/>
      <c r="F217" s="76"/>
      <c r="G217" s="76"/>
      <c r="H217" s="76"/>
      <c r="I217" s="76"/>
      <c r="J217" s="76"/>
      <c r="K217" s="76"/>
      <c r="L217" s="76"/>
      <c r="M217" s="76"/>
      <c r="N217" s="76"/>
      <c r="O217" s="76"/>
      <c r="P217" s="76"/>
      <c r="Q217" s="76"/>
      <c r="R217" s="76"/>
      <c r="S217" s="76"/>
      <c r="T217" s="76"/>
      <c r="U217" s="76"/>
      <c r="V217" s="76"/>
      <c r="W217" s="76"/>
      <c r="X217" s="76"/>
      <c r="Y217" s="76"/>
      <c r="Z217" s="76"/>
    </row>
    <row r="218" ht="22.5" customHeight="1">
      <c r="A218" s="140"/>
      <c r="B218" s="141" t="s">
        <v>247</v>
      </c>
      <c r="C218" s="141" t="s">
        <v>5602</v>
      </c>
      <c r="D218" s="141" t="s">
        <v>5603</v>
      </c>
      <c r="E218" s="76"/>
      <c r="F218" s="76"/>
      <c r="G218" s="76"/>
      <c r="H218" s="76"/>
      <c r="I218" s="76"/>
      <c r="J218" s="76"/>
      <c r="K218" s="76"/>
      <c r="L218" s="76"/>
      <c r="M218" s="76"/>
      <c r="N218" s="76"/>
      <c r="O218" s="76"/>
      <c r="P218" s="76"/>
      <c r="Q218" s="76"/>
      <c r="R218" s="76"/>
      <c r="S218" s="76"/>
      <c r="T218" s="76"/>
      <c r="U218" s="76"/>
      <c r="V218" s="76"/>
      <c r="W218" s="76"/>
      <c r="X218" s="76"/>
      <c r="Y218" s="76"/>
      <c r="Z218" s="76"/>
    </row>
    <row r="219" ht="22.5" customHeight="1">
      <c r="A219" s="140"/>
      <c r="B219" s="141" t="s">
        <v>247</v>
      </c>
      <c r="C219" s="141" t="s">
        <v>5604</v>
      </c>
      <c r="D219" s="141" t="s">
        <v>5605</v>
      </c>
      <c r="E219" s="76"/>
      <c r="F219" s="76"/>
      <c r="G219" s="76"/>
      <c r="H219" s="76"/>
      <c r="I219" s="76"/>
      <c r="J219" s="76"/>
      <c r="K219" s="76"/>
      <c r="L219" s="76"/>
      <c r="M219" s="76"/>
      <c r="N219" s="76"/>
      <c r="O219" s="76"/>
      <c r="P219" s="76"/>
      <c r="Q219" s="76"/>
      <c r="R219" s="76"/>
      <c r="S219" s="76"/>
      <c r="T219" s="76"/>
      <c r="U219" s="76"/>
      <c r="V219" s="76"/>
      <c r="W219" s="76"/>
      <c r="X219" s="76"/>
      <c r="Y219" s="76"/>
      <c r="Z219" s="76"/>
    </row>
    <row r="220" ht="22.5" customHeight="1">
      <c r="A220" s="140"/>
      <c r="B220" s="141" t="s">
        <v>247</v>
      </c>
      <c r="C220" s="141" t="s">
        <v>5606</v>
      </c>
      <c r="D220" s="141" t="s">
        <v>5607</v>
      </c>
      <c r="E220" s="76"/>
      <c r="F220" s="76"/>
      <c r="G220" s="76"/>
      <c r="H220" s="76"/>
      <c r="I220" s="76"/>
      <c r="J220" s="76"/>
      <c r="K220" s="76"/>
      <c r="L220" s="76"/>
      <c r="M220" s="76"/>
      <c r="N220" s="76"/>
      <c r="O220" s="76"/>
      <c r="P220" s="76"/>
      <c r="Q220" s="76"/>
      <c r="R220" s="76"/>
      <c r="S220" s="76"/>
      <c r="T220" s="76"/>
      <c r="U220" s="76"/>
      <c r="V220" s="76"/>
      <c r="W220" s="76"/>
      <c r="X220" s="76"/>
      <c r="Y220" s="76"/>
      <c r="Z220" s="76"/>
    </row>
    <row r="221" ht="22.5" customHeight="1">
      <c r="A221" s="140"/>
      <c r="B221" s="141" t="s">
        <v>247</v>
      </c>
      <c r="C221" s="141" t="s">
        <v>5608</v>
      </c>
      <c r="D221" s="141" t="s">
        <v>5609</v>
      </c>
      <c r="E221" s="76"/>
      <c r="F221" s="76"/>
      <c r="G221" s="76"/>
      <c r="H221" s="76"/>
      <c r="I221" s="76"/>
      <c r="J221" s="76"/>
      <c r="K221" s="76"/>
      <c r="L221" s="76"/>
      <c r="M221" s="76"/>
      <c r="N221" s="76"/>
      <c r="O221" s="76"/>
      <c r="P221" s="76"/>
      <c r="Q221" s="76"/>
      <c r="R221" s="76"/>
      <c r="S221" s="76"/>
      <c r="T221" s="76"/>
      <c r="U221" s="76"/>
      <c r="V221" s="76"/>
      <c r="W221" s="76"/>
      <c r="X221" s="76"/>
      <c r="Y221" s="76"/>
      <c r="Z221" s="76"/>
    </row>
    <row r="222" ht="22.5" customHeight="1">
      <c r="A222" s="140"/>
      <c r="B222" s="141" t="s">
        <v>247</v>
      </c>
      <c r="C222" s="141" t="s">
        <v>5610</v>
      </c>
      <c r="D222" s="141" t="s">
        <v>5611</v>
      </c>
      <c r="E222" s="76"/>
      <c r="F222" s="76"/>
      <c r="G222" s="76"/>
      <c r="H222" s="76"/>
      <c r="I222" s="76"/>
      <c r="J222" s="76"/>
      <c r="K222" s="76"/>
      <c r="L222" s="76"/>
      <c r="M222" s="76"/>
      <c r="N222" s="76"/>
      <c r="O222" s="76"/>
      <c r="P222" s="76"/>
      <c r="Q222" s="76"/>
      <c r="R222" s="76"/>
      <c r="S222" s="76"/>
      <c r="T222" s="76"/>
      <c r="U222" s="76"/>
      <c r="V222" s="76"/>
      <c r="W222" s="76"/>
      <c r="X222" s="76"/>
      <c r="Y222" s="76"/>
      <c r="Z222" s="76"/>
    </row>
    <row r="223" ht="22.5" customHeight="1">
      <c r="A223" s="140"/>
      <c r="B223" s="141" t="s">
        <v>247</v>
      </c>
      <c r="C223" s="141" t="s">
        <v>5612</v>
      </c>
      <c r="D223" s="141" t="s">
        <v>5613</v>
      </c>
      <c r="E223" s="76"/>
      <c r="F223" s="76"/>
      <c r="G223" s="76"/>
      <c r="H223" s="76"/>
      <c r="I223" s="76"/>
      <c r="J223" s="76"/>
      <c r="K223" s="76"/>
      <c r="L223" s="76"/>
      <c r="M223" s="76"/>
      <c r="N223" s="76"/>
      <c r="O223" s="76"/>
      <c r="P223" s="76"/>
      <c r="Q223" s="76"/>
      <c r="R223" s="76"/>
      <c r="S223" s="76"/>
      <c r="T223" s="76"/>
      <c r="U223" s="76"/>
      <c r="V223" s="76"/>
      <c r="W223" s="76"/>
      <c r="X223" s="76"/>
      <c r="Y223" s="76"/>
      <c r="Z223" s="76"/>
    </row>
    <row r="224" ht="22.5" customHeight="1">
      <c r="A224" s="140"/>
      <c r="B224" s="141" t="s">
        <v>247</v>
      </c>
      <c r="C224" s="141" t="s">
        <v>5614</v>
      </c>
      <c r="D224" s="141" t="s">
        <v>5615</v>
      </c>
      <c r="E224" s="76"/>
      <c r="F224" s="76"/>
      <c r="G224" s="76"/>
      <c r="H224" s="76"/>
      <c r="I224" s="76"/>
      <c r="J224" s="76"/>
      <c r="K224" s="76"/>
      <c r="L224" s="76"/>
      <c r="M224" s="76"/>
      <c r="N224" s="76"/>
      <c r="O224" s="76"/>
      <c r="P224" s="76"/>
      <c r="Q224" s="76"/>
      <c r="R224" s="76"/>
      <c r="S224" s="76"/>
      <c r="T224" s="76"/>
      <c r="U224" s="76"/>
      <c r="V224" s="76"/>
      <c r="W224" s="76"/>
      <c r="X224" s="76"/>
      <c r="Y224" s="76"/>
      <c r="Z224" s="76"/>
    </row>
    <row r="225" ht="22.5" customHeight="1">
      <c r="A225" s="140"/>
      <c r="B225" s="141" t="s">
        <v>247</v>
      </c>
      <c r="C225" s="141" t="s">
        <v>5616</v>
      </c>
      <c r="D225" s="141" t="s">
        <v>5617</v>
      </c>
      <c r="E225" s="76"/>
      <c r="F225" s="76"/>
      <c r="G225" s="76"/>
      <c r="H225" s="76"/>
      <c r="I225" s="76"/>
      <c r="J225" s="76"/>
      <c r="K225" s="76"/>
      <c r="L225" s="76"/>
      <c r="M225" s="76"/>
      <c r="N225" s="76"/>
      <c r="O225" s="76"/>
      <c r="P225" s="76"/>
      <c r="Q225" s="76"/>
      <c r="R225" s="76"/>
      <c r="S225" s="76"/>
      <c r="T225" s="76"/>
      <c r="U225" s="76"/>
      <c r="V225" s="76"/>
      <c r="W225" s="76"/>
      <c r="X225" s="76"/>
      <c r="Y225" s="76"/>
      <c r="Z225" s="76"/>
    </row>
    <row r="226" ht="22.5" customHeight="1">
      <c r="A226" s="140"/>
      <c r="B226" s="141" t="s">
        <v>247</v>
      </c>
      <c r="C226" s="141" t="s">
        <v>5618</v>
      </c>
      <c r="D226" s="141" t="s">
        <v>5619</v>
      </c>
      <c r="E226" s="76"/>
      <c r="F226" s="76"/>
      <c r="G226" s="76"/>
      <c r="H226" s="76"/>
      <c r="I226" s="76"/>
      <c r="J226" s="76"/>
      <c r="K226" s="76"/>
      <c r="L226" s="76"/>
      <c r="M226" s="76"/>
      <c r="N226" s="76"/>
      <c r="O226" s="76"/>
      <c r="P226" s="76"/>
      <c r="Q226" s="76"/>
      <c r="R226" s="76"/>
      <c r="S226" s="76"/>
      <c r="T226" s="76"/>
      <c r="U226" s="76"/>
      <c r="V226" s="76"/>
      <c r="W226" s="76"/>
      <c r="X226" s="76"/>
      <c r="Y226" s="76"/>
      <c r="Z226" s="76"/>
    </row>
    <row r="227" ht="22.5" customHeight="1">
      <c r="A227" s="140"/>
      <c r="B227" s="141" t="s">
        <v>247</v>
      </c>
      <c r="C227" s="70" t="s">
        <v>5620</v>
      </c>
      <c r="D227" s="141" t="s">
        <v>5621</v>
      </c>
      <c r="E227" s="76"/>
      <c r="F227" s="76"/>
      <c r="G227" s="76"/>
      <c r="H227" s="76"/>
      <c r="I227" s="76"/>
      <c r="J227" s="76"/>
      <c r="K227" s="76"/>
      <c r="L227" s="76"/>
      <c r="M227" s="76"/>
      <c r="N227" s="76"/>
      <c r="O227" s="76"/>
      <c r="P227" s="76"/>
      <c r="Q227" s="76"/>
      <c r="R227" s="76"/>
      <c r="S227" s="76"/>
      <c r="T227" s="76"/>
      <c r="U227" s="76"/>
      <c r="V227" s="76"/>
      <c r="W227" s="76"/>
      <c r="X227" s="76"/>
      <c r="Y227" s="76"/>
      <c r="Z227" s="76"/>
    </row>
    <row r="228" ht="22.5" customHeight="1">
      <c r="A228" s="140"/>
      <c r="B228" s="141" t="s">
        <v>247</v>
      </c>
      <c r="C228" s="141" t="s">
        <v>5622</v>
      </c>
      <c r="D228" s="141" t="s">
        <v>5623</v>
      </c>
      <c r="E228" s="76"/>
      <c r="F228" s="76"/>
      <c r="G228" s="76"/>
      <c r="H228" s="76"/>
      <c r="I228" s="76"/>
      <c r="J228" s="76"/>
      <c r="K228" s="76"/>
      <c r="L228" s="76"/>
      <c r="M228" s="76"/>
      <c r="N228" s="76"/>
      <c r="O228" s="76"/>
      <c r="P228" s="76"/>
      <c r="Q228" s="76"/>
      <c r="R228" s="76"/>
      <c r="S228" s="76"/>
      <c r="T228" s="76"/>
      <c r="U228" s="76"/>
      <c r="V228" s="76"/>
      <c r="W228" s="76"/>
      <c r="X228" s="76"/>
      <c r="Y228" s="76"/>
      <c r="Z228" s="76"/>
    </row>
    <row r="229" ht="22.5" customHeight="1">
      <c r="A229" s="140"/>
      <c r="B229" s="141" t="s">
        <v>247</v>
      </c>
      <c r="C229" s="141" t="s">
        <v>5624</v>
      </c>
      <c r="D229" s="141" t="s">
        <v>5625</v>
      </c>
      <c r="E229" s="76"/>
      <c r="F229" s="76"/>
      <c r="G229" s="76"/>
      <c r="H229" s="76"/>
      <c r="I229" s="76"/>
      <c r="J229" s="76"/>
      <c r="K229" s="76"/>
      <c r="L229" s="76"/>
      <c r="M229" s="76"/>
      <c r="N229" s="76"/>
      <c r="O229" s="76"/>
      <c r="P229" s="76"/>
      <c r="Q229" s="76"/>
      <c r="R229" s="76"/>
      <c r="S229" s="76"/>
      <c r="T229" s="76"/>
      <c r="U229" s="76"/>
      <c r="V229" s="76"/>
      <c r="W229" s="76"/>
      <c r="X229" s="76"/>
      <c r="Y229" s="76"/>
      <c r="Z229" s="76"/>
    </row>
    <row r="230" ht="22.5" customHeight="1">
      <c r="A230" s="140"/>
      <c r="B230" s="141" t="s">
        <v>247</v>
      </c>
      <c r="C230" s="141" t="s">
        <v>5626</v>
      </c>
      <c r="D230" s="141" t="s">
        <v>5627</v>
      </c>
      <c r="E230" s="76"/>
      <c r="F230" s="76"/>
      <c r="G230" s="76"/>
      <c r="H230" s="76"/>
      <c r="I230" s="76"/>
      <c r="J230" s="76"/>
      <c r="K230" s="76"/>
      <c r="L230" s="76"/>
      <c r="M230" s="76"/>
      <c r="N230" s="76"/>
      <c r="O230" s="76"/>
      <c r="P230" s="76"/>
      <c r="Q230" s="76"/>
      <c r="R230" s="76"/>
      <c r="S230" s="76"/>
      <c r="T230" s="76"/>
      <c r="U230" s="76"/>
      <c r="V230" s="76"/>
      <c r="W230" s="76"/>
      <c r="X230" s="76"/>
      <c r="Y230" s="76"/>
      <c r="Z230" s="76"/>
    </row>
    <row r="231" ht="22.5" customHeight="1">
      <c r="A231" s="140"/>
      <c r="B231" s="141" t="s">
        <v>247</v>
      </c>
      <c r="C231" s="141" t="s">
        <v>5628</v>
      </c>
      <c r="D231" s="141" t="s">
        <v>5629</v>
      </c>
      <c r="E231" s="76"/>
      <c r="F231" s="76"/>
      <c r="G231" s="76"/>
      <c r="H231" s="76"/>
      <c r="I231" s="76"/>
      <c r="J231" s="76"/>
      <c r="K231" s="76"/>
      <c r="L231" s="76"/>
      <c r="M231" s="76"/>
      <c r="N231" s="76"/>
      <c r="O231" s="76"/>
      <c r="P231" s="76"/>
      <c r="Q231" s="76"/>
      <c r="R231" s="76"/>
      <c r="S231" s="76"/>
      <c r="T231" s="76"/>
      <c r="U231" s="76"/>
      <c r="V231" s="76"/>
      <c r="W231" s="76"/>
      <c r="X231" s="76"/>
      <c r="Y231" s="76"/>
      <c r="Z231" s="76"/>
    </row>
    <row r="232" ht="22.5" customHeight="1">
      <c r="A232" s="140"/>
      <c r="B232" s="141" t="s">
        <v>247</v>
      </c>
      <c r="C232" s="141" t="s">
        <v>5630</v>
      </c>
      <c r="D232" s="141" t="s">
        <v>5631</v>
      </c>
      <c r="E232" s="76"/>
      <c r="F232" s="76"/>
      <c r="G232" s="76"/>
      <c r="H232" s="76"/>
      <c r="I232" s="76"/>
      <c r="J232" s="76"/>
      <c r="K232" s="76"/>
      <c r="L232" s="76"/>
      <c r="M232" s="76"/>
      <c r="N232" s="76"/>
      <c r="O232" s="76"/>
      <c r="P232" s="76"/>
      <c r="Q232" s="76"/>
      <c r="R232" s="76"/>
      <c r="S232" s="76"/>
      <c r="T232" s="76"/>
      <c r="U232" s="76"/>
      <c r="V232" s="76"/>
      <c r="W232" s="76"/>
      <c r="X232" s="76"/>
      <c r="Y232" s="76"/>
      <c r="Z232" s="76"/>
    </row>
    <row r="233" ht="22.5" customHeight="1">
      <c r="A233" s="140"/>
      <c r="B233" s="141" t="s">
        <v>247</v>
      </c>
      <c r="C233" s="141" t="s">
        <v>5632</v>
      </c>
      <c r="D233" s="141" t="s">
        <v>5633</v>
      </c>
      <c r="E233" s="76"/>
      <c r="F233" s="76"/>
      <c r="G233" s="76"/>
      <c r="H233" s="76"/>
      <c r="I233" s="76"/>
      <c r="J233" s="76"/>
      <c r="K233" s="76"/>
      <c r="L233" s="76"/>
      <c r="M233" s="76"/>
      <c r="N233" s="76"/>
      <c r="O233" s="76"/>
      <c r="P233" s="76"/>
      <c r="Q233" s="76"/>
      <c r="R233" s="76"/>
      <c r="S233" s="76"/>
      <c r="T233" s="76"/>
      <c r="U233" s="76"/>
      <c r="V233" s="76"/>
      <c r="W233" s="76"/>
      <c r="X233" s="76"/>
      <c r="Y233" s="76"/>
      <c r="Z233" s="76"/>
    </row>
    <row r="234" ht="22.5" customHeight="1">
      <c r="A234" s="140"/>
      <c r="B234" s="141" t="s">
        <v>247</v>
      </c>
      <c r="C234" s="141" t="s">
        <v>5634</v>
      </c>
      <c r="D234" s="141" t="s">
        <v>5635</v>
      </c>
      <c r="E234" s="76"/>
      <c r="F234" s="76"/>
      <c r="G234" s="76"/>
      <c r="H234" s="76"/>
      <c r="I234" s="76"/>
      <c r="J234" s="76"/>
      <c r="K234" s="76"/>
      <c r="L234" s="76"/>
      <c r="M234" s="76"/>
      <c r="N234" s="76"/>
      <c r="O234" s="76"/>
      <c r="P234" s="76"/>
      <c r="Q234" s="76"/>
      <c r="R234" s="76"/>
      <c r="S234" s="76"/>
      <c r="T234" s="76"/>
      <c r="U234" s="76"/>
      <c r="V234" s="76"/>
      <c r="W234" s="76"/>
      <c r="X234" s="76"/>
      <c r="Y234" s="76"/>
      <c r="Z234" s="76"/>
    </row>
    <row r="235" ht="22.5" customHeight="1">
      <c r="A235" s="140"/>
      <c r="B235" s="141" t="s">
        <v>247</v>
      </c>
      <c r="C235" s="141" t="s">
        <v>5636</v>
      </c>
      <c r="D235" s="141" t="s">
        <v>5637</v>
      </c>
      <c r="E235" s="76"/>
      <c r="F235" s="76"/>
      <c r="G235" s="76"/>
      <c r="H235" s="76"/>
      <c r="I235" s="76"/>
      <c r="J235" s="76"/>
      <c r="K235" s="76"/>
      <c r="L235" s="76"/>
      <c r="M235" s="76"/>
      <c r="N235" s="76"/>
      <c r="O235" s="76"/>
      <c r="P235" s="76"/>
      <c r="Q235" s="76"/>
      <c r="R235" s="76"/>
      <c r="S235" s="76"/>
      <c r="T235" s="76"/>
      <c r="U235" s="76"/>
      <c r="V235" s="76"/>
      <c r="W235" s="76"/>
      <c r="X235" s="76"/>
      <c r="Y235" s="76"/>
      <c r="Z235" s="76"/>
    </row>
    <row r="236" ht="22.5" customHeight="1">
      <c r="A236" s="140"/>
      <c r="B236" s="141" t="s">
        <v>247</v>
      </c>
      <c r="C236" s="141" t="s">
        <v>5638</v>
      </c>
      <c r="D236" s="141" t="s">
        <v>5639</v>
      </c>
      <c r="E236" s="76"/>
      <c r="F236" s="76"/>
      <c r="G236" s="76"/>
      <c r="H236" s="76"/>
      <c r="I236" s="76"/>
      <c r="J236" s="76"/>
      <c r="K236" s="76"/>
      <c r="L236" s="76"/>
      <c r="M236" s="76"/>
      <c r="N236" s="76"/>
      <c r="O236" s="76"/>
      <c r="P236" s="76"/>
      <c r="Q236" s="76"/>
      <c r="R236" s="76"/>
      <c r="S236" s="76"/>
      <c r="T236" s="76"/>
      <c r="U236" s="76"/>
      <c r="V236" s="76"/>
      <c r="W236" s="76"/>
      <c r="X236" s="76"/>
      <c r="Y236" s="76"/>
      <c r="Z236" s="76"/>
    </row>
    <row r="237" ht="22.5" customHeight="1">
      <c r="A237" s="140"/>
      <c r="B237" s="141" t="s">
        <v>247</v>
      </c>
      <c r="C237" s="141" t="s">
        <v>5640</v>
      </c>
      <c r="D237" s="141" t="s">
        <v>5641</v>
      </c>
      <c r="E237" s="76"/>
      <c r="F237" s="76"/>
      <c r="G237" s="76"/>
      <c r="H237" s="76"/>
      <c r="I237" s="76"/>
      <c r="J237" s="76"/>
      <c r="K237" s="76"/>
      <c r="L237" s="76"/>
      <c r="M237" s="76"/>
      <c r="N237" s="76"/>
      <c r="O237" s="76"/>
      <c r="P237" s="76"/>
      <c r="Q237" s="76"/>
      <c r="R237" s="76"/>
      <c r="S237" s="76"/>
      <c r="T237" s="76"/>
      <c r="U237" s="76"/>
      <c r="V237" s="76"/>
      <c r="W237" s="76"/>
      <c r="X237" s="76"/>
      <c r="Y237" s="76"/>
      <c r="Z237" s="76"/>
    </row>
    <row r="238" ht="22.5" customHeight="1">
      <c r="A238" s="140"/>
      <c r="B238" s="141" t="s">
        <v>247</v>
      </c>
      <c r="C238" s="141" t="s">
        <v>5642</v>
      </c>
      <c r="D238" s="141" t="s">
        <v>5643</v>
      </c>
      <c r="E238" s="76"/>
      <c r="F238" s="76"/>
      <c r="G238" s="76"/>
      <c r="H238" s="76"/>
      <c r="I238" s="76"/>
      <c r="J238" s="76"/>
      <c r="K238" s="76"/>
      <c r="L238" s="76"/>
      <c r="M238" s="76"/>
      <c r="N238" s="76"/>
      <c r="O238" s="76"/>
      <c r="P238" s="76"/>
      <c r="Q238" s="76"/>
      <c r="R238" s="76"/>
      <c r="S238" s="76"/>
      <c r="T238" s="76"/>
      <c r="U238" s="76"/>
      <c r="V238" s="76"/>
      <c r="W238" s="76"/>
      <c r="X238" s="76"/>
      <c r="Y238" s="76"/>
      <c r="Z238" s="76"/>
    </row>
    <row r="239" ht="22.5" customHeight="1">
      <c r="A239" s="140"/>
      <c r="B239" s="141" t="s">
        <v>247</v>
      </c>
      <c r="C239" s="141" t="s">
        <v>5644</v>
      </c>
      <c r="D239" s="141" t="s">
        <v>5645</v>
      </c>
      <c r="E239" s="76"/>
      <c r="F239" s="76"/>
      <c r="G239" s="76"/>
      <c r="H239" s="76"/>
      <c r="I239" s="76"/>
      <c r="J239" s="76"/>
      <c r="K239" s="76"/>
      <c r="L239" s="76"/>
      <c r="M239" s="76"/>
      <c r="N239" s="76"/>
      <c r="O239" s="76"/>
      <c r="P239" s="76"/>
      <c r="Q239" s="76"/>
      <c r="R239" s="76"/>
      <c r="S239" s="76"/>
      <c r="T239" s="76"/>
      <c r="U239" s="76"/>
      <c r="V239" s="76"/>
      <c r="W239" s="76"/>
      <c r="X239" s="76"/>
      <c r="Y239" s="76"/>
      <c r="Z239" s="76"/>
    </row>
    <row r="240" ht="22.5" customHeight="1">
      <c r="A240" s="140"/>
      <c r="B240" s="141" t="s">
        <v>247</v>
      </c>
      <c r="C240" s="141" t="s">
        <v>5646</v>
      </c>
      <c r="D240" s="141" t="s">
        <v>5647</v>
      </c>
      <c r="E240" s="76"/>
      <c r="F240" s="76"/>
      <c r="G240" s="76"/>
      <c r="H240" s="76"/>
      <c r="I240" s="76"/>
      <c r="J240" s="76"/>
      <c r="K240" s="76"/>
      <c r="L240" s="76"/>
      <c r="M240" s="76"/>
      <c r="N240" s="76"/>
      <c r="O240" s="76"/>
      <c r="P240" s="76"/>
      <c r="Q240" s="76"/>
      <c r="R240" s="76"/>
      <c r="S240" s="76"/>
      <c r="T240" s="76"/>
      <c r="U240" s="76"/>
      <c r="V240" s="76"/>
      <c r="W240" s="76"/>
      <c r="X240" s="76"/>
      <c r="Y240" s="76"/>
      <c r="Z240" s="76"/>
    </row>
    <row r="241" ht="22.5" customHeight="1">
      <c r="A241" s="140"/>
      <c r="B241" s="141" t="s">
        <v>247</v>
      </c>
      <c r="C241" s="141" t="s">
        <v>5648</v>
      </c>
      <c r="D241" s="141" t="s">
        <v>5649</v>
      </c>
      <c r="E241" s="76"/>
      <c r="F241" s="76"/>
      <c r="G241" s="76"/>
      <c r="H241" s="76"/>
      <c r="I241" s="76"/>
      <c r="J241" s="76"/>
      <c r="K241" s="76"/>
      <c r="L241" s="76"/>
      <c r="M241" s="76"/>
      <c r="N241" s="76"/>
      <c r="O241" s="76"/>
      <c r="P241" s="76"/>
      <c r="Q241" s="76"/>
      <c r="R241" s="76"/>
      <c r="S241" s="76"/>
      <c r="T241" s="76"/>
      <c r="U241" s="76"/>
      <c r="V241" s="76"/>
      <c r="W241" s="76"/>
      <c r="X241" s="76"/>
      <c r="Y241" s="76"/>
      <c r="Z241" s="76"/>
    </row>
    <row r="242" ht="22.5" customHeight="1">
      <c r="A242" s="140"/>
      <c r="B242" s="141" t="s">
        <v>247</v>
      </c>
      <c r="C242" s="141" t="s">
        <v>5650</v>
      </c>
      <c r="D242" s="141" t="s">
        <v>5651</v>
      </c>
      <c r="E242" s="76"/>
      <c r="F242" s="76"/>
      <c r="G242" s="76"/>
      <c r="H242" s="76"/>
      <c r="I242" s="76"/>
      <c r="J242" s="76"/>
      <c r="K242" s="76"/>
      <c r="L242" s="76"/>
      <c r="M242" s="76"/>
      <c r="N242" s="76"/>
      <c r="O242" s="76"/>
      <c r="P242" s="76"/>
      <c r="Q242" s="76"/>
      <c r="R242" s="76"/>
      <c r="S242" s="76"/>
      <c r="T242" s="76"/>
      <c r="U242" s="76"/>
      <c r="V242" s="76"/>
      <c r="W242" s="76"/>
      <c r="X242" s="76"/>
      <c r="Y242" s="76"/>
      <c r="Z242" s="76"/>
    </row>
    <row r="243" ht="22.5" customHeight="1">
      <c r="A243" s="140"/>
      <c r="B243" s="141" t="s">
        <v>247</v>
      </c>
      <c r="C243" s="141" t="s">
        <v>5652</v>
      </c>
      <c r="D243" s="141" t="s">
        <v>5653</v>
      </c>
      <c r="E243" s="76"/>
      <c r="F243" s="76"/>
      <c r="G243" s="76"/>
      <c r="H243" s="76"/>
      <c r="I243" s="76"/>
      <c r="J243" s="76"/>
      <c r="K243" s="76"/>
      <c r="L243" s="76"/>
      <c r="M243" s="76"/>
      <c r="N243" s="76"/>
      <c r="O243" s="76"/>
      <c r="P243" s="76"/>
      <c r="Q243" s="76"/>
      <c r="R243" s="76"/>
      <c r="S243" s="76"/>
      <c r="T243" s="76"/>
      <c r="U243" s="76"/>
      <c r="V243" s="76"/>
      <c r="W243" s="76"/>
      <c r="X243" s="76"/>
      <c r="Y243" s="76"/>
      <c r="Z243" s="76"/>
    </row>
    <row r="244" ht="22.5" customHeight="1">
      <c r="A244" s="140"/>
      <c r="B244" s="141" t="s">
        <v>247</v>
      </c>
      <c r="C244" s="141" t="s">
        <v>5654</v>
      </c>
      <c r="D244" s="141" t="s">
        <v>5655</v>
      </c>
      <c r="E244" s="76"/>
      <c r="F244" s="76"/>
      <c r="G244" s="76"/>
      <c r="H244" s="76"/>
      <c r="I244" s="76"/>
      <c r="J244" s="76"/>
      <c r="K244" s="76"/>
      <c r="L244" s="76"/>
      <c r="M244" s="76"/>
      <c r="N244" s="76"/>
      <c r="O244" s="76"/>
      <c r="P244" s="76"/>
      <c r="Q244" s="76"/>
      <c r="R244" s="76"/>
      <c r="S244" s="76"/>
      <c r="T244" s="76"/>
      <c r="U244" s="76"/>
      <c r="V244" s="76"/>
      <c r="W244" s="76"/>
      <c r="X244" s="76"/>
      <c r="Y244" s="76"/>
      <c r="Z244" s="76"/>
    </row>
    <row r="245" ht="22.5" customHeight="1">
      <c r="A245" s="140"/>
      <c r="B245" s="141" t="s">
        <v>247</v>
      </c>
      <c r="C245" s="141" t="s">
        <v>5656</v>
      </c>
      <c r="D245" s="141" t="s">
        <v>5657</v>
      </c>
      <c r="E245" s="76"/>
      <c r="F245" s="76"/>
      <c r="G245" s="76"/>
      <c r="H245" s="76"/>
      <c r="I245" s="76"/>
      <c r="J245" s="76"/>
      <c r="K245" s="76"/>
      <c r="L245" s="76"/>
      <c r="M245" s="76"/>
      <c r="N245" s="76"/>
      <c r="O245" s="76"/>
      <c r="P245" s="76"/>
      <c r="Q245" s="76"/>
      <c r="R245" s="76"/>
      <c r="S245" s="76"/>
      <c r="T245" s="76"/>
      <c r="U245" s="76"/>
      <c r="V245" s="76"/>
      <c r="W245" s="76"/>
      <c r="X245" s="76"/>
      <c r="Y245" s="76"/>
      <c r="Z245" s="76"/>
    </row>
    <row r="246" ht="22.5" customHeight="1">
      <c r="A246" s="140"/>
      <c r="B246" s="141" t="s">
        <v>247</v>
      </c>
      <c r="C246" s="141" t="s">
        <v>5658</v>
      </c>
      <c r="D246" s="141" t="s">
        <v>5659</v>
      </c>
      <c r="E246" s="76"/>
      <c r="F246" s="76"/>
      <c r="G246" s="76"/>
      <c r="H246" s="76"/>
      <c r="I246" s="76"/>
      <c r="J246" s="76"/>
      <c r="K246" s="76"/>
      <c r="L246" s="76"/>
      <c r="M246" s="76"/>
      <c r="N246" s="76"/>
      <c r="O246" s="76"/>
      <c r="P246" s="76"/>
      <c r="Q246" s="76"/>
      <c r="R246" s="76"/>
      <c r="S246" s="76"/>
      <c r="T246" s="76"/>
      <c r="U246" s="76"/>
      <c r="V246" s="76"/>
      <c r="W246" s="76"/>
      <c r="X246" s="76"/>
      <c r="Y246" s="76"/>
      <c r="Z246" s="76"/>
    </row>
    <row r="247" ht="22.5" customHeight="1">
      <c r="A247" s="140"/>
      <c r="B247" s="141" t="s">
        <v>247</v>
      </c>
      <c r="C247" s="141" t="s">
        <v>5660</v>
      </c>
      <c r="D247" s="141" t="s">
        <v>5661</v>
      </c>
      <c r="E247" s="76"/>
      <c r="F247" s="76"/>
      <c r="G247" s="76"/>
      <c r="H247" s="76"/>
      <c r="I247" s="76"/>
      <c r="J247" s="76"/>
      <c r="K247" s="76"/>
      <c r="L247" s="76"/>
      <c r="M247" s="76"/>
      <c r="N247" s="76"/>
      <c r="O247" s="76"/>
      <c r="P247" s="76"/>
      <c r="Q247" s="76"/>
      <c r="R247" s="76"/>
      <c r="S247" s="76"/>
      <c r="T247" s="76"/>
      <c r="U247" s="76"/>
      <c r="V247" s="76"/>
      <c r="W247" s="76"/>
      <c r="X247" s="76"/>
      <c r="Y247" s="76"/>
      <c r="Z247" s="76"/>
    </row>
    <row r="248" ht="22.5" customHeight="1">
      <c r="A248" s="140"/>
      <c r="B248" s="141" t="s">
        <v>247</v>
      </c>
      <c r="C248" s="141" t="s">
        <v>5662</v>
      </c>
      <c r="D248" s="141" t="s">
        <v>5663</v>
      </c>
      <c r="E248" s="76"/>
      <c r="F248" s="76"/>
      <c r="G248" s="76"/>
      <c r="H248" s="76"/>
      <c r="I248" s="76"/>
      <c r="J248" s="76"/>
      <c r="K248" s="76"/>
      <c r="L248" s="76"/>
      <c r="M248" s="76"/>
      <c r="N248" s="76"/>
      <c r="O248" s="76"/>
      <c r="P248" s="76"/>
      <c r="Q248" s="76"/>
      <c r="R248" s="76"/>
      <c r="S248" s="76"/>
      <c r="T248" s="76"/>
      <c r="U248" s="76"/>
      <c r="V248" s="76"/>
      <c r="W248" s="76"/>
      <c r="X248" s="76"/>
      <c r="Y248" s="76"/>
      <c r="Z248" s="76"/>
    </row>
    <row r="249" ht="22.5" customHeight="1">
      <c r="A249" s="140"/>
      <c r="B249" s="141" t="s">
        <v>247</v>
      </c>
      <c r="C249" s="141" t="s">
        <v>5664</v>
      </c>
      <c r="D249" s="141" t="s">
        <v>5665</v>
      </c>
      <c r="E249" s="76"/>
      <c r="F249" s="76"/>
      <c r="G249" s="76"/>
      <c r="H249" s="76"/>
      <c r="I249" s="76"/>
      <c r="J249" s="76"/>
      <c r="K249" s="76"/>
      <c r="L249" s="76"/>
      <c r="M249" s="76"/>
      <c r="N249" s="76"/>
      <c r="O249" s="76"/>
      <c r="P249" s="76"/>
      <c r="Q249" s="76"/>
      <c r="R249" s="76"/>
      <c r="S249" s="76"/>
      <c r="T249" s="76"/>
      <c r="U249" s="76"/>
      <c r="V249" s="76"/>
      <c r="W249" s="76"/>
      <c r="X249" s="76"/>
      <c r="Y249" s="76"/>
      <c r="Z249" s="76"/>
    </row>
    <row r="250" ht="22.5" customHeight="1">
      <c r="A250" s="140"/>
      <c r="B250" s="141" t="s">
        <v>247</v>
      </c>
      <c r="C250" s="141" t="s">
        <v>5666</v>
      </c>
      <c r="D250" s="141" t="s">
        <v>5667</v>
      </c>
      <c r="E250" s="76"/>
      <c r="F250" s="76"/>
      <c r="G250" s="76"/>
      <c r="H250" s="76"/>
      <c r="I250" s="76"/>
      <c r="J250" s="76"/>
      <c r="K250" s="76"/>
      <c r="L250" s="76"/>
      <c r="M250" s="76"/>
      <c r="N250" s="76"/>
      <c r="O250" s="76"/>
      <c r="P250" s="76"/>
      <c r="Q250" s="76"/>
      <c r="R250" s="76"/>
      <c r="S250" s="76"/>
      <c r="T250" s="76"/>
      <c r="U250" s="76"/>
      <c r="V250" s="76"/>
      <c r="W250" s="76"/>
      <c r="X250" s="76"/>
      <c r="Y250" s="76"/>
      <c r="Z250" s="76"/>
    </row>
    <row r="251" ht="22.5" customHeight="1">
      <c r="A251" s="140"/>
      <c r="B251" s="141" t="s">
        <v>247</v>
      </c>
      <c r="C251" s="141" t="s">
        <v>5668</v>
      </c>
      <c r="D251" s="141" t="s">
        <v>5669</v>
      </c>
      <c r="E251" s="76"/>
      <c r="F251" s="76"/>
      <c r="G251" s="76"/>
      <c r="H251" s="76"/>
      <c r="I251" s="76"/>
      <c r="J251" s="76"/>
      <c r="K251" s="76"/>
      <c r="L251" s="76"/>
      <c r="M251" s="76"/>
      <c r="N251" s="76"/>
      <c r="O251" s="76"/>
      <c r="P251" s="76"/>
      <c r="Q251" s="76"/>
      <c r="R251" s="76"/>
      <c r="S251" s="76"/>
      <c r="T251" s="76"/>
      <c r="U251" s="76"/>
      <c r="V251" s="76"/>
      <c r="W251" s="76"/>
      <c r="X251" s="76"/>
      <c r="Y251" s="76"/>
      <c r="Z251" s="76"/>
    </row>
    <row r="252" ht="22.5" customHeight="1">
      <c r="A252" s="140"/>
      <c r="B252" s="141" t="s">
        <v>247</v>
      </c>
      <c r="C252" s="141" t="s">
        <v>5670</v>
      </c>
      <c r="D252" s="141" t="s">
        <v>5671</v>
      </c>
      <c r="E252" s="76"/>
      <c r="F252" s="76"/>
      <c r="G252" s="76"/>
      <c r="H252" s="76"/>
      <c r="I252" s="76"/>
      <c r="J252" s="76"/>
      <c r="K252" s="76"/>
      <c r="L252" s="76"/>
      <c r="M252" s="76"/>
      <c r="N252" s="76"/>
      <c r="O252" s="76"/>
      <c r="P252" s="76"/>
      <c r="Q252" s="76"/>
      <c r="R252" s="76"/>
      <c r="S252" s="76"/>
      <c r="T252" s="76"/>
      <c r="U252" s="76"/>
      <c r="V252" s="76"/>
      <c r="W252" s="76"/>
      <c r="X252" s="76"/>
      <c r="Y252" s="76"/>
      <c r="Z252" s="76"/>
    </row>
    <row r="253" ht="22.5" customHeight="1">
      <c r="A253" s="140"/>
      <c r="B253" s="141" t="s">
        <v>247</v>
      </c>
      <c r="C253" s="141" t="s">
        <v>5672</v>
      </c>
      <c r="D253" s="141" t="s">
        <v>5673</v>
      </c>
      <c r="E253" s="76"/>
      <c r="F253" s="76"/>
      <c r="G253" s="76"/>
      <c r="H253" s="76"/>
      <c r="I253" s="76"/>
      <c r="J253" s="76"/>
      <c r="K253" s="76"/>
      <c r="L253" s="76"/>
      <c r="M253" s="76"/>
      <c r="N253" s="76"/>
      <c r="O253" s="76"/>
      <c r="P253" s="76"/>
      <c r="Q253" s="76"/>
      <c r="R253" s="76"/>
      <c r="S253" s="76"/>
      <c r="T253" s="76"/>
      <c r="U253" s="76"/>
      <c r="V253" s="76"/>
      <c r="W253" s="76"/>
      <c r="X253" s="76"/>
      <c r="Y253" s="76"/>
      <c r="Z253" s="76"/>
    </row>
    <row r="254" ht="22.5" customHeight="1">
      <c r="A254" s="140"/>
      <c r="B254" s="141" t="s">
        <v>247</v>
      </c>
      <c r="C254" s="141" t="s">
        <v>5674</v>
      </c>
      <c r="D254" s="141" t="s">
        <v>5675</v>
      </c>
      <c r="E254" s="76"/>
      <c r="F254" s="76"/>
      <c r="G254" s="76"/>
      <c r="H254" s="76"/>
      <c r="I254" s="76"/>
      <c r="J254" s="76"/>
      <c r="K254" s="76"/>
      <c r="L254" s="76"/>
      <c r="M254" s="76"/>
      <c r="N254" s="76"/>
      <c r="O254" s="76"/>
      <c r="P254" s="76"/>
      <c r="Q254" s="76"/>
      <c r="R254" s="76"/>
      <c r="S254" s="76"/>
      <c r="T254" s="76"/>
      <c r="U254" s="76"/>
      <c r="V254" s="76"/>
      <c r="W254" s="76"/>
      <c r="X254" s="76"/>
      <c r="Y254" s="76"/>
      <c r="Z254" s="76"/>
    </row>
    <row r="255" ht="22.5" customHeight="1">
      <c r="A255" s="140"/>
      <c r="B255" s="141" t="s">
        <v>247</v>
      </c>
      <c r="C255" s="141" t="s">
        <v>5676</v>
      </c>
      <c r="D255" s="141" t="s">
        <v>5677</v>
      </c>
      <c r="E255" s="76"/>
      <c r="F255" s="76"/>
      <c r="G255" s="76"/>
      <c r="H255" s="76"/>
      <c r="I255" s="76"/>
      <c r="J255" s="76"/>
      <c r="K255" s="76"/>
      <c r="L255" s="76"/>
      <c r="M255" s="76"/>
      <c r="N255" s="76"/>
      <c r="O255" s="76"/>
      <c r="P255" s="76"/>
      <c r="Q255" s="76"/>
      <c r="R255" s="76"/>
      <c r="S255" s="76"/>
      <c r="T255" s="76"/>
      <c r="U255" s="76"/>
      <c r="V255" s="76"/>
      <c r="W255" s="76"/>
      <c r="X255" s="76"/>
      <c r="Y255" s="76"/>
      <c r="Z255" s="76"/>
    </row>
    <row r="256" ht="22.5" customHeight="1">
      <c r="A256" s="140"/>
      <c r="B256" s="141" t="s">
        <v>247</v>
      </c>
      <c r="C256" s="141" t="s">
        <v>5678</v>
      </c>
      <c r="D256" s="141" t="s">
        <v>5679</v>
      </c>
      <c r="E256" s="76"/>
      <c r="F256" s="76"/>
      <c r="G256" s="76"/>
      <c r="H256" s="76"/>
      <c r="I256" s="76"/>
      <c r="J256" s="76"/>
      <c r="K256" s="76"/>
      <c r="L256" s="76"/>
      <c r="M256" s="76"/>
      <c r="N256" s="76"/>
      <c r="O256" s="76"/>
      <c r="P256" s="76"/>
      <c r="Q256" s="76"/>
      <c r="R256" s="76"/>
      <c r="S256" s="76"/>
      <c r="T256" s="76"/>
      <c r="U256" s="76"/>
      <c r="V256" s="76"/>
      <c r="W256" s="76"/>
      <c r="X256" s="76"/>
      <c r="Y256" s="76"/>
      <c r="Z256" s="76"/>
    </row>
    <row r="257" ht="22.5" customHeight="1">
      <c r="A257" s="140"/>
      <c r="B257" s="141" t="s">
        <v>247</v>
      </c>
      <c r="C257" s="141" t="s">
        <v>5680</v>
      </c>
      <c r="D257" s="141" t="s">
        <v>5681</v>
      </c>
      <c r="E257" s="76"/>
      <c r="F257" s="76"/>
      <c r="G257" s="76"/>
      <c r="H257" s="76"/>
      <c r="I257" s="76"/>
      <c r="J257" s="76"/>
      <c r="K257" s="76"/>
      <c r="L257" s="76"/>
      <c r="M257" s="76"/>
      <c r="N257" s="76"/>
      <c r="O257" s="76"/>
      <c r="P257" s="76"/>
      <c r="Q257" s="76"/>
      <c r="R257" s="76"/>
      <c r="S257" s="76"/>
      <c r="T257" s="76"/>
      <c r="U257" s="76"/>
      <c r="V257" s="76"/>
      <c r="W257" s="76"/>
      <c r="X257" s="76"/>
      <c r="Y257" s="76"/>
      <c r="Z257" s="76"/>
    </row>
    <row r="258" ht="22.5" customHeight="1">
      <c r="A258" s="140"/>
      <c r="B258" s="141" t="s">
        <v>247</v>
      </c>
      <c r="C258" s="141" t="s">
        <v>5682</v>
      </c>
      <c r="D258" s="141" t="s">
        <v>5683</v>
      </c>
      <c r="E258" s="76"/>
      <c r="F258" s="76"/>
      <c r="G258" s="76"/>
      <c r="H258" s="76"/>
      <c r="I258" s="76"/>
      <c r="J258" s="76"/>
      <c r="K258" s="76"/>
      <c r="L258" s="76"/>
      <c r="M258" s="76"/>
      <c r="N258" s="76"/>
      <c r="O258" s="76"/>
      <c r="P258" s="76"/>
      <c r="Q258" s="76"/>
      <c r="R258" s="76"/>
      <c r="S258" s="76"/>
      <c r="T258" s="76"/>
      <c r="U258" s="76"/>
      <c r="V258" s="76"/>
      <c r="W258" s="76"/>
      <c r="X258" s="76"/>
      <c r="Y258" s="76"/>
      <c r="Z258" s="76"/>
    </row>
    <row r="259" ht="22.5" customHeight="1">
      <c r="A259" s="140"/>
      <c r="B259" s="141" t="s">
        <v>247</v>
      </c>
      <c r="C259" s="141" t="s">
        <v>5684</v>
      </c>
      <c r="D259" s="141" t="s">
        <v>5685</v>
      </c>
      <c r="E259" s="76"/>
      <c r="F259" s="76"/>
      <c r="G259" s="76"/>
      <c r="H259" s="76"/>
      <c r="I259" s="76"/>
      <c r="J259" s="76"/>
      <c r="K259" s="76"/>
      <c r="L259" s="76"/>
      <c r="M259" s="76"/>
      <c r="N259" s="76"/>
      <c r="O259" s="76"/>
      <c r="P259" s="76"/>
      <c r="Q259" s="76"/>
      <c r="R259" s="76"/>
      <c r="S259" s="76"/>
      <c r="T259" s="76"/>
      <c r="U259" s="76"/>
      <c r="V259" s="76"/>
      <c r="W259" s="76"/>
      <c r="X259" s="76"/>
      <c r="Y259" s="76"/>
      <c r="Z259" s="76"/>
    </row>
    <row r="260" ht="22.5" customHeight="1">
      <c r="A260" s="140"/>
      <c r="B260" s="141" t="s">
        <v>247</v>
      </c>
      <c r="C260" s="141" t="s">
        <v>5686</v>
      </c>
      <c r="D260" s="141" t="s">
        <v>5687</v>
      </c>
      <c r="E260" s="76"/>
      <c r="F260" s="76"/>
      <c r="G260" s="76"/>
      <c r="H260" s="76"/>
      <c r="I260" s="76"/>
      <c r="J260" s="76"/>
      <c r="K260" s="76"/>
      <c r="L260" s="76"/>
      <c r="M260" s="76"/>
      <c r="N260" s="76"/>
      <c r="O260" s="76"/>
      <c r="P260" s="76"/>
      <c r="Q260" s="76"/>
      <c r="R260" s="76"/>
      <c r="S260" s="76"/>
      <c r="T260" s="76"/>
      <c r="U260" s="76"/>
      <c r="V260" s="76"/>
      <c r="W260" s="76"/>
      <c r="X260" s="76"/>
      <c r="Y260" s="76"/>
      <c r="Z260" s="76"/>
    </row>
    <row r="261" ht="22.5" customHeight="1">
      <c r="A261" s="140"/>
      <c r="B261" s="141" t="s">
        <v>247</v>
      </c>
      <c r="C261" s="141" t="s">
        <v>5688</v>
      </c>
      <c r="D261" s="141" t="s">
        <v>5689</v>
      </c>
      <c r="E261" s="76"/>
      <c r="F261" s="76"/>
      <c r="G261" s="76"/>
      <c r="H261" s="76"/>
      <c r="I261" s="76"/>
      <c r="J261" s="76"/>
      <c r="K261" s="76"/>
      <c r="L261" s="76"/>
      <c r="M261" s="76"/>
      <c r="N261" s="76"/>
      <c r="O261" s="76"/>
      <c r="P261" s="76"/>
      <c r="Q261" s="76"/>
      <c r="R261" s="76"/>
      <c r="S261" s="76"/>
      <c r="T261" s="76"/>
      <c r="U261" s="76"/>
      <c r="V261" s="76"/>
      <c r="W261" s="76"/>
      <c r="X261" s="76"/>
      <c r="Y261" s="76"/>
      <c r="Z261" s="76"/>
    </row>
    <row r="262" ht="22.5" customHeight="1">
      <c r="A262" s="140"/>
      <c r="B262" s="141" t="s">
        <v>247</v>
      </c>
      <c r="C262" s="141" t="s">
        <v>5690</v>
      </c>
      <c r="D262" s="141" t="s">
        <v>5691</v>
      </c>
      <c r="E262" s="76"/>
      <c r="F262" s="76"/>
      <c r="G262" s="76"/>
      <c r="H262" s="76"/>
      <c r="I262" s="76"/>
      <c r="J262" s="76"/>
      <c r="K262" s="76"/>
      <c r="L262" s="76"/>
      <c r="M262" s="76"/>
      <c r="N262" s="76"/>
      <c r="O262" s="76"/>
      <c r="P262" s="76"/>
      <c r="Q262" s="76"/>
      <c r="R262" s="76"/>
      <c r="S262" s="76"/>
      <c r="T262" s="76"/>
      <c r="U262" s="76"/>
      <c r="V262" s="76"/>
      <c r="W262" s="76"/>
      <c r="X262" s="76"/>
      <c r="Y262" s="76"/>
      <c r="Z262" s="76"/>
    </row>
    <row r="263" ht="22.5" customHeight="1">
      <c r="A263" s="140"/>
      <c r="B263" s="141" t="s">
        <v>247</v>
      </c>
      <c r="C263" s="141" t="s">
        <v>5692</v>
      </c>
      <c r="D263" s="141" t="s">
        <v>5693</v>
      </c>
      <c r="E263" s="76"/>
      <c r="F263" s="76"/>
      <c r="G263" s="76"/>
      <c r="H263" s="76"/>
      <c r="I263" s="76"/>
      <c r="J263" s="76"/>
      <c r="K263" s="76"/>
      <c r="L263" s="76"/>
      <c r="M263" s="76"/>
      <c r="N263" s="76"/>
      <c r="O263" s="76"/>
      <c r="P263" s="76"/>
      <c r="Q263" s="76"/>
      <c r="R263" s="76"/>
      <c r="S263" s="76"/>
      <c r="T263" s="76"/>
      <c r="U263" s="76"/>
      <c r="V263" s="76"/>
      <c r="W263" s="76"/>
      <c r="X263" s="76"/>
      <c r="Y263" s="76"/>
      <c r="Z263" s="76"/>
    </row>
    <row r="264" ht="22.5" customHeight="1">
      <c r="A264" s="140"/>
      <c r="B264" s="141" t="s">
        <v>247</v>
      </c>
      <c r="C264" s="141" t="s">
        <v>5694</v>
      </c>
      <c r="D264" s="141" t="s">
        <v>5695</v>
      </c>
      <c r="E264" s="76"/>
      <c r="F264" s="76"/>
      <c r="G264" s="76"/>
      <c r="H264" s="76"/>
      <c r="I264" s="76"/>
      <c r="J264" s="76"/>
      <c r="K264" s="76"/>
      <c r="L264" s="76"/>
      <c r="M264" s="76"/>
      <c r="N264" s="76"/>
      <c r="O264" s="76"/>
      <c r="P264" s="76"/>
      <c r="Q264" s="76"/>
      <c r="R264" s="76"/>
      <c r="S264" s="76"/>
      <c r="T264" s="76"/>
      <c r="U264" s="76"/>
      <c r="V264" s="76"/>
      <c r="W264" s="76"/>
      <c r="X264" s="76"/>
      <c r="Y264" s="76"/>
      <c r="Z264" s="76"/>
    </row>
    <row r="265" ht="22.5" customHeight="1">
      <c r="A265" s="140"/>
      <c r="B265" s="141" t="s">
        <v>247</v>
      </c>
      <c r="C265" s="141" t="s">
        <v>5696</v>
      </c>
      <c r="D265" s="141" t="s">
        <v>5697</v>
      </c>
      <c r="E265" s="76"/>
      <c r="F265" s="76"/>
      <c r="G265" s="76"/>
      <c r="H265" s="76"/>
      <c r="I265" s="76"/>
      <c r="J265" s="76"/>
      <c r="K265" s="76"/>
      <c r="L265" s="76"/>
      <c r="M265" s="76"/>
      <c r="N265" s="76"/>
      <c r="O265" s="76"/>
      <c r="P265" s="76"/>
      <c r="Q265" s="76"/>
      <c r="R265" s="76"/>
      <c r="S265" s="76"/>
      <c r="T265" s="76"/>
      <c r="U265" s="76"/>
      <c r="V265" s="76"/>
      <c r="W265" s="76"/>
      <c r="X265" s="76"/>
      <c r="Y265" s="76"/>
      <c r="Z265" s="76"/>
    </row>
    <row r="266" ht="22.5" customHeight="1">
      <c r="A266" s="140"/>
      <c r="B266" s="141" t="s">
        <v>247</v>
      </c>
      <c r="C266" s="141" t="s">
        <v>5698</v>
      </c>
      <c r="D266" s="141" t="s">
        <v>5699</v>
      </c>
      <c r="E266" s="76"/>
      <c r="F266" s="76"/>
      <c r="G266" s="76"/>
      <c r="H266" s="76"/>
      <c r="I266" s="76"/>
      <c r="J266" s="76"/>
      <c r="K266" s="76"/>
      <c r="L266" s="76"/>
      <c r="M266" s="76"/>
      <c r="N266" s="76"/>
      <c r="O266" s="76"/>
      <c r="P266" s="76"/>
      <c r="Q266" s="76"/>
      <c r="R266" s="76"/>
      <c r="S266" s="76"/>
      <c r="T266" s="76"/>
      <c r="U266" s="76"/>
      <c r="V266" s="76"/>
      <c r="W266" s="76"/>
      <c r="X266" s="76"/>
      <c r="Y266" s="76"/>
      <c r="Z266" s="76"/>
    </row>
    <row r="267" ht="22.5" customHeight="1">
      <c r="A267" s="140"/>
      <c r="B267" s="141" t="s">
        <v>247</v>
      </c>
      <c r="C267" s="141" t="s">
        <v>5700</v>
      </c>
      <c r="D267" s="141" t="s">
        <v>5701</v>
      </c>
      <c r="E267" s="76"/>
      <c r="F267" s="76"/>
      <c r="G267" s="76"/>
      <c r="H267" s="76"/>
      <c r="I267" s="76"/>
      <c r="J267" s="76"/>
      <c r="K267" s="76"/>
      <c r="L267" s="76"/>
      <c r="M267" s="76"/>
      <c r="N267" s="76"/>
      <c r="O267" s="76"/>
      <c r="P267" s="76"/>
      <c r="Q267" s="76"/>
      <c r="R267" s="76"/>
      <c r="S267" s="76"/>
      <c r="T267" s="76"/>
      <c r="U267" s="76"/>
      <c r="V267" s="76"/>
      <c r="W267" s="76"/>
      <c r="X267" s="76"/>
      <c r="Y267" s="76"/>
      <c r="Z267" s="76"/>
    </row>
    <row r="268" ht="22.5" customHeight="1">
      <c r="A268" s="140"/>
      <c r="B268" s="141" t="s">
        <v>247</v>
      </c>
      <c r="C268" s="141" t="s">
        <v>5702</v>
      </c>
      <c r="D268" s="141" t="s">
        <v>5703</v>
      </c>
      <c r="E268" s="76"/>
      <c r="F268" s="76"/>
      <c r="G268" s="76"/>
      <c r="H268" s="76"/>
      <c r="I268" s="76"/>
      <c r="J268" s="76"/>
      <c r="K268" s="76"/>
      <c r="L268" s="76"/>
      <c r="M268" s="76"/>
      <c r="N268" s="76"/>
      <c r="O268" s="76"/>
      <c r="P268" s="76"/>
      <c r="Q268" s="76"/>
      <c r="R268" s="76"/>
      <c r="S268" s="76"/>
      <c r="T268" s="76"/>
      <c r="U268" s="76"/>
      <c r="V268" s="76"/>
      <c r="W268" s="76"/>
      <c r="X268" s="76"/>
      <c r="Y268" s="76"/>
      <c r="Z268" s="76"/>
    </row>
    <row r="269" ht="22.5" customHeight="1">
      <c r="A269" s="140"/>
      <c r="B269" s="141" t="s">
        <v>247</v>
      </c>
      <c r="C269" s="141" t="s">
        <v>5704</v>
      </c>
      <c r="D269" s="141" t="s">
        <v>5705</v>
      </c>
      <c r="E269" s="76"/>
      <c r="F269" s="76"/>
      <c r="G269" s="76"/>
      <c r="H269" s="76"/>
      <c r="I269" s="76"/>
      <c r="J269" s="76"/>
      <c r="K269" s="76"/>
      <c r="L269" s="76"/>
      <c r="M269" s="76"/>
      <c r="N269" s="76"/>
      <c r="O269" s="76"/>
      <c r="P269" s="76"/>
      <c r="Q269" s="76"/>
      <c r="R269" s="76"/>
      <c r="S269" s="76"/>
      <c r="T269" s="76"/>
      <c r="U269" s="76"/>
      <c r="V269" s="76"/>
      <c r="W269" s="76"/>
      <c r="X269" s="76"/>
      <c r="Y269" s="76"/>
      <c r="Z269" s="76"/>
    </row>
    <row r="270" ht="22.5" customHeight="1">
      <c r="A270" s="140"/>
      <c r="B270" s="141" t="s">
        <v>247</v>
      </c>
      <c r="C270" s="141" t="s">
        <v>5706</v>
      </c>
      <c r="D270" s="141" t="s">
        <v>5707</v>
      </c>
      <c r="E270" s="76"/>
      <c r="F270" s="76"/>
      <c r="G270" s="76"/>
      <c r="H270" s="76"/>
      <c r="I270" s="76"/>
      <c r="J270" s="76"/>
      <c r="K270" s="76"/>
      <c r="L270" s="76"/>
      <c r="M270" s="76"/>
      <c r="N270" s="76"/>
      <c r="O270" s="76"/>
      <c r="P270" s="76"/>
      <c r="Q270" s="76"/>
      <c r="R270" s="76"/>
      <c r="S270" s="76"/>
      <c r="T270" s="76"/>
      <c r="U270" s="76"/>
      <c r="V270" s="76"/>
      <c r="W270" s="76"/>
      <c r="X270" s="76"/>
      <c r="Y270" s="76"/>
      <c r="Z270" s="76"/>
    </row>
    <row r="271" ht="22.5" customHeight="1">
      <c r="A271" s="140"/>
      <c r="B271" s="141" t="s">
        <v>247</v>
      </c>
      <c r="C271" s="141" t="s">
        <v>5708</v>
      </c>
      <c r="D271" s="141" t="s">
        <v>5709</v>
      </c>
      <c r="E271" s="76"/>
      <c r="F271" s="76"/>
      <c r="G271" s="76"/>
      <c r="H271" s="76"/>
      <c r="I271" s="76"/>
      <c r="J271" s="76"/>
      <c r="K271" s="76"/>
      <c r="L271" s="76"/>
      <c r="M271" s="76"/>
      <c r="N271" s="76"/>
      <c r="O271" s="76"/>
      <c r="P271" s="76"/>
      <c r="Q271" s="76"/>
      <c r="R271" s="76"/>
      <c r="S271" s="76"/>
      <c r="T271" s="76"/>
      <c r="U271" s="76"/>
      <c r="V271" s="76"/>
      <c r="W271" s="76"/>
      <c r="X271" s="76"/>
      <c r="Y271" s="76"/>
      <c r="Z271" s="76"/>
    </row>
    <row r="272" ht="22.5" customHeight="1">
      <c r="A272" s="140"/>
      <c r="B272" s="141" t="s">
        <v>247</v>
      </c>
      <c r="C272" s="141" t="s">
        <v>5710</v>
      </c>
      <c r="D272" s="141" t="s">
        <v>5711</v>
      </c>
      <c r="E272" s="76"/>
      <c r="F272" s="76"/>
      <c r="G272" s="76"/>
      <c r="H272" s="76"/>
      <c r="I272" s="76"/>
      <c r="J272" s="76"/>
      <c r="K272" s="76"/>
      <c r="L272" s="76"/>
      <c r="M272" s="76"/>
      <c r="N272" s="76"/>
      <c r="O272" s="76"/>
      <c r="P272" s="76"/>
      <c r="Q272" s="76"/>
      <c r="R272" s="76"/>
      <c r="S272" s="76"/>
      <c r="T272" s="76"/>
      <c r="U272" s="76"/>
      <c r="V272" s="76"/>
      <c r="W272" s="76"/>
      <c r="X272" s="76"/>
      <c r="Y272" s="76"/>
      <c r="Z272" s="76"/>
    </row>
    <row r="273" ht="22.5" customHeight="1">
      <c r="A273" s="140"/>
      <c r="B273" s="141" t="s">
        <v>247</v>
      </c>
      <c r="C273" s="141" t="s">
        <v>5712</v>
      </c>
      <c r="D273" s="141" t="s">
        <v>5713</v>
      </c>
      <c r="E273" s="76"/>
      <c r="F273" s="76"/>
      <c r="G273" s="76"/>
      <c r="H273" s="76"/>
      <c r="I273" s="76"/>
      <c r="J273" s="76"/>
      <c r="K273" s="76"/>
      <c r="L273" s="76"/>
      <c r="M273" s="76"/>
      <c r="N273" s="76"/>
      <c r="O273" s="76"/>
      <c r="P273" s="76"/>
      <c r="Q273" s="76"/>
      <c r="R273" s="76"/>
      <c r="S273" s="76"/>
      <c r="T273" s="76"/>
      <c r="U273" s="76"/>
      <c r="V273" s="76"/>
      <c r="W273" s="76"/>
      <c r="X273" s="76"/>
      <c r="Y273" s="76"/>
      <c r="Z273" s="76"/>
    </row>
    <row r="274" ht="22.5" customHeight="1">
      <c r="A274" s="140"/>
      <c r="B274" s="141" t="s">
        <v>247</v>
      </c>
      <c r="C274" s="141" t="s">
        <v>5714</v>
      </c>
      <c r="D274" s="141" t="s">
        <v>5715</v>
      </c>
      <c r="E274" s="76"/>
      <c r="F274" s="76"/>
      <c r="G274" s="76"/>
      <c r="H274" s="76"/>
      <c r="I274" s="76"/>
      <c r="J274" s="76"/>
      <c r="K274" s="76"/>
      <c r="L274" s="76"/>
      <c r="M274" s="76"/>
      <c r="N274" s="76"/>
      <c r="O274" s="76"/>
      <c r="P274" s="76"/>
      <c r="Q274" s="76"/>
      <c r="R274" s="76"/>
      <c r="S274" s="76"/>
      <c r="T274" s="76"/>
      <c r="U274" s="76"/>
      <c r="V274" s="76"/>
      <c r="W274" s="76"/>
      <c r="X274" s="76"/>
      <c r="Y274" s="76"/>
      <c r="Z274" s="76"/>
    </row>
    <row r="275" ht="22.5" customHeight="1">
      <c r="A275" s="140"/>
      <c r="B275" s="141" t="s">
        <v>247</v>
      </c>
      <c r="C275" s="141" t="s">
        <v>5716</v>
      </c>
      <c r="D275" s="141" t="s">
        <v>5717</v>
      </c>
      <c r="E275" s="76"/>
      <c r="F275" s="76"/>
      <c r="G275" s="76"/>
      <c r="H275" s="76"/>
      <c r="I275" s="76"/>
      <c r="J275" s="76"/>
      <c r="K275" s="76"/>
      <c r="L275" s="76"/>
      <c r="M275" s="76"/>
      <c r="N275" s="76"/>
      <c r="O275" s="76"/>
      <c r="P275" s="76"/>
      <c r="Q275" s="76"/>
      <c r="R275" s="76"/>
      <c r="S275" s="76"/>
      <c r="T275" s="76"/>
      <c r="U275" s="76"/>
      <c r="V275" s="76"/>
      <c r="W275" s="76"/>
      <c r="X275" s="76"/>
      <c r="Y275" s="76"/>
      <c r="Z275" s="76"/>
    </row>
    <row r="276" ht="22.5" customHeight="1">
      <c r="A276" s="140"/>
      <c r="B276" s="141" t="s">
        <v>247</v>
      </c>
      <c r="C276" s="141" t="s">
        <v>5718</v>
      </c>
      <c r="D276" s="141" t="s">
        <v>5719</v>
      </c>
      <c r="E276" s="76"/>
      <c r="F276" s="76"/>
      <c r="G276" s="76"/>
      <c r="H276" s="76"/>
      <c r="I276" s="76"/>
      <c r="J276" s="76"/>
      <c r="K276" s="76"/>
      <c r="L276" s="76"/>
      <c r="M276" s="76"/>
      <c r="N276" s="76"/>
      <c r="O276" s="76"/>
      <c r="P276" s="76"/>
      <c r="Q276" s="76"/>
      <c r="R276" s="76"/>
      <c r="S276" s="76"/>
      <c r="T276" s="76"/>
      <c r="U276" s="76"/>
      <c r="V276" s="76"/>
      <c r="W276" s="76"/>
      <c r="X276" s="76"/>
      <c r="Y276" s="76"/>
      <c r="Z276" s="76"/>
    </row>
    <row r="277" ht="22.5" customHeight="1">
      <c r="A277" s="140"/>
      <c r="B277" s="141" t="s">
        <v>247</v>
      </c>
      <c r="C277" s="141" t="s">
        <v>5720</v>
      </c>
      <c r="D277" s="141" t="s">
        <v>5721</v>
      </c>
      <c r="E277" s="76"/>
      <c r="F277" s="76"/>
      <c r="G277" s="76"/>
      <c r="H277" s="76"/>
      <c r="I277" s="76"/>
      <c r="J277" s="76"/>
      <c r="K277" s="76"/>
      <c r="L277" s="76"/>
      <c r="M277" s="76"/>
      <c r="N277" s="76"/>
      <c r="O277" s="76"/>
      <c r="P277" s="76"/>
      <c r="Q277" s="76"/>
      <c r="R277" s="76"/>
      <c r="S277" s="76"/>
      <c r="T277" s="76"/>
      <c r="U277" s="76"/>
      <c r="V277" s="76"/>
      <c r="W277" s="76"/>
      <c r="X277" s="76"/>
      <c r="Y277" s="76"/>
      <c r="Z277" s="76"/>
    </row>
    <row r="278" ht="22.5" customHeight="1">
      <c r="A278" s="140"/>
      <c r="B278" s="141" t="s">
        <v>247</v>
      </c>
      <c r="C278" s="141" t="s">
        <v>5722</v>
      </c>
      <c r="D278" s="141" t="s">
        <v>5723</v>
      </c>
      <c r="E278" s="76"/>
      <c r="F278" s="76"/>
      <c r="G278" s="76"/>
      <c r="H278" s="76"/>
      <c r="I278" s="76"/>
      <c r="J278" s="76"/>
      <c r="K278" s="76"/>
      <c r="L278" s="76"/>
      <c r="M278" s="76"/>
      <c r="N278" s="76"/>
      <c r="O278" s="76"/>
      <c r="P278" s="76"/>
      <c r="Q278" s="76"/>
      <c r="R278" s="76"/>
      <c r="S278" s="76"/>
      <c r="T278" s="76"/>
      <c r="U278" s="76"/>
      <c r="V278" s="76"/>
      <c r="W278" s="76"/>
      <c r="X278" s="76"/>
      <c r="Y278" s="76"/>
      <c r="Z278" s="76"/>
    </row>
    <row r="279" ht="22.5" customHeight="1">
      <c r="A279" s="140"/>
      <c r="B279" s="141" t="s">
        <v>247</v>
      </c>
      <c r="C279" s="141" t="s">
        <v>5724</v>
      </c>
      <c r="D279" s="141" t="s">
        <v>5725</v>
      </c>
      <c r="E279" s="76"/>
      <c r="F279" s="76"/>
      <c r="G279" s="76"/>
      <c r="H279" s="76"/>
      <c r="I279" s="76"/>
      <c r="J279" s="76"/>
      <c r="K279" s="76"/>
      <c r="L279" s="76"/>
      <c r="M279" s="76"/>
      <c r="N279" s="76"/>
      <c r="O279" s="76"/>
      <c r="P279" s="76"/>
      <c r="Q279" s="76"/>
      <c r="R279" s="76"/>
      <c r="S279" s="76"/>
      <c r="T279" s="76"/>
      <c r="U279" s="76"/>
      <c r="V279" s="76"/>
      <c r="W279" s="76"/>
      <c r="X279" s="76"/>
      <c r="Y279" s="76"/>
      <c r="Z279" s="76"/>
    </row>
    <row r="280" ht="22.5" customHeight="1">
      <c r="A280" s="140"/>
      <c r="B280" s="141" t="s">
        <v>247</v>
      </c>
      <c r="C280" s="141" t="s">
        <v>5726</v>
      </c>
      <c r="D280" s="141" t="s">
        <v>5727</v>
      </c>
      <c r="E280" s="76"/>
      <c r="F280" s="76"/>
      <c r="G280" s="76"/>
      <c r="H280" s="76"/>
      <c r="I280" s="76"/>
      <c r="J280" s="76"/>
      <c r="K280" s="76"/>
      <c r="L280" s="76"/>
      <c r="M280" s="76"/>
      <c r="N280" s="76"/>
      <c r="O280" s="76"/>
      <c r="P280" s="76"/>
      <c r="Q280" s="76"/>
      <c r="R280" s="76"/>
      <c r="S280" s="76"/>
      <c r="T280" s="76"/>
      <c r="U280" s="76"/>
      <c r="V280" s="76"/>
      <c r="W280" s="76"/>
      <c r="X280" s="76"/>
      <c r="Y280" s="76"/>
      <c r="Z280" s="76"/>
    </row>
    <row r="281" ht="22.5" customHeight="1">
      <c r="A281" s="140"/>
      <c r="B281" s="141" t="s">
        <v>247</v>
      </c>
      <c r="C281" s="141" t="s">
        <v>5728</v>
      </c>
      <c r="D281" s="141" t="s">
        <v>5729</v>
      </c>
      <c r="E281" s="76"/>
      <c r="F281" s="76"/>
      <c r="G281" s="76"/>
      <c r="H281" s="76"/>
      <c r="I281" s="76"/>
      <c r="J281" s="76"/>
      <c r="K281" s="76"/>
      <c r="L281" s="76"/>
      <c r="M281" s="76"/>
      <c r="N281" s="76"/>
      <c r="O281" s="76"/>
      <c r="P281" s="76"/>
      <c r="Q281" s="76"/>
      <c r="R281" s="76"/>
      <c r="S281" s="76"/>
      <c r="T281" s="76"/>
      <c r="U281" s="76"/>
      <c r="V281" s="76"/>
      <c r="W281" s="76"/>
      <c r="X281" s="76"/>
      <c r="Y281" s="76"/>
      <c r="Z281" s="76"/>
    </row>
    <row r="282" ht="22.5" customHeight="1">
      <c r="A282" s="140"/>
      <c r="B282" s="141" t="s">
        <v>247</v>
      </c>
      <c r="C282" s="141" t="s">
        <v>5730</v>
      </c>
      <c r="D282" s="141" t="s">
        <v>5731</v>
      </c>
      <c r="E282" s="76"/>
      <c r="F282" s="76"/>
      <c r="G282" s="76"/>
      <c r="H282" s="76"/>
      <c r="I282" s="76"/>
      <c r="J282" s="76"/>
      <c r="K282" s="76"/>
      <c r="L282" s="76"/>
      <c r="M282" s="76"/>
      <c r="N282" s="76"/>
      <c r="O282" s="76"/>
      <c r="P282" s="76"/>
      <c r="Q282" s="76"/>
      <c r="R282" s="76"/>
      <c r="S282" s="76"/>
      <c r="T282" s="76"/>
      <c r="U282" s="76"/>
      <c r="V282" s="76"/>
      <c r="W282" s="76"/>
      <c r="X282" s="76"/>
      <c r="Y282" s="76"/>
      <c r="Z282" s="76"/>
    </row>
    <row r="283" ht="22.5" customHeight="1">
      <c r="A283" s="140"/>
      <c r="B283" s="141" t="s">
        <v>247</v>
      </c>
      <c r="C283" s="141" t="s">
        <v>5732</v>
      </c>
      <c r="D283" s="141" t="s">
        <v>5733</v>
      </c>
      <c r="E283" s="76"/>
      <c r="F283" s="76"/>
      <c r="G283" s="76"/>
      <c r="H283" s="76"/>
      <c r="I283" s="76"/>
      <c r="J283" s="76"/>
      <c r="K283" s="76"/>
      <c r="L283" s="76"/>
      <c r="M283" s="76"/>
      <c r="N283" s="76"/>
      <c r="O283" s="76"/>
      <c r="P283" s="76"/>
      <c r="Q283" s="76"/>
      <c r="R283" s="76"/>
      <c r="S283" s="76"/>
      <c r="T283" s="76"/>
      <c r="U283" s="76"/>
      <c r="V283" s="76"/>
      <c r="W283" s="76"/>
      <c r="X283" s="76"/>
      <c r="Y283" s="76"/>
      <c r="Z283" s="76"/>
    </row>
    <row r="284" ht="22.5" customHeight="1">
      <c r="A284" s="140"/>
      <c r="B284" s="141" t="s">
        <v>247</v>
      </c>
      <c r="C284" s="141" t="s">
        <v>5734</v>
      </c>
      <c r="D284" s="141" t="s">
        <v>5735</v>
      </c>
      <c r="E284" s="76"/>
      <c r="F284" s="76"/>
      <c r="G284" s="76"/>
      <c r="H284" s="76"/>
      <c r="I284" s="76"/>
      <c r="J284" s="76"/>
      <c r="K284" s="76"/>
      <c r="L284" s="76"/>
      <c r="M284" s="76"/>
      <c r="N284" s="76"/>
      <c r="O284" s="76"/>
      <c r="P284" s="76"/>
      <c r="Q284" s="76"/>
      <c r="R284" s="76"/>
      <c r="S284" s="76"/>
      <c r="T284" s="76"/>
      <c r="U284" s="76"/>
      <c r="V284" s="76"/>
      <c r="W284" s="76"/>
      <c r="X284" s="76"/>
      <c r="Y284" s="76"/>
      <c r="Z284" s="76"/>
    </row>
    <row r="285" ht="22.5" customHeight="1">
      <c r="A285" s="140"/>
      <c r="B285" s="141" t="s">
        <v>247</v>
      </c>
      <c r="C285" s="141" t="s">
        <v>5736</v>
      </c>
      <c r="D285" s="141" t="s">
        <v>5737</v>
      </c>
      <c r="E285" s="76"/>
      <c r="F285" s="76"/>
      <c r="G285" s="76"/>
      <c r="H285" s="76"/>
      <c r="I285" s="76"/>
      <c r="J285" s="76"/>
      <c r="K285" s="76"/>
      <c r="L285" s="76"/>
      <c r="M285" s="76"/>
      <c r="N285" s="76"/>
      <c r="O285" s="76"/>
      <c r="P285" s="76"/>
      <c r="Q285" s="76"/>
      <c r="R285" s="76"/>
      <c r="S285" s="76"/>
      <c r="T285" s="76"/>
      <c r="U285" s="76"/>
      <c r="V285" s="76"/>
      <c r="W285" s="76"/>
      <c r="X285" s="76"/>
      <c r="Y285" s="76"/>
      <c r="Z285" s="76"/>
    </row>
    <row r="286" ht="22.5" customHeight="1">
      <c r="A286" s="140"/>
      <c r="B286" s="141" t="s">
        <v>247</v>
      </c>
      <c r="C286" s="141" t="s">
        <v>5738</v>
      </c>
      <c r="D286" s="141" t="s">
        <v>5739</v>
      </c>
      <c r="E286" s="76"/>
      <c r="F286" s="76"/>
      <c r="G286" s="76"/>
      <c r="H286" s="76"/>
      <c r="I286" s="76"/>
      <c r="J286" s="76"/>
      <c r="K286" s="76"/>
      <c r="L286" s="76"/>
      <c r="M286" s="76"/>
      <c r="N286" s="76"/>
      <c r="O286" s="76"/>
      <c r="P286" s="76"/>
      <c r="Q286" s="76"/>
      <c r="R286" s="76"/>
      <c r="S286" s="76"/>
      <c r="T286" s="76"/>
      <c r="U286" s="76"/>
      <c r="V286" s="76"/>
      <c r="W286" s="76"/>
      <c r="X286" s="76"/>
      <c r="Y286" s="76"/>
      <c r="Z286" s="76"/>
    </row>
    <row r="287" ht="22.5" customHeight="1">
      <c r="A287" s="140"/>
      <c r="B287" s="141" t="s">
        <v>247</v>
      </c>
      <c r="C287" s="141" t="s">
        <v>5740</v>
      </c>
      <c r="D287" s="141" t="s">
        <v>5741</v>
      </c>
      <c r="E287" s="76"/>
      <c r="F287" s="76"/>
      <c r="G287" s="76"/>
      <c r="H287" s="76"/>
      <c r="I287" s="76"/>
      <c r="J287" s="76"/>
      <c r="K287" s="76"/>
      <c r="L287" s="76"/>
      <c r="M287" s="76"/>
      <c r="N287" s="76"/>
      <c r="O287" s="76"/>
      <c r="P287" s="76"/>
      <c r="Q287" s="76"/>
      <c r="R287" s="76"/>
      <c r="S287" s="76"/>
      <c r="T287" s="76"/>
      <c r="U287" s="76"/>
      <c r="V287" s="76"/>
      <c r="W287" s="76"/>
      <c r="X287" s="76"/>
      <c r="Y287" s="76"/>
      <c r="Z287" s="76"/>
    </row>
    <row r="288" ht="22.5" customHeight="1">
      <c r="A288" s="140"/>
      <c r="B288" s="141" t="s">
        <v>247</v>
      </c>
      <c r="C288" s="141" t="s">
        <v>5742</v>
      </c>
      <c r="D288" s="141" t="s">
        <v>5743</v>
      </c>
      <c r="E288" s="76"/>
      <c r="F288" s="76"/>
      <c r="G288" s="76"/>
      <c r="H288" s="76"/>
      <c r="I288" s="76"/>
      <c r="J288" s="76"/>
      <c r="K288" s="76"/>
      <c r="L288" s="76"/>
      <c r="M288" s="76"/>
      <c r="N288" s="76"/>
      <c r="O288" s="76"/>
      <c r="P288" s="76"/>
      <c r="Q288" s="76"/>
      <c r="R288" s="76"/>
      <c r="S288" s="76"/>
      <c r="T288" s="76"/>
      <c r="U288" s="76"/>
      <c r="V288" s="76"/>
      <c r="W288" s="76"/>
      <c r="X288" s="76"/>
      <c r="Y288" s="76"/>
      <c r="Z288" s="76"/>
    </row>
    <row r="289" ht="22.5" customHeight="1">
      <c r="A289" s="140"/>
      <c r="B289" s="141" t="s">
        <v>247</v>
      </c>
      <c r="C289" s="141" t="s">
        <v>5744</v>
      </c>
      <c r="D289" s="141" t="s">
        <v>5745</v>
      </c>
      <c r="E289" s="76"/>
      <c r="F289" s="76"/>
      <c r="G289" s="76"/>
      <c r="H289" s="76"/>
      <c r="I289" s="76"/>
      <c r="J289" s="76"/>
      <c r="K289" s="76"/>
      <c r="L289" s="76"/>
      <c r="M289" s="76"/>
      <c r="N289" s="76"/>
      <c r="O289" s="76"/>
      <c r="P289" s="76"/>
      <c r="Q289" s="76"/>
      <c r="R289" s="76"/>
      <c r="S289" s="76"/>
      <c r="T289" s="76"/>
      <c r="U289" s="76"/>
      <c r="V289" s="76"/>
      <c r="W289" s="76"/>
      <c r="X289" s="76"/>
      <c r="Y289" s="76"/>
      <c r="Z289" s="76"/>
    </row>
    <row r="290" ht="22.5" customHeight="1">
      <c r="A290" s="140"/>
      <c r="B290" s="141" t="s">
        <v>247</v>
      </c>
      <c r="C290" s="141" t="s">
        <v>5746</v>
      </c>
      <c r="D290" s="141" t="s">
        <v>5747</v>
      </c>
      <c r="E290" s="76"/>
      <c r="F290" s="76"/>
      <c r="G290" s="76"/>
      <c r="H290" s="76"/>
      <c r="I290" s="76"/>
      <c r="J290" s="76"/>
      <c r="K290" s="76"/>
      <c r="L290" s="76"/>
      <c r="M290" s="76"/>
      <c r="N290" s="76"/>
      <c r="O290" s="76"/>
      <c r="P290" s="76"/>
      <c r="Q290" s="76"/>
      <c r="R290" s="76"/>
      <c r="S290" s="76"/>
      <c r="T290" s="76"/>
      <c r="U290" s="76"/>
      <c r="V290" s="76"/>
      <c r="W290" s="76"/>
      <c r="X290" s="76"/>
      <c r="Y290" s="76"/>
      <c r="Z290" s="76"/>
    </row>
    <row r="291" ht="22.5" customHeight="1">
      <c r="A291" s="140"/>
      <c r="B291" s="141" t="s">
        <v>247</v>
      </c>
      <c r="C291" s="141" t="s">
        <v>5748</v>
      </c>
      <c r="D291" s="141" t="s">
        <v>5749</v>
      </c>
      <c r="E291" s="76"/>
      <c r="F291" s="76"/>
      <c r="G291" s="76"/>
      <c r="H291" s="76"/>
      <c r="I291" s="76"/>
      <c r="J291" s="76"/>
      <c r="K291" s="76"/>
      <c r="L291" s="76"/>
      <c r="M291" s="76"/>
      <c r="N291" s="76"/>
      <c r="O291" s="76"/>
      <c r="P291" s="76"/>
      <c r="Q291" s="76"/>
      <c r="R291" s="76"/>
      <c r="S291" s="76"/>
      <c r="T291" s="76"/>
      <c r="U291" s="76"/>
      <c r="V291" s="76"/>
      <c r="W291" s="76"/>
      <c r="X291" s="76"/>
      <c r="Y291" s="76"/>
      <c r="Z291" s="76"/>
    </row>
    <row r="292" ht="22.5" customHeight="1">
      <c r="A292" s="140"/>
      <c r="B292" s="141" t="s">
        <v>247</v>
      </c>
      <c r="C292" s="141" t="s">
        <v>5750</v>
      </c>
      <c r="D292" s="141" t="s">
        <v>5751</v>
      </c>
      <c r="E292" s="76"/>
      <c r="F292" s="76"/>
      <c r="G292" s="76"/>
      <c r="H292" s="76"/>
      <c r="I292" s="76"/>
      <c r="J292" s="76"/>
      <c r="K292" s="76"/>
      <c r="L292" s="76"/>
      <c r="M292" s="76"/>
      <c r="N292" s="76"/>
      <c r="O292" s="76"/>
      <c r="P292" s="76"/>
      <c r="Q292" s="76"/>
      <c r="R292" s="76"/>
      <c r="S292" s="76"/>
      <c r="T292" s="76"/>
      <c r="U292" s="76"/>
      <c r="V292" s="76"/>
      <c r="W292" s="76"/>
      <c r="X292" s="76"/>
      <c r="Y292" s="76"/>
      <c r="Z292" s="76"/>
    </row>
    <row r="293" ht="22.5" customHeight="1">
      <c r="A293" s="140"/>
      <c r="B293" s="141" t="s">
        <v>247</v>
      </c>
      <c r="C293" s="141" t="s">
        <v>5752</v>
      </c>
      <c r="D293" s="141" t="s">
        <v>5753</v>
      </c>
      <c r="E293" s="76"/>
      <c r="F293" s="76"/>
      <c r="G293" s="76"/>
      <c r="H293" s="76"/>
      <c r="I293" s="76"/>
      <c r="J293" s="76"/>
      <c r="K293" s="76"/>
      <c r="L293" s="76"/>
      <c r="M293" s="76"/>
      <c r="N293" s="76"/>
      <c r="O293" s="76"/>
      <c r="P293" s="76"/>
      <c r="Q293" s="76"/>
      <c r="R293" s="76"/>
      <c r="S293" s="76"/>
      <c r="T293" s="76"/>
      <c r="U293" s="76"/>
      <c r="V293" s="76"/>
      <c r="W293" s="76"/>
      <c r="X293" s="76"/>
      <c r="Y293" s="76"/>
      <c r="Z293" s="76"/>
    </row>
    <row r="294" ht="22.5" customHeight="1">
      <c r="A294" s="140"/>
      <c r="B294" s="141" t="s">
        <v>247</v>
      </c>
      <c r="C294" s="141" t="s">
        <v>5754</v>
      </c>
      <c r="D294" s="141" t="s">
        <v>5755</v>
      </c>
      <c r="E294" s="76"/>
      <c r="F294" s="76"/>
      <c r="G294" s="76"/>
      <c r="H294" s="76"/>
      <c r="I294" s="76"/>
      <c r="J294" s="76"/>
      <c r="K294" s="76"/>
      <c r="L294" s="76"/>
      <c r="M294" s="76"/>
      <c r="N294" s="76"/>
      <c r="O294" s="76"/>
      <c r="P294" s="76"/>
      <c r="Q294" s="76"/>
      <c r="R294" s="76"/>
      <c r="S294" s="76"/>
      <c r="T294" s="76"/>
      <c r="U294" s="76"/>
      <c r="V294" s="76"/>
      <c r="W294" s="76"/>
      <c r="X294" s="76"/>
      <c r="Y294" s="76"/>
      <c r="Z294" s="76"/>
    </row>
    <row r="295" ht="22.5" customHeight="1">
      <c r="A295" s="140"/>
      <c r="B295" s="141" t="s">
        <v>247</v>
      </c>
      <c r="C295" s="141" t="s">
        <v>5756</v>
      </c>
      <c r="D295" s="141" t="s">
        <v>5757</v>
      </c>
      <c r="E295" s="76"/>
      <c r="F295" s="76"/>
      <c r="G295" s="76"/>
      <c r="H295" s="76"/>
      <c r="I295" s="76"/>
      <c r="J295" s="76"/>
      <c r="K295" s="76"/>
      <c r="L295" s="76"/>
      <c r="M295" s="76"/>
      <c r="N295" s="76"/>
      <c r="O295" s="76"/>
      <c r="P295" s="76"/>
      <c r="Q295" s="76"/>
      <c r="R295" s="76"/>
      <c r="S295" s="76"/>
      <c r="T295" s="76"/>
      <c r="U295" s="76"/>
      <c r="V295" s="76"/>
      <c r="W295" s="76"/>
      <c r="X295" s="76"/>
      <c r="Y295" s="76"/>
      <c r="Z295" s="76"/>
    </row>
    <row r="296" ht="22.5" customHeight="1">
      <c r="A296" s="140"/>
      <c r="B296" s="141" t="s">
        <v>247</v>
      </c>
      <c r="C296" s="141" t="s">
        <v>5758</v>
      </c>
      <c r="D296" s="141" t="s">
        <v>5759</v>
      </c>
      <c r="E296" s="76"/>
      <c r="F296" s="76"/>
      <c r="G296" s="76"/>
      <c r="H296" s="76"/>
      <c r="I296" s="76"/>
      <c r="J296" s="76"/>
      <c r="K296" s="76"/>
      <c r="L296" s="76"/>
      <c r="M296" s="76"/>
      <c r="N296" s="76"/>
      <c r="O296" s="76"/>
      <c r="P296" s="76"/>
      <c r="Q296" s="76"/>
      <c r="R296" s="76"/>
      <c r="S296" s="76"/>
      <c r="T296" s="76"/>
      <c r="U296" s="76"/>
      <c r="V296" s="76"/>
      <c r="W296" s="76"/>
      <c r="X296" s="76"/>
      <c r="Y296" s="76"/>
      <c r="Z296" s="76"/>
    </row>
    <row r="297" ht="22.5" customHeight="1">
      <c r="A297" s="140"/>
      <c r="B297" s="141" t="s">
        <v>247</v>
      </c>
      <c r="C297" s="141" t="s">
        <v>5760</v>
      </c>
      <c r="D297" s="141" t="s">
        <v>5761</v>
      </c>
      <c r="E297" s="76"/>
      <c r="F297" s="76"/>
      <c r="G297" s="76"/>
      <c r="H297" s="76"/>
      <c r="I297" s="76"/>
      <c r="J297" s="76"/>
      <c r="K297" s="76"/>
      <c r="L297" s="76"/>
      <c r="M297" s="76"/>
      <c r="N297" s="76"/>
      <c r="O297" s="76"/>
      <c r="P297" s="76"/>
      <c r="Q297" s="76"/>
      <c r="R297" s="76"/>
      <c r="S297" s="76"/>
      <c r="T297" s="76"/>
      <c r="U297" s="76"/>
      <c r="V297" s="76"/>
      <c r="W297" s="76"/>
      <c r="X297" s="76"/>
      <c r="Y297" s="76"/>
      <c r="Z297" s="76"/>
    </row>
    <row r="298" ht="22.5" customHeight="1">
      <c r="A298" s="140"/>
      <c r="B298" s="141" t="s">
        <v>247</v>
      </c>
      <c r="C298" s="141" t="s">
        <v>5762</v>
      </c>
      <c r="D298" s="141" t="s">
        <v>5763</v>
      </c>
      <c r="E298" s="76"/>
      <c r="F298" s="76"/>
      <c r="G298" s="76"/>
      <c r="H298" s="76"/>
      <c r="I298" s="76"/>
      <c r="J298" s="76"/>
      <c r="K298" s="76"/>
      <c r="L298" s="76"/>
      <c r="M298" s="76"/>
      <c r="N298" s="76"/>
      <c r="O298" s="76"/>
      <c r="P298" s="76"/>
      <c r="Q298" s="76"/>
      <c r="R298" s="76"/>
      <c r="S298" s="76"/>
      <c r="T298" s="76"/>
      <c r="U298" s="76"/>
      <c r="V298" s="76"/>
      <c r="W298" s="76"/>
      <c r="X298" s="76"/>
      <c r="Y298" s="76"/>
      <c r="Z298" s="76"/>
    </row>
    <row r="299" ht="22.5" customHeight="1">
      <c r="A299" s="140"/>
      <c r="B299" s="141" t="s">
        <v>247</v>
      </c>
      <c r="C299" s="141" t="s">
        <v>5764</v>
      </c>
      <c r="D299" s="141" t="s">
        <v>5765</v>
      </c>
      <c r="E299" s="76"/>
      <c r="F299" s="76"/>
      <c r="G299" s="76"/>
      <c r="H299" s="76"/>
      <c r="I299" s="76"/>
      <c r="J299" s="76"/>
      <c r="K299" s="76"/>
      <c r="L299" s="76"/>
      <c r="M299" s="76"/>
      <c r="N299" s="76"/>
      <c r="O299" s="76"/>
      <c r="P299" s="76"/>
      <c r="Q299" s="76"/>
      <c r="R299" s="76"/>
      <c r="S299" s="76"/>
      <c r="T299" s="76"/>
      <c r="U299" s="76"/>
      <c r="V299" s="76"/>
      <c r="W299" s="76"/>
      <c r="X299" s="76"/>
      <c r="Y299" s="76"/>
      <c r="Z299" s="76"/>
    </row>
    <row r="300" ht="22.5" customHeight="1">
      <c r="A300" s="140"/>
      <c r="B300" s="141" t="s">
        <v>247</v>
      </c>
      <c r="C300" s="141" t="s">
        <v>5766</v>
      </c>
      <c r="D300" s="141" t="s">
        <v>5767</v>
      </c>
      <c r="E300" s="76"/>
      <c r="F300" s="76"/>
      <c r="G300" s="76"/>
      <c r="H300" s="76"/>
      <c r="I300" s="76"/>
      <c r="J300" s="76"/>
      <c r="K300" s="76"/>
      <c r="L300" s="76"/>
      <c r="M300" s="76"/>
      <c r="N300" s="76"/>
      <c r="O300" s="76"/>
      <c r="P300" s="76"/>
      <c r="Q300" s="76"/>
      <c r="R300" s="76"/>
      <c r="S300" s="76"/>
      <c r="T300" s="76"/>
      <c r="U300" s="76"/>
      <c r="V300" s="76"/>
      <c r="W300" s="76"/>
      <c r="X300" s="76"/>
      <c r="Y300" s="76"/>
      <c r="Z300" s="76"/>
    </row>
    <row r="301" ht="22.5" customHeight="1">
      <c r="A301" s="140"/>
      <c r="B301" s="141" t="s">
        <v>247</v>
      </c>
      <c r="C301" s="141" t="s">
        <v>5768</v>
      </c>
      <c r="D301" s="141" t="s">
        <v>5769</v>
      </c>
      <c r="E301" s="76"/>
      <c r="F301" s="76"/>
      <c r="G301" s="76"/>
      <c r="H301" s="76"/>
      <c r="I301" s="76"/>
      <c r="J301" s="76"/>
      <c r="K301" s="76"/>
      <c r="L301" s="76"/>
      <c r="M301" s="76"/>
      <c r="N301" s="76"/>
      <c r="O301" s="76"/>
      <c r="P301" s="76"/>
      <c r="Q301" s="76"/>
      <c r="R301" s="76"/>
      <c r="S301" s="76"/>
      <c r="T301" s="76"/>
      <c r="U301" s="76"/>
      <c r="V301" s="76"/>
      <c r="W301" s="76"/>
      <c r="X301" s="76"/>
      <c r="Y301" s="76"/>
      <c r="Z301" s="76"/>
    </row>
    <row r="302" ht="22.5" customHeight="1">
      <c r="A302" s="140"/>
      <c r="B302" s="141" t="s">
        <v>247</v>
      </c>
      <c r="C302" s="141" t="s">
        <v>5770</v>
      </c>
      <c r="D302" s="141" t="s">
        <v>5771</v>
      </c>
      <c r="E302" s="76"/>
      <c r="F302" s="76"/>
      <c r="G302" s="76"/>
      <c r="H302" s="76"/>
      <c r="I302" s="76"/>
      <c r="J302" s="76"/>
      <c r="K302" s="76"/>
      <c r="L302" s="76"/>
      <c r="M302" s="76"/>
      <c r="N302" s="76"/>
      <c r="O302" s="76"/>
      <c r="P302" s="76"/>
      <c r="Q302" s="76"/>
      <c r="R302" s="76"/>
      <c r="S302" s="76"/>
      <c r="T302" s="76"/>
      <c r="U302" s="76"/>
      <c r="V302" s="76"/>
      <c r="W302" s="76"/>
      <c r="X302" s="76"/>
      <c r="Y302" s="76"/>
      <c r="Z302" s="76"/>
    </row>
    <row r="303" ht="22.5" customHeight="1">
      <c r="A303" s="140"/>
      <c r="B303" s="141" t="s">
        <v>247</v>
      </c>
      <c r="C303" s="141" t="s">
        <v>5772</v>
      </c>
      <c r="D303" s="141" t="s">
        <v>5773</v>
      </c>
      <c r="E303" s="76"/>
      <c r="F303" s="76"/>
      <c r="G303" s="76"/>
      <c r="H303" s="76"/>
      <c r="I303" s="76"/>
      <c r="J303" s="76"/>
      <c r="K303" s="76"/>
      <c r="L303" s="76"/>
      <c r="M303" s="76"/>
      <c r="N303" s="76"/>
      <c r="O303" s="76"/>
      <c r="P303" s="76"/>
      <c r="Q303" s="76"/>
      <c r="R303" s="76"/>
      <c r="S303" s="76"/>
      <c r="T303" s="76"/>
      <c r="U303" s="76"/>
      <c r="V303" s="76"/>
      <c r="W303" s="76"/>
      <c r="X303" s="76"/>
      <c r="Y303" s="76"/>
      <c r="Z303" s="76"/>
    </row>
    <row r="304" ht="22.5" customHeight="1">
      <c r="A304" s="140"/>
      <c r="B304" s="141" t="s">
        <v>247</v>
      </c>
      <c r="C304" s="141" t="s">
        <v>5774</v>
      </c>
      <c r="D304" s="141" t="s">
        <v>5775</v>
      </c>
      <c r="E304" s="76"/>
      <c r="F304" s="76"/>
      <c r="G304" s="76"/>
      <c r="H304" s="76"/>
      <c r="I304" s="76"/>
      <c r="J304" s="76"/>
      <c r="K304" s="76"/>
      <c r="L304" s="76"/>
      <c r="M304" s="76"/>
      <c r="N304" s="76"/>
      <c r="O304" s="76"/>
      <c r="P304" s="76"/>
      <c r="Q304" s="76"/>
      <c r="R304" s="76"/>
      <c r="S304" s="76"/>
      <c r="T304" s="76"/>
      <c r="U304" s="76"/>
      <c r="V304" s="76"/>
      <c r="W304" s="76"/>
      <c r="X304" s="76"/>
      <c r="Y304" s="76"/>
      <c r="Z304" s="76"/>
    </row>
    <row r="305" ht="22.5" customHeight="1">
      <c r="A305" s="140"/>
      <c r="B305" s="141" t="s">
        <v>247</v>
      </c>
      <c r="C305" s="141" t="s">
        <v>5776</v>
      </c>
      <c r="D305" s="141" t="s">
        <v>5777</v>
      </c>
      <c r="E305" s="76"/>
      <c r="F305" s="76"/>
      <c r="G305" s="76"/>
      <c r="H305" s="76"/>
      <c r="I305" s="76"/>
      <c r="J305" s="76"/>
      <c r="K305" s="76"/>
      <c r="L305" s="76"/>
      <c r="M305" s="76"/>
      <c r="N305" s="76"/>
      <c r="O305" s="76"/>
      <c r="P305" s="76"/>
      <c r="Q305" s="76"/>
      <c r="R305" s="76"/>
      <c r="S305" s="76"/>
      <c r="T305" s="76"/>
      <c r="U305" s="76"/>
      <c r="V305" s="76"/>
      <c r="W305" s="76"/>
      <c r="X305" s="76"/>
      <c r="Y305" s="76"/>
      <c r="Z305" s="76"/>
    </row>
    <row r="306" ht="22.5" customHeight="1">
      <c r="A306" s="140"/>
      <c r="B306" s="141" t="s">
        <v>247</v>
      </c>
      <c r="C306" s="141" t="s">
        <v>5778</v>
      </c>
      <c r="D306" s="141" t="s">
        <v>5779</v>
      </c>
      <c r="E306" s="76"/>
      <c r="F306" s="76"/>
      <c r="G306" s="76"/>
      <c r="H306" s="76"/>
      <c r="I306" s="76"/>
      <c r="J306" s="76"/>
      <c r="K306" s="76"/>
      <c r="L306" s="76"/>
      <c r="M306" s="76"/>
      <c r="N306" s="76"/>
      <c r="O306" s="76"/>
      <c r="P306" s="76"/>
      <c r="Q306" s="76"/>
      <c r="R306" s="76"/>
      <c r="S306" s="76"/>
      <c r="T306" s="76"/>
      <c r="U306" s="76"/>
      <c r="V306" s="76"/>
      <c r="W306" s="76"/>
      <c r="X306" s="76"/>
      <c r="Y306" s="76"/>
      <c r="Z306" s="76"/>
    </row>
    <row r="307" ht="22.5" customHeight="1">
      <c r="A307" s="140"/>
      <c r="B307" s="141" t="s">
        <v>247</v>
      </c>
      <c r="C307" s="141" t="s">
        <v>5780</v>
      </c>
      <c r="D307" s="141" t="s">
        <v>5781</v>
      </c>
      <c r="E307" s="76"/>
      <c r="F307" s="76"/>
      <c r="G307" s="76"/>
      <c r="H307" s="76"/>
      <c r="I307" s="76"/>
      <c r="J307" s="76"/>
      <c r="K307" s="76"/>
      <c r="L307" s="76"/>
      <c r="M307" s="76"/>
      <c r="N307" s="76"/>
      <c r="O307" s="76"/>
      <c r="P307" s="76"/>
      <c r="Q307" s="76"/>
      <c r="R307" s="76"/>
      <c r="S307" s="76"/>
      <c r="T307" s="76"/>
      <c r="U307" s="76"/>
      <c r="V307" s="76"/>
      <c r="W307" s="76"/>
      <c r="X307" s="76"/>
      <c r="Y307" s="76"/>
      <c r="Z307" s="76"/>
    </row>
    <row r="308" ht="22.5" customHeight="1">
      <c r="A308" s="140"/>
      <c r="B308" s="141" t="s">
        <v>247</v>
      </c>
      <c r="C308" s="141" t="s">
        <v>5782</v>
      </c>
      <c r="D308" s="141" t="s">
        <v>5783</v>
      </c>
      <c r="E308" s="76"/>
      <c r="F308" s="76"/>
      <c r="G308" s="76"/>
      <c r="H308" s="76"/>
      <c r="I308" s="76"/>
      <c r="J308" s="76"/>
      <c r="K308" s="76"/>
      <c r="L308" s="76"/>
      <c r="M308" s="76"/>
      <c r="N308" s="76"/>
      <c r="O308" s="76"/>
      <c r="P308" s="76"/>
      <c r="Q308" s="76"/>
      <c r="R308" s="76"/>
      <c r="S308" s="76"/>
      <c r="T308" s="76"/>
      <c r="U308" s="76"/>
      <c r="V308" s="76"/>
      <c r="W308" s="76"/>
      <c r="X308" s="76"/>
      <c r="Y308" s="76"/>
      <c r="Z308" s="76"/>
    </row>
    <row r="309" ht="22.5" customHeight="1">
      <c r="A309" s="140"/>
      <c r="B309" s="141" t="s">
        <v>247</v>
      </c>
      <c r="C309" s="141" t="s">
        <v>5784</v>
      </c>
      <c r="D309" s="141" t="s">
        <v>5785</v>
      </c>
      <c r="E309" s="76"/>
      <c r="F309" s="76"/>
      <c r="G309" s="76"/>
      <c r="H309" s="76"/>
      <c r="I309" s="76"/>
      <c r="J309" s="76"/>
      <c r="K309" s="76"/>
      <c r="L309" s="76"/>
      <c r="M309" s="76"/>
      <c r="N309" s="76"/>
      <c r="O309" s="76"/>
      <c r="P309" s="76"/>
      <c r="Q309" s="76"/>
      <c r="R309" s="76"/>
      <c r="S309" s="76"/>
      <c r="T309" s="76"/>
      <c r="U309" s="76"/>
      <c r="V309" s="76"/>
      <c r="W309" s="76"/>
      <c r="X309" s="76"/>
      <c r="Y309" s="76"/>
      <c r="Z309" s="76"/>
    </row>
    <row r="310" ht="22.5" customHeight="1">
      <c r="A310" s="140"/>
      <c r="B310" s="141" t="s">
        <v>247</v>
      </c>
      <c r="C310" s="141" t="s">
        <v>5786</v>
      </c>
      <c r="D310" s="141" t="s">
        <v>5787</v>
      </c>
      <c r="E310" s="76"/>
      <c r="F310" s="76"/>
      <c r="G310" s="76"/>
      <c r="H310" s="76"/>
      <c r="I310" s="76"/>
      <c r="J310" s="76"/>
      <c r="K310" s="76"/>
      <c r="L310" s="76"/>
      <c r="M310" s="76"/>
      <c r="N310" s="76"/>
      <c r="O310" s="76"/>
      <c r="P310" s="76"/>
      <c r="Q310" s="76"/>
      <c r="R310" s="76"/>
      <c r="S310" s="76"/>
      <c r="T310" s="76"/>
      <c r="U310" s="76"/>
      <c r="V310" s="76"/>
      <c r="W310" s="76"/>
      <c r="X310" s="76"/>
      <c r="Y310" s="76"/>
      <c r="Z310" s="76"/>
    </row>
    <row r="311" ht="22.5" customHeight="1">
      <c r="A311" s="140"/>
      <c r="B311" s="141" t="s">
        <v>247</v>
      </c>
      <c r="C311" s="141" t="s">
        <v>5788</v>
      </c>
      <c r="D311" s="141" t="s">
        <v>5789</v>
      </c>
      <c r="E311" s="76"/>
      <c r="F311" s="76"/>
      <c r="G311" s="76"/>
      <c r="H311" s="76"/>
      <c r="I311" s="76"/>
      <c r="J311" s="76"/>
      <c r="K311" s="76"/>
      <c r="L311" s="76"/>
      <c r="M311" s="76"/>
      <c r="N311" s="76"/>
      <c r="O311" s="76"/>
      <c r="P311" s="76"/>
      <c r="Q311" s="76"/>
      <c r="R311" s="76"/>
      <c r="S311" s="76"/>
      <c r="T311" s="76"/>
      <c r="U311" s="76"/>
      <c r="V311" s="76"/>
      <c r="W311" s="76"/>
      <c r="X311" s="76"/>
      <c r="Y311" s="76"/>
      <c r="Z311" s="76"/>
    </row>
    <row r="312" ht="22.5" customHeight="1">
      <c r="A312" s="140"/>
      <c r="B312" s="141" t="s">
        <v>247</v>
      </c>
      <c r="C312" s="141" t="s">
        <v>5790</v>
      </c>
      <c r="D312" s="141" t="s">
        <v>5791</v>
      </c>
      <c r="E312" s="76"/>
      <c r="F312" s="76"/>
      <c r="G312" s="76"/>
      <c r="H312" s="76"/>
      <c r="I312" s="76"/>
      <c r="J312" s="76"/>
      <c r="K312" s="76"/>
      <c r="L312" s="76"/>
      <c r="M312" s="76"/>
      <c r="N312" s="76"/>
      <c r="O312" s="76"/>
      <c r="P312" s="76"/>
      <c r="Q312" s="76"/>
      <c r="R312" s="76"/>
      <c r="S312" s="76"/>
      <c r="T312" s="76"/>
      <c r="U312" s="76"/>
      <c r="V312" s="76"/>
      <c r="W312" s="76"/>
      <c r="X312" s="76"/>
      <c r="Y312" s="76"/>
      <c r="Z312" s="76"/>
    </row>
    <row r="313" ht="22.5" customHeight="1">
      <c r="A313" s="140"/>
      <c r="B313" s="141" t="s">
        <v>247</v>
      </c>
      <c r="C313" s="141" t="s">
        <v>5792</v>
      </c>
      <c r="D313" s="141" t="s">
        <v>5793</v>
      </c>
      <c r="E313" s="76"/>
      <c r="F313" s="76"/>
      <c r="G313" s="76"/>
      <c r="H313" s="76"/>
      <c r="I313" s="76"/>
      <c r="J313" s="76"/>
      <c r="K313" s="76"/>
      <c r="L313" s="76"/>
      <c r="M313" s="76"/>
      <c r="N313" s="76"/>
      <c r="O313" s="76"/>
      <c r="P313" s="76"/>
      <c r="Q313" s="76"/>
      <c r="R313" s="76"/>
      <c r="S313" s="76"/>
      <c r="T313" s="76"/>
      <c r="U313" s="76"/>
      <c r="V313" s="76"/>
      <c r="W313" s="76"/>
      <c r="X313" s="76"/>
      <c r="Y313" s="76"/>
      <c r="Z313" s="76"/>
    </row>
    <row r="314" ht="22.5" customHeight="1">
      <c r="A314" s="140"/>
      <c r="B314" s="141" t="s">
        <v>247</v>
      </c>
      <c r="C314" s="141" t="s">
        <v>5794</v>
      </c>
      <c r="D314" s="141" t="s">
        <v>5795</v>
      </c>
      <c r="E314" s="76"/>
      <c r="F314" s="76"/>
      <c r="G314" s="76"/>
      <c r="H314" s="76"/>
      <c r="I314" s="76"/>
      <c r="J314" s="76"/>
      <c r="K314" s="76"/>
      <c r="L314" s="76"/>
      <c r="M314" s="76"/>
      <c r="N314" s="76"/>
      <c r="O314" s="76"/>
      <c r="P314" s="76"/>
      <c r="Q314" s="76"/>
      <c r="R314" s="76"/>
      <c r="S314" s="76"/>
      <c r="T314" s="76"/>
      <c r="U314" s="76"/>
      <c r="V314" s="76"/>
      <c r="W314" s="76"/>
      <c r="X314" s="76"/>
      <c r="Y314" s="76"/>
      <c r="Z314" s="76"/>
    </row>
    <row r="315" ht="22.5" customHeight="1">
      <c r="A315" s="140"/>
      <c r="B315" s="141" t="s">
        <v>247</v>
      </c>
      <c r="C315" s="141" t="s">
        <v>5796</v>
      </c>
      <c r="D315" s="141" t="s">
        <v>5797</v>
      </c>
      <c r="E315" s="76"/>
      <c r="F315" s="76"/>
      <c r="G315" s="76"/>
      <c r="H315" s="76"/>
      <c r="I315" s="76"/>
      <c r="J315" s="76"/>
      <c r="K315" s="76"/>
      <c r="L315" s="76"/>
      <c r="M315" s="76"/>
      <c r="N315" s="76"/>
      <c r="O315" s="76"/>
      <c r="P315" s="76"/>
      <c r="Q315" s="76"/>
      <c r="R315" s="76"/>
      <c r="S315" s="76"/>
      <c r="T315" s="76"/>
      <c r="U315" s="76"/>
      <c r="V315" s="76"/>
      <c r="W315" s="76"/>
      <c r="X315" s="76"/>
      <c r="Y315" s="76"/>
      <c r="Z315" s="76"/>
    </row>
    <row r="316" ht="22.5" customHeight="1">
      <c r="A316" s="140"/>
      <c r="B316" s="141" t="s">
        <v>247</v>
      </c>
      <c r="C316" s="141" t="s">
        <v>5798</v>
      </c>
      <c r="D316" s="141" t="s">
        <v>5799</v>
      </c>
      <c r="E316" s="76"/>
      <c r="F316" s="76"/>
      <c r="G316" s="76"/>
      <c r="H316" s="76"/>
      <c r="I316" s="76"/>
      <c r="J316" s="76"/>
      <c r="K316" s="76"/>
      <c r="L316" s="76"/>
      <c r="M316" s="76"/>
      <c r="N316" s="76"/>
      <c r="O316" s="76"/>
      <c r="P316" s="76"/>
      <c r="Q316" s="76"/>
      <c r="R316" s="76"/>
      <c r="S316" s="76"/>
      <c r="T316" s="76"/>
      <c r="U316" s="76"/>
      <c r="V316" s="76"/>
      <c r="W316" s="76"/>
      <c r="X316" s="76"/>
      <c r="Y316" s="76"/>
      <c r="Z316" s="76"/>
    </row>
    <row r="317" ht="22.5" customHeight="1">
      <c r="A317" s="140"/>
      <c r="B317" s="141" t="s">
        <v>247</v>
      </c>
      <c r="C317" s="141" t="s">
        <v>5800</v>
      </c>
      <c r="D317" s="141" t="s">
        <v>5801</v>
      </c>
      <c r="E317" s="76"/>
      <c r="F317" s="76"/>
      <c r="G317" s="76"/>
      <c r="H317" s="76"/>
      <c r="I317" s="76"/>
      <c r="J317" s="76"/>
      <c r="K317" s="76"/>
      <c r="L317" s="76"/>
      <c r="M317" s="76"/>
      <c r="N317" s="76"/>
      <c r="O317" s="76"/>
      <c r="P317" s="76"/>
      <c r="Q317" s="76"/>
      <c r="R317" s="76"/>
      <c r="S317" s="76"/>
      <c r="T317" s="76"/>
      <c r="U317" s="76"/>
      <c r="V317" s="76"/>
      <c r="W317" s="76"/>
      <c r="X317" s="76"/>
      <c r="Y317" s="76"/>
      <c r="Z317" s="76"/>
    </row>
    <row r="318" ht="22.5" customHeight="1">
      <c r="A318" s="140"/>
      <c r="B318" s="141" t="s">
        <v>247</v>
      </c>
      <c r="C318" s="141" t="s">
        <v>5802</v>
      </c>
      <c r="D318" s="141" t="s">
        <v>5803</v>
      </c>
      <c r="E318" s="76"/>
      <c r="F318" s="76"/>
      <c r="G318" s="76"/>
      <c r="H318" s="76"/>
      <c r="I318" s="76"/>
      <c r="J318" s="76"/>
      <c r="K318" s="76"/>
      <c r="L318" s="76"/>
      <c r="M318" s="76"/>
      <c r="N318" s="76"/>
      <c r="O318" s="76"/>
      <c r="P318" s="76"/>
      <c r="Q318" s="76"/>
      <c r="R318" s="76"/>
      <c r="S318" s="76"/>
      <c r="T318" s="76"/>
      <c r="U318" s="76"/>
      <c r="V318" s="76"/>
      <c r="W318" s="76"/>
      <c r="X318" s="76"/>
      <c r="Y318" s="76"/>
      <c r="Z318" s="76"/>
    </row>
    <row r="319" ht="22.5" customHeight="1">
      <c r="A319" s="140"/>
      <c r="B319" s="141" t="s">
        <v>247</v>
      </c>
      <c r="C319" s="141" t="s">
        <v>5804</v>
      </c>
      <c r="D319" s="141" t="s">
        <v>5805</v>
      </c>
      <c r="E319" s="76"/>
      <c r="F319" s="76"/>
      <c r="G319" s="76"/>
      <c r="H319" s="76"/>
      <c r="I319" s="76"/>
      <c r="J319" s="76"/>
      <c r="K319" s="76"/>
      <c r="L319" s="76"/>
      <c r="M319" s="76"/>
      <c r="N319" s="76"/>
      <c r="O319" s="76"/>
      <c r="P319" s="76"/>
      <c r="Q319" s="76"/>
      <c r="R319" s="76"/>
      <c r="S319" s="76"/>
      <c r="T319" s="76"/>
      <c r="U319" s="76"/>
      <c r="V319" s="76"/>
      <c r="W319" s="76"/>
      <c r="X319" s="76"/>
      <c r="Y319" s="76"/>
      <c r="Z319" s="76"/>
    </row>
    <row r="320" ht="22.5" customHeight="1">
      <c r="A320" s="140"/>
      <c r="B320" s="141" t="s">
        <v>247</v>
      </c>
      <c r="C320" s="141" t="s">
        <v>5806</v>
      </c>
      <c r="D320" s="141" t="s">
        <v>5807</v>
      </c>
      <c r="E320" s="76"/>
      <c r="F320" s="76"/>
      <c r="G320" s="76"/>
      <c r="H320" s="76"/>
      <c r="I320" s="76"/>
      <c r="J320" s="76"/>
      <c r="K320" s="76"/>
      <c r="L320" s="76"/>
      <c r="M320" s="76"/>
      <c r="N320" s="76"/>
      <c r="O320" s="76"/>
      <c r="P320" s="76"/>
      <c r="Q320" s="76"/>
      <c r="R320" s="76"/>
      <c r="S320" s="76"/>
      <c r="T320" s="76"/>
      <c r="U320" s="76"/>
      <c r="V320" s="76"/>
      <c r="W320" s="76"/>
      <c r="X320" s="76"/>
      <c r="Y320" s="76"/>
      <c r="Z320" s="76"/>
    </row>
    <row r="321" ht="22.5" customHeight="1">
      <c r="A321" s="140"/>
      <c r="B321" s="141" t="s">
        <v>247</v>
      </c>
      <c r="C321" s="141" t="s">
        <v>5808</v>
      </c>
      <c r="D321" s="141" t="s">
        <v>5809</v>
      </c>
      <c r="E321" s="76"/>
      <c r="F321" s="76"/>
      <c r="G321" s="76"/>
      <c r="H321" s="76"/>
      <c r="I321" s="76"/>
      <c r="J321" s="76"/>
      <c r="K321" s="76"/>
      <c r="L321" s="76"/>
      <c r="M321" s="76"/>
      <c r="N321" s="76"/>
      <c r="O321" s="76"/>
      <c r="P321" s="76"/>
      <c r="Q321" s="76"/>
      <c r="R321" s="76"/>
      <c r="S321" s="76"/>
      <c r="T321" s="76"/>
      <c r="U321" s="76"/>
      <c r="V321" s="76"/>
      <c r="W321" s="76"/>
      <c r="X321" s="76"/>
      <c r="Y321" s="76"/>
      <c r="Z321" s="76"/>
    </row>
    <row r="322" ht="22.5" customHeight="1">
      <c r="A322" s="140"/>
      <c r="B322" s="141" t="s">
        <v>247</v>
      </c>
      <c r="C322" s="141" t="s">
        <v>5810</v>
      </c>
      <c r="D322" s="141" t="s">
        <v>5811</v>
      </c>
      <c r="E322" s="76"/>
      <c r="F322" s="76"/>
      <c r="G322" s="76"/>
      <c r="H322" s="76"/>
      <c r="I322" s="76"/>
      <c r="J322" s="76"/>
      <c r="K322" s="76"/>
      <c r="L322" s="76"/>
      <c r="M322" s="76"/>
      <c r="N322" s="76"/>
      <c r="O322" s="76"/>
      <c r="P322" s="76"/>
      <c r="Q322" s="76"/>
      <c r="R322" s="76"/>
      <c r="S322" s="76"/>
      <c r="T322" s="76"/>
      <c r="U322" s="76"/>
      <c r="V322" s="76"/>
      <c r="W322" s="76"/>
      <c r="X322" s="76"/>
      <c r="Y322" s="76"/>
      <c r="Z322" s="76"/>
    </row>
    <row r="323" ht="22.5" customHeight="1">
      <c r="A323" s="140"/>
      <c r="B323" s="141" t="s">
        <v>247</v>
      </c>
      <c r="C323" s="141" t="s">
        <v>5812</v>
      </c>
      <c r="D323" s="141" t="s">
        <v>5813</v>
      </c>
      <c r="E323" s="76"/>
      <c r="F323" s="76"/>
      <c r="G323" s="76"/>
      <c r="H323" s="76"/>
      <c r="I323" s="76"/>
      <c r="J323" s="76"/>
      <c r="K323" s="76"/>
      <c r="L323" s="76"/>
      <c r="M323" s="76"/>
      <c r="N323" s="76"/>
      <c r="O323" s="76"/>
      <c r="P323" s="76"/>
      <c r="Q323" s="76"/>
      <c r="R323" s="76"/>
      <c r="S323" s="76"/>
      <c r="T323" s="76"/>
      <c r="U323" s="76"/>
      <c r="V323" s="76"/>
      <c r="W323" s="76"/>
      <c r="X323" s="76"/>
      <c r="Y323" s="76"/>
      <c r="Z323" s="76"/>
    </row>
    <row r="324" ht="22.5" customHeight="1">
      <c r="A324" s="140"/>
      <c r="B324" s="141" t="s">
        <v>247</v>
      </c>
      <c r="C324" s="141" t="s">
        <v>5814</v>
      </c>
      <c r="D324" s="141" t="s">
        <v>5815</v>
      </c>
      <c r="E324" s="76"/>
      <c r="F324" s="76"/>
      <c r="G324" s="76"/>
      <c r="H324" s="76"/>
      <c r="I324" s="76"/>
      <c r="J324" s="76"/>
      <c r="K324" s="76"/>
      <c r="L324" s="76"/>
      <c r="M324" s="76"/>
      <c r="N324" s="76"/>
      <c r="O324" s="76"/>
      <c r="P324" s="76"/>
      <c r="Q324" s="76"/>
      <c r="R324" s="76"/>
      <c r="S324" s="76"/>
      <c r="T324" s="76"/>
      <c r="U324" s="76"/>
      <c r="V324" s="76"/>
      <c r="W324" s="76"/>
      <c r="X324" s="76"/>
      <c r="Y324" s="76"/>
      <c r="Z324" s="76"/>
    </row>
    <row r="325" ht="22.5" customHeight="1">
      <c r="A325" s="140"/>
      <c r="B325" s="141" t="s">
        <v>247</v>
      </c>
      <c r="C325" s="141" t="s">
        <v>5816</v>
      </c>
      <c r="D325" s="141" t="s">
        <v>5817</v>
      </c>
      <c r="E325" s="76"/>
      <c r="F325" s="76"/>
      <c r="G325" s="76"/>
      <c r="H325" s="76"/>
      <c r="I325" s="76"/>
      <c r="J325" s="76"/>
      <c r="K325" s="76"/>
      <c r="L325" s="76"/>
      <c r="M325" s="76"/>
      <c r="N325" s="76"/>
      <c r="O325" s="76"/>
      <c r="P325" s="76"/>
      <c r="Q325" s="76"/>
      <c r="R325" s="76"/>
      <c r="S325" s="76"/>
      <c r="T325" s="76"/>
      <c r="U325" s="76"/>
      <c r="V325" s="76"/>
      <c r="W325" s="76"/>
      <c r="X325" s="76"/>
      <c r="Y325" s="76"/>
      <c r="Z325" s="76"/>
    </row>
    <row r="326" ht="22.5" customHeight="1">
      <c r="A326" s="140"/>
      <c r="B326" s="141" t="s">
        <v>247</v>
      </c>
      <c r="C326" s="141" t="s">
        <v>5818</v>
      </c>
      <c r="D326" s="141" t="s">
        <v>5819</v>
      </c>
      <c r="E326" s="76"/>
      <c r="F326" s="76"/>
      <c r="G326" s="76"/>
      <c r="H326" s="76"/>
      <c r="I326" s="76"/>
      <c r="J326" s="76"/>
      <c r="K326" s="76"/>
      <c r="L326" s="76"/>
      <c r="M326" s="76"/>
      <c r="N326" s="76"/>
      <c r="O326" s="76"/>
      <c r="P326" s="76"/>
      <c r="Q326" s="76"/>
      <c r="R326" s="76"/>
      <c r="S326" s="76"/>
      <c r="T326" s="76"/>
      <c r="U326" s="76"/>
      <c r="V326" s="76"/>
      <c r="W326" s="76"/>
      <c r="X326" s="76"/>
      <c r="Y326" s="76"/>
      <c r="Z326" s="76"/>
    </row>
    <row r="327" ht="22.5" customHeight="1">
      <c r="A327" s="140"/>
      <c r="B327" s="141" t="s">
        <v>247</v>
      </c>
      <c r="C327" s="141" t="s">
        <v>5820</v>
      </c>
      <c r="D327" s="141" t="s">
        <v>5821</v>
      </c>
      <c r="E327" s="76"/>
      <c r="F327" s="76"/>
      <c r="G327" s="76"/>
      <c r="H327" s="76"/>
      <c r="I327" s="76"/>
      <c r="J327" s="76"/>
      <c r="K327" s="76"/>
      <c r="L327" s="76"/>
      <c r="M327" s="76"/>
      <c r="N327" s="76"/>
      <c r="O327" s="76"/>
      <c r="P327" s="76"/>
      <c r="Q327" s="76"/>
      <c r="R327" s="76"/>
      <c r="S327" s="76"/>
      <c r="T327" s="76"/>
      <c r="U327" s="76"/>
      <c r="V327" s="76"/>
      <c r="W327" s="76"/>
      <c r="X327" s="76"/>
      <c r="Y327" s="76"/>
      <c r="Z327" s="76"/>
    </row>
    <row r="328" ht="22.5" customHeight="1">
      <c r="A328" s="140"/>
      <c r="B328" s="141" t="s">
        <v>247</v>
      </c>
      <c r="C328" s="141" t="s">
        <v>5822</v>
      </c>
      <c r="D328" s="141" t="s">
        <v>5823</v>
      </c>
      <c r="E328" s="76"/>
      <c r="F328" s="76"/>
      <c r="G328" s="76"/>
      <c r="H328" s="76"/>
      <c r="I328" s="76"/>
      <c r="J328" s="76"/>
      <c r="K328" s="76"/>
      <c r="L328" s="76"/>
      <c r="M328" s="76"/>
      <c r="N328" s="76"/>
      <c r="O328" s="76"/>
      <c r="P328" s="76"/>
      <c r="Q328" s="76"/>
      <c r="R328" s="76"/>
      <c r="S328" s="76"/>
      <c r="T328" s="76"/>
      <c r="U328" s="76"/>
      <c r="V328" s="76"/>
      <c r="W328" s="76"/>
      <c r="X328" s="76"/>
      <c r="Y328" s="76"/>
      <c r="Z328" s="76"/>
    </row>
    <row r="329" ht="22.5" customHeight="1">
      <c r="A329" s="140"/>
      <c r="B329" s="141" t="s">
        <v>247</v>
      </c>
      <c r="C329" s="141" t="s">
        <v>5824</v>
      </c>
      <c r="D329" s="141" t="s">
        <v>5825</v>
      </c>
      <c r="E329" s="76"/>
      <c r="F329" s="76"/>
      <c r="G329" s="76"/>
      <c r="H329" s="76"/>
      <c r="I329" s="76"/>
      <c r="J329" s="76"/>
      <c r="K329" s="76"/>
      <c r="L329" s="76"/>
      <c r="M329" s="76"/>
      <c r="N329" s="76"/>
      <c r="O329" s="76"/>
      <c r="P329" s="76"/>
      <c r="Q329" s="76"/>
      <c r="R329" s="76"/>
      <c r="S329" s="76"/>
      <c r="T329" s="76"/>
      <c r="U329" s="76"/>
      <c r="V329" s="76"/>
      <c r="W329" s="76"/>
      <c r="X329" s="76"/>
      <c r="Y329" s="76"/>
      <c r="Z329" s="76"/>
    </row>
    <row r="330" ht="22.5" customHeight="1">
      <c r="A330" s="140"/>
      <c r="B330" s="141" t="s">
        <v>247</v>
      </c>
      <c r="C330" s="141" t="s">
        <v>5826</v>
      </c>
      <c r="D330" s="141" t="s">
        <v>5827</v>
      </c>
      <c r="E330" s="76"/>
      <c r="F330" s="76"/>
      <c r="G330" s="76"/>
      <c r="H330" s="76"/>
      <c r="I330" s="76"/>
      <c r="J330" s="76"/>
      <c r="K330" s="76"/>
      <c r="L330" s="76"/>
      <c r="M330" s="76"/>
      <c r="N330" s="76"/>
      <c r="O330" s="76"/>
      <c r="P330" s="76"/>
      <c r="Q330" s="76"/>
      <c r="R330" s="76"/>
      <c r="S330" s="76"/>
      <c r="T330" s="76"/>
      <c r="U330" s="76"/>
      <c r="V330" s="76"/>
      <c r="W330" s="76"/>
      <c r="X330" s="76"/>
      <c r="Y330" s="76"/>
      <c r="Z330" s="76"/>
    </row>
    <row r="331" ht="22.5" customHeight="1">
      <c r="A331" s="140"/>
      <c r="B331" s="141" t="s">
        <v>247</v>
      </c>
      <c r="C331" s="141" t="s">
        <v>5828</v>
      </c>
      <c r="D331" s="141" t="s">
        <v>5829</v>
      </c>
      <c r="E331" s="76"/>
      <c r="F331" s="76"/>
      <c r="G331" s="76"/>
      <c r="H331" s="76"/>
      <c r="I331" s="76"/>
      <c r="J331" s="76"/>
      <c r="K331" s="76"/>
      <c r="L331" s="76"/>
      <c r="M331" s="76"/>
      <c r="N331" s="76"/>
      <c r="O331" s="76"/>
      <c r="P331" s="76"/>
      <c r="Q331" s="76"/>
      <c r="R331" s="76"/>
      <c r="S331" s="76"/>
      <c r="T331" s="76"/>
      <c r="U331" s="76"/>
      <c r="V331" s="76"/>
      <c r="W331" s="76"/>
      <c r="X331" s="76"/>
      <c r="Y331" s="76"/>
      <c r="Z331" s="76"/>
    </row>
    <row r="332" ht="22.5" customHeight="1">
      <c r="A332" s="140"/>
      <c r="B332" s="141" t="s">
        <v>247</v>
      </c>
      <c r="C332" s="141" t="s">
        <v>5830</v>
      </c>
      <c r="D332" s="141" t="s">
        <v>5831</v>
      </c>
      <c r="E332" s="76"/>
      <c r="F332" s="76"/>
      <c r="G332" s="76"/>
      <c r="H332" s="76"/>
      <c r="I332" s="76"/>
      <c r="J332" s="76"/>
      <c r="K332" s="76"/>
      <c r="L332" s="76"/>
      <c r="M332" s="76"/>
      <c r="N332" s="76"/>
      <c r="O332" s="76"/>
      <c r="P332" s="76"/>
      <c r="Q332" s="76"/>
      <c r="R332" s="76"/>
      <c r="S332" s="76"/>
      <c r="T332" s="76"/>
      <c r="U332" s="76"/>
      <c r="V332" s="76"/>
      <c r="W332" s="76"/>
      <c r="X332" s="76"/>
      <c r="Y332" s="76"/>
      <c r="Z332" s="76"/>
    </row>
    <row r="333" ht="22.5" customHeight="1">
      <c r="A333" s="140"/>
      <c r="B333" s="141" t="s">
        <v>247</v>
      </c>
      <c r="C333" s="141" t="s">
        <v>5832</v>
      </c>
      <c r="D333" s="141" t="s">
        <v>5833</v>
      </c>
      <c r="E333" s="76"/>
      <c r="F333" s="76"/>
      <c r="G333" s="76"/>
      <c r="H333" s="76"/>
      <c r="I333" s="76"/>
      <c r="J333" s="76"/>
      <c r="K333" s="76"/>
      <c r="L333" s="76"/>
      <c r="M333" s="76"/>
      <c r="N333" s="76"/>
      <c r="O333" s="76"/>
      <c r="P333" s="76"/>
      <c r="Q333" s="76"/>
      <c r="R333" s="76"/>
      <c r="S333" s="76"/>
      <c r="T333" s="76"/>
      <c r="U333" s="76"/>
      <c r="V333" s="76"/>
      <c r="W333" s="76"/>
      <c r="X333" s="76"/>
      <c r="Y333" s="76"/>
      <c r="Z333" s="76"/>
    </row>
    <row r="334" ht="22.5" customHeight="1">
      <c r="A334" s="140"/>
      <c r="B334" s="141" t="s">
        <v>247</v>
      </c>
      <c r="C334" s="141" t="s">
        <v>5834</v>
      </c>
      <c r="D334" s="141" t="s">
        <v>5835</v>
      </c>
      <c r="E334" s="76"/>
      <c r="F334" s="76"/>
      <c r="G334" s="76"/>
      <c r="H334" s="76"/>
      <c r="I334" s="76"/>
      <c r="J334" s="76"/>
      <c r="K334" s="76"/>
      <c r="L334" s="76"/>
      <c r="M334" s="76"/>
      <c r="N334" s="76"/>
      <c r="O334" s="76"/>
      <c r="P334" s="76"/>
      <c r="Q334" s="76"/>
      <c r="R334" s="76"/>
      <c r="S334" s="76"/>
      <c r="T334" s="76"/>
      <c r="U334" s="76"/>
      <c r="V334" s="76"/>
      <c r="W334" s="76"/>
      <c r="X334" s="76"/>
      <c r="Y334" s="76"/>
      <c r="Z334" s="76"/>
    </row>
    <row r="335" ht="22.5" customHeight="1">
      <c r="A335" s="140"/>
      <c r="B335" s="141" t="s">
        <v>247</v>
      </c>
      <c r="C335" s="141" t="s">
        <v>5836</v>
      </c>
      <c r="D335" s="141" t="s">
        <v>5837</v>
      </c>
      <c r="E335" s="76"/>
      <c r="F335" s="76"/>
      <c r="G335" s="76"/>
      <c r="H335" s="76"/>
      <c r="I335" s="76"/>
      <c r="J335" s="76"/>
      <c r="K335" s="76"/>
      <c r="L335" s="76"/>
      <c r="M335" s="76"/>
      <c r="N335" s="76"/>
      <c r="O335" s="76"/>
      <c r="P335" s="76"/>
      <c r="Q335" s="76"/>
      <c r="R335" s="76"/>
      <c r="S335" s="76"/>
      <c r="T335" s="76"/>
      <c r="U335" s="76"/>
      <c r="V335" s="76"/>
      <c r="W335" s="76"/>
      <c r="X335" s="76"/>
      <c r="Y335" s="76"/>
      <c r="Z335" s="76"/>
    </row>
    <row r="336" ht="22.5" customHeight="1">
      <c r="A336" s="140"/>
      <c r="B336" s="141" t="s">
        <v>247</v>
      </c>
      <c r="C336" s="141" t="s">
        <v>5838</v>
      </c>
      <c r="D336" s="141" t="s">
        <v>5839</v>
      </c>
      <c r="E336" s="76"/>
      <c r="F336" s="76"/>
      <c r="G336" s="76"/>
      <c r="H336" s="76"/>
      <c r="I336" s="76"/>
      <c r="J336" s="76"/>
      <c r="K336" s="76"/>
      <c r="L336" s="76"/>
      <c r="M336" s="76"/>
      <c r="N336" s="76"/>
      <c r="O336" s="76"/>
      <c r="P336" s="76"/>
      <c r="Q336" s="76"/>
      <c r="R336" s="76"/>
      <c r="S336" s="76"/>
      <c r="T336" s="76"/>
      <c r="U336" s="76"/>
      <c r="V336" s="76"/>
      <c r="W336" s="76"/>
      <c r="X336" s="76"/>
      <c r="Y336" s="76"/>
      <c r="Z336" s="76"/>
    </row>
    <row r="337" ht="22.5" customHeight="1">
      <c r="A337" s="140"/>
      <c r="B337" s="141" t="s">
        <v>247</v>
      </c>
      <c r="C337" s="141" t="s">
        <v>5840</v>
      </c>
      <c r="D337" s="141" t="s">
        <v>5841</v>
      </c>
      <c r="E337" s="76"/>
      <c r="F337" s="76"/>
      <c r="G337" s="76"/>
      <c r="H337" s="76"/>
      <c r="I337" s="76"/>
      <c r="J337" s="76"/>
      <c r="K337" s="76"/>
      <c r="L337" s="76"/>
      <c r="M337" s="76"/>
      <c r="N337" s="76"/>
      <c r="O337" s="76"/>
      <c r="P337" s="76"/>
      <c r="Q337" s="76"/>
      <c r="R337" s="76"/>
      <c r="S337" s="76"/>
      <c r="T337" s="76"/>
      <c r="U337" s="76"/>
      <c r="V337" s="76"/>
      <c r="W337" s="76"/>
      <c r="X337" s="76"/>
      <c r="Y337" s="76"/>
      <c r="Z337" s="76"/>
    </row>
    <row r="338" ht="22.5" customHeight="1">
      <c r="A338" s="140"/>
      <c r="B338" s="141" t="s">
        <v>247</v>
      </c>
      <c r="C338" s="141" t="s">
        <v>5842</v>
      </c>
      <c r="D338" s="141" t="s">
        <v>5843</v>
      </c>
      <c r="E338" s="76"/>
      <c r="F338" s="76"/>
      <c r="G338" s="76"/>
      <c r="H338" s="76"/>
      <c r="I338" s="76"/>
      <c r="J338" s="76"/>
      <c r="K338" s="76"/>
      <c r="L338" s="76"/>
      <c r="M338" s="76"/>
      <c r="N338" s="76"/>
      <c r="O338" s="76"/>
      <c r="P338" s="76"/>
      <c r="Q338" s="76"/>
      <c r="R338" s="76"/>
      <c r="S338" s="76"/>
      <c r="T338" s="76"/>
      <c r="U338" s="76"/>
      <c r="V338" s="76"/>
      <c r="W338" s="76"/>
      <c r="X338" s="76"/>
      <c r="Y338" s="76"/>
      <c r="Z338" s="76"/>
    </row>
    <row r="339" ht="22.5" customHeight="1">
      <c r="A339" s="140"/>
      <c r="B339" s="141" t="s">
        <v>247</v>
      </c>
      <c r="C339" s="141" t="s">
        <v>5844</v>
      </c>
      <c r="D339" s="141" t="s">
        <v>5845</v>
      </c>
      <c r="E339" s="76"/>
      <c r="F339" s="76"/>
      <c r="G339" s="76"/>
      <c r="H339" s="76"/>
      <c r="I339" s="76"/>
      <c r="J339" s="76"/>
      <c r="K339" s="76"/>
      <c r="L339" s="76"/>
      <c r="M339" s="76"/>
      <c r="N339" s="76"/>
      <c r="O339" s="76"/>
      <c r="P339" s="76"/>
      <c r="Q339" s="76"/>
      <c r="R339" s="76"/>
      <c r="S339" s="76"/>
      <c r="T339" s="76"/>
      <c r="U339" s="76"/>
      <c r="V339" s="76"/>
      <c r="W339" s="76"/>
      <c r="X339" s="76"/>
      <c r="Y339" s="76"/>
      <c r="Z339" s="76"/>
    </row>
    <row r="340" ht="22.5" customHeight="1">
      <c r="A340" s="140"/>
      <c r="B340" s="141" t="s">
        <v>247</v>
      </c>
      <c r="C340" s="141" t="s">
        <v>5846</v>
      </c>
      <c r="D340" s="141" t="s">
        <v>5847</v>
      </c>
      <c r="E340" s="76"/>
      <c r="F340" s="76"/>
      <c r="G340" s="76"/>
      <c r="H340" s="76"/>
      <c r="I340" s="76"/>
      <c r="J340" s="76"/>
      <c r="K340" s="76"/>
      <c r="L340" s="76"/>
      <c r="M340" s="76"/>
      <c r="N340" s="76"/>
      <c r="O340" s="76"/>
      <c r="P340" s="76"/>
      <c r="Q340" s="76"/>
      <c r="R340" s="76"/>
      <c r="S340" s="76"/>
      <c r="T340" s="76"/>
      <c r="U340" s="76"/>
      <c r="V340" s="76"/>
      <c r="W340" s="76"/>
      <c r="X340" s="76"/>
      <c r="Y340" s="76"/>
      <c r="Z340" s="76"/>
    </row>
    <row r="341" ht="22.5" customHeight="1">
      <c r="A341" s="140"/>
      <c r="B341" s="141" t="s">
        <v>247</v>
      </c>
      <c r="C341" s="141" t="s">
        <v>5848</v>
      </c>
      <c r="D341" s="141" t="s">
        <v>5849</v>
      </c>
      <c r="E341" s="76"/>
      <c r="F341" s="76"/>
      <c r="G341" s="76"/>
      <c r="H341" s="76"/>
      <c r="I341" s="76"/>
      <c r="J341" s="76"/>
      <c r="K341" s="76"/>
      <c r="L341" s="76"/>
      <c r="M341" s="76"/>
      <c r="N341" s="76"/>
      <c r="O341" s="76"/>
      <c r="P341" s="76"/>
      <c r="Q341" s="76"/>
      <c r="R341" s="76"/>
      <c r="S341" s="76"/>
      <c r="T341" s="76"/>
      <c r="U341" s="76"/>
      <c r="V341" s="76"/>
      <c r="W341" s="76"/>
      <c r="X341" s="76"/>
      <c r="Y341" s="76"/>
      <c r="Z341" s="76"/>
    </row>
    <row r="342" ht="22.5" customHeight="1">
      <c r="A342" s="140"/>
      <c r="B342" s="141" t="s">
        <v>247</v>
      </c>
      <c r="C342" s="141" t="s">
        <v>5850</v>
      </c>
      <c r="D342" s="141" t="s">
        <v>5851</v>
      </c>
      <c r="E342" s="76"/>
      <c r="F342" s="76"/>
      <c r="G342" s="76"/>
      <c r="H342" s="76"/>
      <c r="I342" s="76"/>
      <c r="J342" s="76"/>
      <c r="K342" s="76"/>
      <c r="L342" s="76"/>
      <c r="M342" s="76"/>
      <c r="N342" s="76"/>
      <c r="O342" s="76"/>
      <c r="P342" s="76"/>
      <c r="Q342" s="76"/>
      <c r="R342" s="76"/>
      <c r="S342" s="76"/>
      <c r="T342" s="76"/>
      <c r="U342" s="76"/>
      <c r="V342" s="76"/>
      <c r="W342" s="76"/>
      <c r="X342" s="76"/>
      <c r="Y342" s="76"/>
      <c r="Z342" s="76"/>
    </row>
    <row r="343" ht="22.5" customHeight="1">
      <c r="A343" s="140"/>
      <c r="B343" s="141" t="s">
        <v>247</v>
      </c>
      <c r="C343" s="141" t="s">
        <v>5852</v>
      </c>
      <c r="D343" s="141" t="s">
        <v>5853</v>
      </c>
      <c r="E343" s="76"/>
      <c r="F343" s="76"/>
      <c r="G343" s="76"/>
      <c r="H343" s="76"/>
      <c r="I343" s="76"/>
      <c r="J343" s="76"/>
      <c r="K343" s="76"/>
      <c r="L343" s="76"/>
      <c r="M343" s="76"/>
      <c r="N343" s="76"/>
      <c r="O343" s="76"/>
      <c r="P343" s="76"/>
      <c r="Q343" s="76"/>
      <c r="R343" s="76"/>
      <c r="S343" s="76"/>
      <c r="T343" s="76"/>
      <c r="U343" s="76"/>
      <c r="V343" s="76"/>
      <c r="W343" s="76"/>
      <c r="X343" s="76"/>
      <c r="Y343" s="76"/>
      <c r="Z343" s="76"/>
    </row>
    <row r="344" ht="22.5" customHeight="1">
      <c r="A344" s="140"/>
      <c r="B344" s="141" t="s">
        <v>247</v>
      </c>
      <c r="C344" s="141" t="s">
        <v>5854</v>
      </c>
      <c r="D344" s="141" t="s">
        <v>5855</v>
      </c>
      <c r="E344" s="76"/>
      <c r="F344" s="76"/>
      <c r="G344" s="76"/>
      <c r="H344" s="76"/>
      <c r="I344" s="76"/>
      <c r="J344" s="76"/>
      <c r="K344" s="76"/>
      <c r="L344" s="76"/>
      <c r="M344" s="76"/>
      <c r="N344" s="76"/>
      <c r="O344" s="76"/>
      <c r="P344" s="76"/>
      <c r="Q344" s="76"/>
      <c r="R344" s="76"/>
      <c r="S344" s="76"/>
      <c r="T344" s="76"/>
      <c r="U344" s="76"/>
      <c r="V344" s="76"/>
      <c r="W344" s="76"/>
      <c r="X344" s="76"/>
      <c r="Y344" s="76"/>
      <c r="Z344" s="76"/>
    </row>
    <row r="345" ht="22.5" customHeight="1">
      <c r="A345" s="140"/>
      <c r="B345" s="141" t="s">
        <v>247</v>
      </c>
      <c r="C345" s="141" t="s">
        <v>5856</v>
      </c>
      <c r="D345" s="141" t="s">
        <v>5857</v>
      </c>
      <c r="E345" s="76"/>
      <c r="F345" s="76"/>
      <c r="G345" s="76"/>
      <c r="H345" s="76"/>
      <c r="I345" s="76"/>
      <c r="J345" s="76"/>
      <c r="K345" s="76"/>
      <c r="L345" s="76"/>
      <c r="M345" s="76"/>
      <c r="N345" s="76"/>
      <c r="O345" s="76"/>
      <c r="P345" s="76"/>
      <c r="Q345" s="76"/>
      <c r="R345" s="76"/>
      <c r="S345" s="76"/>
      <c r="T345" s="76"/>
      <c r="U345" s="76"/>
      <c r="V345" s="76"/>
      <c r="W345" s="76"/>
      <c r="X345" s="76"/>
      <c r="Y345" s="76"/>
      <c r="Z345" s="76"/>
    </row>
    <row r="346" ht="22.5" customHeight="1">
      <c r="A346" s="140"/>
      <c r="B346" s="141" t="s">
        <v>247</v>
      </c>
      <c r="C346" s="141" t="s">
        <v>5858</v>
      </c>
      <c r="D346" s="141" t="s">
        <v>5859</v>
      </c>
      <c r="E346" s="76"/>
      <c r="F346" s="76"/>
      <c r="G346" s="76"/>
      <c r="H346" s="76"/>
      <c r="I346" s="76"/>
      <c r="J346" s="76"/>
      <c r="K346" s="76"/>
      <c r="L346" s="76"/>
      <c r="M346" s="76"/>
      <c r="N346" s="76"/>
      <c r="O346" s="76"/>
      <c r="P346" s="76"/>
      <c r="Q346" s="76"/>
      <c r="R346" s="76"/>
      <c r="S346" s="76"/>
      <c r="T346" s="76"/>
      <c r="U346" s="76"/>
      <c r="V346" s="76"/>
      <c r="W346" s="76"/>
      <c r="X346" s="76"/>
      <c r="Y346" s="76"/>
      <c r="Z346" s="76"/>
    </row>
    <row r="347" ht="22.5" customHeight="1">
      <c r="A347" s="140"/>
      <c r="B347" s="141" t="s">
        <v>247</v>
      </c>
      <c r="C347" s="141" t="s">
        <v>5860</v>
      </c>
      <c r="D347" s="141" t="s">
        <v>5861</v>
      </c>
      <c r="E347" s="76"/>
      <c r="F347" s="76"/>
      <c r="G347" s="76"/>
      <c r="H347" s="76"/>
      <c r="I347" s="76"/>
      <c r="J347" s="76"/>
      <c r="K347" s="76"/>
      <c r="L347" s="76"/>
      <c r="M347" s="76"/>
      <c r="N347" s="76"/>
      <c r="O347" s="76"/>
      <c r="P347" s="76"/>
      <c r="Q347" s="76"/>
      <c r="R347" s="76"/>
      <c r="S347" s="76"/>
      <c r="T347" s="76"/>
      <c r="U347" s="76"/>
      <c r="V347" s="76"/>
      <c r="W347" s="76"/>
      <c r="X347" s="76"/>
      <c r="Y347" s="76"/>
      <c r="Z347" s="76"/>
    </row>
    <row r="348" ht="22.5" customHeight="1">
      <c r="A348" s="140"/>
      <c r="B348" s="141" t="s">
        <v>247</v>
      </c>
      <c r="C348" s="141" t="s">
        <v>5862</v>
      </c>
      <c r="D348" s="141" t="s">
        <v>5863</v>
      </c>
      <c r="E348" s="76"/>
      <c r="F348" s="76"/>
      <c r="G348" s="76"/>
      <c r="H348" s="76"/>
      <c r="I348" s="76"/>
      <c r="J348" s="76"/>
      <c r="K348" s="76"/>
      <c r="L348" s="76"/>
      <c r="M348" s="76"/>
      <c r="N348" s="76"/>
      <c r="O348" s="76"/>
      <c r="P348" s="76"/>
      <c r="Q348" s="76"/>
      <c r="R348" s="76"/>
      <c r="S348" s="76"/>
      <c r="T348" s="76"/>
      <c r="U348" s="76"/>
      <c r="V348" s="76"/>
      <c r="W348" s="76"/>
      <c r="X348" s="76"/>
      <c r="Y348" s="76"/>
      <c r="Z348" s="76"/>
    </row>
    <row r="349" ht="22.5" customHeight="1">
      <c r="A349" s="140"/>
      <c r="B349" s="141" t="s">
        <v>247</v>
      </c>
      <c r="C349" s="141" t="s">
        <v>5864</v>
      </c>
      <c r="D349" s="141" t="s">
        <v>5865</v>
      </c>
      <c r="E349" s="76"/>
      <c r="F349" s="76"/>
      <c r="G349" s="76"/>
      <c r="H349" s="76"/>
      <c r="I349" s="76"/>
      <c r="J349" s="76"/>
      <c r="K349" s="76"/>
      <c r="L349" s="76"/>
      <c r="M349" s="76"/>
      <c r="N349" s="76"/>
      <c r="O349" s="76"/>
      <c r="P349" s="76"/>
      <c r="Q349" s="76"/>
      <c r="R349" s="76"/>
      <c r="S349" s="76"/>
      <c r="T349" s="76"/>
      <c r="U349" s="76"/>
      <c r="V349" s="76"/>
      <c r="W349" s="76"/>
      <c r="X349" s="76"/>
      <c r="Y349" s="76"/>
      <c r="Z349" s="76"/>
    </row>
    <row r="350" ht="22.5" customHeight="1">
      <c r="A350" s="140"/>
      <c r="B350" s="141" t="s">
        <v>247</v>
      </c>
      <c r="C350" s="141" t="s">
        <v>5866</v>
      </c>
      <c r="D350" s="141" t="s">
        <v>5867</v>
      </c>
      <c r="E350" s="76"/>
      <c r="F350" s="76"/>
      <c r="G350" s="76"/>
      <c r="H350" s="76"/>
      <c r="I350" s="76"/>
      <c r="J350" s="76"/>
      <c r="K350" s="76"/>
      <c r="L350" s="76"/>
      <c r="M350" s="76"/>
      <c r="N350" s="76"/>
      <c r="O350" s="76"/>
      <c r="P350" s="76"/>
      <c r="Q350" s="76"/>
      <c r="R350" s="76"/>
      <c r="S350" s="76"/>
      <c r="T350" s="76"/>
      <c r="U350" s="76"/>
      <c r="V350" s="76"/>
      <c r="W350" s="76"/>
      <c r="X350" s="76"/>
      <c r="Y350" s="76"/>
      <c r="Z350" s="76"/>
    </row>
    <row r="351" ht="22.5" customHeight="1">
      <c r="A351" s="140"/>
      <c r="B351" s="141" t="s">
        <v>247</v>
      </c>
      <c r="C351" s="141" t="s">
        <v>5868</v>
      </c>
      <c r="D351" s="141" t="s">
        <v>5869</v>
      </c>
      <c r="E351" s="76"/>
      <c r="F351" s="76"/>
      <c r="G351" s="76"/>
      <c r="H351" s="76"/>
      <c r="I351" s="76"/>
      <c r="J351" s="76"/>
      <c r="K351" s="76"/>
      <c r="L351" s="76"/>
      <c r="M351" s="76"/>
      <c r="N351" s="76"/>
      <c r="O351" s="76"/>
      <c r="P351" s="76"/>
      <c r="Q351" s="76"/>
      <c r="R351" s="76"/>
      <c r="S351" s="76"/>
      <c r="T351" s="76"/>
      <c r="U351" s="76"/>
      <c r="V351" s="76"/>
      <c r="W351" s="76"/>
      <c r="X351" s="76"/>
      <c r="Y351" s="76"/>
      <c r="Z351" s="76"/>
    </row>
    <row r="352" ht="22.5" customHeight="1">
      <c r="A352" s="140"/>
      <c r="B352" s="141" t="s">
        <v>247</v>
      </c>
      <c r="C352" s="141" t="s">
        <v>5870</v>
      </c>
      <c r="D352" s="141" t="s">
        <v>5871</v>
      </c>
      <c r="E352" s="76"/>
      <c r="F352" s="76"/>
      <c r="G352" s="76"/>
      <c r="H352" s="76"/>
      <c r="I352" s="76"/>
      <c r="J352" s="76"/>
      <c r="K352" s="76"/>
      <c r="L352" s="76"/>
      <c r="M352" s="76"/>
      <c r="N352" s="76"/>
      <c r="O352" s="76"/>
      <c r="P352" s="76"/>
      <c r="Q352" s="76"/>
      <c r="R352" s="76"/>
      <c r="S352" s="76"/>
      <c r="T352" s="76"/>
      <c r="U352" s="76"/>
      <c r="V352" s="76"/>
      <c r="W352" s="76"/>
      <c r="X352" s="76"/>
      <c r="Y352" s="76"/>
      <c r="Z352" s="76"/>
    </row>
    <row r="353" ht="22.5" customHeight="1">
      <c r="A353" s="140"/>
      <c r="B353" s="141" t="s">
        <v>247</v>
      </c>
      <c r="C353" s="141" t="s">
        <v>5872</v>
      </c>
      <c r="D353" s="141" t="s">
        <v>5873</v>
      </c>
      <c r="E353" s="76"/>
      <c r="F353" s="76"/>
      <c r="G353" s="76"/>
      <c r="H353" s="76"/>
      <c r="I353" s="76"/>
      <c r="J353" s="76"/>
      <c r="K353" s="76"/>
      <c r="L353" s="76"/>
      <c r="M353" s="76"/>
      <c r="N353" s="76"/>
      <c r="O353" s="76"/>
      <c r="P353" s="76"/>
      <c r="Q353" s="76"/>
      <c r="R353" s="76"/>
      <c r="S353" s="76"/>
      <c r="T353" s="76"/>
      <c r="U353" s="76"/>
      <c r="V353" s="76"/>
      <c r="W353" s="76"/>
      <c r="X353" s="76"/>
      <c r="Y353" s="76"/>
      <c r="Z353" s="76"/>
    </row>
    <row r="354" ht="22.5" customHeight="1">
      <c r="A354" s="140"/>
      <c r="B354" s="141" t="s">
        <v>247</v>
      </c>
      <c r="C354" s="141" t="s">
        <v>5874</v>
      </c>
      <c r="D354" s="141" t="s">
        <v>5875</v>
      </c>
      <c r="E354" s="76"/>
      <c r="F354" s="76"/>
      <c r="G354" s="76"/>
      <c r="H354" s="76"/>
      <c r="I354" s="76"/>
      <c r="J354" s="76"/>
      <c r="K354" s="76"/>
      <c r="L354" s="76"/>
      <c r="M354" s="76"/>
      <c r="N354" s="76"/>
      <c r="O354" s="76"/>
      <c r="P354" s="76"/>
      <c r="Q354" s="76"/>
      <c r="R354" s="76"/>
      <c r="S354" s="76"/>
      <c r="T354" s="76"/>
      <c r="U354" s="76"/>
      <c r="V354" s="76"/>
      <c r="W354" s="76"/>
      <c r="X354" s="76"/>
      <c r="Y354" s="76"/>
      <c r="Z354" s="76"/>
    </row>
    <row r="355" ht="22.5" customHeight="1">
      <c r="A355" s="140"/>
      <c r="B355" s="141" t="s">
        <v>247</v>
      </c>
      <c r="C355" s="141" t="s">
        <v>5876</v>
      </c>
      <c r="D355" s="141" t="s">
        <v>5877</v>
      </c>
      <c r="E355" s="76"/>
      <c r="F355" s="76"/>
      <c r="G355" s="76"/>
      <c r="H355" s="76"/>
      <c r="I355" s="76"/>
      <c r="J355" s="76"/>
      <c r="K355" s="76"/>
      <c r="L355" s="76"/>
      <c r="M355" s="76"/>
      <c r="N355" s="76"/>
      <c r="O355" s="76"/>
      <c r="P355" s="76"/>
      <c r="Q355" s="76"/>
      <c r="R355" s="76"/>
      <c r="S355" s="76"/>
      <c r="T355" s="76"/>
      <c r="U355" s="76"/>
      <c r="V355" s="76"/>
      <c r="W355" s="76"/>
      <c r="X355" s="76"/>
      <c r="Y355" s="76"/>
      <c r="Z355" s="76"/>
    </row>
    <row r="356" ht="22.5" customHeight="1">
      <c r="A356" s="140"/>
      <c r="B356" s="141" t="s">
        <v>247</v>
      </c>
      <c r="C356" s="141" t="s">
        <v>5878</v>
      </c>
      <c r="D356" s="141" t="s">
        <v>5879</v>
      </c>
      <c r="E356" s="76"/>
      <c r="F356" s="76"/>
      <c r="G356" s="76"/>
      <c r="H356" s="76"/>
      <c r="I356" s="76"/>
      <c r="J356" s="76"/>
      <c r="K356" s="76"/>
      <c r="L356" s="76"/>
      <c r="M356" s="76"/>
      <c r="N356" s="76"/>
      <c r="O356" s="76"/>
      <c r="P356" s="76"/>
      <c r="Q356" s="76"/>
      <c r="R356" s="76"/>
      <c r="S356" s="76"/>
      <c r="T356" s="76"/>
      <c r="U356" s="76"/>
      <c r="V356" s="76"/>
      <c r="W356" s="76"/>
      <c r="X356" s="76"/>
      <c r="Y356" s="76"/>
      <c r="Z356" s="76"/>
    </row>
    <row r="357" ht="22.5" customHeight="1">
      <c r="A357" s="140"/>
      <c r="B357" s="141" t="s">
        <v>247</v>
      </c>
      <c r="C357" s="141" t="s">
        <v>5880</v>
      </c>
      <c r="D357" s="141" t="s">
        <v>5881</v>
      </c>
      <c r="E357" s="76"/>
      <c r="F357" s="76"/>
      <c r="G357" s="76"/>
      <c r="H357" s="76"/>
      <c r="I357" s="76"/>
      <c r="J357" s="76"/>
      <c r="K357" s="76"/>
      <c r="L357" s="76"/>
      <c r="M357" s="76"/>
      <c r="N357" s="76"/>
      <c r="O357" s="76"/>
      <c r="P357" s="76"/>
      <c r="Q357" s="76"/>
      <c r="R357" s="76"/>
      <c r="S357" s="76"/>
      <c r="T357" s="76"/>
      <c r="U357" s="76"/>
      <c r="V357" s="76"/>
      <c r="W357" s="76"/>
      <c r="X357" s="76"/>
      <c r="Y357" s="76"/>
      <c r="Z357" s="76"/>
    </row>
    <row r="358" ht="22.5" customHeight="1">
      <c r="A358" s="140"/>
      <c r="B358" s="141" t="s">
        <v>247</v>
      </c>
      <c r="C358" s="141" t="s">
        <v>5882</v>
      </c>
      <c r="D358" s="141" t="s">
        <v>5883</v>
      </c>
      <c r="E358" s="76"/>
      <c r="F358" s="76"/>
      <c r="G358" s="76"/>
      <c r="H358" s="76"/>
      <c r="I358" s="76"/>
      <c r="J358" s="76"/>
      <c r="K358" s="76"/>
      <c r="L358" s="76"/>
      <c r="M358" s="76"/>
      <c r="N358" s="76"/>
      <c r="O358" s="76"/>
      <c r="P358" s="76"/>
      <c r="Q358" s="76"/>
      <c r="R358" s="76"/>
      <c r="S358" s="76"/>
      <c r="T358" s="76"/>
      <c r="U358" s="76"/>
      <c r="V358" s="76"/>
      <c r="W358" s="76"/>
      <c r="X358" s="76"/>
      <c r="Y358" s="76"/>
      <c r="Z358" s="76"/>
    </row>
    <row r="359" ht="22.5" customHeight="1">
      <c r="A359" s="140"/>
      <c r="B359" s="141" t="s">
        <v>247</v>
      </c>
      <c r="C359" s="141" t="s">
        <v>5884</v>
      </c>
      <c r="D359" s="141" t="s">
        <v>5885</v>
      </c>
      <c r="E359" s="76"/>
      <c r="F359" s="76"/>
      <c r="G359" s="76"/>
      <c r="H359" s="76"/>
      <c r="I359" s="76"/>
      <c r="J359" s="76"/>
      <c r="K359" s="76"/>
      <c r="L359" s="76"/>
      <c r="M359" s="76"/>
      <c r="N359" s="76"/>
      <c r="O359" s="76"/>
      <c r="P359" s="76"/>
      <c r="Q359" s="76"/>
      <c r="R359" s="76"/>
      <c r="S359" s="76"/>
      <c r="T359" s="76"/>
      <c r="U359" s="76"/>
      <c r="V359" s="76"/>
      <c r="W359" s="76"/>
      <c r="X359" s="76"/>
      <c r="Y359" s="76"/>
      <c r="Z359" s="76"/>
    </row>
    <row r="360" ht="22.5" customHeight="1">
      <c r="A360" s="140"/>
      <c r="B360" s="141" t="s">
        <v>247</v>
      </c>
      <c r="C360" s="141" t="s">
        <v>5886</v>
      </c>
      <c r="D360" s="141" t="s">
        <v>5887</v>
      </c>
      <c r="E360" s="76"/>
      <c r="F360" s="76"/>
      <c r="G360" s="76"/>
      <c r="H360" s="76"/>
      <c r="I360" s="76"/>
      <c r="J360" s="76"/>
      <c r="K360" s="76"/>
      <c r="L360" s="76"/>
      <c r="M360" s="76"/>
      <c r="N360" s="76"/>
      <c r="O360" s="76"/>
      <c r="P360" s="76"/>
      <c r="Q360" s="76"/>
      <c r="R360" s="76"/>
      <c r="S360" s="76"/>
      <c r="T360" s="76"/>
      <c r="U360" s="76"/>
      <c r="V360" s="76"/>
      <c r="W360" s="76"/>
      <c r="X360" s="76"/>
      <c r="Y360" s="76"/>
      <c r="Z360" s="76"/>
    </row>
    <row r="361" ht="22.5" customHeight="1">
      <c r="A361" s="140"/>
      <c r="B361" s="141" t="s">
        <v>247</v>
      </c>
      <c r="C361" s="141" t="s">
        <v>5888</v>
      </c>
      <c r="D361" s="141" t="s">
        <v>5889</v>
      </c>
      <c r="E361" s="76"/>
      <c r="F361" s="76"/>
      <c r="G361" s="76"/>
      <c r="H361" s="76"/>
      <c r="I361" s="76"/>
      <c r="J361" s="76"/>
      <c r="K361" s="76"/>
      <c r="L361" s="76"/>
      <c r="M361" s="76"/>
      <c r="N361" s="76"/>
      <c r="O361" s="76"/>
      <c r="P361" s="76"/>
      <c r="Q361" s="76"/>
      <c r="R361" s="76"/>
      <c r="S361" s="76"/>
      <c r="T361" s="76"/>
      <c r="U361" s="76"/>
      <c r="V361" s="76"/>
      <c r="W361" s="76"/>
      <c r="X361" s="76"/>
      <c r="Y361" s="76"/>
      <c r="Z361" s="76"/>
    </row>
    <row r="362" ht="22.5" customHeight="1">
      <c r="A362" s="140"/>
      <c r="B362" s="141" t="s">
        <v>247</v>
      </c>
      <c r="C362" s="141" t="s">
        <v>5890</v>
      </c>
      <c r="D362" s="141" t="s">
        <v>5891</v>
      </c>
      <c r="E362" s="76"/>
      <c r="F362" s="76"/>
      <c r="G362" s="76"/>
      <c r="H362" s="76"/>
      <c r="I362" s="76"/>
      <c r="J362" s="76"/>
      <c r="K362" s="76"/>
      <c r="L362" s="76"/>
      <c r="M362" s="76"/>
      <c r="N362" s="76"/>
      <c r="O362" s="76"/>
      <c r="P362" s="76"/>
      <c r="Q362" s="76"/>
      <c r="R362" s="76"/>
      <c r="S362" s="76"/>
      <c r="T362" s="76"/>
      <c r="U362" s="76"/>
      <c r="V362" s="76"/>
      <c r="W362" s="76"/>
      <c r="X362" s="76"/>
      <c r="Y362" s="76"/>
      <c r="Z362" s="76"/>
    </row>
    <row r="363" ht="22.5" customHeight="1">
      <c r="A363" s="140"/>
      <c r="B363" s="141" t="s">
        <v>247</v>
      </c>
      <c r="C363" s="141" t="s">
        <v>5892</v>
      </c>
      <c r="D363" s="141" t="s">
        <v>5893</v>
      </c>
      <c r="E363" s="76"/>
      <c r="F363" s="76"/>
      <c r="G363" s="76"/>
      <c r="H363" s="76"/>
      <c r="I363" s="76"/>
      <c r="J363" s="76"/>
      <c r="K363" s="76"/>
      <c r="L363" s="76"/>
      <c r="M363" s="76"/>
      <c r="N363" s="76"/>
      <c r="O363" s="76"/>
      <c r="P363" s="76"/>
      <c r="Q363" s="76"/>
      <c r="R363" s="76"/>
      <c r="S363" s="76"/>
      <c r="T363" s="76"/>
      <c r="U363" s="76"/>
      <c r="V363" s="76"/>
      <c r="W363" s="76"/>
      <c r="X363" s="76"/>
      <c r="Y363" s="76"/>
      <c r="Z363" s="76"/>
    </row>
    <row r="364" ht="22.5" customHeight="1">
      <c r="A364" s="140"/>
      <c r="B364" s="141" t="s">
        <v>247</v>
      </c>
      <c r="C364" s="141" t="s">
        <v>5894</v>
      </c>
      <c r="D364" s="141" t="s">
        <v>5895</v>
      </c>
      <c r="E364" s="76"/>
      <c r="F364" s="76"/>
      <c r="G364" s="76"/>
      <c r="H364" s="76"/>
      <c r="I364" s="76"/>
      <c r="J364" s="76"/>
      <c r="K364" s="76"/>
      <c r="L364" s="76"/>
      <c r="M364" s="76"/>
      <c r="N364" s="76"/>
      <c r="O364" s="76"/>
      <c r="P364" s="76"/>
      <c r="Q364" s="76"/>
      <c r="R364" s="76"/>
      <c r="S364" s="76"/>
      <c r="T364" s="76"/>
      <c r="U364" s="76"/>
      <c r="V364" s="76"/>
      <c r="W364" s="76"/>
      <c r="X364" s="76"/>
      <c r="Y364" s="76"/>
      <c r="Z364" s="76"/>
    </row>
    <row r="365" ht="22.5" customHeight="1">
      <c r="A365" s="140"/>
      <c r="B365" s="141" t="s">
        <v>247</v>
      </c>
      <c r="C365" s="141" t="s">
        <v>5896</v>
      </c>
      <c r="D365" s="141" t="s">
        <v>5897</v>
      </c>
      <c r="E365" s="76"/>
      <c r="F365" s="76"/>
      <c r="G365" s="76"/>
      <c r="H365" s="76"/>
      <c r="I365" s="76"/>
      <c r="J365" s="76"/>
      <c r="K365" s="76"/>
      <c r="L365" s="76"/>
      <c r="M365" s="76"/>
      <c r="N365" s="76"/>
      <c r="O365" s="76"/>
      <c r="P365" s="76"/>
      <c r="Q365" s="76"/>
      <c r="R365" s="76"/>
      <c r="S365" s="76"/>
      <c r="T365" s="76"/>
      <c r="U365" s="76"/>
      <c r="V365" s="76"/>
      <c r="W365" s="76"/>
      <c r="X365" s="76"/>
      <c r="Y365" s="76"/>
      <c r="Z365" s="76"/>
    </row>
    <row r="366" ht="22.5" customHeight="1">
      <c r="A366" s="140"/>
      <c r="B366" s="141" t="s">
        <v>247</v>
      </c>
      <c r="C366" s="141" t="s">
        <v>5898</v>
      </c>
      <c r="D366" s="141" t="s">
        <v>5899</v>
      </c>
      <c r="E366" s="76"/>
      <c r="F366" s="76"/>
      <c r="G366" s="76"/>
      <c r="H366" s="76"/>
      <c r="I366" s="76"/>
      <c r="J366" s="76"/>
      <c r="K366" s="76"/>
      <c r="L366" s="76"/>
      <c r="M366" s="76"/>
      <c r="N366" s="76"/>
      <c r="O366" s="76"/>
      <c r="P366" s="76"/>
      <c r="Q366" s="76"/>
      <c r="R366" s="76"/>
      <c r="S366" s="76"/>
      <c r="T366" s="76"/>
      <c r="U366" s="76"/>
      <c r="V366" s="76"/>
      <c r="W366" s="76"/>
      <c r="X366" s="76"/>
      <c r="Y366" s="76"/>
      <c r="Z366" s="76"/>
    </row>
    <row r="367" ht="22.5" customHeight="1">
      <c r="A367" s="140"/>
      <c r="B367" s="141" t="s">
        <v>247</v>
      </c>
      <c r="C367" s="141" t="s">
        <v>5900</v>
      </c>
      <c r="D367" s="141" t="s">
        <v>5901</v>
      </c>
      <c r="E367" s="76"/>
      <c r="F367" s="76"/>
      <c r="G367" s="76"/>
      <c r="H367" s="76"/>
      <c r="I367" s="76"/>
      <c r="J367" s="76"/>
      <c r="K367" s="76"/>
      <c r="L367" s="76"/>
      <c r="M367" s="76"/>
      <c r="N367" s="76"/>
      <c r="O367" s="76"/>
      <c r="P367" s="76"/>
      <c r="Q367" s="76"/>
      <c r="R367" s="76"/>
      <c r="S367" s="76"/>
      <c r="T367" s="76"/>
      <c r="U367" s="76"/>
      <c r="V367" s="76"/>
      <c r="W367" s="76"/>
      <c r="X367" s="76"/>
      <c r="Y367" s="76"/>
      <c r="Z367" s="76"/>
    </row>
    <row r="368" ht="22.5" customHeight="1">
      <c r="A368" s="140"/>
      <c r="B368" s="141" t="s">
        <v>247</v>
      </c>
      <c r="C368" s="141" t="s">
        <v>5902</v>
      </c>
      <c r="D368" s="141" t="s">
        <v>5903</v>
      </c>
      <c r="E368" s="76"/>
      <c r="F368" s="76"/>
      <c r="G368" s="76"/>
      <c r="H368" s="76"/>
      <c r="I368" s="76"/>
      <c r="J368" s="76"/>
      <c r="K368" s="76"/>
      <c r="L368" s="76"/>
      <c r="M368" s="76"/>
      <c r="N368" s="76"/>
      <c r="O368" s="76"/>
      <c r="P368" s="76"/>
      <c r="Q368" s="76"/>
      <c r="R368" s="76"/>
      <c r="S368" s="76"/>
      <c r="T368" s="76"/>
      <c r="U368" s="76"/>
      <c r="V368" s="76"/>
      <c r="W368" s="76"/>
      <c r="X368" s="76"/>
      <c r="Y368" s="76"/>
      <c r="Z368" s="76"/>
    </row>
    <row r="369" ht="22.5" customHeight="1">
      <c r="A369" s="140"/>
      <c r="B369" s="141" t="s">
        <v>247</v>
      </c>
      <c r="C369" s="141" t="s">
        <v>5904</v>
      </c>
      <c r="D369" s="141" t="s">
        <v>5905</v>
      </c>
      <c r="E369" s="76"/>
      <c r="F369" s="76"/>
      <c r="G369" s="76"/>
      <c r="H369" s="76"/>
      <c r="I369" s="76"/>
      <c r="J369" s="76"/>
      <c r="K369" s="76"/>
      <c r="L369" s="76"/>
      <c r="M369" s="76"/>
      <c r="N369" s="76"/>
      <c r="O369" s="76"/>
      <c r="P369" s="76"/>
      <c r="Q369" s="76"/>
      <c r="R369" s="76"/>
      <c r="S369" s="76"/>
      <c r="T369" s="76"/>
      <c r="U369" s="76"/>
      <c r="V369" s="76"/>
      <c r="W369" s="76"/>
      <c r="X369" s="76"/>
      <c r="Y369" s="76"/>
      <c r="Z369" s="76"/>
    </row>
    <row r="370" ht="22.5" customHeight="1">
      <c r="A370" s="140"/>
      <c r="B370" s="141" t="s">
        <v>247</v>
      </c>
      <c r="C370" s="141" t="s">
        <v>5906</v>
      </c>
      <c r="D370" s="141" t="s">
        <v>5907</v>
      </c>
      <c r="E370" s="76"/>
      <c r="F370" s="76"/>
      <c r="G370" s="76"/>
      <c r="H370" s="76"/>
      <c r="I370" s="76"/>
      <c r="J370" s="76"/>
      <c r="K370" s="76"/>
      <c r="L370" s="76"/>
      <c r="M370" s="76"/>
      <c r="N370" s="76"/>
      <c r="O370" s="76"/>
      <c r="P370" s="76"/>
      <c r="Q370" s="76"/>
      <c r="R370" s="76"/>
      <c r="S370" s="76"/>
      <c r="T370" s="76"/>
      <c r="U370" s="76"/>
      <c r="V370" s="76"/>
      <c r="W370" s="76"/>
      <c r="X370" s="76"/>
      <c r="Y370" s="76"/>
      <c r="Z370" s="76"/>
    </row>
    <row r="371" ht="22.5" customHeight="1">
      <c r="A371" s="140"/>
      <c r="B371" s="141" t="s">
        <v>247</v>
      </c>
      <c r="C371" s="141" t="s">
        <v>5908</v>
      </c>
      <c r="D371" s="141" t="s">
        <v>5909</v>
      </c>
      <c r="E371" s="76"/>
      <c r="F371" s="76"/>
      <c r="G371" s="76"/>
      <c r="H371" s="76"/>
      <c r="I371" s="76"/>
      <c r="J371" s="76"/>
      <c r="K371" s="76"/>
      <c r="L371" s="76"/>
      <c r="M371" s="76"/>
      <c r="N371" s="76"/>
      <c r="O371" s="76"/>
      <c r="P371" s="76"/>
      <c r="Q371" s="76"/>
      <c r="R371" s="76"/>
      <c r="S371" s="76"/>
      <c r="T371" s="76"/>
      <c r="U371" s="76"/>
      <c r="V371" s="76"/>
      <c r="W371" s="76"/>
      <c r="X371" s="76"/>
      <c r="Y371" s="76"/>
      <c r="Z371" s="76"/>
    </row>
    <row r="372" ht="22.5" customHeight="1">
      <c r="A372" s="140"/>
      <c r="B372" s="141" t="s">
        <v>247</v>
      </c>
      <c r="C372" s="141" t="s">
        <v>5910</v>
      </c>
      <c r="D372" s="141" t="s">
        <v>5911</v>
      </c>
      <c r="E372" s="76"/>
      <c r="F372" s="76"/>
      <c r="G372" s="76"/>
      <c r="H372" s="76"/>
      <c r="I372" s="76"/>
      <c r="J372" s="76"/>
      <c r="K372" s="76"/>
      <c r="L372" s="76"/>
      <c r="M372" s="76"/>
      <c r="N372" s="76"/>
      <c r="O372" s="76"/>
      <c r="P372" s="76"/>
      <c r="Q372" s="76"/>
      <c r="R372" s="76"/>
      <c r="S372" s="76"/>
      <c r="T372" s="76"/>
      <c r="U372" s="76"/>
      <c r="V372" s="76"/>
      <c r="W372" s="76"/>
      <c r="X372" s="76"/>
      <c r="Y372" s="76"/>
      <c r="Z372" s="76"/>
    </row>
    <row r="373" ht="22.5" customHeight="1">
      <c r="A373" s="140"/>
      <c r="B373" s="141" t="s">
        <v>247</v>
      </c>
      <c r="C373" s="141" t="s">
        <v>5912</v>
      </c>
      <c r="D373" s="141" t="s">
        <v>5913</v>
      </c>
      <c r="E373" s="76"/>
      <c r="F373" s="76"/>
      <c r="G373" s="76"/>
      <c r="H373" s="76"/>
      <c r="I373" s="76"/>
      <c r="J373" s="76"/>
      <c r="K373" s="76"/>
      <c r="L373" s="76"/>
      <c r="M373" s="76"/>
      <c r="N373" s="76"/>
      <c r="O373" s="76"/>
      <c r="P373" s="76"/>
      <c r="Q373" s="76"/>
      <c r="R373" s="76"/>
      <c r="S373" s="76"/>
      <c r="T373" s="76"/>
      <c r="U373" s="76"/>
      <c r="V373" s="76"/>
      <c r="W373" s="76"/>
      <c r="X373" s="76"/>
      <c r="Y373" s="76"/>
      <c r="Z373" s="76"/>
    </row>
    <row r="374" ht="22.5" customHeight="1">
      <c r="A374" s="140"/>
      <c r="B374" s="141" t="s">
        <v>247</v>
      </c>
      <c r="C374" s="141" t="s">
        <v>5914</v>
      </c>
      <c r="D374" s="141" t="s">
        <v>5915</v>
      </c>
      <c r="E374" s="76"/>
      <c r="F374" s="76"/>
      <c r="G374" s="76"/>
      <c r="H374" s="76"/>
      <c r="I374" s="76"/>
      <c r="J374" s="76"/>
      <c r="K374" s="76"/>
      <c r="L374" s="76"/>
      <c r="M374" s="76"/>
      <c r="N374" s="76"/>
      <c r="O374" s="76"/>
      <c r="P374" s="76"/>
      <c r="Q374" s="76"/>
      <c r="R374" s="76"/>
      <c r="S374" s="76"/>
      <c r="T374" s="76"/>
      <c r="U374" s="76"/>
      <c r="V374" s="76"/>
      <c r="W374" s="76"/>
      <c r="X374" s="76"/>
      <c r="Y374" s="76"/>
      <c r="Z374" s="76"/>
    </row>
    <row r="375" ht="22.5" customHeight="1">
      <c r="A375" s="140"/>
      <c r="B375" s="141" t="s">
        <v>247</v>
      </c>
      <c r="C375" s="141" t="s">
        <v>5916</v>
      </c>
      <c r="D375" s="141" t="s">
        <v>5917</v>
      </c>
      <c r="E375" s="76"/>
      <c r="F375" s="76"/>
      <c r="G375" s="76"/>
      <c r="H375" s="76"/>
      <c r="I375" s="76"/>
      <c r="J375" s="76"/>
      <c r="K375" s="76"/>
      <c r="L375" s="76"/>
      <c r="M375" s="76"/>
      <c r="N375" s="76"/>
      <c r="O375" s="76"/>
      <c r="P375" s="76"/>
      <c r="Q375" s="76"/>
      <c r="R375" s="76"/>
      <c r="S375" s="76"/>
      <c r="T375" s="76"/>
      <c r="U375" s="76"/>
      <c r="V375" s="76"/>
      <c r="W375" s="76"/>
      <c r="X375" s="76"/>
      <c r="Y375" s="76"/>
      <c r="Z375" s="76"/>
    </row>
    <row r="376" ht="22.5" customHeight="1">
      <c r="A376" s="140"/>
      <c r="B376" s="141" t="s">
        <v>247</v>
      </c>
      <c r="C376" s="141" t="s">
        <v>5918</v>
      </c>
      <c r="D376" s="141" t="s">
        <v>5919</v>
      </c>
      <c r="E376" s="76"/>
      <c r="F376" s="76"/>
      <c r="G376" s="76"/>
      <c r="H376" s="76"/>
      <c r="I376" s="76"/>
      <c r="J376" s="76"/>
      <c r="K376" s="76"/>
      <c r="L376" s="76"/>
      <c r="M376" s="76"/>
      <c r="N376" s="76"/>
      <c r="O376" s="76"/>
      <c r="P376" s="76"/>
      <c r="Q376" s="76"/>
      <c r="R376" s="76"/>
      <c r="S376" s="76"/>
      <c r="T376" s="76"/>
      <c r="U376" s="76"/>
      <c r="V376" s="76"/>
      <c r="W376" s="76"/>
      <c r="X376" s="76"/>
      <c r="Y376" s="76"/>
      <c r="Z376" s="76"/>
    </row>
    <row r="377" ht="22.5" customHeight="1">
      <c r="A377" s="140"/>
      <c r="B377" s="141" t="s">
        <v>247</v>
      </c>
      <c r="C377" s="141" t="s">
        <v>5920</v>
      </c>
      <c r="D377" s="141" t="s">
        <v>5921</v>
      </c>
      <c r="E377" s="76"/>
      <c r="F377" s="76"/>
      <c r="G377" s="76"/>
      <c r="H377" s="76"/>
      <c r="I377" s="76"/>
      <c r="J377" s="76"/>
      <c r="K377" s="76"/>
      <c r="L377" s="76"/>
      <c r="M377" s="76"/>
      <c r="N377" s="76"/>
      <c r="O377" s="76"/>
      <c r="P377" s="76"/>
      <c r="Q377" s="76"/>
      <c r="R377" s="76"/>
      <c r="S377" s="76"/>
      <c r="T377" s="76"/>
      <c r="U377" s="76"/>
      <c r="V377" s="76"/>
      <c r="W377" s="76"/>
      <c r="X377" s="76"/>
      <c r="Y377" s="76"/>
      <c r="Z377" s="76"/>
    </row>
    <row r="378" ht="22.5" customHeight="1">
      <c r="A378" s="140"/>
      <c r="B378" s="141" t="s">
        <v>247</v>
      </c>
      <c r="C378" s="141" t="s">
        <v>5922</v>
      </c>
      <c r="D378" s="141" t="s">
        <v>5923</v>
      </c>
      <c r="E378" s="76"/>
      <c r="F378" s="76"/>
      <c r="G378" s="76"/>
      <c r="H378" s="76"/>
      <c r="I378" s="76"/>
      <c r="J378" s="76"/>
      <c r="K378" s="76"/>
      <c r="L378" s="76"/>
      <c r="M378" s="76"/>
      <c r="N378" s="76"/>
      <c r="O378" s="76"/>
      <c r="P378" s="76"/>
      <c r="Q378" s="76"/>
      <c r="R378" s="76"/>
      <c r="S378" s="76"/>
      <c r="T378" s="76"/>
      <c r="U378" s="76"/>
      <c r="V378" s="76"/>
      <c r="W378" s="76"/>
      <c r="X378" s="76"/>
      <c r="Y378" s="76"/>
      <c r="Z378" s="76"/>
    </row>
    <row r="379" ht="22.5" customHeight="1">
      <c r="A379" s="140"/>
      <c r="B379" s="141" t="s">
        <v>247</v>
      </c>
      <c r="C379" s="141" t="s">
        <v>5924</v>
      </c>
      <c r="D379" s="141" t="s">
        <v>5925</v>
      </c>
      <c r="E379" s="76"/>
      <c r="F379" s="76"/>
      <c r="G379" s="76"/>
      <c r="H379" s="76"/>
      <c r="I379" s="76"/>
      <c r="J379" s="76"/>
      <c r="K379" s="76"/>
      <c r="L379" s="76"/>
      <c r="M379" s="76"/>
      <c r="N379" s="76"/>
      <c r="O379" s="76"/>
      <c r="P379" s="76"/>
      <c r="Q379" s="76"/>
      <c r="R379" s="76"/>
      <c r="S379" s="76"/>
      <c r="T379" s="76"/>
      <c r="U379" s="76"/>
      <c r="V379" s="76"/>
      <c r="W379" s="76"/>
      <c r="X379" s="76"/>
      <c r="Y379" s="76"/>
      <c r="Z379" s="76"/>
    </row>
    <row r="380" ht="22.5" customHeight="1">
      <c r="A380" s="140"/>
      <c r="B380" s="141" t="s">
        <v>247</v>
      </c>
      <c r="C380" s="141" t="s">
        <v>5926</v>
      </c>
      <c r="D380" s="141" t="s">
        <v>5927</v>
      </c>
      <c r="E380" s="76"/>
      <c r="F380" s="76"/>
      <c r="G380" s="76"/>
      <c r="H380" s="76"/>
      <c r="I380" s="76"/>
      <c r="J380" s="76"/>
      <c r="K380" s="76"/>
      <c r="L380" s="76"/>
      <c r="M380" s="76"/>
      <c r="N380" s="76"/>
      <c r="O380" s="76"/>
      <c r="P380" s="76"/>
      <c r="Q380" s="76"/>
      <c r="R380" s="76"/>
      <c r="S380" s="76"/>
      <c r="T380" s="76"/>
      <c r="U380" s="76"/>
      <c r="V380" s="76"/>
      <c r="W380" s="76"/>
      <c r="X380" s="76"/>
      <c r="Y380" s="76"/>
      <c r="Z380" s="76"/>
    </row>
    <row r="381" ht="22.5" customHeight="1">
      <c r="A381" s="140"/>
      <c r="B381" s="141" t="s">
        <v>247</v>
      </c>
      <c r="C381" s="141" t="s">
        <v>5928</v>
      </c>
      <c r="D381" s="141" t="s">
        <v>5929</v>
      </c>
      <c r="E381" s="76"/>
      <c r="F381" s="76"/>
      <c r="G381" s="76"/>
      <c r="H381" s="76"/>
      <c r="I381" s="76"/>
      <c r="J381" s="76"/>
      <c r="K381" s="76"/>
      <c r="L381" s="76"/>
      <c r="M381" s="76"/>
      <c r="N381" s="76"/>
      <c r="O381" s="76"/>
      <c r="P381" s="76"/>
      <c r="Q381" s="76"/>
      <c r="R381" s="76"/>
      <c r="S381" s="76"/>
      <c r="T381" s="76"/>
      <c r="U381" s="76"/>
      <c r="V381" s="76"/>
      <c r="W381" s="76"/>
      <c r="X381" s="76"/>
      <c r="Y381" s="76"/>
      <c r="Z381" s="76"/>
    </row>
    <row r="382" ht="22.5" customHeight="1">
      <c r="A382" s="140"/>
      <c r="B382" s="141" t="s">
        <v>247</v>
      </c>
      <c r="C382" s="141" t="s">
        <v>5930</v>
      </c>
      <c r="D382" s="141" t="s">
        <v>5931</v>
      </c>
      <c r="E382" s="76"/>
      <c r="F382" s="76"/>
      <c r="G382" s="76"/>
      <c r="H382" s="76"/>
      <c r="I382" s="76"/>
      <c r="J382" s="76"/>
      <c r="K382" s="76"/>
      <c r="L382" s="76"/>
      <c r="M382" s="76"/>
      <c r="N382" s="76"/>
      <c r="O382" s="76"/>
      <c r="P382" s="76"/>
      <c r="Q382" s="76"/>
      <c r="R382" s="76"/>
      <c r="S382" s="76"/>
      <c r="T382" s="76"/>
      <c r="U382" s="76"/>
      <c r="V382" s="76"/>
      <c r="W382" s="76"/>
      <c r="X382" s="76"/>
      <c r="Y382" s="76"/>
      <c r="Z382" s="76"/>
    </row>
    <row r="383" ht="22.5" customHeight="1">
      <c r="A383" s="140"/>
      <c r="B383" s="141" t="s">
        <v>247</v>
      </c>
      <c r="C383" s="141" t="s">
        <v>5932</v>
      </c>
      <c r="D383" s="141" t="s">
        <v>5933</v>
      </c>
      <c r="E383" s="76"/>
      <c r="F383" s="76"/>
      <c r="G383" s="76"/>
      <c r="H383" s="76"/>
      <c r="I383" s="76"/>
      <c r="J383" s="76"/>
      <c r="K383" s="76"/>
      <c r="L383" s="76"/>
      <c r="M383" s="76"/>
      <c r="N383" s="76"/>
      <c r="O383" s="76"/>
      <c r="P383" s="76"/>
      <c r="Q383" s="76"/>
      <c r="R383" s="76"/>
      <c r="S383" s="76"/>
      <c r="T383" s="76"/>
      <c r="U383" s="76"/>
      <c r="V383" s="76"/>
      <c r="W383" s="76"/>
      <c r="X383" s="76"/>
      <c r="Y383" s="76"/>
      <c r="Z383" s="76"/>
    </row>
    <row r="384" ht="22.5" customHeight="1">
      <c r="A384" s="140"/>
      <c r="B384" s="141" t="s">
        <v>247</v>
      </c>
      <c r="C384" s="141" t="s">
        <v>5934</v>
      </c>
      <c r="D384" s="141" t="s">
        <v>5935</v>
      </c>
      <c r="E384" s="76"/>
      <c r="F384" s="76"/>
      <c r="G384" s="76"/>
      <c r="H384" s="76"/>
      <c r="I384" s="76"/>
      <c r="J384" s="76"/>
      <c r="K384" s="76"/>
      <c r="L384" s="76"/>
      <c r="M384" s="76"/>
      <c r="N384" s="76"/>
      <c r="O384" s="76"/>
      <c r="P384" s="76"/>
      <c r="Q384" s="76"/>
      <c r="R384" s="76"/>
      <c r="S384" s="76"/>
      <c r="T384" s="76"/>
      <c r="U384" s="76"/>
      <c r="V384" s="76"/>
      <c r="W384" s="76"/>
      <c r="X384" s="76"/>
      <c r="Y384" s="76"/>
      <c r="Z384" s="76"/>
    </row>
    <row r="385" ht="22.5" customHeight="1">
      <c r="A385" s="140"/>
      <c r="B385" s="141" t="s">
        <v>247</v>
      </c>
      <c r="C385" s="141" t="s">
        <v>5936</v>
      </c>
      <c r="D385" s="141" t="s">
        <v>5937</v>
      </c>
      <c r="E385" s="76"/>
      <c r="F385" s="76"/>
      <c r="G385" s="76"/>
      <c r="H385" s="76"/>
      <c r="I385" s="76"/>
      <c r="J385" s="76"/>
      <c r="K385" s="76"/>
      <c r="L385" s="76"/>
      <c r="M385" s="76"/>
      <c r="N385" s="76"/>
      <c r="O385" s="76"/>
      <c r="P385" s="76"/>
      <c r="Q385" s="76"/>
      <c r="R385" s="76"/>
      <c r="S385" s="76"/>
      <c r="T385" s="76"/>
      <c r="U385" s="76"/>
      <c r="V385" s="76"/>
      <c r="W385" s="76"/>
      <c r="X385" s="76"/>
      <c r="Y385" s="76"/>
      <c r="Z385" s="76"/>
    </row>
    <row r="386" ht="22.5" customHeight="1">
      <c r="A386" s="140"/>
      <c r="B386" s="141" t="s">
        <v>247</v>
      </c>
      <c r="C386" s="141" t="s">
        <v>5938</v>
      </c>
      <c r="D386" s="141" t="s">
        <v>5939</v>
      </c>
      <c r="E386" s="76"/>
      <c r="F386" s="76"/>
      <c r="G386" s="76"/>
      <c r="H386" s="76"/>
      <c r="I386" s="76"/>
      <c r="J386" s="76"/>
      <c r="K386" s="76"/>
      <c r="L386" s="76"/>
      <c r="M386" s="76"/>
      <c r="N386" s="76"/>
      <c r="O386" s="76"/>
      <c r="P386" s="76"/>
      <c r="Q386" s="76"/>
      <c r="R386" s="76"/>
      <c r="S386" s="76"/>
      <c r="T386" s="76"/>
      <c r="U386" s="76"/>
      <c r="V386" s="76"/>
      <c r="W386" s="76"/>
      <c r="X386" s="76"/>
      <c r="Y386" s="76"/>
      <c r="Z386" s="76"/>
    </row>
    <row r="387" ht="22.5" customHeight="1">
      <c r="A387" s="140"/>
      <c r="B387" s="141" t="s">
        <v>247</v>
      </c>
      <c r="C387" s="141" t="s">
        <v>5940</v>
      </c>
      <c r="D387" s="141" t="s">
        <v>5941</v>
      </c>
      <c r="E387" s="76"/>
      <c r="F387" s="76"/>
      <c r="G387" s="76"/>
      <c r="H387" s="76"/>
      <c r="I387" s="76"/>
      <c r="J387" s="76"/>
      <c r="K387" s="76"/>
      <c r="L387" s="76"/>
      <c r="M387" s="76"/>
      <c r="N387" s="76"/>
      <c r="O387" s="76"/>
      <c r="P387" s="76"/>
      <c r="Q387" s="76"/>
      <c r="R387" s="76"/>
      <c r="S387" s="76"/>
      <c r="T387" s="76"/>
      <c r="U387" s="76"/>
      <c r="V387" s="76"/>
      <c r="W387" s="76"/>
      <c r="X387" s="76"/>
      <c r="Y387" s="76"/>
      <c r="Z387" s="76"/>
    </row>
    <row r="388" ht="22.5" customHeight="1">
      <c r="A388" s="140"/>
      <c r="B388" s="141" t="s">
        <v>247</v>
      </c>
      <c r="C388" s="141" t="s">
        <v>5942</v>
      </c>
      <c r="D388" s="141" t="s">
        <v>5943</v>
      </c>
      <c r="E388" s="76"/>
      <c r="F388" s="76"/>
      <c r="G388" s="76"/>
      <c r="H388" s="76"/>
      <c r="I388" s="76"/>
      <c r="J388" s="76"/>
      <c r="K388" s="76"/>
      <c r="L388" s="76"/>
      <c r="M388" s="76"/>
      <c r="N388" s="76"/>
      <c r="O388" s="76"/>
      <c r="P388" s="76"/>
      <c r="Q388" s="76"/>
      <c r="R388" s="76"/>
      <c r="S388" s="76"/>
      <c r="T388" s="76"/>
      <c r="U388" s="76"/>
      <c r="V388" s="76"/>
      <c r="W388" s="76"/>
      <c r="X388" s="76"/>
      <c r="Y388" s="76"/>
      <c r="Z388" s="76"/>
    </row>
    <row r="389" ht="22.5" customHeight="1">
      <c r="A389" s="140"/>
      <c r="B389" s="141" t="s">
        <v>247</v>
      </c>
      <c r="C389" s="141" t="s">
        <v>5944</v>
      </c>
      <c r="D389" s="141" t="s">
        <v>5945</v>
      </c>
      <c r="E389" s="76"/>
      <c r="F389" s="76"/>
      <c r="G389" s="76"/>
      <c r="H389" s="76"/>
      <c r="I389" s="76"/>
      <c r="J389" s="76"/>
      <c r="K389" s="76"/>
      <c r="L389" s="76"/>
      <c r="M389" s="76"/>
      <c r="N389" s="76"/>
      <c r="O389" s="76"/>
      <c r="P389" s="76"/>
      <c r="Q389" s="76"/>
      <c r="R389" s="76"/>
      <c r="S389" s="76"/>
      <c r="T389" s="76"/>
      <c r="U389" s="76"/>
      <c r="V389" s="76"/>
      <c r="W389" s="76"/>
      <c r="X389" s="76"/>
      <c r="Y389" s="76"/>
      <c r="Z389" s="76"/>
    </row>
    <row r="390" ht="22.5" customHeight="1">
      <c r="A390" s="140"/>
      <c r="B390" s="141" t="s">
        <v>247</v>
      </c>
      <c r="C390" s="141" t="s">
        <v>5946</v>
      </c>
      <c r="D390" s="141" t="s">
        <v>5947</v>
      </c>
      <c r="E390" s="76"/>
      <c r="F390" s="76"/>
      <c r="G390" s="76"/>
      <c r="H390" s="76"/>
      <c r="I390" s="76"/>
      <c r="J390" s="76"/>
      <c r="K390" s="76"/>
      <c r="L390" s="76"/>
      <c r="M390" s="76"/>
      <c r="N390" s="76"/>
      <c r="O390" s="76"/>
      <c r="P390" s="76"/>
      <c r="Q390" s="76"/>
      <c r="R390" s="76"/>
      <c r="S390" s="76"/>
      <c r="T390" s="76"/>
      <c r="U390" s="76"/>
      <c r="V390" s="76"/>
      <c r="W390" s="76"/>
      <c r="X390" s="76"/>
      <c r="Y390" s="76"/>
      <c r="Z390" s="76"/>
    </row>
    <row r="391" ht="22.5" customHeight="1">
      <c r="A391" s="140"/>
      <c r="B391" s="141" t="s">
        <v>247</v>
      </c>
      <c r="C391" s="141" t="s">
        <v>5948</v>
      </c>
      <c r="D391" s="141" t="s">
        <v>5949</v>
      </c>
      <c r="E391" s="76"/>
      <c r="F391" s="76"/>
      <c r="G391" s="76"/>
      <c r="H391" s="76"/>
      <c r="I391" s="76"/>
      <c r="J391" s="76"/>
      <c r="K391" s="76"/>
      <c r="L391" s="76"/>
      <c r="M391" s="76"/>
      <c r="N391" s="76"/>
      <c r="O391" s="76"/>
      <c r="P391" s="76"/>
      <c r="Q391" s="76"/>
      <c r="R391" s="76"/>
      <c r="S391" s="76"/>
      <c r="T391" s="76"/>
      <c r="U391" s="76"/>
      <c r="V391" s="76"/>
      <c r="W391" s="76"/>
      <c r="X391" s="76"/>
      <c r="Y391" s="76"/>
      <c r="Z391" s="76"/>
    </row>
    <row r="392" ht="22.5" customHeight="1">
      <c r="A392" s="140"/>
      <c r="B392" s="141" t="s">
        <v>247</v>
      </c>
      <c r="C392" s="141" t="s">
        <v>5950</v>
      </c>
      <c r="D392" s="141" t="s">
        <v>5951</v>
      </c>
      <c r="E392" s="76"/>
      <c r="F392" s="76"/>
      <c r="G392" s="76"/>
      <c r="H392" s="76"/>
      <c r="I392" s="76"/>
      <c r="J392" s="76"/>
      <c r="K392" s="76"/>
      <c r="L392" s="76"/>
      <c r="M392" s="76"/>
      <c r="N392" s="76"/>
      <c r="O392" s="76"/>
      <c r="P392" s="76"/>
      <c r="Q392" s="76"/>
      <c r="R392" s="76"/>
      <c r="S392" s="76"/>
      <c r="T392" s="76"/>
      <c r="U392" s="76"/>
      <c r="V392" s="76"/>
      <c r="W392" s="76"/>
      <c r="X392" s="76"/>
      <c r="Y392" s="76"/>
      <c r="Z392" s="76"/>
    </row>
    <row r="393" ht="22.5" customHeight="1">
      <c r="A393" s="140"/>
      <c r="B393" s="141" t="s">
        <v>247</v>
      </c>
      <c r="C393" s="141" t="s">
        <v>5952</v>
      </c>
      <c r="D393" s="141" t="s">
        <v>5953</v>
      </c>
      <c r="E393" s="76"/>
      <c r="F393" s="76"/>
      <c r="G393" s="76"/>
      <c r="H393" s="76"/>
      <c r="I393" s="76"/>
      <c r="J393" s="76"/>
      <c r="K393" s="76"/>
      <c r="L393" s="76"/>
      <c r="M393" s="76"/>
      <c r="N393" s="76"/>
      <c r="O393" s="76"/>
      <c r="P393" s="76"/>
      <c r="Q393" s="76"/>
      <c r="R393" s="76"/>
      <c r="S393" s="76"/>
      <c r="T393" s="76"/>
      <c r="U393" s="76"/>
      <c r="V393" s="76"/>
      <c r="W393" s="76"/>
      <c r="X393" s="76"/>
      <c r="Y393" s="76"/>
      <c r="Z393" s="76"/>
    </row>
    <row r="394" ht="22.5" customHeight="1">
      <c r="A394" s="140"/>
      <c r="B394" s="141" t="s">
        <v>247</v>
      </c>
      <c r="C394" s="141" t="s">
        <v>5954</v>
      </c>
      <c r="D394" s="141" t="s">
        <v>5955</v>
      </c>
      <c r="E394" s="76"/>
      <c r="F394" s="76"/>
      <c r="G394" s="76"/>
      <c r="H394" s="76"/>
      <c r="I394" s="76"/>
      <c r="J394" s="76"/>
      <c r="K394" s="76"/>
      <c r="L394" s="76"/>
      <c r="M394" s="76"/>
      <c r="N394" s="76"/>
      <c r="O394" s="76"/>
      <c r="P394" s="76"/>
      <c r="Q394" s="76"/>
      <c r="R394" s="76"/>
      <c r="S394" s="76"/>
      <c r="T394" s="76"/>
      <c r="U394" s="76"/>
      <c r="V394" s="76"/>
      <c r="W394" s="76"/>
      <c r="X394" s="76"/>
      <c r="Y394" s="76"/>
      <c r="Z394" s="76"/>
    </row>
    <row r="395" ht="22.5" customHeight="1">
      <c r="A395" s="140"/>
      <c r="B395" s="141" t="s">
        <v>247</v>
      </c>
      <c r="C395" s="141" t="s">
        <v>5956</v>
      </c>
      <c r="D395" s="141" t="s">
        <v>5957</v>
      </c>
      <c r="E395" s="76"/>
      <c r="F395" s="76"/>
      <c r="G395" s="76"/>
      <c r="H395" s="76"/>
      <c r="I395" s="76"/>
      <c r="J395" s="76"/>
      <c r="K395" s="76"/>
      <c r="L395" s="76"/>
      <c r="M395" s="76"/>
      <c r="N395" s="76"/>
      <c r="O395" s="76"/>
      <c r="P395" s="76"/>
      <c r="Q395" s="76"/>
      <c r="R395" s="76"/>
      <c r="S395" s="76"/>
      <c r="T395" s="76"/>
      <c r="U395" s="76"/>
      <c r="V395" s="76"/>
      <c r="W395" s="76"/>
      <c r="X395" s="76"/>
      <c r="Y395" s="76"/>
      <c r="Z395" s="76"/>
    </row>
    <row r="396" ht="22.5" customHeight="1">
      <c r="A396" s="140"/>
      <c r="B396" s="141" t="s">
        <v>247</v>
      </c>
      <c r="C396" s="141" t="s">
        <v>5958</v>
      </c>
      <c r="D396" s="141" t="s">
        <v>5959</v>
      </c>
      <c r="E396" s="76"/>
      <c r="F396" s="76"/>
      <c r="G396" s="76"/>
      <c r="H396" s="76"/>
      <c r="I396" s="76"/>
      <c r="J396" s="76"/>
      <c r="K396" s="76"/>
      <c r="L396" s="76"/>
      <c r="M396" s="76"/>
      <c r="N396" s="76"/>
      <c r="O396" s="76"/>
      <c r="P396" s="76"/>
      <c r="Q396" s="76"/>
      <c r="R396" s="76"/>
      <c r="S396" s="76"/>
      <c r="T396" s="76"/>
      <c r="U396" s="76"/>
      <c r="V396" s="76"/>
      <c r="W396" s="76"/>
      <c r="X396" s="76"/>
      <c r="Y396" s="76"/>
      <c r="Z396" s="76"/>
    </row>
    <row r="397" ht="22.5" customHeight="1">
      <c r="A397" s="140"/>
      <c r="B397" s="141" t="s">
        <v>247</v>
      </c>
      <c r="C397" s="141" t="s">
        <v>5960</v>
      </c>
      <c r="D397" s="141" t="s">
        <v>5961</v>
      </c>
      <c r="E397" s="76"/>
      <c r="F397" s="76"/>
      <c r="G397" s="76"/>
      <c r="H397" s="76"/>
      <c r="I397" s="76"/>
      <c r="J397" s="76"/>
      <c r="K397" s="76"/>
      <c r="L397" s="76"/>
      <c r="M397" s="76"/>
      <c r="N397" s="76"/>
      <c r="O397" s="76"/>
      <c r="P397" s="76"/>
      <c r="Q397" s="76"/>
      <c r="R397" s="76"/>
      <c r="S397" s="76"/>
      <c r="T397" s="76"/>
      <c r="U397" s="76"/>
      <c r="V397" s="76"/>
      <c r="W397" s="76"/>
      <c r="X397" s="76"/>
      <c r="Y397" s="76"/>
      <c r="Z397" s="76"/>
    </row>
    <row r="398" ht="22.5" customHeight="1">
      <c r="A398" s="140"/>
      <c r="B398" s="141" t="s">
        <v>247</v>
      </c>
      <c r="C398" s="141" t="s">
        <v>5962</v>
      </c>
      <c r="D398" s="141" t="s">
        <v>5963</v>
      </c>
      <c r="E398" s="76"/>
      <c r="F398" s="76"/>
      <c r="G398" s="76"/>
      <c r="H398" s="76"/>
      <c r="I398" s="76"/>
      <c r="J398" s="76"/>
      <c r="K398" s="76"/>
      <c r="L398" s="76"/>
      <c r="M398" s="76"/>
      <c r="N398" s="76"/>
      <c r="O398" s="76"/>
      <c r="P398" s="76"/>
      <c r="Q398" s="76"/>
      <c r="R398" s="76"/>
      <c r="S398" s="76"/>
      <c r="T398" s="76"/>
      <c r="U398" s="76"/>
      <c r="V398" s="76"/>
      <c r="W398" s="76"/>
      <c r="X398" s="76"/>
      <c r="Y398" s="76"/>
      <c r="Z398" s="76"/>
    </row>
    <row r="399" ht="22.5" customHeight="1">
      <c r="A399" s="140"/>
      <c r="B399" s="141" t="s">
        <v>247</v>
      </c>
      <c r="C399" s="141" t="s">
        <v>5964</v>
      </c>
      <c r="D399" s="141" t="s">
        <v>5965</v>
      </c>
      <c r="E399" s="76"/>
      <c r="F399" s="76"/>
      <c r="G399" s="76"/>
      <c r="H399" s="76"/>
      <c r="I399" s="76"/>
      <c r="J399" s="76"/>
      <c r="K399" s="76"/>
      <c r="L399" s="76"/>
      <c r="M399" s="76"/>
      <c r="N399" s="76"/>
      <c r="O399" s="76"/>
      <c r="P399" s="76"/>
      <c r="Q399" s="76"/>
      <c r="R399" s="76"/>
      <c r="S399" s="76"/>
      <c r="T399" s="76"/>
      <c r="U399" s="76"/>
      <c r="V399" s="76"/>
      <c r="W399" s="76"/>
      <c r="X399" s="76"/>
      <c r="Y399" s="76"/>
      <c r="Z399" s="76"/>
    </row>
    <row r="400" ht="22.5" customHeight="1">
      <c r="A400" s="140"/>
      <c r="B400" s="141" t="s">
        <v>247</v>
      </c>
      <c r="C400" s="141" t="s">
        <v>5966</v>
      </c>
      <c r="D400" s="141" t="s">
        <v>5967</v>
      </c>
      <c r="E400" s="76"/>
      <c r="F400" s="76"/>
      <c r="G400" s="76"/>
      <c r="H400" s="76"/>
      <c r="I400" s="76"/>
      <c r="J400" s="76"/>
      <c r="K400" s="76"/>
      <c r="L400" s="76"/>
      <c r="M400" s="76"/>
      <c r="N400" s="76"/>
      <c r="O400" s="76"/>
      <c r="P400" s="76"/>
      <c r="Q400" s="76"/>
      <c r="R400" s="76"/>
      <c r="S400" s="76"/>
      <c r="T400" s="76"/>
      <c r="U400" s="76"/>
      <c r="V400" s="76"/>
      <c r="W400" s="76"/>
      <c r="X400" s="76"/>
      <c r="Y400" s="76"/>
      <c r="Z400" s="76"/>
    </row>
    <row r="401" ht="22.5" customHeight="1">
      <c r="A401" s="140"/>
      <c r="B401" s="141" t="s">
        <v>247</v>
      </c>
      <c r="C401" s="141" t="s">
        <v>5968</v>
      </c>
      <c r="D401" s="141" t="s">
        <v>5969</v>
      </c>
      <c r="E401" s="76"/>
      <c r="F401" s="76"/>
      <c r="G401" s="76"/>
      <c r="H401" s="76"/>
      <c r="I401" s="76"/>
      <c r="J401" s="76"/>
      <c r="K401" s="76"/>
      <c r="L401" s="76"/>
      <c r="M401" s="76"/>
      <c r="N401" s="76"/>
      <c r="O401" s="76"/>
      <c r="P401" s="76"/>
      <c r="Q401" s="76"/>
      <c r="R401" s="76"/>
      <c r="S401" s="76"/>
      <c r="T401" s="76"/>
      <c r="U401" s="76"/>
      <c r="V401" s="76"/>
      <c r="W401" s="76"/>
      <c r="X401" s="76"/>
      <c r="Y401" s="76"/>
      <c r="Z401" s="76"/>
    </row>
    <row r="402" ht="22.5" customHeight="1">
      <c r="A402" s="140"/>
      <c r="B402" s="141" t="s">
        <v>247</v>
      </c>
      <c r="C402" s="141" t="s">
        <v>5970</v>
      </c>
      <c r="D402" s="141" t="s">
        <v>5971</v>
      </c>
      <c r="E402" s="76"/>
      <c r="F402" s="76"/>
      <c r="G402" s="76"/>
      <c r="H402" s="76"/>
      <c r="I402" s="76"/>
      <c r="J402" s="76"/>
      <c r="K402" s="76"/>
      <c r="L402" s="76"/>
      <c r="M402" s="76"/>
      <c r="N402" s="76"/>
      <c r="O402" s="76"/>
      <c r="P402" s="76"/>
      <c r="Q402" s="76"/>
      <c r="R402" s="76"/>
      <c r="S402" s="76"/>
      <c r="T402" s="76"/>
      <c r="U402" s="76"/>
      <c r="V402" s="76"/>
      <c r="W402" s="76"/>
      <c r="X402" s="76"/>
      <c r="Y402" s="76"/>
      <c r="Z402" s="76"/>
    </row>
    <row r="403" ht="22.5" customHeight="1">
      <c r="A403" s="140"/>
      <c r="B403" s="141" t="s">
        <v>247</v>
      </c>
      <c r="C403" s="141" t="s">
        <v>5972</v>
      </c>
      <c r="D403" s="141" t="s">
        <v>5973</v>
      </c>
      <c r="E403" s="76"/>
      <c r="F403" s="76"/>
      <c r="G403" s="76"/>
      <c r="H403" s="76"/>
      <c r="I403" s="76"/>
      <c r="J403" s="76"/>
      <c r="K403" s="76"/>
      <c r="L403" s="76"/>
      <c r="M403" s="76"/>
      <c r="N403" s="76"/>
      <c r="O403" s="76"/>
      <c r="P403" s="76"/>
      <c r="Q403" s="76"/>
      <c r="R403" s="76"/>
      <c r="S403" s="76"/>
      <c r="T403" s="76"/>
      <c r="U403" s="76"/>
      <c r="V403" s="76"/>
      <c r="W403" s="76"/>
      <c r="X403" s="76"/>
      <c r="Y403" s="76"/>
      <c r="Z403" s="76"/>
    </row>
    <row r="404" ht="22.5" customHeight="1">
      <c r="A404" s="140"/>
      <c r="B404" s="141" t="s">
        <v>247</v>
      </c>
      <c r="C404" s="141" t="s">
        <v>5974</v>
      </c>
      <c r="D404" s="141" t="s">
        <v>5975</v>
      </c>
      <c r="E404" s="76"/>
      <c r="F404" s="76"/>
      <c r="G404" s="76"/>
      <c r="H404" s="76"/>
      <c r="I404" s="76"/>
      <c r="J404" s="76"/>
      <c r="K404" s="76"/>
      <c r="L404" s="76"/>
      <c r="M404" s="76"/>
      <c r="N404" s="76"/>
      <c r="O404" s="76"/>
      <c r="P404" s="76"/>
      <c r="Q404" s="76"/>
      <c r="R404" s="76"/>
      <c r="S404" s="76"/>
      <c r="T404" s="76"/>
      <c r="U404" s="76"/>
      <c r="V404" s="76"/>
      <c r="W404" s="76"/>
      <c r="X404" s="76"/>
      <c r="Y404" s="76"/>
      <c r="Z404" s="76"/>
    </row>
    <row r="405" ht="22.5" customHeight="1">
      <c r="A405" s="140"/>
      <c r="B405" s="141" t="s">
        <v>247</v>
      </c>
      <c r="C405" s="141" t="s">
        <v>5976</v>
      </c>
      <c r="D405" s="141" t="s">
        <v>5977</v>
      </c>
      <c r="E405" s="76"/>
      <c r="F405" s="76"/>
      <c r="G405" s="76"/>
      <c r="H405" s="76"/>
      <c r="I405" s="76"/>
      <c r="J405" s="76"/>
      <c r="K405" s="76"/>
      <c r="L405" s="76"/>
      <c r="M405" s="76"/>
      <c r="N405" s="76"/>
      <c r="O405" s="76"/>
      <c r="P405" s="76"/>
      <c r="Q405" s="76"/>
      <c r="R405" s="76"/>
      <c r="S405" s="76"/>
      <c r="T405" s="76"/>
      <c r="U405" s="76"/>
      <c r="V405" s="76"/>
      <c r="W405" s="76"/>
      <c r="X405" s="76"/>
      <c r="Y405" s="76"/>
      <c r="Z405" s="76"/>
    </row>
    <row r="406" ht="22.5" customHeight="1">
      <c r="A406" s="140"/>
      <c r="B406" s="141" t="s">
        <v>247</v>
      </c>
      <c r="C406" s="141" t="s">
        <v>5978</v>
      </c>
      <c r="D406" s="141" t="s">
        <v>5979</v>
      </c>
      <c r="E406" s="76"/>
      <c r="F406" s="76"/>
      <c r="G406" s="76"/>
      <c r="H406" s="76"/>
      <c r="I406" s="76"/>
      <c r="J406" s="76"/>
      <c r="K406" s="76"/>
      <c r="L406" s="76"/>
      <c r="M406" s="76"/>
      <c r="N406" s="76"/>
      <c r="O406" s="76"/>
      <c r="P406" s="76"/>
      <c r="Q406" s="76"/>
      <c r="R406" s="76"/>
      <c r="S406" s="76"/>
      <c r="T406" s="76"/>
      <c r="U406" s="76"/>
      <c r="V406" s="76"/>
      <c r="W406" s="76"/>
      <c r="X406" s="76"/>
      <c r="Y406" s="76"/>
      <c r="Z406" s="76"/>
    </row>
    <row r="407" ht="22.5" customHeight="1">
      <c r="A407" s="140"/>
      <c r="B407" s="141" t="s">
        <v>247</v>
      </c>
      <c r="C407" s="141" t="s">
        <v>5980</v>
      </c>
      <c r="D407" s="141" t="s">
        <v>5981</v>
      </c>
      <c r="E407" s="76"/>
      <c r="F407" s="76"/>
      <c r="G407" s="76"/>
      <c r="H407" s="76"/>
      <c r="I407" s="76"/>
      <c r="J407" s="76"/>
      <c r="K407" s="76"/>
      <c r="L407" s="76"/>
      <c r="M407" s="76"/>
      <c r="N407" s="76"/>
      <c r="O407" s="76"/>
      <c r="P407" s="76"/>
      <c r="Q407" s="76"/>
      <c r="R407" s="76"/>
      <c r="S407" s="76"/>
      <c r="T407" s="76"/>
      <c r="U407" s="76"/>
      <c r="V407" s="76"/>
      <c r="W407" s="76"/>
      <c r="X407" s="76"/>
      <c r="Y407" s="76"/>
      <c r="Z407" s="76"/>
    </row>
    <row r="408" ht="22.5" customHeight="1">
      <c r="A408" s="140"/>
      <c r="B408" s="141" t="s">
        <v>247</v>
      </c>
      <c r="C408" s="141" t="s">
        <v>5982</v>
      </c>
      <c r="D408" s="141" t="s">
        <v>5983</v>
      </c>
      <c r="E408" s="76"/>
      <c r="F408" s="76"/>
      <c r="G408" s="76"/>
      <c r="H408" s="76"/>
      <c r="I408" s="76"/>
      <c r="J408" s="76"/>
      <c r="K408" s="76"/>
      <c r="L408" s="76"/>
      <c r="M408" s="76"/>
      <c r="N408" s="76"/>
      <c r="O408" s="76"/>
      <c r="P408" s="76"/>
      <c r="Q408" s="76"/>
      <c r="R408" s="76"/>
      <c r="S408" s="76"/>
      <c r="T408" s="76"/>
      <c r="U408" s="76"/>
      <c r="V408" s="76"/>
      <c r="W408" s="76"/>
      <c r="X408" s="76"/>
      <c r="Y408" s="76"/>
      <c r="Z408" s="76"/>
    </row>
    <row r="409" ht="22.5" customHeight="1">
      <c r="A409" s="140"/>
      <c r="B409" s="141" t="s">
        <v>247</v>
      </c>
      <c r="C409" s="141" t="s">
        <v>5984</v>
      </c>
      <c r="D409" s="141" t="s">
        <v>5985</v>
      </c>
      <c r="E409" s="76"/>
      <c r="F409" s="76"/>
      <c r="G409" s="76"/>
      <c r="H409" s="76"/>
      <c r="I409" s="76"/>
      <c r="J409" s="76"/>
      <c r="K409" s="76"/>
      <c r="L409" s="76"/>
      <c r="M409" s="76"/>
      <c r="N409" s="76"/>
      <c r="O409" s="76"/>
      <c r="P409" s="76"/>
      <c r="Q409" s="76"/>
      <c r="R409" s="76"/>
      <c r="S409" s="76"/>
      <c r="T409" s="76"/>
      <c r="U409" s="76"/>
      <c r="V409" s="76"/>
      <c r="W409" s="76"/>
      <c r="X409" s="76"/>
      <c r="Y409" s="76"/>
      <c r="Z409" s="76"/>
    </row>
    <row r="410" ht="22.5" customHeight="1">
      <c r="A410" s="140"/>
      <c r="B410" s="141" t="s">
        <v>247</v>
      </c>
      <c r="C410" s="141" t="s">
        <v>5986</v>
      </c>
      <c r="D410" s="141" t="s">
        <v>5987</v>
      </c>
      <c r="E410" s="76"/>
      <c r="F410" s="76"/>
      <c r="G410" s="76"/>
      <c r="H410" s="76"/>
      <c r="I410" s="76"/>
      <c r="J410" s="76"/>
      <c r="K410" s="76"/>
      <c r="L410" s="76"/>
      <c r="M410" s="76"/>
      <c r="N410" s="76"/>
      <c r="O410" s="76"/>
      <c r="P410" s="76"/>
      <c r="Q410" s="76"/>
      <c r="R410" s="76"/>
      <c r="S410" s="76"/>
      <c r="T410" s="76"/>
      <c r="U410" s="76"/>
      <c r="V410" s="76"/>
      <c r="W410" s="76"/>
      <c r="X410" s="76"/>
      <c r="Y410" s="76"/>
      <c r="Z410" s="76"/>
    </row>
    <row r="411" ht="22.5" customHeight="1">
      <c r="A411" s="140"/>
      <c r="B411" s="141" t="s">
        <v>247</v>
      </c>
      <c r="C411" s="141" t="s">
        <v>5988</v>
      </c>
      <c r="D411" s="141" t="s">
        <v>5989</v>
      </c>
      <c r="E411" s="76"/>
      <c r="F411" s="76"/>
      <c r="G411" s="76"/>
      <c r="H411" s="76"/>
      <c r="I411" s="76"/>
      <c r="J411" s="76"/>
      <c r="K411" s="76"/>
      <c r="L411" s="76"/>
      <c r="M411" s="76"/>
      <c r="N411" s="76"/>
      <c r="O411" s="76"/>
      <c r="P411" s="76"/>
      <c r="Q411" s="76"/>
      <c r="R411" s="76"/>
      <c r="S411" s="76"/>
      <c r="T411" s="76"/>
      <c r="U411" s="76"/>
      <c r="V411" s="76"/>
      <c r="W411" s="76"/>
      <c r="X411" s="76"/>
      <c r="Y411" s="76"/>
      <c r="Z411" s="76"/>
    </row>
    <row r="412" ht="22.5" customHeight="1">
      <c r="A412" s="140"/>
      <c r="B412" s="141" t="s">
        <v>247</v>
      </c>
      <c r="C412" s="141" t="s">
        <v>5990</v>
      </c>
      <c r="D412" s="141" t="s">
        <v>5991</v>
      </c>
      <c r="E412" s="76"/>
      <c r="F412" s="76"/>
      <c r="G412" s="76"/>
      <c r="H412" s="76"/>
      <c r="I412" s="76"/>
      <c r="J412" s="76"/>
      <c r="K412" s="76"/>
      <c r="L412" s="76"/>
      <c r="M412" s="76"/>
      <c r="N412" s="76"/>
      <c r="O412" s="76"/>
      <c r="P412" s="76"/>
      <c r="Q412" s="76"/>
      <c r="R412" s="76"/>
      <c r="S412" s="76"/>
      <c r="T412" s="76"/>
      <c r="U412" s="76"/>
      <c r="V412" s="76"/>
      <c r="W412" s="76"/>
      <c r="X412" s="76"/>
      <c r="Y412" s="76"/>
      <c r="Z412" s="76"/>
    </row>
    <row r="413" ht="22.5" customHeight="1">
      <c r="A413" s="140"/>
      <c r="B413" s="141" t="s">
        <v>247</v>
      </c>
      <c r="C413" s="141" t="s">
        <v>5992</v>
      </c>
      <c r="D413" s="141" t="s">
        <v>5993</v>
      </c>
      <c r="E413" s="76"/>
      <c r="F413" s="76"/>
      <c r="G413" s="76"/>
      <c r="H413" s="76"/>
      <c r="I413" s="76"/>
      <c r="J413" s="76"/>
      <c r="K413" s="76"/>
      <c r="L413" s="76"/>
      <c r="M413" s="76"/>
      <c r="N413" s="76"/>
      <c r="O413" s="76"/>
      <c r="P413" s="76"/>
      <c r="Q413" s="76"/>
      <c r="R413" s="76"/>
      <c r="S413" s="76"/>
      <c r="T413" s="76"/>
      <c r="U413" s="76"/>
      <c r="V413" s="76"/>
      <c r="W413" s="76"/>
      <c r="X413" s="76"/>
      <c r="Y413" s="76"/>
      <c r="Z413" s="76"/>
    </row>
    <row r="414" ht="22.5" customHeight="1">
      <c r="A414" s="140"/>
      <c r="B414" s="141" t="s">
        <v>247</v>
      </c>
      <c r="C414" s="141" t="s">
        <v>5994</v>
      </c>
      <c r="D414" s="141" t="s">
        <v>5995</v>
      </c>
      <c r="E414" s="76"/>
      <c r="F414" s="76"/>
      <c r="G414" s="76"/>
      <c r="H414" s="76"/>
      <c r="I414" s="76"/>
      <c r="J414" s="76"/>
      <c r="K414" s="76"/>
      <c r="L414" s="76"/>
      <c r="M414" s="76"/>
      <c r="N414" s="76"/>
      <c r="O414" s="76"/>
      <c r="P414" s="76"/>
      <c r="Q414" s="76"/>
      <c r="R414" s="76"/>
      <c r="S414" s="76"/>
      <c r="T414" s="76"/>
      <c r="U414" s="76"/>
      <c r="V414" s="76"/>
      <c r="W414" s="76"/>
      <c r="X414" s="76"/>
      <c r="Y414" s="76"/>
      <c r="Z414" s="76"/>
    </row>
    <row r="415" ht="22.5" customHeight="1">
      <c r="A415" s="140"/>
      <c r="B415" s="141" t="s">
        <v>247</v>
      </c>
      <c r="C415" s="141" t="s">
        <v>5996</v>
      </c>
      <c r="D415" s="141" t="s">
        <v>5997</v>
      </c>
      <c r="E415" s="76"/>
      <c r="F415" s="76"/>
      <c r="G415" s="76"/>
      <c r="H415" s="76"/>
      <c r="I415" s="76"/>
      <c r="J415" s="76"/>
      <c r="K415" s="76"/>
      <c r="L415" s="76"/>
      <c r="M415" s="76"/>
      <c r="N415" s="76"/>
      <c r="O415" s="76"/>
      <c r="P415" s="76"/>
      <c r="Q415" s="76"/>
      <c r="R415" s="76"/>
      <c r="S415" s="76"/>
      <c r="T415" s="76"/>
      <c r="U415" s="76"/>
      <c r="V415" s="76"/>
      <c r="W415" s="76"/>
      <c r="X415" s="76"/>
      <c r="Y415" s="76"/>
      <c r="Z415" s="76"/>
    </row>
    <row r="416" ht="22.5" customHeight="1">
      <c r="A416" s="140"/>
      <c r="B416" s="141" t="s">
        <v>247</v>
      </c>
      <c r="C416" s="141" t="s">
        <v>5998</v>
      </c>
      <c r="D416" s="141" t="s">
        <v>5999</v>
      </c>
      <c r="E416" s="76"/>
      <c r="F416" s="76"/>
      <c r="G416" s="76"/>
      <c r="H416" s="76"/>
      <c r="I416" s="76"/>
      <c r="J416" s="76"/>
      <c r="K416" s="76"/>
      <c r="L416" s="76"/>
      <c r="M416" s="76"/>
      <c r="N416" s="76"/>
      <c r="O416" s="76"/>
      <c r="P416" s="76"/>
      <c r="Q416" s="76"/>
      <c r="R416" s="76"/>
      <c r="S416" s="76"/>
      <c r="T416" s="76"/>
      <c r="U416" s="76"/>
      <c r="V416" s="76"/>
      <c r="W416" s="76"/>
      <c r="X416" s="76"/>
      <c r="Y416" s="76"/>
      <c r="Z416" s="76"/>
    </row>
    <row r="417" ht="22.5" customHeight="1">
      <c r="A417" s="140"/>
      <c r="B417" s="141" t="s">
        <v>247</v>
      </c>
      <c r="C417" s="141" t="s">
        <v>6000</v>
      </c>
      <c r="D417" s="141" t="s">
        <v>6001</v>
      </c>
      <c r="E417" s="76"/>
      <c r="F417" s="76"/>
      <c r="G417" s="76"/>
      <c r="H417" s="76"/>
      <c r="I417" s="76"/>
      <c r="J417" s="76"/>
      <c r="K417" s="76"/>
      <c r="L417" s="76"/>
      <c r="M417" s="76"/>
      <c r="N417" s="76"/>
      <c r="O417" s="76"/>
      <c r="P417" s="76"/>
      <c r="Q417" s="76"/>
      <c r="R417" s="76"/>
      <c r="S417" s="76"/>
      <c r="T417" s="76"/>
      <c r="U417" s="76"/>
      <c r="V417" s="76"/>
      <c r="W417" s="76"/>
      <c r="X417" s="76"/>
      <c r="Y417" s="76"/>
      <c r="Z417" s="76"/>
    </row>
    <row r="418" ht="22.5" customHeight="1">
      <c r="A418" s="140"/>
      <c r="B418" s="141" t="s">
        <v>247</v>
      </c>
      <c r="C418" s="141" t="s">
        <v>6002</v>
      </c>
      <c r="D418" s="141" t="s">
        <v>6003</v>
      </c>
      <c r="E418" s="76"/>
      <c r="F418" s="76"/>
      <c r="G418" s="76"/>
      <c r="H418" s="76"/>
      <c r="I418" s="76"/>
      <c r="J418" s="76"/>
      <c r="K418" s="76"/>
      <c r="L418" s="76"/>
      <c r="M418" s="76"/>
      <c r="N418" s="76"/>
      <c r="O418" s="76"/>
      <c r="P418" s="76"/>
      <c r="Q418" s="76"/>
      <c r="R418" s="76"/>
      <c r="S418" s="76"/>
      <c r="T418" s="76"/>
      <c r="U418" s="76"/>
      <c r="V418" s="76"/>
      <c r="W418" s="76"/>
      <c r="X418" s="76"/>
      <c r="Y418" s="76"/>
      <c r="Z418" s="76"/>
    </row>
    <row r="419" ht="22.5" customHeight="1">
      <c r="A419" s="140"/>
      <c r="B419" s="141" t="s">
        <v>247</v>
      </c>
      <c r="C419" s="141" t="s">
        <v>6004</v>
      </c>
      <c r="D419" s="141" t="s">
        <v>6005</v>
      </c>
      <c r="E419" s="76"/>
      <c r="F419" s="76"/>
      <c r="G419" s="76"/>
      <c r="H419" s="76"/>
      <c r="I419" s="76"/>
      <c r="J419" s="76"/>
      <c r="K419" s="76"/>
      <c r="L419" s="76"/>
      <c r="M419" s="76"/>
      <c r="N419" s="76"/>
      <c r="O419" s="76"/>
      <c r="P419" s="76"/>
      <c r="Q419" s="76"/>
      <c r="R419" s="76"/>
      <c r="S419" s="76"/>
      <c r="T419" s="76"/>
      <c r="U419" s="76"/>
      <c r="V419" s="76"/>
      <c r="W419" s="76"/>
      <c r="X419" s="76"/>
      <c r="Y419" s="76"/>
      <c r="Z419" s="76"/>
    </row>
    <row r="420" ht="22.5" customHeight="1">
      <c r="A420" s="140"/>
      <c r="B420" s="141" t="s">
        <v>247</v>
      </c>
      <c r="C420" s="141" t="s">
        <v>6006</v>
      </c>
      <c r="D420" s="141" t="s">
        <v>6007</v>
      </c>
      <c r="E420" s="76"/>
      <c r="F420" s="76"/>
      <c r="G420" s="76"/>
      <c r="H420" s="76"/>
      <c r="I420" s="76"/>
      <c r="J420" s="76"/>
      <c r="K420" s="76"/>
      <c r="L420" s="76"/>
      <c r="M420" s="76"/>
      <c r="N420" s="76"/>
      <c r="O420" s="76"/>
      <c r="P420" s="76"/>
      <c r="Q420" s="76"/>
      <c r="R420" s="76"/>
      <c r="S420" s="76"/>
      <c r="T420" s="76"/>
      <c r="U420" s="76"/>
      <c r="V420" s="76"/>
      <c r="W420" s="76"/>
      <c r="X420" s="76"/>
      <c r="Y420" s="76"/>
      <c r="Z420" s="76"/>
    </row>
    <row r="421" ht="22.5" customHeight="1">
      <c r="A421" s="140"/>
      <c r="B421" s="141" t="s">
        <v>247</v>
      </c>
      <c r="C421" s="141" t="s">
        <v>6008</v>
      </c>
      <c r="D421" s="141" t="s">
        <v>6009</v>
      </c>
      <c r="E421" s="76"/>
      <c r="F421" s="76"/>
      <c r="G421" s="76"/>
      <c r="H421" s="76"/>
      <c r="I421" s="76"/>
      <c r="J421" s="76"/>
      <c r="K421" s="76"/>
      <c r="L421" s="76"/>
      <c r="M421" s="76"/>
      <c r="N421" s="76"/>
      <c r="O421" s="76"/>
      <c r="P421" s="76"/>
      <c r="Q421" s="76"/>
      <c r="R421" s="76"/>
      <c r="S421" s="76"/>
      <c r="T421" s="76"/>
      <c r="U421" s="76"/>
      <c r="V421" s="76"/>
      <c r="W421" s="76"/>
      <c r="X421" s="76"/>
      <c r="Y421" s="76"/>
      <c r="Z421" s="76"/>
    </row>
    <row r="422" ht="22.5" customHeight="1">
      <c r="A422" s="140"/>
      <c r="B422" s="141" t="s">
        <v>247</v>
      </c>
      <c r="C422" s="141" t="s">
        <v>6010</v>
      </c>
      <c r="D422" s="141" t="s">
        <v>6011</v>
      </c>
      <c r="E422" s="76"/>
      <c r="F422" s="76"/>
      <c r="G422" s="76"/>
      <c r="H422" s="76"/>
      <c r="I422" s="76"/>
      <c r="J422" s="76"/>
      <c r="K422" s="76"/>
      <c r="L422" s="76"/>
      <c r="M422" s="76"/>
      <c r="N422" s="76"/>
      <c r="O422" s="76"/>
      <c r="P422" s="76"/>
      <c r="Q422" s="76"/>
      <c r="R422" s="76"/>
      <c r="S422" s="76"/>
      <c r="T422" s="76"/>
      <c r="U422" s="76"/>
      <c r="V422" s="76"/>
      <c r="W422" s="76"/>
      <c r="X422" s="76"/>
      <c r="Y422" s="76"/>
      <c r="Z422" s="76"/>
    </row>
    <row r="423" ht="22.5" customHeight="1">
      <c r="A423" s="140"/>
      <c r="B423" s="141" t="s">
        <v>247</v>
      </c>
      <c r="C423" s="141" t="s">
        <v>6012</v>
      </c>
      <c r="D423" s="141" t="s">
        <v>6013</v>
      </c>
      <c r="E423" s="76"/>
      <c r="F423" s="76"/>
      <c r="G423" s="76"/>
      <c r="H423" s="76"/>
      <c r="I423" s="76"/>
      <c r="J423" s="76"/>
      <c r="K423" s="76"/>
      <c r="L423" s="76"/>
      <c r="M423" s="76"/>
      <c r="N423" s="76"/>
      <c r="O423" s="76"/>
      <c r="P423" s="76"/>
      <c r="Q423" s="76"/>
      <c r="R423" s="76"/>
      <c r="S423" s="76"/>
      <c r="T423" s="76"/>
      <c r="U423" s="76"/>
      <c r="V423" s="76"/>
      <c r="W423" s="76"/>
      <c r="X423" s="76"/>
      <c r="Y423" s="76"/>
      <c r="Z423" s="76"/>
    </row>
    <row r="424" ht="22.5" customHeight="1">
      <c r="A424" s="140"/>
      <c r="B424" s="141" t="s">
        <v>247</v>
      </c>
      <c r="C424" s="141" t="s">
        <v>6014</v>
      </c>
      <c r="D424" s="141" t="s">
        <v>6015</v>
      </c>
      <c r="E424" s="76"/>
      <c r="F424" s="76"/>
      <c r="G424" s="76"/>
      <c r="H424" s="76"/>
      <c r="I424" s="76"/>
      <c r="J424" s="76"/>
      <c r="K424" s="76"/>
      <c r="L424" s="76"/>
      <c r="M424" s="76"/>
      <c r="N424" s="76"/>
      <c r="O424" s="76"/>
      <c r="P424" s="76"/>
      <c r="Q424" s="76"/>
      <c r="R424" s="76"/>
      <c r="S424" s="76"/>
      <c r="T424" s="76"/>
      <c r="U424" s="76"/>
      <c r="V424" s="76"/>
      <c r="W424" s="76"/>
      <c r="X424" s="76"/>
      <c r="Y424" s="76"/>
      <c r="Z424" s="76"/>
    </row>
    <row r="425" ht="22.5" customHeight="1">
      <c r="A425" s="140"/>
      <c r="B425" s="141" t="s">
        <v>247</v>
      </c>
      <c r="C425" s="141" t="s">
        <v>6016</v>
      </c>
      <c r="D425" s="141" t="s">
        <v>6017</v>
      </c>
      <c r="E425" s="76"/>
      <c r="F425" s="76"/>
      <c r="G425" s="76"/>
      <c r="H425" s="76"/>
      <c r="I425" s="76"/>
      <c r="J425" s="76"/>
      <c r="K425" s="76"/>
      <c r="L425" s="76"/>
      <c r="M425" s="76"/>
      <c r="N425" s="76"/>
      <c r="O425" s="76"/>
      <c r="P425" s="76"/>
      <c r="Q425" s="76"/>
      <c r="R425" s="76"/>
      <c r="S425" s="76"/>
      <c r="T425" s="76"/>
      <c r="U425" s="76"/>
      <c r="V425" s="76"/>
      <c r="W425" s="76"/>
      <c r="X425" s="76"/>
      <c r="Y425" s="76"/>
      <c r="Z425" s="76"/>
    </row>
    <row r="426" ht="22.5" customHeight="1">
      <c r="A426" s="140"/>
      <c r="B426" s="141" t="s">
        <v>247</v>
      </c>
      <c r="C426" s="141" t="s">
        <v>6018</v>
      </c>
      <c r="D426" s="141" t="s">
        <v>6019</v>
      </c>
      <c r="E426" s="76"/>
      <c r="F426" s="76"/>
      <c r="G426" s="76"/>
      <c r="H426" s="76"/>
      <c r="I426" s="76"/>
      <c r="J426" s="76"/>
      <c r="K426" s="76"/>
      <c r="L426" s="76"/>
      <c r="M426" s="76"/>
      <c r="N426" s="76"/>
      <c r="O426" s="76"/>
      <c r="P426" s="76"/>
      <c r="Q426" s="76"/>
      <c r="R426" s="76"/>
      <c r="S426" s="76"/>
      <c r="T426" s="76"/>
      <c r="U426" s="76"/>
      <c r="V426" s="76"/>
      <c r="W426" s="76"/>
      <c r="X426" s="76"/>
      <c r="Y426" s="76"/>
      <c r="Z426" s="76"/>
    </row>
    <row r="427" ht="22.5" customHeight="1">
      <c r="A427" s="140"/>
      <c r="B427" s="141" t="s">
        <v>247</v>
      </c>
      <c r="C427" s="141" t="s">
        <v>6020</v>
      </c>
      <c r="D427" s="141" t="s">
        <v>6021</v>
      </c>
      <c r="E427" s="76"/>
      <c r="F427" s="76"/>
      <c r="G427" s="76"/>
      <c r="H427" s="76"/>
      <c r="I427" s="76"/>
      <c r="J427" s="76"/>
      <c r="K427" s="76"/>
      <c r="L427" s="76"/>
      <c r="M427" s="76"/>
      <c r="N427" s="76"/>
      <c r="O427" s="76"/>
      <c r="P427" s="76"/>
      <c r="Q427" s="76"/>
      <c r="R427" s="76"/>
      <c r="S427" s="76"/>
      <c r="T427" s="76"/>
      <c r="U427" s="76"/>
      <c r="V427" s="76"/>
      <c r="W427" s="76"/>
      <c r="X427" s="76"/>
      <c r="Y427" s="76"/>
      <c r="Z427" s="76"/>
    </row>
    <row r="428" ht="22.5" customHeight="1">
      <c r="A428" s="140"/>
      <c r="B428" s="141" t="s">
        <v>247</v>
      </c>
      <c r="C428" s="141" t="s">
        <v>6022</v>
      </c>
      <c r="D428" s="141" t="s">
        <v>6023</v>
      </c>
      <c r="E428" s="76"/>
      <c r="F428" s="76"/>
      <c r="G428" s="76"/>
      <c r="H428" s="76"/>
      <c r="I428" s="76"/>
      <c r="J428" s="76"/>
      <c r="K428" s="76"/>
      <c r="L428" s="76"/>
      <c r="M428" s="76"/>
      <c r="N428" s="76"/>
      <c r="O428" s="76"/>
      <c r="P428" s="76"/>
      <c r="Q428" s="76"/>
      <c r="R428" s="76"/>
      <c r="S428" s="76"/>
      <c r="T428" s="76"/>
      <c r="U428" s="76"/>
      <c r="V428" s="76"/>
      <c r="W428" s="76"/>
      <c r="X428" s="76"/>
      <c r="Y428" s="76"/>
      <c r="Z428" s="76"/>
    </row>
    <row r="429" ht="22.5" customHeight="1">
      <c r="A429" s="140"/>
      <c r="B429" s="141" t="s">
        <v>247</v>
      </c>
      <c r="C429" s="141" t="s">
        <v>6024</v>
      </c>
      <c r="D429" s="141" t="s">
        <v>6025</v>
      </c>
      <c r="E429" s="76"/>
      <c r="F429" s="76"/>
      <c r="G429" s="76"/>
      <c r="H429" s="76"/>
      <c r="I429" s="76"/>
      <c r="J429" s="76"/>
      <c r="K429" s="76"/>
      <c r="L429" s="76"/>
      <c r="M429" s="76"/>
      <c r="N429" s="76"/>
      <c r="O429" s="76"/>
      <c r="P429" s="76"/>
      <c r="Q429" s="76"/>
      <c r="R429" s="76"/>
      <c r="S429" s="76"/>
      <c r="T429" s="76"/>
      <c r="U429" s="76"/>
      <c r="V429" s="76"/>
      <c r="W429" s="76"/>
      <c r="X429" s="76"/>
      <c r="Y429" s="76"/>
      <c r="Z429" s="76"/>
    </row>
    <row r="430" ht="22.5" customHeight="1">
      <c r="A430" s="140"/>
      <c r="B430" s="141" t="s">
        <v>247</v>
      </c>
      <c r="C430" s="141" t="s">
        <v>6026</v>
      </c>
      <c r="D430" s="141" t="s">
        <v>6027</v>
      </c>
      <c r="E430" s="76"/>
      <c r="F430" s="76"/>
      <c r="G430" s="76"/>
      <c r="H430" s="76"/>
      <c r="I430" s="76"/>
      <c r="J430" s="76"/>
      <c r="K430" s="76"/>
      <c r="L430" s="76"/>
      <c r="M430" s="76"/>
      <c r="N430" s="76"/>
      <c r="O430" s="76"/>
      <c r="P430" s="76"/>
      <c r="Q430" s="76"/>
      <c r="R430" s="76"/>
      <c r="S430" s="76"/>
      <c r="T430" s="76"/>
      <c r="U430" s="76"/>
      <c r="V430" s="76"/>
      <c r="W430" s="76"/>
      <c r="X430" s="76"/>
      <c r="Y430" s="76"/>
      <c r="Z430" s="76"/>
    </row>
    <row r="431" ht="22.5" customHeight="1">
      <c r="A431" s="140"/>
      <c r="B431" s="141" t="s">
        <v>247</v>
      </c>
      <c r="C431" s="141" t="s">
        <v>6028</v>
      </c>
      <c r="D431" s="141" t="s">
        <v>6029</v>
      </c>
      <c r="E431" s="76"/>
      <c r="F431" s="76"/>
      <c r="G431" s="76"/>
      <c r="H431" s="76"/>
      <c r="I431" s="76"/>
      <c r="J431" s="76"/>
      <c r="K431" s="76"/>
      <c r="L431" s="76"/>
      <c r="M431" s="76"/>
      <c r="N431" s="76"/>
      <c r="O431" s="76"/>
      <c r="P431" s="76"/>
      <c r="Q431" s="76"/>
      <c r="R431" s="76"/>
      <c r="S431" s="76"/>
      <c r="T431" s="76"/>
      <c r="U431" s="76"/>
      <c r="V431" s="76"/>
      <c r="W431" s="76"/>
      <c r="X431" s="76"/>
      <c r="Y431" s="76"/>
      <c r="Z431" s="76"/>
    </row>
    <row r="432" ht="22.5" customHeight="1">
      <c r="A432" s="140"/>
      <c r="B432" s="141" t="s">
        <v>247</v>
      </c>
      <c r="C432" s="141" t="s">
        <v>6030</v>
      </c>
      <c r="D432" s="141" t="s">
        <v>6031</v>
      </c>
      <c r="E432" s="76"/>
      <c r="F432" s="76"/>
      <c r="G432" s="76"/>
      <c r="H432" s="76"/>
      <c r="I432" s="76"/>
      <c r="J432" s="76"/>
      <c r="K432" s="76"/>
      <c r="L432" s="76"/>
      <c r="M432" s="76"/>
      <c r="N432" s="76"/>
      <c r="O432" s="76"/>
      <c r="P432" s="76"/>
      <c r="Q432" s="76"/>
      <c r="R432" s="76"/>
      <c r="S432" s="76"/>
      <c r="T432" s="76"/>
      <c r="U432" s="76"/>
      <c r="V432" s="76"/>
      <c r="W432" s="76"/>
      <c r="X432" s="76"/>
      <c r="Y432" s="76"/>
      <c r="Z432" s="76"/>
    </row>
    <row r="433" ht="22.5" customHeight="1">
      <c r="A433" s="140"/>
      <c r="B433" s="141" t="s">
        <v>247</v>
      </c>
      <c r="C433" s="141" t="s">
        <v>6032</v>
      </c>
      <c r="D433" s="141" t="s">
        <v>6033</v>
      </c>
      <c r="E433" s="76"/>
      <c r="F433" s="76"/>
      <c r="G433" s="76"/>
      <c r="H433" s="76"/>
      <c r="I433" s="76"/>
      <c r="J433" s="76"/>
      <c r="K433" s="76"/>
      <c r="L433" s="76"/>
      <c r="M433" s="76"/>
      <c r="N433" s="76"/>
      <c r="O433" s="76"/>
      <c r="P433" s="76"/>
      <c r="Q433" s="76"/>
      <c r="R433" s="76"/>
      <c r="S433" s="76"/>
      <c r="T433" s="76"/>
      <c r="U433" s="76"/>
      <c r="V433" s="76"/>
      <c r="W433" s="76"/>
      <c r="X433" s="76"/>
      <c r="Y433" s="76"/>
      <c r="Z433" s="76"/>
    </row>
    <row r="434" ht="22.5" customHeight="1">
      <c r="A434" s="140"/>
      <c r="B434" s="141" t="s">
        <v>247</v>
      </c>
      <c r="C434" s="141" t="s">
        <v>6034</v>
      </c>
      <c r="D434" s="141" t="s">
        <v>6035</v>
      </c>
      <c r="E434" s="76"/>
      <c r="F434" s="76"/>
      <c r="G434" s="76"/>
      <c r="H434" s="76"/>
      <c r="I434" s="76"/>
      <c r="J434" s="76"/>
      <c r="K434" s="76"/>
      <c r="L434" s="76"/>
      <c r="M434" s="76"/>
      <c r="N434" s="76"/>
      <c r="O434" s="76"/>
      <c r="P434" s="76"/>
      <c r="Q434" s="76"/>
      <c r="R434" s="76"/>
      <c r="S434" s="76"/>
      <c r="T434" s="76"/>
      <c r="U434" s="76"/>
      <c r="V434" s="76"/>
      <c r="W434" s="76"/>
      <c r="X434" s="76"/>
      <c r="Y434" s="76"/>
      <c r="Z434" s="76"/>
    </row>
    <row r="435" ht="22.5" customHeight="1">
      <c r="A435" s="140"/>
      <c r="B435" s="141" t="s">
        <v>247</v>
      </c>
      <c r="C435" s="141" t="s">
        <v>6036</v>
      </c>
      <c r="D435" s="141" t="s">
        <v>6037</v>
      </c>
      <c r="E435" s="76"/>
      <c r="F435" s="76"/>
      <c r="G435" s="76"/>
      <c r="H435" s="76"/>
      <c r="I435" s="76"/>
      <c r="J435" s="76"/>
      <c r="K435" s="76"/>
      <c r="L435" s="76"/>
      <c r="M435" s="76"/>
      <c r="N435" s="76"/>
      <c r="O435" s="76"/>
      <c r="P435" s="76"/>
      <c r="Q435" s="76"/>
      <c r="R435" s="76"/>
      <c r="S435" s="76"/>
      <c r="T435" s="76"/>
      <c r="U435" s="76"/>
      <c r="V435" s="76"/>
      <c r="W435" s="76"/>
      <c r="X435" s="76"/>
      <c r="Y435" s="76"/>
      <c r="Z435" s="76"/>
    </row>
    <row r="436" ht="22.5" customHeight="1">
      <c r="A436" s="140"/>
      <c r="B436" s="141" t="s">
        <v>247</v>
      </c>
      <c r="C436" s="141" t="s">
        <v>6038</v>
      </c>
      <c r="D436" s="141" t="s">
        <v>6039</v>
      </c>
      <c r="E436" s="76"/>
      <c r="F436" s="76"/>
      <c r="G436" s="76"/>
      <c r="H436" s="76"/>
      <c r="I436" s="76"/>
      <c r="J436" s="76"/>
      <c r="K436" s="76"/>
      <c r="L436" s="76"/>
      <c r="M436" s="76"/>
      <c r="N436" s="76"/>
      <c r="O436" s="76"/>
      <c r="P436" s="76"/>
      <c r="Q436" s="76"/>
      <c r="R436" s="76"/>
      <c r="S436" s="76"/>
      <c r="T436" s="76"/>
      <c r="U436" s="76"/>
      <c r="V436" s="76"/>
      <c r="W436" s="76"/>
      <c r="X436" s="76"/>
      <c r="Y436" s="76"/>
      <c r="Z436" s="76"/>
    </row>
    <row r="437" ht="22.5" customHeight="1">
      <c r="A437" s="140"/>
      <c r="B437" s="141" t="s">
        <v>247</v>
      </c>
      <c r="C437" s="141" t="s">
        <v>6040</v>
      </c>
      <c r="D437" s="141" t="s">
        <v>6041</v>
      </c>
      <c r="E437" s="76"/>
      <c r="F437" s="76"/>
      <c r="G437" s="76"/>
      <c r="H437" s="76"/>
      <c r="I437" s="76"/>
      <c r="J437" s="76"/>
      <c r="K437" s="76"/>
      <c r="L437" s="76"/>
      <c r="M437" s="76"/>
      <c r="N437" s="76"/>
      <c r="O437" s="76"/>
      <c r="P437" s="76"/>
      <c r="Q437" s="76"/>
      <c r="R437" s="76"/>
      <c r="S437" s="76"/>
      <c r="T437" s="76"/>
      <c r="U437" s="76"/>
      <c r="V437" s="76"/>
      <c r="W437" s="76"/>
      <c r="X437" s="76"/>
      <c r="Y437" s="76"/>
      <c r="Z437" s="76"/>
    </row>
    <row r="438" ht="22.5" customHeight="1">
      <c r="A438" s="140"/>
      <c r="B438" s="141" t="s">
        <v>247</v>
      </c>
      <c r="C438" s="141" t="s">
        <v>6042</v>
      </c>
      <c r="D438" s="141" t="s">
        <v>6043</v>
      </c>
      <c r="E438" s="76"/>
      <c r="F438" s="76"/>
      <c r="G438" s="76"/>
      <c r="H438" s="76"/>
      <c r="I438" s="76"/>
      <c r="J438" s="76"/>
      <c r="K438" s="76"/>
      <c r="L438" s="76"/>
      <c r="M438" s="76"/>
      <c r="N438" s="76"/>
      <c r="O438" s="76"/>
      <c r="P438" s="76"/>
      <c r="Q438" s="76"/>
      <c r="R438" s="76"/>
      <c r="S438" s="76"/>
      <c r="T438" s="76"/>
      <c r="U438" s="76"/>
      <c r="V438" s="76"/>
      <c r="W438" s="76"/>
      <c r="X438" s="76"/>
      <c r="Y438" s="76"/>
      <c r="Z438" s="76"/>
    </row>
    <row r="439" ht="22.5" customHeight="1">
      <c r="A439" s="140"/>
      <c r="B439" s="141" t="s">
        <v>247</v>
      </c>
      <c r="C439" s="141" t="s">
        <v>6044</v>
      </c>
      <c r="D439" s="141" t="s">
        <v>6045</v>
      </c>
      <c r="E439" s="76"/>
      <c r="F439" s="76"/>
      <c r="G439" s="76"/>
      <c r="H439" s="76"/>
      <c r="I439" s="76"/>
      <c r="J439" s="76"/>
      <c r="K439" s="76"/>
      <c r="L439" s="76"/>
      <c r="M439" s="76"/>
      <c r="N439" s="76"/>
      <c r="O439" s="76"/>
      <c r="P439" s="76"/>
      <c r="Q439" s="76"/>
      <c r="R439" s="76"/>
      <c r="S439" s="76"/>
      <c r="T439" s="76"/>
      <c r="U439" s="76"/>
      <c r="V439" s="76"/>
      <c r="W439" s="76"/>
      <c r="X439" s="76"/>
      <c r="Y439" s="76"/>
      <c r="Z439" s="76"/>
    </row>
    <row r="440" ht="22.5" customHeight="1">
      <c r="A440" s="140"/>
      <c r="B440" s="141" t="s">
        <v>247</v>
      </c>
      <c r="C440" s="141" t="s">
        <v>6046</v>
      </c>
      <c r="D440" s="141" t="s">
        <v>6047</v>
      </c>
      <c r="E440" s="76"/>
      <c r="F440" s="76"/>
      <c r="G440" s="76"/>
      <c r="H440" s="76"/>
      <c r="I440" s="76"/>
      <c r="J440" s="76"/>
      <c r="K440" s="76"/>
      <c r="L440" s="76"/>
      <c r="M440" s="76"/>
      <c r="N440" s="76"/>
      <c r="O440" s="76"/>
      <c r="P440" s="76"/>
      <c r="Q440" s="76"/>
      <c r="R440" s="76"/>
      <c r="S440" s="76"/>
      <c r="T440" s="76"/>
      <c r="U440" s="76"/>
      <c r="V440" s="76"/>
      <c r="W440" s="76"/>
      <c r="X440" s="76"/>
      <c r="Y440" s="76"/>
      <c r="Z440" s="76"/>
    </row>
    <row r="441" ht="22.5" customHeight="1">
      <c r="A441" s="140"/>
      <c r="B441" s="141" t="s">
        <v>247</v>
      </c>
      <c r="C441" s="141" t="s">
        <v>6048</v>
      </c>
      <c r="D441" s="141" t="s">
        <v>6049</v>
      </c>
      <c r="E441" s="76"/>
      <c r="F441" s="76"/>
      <c r="G441" s="76"/>
      <c r="H441" s="76"/>
      <c r="I441" s="76"/>
      <c r="J441" s="76"/>
      <c r="K441" s="76"/>
      <c r="L441" s="76"/>
      <c r="M441" s="76"/>
      <c r="N441" s="76"/>
      <c r="O441" s="76"/>
      <c r="P441" s="76"/>
      <c r="Q441" s="76"/>
      <c r="R441" s="76"/>
      <c r="S441" s="76"/>
      <c r="T441" s="76"/>
      <c r="U441" s="76"/>
      <c r="V441" s="76"/>
      <c r="W441" s="76"/>
      <c r="X441" s="76"/>
      <c r="Y441" s="76"/>
      <c r="Z441" s="76"/>
    </row>
    <row r="442" ht="22.5" customHeight="1">
      <c r="A442" s="140"/>
      <c r="B442" s="141" t="s">
        <v>247</v>
      </c>
      <c r="C442" s="141" t="s">
        <v>6050</v>
      </c>
      <c r="D442" s="141" t="s">
        <v>6051</v>
      </c>
      <c r="E442" s="76"/>
      <c r="F442" s="76"/>
      <c r="G442" s="76"/>
      <c r="H442" s="76"/>
      <c r="I442" s="76"/>
      <c r="J442" s="76"/>
      <c r="K442" s="76"/>
      <c r="L442" s="76"/>
      <c r="M442" s="76"/>
      <c r="N442" s="76"/>
      <c r="O442" s="76"/>
      <c r="P442" s="76"/>
      <c r="Q442" s="76"/>
      <c r="R442" s="76"/>
      <c r="S442" s="76"/>
      <c r="T442" s="76"/>
      <c r="U442" s="76"/>
      <c r="V442" s="76"/>
      <c r="W442" s="76"/>
      <c r="X442" s="76"/>
      <c r="Y442" s="76"/>
      <c r="Z442" s="76"/>
    </row>
    <row r="443" ht="22.5" customHeight="1">
      <c r="A443" s="140"/>
      <c r="B443" s="141" t="s">
        <v>247</v>
      </c>
      <c r="C443" s="141" t="s">
        <v>6052</v>
      </c>
      <c r="D443" s="141" t="s">
        <v>6053</v>
      </c>
      <c r="E443" s="76"/>
      <c r="F443" s="76"/>
      <c r="G443" s="76"/>
      <c r="H443" s="76"/>
      <c r="I443" s="76"/>
      <c r="J443" s="76"/>
      <c r="K443" s="76"/>
      <c r="L443" s="76"/>
      <c r="M443" s="76"/>
      <c r="N443" s="76"/>
      <c r="O443" s="76"/>
      <c r="P443" s="76"/>
      <c r="Q443" s="76"/>
      <c r="R443" s="76"/>
      <c r="S443" s="76"/>
      <c r="T443" s="76"/>
      <c r="U443" s="76"/>
      <c r="V443" s="76"/>
      <c r="W443" s="76"/>
      <c r="X443" s="76"/>
      <c r="Y443" s="76"/>
      <c r="Z443" s="76"/>
    </row>
    <row r="444" ht="22.5" customHeight="1">
      <c r="A444" s="140"/>
      <c r="B444" s="141" t="s">
        <v>247</v>
      </c>
      <c r="C444" s="141" t="s">
        <v>6054</v>
      </c>
      <c r="D444" s="141" t="s">
        <v>6055</v>
      </c>
      <c r="E444" s="76"/>
      <c r="F444" s="76"/>
      <c r="G444" s="76"/>
      <c r="H444" s="76"/>
      <c r="I444" s="76"/>
      <c r="J444" s="76"/>
      <c r="K444" s="76"/>
      <c r="L444" s="76"/>
      <c r="M444" s="76"/>
      <c r="N444" s="76"/>
      <c r="O444" s="76"/>
      <c r="P444" s="76"/>
      <c r="Q444" s="76"/>
      <c r="R444" s="76"/>
      <c r="S444" s="76"/>
      <c r="T444" s="76"/>
      <c r="U444" s="76"/>
      <c r="V444" s="76"/>
      <c r="W444" s="76"/>
      <c r="X444" s="76"/>
      <c r="Y444" s="76"/>
      <c r="Z444" s="76"/>
    </row>
    <row r="445" ht="22.5" customHeight="1">
      <c r="A445" s="140"/>
      <c r="B445" s="141" t="s">
        <v>247</v>
      </c>
      <c r="C445" s="141" t="s">
        <v>6056</v>
      </c>
      <c r="D445" s="141" t="s">
        <v>6057</v>
      </c>
      <c r="E445" s="76"/>
      <c r="F445" s="76"/>
      <c r="G445" s="76"/>
      <c r="H445" s="76"/>
      <c r="I445" s="76"/>
      <c r="J445" s="76"/>
      <c r="K445" s="76"/>
      <c r="L445" s="76"/>
      <c r="M445" s="76"/>
      <c r="N445" s="76"/>
      <c r="O445" s="76"/>
      <c r="P445" s="76"/>
      <c r="Q445" s="76"/>
      <c r="R445" s="76"/>
      <c r="S445" s="76"/>
      <c r="T445" s="76"/>
      <c r="U445" s="76"/>
      <c r="V445" s="76"/>
      <c r="W445" s="76"/>
      <c r="X445" s="76"/>
      <c r="Y445" s="76"/>
      <c r="Z445" s="76"/>
    </row>
    <row r="446" ht="22.5" customHeight="1">
      <c r="A446" s="140"/>
      <c r="B446" s="141" t="s">
        <v>247</v>
      </c>
      <c r="C446" s="141" t="s">
        <v>6058</v>
      </c>
      <c r="D446" s="141" t="s">
        <v>6059</v>
      </c>
      <c r="E446" s="76"/>
      <c r="F446" s="76"/>
      <c r="G446" s="76"/>
      <c r="H446" s="76"/>
      <c r="I446" s="76"/>
      <c r="J446" s="76"/>
      <c r="K446" s="76"/>
      <c r="L446" s="76"/>
      <c r="M446" s="76"/>
      <c r="N446" s="76"/>
      <c r="O446" s="76"/>
      <c r="P446" s="76"/>
      <c r="Q446" s="76"/>
      <c r="R446" s="76"/>
      <c r="S446" s="76"/>
      <c r="T446" s="76"/>
      <c r="U446" s="76"/>
      <c r="V446" s="76"/>
      <c r="W446" s="76"/>
      <c r="X446" s="76"/>
      <c r="Y446" s="76"/>
      <c r="Z446" s="76"/>
    </row>
    <row r="447" ht="22.5" customHeight="1">
      <c r="A447" s="140"/>
      <c r="B447" s="141" t="s">
        <v>247</v>
      </c>
      <c r="C447" s="141" t="s">
        <v>6060</v>
      </c>
      <c r="D447" s="141" t="s">
        <v>6061</v>
      </c>
      <c r="E447" s="76"/>
      <c r="F447" s="76"/>
      <c r="G447" s="76"/>
      <c r="H447" s="76"/>
      <c r="I447" s="76"/>
      <c r="J447" s="76"/>
      <c r="K447" s="76"/>
      <c r="L447" s="76"/>
      <c r="M447" s="76"/>
      <c r="N447" s="76"/>
      <c r="O447" s="76"/>
      <c r="P447" s="76"/>
      <c r="Q447" s="76"/>
      <c r="R447" s="76"/>
      <c r="S447" s="76"/>
      <c r="T447" s="76"/>
      <c r="U447" s="76"/>
      <c r="V447" s="76"/>
      <c r="W447" s="76"/>
      <c r="X447" s="76"/>
      <c r="Y447" s="76"/>
      <c r="Z447" s="76"/>
    </row>
    <row r="448" ht="22.5" customHeight="1">
      <c r="A448" s="140"/>
      <c r="B448" s="141" t="s">
        <v>247</v>
      </c>
      <c r="C448" s="141" t="s">
        <v>6062</v>
      </c>
      <c r="D448" s="141" t="s">
        <v>6063</v>
      </c>
      <c r="E448" s="76"/>
      <c r="F448" s="76"/>
      <c r="G448" s="76"/>
      <c r="H448" s="76"/>
      <c r="I448" s="76"/>
      <c r="J448" s="76"/>
      <c r="K448" s="76"/>
      <c r="L448" s="76"/>
      <c r="M448" s="76"/>
      <c r="N448" s="76"/>
      <c r="O448" s="76"/>
      <c r="P448" s="76"/>
      <c r="Q448" s="76"/>
      <c r="R448" s="76"/>
      <c r="S448" s="76"/>
      <c r="T448" s="76"/>
      <c r="U448" s="76"/>
      <c r="V448" s="76"/>
      <c r="W448" s="76"/>
      <c r="X448" s="76"/>
      <c r="Y448" s="76"/>
      <c r="Z448" s="76"/>
    </row>
    <row r="449" ht="22.5" customHeight="1">
      <c r="A449" s="140"/>
      <c r="B449" s="141" t="s">
        <v>247</v>
      </c>
      <c r="C449" s="141" t="s">
        <v>6064</v>
      </c>
      <c r="D449" s="141" t="s">
        <v>6065</v>
      </c>
      <c r="E449" s="76"/>
      <c r="F449" s="76"/>
      <c r="G449" s="76"/>
      <c r="H449" s="76"/>
      <c r="I449" s="76"/>
      <c r="J449" s="76"/>
      <c r="K449" s="76"/>
      <c r="L449" s="76"/>
      <c r="M449" s="76"/>
      <c r="N449" s="76"/>
      <c r="O449" s="76"/>
      <c r="P449" s="76"/>
      <c r="Q449" s="76"/>
      <c r="R449" s="76"/>
      <c r="S449" s="76"/>
      <c r="T449" s="76"/>
      <c r="U449" s="76"/>
      <c r="V449" s="76"/>
      <c r="W449" s="76"/>
      <c r="X449" s="76"/>
      <c r="Y449" s="76"/>
      <c r="Z449" s="76"/>
    </row>
    <row r="450" ht="22.5" customHeight="1">
      <c r="A450" s="140"/>
      <c r="B450" s="141" t="s">
        <v>247</v>
      </c>
      <c r="C450" s="141" t="s">
        <v>6066</v>
      </c>
      <c r="D450" s="141" t="s">
        <v>6067</v>
      </c>
      <c r="E450" s="76"/>
      <c r="F450" s="76"/>
      <c r="G450" s="76"/>
      <c r="H450" s="76"/>
      <c r="I450" s="76"/>
      <c r="J450" s="76"/>
      <c r="K450" s="76"/>
      <c r="L450" s="76"/>
      <c r="M450" s="76"/>
      <c r="N450" s="76"/>
      <c r="O450" s="76"/>
      <c r="P450" s="76"/>
      <c r="Q450" s="76"/>
      <c r="R450" s="76"/>
      <c r="S450" s="76"/>
      <c r="T450" s="76"/>
      <c r="U450" s="76"/>
      <c r="V450" s="76"/>
      <c r="W450" s="76"/>
      <c r="X450" s="76"/>
      <c r="Y450" s="76"/>
      <c r="Z450" s="76"/>
    </row>
    <row r="451" ht="22.5" customHeight="1">
      <c r="A451" s="140"/>
      <c r="B451" s="141" t="s">
        <v>247</v>
      </c>
      <c r="C451" s="141" t="s">
        <v>6068</v>
      </c>
      <c r="D451" s="141" t="s">
        <v>6069</v>
      </c>
      <c r="E451" s="76"/>
      <c r="F451" s="76"/>
      <c r="G451" s="76"/>
      <c r="H451" s="76"/>
      <c r="I451" s="76"/>
      <c r="J451" s="76"/>
      <c r="K451" s="76"/>
      <c r="L451" s="76"/>
      <c r="M451" s="76"/>
      <c r="N451" s="76"/>
      <c r="O451" s="76"/>
      <c r="P451" s="76"/>
      <c r="Q451" s="76"/>
      <c r="R451" s="76"/>
      <c r="S451" s="76"/>
      <c r="T451" s="76"/>
      <c r="U451" s="76"/>
      <c r="V451" s="76"/>
      <c r="W451" s="76"/>
      <c r="X451" s="76"/>
      <c r="Y451" s="76"/>
      <c r="Z451" s="76"/>
    </row>
    <row r="452" ht="22.5" customHeight="1">
      <c r="A452" s="140"/>
      <c r="B452" s="141" t="s">
        <v>247</v>
      </c>
      <c r="C452" s="141" t="s">
        <v>6070</v>
      </c>
      <c r="D452" s="141" t="s">
        <v>6071</v>
      </c>
      <c r="E452" s="76"/>
      <c r="F452" s="76"/>
      <c r="G452" s="76"/>
      <c r="H452" s="76"/>
      <c r="I452" s="76"/>
      <c r="J452" s="76"/>
      <c r="K452" s="76"/>
      <c r="L452" s="76"/>
      <c r="M452" s="76"/>
      <c r="N452" s="76"/>
      <c r="O452" s="76"/>
      <c r="P452" s="76"/>
      <c r="Q452" s="76"/>
      <c r="R452" s="76"/>
      <c r="S452" s="76"/>
      <c r="T452" s="76"/>
      <c r="U452" s="76"/>
      <c r="V452" s="76"/>
      <c r="W452" s="76"/>
      <c r="X452" s="76"/>
      <c r="Y452" s="76"/>
      <c r="Z452" s="76"/>
    </row>
    <row r="453" ht="22.5" customHeight="1">
      <c r="A453" s="140"/>
      <c r="B453" s="141" t="s">
        <v>247</v>
      </c>
      <c r="C453" s="141" t="s">
        <v>6072</v>
      </c>
      <c r="D453" s="141" t="s">
        <v>6073</v>
      </c>
      <c r="E453" s="76"/>
      <c r="F453" s="76"/>
      <c r="G453" s="76"/>
      <c r="H453" s="76"/>
      <c r="I453" s="76"/>
      <c r="J453" s="76"/>
      <c r="K453" s="76"/>
      <c r="L453" s="76"/>
      <c r="M453" s="76"/>
      <c r="N453" s="76"/>
      <c r="O453" s="76"/>
      <c r="P453" s="76"/>
      <c r="Q453" s="76"/>
      <c r="R453" s="76"/>
      <c r="S453" s="76"/>
      <c r="T453" s="76"/>
      <c r="U453" s="76"/>
      <c r="V453" s="76"/>
      <c r="W453" s="76"/>
      <c r="X453" s="76"/>
      <c r="Y453" s="76"/>
      <c r="Z453" s="76"/>
    </row>
    <row r="454" ht="22.5" customHeight="1">
      <c r="A454" s="140"/>
      <c r="B454" s="141" t="s">
        <v>247</v>
      </c>
      <c r="C454" s="141" t="s">
        <v>6074</v>
      </c>
      <c r="D454" s="141" t="s">
        <v>6075</v>
      </c>
      <c r="E454" s="76"/>
      <c r="F454" s="76"/>
      <c r="G454" s="76"/>
      <c r="H454" s="76"/>
      <c r="I454" s="76"/>
      <c r="J454" s="76"/>
      <c r="K454" s="76"/>
      <c r="L454" s="76"/>
      <c r="M454" s="76"/>
      <c r="N454" s="76"/>
      <c r="O454" s="76"/>
      <c r="P454" s="76"/>
      <c r="Q454" s="76"/>
      <c r="R454" s="76"/>
      <c r="S454" s="76"/>
      <c r="T454" s="76"/>
      <c r="U454" s="76"/>
      <c r="V454" s="76"/>
      <c r="W454" s="76"/>
      <c r="X454" s="76"/>
      <c r="Y454" s="76"/>
      <c r="Z454" s="76"/>
    </row>
    <row r="455" ht="22.5" customHeight="1">
      <c r="A455" s="140"/>
      <c r="B455" s="141" t="s">
        <v>247</v>
      </c>
      <c r="C455" s="141" t="s">
        <v>6076</v>
      </c>
      <c r="D455" s="141" t="s">
        <v>6077</v>
      </c>
      <c r="E455" s="76"/>
      <c r="F455" s="76"/>
      <c r="G455" s="76"/>
      <c r="H455" s="76"/>
      <c r="I455" s="76"/>
      <c r="J455" s="76"/>
      <c r="K455" s="76"/>
      <c r="L455" s="76"/>
      <c r="M455" s="76"/>
      <c r="N455" s="76"/>
      <c r="O455" s="76"/>
      <c r="P455" s="76"/>
      <c r="Q455" s="76"/>
      <c r="R455" s="76"/>
      <c r="S455" s="76"/>
      <c r="T455" s="76"/>
      <c r="U455" s="76"/>
      <c r="V455" s="76"/>
      <c r="W455" s="76"/>
      <c r="X455" s="76"/>
      <c r="Y455" s="76"/>
      <c r="Z455" s="76"/>
    </row>
    <row r="456" ht="22.5" customHeight="1">
      <c r="A456" s="140"/>
      <c r="B456" s="141" t="s">
        <v>247</v>
      </c>
      <c r="C456" s="141" t="s">
        <v>6078</v>
      </c>
      <c r="D456" s="141" t="s">
        <v>6079</v>
      </c>
      <c r="E456" s="76"/>
      <c r="F456" s="76"/>
      <c r="G456" s="76"/>
      <c r="H456" s="76"/>
      <c r="I456" s="76"/>
      <c r="J456" s="76"/>
      <c r="K456" s="76"/>
      <c r="L456" s="76"/>
      <c r="M456" s="76"/>
      <c r="N456" s="76"/>
      <c r="O456" s="76"/>
      <c r="P456" s="76"/>
      <c r="Q456" s="76"/>
      <c r="R456" s="76"/>
      <c r="S456" s="76"/>
      <c r="T456" s="76"/>
      <c r="U456" s="76"/>
      <c r="V456" s="76"/>
      <c r="W456" s="76"/>
      <c r="X456" s="76"/>
      <c r="Y456" s="76"/>
      <c r="Z456" s="76"/>
    </row>
    <row r="457" ht="22.5" customHeight="1">
      <c r="A457" s="140"/>
      <c r="B457" s="141" t="s">
        <v>247</v>
      </c>
      <c r="C457" s="141" t="s">
        <v>6080</v>
      </c>
      <c r="D457" s="141" t="s">
        <v>6081</v>
      </c>
      <c r="E457" s="76"/>
      <c r="F457" s="76"/>
      <c r="G457" s="76"/>
      <c r="H457" s="76"/>
      <c r="I457" s="76"/>
      <c r="J457" s="76"/>
      <c r="K457" s="76"/>
      <c r="L457" s="76"/>
      <c r="M457" s="76"/>
      <c r="N457" s="76"/>
      <c r="O457" s="76"/>
      <c r="P457" s="76"/>
      <c r="Q457" s="76"/>
      <c r="R457" s="76"/>
      <c r="S457" s="76"/>
      <c r="T457" s="76"/>
      <c r="U457" s="76"/>
      <c r="V457" s="76"/>
      <c r="W457" s="76"/>
      <c r="X457" s="76"/>
      <c r="Y457" s="76"/>
      <c r="Z457" s="76"/>
    </row>
    <row r="458" ht="22.5" customHeight="1">
      <c r="A458" s="140"/>
      <c r="B458" s="141" t="s">
        <v>247</v>
      </c>
      <c r="C458" s="141" t="s">
        <v>6082</v>
      </c>
      <c r="D458" s="141" t="s">
        <v>6083</v>
      </c>
      <c r="E458" s="76"/>
      <c r="F458" s="76"/>
      <c r="G458" s="76"/>
      <c r="H458" s="76"/>
      <c r="I458" s="76"/>
      <c r="J458" s="76"/>
      <c r="K458" s="76"/>
      <c r="L458" s="76"/>
      <c r="M458" s="76"/>
      <c r="N458" s="76"/>
      <c r="O458" s="76"/>
      <c r="P458" s="76"/>
      <c r="Q458" s="76"/>
      <c r="R458" s="76"/>
      <c r="S458" s="76"/>
      <c r="T458" s="76"/>
      <c r="U458" s="76"/>
      <c r="V458" s="76"/>
      <c r="W458" s="76"/>
      <c r="X458" s="76"/>
      <c r="Y458" s="76"/>
      <c r="Z458" s="76"/>
    </row>
    <row r="459" ht="22.5" customHeight="1">
      <c r="A459" s="140"/>
      <c r="B459" s="141" t="s">
        <v>247</v>
      </c>
      <c r="C459" s="141" t="s">
        <v>6084</v>
      </c>
      <c r="D459" s="141" t="s">
        <v>6085</v>
      </c>
      <c r="E459" s="76"/>
      <c r="F459" s="76"/>
      <c r="G459" s="76"/>
      <c r="H459" s="76"/>
      <c r="I459" s="76"/>
      <c r="J459" s="76"/>
      <c r="K459" s="76"/>
      <c r="L459" s="76"/>
      <c r="M459" s="76"/>
      <c r="N459" s="76"/>
      <c r="O459" s="76"/>
      <c r="P459" s="76"/>
      <c r="Q459" s="76"/>
      <c r="R459" s="76"/>
      <c r="S459" s="76"/>
      <c r="T459" s="76"/>
      <c r="U459" s="76"/>
      <c r="V459" s="76"/>
      <c r="W459" s="76"/>
      <c r="X459" s="76"/>
      <c r="Y459" s="76"/>
      <c r="Z459" s="76"/>
    </row>
    <row r="460" ht="22.5" customHeight="1">
      <c r="A460" s="140"/>
      <c r="B460" s="141" t="s">
        <v>247</v>
      </c>
      <c r="C460" s="141" t="s">
        <v>6086</v>
      </c>
      <c r="D460" s="141" t="s">
        <v>6087</v>
      </c>
      <c r="E460" s="76"/>
      <c r="F460" s="76"/>
      <c r="G460" s="76"/>
      <c r="H460" s="76"/>
      <c r="I460" s="76"/>
      <c r="J460" s="76"/>
      <c r="K460" s="76"/>
      <c r="L460" s="76"/>
      <c r="M460" s="76"/>
      <c r="N460" s="76"/>
      <c r="O460" s="76"/>
      <c r="P460" s="76"/>
      <c r="Q460" s="76"/>
      <c r="R460" s="76"/>
      <c r="S460" s="76"/>
      <c r="T460" s="76"/>
      <c r="U460" s="76"/>
      <c r="V460" s="76"/>
      <c r="W460" s="76"/>
      <c r="X460" s="76"/>
      <c r="Y460" s="76"/>
      <c r="Z460" s="76"/>
    </row>
    <row r="461" ht="22.5" customHeight="1">
      <c r="A461" s="140"/>
      <c r="B461" s="141" t="s">
        <v>247</v>
      </c>
      <c r="C461" s="141" t="s">
        <v>6088</v>
      </c>
      <c r="D461" s="141" t="s">
        <v>6089</v>
      </c>
      <c r="E461" s="76"/>
      <c r="F461" s="76"/>
      <c r="G461" s="76"/>
      <c r="H461" s="76"/>
      <c r="I461" s="76"/>
      <c r="J461" s="76"/>
      <c r="K461" s="76"/>
      <c r="L461" s="76"/>
      <c r="M461" s="76"/>
      <c r="N461" s="76"/>
      <c r="O461" s="76"/>
      <c r="P461" s="76"/>
      <c r="Q461" s="76"/>
      <c r="R461" s="76"/>
      <c r="S461" s="76"/>
      <c r="T461" s="76"/>
      <c r="U461" s="76"/>
      <c r="V461" s="76"/>
      <c r="W461" s="76"/>
      <c r="X461" s="76"/>
      <c r="Y461" s="76"/>
      <c r="Z461" s="76"/>
    </row>
    <row r="462" ht="22.5" customHeight="1">
      <c r="A462" s="140"/>
      <c r="B462" s="141" t="s">
        <v>247</v>
      </c>
      <c r="C462" s="141" t="s">
        <v>6090</v>
      </c>
      <c r="D462" s="141" t="s">
        <v>6091</v>
      </c>
      <c r="E462" s="76"/>
      <c r="F462" s="76"/>
      <c r="G462" s="76"/>
      <c r="H462" s="76"/>
      <c r="I462" s="76"/>
      <c r="J462" s="76"/>
      <c r="K462" s="76"/>
      <c r="L462" s="76"/>
      <c r="M462" s="76"/>
      <c r="N462" s="76"/>
      <c r="O462" s="76"/>
      <c r="P462" s="76"/>
      <c r="Q462" s="76"/>
      <c r="R462" s="76"/>
      <c r="S462" s="76"/>
      <c r="T462" s="76"/>
      <c r="U462" s="76"/>
      <c r="V462" s="76"/>
      <c r="W462" s="76"/>
      <c r="X462" s="76"/>
      <c r="Y462" s="76"/>
      <c r="Z462" s="76"/>
    </row>
    <row r="463" ht="22.5" customHeight="1">
      <c r="A463" s="140"/>
      <c r="B463" s="141" t="s">
        <v>247</v>
      </c>
      <c r="C463" s="141" t="s">
        <v>6092</v>
      </c>
      <c r="D463" s="141" t="s">
        <v>6093</v>
      </c>
      <c r="E463" s="76"/>
      <c r="F463" s="76"/>
      <c r="G463" s="76"/>
      <c r="H463" s="76"/>
      <c r="I463" s="76"/>
      <c r="J463" s="76"/>
      <c r="K463" s="76"/>
      <c r="L463" s="76"/>
      <c r="M463" s="76"/>
      <c r="N463" s="76"/>
      <c r="O463" s="76"/>
      <c r="P463" s="76"/>
      <c r="Q463" s="76"/>
      <c r="R463" s="76"/>
      <c r="S463" s="76"/>
      <c r="T463" s="76"/>
      <c r="U463" s="76"/>
      <c r="V463" s="76"/>
      <c r="W463" s="76"/>
      <c r="X463" s="76"/>
      <c r="Y463" s="76"/>
      <c r="Z463" s="76"/>
    </row>
    <row r="464" ht="22.5" customHeight="1">
      <c r="A464" s="140"/>
      <c r="B464" s="141" t="s">
        <v>247</v>
      </c>
      <c r="C464" s="141" t="s">
        <v>6094</v>
      </c>
      <c r="D464" s="141" t="s">
        <v>6095</v>
      </c>
      <c r="E464" s="76"/>
      <c r="F464" s="76"/>
      <c r="G464" s="76"/>
      <c r="H464" s="76"/>
      <c r="I464" s="76"/>
      <c r="J464" s="76"/>
      <c r="K464" s="76"/>
      <c r="L464" s="76"/>
      <c r="M464" s="76"/>
      <c r="N464" s="76"/>
      <c r="O464" s="76"/>
      <c r="P464" s="76"/>
      <c r="Q464" s="76"/>
      <c r="R464" s="76"/>
      <c r="S464" s="76"/>
      <c r="T464" s="76"/>
      <c r="U464" s="76"/>
      <c r="V464" s="76"/>
      <c r="W464" s="76"/>
      <c r="X464" s="76"/>
      <c r="Y464" s="76"/>
      <c r="Z464" s="76"/>
    </row>
    <row r="465" ht="22.5" customHeight="1">
      <c r="A465" s="140"/>
      <c r="B465" s="141" t="s">
        <v>247</v>
      </c>
      <c r="C465" s="141" t="s">
        <v>6096</v>
      </c>
      <c r="D465" s="141" t="s">
        <v>6097</v>
      </c>
      <c r="E465" s="76"/>
      <c r="F465" s="76"/>
      <c r="G465" s="76"/>
      <c r="H465" s="76"/>
      <c r="I465" s="76"/>
      <c r="J465" s="76"/>
      <c r="K465" s="76"/>
      <c r="L465" s="76"/>
      <c r="M465" s="76"/>
      <c r="N465" s="76"/>
      <c r="O465" s="76"/>
      <c r="P465" s="76"/>
      <c r="Q465" s="76"/>
      <c r="R465" s="76"/>
      <c r="S465" s="76"/>
      <c r="T465" s="76"/>
      <c r="U465" s="76"/>
      <c r="V465" s="76"/>
      <c r="W465" s="76"/>
      <c r="X465" s="76"/>
      <c r="Y465" s="76"/>
      <c r="Z465" s="76"/>
    </row>
    <row r="466" ht="22.5" customHeight="1">
      <c r="A466" s="140"/>
      <c r="B466" s="141" t="s">
        <v>247</v>
      </c>
      <c r="C466" s="141" t="s">
        <v>6098</v>
      </c>
      <c r="D466" s="141" t="s">
        <v>6099</v>
      </c>
      <c r="E466" s="76"/>
      <c r="F466" s="76"/>
      <c r="G466" s="76"/>
      <c r="H466" s="76"/>
      <c r="I466" s="76"/>
      <c r="J466" s="76"/>
      <c r="K466" s="76"/>
      <c r="L466" s="76"/>
      <c r="M466" s="76"/>
      <c r="N466" s="76"/>
      <c r="O466" s="76"/>
      <c r="P466" s="76"/>
      <c r="Q466" s="76"/>
      <c r="R466" s="76"/>
      <c r="S466" s="76"/>
      <c r="T466" s="76"/>
      <c r="U466" s="76"/>
      <c r="V466" s="76"/>
      <c r="W466" s="76"/>
      <c r="X466" s="76"/>
      <c r="Y466" s="76"/>
      <c r="Z466" s="76"/>
    </row>
    <row r="467" ht="22.5" customHeight="1">
      <c r="A467" s="140"/>
      <c r="B467" s="141" t="s">
        <v>247</v>
      </c>
      <c r="C467" s="141" t="s">
        <v>6100</v>
      </c>
      <c r="D467" s="141" t="s">
        <v>6101</v>
      </c>
      <c r="E467" s="76"/>
      <c r="F467" s="76"/>
      <c r="G467" s="76"/>
      <c r="H467" s="76"/>
      <c r="I467" s="76"/>
      <c r="J467" s="76"/>
      <c r="K467" s="76"/>
      <c r="L467" s="76"/>
      <c r="M467" s="76"/>
      <c r="N467" s="76"/>
      <c r="O467" s="76"/>
      <c r="P467" s="76"/>
      <c r="Q467" s="76"/>
      <c r="R467" s="76"/>
      <c r="S467" s="76"/>
      <c r="T467" s="76"/>
      <c r="U467" s="76"/>
      <c r="V467" s="76"/>
      <c r="W467" s="76"/>
      <c r="X467" s="76"/>
      <c r="Y467" s="76"/>
      <c r="Z467" s="76"/>
    </row>
    <row r="468" ht="22.5" customHeight="1">
      <c r="A468" s="140"/>
      <c r="B468" s="141" t="s">
        <v>247</v>
      </c>
      <c r="C468" s="141" t="s">
        <v>6102</v>
      </c>
      <c r="D468" s="141" t="s">
        <v>6103</v>
      </c>
      <c r="E468" s="76"/>
      <c r="F468" s="76"/>
      <c r="G468" s="76"/>
      <c r="H468" s="76"/>
      <c r="I468" s="76"/>
      <c r="J468" s="76"/>
      <c r="K468" s="76"/>
      <c r="L468" s="76"/>
      <c r="M468" s="76"/>
      <c r="N468" s="76"/>
      <c r="O468" s="76"/>
      <c r="P468" s="76"/>
      <c r="Q468" s="76"/>
      <c r="R468" s="76"/>
      <c r="S468" s="76"/>
      <c r="T468" s="76"/>
      <c r="U468" s="76"/>
      <c r="V468" s="76"/>
      <c r="W468" s="76"/>
      <c r="X468" s="76"/>
      <c r="Y468" s="76"/>
      <c r="Z468" s="76"/>
    </row>
    <row r="469" ht="22.5" customHeight="1">
      <c r="A469" s="140"/>
      <c r="B469" s="141" t="s">
        <v>247</v>
      </c>
      <c r="C469" s="141" t="s">
        <v>6104</v>
      </c>
      <c r="D469" s="141" t="s">
        <v>6105</v>
      </c>
      <c r="E469" s="76"/>
      <c r="F469" s="76"/>
      <c r="G469" s="76"/>
      <c r="H469" s="76"/>
      <c r="I469" s="76"/>
      <c r="J469" s="76"/>
      <c r="K469" s="76"/>
      <c r="L469" s="76"/>
      <c r="M469" s="76"/>
      <c r="N469" s="76"/>
      <c r="O469" s="76"/>
      <c r="P469" s="76"/>
      <c r="Q469" s="76"/>
      <c r="R469" s="76"/>
      <c r="S469" s="76"/>
      <c r="T469" s="76"/>
      <c r="U469" s="76"/>
      <c r="V469" s="76"/>
      <c r="W469" s="76"/>
      <c r="X469" s="76"/>
      <c r="Y469" s="76"/>
      <c r="Z469" s="76"/>
    </row>
    <row r="470" ht="22.5" customHeight="1">
      <c r="A470" s="140"/>
      <c r="B470" s="141" t="s">
        <v>247</v>
      </c>
      <c r="C470" s="141" t="s">
        <v>6106</v>
      </c>
      <c r="D470" s="141" t="s">
        <v>6107</v>
      </c>
      <c r="E470" s="76"/>
      <c r="F470" s="76"/>
      <c r="G470" s="76"/>
      <c r="H470" s="76"/>
      <c r="I470" s="76"/>
      <c r="J470" s="76"/>
      <c r="K470" s="76"/>
      <c r="L470" s="76"/>
      <c r="M470" s="76"/>
      <c r="N470" s="76"/>
      <c r="O470" s="76"/>
      <c r="P470" s="76"/>
      <c r="Q470" s="76"/>
      <c r="R470" s="76"/>
      <c r="S470" s="76"/>
      <c r="T470" s="76"/>
      <c r="U470" s="76"/>
      <c r="V470" s="76"/>
      <c r="W470" s="76"/>
      <c r="X470" s="76"/>
      <c r="Y470" s="76"/>
      <c r="Z470" s="76"/>
    </row>
    <row r="471" ht="22.5" customHeight="1">
      <c r="A471" s="140"/>
      <c r="B471" s="141" t="s">
        <v>247</v>
      </c>
      <c r="C471" s="141" t="s">
        <v>6108</v>
      </c>
      <c r="D471" s="141" t="s">
        <v>6109</v>
      </c>
      <c r="E471" s="76"/>
      <c r="F471" s="76"/>
      <c r="G471" s="76"/>
      <c r="H471" s="76"/>
      <c r="I471" s="76"/>
      <c r="J471" s="76"/>
      <c r="K471" s="76"/>
      <c r="L471" s="76"/>
      <c r="M471" s="76"/>
      <c r="N471" s="76"/>
      <c r="O471" s="76"/>
      <c r="P471" s="76"/>
      <c r="Q471" s="76"/>
      <c r="R471" s="76"/>
      <c r="S471" s="76"/>
      <c r="T471" s="76"/>
      <c r="U471" s="76"/>
      <c r="V471" s="76"/>
      <c r="W471" s="76"/>
      <c r="X471" s="76"/>
      <c r="Y471" s="76"/>
      <c r="Z471" s="76"/>
    </row>
    <row r="472" ht="22.5" customHeight="1">
      <c r="A472" s="140"/>
      <c r="B472" s="141" t="s">
        <v>247</v>
      </c>
      <c r="C472" s="141" t="s">
        <v>6110</v>
      </c>
      <c r="D472" s="141" t="s">
        <v>6111</v>
      </c>
      <c r="E472" s="76"/>
      <c r="F472" s="76"/>
      <c r="G472" s="76"/>
      <c r="H472" s="76"/>
      <c r="I472" s="76"/>
      <c r="J472" s="76"/>
      <c r="K472" s="76"/>
      <c r="L472" s="76"/>
      <c r="M472" s="76"/>
      <c r="N472" s="76"/>
      <c r="O472" s="76"/>
      <c r="P472" s="76"/>
      <c r="Q472" s="76"/>
      <c r="R472" s="76"/>
      <c r="S472" s="76"/>
      <c r="T472" s="76"/>
      <c r="U472" s="76"/>
      <c r="V472" s="76"/>
      <c r="W472" s="76"/>
      <c r="X472" s="76"/>
      <c r="Y472" s="76"/>
      <c r="Z472" s="76"/>
    </row>
    <row r="473" ht="22.5" customHeight="1">
      <c r="A473" s="140"/>
      <c r="B473" s="141" t="s">
        <v>247</v>
      </c>
      <c r="C473" s="141" t="s">
        <v>6112</v>
      </c>
      <c r="D473" s="141" t="s">
        <v>6113</v>
      </c>
      <c r="E473" s="76"/>
      <c r="F473" s="76"/>
      <c r="G473" s="76"/>
      <c r="H473" s="76"/>
      <c r="I473" s="76"/>
      <c r="J473" s="76"/>
      <c r="K473" s="76"/>
      <c r="L473" s="76"/>
      <c r="M473" s="76"/>
      <c r="N473" s="76"/>
      <c r="O473" s="76"/>
      <c r="P473" s="76"/>
      <c r="Q473" s="76"/>
      <c r="R473" s="76"/>
      <c r="S473" s="76"/>
      <c r="T473" s="76"/>
      <c r="U473" s="76"/>
      <c r="V473" s="76"/>
      <c r="W473" s="76"/>
      <c r="X473" s="76"/>
      <c r="Y473" s="76"/>
      <c r="Z473" s="76"/>
    </row>
    <row r="474" ht="22.5" customHeight="1">
      <c r="A474" s="140"/>
      <c r="B474" s="141" t="s">
        <v>247</v>
      </c>
      <c r="C474" s="141" t="s">
        <v>6114</v>
      </c>
      <c r="D474" s="141" t="s">
        <v>6115</v>
      </c>
      <c r="E474" s="76"/>
      <c r="F474" s="76"/>
      <c r="G474" s="76"/>
      <c r="H474" s="76"/>
      <c r="I474" s="76"/>
      <c r="J474" s="76"/>
      <c r="K474" s="76"/>
      <c r="L474" s="76"/>
      <c r="M474" s="76"/>
      <c r="N474" s="76"/>
      <c r="O474" s="76"/>
      <c r="P474" s="76"/>
      <c r="Q474" s="76"/>
      <c r="R474" s="76"/>
      <c r="S474" s="76"/>
      <c r="T474" s="76"/>
      <c r="U474" s="76"/>
      <c r="V474" s="76"/>
      <c r="W474" s="76"/>
      <c r="X474" s="76"/>
      <c r="Y474" s="76"/>
      <c r="Z474" s="76"/>
    </row>
    <row r="475" ht="22.5" customHeight="1">
      <c r="A475" s="140"/>
      <c r="B475" s="141" t="s">
        <v>247</v>
      </c>
      <c r="C475" s="141" t="s">
        <v>6116</v>
      </c>
      <c r="D475" s="141" t="s">
        <v>6117</v>
      </c>
      <c r="E475" s="76"/>
      <c r="F475" s="76"/>
      <c r="G475" s="76"/>
      <c r="H475" s="76"/>
      <c r="I475" s="76"/>
      <c r="J475" s="76"/>
      <c r="K475" s="76"/>
      <c r="L475" s="76"/>
      <c r="M475" s="76"/>
      <c r="N475" s="76"/>
      <c r="O475" s="76"/>
      <c r="P475" s="76"/>
      <c r="Q475" s="76"/>
      <c r="R475" s="76"/>
      <c r="S475" s="76"/>
      <c r="T475" s="76"/>
      <c r="U475" s="76"/>
      <c r="V475" s="76"/>
      <c r="W475" s="76"/>
      <c r="X475" s="76"/>
      <c r="Y475" s="76"/>
      <c r="Z475" s="76"/>
    </row>
    <row r="476" ht="22.5" customHeight="1">
      <c r="A476" s="140"/>
      <c r="B476" s="141" t="s">
        <v>247</v>
      </c>
      <c r="C476" s="141" t="s">
        <v>6118</v>
      </c>
      <c r="D476" s="141" t="s">
        <v>6119</v>
      </c>
      <c r="E476" s="76"/>
      <c r="F476" s="76"/>
      <c r="G476" s="76"/>
      <c r="H476" s="76"/>
      <c r="I476" s="76"/>
      <c r="J476" s="76"/>
      <c r="K476" s="76"/>
      <c r="L476" s="76"/>
      <c r="M476" s="76"/>
      <c r="N476" s="76"/>
      <c r="O476" s="76"/>
      <c r="P476" s="76"/>
      <c r="Q476" s="76"/>
      <c r="R476" s="76"/>
      <c r="S476" s="76"/>
      <c r="T476" s="76"/>
      <c r="U476" s="76"/>
      <c r="V476" s="76"/>
      <c r="W476" s="76"/>
      <c r="X476" s="76"/>
      <c r="Y476" s="76"/>
      <c r="Z476" s="76"/>
    </row>
    <row r="477" ht="22.5" customHeight="1">
      <c r="A477" s="140"/>
      <c r="B477" s="141" t="s">
        <v>247</v>
      </c>
      <c r="C477" s="141" t="s">
        <v>6120</v>
      </c>
      <c r="D477" s="141" t="s">
        <v>6121</v>
      </c>
      <c r="E477" s="76"/>
      <c r="F477" s="76"/>
      <c r="G477" s="76"/>
      <c r="H477" s="76"/>
      <c r="I477" s="76"/>
      <c r="J477" s="76"/>
      <c r="K477" s="76"/>
      <c r="L477" s="76"/>
      <c r="M477" s="76"/>
      <c r="N477" s="76"/>
      <c r="O477" s="76"/>
      <c r="P477" s="76"/>
      <c r="Q477" s="76"/>
      <c r="R477" s="76"/>
      <c r="S477" s="76"/>
      <c r="T477" s="76"/>
      <c r="U477" s="76"/>
      <c r="V477" s="76"/>
      <c r="W477" s="76"/>
      <c r="X477" s="76"/>
      <c r="Y477" s="76"/>
      <c r="Z477" s="76"/>
    </row>
    <row r="478" ht="22.5" customHeight="1">
      <c r="A478" s="140"/>
      <c r="B478" s="141" t="s">
        <v>247</v>
      </c>
      <c r="C478" s="141" t="s">
        <v>6122</v>
      </c>
      <c r="D478" s="141" t="s">
        <v>6123</v>
      </c>
      <c r="E478" s="76"/>
      <c r="F478" s="76"/>
      <c r="G478" s="76"/>
      <c r="H478" s="76"/>
      <c r="I478" s="76"/>
      <c r="J478" s="76"/>
      <c r="K478" s="76"/>
      <c r="L478" s="76"/>
      <c r="M478" s="76"/>
      <c r="N478" s="76"/>
      <c r="O478" s="76"/>
      <c r="P478" s="76"/>
      <c r="Q478" s="76"/>
      <c r="R478" s="76"/>
      <c r="S478" s="76"/>
      <c r="T478" s="76"/>
      <c r="U478" s="76"/>
      <c r="V478" s="76"/>
      <c r="W478" s="76"/>
      <c r="X478" s="76"/>
      <c r="Y478" s="76"/>
      <c r="Z478" s="76"/>
    </row>
    <row r="479" ht="22.5" customHeight="1">
      <c r="A479" s="140"/>
      <c r="B479" s="141" t="s">
        <v>247</v>
      </c>
      <c r="C479" s="141" t="s">
        <v>6124</v>
      </c>
      <c r="D479" s="141" t="s">
        <v>6125</v>
      </c>
      <c r="E479" s="76"/>
      <c r="F479" s="76"/>
      <c r="G479" s="76"/>
      <c r="H479" s="76"/>
      <c r="I479" s="76"/>
      <c r="J479" s="76"/>
      <c r="K479" s="76"/>
      <c r="L479" s="76"/>
      <c r="M479" s="76"/>
      <c r="N479" s="76"/>
      <c r="O479" s="76"/>
      <c r="P479" s="76"/>
      <c r="Q479" s="76"/>
      <c r="R479" s="76"/>
      <c r="S479" s="76"/>
      <c r="T479" s="76"/>
      <c r="U479" s="76"/>
      <c r="V479" s="76"/>
      <c r="W479" s="76"/>
      <c r="X479" s="76"/>
      <c r="Y479" s="76"/>
      <c r="Z479" s="76"/>
    </row>
    <row r="480" ht="22.5" customHeight="1">
      <c r="A480" s="140"/>
      <c r="B480" s="141" t="s">
        <v>247</v>
      </c>
      <c r="C480" s="141" t="s">
        <v>6126</v>
      </c>
      <c r="D480" s="141" t="s">
        <v>6127</v>
      </c>
      <c r="E480" s="76"/>
      <c r="F480" s="76"/>
      <c r="G480" s="76"/>
      <c r="H480" s="76"/>
      <c r="I480" s="76"/>
      <c r="J480" s="76"/>
      <c r="K480" s="76"/>
      <c r="L480" s="76"/>
      <c r="M480" s="76"/>
      <c r="N480" s="76"/>
      <c r="O480" s="76"/>
      <c r="P480" s="76"/>
      <c r="Q480" s="76"/>
      <c r="R480" s="76"/>
      <c r="S480" s="76"/>
      <c r="T480" s="76"/>
      <c r="U480" s="76"/>
      <c r="V480" s="76"/>
      <c r="W480" s="76"/>
      <c r="X480" s="76"/>
      <c r="Y480" s="76"/>
      <c r="Z480" s="76"/>
    </row>
    <row r="481" ht="22.5" customHeight="1">
      <c r="A481" s="140"/>
      <c r="B481" s="141" t="s">
        <v>247</v>
      </c>
      <c r="C481" s="141" t="s">
        <v>6128</v>
      </c>
      <c r="D481" s="141" t="s">
        <v>6129</v>
      </c>
      <c r="E481" s="76"/>
      <c r="F481" s="76"/>
      <c r="G481" s="76"/>
      <c r="H481" s="76"/>
      <c r="I481" s="76"/>
      <c r="J481" s="76"/>
      <c r="K481" s="76"/>
      <c r="L481" s="76"/>
      <c r="M481" s="76"/>
      <c r="N481" s="76"/>
      <c r="O481" s="76"/>
      <c r="P481" s="76"/>
      <c r="Q481" s="76"/>
      <c r="R481" s="76"/>
      <c r="S481" s="76"/>
      <c r="T481" s="76"/>
      <c r="U481" s="76"/>
      <c r="V481" s="76"/>
      <c r="W481" s="76"/>
      <c r="X481" s="76"/>
      <c r="Y481" s="76"/>
      <c r="Z481" s="76"/>
    </row>
    <row r="482" ht="22.5" customHeight="1">
      <c r="A482" s="140"/>
      <c r="B482" s="141" t="s">
        <v>247</v>
      </c>
      <c r="C482" s="141" t="s">
        <v>6130</v>
      </c>
      <c r="D482" s="141" t="s">
        <v>6131</v>
      </c>
      <c r="E482" s="76"/>
      <c r="F482" s="76"/>
      <c r="G482" s="76"/>
      <c r="H482" s="76"/>
      <c r="I482" s="76"/>
      <c r="J482" s="76"/>
      <c r="K482" s="76"/>
      <c r="L482" s="76"/>
      <c r="M482" s="76"/>
      <c r="N482" s="76"/>
      <c r="O482" s="76"/>
      <c r="P482" s="76"/>
      <c r="Q482" s="76"/>
      <c r="R482" s="76"/>
      <c r="S482" s="76"/>
      <c r="T482" s="76"/>
      <c r="U482" s="76"/>
      <c r="V482" s="76"/>
      <c r="W482" s="76"/>
      <c r="X482" s="76"/>
      <c r="Y482" s="76"/>
      <c r="Z482" s="76"/>
    </row>
    <row r="483" ht="22.5" customHeight="1">
      <c r="A483" s="140"/>
      <c r="B483" s="141" t="s">
        <v>247</v>
      </c>
      <c r="C483" s="141" t="s">
        <v>6132</v>
      </c>
      <c r="D483" s="141" t="s">
        <v>6133</v>
      </c>
      <c r="E483" s="76"/>
      <c r="F483" s="76"/>
      <c r="G483" s="76"/>
      <c r="H483" s="76"/>
      <c r="I483" s="76"/>
      <c r="J483" s="76"/>
      <c r="K483" s="76"/>
      <c r="L483" s="76"/>
      <c r="M483" s="76"/>
      <c r="N483" s="76"/>
      <c r="O483" s="76"/>
      <c r="P483" s="76"/>
      <c r="Q483" s="76"/>
      <c r="R483" s="76"/>
      <c r="S483" s="76"/>
      <c r="T483" s="76"/>
      <c r="U483" s="76"/>
      <c r="V483" s="76"/>
      <c r="W483" s="76"/>
      <c r="X483" s="76"/>
      <c r="Y483" s="76"/>
      <c r="Z483" s="76"/>
    </row>
    <row r="484" ht="22.5" customHeight="1">
      <c r="A484" s="140"/>
      <c r="B484" s="141" t="s">
        <v>247</v>
      </c>
      <c r="C484" s="141" t="s">
        <v>6134</v>
      </c>
      <c r="D484" s="141" t="s">
        <v>6135</v>
      </c>
      <c r="E484" s="76"/>
      <c r="F484" s="76"/>
      <c r="G484" s="76"/>
      <c r="H484" s="76"/>
      <c r="I484" s="76"/>
      <c r="J484" s="76"/>
      <c r="K484" s="76"/>
      <c r="L484" s="76"/>
      <c r="M484" s="76"/>
      <c r="N484" s="76"/>
      <c r="O484" s="76"/>
      <c r="P484" s="76"/>
      <c r="Q484" s="76"/>
      <c r="R484" s="76"/>
      <c r="S484" s="76"/>
      <c r="T484" s="76"/>
      <c r="U484" s="76"/>
      <c r="V484" s="76"/>
      <c r="W484" s="76"/>
      <c r="X484" s="76"/>
      <c r="Y484" s="76"/>
      <c r="Z484" s="76"/>
    </row>
    <row r="485" ht="22.5" customHeight="1">
      <c r="A485" s="140"/>
      <c r="B485" s="141" t="s">
        <v>247</v>
      </c>
      <c r="C485" s="141" t="s">
        <v>6136</v>
      </c>
      <c r="D485" s="141" t="s">
        <v>6137</v>
      </c>
      <c r="E485" s="76"/>
      <c r="F485" s="76"/>
      <c r="G485" s="76"/>
      <c r="H485" s="76"/>
      <c r="I485" s="76"/>
      <c r="J485" s="76"/>
      <c r="K485" s="76"/>
      <c r="L485" s="76"/>
      <c r="M485" s="76"/>
      <c r="N485" s="76"/>
      <c r="O485" s="76"/>
      <c r="P485" s="76"/>
      <c r="Q485" s="76"/>
      <c r="R485" s="76"/>
      <c r="S485" s="76"/>
      <c r="T485" s="76"/>
      <c r="U485" s="76"/>
      <c r="V485" s="76"/>
      <c r="W485" s="76"/>
      <c r="X485" s="76"/>
      <c r="Y485" s="76"/>
      <c r="Z485" s="76"/>
    </row>
    <row r="486" ht="22.5" customHeight="1">
      <c r="A486" s="140"/>
      <c r="B486" s="141" t="s">
        <v>247</v>
      </c>
      <c r="C486" s="141" t="s">
        <v>6138</v>
      </c>
      <c r="D486" s="141" t="s">
        <v>6139</v>
      </c>
      <c r="E486" s="76"/>
      <c r="F486" s="76"/>
      <c r="G486" s="76"/>
      <c r="H486" s="76"/>
      <c r="I486" s="76"/>
      <c r="J486" s="76"/>
      <c r="K486" s="76"/>
      <c r="L486" s="76"/>
      <c r="M486" s="76"/>
      <c r="N486" s="76"/>
      <c r="O486" s="76"/>
      <c r="P486" s="76"/>
      <c r="Q486" s="76"/>
      <c r="R486" s="76"/>
      <c r="S486" s="76"/>
      <c r="T486" s="76"/>
      <c r="U486" s="76"/>
      <c r="V486" s="76"/>
      <c r="W486" s="76"/>
      <c r="X486" s="76"/>
      <c r="Y486" s="76"/>
      <c r="Z486" s="76"/>
    </row>
    <row r="487" ht="22.5" customHeight="1">
      <c r="A487" s="140"/>
      <c r="B487" s="141" t="s">
        <v>247</v>
      </c>
      <c r="C487" s="141" t="s">
        <v>6140</v>
      </c>
      <c r="D487" s="141" t="s">
        <v>6141</v>
      </c>
      <c r="E487" s="76"/>
      <c r="F487" s="76"/>
      <c r="G487" s="76"/>
      <c r="H487" s="76"/>
      <c r="I487" s="76"/>
      <c r="J487" s="76"/>
      <c r="K487" s="76"/>
      <c r="L487" s="76"/>
      <c r="M487" s="76"/>
      <c r="N487" s="76"/>
      <c r="O487" s="76"/>
      <c r="P487" s="76"/>
      <c r="Q487" s="76"/>
      <c r="R487" s="76"/>
      <c r="S487" s="76"/>
      <c r="T487" s="76"/>
      <c r="U487" s="76"/>
      <c r="V487" s="76"/>
      <c r="W487" s="76"/>
      <c r="X487" s="76"/>
      <c r="Y487" s="76"/>
      <c r="Z487" s="76"/>
    </row>
    <row r="488" ht="22.5" customHeight="1">
      <c r="A488" s="140"/>
      <c r="B488" s="141" t="s">
        <v>247</v>
      </c>
      <c r="C488" s="141" t="s">
        <v>6142</v>
      </c>
      <c r="D488" s="141" t="s">
        <v>6143</v>
      </c>
      <c r="E488" s="76"/>
      <c r="F488" s="76"/>
      <c r="G488" s="76"/>
      <c r="H488" s="76"/>
      <c r="I488" s="76"/>
      <c r="J488" s="76"/>
      <c r="K488" s="76"/>
      <c r="L488" s="76"/>
      <c r="M488" s="76"/>
      <c r="N488" s="76"/>
      <c r="O488" s="76"/>
      <c r="P488" s="76"/>
      <c r="Q488" s="76"/>
      <c r="R488" s="76"/>
      <c r="S488" s="76"/>
      <c r="T488" s="76"/>
      <c r="U488" s="76"/>
      <c r="V488" s="76"/>
      <c r="W488" s="76"/>
      <c r="X488" s="76"/>
      <c r="Y488" s="76"/>
      <c r="Z488" s="76"/>
    </row>
    <row r="489" ht="22.5" customHeight="1">
      <c r="A489" s="140"/>
      <c r="B489" s="141" t="s">
        <v>247</v>
      </c>
      <c r="C489" s="141" t="s">
        <v>6144</v>
      </c>
      <c r="D489" s="141" t="s">
        <v>6145</v>
      </c>
      <c r="E489" s="76"/>
      <c r="F489" s="76"/>
      <c r="G489" s="76"/>
      <c r="H489" s="76"/>
      <c r="I489" s="76"/>
      <c r="J489" s="76"/>
      <c r="K489" s="76"/>
      <c r="L489" s="76"/>
      <c r="M489" s="76"/>
      <c r="N489" s="76"/>
      <c r="O489" s="76"/>
      <c r="P489" s="76"/>
      <c r="Q489" s="76"/>
      <c r="R489" s="76"/>
      <c r="S489" s="76"/>
      <c r="T489" s="76"/>
      <c r="U489" s="76"/>
      <c r="V489" s="76"/>
      <c r="W489" s="76"/>
      <c r="X489" s="76"/>
      <c r="Y489" s="76"/>
      <c r="Z489" s="76"/>
    </row>
    <row r="490" ht="22.5" customHeight="1">
      <c r="A490" s="140"/>
      <c r="B490" s="141" t="s">
        <v>247</v>
      </c>
      <c r="C490" s="141" t="s">
        <v>6146</v>
      </c>
      <c r="D490" s="141" t="s">
        <v>6147</v>
      </c>
      <c r="E490" s="76"/>
      <c r="F490" s="76"/>
      <c r="G490" s="76"/>
      <c r="H490" s="76"/>
      <c r="I490" s="76"/>
      <c r="J490" s="76"/>
      <c r="K490" s="76"/>
      <c r="L490" s="76"/>
      <c r="M490" s="76"/>
      <c r="N490" s="76"/>
      <c r="O490" s="76"/>
      <c r="P490" s="76"/>
      <c r="Q490" s="76"/>
      <c r="R490" s="76"/>
      <c r="S490" s="76"/>
      <c r="T490" s="76"/>
      <c r="U490" s="76"/>
      <c r="V490" s="76"/>
      <c r="W490" s="76"/>
      <c r="X490" s="76"/>
      <c r="Y490" s="76"/>
      <c r="Z490" s="76"/>
    </row>
    <row r="491" ht="22.5" customHeight="1">
      <c r="A491" s="140"/>
      <c r="B491" s="141" t="s">
        <v>247</v>
      </c>
      <c r="C491" s="141" t="s">
        <v>6148</v>
      </c>
      <c r="D491" s="141" t="s">
        <v>6149</v>
      </c>
      <c r="E491" s="76"/>
      <c r="F491" s="76"/>
      <c r="G491" s="76"/>
      <c r="H491" s="76"/>
      <c r="I491" s="76"/>
      <c r="J491" s="76"/>
      <c r="K491" s="76"/>
      <c r="L491" s="76"/>
      <c r="M491" s="76"/>
      <c r="N491" s="76"/>
      <c r="O491" s="76"/>
      <c r="P491" s="76"/>
      <c r="Q491" s="76"/>
      <c r="R491" s="76"/>
      <c r="S491" s="76"/>
      <c r="T491" s="76"/>
      <c r="U491" s="76"/>
      <c r="V491" s="76"/>
      <c r="W491" s="76"/>
      <c r="X491" s="76"/>
      <c r="Y491" s="76"/>
      <c r="Z491" s="76"/>
    </row>
    <row r="492" ht="22.5" customHeight="1">
      <c r="A492" s="140"/>
      <c r="B492" s="141" t="s">
        <v>247</v>
      </c>
      <c r="C492" s="141" t="s">
        <v>6150</v>
      </c>
      <c r="D492" s="141" t="s">
        <v>6151</v>
      </c>
      <c r="E492" s="76"/>
      <c r="F492" s="76"/>
      <c r="G492" s="76"/>
      <c r="H492" s="76"/>
      <c r="I492" s="76"/>
      <c r="J492" s="76"/>
      <c r="K492" s="76"/>
      <c r="L492" s="76"/>
      <c r="M492" s="76"/>
      <c r="N492" s="76"/>
      <c r="O492" s="76"/>
      <c r="P492" s="76"/>
      <c r="Q492" s="76"/>
      <c r="R492" s="76"/>
      <c r="S492" s="76"/>
      <c r="T492" s="76"/>
      <c r="U492" s="76"/>
      <c r="V492" s="76"/>
      <c r="W492" s="76"/>
      <c r="X492" s="76"/>
      <c r="Y492" s="76"/>
      <c r="Z492" s="76"/>
    </row>
    <row r="493" ht="22.5" customHeight="1">
      <c r="A493" s="140"/>
      <c r="B493" s="141" t="s">
        <v>247</v>
      </c>
      <c r="C493" s="141" t="s">
        <v>6152</v>
      </c>
      <c r="D493" s="141" t="s">
        <v>6153</v>
      </c>
      <c r="E493" s="76"/>
      <c r="F493" s="76"/>
      <c r="G493" s="76"/>
      <c r="H493" s="76"/>
      <c r="I493" s="76"/>
      <c r="J493" s="76"/>
      <c r="K493" s="76"/>
      <c r="L493" s="76"/>
      <c r="M493" s="76"/>
      <c r="N493" s="76"/>
      <c r="O493" s="76"/>
      <c r="P493" s="76"/>
      <c r="Q493" s="76"/>
      <c r="R493" s="76"/>
      <c r="S493" s="76"/>
      <c r="T493" s="76"/>
      <c r="U493" s="76"/>
      <c r="V493" s="76"/>
      <c r="W493" s="76"/>
      <c r="X493" s="76"/>
      <c r="Y493" s="76"/>
      <c r="Z493" s="76"/>
    </row>
    <row r="494" ht="22.5" customHeight="1">
      <c r="A494" s="140"/>
      <c r="B494" s="141" t="s">
        <v>247</v>
      </c>
      <c r="C494" s="141" t="s">
        <v>6154</v>
      </c>
      <c r="D494" s="141" t="s">
        <v>6155</v>
      </c>
      <c r="E494" s="76"/>
      <c r="F494" s="76"/>
      <c r="G494" s="76"/>
      <c r="H494" s="76"/>
      <c r="I494" s="76"/>
      <c r="J494" s="76"/>
      <c r="K494" s="76"/>
      <c r="L494" s="76"/>
      <c r="M494" s="76"/>
      <c r="N494" s="76"/>
      <c r="O494" s="76"/>
      <c r="P494" s="76"/>
      <c r="Q494" s="76"/>
      <c r="R494" s="76"/>
      <c r="S494" s="76"/>
      <c r="T494" s="76"/>
      <c r="U494" s="76"/>
      <c r="V494" s="76"/>
      <c r="W494" s="76"/>
      <c r="X494" s="76"/>
      <c r="Y494" s="76"/>
      <c r="Z494" s="76"/>
    </row>
    <row r="495" ht="22.5" customHeight="1">
      <c r="A495" s="140"/>
      <c r="B495" s="141" t="s">
        <v>247</v>
      </c>
      <c r="C495" s="141" t="s">
        <v>6156</v>
      </c>
      <c r="D495" s="141" t="s">
        <v>6157</v>
      </c>
      <c r="E495" s="76"/>
      <c r="F495" s="76"/>
      <c r="G495" s="76"/>
      <c r="H495" s="76"/>
      <c r="I495" s="76"/>
      <c r="J495" s="76"/>
      <c r="K495" s="76"/>
      <c r="L495" s="76"/>
      <c r="M495" s="76"/>
      <c r="N495" s="76"/>
      <c r="O495" s="76"/>
      <c r="P495" s="76"/>
      <c r="Q495" s="76"/>
      <c r="R495" s="76"/>
      <c r="S495" s="76"/>
      <c r="T495" s="76"/>
      <c r="U495" s="76"/>
      <c r="V495" s="76"/>
      <c r="W495" s="76"/>
      <c r="X495" s="76"/>
      <c r="Y495" s="76"/>
      <c r="Z495" s="76"/>
    </row>
    <row r="496" ht="22.5" customHeight="1">
      <c r="A496" s="140"/>
      <c r="B496" s="141" t="s">
        <v>247</v>
      </c>
      <c r="C496" s="141" t="s">
        <v>6158</v>
      </c>
      <c r="D496" s="141" t="s">
        <v>6159</v>
      </c>
      <c r="E496" s="76"/>
      <c r="F496" s="76"/>
      <c r="G496" s="76"/>
      <c r="H496" s="76"/>
      <c r="I496" s="76"/>
      <c r="J496" s="76"/>
      <c r="K496" s="76"/>
      <c r="L496" s="76"/>
      <c r="M496" s="76"/>
      <c r="N496" s="76"/>
      <c r="O496" s="76"/>
      <c r="P496" s="76"/>
      <c r="Q496" s="76"/>
      <c r="R496" s="76"/>
      <c r="S496" s="76"/>
      <c r="T496" s="76"/>
      <c r="U496" s="76"/>
      <c r="V496" s="76"/>
      <c r="W496" s="76"/>
      <c r="X496" s="76"/>
      <c r="Y496" s="76"/>
      <c r="Z496" s="76"/>
    </row>
    <row r="497" ht="22.5" customHeight="1">
      <c r="A497" s="140"/>
      <c r="B497" s="141" t="s">
        <v>247</v>
      </c>
      <c r="C497" s="141" t="s">
        <v>6160</v>
      </c>
      <c r="D497" s="141" t="s">
        <v>6161</v>
      </c>
      <c r="E497" s="76"/>
      <c r="F497" s="76"/>
      <c r="G497" s="76"/>
      <c r="H497" s="76"/>
      <c r="I497" s="76"/>
      <c r="J497" s="76"/>
      <c r="K497" s="76"/>
      <c r="L497" s="76"/>
      <c r="M497" s="76"/>
      <c r="N497" s="76"/>
      <c r="O497" s="76"/>
      <c r="P497" s="76"/>
      <c r="Q497" s="76"/>
      <c r="R497" s="76"/>
      <c r="S497" s="76"/>
      <c r="T497" s="76"/>
      <c r="U497" s="76"/>
      <c r="V497" s="76"/>
      <c r="W497" s="76"/>
      <c r="X497" s="76"/>
      <c r="Y497" s="76"/>
      <c r="Z497" s="76"/>
    </row>
    <row r="498" ht="22.5" customHeight="1">
      <c r="A498" s="140"/>
      <c r="B498" s="141" t="s">
        <v>247</v>
      </c>
      <c r="C498" s="141" t="s">
        <v>6162</v>
      </c>
      <c r="D498" s="141" t="s">
        <v>6163</v>
      </c>
      <c r="E498" s="76"/>
      <c r="F498" s="76"/>
      <c r="G498" s="76"/>
      <c r="H498" s="76"/>
      <c r="I498" s="76"/>
      <c r="J498" s="76"/>
      <c r="K498" s="76"/>
      <c r="L498" s="76"/>
      <c r="M498" s="76"/>
      <c r="N498" s="76"/>
      <c r="O498" s="76"/>
      <c r="P498" s="76"/>
      <c r="Q498" s="76"/>
      <c r="R498" s="76"/>
      <c r="S498" s="76"/>
      <c r="T498" s="76"/>
      <c r="U498" s="76"/>
      <c r="V498" s="76"/>
      <c r="W498" s="76"/>
      <c r="X498" s="76"/>
      <c r="Y498" s="76"/>
      <c r="Z498" s="76"/>
    </row>
    <row r="499" ht="22.5" customHeight="1">
      <c r="A499" s="140"/>
      <c r="B499" s="141" t="s">
        <v>247</v>
      </c>
      <c r="C499" s="141" t="s">
        <v>6164</v>
      </c>
      <c r="D499" s="141" t="s">
        <v>6165</v>
      </c>
      <c r="E499" s="76"/>
      <c r="F499" s="76"/>
      <c r="G499" s="76"/>
      <c r="H499" s="76"/>
      <c r="I499" s="76"/>
      <c r="J499" s="76"/>
      <c r="K499" s="76"/>
      <c r="L499" s="76"/>
      <c r="M499" s="76"/>
      <c r="N499" s="76"/>
      <c r="O499" s="76"/>
      <c r="P499" s="76"/>
      <c r="Q499" s="76"/>
      <c r="R499" s="76"/>
      <c r="S499" s="76"/>
      <c r="T499" s="76"/>
      <c r="U499" s="76"/>
      <c r="V499" s="76"/>
      <c r="W499" s="76"/>
      <c r="X499" s="76"/>
      <c r="Y499" s="76"/>
      <c r="Z499" s="76"/>
    </row>
    <row r="500" ht="22.5" customHeight="1">
      <c r="A500" s="140"/>
      <c r="B500" s="141" t="s">
        <v>247</v>
      </c>
      <c r="C500" s="141" t="s">
        <v>6166</v>
      </c>
      <c r="D500" s="141" t="s">
        <v>6167</v>
      </c>
      <c r="E500" s="76"/>
      <c r="F500" s="76"/>
      <c r="G500" s="76"/>
      <c r="H500" s="76"/>
      <c r="I500" s="76"/>
      <c r="J500" s="76"/>
      <c r="K500" s="76"/>
      <c r="L500" s="76"/>
      <c r="M500" s="76"/>
      <c r="N500" s="76"/>
      <c r="O500" s="76"/>
      <c r="P500" s="76"/>
      <c r="Q500" s="76"/>
      <c r="R500" s="76"/>
      <c r="S500" s="76"/>
      <c r="T500" s="76"/>
      <c r="U500" s="76"/>
      <c r="V500" s="76"/>
      <c r="W500" s="76"/>
      <c r="X500" s="76"/>
      <c r="Y500" s="76"/>
      <c r="Z500" s="76"/>
    </row>
    <row r="501" ht="22.5" customHeight="1">
      <c r="A501" s="140"/>
      <c r="B501" s="141" t="s">
        <v>247</v>
      </c>
      <c r="C501" s="141" t="s">
        <v>6168</v>
      </c>
      <c r="D501" s="141" t="s">
        <v>6169</v>
      </c>
      <c r="E501" s="76"/>
      <c r="F501" s="76"/>
      <c r="G501" s="76"/>
      <c r="H501" s="76"/>
      <c r="I501" s="76"/>
      <c r="J501" s="76"/>
      <c r="K501" s="76"/>
      <c r="L501" s="76"/>
      <c r="M501" s="76"/>
      <c r="N501" s="76"/>
      <c r="O501" s="76"/>
      <c r="P501" s="76"/>
      <c r="Q501" s="76"/>
      <c r="R501" s="76"/>
      <c r="S501" s="76"/>
      <c r="T501" s="76"/>
      <c r="U501" s="76"/>
      <c r="V501" s="76"/>
      <c r="W501" s="76"/>
      <c r="X501" s="76"/>
      <c r="Y501" s="76"/>
      <c r="Z501" s="76"/>
    </row>
    <row r="502" ht="22.5" customHeight="1">
      <c r="A502" s="140"/>
      <c r="B502" s="141" t="s">
        <v>247</v>
      </c>
      <c r="C502" s="141" t="s">
        <v>6170</v>
      </c>
      <c r="D502" s="141" t="s">
        <v>6171</v>
      </c>
      <c r="E502" s="76"/>
      <c r="F502" s="76"/>
      <c r="G502" s="76"/>
      <c r="H502" s="76"/>
      <c r="I502" s="76"/>
      <c r="J502" s="76"/>
      <c r="K502" s="76"/>
      <c r="L502" s="76"/>
      <c r="M502" s="76"/>
      <c r="N502" s="76"/>
      <c r="O502" s="76"/>
      <c r="P502" s="76"/>
      <c r="Q502" s="76"/>
      <c r="R502" s="76"/>
      <c r="S502" s="76"/>
      <c r="T502" s="76"/>
      <c r="U502" s="76"/>
      <c r="V502" s="76"/>
      <c r="W502" s="76"/>
      <c r="X502" s="76"/>
      <c r="Y502" s="76"/>
      <c r="Z502" s="76"/>
    </row>
    <row r="503" ht="22.5" customHeight="1">
      <c r="A503" s="140"/>
      <c r="B503" s="141" t="s">
        <v>247</v>
      </c>
      <c r="C503" s="141" t="s">
        <v>6172</v>
      </c>
      <c r="D503" s="141" t="s">
        <v>6173</v>
      </c>
      <c r="E503" s="76"/>
      <c r="F503" s="76"/>
      <c r="G503" s="76"/>
      <c r="H503" s="76"/>
      <c r="I503" s="76"/>
      <c r="J503" s="76"/>
      <c r="K503" s="76"/>
      <c r="L503" s="76"/>
      <c r="M503" s="76"/>
      <c r="N503" s="76"/>
      <c r="O503" s="76"/>
      <c r="P503" s="76"/>
      <c r="Q503" s="76"/>
      <c r="R503" s="76"/>
      <c r="S503" s="76"/>
      <c r="T503" s="76"/>
      <c r="U503" s="76"/>
      <c r="V503" s="76"/>
      <c r="W503" s="76"/>
      <c r="X503" s="76"/>
      <c r="Y503" s="76"/>
      <c r="Z503" s="76"/>
    </row>
    <row r="504" ht="22.5" customHeight="1">
      <c r="A504" s="140"/>
      <c r="B504" s="141" t="s">
        <v>247</v>
      </c>
      <c r="C504" s="141" t="s">
        <v>6174</v>
      </c>
      <c r="D504" s="141" t="s">
        <v>6175</v>
      </c>
      <c r="E504" s="76"/>
      <c r="F504" s="76"/>
      <c r="G504" s="76"/>
      <c r="H504" s="76"/>
      <c r="I504" s="76"/>
      <c r="J504" s="76"/>
      <c r="K504" s="76"/>
      <c r="L504" s="76"/>
      <c r="M504" s="76"/>
      <c r="N504" s="76"/>
      <c r="O504" s="76"/>
      <c r="P504" s="76"/>
      <c r="Q504" s="76"/>
      <c r="R504" s="76"/>
      <c r="S504" s="76"/>
      <c r="T504" s="76"/>
      <c r="U504" s="76"/>
      <c r="V504" s="76"/>
      <c r="W504" s="76"/>
      <c r="X504" s="76"/>
      <c r="Y504" s="76"/>
      <c r="Z504" s="76"/>
    </row>
    <row r="505" ht="22.5" customHeight="1">
      <c r="A505" s="140"/>
      <c r="B505" s="141" t="s">
        <v>247</v>
      </c>
      <c r="C505" s="141" t="s">
        <v>6176</v>
      </c>
      <c r="D505" s="141" t="s">
        <v>6177</v>
      </c>
      <c r="E505" s="76"/>
      <c r="F505" s="76"/>
      <c r="G505" s="76"/>
      <c r="H505" s="76"/>
      <c r="I505" s="76"/>
      <c r="J505" s="76"/>
      <c r="K505" s="76"/>
      <c r="L505" s="76"/>
      <c r="M505" s="76"/>
      <c r="N505" s="76"/>
      <c r="O505" s="76"/>
      <c r="P505" s="76"/>
      <c r="Q505" s="76"/>
      <c r="R505" s="76"/>
      <c r="S505" s="76"/>
      <c r="T505" s="76"/>
      <c r="U505" s="76"/>
      <c r="V505" s="76"/>
      <c r="W505" s="76"/>
      <c r="X505" s="76"/>
      <c r="Y505" s="76"/>
      <c r="Z505" s="76"/>
    </row>
    <row r="506" ht="22.5" customHeight="1">
      <c r="A506" s="140"/>
      <c r="B506" s="141" t="s">
        <v>247</v>
      </c>
      <c r="C506" s="141" t="s">
        <v>6178</v>
      </c>
      <c r="D506" s="141" t="s">
        <v>6179</v>
      </c>
      <c r="E506" s="76"/>
      <c r="F506" s="76"/>
      <c r="G506" s="76"/>
      <c r="H506" s="76"/>
      <c r="I506" s="76"/>
      <c r="J506" s="76"/>
      <c r="K506" s="76"/>
      <c r="L506" s="76"/>
      <c r="M506" s="76"/>
      <c r="N506" s="76"/>
      <c r="O506" s="76"/>
      <c r="P506" s="76"/>
      <c r="Q506" s="76"/>
      <c r="R506" s="76"/>
      <c r="S506" s="76"/>
      <c r="T506" s="76"/>
      <c r="U506" s="76"/>
      <c r="V506" s="76"/>
      <c r="W506" s="76"/>
      <c r="X506" s="76"/>
      <c r="Y506" s="76"/>
      <c r="Z506" s="76"/>
    </row>
    <row r="507" ht="22.5" customHeight="1">
      <c r="A507" s="140"/>
      <c r="B507" s="141" t="s">
        <v>247</v>
      </c>
      <c r="C507" s="141" t="s">
        <v>6180</v>
      </c>
      <c r="D507" s="141" t="s">
        <v>6181</v>
      </c>
      <c r="E507" s="76"/>
      <c r="F507" s="76"/>
      <c r="G507" s="76"/>
      <c r="H507" s="76"/>
      <c r="I507" s="76"/>
      <c r="J507" s="76"/>
      <c r="K507" s="76"/>
      <c r="L507" s="76"/>
      <c r="M507" s="76"/>
      <c r="N507" s="76"/>
      <c r="O507" s="76"/>
      <c r="P507" s="76"/>
      <c r="Q507" s="76"/>
      <c r="R507" s="76"/>
      <c r="S507" s="76"/>
      <c r="T507" s="76"/>
      <c r="U507" s="76"/>
      <c r="V507" s="76"/>
      <c r="W507" s="76"/>
      <c r="X507" s="76"/>
      <c r="Y507" s="76"/>
      <c r="Z507" s="76"/>
    </row>
    <row r="508" ht="22.5" customHeight="1">
      <c r="A508" s="140"/>
      <c r="B508" s="141" t="s">
        <v>247</v>
      </c>
      <c r="C508" s="141" t="s">
        <v>6182</v>
      </c>
      <c r="D508" s="141" t="s">
        <v>6183</v>
      </c>
      <c r="E508" s="76"/>
      <c r="F508" s="76"/>
      <c r="G508" s="76"/>
      <c r="H508" s="76"/>
      <c r="I508" s="76"/>
      <c r="J508" s="76"/>
      <c r="K508" s="76"/>
      <c r="L508" s="76"/>
      <c r="M508" s="76"/>
      <c r="N508" s="76"/>
      <c r="O508" s="76"/>
      <c r="P508" s="76"/>
      <c r="Q508" s="76"/>
      <c r="R508" s="76"/>
      <c r="S508" s="76"/>
      <c r="T508" s="76"/>
      <c r="U508" s="76"/>
      <c r="V508" s="76"/>
      <c r="W508" s="76"/>
      <c r="X508" s="76"/>
      <c r="Y508" s="76"/>
      <c r="Z508" s="76"/>
    </row>
    <row r="509" ht="22.5" customHeight="1">
      <c r="A509" s="140"/>
      <c r="B509" s="141" t="s">
        <v>247</v>
      </c>
      <c r="C509" s="141" t="s">
        <v>6184</v>
      </c>
      <c r="D509" s="141" t="s">
        <v>6185</v>
      </c>
      <c r="E509" s="76"/>
      <c r="F509" s="76"/>
      <c r="G509" s="76"/>
      <c r="H509" s="76"/>
      <c r="I509" s="76"/>
      <c r="J509" s="76"/>
      <c r="K509" s="76"/>
      <c r="L509" s="76"/>
      <c r="M509" s="76"/>
      <c r="N509" s="76"/>
      <c r="O509" s="76"/>
      <c r="P509" s="76"/>
      <c r="Q509" s="76"/>
      <c r="R509" s="76"/>
      <c r="S509" s="76"/>
      <c r="T509" s="76"/>
      <c r="U509" s="76"/>
      <c r="V509" s="76"/>
      <c r="W509" s="76"/>
      <c r="X509" s="76"/>
      <c r="Y509" s="76"/>
      <c r="Z509" s="76"/>
    </row>
    <row r="510" ht="22.5" customHeight="1">
      <c r="A510" s="140"/>
      <c r="B510" s="141" t="s">
        <v>247</v>
      </c>
      <c r="C510" s="141" t="s">
        <v>6186</v>
      </c>
      <c r="D510" s="141" t="s">
        <v>6187</v>
      </c>
      <c r="E510" s="76"/>
      <c r="F510" s="76"/>
      <c r="G510" s="76"/>
      <c r="H510" s="76"/>
      <c r="I510" s="76"/>
      <c r="J510" s="76"/>
      <c r="K510" s="76"/>
      <c r="L510" s="76"/>
      <c r="M510" s="76"/>
      <c r="N510" s="76"/>
      <c r="O510" s="76"/>
      <c r="P510" s="76"/>
      <c r="Q510" s="76"/>
      <c r="R510" s="76"/>
      <c r="S510" s="76"/>
      <c r="T510" s="76"/>
      <c r="U510" s="76"/>
      <c r="V510" s="76"/>
      <c r="W510" s="76"/>
      <c r="X510" s="76"/>
      <c r="Y510" s="76"/>
      <c r="Z510" s="76"/>
    </row>
    <row r="511" ht="22.5" customHeight="1">
      <c r="A511" s="140"/>
      <c r="B511" s="141" t="s">
        <v>247</v>
      </c>
      <c r="C511" s="141" t="s">
        <v>6188</v>
      </c>
      <c r="D511" s="141" t="s">
        <v>6189</v>
      </c>
      <c r="E511" s="76"/>
      <c r="F511" s="76"/>
      <c r="G511" s="76"/>
      <c r="H511" s="76"/>
      <c r="I511" s="76"/>
      <c r="J511" s="76"/>
      <c r="K511" s="76"/>
      <c r="L511" s="76"/>
      <c r="M511" s="76"/>
      <c r="N511" s="76"/>
      <c r="O511" s="76"/>
      <c r="P511" s="76"/>
      <c r="Q511" s="76"/>
      <c r="R511" s="76"/>
      <c r="S511" s="76"/>
      <c r="T511" s="76"/>
      <c r="U511" s="76"/>
      <c r="V511" s="76"/>
      <c r="W511" s="76"/>
      <c r="X511" s="76"/>
      <c r="Y511" s="76"/>
      <c r="Z511" s="76"/>
    </row>
    <row r="512" ht="22.5" customHeight="1">
      <c r="A512" s="140"/>
      <c r="B512" s="141" t="s">
        <v>247</v>
      </c>
      <c r="C512" s="141" t="s">
        <v>6190</v>
      </c>
      <c r="D512" s="141" t="s">
        <v>6191</v>
      </c>
      <c r="E512" s="76"/>
      <c r="F512" s="76"/>
      <c r="G512" s="76"/>
      <c r="H512" s="76"/>
      <c r="I512" s="76"/>
      <c r="J512" s="76"/>
      <c r="K512" s="76"/>
      <c r="L512" s="76"/>
      <c r="M512" s="76"/>
      <c r="N512" s="76"/>
      <c r="O512" s="76"/>
      <c r="P512" s="76"/>
      <c r="Q512" s="76"/>
      <c r="R512" s="76"/>
      <c r="S512" s="76"/>
      <c r="T512" s="76"/>
      <c r="U512" s="76"/>
      <c r="V512" s="76"/>
      <c r="W512" s="76"/>
      <c r="X512" s="76"/>
      <c r="Y512" s="76"/>
      <c r="Z512" s="76"/>
    </row>
    <row r="513" ht="22.5" customHeight="1">
      <c r="A513" s="140"/>
      <c r="B513" s="141" t="s">
        <v>247</v>
      </c>
      <c r="C513" s="141" t="s">
        <v>6192</v>
      </c>
      <c r="D513" s="141" t="s">
        <v>6193</v>
      </c>
      <c r="E513" s="76"/>
      <c r="F513" s="76"/>
      <c r="G513" s="76"/>
      <c r="H513" s="76"/>
      <c r="I513" s="76"/>
      <c r="J513" s="76"/>
      <c r="K513" s="76"/>
      <c r="L513" s="76"/>
      <c r="M513" s="76"/>
      <c r="N513" s="76"/>
      <c r="O513" s="76"/>
      <c r="P513" s="76"/>
      <c r="Q513" s="76"/>
      <c r="R513" s="76"/>
      <c r="S513" s="76"/>
      <c r="T513" s="76"/>
      <c r="U513" s="76"/>
      <c r="V513" s="76"/>
      <c r="W513" s="76"/>
      <c r="X513" s="76"/>
      <c r="Y513" s="76"/>
      <c r="Z513" s="76"/>
    </row>
    <row r="514" ht="22.5" customHeight="1">
      <c r="A514" s="140"/>
      <c r="B514" s="141" t="s">
        <v>247</v>
      </c>
      <c r="C514" s="141" t="s">
        <v>6194</v>
      </c>
      <c r="D514" s="141" t="s">
        <v>6195</v>
      </c>
      <c r="E514" s="76"/>
      <c r="F514" s="76"/>
      <c r="G514" s="76"/>
      <c r="H514" s="76"/>
      <c r="I514" s="76"/>
      <c r="J514" s="76"/>
      <c r="K514" s="76"/>
      <c r="L514" s="76"/>
      <c r="M514" s="76"/>
      <c r="N514" s="76"/>
      <c r="O514" s="76"/>
      <c r="P514" s="76"/>
      <c r="Q514" s="76"/>
      <c r="R514" s="76"/>
      <c r="S514" s="76"/>
      <c r="T514" s="76"/>
      <c r="U514" s="76"/>
      <c r="V514" s="76"/>
      <c r="W514" s="76"/>
      <c r="X514" s="76"/>
      <c r="Y514" s="76"/>
      <c r="Z514" s="76"/>
    </row>
    <row r="515" ht="22.5" customHeight="1">
      <c r="A515" s="140"/>
      <c r="B515" s="141" t="s">
        <v>247</v>
      </c>
      <c r="C515" s="141" t="s">
        <v>6196</v>
      </c>
      <c r="D515" s="141" t="s">
        <v>6197</v>
      </c>
      <c r="E515" s="76"/>
      <c r="F515" s="76"/>
      <c r="G515" s="76"/>
      <c r="H515" s="76"/>
      <c r="I515" s="76"/>
      <c r="J515" s="76"/>
      <c r="K515" s="76"/>
      <c r="L515" s="76"/>
      <c r="M515" s="76"/>
      <c r="N515" s="76"/>
      <c r="O515" s="76"/>
      <c r="P515" s="76"/>
      <c r="Q515" s="76"/>
      <c r="R515" s="76"/>
      <c r="S515" s="76"/>
      <c r="T515" s="76"/>
      <c r="U515" s="76"/>
      <c r="V515" s="76"/>
      <c r="W515" s="76"/>
      <c r="X515" s="76"/>
      <c r="Y515" s="76"/>
      <c r="Z515" s="76"/>
    </row>
    <row r="516" ht="22.5" customHeight="1">
      <c r="A516" s="140"/>
      <c r="B516" s="141" t="s">
        <v>247</v>
      </c>
      <c r="C516" s="141" t="s">
        <v>6198</v>
      </c>
      <c r="D516" s="141" t="s">
        <v>6199</v>
      </c>
      <c r="E516" s="76"/>
      <c r="F516" s="76"/>
      <c r="G516" s="76"/>
      <c r="H516" s="76"/>
      <c r="I516" s="76"/>
      <c r="J516" s="76"/>
      <c r="K516" s="76"/>
      <c r="L516" s="76"/>
      <c r="M516" s="76"/>
      <c r="N516" s="76"/>
      <c r="O516" s="76"/>
      <c r="P516" s="76"/>
      <c r="Q516" s="76"/>
      <c r="R516" s="76"/>
      <c r="S516" s="76"/>
      <c r="T516" s="76"/>
      <c r="U516" s="76"/>
      <c r="V516" s="76"/>
      <c r="W516" s="76"/>
      <c r="X516" s="76"/>
      <c r="Y516" s="76"/>
      <c r="Z516" s="76"/>
    </row>
    <row r="517" ht="22.5" customHeight="1">
      <c r="A517" s="140"/>
      <c r="B517" s="141" t="s">
        <v>247</v>
      </c>
      <c r="C517" s="141" t="s">
        <v>6200</v>
      </c>
      <c r="D517" s="141" t="s">
        <v>6201</v>
      </c>
      <c r="E517" s="76"/>
      <c r="F517" s="76"/>
      <c r="G517" s="76"/>
      <c r="H517" s="76"/>
      <c r="I517" s="76"/>
      <c r="J517" s="76"/>
      <c r="K517" s="76"/>
      <c r="L517" s="76"/>
      <c r="M517" s="76"/>
      <c r="N517" s="76"/>
      <c r="O517" s="76"/>
      <c r="P517" s="76"/>
      <c r="Q517" s="76"/>
      <c r="R517" s="76"/>
      <c r="S517" s="76"/>
      <c r="T517" s="76"/>
      <c r="U517" s="76"/>
      <c r="V517" s="76"/>
      <c r="W517" s="76"/>
      <c r="X517" s="76"/>
      <c r="Y517" s="76"/>
      <c r="Z517" s="76"/>
    </row>
    <row r="518" ht="22.5" customHeight="1">
      <c r="A518" s="140"/>
      <c r="B518" s="141" t="s">
        <v>247</v>
      </c>
      <c r="C518" s="141" t="s">
        <v>6202</v>
      </c>
      <c r="D518" s="141" t="s">
        <v>6203</v>
      </c>
      <c r="E518" s="76"/>
      <c r="F518" s="76"/>
      <c r="G518" s="76"/>
      <c r="H518" s="76"/>
      <c r="I518" s="76"/>
      <c r="J518" s="76"/>
      <c r="K518" s="76"/>
      <c r="L518" s="76"/>
      <c r="M518" s="76"/>
      <c r="N518" s="76"/>
      <c r="O518" s="76"/>
      <c r="P518" s="76"/>
      <c r="Q518" s="76"/>
      <c r="R518" s="76"/>
      <c r="S518" s="76"/>
      <c r="T518" s="76"/>
      <c r="U518" s="76"/>
      <c r="V518" s="76"/>
      <c r="W518" s="76"/>
      <c r="X518" s="76"/>
      <c r="Y518" s="76"/>
      <c r="Z518" s="76"/>
    </row>
    <row r="519" ht="22.5" customHeight="1">
      <c r="A519" s="140"/>
      <c r="B519" s="141" t="s">
        <v>247</v>
      </c>
      <c r="C519" s="141" t="s">
        <v>6204</v>
      </c>
      <c r="D519" s="141" t="s">
        <v>6205</v>
      </c>
      <c r="E519" s="76"/>
      <c r="F519" s="76"/>
      <c r="G519" s="76"/>
      <c r="H519" s="76"/>
      <c r="I519" s="76"/>
      <c r="J519" s="76"/>
      <c r="K519" s="76"/>
      <c r="L519" s="76"/>
      <c r="M519" s="76"/>
      <c r="N519" s="76"/>
      <c r="O519" s="76"/>
      <c r="P519" s="76"/>
      <c r="Q519" s="76"/>
      <c r="R519" s="76"/>
      <c r="S519" s="76"/>
      <c r="T519" s="76"/>
      <c r="U519" s="76"/>
      <c r="V519" s="76"/>
      <c r="W519" s="76"/>
      <c r="X519" s="76"/>
      <c r="Y519" s="76"/>
      <c r="Z519" s="76"/>
    </row>
    <row r="520" ht="22.5" customHeight="1">
      <c r="A520" s="140"/>
      <c r="B520" s="141" t="s">
        <v>247</v>
      </c>
      <c r="C520" s="141" t="s">
        <v>6206</v>
      </c>
      <c r="D520" s="141" t="s">
        <v>6207</v>
      </c>
      <c r="E520" s="76"/>
      <c r="F520" s="76"/>
      <c r="G520" s="76"/>
      <c r="H520" s="76"/>
      <c r="I520" s="76"/>
      <c r="J520" s="76"/>
      <c r="K520" s="76"/>
      <c r="L520" s="76"/>
      <c r="M520" s="76"/>
      <c r="N520" s="76"/>
      <c r="O520" s="76"/>
      <c r="P520" s="76"/>
      <c r="Q520" s="76"/>
      <c r="R520" s="76"/>
      <c r="S520" s="76"/>
      <c r="T520" s="76"/>
      <c r="U520" s="76"/>
      <c r="V520" s="76"/>
      <c r="W520" s="76"/>
      <c r="X520" s="76"/>
      <c r="Y520" s="76"/>
      <c r="Z520" s="76"/>
    </row>
    <row r="521" ht="22.5" customHeight="1">
      <c r="A521" s="140"/>
      <c r="B521" s="141" t="s">
        <v>247</v>
      </c>
      <c r="C521" s="141" t="s">
        <v>6208</v>
      </c>
      <c r="D521" s="141" t="s">
        <v>6209</v>
      </c>
      <c r="E521" s="76"/>
      <c r="F521" s="76"/>
      <c r="G521" s="76"/>
      <c r="H521" s="76"/>
      <c r="I521" s="76"/>
      <c r="J521" s="76"/>
      <c r="K521" s="76"/>
      <c r="L521" s="76"/>
      <c r="M521" s="76"/>
      <c r="N521" s="76"/>
      <c r="O521" s="76"/>
      <c r="P521" s="76"/>
      <c r="Q521" s="76"/>
      <c r="R521" s="76"/>
      <c r="S521" s="76"/>
      <c r="T521" s="76"/>
      <c r="U521" s="76"/>
      <c r="V521" s="76"/>
      <c r="W521" s="76"/>
      <c r="X521" s="76"/>
      <c r="Y521" s="76"/>
      <c r="Z521" s="76"/>
    </row>
    <row r="522" ht="22.5" customHeight="1">
      <c r="A522" s="140"/>
      <c r="B522" s="141" t="s">
        <v>247</v>
      </c>
      <c r="C522" s="141" t="s">
        <v>6210</v>
      </c>
      <c r="D522" s="141" t="s">
        <v>6211</v>
      </c>
      <c r="E522" s="76"/>
      <c r="F522" s="76"/>
      <c r="G522" s="76"/>
      <c r="H522" s="76"/>
      <c r="I522" s="76"/>
      <c r="J522" s="76"/>
      <c r="K522" s="76"/>
      <c r="L522" s="76"/>
      <c r="M522" s="76"/>
      <c r="N522" s="76"/>
      <c r="O522" s="76"/>
      <c r="P522" s="76"/>
      <c r="Q522" s="76"/>
      <c r="R522" s="76"/>
      <c r="S522" s="76"/>
      <c r="T522" s="76"/>
      <c r="U522" s="76"/>
      <c r="V522" s="76"/>
      <c r="W522" s="76"/>
      <c r="X522" s="76"/>
      <c r="Y522" s="76"/>
      <c r="Z522" s="76"/>
    </row>
    <row r="523" ht="22.5" customHeight="1">
      <c r="A523" s="140"/>
      <c r="B523" s="141" t="s">
        <v>247</v>
      </c>
      <c r="C523" s="141" t="s">
        <v>6212</v>
      </c>
      <c r="D523" s="141" t="s">
        <v>6213</v>
      </c>
      <c r="E523" s="76"/>
      <c r="F523" s="76"/>
      <c r="G523" s="76"/>
      <c r="H523" s="76"/>
      <c r="I523" s="76"/>
      <c r="J523" s="76"/>
      <c r="K523" s="76"/>
      <c r="L523" s="76"/>
      <c r="M523" s="76"/>
      <c r="N523" s="76"/>
      <c r="O523" s="76"/>
      <c r="P523" s="76"/>
      <c r="Q523" s="76"/>
      <c r="R523" s="76"/>
      <c r="S523" s="76"/>
      <c r="T523" s="76"/>
      <c r="U523" s="76"/>
      <c r="V523" s="76"/>
      <c r="W523" s="76"/>
      <c r="X523" s="76"/>
      <c r="Y523" s="76"/>
      <c r="Z523" s="76"/>
    </row>
    <row r="524" ht="22.5" customHeight="1">
      <c r="A524" s="140"/>
      <c r="B524" s="140"/>
      <c r="C524" s="141" t="s">
        <v>6214</v>
      </c>
      <c r="D524" s="141" t="s">
        <v>6215</v>
      </c>
      <c r="E524" s="76"/>
      <c r="F524" s="76"/>
      <c r="G524" s="76"/>
      <c r="H524" s="76"/>
      <c r="I524" s="76"/>
      <c r="J524" s="76"/>
      <c r="K524" s="76"/>
      <c r="L524" s="76"/>
      <c r="M524" s="76"/>
      <c r="N524" s="76"/>
      <c r="O524" s="76"/>
      <c r="P524" s="76"/>
      <c r="Q524" s="76"/>
      <c r="R524" s="76"/>
      <c r="S524" s="76"/>
      <c r="T524" s="76"/>
      <c r="U524" s="76"/>
      <c r="V524" s="76"/>
      <c r="W524" s="76"/>
      <c r="X524" s="76"/>
      <c r="Y524" s="76"/>
      <c r="Z524" s="76"/>
    </row>
    <row r="525" ht="22.5" customHeight="1">
      <c r="A525" s="140"/>
      <c r="B525" s="140"/>
      <c r="C525" s="141" t="s">
        <v>6216</v>
      </c>
      <c r="D525" s="141" t="s">
        <v>6217</v>
      </c>
      <c r="E525" s="76"/>
      <c r="F525" s="76"/>
      <c r="G525" s="76"/>
      <c r="H525" s="76"/>
      <c r="I525" s="76"/>
      <c r="J525" s="76"/>
      <c r="K525" s="76"/>
      <c r="L525" s="76"/>
      <c r="M525" s="76"/>
      <c r="N525" s="76"/>
      <c r="O525" s="76"/>
      <c r="P525" s="76"/>
      <c r="Q525" s="76"/>
      <c r="R525" s="76"/>
      <c r="S525" s="76"/>
      <c r="T525" s="76"/>
      <c r="U525" s="76"/>
      <c r="V525" s="76"/>
      <c r="W525" s="76"/>
      <c r="X525" s="76"/>
      <c r="Y525" s="76"/>
      <c r="Z525" s="76"/>
    </row>
    <row r="526" ht="22.5" customHeight="1">
      <c r="A526" s="140"/>
      <c r="B526" s="140"/>
      <c r="C526" s="141" t="s">
        <v>6218</v>
      </c>
      <c r="D526" s="141" t="s">
        <v>6219</v>
      </c>
      <c r="E526" s="76"/>
      <c r="F526" s="76"/>
      <c r="G526" s="76"/>
      <c r="H526" s="76"/>
      <c r="I526" s="76"/>
      <c r="J526" s="76"/>
      <c r="K526" s="76"/>
      <c r="L526" s="76"/>
      <c r="M526" s="76"/>
      <c r="N526" s="76"/>
      <c r="O526" s="76"/>
      <c r="P526" s="76"/>
      <c r="Q526" s="76"/>
      <c r="R526" s="76"/>
      <c r="S526" s="76"/>
      <c r="T526" s="76"/>
      <c r="U526" s="76"/>
      <c r="V526" s="76"/>
      <c r="W526" s="76"/>
      <c r="X526" s="76"/>
      <c r="Y526" s="76"/>
      <c r="Z526" s="76"/>
    </row>
    <row r="527" ht="22.5" customHeight="1">
      <c r="A527" s="140"/>
      <c r="B527" s="140"/>
      <c r="C527" s="141" t="s">
        <v>6220</v>
      </c>
      <c r="D527" s="141" t="s">
        <v>6221</v>
      </c>
      <c r="E527" s="76"/>
      <c r="F527" s="76"/>
      <c r="G527" s="76"/>
      <c r="H527" s="76"/>
      <c r="I527" s="76"/>
      <c r="J527" s="76"/>
      <c r="K527" s="76"/>
      <c r="L527" s="76"/>
      <c r="M527" s="76"/>
      <c r="N527" s="76"/>
      <c r="O527" s="76"/>
      <c r="P527" s="76"/>
      <c r="Q527" s="76"/>
      <c r="R527" s="76"/>
      <c r="S527" s="76"/>
      <c r="T527" s="76"/>
      <c r="U527" s="76"/>
      <c r="V527" s="76"/>
      <c r="W527" s="76"/>
      <c r="X527" s="76"/>
      <c r="Y527" s="76"/>
      <c r="Z527" s="76"/>
    </row>
    <row r="528" ht="22.5" customHeight="1">
      <c r="A528" s="140"/>
      <c r="B528" s="140"/>
      <c r="C528" s="141" t="s">
        <v>6222</v>
      </c>
      <c r="D528" s="141" t="s">
        <v>6223</v>
      </c>
      <c r="E528" s="76"/>
      <c r="F528" s="76"/>
      <c r="G528" s="76"/>
      <c r="H528" s="76"/>
      <c r="I528" s="76"/>
      <c r="J528" s="76"/>
      <c r="K528" s="76"/>
      <c r="L528" s="76"/>
      <c r="M528" s="76"/>
      <c r="N528" s="76"/>
      <c r="O528" s="76"/>
      <c r="P528" s="76"/>
      <c r="Q528" s="76"/>
      <c r="R528" s="76"/>
      <c r="S528" s="76"/>
      <c r="T528" s="76"/>
      <c r="U528" s="76"/>
      <c r="V528" s="76"/>
      <c r="W528" s="76"/>
      <c r="X528" s="76"/>
      <c r="Y528" s="76"/>
      <c r="Z528" s="76"/>
    </row>
    <row r="529" ht="22.5" customHeight="1">
      <c r="A529" s="140"/>
      <c r="B529" s="140"/>
      <c r="C529" s="141" t="s">
        <v>6224</v>
      </c>
      <c r="D529" s="141" t="s">
        <v>6225</v>
      </c>
      <c r="E529" s="76"/>
      <c r="F529" s="76"/>
      <c r="G529" s="76"/>
      <c r="H529" s="76"/>
      <c r="I529" s="76"/>
      <c r="J529" s="76"/>
      <c r="K529" s="76"/>
      <c r="L529" s="76"/>
      <c r="M529" s="76"/>
      <c r="N529" s="76"/>
      <c r="O529" s="76"/>
      <c r="P529" s="76"/>
      <c r="Q529" s="76"/>
      <c r="R529" s="76"/>
      <c r="S529" s="76"/>
      <c r="T529" s="76"/>
      <c r="U529" s="76"/>
      <c r="V529" s="76"/>
      <c r="W529" s="76"/>
      <c r="X529" s="76"/>
      <c r="Y529" s="76"/>
      <c r="Z529" s="76"/>
    </row>
    <row r="530" ht="22.5" customHeight="1">
      <c r="A530" s="140"/>
      <c r="B530" s="140"/>
      <c r="C530" s="141" t="s">
        <v>6226</v>
      </c>
      <c r="D530" s="141" t="s">
        <v>6227</v>
      </c>
      <c r="E530" s="76"/>
      <c r="F530" s="76"/>
      <c r="G530" s="76"/>
      <c r="H530" s="76"/>
      <c r="I530" s="76"/>
      <c r="J530" s="76"/>
      <c r="K530" s="76"/>
      <c r="L530" s="76"/>
      <c r="M530" s="76"/>
      <c r="N530" s="76"/>
      <c r="O530" s="76"/>
      <c r="P530" s="76"/>
      <c r="Q530" s="76"/>
      <c r="R530" s="76"/>
      <c r="S530" s="76"/>
      <c r="T530" s="76"/>
      <c r="U530" s="76"/>
      <c r="V530" s="76"/>
      <c r="W530" s="76"/>
      <c r="X530" s="76"/>
      <c r="Y530" s="76"/>
      <c r="Z530" s="76"/>
    </row>
    <row r="531" ht="22.5" customHeight="1">
      <c r="A531" s="140"/>
      <c r="B531" s="140"/>
      <c r="C531" s="141" t="s">
        <v>6228</v>
      </c>
      <c r="D531" s="141" t="s">
        <v>6229</v>
      </c>
      <c r="E531" s="76"/>
      <c r="F531" s="76"/>
      <c r="G531" s="76"/>
      <c r="H531" s="76"/>
      <c r="I531" s="76"/>
      <c r="J531" s="76"/>
      <c r="K531" s="76"/>
      <c r="L531" s="76"/>
      <c r="M531" s="76"/>
      <c r="N531" s="76"/>
      <c r="O531" s="76"/>
      <c r="P531" s="76"/>
      <c r="Q531" s="76"/>
      <c r="R531" s="76"/>
      <c r="S531" s="76"/>
      <c r="T531" s="76"/>
      <c r="U531" s="76"/>
      <c r="V531" s="76"/>
      <c r="W531" s="76"/>
      <c r="X531" s="76"/>
      <c r="Y531" s="76"/>
      <c r="Z531" s="76"/>
    </row>
    <row r="532" ht="22.5" customHeight="1">
      <c r="A532" s="140"/>
      <c r="B532" s="140"/>
      <c r="C532" s="141" t="s">
        <v>6230</v>
      </c>
      <c r="D532" s="141" t="s">
        <v>6231</v>
      </c>
      <c r="E532" s="76"/>
      <c r="F532" s="76"/>
      <c r="G532" s="76"/>
      <c r="H532" s="76"/>
      <c r="I532" s="76"/>
      <c r="J532" s="76"/>
      <c r="K532" s="76"/>
      <c r="L532" s="76"/>
      <c r="M532" s="76"/>
      <c r="N532" s="76"/>
      <c r="O532" s="76"/>
      <c r="P532" s="76"/>
      <c r="Q532" s="76"/>
      <c r="R532" s="76"/>
      <c r="S532" s="76"/>
      <c r="T532" s="76"/>
      <c r="U532" s="76"/>
      <c r="V532" s="76"/>
      <c r="W532" s="76"/>
      <c r="X532" s="76"/>
      <c r="Y532" s="76"/>
      <c r="Z532" s="76"/>
    </row>
    <row r="533" ht="22.5" customHeight="1">
      <c r="A533" s="140"/>
      <c r="B533" s="140"/>
      <c r="C533" s="141" t="s">
        <v>6232</v>
      </c>
      <c r="D533" s="141" t="s">
        <v>6233</v>
      </c>
      <c r="E533" s="76"/>
      <c r="F533" s="76"/>
      <c r="G533" s="76"/>
      <c r="H533" s="76"/>
      <c r="I533" s="76"/>
      <c r="J533" s="76"/>
      <c r="K533" s="76"/>
      <c r="L533" s="76"/>
      <c r="M533" s="76"/>
      <c r="N533" s="76"/>
      <c r="O533" s="76"/>
      <c r="P533" s="76"/>
      <c r="Q533" s="76"/>
      <c r="R533" s="76"/>
      <c r="S533" s="76"/>
      <c r="T533" s="76"/>
      <c r="U533" s="76"/>
      <c r="V533" s="76"/>
      <c r="W533" s="76"/>
      <c r="X533" s="76"/>
      <c r="Y533" s="76"/>
      <c r="Z533" s="76"/>
    </row>
    <row r="534" ht="22.5" customHeight="1">
      <c r="A534" s="140"/>
      <c r="B534" s="140"/>
      <c r="C534" s="141" t="s">
        <v>6234</v>
      </c>
      <c r="D534" s="141" t="s">
        <v>6235</v>
      </c>
      <c r="E534" s="76"/>
      <c r="F534" s="76"/>
      <c r="G534" s="76"/>
      <c r="H534" s="76"/>
      <c r="I534" s="76"/>
      <c r="J534" s="76"/>
      <c r="K534" s="76"/>
      <c r="L534" s="76"/>
      <c r="M534" s="76"/>
      <c r="N534" s="76"/>
      <c r="O534" s="76"/>
      <c r="P534" s="76"/>
      <c r="Q534" s="76"/>
      <c r="R534" s="76"/>
      <c r="S534" s="76"/>
      <c r="T534" s="76"/>
      <c r="U534" s="76"/>
      <c r="V534" s="76"/>
      <c r="W534" s="76"/>
      <c r="X534" s="76"/>
      <c r="Y534" s="76"/>
      <c r="Z534" s="76"/>
    </row>
    <row r="535" ht="22.5" customHeight="1">
      <c r="A535" s="140"/>
      <c r="B535" s="140"/>
      <c r="C535" s="141" t="s">
        <v>6236</v>
      </c>
      <c r="D535" s="141" t="s">
        <v>6237</v>
      </c>
      <c r="E535" s="76"/>
      <c r="F535" s="76"/>
      <c r="G535" s="76"/>
      <c r="H535" s="76"/>
      <c r="I535" s="76"/>
      <c r="J535" s="76"/>
      <c r="K535" s="76"/>
      <c r="L535" s="76"/>
      <c r="M535" s="76"/>
      <c r="N535" s="76"/>
      <c r="O535" s="76"/>
      <c r="P535" s="76"/>
      <c r="Q535" s="76"/>
      <c r="R535" s="76"/>
      <c r="S535" s="76"/>
      <c r="T535" s="76"/>
      <c r="U535" s="76"/>
      <c r="V535" s="76"/>
      <c r="W535" s="76"/>
      <c r="X535" s="76"/>
      <c r="Y535" s="76"/>
      <c r="Z535" s="76"/>
    </row>
    <row r="536" ht="22.5" customHeight="1">
      <c r="A536" s="140"/>
      <c r="B536" s="140"/>
      <c r="C536" s="141" t="s">
        <v>6238</v>
      </c>
      <c r="D536" s="141" t="s">
        <v>6239</v>
      </c>
      <c r="E536" s="76"/>
      <c r="F536" s="76"/>
      <c r="G536" s="76"/>
      <c r="H536" s="76"/>
      <c r="I536" s="76"/>
      <c r="J536" s="76"/>
      <c r="K536" s="76"/>
      <c r="L536" s="76"/>
      <c r="M536" s="76"/>
      <c r="N536" s="76"/>
      <c r="O536" s="76"/>
      <c r="P536" s="76"/>
      <c r="Q536" s="76"/>
      <c r="R536" s="76"/>
      <c r="S536" s="76"/>
      <c r="T536" s="76"/>
      <c r="U536" s="76"/>
      <c r="V536" s="76"/>
      <c r="W536" s="76"/>
      <c r="X536" s="76"/>
      <c r="Y536" s="76"/>
      <c r="Z536" s="76"/>
    </row>
    <row r="537" ht="22.5" customHeight="1">
      <c r="A537" s="140"/>
      <c r="B537" s="140"/>
      <c r="C537" s="141" t="s">
        <v>6240</v>
      </c>
      <c r="D537" s="141" t="s">
        <v>6241</v>
      </c>
      <c r="E537" s="76"/>
      <c r="F537" s="76"/>
      <c r="G537" s="76"/>
      <c r="H537" s="76"/>
      <c r="I537" s="76"/>
      <c r="J537" s="76"/>
      <c r="K537" s="76"/>
      <c r="L537" s="76"/>
      <c r="M537" s="76"/>
      <c r="N537" s="76"/>
      <c r="O537" s="76"/>
      <c r="P537" s="76"/>
      <c r="Q537" s="76"/>
      <c r="R537" s="76"/>
      <c r="S537" s="76"/>
      <c r="T537" s="76"/>
      <c r="U537" s="76"/>
      <c r="V537" s="76"/>
      <c r="W537" s="76"/>
      <c r="X537" s="76"/>
      <c r="Y537" s="76"/>
      <c r="Z537" s="76"/>
    </row>
    <row r="538" ht="22.5" customHeight="1">
      <c r="A538" s="140"/>
      <c r="B538" s="140"/>
      <c r="C538" s="141" t="s">
        <v>6242</v>
      </c>
      <c r="D538" s="141" t="s">
        <v>6243</v>
      </c>
      <c r="E538" s="76"/>
      <c r="F538" s="76"/>
      <c r="G538" s="76"/>
      <c r="H538" s="76"/>
      <c r="I538" s="76"/>
      <c r="J538" s="76"/>
      <c r="K538" s="76"/>
      <c r="L538" s="76"/>
      <c r="M538" s="76"/>
      <c r="N538" s="76"/>
      <c r="O538" s="76"/>
      <c r="P538" s="76"/>
      <c r="Q538" s="76"/>
      <c r="R538" s="76"/>
      <c r="S538" s="76"/>
      <c r="T538" s="76"/>
      <c r="U538" s="76"/>
      <c r="V538" s="76"/>
      <c r="W538" s="76"/>
      <c r="X538" s="76"/>
      <c r="Y538" s="76"/>
      <c r="Z538" s="76"/>
    </row>
    <row r="539" ht="22.5" customHeight="1">
      <c r="A539" s="140"/>
      <c r="B539" s="140"/>
      <c r="C539" s="141" t="s">
        <v>6244</v>
      </c>
      <c r="D539" s="141" t="s">
        <v>6245</v>
      </c>
      <c r="E539" s="76"/>
      <c r="F539" s="76"/>
      <c r="G539" s="76"/>
      <c r="H539" s="76"/>
      <c r="I539" s="76"/>
      <c r="J539" s="76"/>
      <c r="K539" s="76"/>
      <c r="L539" s="76"/>
      <c r="M539" s="76"/>
      <c r="N539" s="76"/>
      <c r="O539" s="76"/>
      <c r="P539" s="76"/>
      <c r="Q539" s="76"/>
      <c r="R539" s="76"/>
      <c r="S539" s="76"/>
      <c r="T539" s="76"/>
      <c r="U539" s="76"/>
      <c r="V539" s="76"/>
      <c r="W539" s="76"/>
      <c r="X539" s="76"/>
      <c r="Y539" s="76"/>
      <c r="Z539" s="76"/>
    </row>
    <row r="540" ht="22.5" customHeight="1">
      <c r="A540" s="140"/>
      <c r="B540" s="140"/>
      <c r="C540" s="141" t="s">
        <v>6246</v>
      </c>
      <c r="D540" s="141" t="s">
        <v>6247</v>
      </c>
      <c r="E540" s="76"/>
      <c r="F540" s="76"/>
      <c r="G540" s="76"/>
      <c r="H540" s="76"/>
      <c r="I540" s="76"/>
      <c r="J540" s="76"/>
      <c r="K540" s="76"/>
      <c r="L540" s="76"/>
      <c r="M540" s="76"/>
      <c r="N540" s="76"/>
      <c r="O540" s="76"/>
      <c r="P540" s="76"/>
      <c r="Q540" s="76"/>
      <c r="R540" s="76"/>
      <c r="S540" s="76"/>
      <c r="T540" s="76"/>
      <c r="U540" s="76"/>
      <c r="V540" s="76"/>
      <c r="W540" s="76"/>
      <c r="X540" s="76"/>
      <c r="Y540" s="76"/>
      <c r="Z540" s="76"/>
    </row>
    <row r="541" ht="22.5" customHeight="1">
      <c r="A541" s="140"/>
      <c r="B541" s="140"/>
      <c r="C541" s="141" t="s">
        <v>6248</v>
      </c>
      <c r="D541" s="141" t="s">
        <v>6249</v>
      </c>
      <c r="E541" s="76"/>
      <c r="F541" s="76"/>
      <c r="G541" s="76"/>
      <c r="H541" s="76"/>
      <c r="I541" s="76"/>
      <c r="J541" s="76"/>
      <c r="K541" s="76"/>
      <c r="L541" s="76"/>
      <c r="M541" s="76"/>
      <c r="N541" s="76"/>
      <c r="O541" s="76"/>
      <c r="P541" s="76"/>
      <c r="Q541" s="76"/>
      <c r="R541" s="76"/>
      <c r="S541" s="76"/>
      <c r="T541" s="76"/>
      <c r="U541" s="76"/>
      <c r="V541" s="76"/>
      <c r="W541" s="76"/>
      <c r="X541" s="76"/>
      <c r="Y541" s="76"/>
      <c r="Z541" s="76"/>
    </row>
    <row r="542" ht="22.5" customHeight="1">
      <c r="A542" s="140"/>
      <c r="B542" s="140"/>
      <c r="C542" s="141" t="s">
        <v>6250</v>
      </c>
      <c r="D542" s="141" t="s">
        <v>6251</v>
      </c>
      <c r="E542" s="76"/>
      <c r="F542" s="76"/>
      <c r="G542" s="76"/>
      <c r="H542" s="76"/>
      <c r="I542" s="76"/>
      <c r="J542" s="76"/>
      <c r="K542" s="76"/>
      <c r="L542" s="76"/>
      <c r="M542" s="76"/>
      <c r="N542" s="76"/>
      <c r="O542" s="76"/>
      <c r="P542" s="76"/>
      <c r="Q542" s="76"/>
      <c r="R542" s="76"/>
      <c r="S542" s="76"/>
      <c r="T542" s="76"/>
      <c r="U542" s="76"/>
      <c r="V542" s="76"/>
      <c r="W542" s="76"/>
      <c r="X542" s="76"/>
      <c r="Y542" s="76"/>
      <c r="Z542" s="76"/>
    </row>
    <row r="543" ht="22.5" customHeight="1">
      <c r="A543" s="140"/>
      <c r="B543" s="140"/>
      <c r="C543" s="141" t="s">
        <v>6252</v>
      </c>
      <c r="D543" s="141" t="s">
        <v>6253</v>
      </c>
      <c r="E543" s="76"/>
      <c r="F543" s="76"/>
      <c r="G543" s="76"/>
      <c r="H543" s="76"/>
      <c r="I543" s="76"/>
      <c r="J543" s="76"/>
      <c r="K543" s="76"/>
      <c r="L543" s="76"/>
      <c r="M543" s="76"/>
      <c r="N543" s="76"/>
      <c r="O543" s="76"/>
      <c r="P543" s="76"/>
      <c r="Q543" s="76"/>
      <c r="R543" s="76"/>
      <c r="S543" s="76"/>
      <c r="T543" s="76"/>
      <c r="U543" s="76"/>
      <c r="V543" s="76"/>
      <c r="W543" s="76"/>
      <c r="X543" s="76"/>
      <c r="Y543" s="76"/>
      <c r="Z543" s="76"/>
    </row>
    <row r="544" ht="22.5" customHeight="1">
      <c r="A544" s="140"/>
      <c r="B544" s="140"/>
      <c r="C544" s="141" t="s">
        <v>6254</v>
      </c>
      <c r="D544" s="141" t="s">
        <v>6255</v>
      </c>
      <c r="E544" s="76"/>
      <c r="F544" s="76"/>
      <c r="G544" s="76"/>
      <c r="H544" s="76"/>
      <c r="I544" s="76"/>
      <c r="J544" s="76"/>
      <c r="K544" s="76"/>
      <c r="L544" s="76"/>
      <c r="M544" s="76"/>
      <c r="N544" s="76"/>
      <c r="O544" s="76"/>
      <c r="P544" s="76"/>
      <c r="Q544" s="76"/>
      <c r="R544" s="76"/>
      <c r="S544" s="76"/>
      <c r="T544" s="76"/>
      <c r="U544" s="76"/>
      <c r="V544" s="76"/>
      <c r="W544" s="76"/>
      <c r="X544" s="76"/>
      <c r="Y544" s="76"/>
      <c r="Z544" s="76"/>
    </row>
    <row r="545" ht="22.5" customHeight="1">
      <c r="A545" s="140"/>
      <c r="B545" s="140"/>
      <c r="C545" s="141" t="s">
        <v>6256</v>
      </c>
      <c r="D545" s="141" t="s">
        <v>6257</v>
      </c>
      <c r="E545" s="76"/>
      <c r="F545" s="76"/>
      <c r="G545" s="76"/>
      <c r="H545" s="76"/>
      <c r="I545" s="76"/>
      <c r="J545" s="76"/>
      <c r="K545" s="76"/>
      <c r="L545" s="76"/>
      <c r="M545" s="76"/>
      <c r="N545" s="76"/>
      <c r="O545" s="76"/>
      <c r="P545" s="76"/>
      <c r="Q545" s="76"/>
      <c r="R545" s="76"/>
      <c r="S545" s="76"/>
      <c r="T545" s="76"/>
      <c r="U545" s="76"/>
      <c r="V545" s="76"/>
      <c r="W545" s="76"/>
      <c r="X545" s="76"/>
      <c r="Y545" s="76"/>
      <c r="Z545" s="76"/>
    </row>
    <row r="546" ht="22.5" customHeight="1">
      <c r="A546" s="140"/>
      <c r="B546" s="140"/>
      <c r="C546" s="141" t="s">
        <v>6258</v>
      </c>
      <c r="D546" s="141" t="s">
        <v>6259</v>
      </c>
      <c r="E546" s="76"/>
      <c r="F546" s="76"/>
      <c r="G546" s="76"/>
      <c r="H546" s="76"/>
      <c r="I546" s="76"/>
      <c r="J546" s="76"/>
      <c r="K546" s="76"/>
      <c r="L546" s="76"/>
      <c r="M546" s="76"/>
      <c r="N546" s="76"/>
      <c r="O546" s="76"/>
      <c r="P546" s="76"/>
      <c r="Q546" s="76"/>
      <c r="R546" s="76"/>
      <c r="S546" s="76"/>
      <c r="T546" s="76"/>
      <c r="U546" s="76"/>
      <c r="V546" s="76"/>
      <c r="W546" s="76"/>
      <c r="X546" s="76"/>
      <c r="Y546" s="76"/>
      <c r="Z546" s="76"/>
    </row>
    <row r="547" ht="22.5" customHeight="1">
      <c r="A547" s="140"/>
      <c r="B547" s="140"/>
      <c r="C547" s="141" t="s">
        <v>6260</v>
      </c>
      <c r="D547" s="141" t="s">
        <v>6261</v>
      </c>
      <c r="E547" s="76"/>
      <c r="F547" s="76"/>
      <c r="G547" s="76"/>
      <c r="H547" s="76"/>
      <c r="I547" s="76"/>
      <c r="J547" s="76"/>
      <c r="K547" s="76"/>
      <c r="L547" s="76"/>
      <c r="M547" s="76"/>
      <c r="N547" s="76"/>
      <c r="O547" s="76"/>
      <c r="P547" s="76"/>
      <c r="Q547" s="76"/>
      <c r="R547" s="76"/>
      <c r="S547" s="76"/>
      <c r="T547" s="76"/>
      <c r="U547" s="76"/>
      <c r="V547" s="76"/>
      <c r="W547" s="76"/>
      <c r="X547" s="76"/>
      <c r="Y547" s="76"/>
      <c r="Z547" s="76"/>
    </row>
    <row r="548" ht="22.5" customHeight="1">
      <c r="A548" s="140"/>
      <c r="B548" s="140"/>
      <c r="C548" s="141" t="s">
        <v>6262</v>
      </c>
      <c r="D548" s="141" t="s">
        <v>6263</v>
      </c>
      <c r="E548" s="76"/>
      <c r="F548" s="76"/>
      <c r="G548" s="76"/>
      <c r="H548" s="76"/>
      <c r="I548" s="76"/>
      <c r="J548" s="76"/>
      <c r="K548" s="76"/>
      <c r="L548" s="76"/>
      <c r="M548" s="76"/>
      <c r="N548" s="76"/>
      <c r="O548" s="76"/>
      <c r="P548" s="76"/>
      <c r="Q548" s="76"/>
      <c r="R548" s="76"/>
      <c r="S548" s="76"/>
      <c r="T548" s="76"/>
      <c r="U548" s="76"/>
      <c r="V548" s="76"/>
      <c r="W548" s="76"/>
      <c r="X548" s="76"/>
      <c r="Y548" s="76"/>
      <c r="Z548" s="76"/>
    </row>
    <row r="549" ht="22.5" customHeight="1">
      <c r="A549" s="140"/>
      <c r="B549" s="140"/>
      <c r="C549" s="141" t="s">
        <v>6264</v>
      </c>
      <c r="D549" s="141" t="s">
        <v>6265</v>
      </c>
      <c r="E549" s="76"/>
      <c r="F549" s="76"/>
      <c r="G549" s="76"/>
      <c r="H549" s="76"/>
      <c r="I549" s="76"/>
      <c r="J549" s="76"/>
      <c r="K549" s="76"/>
      <c r="L549" s="76"/>
      <c r="M549" s="76"/>
      <c r="N549" s="76"/>
      <c r="O549" s="76"/>
      <c r="P549" s="76"/>
      <c r="Q549" s="76"/>
      <c r="R549" s="76"/>
      <c r="S549" s="76"/>
      <c r="T549" s="76"/>
      <c r="U549" s="76"/>
      <c r="V549" s="76"/>
      <c r="W549" s="76"/>
      <c r="X549" s="76"/>
      <c r="Y549" s="76"/>
      <c r="Z549" s="76"/>
    </row>
    <row r="550" ht="22.5" customHeight="1">
      <c r="A550" s="140"/>
      <c r="B550" s="140"/>
      <c r="C550" s="141" t="s">
        <v>6266</v>
      </c>
      <c r="D550" s="141" t="s">
        <v>6267</v>
      </c>
      <c r="E550" s="76"/>
      <c r="F550" s="76"/>
      <c r="G550" s="76"/>
      <c r="H550" s="76"/>
      <c r="I550" s="76"/>
      <c r="J550" s="76"/>
      <c r="K550" s="76"/>
      <c r="L550" s="76"/>
      <c r="M550" s="76"/>
      <c r="N550" s="76"/>
      <c r="O550" s="76"/>
      <c r="P550" s="76"/>
      <c r="Q550" s="76"/>
      <c r="R550" s="76"/>
      <c r="S550" s="76"/>
      <c r="T550" s="76"/>
      <c r="U550" s="76"/>
      <c r="V550" s="76"/>
      <c r="W550" s="76"/>
      <c r="X550" s="76"/>
      <c r="Y550" s="76"/>
      <c r="Z550" s="76"/>
    </row>
    <row r="551" ht="22.5" customHeight="1">
      <c r="A551" s="140"/>
      <c r="B551" s="140"/>
      <c r="C551" s="141" t="s">
        <v>6268</v>
      </c>
      <c r="D551" s="141" t="s">
        <v>6269</v>
      </c>
      <c r="E551" s="76"/>
      <c r="F551" s="76"/>
      <c r="G551" s="76"/>
      <c r="H551" s="76"/>
      <c r="I551" s="76"/>
      <c r="J551" s="76"/>
      <c r="K551" s="76"/>
      <c r="L551" s="76"/>
      <c r="M551" s="76"/>
      <c r="N551" s="76"/>
      <c r="O551" s="76"/>
      <c r="P551" s="76"/>
      <c r="Q551" s="76"/>
      <c r="R551" s="76"/>
      <c r="S551" s="76"/>
      <c r="T551" s="76"/>
      <c r="U551" s="76"/>
      <c r="V551" s="76"/>
      <c r="W551" s="76"/>
      <c r="X551" s="76"/>
      <c r="Y551" s="76"/>
      <c r="Z551" s="76"/>
    </row>
    <row r="552" ht="22.5" customHeight="1">
      <c r="A552" s="140"/>
      <c r="B552" s="140"/>
      <c r="C552" s="141" t="s">
        <v>6270</v>
      </c>
      <c r="D552" s="141" t="s">
        <v>6271</v>
      </c>
      <c r="E552" s="76"/>
      <c r="F552" s="76"/>
      <c r="G552" s="76"/>
      <c r="H552" s="76"/>
      <c r="I552" s="76"/>
      <c r="J552" s="76"/>
      <c r="K552" s="76"/>
      <c r="L552" s="76"/>
      <c r="M552" s="76"/>
      <c r="N552" s="76"/>
      <c r="O552" s="76"/>
      <c r="P552" s="76"/>
      <c r="Q552" s="76"/>
      <c r="R552" s="76"/>
      <c r="S552" s="76"/>
      <c r="T552" s="76"/>
      <c r="U552" s="76"/>
      <c r="V552" s="76"/>
      <c r="W552" s="76"/>
      <c r="X552" s="76"/>
      <c r="Y552" s="76"/>
      <c r="Z552" s="76"/>
    </row>
    <row r="553" ht="22.5" customHeight="1">
      <c r="A553" s="140"/>
      <c r="B553" s="140"/>
      <c r="C553" s="141" t="s">
        <v>6272</v>
      </c>
      <c r="D553" s="141" t="s">
        <v>6273</v>
      </c>
      <c r="E553" s="76"/>
      <c r="F553" s="76"/>
      <c r="G553" s="76"/>
      <c r="H553" s="76"/>
      <c r="I553" s="76"/>
      <c r="J553" s="76"/>
      <c r="K553" s="76"/>
      <c r="L553" s="76"/>
      <c r="M553" s="76"/>
      <c r="N553" s="76"/>
      <c r="O553" s="76"/>
      <c r="P553" s="76"/>
      <c r="Q553" s="76"/>
      <c r="R553" s="76"/>
      <c r="S553" s="76"/>
      <c r="T553" s="76"/>
      <c r="U553" s="76"/>
      <c r="V553" s="76"/>
      <c r="W553" s="76"/>
      <c r="X553" s="76"/>
      <c r="Y553" s="76"/>
      <c r="Z553" s="76"/>
    </row>
    <row r="554" ht="22.5" customHeight="1">
      <c r="A554" s="140"/>
      <c r="B554" s="140"/>
      <c r="C554" s="141" t="s">
        <v>6274</v>
      </c>
      <c r="D554" s="141" t="s">
        <v>6275</v>
      </c>
      <c r="E554" s="76"/>
      <c r="F554" s="76"/>
      <c r="G554" s="76"/>
      <c r="H554" s="76"/>
      <c r="I554" s="76"/>
      <c r="J554" s="76"/>
      <c r="K554" s="76"/>
      <c r="L554" s="76"/>
      <c r="M554" s="76"/>
      <c r="N554" s="76"/>
      <c r="O554" s="76"/>
      <c r="P554" s="76"/>
      <c r="Q554" s="76"/>
      <c r="R554" s="76"/>
      <c r="S554" s="76"/>
      <c r="T554" s="76"/>
      <c r="U554" s="76"/>
      <c r="V554" s="76"/>
      <c r="W554" s="76"/>
      <c r="X554" s="76"/>
      <c r="Y554" s="76"/>
      <c r="Z554" s="76"/>
    </row>
    <row r="555" ht="22.5" customHeight="1">
      <c r="A555" s="140"/>
      <c r="B555" s="140"/>
      <c r="C555" s="141" t="s">
        <v>6276</v>
      </c>
      <c r="D555" s="141" t="s">
        <v>6277</v>
      </c>
      <c r="E555" s="76"/>
      <c r="F555" s="76"/>
      <c r="G555" s="76"/>
      <c r="H555" s="76"/>
      <c r="I555" s="76"/>
      <c r="J555" s="76"/>
      <c r="K555" s="76"/>
      <c r="L555" s="76"/>
      <c r="M555" s="76"/>
      <c r="N555" s="76"/>
      <c r="O555" s="76"/>
      <c r="P555" s="76"/>
      <c r="Q555" s="76"/>
      <c r="R555" s="76"/>
      <c r="S555" s="76"/>
      <c r="T555" s="76"/>
      <c r="U555" s="76"/>
      <c r="V555" s="76"/>
      <c r="W555" s="76"/>
      <c r="X555" s="76"/>
      <c r="Y555" s="76"/>
      <c r="Z555" s="76"/>
    </row>
    <row r="556" ht="22.5" customHeight="1">
      <c r="A556" s="140"/>
      <c r="B556" s="140"/>
      <c r="C556" s="141" t="s">
        <v>6278</v>
      </c>
      <c r="D556" s="141" t="s">
        <v>6279</v>
      </c>
      <c r="E556" s="76"/>
      <c r="F556" s="76"/>
      <c r="G556" s="76"/>
      <c r="H556" s="76"/>
      <c r="I556" s="76"/>
      <c r="J556" s="76"/>
      <c r="K556" s="76"/>
      <c r="L556" s="76"/>
      <c r="M556" s="76"/>
      <c r="N556" s="76"/>
      <c r="O556" s="76"/>
      <c r="P556" s="76"/>
      <c r="Q556" s="76"/>
      <c r="R556" s="76"/>
      <c r="S556" s="76"/>
      <c r="T556" s="76"/>
      <c r="U556" s="76"/>
      <c r="V556" s="76"/>
      <c r="W556" s="76"/>
      <c r="X556" s="76"/>
      <c r="Y556" s="76"/>
      <c r="Z556" s="76"/>
    </row>
    <row r="557" ht="22.5" customHeight="1">
      <c r="A557" s="140"/>
      <c r="B557" s="140"/>
      <c r="C557" s="141" t="s">
        <v>6280</v>
      </c>
      <c r="D557" s="141" t="s">
        <v>6281</v>
      </c>
      <c r="E557" s="76"/>
      <c r="F557" s="76"/>
      <c r="G557" s="76"/>
      <c r="H557" s="76"/>
      <c r="I557" s="76"/>
      <c r="J557" s="76"/>
      <c r="K557" s="76"/>
      <c r="L557" s="76"/>
      <c r="M557" s="76"/>
      <c r="N557" s="76"/>
      <c r="O557" s="76"/>
      <c r="P557" s="76"/>
      <c r="Q557" s="76"/>
      <c r="R557" s="76"/>
      <c r="S557" s="76"/>
      <c r="T557" s="76"/>
      <c r="U557" s="76"/>
      <c r="V557" s="76"/>
      <c r="W557" s="76"/>
      <c r="X557" s="76"/>
      <c r="Y557" s="76"/>
      <c r="Z557" s="76"/>
    </row>
    <row r="558" ht="22.5" customHeight="1">
      <c r="A558" s="140"/>
      <c r="B558" s="140"/>
      <c r="C558" s="141" t="s">
        <v>6282</v>
      </c>
      <c r="D558" s="141" t="s">
        <v>6283</v>
      </c>
      <c r="E558" s="76"/>
      <c r="F558" s="76"/>
      <c r="G558" s="76"/>
      <c r="H558" s="76"/>
      <c r="I558" s="76"/>
      <c r="J558" s="76"/>
      <c r="K558" s="76"/>
      <c r="L558" s="76"/>
      <c r="M558" s="76"/>
      <c r="N558" s="76"/>
      <c r="O558" s="76"/>
      <c r="P558" s="76"/>
      <c r="Q558" s="76"/>
      <c r="R558" s="76"/>
      <c r="S558" s="76"/>
      <c r="T558" s="76"/>
      <c r="U558" s="76"/>
      <c r="V558" s="76"/>
      <c r="W558" s="76"/>
      <c r="X558" s="76"/>
      <c r="Y558" s="76"/>
      <c r="Z558" s="76"/>
    </row>
    <row r="559" ht="22.5" customHeight="1">
      <c r="A559" s="140"/>
      <c r="B559" s="140"/>
      <c r="C559" s="141" t="s">
        <v>6284</v>
      </c>
      <c r="D559" s="141" t="s">
        <v>6285</v>
      </c>
      <c r="E559" s="76"/>
      <c r="F559" s="76"/>
      <c r="G559" s="76"/>
      <c r="H559" s="76"/>
      <c r="I559" s="76"/>
      <c r="J559" s="76"/>
      <c r="K559" s="76"/>
      <c r="L559" s="76"/>
      <c r="M559" s="76"/>
      <c r="N559" s="76"/>
      <c r="O559" s="76"/>
      <c r="P559" s="76"/>
      <c r="Q559" s="76"/>
      <c r="R559" s="76"/>
      <c r="S559" s="76"/>
      <c r="T559" s="76"/>
      <c r="U559" s="76"/>
      <c r="V559" s="76"/>
      <c r="W559" s="76"/>
      <c r="X559" s="76"/>
      <c r="Y559" s="76"/>
      <c r="Z559" s="76"/>
    </row>
    <row r="560" ht="22.5" customHeight="1">
      <c r="A560" s="140"/>
      <c r="B560" s="140"/>
      <c r="C560" s="141" t="s">
        <v>6286</v>
      </c>
      <c r="D560" s="141" t="s">
        <v>6287</v>
      </c>
      <c r="E560" s="76"/>
      <c r="F560" s="76"/>
      <c r="G560" s="76"/>
      <c r="H560" s="76"/>
      <c r="I560" s="76"/>
      <c r="J560" s="76"/>
      <c r="K560" s="76"/>
      <c r="L560" s="76"/>
      <c r="M560" s="76"/>
      <c r="N560" s="76"/>
      <c r="O560" s="76"/>
      <c r="P560" s="76"/>
      <c r="Q560" s="76"/>
      <c r="R560" s="76"/>
      <c r="S560" s="76"/>
      <c r="T560" s="76"/>
      <c r="U560" s="76"/>
      <c r="V560" s="76"/>
      <c r="W560" s="76"/>
      <c r="X560" s="76"/>
      <c r="Y560" s="76"/>
      <c r="Z560" s="76"/>
    </row>
    <row r="561" ht="22.5" customHeight="1">
      <c r="A561" s="140"/>
      <c r="B561" s="140"/>
      <c r="C561" s="141" t="s">
        <v>6288</v>
      </c>
      <c r="D561" s="141" t="s">
        <v>6289</v>
      </c>
      <c r="E561" s="76"/>
      <c r="F561" s="76"/>
      <c r="G561" s="76"/>
      <c r="H561" s="76"/>
      <c r="I561" s="76"/>
      <c r="J561" s="76"/>
      <c r="K561" s="76"/>
      <c r="L561" s="76"/>
      <c r="M561" s="76"/>
      <c r="N561" s="76"/>
      <c r="O561" s="76"/>
      <c r="P561" s="76"/>
      <c r="Q561" s="76"/>
      <c r="R561" s="76"/>
      <c r="S561" s="76"/>
      <c r="T561" s="76"/>
      <c r="U561" s="76"/>
      <c r="V561" s="76"/>
      <c r="W561" s="76"/>
      <c r="X561" s="76"/>
      <c r="Y561" s="76"/>
      <c r="Z561" s="76"/>
    </row>
    <row r="562" ht="22.5" customHeight="1">
      <c r="A562" s="140"/>
      <c r="B562" s="140"/>
      <c r="C562" s="141" t="s">
        <v>6290</v>
      </c>
      <c r="D562" s="141" t="s">
        <v>6291</v>
      </c>
      <c r="E562" s="76"/>
      <c r="F562" s="76"/>
      <c r="G562" s="76"/>
      <c r="H562" s="76"/>
      <c r="I562" s="76"/>
      <c r="J562" s="76"/>
      <c r="K562" s="76"/>
      <c r="L562" s="76"/>
      <c r="M562" s="76"/>
      <c r="N562" s="76"/>
      <c r="O562" s="76"/>
      <c r="P562" s="76"/>
      <c r="Q562" s="76"/>
      <c r="R562" s="76"/>
      <c r="S562" s="76"/>
      <c r="T562" s="76"/>
      <c r="U562" s="76"/>
      <c r="V562" s="76"/>
      <c r="W562" s="76"/>
      <c r="X562" s="76"/>
      <c r="Y562" s="76"/>
      <c r="Z562" s="76"/>
    </row>
    <row r="563" ht="22.5" customHeight="1">
      <c r="A563" s="140"/>
      <c r="B563" s="140"/>
      <c r="C563" s="141" t="s">
        <v>6292</v>
      </c>
      <c r="D563" s="141" t="s">
        <v>6293</v>
      </c>
      <c r="E563" s="76"/>
      <c r="F563" s="76"/>
      <c r="G563" s="76"/>
      <c r="H563" s="76"/>
      <c r="I563" s="76"/>
      <c r="J563" s="76"/>
      <c r="K563" s="76"/>
      <c r="L563" s="76"/>
      <c r="M563" s="76"/>
      <c r="N563" s="76"/>
      <c r="O563" s="76"/>
      <c r="P563" s="76"/>
      <c r="Q563" s="76"/>
      <c r="R563" s="76"/>
      <c r="S563" s="76"/>
      <c r="T563" s="76"/>
      <c r="U563" s="76"/>
      <c r="V563" s="76"/>
      <c r="W563" s="76"/>
      <c r="X563" s="76"/>
      <c r="Y563" s="76"/>
      <c r="Z563" s="76"/>
    </row>
    <row r="564" ht="22.5" customHeight="1">
      <c r="A564" s="140"/>
      <c r="B564" s="140"/>
      <c r="C564" s="141" t="s">
        <v>6294</v>
      </c>
      <c r="D564" s="141" t="s">
        <v>6295</v>
      </c>
      <c r="E564" s="76"/>
      <c r="F564" s="76"/>
      <c r="G564" s="76"/>
      <c r="H564" s="76"/>
      <c r="I564" s="76"/>
      <c r="J564" s="76"/>
      <c r="K564" s="76"/>
      <c r="L564" s="76"/>
      <c r="M564" s="76"/>
      <c r="N564" s="76"/>
      <c r="O564" s="76"/>
      <c r="P564" s="76"/>
      <c r="Q564" s="76"/>
      <c r="R564" s="76"/>
      <c r="S564" s="76"/>
      <c r="T564" s="76"/>
      <c r="U564" s="76"/>
      <c r="V564" s="76"/>
      <c r="W564" s="76"/>
      <c r="X564" s="76"/>
      <c r="Y564" s="76"/>
      <c r="Z564" s="76"/>
    </row>
    <row r="565" ht="22.5" customHeight="1">
      <c r="A565" s="140"/>
      <c r="B565" s="140"/>
      <c r="C565" s="141" t="s">
        <v>6296</v>
      </c>
      <c r="D565" s="141" t="s">
        <v>6297</v>
      </c>
      <c r="E565" s="76"/>
      <c r="F565" s="76"/>
      <c r="G565" s="76"/>
      <c r="H565" s="76"/>
      <c r="I565" s="76"/>
      <c r="J565" s="76"/>
      <c r="K565" s="76"/>
      <c r="L565" s="76"/>
      <c r="M565" s="76"/>
      <c r="N565" s="76"/>
      <c r="O565" s="76"/>
      <c r="P565" s="76"/>
      <c r="Q565" s="76"/>
      <c r="R565" s="76"/>
      <c r="S565" s="76"/>
      <c r="T565" s="76"/>
      <c r="U565" s="76"/>
      <c r="V565" s="76"/>
      <c r="W565" s="76"/>
      <c r="X565" s="76"/>
      <c r="Y565" s="76"/>
      <c r="Z565" s="76"/>
    </row>
    <row r="566" ht="22.5" customHeight="1">
      <c r="A566" s="140"/>
      <c r="B566" s="140"/>
      <c r="C566" s="141" t="s">
        <v>6298</v>
      </c>
      <c r="D566" s="141" t="s">
        <v>6299</v>
      </c>
      <c r="E566" s="76"/>
      <c r="F566" s="76"/>
      <c r="G566" s="76"/>
      <c r="H566" s="76"/>
      <c r="I566" s="76"/>
      <c r="J566" s="76"/>
      <c r="K566" s="76"/>
      <c r="L566" s="76"/>
      <c r="M566" s="76"/>
      <c r="N566" s="76"/>
      <c r="O566" s="76"/>
      <c r="P566" s="76"/>
      <c r="Q566" s="76"/>
      <c r="R566" s="76"/>
      <c r="S566" s="76"/>
      <c r="T566" s="76"/>
      <c r="U566" s="76"/>
      <c r="V566" s="76"/>
      <c r="W566" s="76"/>
      <c r="X566" s="76"/>
      <c r="Y566" s="76"/>
      <c r="Z566" s="76"/>
    </row>
    <row r="567" ht="22.5" customHeight="1">
      <c r="A567" s="140"/>
      <c r="B567" s="140"/>
      <c r="C567" s="141" t="s">
        <v>6300</v>
      </c>
      <c r="D567" s="141" t="s">
        <v>6301</v>
      </c>
      <c r="E567" s="76"/>
      <c r="F567" s="76"/>
      <c r="G567" s="76"/>
      <c r="H567" s="76"/>
      <c r="I567" s="76"/>
      <c r="J567" s="76"/>
      <c r="K567" s="76"/>
      <c r="L567" s="76"/>
      <c r="M567" s="76"/>
      <c r="N567" s="76"/>
      <c r="O567" s="76"/>
      <c r="P567" s="76"/>
      <c r="Q567" s="76"/>
      <c r="R567" s="76"/>
      <c r="S567" s="76"/>
      <c r="T567" s="76"/>
      <c r="U567" s="76"/>
      <c r="V567" s="76"/>
      <c r="W567" s="76"/>
      <c r="X567" s="76"/>
      <c r="Y567" s="76"/>
      <c r="Z567" s="76"/>
    </row>
    <row r="568" ht="22.5" customHeight="1">
      <c r="A568" s="140"/>
      <c r="B568" s="140"/>
      <c r="C568" s="141" t="s">
        <v>6302</v>
      </c>
      <c r="D568" s="141" t="s">
        <v>6303</v>
      </c>
      <c r="E568" s="76"/>
      <c r="F568" s="76"/>
      <c r="G568" s="76"/>
      <c r="H568" s="76"/>
      <c r="I568" s="76"/>
      <c r="J568" s="76"/>
      <c r="K568" s="76"/>
      <c r="L568" s="76"/>
      <c r="M568" s="76"/>
      <c r="N568" s="76"/>
      <c r="O568" s="76"/>
      <c r="P568" s="76"/>
      <c r="Q568" s="76"/>
      <c r="R568" s="76"/>
      <c r="S568" s="76"/>
      <c r="T568" s="76"/>
      <c r="U568" s="76"/>
      <c r="V568" s="76"/>
      <c r="W568" s="76"/>
      <c r="X568" s="76"/>
      <c r="Y568" s="76"/>
      <c r="Z568" s="76"/>
    </row>
    <row r="569" ht="22.5" customHeight="1">
      <c r="A569" s="140"/>
      <c r="B569" s="140"/>
      <c r="C569" s="141" t="s">
        <v>6304</v>
      </c>
      <c r="D569" s="141" t="s">
        <v>6305</v>
      </c>
      <c r="E569" s="76"/>
      <c r="F569" s="76"/>
      <c r="G569" s="76"/>
      <c r="H569" s="76"/>
      <c r="I569" s="76"/>
      <c r="J569" s="76"/>
      <c r="K569" s="76"/>
      <c r="L569" s="76"/>
      <c r="M569" s="76"/>
      <c r="N569" s="76"/>
      <c r="O569" s="76"/>
      <c r="P569" s="76"/>
      <c r="Q569" s="76"/>
      <c r="R569" s="76"/>
      <c r="S569" s="76"/>
      <c r="T569" s="76"/>
      <c r="U569" s="76"/>
      <c r="V569" s="76"/>
      <c r="W569" s="76"/>
      <c r="X569" s="76"/>
      <c r="Y569" s="76"/>
      <c r="Z569" s="76"/>
    </row>
    <row r="570" ht="22.5" customHeight="1">
      <c r="A570" s="140"/>
      <c r="B570" s="140"/>
      <c r="C570" s="141" t="s">
        <v>6306</v>
      </c>
      <c r="D570" s="141" t="s">
        <v>6307</v>
      </c>
      <c r="E570" s="76"/>
      <c r="F570" s="76"/>
      <c r="G570" s="76"/>
      <c r="H570" s="76"/>
      <c r="I570" s="76"/>
      <c r="J570" s="76"/>
      <c r="K570" s="76"/>
      <c r="L570" s="76"/>
      <c r="M570" s="76"/>
      <c r="N570" s="76"/>
      <c r="O570" s="76"/>
      <c r="P570" s="76"/>
      <c r="Q570" s="76"/>
      <c r="R570" s="76"/>
      <c r="S570" s="76"/>
      <c r="T570" s="76"/>
      <c r="U570" s="76"/>
      <c r="V570" s="76"/>
      <c r="W570" s="76"/>
      <c r="X570" s="76"/>
      <c r="Y570" s="76"/>
      <c r="Z570" s="76"/>
    </row>
    <row r="571" ht="22.5" customHeight="1">
      <c r="A571" s="140"/>
      <c r="B571" s="140"/>
      <c r="C571" s="141" t="s">
        <v>6308</v>
      </c>
      <c r="D571" s="141" t="s">
        <v>6309</v>
      </c>
      <c r="E571" s="76"/>
      <c r="F571" s="76"/>
      <c r="G571" s="76"/>
      <c r="H571" s="76"/>
      <c r="I571" s="76"/>
      <c r="J571" s="76"/>
      <c r="K571" s="76"/>
      <c r="L571" s="76"/>
      <c r="M571" s="76"/>
      <c r="N571" s="76"/>
      <c r="O571" s="76"/>
      <c r="P571" s="76"/>
      <c r="Q571" s="76"/>
      <c r="R571" s="76"/>
      <c r="S571" s="76"/>
      <c r="T571" s="76"/>
      <c r="U571" s="76"/>
      <c r="V571" s="76"/>
      <c r="W571" s="76"/>
      <c r="X571" s="76"/>
      <c r="Y571" s="76"/>
      <c r="Z571" s="76"/>
    </row>
    <row r="572" ht="22.5" customHeight="1">
      <c r="A572" s="140"/>
      <c r="B572" s="140"/>
      <c r="C572" s="141" t="s">
        <v>6310</v>
      </c>
      <c r="D572" s="141" t="s">
        <v>6311</v>
      </c>
      <c r="E572" s="76"/>
      <c r="F572" s="76"/>
      <c r="G572" s="76"/>
      <c r="H572" s="76"/>
      <c r="I572" s="76"/>
      <c r="J572" s="76"/>
      <c r="K572" s="76"/>
      <c r="L572" s="76"/>
      <c r="M572" s="76"/>
      <c r="N572" s="76"/>
      <c r="O572" s="76"/>
      <c r="P572" s="76"/>
      <c r="Q572" s="76"/>
      <c r="R572" s="76"/>
      <c r="S572" s="76"/>
      <c r="T572" s="76"/>
      <c r="U572" s="76"/>
      <c r="V572" s="76"/>
      <c r="W572" s="76"/>
      <c r="X572" s="76"/>
      <c r="Y572" s="76"/>
      <c r="Z572" s="76"/>
    </row>
    <row r="573" ht="22.5" customHeight="1">
      <c r="A573" s="140"/>
      <c r="B573" s="140"/>
      <c r="C573" s="141" t="s">
        <v>6312</v>
      </c>
      <c r="D573" s="141" t="s">
        <v>6313</v>
      </c>
      <c r="E573" s="76"/>
      <c r="F573" s="76"/>
      <c r="G573" s="76"/>
      <c r="H573" s="76"/>
      <c r="I573" s="76"/>
      <c r="J573" s="76"/>
      <c r="K573" s="76"/>
      <c r="L573" s="76"/>
      <c r="M573" s="76"/>
      <c r="N573" s="76"/>
      <c r="O573" s="76"/>
      <c r="P573" s="76"/>
      <c r="Q573" s="76"/>
      <c r="R573" s="76"/>
      <c r="S573" s="76"/>
      <c r="T573" s="76"/>
      <c r="U573" s="76"/>
      <c r="V573" s="76"/>
      <c r="W573" s="76"/>
      <c r="X573" s="76"/>
      <c r="Y573" s="76"/>
      <c r="Z573" s="76"/>
    </row>
    <row r="574" ht="22.5" customHeight="1">
      <c r="A574" s="140"/>
      <c r="B574" s="140"/>
      <c r="C574" s="141" t="s">
        <v>6314</v>
      </c>
      <c r="D574" s="141" t="s">
        <v>6315</v>
      </c>
      <c r="E574" s="76"/>
      <c r="F574" s="76"/>
      <c r="G574" s="76"/>
      <c r="H574" s="76"/>
      <c r="I574" s="76"/>
      <c r="J574" s="76"/>
      <c r="K574" s="76"/>
      <c r="L574" s="76"/>
      <c r="M574" s="76"/>
      <c r="N574" s="76"/>
      <c r="O574" s="76"/>
      <c r="P574" s="76"/>
      <c r="Q574" s="76"/>
      <c r="R574" s="76"/>
      <c r="S574" s="76"/>
      <c r="T574" s="76"/>
      <c r="U574" s="76"/>
      <c r="V574" s="76"/>
      <c r="W574" s="76"/>
      <c r="X574" s="76"/>
      <c r="Y574" s="76"/>
      <c r="Z574" s="76"/>
    </row>
    <row r="575" ht="22.5" customHeight="1">
      <c r="A575" s="140"/>
      <c r="B575" s="140"/>
      <c r="C575" s="141" t="s">
        <v>6316</v>
      </c>
      <c r="D575" s="141" t="s">
        <v>6317</v>
      </c>
      <c r="E575" s="76"/>
      <c r="F575" s="76"/>
      <c r="G575" s="76"/>
      <c r="H575" s="76"/>
      <c r="I575" s="76"/>
      <c r="J575" s="76"/>
      <c r="K575" s="76"/>
      <c r="L575" s="76"/>
      <c r="M575" s="76"/>
      <c r="N575" s="76"/>
      <c r="O575" s="76"/>
      <c r="P575" s="76"/>
      <c r="Q575" s="76"/>
      <c r="R575" s="76"/>
      <c r="S575" s="76"/>
      <c r="T575" s="76"/>
      <c r="U575" s="76"/>
      <c r="V575" s="76"/>
      <c r="W575" s="76"/>
      <c r="X575" s="76"/>
      <c r="Y575" s="76"/>
      <c r="Z575" s="76"/>
    </row>
    <row r="576" ht="22.5" customHeight="1">
      <c r="A576" s="140"/>
      <c r="B576" s="140"/>
      <c r="C576" s="141" t="s">
        <v>6318</v>
      </c>
      <c r="D576" s="141" t="s">
        <v>6319</v>
      </c>
      <c r="E576" s="76"/>
      <c r="F576" s="76"/>
      <c r="G576" s="76"/>
      <c r="H576" s="76"/>
      <c r="I576" s="76"/>
      <c r="J576" s="76"/>
      <c r="K576" s="76"/>
      <c r="L576" s="76"/>
      <c r="M576" s="76"/>
      <c r="N576" s="76"/>
      <c r="O576" s="76"/>
      <c r="P576" s="76"/>
      <c r="Q576" s="76"/>
      <c r="R576" s="76"/>
      <c r="S576" s="76"/>
      <c r="T576" s="76"/>
      <c r="U576" s="76"/>
      <c r="V576" s="76"/>
      <c r="W576" s="76"/>
      <c r="X576" s="76"/>
      <c r="Y576" s="76"/>
      <c r="Z576" s="76"/>
    </row>
    <row r="577" ht="22.5" customHeight="1">
      <c r="A577" s="140"/>
      <c r="B577" s="140"/>
      <c r="C577" s="141" t="s">
        <v>6320</v>
      </c>
      <c r="D577" s="141" t="s">
        <v>6321</v>
      </c>
      <c r="E577" s="76"/>
      <c r="F577" s="76"/>
      <c r="G577" s="76"/>
      <c r="H577" s="76"/>
      <c r="I577" s="76"/>
      <c r="J577" s="76"/>
      <c r="K577" s="76"/>
      <c r="L577" s="76"/>
      <c r="M577" s="76"/>
      <c r="N577" s="76"/>
      <c r="O577" s="76"/>
      <c r="P577" s="76"/>
      <c r="Q577" s="76"/>
      <c r="R577" s="76"/>
      <c r="S577" s="76"/>
      <c r="T577" s="76"/>
      <c r="U577" s="76"/>
      <c r="V577" s="76"/>
      <c r="W577" s="76"/>
      <c r="X577" s="76"/>
      <c r="Y577" s="76"/>
      <c r="Z577" s="76"/>
    </row>
    <row r="578" ht="22.5" customHeight="1">
      <c r="A578" s="140"/>
      <c r="B578" s="140"/>
      <c r="C578" s="141" t="s">
        <v>6322</v>
      </c>
      <c r="D578" s="141" t="s">
        <v>6323</v>
      </c>
      <c r="E578" s="76"/>
      <c r="F578" s="76"/>
      <c r="G578" s="76"/>
      <c r="H578" s="76"/>
      <c r="I578" s="76"/>
      <c r="J578" s="76"/>
      <c r="K578" s="76"/>
      <c r="L578" s="76"/>
      <c r="M578" s="76"/>
      <c r="N578" s="76"/>
      <c r="O578" s="76"/>
      <c r="P578" s="76"/>
      <c r="Q578" s="76"/>
      <c r="R578" s="76"/>
      <c r="S578" s="76"/>
      <c r="T578" s="76"/>
      <c r="U578" s="76"/>
      <c r="V578" s="76"/>
      <c r="W578" s="76"/>
      <c r="X578" s="76"/>
      <c r="Y578" s="76"/>
      <c r="Z578" s="76"/>
    </row>
    <row r="579" ht="22.5" customHeight="1">
      <c r="A579" s="140"/>
      <c r="B579" s="140"/>
      <c r="C579" s="141" t="s">
        <v>6324</v>
      </c>
      <c r="D579" s="141" t="s">
        <v>6325</v>
      </c>
      <c r="E579" s="76"/>
      <c r="F579" s="76"/>
      <c r="G579" s="76"/>
      <c r="H579" s="76"/>
      <c r="I579" s="76"/>
      <c r="J579" s="76"/>
      <c r="K579" s="76"/>
      <c r="L579" s="76"/>
      <c r="M579" s="76"/>
      <c r="N579" s="76"/>
      <c r="O579" s="76"/>
      <c r="P579" s="76"/>
      <c r="Q579" s="76"/>
      <c r="R579" s="76"/>
      <c r="S579" s="76"/>
      <c r="T579" s="76"/>
      <c r="U579" s="76"/>
      <c r="V579" s="76"/>
      <c r="W579" s="76"/>
      <c r="X579" s="76"/>
      <c r="Y579" s="76"/>
      <c r="Z579" s="76"/>
    </row>
    <row r="580" ht="22.5" customHeight="1">
      <c r="A580" s="140"/>
      <c r="B580" s="140"/>
      <c r="C580" s="141" t="s">
        <v>6326</v>
      </c>
      <c r="D580" s="141" t="s">
        <v>6327</v>
      </c>
      <c r="E580" s="76"/>
      <c r="F580" s="76"/>
      <c r="G580" s="76"/>
      <c r="H580" s="76"/>
      <c r="I580" s="76"/>
      <c r="J580" s="76"/>
      <c r="K580" s="76"/>
      <c r="L580" s="76"/>
      <c r="M580" s="76"/>
      <c r="N580" s="76"/>
      <c r="O580" s="76"/>
      <c r="P580" s="76"/>
      <c r="Q580" s="76"/>
      <c r="R580" s="76"/>
      <c r="S580" s="76"/>
      <c r="T580" s="76"/>
      <c r="U580" s="76"/>
      <c r="V580" s="76"/>
      <c r="W580" s="76"/>
      <c r="X580" s="76"/>
      <c r="Y580" s="76"/>
      <c r="Z580" s="76"/>
    </row>
    <row r="581" ht="22.5" customHeight="1">
      <c r="A581" s="140"/>
      <c r="B581" s="140"/>
      <c r="C581" s="141" t="s">
        <v>6328</v>
      </c>
      <c r="D581" s="141" t="s">
        <v>6329</v>
      </c>
      <c r="E581" s="76"/>
      <c r="F581" s="76"/>
      <c r="G581" s="76"/>
      <c r="H581" s="76"/>
      <c r="I581" s="76"/>
      <c r="J581" s="76"/>
      <c r="K581" s="76"/>
      <c r="L581" s="76"/>
      <c r="M581" s="76"/>
      <c r="N581" s="76"/>
      <c r="O581" s="76"/>
      <c r="P581" s="76"/>
      <c r="Q581" s="76"/>
      <c r="R581" s="76"/>
      <c r="S581" s="76"/>
      <c r="T581" s="76"/>
      <c r="U581" s="76"/>
      <c r="V581" s="76"/>
      <c r="W581" s="76"/>
      <c r="X581" s="76"/>
      <c r="Y581" s="76"/>
      <c r="Z581" s="76"/>
    </row>
    <row r="582" ht="22.5" customHeight="1">
      <c r="A582" s="140"/>
      <c r="B582" s="140"/>
      <c r="C582" s="141" t="s">
        <v>6330</v>
      </c>
      <c r="D582" s="141" t="s">
        <v>6331</v>
      </c>
      <c r="E582" s="76"/>
      <c r="F582" s="76"/>
      <c r="G582" s="76"/>
      <c r="H582" s="76"/>
      <c r="I582" s="76"/>
      <c r="J582" s="76"/>
      <c r="K582" s="76"/>
      <c r="L582" s="76"/>
      <c r="M582" s="76"/>
      <c r="N582" s="76"/>
      <c r="O582" s="76"/>
      <c r="P582" s="76"/>
      <c r="Q582" s="76"/>
      <c r="R582" s="76"/>
      <c r="S582" s="76"/>
      <c r="T582" s="76"/>
      <c r="U582" s="76"/>
      <c r="V582" s="76"/>
      <c r="W582" s="76"/>
      <c r="X582" s="76"/>
      <c r="Y582" s="76"/>
      <c r="Z582" s="76"/>
    </row>
    <row r="583" ht="22.5" customHeight="1">
      <c r="A583" s="140"/>
      <c r="B583" s="140"/>
      <c r="C583" s="141" t="s">
        <v>6332</v>
      </c>
      <c r="D583" s="141" t="s">
        <v>6333</v>
      </c>
      <c r="E583" s="76"/>
      <c r="F583" s="76"/>
      <c r="G583" s="76"/>
      <c r="H583" s="76"/>
      <c r="I583" s="76"/>
      <c r="J583" s="76"/>
      <c r="K583" s="76"/>
      <c r="L583" s="76"/>
      <c r="M583" s="76"/>
      <c r="N583" s="76"/>
      <c r="O583" s="76"/>
      <c r="P583" s="76"/>
      <c r="Q583" s="76"/>
      <c r="R583" s="76"/>
      <c r="S583" s="76"/>
      <c r="T583" s="76"/>
      <c r="U583" s="76"/>
      <c r="V583" s="76"/>
      <c r="W583" s="76"/>
      <c r="X583" s="76"/>
      <c r="Y583" s="76"/>
      <c r="Z583" s="76"/>
    </row>
    <row r="584" ht="22.5" customHeight="1">
      <c r="A584" s="140"/>
      <c r="B584" s="140"/>
      <c r="C584" s="141" t="s">
        <v>6334</v>
      </c>
      <c r="D584" s="141" t="s">
        <v>6335</v>
      </c>
      <c r="E584" s="76"/>
      <c r="F584" s="76"/>
      <c r="G584" s="76"/>
      <c r="H584" s="76"/>
      <c r="I584" s="76"/>
      <c r="J584" s="76"/>
      <c r="K584" s="76"/>
      <c r="L584" s="76"/>
      <c r="M584" s="76"/>
      <c r="N584" s="76"/>
      <c r="O584" s="76"/>
      <c r="P584" s="76"/>
      <c r="Q584" s="76"/>
      <c r="R584" s="76"/>
      <c r="S584" s="76"/>
      <c r="T584" s="76"/>
      <c r="U584" s="76"/>
      <c r="V584" s="76"/>
      <c r="W584" s="76"/>
      <c r="X584" s="76"/>
      <c r="Y584" s="76"/>
      <c r="Z584" s="76"/>
    </row>
    <row r="585" ht="22.5" customHeight="1">
      <c r="A585" s="140"/>
      <c r="B585" s="140"/>
      <c r="C585" s="141" t="s">
        <v>6336</v>
      </c>
      <c r="D585" s="141" t="s">
        <v>6337</v>
      </c>
      <c r="E585" s="76"/>
      <c r="F585" s="76"/>
      <c r="G585" s="76"/>
      <c r="H585" s="76"/>
      <c r="I585" s="76"/>
      <c r="J585" s="76"/>
      <c r="K585" s="76"/>
      <c r="L585" s="76"/>
      <c r="M585" s="76"/>
      <c r="N585" s="76"/>
      <c r="O585" s="76"/>
      <c r="P585" s="76"/>
      <c r="Q585" s="76"/>
      <c r="R585" s="76"/>
      <c r="S585" s="76"/>
      <c r="T585" s="76"/>
      <c r="U585" s="76"/>
      <c r="V585" s="76"/>
      <c r="W585" s="76"/>
      <c r="X585" s="76"/>
      <c r="Y585" s="76"/>
      <c r="Z585" s="76"/>
    </row>
    <row r="586" ht="22.5" customHeight="1">
      <c r="A586" s="140"/>
      <c r="B586" s="140"/>
      <c r="C586" s="141" t="s">
        <v>6338</v>
      </c>
      <c r="D586" s="141" t="s">
        <v>6339</v>
      </c>
      <c r="E586" s="76"/>
      <c r="F586" s="76"/>
      <c r="G586" s="76"/>
      <c r="H586" s="76"/>
      <c r="I586" s="76"/>
      <c r="J586" s="76"/>
      <c r="K586" s="76"/>
      <c r="L586" s="76"/>
      <c r="M586" s="76"/>
      <c r="N586" s="76"/>
      <c r="O586" s="76"/>
      <c r="P586" s="76"/>
      <c r="Q586" s="76"/>
      <c r="R586" s="76"/>
      <c r="S586" s="76"/>
      <c r="T586" s="76"/>
      <c r="U586" s="76"/>
      <c r="V586" s="76"/>
      <c r="W586" s="76"/>
      <c r="X586" s="76"/>
      <c r="Y586" s="76"/>
      <c r="Z586" s="76"/>
    </row>
    <row r="587" ht="22.5" customHeight="1">
      <c r="A587" s="140"/>
      <c r="B587" s="140"/>
      <c r="C587" s="141" t="s">
        <v>6340</v>
      </c>
      <c r="D587" s="141" t="s">
        <v>6341</v>
      </c>
      <c r="E587" s="76"/>
      <c r="F587" s="76"/>
      <c r="G587" s="76"/>
      <c r="H587" s="76"/>
      <c r="I587" s="76"/>
      <c r="J587" s="76"/>
      <c r="K587" s="76"/>
      <c r="L587" s="76"/>
      <c r="M587" s="76"/>
      <c r="N587" s="76"/>
      <c r="O587" s="76"/>
      <c r="P587" s="76"/>
      <c r="Q587" s="76"/>
      <c r="R587" s="76"/>
      <c r="S587" s="76"/>
      <c r="T587" s="76"/>
      <c r="U587" s="76"/>
      <c r="V587" s="76"/>
      <c r="W587" s="76"/>
      <c r="X587" s="76"/>
      <c r="Y587" s="76"/>
      <c r="Z587" s="76"/>
    </row>
    <row r="588" ht="22.5" customHeight="1">
      <c r="A588" s="140"/>
      <c r="B588" s="140"/>
      <c r="C588" s="141" t="s">
        <v>6342</v>
      </c>
      <c r="D588" s="141" t="s">
        <v>6343</v>
      </c>
      <c r="E588" s="76"/>
      <c r="F588" s="76"/>
      <c r="G588" s="76"/>
      <c r="H588" s="76"/>
      <c r="I588" s="76"/>
      <c r="J588" s="76"/>
      <c r="K588" s="76"/>
      <c r="L588" s="76"/>
      <c r="M588" s="76"/>
      <c r="N588" s="76"/>
      <c r="O588" s="76"/>
      <c r="P588" s="76"/>
      <c r="Q588" s="76"/>
      <c r="R588" s="76"/>
      <c r="S588" s="76"/>
      <c r="T588" s="76"/>
      <c r="U588" s="76"/>
      <c r="V588" s="76"/>
      <c r="W588" s="76"/>
      <c r="X588" s="76"/>
      <c r="Y588" s="76"/>
      <c r="Z588" s="76"/>
    </row>
    <row r="589" ht="22.5" customHeight="1">
      <c r="A589" s="140"/>
      <c r="B589" s="140"/>
      <c r="C589" s="141" t="s">
        <v>6344</v>
      </c>
      <c r="D589" s="141" t="s">
        <v>6345</v>
      </c>
      <c r="E589" s="76"/>
      <c r="F589" s="76"/>
      <c r="G589" s="76"/>
      <c r="H589" s="76"/>
      <c r="I589" s="76"/>
      <c r="J589" s="76"/>
      <c r="K589" s="76"/>
      <c r="L589" s="76"/>
      <c r="M589" s="76"/>
      <c r="N589" s="76"/>
      <c r="O589" s="76"/>
      <c r="P589" s="76"/>
      <c r="Q589" s="76"/>
      <c r="R589" s="76"/>
      <c r="S589" s="76"/>
      <c r="T589" s="76"/>
      <c r="U589" s="76"/>
      <c r="V589" s="76"/>
      <c r="W589" s="76"/>
      <c r="X589" s="76"/>
      <c r="Y589" s="76"/>
      <c r="Z589" s="76"/>
    </row>
    <row r="590" ht="22.5" customHeight="1">
      <c r="A590" s="140"/>
      <c r="B590" s="140"/>
      <c r="C590" s="141" t="s">
        <v>6346</v>
      </c>
      <c r="D590" s="141" t="s">
        <v>6347</v>
      </c>
      <c r="E590" s="76"/>
      <c r="F590" s="76"/>
      <c r="G590" s="76"/>
      <c r="H590" s="76"/>
      <c r="I590" s="76"/>
      <c r="J590" s="76"/>
      <c r="K590" s="76"/>
      <c r="L590" s="76"/>
      <c r="M590" s="76"/>
      <c r="N590" s="76"/>
      <c r="O590" s="76"/>
      <c r="P590" s="76"/>
      <c r="Q590" s="76"/>
      <c r="R590" s="76"/>
      <c r="S590" s="76"/>
      <c r="T590" s="76"/>
      <c r="U590" s="76"/>
      <c r="V590" s="76"/>
      <c r="W590" s="76"/>
      <c r="X590" s="76"/>
      <c r="Y590" s="76"/>
      <c r="Z590" s="76"/>
    </row>
    <row r="591" ht="22.5" customHeight="1">
      <c r="A591" s="140"/>
      <c r="B591" s="140"/>
      <c r="C591" s="141" t="s">
        <v>6348</v>
      </c>
      <c r="D591" s="141" t="s">
        <v>6349</v>
      </c>
      <c r="E591" s="76"/>
      <c r="F591" s="76"/>
      <c r="G591" s="76"/>
      <c r="H591" s="76"/>
      <c r="I591" s="76"/>
      <c r="J591" s="76"/>
      <c r="K591" s="76"/>
      <c r="L591" s="76"/>
      <c r="M591" s="76"/>
      <c r="N591" s="76"/>
      <c r="O591" s="76"/>
      <c r="P591" s="76"/>
      <c r="Q591" s="76"/>
      <c r="R591" s="76"/>
      <c r="S591" s="76"/>
      <c r="T591" s="76"/>
      <c r="U591" s="76"/>
      <c r="V591" s="76"/>
      <c r="W591" s="76"/>
      <c r="X591" s="76"/>
      <c r="Y591" s="76"/>
      <c r="Z591" s="76"/>
    </row>
    <row r="592" ht="22.5" customHeight="1">
      <c r="A592" s="140"/>
      <c r="B592" s="140"/>
      <c r="C592" s="141" t="s">
        <v>6350</v>
      </c>
      <c r="D592" s="141" t="s">
        <v>6351</v>
      </c>
      <c r="E592" s="76"/>
      <c r="F592" s="76"/>
      <c r="G592" s="76"/>
      <c r="H592" s="76"/>
      <c r="I592" s="76"/>
      <c r="J592" s="76"/>
      <c r="K592" s="76"/>
      <c r="L592" s="76"/>
      <c r="M592" s="76"/>
      <c r="N592" s="76"/>
      <c r="O592" s="76"/>
      <c r="P592" s="76"/>
      <c r="Q592" s="76"/>
      <c r="R592" s="76"/>
      <c r="S592" s="76"/>
      <c r="T592" s="76"/>
      <c r="U592" s="76"/>
      <c r="V592" s="76"/>
      <c r="W592" s="76"/>
      <c r="X592" s="76"/>
      <c r="Y592" s="76"/>
      <c r="Z592" s="76"/>
    </row>
    <row r="593" ht="22.5" customHeight="1">
      <c r="A593" s="140"/>
      <c r="B593" s="140"/>
      <c r="C593" s="141" t="s">
        <v>6352</v>
      </c>
      <c r="D593" s="141" t="s">
        <v>6353</v>
      </c>
      <c r="E593" s="76"/>
      <c r="F593" s="76"/>
      <c r="G593" s="76"/>
      <c r="H593" s="76"/>
      <c r="I593" s="76"/>
      <c r="J593" s="76"/>
      <c r="K593" s="76"/>
      <c r="L593" s="76"/>
      <c r="M593" s="76"/>
      <c r="N593" s="76"/>
      <c r="O593" s="76"/>
      <c r="P593" s="76"/>
      <c r="Q593" s="76"/>
      <c r="R593" s="76"/>
      <c r="S593" s="76"/>
      <c r="T593" s="76"/>
      <c r="U593" s="76"/>
      <c r="V593" s="76"/>
      <c r="W593" s="76"/>
      <c r="X593" s="76"/>
      <c r="Y593" s="76"/>
      <c r="Z593" s="76"/>
    </row>
    <row r="594" ht="22.5" customHeight="1">
      <c r="A594" s="140"/>
      <c r="B594" s="140"/>
      <c r="C594" s="141" t="s">
        <v>6354</v>
      </c>
      <c r="D594" s="141" t="s">
        <v>6355</v>
      </c>
      <c r="E594" s="76"/>
      <c r="F594" s="76"/>
      <c r="G594" s="76"/>
      <c r="H594" s="76"/>
      <c r="I594" s="76"/>
      <c r="J594" s="76"/>
      <c r="K594" s="76"/>
      <c r="L594" s="76"/>
      <c r="M594" s="76"/>
      <c r="N594" s="76"/>
      <c r="O594" s="76"/>
      <c r="P594" s="76"/>
      <c r="Q594" s="76"/>
      <c r="R594" s="76"/>
      <c r="S594" s="76"/>
      <c r="T594" s="76"/>
      <c r="U594" s="76"/>
      <c r="V594" s="76"/>
      <c r="W594" s="76"/>
      <c r="X594" s="76"/>
      <c r="Y594" s="76"/>
      <c r="Z594" s="76"/>
    </row>
    <row r="595" ht="22.5" customHeight="1">
      <c r="A595" s="140"/>
      <c r="B595" s="140"/>
      <c r="C595" s="141" t="s">
        <v>6356</v>
      </c>
      <c r="D595" s="141" t="s">
        <v>6357</v>
      </c>
      <c r="E595" s="76"/>
      <c r="F595" s="76"/>
      <c r="G595" s="76"/>
      <c r="H595" s="76"/>
      <c r="I595" s="76"/>
      <c r="J595" s="76"/>
      <c r="K595" s="76"/>
      <c r="L595" s="76"/>
      <c r="M595" s="76"/>
      <c r="N595" s="76"/>
      <c r="O595" s="76"/>
      <c r="P595" s="76"/>
      <c r="Q595" s="76"/>
      <c r="R595" s="76"/>
      <c r="S595" s="76"/>
      <c r="T595" s="76"/>
      <c r="U595" s="76"/>
      <c r="V595" s="76"/>
      <c r="W595" s="76"/>
      <c r="X595" s="76"/>
      <c r="Y595" s="76"/>
      <c r="Z595" s="76"/>
    </row>
    <row r="596" ht="22.5" customHeight="1">
      <c r="A596" s="140"/>
      <c r="B596" s="140"/>
      <c r="C596" s="141" t="s">
        <v>6358</v>
      </c>
      <c r="D596" s="141" t="s">
        <v>6359</v>
      </c>
      <c r="E596" s="76"/>
      <c r="F596" s="76"/>
      <c r="G596" s="76"/>
      <c r="H596" s="76"/>
      <c r="I596" s="76"/>
      <c r="J596" s="76"/>
      <c r="K596" s="76"/>
      <c r="L596" s="76"/>
      <c r="M596" s="76"/>
      <c r="N596" s="76"/>
      <c r="O596" s="76"/>
      <c r="P596" s="76"/>
      <c r="Q596" s="76"/>
      <c r="R596" s="76"/>
      <c r="S596" s="76"/>
      <c r="T596" s="76"/>
      <c r="U596" s="76"/>
      <c r="V596" s="76"/>
      <c r="W596" s="76"/>
      <c r="X596" s="76"/>
      <c r="Y596" s="76"/>
      <c r="Z596" s="76"/>
    </row>
    <row r="597" ht="22.5" customHeight="1">
      <c r="A597" s="140"/>
      <c r="B597" s="140"/>
      <c r="C597" s="141" t="s">
        <v>6360</v>
      </c>
      <c r="D597" s="141" t="s">
        <v>6361</v>
      </c>
      <c r="E597" s="76"/>
      <c r="F597" s="76"/>
      <c r="G597" s="76"/>
      <c r="H597" s="76"/>
      <c r="I597" s="76"/>
      <c r="J597" s="76"/>
      <c r="K597" s="76"/>
      <c r="L597" s="76"/>
      <c r="M597" s="76"/>
      <c r="N597" s="76"/>
      <c r="O597" s="76"/>
      <c r="P597" s="76"/>
      <c r="Q597" s="76"/>
      <c r="R597" s="76"/>
      <c r="S597" s="76"/>
      <c r="T597" s="76"/>
      <c r="U597" s="76"/>
      <c r="V597" s="76"/>
      <c r="W597" s="76"/>
      <c r="X597" s="76"/>
      <c r="Y597" s="76"/>
      <c r="Z597" s="76"/>
    </row>
    <row r="598" ht="22.5" customHeight="1">
      <c r="A598" s="140"/>
      <c r="B598" s="140"/>
      <c r="C598" s="141" t="s">
        <v>6362</v>
      </c>
      <c r="D598" s="141" t="s">
        <v>6363</v>
      </c>
      <c r="E598" s="76"/>
      <c r="F598" s="76"/>
      <c r="G598" s="76"/>
      <c r="H598" s="76"/>
      <c r="I598" s="76"/>
      <c r="J598" s="76"/>
      <c r="K598" s="76"/>
      <c r="L598" s="76"/>
      <c r="M598" s="76"/>
      <c r="N598" s="76"/>
      <c r="O598" s="76"/>
      <c r="P598" s="76"/>
      <c r="Q598" s="76"/>
      <c r="R598" s="76"/>
      <c r="S598" s="76"/>
      <c r="T598" s="76"/>
      <c r="U598" s="76"/>
      <c r="V598" s="76"/>
      <c r="W598" s="76"/>
      <c r="X598" s="76"/>
      <c r="Y598" s="76"/>
      <c r="Z598" s="76"/>
    </row>
    <row r="599" ht="22.5" customHeight="1">
      <c r="A599" s="140"/>
      <c r="B599" s="140"/>
      <c r="C599" s="141" t="s">
        <v>6364</v>
      </c>
      <c r="D599" s="141" t="s">
        <v>6365</v>
      </c>
      <c r="E599" s="76"/>
      <c r="F599" s="76"/>
      <c r="G599" s="76"/>
      <c r="H599" s="76"/>
      <c r="I599" s="76"/>
      <c r="J599" s="76"/>
      <c r="K599" s="76"/>
      <c r="L599" s="76"/>
      <c r="M599" s="76"/>
      <c r="N599" s="76"/>
      <c r="O599" s="76"/>
      <c r="P599" s="76"/>
      <c r="Q599" s="76"/>
      <c r="R599" s="76"/>
      <c r="S599" s="76"/>
      <c r="T599" s="76"/>
      <c r="U599" s="76"/>
      <c r="V599" s="76"/>
      <c r="W599" s="76"/>
      <c r="X599" s="76"/>
      <c r="Y599" s="76"/>
      <c r="Z599" s="76"/>
    </row>
    <row r="600" ht="22.5" customHeight="1">
      <c r="A600" s="140"/>
      <c r="B600" s="140"/>
      <c r="C600" s="141" t="s">
        <v>6366</v>
      </c>
      <c r="D600" s="141" t="s">
        <v>6367</v>
      </c>
      <c r="E600" s="76"/>
      <c r="F600" s="76"/>
      <c r="G600" s="76"/>
      <c r="H600" s="76"/>
      <c r="I600" s="76"/>
      <c r="J600" s="76"/>
      <c r="K600" s="76"/>
      <c r="L600" s="76"/>
      <c r="M600" s="76"/>
      <c r="N600" s="76"/>
      <c r="O600" s="76"/>
      <c r="P600" s="76"/>
      <c r="Q600" s="76"/>
      <c r="R600" s="76"/>
      <c r="S600" s="76"/>
      <c r="T600" s="76"/>
      <c r="U600" s="76"/>
      <c r="V600" s="76"/>
      <c r="W600" s="76"/>
      <c r="X600" s="76"/>
      <c r="Y600" s="76"/>
      <c r="Z600" s="76"/>
    </row>
    <row r="601" ht="22.5" customHeight="1">
      <c r="A601" s="140"/>
      <c r="B601" s="140"/>
      <c r="C601" s="141" t="s">
        <v>6368</v>
      </c>
      <c r="D601" s="141" t="s">
        <v>6369</v>
      </c>
      <c r="E601" s="76"/>
      <c r="F601" s="76"/>
      <c r="G601" s="76"/>
      <c r="H601" s="76"/>
      <c r="I601" s="76"/>
      <c r="J601" s="76"/>
      <c r="K601" s="76"/>
      <c r="L601" s="76"/>
      <c r="M601" s="76"/>
      <c r="N601" s="76"/>
      <c r="O601" s="76"/>
      <c r="P601" s="76"/>
      <c r="Q601" s="76"/>
      <c r="R601" s="76"/>
      <c r="S601" s="76"/>
      <c r="T601" s="76"/>
      <c r="U601" s="76"/>
      <c r="V601" s="76"/>
      <c r="W601" s="76"/>
      <c r="X601" s="76"/>
      <c r="Y601" s="76"/>
      <c r="Z601" s="76"/>
    </row>
    <row r="602" ht="22.5" customHeight="1">
      <c r="A602" s="140"/>
      <c r="B602" s="140"/>
      <c r="C602" s="141" t="s">
        <v>6370</v>
      </c>
      <c r="D602" s="141" t="s">
        <v>6371</v>
      </c>
      <c r="E602" s="76"/>
      <c r="F602" s="76"/>
      <c r="G602" s="76"/>
      <c r="H602" s="76"/>
      <c r="I602" s="76"/>
      <c r="J602" s="76"/>
      <c r="K602" s="76"/>
      <c r="L602" s="76"/>
      <c r="M602" s="76"/>
      <c r="N602" s="76"/>
      <c r="O602" s="76"/>
      <c r="P602" s="76"/>
      <c r="Q602" s="76"/>
      <c r="R602" s="76"/>
      <c r="S602" s="76"/>
      <c r="T602" s="76"/>
      <c r="U602" s="76"/>
      <c r="V602" s="76"/>
      <c r="W602" s="76"/>
      <c r="X602" s="76"/>
      <c r="Y602" s="76"/>
      <c r="Z602" s="76"/>
    </row>
    <row r="603" ht="22.5" customHeight="1">
      <c r="A603" s="140"/>
      <c r="B603" s="140"/>
      <c r="C603" s="141" t="s">
        <v>6372</v>
      </c>
      <c r="D603" s="141" t="s">
        <v>6373</v>
      </c>
      <c r="E603" s="76"/>
      <c r="F603" s="76"/>
      <c r="G603" s="76"/>
      <c r="H603" s="76"/>
      <c r="I603" s="76"/>
      <c r="J603" s="76"/>
      <c r="K603" s="76"/>
      <c r="L603" s="76"/>
      <c r="M603" s="76"/>
      <c r="N603" s="76"/>
      <c r="O603" s="76"/>
      <c r="P603" s="76"/>
      <c r="Q603" s="76"/>
      <c r="R603" s="76"/>
      <c r="S603" s="76"/>
      <c r="T603" s="76"/>
      <c r="U603" s="76"/>
      <c r="V603" s="76"/>
      <c r="W603" s="76"/>
      <c r="X603" s="76"/>
      <c r="Y603" s="76"/>
      <c r="Z603" s="76"/>
    </row>
    <row r="604" ht="22.5" customHeight="1">
      <c r="A604" s="140"/>
      <c r="B604" s="140"/>
      <c r="C604" s="141" t="s">
        <v>6374</v>
      </c>
      <c r="D604" s="141" t="s">
        <v>6375</v>
      </c>
      <c r="E604" s="76"/>
      <c r="F604" s="76"/>
      <c r="G604" s="76"/>
      <c r="H604" s="76"/>
      <c r="I604" s="76"/>
      <c r="J604" s="76"/>
      <c r="K604" s="76"/>
      <c r="L604" s="76"/>
      <c r="M604" s="76"/>
      <c r="N604" s="76"/>
      <c r="O604" s="76"/>
      <c r="P604" s="76"/>
      <c r="Q604" s="76"/>
      <c r="R604" s="76"/>
      <c r="S604" s="76"/>
      <c r="T604" s="76"/>
      <c r="U604" s="76"/>
      <c r="V604" s="76"/>
      <c r="W604" s="76"/>
      <c r="X604" s="76"/>
      <c r="Y604" s="76"/>
      <c r="Z604" s="76"/>
    </row>
    <row r="605" ht="22.5" customHeight="1">
      <c r="A605" s="140"/>
      <c r="B605" s="140"/>
      <c r="C605" s="141" t="s">
        <v>6376</v>
      </c>
      <c r="D605" s="141" t="s">
        <v>6377</v>
      </c>
      <c r="E605" s="76"/>
      <c r="F605" s="76"/>
      <c r="G605" s="76"/>
      <c r="H605" s="76"/>
      <c r="I605" s="76"/>
      <c r="J605" s="76"/>
      <c r="K605" s="76"/>
      <c r="L605" s="76"/>
      <c r="M605" s="76"/>
      <c r="N605" s="76"/>
      <c r="O605" s="76"/>
      <c r="P605" s="76"/>
      <c r="Q605" s="76"/>
      <c r="R605" s="76"/>
      <c r="S605" s="76"/>
      <c r="T605" s="76"/>
      <c r="U605" s="76"/>
      <c r="V605" s="76"/>
      <c r="W605" s="76"/>
      <c r="X605" s="76"/>
      <c r="Y605" s="76"/>
      <c r="Z605" s="76"/>
    </row>
    <row r="606" ht="22.5" customHeight="1">
      <c r="A606" s="140"/>
      <c r="B606" s="140"/>
      <c r="C606" s="141" t="s">
        <v>6378</v>
      </c>
      <c r="D606" s="141" t="s">
        <v>6379</v>
      </c>
      <c r="E606" s="76"/>
      <c r="F606" s="76"/>
      <c r="G606" s="76"/>
      <c r="H606" s="76"/>
      <c r="I606" s="76"/>
      <c r="J606" s="76"/>
      <c r="K606" s="76"/>
      <c r="L606" s="76"/>
      <c r="M606" s="76"/>
      <c r="N606" s="76"/>
      <c r="O606" s="76"/>
      <c r="P606" s="76"/>
      <c r="Q606" s="76"/>
      <c r="R606" s="76"/>
      <c r="S606" s="76"/>
      <c r="T606" s="76"/>
      <c r="U606" s="76"/>
      <c r="V606" s="76"/>
      <c r="W606" s="76"/>
      <c r="X606" s="76"/>
      <c r="Y606" s="76"/>
      <c r="Z606" s="76"/>
    </row>
    <row r="607" ht="22.5" customHeight="1">
      <c r="A607" s="140"/>
      <c r="B607" s="140"/>
      <c r="C607" s="141" t="s">
        <v>6380</v>
      </c>
      <c r="D607" s="141" t="s">
        <v>6381</v>
      </c>
      <c r="E607" s="76"/>
      <c r="F607" s="76"/>
      <c r="G607" s="76"/>
      <c r="H607" s="76"/>
      <c r="I607" s="76"/>
      <c r="J607" s="76"/>
      <c r="K607" s="76"/>
      <c r="L607" s="76"/>
      <c r="M607" s="76"/>
      <c r="N607" s="76"/>
      <c r="O607" s="76"/>
      <c r="P607" s="76"/>
      <c r="Q607" s="76"/>
      <c r="R607" s="76"/>
      <c r="S607" s="76"/>
      <c r="T607" s="76"/>
      <c r="U607" s="76"/>
      <c r="V607" s="76"/>
      <c r="W607" s="76"/>
      <c r="X607" s="76"/>
      <c r="Y607" s="76"/>
      <c r="Z607" s="76"/>
    </row>
    <row r="608" ht="22.5" customHeight="1">
      <c r="A608" s="140"/>
      <c r="B608" s="140"/>
      <c r="C608" s="141" t="s">
        <v>6382</v>
      </c>
      <c r="D608" s="141" t="s">
        <v>6383</v>
      </c>
      <c r="E608" s="76"/>
      <c r="F608" s="76"/>
      <c r="G608" s="76"/>
      <c r="H608" s="76"/>
      <c r="I608" s="76"/>
      <c r="J608" s="76"/>
      <c r="K608" s="76"/>
      <c r="L608" s="76"/>
      <c r="M608" s="76"/>
      <c r="N608" s="76"/>
      <c r="O608" s="76"/>
      <c r="P608" s="76"/>
      <c r="Q608" s="76"/>
      <c r="R608" s="76"/>
      <c r="S608" s="76"/>
      <c r="T608" s="76"/>
      <c r="U608" s="76"/>
      <c r="V608" s="76"/>
      <c r="W608" s="76"/>
      <c r="X608" s="76"/>
      <c r="Y608" s="76"/>
      <c r="Z608" s="76"/>
    </row>
    <row r="609" ht="22.5" customHeight="1">
      <c r="A609" s="140"/>
      <c r="B609" s="140"/>
      <c r="C609" s="141" t="s">
        <v>6384</v>
      </c>
      <c r="D609" s="141" t="s">
        <v>6385</v>
      </c>
      <c r="E609" s="76"/>
      <c r="F609" s="76"/>
      <c r="G609" s="76"/>
      <c r="H609" s="76"/>
      <c r="I609" s="76"/>
      <c r="J609" s="76"/>
      <c r="K609" s="76"/>
      <c r="L609" s="76"/>
      <c r="M609" s="76"/>
      <c r="N609" s="76"/>
      <c r="O609" s="76"/>
      <c r="P609" s="76"/>
      <c r="Q609" s="76"/>
      <c r="R609" s="76"/>
      <c r="S609" s="76"/>
      <c r="T609" s="76"/>
      <c r="U609" s="76"/>
      <c r="V609" s="76"/>
      <c r="W609" s="76"/>
      <c r="X609" s="76"/>
      <c r="Y609" s="76"/>
      <c r="Z609" s="76"/>
    </row>
    <row r="610" ht="22.5" customHeight="1">
      <c r="A610" s="140"/>
      <c r="B610" s="140"/>
      <c r="C610" s="141" t="s">
        <v>6386</v>
      </c>
      <c r="D610" s="141" t="s">
        <v>6387</v>
      </c>
      <c r="E610" s="76"/>
      <c r="F610" s="76"/>
      <c r="G610" s="76"/>
      <c r="H610" s="76"/>
      <c r="I610" s="76"/>
      <c r="J610" s="76"/>
      <c r="K610" s="76"/>
      <c r="L610" s="76"/>
      <c r="M610" s="76"/>
      <c r="N610" s="76"/>
      <c r="O610" s="76"/>
      <c r="P610" s="76"/>
      <c r="Q610" s="76"/>
      <c r="R610" s="76"/>
      <c r="S610" s="76"/>
      <c r="T610" s="76"/>
      <c r="U610" s="76"/>
      <c r="V610" s="76"/>
      <c r="W610" s="76"/>
      <c r="X610" s="76"/>
      <c r="Y610" s="76"/>
      <c r="Z610" s="76"/>
    </row>
    <row r="611" ht="22.5" customHeight="1">
      <c r="A611" s="140"/>
      <c r="B611" s="140"/>
      <c r="C611" s="141" t="s">
        <v>6388</v>
      </c>
      <c r="D611" s="141" t="s">
        <v>6389</v>
      </c>
      <c r="E611" s="76"/>
      <c r="F611" s="76"/>
      <c r="G611" s="76"/>
      <c r="H611" s="76"/>
      <c r="I611" s="76"/>
      <c r="J611" s="76"/>
      <c r="K611" s="76"/>
      <c r="L611" s="76"/>
      <c r="M611" s="76"/>
      <c r="N611" s="76"/>
      <c r="O611" s="76"/>
      <c r="P611" s="76"/>
      <c r="Q611" s="76"/>
      <c r="R611" s="76"/>
      <c r="S611" s="76"/>
      <c r="T611" s="76"/>
      <c r="U611" s="76"/>
      <c r="V611" s="76"/>
      <c r="W611" s="76"/>
      <c r="X611" s="76"/>
      <c r="Y611" s="76"/>
      <c r="Z611" s="76"/>
    </row>
    <row r="612" ht="22.5" customHeight="1">
      <c r="A612" s="140"/>
      <c r="B612" s="140"/>
      <c r="C612" s="141" t="s">
        <v>6390</v>
      </c>
      <c r="D612" s="141" t="s">
        <v>6391</v>
      </c>
      <c r="E612" s="76"/>
      <c r="F612" s="76"/>
      <c r="G612" s="76"/>
      <c r="H612" s="76"/>
      <c r="I612" s="76"/>
      <c r="J612" s="76"/>
      <c r="K612" s="76"/>
      <c r="L612" s="76"/>
      <c r="M612" s="76"/>
      <c r="N612" s="76"/>
      <c r="O612" s="76"/>
      <c r="P612" s="76"/>
      <c r="Q612" s="76"/>
      <c r="R612" s="76"/>
      <c r="S612" s="76"/>
      <c r="T612" s="76"/>
      <c r="U612" s="76"/>
      <c r="V612" s="76"/>
      <c r="W612" s="76"/>
      <c r="X612" s="76"/>
      <c r="Y612" s="76"/>
      <c r="Z612" s="76"/>
    </row>
    <row r="613" ht="22.5" customHeight="1">
      <c r="A613" s="140"/>
      <c r="B613" s="140"/>
      <c r="C613" s="141" t="s">
        <v>6392</v>
      </c>
      <c r="D613" s="141" t="s">
        <v>6393</v>
      </c>
      <c r="E613" s="76"/>
      <c r="F613" s="76"/>
      <c r="G613" s="76"/>
      <c r="H613" s="76"/>
      <c r="I613" s="76"/>
      <c r="J613" s="76"/>
      <c r="K613" s="76"/>
      <c r="L613" s="76"/>
      <c r="M613" s="76"/>
      <c r="N613" s="76"/>
      <c r="O613" s="76"/>
      <c r="P613" s="76"/>
      <c r="Q613" s="76"/>
      <c r="R613" s="76"/>
      <c r="S613" s="76"/>
      <c r="T613" s="76"/>
      <c r="U613" s="76"/>
      <c r="V613" s="76"/>
      <c r="W613" s="76"/>
      <c r="X613" s="76"/>
      <c r="Y613" s="76"/>
      <c r="Z613" s="76"/>
    </row>
    <row r="614" ht="22.5" customHeight="1">
      <c r="A614" s="140"/>
      <c r="B614" s="140"/>
      <c r="C614" s="141" t="s">
        <v>6394</v>
      </c>
      <c r="D614" s="141" t="s">
        <v>6395</v>
      </c>
      <c r="E614" s="76"/>
      <c r="F614" s="76"/>
      <c r="G614" s="76"/>
      <c r="H614" s="76"/>
      <c r="I614" s="76"/>
      <c r="J614" s="76"/>
      <c r="K614" s="76"/>
      <c r="L614" s="76"/>
      <c r="M614" s="76"/>
      <c r="N614" s="76"/>
      <c r="O614" s="76"/>
      <c r="P614" s="76"/>
      <c r="Q614" s="76"/>
      <c r="R614" s="76"/>
      <c r="S614" s="76"/>
      <c r="T614" s="76"/>
      <c r="U614" s="76"/>
      <c r="V614" s="76"/>
      <c r="W614" s="76"/>
      <c r="X614" s="76"/>
      <c r="Y614" s="76"/>
      <c r="Z614" s="76"/>
    </row>
    <row r="615" ht="22.5" customHeight="1">
      <c r="A615" s="140"/>
      <c r="B615" s="140"/>
      <c r="C615" s="141" t="s">
        <v>6396</v>
      </c>
      <c r="D615" s="141" t="s">
        <v>6397</v>
      </c>
      <c r="E615" s="76"/>
      <c r="F615" s="76"/>
      <c r="G615" s="76"/>
      <c r="H615" s="76"/>
      <c r="I615" s="76"/>
      <c r="J615" s="76"/>
      <c r="K615" s="76"/>
      <c r="L615" s="76"/>
      <c r="M615" s="76"/>
      <c r="N615" s="76"/>
      <c r="O615" s="76"/>
      <c r="P615" s="76"/>
      <c r="Q615" s="76"/>
      <c r="R615" s="76"/>
      <c r="S615" s="76"/>
      <c r="T615" s="76"/>
      <c r="U615" s="76"/>
      <c r="V615" s="76"/>
      <c r="W615" s="76"/>
      <c r="X615" s="76"/>
      <c r="Y615" s="76"/>
      <c r="Z615" s="76"/>
    </row>
    <row r="616" ht="22.5" customHeight="1">
      <c r="A616" s="140"/>
      <c r="B616" s="140"/>
      <c r="C616" s="141" t="s">
        <v>6398</v>
      </c>
      <c r="D616" s="141" t="s">
        <v>6399</v>
      </c>
      <c r="E616" s="76"/>
      <c r="F616" s="76"/>
      <c r="G616" s="76"/>
      <c r="H616" s="76"/>
      <c r="I616" s="76"/>
      <c r="J616" s="76"/>
      <c r="K616" s="76"/>
      <c r="L616" s="76"/>
      <c r="M616" s="76"/>
      <c r="N616" s="76"/>
      <c r="O616" s="76"/>
      <c r="P616" s="76"/>
      <c r="Q616" s="76"/>
      <c r="R616" s="76"/>
      <c r="S616" s="76"/>
      <c r="T616" s="76"/>
      <c r="U616" s="76"/>
      <c r="V616" s="76"/>
      <c r="W616" s="76"/>
      <c r="X616" s="76"/>
      <c r="Y616" s="76"/>
      <c r="Z616" s="76"/>
    </row>
    <row r="617" ht="22.5" customHeight="1">
      <c r="A617" s="140"/>
      <c r="B617" s="140"/>
      <c r="C617" s="141" t="s">
        <v>6400</v>
      </c>
      <c r="D617" s="141" t="s">
        <v>6401</v>
      </c>
      <c r="E617" s="76"/>
      <c r="F617" s="76"/>
      <c r="G617" s="76"/>
      <c r="H617" s="76"/>
      <c r="I617" s="76"/>
      <c r="J617" s="76"/>
      <c r="K617" s="76"/>
      <c r="L617" s="76"/>
      <c r="M617" s="76"/>
      <c r="N617" s="76"/>
      <c r="O617" s="76"/>
      <c r="P617" s="76"/>
      <c r="Q617" s="76"/>
      <c r="R617" s="76"/>
      <c r="S617" s="76"/>
      <c r="T617" s="76"/>
      <c r="U617" s="76"/>
      <c r="V617" s="76"/>
      <c r="W617" s="76"/>
      <c r="X617" s="76"/>
      <c r="Y617" s="76"/>
      <c r="Z617" s="76"/>
    </row>
    <row r="618" ht="22.5" customHeight="1">
      <c r="A618" s="140"/>
      <c r="B618" s="140"/>
      <c r="C618" s="141" t="s">
        <v>6402</v>
      </c>
      <c r="D618" s="141" t="s">
        <v>6403</v>
      </c>
      <c r="E618" s="76"/>
      <c r="F618" s="76"/>
      <c r="G618" s="76"/>
      <c r="H618" s="76"/>
      <c r="I618" s="76"/>
      <c r="J618" s="76"/>
      <c r="K618" s="76"/>
      <c r="L618" s="76"/>
      <c r="M618" s="76"/>
      <c r="N618" s="76"/>
      <c r="O618" s="76"/>
      <c r="P618" s="76"/>
      <c r="Q618" s="76"/>
      <c r="R618" s="76"/>
      <c r="S618" s="76"/>
      <c r="T618" s="76"/>
      <c r="U618" s="76"/>
      <c r="V618" s="76"/>
      <c r="W618" s="76"/>
      <c r="X618" s="76"/>
      <c r="Y618" s="76"/>
      <c r="Z618" s="76"/>
    </row>
    <row r="619" ht="22.5" customHeight="1">
      <c r="A619" s="140"/>
      <c r="B619" s="140"/>
      <c r="C619" s="141" t="s">
        <v>6404</v>
      </c>
      <c r="D619" s="141" t="s">
        <v>6405</v>
      </c>
      <c r="E619" s="76"/>
      <c r="F619" s="76"/>
      <c r="G619" s="76"/>
      <c r="H619" s="76"/>
      <c r="I619" s="76"/>
      <c r="J619" s="76"/>
      <c r="K619" s="76"/>
      <c r="L619" s="76"/>
      <c r="M619" s="76"/>
      <c r="N619" s="76"/>
      <c r="O619" s="76"/>
      <c r="P619" s="76"/>
      <c r="Q619" s="76"/>
      <c r="R619" s="76"/>
      <c r="S619" s="76"/>
      <c r="T619" s="76"/>
      <c r="U619" s="76"/>
      <c r="V619" s="76"/>
      <c r="W619" s="76"/>
      <c r="X619" s="76"/>
      <c r="Y619" s="76"/>
      <c r="Z619" s="76"/>
    </row>
    <row r="620" ht="22.5" customHeight="1">
      <c r="A620" s="140"/>
      <c r="B620" s="140"/>
      <c r="C620" s="141" t="s">
        <v>6406</v>
      </c>
      <c r="D620" s="141" t="s">
        <v>6407</v>
      </c>
      <c r="E620" s="76"/>
      <c r="F620" s="76"/>
      <c r="G620" s="76"/>
      <c r="H620" s="76"/>
      <c r="I620" s="76"/>
      <c r="J620" s="76"/>
      <c r="K620" s="76"/>
      <c r="L620" s="76"/>
      <c r="M620" s="76"/>
      <c r="N620" s="76"/>
      <c r="O620" s="76"/>
      <c r="P620" s="76"/>
      <c r="Q620" s="76"/>
      <c r="R620" s="76"/>
      <c r="S620" s="76"/>
      <c r="T620" s="76"/>
      <c r="U620" s="76"/>
      <c r="V620" s="76"/>
      <c r="W620" s="76"/>
      <c r="X620" s="76"/>
      <c r="Y620" s="76"/>
      <c r="Z620" s="76"/>
    </row>
    <row r="621" ht="22.5" customHeight="1">
      <c r="A621" s="140"/>
      <c r="B621" s="140"/>
      <c r="C621" s="141" t="s">
        <v>6408</v>
      </c>
      <c r="D621" s="141" t="s">
        <v>6409</v>
      </c>
      <c r="E621" s="76"/>
      <c r="F621" s="76"/>
      <c r="G621" s="76"/>
      <c r="H621" s="76"/>
      <c r="I621" s="76"/>
      <c r="J621" s="76"/>
      <c r="K621" s="76"/>
      <c r="L621" s="76"/>
      <c r="M621" s="76"/>
      <c r="N621" s="76"/>
      <c r="O621" s="76"/>
      <c r="P621" s="76"/>
      <c r="Q621" s="76"/>
      <c r="R621" s="76"/>
      <c r="S621" s="76"/>
      <c r="T621" s="76"/>
      <c r="U621" s="76"/>
      <c r="V621" s="76"/>
      <c r="W621" s="76"/>
      <c r="X621" s="76"/>
      <c r="Y621" s="76"/>
      <c r="Z621" s="76"/>
    </row>
    <row r="622" ht="22.5" customHeight="1">
      <c r="A622" s="140"/>
      <c r="B622" s="140"/>
      <c r="C622" s="141" t="s">
        <v>6410</v>
      </c>
      <c r="D622" s="141" t="s">
        <v>6411</v>
      </c>
      <c r="E622" s="76"/>
      <c r="F622" s="76"/>
      <c r="G622" s="76"/>
      <c r="H622" s="76"/>
      <c r="I622" s="76"/>
      <c r="J622" s="76"/>
      <c r="K622" s="76"/>
      <c r="L622" s="76"/>
      <c r="M622" s="76"/>
      <c r="N622" s="76"/>
      <c r="O622" s="76"/>
      <c r="P622" s="76"/>
      <c r="Q622" s="76"/>
      <c r="R622" s="76"/>
      <c r="S622" s="76"/>
      <c r="T622" s="76"/>
      <c r="U622" s="76"/>
      <c r="V622" s="76"/>
      <c r="W622" s="76"/>
      <c r="X622" s="76"/>
      <c r="Y622" s="76"/>
      <c r="Z622" s="76"/>
    </row>
    <row r="623" ht="22.5" customHeight="1">
      <c r="A623" s="140"/>
      <c r="B623" s="140"/>
      <c r="C623" s="141" t="s">
        <v>6412</v>
      </c>
      <c r="D623" s="141" t="s">
        <v>6413</v>
      </c>
      <c r="E623" s="76"/>
      <c r="F623" s="76"/>
      <c r="G623" s="76"/>
      <c r="H623" s="76"/>
      <c r="I623" s="76"/>
      <c r="J623" s="76"/>
      <c r="K623" s="76"/>
      <c r="L623" s="76"/>
      <c r="M623" s="76"/>
      <c r="N623" s="76"/>
      <c r="O623" s="76"/>
      <c r="P623" s="76"/>
      <c r="Q623" s="76"/>
      <c r="R623" s="76"/>
      <c r="S623" s="76"/>
      <c r="T623" s="76"/>
      <c r="U623" s="76"/>
      <c r="V623" s="76"/>
      <c r="W623" s="76"/>
      <c r="X623" s="76"/>
      <c r="Y623" s="76"/>
      <c r="Z623" s="76"/>
    </row>
    <row r="624" ht="22.5" customHeight="1">
      <c r="A624" s="140"/>
      <c r="B624" s="140"/>
      <c r="C624" s="141" t="s">
        <v>6414</v>
      </c>
      <c r="D624" s="141" t="s">
        <v>6415</v>
      </c>
      <c r="E624" s="76"/>
      <c r="F624" s="76"/>
      <c r="G624" s="76"/>
      <c r="H624" s="76"/>
      <c r="I624" s="76"/>
      <c r="J624" s="76"/>
      <c r="K624" s="76"/>
      <c r="L624" s="76"/>
      <c r="M624" s="76"/>
      <c r="N624" s="76"/>
      <c r="O624" s="76"/>
      <c r="P624" s="76"/>
      <c r="Q624" s="76"/>
      <c r="R624" s="76"/>
      <c r="S624" s="76"/>
      <c r="T624" s="76"/>
      <c r="U624" s="76"/>
      <c r="V624" s="76"/>
      <c r="W624" s="76"/>
      <c r="X624" s="76"/>
      <c r="Y624" s="76"/>
      <c r="Z624" s="76"/>
    </row>
    <row r="625" ht="22.5" customHeight="1">
      <c r="A625" s="140"/>
      <c r="B625" s="140"/>
      <c r="C625" s="141" t="s">
        <v>6416</v>
      </c>
      <c r="D625" s="141" t="s">
        <v>6417</v>
      </c>
      <c r="E625" s="76"/>
      <c r="F625" s="76"/>
      <c r="G625" s="76"/>
      <c r="H625" s="76"/>
      <c r="I625" s="76"/>
      <c r="J625" s="76"/>
      <c r="K625" s="76"/>
      <c r="L625" s="76"/>
      <c r="M625" s="76"/>
      <c r="N625" s="76"/>
      <c r="O625" s="76"/>
      <c r="P625" s="76"/>
      <c r="Q625" s="76"/>
      <c r="R625" s="76"/>
      <c r="S625" s="76"/>
      <c r="T625" s="76"/>
      <c r="U625" s="76"/>
      <c r="V625" s="76"/>
      <c r="W625" s="76"/>
      <c r="X625" s="76"/>
      <c r="Y625" s="76"/>
      <c r="Z625" s="76"/>
    </row>
    <row r="626" ht="22.5" customHeight="1">
      <c r="A626" s="140"/>
      <c r="B626" s="140"/>
      <c r="C626" s="141" t="s">
        <v>6418</v>
      </c>
      <c r="D626" s="141" t="s">
        <v>6419</v>
      </c>
      <c r="E626" s="76"/>
      <c r="F626" s="76"/>
      <c r="G626" s="76"/>
      <c r="H626" s="76"/>
      <c r="I626" s="76"/>
      <c r="J626" s="76"/>
      <c r="K626" s="76"/>
      <c r="L626" s="76"/>
      <c r="M626" s="76"/>
      <c r="N626" s="76"/>
      <c r="O626" s="76"/>
      <c r="P626" s="76"/>
      <c r="Q626" s="76"/>
      <c r="R626" s="76"/>
      <c r="S626" s="76"/>
      <c r="T626" s="76"/>
      <c r="U626" s="76"/>
      <c r="V626" s="76"/>
      <c r="W626" s="76"/>
      <c r="X626" s="76"/>
      <c r="Y626" s="76"/>
      <c r="Z626" s="76"/>
    </row>
    <row r="627" ht="22.5" customHeight="1">
      <c r="A627" s="140"/>
      <c r="B627" s="140"/>
      <c r="C627" s="141" t="s">
        <v>6420</v>
      </c>
      <c r="D627" s="141" t="s">
        <v>6421</v>
      </c>
      <c r="E627" s="76"/>
      <c r="F627" s="76"/>
      <c r="G627" s="76"/>
      <c r="H627" s="76"/>
      <c r="I627" s="76"/>
      <c r="J627" s="76"/>
      <c r="K627" s="76"/>
      <c r="L627" s="76"/>
      <c r="M627" s="76"/>
      <c r="N627" s="76"/>
      <c r="O627" s="76"/>
      <c r="P627" s="76"/>
      <c r="Q627" s="76"/>
      <c r="R627" s="76"/>
      <c r="S627" s="76"/>
      <c r="T627" s="76"/>
      <c r="U627" s="76"/>
      <c r="V627" s="76"/>
      <c r="W627" s="76"/>
      <c r="X627" s="76"/>
      <c r="Y627" s="76"/>
      <c r="Z627" s="76"/>
    </row>
    <row r="628" ht="22.5" customHeight="1">
      <c r="A628" s="140"/>
      <c r="B628" s="140"/>
      <c r="C628" s="141" t="s">
        <v>6422</v>
      </c>
      <c r="D628" s="141" t="s">
        <v>6423</v>
      </c>
      <c r="E628" s="76"/>
      <c r="F628" s="76"/>
      <c r="G628" s="76"/>
      <c r="H628" s="76"/>
      <c r="I628" s="76"/>
      <c r="J628" s="76"/>
      <c r="K628" s="76"/>
      <c r="L628" s="76"/>
      <c r="M628" s="76"/>
      <c r="N628" s="76"/>
      <c r="O628" s="76"/>
      <c r="P628" s="76"/>
      <c r="Q628" s="76"/>
      <c r="R628" s="76"/>
      <c r="S628" s="76"/>
      <c r="T628" s="76"/>
      <c r="U628" s="76"/>
      <c r="V628" s="76"/>
      <c r="W628" s="76"/>
      <c r="X628" s="76"/>
      <c r="Y628" s="76"/>
      <c r="Z628" s="76"/>
    </row>
    <row r="629" ht="22.5" customHeight="1">
      <c r="A629" s="140"/>
      <c r="B629" s="140"/>
      <c r="C629" s="141" t="s">
        <v>6424</v>
      </c>
      <c r="D629" s="141" t="s">
        <v>6425</v>
      </c>
      <c r="E629" s="76"/>
      <c r="F629" s="76"/>
      <c r="G629" s="76"/>
      <c r="H629" s="76"/>
      <c r="I629" s="76"/>
      <c r="J629" s="76"/>
      <c r="K629" s="76"/>
      <c r="L629" s="76"/>
      <c r="M629" s="76"/>
      <c r="N629" s="76"/>
      <c r="O629" s="76"/>
      <c r="P629" s="76"/>
      <c r="Q629" s="76"/>
      <c r="R629" s="76"/>
      <c r="S629" s="76"/>
      <c r="T629" s="76"/>
      <c r="U629" s="76"/>
      <c r="V629" s="76"/>
      <c r="W629" s="76"/>
      <c r="X629" s="76"/>
      <c r="Y629" s="76"/>
      <c r="Z629" s="76"/>
    </row>
    <row r="630" ht="22.5" customHeight="1">
      <c r="A630" s="140"/>
      <c r="B630" s="140"/>
      <c r="C630" s="141" t="s">
        <v>6426</v>
      </c>
      <c r="D630" s="141" t="s">
        <v>6427</v>
      </c>
      <c r="E630" s="76"/>
      <c r="F630" s="76"/>
      <c r="G630" s="76"/>
      <c r="H630" s="76"/>
      <c r="I630" s="76"/>
      <c r="J630" s="76"/>
      <c r="K630" s="76"/>
      <c r="L630" s="76"/>
      <c r="M630" s="76"/>
      <c r="N630" s="76"/>
      <c r="O630" s="76"/>
      <c r="P630" s="76"/>
      <c r="Q630" s="76"/>
      <c r="R630" s="76"/>
      <c r="S630" s="76"/>
      <c r="T630" s="76"/>
      <c r="U630" s="76"/>
      <c r="V630" s="76"/>
      <c r="W630" s="76"/>
      <c r="X630" s="76"/>
      <c r="Y630" s="76"/>
      <c r="Z630" s="76"/>
    </row>
    <row r="631" ht="22.5" customHeight="1">
      <c r="A631" s="140"/>
      <c r="B631" s="140"/>
      <c r="C631" s="141" t="s">
        <v>6428</v>
      </c>
      <c r="D631" s="141" t="s">
        <v>6429</v>
      </c>
      <c r="E631" s="76"/>
      <c r="F631" s="76"/>
      <c r="G631" s="76"/>
      <c r="H631" s="76"/>
      <c r="I631" s="76"/>
      <c r="J631" s="76"/>
      <c r="K631" s="76"/>
      <c r="L631" s="76"/>
      <c r="M631" s="76"/>
      <c r="N631" s="76"/>
      <c r="O631" s="76"/>
      <c r="P631" s="76"/>
      <c r="Q631" s="76"/>
      <c r="R631" s="76"/>
      <c r="S631" s="76"/>
      <c r="T631" s="76"/>
      <c r="U631" s="76"/>
      <c r="V631" s="76"/>
      <c r="W631" s="76"/>
      <c r="X631" s="76"/>
      <c r="Y631" s="76"/>
      <c r="Z631" s="76"/>
    </row>
    <row r="632" ht="22.5" customHeight="1">
      <c r="A632" s="140"/>
      <c r="B632" s="140"/>
      <c r="C632" s="141" t="s">
        <v>6430</v>
      </c>
      <c r="D632" s="141" t="s">
        <v>6431</v>
      </c>
      <c r="E632" s="76"/>
      <c r="F632" s="76"/>
      <c r="G632" s="76"/>
      <c r="H632" s="76"/>
      <c r="I632" s="76"/>
      <c r="J632" s="76"/>
      <c r="K632" s="76"/>
      <c r="L632" s="76"/>
      <c r="M632" s="76"/>
      <c r="N632" s="76"/>
      <c r="O632" s="76"/>
      <c r="P632" s="76"/>
      <c r="Q632" s="76"/>
      <c r="R632" s="76"/>
      <c r="S632" s="76"/>
      <c r="T632" s="76"/>
      <c r="U632" s="76"/>
      <c r="V632" s="76"/>
      <c r="W632" s="76"/>
      <c r="X632" s="76"/>
      <c r="Y632" s="76"/>
      <c r="Z632" s="76"/>
    </row>
    <row r="633" ht="22.5" customHeight="1">
      <c r="A633" s="140"/>
      <c r="B633" s="140"/>
      <c r="C633" s="141" t="s">
        <v>6432</v>
      </c>
      <c r="D633" s="141" t="s">
        <v>6433</v>
      </c>
      <c r="E633" s="76"/>
      <c r="F633" s="76"/>
      <c r="G633" s="76"/>
      <c r="H633" s="76"/>
      <c r="I633" s="76"/>
      <c r="J633" s="76"/>
      <c r="K633" s="76"/>
      <c r="L633" s="76"/>
      <c r="M633" s="76"/>
      <c r="N633" s="76"/>
      <c r="O633" s="76"/>
      <c r="P633" s="76"/>
      <c r="Q633" s="76"/>
      <c r="R633" s="76"/>
      <c r="S633" s="76"/>
      <c r="T633" s="76"/>
      <c r="U633" s="76"/>
      <c r="V633" s="76"/>
      <c r="W633" s="76"/>
      <c r="X633" s="76"/>
      <c r="Y633" s="76"/>
      <c r="Z633" s="76"/>
    </row>
    <row r="634" ht="22.5" customHeight="1">
      <c r="A634" s="140"/>
      <c r="B634" s="140"/>
      <c r="C634" s="141" t="s">
        <v>6434</v>
      </c>
      <c r="D634" s="141" t="s">
        <v>6435</v>
      </c>
      <c r="E634" s="76"/>
      <c r="F634" s="76"/>
      <c r="G634" s="76"/>
      <c r="H634" s="76"/>
      <c r="I634" s="76"/>
      <c r="J634" s="76"/>
      <c r="K634" s="76"/>
      <c r="L634" s="76"/>
      <c r="M634" s="76"/>
      <c r="N634" s="76"/>
      <c r="O634" s="76"/>
      <c r="P634" s="76"/>
      <c r="Q634" s="76"/>
      <c r="R634" s="76"/>
      <c r="S634" s="76"/>
      <c r="T634" s="76"/>
      <c r="U634" s="76"/>
      <c r="V634" s="76"/>
      <c r="W634" s="76"/>
      <c r="X634" s="76"/>
      <c r="Y634" s="76"/>
      <c r="Z634" s="76"/>
    </row>
    <row r="635" ht="22.5" customHeight="1">
      <c r="A635" s="140"/>
      <c r="B635" s="140"/>
      <c r="C635" s="141" t="s">
        <v>6436</v>
      </c>
      <c r="D635" s="141" t="s">
        <v>6437</v>
      </c>
      <c r="E635" s="76"/>
      <c r="F635" s="76"/>
      <c r="G635" s="76"/>
      <c r="H635" s="76"/>
      <c r="I635" s="76"/>
      <c r="J635" s="76"/>
      <c r="K635" s="76"/>
      <c r="L635" s="76"/>
      <c r="M635" s="76"/>
      <c r="N635" s="76"/>
      <c r="O635" s="76"/>
      <c r="P635" s="76"/>
      <c r="Q635" s="76"/>
      <c r="R635" s="76"/>
      <c r="S635" s="76"/>
      <c r="T635" s="76"/>
      <c r="U635" s="76"/>
      <c r="V635" s="76"/>
      <c r="W635" s="76"/>
      <c r="X635" s="76"/>
      <c r="Y635" s="76"/>
      <c r="Z635" s="76"/>
    </row>
    <row r="636" ht="22.5" customHeight="1">
      <c r="A636" s="140"/>
      <c r="B636" s="140"/>
      <c r="C636" s="141" t="s">
        <v>6438</v>
      </c>
      <c r="D636" s="141" t="s">
        <v>6439</v>
      </c>
      <c r="E636" s="76"/>
      <c r="F636" s="76"/>
      <c r="G636" s="76"/>
      <c r="H636" s="76"/>
      <c r="I636" s="76"/>
      <c r="J636" s="76"/>
      <c r="K636" s="76"/>
      <c r="L636" s="76"/>
      <c r="M636" s="76"/>
      <c r="N636" s="76"/>
      <c r="O636" s="76"/>
      <c r="P636" s="76"/>
      <c r="Q636" s="76"/>
      <c r="R636" s="76"/>
      <c r="S636" s="76"/>
      <c r="T636" s="76"/>
      <c r="U636" s="76"/>
      <c r="V636" s="76"/>
      <c r="W636" s="76"/>
      <c r="X636" s="76"/>
      <c r="Y636" s="76"/>
      <c r="Z636" s="76"/>
    </row>
    <row r="637" ht="22.5" customHeight="1">
      <c r="A637" s="140"/>
      <c r="B637" s="140"/>
      <c r="C637" s="141" t="s">
        <v>6440</v>
      </c>
      <c r="D637" s="141" t="s">
        <v>6441</v>
      </c>
      <c r="E637" s="76"/>
      <c r="F637" s="76"/>
      <c r="G637" s="76"/>
      <c r="H637" s="76"/>
      <c r="I637" s="76"/>
      <c r="J637" s="76"/>
      <c r="K637" s="76"/>
      <c r="L637" s="76"/>
      <c r="M637" s="76"/>
      <c r="N637" s="76"/>
      <c r="O637" s="76"/>
      <c r="P637" s="76"/>
      <c r="Q637" s="76"/>
      <c r="R637" s="76"/>
      <c r="S637" s="76"/>
      <c r="T637" s="76"/>
      <c r="U637" s="76"/>
      <c r="V637" s="76"/>
      <c r="W637" s="76"/>
      <c r="X637" s="76"/>
      <c r="Y637" s="76"/>
      <c r="Z637" s="76"/>
    </row>
    <row r="638" ht="22.5" customHeight="1">
      <c r="A638" s="140"/>
      <c r="B638" s="140"/>
      <c r="C638" s="141" t="s">
        <v>6442</v>
      </c>
      <c r="D638" s="141" t="s">
        <v>6443</v>
      </c>
      <c r="E638" s="76"/>
      <c r="F638" s="76"/>
      <c r="G638" s="76"/>
      <c r="H638" s="76"/>
      <c r="I638" s="76"/>
      <c r="J638" s="76"/>
      <c r="K638" s="76"/>
      <c r="L638" s="76"/>
      <c r="M638" s="76"/>
      <c r="N638" s="76"/>
      <c r="O638" s="76"/>
      <c r="P638" s="76"/>
      <c r="Q638" s="76"/>
      <c r="R638" s="76"/>
      <c r="S638" s="76"/>
      <c r="T638" s="76"/>
      <c r="U638" s="76"/>
      <c r="V638" s="76"/>
      <c r="W638" s="76"/>
      <c r="X638" s="76"/>
      <c r="Y638" s="76"/>
      <c r="Z638" s="76"/>
    </row>
    <row r="639" ht="22.5" customHeight="1">
      <c r="A639" s="140"/>
      <c r="B639" s="140"/>
      <c r="C639" s="141" t="s">
        <v>6444</v>
      </c>
      <c r="D639" s="141" t="s">
        <v>6445</v>
      </c>
      <c r="E639" s="76"/>
      <c r="F639" s="76"/>
      <c r="G639" s="76"/>
      <c r="H639" s="76"/>
      <c r="I639" s="76"/>
      <c r="J639" s="76"/>
      <c r="K639" s="76"/>
      <c r="L639" s="76"/>
      <c r="M639" s="76"/>
      <c r="N639" s="76"/>
      <c r="O639" s="76"/>
      <c r="P639" s="76"/>
      <c r="Q639" s="76"/>
      <c r="R639" s="76"/>
      <c r="S639" s="76"/>
      <c r="T639" s="76"/>
      <c r="U639" s="76"/>
      <c r="V639" s="76"/>
      <c r="W639" s="76"/>
      <c r="X639" s="76"/>
      <c r="Y639" s="76"/>
      <c r="Z639" s="76"/>
    </row>
    <row r="640" ht="22.5" customHeight="1">
      <c r="A640" s="140"/>
      <c r="B640" s="140"/>
      <c r="C640" s="141" t="s">
        <v>6446</v>
      </c>
      <c r="D640" s="141" t="s">
        <v>6447</v>
      </c>
      <c r="E640" s="76"/>
      <c r="F640" s="76"/>
      <c r="G640" s="76"/>
      <c r="H640" s="76"/>
      <c r="I640" s="76"/>
      <c r="J640" s="76"/>
      <c r="K640" s="76"/>
      <c r="L640" s="76"/>
      <c r="M640" s="76"/>
      <c r="N640" s="76"/>
      <c r="O640" s="76"/>
      <c r="P640" s="76"/>
      <c r="Q640" s="76"/>
      <c r="R640" s="76"/>
      <c r="S640" s="76"/>
      <c r="T640" s="76"/>
      <c r="U640" s="76"/>
      <c r="V640" s="76"/>
      <c r="W640" s="76"/>
      <c r="X640" s="76"/>
      <c r="Y640" s="76"/>
      <c r="Z640" s="76"/>
    </row>
    <row r="641" ht="22.5" customHeight="1">
      <c r="A641" s="140"/>
      <c r="B641" s="140"/>
      <c r="C641" s="141" t="s">
        <v>6448</v>
      </c>
      <c r="D641" s="141" t="s">
        <v>6449</v>
      </c>
      <c r="E641" s="76"/>
      <c r="F641" s="76"/>
      <c r="G641" s="76"/>
      <c r="H641" s="76"/>
      <c r="I641" s="76"/>
      <c r="J641" s="76"/>
      <c r="K641" s="76"/>
      <c r="L641" s="76"/>
      <c r="M641" s="76"/>
      <c r="N641" s="76"/>
      <c r="O641" s="76"/>
      <c r="P641" s="76"/>
      <c r="Q641" s="76"/>
      <c r="R641" s="76"/>
      <c r="S641" s="76"/>
      <c r="T641" s="76"/>
      <c r="U641" s="76"/>
      <c r="V641" s="76"/>
      <c r="W641" s="76"/>
      <c r="X641" s="76"/>
      <c r="Y641" s="76"/>
      <c r="Z641" s="76"/>
    </row>
    <row r="642" ht="22.5" customHeight="1">
      <c r="A642" s="140"/>
      <c r="B642" s="140"/>
      <c r="C642" s="141" t="s">
        <v>6450</v>
      </c>
      <c r="D642" s="141" t="s">
        <v>6451</v>
      </c>
      <c r="E642" s="76"/>
      <c r="F642" s="76"/>
      <c r="G642" s="76"/>
      <c r="H642" s="76"/>
      <c r="I642" s="76"/>
      <c r="J642" s="76"/>
      <c r="K642" s="76"/>
      <c r="L642" s="76"/>
      <c r="M642" s="76"/>
      <c r="N642" s="76"/>
      <c r="O642" s="76"/>
      <c r="P642" s="76"/>
      <c r="Q642" s="76"/>
      <c r="R642" s="76"/>
      <c r="S642" s="76"/>
      <c r="T642" s="76"/>
      <c r="U642" s="76"/>
      <c r="V642" s="76"/>
      <c r="W642" s="76"/>
      <c r="X642" s="76"/>
      <c r="Y642" s="76"/>
      <c r="Z642" s="76"/>
    </row>
    <row r="643" ht="22.5" customHeight="1">
      <c r="A643" s="140"/>
      <c r="B643" s="140"/>
      <c r="C643" s="141" t="s">
        <v>6452</v>
      </c>
      <c r="D643" s="141" t="s">
        <v>6453</v>
      </c>
      <c r="E643" s="76"/>
      <c r="F643" s="76"/>
      <c r="G643" s="76"/>
      <c r="H643" s="76"/>
      <c r="I643" s="76"/>
      <c r="J643" s="76"/>
      <c r="K643" s="76"/>
      <c r="L643" s="76"/>
      <c r="M643" s="76"/>
      <c r="N643" s="76"/>
      <c r="O643" s="76"/>
      <c r="P643" s="76"/>
      <c r="Q643" s="76"/>
      <c r="R643" s="76"/>
      <c r="S643" s="76"/>
      <c r="T643" s="76"/>
      <c r="U643" s="76"/>
      <c r="V643" s="76"/>
      <c r="W643" s="76"/>
      <c r="X643" s="76"/>
      <c r="Y643" s="76"/>
      <c r="Z643" s="76"/>
    </row>
    <row r="644" ht="22.5" customHeight="1">
      <c r="A644" s="140"/>
      <c r="B644" s="140"/>
      <c r="C644" s="141" t="s">
        <v>6454</v>
      </c>
      <c r="D644" s="141" t="s">
        <v>6455</v>
      </c>
      <c r="E644" s="76"/>
      <c r="F644" s="76"/>
      <c r="G644" s="76"/>
      <c r="H644" s="76"/>
      <c r="I644" s="76"/>
      <c r="J644" s="76"/>
      <c r="K644" s="76"/>
      <c r="L644" s="76"/>
      <c r="M644" s="76"/>
      <c r="N644" s="76"/>
      <c r="O644" s="76"/>
      <c r="P644" s="76"/>
      <c r="Q644" s="76"/>
      <c r="R644" s="76"/>
      <c r="S644" s="76"/>
      <c r="T644" s="76"/>
      <c r="U644" s="76"/>
      <c r="V644" s="76"/>
      <c r="W644" s="76"/>
      <c r="X644" s="76"/>
      <c r="Y644" s="76"/>
      <c r="Z644" s="76"/>
    </row>
    <row r="645" ht="22.5" customHeight="1">
      <c r="A645" s="140"/>
      <c r="B645" s="140"/>
      <c r="C645" s="141" t="s">
        <v>6456</v>
      </c>
      <c r="D645" s="141" t="s">
        <v>6457</v>
      </c>
      <c r="E645" s="76"/>
      <c r="F645" s="76"/>
      <c r="G645" s="76"/>
      <c r="H645" s="76"/>
      <c r="I645" s="76"/>
      <c r="J645" s="76"/>
      <c r="K645" s="76"/>
      <c r="L645" s="76"/>
      <c r="M645" s="76"/>
      <c r="N645" s="76"/>
      <c r="O645" s="76"/>
      <c r="P645" s="76"/>
      <c r="Q645" s="76"/>
      <c r="R645" s="76"/>
      <c r="S645" s="76"/>
      <c r="T645" s="76"/>
      <c r="U645" s="76"/>
      <c r="V645" s="76"/>
      <c r="W645" s="76"/>
      <c r="X645" s="76"/>
      <c r="Y645" s="76"/>
      <c r="Z645" s="76"/>
    </row>
    <row r="646" ht="22.5" customHeight="1">
      <c r="A646" s="140"/>
      <c r="B646" s="140"/>
      <c r="C646" s="141" t="s">
        <v>6458</v>
      </c>
      <c r="D646" s="141" t="s">
        <v>6459</v>
      </c>
      <c r="E646" s="76"/>
      <c r="F646" s="76"/>
      <c r="G646" s="76"/>
      <c r="H646" s="76"/>
      <c r="I646" s="76"/>
      <c r="J646" s="76"/>
      <c r="K646" s="76"/>
      <c r="L646" s="76"/>
      <c r="M646" s="76"/>
      <c r="N646" s="76"/>
      <c r="O646" s="76"/>
      <c r="P646" s="76"/>
      <c r="Q646" s="76"/>
      <c r="R646" s="76"/>
      <c r="S646" s="76"/>
      <c r="T646" s="76"/>
      <c r="U646" s="76"/>
      <c r="V646" s="76"/>
      <c r="W646" s="76"/>
      <c r="X646" s="76"/>
      <c r="Y646" s="76"/>
      <c r="Z646" s="76"/>
    </row>
    <row r="647" ht="22.5" customHeight="1">
      <c r="A647" s="140"/>
      <c r="B647" s="140"/>
      <c r="C647" s="141" t="s">
        <v>6460</v>
      </c>
      <c r="D647" s="141" t="s">
        <v>6461</v>
      </c>
      <c r="E647" s="76"/>
      <c r="F647" s="76"/>
      <c r="G647" s="76"/>
      <c r="H647" s="76"/>
      <c r="I647" s="76"/>
      <c r="J647" s="76"/>
      <c r="K647" s="76"/>
      <c r="L647" s="76"/>
      <c r="M647" s="76"/>
      <c r="N647" s="76"/>
      <c r="O647" s="76"/>
      <c r="P647" s="76"/>
      <c r="Q647" s="76"/>
      <c r="R647" s="76"/>
      <c r="S647" s="76"/>
      <c r="T647" s="76"/>
      <c r="U647" s="76"/>
      <c r="V647" s="76"/>
      <c r="W647" s="76"/>
      <c r="X647" s="76"/>
      <c r="Y647" s="76"/>
      <c r="Z647" s="76"/>
    </row>
    <row r="648" ht="22.5" customHeight="1">
      <c r="A648" s="140"/>
      <c r="B648" s="140"/>
      <c r="C648" s="141" t="s">
        <v>6462</v>
      </c>
      <c r="D648" s="141" t="s">
        <v>6463</v>
      </c>
      <c r="E648" s="76"/>
      <c r="F648" s="76"/>
      <c r="G648" s="76"/>
      <c r="H648" s="76"/>
      <c r="I648" s="76"/>
      <c r="J648" s="76"/>
      <c r="K648" s="76"/>
      <c r="L648" s="76"/>
      <c r="M648" s="76"/>
      <c r="N648" s="76"/>
      <c r="O648" s="76"/>
      <c r="P648" s="76"/>
      <c r="Q648" s="76"/>
      <c r="R648" s="76"/>
      <c r="S648" s="76"/>
      <c r="T648" s="76"/>
      <c r="U648" s="76"/>
      <c r="V648" s="76"/>
      <c r="W648" s="76"/>
      <c r="X648" s="76"/>
      <c r="Y648" s="76"/>
      <c r="Z648" s="76"/>
    </row>
    <row r="649" ht="22.5" customHeight="1">
      <c r="A649" s="140"/>
      <c r="B649" s="140"/>
      <c r="C649" s="141" t="s">
        <v>6464</v>
      </c>
      <c r="D649" s="141" t="s">
        <v>6465</v>
      </c>
      <c r="E649" s="76"/>
      <c r="F649" s="76"/>
      <c r="G649" s="76"/>
      <c r="H649" s="76"/>
      <c r="I649" s="76"/>
      <c r="J649" s="76"/>
      <c r="K649" s="76"/>
      <c r="L649" s="76"/>
      <c r="M649" s="76"/>
      <c r="N649" s="76"/>
      <c r="O649" s="76"/>
      <c r="P649" s="76"/>
      <c r="Q649" s="76"/>
      <c r="R649" s="76"/>
      <c r="S649" s="76"/>
      <c r="T649" s="76"/>
      <c r="U649" s="76"/>
      <c r="V649" s="76"/>
      <c r="W649" s="76"/>
      <c r="X649" s="76"/>
      <c r="Y649" s="76"/>
      <c r="Z649" s="76"/>
    </row>
    <row r="650" ht="22.5" customHeight="1">
      <c r="A650" s="140"/>
      <c r="B650" s="140"/>
      <c r="C650" s="141" t="s">
        <v>6466</v>
      </c>
      <c r="D650" s="141" t="s">
        <v>6467</v>
      </c>
      <c r="E650" s="76"/>
      <c r="F650" s="76"/>
      <c r="G650" s="76"/>
      <c r="H650" s="76"/>
      <c r="I650" s="76"/>
      <c r="J650" s="76"/>
      <c r="K650" s="76"/>
      <c r="L650" s="76"/>
      <c r="M650" s="76"/>
      <c r="N650" s="76"/>
      <c r="O650" s="76"/>
      <c r="P650" s="76"/>
      <c r="Q650" s="76"/>
      <c r="R650" s="76"/>
      <c r="S650" s="76"/>
      <c r="T650" s="76"/>
      <c r="U650" s="76"/>
      <c r="V650" s="76"/>
      <c r="W650" s="76"/>
      <c r="X650" s="76"/>
      <c r="Y650" s="76"/>
      <c r="Z650" s="76"/>
    </row>
    <row r="651" ht="22.5" customHeight="1">
      <c r="A651" s="140"/>
      <c r="B651" s="140"/>
      <c r="C651" s="141" t="s">
        <v>6468</v>
      </c>
      <c r="D651" s="141" t="s">
        <v>6469</v>
      </c>
      <c r="E651" s="76"/>
      <c r="F651" s="76"/>
      <c r="G651" s="76"/>
      <c r="H651" s="76"/>
      <c r="I651" s="76"/>
      <c r="J651" s="76"/>
      <c r="K651" s="76"/>
      <c r="L651" s="76"/>
      <c r="M651" s="76"/>
      <c r="N651" s="76"/>
      <c r="O651" s="76"/>
      <c r="P651" s="76"/>
      <c r="Q651" s="76"/>
      <c r="R651" s="76"/>
      <c r="S651" s="76"/>
      <c r="T651" s="76"/>
      <c r="U651" s="76"/>
      <c r="V651" s="76"/>
      <c r="W651" s="76"/>
      <c r="X651" s="76"/>
      <c r="Y651" s="76"/>
      <c r="Z651" s="76"/>
    </row>
    <row r="652" ht="22.5" customHeight="1">
      <c r="A652" s="140"/>
      <c r="B652" s="140"/>
      <c r="C652" s="141" t="s">
        <v>6470</v>
      </c>
      <c r="D652" s="141" t="s">
        <v>6471</v>
      </c>
      <c r="E652" s="76"/>
      <c r="F652" s="76"/>
      <c r="G652" s="76"/>
      <c r="H652" s="76"/>
      <c r="I652" s="76"/>
      <c r="J652" s="76"/>
      <c r="K652" s="76"/>
      <c r="L652" s="76"/>
      <c r="M652" s="76"/>
      <c r="N652" s="76"/>
      <c r="O652" s="76"/>
      <c r="P652" s="76"/>
      <c r="Q652" s="76"/>
      <c r="R652" s="76"/>
      <c r="S652" s="76"/>
      <c r="T652" s="76"/>
      <c r="U652" s="76"/>
      <c r="V652" s="76"/>
      <c r="W652" s="76"/>
      <c r="X652" s="76"/>
      <c r="Y652" s="76"/>
      <c r="Z652" s="76"/>
    </row>
    <row r="653" ht="22.5" customHeight="1">
      <c r="A653" s="140"/>
      <c r="B653" s="140"/>
      <c r="C653" s="141" t="s">
        <v>6472</v>
      </c>
      <c r="D653" s="141" t="s">
        <v>6473</v>
      </c>
      <c r="E653" s="76"/>
      <c r="F653" s="76"/>
      <c r="G653" s="76"/>
      <c r="H653" s="76"/>
      <c r="I653" s="76"/>
      <c r="J653" s="76"/>
      <c r="K653" s="76"/>
      <c r="L653" s="76"/>
      <c r="M653" s="76"/>
      <c r="N653" s="76"/>
      <c r="O653" s="76"/>
      <c r="P653" s="76"/>
      <c r="Q653" s="76"/>
      <c r="R653" s="76"/>
      <c r="S653" s="76"/>
      <c r="T653" s="76"/>
      <c r="U653" s="76"/>
      <c r="V653" s="76"/>
      <c r="W653" s="76"/>
      <c r="X653" s="76"/>
      <c r="Y653" s="76"/>
      <c r="Z653" s="76"/>
    </row>
    <row r="654" ht="22.5" customHeight="1">
      <c r="A654" s="140"/>
      <c r="B654" s="140"/>
      <c r="C654" s="141" t="s">
        <v>6474</v>
      </c>
      <c r="D654" s="141" t="s">
        <v>6475</v>
      </c>
      <c r="E654" s="76"/>
      <c r="F654" s="76"/>
      <c r="G654" s="76"/>
      <c r="H654" s="76"/>
      <c r="I654" s="76"/>
      <c r="J654" s="76"/>
      <c r="K654" s="76"/>
      <c r="L654" s="76"/>
      <c r="M654" s="76"/>
      <c r="N654" s="76"/>
      <c r="O654" s="76"/>
      <c r="P654" s="76"/>
      <c r="Q654" s="76"/>
      <c r="R654" s="76"/>
      <c r="S654" s="76"/>
      <c r="T654" s="76"/>
      <c r="U654" s="76"/>
      <c r="V654" s="76"/>
      <c r="W654" s="76"/>
      <c r="X654" s="76"/>
      <c r="Y654" s="76"/>
      <c r="Z654" s="76"/>
    </row>
    <row r="655" ht="22.5" customHeight="1">
      <c r="A655" s="140"/>
      <c r="B655" s="140"/>
      <c r="C655" s="141" t="s">
        <v>6476</v>
      </c>
      <c r="D655" s="141" t="s">
        <v>6477</v>
      </c>
      <c r="E655" s="76"/>
      <c r="F655" s="76"/>
      <c r="G655" s="76"/>
      <c r="H655" s="76"/>
      <c r="I655" s="76"/>
      <c r="J655" s="76"/>
      <c r="K655" s="76"/>
      <c r="L655" s="76"/>
      <c r="M655" s="76"/>
      <c r="N655" s="76"/>
      <c r="O655" s="76"/>
      <c r="P655" s="76"/>
      <c r="Q655" s="76"/>
      <c r="R655" s="76"/>
      <c r="S655" s="76"/>
      <c r="T655" s="76"/>
      <c r="U655" s="76"/>
      <c r="V655" s="76"/>
      <c r="W655" s="76"/>
      <c r="X655" s="76"/>
      <c r="Y655" s="76"/>
      <c r="Z655" s="76"/>
    </row>
    <row r="656" ht="22.5" customHeight="1">
      <c r="A656" s="140"/>
      <c r="B656" s="140"/>
      <c r="C656" s="141" t="s">
        <v>6478</v>
      </c>
      <c r="D656" s="141" t="s">
        <v>6479</v>
      </c>
      <c r="E656" s="76"/>
      <c r="F656" s="76"/>
      <c r="G656" s="76"/>
      <c r="H656" s="76"/>
      <c r="I656" s="76"/>
      <c r="J656" s="76"/>
      <c r="K656" s="76"/>
      <c r="L656" s="76"/>
      <c r="M656" s="76"/>
      <c r="N656" s="76"/>
      <c r="O656" s="76"/>
      <c r="P656" s="76"/>
      <c r="Q656" s="76"/>
      <c r="R656" s="76"/>
      <c r="S656" s="76"/>
      <c r="T656" s="76"/>
      <c r="U656" s="76"/>
      <c r="V656" s="76"/>
      <c r="W656" s="76"/>
      <c r="X656" s="76"/>
      <c r="Y656" s="76"/>
      <c r="Z656" s="76"/>
    </row>
    <row r="657" ht="22.5" customHeight="1">
      <c r="A657" s="140"/>
      <c r="B657" s="140"/>
      <c r="C657" s="141" t="s">
        <v>6480</v>
      </c>
      <c r="D657" s="141" t="s">
        <v>6481</v>
      </c>
      <c r="E657" s="76"/>
      <c r="F657" s="76"/>
      <c r="G657" s="76"/>
      <c r="H657" s="76"/>
      <c r="I657" s="76"/>
      <c r="J657" s="76"/>
      <c r="K657" s="76"/>
      <c r="L657" s="76"/>
      <c r="M657" s="76"/>
      <c r="N657" s="76"/>
      <c r="O657" s="76"/>
      <c r="P657" s="76"/>
      <c r="Q657" s="76"/>
      <c r="R657" s="76"/>
      <c r="S657" s="76"/>
      <c r="T657" s="76"/>
      <c r="U657" s="76"/>
      <c r="V657" s="76"/>
      <c r="W657" s="76"/>
      <c r="X657" s="76"/>
      <c r="Y657" s="76"/>
      <c r="Z657" s="76"/>
    </row>
    <row r="658" ht="22.5" customHeight="1">
      <c r="A658" s="140"/>
      <c r="B658" s="140"/>
      <c r="C658" s="141" t="s">
        <v>6482</v>
      </c>
      <c r="D658" s="141" t="s">
        <v>6483</v>
      </c>
      <c r="E658" s="76"/>
      <c r="F658" s="76"/>
      <c r="G658" s="76"/>
      <c r="H658" s="76"/>
      <c r="I658" s="76"/>
      <c r="J658" s="76"/>
      <c r="K658" s="76"/>
      <c r="L658" s="76"/>
      <c r="M658" s="76"/>
      <c r="N658" s="76"/>
      <c r="O658" s="76"/>
      <c r="P658" s="76"/>
      <c r="Q658" s="76"/>
      <c r="R658" s="76"/>
      <c r="S658" s="76"/>
      <c r="T658" s="76"/>
      <c r="U658" s="76"/>
      <c r="V658" s="76"/>
      <c r="W658" s="76"/>
      <c r="X658" s="76"/>
      <c r="Y658" s="76"/>
      <c r="Z658" s="76"/>
    </row>
    <row r="659" ht="22.5" customHeight="1">
      <c r="A659" s="140"/>
      <c r="B659" s="140"/>
      <c r="C659" s="141" t="s">
        <v>6484</v>
      </c>
      <c r="D659" s="141" t="s">
        <v>6485</v>
      </c>
      <c r="E659" s="76"/>
      <c r="F659" s="76"/>
      <c r="G659" s="76"/>
      <c r="H659" s="76"/>
      <c r="I659" s="76"/>
      <c r="J659" s="76"/>
      <c r="K659" s="76"/>
      <c r="L659" s="76"/>
      <c r="M659" s="76"/>
      <c r="N659" s="76"/>
      <c r="O659" s="76"/>
      <c r="P659" s="76"/>
      <c r="Q659" s="76"/>
      <c r="R659" s="76"/>
      <c r="S659" s="76"/>
      <c r="T659" s="76"/>
      <c r="U659" s="76"/>
      <c r="V659" s="76"/>
      <c r="W659" s="76"/>
      <c r="X659" s="76"/>
      <c r="Y659" s="76"/>
      <c r="Z659" s="76"/>
    </row>
    <row r="660" ht="22.5" customHeight="1">
      <c r="A660" s="140"/>
      <c r="B660" s="140"/>
      <c r="C660" s="141" t="s">
        <v>6486</v>
      </c>
      <c r="D660" s="141" t="s">
        <v>6487</v>
      </c>
      <c r="E660" s="76"/>
      <c r="F660" s="76"/>
      <c r="G660" s="76"/>
      <c r="H660" s="76"/>
      <c r="I660" s="76"/>
      <c r="J660" s="76"/>
      <c r="K660" s="76"/>
      <c r="L660" s="76"/>
      <c r="M660" s="76"/>
      <c r="N660" s="76"/>
      <c r="O660" s="76"/>
      <c r="P660" s="76"/>
      <c r="Q660" s="76"/>
      <c r="R660" s="76"/>
      <c r="S660" s="76"/>
      <c r="T660" s="76"/>
      <c r="U660" s="76"/>
      <c r="V660" s="76"/>
      <c r="W660" s="76"/>
      <c r="X660" s="76"/>
      <c r="Y660" s="76"/>
      <c r="Z660" s="76"/>
    </row>
    <row r="661" ht="22.5" customHeight="1">
      <c r="A661" s="140"/>
      <c r="B661" s="140"/>
      <c r="C661" s="141" t="s">
        <v>6488</v>
      </c>
      <c r="D661" s="141" t="s">
        <v>6489</v>
      </c>
      <c r="E661" s="76"/>
      <c r="F661" s="76"/>
      <c r="G661" s="76"/>
      <c r="H661" s="76"/>
      <c r="I661" s="76"/>
      <c r="J661" s="76"/>
      <c r="K661" s="76"/>
      <c r="L661" s="76"/>
      <c r="M661" s="76"/>
      <c r="N661" s="76"/>
      <c r="O661" s="76"/>
      <c r="P661" s="76"/>
      <c r="Q661" s="76"/>
      <c r="R661" s="76"/>
      <c r="S661" s="76"/>
      <c r="T661" s="76"/>
      <c r="U661" s="76"/>
      <c r="V661" s="76"/>
      <c r="W661" s="76"/>
      <c r="X661" s="76"/>
      <c r="Y661" s="76"/>
      <c r="Z661" s="76"/>
    </row>
    <row r="662" ht="22.5" customHeight="1">
      <c r="A662" s="140"/>
      <c r="B662" s="140"/>
      <c r="C662" s="141" t="s">
        <v>6490</v>
      </c>
      <c r="D662" s="141" t="s">
        <v>6491</v>
      </c>
      <c r="E662" s="76"/>
      <c r="F662" s="76"/>
      <c r="G662" s="76"/>
      <c r="H662" s="76"/>
      <c r="I662" s="76"/>
      <c r="J662" s="76"/>
      <c r="K662" s="76"/>
      <c r="L662" s="76"/>
      <c r="M662" s="76"/>
      <c r="N662" s="76"/>
      <c r="O662" s="76"/>
      <c r="P662" s="76"/>
      <c r="Q662" s="76"/>
      <c r="R662" s="76"/>
      <c r="S662" s="76"/>
      <c r="T662" s="76"/>
      <c r="U662" s="76"/>
      <c r="V662" s="76"/>
      <c r="W662" s="76"/>
      <c r="X662" s="76"/>
      <c r="Y662" s="76"/>
      <c r="Z662" s="76"/>
    </row>
    <row r="663" ht="22.5" customHeight="1">
      <c r="A663" s="140"/>
      <c r="B663" s="140"/>
      <c r="C663" s="141" t="s">
        <v>6492</v>
      </c>
      <c r="D663" s="141" t="s">
        <v>6493</v>
      </c>
      <c r="E663" s="76"/>
      <c r="F663" s="76"/>
      <c r="G663" s="76"/>
      <c r="H663" s="76"/>
      <c r="I663" s="76"/>
      <c r="J663" s="76"/>
      <c r="K663" s="76"/>
      <c r="L663" s="76"/>
      <c r="M663" s="76"/>
      <c r="N663" s="76"/>
      <c r="O663" s="76"/>
      <c r="P663" s="76"/>
      <c r="Q663" s="76"/>
      <c r="R663" s="76"/>
      <c r="S663" s="76"/>
      <c r="T663" s="76"/>
      <c r="U663" s="76"/>
      <c r="V663" s="76"/>
      <c r="W663" s="76"/>
      <c r="X663" s="76"/>
      <c r="Y663" s="76"/>
      <c r="Z663" s="76"/>
    </row>
    <row r="664" ht="22.5" customHeight="1">
      <c r="A664" s="140"/>
      <c r="B664" s="140"/>
      <c r="C664" s="141" t="s">
        <v>6494</v>
      </c>
      <c r="D664" s="141" t="s">
        <v>6495</v>
      </c>
      <c r="E664" s="76"/>
      <c r="F664" s="76"/>
      <c r="G664" s="76"/>
      <c r="H664" s="76"/>
      <c r="I664" s="76"/>
      <c r="J664" s="76"/>
      <c r="K664" s="76"/>
      <c r="L664" s="76"/>
      <c r="M664" s="76"/>
      <c r="N664" s="76"/>
      <c r="O664" s="76"/>
      <c r="P664" s="76"/>
      <c r="Q664" s="76"/>
      <c r="R664" s="76"/>
      <c r="S664" s="76"/>
      <c r="T664" s="76"/>
      <c r="U664" s="76"/>
      <c r="V664" s="76"/>
      <c r="W664" s="76"/>
      <c r="X664" s="76"/>
      <c r="Y664" s="76"/>
      <c r="Z664" s="76"/>
    </row>
    <row r="665" ht="22.5" customHeight="1">
      <c r="A665" s="140"/>
      <c r="B665" s="140"/>
      <c r="C665" s="141" t="s">
        <v>6496</v>
      </c>
      <c r="D665" s="141" t="s">
        <v>6497</v>
      </c>
      <c r="E665" s="76"/>
      <c r="F665" s="76"/>
      <c r="G665" s="76"/>
      <c r="H665" s="76"/>
      <c r="I665" s="76"/>
      <c r="J665" s="76"/>
      <c r="K665" s="76"/>
      <c r="L665" s="76"/>
      <c r="M665" s="76"/>
      <c r="N665" s="76"/>
      <c r="O665" s="76"/>
      <c r="P665" s="76"/>
      <c r="Q665" s="76"/>
      <c r="R665" s="76"/>
      <c r="S665" s="76"/>
      <c r="T665" s="76"/>
      <c r="U665" s="76"/>
      <c r="V665" s="76"/>
      <c r="W665" s="76"/>
      <c r="X665" s="76"/>
      <c r="Y665" s="76"/>
      <c r="Z665" s="76"/>
    </row>
    <row r="666" ht="22.5" customHeight="1">
      <c r="A666" s="140"/>
      <c r="B666" s="140"/>
      <c r="C666" s="141" t="s">
        <v>6498</v>
      </c>
      <c r="D666" s="141" t="s">
        <v>6499</v>
      </c>
      <c r="E666" s="76"/>
      <c r="F666" s="76"/>
      <c r="G666" s="76"/>
      <c r="H666" s="76"/>
      <c r="I666" s="76"/>
      <c r="J666" s="76"/>
      <c r="K666" s="76"/>
      <c r="L666" s="76"/>
      <c r="M666" s="76"/>
      <c r="N666" s="76"/>
      <c r="O666" s="76"/>
      <c r="P666" s="76"/>
      <c r="Q666" s="76"/>
      <c r="R666" s="76"/>
      <c r="S666" s="76"/>
      <c r="T666" s="76"/>
      <c r="U666" s="76"/>
      <c r="V666" s="76"/>
      <c r="W666" s="76"/>
      <c r="X666" s="76"/>
      <c r="Y666" s="76"/>
      <c r="Z666" s="76"/>
    </row>
    <row r="667" ht="22.5" customHeight="1">
      <c r="A667" s="140"/>
      <c r="B667" s="140"/>
      <c r="C667" s="141" t="s">
        <v>6500</v>
      </c>
      <c r="D667" s="141" t="s">
        <v>6501</v>
      </c>
      <c r="E667" s="76"/>
      <c r="F667" s="76"/>
      <c r="G667" s="76"/>
      <c r="H667" s="76"/>
      <c r="I667" s="76"/>
      <c r="J667" s="76"/>
      <c r="K667" s="76"/>
      <c r="L667" s="76"/>
      <c r="M667" s="76"/>
      <c r="N667" s="76"/>
      <c r="O667" s="76"/>
      <c r="P667" s="76"/>
      <c r="Q667" s="76"/>
      <c r="R667" s="76"/>
      <c r="S667" s="76"/>
      <c r="T667" s="76"/>
      <c r="U667" s="76"/>
      <c r="V667" s="76"/>
      <c r="W667" s="76"/>
      <c r="X667" s="76"/>
      <c r="Y667" s="76"/>
      <c r="Z667" s="76"/>
    </row>
    <row r="668" ht="22.5" customHeight="1">
      <c r="A668" s="140"/>
      <c r="B668" s="140"/>
      <c r="C668" s="141" t="s">
        <v>6502</v>
      </c>
      <c r="D668" s="141" t="s">
        <v>6503</v>
      </c>
      <c r="E668" s="76"/>
      <c r="F668" s="76"/>
      <c r="G668" s="76"/>
      <c r="H668" s="76"/>
      <c r="I668" s="76"/>
      <c r="J668" s="76"/>
      <c r="K668" s="76"/>
      <c r="L668" s="76"/>
      <c r="M668" s="76"/>
      <c r="N668" s="76"/>
      <c r="O668" s="76"/>
      <c r="P668" s="76"/>
      <c r="Q668" s="76"/>
      <c r="R668" s="76"/>
      <c r="S668" s="76"/>
      <c r="T668" s="76"/>
      <c r="U668" s="76"/>
      <c r="V668" s="76"/>
      <c r="W668" s="76"/>
      <c r="X668" s="76"/>
      <c r="Y668" s="76"/>
      <c r="Z668" s="76"/>
    </row>
    <row r="669" ht="22.5" customHeight="1">
      <c r="A669" s="140"/>
      <c r="B669" s="140"/>
      <c r="C669" s="141" t="s">
        <v>6504</v>
      </c>
      <c r="D669" s="141" t="s">
        <v>6505</v>
      </c>
      <c r="E669" s="76"/>
      <c r="F669" s="76"/>
      <c r="G669" s="76"/>
      <c r="H669" s="76"/>
      <c r="I669" s="76"/>
      <c r="J669" s="76"/>
      <c r="K669" s="76"/>
      <c r="L669" s="76"/>
      <c r="M669" s="76"/>
      <c r="N669" s="76"/>
      <c r="O669" s="76"/>
      <c r="P669" s="76"/>
      <c r="Q669" s="76"/>
      <c r="R669" s="76"/>
      <c r="S669" s="76"/>
      <c r="T669" s="76"/>
      <c r="U669" s="76"/>
      <c r="V669" s="76"/>
      <c r="W669" s="76"/>
      <c r="X669" s="76"/>
      <c r="Y669" s="76"/>
      <c r="Z669" s="76"/>
    </row>
    <row r="670" ht="22.5" customHeight="1">
      <c r="A670" s="140"/>
      <c r="B670" s="140"/>
      <c r="C670" s="141"/>
      <c r="D670" s="140"/>
      <c r="E670" s="76"/>
      <c r="F670" s="76"/>
      <c r="G670" s="76"/>
      <c r="H670" s="76"/>
      <c r="I670" s="76"/>
      <c r="J670" s="76"/>
      <c r="K670" s="76"/>
      <c r="L670" s="76"/>
      <c r="M670" s="76"/>
      <c r="N670" s="76"/>
      <c r="O670" s="76"/>
      <c r="P670" s="76"/>
      <c r="Q670" s="76"/>
      <c r="R670" s="76"/>
      <c r="S670" s="76"/>
      <c r="T670" s="76"/>
      <c r="U670" s="76"/>
      <c r="V670" s="76"/>
      <c r="W670" s="76"/>
      <c r="X670" s="76"/>
      <c r="Y670" s="76"/>
      <c r="Z670" s="76"/>
    </row>
    <row r="671" ht="22.5" customHeight="1">
      <c r="A671" s="140"/>
      <c r="B671" s="140"/>
      <c r="C671" s="141"/>
      <c r="D671" s="140"/>
      <c r="E671" s="76"/>
      <c r="F671" s="76"/>
      <c r="G671" s="76"/>
      <c r="H671" s="76"/>
      <c r="I671" s="76"/>
      <c r="J671" s="76"/>
      <c r="K671" s="76"/>
      <c r="L671" s="76"/>
      <c r="M671" s="76"/>
      <c r="N671" s="76"/>
      <c r="O671" s="76"/>
      <c r="P671" s="76"/>
      <c r="Q671" s="76"/>
      <c r="R671" s="76"/>
      <c r="S671" s="76"/>
      <c r="T671" s="76"/>
      <c r="U671" s="76"/>
      <c r="V671" s="76"/>
      <c r="W671" s="76"/>
      <c r="X671" s="76"/>
      <c r="Y671" s="76"/>
      <c r="Z671" s="76"/>
    </row>
    <row r="672" ht="22.5" customHeight="1">
      <c r="A672" s="140"/>
      <c r="B672" s="140"/>
      <c r="C672" s="141"/>
      <c r="D672" s="140"/>
      <c r="E672" s="76"/>
      <c r="F672" s="76"/>
      <c r="G672" s="76"/>
      <c r="H672" s="76"/>
      <c r="I672" s="76"/>
      <c r="J672" s="76"/>
      <c r="K672" s="76"/>
      <c r="L672" s="76"/>
      <c r="M672" s="76"/>
      <c r="N672" s="76"/>
      <c r="O672" s="76"/>
      <c r="P672" s="76"/>
      <c r="Q672" s="76"/>
      <c r="R672" s="76"/>
      <c r="S672" s="76"/>
      <c r="T672" s="76"/>
      <c r="U672" s="76"/>
      <c r="V672" s="76"/>
      <c r="W672" s="76"/>
      <c r="X672" s="76"/>
      <c r="Y672" s="76"/>
      <c r="Z672" s="76"/>
    </row>
    <row r="673" ht="22.5" customHeight="1">
      <c r="A673" s="140"/>
      <c r="B673" s="140"/>
      <c r="C673" s="141"/>
      <c r="D673" s="140"/>
      <c r="E673" s="76"/>
      <c r="F673" s="76"/>
      <c r="G673" s="76"/>
      <c r="H673" s="76"/>
      <c r="I673" s="76"/>
      <c r="J673" s="76"/>
      <c r="K673" s="76"/>
      <c r="L673" s="76"/>
      <c r="M673" s="76"/>
      <c r="N673" s="76"/>
      <c r="O673" s="76"/>
      <c r="P673" s="76"/>
      <c r="Q673" s="76"/>
      <c r="R673" s="76"/>
      <c r="S673" s="76"/>
      <c r="T673" s="76"/>
      <c r="U673" s="76"/>
      <c r="V673" s="76"/>
      <c r="W673" s="76"/>
      <c r="X673" s="76"/>
      <c r="Y673" s="76"/>
      <c r="Z673" s="76"/>
    </row>
    <row r="674" ht="22.5" customHeight="1">
      <c r="A674" s="140"/>
      <c r="B674" s="140"/>
      <c r="C674" s="141"/>
      <c r="D674" s="140"/>
      <c r="E674" s="76"/>
      <c r="F674" s="76"/>
      <c r="G674" s="76"/>
      <c r="H674" s="76"/>
      <c r="I674" s="76"/>
      <c r="J674" s="76"/>
      <c r="K674" s="76"/>
      <c r="L674" s="76"/>
      <c r="M674" s="76"/>
      <c r="N674" s="76"/>
      <c r="O674" s="76"/>
      <c r="P674" s="76"/>
      <c r="Q674" s="76"/>
      <c r="R674" s="76"/>
      <c r="S674" s="76"/>
      <c r="T674" s="76"/>
      <c r="U674" s="76"/>
      <c r="V674" s="76"/>
      <c r="W674" s="76"/>
      <c r="X674" s="76"/>
      <c r="Y674" s="76"/>
      <c r="Z674" s="76"/>
    </row>
    <row r="675" ht="22.5" customHeight="1">
      <c r="A675" s="140"/>
      <c r="B675" s="140"/>
      <c r="C675" s="141"/>
      <c r="D675" s="140"/>
      <c r="E675" s="76"/>
      <c r="F675" s="76"/>
      <c r="G675" s="76"/>
      <c r="H675" s="76"/>
      <c r="I675" s="76"/>
      <c r="J675" s="76"/>
      <c r="K675" s="76"/>
      <c r="L675" s="76"/>
      <c r="M675" s="76"/>
      <c r="N675" s="76"/>
      <c r="O675" s="76"/>
      <c r="P675" s="76"/>
      <c r="Q675" s="76"/>
      <c r="R675" s="76"/>
      <c r="S675" s="76"/>
      <c r="T675" s="76"/>
      <c r="U675" s="76"/>
      <c r="V675" s="76"/>
      <c r="W675" s="76"/>
      <c r="X675" s="76"/>
      <c r="Y675" s="76"/>
      <c r="Z675" s="76"/>
    </row>
    <row r="676" ht="22.5" customHeight="1">
      <c r="A676" s="140"/>
      <c r="B676" s="140"/>
      <c r="C676" s="141"/>
      <c r="D676" s="140"/>
      <c r="E676" s="76"/>
      <c r="F676" s="76"/>
      <c r="G676" s="76"/>
      <c r="H676" s="76"/>
      <c r="I676" s="76"/>
      <c r="J676" s="76"/>
      <c r="K676" s="76"/>
      <c r="L676" s="76"/>
      <c r="M676" s="76"/>
      <c r="N676" s="76"/>
      <c r="O676" s="76"/>
      <c r="P676" s="76"/>
      <c r="Q676" s="76"/>
      <c r="R676" s="76"/>
      <c r="S676" s="76"/>
      <c r="T676" s="76"/>
      <c r="U676" s="76"/>
      <c r="V676" s="76"/>
      <c r="W676" s="76"/>
      <c r="X676" s="76"/>
      <c r="Y676" s="76"/>
      <c r="Z676" s="76"/>
    </row>
    <row r="677" ht="22.5" customHeight="1">
      <c r="A677" s="140"/>
      <c r="B677" s="140"/>
      <c r="C677" s="141"/>
      <c r="D677" s="140"/>
      <c r="E677" s="76"/>
      <c r="F677" s="76"/>
      <c r="G677" s="76"/>
      <c r="H677" s="76"/>
      <c r="I677" s="76"/>
      <c r="J677" s="76"/>
      <c r="K677" s="76"/>
      <c r="L677" s="76"/>
      <c r="M677" s="76"/>
      <c r="N677" s="76"/>
      <c r="O677" s="76"/>
      <c r="P677" s="76"/>
      <c r="Q677" s="76"/>
      <c r="R677" s="76"/>
      <c r="S677" s="76"/>
      <c r="T677" s="76"/>
      <c r="U677" s="76"/>
      <c r="V677" s="76"/>
      <c r="W677" s="76"/>
      <c r="X677" s="76"/>
      <c r="Y677" s="76"/>
      <c r="Z677" s="76"/>
    </row>
    <row r="678" ht="22.5" customHeight="1">
      <c r="A678" s="140"/>
      <c r="B678" s="140"/>
      <c r="C678" s="141"/>
      <c r="D678" s="140"/>
      <c r="E678" s="76"/>
      <c r="F678" s="76"/>
      <c r="G678" s="76"/>
      <c r="H678" s="76"/>
      <c r="I678" s="76"/>
      <c r="J678" s="76"/>
      <c r="K678" s="76"/>
      <c r="L678" s="76"/>
      <c r="M678" s="76"/>
      <c r="N678" s="76"/>
      <c r="O678" s="76"/>
      <c r="P678" s="76"/>
      <c r="Q678" s="76"/>
      <c r="R678" s="76"/>
      <c r="S678" s="76"/>
      <c r="T678" s="76"/>
      <c r="U678" s="76"/>
      <c r="V678" s="76"/>
      <c r="W678" s="76"/>
      <c r="X678" s="76"/>
      <c r="Y678" s="76"/>
      <c r="Z678" s="76"/>
    </row>
    <row r="679" ht="22.5" customHeight="1">
      <c r="A679" s="140"/>
      <c r="B679" s="140"/>
      <c r="C679" s="141"/>
      <c r="D679" s="140"/>
      <c r="E679" s="76"/>
      <c r="F679" s="76"/>
      <c r="G679" s="76"/>
      <c r="H679" s="76"/>
      <c r="I679" s="76"/>
      <c r="J679" s="76"/>
      <c r="K679" s="76"/>
      <c r="L679" s="76"/>
      <c r="M679" s="76"/>
      <c r="N679" s="76"/>
      <c r="O679" s="76"/>
      <c r="P679" s="76"/>
      <c r="Q679" s="76"/>
      <c r="R679" s="76"/>
      <c r="S679" s="76"/>
      <c r="T679" s="76"/>
      <c r="U679" s="76"/>
      <c r="V679" s="76"/>
      <c r="W679" s="76"/>
      <c r="X679" s="76"/>
      <c r="Y679" s="76"/>
      <c r="Z679" s="76"/>
    </row>
    <row r="680" ht="22.5" customHeight="1">
      <c r="A680" s="140"/>
      <c r="B680" s="140"/>
      <c r="C680" s="141"/>
      <c r="D680" s="140"/>
      <c r="E680" s="76"/>
      <c r="F680" s="76"/>
      <c r="G680" s="76"/>
      <c r="H680" s="76"/>
      <c r="I680" s="76"/>
      <c r="J680" s="76"/>
      <c r="K680" s="76"/>
      <c r="L680" s="76"/>
      <c r="M680" s="76"/>
      <c r="N680" s="76"/>
      <c r="O680" s="76"/>
      <c r="P680" s="76"/>
      <c r="Q680" s="76"/>
      <c r="R680" s="76"/>
      <c r="S680" s="76"/>
      <c r="T680" s="76"/>
      <c r="U680" s="76"/>
      <c r="V680" s="76"/>
      <c r="W680" s="76"/>
      <c r="X680" s="76"/>
      <c r="Y680" s="76"/>
      <c r="Z680" s="76"/>
    </row>
    <row r="681" ht="22.5" customHeight="1">
      <c r="A681" s="140"/>
      <c r="B681" s="140"/>
      <c r="C681" s="141"/>
      <c r="D681" s="140"/>
      <c r="E681" s="76"/>
      <c r="F681" s="76"/>
      <c r="G681" s="76"/>
      <c r="H681" s="76"/>
      <c r="I681" s="76"/>
      <c r="J681" s="76"/>
      <c r="K681" s="76"/>
      <c r="L681" s="76"/>
      <c r="M681" s="76"/>
      <c r="N681" s="76"/>
      <c r="O681" s="76"/>
      <c r="P681" s="76"/>
      <c r="Q681" s="76"/>
      <c r="R681" s="76"/>
      <c r="S681" s="76"/>
      <c r="T681" s="76"/>
      <c r="U681" s="76"/>
      <c r="V681" s="76"/>
      <c r="W681" s="76"/>
      <c r="X681" s="76"/>
      <c r="Y681" s="76"/>
      <c r="Z681" s="76"/>
    </row>
    <row r="682" ht="22.5" customHeight="1">
      <c r="A682" s="140"/>
      <c r="B682" s="140"/>
      <c r="C682" s="141"/>
      <c r="D682" s="140"/>
      <c r="E682" s="76"/>
      <c r="F682" s="76"/>
      <c r="G682" s="76"/>
      <c r="H682" s="76"/>
      <c r="I682" s="76"/>
      <c r="J682" s="76"/>
      <c r="K682" s="76"/>
      <c r="L682" s="76"/>
      <c r="M682" s="76"/>
      <c r="N682" s="76"/>
      <c r="O682" s="76"/>
      <c r="P682" s="76"/>
      <c r="Q682" s="76"/>
      <c r="R682" s="76"/>
      <c r="S682" s="76"/>
      <c r="T682" s="76"/>
      <c r="U682" s="76"/>
      <c r="V682" s="76"/>
      <c r="W682" s="76"/>
      <c r="X682" s="76"/>
      <c r="Y682" s="76"/>
      <c r="Z682" s="76"/>
    </row>
    <row r="683" ht="22.5" customHeight="1">
      <c r="A683" s="140"/>
      <c r="B683" s="140"/>
      <c r="C683" s="141"/>
      <c r="D683" s="140"/>
      <c r="E683" s="76"/>
      <c r="F683" s="76"/>
      <c r="G683" s="76"/>
      <c r="H683" s="76"/>
      <c r="I683" s="76"/>
      <c r="J683" s="76"/>
      <c r="K683" s="76"/>
      <c r="L683" s="76"/>
      <c r="M683" s="76"/>
      <c r="N683" s="76"/>
      <c r="O683" s="76"/>
      <c r="P683" s="76"/>
      <c r="Q683" s="76"/>
      <c r="R683" s="76"/>
      <c r="S683" s="76"/>
      <c r="T683" s="76"/>
      <c r="U683" s="76"/>
      <c r="V683" s="76"/>
      <c r="W683" s="76"/>
      <c r="X683" s="76"/>
      <c r="Y683" s="76"/>
      <c r="Z683" s="76"/>
    </row>
    <row r="684" ht="22.5" customHeight="1">
      <c r="A684" s="140"/>
      <c r="B684" s="140"/>
      <c r="C684" s="141"/>
      <c r="D684" s="140"/>
      <c r="E684" s="76"/>
      <c r="F684" s="76"/>
      <c r="G684" s="76"/>
      <c r="H684" s="76"/>
      <c r="I684" s="76"/>
      <c r="J684" s="76"/>
      <c r="K684" s="76"/>
      <c r="L684" s="76"/>
      <c r="M684" s="76"/>
      <c r="N684" s="76"/>
      <c r="O684" s="76"/>
      <c r="P684" s="76"/>
      <c r="Q684" s="76"/>
      <c r="R684" s="76"/>
      <c r="S684" s="76"/>
      <c r="T684" s="76"/>
      <c r="U684" s="76"/>
      <c r="V684" s="76"/>
      <c r="W684" s="76"/>
      <c r="X684" s="76"/>
      <c r="Y684" s="76"/>
      <c r="Z684" s="76"/>
    </row>
    <row r="685" ht="22.5" customHeight="1">
      <c r="A685" s="140"/>
      <c r="B685" s="140"/>
      <c r="C685" s="141"/>
      <c r="D685" s="140"/>
      <c r="E685" s="76"/>
      <c r="F685" s="76"/>
      <c r="G685" s="76"/>
      <c r="H685" s="76"/>
      <c r="I685" s="76"/>
      <c r="J685" s="76"/>
      <c r="K685" s="76"/>
      <c r="L685" s="76"/>
      <c r="M685" s="76"/>
      <c r="N685" s="76"/>
      <c r="O685" s="76"/>
      <c r="P685" s="76"/>
      <c r="Q685" s="76"/>
      <c r="R685" s="76"/>
      <c r="S685" s="76"/>
      <c r="T685" s="76"/>
      <c r="U685" s="76"/>
      <c r="V685" s="76"/>
      <c r="W685" s="76"/>
      <c r="X685" s="76"/>
      <c r="Y685" s="76"/>
      <c r="Z685" s="76"/>
    </row>
    <row r="686" ht="22.5" customHeight="1">
      <c r="A686" s="140"/>
      <c r="B686" s="140"/>
      <c r="C686" s="141"/>
      <c r="D686" s="140"/>
      <c r="E686" s="76"/>
      <c r="F686" s="76"/>
      <c r="G686" s="76"/>
      <c r="H686" s="76"/>
      <c r="I686" s="76"/>
      <c r="J686" s="76"/>
      <c r="K686" s="76"/>
      <c r="L686" s="76"/>
      <c r="M686" s="76"/>
      <c r="N686" s="76"/>
      <c r="O686" s="76"/>
      <c r="P686" s="76"/>
      <c r="Q686" s="76"/>
      <c r="R686" s="76"/>
      <c r="S686" s="76"/>
      <c r="T686" s="76"/>
      <c r="U686" s="76"/>
      <c r="V686" s="76"/>
      <c r="W686" s="76"/>
      <c r="X686" s="76"/>
      <c r="Y686" s="76"/>
      <c r="Z686" s="76"/>
    </row>
    <row r="687" ht="22.5" customHeight="1">
      <c r="A687" s="140"/>
      <c r="B687" s="140"/>
      <c r="C687" s="141"/>
      <c r="D687" s="140"/>
      <c r="E687" s="76"/>
      <c r="F687" s="76"/>
      <c r="G687" s="76"/>
      <c r="H687" s="76"/>
      <c r="I687" s="76"/>
      <c r="J687" s="76"/>
      <c r="K687" s="76"/>
      <c r="L687" s="76"/>
      <c r="M687" s="76"/>
      <c r="N687" s="76"/>
      <c r="O687" s="76"/>
      <c r="P687" s="76"/>
      <c r="Q687" s="76"/>
      <c r="R687" s="76"/>
      <c r="S687" s="76"/>
      <c r="T687" s="76"/>
      <c r="U687" s="76"/>
      <c r="V687" s="76"/>
      <c r="W687" s="76"/>
      <c r="X687" s="76"/>
      <c r="Y687" s="76"/>
      <c r="Z687" s="76"/>
    </row>
    <row r="688" ht="22.5" customHeight="1">
      <c r="A688" s="140"/>
      <c r="B688" s="140"/>
      <c r="C688" s="141"/>
      <c r="D688" s="140"/>
      <c r="E688" s="76"/>
      <c r="F688" s="76"/>
      <c r="G688" s="76"/>
      <c r="H688" s="76"/>
      <c r="I688" s="76"/>
      <c r="J688" s="76"/>
      <c r="K688" s="76"/>
      <c r="L688" s="76"/>
      <c r="M688" s="76"/>
      <c r="N688" s="76"/>
      <c r="O688" s="76"/>
      <c r="P688" s="76"/>
      <c r="Q688" s="76"/>
      <c r="R688" s="76"/>
      <c r="S688" s="76"/>
      <c r="T688" s="76"/>
      <c r="U688" s="76"/>
      <c r="V688" s="76"/>
      <c r="W688" s="76"/>
      <c r="X688" s="76"/>
      <c r="Y688" s="76"/>
      <c r="Z688" s="76"/>
    </row>
    <row r="689" ht="22.5" customHeight="1">
      <c r="A689" s="140"/>
      <c r="B689" s="140"/>
      <c r="C689" s="141"/>
      <c r="D689" s="140"/>
      <c r="E689" s="76"/>
      <c r="F689" s="76"/>
      <c r="G689" s="76"/>
      <c r="H689" s="76"/>
      <c r="I689" s="76"/>
      <c r="J689" s="76"/>
      <c r="K689" s="76"/>
      <c r="L689" s="76"/>
      <c r="M689" s="76"/>
      <c r="N689" s="76"/>
      <c r="O689" s="76"/>
      <c r="P689" s="76"/>
      <c r="Q689" s="76"/>
      <c r="R689" s="76"/>
      <c r="S689" s="76"/>
      <c r="T689" s="76"/>
      <c r="U689" s="76"/>
      <c r="V689" s="76"/>
      <c r="W689" s="76"/>
      <c r="X689" s="76"/>
      <c r="Y689" s="76"/>
      <c r="Z689" s="76"/>
    </row>
    <row r="690" ht="22.5" customHeight="1">
      <c r="A690" s="140"/>
      <c r="B690" s="140"/>
      <c r="C690" s="141"/>
      <c r="D690" s="140"/>
      <c r="E690" s="76"/>
      <c r="F690" s="76"/>
      <c r="G690" s="76"/>
      <c r="H690" s="76"/>
      <c r="I690" s="76"/>
      <c r="J690" s="76"/>
      <c r="K690" s="76"/>
      <c r="L690" s="76"/>
      <c r="M690" s="76"/>
      <c r="N690" s="76"/>
      <c r="O690" s="76"/>
      <c r="P690" s="76"/>
      <c r="Q690" s="76"/>
      <c r="R690" s="76"/>
      <c r="S690" s="76"/>
      <c r="T690" s="76"/>
      <c r="U690" s="76"/>
      <c r="V690" s="76"/>
      <c r="W690" s="76"/>
      <c r="X690" s="76"/>
      <c r="Y690" s="76"/>
      <c r="Z690" s="76"/>
    </row>
    <row r="691" ht="22.5" customHeight="1">
      <c r="A691" s="140"/>
      <c r="B691" s="140"/>
      <c r="C691" s="141"/>
      <c r="D691" s="140"/>
      <c r="E691" s="76"/>
      <c r="F691" s="76"/>
      <c r="G691" s="76"/>
      <c r="H691" s="76"/>
      <c r="I691" s="76"/>
      <c r="J691" s="76"/>
      <c r="K691" s="76"/>
      <c r="L691" s="76"/>
      <c r="M691" s="76"/>
      <c r="N691" s="76"/>
      <c r="O691" s="76"/>
      <c r="P691" s="76"/>
      <c r="Q691" s="76"/>
      <c r="R691" s="76"/>
      <c r="S691" s="76"/>
      <c r="T691" s="76"/>
      <c r="U691" s="76"/>
      <c r="V691" s="76"/>
      <c r="W691" s="76"/>
      <c r="X691" s="76"/>
      <c r="Y691" s="76"/>
      <c r="Z691" s="76"/>
    </row>
    <row r="692" ht="22.5" customHeight="1">
      <c r="A692" s="140"/>
      <c r="B692" s="140"/>
      <c r="C692" s="141"/>
      <c r="D692" s="140"/>
      <c r="E692" s="76"/>
      <c r="F692" s="76"/>
      <c r="G692" s="76"/>
      <c r="H692" s="76"/>
      <c r="I692" s="76"/>
      <c r="J692" s="76"/>
      <c r="K692" s="76"/>
      <c r="L692" s="76"/>
      <c r="M692" s="76"/>
      <c r="N692" s="76"/>
      <c r="O692" s="76"/>
      <c r="P692" s="76"/>
      <c r="Q692" s="76"/>
      <c r="R692" s="76"/>
      <c r="S692" s="76"/>
      <c r="T692" s="76"/>
      <c r="U692" s="76"/>
      <c r="V692" s="76"/>
      <c r="W692" s="76"/>
      <c r="X692" s="76"/>
      <c r="Y692" s="76"/>
      <c r="Z692" s="76"/>
    </row>
    <row r="693" ht="22.5" customHeight="1">
      <c r="A693" s="140"/>
      <c r="B693" s="140"/>
      <c r="C693" s="141"/>
      <c r="D693" s="140"/>
      <c r="E693" s="76"/>
      <c r="F693" s="76"/>
      <c r="G693" s="76"/>
      <c r="H693" s="76"/>
      <c r="I693" s="76"/>
      <c r="J693" s="76"/>
      <c r="K693" s="76"/>
      <c r="L693" s="76"/>
      <c r="M693" s="76"/>
      <c r="N693" s="76"/>
      <c r="O693" s="76"/>
      <c r="P693" s="76"/>
      <c r="Q693" s="76"/>
      <c r="R693" s="76"/>
      <c r="S693" s="76"/>
      <c r="T693" s="76"/>
      <c r="U693" s="76"/>
      <c r="V693" s="76"/>
      <c r="W693" s="76"/>
      <c r="X693" s="76"/>
      <c r="Y693" s="76"/>
      <c r="Z693" s="76"/>
    </row>
    <row r="694" ht="22.5" customHeight="1">
      <c r="A694" s="140"/>
      <c r="B694" s="140"/>
      <c r="C694" s="141"/>
      <c r="D694" s="140"/>
      <c r="E694" s="76"/>
      <c r="F694" s="76"/>
      <c r="G694" s="76"/>
      <c r="H694" s="76"/>
      <c r="I694" s="76"/>
      <c r="J694" s="76"/>
      <c r="K694" s="76"/>
      <c r="L694" s="76"/>
      <c r="M694" s="76"/>
      <c r="N694" s="76"/>
      <c r="O694" s="76"/>
      <c r="P694" s="76"/>
      <c r="Q694" s="76"/>
      <c r="R694" s="76"/>
      <c r="S694" s="76"/>
      <c r="T694" s="76"/>
      <c r="U694" s="76"/>
      <c r="V694" s="76"/>
      <c r="W694" s="76"/>
      <c r="X694" s="76"/>
      <c r="Y694" s="76"/>
      <c r="Z694" s="76"/>
    </row>
    <row r="695" ht="22.5" customHeight="1">
      <c r="A695" s="140"/>
      <c r="B695" s="140"/>
      <c r="C695" s="141"/>
      <c r="D695" s="140"/>
      <c r="E695" s="76"/>
      <c r="F695" s="76"/>
      <c r="G695" s="76"/>
      <c r="H695" s="76"/>
      <c r="I695" s="76"/>
      <c r="J695" s="76"/>
      <c r="K695" s="76"/>
      <c r="L695" s="76"/>
      <c r="M695" s="76"/>
      <c r="N695" s="76"/>
      <c r="O695" s="76"/>
      <c r="P695" s="76"/>
      <c r="Q695" s="76"/>
      <c r="R695" s="76"/>
      <c r="S695" s="76"/>
      <c r="T695" s="76"/>
      <c r="U695" s="76"/>
      <c r="V695" s="76"/>
      <c r="W695" s="76"/>
      <c r="X695" s="76"/>
      <c r="Y695" s="76"/>
      <c r="Z695" s="76"/>
    </row>
    <row r="696" ht="22.5" customHeight="1">
      <c r="A696" s="140"/>
      <c r="B696" s="140"/>
      <c r="C696" s="141"/>
      <c r="D696" s="140"/>
      <c r="E696" s="76"/>
      <c r="F696" s="76"/>
      <c r="G696" s="76"/>
      <c r="H696" s="76"/>
      <c r="I696" s="76"/>
      <c r="J696" s="76"/>
      <c r="K696" s="76"/>
      <c r="L696" s="76"/>
      <c r="M696" s="76"/>
      <c r="N696" s="76"/>
      <c r="O696" s="76"/>
      <c r="P696" s="76"/>
      <c r="Q696" s="76"/>
      <c r="R696" s="76"/>
      <c r="S696" s="76"/>
      <c r="T696" s="76"/>
      <c r="U696" s="76"/>
      <c r="V696" s="76"/>
      <c r="W696" s="76"/>
      <c r="X696" s="76"/>
      <c r="Y696" s="76"/>
      <c r="Z696" s="76"/>
    </row>
    <row r="697" ht="22.5" customHeight="1">
      <c r="A697" s="140"/>
      <c r="B697" s="140"/>
      <c r="C697" s="141"/>
      <c r="D697" s="140"/>
      <c r="E697" s="76"/>
      <c r="F697" s="76"/>
      <c r="G697" s="76"/>
      <c r="H697" s="76"/>
      <c r="I697" s="76"/>
      <c r="J697" s="76"/>
      <c r="K697" s="76"/>
      <c r="L697" s="76"/>
      <c r="M697" s="76"/>
      <c r="N697" s="76"/>
      <c r="O697" s="76"/>
      <c r="P697" s="76"/>
      <c r="Q697" s="76"/>
      <c r="R697" s="76"/>
      <c r="S697" s="76"/>
      <c r="T697" s="76"/>
      <c r="U697" s="76"/>
      <c r="V697" s="76"/>
      <c r="W697" s="76"/>
      <c r="X697" s="76"/>
      <c r="Y697" s="76"/>
      <c r="Z697" s="76"/>
    </row>
    <row r="698" ht="22.5" customHeight="1">
      <c r="A698" s="140"/>
      <c r="B698" s="140"/>
      <c r="C698" s="141"/>
      <c r="D698" s="140"/>
      <c r="E698" s="76"/>
      <c r="F698" s="76"/>
      <c r="G698" s="76"/>
      <c r="H698" s="76"/>
      <c r="I698" s="76"/>
      <c r="J698" s="76"/>
      <c r="K698" s="76"/>
      <c r="L698" s="76"/>
      <c r="M698" s="76"/>
      <c r="N698" s="76"/>
      <c r="O698" s="76"/>
      <c r="P698" s="76"/>
      <c r="Q698" s="76"/>
      <c r="R698" s="76"/>
      <c r="S698" s="76"/>
      <c r="T698" s="76"/>
      <c r="U698" s="76"/>
      <c r="V698" s="76"/>
      <c r="W698" s="76"/>
      <c r="X698" s="76"/>
      <c r="Y698" s="76"/>
      <c r="Z698" s="76"/>
    </row>
    <row r="699" ht="22.5" customHeight="1">
      <c r="A699" s="140"/>
      <c r="B699" s="140"/>
      <c r="C699" s="141"/>
      <c r="D699" s="140"/>
      <c r="E699" s="76"/>
      <c r="F699" s="76"/>
      <c r="G699" s="76"/>
      <c r="H699" s="76"/>
      <c r="I699" s="76"/>
      <c r="J699" s="76"/>
      <c r="K699" s="76"/>
      <c r="L699" s="76"/>
      <c r="M699" s="76"/>
      <c r="N699" s="76"/>
      <c r="O699" s="76"/>
      <c r="P699" s="76"/>
      <c r="Q699" s="76"/>
      <c r="R699" s="76"/>
      <c r="S699" s="76"/>
      <c r="T699" s="76"/>
      <c r="U699" s="76"/>
      <c r="V699" s="76"/>
      <c r="W699" s="76"/>
      <c r="X699" s="76"/>
      <c r="Y699" s="76"/>
      <c r="Z699" s="76"/>
    </row>
    <row r="700" ht="22.5" customHeight="1">
      <c r="A700" s="140"/>
      <c r="B700" s="140"/>
      <c r="C700" s="141"/>
      <c r="D700" s="140"/>
      <c r="E700" s="76"/>
      <c r="F700" s="76"/>
      <c r="G700" s="76"/>
      <c r="H700" s="76"/>
      <c r="I700" s="76"/>
      <c r="J700" s="76"/>
      <c r="K700" s="76"/>
      <c r="L700" s="76"/>
      <c r="M700" s="76"/>
      <c r="N700" s="76"/>
      <c r="O700" s="76"/>
      <c r="P700" s="76"/>
      <c r="Q700" s="76"/>
      <c r="R700" s="76"/>
      <c r="S700" s="76"/>
      <c r="T700" s="76"/>
      <c r="U700" s="76"/>
      <c r="V700" s="76"/>
      <c r="W700" s="76"/>
      <c r="X700" s="76"/>
      <c r="Y700" s="76"/>
      <c r="Z700" s="76"/>
    </row>
    <row r="701" ht="22.5" customHeight="1">
      <c r="A701" s="140"/>
      <c r="B701" s="140"/>
      <c r="C701" s="141"/>
      <c r="D701" s="140"/>
      <c r="E701" s="76"/>
      <c r="F701" s="76"/>
      <c r="G701" s="76"/>
      <c r="H701" s="76"/>
      <c r="I701" s="76"/>
      <c r="J701" s="76"/>
      <c r="K701" s="76"/>
      <c r="L701" s="76"/>
      <c r="M701" s="76"/>
      <c r="N701" s="76"/>
      <c r="O701" s="76"/>
      <c r="P701" s="76"/>
      <c r="Q701" s="76"/>
      <c r="R701" s="76"/>
      <c r="S701" s="76"/>
      <c r="T701" s="76"/>
      <c r="U701" s="76"/>
      <c r="V701" s="76"/>
      <c r="W701" s="76"/>
      <c r="X701" s="76"/>
      <c r="Y701" s="76"/>
      <c r="Z701" s="76"/>
    </row>
    <row r="702" ht="22.5" customHeight="1">
      <c r="A702" s="140"/>
      <c r="B702" s="140"/>
      <c r="C702" s="141"/>
      <c r="D702" s="140"/>
      <c r="E702" s="76"/>
      <c r="F702" s="76"/>
      <c r="G702" s="76"/>
      <c r="H702" s="76"/>
      <c r="I702" s="76"/>
      <c r="J702" s="76"/>
      <c r="K702" s="76"/>
      <c r="L702" s="76"/>
      <c r="M702" s="76"/>
      <c r="N702" s="76"/>
      <c r="O702" s="76"/>
      <c r="P702" s="76"/>
      <c r="Q702" s="76"/>
      <c r="R702" s="76"/>
      <c r="S702" s="76"/>
      <c r="T702" s="76"/>
      <c r="U702" s="76"/>
      <c r="V702" s="76"/>
      <c r="W702" s="76"/>
      <c r="X702" s="76"/>
      <c r="Y702" s="76"/>
      <c r="Z702" s="76"/>
    </row>
    <row r="703" ht="22.5" customHeight="1">
      <c r="A703" s="140"/>
      <c r="B703" s="140"/>
      <c r="C703" s="141"/>
      <c r="D703" s="140"/>
      <c r="E703" s="76"/>
      <c r="F703" s="76"/>
      <c r="G703" s="76"/>
      <c r="H703" s="76"/>
      <c r="I703" s="76"/>
      <c r="J703" s="76"/>
      <c r="K703" s="76"/>
      <c r="L703" s="76"/>
      <c r="M703" s="76"/>
      <c r="N703" s="76"/>
      <c r="O703" s="76"/>
      <c r="P703" s="76"/>
      <c r="Q703" s="76"/>
      <c r="R703" s="76"/>
      <c r="S703" s="76"/>
      <c r="T703" s="76"/>
      <c r="U703" s="76"/>
      <c r="V703" s="76"/>
      <c r="W703" s="76"/>
      <c r="X703" s="76"/>
      <c r="Y703" s="76"/>
      <c r="Z703" s="76"/>
    </row>
    <row r="704" ht="22.5" customHeight="1">
      <c r="A704" s="140"/>
      <c r="B704" s="140"/>
      <c r="C704" s="141"/>
      <c r="D704" s="140"/>
      <c r="E704" s="76"/>
      <c r="F704" s="76"/>
      <c r="G704" s="76"/>
      <c r="H704" s="76"/>
      <c r="I704" s="76"/>
      <c r="J704" s="76"/>
      <c r="K704" s="76"/>
      <c r="L704" s="76"/>
      <c r="M704" s="76"/>
      <c r="N704" s="76"/>
      <c r="O704" s="76"/>
      <c r="P704" s="76"/>
      <c r="Q704" s="76"/>
      <c r="R704" s="76"/>
      <c r="S704" s="76"/>
      <c r="T704" s="76"/>
      <c r="U704" s="76"/>
      <c r="V704" s="76"/>
      <c r="W704" s="76"/>
      <c r="X704" s="76"/>
      <c r="Y704" s="76"/>
      <c r="Z704" s="76"/>
    </row>
    <row r="705" ht="22.5" customHeight="1">
      <c r="A705" s="140"/>
      <c r="B705" s="140"/>
      <c r="C705" s="141"/>
      <c r="D705" s="140"/>
      <c r="E705" s="76"/>
      <c r="F705" s="76"/>
      <c r="G705" s="76"/>
      <c r="H705" s="76"/>
      <c r="I705" s="76"/>
      <c r="J705" s="76"/>
      <c r="K705" s="76"/>
      <c r="L705" s="76"/>
      <c r="M705" s="76"/>
      <c r="N705" s="76"/>
      <c r="O705" s="76"/>
      <c r="P705" s="76"/>
      <c r="Q705" s="76"/>
      <c r="R705" s="76"/>
      <c r="S705" s="76"/>
      <c r="T705" s="76"/>
      <c r="U705" s="76"/>
      <c r="V705" s="76"/>
      <c r="W705" s="76"/>
      <c r="X705" s="76"/>
      <c r="Y705" s="76"/>
      <c r="Z705" s="76"/>
    </row>
    <row r="706" ht="22.5" customHeight="1">
      <c r="A706" s="140"/>
      <c r="B706" s="140"/>
      <c r="C706" s="141"/>
      <c r="D706" s="140"/>
      <c r="E706" s="76"/>
      <c r="F706" s="76"/>
      <c r="G706" s="76"/>
      <c r="H706" s="76"/>
      <c r="I706" s="76"/>
      <c r="J706" s="76"/>
      <c r="K706" s="76"/>
      <c r="L706" s="76"/>
      <c r="M706" s="76"/>
      <c r="N706" s="76"/>
      <c r="O706" s="76"/>
      <c r="P706" s="76"/>
      <c r="Q706" s="76"/>
      <c r="R706" s="76"/>
      <c r="S706" s="76"/>
      <c r="T706" s="76"/>
      <c r="U706" s="76"/>
      <c r="V706" s="76"/>
      <c r="W706" s="76"/>
      <c r="X706" s="76"/>
      <c r="Y706" s="76"/>
      <c r="Z706" s="76"/>
    </row>
    <row r="707" ht="22.5" customHeight="1">
      <c r="A707" s="140"/>
      <c r="B707" s="140"/>
      <c r="C707" s="141"/>
      <c r="D707" s="140"/>
      <c r="E707" s="76"/>
      <c r="F707" s="76"/>
      <c r="G707" s="76"/>
      <c r="H707" s="76"/>
      <c r="I707" s="76"/>
      <c r="J707" s="76"/>
      <c r="K707" s="76"/>
      <c r="L707" s="76"/>
      <c r="M707" s="76"/>
      <c r="N707" s="76"/>
      <c r="O707" s="76"/>
      <c r="P707" s="76"/>
      <c r="Q707" s="76"/>
      <c r="R707" s="76"/>
      <c r="S707" s="76"/>
      <c r="T707" s="76"/>
      <c r="U707" s="76"/>
      <c r="V707" s="76"/>
      <c r="W707" s="76"/>
      <c r="X707" s="76"/>
      <c r="Y707" s="76"/>
      <c r="Z707" s="76"/>
    </row>
    <row r="708" ht="22.5" customHeight="1">
      <c r="A708" s="140"/>
      <c r="B708" s="140"/>
      <c r="C708" s="141"/>
      <c r="D708" s="140"/>
      <c r="E708" s="76"/>
      <c r="F708" s="76"/>
      <c r="G708" s="76"/>
      <c r="H708" s="76"/>
      <c r="I708" s="76"/>
      <c r="J708" s="76"/>
      <c r="K708" s="76"/>
      <c r="L708" s="76"/>
      <c r="M708" s="76"/>
      <c r="N708" s="76"/>
      <c r="O708" s="76"/>
      <c r="P708" s="76"/>
      <c r="Q708" s="76"/>
      <c r="R708" s="76"/>
      <c r="S708" s="76"/>
      <c r="T708" s="76"/>
      <c r="U708" s="76"/>
      <c r="V708" s="76"/>
      <c r="W708" s="76"/>
      <c r="X708" s="76"/>
      <c r="Y708" s="76"/>
      <c r="Z708" s="76"/>
    </row>
    <row r="709" ht="22.5" customHeight="1">
      <c r="A709" s="140"/>
      <c r="B709" s="140"/>
      <c r="C709" s="141"/>
      <c r="D709" s="140"/>
      <c r="E709" s="76"/>
      <c r="F709" s="76"/>
      <c r="G709" s="76"/>
      <c r="H709" s="76"/>
      <c r="I709" s="76"/>
      <c r="J709" s="76"/>
      <c r="K709" s="76"/>
      <c r="L709" s="76"/>
      <c r="M709" s="76"/>
      <c r="N709" s="76"/>
      <c r="O709" s="76"/>
      <c r="P709" s="76"/>
      <c r="Q709" s="76"/>
      <c r="R709" s="76"/>
      <c r="S709" s="76"/>
      <c r="T709" s="76"/>
      <c r="U709" s="76"/>
      <c r="V709" s="76"/>
      <c r="W709" s="76"/>
      <c r="X709" s="76"/>
      <c r="Y709" s="76"/>
      <c r="Z709" s="76"/>
    </row>
    <row r="710" ht="22.5" customHeight="1">
      <c r="A710" s="140"/>
      <c r="B710" s="140"/>
      <c r="C710" s="141"/>
      <c r="D710" s="140"/>
      <c r="E710" s="76"/>
      <c r="F710" s="76"/>
      <c r="G710" s="76"/>
      <c r="H710" s="76"/>
      <c r="I710" s="76"/>
      <c r="J710" s="76"/>
      <c r="K710" s="76"/>
      <c r="L710" s="76"/>
      <c r="M710" s="76"/>
      <c r="N710" s="76"/>
      <c r="O710" s="76"/>
      <c r="P710" s="76"/>
      <c r="Q710" s="76"/>
      <c r="R710" s="76"/>
      <c r="S710" s="76"/>
      <c r="T710" s="76"/>
      <c r="U710" s="76"/>
      <c r="V710" s="76"/>
      <c r="W710" s="76"/>
      <c r="X710" s="76"/>
      <c r="Y710" s="76"/>
      <c r="Z710" s="76"/>
    </row>
    <row r="711" ht="22.5" customHeight="1">
      <c r="A711" s="140"/>
      <c r="B711" s="140"/>
      <c r="C711" s="141"/>
      <c r="D711" s="140"/>
      <c r="E711" s="76"/>
      <c r="F711" s="76"/>
      <c r="G711" s="76"/>
      <c r="H711" s="76"/>
      <c r="I711" s="76"/>
      <c r="J711" s="76"/>
      <c r="K711" s="76"/>
      <c r="L711" s="76"/>
      <c r="M711" s="76"/>
      <c r="N711" s="76"/>
      <c r="O711" s="76"/>
      <c r="P711" s="76"/>
      <c r="Q711" s="76"/>
      <c r="R711" s="76"/>
      <c r="S711" s="76"/>
      <c r="T711" s="76"/>
      <c r="U711" s="76"/>
      <c r="V711" s="76"/>
      <c r="W711" s="76"/>
      <c r="X711" s="76"/>
      <c r="Y711" s="76"/>
      <c r="Z711" s="76"/>
    </row>
    <row r="712" ht="22.5" customHeight="1">
      <c r="A712" s="140"/>
      <c r="B712" s="140"/>
      <c r="C712" s="141"/>
      <c r="D712" s="140"/>
      <c r="E712" s="76"/>
      <c r="F712" s="76"/>
      <c r="G712" s="76"/>
      <c r="H712" s="76"/>
      <c r="I712" s="76"/>
      <c r="J712" s="76"/>
      <c r="K712" s="76"/>
      <c r="L712" s="76"/>
      <c r="M712" s="76"/>
      <c r="N712" s="76"/>
      <c r="O712" s="76"/>
      <c r="P712" s="76"/>
      <c r="Q712" s="76"/>
      <c r="R712" s="76"/>
      <c r="S712" s="76"/>
      <c r="T712" s="76"/>
      <c r="U712" s="76"/>
      <c r="V712" s="76"/>
      <c r="W712" s="76"/>
      <c r="X712" s="76"/>
      <c r="Y712" s="76"/>
      <c r="Z712" s="76"/>
    </row>
    <row r="713" ht="22.5" customHeight="1">
      <c r="A713" s="140"/>
      <c r="B713" s="140"/>
      <c r="C713" s="141"/>
      <c r="D713" s="140"/>
      <c r="E713" s="76"/>
      <c r="F713" s="76"/>
      <c r="G713" s="76"/>
      <c r="H713" s="76"/>
      <c r="I713" s="76"/>
      <c r="J713" s="76"/>
      <c r="K713" s="76"/>
      <c r="L713" s="76"/>
      <c r="M713" s="76"/>
      <c r="N713" s="76"/>
      <c r="O713" s="76"/>
      <c r="P713" s="76"/>
      <c r="Q713" s="76"/>
      <c r="R713" s="76"/>
      <c r="S713" s="76"/>
      <c r="T713" s="76"/>
      <c r="U713" s="76"/>
      <c r="V713" s="76"/>
      <c r="W713" s="76"/>
      <c r="X713" s="76"/>
      <c r="Y713" s="76"/>
      <c r="Z713" s="76"/>
    </row>
    <row r="714" ht="22.5" customHeight="1">
      <c r="A714" s="140"/>
      <c r="B714" s="140"/>
      <c r="C714" s="141"/>
      <c r="D714" s="140"/>
      <c r="E714" s="76"/>
      <c r="F714" s="76"/>
      <c r="G714" s="76"/>
      <c r="H714" s="76"/>
      <c r="I714" s="76"/>
      <c r="J714" s="76"/>
      <c r="K714" s="76"/>
      <c r="L714" s="76"/>
      <c r="M714" s="76"/>
      <c r="N714" s="76"/>
      <c r="O714" s="76"/>
      <c r="P714" s="76"/>
      <c r="Q714" s="76"/>
      <c r="R714" s="76"/>
      <c r="S714" s="76"/>
      <c r="T714" s="76"/>
      <c r="U714" s="76"/>
      <c r="V714" s="76"/>
      <c r="W714" s="76"/>
      <c r="X714" s="76"/>
      <c r="Y714" s="76"/>
      <c r="Z714" s="76"/>
    </row>
    <row r="715" ht="22.5" customHeight="1">
      <c r="A715" s="140"/>
      <c r="B715" s="140"/>
      <c r="C715" s="141"/>
      <c r="D715" s="140"/>
      <c r="E715" s="76"/>
      <c r="F715" s="76"/>
      <c r="G715" s="76"/>
      <c r="H715" s="76"/>
      <c r="I715" s="76"/>
      <c r="J715" s="76"/>
      <c r="K715" s="76"/>
      <c r="L715" s="76"/>
      <c r="M715" s="76"/>
      <c r="N715" s="76"/>
      <c r="O715" s="76"/>
      <c r="P715" s="76"/>
      <c r="Q715" s="76"/>
      <c r="R715" s="76"/>
      <c r="S715" s="76"/>
      <c r="T715" s="76"/>
      <c r="U715" s="76"/>
      <c r="V715" s="76"/>
      <c r="W715" s="76"/>
      <c r="X715" s="76"/>
      <c r="Y715" s="76"/>
      <c r="Z715" s="76"/>
    </row>
    <row r="716" ht="22.5" customHeight="1">
      <c r="A716" s="140"/>
      <c r="B716" s="140"/>
      <c r="C716" s="141"/>
      <c r="D716" s="140"/>
      <c r="E716" s="76"/>
      <c r="F716" s="76"/>
      <c r="G716" s="76"/>
      <c r="H716" s="76"/>
      <c r="I716" s="76"/>
      <c r="J716" s="76"/>
      <c r="K716" s="76"/>
      <c r="L716" s="76"/>
      <c r="M716" s="76"/>
      <c r="N716" s="76"/>
      <c r="O716" s="76"/>
      <c r="P716" s="76"/>
      <c r="Q716" s="76"/>
      <c r="R716" s="76"/>
      <c r="S716" s="76"/>
      <c r="T716" s="76"/>
      <c r="U716" s="76"/>
      <c r="V716" s="76"/>
      <c r="W716" s="76"/>
      <c r="X716" s="76"/>
      <c r="Y716" s="76"/>
      <c r="Z716" s="76"/>
    </row>
    <row r="717" ht="22.5" customHeight="1">
      <c r="A717" s="140"/>
      <c r="B717" s="140"/>
      <c r="C717" s="141"/>
      <c r="D717" s="140"/>
      <c r="E717" s="76"/>
      <c r="F717" s="76"/>
      <c r="G717" s="76"/>
      <c r="H717" s="76"/>
      <c r="I717" s="76"/>
      <c r="J717" s="76"/>
      <c r="K717" s="76"/>
      <c r="L717" s="76"/>
      <c r="M717" s="76"/>
      <c r="N717" s="76"/>
      <c r="O717" s="76"/>
      <c r="P717" s="76"/>
      <c r="Q717" s="76"/>
      <c r="R717" s="76"/>
      <c r="S717" s="76"/>
      <c r="T717" s="76"/>
      <c r="U717" s="76"/>
      <c r="V717" s="76"/>
      <c r="W717" s="76"/>
      <c r="X717" s="76"/>
      <c r="Y717" s="76"/>
      <c r="Z717" s="76"/>
    </row>
    <row r="718" ht="22.5" customHeight="1">
      <c r="A718" s="140"/>
      <c r="B718" s="140"/>
      <c r="C718" s="141"/>
      <c r="D718" s="140"/>
      <c r="E718" s="76"/>
      <c r="F718" s="76"/>
      <c r="G718" s="76"/>
      <c r="H718" s="76"/>
      <c r="I718" s="76"/>
      <c r="J718" s="76"/>
      <c r="K718" s="76"/>
      <c r="L718" s="76"/>
      <c r="M718" s="76"/>
      <c r="N718" s="76"/>
      <c r="O718" s="76"/>
      <c r="P718" s="76"/>
      <c r="Q718" s="76"/>
      <c r="R718" s="76"/>
      <c r="S718" s="76"/>
      <c r="T718" s="76"/>
      <c r="U718" s="76"/>
      <c r="V718" s="76"/>
      <c r="W718" s="76"/>
      <c r="X718" s="76"/>
      <c r="Y718" s="76"/>
      <c r="Z718" s="76"/>
    </row>
    <row r="719" ht="22.5" customHeight="1">
      <c r="A719" s="140"/>
      <c r="B719" s="140"/>
      <c r="C719" s="141"/>
      <c r="D719" s="140"/>
      <c r="E719" s="76"/>
      <c r="F719" s="76"/>
      <c r="G719" s="76"/>
      <c r="H719" s="76"/>
      <c r="I719" s="76"/>
      <c r="J719" s="76"/>
      <c r="K719" s="76"/>
      <c r="L719" s="76"/>
      <c r="M719" s="76"/>
      <c r="N719" s="76"/>
      <c r="O719" s="76"/>
      <c r="P719" s="76"/>
      <c r="Q719" s="76"/>
      <c r="R719" s="76"/>
      <c r="S719" s="76"/>
      <c r="T719" s="76"/>
      <c r="U719" s="76"/>
      <c r="V719" s="76"/>
      <c r="W719" s="76"/>
      <c r="X719" s="76"/>
      <c r="Y719" s="76"/>
      <c r="Z719" s="76"/>
    </row>
    <row r="720" ht="22.5" customHeight="1">
      <c r="A720" s="140"/>
      <c r="B720" s="140"/>
      <c r="C720" s="141"/>
      <c r="D720" s="140"/>
      <c r="E720" s="76"/>
      <c r="F720" s="76"/>
      <c r="G720" s="76"/>
      <c r="H720" s="76"/>
      <c r="I720" s="76"/>
      <c r="J720" s="76"/>
      <c r="K720" s="76"/>
      <c r="L720" s="76"/>
      <c r="M720" s="76"/>
      <c r="N720" s="76"/>
      <c r="O720" s="76"/>
      <c r="P720" s="76"/>
      <c r="Q720" s="76"/>
      <c r="R720" s="76"/>
      <c r="S720" s="76"/>
      <c r="T720" s="76"/>
      <c r="U720" s="76"/>
      <c r="V720" s="76"/>
      <c r="W720" s="76"/>
      <c r="X720" s="76"/>
      <c r="Y720" s="76"/>
      <c r="Z720" s="76"/>
    </row>
    <row r="721" ht="22.5" customHeight="1">
      <c r="A721" s="140"/>
      <c r="B721" s="140"/>
      <c r="C721" s="141"/>
      <c r="D721" s="140"/>
      <c r="E721" s="76"/>
      <c r="F721" s="76"/>
      <c r="G721" s="76"/>
      <c r="H721" s="76"/>
      <c r="I721" s="76"/>
      <c r="J721" s="76"/>
      <c r="K721" s="76"/>
      <c r="L721" s="76"/>
      <c r="M721" s="76"/>
      <c r="N721" s="76"/>
      <c r="O721" s="76"/>
      <c r="P721" s="76"/>
      <c r="Q721" s="76"/>
      <c r="R721" s="76"/>
      <c r="S721" s="76"/>
      <c r="T721" s="76"/>
      <c r="U721" s="76"/>
      <c r="V721" s="76"/>
      <c r="W721" s="76"/>
      <c r="X721" s="76"/>
      <c r="Y721" s="76"/>
      <c r="Z721" s="76"/>
    </row>
    <row r="722" ht="22.5" customHeight="1">
      <c r="A722" s="140"/>
      <c r="B722" s="140"/>
      <c r="C722" s="141"/>
      <c r="D722" s="140"/>
      <c r="E722" s="76"/>
      <c r="F722" s="76"/>
      <c r="G722" s="76"/>
      <c r="H722" s="76"/>
      <c r="I722" s="76"/>
      <c r="J722" s="76"/>
      <c r="K722" s="76"/>
      <c r="L722" s="76"/>
      <c r="M722" s="76"/>
      <c r="N722" s="76"/>
      <c r="O722" s="76"/>
      <c r="P722" s="76"/>
      <c r="Q722" s="76"/>
      <c r="R722" s="76"/>
      <c r="S722" s="76"/>
      <c r="T722" s="76"/>
      <c r="U722" s="76"/>
      <c r="V722" s="76"/>
      <c r="W722" s="76"/>
      <c r="X722" s="76"/>
      <c r="Y722" s="76"/>
      <c r="Z722" s="76"/>
    </row>
    <row r="723" ht="22.5" customHeight="1">
      <c r="A723" s="140"/>
      <c r="B723" s="140"/>
      <c r="C723" s="141"/>
      <c r="D723" s="140"/>
      <c r="E723" s="76"/>
      <c r="F723" s="76"/>
      <c r="G723" s="76"/>
      <c r="H723" s="76"/>
      <c r="I723" s="76"/>
      <c r="J723" s="76"/>
      <c r="K723" s="76"/>
      <c r="L723" s="76"/>
      <c r="M723" s="76"/>
      <c r="N723" s="76"/>
      <c r="O723" s="76"/>
      <c r="P723" s="76"/>
      <c r="Q723" s="76"/>
      <c r="R723" s="76"/>
      <c r="S723" s="76"/>
      <c r="T723" s="76"/>
      <c r="U723" s="76"/>
      <c r="V723" s="76"/>
      <c r="W723" s="76"/>
      <c r="X723" s="76"/>
      <c r="Y723" s="76"/>
      <c r="Z723" s="76"/>
    </row>
    <row r="724" ht="22.5" customHeight="1">
      <c r="A724" s="140"/>
      <c r="B724" s="140"/>
      <c r="C724" s="141"/>
      <c r="D724" s="140"/>
      <c r="E724" s="76"/>
      <c r="F724" s="76"/>
      <c r="G724" s="76"/>
      <c r="H724" s="76"/>
      <c r="I724" s="76"/>
      <c r="J724" s="76"/>
      <c r="K724" s="76"/>
      <c r="L724" s="76"/>
      <c r="M724" s="76"/>
      <c r="N724" s="76"/>
      <c r="O724" s="76"/>
      <c r="P724" s="76"/>
      <c r="Q724" s="76"/>
      <c r="R724" s="76"/>
      <c r="S724" s="76"/>
      <c r="T724" s="76"/>
      <c r="U724" s="76"/>
      <c r="V724" s="76"/>
      <c r="W724" s="76"/>
      <c r="X724" s="76"/>
      <c r="Y724" s="76"/>
      <c r="Z724" s="76"/>
    </row>
    <row r="725" ht="22.5" customHeight="1">
      <c r="A725" s="140"/>
      <c r="B725" s="140"/>
      <c r="C725" s="141"/>
      <c r="D725" s="140"/>
      <c r="E725" s="76"/>
      <c r="F725" s="76"/>
      <c r="G725" s="76"/>
      <c r="H725" s="76"/>
      <c r="I725" s="76"/>
      <c r="J725" s="76"/>
      <c r="K725" s="76"/>
      <c r="L725" s="76"/>
      <c r="M725" s="76"/>
      <c r="N725" s="76"/>
      <c r="O725" s="76"/>
      <c r="P725" s="76"/>
      <c r="Q725" s="76"/>
      <c r="R725" s="76"/>
      <c r="S725" s="76"/>
      <c r="T725" s="76"/>
      <c r="U725" s="76"/>
      <c r="V725" s="76"/>
      <c r="W725" s="76"/>
      <c r="X725" s="76"/>
      <c r="Y725" s="76"/>
      <c r="Z725" s="76"/>
    </row>
    <row r="726" ht="22.5" customHeight="1">
      <c r="A726" s="140"/>
      <c r="B726" s="140"/>
      <c r="C726" s="141"/>
      <c r="D726" s="140"/>
      <c r="E726" s="76"/>
      <c r="F726" s="76"/>
      <c r="G726" s="76"/>
      <c r="H726" s="76"/>
      <c r="I726" s="76"/>
      <c r="J726" s="76"/>
      <c r="K726" s="76"/>
      <c r="L726" s="76"/>
      <c r="M726" s="76"/>
      <c r="N726" s="76"/>
      <c r="O726" s="76"/>
      <c r="P726" s="76"/>
      <c r="Q726" s="76"/>
      <c r="R726" s="76"/>
      <c r="S726" s="76"/>
      <c r="T726" s="76"/>
      <c r="U726" s="76"/>
      <c r="V726" s="76"/>
      <c r="W726" s="76"/>
      <c r="X726" s="76"/>
      <c r="Y726" s="76"/>
      <c r="Z726" s="76"/>
    </row>
    <row r="727" ht="22.5" customHeight="1">
      <c r="A727" s="140"/>
      <c r="B727" s="140"/>
      <c r="C727" s="141"/>
      <c r="D727" s="140"/>
      <c r="E727" s="76"/>
      <c r="F727" s="76"/>
      <c r="G727" s="76"/>
      <c r="H727" s="76"/>
      <c r="I727" s="76"/>
      <c r="J727" s="76"/>
      <c r="K727" s="76"/>
      <c r="L727" s="76"/>
      <c r="M727" s="76"/>
      <c r="N727" s="76"/>
      <c r="O727" s="76"/>
      <c r="P727" s="76"/>
      <c r="Q727" s="76"/>
      <c r="R727" s="76"/>
      <c r="S727" s="76"/>
      <c r="T727" s="76"/>
      <c r="U727" s="76"/>
      <c r="V727" s="76"/>
      <c r="W727" s="76"/>
      <c r="X727" s="76"/>
      <c r="Y727" s="76"/>
      <c r="Z727" s="76"/>
    </row>
    <row r="728" ht="22.5" customHeight="1">
      <c r="A728" s="140"/>
      <c r="B728" s="140"/>
      <c r="C728" s="141"/>
      <c r="D728" s="140"/>
      <c r="E728" s="76"/>
      <c r="F728" s="76"/>
      <c r="G728" s="76"/>
      <c r="H728" s="76"/>
      <c r="I728" s="76"/>
      <c r="J728" s="76"/>
      <c r="K728" s="76"/>
      <c r="L728" s="76"/>
      <c r="M728" s="76"/>
      <c r="N728" s="76"/>
      <c r="O728" s="76"/>
      <c r="P728" s="76"/>
      <c r="Q728" s="76"/>
      <c r="R728" s="76"/>
      <c r="S728" s="76"/>
      <c r="T728" s="76"/>
      <c r="U728" s="76"/>
      <c r="V728" s="76"/>
      <c r="W728" s="76"/>
      <c r="X728" s="76"/>
      <c r="Y728" s="76"/>
      <c r="Z728" s="76"/>
    </row>
    <row r="729" ht="22.5" customHeight="1">
      <c r="A729" s="140"/>
      <c r="B729" s="140"/>
      <c r="C729" s="141"/>
      <c r="D729" s="140"/>
      <c r="E729" s="76"/>
      <c r="F729" s="76"/>
      <c r="G729" s="76"/>
      <c r="H729" s="76"/>
      <c r="I729" s="76"/>
      <c r="J729" s="76"/>
      <c r="K729" s="76"/>
      <c r="L729" s="76"/>
      <c r="M729" s="76"/>
      <c r="N729" s="76"/>
      <c r="O729" s="76"/>
      <c r="P729" s="76"/>
      <c r="Q729" s="76"/>
      <c r="R729" s="76"/>
      <c r="S729" s="76"/>
      <c r="T729" s="76"/>
      <c r="U729" s="76"/>
      <c r="V729" s="76"/>
      <c r="W729" s="76"/>
      <c r="X729" s="76"/>
      <c r="Y729" s="76"/>
      <c r="Z729" s="76"/>
    </row>
    <row r="730" ht="22.5" customHeight="1">
      <c r="A730" s="140"/>
      <c r="B730" s="140"/>
      <c r="C730" s="141"/>
      <c r="D730" s="140"/>
      <c r="E730" s="76"/>
      <c r="F730" s="76"/>
      <c r="G730" s="76"/>
      <c r="H730" s="76"/>
      <c r="I730" s="76"/>
      <c r="J730" s="76"/>
      <c r="K730" s="76"/>
      <c r="L730" s="76"/>
      <c r="M730" s="76"/>
      <c r="N730" s="76"/>
      <c r="O730" s="76"/>
      <c r="P730" s="76"/>
      <c r="Q730" s="76"/>
      <c r="R730" s="76"/>
      <c r="S730" s="76"/>
      <c r="T730" s="76"/>
      <c r="U730" s="76"/>
      <c r="V730" s="76"/>
      <c r="W730" s="76"/>
      <c r="X730" s="76"/>
      <c r="Y730" s="76"/>
      <c r="Z730" s="76"/>
    </row>
    <row r="731" ht="22.5" customHeight="1">
      <c r="A731" s="140"/>
      <c r="B731" s="140"/>
      <c r="C731" s="141"/>
      <c r="D731" s="140"/>
      <c r="E731" s="76"/>
      <c r="F731" s="76"/>
      <c r="G731" s="76"/>
      <c r="H731" s="76"/>
      <c r="I731" s="76"/>
      <c r="J731" s="76"/>
      <c r="K731" s="76"/>
      <c r="L731" s="76"/>
      <c r="M731" s="76"/>
      <c r="N731" s="76"/>
      <c r="O731" s="76"/>
      <c r="P731" s="76"/>
      <c r="Q731" s="76"/>
      <c r="R731" s="76"/>
      <c r="S731" s="76"/>
      <c r="T731" s="76"/>
      <c r="U731" s="76"/>
      <c r="V731" s="76"/>
      <c r="W731" s="76"/>
      <c r="X731" s="76"/>
      <c r="Y731" s="76"/>
      <c r="Z731" s="76"/>
    </row>
    <row r="732" ht="22.5" customHeight="1">
      <c r="A732" s="140"/>
      <c r="B732" s="140"/>
      <c r="C732" s="141"/>
      <c r="D732" s="140"/>
      <c r="E732" s="76"/>
      <c r="F732" s="76"/>
      <c r="G732" s="76"/>
      <c r="H732" s="76"/>
      <c r="I732" s="76"/>
      <c r="J732" s="76"/>
      <c r="K732" s="76"/>
      <c r="L732" s="76"/>
      <c r="M732" s="76"/>
      <c r="N732" s="76"/>
      <c r="O732" s="76"/>
      <c r="P732" s="76"/>
      <c r="Q732" s="76"/>
      <c r="R732" s="76"/>
      <c r="S732" s="76"/>
      <c r="T732" s="76"/>
      <c r="U732" s="76"/>
      <c r="V732" s="76"/>
      <c r="W732" s="76"/>
      <c r="X732" s="76"/>
      <c r="Y732" s="76"/>
      <c r="Z732" s="76"/>
    </row>
    <row r="733" ht="22.5" customHeight="1">
      <c r="A733" s="140"/>
      <c r="B733" s="140"/>
      <c r="C733" s="141"/>
      <c r="D733" s="140"/>
      <c r="E733" s="76"/>
      <c r="F733" s="76"/>
      <c r="G733" s="76"/>
      <c r="H733" s="76"/>
      <c r="I733" s="76"/>
      <c r="J733" s="76"/>
      <c r="K733" s="76"/>
      <c r="L733" s="76"/>
      <c r="M733" s="76"/>
      <c r="N733" s="76"/>
      <c r="O733" s="76"/>
      <c r="P733" s="76"/>
      <c r="Q733" s="76"/>
      <c r="R733" s="76"/>
      <c r="S733" s="76"/>
      <c r="T733" s="76"/>
      <c r="U733" s="76"/>
      <c r="V733" s="76"/>
      <c r="W733" s="76"/>
      <c r="X733" s="76"/>
      <c r="Y733" s="76"/>
      <c r="Z733" s="76"/>
    </row>
    <row r="734" ht="22.5" customHeight="1">
      <c r="A734" s="140"/>
      <c r="B734" s="140"/>
      <c r="C734" s="141"/>
      <c r="D734" s="140"/>
      <c r="E734" s="76"/>
      <c r="F734" s="76"/>
      <c r="G734" s="76"/>
      <c r="H734" s="76"/>
      <c r="I734" s="76"/>
      <c r="J734" s="76"/>
      <c r="K734" s="76"/>
      <c r="L734" s="76"/>
      <c r="M734" s="76"/>
      <c r="N734" s="76"/>
      <c r="O734" s="76"/>
      <c r="P734" s="76"/>
      <c r="Q734" s="76"/>
      <c r="R734" s="76"/>
      <c r="S734" s="76"/>
      <c r="T734" s="76"/>
      <c r="U734" s="76"/>
      <c r="V734" s="76"/>
      <c r="W734" s="76"/>
      <c r="X734" s="76"/>
      <c r="Y734" s="76"/>
      <c r="Z734" s="76"/>
    </row>
    <row r="735" ht="22.5" customHeight="1">
      <c r="A735" s="140"/>
      <c r="B735" s="140"/>
      <c r="C735" s="141"/>
      <c r="D735" s="140"/>
      <c r="E735" s="76"/>
      <c r="F735" s="76"/>
      <c r="G735" s="76"/>
      <c r="H735" s="76"/>
      <c r="I735" s="76"/>
      <c r="J735" s="76"/>
      <c r="K735" s="76"/>
      <c r="L735" s="76"/>
      <c r="M735" s="76"/>
      <c r="N735" s="76"/>
      <c r="O735" s="76"/>
      <c r="P735" s="76"/>
      <c r="Q735" s="76"/>
      <c r="R735" s="76"/>
      <c r="S735" s="76"/>
      <c r="T735" s="76"/>
      <c r="U735" s="76"/>
      <c r="V735" s="76"/>
      <c r="W735" s="76"/>
      <c r="X735" s="76"/>
      <c r="Y735" s="76"/>
      <c r="Z735" s="76"/>
    </row>
    <row r="736" ht="22.5" customHeight="1">
      <c r="A736" s="140"/>
      <c r="B736" s="140"/>
      <c r="C736" s="141"/>
      <c r="D736" s="140"/>
      <c r="E736" s="76"/>
      <c r="F736" s="76"/>
      <c r="G736" s="76"/>
      <c r="H736" s="76"/>
      <c r="I736" s="76"/>
      <c r="J736" s="76"/>
      <c r="K736" s="76"/>
      <c r="L736" s="76"/>
      <c r="M736" s="76"/>
      <c r="N736" s="76"/>
      <c r="O736" s="76"/>
      <c r="P736" s="76"/>
      <c r="Q736" s="76"/>
      <c r="R736" s="76"/>
      <c r="S736" s="76"/>
      <c r="T736" s="76"/>
      <c r="U736" s="76"/>
      <c r="V736" s="76"/>
      <c r="W736" s="76"/>
      <c r="X736" s="76"/>
      <c r="Y736" s="76"/>
      <c r="Z736" s="76"/>
    </row>
    <row r="737" ht="22.5" customHeight="1">
      <c r="A737" s="140"/>
      <c r="B737" s="140"/>
      <c r="C737" s="141"/>
      <c r="D737" s="140"/>
      <c r="E737" s="76"/>
      <c r="F737" s="76"/>
      <c r="G737" s="76"/>
      <c r="H737" s="76"/>
      <c r="I737" s="76"/>
      <c r="J737" s="76"/>
      <c r="K737" s="76"/>
      <c r="L737" s="76"/>
      <c r="M737" s="76"/>
      <c r="N737" s="76"/>
      <c r="O737" s="76"/>
      <c r="P737" s="76"/>
      <c r="Q737" s="76"/>
      <c r="R737" s="76"/>
      <c r="S737" s="76"/>
      <c r="T737" s="76"/>
      <c r="U737" s="76"/>
      <c r="V737" s="76"/>
      <c r="W737" s="76"/>
      <c r="X737" s="76"/>
      <c r="Y737" s="76"/>
      <c r="Z737" s="76"/>
    </row>
    <row r="738" ht="22.5" customHeight="1">
      <c r="A738" s="140"/>
      <c r="B738" s="140"/>
      <c r="C738" s="141"/>
      <c r="D738" s="140"/>
      <c r="E738" s="76"/>
      <c r="F738" s="76"/>
      <c r="G738" s="76"/>
      <c r="H738" s="76"/>
      <c r="I738" s="76"/>
      <c r="J738" s="76"/>
      <c r="K738" s="76"/>
      <c r="L738" s="76"/>
      <c r="M738" s="76"/>
      <c r="N738" s="76"/>
      <c r="O738" s="76"/>
      <c r="P738" s="76"/>
      <c r="Q738" s="76"/>
      <c r="R738" s="76"/>
      <c r="S738" s="76"/>
      <c r="T738" s="76"/>
      <c r="U738" s="76"/>
      <c r="V738" s="76"/>
      <c r="W738" s="76"/>
      <c r="X738" s="76"/>
      <c r="Y738" s="76"/>
      <c r="Z738" s="76"/>
    </row>
    <row r="739" ht="22.5" customHeight="1">
      <c r="A739" s="140"/>
      <c r="B739" s="140"/>
      <c r="C739" s="141"/>
      <c r="D739" s="140"/>
      <c r="E739" s="76"/>
      <c r="F739" s="76"/>
      <c r="G739" s="76"/>
      <c r="H739" s="76"/>
      <c r="I739" s="76"/>
      <c r="J739" s="76"/>
      <c r="K739" s="76"/>
      <c r="L739" s="76"/>
      <c r="M739" s="76"/>
      <c r="N739" s="76"/>
      <c r="O739" s="76"/>
      <c r="P739" s="76"/>
      <c r="Q739" s="76"/>
      <c r="R739" s="76"/>
      <c r="S739" s="76"/>
      <c r="T739" s="76"/>
      <c r="U739" s="76"/>
      <c r="V739" s="76"/>
      <c r="W739" s="76"/>
      <c r="X739" s="76"/>
      <c r="Y739" s="76"/>
      <c r="Z739" s="76"/>
    </row>
    <row r="740" ht="22.5" customHeight="1">
      <c r="A740" s="140"/>
      <c r="B740" s="140"/>
      <c r="C740" s="141"/>
      <c r="D740" s="140"/>
      <c r="E740" s="76"/>
      <c r="F740" s="76"/>
      <c r="G740" s="76"/>
      <c r="H740" s="76"/>
      <c r="I740" s="76"/>
      <c r="J740" s="76"/>
      <c r="K740" s="76"/>
      <c r="L740" s="76"/>
      <c r="M740" s="76"/>
      <c r="N740" s="76"/>
      <c r="O740" s="76"/>
      <c r="P740" s="76"/>
      <c r="Q740" s="76"/>
      <c r="R740" s="76"/>
      <c r="S740" s="76"/>
      <c r="T740" s="76"/>
      <c r="U740" s="76"/>
      <c r="V740" s="76"/>
      <c r="W740" s="76"/>
      <c r="X740" s="76"/>
      <c r="Y740" s="76"/>
      <c r="Z740" s="76"/>
    </row>
    <row r="741" ht="22.5" customHeight="1">
      <c r="A741" s="140"/>
      <c r="B741" s="140"/>
      <c r="C741" s="141"/>
      <c r="D741" s="140"/>
      <c r="E741" s="76"/>
      <c r="F741" s="76"/>
      <c r="G741" s="76"/>
      <c r="H741" s="76"/>
      <c r="I741" s="76"/>
      <c r="J741" s="76"/>
      <c r="K741" s="76"/>
      <c r="L741" s="76"/>
      <c r="M741" s="76"/>
      <c r="N741" s="76"/>
      <c r="O741" s="76"/>
      <c r="P741" s="76"/>
      <c r="Q741" s="76"/>
      <c r="R741" s="76"/>
      <c r="S741" s="76"/>
      <c r="T741" s="76"/>
      <c r="U741" s="76"/>
      <c r="V741" s="76"/>
      <c r="W741" s="76"/>
      <c r="X741" s="76"/>
      <c r="Y741" s="76"/>
      <c r="Z741" s="76"/>
    </row>
    <row r="742" ht="22.5" customHeight="1">
      <c r="A742" s="140"/>
      <c r="B742" s="140"/>
      <c r="C742" s="141"/>
      <c r="D742" s="140"/>
      <c r="E742" s="76"/>
      <c r="F742" s="76"/>
      <c r="G742" s="76"/>
      <c r="H742" s="76"/>
      <c r="I742" s="76"/>
      <c r="J742" s="76"/>
      <c r="K742" s="76"/>
      <c r="L742" s="76"/>
      <c r="M742" s="76"/>
      <c r="N742" s="76"/>
      <c r="O742" s="76"/>
      <c r="P742" s="76"/>
      <c r="Q742" s="76"/>
      <c r="R742" s="76"/>
      <c r="S742" s="76"/>
      <c r="T742" s="76"/>
      <c r="U742" s="76"/>
      <c r="V742" s="76"/>
      <c r="W742" s="76"/>
      <c r="X742" s="76"/>
      <c r="Y742" s="76"/>
      <c r="Z742" s="76"/>
    </row>
    <row r="743" ht="22.5" customHeight="1">
      <c r="A743" s="140"/>
      <c r="B743" s="140"/>
      <c r="C743" s="141"/>
      <c r="D743" s="140"/>
      <c r="E743" s="76"/>
      <c r="F743" s="76"/>
      <c r="G743" s="76"/>
      <c r="H743" s="76"/>
      <c r="I743" s="76"/>
      <c r="J743" s="76"/>
      <c r="K743" s="76"/>
      <c r="L743" s="76"/>
      <c r="M743" s="76"/>
      <c r="N743" s="76"/>
      <c r="O743" s="76"/>
      <c r="P743" s="76"/>
      <c r="Q743" s="76"/>
      <c r="R743" s="76"/>
      <c r="S743" s="76"/>
      <c r="T743" s="76"/>
      <c r="U743" s="76"/>
      <c r="V743" s="76"/>
      <c r="W743" s="76"/>
      <c r="X743" s="76"/>
      <c r="Y743" s="76"/>
      <c r="Z743" s="76"/>
    </row>
    <row r="744" ht="22.5" customHeight="1">
      <c r="A744" s="140"/>
      <c r="B744" s="140"/>
      <c r="C744" s="141"/>
      <c r="D744" s="140"/>
      <c r="E744" s="76"/>
      <c r="F744" s="76"/>
      <c r="G744" s="76"/>
      <c r="H744" s="76"/>
      <c r="I744" s="76"/>
      <c r="J744" s="76"/>
      <c r="K744" s="76"/>
      <c r="L744" s="76"/>
      <c r="M744" s="76"/>
      <c r="N744" s="76"/>
      <c r="O744" s="76"/>
      <c r="P744" s="76"/>
      <c r="Q744" s="76"/>
      <c r="R744" s="76"/>
      <c r="S744" s="76"/>
      <c r="T744" s="76"/>
      <c r="U744" s="76"/>
      <c r="V744" s="76"/>
      <c r="W744" s="76"/>
      <c r="X744" s="76"/>
      <c r="Y744" s="76"/>
      <c r="Z744" s="76"/>
    </row>
    <row r="745" ht="22.5" customHeight="1">
      <c r="A745" s="140"/>
      <c r="B745" s="140"/>
      <c r="C745" s="141"/>
      <c r="D745" s="140"/>
      <c r="E745" s="76"/>
      <c r="F745" s="76"/>
      <c r="G745" s="76"/>
      <c r="H745" s="76"/>
      <c r="I745" s="76"/>
      <c r="J745" s="76"/>
      <c r="K745" s="76"/>
      <c r="L745" s="76"/>
      <c r="M745" s="76"/>
      <c r="N745" s="76"/>
      <c r="O745" s="76"/>
      <c r="P745" s="76"/>
      <c r="Q745" s="76"/>
      <c r="R745" s="76"/>
      <c r="S745" s="76"/>
      <c r="T745" s="76"/>
      <c r="U745" s="76"/>
      <c r="V745" s="76"/>
      <c r="W745" s="76"/>
      <c r="X745" s="76"/>
      <c r="Y745" s="76"/>
      <c r="Z745" s="76"/>
    </row>
    <row r="746" ht="22.5" customHeight="1">
      <c r="A746" s="140"/>
      <c r="B746" s="140"/>
      <c r="C746" s="141"/>
      <c r="D746" s="140"/>
      <c r="E746" s="76"/>
      <c r="F746" s="76"/>
      <c r="G746" s="76"/>
      <c r="H746" s="76"/>
      <c r="I746" s="76"/>
      <c r="J746" s="76"/>
      <c r="K746" s="76"/>
      <c r="L746" s="76"/>
      <c r="M746" s="76"/>
      <c r="N746" s="76"/>
      <c r="O746" s="76"/>
      <c r="P746" s="76"/>
      <c r="Q746" s="76"/>
      <c r="R746" s="76"/>
      <c r="S746" s="76"/>
      <c r="T746" s="76"/>
      <c r="U746" s="76"/>
      <c r="V746" s="76"/>
      <c r="W746" s="76"/>
      <c r="X746" s="76"/>
      <c r="Y746" s="76"/>
      <c r="Z746" s="76"/>
    </row>
    <row r="747" ht="22.5" customHeight="1">
      <c r="A747" s="140"/>
      <c r="B747" s="140"/>
      <c r="C747" s="141"/>
      <c r="D747" s="140"/>
      <c r="E747" s="76"/>
      <c r="F747" s="76"/>
      <c r="G747" s="76"/>
      <c r="H747" s="76"/>
      <c r="I747" s="76"/>
      <c r="J747" s="76"/>
      <c r="K747" s="76"/>
      <c r="L747" s="76"/>
      <c r="M747" s="76"/>
      <c r="N747" s="76"/>
      <c r="O747" s="76"/>
      <c r="P747" s="76"/>
      <c r="Q747" s="76"/>
      <c r="R747" s="76"/>
      <c r="S747" s="76"/>
      <c r="T747" s="76"/>
      <c r="U747" s="76"/>
      <c r="V747" s="76"/>
      <c r="W747" s="76"/>
      <c r="X747" s="76"/>
      <c r="Y747" s="76"/>
      <c r="Z747" s="76"/>
    </row>
    <row r="748" ht="22.5" customHeight="1">
      <c r="A748" s="140"/>
      <c r="B748" s="140"/>
      <c r="C748" s="141"/>
      <c r="D748" s="140"/>
      <c r="E748" s="76"/>
      <c r="F748" s="76"/>
      <c r="G748" s="76"/>
      <c r="H748" s="76"/>
      <c r="I748" s="76"/>
      <c r="J748" s="76"/>
      <c r="K748" s="76"/>
      <c r="L748" s="76"/>
      <c r="M748" s="76"/>
      <c r="N748" s="76"/>
      <c r="O748" s="76"/>
      <c r="P748" s="76"/>
      <c r="Q748" s="76"/>
      <c r="R748" s="76"/>
      <c r="S748" s="76"/>
      <c r="T748" s="76"/>
      <c r="U748" s="76"/>
      <c r="V748" s="76"/>
      <c r="W748" s="76"/>
      <c r="X748" s="76"/>
      <c r="Y748" s="76"/>
      <c r="Z748" s="76"/>
    </row>
    <row r="749" ht="22.5" customHeight="1">
      <c r="A749" s="140"/>
      <c r="B749" s="140"/>
      <c r="C749" s="141"/>
      <c r="D749" s="140"/>
      <c r="E749" s="76"/>
      <c r="F749" s="76"/>
      <c r="G749" s="76"/>
      <c r="H749" s="76"/>
      <c r="I749" s="76"/>
      <c r="J749" s="76"/>
      <c r="K749" s="76"/>
      <c r="L749" s="76"/>
      <c r="M749" s="76"/>
      <c r="N749" s="76"/>
      <c r="O749" s="76"/>
      <c r="P749" s="76"/>
      <c r="Q749" s="76"/>
      <c r="R749" s="76"/>
      <c r="S749" s="76"/>
      <c r="T749" s="76"/>
      <c r="U749" s="76"/>
      <c r="V749" s="76"/>
      <c r="W749" s="76"/>
      <c r="X749" s="76"/>
      <c r="Y749" s="76"/>
      <c r="Z749" s="76"/>
    </row>
    <row r="750" ht="22.5" customHeight="1">
      <c r="A750" s="140"/>
      <c r="B750" s="140"/>
      <c r="C750" s="141"/>
      <c r="D750" s="140"/>
      <c r="E750" s="76"/>
      <c r="F750" s="76"/>
      <c r="G750" s="76"/>
      <c r="H750" s="76"/>
      <c r="I750" s="76"/>
      <c r="J750" s="76"/>
      <c r="K750" s="76"/>
      <c r="L750" s="76"/>
      <c r="M750" s="76"/>
      <c r="N750" s="76"/>
      <c r="O750" s="76"/>
      <c r="P750" s="76"/>
      <c r="Q750" s="76"/>
      <c r="R750" s="76"/>
      <c r="S750" s="76"/>
      <c r="T750" s="76"/>
      <c r="U750" s="76"/>
      <c r="V750" s="76"/>
      <c r="W750" s="76"/>
      <c r="X750" s="76"/>
      <c r="Y750" s="76"/>
      <c r="Z750" s="76"/>
    </row>
    <row r="751" ht="22.5" customHeight="1">
      <c r="A751" s="140"/>
      <c r="B751" s="140"/>
      <c r="C751" s="141"/>
      <c r="D751" s="140"/>
      <c r="E751" s="76"/>
      <c r="F751" s="76"/>
      <c r="G751" s="76"/>
      <c r="H751" s="76"/>
      <c r="I751" s="76"/>
      <c r="J751" s="76"/>
      <c r="K751" s="76"/>
      <c r="L751" s="76"/>
      <c r="M751" s="76"/>
      <c r="N751" s="76"/>
      <c r="O751" s="76"/>
      <c r="P751" s="76"/>
      <c r="Q751" s="76"/>
      <c r="R751" s="76"/>
      <c r="S751" s="76"/>
      <c r="T751" s="76"/>
      <c r="U751" s="76"/>
      <c r="V751" s="76"/>
      <c r="W751" s="76"/>
      <c r="X751" s="76"/>
      <c r="Y751" s="76"/>
      <c r="Z751" s="76"/>
    </row>
    <row r="752" ht="22.5" customHeight="1">
      <c r="A752" s="140"/>
      <c r="B752" s="140"/>
      <c r="C752" s="141"/>
      <c r="D752" s="140"/>
      <c r="E752" s="76"/>
      <c r="F752" s="76"/>
      <c r="G752" s="76"/>
      <c r="H752" s="76"/>
      <c r="I752" s="76"/>
      <c r="J752" s="76"/>
      <c r="K752" s="76"/>
      <c r="L752" s="76"/>
      <c r="M752" s="76"/>
      <c r="N752" s="76"/>
      <c r="O752" s="76"/>
      <c r="P752" s="76"/>
      <c r="Q752" s="76"/>
      <c r="R752" s="76"/>
      <c r="S752" s="76"/>
      <c r="T752" s="76"/>
      <c r="U752" s="76"/>
      <c r="V752" s="76"/>
      <c r="W752" s="76"/>
      <c r="X752" s="76"/>
      <c r="Y752" s="76"/>
      <c r="Z752" s="76"/>
    </row>
    <row r="753" ht="22.5" customHeight="1">
      <c r="A753" s="140"/>
      <c r="B753" s="140"/>
      <c r="C753" s="141"/>
      <c r="D753" s="140"/>
      <c r="E753" s="76"/>
      <c r="F753" s="76"/>
      <c r="G753" s="76"/>
      <c r="H753" s="76"/>
      <c r="I753" s="76"/>
      <c r="J753" s="76"/>
      <c r="K753" s="76"/>
      <c r="L753" s="76"/>
      <c r="M753" s="76"/>
      <c r="N753" s="76"/>
      <c r="O753" s="76"/>
      <c r="P753" s="76"/>
      <c r="Q753" s="76"/>
      <c r="R753" s="76"/>
      <c r="S753" s="76"/>
      <c r="T753" s="76"/>
      <c r="U753" s="76"/>
      <c r="V753" s="76"/>
      <c r="W753" s="76"/>
      <c r="X753" s="76"/>
      <c r="Y753" s="76"/>
      <c r="Z753" s="76"/>
    </row>
    <row r="754" ht="22.5" customHeight="1">
      <c r="A754" s="140"/>
      <c r="B754" s="140"/>
      <c r="C754" s="141"/>
      <c r="D754" s="140"/>
      <c r="E754" s="76"/>
      <c r="F754" s="76"/>
      <c r="G754" s="76"/>
      <c r="H754" s="76"/>
      <c r="I754" s="76"/>
      <c r="J754" s="76"/>
      <c r="K754" s="76"/>
      <c r="L754" s="76"/>
      <c r="M754" s="76"/>
      <c r="N754" s="76"/>
      <c r="O754" s="76"/>
      <c r="P754" s="76"/>
      <c r="Q754" s="76"/>
      <c r="R754" s="76"/>
      <c r="S754" s="76"/>
      <c r="T754" s="76"/>
      <c r="U754" s="76"/>
      <c r="V754" s="76"/>
      <c r="W754" s="76"/>
      <c r="X754" s="76"/>
      <c r="Y754" s="76"/>
      <c r="Z754" s="76"/>
    </row>
    <row r="755" ht="22.5" customHeight="1">
      <c r="A755" s="140"/>
      <c r="B755" s="140"/>
      <c r="C755" s="141"/>
      <c r="D755" s="140"/>
      <c r="E755" s="76"/>
      <c r="F755" s="76"/>
      <c r="G755" s="76"/>
      <c r="H755" s="76"/>
      <c r="I755" s="76"/>
      <c r="J755" s="76"/>
      <c r="K755" s="76"/>
      <c r="L755" s="76"/>
      <c r="M755" s="76"/>
      <c r="N755" s="76"/>
      <c r="O755" s="76"/>
      <c r="P755" s="76"/>
      <c r="Q755" s="76"/>
      <c r="R755" s="76"/>
      <c r="S755" s="76"/>
      <c r="T755" s="76"/>
      <c r="U755" s="76"/>
      <c r="V755" s="76"/>
      <c r="W755" s="76"/>
      <c r="X755" s="76"/>
      <c r="Y755" s="76"/>
      <c r="Z755" s="76"/>
    </row>
    <row r="756" ht="22.5" customHeight="1">
      <c r="A756" s="140"/>
      <c r="B756" s="140"/>
      <c r="C756" s="141"/>
      <c r="D756" s="140"/>
      <c r="E756" s="76"/>
      <c r="F756" s="76"/>
      <c r="G756" s="76"/>
      <c r="H756" s="76"/>
      <c r="I756" s="76"/>
      <c r="J756" s="76"/>
      <c r="K756" s="76"/>
      <c r="L756" s="76"/>
      <c r="M756" s="76"/>
      <c r="N756" s="76"/>
      <c r="O756" s="76"/>
      <c r="P756" s="76"/>
      <c r="Q756" s="76"/>
      <c r="R756" s="76"/>
      <c r="S756" s="76"/>
      <c r="T756" s="76"/>
      <c r="U756" s="76"/>
      <c r="V756" s="76"/>
      <c r="W756" s="76"/>
      <c r="X756" s="76"/>
      <c r="Y756" s="76"/>
      <c r="Z756" s="76"/>
    </row>
    <row r="757" ht="22.5" customHeight="1">
      <c r="A757" s="140"/>
      <c r="B757" s="140"/>
      <c r="C757" s="141"/>
      <c r="D757" s="140"/>
      <c r="E757" s="76"/>
      <c r="F757" s="76"/>
      <c r="G757" s="76"/>
      <c r="H757" s="76"/>
      <c r="I757" s="76"/>
      <c r="J757" s="76"/>
      <c r="K757" s="76"/>
      <c r="L757" s="76"/>
      <c r="M757" s="76"/>
      <c r="N757" s="76"/>
      <c r="O757" s="76"/>
      <c r="P757" s="76"/>
      <c r="Q757" s="76"/>
      <c r="R757" s="76"/>
      <c r="S757" s="76"/>
      <c r="T757" s="76"/>
      <c r="U757" s="76"/>
      <c r="V757" s="76"/>
      <c r="W757" s="76"/>
      <c r="X757" s="76"/>
      <c r="Y757" s="76"/>
      <c r="Z757" s="76"/>
    </row>
    <row r="758" ht="22.5" customHeight="1">
      <c r="A758" s="140"/>
      <c r="B758" s="140"/>
      <c r="C758" s="141"/>
      <c r="D758" s="140"/>
      <c r="E758" s="76"/>
      <c r="F758" s="76"/>
      <c r="G758" s="76"/>
      <c r="H758" s="76"/>
      <c r="I758" s="76"/>
      <c r="J758" s="76"/>
      <c r="K758" s="76"/>
      <c r="L758" s="76"/>
      <c r="M758" s="76"/>
      <c r="N758" s="76"/>
      <c r="O758" s="76"/>
      <c r="P758" s="76"/>
      <c r="Q758" s="76"/>
      <c r="R758" s="76"/>
      <c r="S758" s="76"/>
      <c r="T758" s="76"/>
      <c r="U758" s="76"/>
      <c r="V758" s="76"/>
      <c r="W758" s="76"/>
      <c r="X758" s="76"/>
      <c r="Y758" s="76"/>
      <c r="Z758" s="76"/>
    </row>
    <row r="759" ht="22.5" customHeight="1">
      <c r="A759" s="140"/>
      <c r="B759" s="140"/>
      <c r="C759" s="141"/>
      <c r="D759" s="140"/>
      <c r="E759" s="76"/>
      <c r="F759" s="76"/>
      <c r="G759" s="76"/>
      <c r="H759" s="76"/>
      <c r="I759" s="76"/>
      <c r="J759" s="76"/>
      <c r="K759" s="76"/>
      <c r="L759" s="76"/>
      <c r="M759" s="76"/>
      <c r="N759" s="76"/>
      <c r="O759" s="76"/>
      <c r="P759" s="76"/>
      <c r="Q759" s="76"/>
      <c r="R759" s="76"/>
      <c r="S759" s="76"/>
      <c r="T759" s="76"/>
      <c r="U759" s="76"/>
      <c r="V759" s="76"/>
      <c r="W759" s="76"/>
      <c r="X759" s="76"/>
      <c r="Y759" s="76"/>
      <c r="Z759" s="76"/>
    </row>
    <row r="760" ht="22.5" customHeight="1">
      <c r="A760" s="140"/>
      <c r="B760" s="140"/>
      <c r="C760" s="141"/>
      <c r="D760" s="140"/>
      <c r="E760" s="76"/>
      <c r="F760" s="76"/>
      <c r="G760" s="76"/>
      <c r="H760" s="76"/>
      <c r="I760" s="76"/>
      <c r="J760" s="76"/>
      <c r="K760" s="76"/>
      <c r="L760" s="76"/>
      <c r="M760" s="76"/>
      <c r="N760" s="76"/>
      <c r="O760" s="76"/>
      <c r="P760" s="76"/>
      <c r="Q760" s="76"/>
      <c r="R760" s="76"/>
      <c r="S760" s="76"/>
      <c r="T760" s="76"/>
      <c r="U760" s="76"/>
      <c r="V760" s="76"/>
      <c r="W760" s="76"/>
      <c r="X760" s="76"/>
      <c r="Y760" s="76"/>
      <c r="Z760" s="76"/>
    </row>
    <row r="761" ht="22.5" customHeight="1">
      <c r="A761" s="140"/>
      <c r="B761" s="140"/>
      <c r="C761" s="141"/>
      <c r="D761" s="140"/>
      <c r="E761" s="76"/>
      <c r="F761" s="76"/>
      <c r="G761" s="76"/>
      <c r="H761" s="76"/>
      <c r="I761" s="76"/>
      <c r="J761" s="76"/>
      <c r="K761" s="76"/>
      <c r="L761" s="76"/>
      <c r="M761" s="76"/>
      <c r="N761" s="76"/>
      <c r="O761" s="76"/>
      <c r="P761" s="76"/>
      <c r="Q761" s="76"/>
      <c r="R761" s="76"/>
      <c r="S761" s="76"/>
      <c r="T761" s="76"/>
      <c r="U761" s="76"/>
      <c r="V761" s="76"/>
      <c r="W761" s="76"/>
      <c r="X761" s="76"/>
      <c r="Y761" s="76"/>
      <c r="Z761" s="76"/>
    </row>
    <row r="762" ht="22.5" customHeight="1">
      <c r="A762" s="140"/>
      <c r="B762" s="140"/>
      <c r="C762" s="141"/>
      <c r="D762" s="140"/>
      <c r="E762" s="76"/>
      <c r="F762" s="76"/>
      <c r="G762" s="76"/>
      <c r="H762" s="76"/>
      <c r="I762" s="76"/>
      <c r="J762" s="76"/>
      <c r="K762" s="76"/>
      <c r="L762" s="76"/>
      <c r="M762" s="76"/>
      <c r="N762" s="76"/>
      <c r="O762" s="76"/>
      <c r="P762" s="76"/>
      <c r="Q762" s="76"/>
      <c r="R762" s="76"/>
      <c r="S762" s="76"/>
      <c r="T762" s="76"/>
      <c r="U762" s="76"/>
      <c r="V762" s="76"/>
      <c r="W762" s="76"/>
      <c r="X762" s="76"/>
      <c r="Y762" s="76"/>
      <c r="Z762" s="76"/>
    </row>
    <row r="763" ht="22.5" customHeight="1">
      <c r="A763" s="140"/>
      <c r="B763" s="140"/>
      <c r="C763" s="141"/>
      <c r="D763" s="140"/>
      <c r="E763" s="76"/>
      <c r="F763" s="76"/>
      <c r="G763" s="76"/>
      <c r="H763" s="76"/>
      <c r="I763" s="76"/>
      <c r="J763" s="76"/>
      <c r="K763" s="76"/>
      <c r="L763" s="76"/>
      <c r="M763" s="76"/>
      <c r="N763" s="76"/>
      <c r="O763" s="76"/>
      <c r="P763" s="76"/>
      <c r="Q763" s="76"/>
      <c r="R763" s="76"/>
      <c r="S763" s="76"/>
      <c r="T763" s="76"/>
      <c r="U763" s="76"/>
      <c r="V763" s="76"/>
      <c r="W763" s="76"/>
      <c r="X763" s="76"/>
      <c r="Y763" s="76"/>
      <c r="Z763" s="76"/>
    </row>
    <row r="764" ht="22.5" customHeight="1">
      <c r="A764" s="140"/>
      <c r="B764" s="140"/>
      <c r="C764" s="141"/>
      <c r="D764" s="140"/>
      <c r="E764" s="76"/>
      <c r="F764" s="76"/>
      <c r="G764" s="76"/>
      <c r="H764" s="76"/>
      <c r="I764" s="76"/>
      <c r="J764" s="76"/>
      <c r="K764" s="76"/>
      <c r="L764" s="76"/>
      <c r="M764" s="76"/>
      <c r="N764" s="76"/>
      <c r="O764" s="76"/>
      <c r="P764" s="76"/>
      <c r="Q764" s="76"/>
      <c r="R764" s="76"/>
      <c r="S764" s="76"/>
      <c r="T764" s="76"/>
      <c r="U764" s="76"/>
      <c r="V764" s="76"/>
      <c r="W764" s="76"/>
      <c r="X764" s="76"/>
      <c r="Y764" s="76"/>
      <c r="Z764" s="76"/>
    </row>
    <row r="765" ht="22.5" customHeight="1">
      <c r="A765" s="140"/>
      <c r="B765" s="140"/>
      <c r="C765" s="141"/>
      <c r="D765" s="140"/>
      <c r="E765" s="76"/>
      <c r="F765" s="76"/>
      <c r="G765" s="76"/>
      <c r="H765" s="76"/>
      <c r="I765" s="76"/>
      <c r="J765" s="76"/>
      <c r="K765" s="76"/>
      <c r="L765" s="76"/>
      <c r="M765" s="76"/>
      <c r="N765" s="76"/>
      <c r="O765" s="76"/>
      <c r="P765" s="76"/>
      <c r="Q765" s="76"/>
      <c r="R765" s="76"/>
      <c r="S765" s="76"/>
      <c r="T765" s="76"/>
      <c r="U765" s="76"/>
      <c r="V765" s="76"/>
      <c r="W765" s="76"/>
      <c r="X765" s="76"/>
      <c r="Y765" s="76"/>
      <c r="Z765" s="76"/>
    </row>
    <row r="766" ht="22.5" customHeight="1">
      <c r="A766" s="140"/>
      <c r="B766" s="140"/>
      <c r="C766" s="141"/>
      <c r="D766" s="140"/>
      <c r="E766" s="76"/>
      <c r="F766" s="76"/>
      <c r="G766" s="76"/>
      <c r="H766" s="76"/>
      <c r="I766" s="76"/>
      <c r="J766" s="76"/>
      <c r="K766" s="76"/>
      <c r="L766" s="76"/>
      <c r="M766" s="76"/>
      <c r="N766" s="76"/>
      <c r="O766" s="76"/>
      <c r="P766" s="76"/>
      <c r="Q766" s="76"/>
      <c r="R766" s="76"/>
      <c r="S766" s="76"/>
      <c r="T766" s="76"/>
      <c r="U766" s="76"/>
      <c r="V766" s="76"/>
      <c r="W766" s="76"/>
      <c r="X766" s="76"/>
      <c r="Y766" s="76"/>
      <c r="Z766" s="76"/>
    </row>
    <row r="767" ht="22.5" customHeight="1">
      <c r="A767" s="140"/>
      <c r="B767" s="140"/>
      <c r="C767" s="141"/>
      <c r="D767" s="140"/>
      <c r="E767" s="76"/>
      <c r="F767" s="76"/>
      <c r="G767" s="76"/>
      <c r="H767" s="76"/>
      <c r="I767" s="76"/>
      <c r="J767" s="76"/>
      <c r="K767" s="76"/>
      <c r="L767" s="76"/>
      <c r="M767" s="76"/>
      <c r="N767" s="76"/>
      <c r="O767" s="76"/>
      <c r="P767" s="76"/>
      <c r="Q767" s="76"/>
      <c r="R767" s="76"/>
      <c r="S767" s="76"/>
      <c r="T767" s="76"/>
      <c r="U767" s="76"/>
      <c r="V767" s="76"/>
      <c r="W767" s="76"/>
      <c r="X767" s="76"/>
      <c r="Y767" s="76"/>
      <c r="Z767" s="76"/>
    </row>
    <row r="768" ht="22.5" customHeight="1">
      <c r="A768" s="140"/>
      <c r="B768" s="140"/>
      <c r="C768" s="141"/>
      <c r="D768" s="140"/>
      <c r="E768" s="76"/>
      <c r="F768" s="76"/>
      <c r="G768" s="76"/>
      <c r="H768" s="76"/>
      <c r="I768" s="76"/>
      <c r="J768" s="76"/>
      <c r="K768" s="76"/>
      <c r="L768" s="76"/>
      <c r="M768" s="76"/>
      <c r="N768" s="76"/>
      <c r="O768" s="76"/>
      <c r="P768" s="76"/>
      <c r="Q768" s="76"/>
      <c r="R768" s="76"/>
      <c r="S768" s="76"/>
      <c r="T768" s="76"/>
      <c r="U768" s="76"/>
      <c r="V768" s="76"/>
      <c r="W768" s="76"/>
      <c r="X768" s="76"/>
      <c r="Y768" s="76"/>
      <c r="Z768" s="76"/>
    </row>
    <row r="769" ht="22.5" customHeight="1">
      <c r="A769" s="140"/>
      <c r="B769" s="140"/>
      <c r="C769" s="141"/>
      <c r="D769" s="140"/>
      <c r="E769" s="76"/>
      <c r="F769" s="76"/>
      <c r="G769" s="76"/>
      <c r="H769" s="76"/>
      <c r="I769" s="76"/>
      <c r="J769" s="76"/>
      <c r="K769" s="76"/>
      <c r="L769" s="76"/>
      <c r="M769" s="76"/>
      <c r="N769" s="76"/>
      <c r="O769" s="76"/>
      <c r="P769" s="76"/>
      <c r="Q769" s="76"/>
      <c r="R769" s="76"/>
      <c r="S769" s="76"/>
      <c r="T769" s="76"/>
      <c r="U769" s="76"/>
      <c r="V769" s="76"/>
      <c r="W769" s="76"/>
      <c r="X769" s="76"/>
      <c r="Y769" s="76"/>
      <c r="Z769" s="76"/>
    </row>
    <row r="770" ht="22.5" customHeight="1">
      <c r="A770" s="140"/>
      <c r="B770" s="140"/>
      <c r="C770" s="141"/>
      <c r="D770" s="140"/>
      <c r="E770" s="76"/>
      <c r="F770" s="76"/>
      <c r="G770" s="76"/>
      <c r="H770" s="76"/>
      <c r="I770" s="76"/>
      <c r="J770" s="76"/>
      <c r="K770" s="76"/>
      <c r="L770" s="76"/>
      <c r="M770" s="76"/>
      <c r="N770" s="76"/>
      <c r="O770" s="76"/>
      <c r="P770" s="76"/>
      <c r="Q770" s="76"/>
      <c r="R770" s="76"/>
      <c r="S770" s="76"/>
      <c r="T770" s="76"/>
      <c r="U770" s="76"/>
      <c r="V770" s="76"/>
      <c r="W770" s="76"/>
      <c r="X770" s="76"/>
      <c r="Y770" s="76"/>
      <c r="Z770" s="76"/>
    </row>
    <row r="771" ht="22.5" customHeight="1">
      <c r="A771" s="140"/>
      <c r="B771" s="140"/>
      <c r="C771" s="141"/>
      <c r="D771" s="140"/>
      <c r="E771" s="76"/>
      <c r="F771" s="76"/>
      <c r="G771" s="76"/>
      <c r="H771" s="76"/>
      <c r="I771" s="76"/>
      <c r="J771" s="76"/>
      <c r="K771" s="76"/>
      <c r="L771" s="76"/>
      <c r="M771" s="76"/>
      <c r="N771" s="76"/>
      <c r="O771" s="76"/>
      <c r="P771" s="76"/>
      <c r="Q771" s="76"/>
      <c r="R771" s="76"/>
      <c r="S771" s="76"/>
      <c r="T771" s="76"/>
      <c r="U771" s="76"/>
      <c r="V771" s="76"/>
      <c r="W771" s="76"/>
      <c r="X771" s="76"/>
      <c r="Y771" s="76"/>
      <c r="Z771" s="76"/>
    </row>
    <row r="772" ht="22.5" customHeight="1">
      <c r="A772" s="140"/>
      <c r="B772" s="140"/>
      <c r="C772" s="141"/>
      <c r="D772" s="140"/>
      <c r="E772" s="76"/>
      <c r="F772" s="76"/>
      <c r="G772" s="76"/>
      <c r="H772" s="76"/>
      <c r="I772" s="76"/>
      <c r="J772" s="76"/>
      <c r="K772" s="76"/>
      <c r="L772" s="76"/>
      <c r="M772" s="76"/>
      <c r="N772" s="76"/>
      <c r="O772" s="76"/>
      <c r="P772" s="76"/>
      <c r="Q772" s="76"/>
      <c r="R772" s="76"/>
      <c r="S772" s="76"/>
      <c r="T772" s="76"/>
      <c r="U772" s="76"/>
      <c r="V772" s="76"/>
      <c r="W772" s="76"/>
      <c r="X772" s="76"/>
      <c r="Y772" s="76"/>
      <c r="Z772" s="76"/>
    </row>
    <row r="773" ht="22.5" customHeight="1">
      <c r="A773" s="140"/>
      <c r="B773" s="140"/>
      <c r="C773" s="141"/>
      <c r="D773" s="140"/>
      <c r="E773" s="76"/>
      <c r="F773" s="76"/>
      <c r="G773" s="76"/>
      <c r="H773" s="76"/>
      <c r="I773" s="76"/>
      <c r="J773" s="76"/>
      <c r="K773" s="76"/>
      <c r="L773" s="76"/>
      <c r="M773" s="76"/>
      <c r="N773" s="76"/>
      <c r="O773" s="76"/>
      <c r="P773" s="76"/>
      <c r="Q773" s="76"/>
      <c r="R773" s="76"/>
      <c r="S773" s="76"/>
      <c r="T773" s="76"/>
      <c r="U773" s="76"/>
      <c r="V773" s="76"/>
      <c r="W773" s="76"/>
      <c r="X773" s="76"/>
      <c r="Y773" s="76"/>
      <c r="Z773" s="76"/>
    </row>
    <row r="774" ht="22.5" customHeight="1">
      <c r="A774" s="140"/>
      <c r="B774" s="140"/>
      <c r="C774" s="141"/>
      <c r="D774" s="140"/>
      <c r="E774" s="76"/>
      <c r="F774" s="76"/>
      <c r="G774" s="76"/>
      <c r="H774" s="76"/>
      <c r="I774" s="76"/>
      <c r="J774" s="76"/>
      <c r="K774" s="76"/>
      <c r="L774" s="76"/>
      <c r="M774" s="76"/>
      <c r="N774" s="76"/>
      <c r="O774" s="76"/>
      <c r="P774" s="76"/>
      <c r="Q774" s="76"/>
      <c r="R774" s="76"/>
      <c r="S774" s="76"/>
      <c r="T774" s="76"/>
      <c r="U774" s="76"/>
      <c r="V774" s="76"/>
      <c r="W774" s="76"/>
      <c r="X774" s="76"/>
      <c r="Y774" s="76"/>
      <c r="Z774" s="76"/>
    </row>
    <row r="775" ht="22.5" customHeight="1">
      <c r="A775" s="140"/>
      <c r="B775" s="140"/>
      <c r="C775" s="141"/>
      <c r="D775" s="140"/>
      <c r="E775" s="76"/>
      <c r="F775" s="76"/>
      <c r="G775" s="76"/>
      <c r="H775" s="76"/>
      <c r="I775" s="76"/>
      <c r="J775" s="76"/>
      <c r="K775" s="76"/>
      <c r="L775" s="76"/>
      <c r="M775" s="76"/>
      <c r="N775" s="76"/>
      <c r="O775" s="76"/>
      <c r="P775" s="76"/>
      <c r="Q775" s="76"/>
      <c r="R775" s="76"/>
      <c r="S775" s="76"/>
      <c r="T775" s="76"/>
      <c r="U775" s="76"/>
      <c r="V775" s="76"/>
      <c r="W775" s="76"/>
      <c r="X775" s="76"/>
      <c r="Y775" s="76"/>
      <c r="Z775" s="76"/>
    </row>
    <row r="776" ht="22.5" customHeight="1">
      <c r="A776" s="140"/>
      <c r="B776" s="140"/>
      <c r="C776" s="141"/>
      <c r="D776" s="140"/>
      <c r="E776" s="76"/>
      <c r="F776" s="76"/>
      <c r="G776" s="76"/>
      <c r="H776" s="76"/>
      <c r="I776" s="76"/>
      <c r="J776" s="76"/>
      <c r="K776" s="76"/>
      <c r="L776" s="76"/>
      <c r="M776" s="76"/>
      <c r="N776" s="76"/>
      <c r="O776" s="76"/>
      <c r="P776" s="76"/>
      <c r="Q776" s="76"/>
      <c r="R776" s="76"/>
      <c r="S776" s="76"/>
      <c r="T776" s="76"/>
      <c r="U776" s="76"/>
      <c r="V776" s="76"/>
      <c r="W776" s="76"/>
      <c r="X776" s="76"/>
      <c r="Y776" s="76"/>
      <c r="Z776" s="76"/>
    </row>
    <row r="777" ht="22.5" customHeight="1">
      <c r="A777" s="140"/>
      <c r="B777" s="140"/>
      <c r="C777" s="141"/>
      <c r="D777" s="140"/>
      <c r="E777" s="76"/>
      <c r="F777" s="76"/>
      <c r="G777" s="76"/>
      <c r="H777" s="76"/>
      <c r="I777" s="76"/>
      <c r="J777" s="76"/>
      <c r="K777" s="76"/>
      <c r="L777" s="76"/>
      <c r="M777" s="76"/>
      <c r="N777" s="76"/>
      <c r="O777" s="76"/>
      <c r="P777" s="76"/>
      <c r="Q777" s="76"/>
      <c r="R777" s="76"/>
      <c r="S777" s="76"/>
      <c r="T777" s="76"/>
      <c r="U777" s="76"/>
      <c r="V777" s="76"/>
      <c r="W777" s="76"/>
      <c r="X777" s="76"/>
      <c r="Y777" s="76"/>
      <c r="Z777" s="76"/>
    </row>
    <row r="778" ht="22.5" customHeight="1">
      <c r="A778" s="140"/>
      <c r="B778" s="140"/>
      <c r="C778" s="141"/>
      <c r="D778" s="140"/>
      <c r="E778" s="76"/>
      <c r="F778" s="76"/>
      <c r="G778" s="76"/>
      <c r="H778" s="76"/>
      <c r="I778" s="76"/>
      <c r="J778" s="76"/>
      <c r="K778" s="76"/>
      <c r="L778" s="76"/>
      <c r="M778" s="76"/>
      <c r="N778" s="76"/>
      <c r="O778" s="76"/>
      <c r="P778" s="76"/>
      <c r="Q778" s="76"/>
      <c r="R778" s="76"/>
      <c r="S778" s="76"/>
      <c r="T778" s="76"/>
      <c r="U778" s="76"/>
      <c r="V778" s="76"/>
      <c r="W778" s="76"/>
      <c r="X778" s="76"/>
      <c r="Y778" s="76"/>
      <c r="Z778" s="76"/>
    </row>
    <row r="779" ht="22.5" customHeight="1">
      <c r="A779" s="140"/>
      <c r="B779" s="140"/>
      <c r="C779" s="141"/>
      <c r="D779" s="140"/>
      <c r="E779" s="76"/>
      <c r="F779" s="76"/>
      <c r="G779" s="76"/>
      <c r="H779" s="76"/>
      <c r="I779" s="76"/>
      <c r="J779" s="76"/>
      <c r="K779" s="76"/>
      <c r="L779" s="76"/>
      <c r="M779" s="76"/>
      <c r="N779" s="76"/>
      <c r="O779" s="76"/>
      <c r="P779" s="76"/>
      <c r="Q779" s="76"/>
      <c r="R779" s="76"/>
      <c r="S779" s="76"/>
      <c r="T779" s="76"/>
      <c r="U779" s="76"/>
      <c r="V779" s="76"/>
      <c r="W779" s="76"/>
      <c r="X779" s="76"/>
      <c r="Y779" s="76"/>
      <c r="Z779" s="76"/>
    </row>
    <row r="780" ht="22.5" customHeight="1">
      <c r="A780" s="140"/>
      <c r="B780" s="140"/>
      <c r="C780" s="141"/>
      <c r="D780" s="140"/>
      <c r="E780" s="76"/>
      <c r="F780" s="76"/>
      <c r="G780" s="76"/>
      <c r="H780" s="76"/>
      <c r="I780" s="76"/>
      <c r="J780" s="76"/>
      <c r="K780" s="76"/>
      <c r="L780" s="76"/>
      <c r="M780" s="76"/>
      <c r="N780" s="76"/>
      <c r="O780" s="76"/>
      <c r="P780" s="76"/>
      <c r="Q780" s="76"/>
      <c r="R780" s="76"/>
      <c r="S780" s="76"/>
      <c r="T780" s="76"/>
      <c r="U780" s="76"/>
      <c r="V780" s="76"/>
      <c r="W780" s="76"/>
      <c r="X780" s="76"/>
      <c r="Y780" s="76"/>
      <c r="Z780" s="76"/>
    </row>
    <row r="781" ht="22.5" customHeight="1">
      <c r="A781" s="140"/>
      <c r="B781" s="140"/>
      <c r="C781" s="141"/>
      <c r="D781" s="140"/>
      <c r="E781" s="76"/>
      <c r="F781" s="76"/>
      <c r="G781" s="76"/>
      <c r="H781" s="76"/>
      <c r="I781" s="76"/>
      <c r="J781" s="76"/>
      <c r="K781" s="76"/>
      <c r="L781" s="76"/>
      <c r="M781" s="76"/>
      <c r="N781" s="76"/>
      <c r="O781" s="76"/>
      <c r="P781" s="76"/>
      <c r="Q781" s="76"/>
      <c r="R781" s="76"/>
      <c r="S781" s="76"/>
      <c r="T781" s="76"/>
      <c r="U781" s="76"/>
      <c r="V781" s="76"/>
      <c r="W781" s="76"/>
      <c r="X781" s="76"/>
      <c r="Y781" s="76"/>
      <c r="Z781" s="76"/>
    </row>
    <row r="782" ht="22.5" customHeight="1">
      <c r="A782" s="140"/>
      <c r="B782" s="140"/>
      <c r="C782" s="141"/>
      <c r="D782" s="140"/>
      <c r="E782" s="76"/>
      <c r="F782" s="76"/>
      <c r="G782" s="76"/>
      <c r="H782" s="76"/>
      <c r="I782" s="76"/>
      <c r="J782" s="76"/>
      <c r="K782" s="76"/>
      <c r="L782" s="76"/>
      <c r="M782" s="76"/>
      <c r="N782" s="76"/>
      <c r="O782" s="76"/>
      <c r="P782" s="76"/>
      <c r="Q782" s="76"/>
      <c r="R782" s="76"/>
      <c r="S782" s="76"/>
      <c r="T782" s="76"/>
      <c r="U782" s="76"/>
      <c r="V782" s="76"/>
      <c r="W782" s="76"/>
      <c r="X782" s="76"/>
      <c r="Y782" s="76"/>
      <c r="Z782" s="76"/>
    </row>
    <row r="783" ht="22.5" customHeight="1">
      <c r="A783" s="140"/>
      <c r="B783" s="140"/>
      <c r="C783" s="141"/>
      <c r="D783" s="140"/>
      <c r="E783" s="76"/>
      <c r="F783" s="76"/>
      <c r="G783" s="76"/>
      <c r="H783" s="76"/>
      <c r="I783" s="76"/>
      <c r="J783" s="76"/>
      <c r="K783" s="76"/>
      <c r="L783" s="76"/>
      <c r="M783" s="76"/>
      <c r="N783" s="76"/>
      <c r="O783" s="76"/>
      <c r="P783" s="76"/>
      <c r="Q783" s="76"/>
      <c r="R783" s="76"/>
      <c r="S783" s="76"/>
      <c r="T783" s="76"/>
      <c r="U783" s="76"/>
      <c r="V783" s="76"/>
      <c r="W783" s="76"/>
      <c r="X783" s="76"/>
      <c r="Y783" s="76"/>
      <c r="Z783" s="76"/>
    </row>
    <row r="784" ht="22.5" customHeight="1">
      <c r="A784" s="140"/>
      <c r="B784" s="140"/>
      <c r="C784" s="141"/>
      <c r="D784" s="140"/>
      <c r="E784" s="76"/>
      <c r="F784" s="76"/>
      <c r="G784" s="76"/>
      <c r="H784" s="76"/>
      <c r="I784" s="76"/>
      <c r="J784" s="76"/>
      <c r="K784" s="76"/>
      <c r="L784" s="76"/>
      <c r="M784" s="76"/>
      <c r="N784" s="76"/>
      <c r="O784" s="76"/>
      <c r="P784" s="76"/>
      <c r="Q784" s="76"/>
      <c r="R784" s="76"/>
      <c r="S784" s="76"/>
      <c r="T784" s="76"/>
      <c r="U784" s="76"/>
      <c r="V784" s="76"/>
      <c r="W784" s="76"/>
      <c r="X784" s="76"/>
      <c r="Y784" s="76"/>
      <c r="Z784" s="76"/>
    </row>
    <row r="785" ht="22.5" customHeight="1">
      <c r="A785" s="140"/>
      <c r="B785" s="140"/>
      <c r="C785" s="141"/>
      <c r="D785" s="140"/>
      <c r="E785" s="76"/>
      <c r="F785" s="76"/>
      <c r="G785" s="76"/>
      <c r="H785" s="76"/>
      <c r="I785" s="76"/>
      <c r="J785" s="76"/>
      <c r="K785" s="76"/>
      <c r="L785" s="76"/>
      <c r="M785" s="76"/>
      <c r="N785" s="76"/>
      <c r="O785" s="76"/>
      <c r="P785" s="76"/>
      <c r="Q785" s="76"/>
      <c r="R785" s="76"/>
      <c r="S785" s="76"/>
      <c r="T785" s="76"/>
      <c r="U785" s="76"/>
      <c r="V785" s="76"/>
      <c r="W785" s="76"/>
      <c r="X785" s="76"/>
      <c r="Y785" s="76"/>
      <c r="Z785" s="76"/>
    </row>
    <row r="786" ht="22.5" customHeight="1">
      <c r="A786" s="140"/>
      <c r="B786" s="140"/>
      <c r="C786" s="141"/>
      <c r="D786" s="140"/>
      <c r="E786" s="76"/>
      <c r="F786" s="76"/>
      <c r="G786" s="76"/>
      <c r="H786" s="76"/>
      <c r="I786" s="76"/>
      <c r="J786" s="76"/>
      <c r="K786" s="76"/>
      <c r="L786" s="76"/>
      <c r="M786" s="76"/>
      <c r="N786" s="76"/>
      <c r="O786" s="76"/>
      <c r="P786" s="76"/>
      <c r="Q786" s="76"/>
      <c r="R786" s="76"/>
      <c r="S786" s="76"/>
      <c r="T786" s="76"/>
      <c r="U786" s="76"/>
      <c r="V786" s="76"/>
      <c r="W786" s="76"/>
      <c r="X786" s="76"/>
      <c r="Y786" s="76"/>
      <c r="Z786" s="76"/>
    </row>
    <row r="787" ht="22.5" customHeight="1">
      <c r="A787" s="140"/>
      <c r="B787" s="140"/>
      <c r="C787" s="141"/>
      <c r="D787" s="140"/>
      <c r="E787" s="76"/>
      <c r="F787" s="76"/>
      <c r="G787" s="76"/>
      <c r="H787" s="76"/>
      <c r="I787" s="76"/>
      <c r="J787" s="76"/>
      <c r="K787" s="76"/>
      <c r="L787" s="76"/>
      <c r="M787" s="76"/>
      <c r="N787" s="76"/>
      <c r="O787" s="76"/>
      <c r="P787" s="76"/>
      <c r="Q787" s="76"/>
      <c r="R787" s="76"/>
      <c r="S787" s="76"/>
      <c r="T787" s="76"/>
      <c r="U787" s="76"/>
      <c r="V787" s="76"/>
      <c r="W787" s="76"/>
      <c r="X787" s="76"/>
      <c r="Y787" s="76"/>
      <c r="Z787" s="76"/>
    </row>
    <row r="788" ht="22.5" customHeight="1">
      <c r="A788" s="140"/>
      <c r="B788" s="140"/>
      <c r="C788" s="141"/>
      <c r="D788" s="140"/>
      <c r="E788" s="76"/>
      <c r="F788" s="76"/>
      <c r="G788" s="76"/>
      <c r="H788" s="76"/>
      <c r="I788" s="76"/>
      <c r="J788" s="76"/>
      <c r="K788" s="76"/>
      <c r="L788" s="76"/>
      <c r="M788" s="76"/>
      <c r="N788" s="76"/>
      <c r="O788" s="76"/>
      <c r="P788" s="76"/>
      <c r="Q788" s="76"/>
      <c r="R788" s="76"/>
      <c r="S788" s="76"/>
      <c r="T788" s="76"/>
      <c r="U788" s="76"/>
      <c r="V788" s="76"/>
      <c r="W788" s="76"/>
      <c r="X788" s="76"/>
      <c r="Y788" s="76"/>
      <c r="Z788" s="76"/>
    </row>
    <row r="789" ht="22.5" customHeight="1">
      <c r="A789" s="140"/>
      <c r="B789" s="140"/>
      <c r="C789" s="141"/>
      <c r="D789" s="140"/>
      <c r="E789" s="76"/>
      <c r="F789" s="76"/>
      <c r="G789" s="76"/>
      <c r="H789" s="76"/>
      <c r="I789" s="76"/>
      <c r="J789" s="76"/>
      <c r="K789" s="76"/>
      <c r="L789" s="76"/>
      <c r="M789" s="76"/>
      <c r="N789" s="76"/>
      <c r="O789" s="76"/>
      <c r="P789" s="76"/>
      <c r="Q789" s="76"/>
      <c r="R789" s="76"/>
      <c r="S789" s="76"/>
      <c r="T789" s="76"/>
      <c r="U789" s="76"/>
      <c r="V789" s="76"/>
      <c r="W789" s="76"/>
      <c r="X789" s="76"/>
      <c r="Y789" s="76"/>
      <c r="Z789" s="76"/>
    </row>
    <row r="790" ht="22.5" customHeight="1">
      <c r="A790" s="140"/>
      <c r="B790" s="140"/>
      <c r="C790" s="141"/>
      <c r="D790" s="140"/>
      <c r="E790" s="76"/>
      <c r="F790" s="76"/>
      <c r="G790" s="76"/>
      <c r="H790" s="76"/>
      <c r="I790" s="76"/>
      <c r="J790" s="76"/>
      <c r="K790" s="76"/>
      <c r="L790" s="76"/>
      <c r="M790" s="76"/>
      <c r="N790" s="76"/>
      <c r="O790" s="76"/>
      <c r="P790" s="76"/>
      <c r="Q790" s="76"/>
      <c r="R790" s="76"/>
      <c r="S790" s="76"/>
      <c r="T790" s="76"/>
      <c r="U790" s="76"/>
      <c r="V790" s="76"/>
      <c r="W790" s="76"/>
      <c r="X790" s="76"/>
      <c r="Y790" s="76"/>
      <c r="Z790" s="76"/>
    </row>
    <row r="791" ht="22.5" customHeight="1">
      <c r="A791" s="140"/>
      <c r="B791" s="140"/>
      <c r="C791" s="141"/>
      <c r="D791" s="140"/>
      <c r="E791" s="76"/>
      <c r="F791" s="76"/>
      <c r="G791" s="76"/>
      <c r="H791" s="76"/>
      <c r="I791" s="76"/>
      <c r="J791" s="76"/>
      <c r="K791" s="76"/>
      <c r="L791" s="76"/>
      <c r="M791" s="76"/>
      <c r="N791" s="76"/>
      <c r="O791" s="76"/>
      <c r="P791" s="76"/>
      <c r="Q791" s="76"/>
      <c r="R791" s="76"/>
      <c r="S791" s="76"/>
      <c r="T791" s="76"/>
      <c r="U791" s="76"/>
      <c r="V791" s="76"/>
      <c r="W791" s="76"/>
      <c r="X791" s="76"/>
      <c r="Y791" s="76"/>
      <c r="Z791" s="76"/>
    </row>
    <row r="792" ht="22.5" customHeight="1">
      <c r="A792" s="140"/>
      <c r="B792" s="140"/>
      <c r="C792" s="141"/>
      <c r="D792" s="140"/>
      <c r="E792" s="76"/>
      <c r="F792" s="76"/>
      <c r="G792" s="76"/>
      <c r="H792" s="76"/>
      <c r="I792" s="76"/>
      <c r="J792" s="76"/>
      <c r="K792" s="76"/>
      <c r="L792" s="76"/>
      <c r="M792" s="76"/>
      <c r="N792" s="76"/>
      <c r="O792" s="76"/>
      <c r="P792" s="76"/>
      <c r="Q792" s="76"/>
      <c r="R792" s="76"/>
      <c r="S792" s="76"/>
      <c r="T792" s="76"/>
      <c r="U792" s="76"/>
      <c r="V792" s="76"/>
      <c r="W792" s="76"/>
      <c r="X792" s="76"/>
      <c r="Y792" s="76"/>
      <c r="Z792" s="76"/>
    </row>
    <row r="793" ht="22.5" customHeight="1">
      <c r="A793" s="140"/>
      <c r="B793" s="140"/>
      <c r="C793" s="141"/>
      <c r="D793" s="140"/>
      <c r="E793" s="76"/>
      <c r="F793" s="76"/>
      <c r="G793" s="76"/>
      <c r="H793" s="76"/>
      <c r="I793" s="76"/>
      <c r="J793" s="76"/>
      <c r="K793" s="76"/>
      <c r="L793" s="76"/>
      <c r="M793" s="76"/>
      <c r="N793" s="76"/>
      <c r="O793" s="76"/>
      <c r="P793" s="76"/>
      <c r="Q793" s="76"/>
      <c r="R793" s="76"/>
      <c r="S793" s="76"/>
      <c r="T793" s="76"/>
      <c r="U793" s="76"/>
      <c r="V793" s="76"/>
      <c r="W793" s="76"/>
      <c r="X793" s="76"/>
      <c r="Y793" s="76"/>
      <c r="Z793" s="76"/>
    </row>
    <row r="794" ht="22.5" customHeight="1">
      <c r="A794" s="140"/>
      <c r="B794" s="140"/>
      <c r="C794" s="141"/>
      <c r="D794" s="140"/>
      <c r="E794" s="76"/>
      <c r="F794" s="76"/>
      <c r="G794" s="76"/>
      <c r="H794" s="76"/>
      <c r="I794" s="76"/>
      <c r="J794" s="76"/>
      <c r="K794" s="76"/>
      <c r="L794" s="76"/>
      <c r="M794" s="76"/>
      <c r="N794" s="76"/>
      <c r="O794" s="76"/>
      <c r="P794" s="76"/>
      <c r="Q794" s="76"/>
      <c r="R794" s="76"/>
      <c r="S794" s="76"/>
      <c r="T794" s="76"/>
      <c r="U794" s="76"/>
      <c r="V794" s="76"/>
      <c r="W794" s="76"/>
      <c r="X794" s="76"/>
      <c r="Y794" s="76"/>
      <c r="Z794" s="76"/>
    </row>
    <row r="795" ht="22.5" customHeight="1">
      <c r="A795" s="140"/>
      <c r="B795" s="140"/>
      <c r="C795" s="141"/>
      <c r="D795" s="140"/>
      <c r="E795" s="76"/>
      <c r="F795" s="76"/>
      <c r="G795" s="76"/>
      <c r="H795" s="76"/>
      <c r="I795" s="76"/>
      <c r="J795" s="76"/>
      <c r="K795" s="76"/>
      <c r="L795" s="76"/>
      <c r="M795" s="76"/>
      <c r="N795" s="76"/>
      <c r="O795" s="76"/>
      <c r="P795" s="76"/>
      <c r="Q795" s="76"/>
      <c r="R795" s="76"/>
      <c r="S795" s="76"/>
      <c r="T795" s="76"/>
      <c r="U795" s="76"/>
      <c r="V795" s="76"/>
      <c r="W795" s="76"/>
      <c r="X795" s="76"/>
      <c r="Y795" s="76"/>
      <c r="Z795" s="76"/>
    </row>
    <row r="796" ht="22.5" customHeight="1">
      <c r="A796" s="140"/>
      <c r="B796" s="140"/>
      <c r="C796" s="141"/>
      <c r="D796" s="140"/>
      <c r="E796" s="76"/>
      <c r="F796" s="76"/>
      <c r="G796" s="76"/>
      <c r="H796" s="76"/>
      <c r="I796" s="76"/>
      <c r="J796" s="76"/>
      <c r="K796" s="76"/>
      <c r="L796" s="76"/>
      <c r="M796" s="76"/>
      <c r="N796" s="76"/>
      <c r="O796" s="76"/>
      <c r="P796" s="76"/>
      <c r="Q796" s="76"/>
      <c r="R796" s="76"/>
      <c r="S796" s="76"/>
      <c r="T796" s="76"/>
      <c r="U796" s="76"/>
      <c r="V796" s="76"/>
      <c r="W796" s="76"/>
      <c r="X796" s="76"/>
      <c r="Y796" s="76"/>
      <c r="Z796" s="76"/>
    </row>
    <row r="797" ht="22.5" customHeight="1">
      <c r="A797" s="140"/>
      <c r="B797" s="140"/>
      <c r="C797" s="141"/>
      <c r="D797" s="140"/>
      <c r="E797" s="76"/>
      <c r="F797" s="76"/>
      <c r="G797" s="76"/>
      <c r="H797" s="76"/>
      <c r="I797" s="76"/>
      <c r="J797" s="76"/>
      <c r="K797" s="76"/>
      <c r="L797" s="76"/>
      <c r="M797" s="76"/>
      <c r="N797" s="76"/>
      <c r="O797" s="76"/>
      <c r="P797" s="76"/>
      <c r="Q797" s="76"/>
      <c r="R797" s="76"/>
      <c r="S797" s="76"/>
      <c r="T797" s="76"/>
      <c r="U797" s="76"/>
      <c r="V797" s="76"/>
      <c r="W797" s="76"/>
      <c r="X797" s="76"/>
      <c r="Y797" s="76"/>
      <c r="Z797" s="76"/>
    </row>
    <row r="798" ht="22.5" customHeight="1">
      <c r="A798" s="140"/>
      <c r="B798" s="140"/>
      <c r="C798" s="141"/>
      <c r="D798" s="140"/>
      <c r="E798" s="76"/>
      <c r="F798" s="76"/>
      <c r="G798" s="76"/>
      <c r="H798" s="76"/>
      <c r="I798" s="76"/>
      <c r="J798" s="76"/>
      <c r="K798" s="76"/>
      <c r="L798" s="76"/>
      <c r="M798" s="76"/>
      <c r="N798" s="76"/>
      <c r="O798" s="76"/>
      <c r="P798" s="76"/>
      <c r="Q798" s="76"/>
      <c r="R798" s="76"/>
      <c r="S798" s="76"/>
      <c r="T798" s="76"/>
      <c r="U798" s="76"/>
      <c r="V798" s="76"/>
      <c r="W798" s="76"/>
      <c r="X798" s="76"/>
      <c r="Y798" s="76"/>
      <c r="Z798" s="76"/>
    </row>
    <row r="799" ht="22.5" customHeight="1">
      <c r="A799" s="140"/>
      <c r="B799" s="140"/>
      <c r="C799" s="141"/>
      <c r="D799" s="140"/>
      <c r="E799" s="76"/>
      <c r="F799" s="76"/>
      <c r="G799" s="76"/>
      <c r="H799" s="76"/>
      <c r="I799" s="76"/>
      <c r="J799" s="76"/>
      <c r="K799" s="76"/>
      <c r="L799" s="76"/>
      <c r="M799" s="76"/>
      <c r="N799" s="76"/>
      <c r="O799" s="76"/>
      <c r="P799" s="76"/>
      <c r="Q799" s="76"/>
      <c r="R799" s="76"/>
      <c r="S799" s="76"/>
      <c r="T799" s="76"/>
      <c r="U799" s="76"/>
      <c r="V799" s="76"/>
      <c r="W799" s="76"/>
      <c r="X799" s="76"/>
      <c r="Y799" s="76"/>
      <c r="Z799" s="76"/>
    </row>
    <row r="800" ht="22.5" customHeight="1">
      <c r="A800" s="140"/>
      <c r="B800" s="140"/>
      <c r="C800" s="141"/>
      <c r="D800" s="140"/>
      <c r="E800" s="76"/>
      <c r="F800" s="76"/>
      <c r="G800" s="76"/>
      <c r="H800" s="76"/>
      <c r="I800" s="76"/>
      <c r="J800" s="76"/>
      <c r="K800" s="76"/>
      <c r="L800" s="76"/>
      <c r="M800" s="76"/>
      <c r="N800" s="76"/>
      <c r="O800" s="76"/>
      <c r="P800" s="76"/>
      <c r="Q800" s="76"/>
      <c r="R800" s="76"/>
      <c r="S800" s="76"/>
      <c r="T800" s="76"/>
      <c r="U800" s="76"/>
      <c r="V800" s="76"/>
      <c r="W800" s="76"/>
      <c r="X800" s="76"/>
      <c r="Y800" s="76"/>
      <c r="Z800" s="76"/>
    </row>
    <row r="801" ht="22.5" customHeight="1">
      <c r="A801" s="140"/>
      <c r="B801" s="140"/>
      <c r="C801" s="141"/>
      <c r="D801" s="140"/>
      <c r="E801" s="76"/>
      <c r="F801" s="76"/>
      <c r="G801" s="76"/>
      <c r="H801" s="76"/>
      <c r="I801" s="76"/>
      <c r="J801" s="76"/>
      <c r="K801" s="76"/>
      <c r="L801" s="76"/>
      <c r="M801" s="76"/>
      <c r="N801" s="76"/>
      <c r="O801" s="76"/>
      <c r="P801" s="76"/>
      <c r="Q801" s="76"/>
      <c r="R801" s="76"/>
      <c r="S801" s="76"/>
      <c r="T801" s="76"/>
      <c r="U801" s="76"/>
      <c r="V801" s="76"/>
      <c r="W801" s="76"/>
      <c r="X801" s="76"/>
      <c r="Y801" s="76"/>
      <c r="Z801" s="76"/>
    </row>
    <row r="802" ht="22.5" customHeight="1">
      <c r="A802" s="140"/>
      <c r="B802" s="140"/>
      <c r="C802" s="141"/>
      <c r="D802" s="140"/>
      <c r="E802" s="76"/>
      <c r="F802" s="76"/>
      <c r="G802" s="76"/>
      <c r="H802" s="76"/>
      <c r="I802" s="76"/>
      <c r="J802" s="76"/>
      <c r="K802" s="76"/>
      <c r="L802" s="76"/>
      <c r="M802" s="76"/>
      <c r="N802" s="76"/>
      <c r="O802" s="76"/>
      <c r="P802" s="76"/>
      <c r="Q802" s="76"/>
      <c r="R802" s="76"/>
      <c r="S802" s="76"/>
      <c r="T802" s="76"/>
      <c r="U802" s="76"/>
      <c r="V802" s="76"/>
      <c r="W802" s="76"/>
      <c r="X802" s="76"/>
      <c r="Y802" s="76"/>
      <c r="Z802" s="76"/>
    </row>
    <row r="803" ht="22.5" customHeight="1">
      <c r="A803" s="140"/>
      <c r="B803" s="140"/>
      <c r="C803" s="141"/>
      <c r="D803" s="140"/>
      <c r="E803" s="76"/>
      <c r="F803" s="76"/>
      <c r="G803" s="76"/>
      <c r="H803" s="76"/>
      <c r="I803" s="76"/>
      <c r="J803" s="76"/>
      <c r="K803" s="76"/>
      <c r="L803" s="76"/>
      <c r="M803" s="76"/>
      <c r="N803" s="76"/>
      <c r="O803" s="76"/>
      <c r="P803" s="76"/>
      <c r="Q803" s="76"/>
      <c r="R803" s="76"/>
      <c r="S803" s="76"/>
      <c r="T803" s="76"/>
      <c r="U803" s="76"/>
      <c r="V803" s="76"/>
      <c r="W803" s="76"/>
      <c r="X803" s="76"/>
      <c r="Y803" s="76"/>
      <c r="Z803" s="76"/>
    </row>
    <row r="804" ht="22.5" customHeight="1">
      <c r="A804" s="140"/>
      <c r="B804" s="140"/>
      <c r="C804" s="141"/>
      <c r="D804" s="140"/>
      <c r="E804" s="76"/>
      <c r="F804" s="76"/>
      <c r="G804" s="76"/>
      <c r="H804" s="76"/>
      <c r="I804" s="76"/>
      <c r="J804" s="76"/>
      <c r="K804" s="76"/>
      <c r="L804" s="76"/>
      <c r="M804" s="76"/>
      <c r="N804" s="76"/>
      <c r="O804" s="76"/>
      <c r="P804" s="76"/>
      <c r="Q804" s="76"/>
      <c r="R804" s="76"/>
      <c r="S804" s="76"/>
      <c r="T804" s="76"/>
      <c r="U804" s="76"/>
      <c r="V804" s="76"/>
      <c r="W804" s="76"/>
      <c r="X804" s="76"/>
      <c r="Y804" s="76"/>
      <c r="Z804" s="76"/>
    </row>
    <row r="805" ht="22.5" customHeight="1">
      <c r="A805" s="140"/>
      <c r="B805" s="140"/>
      <c r="C805" s="141"/>
      <c r="D805" s="140"/>
      <c r="E805" s="76"/>
      <c r="F805" s="76"/>
      <c r="G805" s="76"/>
      <c r="H805" s="76"/>
      <c r="I805" s="76"/>
      <c r="J805" s="76"/>
      <c r="K805" s="76"/>
      <c r="L805" s="76"/>
      <c r="M805" s="76"/>
      <c r="N805" s="76"/>
      <c r="O805" s="76"/>
      <c r="P805" s="76"/>
      <c r="Q805" s="76"/>
      <c r="R805" s="76"/>
      <c r="S805" s="76"/>
      <c r="T805" s="76"/>
      <c r="U805" s="76"/>
      <c r="V805" s="76"/>
      <c r="W805" s="76"/>
      <c r="X805" s="76"/>
      <c r="Y805" s="76"/>
      <c r="Z805" s="76"/>
    </row>
    <row r="806" ht="22.5" customHeight="1">
      <c r="A806" s="140"/>
      <c r="B806" s="140"/>
      <c r="C806" s="141"/>
      <c r="D806" s="140"/>
      <c r="E806" s="76"/>
      <c r="F806" s="76"/>
      <c r="G806" s="76"/>
      <c r="H806" s="76"/>
      <c r="I806" s="76"/>
      <c r="J806" s="76"/>
      <c r="K806" s="76"/>
      <c r="L806" s="76"/>
      <c r="M806" s="76"/>
      <c r="N806" s="76"/>
      <c r="O806" s="76"/>
      <c r="P806" s="76"/>
      <c r="Q806" s="76"/>
      <c r="R806" s="76"/>
      <c r="S806" s="76"/>
      <c r="T806" s="76"/>
      <c r="U806" s="76"/>
      <c r="V806" s="76"/>
      <c r="W806" s="76"/>
      <c r="X806" s="76"/>
      <c r="Y806" s="76"/>
      <c r="Z806" s="76"/>
    </row>
    <row r="807" ht="22.5" customHeight="1">
      <c r="A807" s="140"/>
      <c r="B807" s="140"/>
      <c r="C807" s="141"/>
      <c r="D807" s="140"/>
      <c r="E807" s="76"/>
      <c r="F807" s="76"/>
      <c r="G807" s="76"/>
      <c r="H807" s="76"/>
      <c r="I807" s="76"/>
      <c r="J807" s="76"/>
      <c r="K807" s="76"/>
      <c r="L807" s="76"/>
      <c r="M807" s="76"/>
      <c r="N807" s="76"/>
      <c r="O807" s="76"/>
      <c r="P807" s="76"/>
      <c r="Q807" s="76"/>
      <c r="R807" s="76"/>
      <c r="S807" s="76"/>
      <c r="T807" s="76"/>
      <c r="U807" s="76"/>
      <c r="V807" s="76"/>
      <c r="W807" s="76"/>
      <c r="X807" s="76"/>
      <c r="Y807" s="76"/>
      <c r="Z807" s="76"/>
    </row>
    <row r="808" ht="22.5" customHeight="1">
      <c r="A808" s="140"/>
      <c r="B808" s="140"/>
      <c r="C808" s="141"/>
      <c r="D808" s="140"/>
      <c r="E808" s="76"/>
      <c r="F808" s="76"/>
      <c r="G808" s="76"/>
      <c r="H808" s="76"/>
      <c r="I808" s="76"/>
      <c r="J808" s="76"/>
      <c r="K808" s="76"/>
      <c r="L808" s="76"/>
      <c r="M808" s="76"/>
      <c r="N808" s="76"/>
      <c r="O808" s="76"/>
      <c r="P808" s="76"/>
      <c r="Q808" s="76"/>
      <c r="R808" s="76"/>
      <c r="S808" s="76"/>
      <c r="T808" s="76"/>
      <c r="U808" s="76"/>
      <c r="V808" s="76"/>
      <c r="W808" s="76"/>
      <c r="X808" s="76"/>
      <c r="Y808" s="76"/>
      <c r="Z808" s="76"/>
    </row>
    <row r="809" ht="22.5" customHeight="1">
      <c r="A809" s="140"/>
      <c r="B809" s="140"/>
      <c r="C809" s="141"/>
      <c r="D809" s="140"/>
      <c r="E809" s="76"/>
      <c r="F809" s="76"/>
      <c r="G809" s="76"/>
      <c r="H809" s="76"/>
      <c r="I809" s="76"/>
      <c r="J809" s="76"/>
      <c r="K809" s="76"/>
      <c r="L809" s="76"/>
      <c r="M809" s="76"/>
      <c r="N809" s="76"/>
      <c r="O809" s="76"/>
      <c r="P809" s="76"/>
      <c r="Q809" s="76"/>
      <c r="R809" s="76"/>
      <c r="S809" s="76"/>
      <c r="T809" s="76"/>
      <c r="U809" s="76"/>
      <c r="V809" s="76"/>
      <c r="W809" s="76"/>
      <c r="X809" s="76"/>
      <c r="Y809" s="76"/>
      <c r="Z809" s="76"/>
    </row>
    <row r="810" ht="22.5" customHeight="1">
      <c r="A810" s="140"/>
      <c r="B810" s="140"/>
      <c r="C810" s="141"/>
      <c r="D810" s="140"/>
      <c r="E810" s="76"/>
      <c r="F810" s="76"/>
      <c r="G810" s="76"/>
      <c r="H810" s="76"/>
      <c r="I810" s="76"/>
      <c r="J810" s="76"/>
      <c r="K810" s="76"/>
      <c r="L810" s="76"/>
      <c r="M810" s="76"/>
      <c r="N810" s="76"/>
      <c r="O810" s="76"/>
      <c r="P810" s="76"/>
      <c r="Q810" s="76"/>
      <c r="R810" s="76"/>
      <c r="S810" s="76"/>
      <c r="T810" s="76"/>
      <c r="U810" s="76"/>
      <c r="V810" s="76"/>
      <c r="W810" s="76"/>
      <c r="X810" s="76"/>
      <c r="Y810" s="76"/>
      <c r="Z810" s="76"/>
    </row>
    <row r="811" ht="22.5" customHeight="1">
      <c r="A811" s="140"/>
      <c r="B811" s="140"/>
      <c r="C811" s="141"/>
      <c r="D811" s="140"/>
      <c r="E811" s="76"/>
      <c r="F811" s="76"/>
      <c r="G811" s="76"/>
      <c r="H811" s="76"/>
      <c r="I811" s="76"/>
      <c r="J811" s="76"/>
      <c r="K811" s="76"/>
      <c r="L811" s="76"/>
      <c r="M811" s="76"/>
      <c r="N811" s="76"/>
      <c r="O811" s="76"/>
      <c r="P811" s="76"/>
      <c r="Q811" s="76"/>
      <c r="R811" s="76"/>
      <c r="S811" s="76"/>
      <c r="T811" s="76"/>
      <c r="U811" s="76"/>
      <c r="V811" s="76"/>
      <c r="W811" s="76"/>
      <c r="X811" s="76"/>
      <c r="Y811" s="76"/>
      <c r="Z811" s="76"/>
    </row>
    <row r="812" ht="22.5" customHeight="1">
      <c r="A812" s="140"/>
      <c r="B812" s="140"/>
      <c r="C812" s="141"/>
      <c r="D812" s="140"/>
      <c r="E812" s="76"/>
      <c r="F812" s="76"/>
      <c r="G812" s="76"/>
      <c r="H812" s="76"/>
      <c r="I812" s="76"/>
      <c r="J812" s="76"/>
      <c r="K812" s="76"/>
      <c r="L812" s="76"/>
      <c r="M812" s="76"/>
      <c r="N812" s="76"/>
      <c r="O812" s="76"/>
      <c r="P812" s="76"/>
      <c r="Q812" s="76"/>
      <c r="R812" s="76"/>
      <c r="S812" s="76"/>
      <c r="T812" s="76"/>
      <c r="U812" s="76"/>
      <c r="V812" s="76"/>
      <c r="W812" s="76"/>
      <c r="X812" s="76"/>
      <c r="Y812" s="76"/>
      <c r="Z812" s="76"/>
    </row>
    <row r="813" ht="22.5" customHeight="1">
      <c r="A813" s="140"/>
      <c r="B813" s="140"/>
      <c r="C813" s="141"/>
      <c r="D813" s="140"/>
      <c r="E813" s="76"/>
      <c r="F813" s="76"/>
      <c r="G813" s="76"/>
      <c r="H813" s="76"/>
      <c r="I813" s="76"/>
      <c r="J813" s="76"/>
      <c r="K813" s="76"/>
      <c r="L813" s="76"/>
      <c r="M813" s="76"/>
      <c r="N813" s="76"/>
      <c r="O813" s="76"/>
      <c r="P813" s="76"/>
      <c r="Q813" s="76"/>
      <c r="R813" s="76"/>
      <c r="S813" s="76"/>
      <c r="T813" s="76"/>
      <c r="U813" s="76"/>
      <c r="V813" s="76"/>
      <c r="W813" s="76"/>
      <c r="X813" s="76"/>
      <c r="Y813" s="76"/>
      <c r="Z813" s="76"/>
    </row>
    <row r="814" ht="22.5" customHeight="1">
      <c r="A814" s="140"/>
      <c r="B814" s="140"/>
      <c r="C814" s="141"/>
      <c r="D814" s="140"/>
      <c r="E814" s="76"/>
      <c r="F814" s="76"/>
      <c r="G814" s="76"/>
      <c r="H814" s="76"/>
      <c r="I814" s="76"/>
      <c r="J814" s="76"/>
      <c r="K814" s="76"/>
      <c r="L814" s="76"/>
      <c r="M814" s="76"/>
      <c r="N814" s="76"/>
      <c r="O814" s="76"/>
      <c r="P814" s="76"/>
      <c r="Q814" s="76"/>
      <c r="R814" s="76"/>
      <c r="S814" s="76"/>
      <c r="T814" s="76"/>
      <c r="U814" s="76"/>
      <c r="V814" s="76"/>
      <c r="W814" s="76"/>
      <c r="X814" s="76"/>
      <c r="Y814" s="76"/>
      <c r="Z814" s="76"/>
    </row>
    <row r="815" ht="22.5" customHeight="1">
      <c r="A815" s="140"/>
      <c r="B815" s="140"/>
      <c r="C815" s="141"/>
      <c r="D815" s="140"/>
      <c r="E815" s="76"/>
      <c r="F815" s="76"/>
      <c r="G815" s="76"/>
      <c r="H815" s="76"/>
      <c r="I815" s="76"/>
      <c r="J815" s="76"/>
      <c r="K815" s="76"/>
      <c r="L815" s="76"/>
      <c r="M815" s="76"/>
      <c r="N815" s="76"/>
      <c r="O815" s="76"/>
      <c r="P815" s="76"/>
      <c r="Q815" s="76"/>
      <c r="R815" s="76"/>
      <c r="S815" s="76"/>
      <c r="T815" s="76"/>
      <c r="U815" s="76"/>
      <c r="V815" s="76"/>
      <c r="W815" s="76"/>
      <c r="X815" s="76"/>
      <c r="Y815" s="76"/>
      <c r="Z815" s="76"/>
    </row>
    <row r="816" ht="22.5" customHeight="1">
      <c r="A816" s="140"/>
      <c r="B816" s="140"/>
      <c r="C816" s="141"/>
      <c r="D816" s="140"/>
      <c r="E816" s="76"/>
      <c r="F816" s="76"/>
      <c r="G816" s="76"/>
      <c r="H816" s="76"/>
      <c r="I816" s="76"/>
      <c r="J816" s="76"/>
      <c r="K816" s="76"/>
      <c r="L816" s="76"/>
      <c r="M816" s="76"/>
      <c r="N816" s="76"/>
      <c r="O816" s="76"/>
      <c r="P816" s="76"/>
      <c r="Q816" s="76"/>
      <c r="R816" s="76"/>
      <c r="S816" s="76"/>
      <c r="T816" s="76"/>
      <c r="U816" s="76"/>
      <c r="V816" s="76"/>
      <c r="W816" s="76"/>
      <c r="X816" s="76"/>
      <c r="Y816" s="76"/>
      <c r="Z816" s="76"/>
    </row>
    <row r="817" ht="22.5" customHeight="1">
      <c r="A817" s="140"/>
      <c r="B817" s="140"/>
      <c r="C817" s="141"/>
      <c r="D817" s="140"/>
      <c r="E817" s="76"/>
      <c r="F817" s="76"/>
      <c r="G817" s="76"/>
      <c r="H817" s="76"/>
      <c r="I817" s="76"/>
      <c r="J817" s="76"/>
      <c r="K817" s="76"/>
      <c r="L817" s="76"/>
      <c r="M817" s="76"/>
      <c r="N817" s="76"/>
      <c r="O817" s="76"/>
      <c r="P817" s="76"/>
      <c r="Q817" s="76"/>
      <c r="R817" s="76"/>
      <c r="S817" s="76"/>
      <c r="T817" s="76"/>
      <c r="U817" s="76"/>
      <c r="V817" s="76"/>
      <c r="W817" s="76"/>
      <c r="X817" s="76"/>
      <c r="Y817" s="76"/>
      <c r="Z817" s="76"/>
    </row>
    <row r="818" ht="22.5" customHeight="1">
      <c r="A818" s="140"/>
      <c r="B818" s="140"/>
      <c r="C818" s="141"/>
      <c r="D818" s="140"/>
      <c r="E818" s="76"/>
      <c r="F818" s="76"/>
      <c r="G818" s="76"/>
      <c r="H818" s="76"/>
      <c r="I818" s="76"/>
      <c r="J818" s="76"/>
      <c r="K818" s="76"/>
      <c r="L818" s="76"/>
      <c r="M818" s="76"/>
      <c r="N818" s="76"/>
      <c r="O818" s="76"/>
      <c r="P818" s="76"/>
      <c r="Q818" s="76"/>
      <c r="R818" s="76"/>
      <c r="S818" s="76"/>
      <c r="T818" s="76"/>
      <c r="U818" s="76"/>
      <c r="V818" s="76"/>
      <c r="W818" s="76"/>
      <c r="X818" s="76"/>
      <c r="Y818" s="76"/>
      <c r="Z818" s="76"/>
    </row>
    <row r="819" ht="22.5" customHeight="1">
      <c r="A819" s="140"/>
      <c r="B819" s="140"/>
      <c r="C819" s="141"/>
      <c r="D819" s="140"/>
      <c r="E819" s="76"/>
      <c r="F819" s="76"/>
      <c r="G819" s="76"/>
      <c r="H819" s="76"/>
      <c r="I819" s="76"/>
      <c r="J819" s="76"/>
      <c r="K819" s="76"/>
      <c r="L819" s="76"/>
      <c r="M819" s="76"/>
      <c r="N819" s="76"/>
      <c r="O819" s="76"/>
      <c r="P819" s="76"/>
      <c r="Q819" s="76"/>
      <c r="R819" s="76"/>
      <c r="S819" s="76"/>
      <c r="T819" s="76"/>
      <c r="U819" s="76"/>
      <c r="V819" s="76"/>
      <c r="W819" s="76"/>
      <c r="X819" s="76"/>
      <c r="Y819" s="76"/>
      <c r="Z819" s="76"/>
    </row>
    <row r="820" ht="22.5" customHeight="1">
      <c r="A820" s="140"/>
      <c r="B820" s="140"/>
      <c r="C820" s="141"/>
      <c r="D820" s="140"/>
      <c r="E820" s="76"/>
      <c r="F820" s="76"/>
      <c r="G820" s="76"/>
      <c r="H820" s="76"/>
      <c r="I820" s="76"/>
      <c r="J820" s="76"/>
      <c r="K820" s="76"/>
      <c r="L820" s="76"/>
      <c r="M820" s="76"/>
      <c r="N820" s="76"/>
      <c r="O820" s="76"/>
      <c r="P820" s="76"/>
      <c r="Q820" s="76"/>
      <c r="R820" s="76"/>
      <c r="S820" s="76"/>
      <c r="T820" s="76"/>
      <c r="U820" s="76"/>
      <c r="V820" s="76"/>
      <c r="W820" s="76"/>
      <c r="X820" s="76"/>
      <c r="Y820" s="76"/>
      <c r="Z820" s="76"/>
    </row>
    <row r="821" ht="22.5" customHeight="1">
      <c r="A821" s="140"/>
      <c r="B821" s="140"/>
      <c r="C821" s="141"/>
      <c r="D821" s="140"/>
      <c r="E821" s="76"/>
      <c r="F821" s="76"/>
      <c r="G821" s="76"/>
      <c r="H821" s="76"/>
      <c r="I821" s="76"/>
      <c r="J821" s="76"/>
      <c r="K821" s="76"/>
      <c r="L821" s="76"/>
      <c r="M821" s="76"/>
      <c r="N821" s="76"/>
      <c r="O821" s="76"/>
      <c r="P821" s="76"/>
      <c r="Q821" s="76"/>
      <c r="R821" s="76"/>
      <c r="S821" s="76"/>
      <c r="T821" s="76"/>
      <c r="U821" s="76"/>
      <c r="V821" s="76"/>
      <c r="W821" s="76"/>
      <c r="X821" s="76"/>
      <c r="Y821" s="76"/>
      <c r="Z821" s="76"/>
    </row>
    <row r="822" ht="22.5" customHeight="1">
      <c r="A822" s="140"/>
      <c r="B822" s="140"/>
      <c r="C822" s="141"/>
      <c r="D822" s="140"/>
      <c r="E822" s="76"/>
      <c r="F822" s="76"/>
      <c r="G822" s="76"/>
      <c r="H822" s="76"/>
      <c r="I822" s="76"/>
      <c r="J822" s="76"/>
      <c r="K822" s="76"/>
      <c r="L822" s="76"/>
      <c r="M822" s="76"/>
      <c r="N822" s="76"/>
      <c r="O822" s="76"/>
      <c r="P822" s="76"/>
      <c r="Q822" s="76"/>
      <c r="R822" s="76"/>
      <c r="S822" s="76"/>
      <c r="T822" s="76"/>
      <c r="U822" s="76"/>
      <c r="V822" s="76"/>
      <c r="W822" s="76"/>
      <c r="X822" s="76"/>
      <c r="Y822" s="76"/>
      <c r="Z822" s="76"/>
    </row>
    <row r="823" ht="22.5" customHeight="1">
      <c r="A823" s="140"/>
      <c r="B823" s="140"/>
      <c r="C823" s="141"/>
      <c r="D823" s="140"/>
      <c r="E823" s="76"/>
      <c r="F823" s="76"/>
      <c r="G823" s="76"/>
      <c r="H823" s="76"/>
      <c r="I823" s="76"/>
      <c r="J823" s="76"/>
      <c r="K823" s="76"/>
      <c r="L823" s="76"/>
      <c r="M823" s="76"/>
      <c r="N823" s="76"/>
      <c r="O823" s="76"/>
      <c r="P823" s="76"/>
      <c r="Q823" s="76"/>
      <c r="R823" s="76"/>
      <c r="S823" s="76"/>
      <c r="T823" s="76"/>
      <c r="U823" s="76"/>
      <c r="V823" s="76"/>
      <c r="W823" s="76"/>
      <c r="X823" s="76"/>
      <c r="Y823" s="76"/>
      <c r="Z823" s="76"/>
    </row>
    <row r="824" ht="22.5" customHeight="1">
      <c r="A824" s="140"/>
      <c r="B824" s="140"/>
      <c r="C824" s="141"/>
      <c r="D824" s="140"/>
      <c r="E824" s="76"/>
      <c r="F824" s="76"/>
      <c r="G824" s="76"/>
      <c r="H824" s="76"/>
      <c r="I824" s="76"/>
      <c r="J824" s="76"/>
      <c r="K824" s="76"/>
      <c r="L824" s="76"/>
      <c r="M824" s="76"/>
      <c r="N824" s="76"/>
      <c r="O824" s="76"/>
      <c r="P824" s="76"/>
      <c r="Q824" s="76"/>
      <c r="R824" s="76"/>
      <c r="S824" s="76"/>
      <c r="T824" s="76"/>
      <c r="U824" s="76"/>
      <c r="V824" s="76"/>
      <c r="W824" s="76"/>
      <c r="X824" s="76"/>
      <c r="Y824" s="76"/>
      <c r="Z824" s="76"/>
    </row>
    <row r="825" ht="22.5" customHeight="1">
      <c r="A825" s="140"/>
      <c r="B825" s="140"/>
      <c r="C825" s="141"/>
      <c r="D825" s="140"/>
      <c r="E825" s="76"/>
      <c r="F825" s="76"/>
      <c r="G825" s="76"/>
      <c r="H825" s="76"/>
      <c r="I825" s="76"/>
      <c r="J825" s="76"/>
      <c r="K825" s="76"/>
      <c r="L825" s="76"/>
      <c r="M825" s="76"/>
      <c r="N825" s="76"/>
      <c r="O825" s="76"/>
      <c r="P825" s="76"/>
      <c r="Q825" s="76"/>
      <c r="R825" s="76"/>
      <c r="S825" s="76"/>
      <c r="T825" s="76"/>
      <c r="U825" s="76"/>
      <c r="V825" s="76"/>
      <c r="W825" s="76"/>
      <c r="X825" s="76"/>
      <c r="Y825" s="76"/>
      <c r="Z825" s="76"/>
    </row>
    <row r="826" ht="22.5" customHeight="1">
      <c r="A826" s="140"/>
      <c r="B826" s="140"/>
      <c r="C826" s="141"/>
      <c r="D826" s="140"/>
      <c r="E826" s="76"/>
      <c r="F826" s="76"/>
      <c r="G826" s="76"/>
      <c r="H826" s="76"/>
      <c r="I826" s="76"/>
      <c r="J826" s="76"/>
      <c r="K826" s="76"/>
      <c r="L826" s="76"/>
      <c r="M826" s="76"/>
      <c r="N826" s="76"/>
      <c r="O826" s="76"/>
      <c r="P826" s="76"/>
      <c r="Q826" s="76"/>
      <c r="R826" s="76"/>
      <c r="S826" s="76"/>
      <c r="T826" s="76"/>
      <c r="U826" s="76"/>
      <c r="V826" s="76"/>
      <c r="W826" s="76"/>
      <c r="X826" s="76"/>
      <c r="Y826" s="76"/>
      <c r="Z826" s="76"/>
    </row>
    <row r="827" ht="22.5" customHeight="1">
      <c r="A827" s="140"/>
      <c r="B827" s="140"/>
      <c r="C827" s="141"/>
      <c r="D827" s="140"/>
      <c r="E827" s="76"/>
      <c r="F827" s="76"/>
      <c r="G827" s="76"/>
      <c r="H827" s="76"/>
      <c r="I827" s="76"/>
      <c r="J827" s="76"/>
      <c r="K827" s="76"/>
      <c r="L827" s="76"/>
      <c r="M827" s="76"/>
      <c r="N827" s="76"/>
      <c r="O827" s="76"/>
      <c r="P827" s="76"/>
      <c r="Q827" s="76"/>
      <c r="R827" s="76"/>
      <c r="S827" s="76"/>
      <c r="T827" s="76"/>
      <c r="U827" s="76"/>
      <c r="V827" s="76"/>
      <c r="W827" s="76"/>
      <c r="X827" s="76"/>
      <c r="Y827" s="76"/>
      <c r="Z827" s="76"/>
    </row>
    <row r="828" ht="22.5" customHeight="1">
      <c r="A828" s="140"/>
      <c r="B828" s="140"/>
      <c r="C828" s="141"/>
      <c r="D828" s="140"/>
      <c r="E828" s="76"/>
      <c r="F828" s="76"/>
      <c r="G828" s="76"/>
      <c r="H828" s="76"/>
      <c r="I828" s="76"/>
      <c r="J828" s="76"/>
      <c r="K828" s="76"/>
      <c r="L828" s="76"/>
      <c r="M828" s="76"/>
      <c r="N828" s="76"/>
      <c r="O828" s="76"/>
      <c r="P828" s="76"/>
      <c r="Q828" s="76"/>
      <c r="R828" s="76"/>
      <c r="S828" s="76"/>
      <c r="T828" s="76"/>
      <c r="U828" s="76"/>
      <c r="V828" s="76"/>
      <c r="W828" s="76"/>
      <c r="X828" s="76"/>
      <c r="Y828" s="76"/>
      <c r="Z828" s="76"/>
    </row>
    <row r="829" ht="22.5" customHeight="1">
      <c r="A829" s="140"/>
      <c r="B829" s="140"/>
      <c r="C829" s="141"/>
      <c r="D829" s="140"/>
      <c r="E829" s="76"/>
      <c r="F829" s="76"/>
      <c r="G829" s="76"/>
      <c r="H829" s="76"/>
      <c r="I829" s="76"/>
      <c r="J829" s="76"/>
      <c r="K829" s="76"/>
      <c r="L829" s="76"/>
      <c r="M829" s="76"/>
      <c r="N829" s="76"/>
      <c r="O829" s="76"/>
      <c r="P829" s="76"/>
      <c r="Q829" s="76"/>
      <c r="R829" s="76"/>
      <c r="S829" s="76"/>
      <c r="T829" s="76"/>
      <c r="U829" s="76"/>
      <c r="V829" s="76"/>
      <c r="W829" s="76"/>
      <c r="X829" s="76"/>
      <c r="Y829" s="76"/>
      <c r="Z829" s="76"/>
    </row>
    <row r="830" ht="22.5" customHeight="1">
      <c r="A830" s="140"/>
      <c r="B830" s="140"/>
      <c r="C830" s="141"/>
      <c r="D830" s="140"/>
      <c r="E830" s="76"/>
      <c r="F830" s="76"/>
      <c r="G830" s="76"/>
      <c r="H830" s="76"/>
      <c r="I830" s="76"/>
      <c r="J830" s="76"/>
      <c r="K830" s="76"/>
      <c r="L830" s="76"/>
      <c r="M830" s="76"/>
      <c r="N830" s="76"/>
      <c r="O830" s="76"/>
      <c r="P830" s="76"/>
      <c r="Q830" s="76"/>
      <c r="R830" s="76"/>
      <c r="S830" s="76"/>
      <c r="T830" s="76"/>
      <c r="U830" s="76"/>
      <c r="V830" s="76"/>
      <c r="W830" s="76"/>
      <c r="X830" s="76"/>
      <c r="Y830" s="76"/>
      <c r="Z830" s="76"/>
    </row>
    <row r="831" ht="22.5" customHeight="1">
      <c r="A831" s="140"/>
      <c r="B831" s="140"/>
      <c r="C831" s="141"/>
      <c r="D831" s="140"/>
      <c r="E831" s="76"/>
      <c r="F831" s="76"/>
      <c r="G831" s="76"/>
      <c r="H831" s="76"/>
      <c r="I831" s="76"/>
      <c r="J831" s="76"/>
      <c r="K831" s="76"/>
      <c r="L831" s="76"/>
      <c r="M831" s="76"/>
      <c r="N831" s="76"/>
      <c r="O831" s="76"/>
      <c r="P831" s="76"/>
      <c r="Q831" s="76"/>
      <c r="R831" s="76"/>
      <c r="S831" s="76"/>
      <c r="T831" s="76"/>
      <c r="U831" s="76"/>
      <c r="V831" s="76"/>
      <c r="W831" s="76"/>
      <c r="X831" s="76"/>
      <c r="Y831" s="76"/>
      <c r="Z831" s="76"/>
    </row>
    <row r="832" ht="22.5" customHeight="1">
      <c r="A832" s="140"/>
      <c r="B832" s="140"/>
      <c r="C832" s="141"/>
      <c r="D832" s="140"/>
      <c r="E832" s="76"/>
      <c r="F832" s="76"/>
      <c r="G832" s="76"/>
      <c r="H832" s="76"/>
      <c r="I832" s="76"/>
      <c r="J832" s="76"/>
      <c r="K832" s="76"/>
      <c r="L832" s="76"/>
      <c r="M832" s="76"/>
      <c r="N832" s="76"/>
      <c r="O832" s="76"/>
      <c r="P832" s="76"/>
      <c r="Q832" s="76"/>
      <c r="R832" s="76"/>
      <c r="S832" s="76"/>
      <c r="T832" s="76"/>
      <c r="U832" s="76"/>
      <c r="V832" s="76"/>
      <c r="W832" s="76"/>
      <c r="X832" s="76"/>
      <c r="Y832" s="76"/>
      <c r="Z832" s="76"/>
    </row>
    <row r="833" ht="22.5" customHeight="1">
      <c r="A833" s="140"/>
      <c r="B833" s="140"/>
      <c r="C833" s="141"/>
      <c r="D833" s="140"/>
      <c r="E833" s="76"/>
      <c r="F833" s="76"/>
      <c r="G833" s="76"/>
      <c r="H833" s="76"/>
      <c r="I833" s="76"/>
      <c r="J833" s="76"/>
      <c r="K833" s="76"/>
      <c r="L833" s="76"/>
      <c r="M833" s="76"/>
      <c r="N833" s="76"/>
      <c r="O833" s="76"/>
      <c r="P833" s="76"/>
      <c r="Q833" s="76"/>
      <c r="R833" s="76"/>
      <c r="S833" s="76"/>
      <c r="T833" s="76"/>
      <c r="U833" s="76"/>
      <c r="V833" s="76"/>
      <c r="W833" s="76"/>
      <c r="X833" s="76"/>
      <c r="Y833" s="76"/>
      <c r="Z833" s="76"/>
    </row>
    <row r="834" ht="22.5" customHeight="1">
      <c r="A834" s="140"/>
      <c r="B834" s="140"/>
      <c r="C834" s="141"/>
      <c r="D834" s="140"/>
      <c r="E834" s="76"/>
      <c r="F834" s="76"/>
      <c r="G834" s="76"/>
      <c r="H834" s="76"/>
      <c r="I834" s="76"/>
      <c r="J834" s="76"/>
      <c r="K834" s="76"/>
      <c r="L834" s="76"/>
      <c r="M834" s="76"/>
      <c r="N834" s="76"/>
      <c r="O834" s="76"/>
      <c r="P834" s="76"/>
      <c r="Q834" s="76"/>
      <c r="R834" s="76"/>
      <c r="S834" s="76"/>
      <c r="T834" s="76"/>
      <c r="U834" s="76"/>
      <c r="V834" s="76"/>
      <c r="W834" s="76"/>
      <c r="X834" s="76"/>
      <c r="Y834" s="76"/>
      <c r="Z834" s="76"/>
    </row>
    <row r="835" ht="22.5" customHeight="1">
      <c r="A835" s="140"/>
      <c r="B835" s="140"/>
      <c r="C835" s="141"/>
      <c r="D835" s="140"/>
      <c r="E835" s="76"/>
      <c r="F835" s="76"/>
      <c r="G835" s="76"/>
      <c r="H835" s="76"/>
      <c r="I835" s="76"/>
      <c r="J835" s="76"/>
      <c r="K835" s="76"/>
      <c r="L835" s="76"/>
      <c r="M835" s="76"/>
      <c r="N835" s="76"/>
      <c r="O835" s="76"/>
      <c r="P835" s="76"/>
      <c r="Q835" s="76"/>
      <c r="R835" s="76"/>
      <c r="S835" s="76"/>
      <c r="T835" s="76"/>
      <c r="U835" s="76"/>
      <c r="V835" s="76"/>
      <c r="W835" s="76"/>
      <c r="X835" s="76"/>
      <c r="Y835" s="76"/>
      <c r="Z835" s="76"/>
    </row>
    <row r="836" ht="22.5" customHeight="1">
      <c r="A836" s="140"/>
      <c r="B836" s="140"/>
      <c r="C836" s="141"/>
      <c r="D836" s="140"/>
      <c r="E836" s="76"/>
      <c r="F836" s="76"/>
      <c r="G836" s="76"/>
      <c r="H836" s="76"/>
      <c r="I836" s="76"/>
      <c r="J836" s="76"/>
      <c r="K836" s="76"/>
      <c r="L836" s="76"/>
      <c r="M836" s="76"/>
      <c r="N836" s="76"/>
      <c r="O836" s="76"/>
      <c r="P836" s="76"/>
      <c r="Q836" s="76"/>
      <c r="R836" s="76"/>
      <c r="S836" s="76"/>
      <c r="T836" s="76"/>
      <c r="U836" s="76"/>
      <c r="V836" s="76"/>
      <c r="W836" s="76"/>
      <c r="X836" s="76"/>
      <c r="Y836" s="76"/>
      <c r="Z836" s="76"/>
    </row>
    <row r="837" ht="22.5" customHeight="1">
      <c r="A837" s="140"/>
      <c r="B837" s="140"/>
      <c r="C837" s="141"/>
      <c r="D837" s="140"/>
      <c r="E837" s="76"/>
      <c r="F837" s="76"/>
      <c r="G837" s="76"/>
      <c r="H837" s="76"/>
      <c r="I837" s="76"/>
      <c r="J837" s="76"/>
      <c r="K837" s="76"/>
      <c r="L837" s="76"/>
      <c r="M837" s="76"/>
      <c r="N837" s="76"/>
      <c r="O837" s="76"/>
      <c r="P837" s="76"/>
      <c r="Q837" s="76"/>
      <c r="R837" s="76"/>
      <c r="S837" s="76"/>
      <c r="T837" s="76"/>
      <c r="U837" s="76"/>
      <c r="V837" s="76"/>
      <c r="W837" s="76"/>
      <c r="X837" s="76"/>
      <c r="Y837" s="76"/>
      <c r="Z837" s="76"/>
    </row>
    <row r="838" ht="22.5" customHeight="1">
      <c r="A838" s="140"/>
      <c r="B838" s="140"/>
      <c r="C838" s="141"/>
      <c r="D838" s="140"/>
      <c r="E838" s="76"/>
      <c r="F838" s="76"/>
      <c r="G838" s="76"/>
      <c r="H838" s="76"/>
      <c r="I838" s="76"/>
      <c r="J838" s="76"/>
      <c r="K838" s="76"/>
      <c r="L838" s="76"/>
      <c r="M838" s="76"/>
      <c r="N838" s="76"/>
      <c r="O838" s="76"/>
      <c r="P838" s="76"/>
      <c r="Q838" s="76"/>
      <c r="R838" s="76"/>
      <c r="S838" s="76"/>
      <c r="T838" s="76"/>
      <c r="U838" s="76"/>
      <c r="V838" s="76"/>
      <c r="W838" s="76"/>
      <c r="X838" s="76"/>
      <c r="Y838" s="76"/>
      <c r="Z838" s="76"/>
    </row>
    <row r="839" ht="22.5" customHeight="1">
      <c r="A839" s="140"/>
      <c r="B839" s="140"/>
      <c r="C839" s="141"/>
      <c r="D839" s="140"/>
      <c r="E839" s="76"/>
      <c r="F839" s="76"/>
      <c r="G839" s="76"/>
      <c r="H839" s="76"/>
      <c r="I839" s="76"/>
      <c r="J839" s="76"/>
      <c r="K839" s="76"/>
      <c r="L839" s="76"/>
      <c r="M839" s="76"/>
      <c r="N839" s="76"/>
      <c r="O839" s="76"/>
      <c r="P839" s="76"/>
      <c r="Q839" s="76"/>
      <c r="R839" s="76"/>
      <c r="S839" s="76"/>
      <c r="T839" s="76"/>
      <c r="U839" s="76"/>
      <c r="V839" s="76"/>
      <c r="W839" s="76"/>
      <c r="X839" s="76"/>
      <c r="Y839" s="76"/>
      <c r="Z839" s="76"/>
    </row>
    <row r="840" ht="22.5" customHeight="1">
      <c r="A840" s="140"/>
      <c r="B840" s="140"/>
      <c r="C840" s="141"/>
      <c r="D840" s="140"/>
      <c r="E840" s="76"/>
      <c r="F840" s="76"/>
      <c r="G840" s="76"/>
      <c r="H840" s="76"/>
      <c r="I840" s="76"/>
      <c r="J840" s="76"/>
      <c r="K840" s="76"/>
      <c r="L840" s="76"/>
      <c r="M840" s="76"/>
      <c r="N840" s="76"/>
      <c r="O840" s="76"/>
      <c r="P840" s="76"/>
      <c r="Q840" s="76"/>
      <c r="R840" s="76"/>
      <c r="S840" s="76"/>
      <c r="T840" s="76"/>
      <c r="U840" s="76"/>
      <c r="V840" s="76"/>
      <c r="W840" s="76"/>
      <c r="X840" s="76"/>
      <c r="Y840" s="76"/>
      <c r="Z840" s="76"/>
    </row>
    <row r="841" ht="22.5" customHeight="1">
      <c r="A841" s="140"/>
      <c r="B841" s="140"/>
      <c r="C841" s="141"/>
      <c r="D841" s="140"/>
      <c r="E841" s="76"/>
      <c r="F841" s="76"/>
      <c r="G841" s="76"/>
      <c r="H841" s="76"/>
      <c r="I841" s="76"/>
      <c r="J841" s="76"/>
      <c r="K841" s="76"/>
      <c r="L841" s="76"/>
      <c r="M841" s="76"/>
      <c r="N841" s="76"/>
      <c r="O841" s="76"/>
      <c r="P841" s="76"/>
      <c r="Q841" s="76"/>
      <c r="R841" s="76"/>
      <c r="S841" s="76"/>
      <c r="T841" s="76"/>
      <c r="U841" s="76"/>
      <c r="V841" s="76"/>
      <c r="W841" s="76"/>
      <c r="X841" s="76"/>
      <c r="Y841" s="76"/>
      <c r="Z841" s="76"/>
    </row>
    <row r="842" ht="22.5" customHeight="1">
      <c r="A842" s="140"/>
      <c r="B842" s="140"/>
      <c r="C842" s="141"/>
      <c r="D842" s="140"/>
      <c r="E842" s="76"/>
      <c r="F842" s="76"/>
      <c r="G842" s="76"/>
      <c r="H842" s="76"/>
      <c r="I842" s="76"/>
      <c r="J842" s="76"/>
      <c r="K842" s="76"/>
      <c r="L842" s="76"/>
      <c r="M842" s="76"/>
      <c r="N842" s="76"/>
      <c r="O842" s="76"/>
      <c r="P842" s="76"/>
      <c r="Q842" s="76"/>
      <c r="R842" s="76"/>
      <c r="S842" s="76"/>
      <c r="T842" s="76"/>
      <c r="U842" s="76"/>
      <c r="V842" s="76"/>
      <c r="W842" s="76"/>
      <c r="X842" s="76"/>
      <c r="Y842" s="76"/>
      <c r="Z842" s="76"/>
    </row>
    <row r="843" ht="22.5" customHeight="1">
      <c r="A843" s="140"/>
      <c r="B843" s="140"/>
      <c r="C843" s="141"/>
      <c r="D843" s="140"/>
      <c r="E843" s="76"/>
      <c r="F843" s="76"/>
      <c r="G843" s="76"/>
      <c r="H843" s="76"/>
      <c r="I843" s="76"/>
      <c r="J843" s="76"/>
      <c r="K843" s="76"/>
      <c r="L843" s="76"/>
      <c r="M843" s="76"/>
      <c r="N843" s="76"/>
      <c r="O843" s="76"/>
      <c r="P843" s="76"/>
      <c r="Q843" s="76"/>
      <c r="R843" s="76"/>
      <c r="S843" s="76"/>
      <c r="T843" s="76"/>
      <c r="U843" s="76"/>
      <c r="V843" s="76"/>
      <c r="W843" s="76"/>
      <c r="X843" s="76"/>
      <c r="Y843" s="76"/>
      <c r="Z843" s="76"/>
    </row>
    <row r="844" ht="22.5" customHeight="1">
      <c r="A844" s="140"/>
      <c r="B844" s="140"/>
      <c r="C844" s="141"/>
      <c r="D844" s="140"/>
      <c r="E844" s="76"/>
      <c r="F844" s="76"/>
      <c r="G844" s="76"/>
      <c r="H844" s="76"/>
      <c r="I844" s="76"/>
      <c r="J844" s="76"/>
      <c r="K844" s="76"/>
      <c r="L844" s="76"/>
      <c r="M844" s="76"/>
      <c r="N844" s="76"/>
      <c r="O844" s="76"/>
      <c r="P844" s="76"/>
      <c r="Q844" s="76"/>
      <c r="R844" s="76"/>
      <c r="S844" s="76"/>
      <c r="T844" s="76"/>
      <c r="U844" s="76"/>
      <c r="V844" s="76"/>
      <c r="W844" s="76"/>
      <c r="X844" s="76"/>
      <c r="Y844" s="76"/>
      <c r="Z844" s="76"/>
    </row>
    <row r="845" ht="22.5" customHeight="1">
      <c r="A845" s="140"/>
      <c r="B845" s="140"/>
      <c r="C845" s="141"/>
      <c r="D845" s="140"/>
      <c r="E845" s="76"/>
      <c r="F845" s="76"/>
      <c r="G845" s="76"/>
      <c r="H845" s="76"/>
      <c r="I845" s="76"/>
      <c r="J845" s="76"/>
      <c r="K845" s="76"/>
      <c r="L845" s="76"/>
      <c r="M845" s="76"/>
      <c r="N845" s="76"/>
      <c r="O845" s="76"/>
      <c r="P845" s="76"/>
      <c r="Q845" s="76"/>
      <c r="R845" s="76"/>
      <c r="S845" s="76"/>
      <c r="T845" s="76"/>
      <c r="U845" s="76"/>
      <c r="V845" s="76"/>
      <c r="W845" s="76"/>
      <c r="X845" s="76"/>
      <c r="Y845" s="76"/>
      <c r="Z845" s="76"/>
    </row>
    <row r="846" ht="22.5" customHeight="1">
      <c r="A846" s="140"/>
      <c r="B846" s="140"/>
      <c r="C846" s="141"/>
      <c r="D846" s="140"/>
      <c r="E846" s="76"/>
      <c r="F846" s="76"/>
      <c r="G846" s="76"/>
      <c r="H846" s="76"/>
      <c r="I846" s="76"/>
      <c r="J846" s="76"/>
      <c r="K846" s="76"/>
      <c r="L846" s="76"/>
      <c r="M846" s="76"/>
      <c r="N846" s="76"/>
      <c r="O846" s="76"/>
      <c r="P846" s="76"/>
      <c r="Q846" s="76"/>
      <c r="R846" s="76"/>
      <c r="S846" s="76"/>
      <c r="T846" s="76"/>
      <c r="U846" s="76"/>
      <c r="V846" s="76"/>
      <c r="W846" s="76"/>
      <c r="X846" s="76"/>
      <c r="Y846" s="76"/>
      <c r="Z846" s="76"/>
    </row>
    <row r="847" ht="22.5" customHeight="1">
      <c r="A847" s="140"/>
      <c r="B847" s="140"/>
      <c r="C847" s="141"/>
      <c r="D847" s="140"/>
      <c r="E847" s="76"/>
      <c r="F847" s="76"/>
      <c r="G847" s="76"/>
      <c r="H847" s="76"/>
      <c r="I847" s="76"/>
      <c r="J847" s="76"/>
      <c r="K847" s="76"/>
      <c r="L847" s="76"/>
      <c r="M847" s="76"/>
      <c r="N847" s="76"/>
      <c r="O847" s="76"/>
      <c r="P847" s="76"/>
      <c r="Q847" s="76"/>
      <c r="R847" s="76"/>
      <c r="S847" s="76"/>
      <c r="T847" s="76"/>
      <c r="U847" s="76"/>
      <c r="V847" s="76"/>
      <c r="W847" s="76"/>
      <c r="X847" s="76"/>
      <c r="Y847" s="76"/>
      <c r="Z847" s="76"/>
    </row>
    <row r="848" ht="22.5" customHeight="1">
      <c r="A848" s="140"/>
      <c r="B848" s="140"/>
      <c r="C848" s="141"/>
      <c r="D848" s="140"/>
      <c r="E848" s="76"/>
      <c r="F848" s="76"/>
      <c r="G848" s="76"/>
      <c r="H848" s="76"/>
      <c r="I848" s="76"/>
      <c r="J848" s="76"/>
      <c r="K848" s="76"/>
      <c r="L848" s="76"/>
      <c r="M848" s="76"/>
      <c r="N848" s="76"/>
      <c r="O848" s="76"/>
      <c r="P848" s="76"/>
      <c r="Q848" s="76"/>
      <c r="R848" s="76"/>
      <c r="S848" s="76"/>
      <c r="T848" s="76"/>
      <c r="U848" s="76"/>
      <c r="V848" s="76"/>
      <c r="W848" s="76"/>
      <c r="X848" s="76"/>
      <c r="Y848" s="76"/>
      <c r="Z848" s="76"/>
    </row>
    <row r="849" ht="22.5" customHeight="1">
      <c r="A849" s="140"/>
      <c r="B849" s="140"/>
      <c r="C849" s="141"/>
      <c r="D849" s="140"/>
      <c r="E849" s="76"/>
      <c r="F849" s="76"/>
      <c r="G849" s="76"/>
      <c r="H849" s="76"/>
      <c r="I849" s="76"/>
      <c r="J849" s="76"/>
      <c r="K849" s="76"/>
      <c r="L849" s="76"/>
      <c r="M849" s="76"/>
      <c r="N849" s="76"/>
      <c r="O849" s="76"/>
      <c r="P849" s="76"/>
      <c r="Q849" s="76"/>
      <c r="R849" s="76"/>
      <c r="S849" s="76"/>
      <c r="T849" s="76"/>
      <c r="U849" s="76"/>
      <c r="V849" s="76"/>
      <c r="W849" s="76"/>
      <c r="X849" s="76"/>
      <c r="Y849" s="76"/>
      <c r="Z849" s="76"/>
    </row>
    <row r="850" ht="22.5" customHeight="1">
      <c r="A850" s="140"/>
      <c r="B850" s="140"/>
      <c r="C850" s="141"/>
      <c r="D850" s="140"/>
      <c r="E850" s="76"/>
      <c r="F850" s="76"/>
      <c r="G850" s="76"/>
      <c r="H850" s="76"/>
      <c r="I850" s="76"/>
      <c r="J850" s="76"/>
      <c r="K850" s="76"/>
      <c r="L850" s="76"/>
      <c r="M850" s="76"/>
      <c r="N850" s="76"/>
      <c r="O850" s="76"/>
      <c r="P850" s="76"/>
      <c r="Q850" s="76"/>
      <c r="R850" s="76"/>
      <c r="S850" s="76"/>
      <c r="T850" s="76"/>
      <c r="U850" s="76"/>
      <c r="V850" s="76"/>
      <c r="W850" s="76"/>
      <c r="X850" s="76"/>
      <c r="Y850" s="76"/>
      <c r="Z850" s="76"/>
    </row>
    <row r="851" ht="22.5" customHeight="1">
      <c r="A851" s="140"/>
      <c r="B851" s="140"/>
      <c r="C851" s="141"/>
      <c r="D851" s="140"/>
      <c r="E851" s="76"/>
      <c r="F851" s="76"/>
      <c r="G851" s="76"/>
      <c r="H851" s="76"/>
      <c r="I851" s="76"/>
      <c r="J851" s="76"/>
      <c r="K851" s="76"/>
      <c r="L851" s="76"/>
      <c r="M851" s="76"/>
      <c r="N851" s="76"/>
      <c r="O851" s="76"/>
      <c r="P851" s="76"/>
      <c r="Q851" s="76"/>
      <c r="R851" s="76"/>
      <c r="S851" s="76"/>
      <c r="T851" s="76"/>
      <c r="U851" s="76"/>
      <c r="V851" s="76"/>
      <c r="W851" s="76"/>
      <c r="X851" s="76"/>
      <c r="Y851" s="76"/>
      <c r="Z851" s="76"/>
    </row>
    <row r="852" ht="22.5" customHeight="1">
      <c r="A852" s="140"/>
      <c r="B852" s="140"/>
      <c r="C852" s="141"/>
      <c r="D852" s="140"/>
      <c r="E852" s="76"/>
      <c r="F852" s="76"/>
      <c r="G852" s="76"/>
      <c r="H852" s="76"/>
      <c r="I852" s="76"/>
      <c r="J852" s="76"/>
      <c r="K852" s="76"/>
      <c r="L852" s="76"/>
      <c r="M852" s="76"/>
      <c r="N852" s="76"/>
      <c r="O852" s="76"/>
      <c r="P852" s="76"/>
      <c r="Q852" s="76"/>
      <c r="R852" s="76"/>
      <c r="S852" s="76"/>
      <c r="T852" s="76"/>
      <c r="U852" s="76"/>
      <c r="V852" s="76"/>
      <c r="W852" s="76"/>
      <c r="X852" s="76"/>
      <c r="Y852" s="76"/>
      <c r="Z852" s="76"/>
    </row>
    <row r="853" ht="22.5" customHeight="1">
      <c r="A853" s="140"/>
      <c r="B853" s="140"/>
      <c r="C853" s="141"/>
      <c r="D853" s="140"/>
      <c r="E853" s="76"/>
      <c r="F853" s="76"/>
      <c r="G853" s="76"/>
      <c r="H853" s="76"/>
      <c r="I853" s="76"/>
      <c r="J853" s="76"/>
      <c r="K853" s="76"/>
      <c r="L853" s="76"/>
      <c r="M853" s="76"/>
      <c r="N853" s="76"/>
      <c r="O853" s="76"/>
      <c r="P853" s="76"/>
      <c r="Q853" s="76"/>
      <c r="R853" s="76"/>
      <c r="S853" s="76"/>
      <c r="T853" s="76"/>
      <c r="U853" s="76"/>
      <c r="V853" s="76"/>
      <c r="W853" s="76"/>
      <c r="X853" s="76"/>
      <c r="Y853" s="76"/>
      <c r="Z853" s="76"/>
    </row>
    <row r="854" ht="22.5" customHeight="1">
      <c r="A854" s="140"/>
      <c r="B854" s="140"/>
      <c r="C854" s="141"/>
      <c r="D854" s="140"/>
      <c r="E854" s="76"/>
      <c r="F854" s="76"/>
      <c r="G854" s="76"/>
      <c r="H854" s="76"/>
      <c r="I854" s="76"/>
      <c r="J854" s="76"/>
      <c r="K854" s="76"/>
      <c r="L854" s="76"/>
      <c r="M854" s="76"/>
      <c r="N854" s="76"/>
      <c r="O854" s="76"/>
      <c r="P854" s="76"/>
      <c r="Q854" s="76"/>
      <c r="R854" s="76"/>
      <c r="S854" s="76"/>
      <c r="T854" s="76"/>
      <c r="U854" s="76"/>
      <c r="V854" s="76"/>
      <c r="W854" s="76"/>
      <c r="X854" s="76"/>
      <c r="Y854" s="76"/>
      <c r="Z854" s="76"/>
    </row>
    <row r="855" ht="22.5" customHeight="1">
      <c r="A855" s="140"/>
      <c r="B855" s="140"/>
      <c r="C855" s="141"/>
      <c r="D855" s="140"/>
      <c r="E855" s="76"/>
      <c r="F855" s="76"/>
      <c r="G855" s="76"/>
      <c r="H855" s="76"/>
      <c r="I855" s="76"/>
      <c r="J855" s="76"/>
      <c r="K855" s="76"/>
      <c r="L855" s="76"/>
      <c r="M855" s="76"/>
      <c r="N855" s="76"/>
      <c r="O855" s="76"/>
      <c r="P855" s="76"/>
      <c r="Q855" s="76"/>
      <c r="R855" s="76"/>
      <c r="S855" s="76"/>
      <c r="T855" s="76"/>
      <c r="U855" s="76"/>
      <c r="V855" s="76"/>
      <c r="W855" s="76"/>
      <c r="X855" s="76"/>
      <c r="Y855" s="76"/>
      <c r="Z855" s="76"/>
    </row>
    <row r="856" ht="22.5" customHeight="1">
      <c r="A856" s="140"/>
      <c r="B856" s="140"/>
      <c r="C856" s="141"/>
      <c r="D856" s="140"/>
      <c r="E856" s="76"/>
      <c r="F856" s="76"/>
      <c r="G856" s="76"/>
      <c r="H856" s="76"/>
      <c r="I856" s="76"/>
      <c r="J856" s="76"/>
      <c r="K856" s="76"/>
      <c r="L856" s="76"/>
      <c r="M856" s="76"/>
      <c r="N856" s="76"/>
      <c r="O856" s="76"/>
      <c r="P856" s="76"/>
      <c r="Q856" s="76"/>
      <c r="R856" s="76"/>
      <c r="S856" s="76"/>
      <c r="T856" s="76"/>
      <c r="U856" s="76"/>
      <c r="V856" s="76"/>
      <c r="W856" s="76"/>
      <c r="X856" s="76"/>
      <c r="Y856" s="76"/>
      <c r="Z856" s="76"/>
    </row>
    <row r="857" ht="22.5" customHeight="1">
      <c r="A857" s="140"/>
      <c r="B857" s="140"/>
      <c r="C857" s="141"/>
      <c r="D857" s="140"/>
      <c r="E857" s="76"/>
      <c r="F857" s="76"/>
      <c r="G857" s="76"/>
      <c r="H857" s="76"/>
      <c r="I857" s="76"/>
      <c r="J857" s="76"/>
      <c r="K857" s="76"/>
      <c r="L857" s="76"/>
      <c r="M857" s="76"/>
      <c r="N857" s="76"/>
      <c r="O857" s="76"/>
      <c r="P857" s="76"/>
      <c r="Q857" s="76"/>
      <c r="R857" s="76"/>
      <c r="S857" s="76"/>
      <c r="T857" s="76"/>
      <c r="U857" s="76"/>
      <c r="V857" s="76"/>
      <c r="W857" s="76"/>
      <c r="X857" s="76"/>
      <c r="Y857" s="76"/>
      <c r="Z857" s="76"/>
    </row>
    <row r="858" ht="22.5" customHeight="1">
      <c r="A858" s="140"/>
      <c r="B858" s="140"/>
      <c r="C858" s="141"/>
      <c r="D858" s="140"/>
      <c r="E858" s="76"/>
      <c r="F858" s="76"/>
      <c r="G858" s="76"/>
      <c r="H858" s="76"/>
      <c r="I858" s="76"/>
      <c r="J858" s="76"/>
      <c r="K858" s="76"/>
      <c r="L858" s="76"/>
      <c r="M858" s="76"/>
      <c r="N858" s="76"/>
      <c r="O858" s="76"/>
      <c r="P858" s="76"/>
      <c r="Q858" s="76"/>
      <c r="R858" s="76"/>
      <c r="S858" s="76"/>
      <c r="T858" s="76"/>
      <c r="U858" s="76"/>
      <c r="V858" s="76"/>
      <c r="W858" s="76"/>
      <c r="X858" s="76"/>
      <c r="Y858" s="76"/>
      <c r="Z858" s="76"/>
    </row>
    <row r="859" ht="22.5" customHeight="1">
      <c r="A859" s="140"/>
      <c r="B859" s="140"/>
      <c r="C859" s="141"/>
      <c r="D859" s="140"/>
      <c r="E859" s="76"/>
      <c r="F859" s="76"/>
      <c r="G859" s="76"/>
      <c r="H859" s="76"/>
      <c r="I859" s="76"/>
      <c r="J859" s="76"/>
      <c r="K859" s="76"/>
      <c r="L859" s="76"/>
      <c r="M859" s="76"/>
      <c r="N859" s="76"/>
      <c r="O859" s="76"/>
      <c r="P859" s="76"/>
      <c r="Q859" s="76"/>
      <c r="R859" s="76"/>
      <c r="S859" s="76"/>
      <c r="T859" s="76"/>
      <c r="U859" s="76"/>
      <c r="V859" s="76"/>
      <c r="W859" s="76"/>
      <c r="X859" s="76"/>
      <c r="Y859" s="76"/>
      <c r="Z859" s="76"/>
    </row>
    <row r="860" ht="22.5" customHeight="1">
      <c r="A860" s="140"/>
      <c r="B860" s="140"/>
      <c r="C860" s="141"/>
      <c r="D860" s="140"/>
      <c r="E860" s="76"/>
      <c r="F860" s="76"/>
      <c r="G860" s="76"/>
      <c r="H860" s="76"/>
      <c r="I860" s="76"/>
      <c r="J860" s="76"/>
      <c r="K860" s="76"/>
      <c r="L860" s="76"/>
      <c r="M860" s="76"/>
      <c r="N860" s="76"/>
      <c r="O860" s="76"/>
      <c r="P860" s="76"/>
      <c r="Q860" s="76"/>
      <c r="R860" s="76"/>
      <c r="S860" s="76"/>
      <c r="T860" s="76"/>
      <c r="U860" s="76"/>
      <c r="V860" s="76"/>
      <c r="W860" s="76"/>
      <c r="X860" s="76"/>
      <c r="Y860" s="76"/>
      <c r="Z860" s="76"/>
    </row>
    <row r="861" ht="22.5" customHeight="1">
      <c r="A861" s="140"/>
      <c r="B861" s="140"/>
      <c r="C861" s="141"/>
      <c r="D861" s="140"/>
      <c r="E861" s="76"/>
      <c r="F861" s="76"/>
      <c r="G861" s="76"/>
      <c r="H861" s="76"/>
      <c r="I861" s="76"/>
      <c r="J861" s="76"/>
      <c r="K861" s="76"/>
      <c r="L861" s="76"/>
      <c r="M861" s="76"/>
      <c r="N861" s="76"/>
      <c r="O861" s="76"/>
      <c r="P861" s="76"/>
      <c r="Q861" s="76"/>
      <c r="R861" s="76"/>
      <c r="S861" s="76"/>
      <c r="T861" s="76"/>
      <c r="U861" s="76"/>
      <c r="V861" s="76"/>
      <c r="W861" s="76"/>
      <c r="X861" s="76"/>
      <c r="Y861" s="76"/>
      <c r="Z861" s="76"/>
    </row>
    <row r="862" ht="22.5" customHeight="1">
      <c r="A862" s="140"/>
      <c r="B862" s="140"/>
      <c r="C862" s="141"/>
      <c r="D862" s="140"/>
      <c r="E862" s="76"/>
      <c r="F862" s="76"/>
      <c r="G862" s="76"/>
      <c r="H862" s="76"/>
      <c r="I862" s="76"/>
      <c r="J862" s="76"/>
      <c r="K862" s="76"/>
      <c r="L862" s="76"/>
      <c r="M862" s="76"/>
      <c r="N862" s="76"/>
      <c r="O862" s="76"/>
      <c r="P862" s="76"/>
      <c r="Q862" s="76"/>
      <c r="R862" s="76"/>
      <c r="S862" s="76"/>
      <c r="T862" s="76"/>
      <c r="U862" s="76"/>
      <c r="V862" s="76"/>
      <c r="W862" s="76"/>
      <c r="X862" s="76"/>
      <c r="Y862" s="76"/>
      <c r="Z862" s="76"/>
    </row>
    <row r="863" ht="22.5" customHeight="1">
      <c r="A863" s="140"/>
      <c r="B863" s="140"/>
      <c r="C863" s="141"/>
      <c r="D863" s="140"/>
      <c r="E863" s="76"/>
      <c r="F863" s="76"/>
      <c r="G863" s="76"/>
      <c r="H863" s="76"/>
      <c r="I863" s="76"/>
      <c r="J863" s="76"/>
      <c r="K863" s="76"/>
      <c r="L863" s="76"/>
      <c r="M863" s="76"/>
      <c r="N863" s="76"/>
      <c r="O863" s="76"/>
      <c r="P863" s="76"/>
      <c r="Q863" s="76"/>
      <c r="R863" s="76"/>
      <c r="S863" s="76"/>
      <c r="T863" s="76"/>
      <c r="U863" s="76"/>
      <c r="V863" s="76"/>
      <c r="W863" s="76"/>
      <c r="X863" s="76"/>
      <c r="Y863" s="76"/>
      <c r="Z863" s="76"/>
    </row>
    <row r="864" ht="22.5" customHeight="1">
      <c r="A864" s="140"/>
      <c r="B864" s="140"/>
      <c r="C864" s="141"/>
      <c r="D864" s="140"/>
      <c r="E864" s="76"/>
      <c r="F864" s="76"/>
      <c r="G864" s="76"/>
      <c r="H864" s="76"/>
      <c r="I864" s="76"/>
      <c r="J864" s="76"/>
      <c r="K864" s="76"/>
      <c r="L864" s="76"/>
      <c r="M864" s="76"/>
      <c r="N864" s="76"/>
      <c r="O864" s="76"/>
      <c r="P864" s="76"/>
      <c r="Q864" s="76"/>
      <c r="R864" s="76"/>
      <c r="S864" s="76"/>
      <c r="T864" s="76"/>
      <c r="U864" s="76"/>
      <c r="V864" s="76"/>
      <c r="W864" s="76"/>
      <c r="X864" s="76"/>
      <c r="Y864" s="76"/>
      <c r="Z864" s="76"/>
    </row>
    <row r="865" ht="22.5" customHeight="1">
      <c r="A865" s="140"/>
      <c r="B865" s="140"/>
      <c r="C865" s="141"/>
      <c r="D865" s="140"/>
      <c r="E865" s="76"/>
      <c r="F865" s="76"/>
      <c r="G865" s="76"/>
      <c r="H865" s="76"/>
      <c r="I865" s="76"/>
      <c r="J865" s="76"/>
      <c r="K865" s="76"/>
      <c r="L865" s="76"/>
      <c r="M865" s="76"/>
      <c r="N865" s="76"/>
      <c r="O865" s="76"/>
      <c r="P865" s="76"/>
      <c r="Q865" s="76"/>
      <c r="R865" s="76"/>
      <c r="S865" s="76"/>
      <c r="T865" s="76"/>
      <c r="U865" s="76"/>
      <c r="V865" s="76"/>
      <c r="W865" s="76"/>
      <c r="X865" s="76"/>
      <c r="Y865" s="76"/>
      <c r="Z865" s="76"/>
    </row>
    <row r="866" ht="22.5" customHeight="1">
      <c r="A866" s="140"/>
      <c r="B866" s="140"/>
      <c r="C866" s="141"/>
      <c r="D866" s="140"/>
      <c r="E866" s="76"/>
      <c r="F866" s="76"/>
      <c r="G866" s="76"/>
      <c r="H866" s="76"/>
      <c r="I866" s="76"/>
      <c r="J866" s="76"/>
      <c r="K866" s="76"/>
      <c r="L866" s="76"/>
      <c r="M866" s="76"/>
      <c r="N866" s="76"/>
      <c r="O866" s="76"/>
      <c r="P866" s="76"/>
      <c r="Q866" s="76"/>
      <c r="R866" s="76"/>
      <c r="S866" s="76"/>
      <c r="T866" s="76"/>
      <c r="U866" s="76"/>
      <c r="V866" s="76"/>
      <c r="W866" s="76"/>
      <c r="X866" s="76"/>
      <c r="Y866" s="76"/>
      <c r="Z866" s="76"/>
    </row>
    <row r="867" ht="22.5" customHeight="1">
      <c r="A867" s="140"/>
      <c r="B867" s="140"/>
      <c r="C867" s="141"/>
      <c r="D867" s="140"/>
      <c r="E867" s="76"/>
      <c r="F867" s="76"/>
      <c r="G867" s="76"/>
      <c r="H867" s="76"/>
      <c r="I867" s="76"/>
      <c r="J867" s="76"/>
      <c r="K867" s="76"/>
      <c r="L867" s="76"/>
      <c r="M867" s="76"/>
      <c r="N867" s="76"/>
      <c r="O867" s="76"/>
      <c r="P867" s="76"/>
      <c r="Q867" s="76"/>
      <c r="R867" s="76"/>
      <c r="S867" s="76"/>
      <c r="T867" s="76"/>
      <c r="U867" s="76"/>
      <c r="V867" s="76"/>
      <c r="W867" s="76"/>
      <c r="X867" s="76"/>
      <c r="Y867" s="76"/>
      <c r="Z867" s="76"/>
    </row>
    <row r="868" ht="22.5" customHeight="1">
      <c r="A868" s="140"/>
      <c r="B868" s="140"/>
      <c r="C868" s="141"/>
      <c r="D868" s="140"/>
      <c r="E868" s="76"/>
      <c r="F868" s="76"/>
      <c r="G868" s="76"/>
      <c r="H868" s="76"/>
      <c r="I868" s="76"/>
      <c r="J868" s="76"/>
      <c r="K868" s="76"/>
      <c r="L868" s="76"/>
      <c r="M868" s="76"/>
      <c r="N868" s="76"/>
      <c r="O868" s="76"/>
      <c r="P868" s="76"/>
      <c r="Q868" s="76"/>
      <c r="R868" s="76"/>
      <c r="S868" s="76"/>
      <c r="T868" s="76"/>
      <c r="U868" s="76"/>
      <c r="V868" s="76"/>
      <c r="W868" s="76"/>
      <c r="X868" s="76"/>
      <c r="Y868" s="76"/>
      <c r="Z868" s="76"/>
    </row>
    <row r="869" ht="22.5" customHeight="1">
      <c r="A869" s="140"/>
      <c r="B869" s="140"/>
      <c r="C869" s="141"/>
      <c r="D869" s="140"/>
      <c r="E869" s="76"/>
      <c r="F869" s="76"/>
      <c r="G869" s="76"/>
      <c r="H869" s="76"/>
      <c r="I869" s="76"/>
      <c r="J869" s="76"/>
      <c r="K869" s="76"/>
      <c r="L869" s="76"/>
      <c r="M869" s="76"/>
      <c r="N869" s="76"/>
      <c r="O869" s="76"/>
      <c r="P869" s="76"/>
      <c r="Q869" s="76"/>
      <c r="R869" s="76"/>
      <c r="S869" s="76"/>
      <c r="T869" s="76"/>
      <c r="U869" s="76"/>
      <c r="V869" s="76"/>
      <c r="W869" s="76"/>
      <c r="X869" s="76"/>
      <c r="Y869" s="76"/>
      <c r="Z869" s="76"/>
    </row>
    <row r="870" ht="22.5" customHeight="1">
      <c r="A870" s="140"/>
      <c r="B870" s="140"/>
      <c r="C870" s="141"/>
      <c r="D870" s="140"/>
      <c r="E870" s="76"/>
      <c r="F870" s="76"/>
      <c r="G870" s="76"/>
      <c r="H870" s="76"/>
      <c r="I870" s="76"/>
      <c r="J870" s="76"/>
      <c r="K870" s="76"/>
      <c r="L870" s="76"/>
      <c r="M870" s="76"/>
      <c r="N870" s="76"/>
      <c r="O870" s="76"/>
      <c r="P870" s="76"/>
      <c r="Q870" s="76"/>
      <c r="R870" s="76"/>
      <c r="S870" s="76"/>
      <c r="T870" s="76"/>
      <c r="U870" s="76"/>
      <c r="V870" s="76"/>
      <c r="W870" s="76"/>
      <c r="X870" s="76"/>
      <c r="Y870" s="76"/>
      <c r="Z870" s="76"/>
    </row>
    <row r="871" ht="22.5" customHeight="1">
      <c r="A871" s="140"/>
      <c r="B871" s="140"/>
      <c r="C871" s="141"/>
      <c r="D871" s="140"/>
      <c r="E871" s="76"/>
      <c r="F871" s="76"/>
      <c r="G871" s="76"/>
      <c r="H871" s="76"/>
      <c r="I871" s="76"/>
      <c r="J871" s="76"/>
      <c r="K871" s="76"/>
      <c r="L871" s="76"/>
      <c r="M871" s="76"/>
      <c r="N871" s="76"/>
      <c r="O871" s="76"/>
      <c r="P871" s="76"/>
      <c r="Q871" s="76"/>
      <c r="R871" s="76"/>
      <c r="S871" s="76"/>
      <c r="T871" s="76"/>
      <c r="U871" s="76"/>
      <c r="V871" s="76"/>
      <c r="W871" s="76"/>
      <c r="X871" s="76"/>
      <c r="Y871" s="76"/>
      <c r="Z871" s="76"/>
    </row>
    <row r="872" ht="22.5" customHeight="1">
      <c r="A872" s="140"/>
      <c r="B872" s="140"/>
      <c r="C872" s="141"/>
      <c r="D872" s="140"/>
      <c r="E872" s="76"/>
      <c r="F872" s="76"/>
      <c r="G872" s="76"/>
      <c r="H872" s="76"/>
      <c r="I872" s="76"/>
      <c r="J872" s="76"/>
      <c r="K872" s="76"/>
      <c r="L872" s="76"/>
      <c r="M872" s="76"/>
      <c r="N872" s="76"/>
      <c r="O872" s="76"/>
      <c r="P872" s="76"/>
      <c r="Q872" s="76"/>
      <c r="R872" s="76"/>
      <c r="S872" s="76"/>
      <c r="T872" s="76"/>
      <c r="U872" s="76"/>
      <c r="V872" s="76"/>
      <c r="W872" s="76"/>
      <c r="X872" s="76"/>
      <c r="Y872" s="76"/>
      <c r="Z872" s="76"/>
    </row>
    <row r="873" ht="22.5" customHeight="1">
      <c r="A873" s="140"/>
      <c r="B873" s="140"/>
      <c r="C873" s="141"/>
      <c r="D873" s="140"/>
      <c r="E873" s="76"/>
      <c r="F873" s="76"/>
      <c r="G873" s="76"/>
      <c r="H873" s="76"/>
      <c r="I873" s="76"/>
      <c r="J873" s="76"/>
      <c r="K873" s="76"/>
      <c r="L873" s="76"/>
      <c r="M873" s="76"/>
      <c r="N873" s="76"/>
      <c r="O873" s="76"/>
      <c r="P873" s="76"/>
      <c r="Q873" s="76"/>
      <c r="R873" s="76"/>
      <c r="S873" s="76"/>
      <c r="T873" s="76"/>
      <c r="U873" s="76"/>
      <c r="V873" s="76"/>
      <c r="W873" s="76"/>
      <c r="X873" s="76"/>
      <c r="Y873" s="76"/>
      <c r="Z873" s="76"/>
    </row>
    <row r="874" ht="22.5" customHeight="1">
      <c r="A874" s="140"/>
      <c r="B874" s="140"/>
      <c r="C874" s="141"/>
      <c r="D874" s="140"/>
      <c r="E874" s="76"/>
      <c r="F874" s="76"/>
      <c r="G874" s="76"/>
      <c r="H874" s="76"/>
      <c r="I874" s="76"/>
      <c r="J874" s="76"/>
      <c r="K874" s="76"/>
      <c r="L874" s="76"/>
      <c r="M874" s="76"/>
      <c r="N874" s="76"/>
      <c r="O874" s="76"/>
      <c r="P874" s="76"/>
      <c r="Q874" s="76"/>
      <c r="R874" s="76"/>
      <c r="S874" s="76"/>
      <c r="T874" s="76"/>
      <c r="U874" s="76"/>
      <c r="V874" s="76"/>
      <c r="W874" s="76"/>
      <c r="X874" s="76"/>
      <c r="Y874" s="76"/>
      <c r="Z874" s="76"/>
    </row>
    <row r="875" ht="22.5" customHeight="1">
      <c r="A875" s="140"/>
      <c r="B875" s="140"/>
      <c r="C875" s="141"/>
      <c r="D875" s="140"/>
      <c r="E875" s="76"/>
      <c r="F875" s="76"/>
      <c r="G875" s="76"/>
      <c r="H875" s="76"/>
      <c r="I875" s="76"/>
      <c r="J875" s="76"/>
      <c r="K875" s="76"/>
      <c r="L875" s="76"/>
      <c r="M875" s="76"/>
      <c r="N875" s="76"/>
      <c r="O875" s="76"/>
      <c r="P875" s="76"/>
      <c r="Q875" s="76"/>
      <c r="R875" s="76"/>
      <c r="S875" s="76"/>
      <c r="T875" s="76"/>
      <c r="U875" s="76"/>
      <c r="V875" s="76"/>
      <c r="W875" s="76"/>
      <c r="X875" s="76"/>
      <c r="Y875" s="76"/>
      <c r="Z875" s="76"/>
    </row>
    <row r="876" ht="22.5" customHeight="1">
      <c r="A876" s="140"/>
      <c r="B876" s="140"/>
      <c r="C876" s="141"/>
      <c r="D876" s="140"/>
      <c r="E876" s="76"/>
      <c r="F876" s="76"/>
      <c r="G876" s="76"/>
      <c r="H876" s="76"/>
      <c r="I876" s="76"/>
      <c r="J876" s="76"/>
      <c r="K876" s="76"/>
      <c r="L876" s="76"/>
      <c r="M876" s="76"/>
      <c r="N876" s="76"/>
      <c r="O876" s="76"/>
      <c r="P876" s="76"/>
      <c r="Q876" s="76"/>
      <c r="R876" s="76"/>
      <c r="S876" s="76"/>
      <c r="T876" s="76"/>
      <c r="U876" s="76"/>
      <c r="V876" s="76"/>
      <c r="W876" s="76"/>
      <c r="X876" s="76"/>
      <c r="Y876" s="76"/>
      <c r="Z876" s="76"/>
    </row>
    <row r="877" ht="22.5" customHeight="1">
      <c r="A877" s="140"/>
      <c r="B877" s="140"/>
      <c r="C877" s="141"/>
      <c r="D877" s="140"/>
      <c r="E877" s="76"/>
      <c r="F877" s="76"/>
      <c r="G877" s="76"/>
      <c r="H877" s="76"/>
      <c r="I877" s="76"/>
      <c r="J877" s="76"/>
      <c r="K877" s="76"/>
      <c r="L877" s="76"/>
      <c r="M877" s="76"/>
      <c r="N877" s="76"/>
      <c r="O877" s="76"/>
      <c r="P877" s="76"/>
      <c r="Q877" s="76"/>
      <c r="R877" s="76"/>
      <c r="S877" s="76"/>
      <c r="T877" s="76"/>
      <c r="U877" s="76"/>
      <c r="V877" s="76"/>
      <c r="W877" s="76"/>
      <c r="X877" s="76"/>
      <c r="Y877" s="76"/>
      <c r="Z877" s="76"/>
    </row>
    <row r="878" ht="22.5" customHeight="1">
      <c r="A878" s="140"/>
      <c r="B878" s="140"/>
      <c r="C878" s="141"/>
      <c r="D878" s="140"/>
      <c r="E878" s="76"/>
      <c r="F878" s="76"/>
      <c r="G878" s="76"/>
      <c r="H878" s="76"/>
      <c r="I878" s="76"/>
      <c r="J878" s="76"/>
      <c r="K878" s="76"/>
      <c r="L878" s="76"/>
      <c r="M878" s="76"/>
      <c r="N878" s="76"/>
      <c r="O878" s="76"/>
      <c r="P878" s="76"/>
      <c r="Q878" s="76"/>
      <c r="R878" s="76"/>
      <c r="S878" s="76"/>
      <c r="T878" s="76"/>
      <c r="U878" s="76"/>
      <c r="V878" s="76"/>
      <c r="W878" s="76"/>
      <c r="X878" s="76"/>
      <c r="Y878" s="76"/>
      <c r="Z878" s="76"/>
    </row>
    <row r="879" ht="22.5" customHeight="1">
      <c r="A879" s="140"/>
      <c r="B879" s="140"/>
      <c r="C879" s="141"/>
      <c r="D879" s="140"/>
      <c r="E879" s="76"/>
      <c r="F879" s="76"/>
      <c r="G879" s="76"/>
      <c r="H879" s="76"/>
      <c r="I879" s="76"/>
      <c r="J879" s="76"/>
      <c r="K879" s="76"/>
      <c r="L879" s="76"/>
      <c r="M879" s="76"/>
      <c r="N879" s="76"/>
      <c r="O879" s="76"/>
      <c r="P879" s="76"/>
      <c r="Q879" s="76"/>
      <c r="R879" s="76"/>
      <c r="S879" s="76"/>
      <c r="T879" s="76"/>
      <c r="U879" s="76"/>
      <c r="V879" s="76"/>
      <c r="W879" s="76"/>
      <c r="X879" s="76"/>
      <c r="Y879" s="76"/>
      <c r="Z879" s="76"/>
    </row>
    <row r="880" ht="22.5" customHeight="1">
      <c r="A880" s="140"/>
      <c r="B880" s="140"/>
      <c r="C880" s="141"/>
      <c r="D880" s="140"/>
      <c r="E880" s="76"/>
      <c r="F880" s="76"/>
      <c r="G880" s="76"/>
      <c r="H880" s="76"/>
      <c r="I880" s="76"/>
      <c r="J880" s="76"/>
      <c r="K880" s="76"/>
      <c r="L880" s="76"/>
      <c r="M880" s="76"/>
      <c r="N880" s="76"/>
      <c r="O880" s="76"/>
      <c r="P880" s="76"/>
      <c r="Q880" s="76"/>
      <c r="R880" s="76"/>
      <c r="S880" s="76"/>
      <c r="T880" s="76"/>
      <c r="U880" s="76"/>
      <c r="V880" s="76"/>
      <c r="W880" s="76"/>
      <c r="X880" s="76"/>
      <c r="Y880" s="76"/>
      <c r="Z880" s="76"/>
    </row>
    <row r="881" ht="22.5" customHeight="1">
      <c r="A881" s="140"/>
      <c r="B881" s="140"/>
      <c r="C881" s="141"/>
      <c r="D881" s="140"/>
      <c r="E881" s="76"/>
      <c r="F881" s="76"/>
      <c r="G881" s="76"/>
      <c r="H881" s="76"/>
      <c r="I881" s="76"/>
      <c r="J881" s="76"/>
      <c r="K881" s="76"/>
      <c r="L881" s="76"/>
      <c r="M881" s="76"/>
      <c r="N881" s="76"/>
      <c r="O881" s="76"/>
      <c r="P881" s="76"/>
      <c r="Q881" s="76"/>
      <c r="R881" s="76"/>
      <c r="S881" s="76"/>
      <c r="T881" s="76"/>
      <c r="U881" s="76"/>
      <c r="V881" s="76"/>
      <c r="W881" s="76"/>
      <c r="X881" s="76"/>
      <c r="Y881" s="76"/>
      <c r="Z881" s="76"/>
    </row>
    <row r="882" ht="22.5" customHeight="1">
      <c r="A882" s="140"/>
      <c r="B882" s="140"/>
      <c r="C882" s="141"/>
      <c r="D882" s="140"/>
      <c r="E882" s="76"/>
      <c r="F882" s="76"/>
      <c r="G882" s="76"/>
      <c r="H882" s="76"/>
      <c r="I882" s="76"/>
      <c r="J882" s="76"/>
      <c r="K882" s="76"/>
      <c r="L882" s="76"/>
      <c r="M882" s="76"/>
      <c r="N882" s="76"/>
      <c r="O882" s="76"/>
      <c r="P882" s="76"/>
      <c r="Q882" s="76"/>
      <c r="R882" s="76"/>
      <c r="S882" s="76"/>
      <c r="T882" s="76"/>
      <c r="U882" s="76"/>
      <c r="V882" s="76"/>
      <c r="W882" s="76"/>
      <c r="X882" s="76"/>
      <c r="Y882" s="76"/>
      <c r="Z882" s="76"/>
    </row>
    <row r="883" ht="22.5" customHeight="1">
      <c r="A883" s="140"/>
      <c r="B883" s="140"/>
      <c r="C883" s="141"/>
      <c r="D883" s="140"/>
      <c r="E883" s="76"/>
      <c r="F883" s="76"/>
      <c r="G883" s="76"/>
      <c r="H883" s="76"/>
      <c r="I883" s="76"/>
      <c r="J883" s="76"/>
      <c r="K883" s="76"/>
      <c r="L883" s="76"/>
      <c r="M883" s="76"/>
      <c r="N883" s="76"/>
      <c r="O883" s="76"/>
      <c r="P883" s="76"/>
      <c r="Q883" s="76"/>
      <c r="R883" s="76"/>
      <c r="S883" s="76"/>
      <c r="T883" s="76"/>
      <c r="U883" s="76"/>
      <c r="V883" s="76"/>
      <c r="W883" s="76"/>
      <c r="X883" s="76"/>
      <c r="Y883" s="76"/>
      <c r="Z883" s="76"/>
    </row>
    <row r="884" ht="22.5" customHeight="1">
      <c r="A884" s="140"/>
      <c r="B884" s="140"/>
      <c r="C884" s="141"/>
      <c r="D884" s="140"/>
      <c r="E884" s="76"/>
      <c r="F884" s="76"/>
      <c r="G884" s="76"/>
      <c r="H884" s="76"/>
      <c r="I884" s="76"/>
      <c r="J884" s="76"/>
      <c r="K884" s="76"/>
      <c r="L884" s="76"/>
      <c r="M884" s="76"/>
      <c r="N884" s="76"/>
      <c r="O884" s="76"/>
      <c r="P884" s="76"/>
      <c r="Q884" s="76"/>
      <c r="R884" s="76"/>
      <c r="S884" s="76"/>
      <c r="T884" s="76"/>
      <c r="U884" s="76"/>
      <c r="V884" s="76"/>
      <c r="W884" s="76"/>
      <c r="X884" s="76"/>
      <c r="Y884" s="76"/>
      <c r="Z884" s="76"/>
    </row>
    <row r="885" ht="22.5" customHeight="1">
      <c r="A885" s="140"/>
      <c r="B885" s="140"/>
      <c r="C885" s="141"/>
      <c r="D885" s="140"/>
      <c r="E885" s="76"/>
      <c r="F885" s="76"/>
      <c r="G885" s="76"/>
      <c r="H885" s="76"/>
      <c r="I885" s="76"/>
      <c r="J885" s="76"/>
      <c r="K885" s="76"/>
      <c r="L885" s="76"/>
      <c r="M885" s="76"/>
      <c r="N885" s="76"/>
      <c r="O885" s="76"/>
      <c r="P885" s="76"/>
      <c r="Q885" s="76"/>
      <c r="R885" s="76"/>
      <c r="S885" s="76"/>
      <c r="T885" s="76"/>
      <c r="U885" s="76"/>
      <c r="V885" s="76"/>
      <c r="W885" s="76"/>
      <c r="X885" s="76"/>
      <c r="Y885" s="76"/>
      <c r="Z885" s="76"/>
    </row>
    <row r="886" ht="22.5" customHeight="1">
      <c r="A886" s="140"/>
      <c r="B886" s="140"/>
      <c r="C886" s="141"/>
      <c r="D886" s="140"/>
      <c r="E886" s="76"/>
      <c r="F886" s="76"/>
      <c r="G886" s="76"/>
      <c r="H886" s="76"/>
      <c r="I886" s="76"/>
      <c r="J886" s="76"/>
      <c r="K886" s="76"/>
      <c r="L886" s="76"/>
      <c r="M886" s="76"/>
      <c r="N886" s="76"/>
      <c r="O886" s="76"/>
      <c r="P886" s="76"/>
      <c r="Q886" s="76"/>
      <c r="R886" s="76"/>
      <c r="S886" s="76"/>
      <c r="T886" s="76"/>
      <c r="U886" s="76"/>
      <c r="V886" s="76"/>
      <c r="W886" s="76"/>
      <c r="X886" s="76"/>
      <c r="Y886" s="76"/>
      <c r="Z886" s="76"/>
    </row>
    <row r="887" ht="22.5" customHeight="1">
      <c r="A887" s="140"/>
      <c r="B887" s="140"/>
      <c r="C887" s="141"/>
      <c r="D887" s="140"/>
      <c r="E887" s="76"/>
      <c r="F887" s="76"/>
      <c r="G887" s="76"/>
      <c r="H887" s="76"/>
      <c r="I887" s="76"/>
      <c r="J887" s="76"/>
      <c r="K887" s="76"/>
      <c r="L887" s="76"/>
      <c r="M887" s="76"/>
      <c r="N887" s="76"/>
      <c r="O887" s="76"/>
      <c r="P887" s="76"/>
      <c r="Q887" s="76"/>
      <c r="R887" s="76"/>
      <c r="S887" s="76"/>
      <c r="T887" s="76"/>
      <c r="U887" s="76"/>
      <c r="V887" s="76"/>
      <c r="W887" s="76"/>
      <c r="X887" s="76"/>
      <c r="Y887" s="76"/>
      <c r="Z887" s="76"/>
    </row>
    <row r="888" ht="22.5" customHeight="1">
      <c r="A888" s="140"/>
      <c r="B888" s="140"/>
      <c r="C888" s="141"/>
      <c r="D888" s="140"/>
      <c r="E888" s="76"/>
      <c r="F888" s="76"/>
      <c r="G888" s="76"/>
      <c r="H888" s="76"/>
      <c r="I888" s="76"/>
      <c r="J888" s="76"/>
      <c r="K888" s="76"/>
      <c r="L888" s="76"/>
      <c r="M888" s="76"/>
      <c r="N888" s="76"/>
      <c r="O888" s="76"/>
      <c r="P888" s="76"/>
      <c r="Q888" s="76"/>
      <c r="R888" s="76"/>
      <c r="S888" s="76"/>
      <c r="T888" s="76"/>
      <c r="U888" s="76"/>
      <c r="V888" s="76"/>
      <c r="W888" s="76"/>
      <c r="X888" s="76"/>
      <c r="Y888" s="76"/>
      <c r="Z888" s="76"/>
    </row>
    <row r="889" ht="22.5" customHeight="1">
      <c r="A889" s="140"/>
      <c r="B889" s="140"/>
      <c r="C889" s="141"/>
      <c r="D889" s="140"/>
      <c r="E889" s="76"/>
      <c r="F889" s="76"/>
      <c r="G889" s="76"/>
      <c r="H889" s="76"/>
      <c r="I889" s="76"/>
      <c r="J889" s="76"/>
      <c r="K889" s="76"/>
      <c r="L889" s="76"/>
      <c r="M889" s="76"/>
      <c r="N889" s="76"/>
      <c r="O889" s="76"/>
      <c r="P889" s="76"/>
      <c r="Q889" s="76"/>
      <c r="R889" s="76"/>
      <c r="S889" s="76"/>
      <c r="T889" s="76"/>
      <c r="U889" s="76"/>
      <c r="V889" s="76"/>
      <c r="W889" s="76"/>
      <c r="X889" s="76"/>
      <c r="Y889" s="76"/>
      <c r="Z889" s="76"/>
    </row>
    <row r="890" ht="22.5" customHeight="1">
      <c r="A890" s="140"/>
      <c r="B890" s="140"/>
      <c r="C890" s="141"/>
      <c r="D890" s="140"/>
      <c r="E890" s="76"/>
      <c r="F890" s="76"/>
      <c r="G890" s="76"/>
      <c r="H890" s="76"/>
      <c r="I890" s="76"/>
      <c r="J890" s="76"/>
      <c r="K890" s="76"/>
      <c r="L890" s="76"/>
      <c r="M890" s="76"/>
      <c r="N890" s="76"/>
      <c r="O890" s="76"/>
      <c r="P890" s="76"/>
      <c r="Q890" s="76"/>
      <c r="R890" s="76"/>
      <c r="S890" s="76"/>
      <c r="T890" s="76"/>
      <c r="U890" s="76"/>
      <c r="V890" s="76"/>
      <c r="W890" s="76"/>
      <c r="X890" s="76"/>
      <c r="Y890" s="76"/>
      <c r="Z890" s="76"/>
    </row>
    <row r="891" ht="22.5" customHeight="1">
      <c r="A891" s="140"/>
      <c r="B891" s="140"/>
      <c r="C891" s="141"/>
      <c r="D891" s="140"/>
      <c r="E891" s="76"/>
      <c r="F891" s="76"/>
      <c r="G891" s="76"/>
      <c r="H891" s="76"/>
      <c r="I891" s="76"/>
      <c r="J891" s="76"/>
      <c r="K891" s="76"/>
      <c r="L891" s="76"/>
      <c r="M891" s="76"/>
      <c r="N891" s="76"/>
      <c r="O891" s="76"/>
      <c r="P891" s="76"/>
      <c r="Q891" s="76"/>
      <c r="R891" s="76"/>
      <c r="S891" s="76"/>
      <c r="T891" s="76"/>
      <c r="U891" s="76"/>
      <c r="V891" s="76"/>
      <c r="W891" s="76"/>
      <c r="X891" s="76"/>
      <c r="Y891" s="76"/>
      <c r="Z891" s="76"/>
    </row>
    <row r="892" ht="22.5" customHeight="1">
      <c r="A892" s="140"/>
      <c r="B892" s="140"/>
      <c r="C892" s="141"/>
      <c r="D892" s="140"/>
      <c r="E892" s="76"/>
      <c r="F892" s="76"/>
      <c r="G892" s="76"/>
      <c r="H892" s="76"/>
      <c r="I892" s="76"/>
      <c r="J892" s="76"/>
      <c r="K892" s="76"/>
      <c r="L892" s="76"/>
      <c r="M892" s="76"/>
      <c r="N892" s="76"/>
      <c r="O892" s="76"/>
      <c r="P892" s="76"/>
      <c r="Q892" s="76"/>
      <c r="R892" s="76"/>
      <c r="S892" s="76"/>
      <c r="T892" s="76"/>
      <c r="U892" s="76"/>
      <c r="V892" s="76"/>
      <c r="W892" s="76"/>
      <c r="X892" s="76"/>
      <c r="Y892" s="76"/>
      <c r="Z892" s="76"/>
    </row>
    <row r="893" ht="22.5" customHeight="1">
      <c r="A893" s="140"/>
      <c r="B893" s="140"/>
      <c r="C893" s="141"/>
      <c r="D893" s="140"/>
      <c r="E893" s="76"/>
      <c r="F893" s="76"/>
      <c r="G893" s="76"/>
      <c r="H893" s="76"/>
      <c r="I893" s="76"/>
      <c r="J893" s="76"/>
      <c r="K893" s="76"/>
      <c r="L893" s="76"/>
      <c r="M893" s="76"/>
      <c r="N893" s="76"/>
      <c r="O893" s="76"/>
      <c r="P893" s="76"/>
      <c r="Q893" s="76"/>
      <c r="R893" s="76"/>
      <c r="S893" s="76"/>
      <c r="T893" s="76"/>
      <c r="U893" s="76"/>
      <c r="V893" s="76"/>
      <c r="W893" s="76"/>
      <c r="X893" s="76"/>
      <c r="Y893" s="76"/>
      <c r="Z893" s="76"/>
    </row>
    <row r="894" ht="22.5" customHeight="1">
      <c r="A894" s="140"/>
      <c r="B894" s="140"/>
      <c r="C894" s="141"/>
      <c r="D894" s="140"/>
      <c r="E894" s="76"/>
      <c r="F894" s="76"/>
      <c r="G894" s="76"/>
      <c r="H894" s="76"/>
      <c r="I894" s="76"/>
      <c r="J894" s="76"/>
      <c r="K894" s="76"/>
      <c r="L894" s="76"/>
      <c r="M894" s="76"/>
      <c r="N894" s="76"/>
      <c r="O894" s="76"/>
      <c r="P894" s="76"/>
      <c r="Q894" s="76"/>
      <c r="R894" s="76"/>
      <c r="S894" s="76"/>
      <c r="T894" s="76"/>
      <c r="U894" s="76"/>
      <c r="V894" s="76"/>
      <c r="W894" s="76"/>
      <c r="X894" s="76"/>
      <c r="Y894" s="76"/>
      <c r="Z894" s="76"/>
    </row>
    <row r="895" ht="22.5" customHeight="1">
      <c r="A895" s="140"/>
      <c r="B895" s="140"/>
      <c r="C895" s="141"/>
      <c r="D895" s="140"/>
      <c r="E895" s="76"/>
      <c r="F895" s="76"/>
      <c r="G895" s="76"/>
      <c r="H895" s="76"/>
      <c r="I895" s="76"/>
      <c r="J895" s="76"/>
      <c r="K895" s="76"/>
      <c r="L895" s="76"/>
      <c r="M895" s="76"/>
      <c r="N895" s="76"/>
      <c r="O895" s="76"/>
      <c r="P895" s="76"/>
      <c r="Q895" s="76"/>
      <c r="R895" s="76"/>
      <c r="S895" s="76"/>
      <c r="T895" s="76"/>
      <c r="U895" s="76"/>
      <c r="V895" s="76"/>
      <c r="W895" s="76"/>
      <c r="X895" s="76"/>
      <c r="Y895" s="76"/>
      <c r="Z895" s="76"/>
    </row>
    <row r="896" ht="22.5" customHeight="1">
      <c r="A896" s="140"/>
      <c r="B896" s="140"/>
      <c r="C896" s="141"/>
      <c r="D896" s="140"/>
      <c r="E896" s="76"/>
      <c r="F896" s="76"/>
      <c r="G896" s="76"/>
      <c r="H896" s="76"/>
      <c r="I896" s="76"/>
      <c r="J896" s="76"/>
      <c r="K896" s="76"/>
      <c r="L896" s="76"/>
      <c r="M896" s="76"/>
      <c r="N896" s="76"/>
      <c r="O896" s="76"/>
      <c r="P896" s="76"/>
      <c r="Q896" s="76"/>
      <c r="R896" s="76"/>
      <c r="S896" s="76"/>
      <c r="T896" s="76"/>
      <c r="U896" s="76"/>
      <c r="V896" s="76"/>
      <c r="W896" s="76"/>
      <c r="X896" s="76"/>
      <c r="Y896" s="76"/>
      <c r="Z896" s="76"/>
    </row>
    <row r="897" ht="22.5" customHeight="1">
      <c r="A897" s="140"/>
      <c r="B897" s="140"/>
      <c r="C897" s="141"/>
      <c r="D897" s="140"/>
      <c r="E897" s="76"/>
      <c r="F897" s="76"/>
      <c r="G897" s="76"/>
      <c r="H897" s="76"/>
      <c r="I897" s="76"/>
      <c r="J897" s="76"/>
      <c r="K897" s="76"/>
      <c r="L897" s="76"/>
      <c r="M897" s="76"/>
      <c r="N897" s="76"/>
      <c r="O897" s="76"/>
      <c r="P897" s="76"/>
      <c r="Q897" s="76"/>
      <c r="R897" s="76"/>
      <c r="S897" s="76"/>
      <c r="T897" s="76"/>
      <c r="U897" s="76"/>
      <c r="V897" s="76"/>
      <c r="W897" s="76"/>
      <c r="X897" s="76"/>
      <c r="Y897" s="76"/>
      <c r="Z897" s="76"/>
    </row>
    <row r="898" ht="22.5" customHeight="1">
      <c r="A898" s="140"/>
      <c r="B898" s="140"/>
      <c r="C898" s="141"/>
      <c r="D898" s="140"/>
      <c r="E898" s="76"/>
      <c r="F898" s="76"/>
      <c r="G898" s="76"/>
      <c r="H898" s="76"/>
      <c r="I898" s="76"/>
      <c r="J898" s="76"/>
      <c r="K898" s="76"/>
      <c r="L898" s="76"/>
      <c r="M898" s="76"/>
      <c r="N898" s="76"/>
      <c r="O898" s="76"/>
      <c r="P898" s="76"/>
      <c r="Q898" s="76"/>
      <c r="R898" s="76"/>
      <c r="S898" s="76"/>
      <c r="T898" s="76"/>
      <c r="U898" s="76"/>
      <c r="V898" s="76"/>
      <c r="W898" s="76"/>
      <c r="X898" s="76"/>
      <c r="Y898" s="76"/>
      <c r="Z898" s="76"/>
    </row>
    <row r="899" ht="22.5" customHeight="1">
      <c r="A899" s="140"/>
      <c r="B899" s="140"/>
      <c r="C899" s="141"/>
      <c r="D899" s="140"/>
      <c r="E899" s="76"/>
      <c r="F899" s="76"/>
      <c r="G899" s="76"/>
      <c r="H899" s="76"/>
      <c r="I899" s="76"/>
      <c r="J899" s="76"/>
      <c r="K899" s="76"/>
      <c r="L899" s="76"/>
      <c r="M899" s="76"/>
      <c r="N899" s="76"/>
      <c r="O899" s="76"/>
      <c r="P899" s="76"/>
      <c r="Q899" s="76"/>
      <c r="R899" s="76"/>
      <c r="S899" s="76"/>
      <c r="T899" s="76"/>
      <c r="U899" s="76"/>
      <c r="V899" s="76"/>
      <c r="W899" s="76"/>
      <c r="X899" s="76"/>
      <c r="Y899" s="76"/>
      <c r="Z899" s="76"/>
    </row>
    <row r="900" ht="22.5" customHeight="1">
      <c r="A900" s="140"/>
      <c r="B900" s="140"/>
      <c r="C900" s="141"/>
      <c r="D900" s="140"/>
      <c r="E900" s="76"/>
      <c r="F900" s="76"/>
      <c r="G900" s="76"/>
      <c r="H900" s="76"/>
      <c r="I900" s="76"/>
      <c r="J900" s="76"/>
      <c r="K900" s="76"/>
      <c r="L900" s="76"/>
      <c r="M900" s="76"/>
      <c r="N900" s="76"/>
      <c r="O900" s="76"/>
      <c r="P900" s="76"/>
      <c r="Q900" s="76"/>
      <c r="R900" s="76"/>
      <c r="S900" s="76"/>
      <c r="T900" s="76"/>
      <c r="U900" s="76"/>
      <c r="V900" s="76"/>
      <c r="W900" s="76"/>
      <c r="X900" s="76"/>
      <c r="Y900" s="76"/>
      <c r="Z900" s="76"/>
    </row>
    <row r="901" ht="22.5" customHeight="1">
      <c r="A901" s="140"/>
      <c r="B901" s="140"/>
      <c r="C901" s="141"/>
      <c r="D901" s="140"/>
      <c r="E901" s="76"/>
      <c r="F901" s="76"/>
      <c r="G901" s="76"/>
      <c r="H901" s="76"/>
      <c r="I901" s="76"/>
      <c r="J901" s="76"/>
      <c r="K901" s="76"/>
      <c r="L901" s="76"/>
      <c r="M901" s="76"/>
      <c r="N901" s="76"/>
      <c r="O901" s="76"/>
      <c r="P901" s="76"/>
      <c r="Q901" s="76"/>
      <c r="R901" s="76"/>
      <c r="S901" s="76"/>
      <c r="T901" s="76"/>
      <c r="U901" s="76"/>
      <c r="V901" s="76"/>
      <c r="W901" s="76"/>
      <c r="X901" s="76"/>
      <c r="Y901" s="76"/>
      <c r="Z901" s="76"/>
    </row>
    <row r="902" ht="22.5" customHeight="1">
      <c r="A902" s="140"/>
      <c r="B902" s="140"/>
      <c r="C902" s="141"/>
      <c r="D902" s="140"/>
      <c r="E902" s="76"/>
      <c r="F902" s="76"/>
      <c r="G902" s="76"/>
      <c r="H902" s="76"/>
      <c r="I902" s="76"/>
      <c r="J902" s="76"/>
      <c r="K902" s="76"/>
      <c r="L902" s="76"/>
      <c r="M902" s="76"/>
      <c r="N902" s="76"/>
      <c r="O902" s="76"/>
      <c r="P902" s="76"/>
      <c r="Q902" s="76"/>
      <c r="R902" s="76"/>
      <c r="S902" s="76"/>
      <c r="T902" s="76"/>
      <c r="U902" s="76"/>
      <c r="V902" s="76"/>
      <c r="W902" s="76"/>
      <c r="X902" s="76"/>
      <c r="Y902" s="76"/>
      <c r="Z902" s="76"/>
    </row>
    <row r="903" ht="22.5" customHeight="1">
      <c r="A903" s="140"/>
      <c r="B903" s="140"/>
      <c r="C903" s="141"/>
      <c r="D903" s="140"/>
      <c r="E903" s="76"/>
      <c r="F903" s="76"/>
      <c r="G903" s="76"/>
      <c r="H903" s="76"/>
      <c r="I903" s="76"/>
      <c r="J903" s="76"/>
      <c r="K903" s="76"/>
      <c r="L903" s="76"/>
      <c r="M903" s="76"/>
      <c r="N903" s="76"/>
      <c r="O903" s="76"/>
      <c r="P903" s="76"/>
      <c r="Q903" s="76"/>
      <c r="R903" s="76"/>
      <c r="S903" s="76"/>
      <c r="T903" s="76"/>
      <c r="U903" s="76"/>
      <c r="V903" s="76"/>
      <c r="W903" s="76"/>
      <c r="X903" s="76"/>
      <c r="Y903" s="76"/>
      <c r="Z903" s="76"/>
    </row>
    <row r="904" ht="22.5" customHeight="1">
      <c r="A904" s="140"/>
      <c r="B904" s="140"/>
      <c r="C904" s="141"/>
      <c r="D904" s="140"/>
      <c r="E904" s="76"/>
      <c r="F904" s="76"/>
      <c r="G904" s="76"/>
      <c r="H904" s="76"/>
      <c r="I904" s="76"/>
      <c r="J904" s="76"/>
      <c r="K904" s="76"/>
      <c r="L904" s="76"/>
      <c r="M904" s="76"/>
      <c r="N904" s="76"/>
      <c r="O904" s="76"/>
      <c r="P904" s="76"/>
      <c r="Q904" s="76"/>
      <c r="R904" s="76"/>
      <c r="S904" s="76"/>
      <c r="T904" s="76"/>
      <c r="U904" s="76"/>
      <c r="V904" s="76"/>
      <c r="W904" s="76"/>
      <c r="X904" s="76"/>
      <c r="Y904" s="76"/>
      <c r="Z904" s="76"/>
    </row>
    <row r="905" ht="22.5" customHeight="1">
      <c r="A905" s="140"/>
      <c r="B905" s="140"/>
      <c r="C905" s="141"/>
      <c r="D905" s="140"/>
      <c r="E905" s="76"/>
      <c r="F905" s="76"/>
      <c r="G905" s="76"/>
      <c r="H905" s="76"/>
      <c r="I905" s="76"/>
      <c r="J905" s="76"/>
      <c r="K905" s="76"/>
      <c r="L905" s="76"/>
      <c r="M905" s="76"/>
      <c r="N905" s="76"/>
      <c r="O905" s="76"/>
      <c r="P905" s="76"/>
      <c r="Q905" s="76"/>
      <c r="R905" s="76"/>
      <c r="S905" s="76"/>
      <c r="T905" s="76"/>
      <c r="U905" s="76"/>
      <c r="V905" s="76"/>
      <c r="W905" s="76"/>
      <c r="X905" s="76"/>
      <c r="Y905" s="76"/>
      <c r="Z905" s="76"/>
    </row>
    <row r="906" ht="22.5" customHeight="1">
      <c r="A906" s="140"/>
      <c r="B906" s="140"/>
      <c r="C906" s="141"/>
      <c r="D906" s="140"/>
      <c r="E906" s="76"/>
      <c r="F906" s="76"/>
      <c r="G906" s="76"/>
      <c r="H906" s="76"/>
      <c r="I906" s="76"/>
      <c r="J906" s="76"/>
      <c r="K906" s="76"/>
      <c r="L906" s="76"/>
      <c r="M906" s="76"/>
      <c r="N906" s="76"/>
      <c r="O906" s="76"/>
      <c r="P906" s="76"/>
      <c r="Q906" s="76"/>
      <c r="R906" s="76"/>
      <c r="S906" s="76"/>
      <c r="T906" s="76"/>
      <c r="U906" s="76"/>
      <c r="V906" s="76"/>
      <c r="W906" s="76"/>
      <c r="X906" s="76"/>
      <c r="Y906" s="76"/>
      <c r="Z906" s="76"/>
    </row>
    <row r="907" ht="22.5" customHeight="1">
      <c r="A907" s="140"/>
      <c r="B907" s="140"/>
      <c r="C907" s="141"/>
      <c r="D907" s="140"/>
      <c r="E907" s="76"/>
      <c r="F907" s="76"/>
      <c r="G907" s="76"/>
      <c r="H907" s="76"/>
      <c r="I907" s="76"/>
      <c r="J907" s="76"/>
      <c r="K907" s="76"/>
      <c r="L907" s="76"/>
      <c r="M907" s="76"/>
      <c r="N907" s="76"/>
      <c r="O907" s="76"/>
      <c r="P907" s="76"/>
      <c r="Q907" s="76"/>
      <c r="R907" s="76"/>
      <c r="S907" s="76"/>
      <c r="T907" s="76"/>
      <c r="U907" s="76"/>
      <c r="V907" s="76"/>
      <c r="W907" s="76"/>
      <c r="X907" s="76"/>
      <c r="Y907" s="76"/>
      <c r="Z907" s="76"/>
    </row>
    <row r="908" ht="22.5" customHeight="1">
      <c r="A908" s="140"/>
      <c r="B908" s="140"/>
      <c r="C908" s="141"/>
      <c r="D908" s="140"/>
      <c r="E908" s="76"/>
      <c r="F908" s="76"/>
      <c r="G908" s="76"/>
      <c r="H908" s="76"/>
      <c r="I908" s="76"/>
      <c r="J908" s="76"/>
      <c r="K908" s="76"/>
      <c r="L908" s="76"/>
      <c r="M908" s="76"/>
      <c r="N908" s="76"/>
      <c r="O908" s="76"/>
      <c r="P908" s="76"/>
      <c r="Q908" s="76"/>
      <c r="R908" s="76"/>
      <c r="S908" s="76"/>
      <c r="T908" s="76"/>
      <c r="U908" s="76"/>
      <c r="V908" s="76"/>
      <c r="W908" s="76"/>
      <c r="X908" s="76"/>
      <c r="Y908" s="76"/>
      <c r="Z908" s="76"/>
    </row>
    <row r="909" ht="22.5" customHeight="1">
      <c r="A909" s="140"/>
      <c r="B909" s="140"/>
      <c r="C909" s="141"/>
      <c r="D909" s="140"/>
      <c r="E909" s="76"/>
      <c r="F909" s="76"/>
      <c r="G909" s="76"/>
      <c r="H909" s="76"/>
      <c r="I909" s="76"/>
      <c r="J909" s="76"/>
      <c r="K909" s="76"/>
      <c r="L909" s="76"/>
      <c r="M909" s="76"/>
      <c r="N909" s="76"/>
      <c r="O909" s="76"/>
      <c r="P909" s="76"/>
      <c r="Q909" s="76"/>
      <c r="R909" s="76"/>
      <c r="S909" s="76"/>
      <c r="T909" s="76"/>
      <c r="U909" s="76"/>
      <c r="V909" s="76"/>
      <c r="W909" s="76"/>
      <c r="X909" s="76"/>
      <c r="Y909" s="76"/>
      <c r="Z909" s="76"/>
    </row>
    <row r="910" ht="22.5" customHeight="1">
      <c r="A910" s="140"/>
      <c r="B910" s="140"/>
      <c r="C910" s="141"/>
      <c r="D910" s="140"/>
      <c r="E910" s="76"/>
      <c r="F910" s="76"/>
      <c r="G910" s="76"/>
      <c r="H910" s="76"/>
      <c r="I910" s="76"/>
      <c r="J910" s="76"/>
      <c r="K910" s="76"/>
      <c r="L910" s="76"/>
      <c r="M910" s="76"/>
      <c r="N910" s="76"/>
      <c r="O910" s="76"/>
      <c r="P910" s="76"/>
      <c r="Q910" s="76"/>
      <c r="R910" s="76"/>
      <c r="S910" s="76"/>
      <c r="T910" s="76"/>
      <c r="U910" s="76"/>
      <c r="V910" s="76"/>
      <c r="W910" s="76"/>
      <c r="X910" s="76"/>
      <c r="Y910" s="76"/>
      <c r="Z910" s="76"/>
    </row>
    <row r="911" ht="22.5" customHeight="1">
      <c r="A911" s="140"/>
      <c r="B911" s="140"/>
      <c r="C911" s="141"/>
      <c r="D911" s="140"/>
      <c r="E911" s="76"/>
      <c r="F911" s="76"/>
      <c r="G911" s="76"/>
      <c r="H911" s="76"/>
      <c r="I911" s="76"/>
      <c r="J911" s="76"/>
      <c r="K911" s="76"/>
      <c r="L911" s="76"/>
      <c r="M911" s="76"/>
      <c r="N911" s="76"/>
      <c r="O911" s="76"/>
      <c r="P911" s="76"/>
      <c r="Q911" s="76"/>
      <c r="R911" s="76"/>
      <c r="S911" s="76"/>
      <c r="T911" s="76"/>
      <c r="U911" s="76"/>
      <c r="V911" s="76"/>
      <c r="W911" s="76"/>
      <c r="X911" s="76"/>
      <c r="Y911" s="76"/>
      <c r="Z911" s="76"/>
    </row>
    <row r="912" ht="22.5" customHeight="1">
      <c r="A912" s="140"/>
      <c r="B912" s="140"/>
      <c r="C912" s="141"/>
      <c r="D912" s="140"/>
      <c r="E912" s="76"/>
      <c r="F912" s="76"/>
      <c r="G912" s="76"/>
      <c r="H912" s="76"/>
      <c r="I912" s="76"/>
      <c r="J912" s="76"/>
      <c r="K912" s="76"/>
      <c r="L912" s="76"/>
      <c r="M912" s="76"/>
      <c r="N912" s="76"/>
      <c r="O912" s="76"/>
      <c r="P912" s="76"/>
      <c r="Q912" s="76"/>
      <c r="R912" s="76"/>
      <c r="S912" s="76"/>
      <c r="T912" s="76"/>
      <c r="U912" s="76"/>
      <c r="V912" s="76"/>
      <c r="W912" s="76"/>
      <c r="X912" s="76"/>
      <c r="Y912" s="76"/>
      <c r="Z912" s="76"/>
    </row>
    <row r="913" ht="22.5" customHeight="1">
      <c r="A913" s="140"/>
      <c r="B913" s="140"/>
      <c r="C913" s="141"/>
      <c r="D913" s="140"/>
      <c r="E913" s="76"/>
      <c r="F913" s="76"/>
      <c r="G913" s="76"/>
      <c r="H913" s="76"/>
      <c r="I913" s="76"/>
      <c r="J913" s="76"/>
      <c r="K913" s="76"/>
      <c r="L913" s="76"/>
      <c r="M913" s="76"/>
      <c r="N913" s="76"/>
      <c r="O913" s="76"/>
      <c r="P913" s="76"/>
      <c r="Q913" s="76"/>
      <c r="R913" s="76"/>
      <c r="S913" s="76"/>
      <c r="T913" s="76"/>
      <c r="U913" s="76"/>
      <c r="V913" s="76"/>
      <c r="W913" s="76"/>
      <c r="X913" s="76"/>
      <c r="Y913" s="76"/>
      <c r="Z913" s="76"/>
    </row>
    <row r="914" ht="22.5" customHeight="1">
      <c r="A914" s="140"/>
      <c r="B914" s="140"/>
      <c r="C914" s="141"/>
      <c r="D914" s="140"/>
      <c r="E914" s="76"/>
      <c r="F914" s="76"/>
      <c r="G914" s="76"/>
      <c r="H914" s="76"/>
      <c r="I914" s="76"/>
      <c r="J914" s="76"/>
      <c r="K914" s="76"/>
      <c r="L914" s="76"/>
      <c r="M914" s="76"/>
      <c r="N914" s="76"/>
      <c r="O914" s="76"/>
      <c r="P914" s="76"/>
      <c r="Q914" s="76"/>
      <c r="R914" s="76"/>
      <c r="S914" s="76"/>
      <c r="T914" s="76"/>
      <c r="U914" s="76"/>
      <c r="V914" s="76"/>
      <c r="W914" s="76"/>
      <c r="X914" s="76"/>
      <c r="Y914" s="76"/>
      <c r="Z914" s="76"/>
    </row>
    <row r="915" ht="22.5" customHeight="1">
      <c r="A915" s="140"/>
      <c r="B915" s="140"/>
      <c r="C915" s="141"/>
      <c r="D915" s="140"/>
      <c r="E915" s="76"/>
      <c r="F915" s="76"/>
      <c r="G915" s="76"/>
      <c r="H915" s="76"/>
      <c r="I915" s="76"/>
      <c r="J915" s="76"/>
      <c r="K915" s="76"/>
      <c r="L915" s="76"/>
      <c r="M915" s="76"/>
      <c r="N915" s="76"/>
      <c r="O915" s="76"/>
      <c r="P915" s="76"/>
      <c r="Q915" s="76"/>
      <c r="R915" s="76"/>
      <c r="S915" s="76"/>
      <c r="T915" s="76"/>
      <c r="U915" s="76"/>
      <c r="V915" s="76"/>
      <c r="W915" s="76"/>
      <c r="X915" s="76"/>
      <c r="Y915" s="76"/>
      <c r="Z915" s="76"/>
    </row>
    <row r="916" ht="22.5" customHeight="1">
      <c r="A916" s="140"/>
      <c r="B916" s="140"/>
      <c r="C916" s="141"/>
      <c r="D916" s="140"/>
      <c r="E916" s="76"/>
      <c r="F916" s="76"/>
      <c r="G916" s="76"/>
      <c r="H916" s="76"/>
      <c r="I916" s="76"/>
      <c r="J916" s="76"/>
      <c r="K916" s="76"/>
      <c r="L916" s="76"/>
      <c r="M916" s="76"/>
      <c r="N916" s="76"/>
      <c r="O916" s="76"/>
      <c r="P916" s="76"/>
      <c r="Q916" s="76"/>
      <c r="R916" s="76"/>
      <c r="S916" s="76"/>
      <c r="T916" s="76"/>
      <c r="U916" s="76"/>
      <c r="V916" s="76"/>
      <c r="W916" s="76"/>
      <c r="X916" s="76"/>
      <c r="Y916" s="76"/>
      <c r="Z916" s="76"/>
    </row>
    <row r="917" ht="22.5" customHeight="1">
      <c r="A917" s="140"/>
      <c r="B917" s="140"/>
      <c r="C917" s="141"/>
      <c r="D917" s="140"/>
      <c r="E917" s="76"/>
      <c r="F917" s="76"/>
      <c r="G917" s="76"/>
      <c r="H917" s="76"/>
      <c r="I917" s="76"/>
      <c r="J917" s="76"/>
      <c r="K917" s="76"/>
      <c r="L917" s="76"/>
      <c r="M917" s="76"/>
      <c r="N917" s="76"/>
      <c r="O917" s="76"/>
      <c r="P917" s="76"/>
      <c r="Q917" s="76"/>
      <c r="R917" s="76"/>
      <c r="S917" s="76"/>
      <c r="T917" s="76"/>
      <c r="U917" s="76"/>
      <c r="V917" s="76"/>
      <c r="W917" s="76"/>
      <c r="X917" s="76"/>
      <c r="Y917" s="76"/>
      <c r="Z917" s="76"/>
    </row>
    <row r="918" ht="22.5" customHeight="1">
      <c r="A918" s="140"/>
      <c r="B918" s="140"/>
      <c r="C918" s="141"/>
      <c r="D918" s="140"/>
      <c r="E918" s="76"/>
      <c r="F918" s="76"/>
      <c r="G918" s="76"/>
      <c r="H918" s="76"/>
      <c r="I918" s="76"/>
      <c r="J918" s="76"/>
      <c r="K918" s="76"/>
      <c r="L918" s="76"/>
      <c r="M918" s="76"/>
      <c r="N918" s="76"/>
      <c r="O918" s="76"/>
      <c r="P918" s="76"/>
      <c r="Q918" s="76"/>
      <c r="R918" s="76"/>
      <c r="S918" s="76"/>
      <c r="T918" s="76"/>
      <c r="U918" s="76"/>
      <c r="V918" s="76"/>
      <c r="W918" s="76"/>
      <c r="X918" s="76"/>
      <c r="Y918" s="76"/>
      <c r="Z918" s="76"/>
    </row>
    <row r="919" ht="22.5" customHeight="1">
      <c r="A919" s="140"/>
      <c r="B919" s="140"/>
      <c r="C919" s="141"/>
      <c r="D919" s="140"/>
      <c r="E919" s="76"/>
      <c r="F919" s="76"/>
      <c r="G919" s="76"/>
      <c r="H919" s="76"/>
      <c r="I919" s="76"/>
      <c r="J919" s="76"/>
      <c r="K919" s="76"/>
      <c r="L919" s="76"/>
      <c r="M919" s="76"/>
      <c r="N919" s="76"/>
      <c r="O919" s="76"/>
      <c r="P919" s="76"/>
      <c r="Q919" s="76"/>
      <c r="R919" s="76"/>
      <c r="S919" s="76"/>
      <c r="T919" s="76"/>
      <c r="U919" s="76"/>
      <c r="V919" s="76"/>
      <c r="W919" s="76"/>
      <c r="X919" s="76"/>
      <c r="Y919" s="76"/>
      <c r="Z919" s="76"/>
    </row>
    <row r="920" ht="22.5" customHeight="1">
      <c r="A920" s="140"/>
      <c r="B920" s="140"/>
      <c r="C920" s="141"/>
      <c r="D920" s="140"/>
      <c r="E920" s="76"/>
      <c r="F920" s="76"/>
      <c r="G920" s="76"/>
      <c r="H920" s="76"/>
      <c r="I920" s="76"/>
      <c r="J920" s="76"/>
      <c r="K920" s="76"/>
      <c r="L920" s="76"/>
      <c r="M920" s="76"/>
      <c r="N920" s="76"/>
      <c r="O920" s="76"/>
      <c r="P920" s="76"/>
      <c r="Q920" s="76"/>
      <c r="R920" s="76"/>
      <c r="S920" s="76"/>
      <c r="T920" s="76"/>
      <c r="U920" s="76"/>
      <c r="V920" s="76"/>
      <c r="W920" s="76"/>
      <c r="X920" s="76"/>
      <c r="Y920" s="76"/>
      <c r="Z920" s="76"/>
    </row>
    <row r="921" ht="22.5" customHeight="1">
      <c r="A921" s="140"/>
      <c r="B921" s="140"/>
      <c r="C921" s="141"/>
      <c r="D921" s="140"/>
      <c r="E921" s="76"/>
      <c r="F921" s="76"/>
      <c r="G921" s="76"/>
      <c r="H921" s="76"/>
      <c r="I921" s="76"/>
      <c r="J921" s="76"/>
      <c r="K921" s="76"/>
      <c r="L921" s="76"/>
      <c r="M921" s="76"/>
      <c r="N921" s="76"/>
      <c r="O921" s="76"/>
      <c r="P921" s="76"/>
      <c r="Q921" s="76"/>
      <c r="R921" s="76"/>
      <c r="S921" s="76"/>
      <c r="T921" s="76"/>
      <c r="U921" s="76"/>
      <c r="V921" s="76"/>
      <c r="W921" s="76"/>
      <c r="X921" s="76"/>
      <c r="Y921" s="76"/>
      <c r="Z921" s="76"/>
    </row>
    <row r="922" ht="22.5" customHeight="1">
      <c r="A922" s="140"/>
      <c r="B922" s="140"/>
      <c r="C922" s="141"/>
      <c r="D922" s="140"/>
      <c r="E922" s="76"/>
      <c r="F922" s="76"/>
      <c r="G922" s="76"/>
      <c r="H922" s="76"/>
      <c r="I922" s="76"/>
      <c r="J922" s="76"/>
      <c r="K922" s="76"/>
      <c r="L922" s="76"/>
      <c r="M922" s="76"/>
      <c r="N922" s="76"/>
      <c r="O922" s="76"/>
      <c r="P922" s="76"/>
      <c r="Q922" s="76"/>
      <c r="R922" s="76"/>
      <c r="S922" s="76"/>
      <c r="T922" s="76"/>
      <c r="U922" s="76"/>
      <c r="V922" s="76"/>
      <c r="W922" s="76"/>
      <c r="X922" s="76"/>
      <c r="Y922" s="76"/>
      <c r="Z922" s="76"/>
    </row>
    <row r="923" ht="22.5" customHeight="1">
      <c r="A923" s="140"/>
      <c r="B923" s="140"/>
      <c r="C923" s="141"/>
      <c r="D923" s="140"/>
      <c r="E923" s="76"/>
      <c r="F923" s="76"/>
      <c r="G923" s="76"/>
      <c r="H923" s="76"/>
      <c r="I923" s="76"/>
      <c r="J923" s="76"/>
      <c r="K923" s="76"/>
      <c r="L923" s="76"/>
      <c r="M923" s="76"/>
      <c r="N923" s="76"/>
      <c r="O923" s="76"/>
      <c r="P923" s="76"/>
      <c r="Q923" s="76"/>
      <c r="R923" s="76"/>
      <c r="S923" s="76"/>
      <c r="T923" s="76"/>
      <c r="U923" s="76"/>
      <c r="V923" s="76"/>
      <c r="W923" s="76"/>
      <c r="X923" s="76"/>
      <c r="Y923" s="76"/>
      <c r="Z923" s="76"/>
    </row>
    <row r="924" ht="22.5" customHeight="1">
      <c r="A924" s="140"/>
      <c r="B924" s="140"/>
      <c r="C924" s="141"/>
      <c r="D924" s="140"/>
      <c r="E924" s="76"/>
      <c r="F924" s="76"/>
      <c r="G924" s="76"/>
      <c r="H924" s="76"/>
      <c r="I924" s="76"/>
      <c r="J924" s="76"/>
      <c r="K924" s="76"/>
      <c r="L924" s="76"/>
      <c r="M924" s="76"/>
      <c r="N924" s="76"/>
      <c r="O924" s="76"/>
      <c r="P924" s="76"/>
      <c r="Q924" s="76"/>
      <c r="R924" s="76"/>
      <c r="S924" s="76"/>
      <c r="T924" s="76"/>
      <c r="U924" s="76"/>
      <c r="V924" s="76"/>
      <c r="W924" s="76"/>
      <c r="X924" s="76"/>
      <c r="Y924" s="76"/>
      <c r="Z924" s="76"/>
    </row>
    <row r="925" ht="22.5" customHeight="1">
      <c r="A925" s="140"/>
      <c r="B925" s="140"/>
      <c r="C925" s="141"/>
      <c r="D925" s="140"/>
      <c r="E925" s="76"/>
      <c r="F925" s="76"/>
      <c r="G925" s="76"/>
      <c r="H925" s="76"/>
      <c r="I925" s="76"/>
      <c r="J925" s="76"/>
      <c r="K925" s="76"/>
      <c r="L925" s="76"/>
      <c r="M925" s="76"/>
      <c r="N925" s="76"/>
      <c r="O925" s="76"/>
      <c r="P925" s="76"/>
      <c r="Q925" s="76"/>
      <c r="R925" s="76"/>
      <c r="S925" s="76"/>
      <c r="T925" s="76"/>
      <c r="U925" s="76"/>
      <c r="V925" s="76"/>
      <c r="W925" s="76"/>
      <c r="X925" s="76"/>
      <c r="Y925" s="76"/>
      <c r="Z925" s="76"/>
    </row>
    <row r="926" ht="22.5" customHeight="1">
      <c r="A926" s="140"/>
      <c r="B926" s="140"/>
      <c r="C926" s="141"/>
      <c r="D926" s="140"/>
      <c r="E926" s="76"/>
      <c r="F926" s="76"/>
      <c r="G926" s="76"/>
      <c r="H926" s="76"/>
      <c r="I926" s="76"/>
      <c r="J926" s="76"/>
      <c r="K926" s="76"/>
      <c r="L926" s="76"/>
      <c r="M926" s="76"/>
      <c r="N926" s="76"/>
      <c r="O926" s="76"/>
      <c r="P926" s="76"/>
      <c r="Q926" s="76"/>
      <c r="R926" s="76"/>
      <c r="S926" s="76"/>
      <c r="T926" s="76"/>
      <c r="U926" s="76"/>
      <c r="V926" s="76"/>
      <c r="W926" s="76"/>
      <c r="X926" s="76"/>
      <c r="Y926" s="76"/>
      <c r="Z926" s="76"/>
    </row>
    <row r="927" ht="22.5" customHeight="1">
      <c r="A927" s="140"/>
      <c r="B927" s="140"/>
      <c r="C927" s="141"/>
      <c r="D927" s="140"/>
      <c r="E927" s="76"/>
      <c r="F927" s="76"/>
      <c r="G927" s="76"/>
      <c r="H927" s="76"/>
      <c r="I927" s="76"/>
      <c r="J927" s="76"/>
      <c r="K927" s="76"/>
      <c r="L927" s="76"/>
      <c r="M927" s="76"/>
      <c r="N927" s="76"/>
      <c r="O927" s="76"/>
      <c r="P927" s="76"/>
      <c r="Q927" s="76"/>
      <c r="R927" s="76"/>
      <c r="S927" s="76"/>
      <c r="T927" s="76"/>
      <c r="U927" s="76"/>
      <c r="V927" s="76"/>
      <c r="W927" s="76"/>
      <c r="X927" s="76"/>
      <c r="Y927" s="76"/>
      <c r="Z927" s="76"/>
    </row>
    <row r="928" ht="22.5" customHeight="1">
      <c r="A928" s="140"/>
      <c r="B928" s="140"/>
      <c r="C928" s="141"/>
      <c r="D928" s="140"/>
      <c r="E928" s="76"/>
      <c r="F928" s="76"/>
      <c r="G928" s="76"/>
      <c r="H928" s="76"/>
      <c r="I928" s="76"/>
      <c r="J928" s="76"/>
      <c r="K928" s="76"/>
      <c r="L928" s="76"/>
      <c r="M928" s="76"/>
      <c r="N928" s="76"/>
      <c r="O928" s="76"/>
      <c r="P928" s="76"/>
      <c r="Q928" s="76"/>
      <c r="R928" s="76"/>
      <c r="S928" s="76"/>
      <c r="T928" s="76"/>
      <c r="U928" s="76"/>
      <c r="V928" s="76"/>
      <c r="W928" s="76"/>
      <c r="X928" s="76"/>
      <c r="Y928" s="76"/>
      <c r="Z928" s="76"/>
    </row>
    <row r="929" ht="22.5" customHeight="1">
      <c r="A929" s="140"/>
      <c r="B929" s="140"/>
      <c r="C929" s="141"/>
      <c r="D929" s="140"/>
      <c r="E929" s="76"/>
      <c r="F929" s="76"/>
      <c r="G929" s="76"/>
      <c r="H929" s="76"/>
      <c r="I929" s="76"/>
      <c r="J929" s="76"/>
      <c r="K929" s="76"/>
      <c r="L929" s="76"/>
      <c r="M929" s="76"/>
      <c r="N929" s="76"/>
      <c r="O929" s="76"/>
      <c r="P929" s="76"/>
      <c r="Q929" s="76"/>
      <c r="R929" s="76"/>
      <c r="S929" s="76"/>
      <c r="T929" s="76"/>
      <c r="U929" s="76"/>
      <c r="V929" s="76"/>
      <c r="W929" s="76"/>
      <c r="X929" s="76"/>
      <c r="Y929" s="76"/>
      <c r="Z929" s="76"/>
    </row>
    <row r="930" ht="22.5" customHeight="1">
      <c r="A930" s="140"/>
      <c r="B930" s="140"/>
      <c r="C930" s="141"/>
      <c r="D930" s="140"/>
      <c r="E930" s="76"/>
      <c r="F930" s="76"/>
      <c r="G930" s="76"/>
      <c r="H930" s="76"/>
      <c r="I930" s="76"/>
      <c r="J930" s="76"/>
      <c r="K930" s="76"/>
      <c r="L930" s="76"/>
      <c r="M930" s="76"/>
      <c r="N930" s="76"/>
      <c r="O930" s="76"/>
      <c r="P930" s="76"/>
      <c r="Q930" s="76"/>
      <c r="R930" s="76"/>
      <c r="S930" s="76"/>
      <c r="T930" s="76"/>
      <c r="U930" s="76"/>
      <c r="V930" s="76"/>
      <c r="W930" s="76"/>
      <c r="X930" s="76"/>
      <c r="Y930" s="76"/>
      <c r="Z930" s="76"/>
    </row>
    <row r="931" ht="22.5" customHeight="1">
      <c r="A931" s="140"/>
      <c r="B931" s="140"/>
      <c r="C931" s="141"/>
      <c r="D931" s="140"/>
      <c r="E931" s="76"/>
      <c r="F931" s="76"/>
      <c r="G931" s="76"/>
      <c r="H931" s="76"/>
      <c r="I931" s="76"/>
      <c r="J931" s="76"/>
      <c r="K931" s="76"/>
      <c r="L931" s="76"/>
      <c r="M931" s="76"/>
      <c r="N931" s="76"/>
      <c r="O931" s="76"/>
      <c r="P931" s="76"/>
      <c r="Q931" s="76"/>
      <c r="R931" s="76"/>
      <c r="S931" s="76"/>
      <c r="T931" s="76"/>
      <c r="U931" s="76"/>
      <c r="V931" s="76"/>
      <c r="W931" s="76"/>
      <c r="X931" s="76"/>
      <c r="Y931" s="76"/>
      <c r="Z931" s="76"/>
    </row>
    <row r="932" ht="22.5" customHeight="1">
      <c r="A932" s="140"/>
      <c r="B932" s="140"/>
      <c r="C932" s="141"/>
      <c r="D932" s="140"/>
      <c r="E932" s="76"/>
      <c r="F932" s="76"/>
      <c r="G932" s="76"/>
      <c r="H932" s="76"/>
      <c r="I932" s="76"/>
      <c r="J932" s="76"/>
      <c r="K932" s="76"/>
      <c r="L932" s="76"/>
      <c r="M932" s="76"/>
      <c r="N932" s="76"/>
      <c r="O932" s="76"/>
      <c r="P932" s="76"/>
      <c r="Q932" s="76"/>
      <c r="R932" s="76"/>
      <c r="S932" s="76"/>
      <c r="T932" s="76"/>
      <c r="U932" s="76"/>
      <c r="V932" s="76"/>
      <c r="W932" s="76"/>
      <c r="X932" s="76"/>
      <c r="Y932" s="76"/>
      <c r="Z932" s="76"/>
    </row>
    <row r="933" ht="22.5" customHeight="1">
      <c r="A933" s="140"/>
      <c r="B933" s="140"/>
      <c r="C933" s="141"/>
      <c r="D933" s="140"/>
      <c r="E933" s="76"/>
      <c r="F933" s="76"/>
      <c r="G933" s="76"/>
      <c r="H933" s="76"/>
      <c r="I933" s="76"/>
      <c r="J933" s="76"/>
      <c r="K933" s="76"/>
      <c r="L933" s="76"/>
      <c r="M933" s="76"/>
      <c r="N933" s="76"/>
      <c r="O933" s="76"/>
      <c r="P933" s="76"/>
      <c r="Q933" s="76"/>
      <c r="R933" s="76"/>
      <c r="S933" s="76"/>
      <c r="T933" s="76"/>
      <c r="U933" s="76"/>
      <c r="V933" s="76"/>
      <c r="W933" s="76"/>
      <c r="X933" s="76"/>
      <c r="Y933" s="76"/>
      <c r="Z933" s="76"/>
    </row>
    <row r="934" ht="22.5" customHeight="1">
      <c r="A934" s="140"/>
      <c r="B934" s="140"/>
      <c r="C934" s="141"/>
      <c r="D934" s="140"/>
      <c r="E934" s="76"/>
      <c r="F934" s="76"/>
      <c r="G934" s="76"/>
      <c r="H934" s="76"/>
      <c r="I934" s="76"/>
      <c r="J934" s="76"/>
      <c r="K934" s="76"/>
      <c r="L934" s="76"/>
      <c r="M934" s="76"/>
      <c r="N934" s="76"/>
      <c r="O934" s="76"/>
      <c r="P934" s="76"/>
      <c r="Q934" s="76"/>
      <c r="R934" s="76"/>
      <c r="S934" s="76"/>
      <c r="T934" s="76"/>
      <c r="U934" s="76"/>
      <c r="V934" s="76"/>
      <c r="W934" s="76"/>
      <c r="X934" s="76"/>
      <c r="Y934" s="76"/>
      <c r="Z934" s="76"/>
    </row>
    <row r="935" ht="22.5" customHeight="1">
      <c r="A935" s="140"/>
      <c r="B935" s="140"/>
      <c r="C935" s="141"/>
      <c r="D935" s="140"/>
      <c r="E935" s="76"/>
      <c r="F935" s="76"/>
      <c r="G935" s="76"/>
      <c r="H935" s="76"/>
      <c r="I935" s="76"/>
      <c r="J935" s="76"/>
      <c r="K935" s="76"/>
      <c r="L935" s="76"/>
      <c r="M935" s="76"/>
      <c r="N935" s="76"/>
      <c r="O935" s="76"/>
      <c r="P935" s="76"/>
      <c r="Q935" s="76"/>
      <c r="R935" s="76"/>
      <c r="S935" s="76"/>
      <c r="T935" s="76"/>
      <c r="U935" s="76"/>
      <c r="V935" s="76"/>
      <c r="W935" s="76"/>
      <c r="X935" s="76"/>
      <c r="Y935" s="76"/>
      <c r="Z935" s="76"/>
    </row>
    <row r="936" ht="22.5" customHeight="1">
      <c r="A936" s="140"/>
      <c r="B936" s="140"/>
      <c r="C936" s="141"/>
      <c r="D936" s="140"/>
      <c r="E936" s="76"/>
      <c r="F936" s="76"/>
      <c r="G936" s="76"/>
      <c r="H936" s="76"/>
      <c r="I936" s="76"/>
      <c r="J936" s="76"/>
      <c r="K936" s="76"/>
      <c r="L936" s="76"/>
      <c r="M936" s="76"/>
      <c r="N936" s="76"/>
      <c r="O936" s="76"/>
      <c r="P936" s="76"/>
      <c r="Q936" s="76"/>
      <c r="R936" s="76"/>
      <c r="S936" s="76"/>
      <c r="T936" s="76"/>
      <c r="U936" s="76"/>
      <c r="V936" s="76"/>
      <c r="W936" s="76"/>
      <c r="X936" s="76"/>
      <c r="Y936" s="76"/>
      <c r="Z936" s="76"/>
    </row>
    <row r="937" ht="22.5" customHeight="1">
      <c r="A937" s="140"/>
      <c r="B937" s="140"/>
      <c r="C937" s="141"/>
      <c r="D937" s="140"/>
      <c r="E937" s="76"/>
      <c r="F937" s="76"/>
      <c r="G937" s="76"/>
      <c r="H937" s="76"/>
      <c r="I937" s="76"/>
      <c r="J937" s="76"/>
      <c r="K937" s="76"/>
      <c r="L937" s="76"/>
      <c r="M937" s="76"/>
      <c r="N937" s="76"/>
      <c r="O937" s="76"/>
      <c r="P937" s="76"/>
      <c r="Q937" s="76"/>
      <c r="R937" s="76"/>
      <c r="S937" s="76"/>
      <c r="T937" s="76"/>
      <c r="U937" s="76"/>
      <c r="V937" s="76"/>
      <c r="W937" s="76"/>
      <c r="X937" s="76"/>
      <c r="Y937" s="76"/>
      <c r="Z937" s="76"/>
    </row>
    <row r="938" ht="22.5" customHeight="1">
      <c r="A938" s="140"/>
      <c r="B938" s="140"/>
      <c r="C938" s="141"/>
      <c r="D938" s="140"/>
      <c r="E938" s="76"/>
      <c r="F938" s="76"/>
      <c r="G938" s="76"/>
      <c r="H938" s="76"/>
      <c r="I938" s="76"/>
      <c r="J938" s="76"/>
      <c r="K938" s="76"/>
      <c r="L938" s="76"/>
      <c r="M938" s="76"/>
      <c r="N938" s="76"/>
      <c r="O938" s="76"/>
      <c r="P938" s="76"/>
      <c r="Q938" s="76"/>
      <c r="R938" s="76"/>
      <c r="S938" s="76"/>
      <c r="T938" s="76"/>
      <c r="U938" s="76"/>
      <c r="V938" s="76"/>
      <c r="W938" s="76"/>
      <c r="X938" s="76"/>
      <c r="Y938" s="76"/>
      <c r="Z938" s="76"/>
    </row>
    <row r="939" ht="22.5" customHeight="1">
      <c r="A939" s="140"/>
      <c r="B939" s="140"/>
      <c r="C939" s="141"/>
      <c r="D939" s="140"/>
      <c r="E939" s="76"/>
      <c r="F939" s="76"/>
      <c r="G939" s="76"/>
      <c r="H939" s="76"/>
      <c r="I939" s="76"/>
      <c r="J939" s="76"/>
      <c r="K939" s="76"/>
      <c r="L939" s="76"/>
      <c r="M939" s="76"/>
      <c r="N939" s="76"/>
      <c r="O939" s="76"/>
      <c r="P939" s="76"/>
      <c r="Q939" s="76"/>
      <c r="R939" s="76"/>
      <c r="S939" s="76"/>
      <c r="T939" s="76"/>
      <c r="U939" s="76"/>
      <c r="V939" s="76"/>
      <c r="W939" s="76"/>
      <c r="X939" s="76"/>
      <c r="Y939" s="76"/>
      <c r="Z939" s="76"/>
    </row>
    <row r="940" ht="22.5" customHeight="1">
      <c r="A940" s="140"/>
      <c r="B940" s="140"/>
      <c r="C940" s="141"/>
      <c r="D940" s="140"/>
      <c r="E940" s="76"/>
      <c r="F940" s="76"/>
      <c r="G940" s="76"/>
      <c r="H940" s="76"/>
      <c r="I940" s="76"/>
      <c r="J940" s="76"/>
      <c r="K940" s="76"/>
      <c r="L940" s="76"/>
      <c r="M940" s="76"/>
      <c r="N940" s="76"/>
      <c r="O940" s="76"/>
      <c r="P940" s="76"/>
      <c r="Q940" s="76"/>
      <c r="R940" s="76"/>
      <c r="S940" s="76"/>
      <c r="T940" s="76"/>
      <c r="U940" s="76"/>
      <c r="V940" s="76"/>
      <c r="W940" s="76"/>
      <c r="X940" s="76"/>
      <c r="Y940" s="76"/>
      <c r="Z940" s="76"/>
    </row>
    <row r="941" ht="22.5" customHeight="1">
      <c r="A941" s="140"/>
      <c r="B941" s="140"/>
      <c r="C941" s="141"/>
      <c r="D941" s="140"/>
      <c r="E941" s="76"/>
      <c r="F941" s="76"/>
      <c r="G941" s="76"/>
      <c r="H941" s="76"/>
      <c r="I941" s="76"/>
      <c r="J941" s="76"/>
      <c r="K941" s="76"/>
      <c r="L941" s="76"/>
      <c r="M941" s="76"/>
      <c r="N941" s="76"/>
      <c r="O941" s="76"/>
      <c r="P941" s="76"/>
      <c r="Q941" s="76"/>
      <c r="R941" s="76"/>
      <c r="S941" s="76"/>
      <c r="T941" s="76"/>
      <c r="U941" s="76"/>
      <c r="V941" s="76"/>
      <c r="W941" s="76"/>
      <c r="X941" s="76"/>
      <c r="Y941" s="76"/>
      <c r="Z941" s="76"/>
    </row>
    <row r="942" ht="22.5" customHeight="1">
      <c r="A942" s="140"/>
      <c r="B942" s="140"/>
      <c r="C942" s="141"/>
      <c r="D942" s="140"/>
      <c r="E942" s="76"/>
      <c r="F942" s="76"/>
      <c r="G942" s="76"/>
      <c r="H942" s="76"/>
      <c r="I942" s="76"/>
      <c r="J942" s="76"/>
      <c r="K942" s="76"/>
      <c r="L942" s="76"/>
      <c r="M942" s="76"/>
      <c r="N942" s="76"/>
      <c r="O942" s="76"/>
      <c r="P942" s="76"/>
      <c r="Q942" s="76"/>
      <c r="R942" s="76"/>
      <c r="S942" s="76"/>
      <c r="T942" s="76"/>
      <c r="U942" s="76"/>
      <c r="V942" s="76"/>
      <c r="W942" s="76"/>
      <c r="X942" s="76"/>
      <c r="Y942" s="76"/>
      <c r="Z942" s="76"/>
    </row>
    <row r="943" ht="22.5" customHeight="1">
      <c r="A943" s="140"/>
      <c r="B943" s="140"/>
      <c r="C943" s="141"/>
      <c r="D943" s="140"/>
      <c r="E943" s="76"/>
      <c r="F943" s="76"/>
      <c r="G943" s="76"/>
      <c r="H943" s="76"/>
      <c r="I943" s="76"/>
      <c r="J943" s="76"/>
      <c r="K943" s="76"/>
      <c r="L943" s="76"/>
      <c r="M943" s="76"/>
      <c r="N943" s="76"/>
      <c r="O943" s="76"/>
      <c r="P943" s="76"/>
      <c r="Q943" s="76"/>
      <c r="R943" s="76"/>
      <c r="S943" s="76"/>
      <c r="T943" s="76"/>
      <c r="U943" s="76"/>
      <c r="V943" s="76"/>
      <c r="W943" s="76"/>
      <c r="X943" s="76"/>
      <c r="Y943" s="76"/>
      <c r="Z943" s="76"/>
    </row>
    <row r="944" ht="22.5" customHeight="1">
      <c r="A944" s="140"/>
      <c r="B944" s="140"/>
      <c r="C944" s="141"/>
      <c r="D944" s="140"/>
      <c r="E944" s="76"/>
      <c r="F944" s="76"/>
      <c r="G944" s="76"/>
      <c r="H944" s="76"/>
      <c r="I944" s="76"/>
      <c r="J944" s="76"/>
      <c r="K944" s="76"/>
      <c r="L944" s="76"/>
      <c r="M944" s="76"/>
      <c r="N944" s="76"/>
      <c r="O944" s="76"/>
      <c r="P944" s="76"/>
      <c r="Q944" s="76"/>
      <c r="R944" s="76"/>
      <c r="S944" s="76"/>
      <c r="T944" s="76"/>
      <c r="U944" s="76"/>
      <c r="V944" s="76"/>
      <c r="W944" s="76"/>
      <c r="X944" s="76"/>
      <c r="Y944" s="76"/>
      <c r="Z944" s="76"/>
    </row>
    <row r="945" ht="22.5" customHeight="1">
      <c r="A945" s="140"/>
      <c r="B945" s="140"/>
      <c r="C945" s="141"/>
      <c r="D945" s="140"/>
      <c r="E945" s="76"/>
      <c r="F945" s="76"/>
      <c r="G945" s="76"/>
      <c r="H945" s="76"/>
      <c r="I945" s="76"/>
      <c r="J945" s="76"/>
      <c r="K945" s="76"/>
      <c r="L945" s="76"/>
      <c r="M945" s="76"/>
      <c r="N945" s="76"/>
      <c r="O945" s="76"/>
      <c r="P945" s="76"/>
      <c r="Q945" s="76"/>
      <c r="R945" s="76"/>
      <c r="S945" s="76"/>
      <c r="T945" s="76"/>
      <c r="U945" s="76"/>
      <c r="V945" s="76"/>
      <c r="W945" s="76"/>
      <c r="X945" s="76"/>
      <c r="Y945" s="76"/>
      <c r="Z945" s="76"/>
    </row>
    <row r="946" ht="22.5" customHeight="1">
      <c r="A946" s="140"/>
      <c r="B946" s="140"/>
      <c r="C946" s="141"/>
      <c r="D946" s="140"/>
      <c r="E946" s="76"/>
      <c r="F946" s="76"/>
      <c r="G946" s="76"/>
      <c r="H946" s="76"/>
      <c r="I946" s="76"/>
      <c r="J946" s="76"/>
      <c r="K946" s="76"/>
      <c r="L946" s="76"/>
      <c r="M946" s="76"/>
      <c r="N946" s="76"/>
      <c r="O946" s="76"/>
      <c r="P946" s="76"/>
      <c r="Q946" s="76"/>
      <c r="R946" s="76"/>
      <c r="S946" s="76"/>
      <c r="T946" s="76"/>
      <c r="U946" s="76"/>
      <c r="V946" s="76"/>
      <c r="W946" s="76"/>
      <c r="X946" s="76"/>
      <c r="Y946" s="76"/>
      <c r="Z946" s="76"/>
    </row>
    <row r="947" ht="22.5" customHeight="1">
      <c r="A947" s="140"/>
      <c r="B947" s="140"/>
      <c r="C947" s="141"/>
      <c r="D947" s="140"/>
      <c r="E947" s="76"/>
      <c r="F947" s="76"/>
      <c r="G947" s="76"/>
      <c r="H947" s="76"/>
      <c r="I947" s="76"/>
      <c r="J947" s="76"/>
      <c r="K947" s="76"/>
      <c r="L947" s="76"/>
      <c r="M947" s="76"/>
      <c r="N947" s="76"/>
      <c r="O947" s="76"/>
      <c r="P947" s="76"/>
      <c r="Q947" s="76"/>
      <c r="R947" s="76"/>
      <c r="S947" s="76"/>
      <c r="T947" s="76"/>
      <c r="U947" s="76"/>
      <c r="V947" s="76"/>
      <c r="W947" s="76"/>
      <c r="X947" s="76"/>
      <c r="Y947" s="76"/>
      <c r="Z947" s="76"/>
    </row>
    <row r="948" ht="22.5" customHeight="1">
      <c r="A948" s="140"/>
      <c r="B948" s="140"/>
      <c r="C948" s="141"/>
      <c r="D948" s="140"/>
      <c r="E948" s="76"/>
      <c r="F948" s="76"/>
      <c r="G948" s="76"/>
      <c r="H948" s="76"/>
      <c r="I948" s="76"/>
      <c r="J948" s="76"/>
      <c r="K948" s="76"/>
      <c r="L948" s="76"/>
      <c r="M948" s="76"/>
      <c r="N948" s="76"/>
      <c r="O948" s="76"/>
      <c r="P948" s="76"/>
      <c r="Q948" s="76"/>
      <c r="R948" s="76"/>
      <c r="S948" s="76"/>
      <c r="T948" s="76"/>
      <c r="U948" s="76"/>
      <c r="V948" s="76"/>
      <c r="W948" s="76"/>
      <c r="X948" s="76"/>
      <c r="Y948" s="76"/>
      <c r="Z948" s="76"/>
    </row>
    <row r="949" ht="22.5" customHeight="1">
      <c r="A949" s="140"/>
      <c r="B949" s="140"/>
      <c r="C949" s="141"/>
      <c r="D949" s="140"/>
      <c r="E949" s="76"/>
      <c r="F949" s="76"/>
      <c r="G949" s="76"/>
      <c r="H949" s="76"/>
      <c r="I949" s="76"/>
      <c r="J949" s="76"/>
      <c r="K949" s="76"/>
      <c r="L949" s="76"/>
      <c r="M949" s="76"/>
      <c r="N949" s="76"/>
      <c r="O949" s="76"/>
      <c r="P949" s="76"/>
      <c r="Q949" s="76"/>
      <c r="R949" s="76"/>
      <c r="S949" s="76"/>
      <c r="T949" s="76"/>
      <c r="U949" s="76"/>
      <c r="V949" s="76"/>
      <c r="W949" s="76"/>
      <c r="X949" s="76"/>
      <c r="Y949" s="76"/>
      <c r="Z949" s="76"/>
    </row>
    <row r="950" ht="22.5" customHeight="1">
      <c r="A950" s="140"/>
      <c r="B950" s="140"/>
      <c r="C950" s="141"/>
      <c r="D950" s="140"/>
      <c r="E950" s="76"/>
      <c r="F950" s="76"/>
      <c r="G950" s="76"/>
      <c r="H950" s="76"/>
      <c r="I950" s="76"/>
      <c r="J950" s="76"/>
      <c r="K950" s="76"/>
      <c r="L950" s="76"/>
      <c r="M950" s="76"/>
      <c r="N950" s="76"/>
      <c r="O950" s="76"/>
      <c r="P950" s="76"/>
      <c r="Q950" s="76"/>
      <c r="R950" s="76"/>
      <c r="S950" s="76"/>
      <c r="T950" s="76"/>
      <c r="U950" s="76"/>
      <c r="V950" s="76"/>
      <c r="W950" s="76"/>
      <c r="X950" s="76"/>
      <c r="Y950" s="76"/>
      <c r="Z950" s="76"/>
    </row>
    <row r="951" ht="22.5" customHeight="1">
      <c r="A951" s="140"/>
      <c r="B951" s="140"/>
      <c r="C951" s="141"/>
      <c r="D951" s="140"/>
      <c r="E951" s="76"/>
      <c r="F951" s="76"/>
      <c r="G951" s="76"/>
      <c r="H951" s="76"/>
      <c r="I951" s="76"/>
      <c r="J951" s="76"/>
      <c r="K951" s="76"/>
      <c r="L951" s="76"/>
      <c r="M951" s="76"/>
      <c r="N951" s="76"/>
      <c r="O951" s="76"/>
      <c r="P951" s="76"/>
      <c r="Q951" s="76"/>
      <c r="R951" s="76"/>
      <c r="S951" s="76"/>
      <c r="T951" s="76"/>
      <c r="U951" s="76"/>
      <c r="V951" s="76"/>
      <c r="W951" s="76"/>
      <c r="X951" s="76"/>
      <c r="Y951" s="76"/>
      <c r="Z951" s="76"/>
    </row>
    <row r="952" ht="22.5" customHeight="1">
      <c r="A952" s="140"/>
      <c r="B952" s="140"/>
      <c r="C952" s="141"/>
      <c r="D952" s="140"/>
      <c r="E952" s="76"/>
      <c r="F952" s="76"/>
      <c r="G952" s="76"/>
      <c r="H952" s="76"/>
      <c r="I952" s="76"/>
      <c r="J952" s="76"/>
      <c r="K952" s="76"/>
      <c r="L952" s="76"/>
      <c r="M952" s="76"/>
      <c r="N952" s="76"/>
      <c r="O952" s="76"/>
      <c r="P952" s="76"/>
      <c r="Q952" s="76"/>
      <c r="R952" s="76"/>
      <c r="S952" s="76"/>
      <c r="T952" s="76"/>
      <c r="U952" s="76"/>
      <c r="V952" s="76"/>
      <c r="W952" s="76"/>
      <c r="X952" s="76"/>
      <c r="Y952" s="76"/>
      <c r="Z952" s="76"/>
    </row>
    <row r="953" ht="22.5" customHeight="1">
      <c r="A953" s="140"/>
      <c r="B953" s="140"/>
      <c r="C953" s="141"/>
      <c r="D953" s="140"/>
      <c r="E953" s="76"/>
      <c r="F953" s="76"/>
      <c r="G953" s="76"/>
      <c r="H953" s="76"/>
      <c r="I953" s="76"/>
      <c r="J953" s="76"/>
      <c r="K953" s="76"/>
      <c r="L953" s="76"/>
      <c r="M953" s="76"/>
      <c r="N953" s="76"/>
      <c r="O953" s="76"/>
      <c r="P953" s="76"/>
      <c r="Q953" s="76"/>
      <c r="R953" s="76"/>
      <c r="S953" s="76"/>
      <c r="T953" s="76"/>
      <c r="U953" s="76"/>
      <c r="V953" s="76"/>
      <c r="W953" s="76"/>
      <c r="X953" s="76"/>
      <c r="Y953" s="76"/>
      <c r="Z953" s="76"/>
    </row>
    <row r="954" ht="22.5" customHeight="1">
      <c r="A954" s="140"/>
      <c r="B954" s="140"/>
      <c r="C954" s="141"/>
      <c r="D954" s="140"/>
      <c r="E954" s="76"/>
      <c r="F954" s="76"/>
      <c r="G954" s="76"/>
      <c r="H954" s="76"/>
      <c r="I954" s="76"/>
      <c r="J954" s="76"/>
      <c r="K954" s="76"/>
      <c r="L954" s="76"/>
      <c r="M954" s="76"/>
      <c r="N954" s="76"/>
      <c r="O954" s="76"/>
      <c r="P954" s="76"/>
      <c r="Q954" s="76"/>
      <c r="R954" s="76"/>
      <c r="S954" s="76"/>
      <c r="T954" s="76"/>
      <c r="U954" s="76"/>
      <c r="V954" s="76"/>
      <c r="W954" s="76"/>
      <c r="X954" s="76"/>
      <c r="Y954" s="76"/>
      <c r="Z954" s="76"/>
    </row>
    <row r="955" ht="22.5" customHeight="1">
      <c r="A955" s="140"/>
      <c r="B955" s="140"/>
      <c r="C955" s="141"/>
      <c r="D955" s="140"/>
      <c r="E955" s="76"/>
      <c r="F955" s="76"/>
      <c r="G955" s="76"/>
      <c r="H955" s="76"/>
      <c r="I955" s="76"/>
      <c r="J955" s="76"/>
      <c r="K955" s="76"/>
      <c r="L955" s="76"/>
      <c r="M955" s="76"/>
      <c r="N955" s="76"/>
      <c r="O955" s="76"/>
      <c r="P955" s="76"/>
      <c r="Q955" s="76"/>
      <c r="R955" s="76"/>
      <c r="S955" s="76"/>
      <c r="T955" s="76"/>
      <c r="U955" s="76"/>
      <c r="V955" s="76"/>
      <c r="W955" s="76"/>
      <c r="X955" s="76"/>
      <c r="Y955" s="76"/>
      <c r="Z955" s="76"/>
    </row>
    <row r="956" ht="22.5" customHeight="1">
      <c r="A956" s="140"/>
      <c r="B956" s="140"/>
      <c r="C956" s="141"/>
      <c r="D956" s="140"/>
      <c r="E956" s="76"/>
      <c r="F956" s="76"/>
      <c r="G956" s="76"/>
      <c r="H956" s="76"/>
      <c r="I956" s="76"/>
      <c r="J956" s="76"/>
      <c r="K956" s="76"/>
      <c r="L956" s="76"/>
      <c r="M956" s="76"/>
      <c r="N956" s="76"/>
      <c r="O956" s="76"/>
      <c r="P956" s="76"/>
      <c r="Q956" s="76"/>
      <c r="R956" s="76"/>
      <c r="S956" s="76"/>
      <c r="T956" s="76"/>
      <c r="U956" s="76"/>
      <c r="V956" s="76"/>
      <c r="W956" s="76"/>
      <c r="X956" s="76"/>
      <c r="Y956" s="76"/>
      <c r="Z956" s="76"/>
    </row>
    <row r="957" ht="22.5" customHeight="1">
      <c r="A957" s="140"/>
      <c r="B957" s="140"/>
      <c r="C957" s="141"/>
      <c r="D957" s="140"/>
      <c r="E957" s="76"/>
      <c r="F957" s="76"/>
      <c r="G957" s="76"/>
      <c r="H957" s="76"/>
      <c r="I957" s="76"/>
      <c r="J957" s="76"/>
      <c r="K957" s="76"/>
      <c r="L957" s="76"/>
      <c r="M957" s="76"/>
      <c r="N957" s="76"/>
      <c r="O957" s="76"/>
      <c r="P957" s="76"/>
      <c r="Q957" s="76"/>
      <c r="R957" s="76"/>
      <c r="S957" s="76"/>
      <c r="T957" s="76"/>
      <c r="U957" s="76"/>
      <c r="V957" s="76"/>
      <c r="W957" s="76"/>
      <c r="X957" s="76"/>
      <c r="Y957" s="76"/>
      <c r="Z957" s="76"/>
    </row>
    <row r="958" ht="22.5" customHeight="1">
      <c r="A958" s="140"/>
      <c r="B958" s="140"/>
      <c r="C958" s="141"/>
      <c r="D958" s="140"/>
      <c r="E958" s="76"/>
      <c r="F958" s="76"/>
      <c r="G958" s="76"/>
      <c r="H958" s="76"/>
      <c r="I958" s="76"/>
      <c r="J958" s="76"/>
      <c r="K958" s="76"/>
      <c r="L958" s="76"/>
      <c r="M958" s="76"/>
      <c r="N958" s="76"/>
      <c r="O958" s="76"/>
      <c r="P958" s="76"/>
      <c r="Q958" s="76"/>
      <c r="R958" s="76"/>
      <c r="S958" s="76"/>
      <c r="T958" s="76"/>
      <c r="U958" s="76"/>
      <c r="V958" s="76"/>
      <c r="W958" s="76"/>
      <c r="X958" s="76"/>
      <c r="Y958" s="76"/>
      <c r="Z958" s="76"/>
    </row>
    <row r="959" ht="22.5" customHeight="1">
      <c r="A959" s="140"/>
      <c r="B959" s="140"/>
      <c r="C959" s="141"/>
      <c r="D959" s="140"/>
      <c r="E959" s="76"/>
      <c r="F959" s="76"/>
      <c r="G959" s="76"/>
      <c r="H959" s="76"/>
      <c r="I959" s="76"/>
      <c r="J959" s="76"/>
      <c r="K959" s="76"/>
      <c r="L959" s="76"/>
      <c r="M959" s="76"/>
      <c r="N959" s="76"/>
      <c r="O959" s="76"/>
      <c r="P959" s="76"/>
      <c r="Q959" s="76"/>
      <c r="R959" s="76"/>
      <c r="S959" s="76"/>
      <c r="T959" s="76"/>
      <c r="U959" s="76"/>
      <c r="V959" s="76"/>
      <c r="W959" s="76"/>
      <c r="X959" s="76"/>
      <c r="Y959" s="76"/>
      <c r="Z959" s="76"/>
    </row>
    <row r="960" ht="22.5" customHeight="1">
      <c r="A960" s="140"/>
      <c r="B960" s="140"/>
      <c r="C960" s="141"/>
      <c r="D960" s="140"/>
      <c r="E960" s="76"/>
      <c r="F960" s="76"/>
      <c r="G960" s="76"/>
      <c r="H960" s="76"/>
      <c r="I960" s="76"/>
      <c r="J960" s="76"/>
      <c r="K960" s="76"/>
      <c r="L960" s="76"/>
      <c r="M960" s="76"/>
      <c r="N960" s="76"/>
      <c r="O960" s="76"/>
      <c r="P960" s="76"/>
      <c r="Q960" s="76"/>
      <c r="R960" s="76"/>
      <c r="S960" s="76"/>
      <c r="T960" s="76"/>
      <c r="U960" s="76"/>
      <c r="V960" s="76"/>
      <c r="W960" s="76"/>
      <c r="X960" s="76"/>
      <c r="Y960" s="76"/>
      <c r="Z960" s="76"/>
    </row>
    <row r="961" ht="22.5" customHeight="1">
      <c r="A961" s="140"/>
      <c r="B961" s="140"/>
      <c r="C961" s="141"/>
      <c r="D961" s="140"/>
      <c r="E961" s="76"/>
      <c r="F961" s="76"/>
      <c r="G961" s="76"/>
      <c r="H961" s="76"/>
      <c r="I961" s="76"/>
      <c r="J961" s="76"/>
      <c r="K961" s="76"/>
      <c r="L961" s="76"/>
      <c r="M961" s="76"/>
      <c r="N961" s="76"/>
      <c r="O961" s="76"/>
      <c r="P961" s="76"/>
      <c r="Q961" s="76"/>
      <c r="R961" s="76"/>
      <c r="S961" s="76"/>
      <c r="T961" s="76"/>
      <c r="U961" s="76"/>
      <c r="V961" s="76"/>
      <c r="W961" s="76"/>
      <c r="X961" s="76"/>
      <c r="Y961" s="76"/>
      <c r="Z961" s="76"/>
    </row>
    <row r="962" ht="22.5" customHeight="1">
      <c r="A962" s="140"/>
      <c r="B962" s="140"/>
      <c r="C962" s="141"/>
      <c r="D962" s="140"/>
      <c r="E962" s="76"/>
      <c r="F962" s="76"/>
      <c r="G962" s="76"/>
      <c r="H962" s="76"/>
      <c r="I962" s="76"/>
      <c r="J962" s="76"/>
      <c r="K962" s="76"/>
      <c r="L962" s="76"/>
      <c r="M962" s="76"/>
      <c r="N962" s="76"/>
      <c r="O962" s="76"/>
      <c r="P962" s="76"/>
      <c r="Q962" s="76"/>
      <c r="R962" s="76"/>
      <c r="S962" s="76"/>
      <c r="T962" s="76"/>
      <c r="U962" s="76"/>
      <c r="V962" s="76"/>
      <c r="W962" s="76"/>
      <c r="X962" s="76"/>
      <c r="Y962" s="76"/>
      <c r="Z962" s="76"/>
    </row>
    <row r="963" ht="22.5" customHeight="1">
      <c r="A963" s="140"/>
      <c r="B963" s="140"/>
      <c r="C963" s="141"/>
      <c r="D963" s="140"/>
      <c r="E963" s="76"/>
      <c r="F963" s="76"/>
      <c r="G963" s="76"/>
      <c r="H963" s="76"/>
      <c r="I963" s="76"/>
      <c r="J963" s="76"/>
      <c r="K963" s="76"/>
      <c r="L963" s="76"/>
      <c r="M963" s="76"/>
      <c r="N963" s="76"/>
      <c r="O963" s="76"/>
      <c r="P963" s="76"/>
      <c r="Q963" s="76"/>
      <c r="R963" s="76"/>
      <c r="S963" s="76"/>
      <c r="T963" s="76"/>
      <c r="U963" s="76"/>
      <c r="V963" s="76"/>
      <c r="W963" s="76"/>
      <c r="X963" s="76"/>
      <c r="Y963" s="76"/>
      <c r="Z963" s="76"/>
    </row>
    <row r="964" ht="22.5" customHeight="1">
      <c r="A964" s="140"/>
      <c r="B964" s="140"/>
      <c r="C964" s="141"/>
      <c r="D964" s="140"/>
      <c r="E964" s="76"/>
      <c r="F964" s="76"/>
      <c r="G964" s="76"/>
      <c r="H964" s="76"/>
      <c r="I964" s="76"/>
      <c r="J964" s="76"/>
      <c r="K964" s="76"/>
      <c r="L964" s="76"/>
      <c r="M964" s="76"/>
      <c r="N964" s="76"/>
      <c r="O964" s="76"/>
      <c r="P964" s="76"/>
      <c r="Q964" s="76"/>
      <c r="R964" s="76"/>
      <c r="S964" s="76"/>
      <c r="T964" s="76"/>
      <c r="U964" s="76"/>
      <c r="V964" s="76"/>
      <c r="W964" s="76"/>
      <c r="X964" s="76"/>
      <c r="Y964" s="76"/>
      <c r="Z964" s="76"/>
    </row>
    <row r="965" ht="22.5" customHeight="1">
      <c r="A965" s="140"/>
      <c r="B965" s="140"/>
      <c r="C965" s="141"/>
      <c r="D965" s="140"/>
      <c r="E965" s="76"/>
      <c r="F965" s="76"/>
      <c r="G965" s="76"/>
      <c r="H965" s="76"/>
      <c r="I965" s="76"/>
      <c r="J965" s="76"/>
      <c r="K965" s="76"/>
      <c r="L965" s="76"/>
      <c r="M965" s="76"/>
      <c r="N965" s="76"/>
      <c r="O965" s="76"/>
      <c r="P965" s="76"/>
      <c r="Q965" s="76"/>
      <c r="R965" s="76"/>
      <c r="S965" s="76"/>
      <c r="T965" s="76"/>
      <c r="U965" s="76"/>
      <c r="V965" s="76"/>
      <c r="W965" s="76"/>
      <c r="X965" s="76"/>
      <c r="Y965" s="76"/>
      <c r="Z965" s="76"/>
    </row>
    <row r="966" ht="22.5" customHeight="1">
      <c r="A966" s="140"/>
      <c r="B966" s="140"/>
      <c r="C966" s="141"/>
      <c r="D966" s="140"/>
      <c r="E966" s="76"/>
      <c r="F966" s="76"/>
      <c r="G966" s="76"/>
      <c r="H966" s="76"/>
      <c r="I966" s="76"/>
      <c r="J966" s="76"/>
      <c r="K966" s="76"/>
      <c r="L966" s="76"/>
      <c r="M966" s="76"/>
      <c r="N966" s="76"/>
      <c r="O966" s="76"/>
      <c r="P966" s="76"/>
      <c r="Q966" s="76"/>
      <c r="R966" s="76"/>
      <c r="S966" s="76"/>
      <c r="T966" s="76"/>
      <c r="U966" s="76"/>
      <c r="V966" s="76"/>
      <c r="W966" s="76"/>
      <c r="X966" s="76"/>
      <c r="Y966" s="76"/>
      <c r="Z966" s="76"/>
    </row>
    <row r="967" ht="22.5" customHeight="1">
      <c r="A967" s="140"/>
      <c r="B967" s="140"/>
      <c r="C967" s="141"/>
      <c r="D967" s="140"/>
      <c r="E967" s="76"/>
      <c r="F967" s="76"/>
      <c r="G967" s="76"/>
      <c r="H967" s="76"/>
      <c r="I967" s="76"/>
      <c r="J967" s="76"/>
      <c r="K967" s="76"/>
      <c r="L967" s="76"/>
      <c r="M967" s="76"/>
      <c r="N967" s="76"/>
      <c r="O967" s="76"/>
      <c r="P967" s="76"/>
      <c r="Q967" s="76"/>
      <c r="R967" s="76"/>
      <c r="S967" s="76"/>
      <c r="T967" s="76"/>
      <c r="U967" s="76"/>
      <c r="V967" s="76"/>
      <c r="W967" s="76"/>
      <c r="X967" s="76"/>
      <c r="Y967" s="76"/>
      <c r="Z967" s="76"/>
    </row>
    <row r="968" ht="22.5" customHeight="1">
      <c r="A968" s="140"/>
      <c r="B968" s="140"/>
      <c r="C968" s="141"/>
      <c r="D968" s="140"/>
      <c r="E968" s="76"/>
      <c r="F968" s="76"/>
      <c r="G968" s="76"/>
      <c r="H968" s="76"/>
      <c r="I968" s="76"/>
      <c r="J968" s="76"/>
      <c r="K968" s="76"/>
      <c r="L968" s="76"/>
      <c r="M968" s="76"/>
      <c r="N968" s="76"/>
      <c r="O968" s="76"/>
      <c r="P968" s="76"/>
      <c r="Q968" s="76"/>
      <c r="R968" s="76"/>
      <c r="S968" s="76"/>
      <c r="T968" s="76"/>
      <c r="U968" s="76"/>
      <c r="V968" s="76"/>
      <c r="W968" s="76"/>
      <c r="X968" s="76"/>
      <c r="Y968" s="76"/>
      <c r="Z968" s="76"/>
    </row>
    <row r="969" ht="22.5" customHeight="1">
      <c r="A969" s="140"/>
      <c r="B969" s="140"/>
      <c r="C969" s="141"/>
      <c r="D969" s="140"/>
      <c r="E969" s="76"/>
      <c r="F969" s="76"/>
      <c r="G969" s="76"/>
      <c r="H969" s="76"/>
      <c r="I969" s="76"/>
      <c r="J969" s="76"/>
      <c r="K969" s="76"/>
      <c r="L969" s="76"/>
      <c r="M969" s="76"/>
      <c r="N969" s="76"/>
      <c r="O969" s="76"/>
      <c r="P969" s="76"/>
      <c r="Q969" s="76"/>
      <c r="R969" s="76"/>
      <c r="S969" s="76"/>
      <c r="T969" s="76"/>
      <c r="U969" s="76"/>
      <c r="V969" s="76"/>
      <c r="W969" s="76"/>
      <c r="X969" s="76"/>
      <c r="Y969" s="76"/>
      <c r="Z969" s="76"/>
    </row>
    <row r="970" ht="22.5" customHeight="1">
      <c r="A970" s="140"/>
      <c r="B970" s="140"/>
      <c r="C970" s="141"/>
      <c r="D970" s="140"/>
      <c r="E970" s="76"/>
      <c r="F970" s="76"/>
      <c r="G970" s="76"/>
      <c r="H970" s="76"/>
      <c r="I970" s="76"/>
      <c r="J970" s="76"/>
      <c r="K970" s="76"/>
      <c r="L970" s="76"/>
      <c r="M970" s="76"/>
      <c r="N970" s="76"/>
      <c r="O970" s="76"/>
      <c r="P970" s="76"/>
      <c r="Q970" s="76"/>
      <c r="R970" s="76"/>
      <c r="S970" s="76"/>
      <c r="T970" s="76"/>
      <c r="U970" s="76"/>
      <c r="V970" s="76"/>
      <c r="W970" s="76"/>
      <c r="X970" s="76"/>
      <c r="Y970" s="76"/>
      <c r="Z970" s="76"/>
    </row>
    <row r="971" ht="22.5" customHeight="1">
      <c r="A971" s="140"/>
      <c r="B971" s="140"/>
      <c r="C971" s="141"/>
      <c r="D971" s="140"/>
      <c r="E971" s="76"/>
      <c r="F971" s="76"/>
      <c r="G971" s="76"/>
      <c r="H971" s="76"/>
      <c r="I971" s="76"/>
      <c r="J971" s="76"/>
      <c r="K971" s="76"/>
      <c r="L971" s="76"/>
      <c r="M971" s="76"/>
      <c r="N971" s="76"/>
      <c r="O971" s="76"/>
      <c r="P971" s="76"/>
      <c r="Q971" s="76"/>
      <c r="R971" s="76"/>
      <c r="S971" s="76"/>
      <c r="T971" s="76"/>
      <c r="U971" s="76"/>
      <c r="V971" s="76"/>
      <c r="W971" s="76"/>
      <c r="X971" s="76"/>
      <c r="Y971" s="76"/>
      <c r="Z971" s="76"/>
    </row>
    <row r="972" ht="22.5" customHeight="1">
      <c r="A972" s="140"/>
      <c r="B972" s="140"/>
      <c r="C972" s="141"/>
      <c r="D972" s="140"/>
      <c r="E972" s="76"/>
      <c r="F972" s="76"/>
      <c r="G972" s="76"/>
      <c r="H972" s="76"/>
      <c r="I972" s="76"/>
      <c r="J972" s="76"/>
      <c r="K972" s="76"/>
      <c r="L972" s="76"/>
      <c r="M972" s="76"/>
      <c r="N972" s="76"/>
      <c r="O972" s="76"/>
      <c r="P972" s="76"/>
      <c r="Q972" s="76"/>
      <c r="R972" s="76"/>
      <c r="S972" s="76"/>
      <c r="T972" s="76"/>
      <c r="U972" s="76"/>
      <c r="V972" s="76"/>
      <c r="W972" s="76"/>
      <c r="X972" s="76"/>
      <c r="Y972" s="76"/>
      <c r="Z972" s="76"/>
    </row>
    <row r="973" ht="22.5" customHeight="1">
      <c r="A973" s="140"/>
      <c r="B973" s="140"/>
      <c r="C973" s="141"/>
      <c r="D973" s="140"/>
      <c r="E973" s="76"/>
      <c r="F973" s="76"/>
      <c r="G973" s="76"/>
      <c r="H973" s="76"/>
      <c r="I973" s="76"/>
      <c r="J973" s="76"/>
      <c r="K973" s="76"/>
      <c r="L973" s="76"/>
      <c r="M973" s="76"/>
      <c r="N973" s="76"/>
      <c r="O973" s="76"/>
      <c r="P973" s="76"/>
      <c r="Q973" s="76"/>
      <c r="R973" s="76"/>
      <c r="S973" s="76"/>
      <c r="T973" s="76"/>
      <c r="U973" s="76"/>
      <c r="V973" s="76"/>
      <c r="W973" s="76"/>
      <c r="X973" s="76"/>
      <c r="Y973" s="76"/>
      <c r="Z973" s="76"/>
    </row>
    <row r="974" ht="22.5" customHeight="1">
      <c r="A974" s="140"/>
      <c r="B974" s="140"/>
      <c r="C974" s="141"/>
      <c r="D974" s="140"/>
      <c r="E974" s="76"/>
      <c r="F974" s="76"/>
      <c r="G974" s="76"/>
      <c r="H974" s="76"/>
      <c r="I974" s="76"/>
      <c r="J974" s="76"/>
      <c r="K974" s="76"/>
      <c r="L974" s="76"/>
      <c r="M974" s="76"/>
      <c r="N974" s="76"/>
      <c r="O974" s="76"/>
      <c r="P974" s="76"/>
      <c r="Q974" s="76"/>
      <c r="R974" s="76"/>
      <c r="S974" s="76"/>
      <c r="T974" s="76"/>
      <c r="U974" s="76"/>
      <c r="V974" s="76"/>
      <c r="W974" s="76"/>
      <c r="X974" s="76"/>
      <c r="Y974" s="76"/>
      <c r="Z974" s="76"/>
    </row>
    <row r="975" ht="22.5" customHeight="1">
      <c r="A975" s="140"/>
      <c r="B975" s="140"/>
      <c r="C975" s="141"/>
      <c r="D975" s="140"/>
      <c r="E975" s="76"/>
      <c r="F975" s="76"/>
      <c r="G975" s="76"/>
      <c r="H975" s="76"/>
      <c r="I975" s="76"/>
      <c r="J975" s="76"/>
      <c r="K975" s="76"/>
      <c r="L975" s="76"/>
      <c r="M975" s="76"/>
      <c r="N975" s="76"/>
      <c r="O975" s="76"/>
      <c r="P975" s="76"/>
      <c r="Q975" s="76"/>
      <c r="R975" s="76"/>
      <c r="S975" s="76"/>
      <c r="T975" s="76"/>
      <c r="U975" s="76"/>
      <c r="V975" s="76"/>
      <c r="W975" s="76"/>
      <c r="X975" s="76"/>
      <c r="Y975" s="76"/>
      <c r="Z975" s="76"/>
    </row>
    <row r="976" ht="22.5" customHeight="1">
      <c r="A976" s="140"/>
      <c r="B976" s="140"/>
      <c r="C976" s="141"/>
      <c r="D976" s="140"/>
      <c r="E976" s="76"/>
      <c r="F976" s="76"/>
      <c r="G976" s="76"/>
      <c r="H976" s="76"/>
      <c r="I976" s="76"/>
      <c r="J976" s="76"/>
      <c r="K976" s="76"/>
      <c r="L976" s="76"/>
      <c r="M976" s="76"/>
      <c r="N976" s="76"/>
      <c r="O976" s="76"/>
      <c r="P976" s="76"/>
      <c r="Q976" s="76"/>
      <c r="R976" s="76"/>
      <c r="S976" s="76"/>
      <c r="T976" s="76"/>
      <c r="U976" s="76"/>
      <c r="V976" s="76"/>
      <c r="W976" s="76"/>
      <c r="X976" s="76"/>
      <c r="Y976" s="76"/>
      <c r="Z976" s="76"/>
    </row>
    <row r="977" ht="22.5" customHeight="1">
      <c r="A977" s="140"/>
      <c r="B977" s="140"/>
      <c r="C977" s="141"/>
      <c r="D977" s="140"/>
      <c r="E977" s="76"/>
      <c r="F977" s="76"/>
      <c r="G977" s="76"/>
      <c r="H977" s="76"/>
      <c r="I977" s="76"/>
      <c r="J977" s="76"/>
      <c r="K977" s="76"/>
      <c r="L977" s="76"/>
      <c r="M977" s="76"/>
      <c r="N977" s="76"/>
      <c r="O977" s="76"/>
      <c r="P977" s="76"/>
      <c r="Q977" s="76"/>
      <c r="R977" s="76"/>
      <c r="S977" s="76"/>
      <c r="T977" s="76"/>
      <c r="U977" s="76"/>
      <c r="V977" s="76"/>
      <c r="W977" s="76"/>
      <c r="X977" s="76"/>
      <c r="Y977" s="76"/>
      <c r="Z977" s="76"/>
    </row>
    <row r="978" ht="22.5" customHeight="1">
      <c r="A978" s="140"/>
      <c r="B978" s="140"/>
      <c r="C978" s="141"/>
      <c r="D978" s="140"/>
      <c r="E978" s="76"/>
      <c r="F978" s="76"/>
      <c r="G978" s="76"/>
      <c r="H978" s="76"/>
      <c r="I978" s="76"/>
      <c r="J978" s="76"/>
      <c r="K978" s="76"/>
      <c r="L978" s="76"/>
      <c r="M978" s="76"/>
      <c r="N978" s="76"/>
      <c r="O978" s="76"/>
      <c r="P978" s="76"/>
      <c r="Q978" s="76"/>
      <c r="R978" s="76"/>
      <c r="S978" s="76"/>
      <c r="T978" s="76"/>
      <c r="U978" s="76"/>
      <c r="V978" s="76"/>
      <c r="W978" s="76"/>
      <c r="X978" s="76"/>
      <c r="Y978" s="76"/>
      <c r="Z978" s="76"/>
    </row>
    <row r="979" ht="22.5" customHeight="1">
      <c r="A979" s="140"/>
      <c r="B979" s="140"/>
      <c r="C979" s="141"/>
      <c r="D979" s="140"/>
      <c r="E979" s="76"/>
      <c r="F979" s="76"/>
      <c r="G979" s="76"/>
      <c r="H979" s="76"/>
      <c r="I979" s="76"/>
      <c r="J979" s="76"/>
      <c r="K979" s="76"/>
      <c r="L979" s="76"/>
      <c r="M979" s="76"/>
      <c r="N979" s="76"/>
      <c r="O979" s="76"/>
      <c r="P979" s="76"/>
      <c r="Q979" s="76"/>
      <c r="R979" s="76"/>
      <c r="S979" s="76"/>
      <c r="T979" s="76"/>
      <c r="U979" s="76"/>
      <c r="V979" s="76"/>
      <c r="W979" s="76"/>
      <c r="X979" s="76"/>
      <c r="Y979" s="76"/>
      <c r="Z979" s="76"/>
    </row>
    <row r="980" ht="22.5" customHeight="1">
      <c r="A980" s="140"/>
      <c r="B980" s="140"/>
      <c r="C980" s="141"/>
      <c r="D980" s="140"/>
      <c r="E980" s="76"/>
      <c r="F980" s="76"/>
      <c r="G980" s="76"/>
      <c r="H980" s="76"/>
      <c r="I980" s="76"/>
      <c r="J980" s="76"/>
      <c r="K980" s="76"/>
      <c r="L980" s="76"/>
      <c r="M980" s="76"/>
      <c r="N980" s="76"/>
      <c r="O980" s="76"/>
      <c r="P980" s="76"/>
      <c r="Q980" s="76"/>
      <c r="R980" s="76"/>
      <c r="S980" s="76"/>
      <c r="T980" s="76"/>
      <c r="U980" s="76"/>
      <c r="V980" s="76"/>
      <c r="W980" s="76"/>
      <c r="X980" s="76"/>
      <c r="Y980" s="76"/>
      <c r="Z980" s="76"/>
    </row>
    <row r="981" ht="22.5" customHeight="1">
      <c r="A981" s="140"/>
      <c r="B981" s="140"/>
      <c r="C981" s="141"/>
      <c r="D981" s="140"/>
      <c r="E981" s="76"/>
      <c r="F981" s="76"/>
      <c r="G981" s="76"/>
      <c r="H981" s="76"/>
      <c r="I981" s="76"/>
      <c r="J981" s="76"/>
      <c r="K981" s="76"/>
      <c r="L981" s="76"/>
      <c r="M981" s="76"/>
      <c r="N981" s="76"/>
      <c r="O981" s="76"/>
      <c r="P981" s="76"/>
      <c r="Q981" s="76"/>
      <c r="R981" s="76"/>
      <c r="S981" s="76"/>
      <c r="T981" s="76"/>
      <c r="U981" s="76"/>
      <c r="V981" s="76"/>
      <c r="W981" s="76"/>
      <c r="X981" s="76"/>
      <c r="Y981" s="76"/>
      <c r="Z981" s="76"/>
    </row>
    <row r="982" ht="22.5" customHeight="1">
      <c r="A982" s="140"/>
      <c r="B982" s="140"/>
      <c r="C982" s="141"/>
      <c r="D982" s="140"/>
      <c r="E982" s="76"/>
      <c r="F982" s="76"/>
      <c r="G982" s="76"/>
      <c r="H982" s="76"/>
      <c r="I982" s="76"/>
      <c r="J982" s="76"/>
      <c r="K982" s="76"/>
      <c r="L982" s="76"/>
      <c r="M982" s="76"/>
      <c r="N982" s="76"/>
      <c r="O982" s="76"/>
      <c r="P982" s="76"/>
      <c r="Q982" s="76"/>
      <c r="R982" s="76"/>
      <c r="S982" s="76"/>
      <c r="T982" s="76"/>
      <c r="U982" s="76"/>
      <c r="V982" s="76"/>
      <c r="W982" s="76"/>
      <c r="X982" s="76"/>
      <c r="Y982" s="76"/>
      <c r="Z982" s="76"/>
    </row>
    <row r="983" ht="22.5" customHeight="1">
      <c r="A983" s="140"/>
      <c r="B983" s="140"/>
      <c r="C983" s="141"/>
      <c r="D983" s="140"/>
      <c r="E983" s="76"/>
      <c r="F983" s="76"/>
      <c r="G983" s="76"/>
      <c r="H983" s="76"/>
      <c r="I983" s="76"/>
      <c r="J983" s="76"/>
      <c r="K983" s="76"/>
      <c r="L983" s="76"/>
      <c r="M983" s="76"/>
      <c r="N983" s="76"/>
      <c r="O983" s="76"/>
      <c r="P983" s="76"/>
      <c r="Q983" s="76"/>
      <c r="R983" s="76"/>
      <c r="S983" s="76"/>
      <c r="T983" s="76"/>
      <c r="U983" s="76"/>
      <c r="V983" s="76"/>
      <c r="W983" s="76"/>
      <c r="X983" s="76"/>
      <c r="Y983" s="76"/>
      <c r="Z983" s="76"/>
    </row>
    <row r="984" ht="22.5" customHeight="1">
      <c r="A984" s="140"/>
      <c r="B984" s="140"/>
      <c r="C984" s="141"/>
      <c r="D984" s="140"/>
      <c r="E984" s="76"/>
      <c r="F984" s="76"/>
      <c r="G984" s="76"/>
      <c r="H984" s="76"/>
      <c r="I984" s="76"/>
      <c r="J984" s="76"/>
      <c r="K984" s="76"/>
      <c r="L984" s="76"/>
      <c r="M984" s="76"/>
      <c r="N984" s="76"/>
      <c r="O984" s="76"/>
      <c r="P984" s="76"/>
      <c r="Q984" s="76"/>
      <c r="R984" s="76"/>
      <c r="S984" s="76"/>
      <c r="T984" s="76"/>
      <c r="U984" s="76"/>
      <c r="V984" s="76"/>
      <c r="W984" s="76"/>
      <c r="X984" s="76"/>
      <c r="Y984" s="76"/>
      <c r="Z984" s="76"/>
    </row>
    <row r="985" ht="22.5" customHeight="1">
      <c r="A985" s="140"/>
      <c r="B985" s="140"/>
      <c r="C985" s="141"/>
      <c r="D985" s="140"/>
      <c r="E985" s="76"/>
      <c r="F985" s="76"/>
      <c r="G985" s="76"/>
      <c r="H985" s="76"/>
      <c r="I985" s="76"/>
      <c r="J985" s="76"/>
      <c r="K985" s="76"/>
      <c r="L985" s="76"/>
      <c r="M985" s="76"/>
      <c r="N985" s="76"/>
      <c r="O985" s="76"/>
      <c r="P985" s="76"/>
      <c r="Q985" s="76"/>
      <c r="R985" s="76"/>
      <c r="S985" s="76"/>
      <c r="T985" s="76"/>
      <c r="U985" s="76"/>
      <c r="V985" s="76"/>
      <c r="W985" s="76"/>
      <c r="X985" s="76"/>
      <c r="Y985" s="76"/>
      <c r="Z985" s="76"/>
    </row>
    <row r="986" ht="22.5" customHeight="1">
      <c r="A986" s="140"/>
      <c r="B986" s="140"/>
      <c r="C986" s="141"/>
      <c r="D986" s="140"/>
      <c r="E986" s="76"/>
      <c r="F986" s="76"/>
      <c r="G986" s="76"/>
      <c r="H986" s="76"/>
      <c r="I986" s="76"/>
      <c r="J986" s="76"/>
      <c r="K986" s="76"/>
      <c r="L986" s="76"/>
      <c r="M986" s="76"/>
      <c r="N986" s="76"/>
      <c r="O986" s="76"/>
      <c r="P986" s="76"/>
      <c r="Q986" s="76"/>
      <c r="R986" s="76"/>
      <c r="S986" s="76"/>
      <c r="T986" s="76"/>
      <c r="U986" s="76"/>
      <c r="V986" s="76"/>
      <c r="W986" s="76"/>
      <c r="X986" s="76"/>
      <c r="Y986" s="76"/>
      <c r="Z986" s="76"/>
    </row>
    <row r="987" ht="22.5" customHeight="1">
      <c r="A987" s="140"/>
      <c r="B987" s="140"/>
      <c r="C987" s="141"/>
      <c r="D987" s="140"/>
      <c r="E987" s="76"/>
      <c r="F987" s="76"/>
      <c r="G987" s="76"/>
      <c r="H987" s="76"/>
      <c r="I987" s="76"/>
      <c r="J987" s="76"/>
      <c r="K987" s="76"/>
      <c r="L987" s="76"/>
      <c r="M987" s="76"/>
      <c r="N987" s="76"/>
      <c r="O987" s="76"/>
      <c r="P987" s="76"/>
      <c r="Q987" s="76"/>
      <c r="R987" s="76"/>
      <c r="S987" s="76"/>
      <c r="T987" s="76"/>
      <c r="U987" s="76"/>
      <c r="V987" s="76"/>
      <c r="W987" s="76"/>
      <c r="X987" s="76"/>
      <c r="Y987" s="76"/>
      <c r="Z987" s="76"/>
    </row>
    <row r="988" ht="22.5" customHeight="1">
      <c r="A988" s="140"/>
      <c r="B988" s="140"/>
      <c r="C988" s="141"/>
      <c r="D988" s="140"/>
      <c r="E988" s="76"/>
      <c r="F988" s="76"/>
      <c r="G988" s="76"/>
      <c r="H988" s="76"/>
      <c r="I988" s="76"/>
      <c r="J988" s="76"/>
      <c r="K988" s="76"/>
      <c r="L988" s="76"/>
      <c r="M988" s="76"/>
      <c r="N988" s="76"/>
      <c r="O988" s="76"/>
      <c r="P988" s="76"/>
      <c r="Q988" s="76"/>
      <c r="R988" s="76"/>
      <c r="S988" s="76"/>
      <c r="T988" s="76"/>
      <c r="U988" s="76"/>
      <c r="V988" s="76"/>
      <c r="W988" s="76"/>
      <c r="X988" s="76"/>
      <c r="Y988" s="76"/>
      <c r="Z988" s="76"/>
    </row>
    <row r="989" ht="22.5" customHeight="1">
      <c r="A989" s="140"/>
      <c r="B989" s="140"/>
      <c r="C989" s="141"/>
      <c r="D989" s="140"/>
      <c r="E989" s="76"/>
      <c r="F989" s="76"/>
      <c r="G989" s="76"/>
      <c r="H989" s="76"/>
      <c r="I989" s="76"/>
      <c r="J989" s="76"/>
      <c r="K989" s="76"/>
      <c r="L989" s="76"/>
      <c r="M989" s="76"/>
      <c r="N989" s="76"/>
      <c r="O989" s="76"/>
      <c r="P989" s="76"/>
      <c r="Q989" s="76"/>
      <c r="R989" s="76"/>
      <c r="S989" s="76"/>
      <c r="T989" s="76"/>
      <c r="U989" s="76"/>
      <c r="V989" s="76"/>
      <c r="W989" s="76"/>
      <c r="X989" s="76"/>
      <c r="Y989" s="76"/>
      <c r="Z989" s="76"/>
    </row>
    <row r="990" ht="22.5" customHeight="1">
      <c r="A990" s="140"/>
      <c r="B990" s="140"/>
      <c r="C990" s="141"/>
      <c r="D990" s="140"/>
      <c r="E990" s="76"/>
      <c r="F990" s="76"/>
      <c r="G990" s="76"/>
      <c r="H990" s="76"/>
      <c r="I990" s="76"/>
      <c r="J990" s="76"/>
      <c r="K990" s="76"/>
      <c r="L990" s="76"/>
      <c r="M990" s="76"/>
      <c r="N990" s="76"/>
      <c r="O990" s="76"/>
      <c r="P990" s="76"/>
      <c r="Q990" s="76"/>
      <c r="R990" s="76"/>
      <c r="S990" s="76"/>
      <c r="T990" s="76"/>
      <c r="U990" s="76"/>
      <c r="V990" s="76"/>
      <c r="W990" s="76"/>
      <c r="X990" s="76"/>
      <c r="Y990" s="76"/>
      <c r="Z990" s="76"/>
    </row>
    <row r="991" ht="22.5" customHeight="1">
      <c r="A991" s="140"/>
      <c r="B991" s="140"/>
      <c r="C991" s="141"/>
      <c r="D991" s="140"/>
      <c r="E991" s="76"/>
      <c r="F991" s="76"/>
      <c r="G991" s="76"/>
      <c r="H991" s="76"/>
      <c r="I991" s="76"/>
      <c r="J991" s="76"/>
      <c r="K991" s="76"/>
      <c r="L991" s="76"/>
      <c r="M991" s="76"/>
      <c r="N991" s="76"/>
      <c r="O991" s="76"/>
      <c r="P991" s="76"/>
      <c r="Q991" s="76"/>
      <c r="R991" s="76"/>
      <c r="S991" s="76"/>
      <c r="T991" s="76"/>
      <c r="U991" s="76"/>
      <c r="V991" s="76"/>
      <c r="W991" s="76"/>
      <c r="X991" s="76"/>
      <c r="Y991" s="76"/>
      <c r="Z991" s="76"/>
    </row>
    <row r="992" ht="22.5" customHeight="1">
      <c r="A992" s="140"/>
      <c r="B992" s="140"/>
      <c r="C992" s="141"/>
      <c r="D992" s="140"/>
      <c r="E992" s="76"/>
      <c r="F992" s="76"/>
      <c r="G992" s="76"/>
      <c r="H992" s="76"/>
      <c r="I992" s="76"/>
      <c r="J992" s="76"/>
      <c r="K992" s="76"/>
      <c r="L992" s="76"/>
      <c r="M992" s="76"/>
      <c r="N992" s="76"/>
      <c r="O992" s="76"/>
      <c r="P992" s="76"/>
      <c r="Q992" s="76"/>
      <c r="R992" s="76"/>
      <c r="S992" s="76"/>
      <c r="T992" s="76"/>
      <c r="U992" s="76"/>
      <c r="V992" s="76"/>
      <c r="W992" s="76"/>
      <c r="X992" s="76"/>
      <c r="Y992" s="76"/>
      <c r="Z992" s="76"/>
    </row>
    <row r="993" ht="22.5" customHeight="1">
      <c r="A993" s="140"/>
      <c r="B993" s="140"/>
      <c r="C993" s="141"/>
      <c r="D993" s="140"/>
      <c r="E993" s="76"/>
      <c r="F993" s="76"/>
      <c r="G993" s="76"/>
      <c r="H993" s="76"/>
      <c r="I993" s="76"/>
      <c r="J993" s="76"/>
      <c r="K993" s="76"/>
      <c r="L993" s="76"/>
      <c r="M993" s="76"/>
      <c r="N993" s="76"/>
      <c r="O993" s="76"/>
      <c r="P993" s="76"/>
      <c r="Q993" s="76"/>
      <c r="R993" s="76"/>
      <c r="S993" s="76"/>
      <c r="T993" s="76"/>
      <c r="U993" s="76"/>
      <c r="V993" s="76"/>
      <c r="W993" s="76"/>
      <c r="X993" s="76"/>
      <c r="Y993" s="76"/>
      <c r="Z993" s="76"/>
    </row>
    <row r="994" ht="22.5" customHeight="1">
      <c r="A994" s="140"/>
      <c r="B994" s="140"/>
      <c r="C994" s="141"/>
      <c r="D994" s="140"/>
      <c r="E994" s="76"/>
      <c r="F994" s="76"/>
      <c r="G994" s="76"/>
      <c r="H994" s="76"/>
      <c r="I994" s="76"/>
      <c r="J994" s="76"/>
      <c r="K994" s="76"/>
      <c r="L994" s="76"/>
      <c r="M994" s="76"/>
      <c r="N994" s="76"/>
      <c r="O994" s="76"/>
      <c r="P994" s="76"/>
      <c r="Q994" s="76"/>
      <c r="R994" s="76"/>
      <c r="S994" s="76"/>
      <c r="T994" s="76"/>
      <c r="U994" s="76"/>
      <c r="V994" s="76"/>
      <c r="W994" s="76"/>
      <c r="X994" s="76"/>
      <c r="Y994" s="76"/>
      <c r="Z994" s="76"/>
    </row>
    <row r="995" ht="22.5" customHeight="1">
      <c r="A995" s="140"/>
      <c r="B995" s="140"/>
      <c r="C995" s="141"/>
      <c r="D995" s="140"/>
      <c r="E995" s="76"/>
      <c r="F995" s="76"/>
      <c r="G995" s="76"/>
      <c r="H995" s="76"/>
      <c r="I995" s="76"/>
      <c r="J995" s="76"/>
      <c r="K995" s="76"/>
      <c r="L995" s="76"/>
      <c r="M995" s="76"/>
      <c r="N995" s="76"/>
      <c r="O995" s="76"/>
      <c r="P995" s="76"/>
      <c r="Q995" s="76"/>
      <c r="R995" s="76"/>
      <c r="S995" s="76"/>
      <c r="T995" s="76"/>
      <c r="U995" s="76"/>
      <c r="V995" s="76"/>
      <c r="W995" s="76"/>
      <c r="X995" s="76"/>
      <c r="Y995" s="76"/>
      <c r="Z995" s="76"/>
    </row>
    <row r="996" ht="22.5" customHeight="1">
      <c r="A996" s="140"/>
      <c r="B996" s="140"/>
      <c r="C996" s="141"/>
      <c r="D996" s="140"/>
      <c r="E996" s="76"/>
      <c r="F996" s="76"/>
      <c r="G996" s="76"/>
      <c r="H996" s="76"/>
      <c r="I996" s="76"/>
      <c r="J996" s="76"/>
      <c r="K996" s="76"/>
      <c r="L996" s="76"/>
      <c r="M996" s="76"/>
      <c r="N996" s="76"/>
      <c r="O996" s="76"/>
      <c r="P996" s="76"/>
      <c r="Q996" s="76"/>
      <c r="R996" s="76"/>
      <c r="S996" s="76"/>
      <c r="T996" s="76"/>
      <c r="U996" s="76"/>
      <c r="V996" s="76"/>
      <c r="W996" s="76"/>
      <c r="X996" s="76"/>
      <c r="Y996" s="76"/>
      <c r="Z996" s="76"/>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0"/>
    <col customWidth="1" min="2" max="2" width="12.63"/>
    <col customWidth="1" min="3" max="3" width="20.25"/>
    <col customWidth="1" min="4" max="4" width="44.38"/>
  </cols>
  <sheetData>
    <row r="1">
      <c r="A1" s="144" t="s">
        <v>6506</v>
      </c>
      <c r="B1" s="144" t="s">
        <v>6507</v>
      </c>
      <c r="C1" s="144" t="s">
        <v>6508</v>
      </c>
      <c r="D1" s="144" t="s">
        <v>6509</v>
      </c>
    </row>
    <row r="2">
      <c r="A2" s="144" t="s">
        <v>6510</v>
      </c>
      <c r="B2" s="144" t="s">
        <v>6511</v>
      </c>
      <c r="C2" s="144" t="s">
        <v>6512</v>
      </c>
      <c r="D2" s="145" t="s">
        <v>6513</v>
      </c>
    </row>
    <row r="3">
      <c r="A3" s="144" t="s">
        <v>5106</v>
      </c>
      <c r="B3" s="144" t="s">
        <v>6511</v>
      </c>
      <c r="C3" s="144" t="s">
        <v>6514</v>
      </c>
      <c r="D3" s="145" t="s">
        <v>6515</v>
      </c>
    </row>
    <row r="4">
      <c r="A4" s="144" t="s">
        <v>5107</v>
      </c>
      <c r="B4" s="144" t="s">
        <v>6511</v>
      </c>
      <c r="C4" s="144" t="s">
        <v>6516</v>
      </c>
      <c r="D4" s="145" t="s">
        <v>6517</v>
      </c>
    </row>
    <row r="5">
      <c r="A5" s="144" t="s">
        <v>5108</v>
      </c>
      <c r="B5" s="144" t="s">
        <v>6511</v>
      </c>
      <c r="C5" s="144" t="s">
        <v>6518</v>
      </c>
      <c r="D5" s="145" t="s">
        <v>6519</v>
      </c>
    </row>
    <row r="6">
      <c r="A6" s="144" t="s">
        <v>5109</v>
      </c>
      <c r="B6" s="144" t="s">
        <v>6511</v>
      </c>
      <c r="C6" s="144" t="s">
        <v>6520</v>
      </c>
      <c r="D6" s="145" t="s">
        <v>6521</v>
      </c>
    </row>
    <row r="7">
      <c r="A7" s="144" t="s">
        <v>6522</v>
      </c>
      <c r="B7" s="144" t="s">
        <v>6511</v>
      </c>
      <c r="C7" s="144" t="s">
        <v>6523</v>
      </c>
      <c r="D7" s="145" t="s">
        <v>6524</v>
      </c>
    </row>
    <row r="8">
      <c r="A8" s="144" t="s">
        <v>5111</v>
      </c>
      <c r="B8" s="144" t="s">
        <v>6511</v>
      </c>
      <c r="C8" s="144" t="s">
        <v>6525</v>
      </c>
      <c r="D8" s="145" t="s">
        <v>6526</v>
      </c>
    </row>
    <row r="9">
      <c r="A9" s="144" t="s">
        <v>5112</v>
      </c>
      <c r="B9" s="144" t="s">
        <v>6511</v>
      </c>
      <c r="C9" s="144" t="s">
        <v>6527</v>
      </c>
      <c r="D9" s="145" t="s">
        <v>6528</v>
      </c>
    </row>
    <row r="10">
      <c r="A10" s="144" t="s">
        <v>5113</v>
      </c>
      <c r="B10" s="144" t="s">
        <v>6511</v>
      </c>
      <c r="C10" s="144" t="s">
        <v>6529</v>
      </c>
      <c r="D10" s="145" t="s">
        <v>6530</v>
      </c>
    </row>
    <row r="11">
      <c r="A11" s="144" t="s">
        <v>5114</v>
      </c>
      <c r="B11" s="144" t="s">
        <v>6511</v>
      </c>
      <c r="C11" s="144" t="s">
        <v>6531</v>
      </c>
      <c r="D11" s="145" t="s">
        <v>6532</v>
      </c>
    </row>
    <row r="12">
      <c r="A12" s="144" t="s">
        <v>5115</v>
      </c>
      <c r="B12" s="144" t="s">
        <v>6511</v>
      </c>
      <c r="C12" s="144" t="s">
        <v>6533</v>
      </c>
      <c r="D12" s="145" t="s">
        <v>6534</v>
      </c>
    </row>
    <row r="13">
      <c r="A13" s="144" t="s">
        <v>5116</v>
      </c>
      <c r="B13" s="144" t="s">
        <v>6511</v>
      </c>
      <c r="C13" s="144" t="s">
        <v>6535</v>
      </c>
      <c r="D13" s="145" t="s">
        <v>6536</v>
      </c>
    </row>
    <row r="14">
      <c r="A14" s="144" t="s">
        <v>5117</v>
      </c>
      <c r="B14" s="144" t="s">
        <v>6511</v>
      </c>
      <c r="C14" s="144" t="s">
        <v>6537</v>
      </c>
      <c r="D14" s="145" t="s">
        <v>6538</v>
      </c>
    </row>
    <row r="15">
      <c r="A15" s="144" t="s">
        <v>5118</v>
      </c>
      <c r="B15" s="144" t="s">
        <v>6511</v>
      </c>
      <c r="C15" s="144" t="s">
        <v>6525</v>
      </c>
      <c r="D15" s="145" t="s">
        <v>6539</v>
      </c>
    </row>
    <row r="16">
      <c r="A16" s="144" t="s">
        <v>6540</v>
      </c>
      <c r="B16" s="144" t="s">
        <v>6511</v>
      </c>
      <c r="C16" s="144" t="s">
        <v>6541</v>
      </c>
      <c r="D16" s="145" t="s">
        <v>6542</v>
      </c>
    </row>
    <row r="17">
      <c r="A17" s="144" t="s">
        <v>5123</v>
      </c>
      <c r="B17" s="144" t="s">
        <v>6511</v>
      </c>
      <c r="C17" s="144" t="s">
        <v>6543</v>
      </c>
      <c r="D17" s="145" t="s">
        <v>6544</v>
      </c>
    </row>
    <row r="18">
      <c r="A18" s="144" t="s">
        <v>5124</v>
      </c>
      <c r="B18" s="144" t="s">
        <v>6511</v>
      </c>
      <c r="C18" s="144" t="s">
        <v>6545</v>
      </c>
      <c r="D18" s="145" t="s">
        <v>6546</v>
      </c>
    </row>
    <row r="19">
      <c r="A19" s="144" t="s">
        <v>5125</v>
      </c>
      <c r="B19" s="144" t="s">
        <v>6511</v>
      </c>
      <c r="C19" s="144" t="s">
        <v>6547</v>
      </c>
      <c r="D19" s="145" t="s">
        <v>6548</v>
      </c>
    </row>
    <row r="20">
      <c r="A20" s="144" t="s">
        <v>5126</v>
      </c>
      <c r="B20" s="144" t="s">
        <v>6511</v>
      </c>
      <c r="C20" s="144" t="s">
        <v>6549</v>
      </c>
      <c r="D20" s="145" t="s">
        <v>6550</v>
      </c>
    </row>
    <row r="21">
      <c r="A21" s="144" t="s">
        <v>5128</v>
      </c>
      <c r="B21" s="144" t="s">
        <v>6511</v>
      </c>
      <c r="C21" s="144" t="s">
        <v>6551</v>
      </c>
      <c r="D21" s="145" t="s">
        <v>6552</v>
      </c>
    </row>
    <row r="22">
      <c r="A22" s="144" t="s">
        <v>5129</v>
      </c>
      <c r="B22" s="144" t="s">
        <v>6511</v>
      </c>
      <c r="C22" s="144" t="s">
        <v>6553</v>
      </c>
      <c r="D22" s="145" t="s">
        <v>6554</v>
      </c>
    </row>
    <row r="23">
      <c r="A23" s="144" t="s">
        <v>5130</v>
      </c>
      <c r="B23" s="144" t="s">
        <v>6511</v>
      </c>
      <c r="C23" s="144" t="s">
        <v>6555</v>
      </c>
      <c r="D23" s="145" t="s">
        <v>6556</v>
      </c>
    </row>
    <row r="24">
      <c r="A24" s="144" t="s">
        <v>5131</v>
      </c>
      <c r="B24" s="144" t="s">
        <v>6511</v>
      </c>
      <c r="C24" s="144" t="s">
        <v>6557</v>
      </c>
      <c r="D24" s="145" t="s">
        <v>6558</v>
      </c>
    </row>
    <row r="25">
      <c r="A25" s="144" t="s">
        <v>6559</v>
      </c>
      <c r="B25" s="144" t="s">
        <v>6511</v>
      </c>
      <c r="C25" s="144" t="s">
        <v>6560</v>
      </c>
      <c r="D25" s="145" t="s">
        <v>6561</v>
      </c>
    </row>
    <row r="26">
      <c r="A26" s="144" t="s">
        <v>5135</v>
      </c>
      <c r="B26" s="144" t="s">
        <v>6511</v>
      </c>
      <c r="C26" s="144" t="s">
        <v>6562</v>
      </c>
      <c r="D26" s="145" t="s">
        <v>6563</v>
      </c>
    </row>
    <row r="27">
      <c r="A27" s="144" t="s">
        <v>5137</v>
      </c>
      <c r="B27" s="144" t="s">
        <v>6511</v>
      </c>
      <c r="C27" s="144" t="s">
        <v>6564</v>
      </c>
      <c r="D27" s="145" t="s">
        <v>6565</v>
      </c>
    </row>
    <row r="28">
      <c r="A28" s="144" t="s">
        <v>5141</v>
      </c>
      <c r="B28" s="144" t="s">
        <v>6511</v>
      </c>
      <c r="C28" s="144" t="s">
        <v>6566</v>
      </c>
      <c r="D28" s="145" t="s">
        <v>6567</v>
      </c>
    </row>
    <row r="29">
      <c r="A29" s="144" t="s">
        <v>5142</v>
      </c>
      <c r="B29" s="144" t="s">
        <v>6511</v>
      </c>
      <c r="C29" s="144" t="s">
        <v>6568</v>
      </c>
      <c r="D29" s="145" t="s">
        <v>6569</v>
      </c>
    </row>
    <row r="30">
      <c r="A30" s="144" t="s">
        <v>5147</v>
      </c>
      <c r="B30" s="144" t="s">
        <v>6511</v>
      </c>
      <c r="C30" s="144" t="s">
        <v>6570</v>
      </c>
      <c r="D30" s="145" t="s">
        <v>6571</v>
      </c>
    </row>
    <row r="31">
      <c r="A31" s="144" t="s">
        <v>5148</v>
      </c>
      <c r="B31" s="144" t="s">
        <v>6511</v>
      </c>
      <c r="C31" s="144" t="s">
        <v>6572</v>
      </c>
      <c r="D31" s="145" t="s">
        <v>6573</v>
      </c>
    </row>
    <row r="32">
      <c r="A32" s="144" t="s">
        <v>5149</v>
      </c>
      <c r="B32" s="144" t="s">
        <v>6511</v>
      </c>
      <c r="C32" s="144" t="s">
        <v>6574</v>
      </c>
      <c r="D32" s="145" t="s">
        <v>6575</v>
      </c>
    </row>
    <row r="33">
      <c r="A33" s="144" t="s">
        <v>5150</v>
      </c>
      <c r="B33" s="144" t="s">
        <v>6511</v>
      </c>
      <c r="C33" s="144" t="s">
        <v>6576</v>
      </c>
      <c r="D33" s="145" t="s">
        <v>6577</v>
      </c>
    </row>
    <row r="34">
      <c r="A34" s="144" t="s">
        <v>5151</v>
      </c>
      <c r="B34" s="144" t="s">
        <v>6511</v>
      </c>
      <c r="C34" s="144" t="s">
        <v>6578</v>
      </c>
      <c r="D34" s="145" t="s">
        <v>6579</v>
      </c>
    </row>
    <row r="35">
      <c r="A35" s="144" t="s">
        <v>5156</v>
      </c>
      <c r="B35" s="144" t="s">
        <v>6511</v>
      </c>
      <c r="C35" s="144" t="s">
        <v>6580</v>
      </c>
      <c r="D35" s="145" t="s">
        <v>6581</v>
      </c>
    </row>
    <row r="36">
      <c r="A36" s="144" t="s">
        <v>5157</v>
      </c>
      <c r="B36" s="144" t="s">
        <v>6511</v>
      </c>
      <c r="C36" s="144" t="s">
        <v>6582</v>
      </c>
      <c r="D36" s="145" t="s">
        <v>6583</v>
      </c>
    </row>
    <row r="37">
      <c r="A37" s="144" t="s">
        <v>5158</v>
      </c>
      <c r="B37" s="144" t="s">
        <v>6511</v>
      </c>
      <c r="C37" s="144" t="s">
        <v>6584</v>
      </c>
      <c r="D37" s="145" t="s">
        <v>6585</v>
      </c>
    </row>
    <row r="38">
      <c r="A38" s="144" t="s">
        <v>5161</v>
      </c>
      <c r="B38" s="144" t="s">
        <v>6511</v>
      </c>
      <c r="C38" s="144" t="s">
        <v>6586</v>
      </c>
      <c r="D38" s="145" t="s">
        <v>6587</v>
      </c>
    </row>
    <row r="39">
      <c r="A39" s="144" t="s">
        <v>5162</v>
      </c>
      <c r="B39" s="144" t="s">
        <v>6511</v>
      </c>
      <c r="C39" s="144" t="s">
        <v>6588</v>
      </c>
      <c r="D39" s="145" t="s">
        <v>6589</v>
      </c>
    </row>
    <row r="40">
      <c r="A40" s="144" t="s">
        <v>5163</v>
      </c>
      <c r="B40" s="144" t="s">
        <v>6511</v>
      </c>
      <c r="C40" s="144" t="s">
        <v>6590</v>
      </c>
      <c r="D40" s="145" t="s">
        <v>6591</v>
      </c>
    </row>
    <row r="41">
      <c r="A41" s="144" t="s">
        <v>5164</v>
      </c>
      <c r="B41" s="144" t="s">
        <v>6511</v>
      </c>
      <c r="C41" s="144" t="s">
        <v>6592</v>
      </c>
      <c r="D41" s="145" t="s">
        <v>6593</v>
      </c>
    </row>
    <row r="42">
      <c r="A42" s="144" t="s">
        <v>5165</v>
      </c>
      <c r="B42" s="144" t="s">
        <v>6511</v>
      </c>
      <c r="C42" s="144" t="s">
        <v>6594</v>
      </c>
      <c r="D42" s="145" t="s">
        <v>6595</v>
      </c>
    </row>
    <row r="43">
      <c r="A43" s="144" t="s">
        <v>5167</v>
      </c>
      <c r="B43" s="144" t="s">
        <v>6511</v>
      </c>
      <c r="C43" s="144" t="s">
        <v>6596</v>
      </c>
      <c r="D43" s="145" t="s">
        <v>6597</v>
      </c>
    </row>
    <row r="44">
      <c r="A44" s="144" t="s">
        <v>5168</v>
      </c>
      <c r="B44" s="144" t="s">
        <v>6511</v>
      </c>
      <c r="C44" s="144" t="s">
        <v>6598</v>
      </c>
      <c r="D44" s="145" t="s">
        <v>6599</v>
      </c>
    </row>
    <row r="45">
      <c r="A45" s="144" t="s">
        <v>5169</v>
      </c>
      <c r="B45" s="144" t="s">
        <v>6511</v>
      </c>
      <c r="C45" s="144" t="s">
        <v>6600</v>
      </c>
      <c r="D45" s="145" t="s">
        <v>6601</v>
      </c>
    </row>
    <row r="46">
      <c r="A46" s="144" t="s">
        <v>5170</v>
      </c>
      <c r="B46" s="144" t="s">
        <v>6511</v>
      </c>
      <c r="C46" s="144" t="s">
        <v>6602</v>
      </c>
      <c r="D46" s="145" t="s">
        <v>6603</v>
      </c>
    </row>
    <row r="47">
      <c r="A47" s="144" t="s">
        <v>5171</v>
      </c>
      <c r="B47" s="144" t="s">
        <v>6511</v>
      </c>
      <c r="C47" s="144" t="s">
        <v>6596</v>
      </c>
      <c r="D47" s="145" t="s">
        <v>6604</v>
      </c>
    </row>
    <row r="48">
      <c r="A48" s="144" t="s">
        <v>5173</v>
      </c>
      <c r="B48" s="144" t="s">
        <v>6511</v>
      </c>
      <c r="C48" s="144" t="s">
        <v>6547</v>
      </c>
      <c r="D48" s="145" t="s">
        <v>6605</v>
      </c>
    </row>
    <row r="49">
      <c r="A49" s="144" t="s">
        <v>5178</v>
      </c>
      <c r="B49" s="144" t="s">
        <v>6511</v>
      </c>
      <c r="C49" s="144" t="s">
        <v>6606</v>
      </c>
      <c r="D49" s="145" t="s">
        <v>6607</v>
      </c>
    </row>
    <row r="50">
      <c r="A50" s="144" t="s">
        <v>5182</v>
      </c>
      <c r="B50" s="144" t="s">
        <v>6511</v>
      </c>
      <c r="C50" s="144" t="s">
        <v>6608</v>
      </c>
      <c r="D50" s="145" t="s">
        <v>6609</v>
      </c>
    </row>
    <row r="51">
      <c r="A51" s="144" t="s">
        <v>5183</v>
      </c>
      <c r="B51" s="144" t="s">
        <v>6511</v>
      </c>
      <c r="C51" s="144" t="s">
        <v>6610</v>
      </c>
      <c r="D51" s="145" t="s">
        <v>6611</v>
      </c>
    </row>
    <row r="52">
      <c r="A52" s="144" t="s">
        <v>5184</v>
      </c>
      <c r="B52" s="144" t="s">
        <v>6511</v>
      </c>
      <c r="C52" s="144" t="s">
        <v>6612</v>
      </c>
      <c r="D52" s="145" t="s">
        <v>6613</v>
      </c>
    </row>
    <row r="53">
      <c r="A53" s="144" t="s">
        <v>5185</v>
      </c>
      <c r="B53" s="144" t="s">
        <v>6511</v>
      </c>
      <c r="C53" s="144" t="s">
        <v>6614</v>
      </c>
      <c r="D53" s="145" t="s">
        <v>6615</v>
      </c>
    </row>
    <row r="54">
      <c r="A54" s="144" t="s">
        <v>5186</v>
      </c>
      <c r="B54" s="144" t="s">
        <v>6511</v>
      </c>
      <c r="C54" s="144" t="s">
        <v>6545</v>
      </c>
      <c r="D54" s="145" t="s">
        <v>6616</v>
      </c>
    </row>
    <row r="55">
      <c r="A55" s="144" t="s">
        <v>5187</v>
      </c>
      <c r="B55" s="144" t="s">
        <v>6511</v>
      </c>
      <c r="C55" s="144" t="s">
        <v>6617</v>
      </c>
      <c r="D55" s="145" t="s">
        <v>6618</v>
      </c>
    </row>
    <row r="56">
      <c r="A56" s="144" t="s">
        <v>5190</v>
      </c>
      <c r="B56" s="144" t="s">
        <v>6511</v>
      </c>
      <c r="C56" s="144" t="s">
        <v>6619</v>
      </c>
      <c r="D56" s="145" t="s">
        <v>6620</v>
      </c>
    </row>
    <row r="57">
      <c r="A57" s="144" t="s">
        <v>5192</v>
      </c>
      <c r="B57" s="144" t="s">
        <v>6511</v>
      </c>
      <c r="C57" s="144" t="s">
        <v>6621</v>
      </c>
      <c r="D57" s="145" t="s">
        <v>6622</v>
      </c>
    </row>
    <row r="58">
      <c r="A58" s="144" t="s">
        <v>5195</v>
      </c>
      <c r="B58" s="144" t="s">
        <v>6511</v>
      </c>
      <c r="C58" s="144" t="s">
        <v>6623</v>
      </c>
      <c r="D58" s="145" t="s">
        <v>6624</v>
      </c>
    </row>
    <row r="59">
      <c r="A59" s="144" t="s">
        <v>5197</v>
      </c>
      <c r="B59" s="144" t="s">
        <v>6511</v>
      </c>
      <c r="C59" s="144" t="s">
        <v>6625</v>
      </c>
      <c r="D59" s="145" t="s">
        <v>6626</v>
      </c>
    </row>
    <row r="60">
      <c r="A60" s="144" t="s">
        <v>5198</v>
      </c>
      <c r="B60" s="144" t="s">
        <v>6511</v>
      </c>
      <c r="C60" s="144" t="s">
        <v>6627</v>
      </c>
      <c r="D60" s="145" t="s">
        <v>6628</v>
      </c>
    </row>
    <row r="61">
      <c r="A61" s="144" t="s">
        <v>5201</v>
      </c>
      <c r="B61" s="144" t="s">
        <v>6511</v>
      </c>
      <c r="C61" s="144" t="s">
        <v>6629</v>
      </c>
      <c r="D61" s="145" t="s">
        <v>6630</v>
      </c>
    </row>
    <row r="62">
      <c r="A62" s="144" t="s">
        <v>5202</v>
      </c>
      <c r="B62" s="144" t="s">
        <v>6511</v>
      </c>
      <c r="C62" s="144" t="s">
        <v>6631</v>
      </c>
      <c r="D62" s="145" t="s">
        <v>6632</v>
      </c>
    </row>
    <row r="63">
      <c r="A63" s="144" t="s">
        <v>5203</v>
      </c>
      <c r="B63" s="144" t="s">
        <v>6511</v>
      </c>
      <c r="C63" s="144" t="s">
        <v>6633</v>
      </c>
      <c r="D63" s="145" t="s">
        <v>6634</v>
      </c>
    </row>
    <row r="64">
      <c r="A64" s="144" t="s">
        <v>5204</v>
      </c>
      <c r="B64" s="144" t="s">
        <v>6511</v>
      </c>
      <c r="C64" s="144" t="s">
        <v>6635</v>
      </c>
      <c r="D64" s="145" t="s">
        <v>6636</v>
      </c>
    </row>
    <row r="65">
      <c r="A65" s="144" t="s">
        <v>6637</v>
      </c>
      <c r="B65" s="144" t="s">
        <v>6511</v>
      </c>
      <c r="C65" s="144" t="s">
        <v>6638</v>
      </c>
      <c r="D65" s="145" t="s">
        <v>6639</v>
      </c>
    </row>
    <row r="66">
      <c r="A66" s="144" t="s">
        <v>6640</v>
      </c>
      <c r="B66" s="144" t="s">
        <v>6511</v>
      </c>
      <c r="C66" s="144" t="s">
        <v>6641</v>
      </c>
      <c r="D66" s="145" t="s">
        <v>6642</v>
      </c>
    </row>
    <row r="67">
      <c r="A67" s="144" t="s">
        <v>5210</v>
      </c>
      <c r="B67" s="144" t="s">
        <v>6511</v>
      </c>
      <c r="C67" s="144" t="s">
        <v>6643</v>
      </c>
      <c r="D67" s="145" t="s">
        <v>6644</v>
      </c>
    </row>
    <row r="68">
      <c r="A68" s="144" t="s">
        <v>5211</v>
      </c>
      <c r="B68" s="144" t="s">
        <v>6511</v>
      </c>
      <c r="C68" s="144" t="s">
        <v>6645</v>
      </c>
      <c r="D68" s="145" t="s">
        <v>6646</v>
      </c>
    </row>
    <row r="69">
      <c r="A69" s="144" t="s">
        <v>6647</v>
      </c>
      <c r="B69" s="144" t="s">
        <v>6511</v>
      </c>
      <c r="C69" s="144" t="s">
        <v>6648</v>
      </c>
      <c r="D69" s="145" t="s">
        <v>6649</v>
      </c>
    </row>
    <row r="70">
      <c r="A70" s="144" t="s">
        <v>5225</v>
      </c>
      <c r="B70" s="144" t="s">
        <v>6511</v>
      </c>
      <c r="C70" s="144" t="s">
        <v>6650</v>
      </c>
      <c r="D70" s="145" t="s">
        <v>6651</v>
      </c>
    </row>
    <row r="71">
      <c r="A71" s="144" t="s">
        <v>6652</v>
      </c>
      <c r="B71" s="144" t="s">
        <v>6511</v>
      </c>
      <c r="C71" s="144" t="s">
        <v>6653</v>
      </c>
      <c r="D71" s="145" t="s">
        <v>6654</v>
      </c>
    </row>
    <row r="72">
      <c r="A72" s="144" t="s">
        <v>6655</v>
      </c>
      <c r="B72" s="144" t="s">
        <v>6511</v>
      </c>
      <c r="C72" s="144" t="s">
        <v>6592</v>
      </c>
      <c r="D72" s="145" t="s">
        <v>6656</v>
      </c>
    </row>
    <row r="73">
      <c r="A73" s="144" t="s">
        <v>5229</v>
      </c>
      <c r="B73" s="144" t="s">
        <v>6511</v>
      </c>
      <c r="C73" s="144" t="s">
        <v>6657</v>
      </c>
      <c r="D73" s="145" t="s">
        <v>6658</v>
      </c>
    </row>
    <row r="74">
      <c r="A74" s="144" t="s">
        <v>5230</v>
      </c>
      <c r="B74" s="144" t="s">
        <v>6511</v>
      </c>
      <c r="C74" s="144" t="s">
        <v>6659</v>
      </c>
      <c r="D74" s="145" t="s">
        <v>6660</v>
      </c>
    </row>
    <row r="75">
      <c r="A75" s="144" t="s">
        <v>5231</v>
      </c>
      <c r="B75" s="144" t="s">
        <v>6511</v>
      </c>
      <c r="C75" s="144" t="s">
        <v>6661</v>
      </c>
      <c r="D75" s="145" t="s">
        <v>6662</v>
      </c>
    </row>
    <row r="76">
      <c r="A76" s="144" t="s">
        <v>5241</v>
      </c>
      <c r="B76" s="144" t="s">
        <v>6511</v>
      </c>
      <c r="C76" s="144" t="s">
        <v>6663</v>
      </c>
      <c r="D76" s="145" t="s">
        <v>6664</v>
      </c>
    </row>
    <row r="77">
      <c r="A77" s="144" t="s">
        <v>5242</v>
      </c>
      <c r="B77" s="144" t="s">
        <v>6511</v>
      </c>
      <c r="C77" s="144" t="s">
        <v>6665</v>
      </c>
      <c r="D77" s="145" t="s">
        <v>6666</v>
      </c>
    </row>
    <row r="78">
      <c r="A78" s="144" t="s">
        <v>5247</v>
      </c>
      <c r="B78" s="144" t="s">
        <v>6511</v>
      </c>
      <c r="C78" s="144" t="s">
        <v>6667</v>
      </c>
      <c r="D78" s="145" t="s">
        <v>6668</v>
      </c>
    </row>
    <row r="79">
      <c r="A79" s="144" t="s">
        <v>5248</v>
      </c>
      <c r="B79" s="144" t="s">
        <v>6511</v>
      </c>
      <c r="C79" s="144" t="s">
        <v>6669</v>
      </c>
      <c r="D79" s="145" t="s">
        <v>6670</v>
      </c>
    </row>
    <row r="80">
      <c r="A80" s="144" t="s">
        <v>5249</v>
      </c>
      <c r="B80" s="144" t="s">
        <v>6511</v>
      </c>
      <c r="C80" s="144" t="s">
        <v>6671</v>
      </c>
      <c r="D80" s="145" t="s">
        <v>6672</v>
      </c>
    </row>
    <row r="81">
      <c r="A81" s="144" t="s">
        <v>5250</v>
      </c>
      <c r="B81" s="144" t="s">
        <v>6511</v>
      </c>
      <c r="C81" s="144" t="s">
        <v>6673</v>
      </c>
      <c r="D81" s="145" t="s">
        <v>6674</v>
      </c>
    </row>
    <row r="82">
      <c r="A82" s="144" t="s">
        <v>6675</v>
      </c>
      <c r="B82" s="144" t="s">
        <v>6511</v>
      </c>
      <c r="C82" s="144" t="s">
        <v>6676</v>
      </c>
      <c r="D82" s="145" t="s">
        <v>6677</v>
      </c>
    </row>
    <row r="83">
      <c r="A83" s="144" t="s">
        <v>6678</v>
      </c>
      <c r="B83" s="144" t="s">
        <v>6511</v>
      </c>
      <c r="C83" s="144" t="s">
        <v>6679</v>
      </c>
      <c r="D83" s="145" t="s">
        <v>6680</v>
      </c>
    </row>
    <row r="84">
      <c r="A84" s="144" t="s">
        <v>6681</v>
      </c>
      <c r="B84" s="144" t="s">
        <v>6511</v>
      </c>
      <c r="C84" s="144" t="s">
        <v>6641</v>
      </c>
      <c r="D84" s="145" t="s">
        <v>6682</v>
      </c>
    </row>
    <row r="85">
      <c r="A85" s="144" t="s">
        <v>5254</v>
      </c>
      <c r="B85" s="144" t="s">
        <v>6511</v>
      </c>
      <c r="C85" s="144" t="s">
        <v>6683</v>
      </c>
      <c r="D85" s="145" t="s">
        <v>6684</v>
      </c>
    </row>
    <row r="86">
      <c r="A86" s="144" t="s">
        <v>5257</v>
      </c>
      <c r="B86" s="144" t="s">
        <v>6511</v>
      </c>
      <c r="C86" s="144" t="s">
        <v>6685</v>
      </c>
      <c r="D86" s="145" t="s">
        <v>6686</v>
      </c>
    </row>
    <row r="87">
      <c r="A87" s="144" t="s">
        <v>6687</v>
      </c>
      <c r="B87" s="144" t="s">
        <v>6511</v>
      </c>
      <c r="C87" s="144" t="s">
        <v>6688</v>
      </c>
      <c r="D87" s="145" t="s">
        <v>6689</v>
      </c>
    </row>
    <row r="88">
      <c r="A88" s="144" t="s">
        <v>6690</v>
      </c>
      <c r="B88" s="144" t="s">
        <v>6511</v>
      </c>
      <c r="C88" s="144" t="s">
        <v>6691</v>
      </c>
      <c r="D88" s="145" t="s">
        <v>6692</v>
      </c>
    </row>
    <row r="89">
      <c r="A89" s="144" t="s">
        <v>5260</v>
      </c>
      <c r="B89" s="144" t="s">
        <v>6511</v>
      </c>
      <c r="C89" s="144" t="s">
        <v>6693</v>
      </c>
      <c r="D89" s="145" t="s">
        <v>6694</v>
      </c>
    </row>
    <row r="90">
      <c r="A90" s="144" t="s">
        <v>5261</v>
      </c>
      <c r="B90" s="144" t="s">
        <v>6511</v>
      </c>
      <c r="C90" s="144" t="s">
        <v>6695</v>
      </c>
      <c r="D90" s="145" t="s">
        <v>6696</v>
      </c>
    </row>
    <row r="91">
      <c r="A91" s="144" t="s">
        <v>5262</v>
      </c>
      <c r="B91" s="144" t="s">
        <v>6511</v>
      </c>
      <c r="C91" s="144" t="s">
        <v>6697</v>
      </c>
      <c r="D91" s="145" t="s">
        <v>6698</v>
      </c>
    </row>
    <row r="92">
      <c r="A92" s="144" t="s">
        <v>5263</v>
      </c>
      <c r="B92" s="144" t="s">
        <v>6511</v>
      </c>
      <c r="C92" s="144" t="s">
        <v>6699</v>
      </c>
      <c r="D92" s="145" t="s">
        <v>6700</v>
      </c>
    </row>
    <row r="93">
      <c r="A93" s="144" t="s">
        <v>5264</v>
      </c>
      <c r="B93" s="144" t="s">
        <v>6511</v>
      </c>
      <c r="C93" s="144" t="s">
        <v>6701</v>
      </c>
      <c r="D93" s="145" t="s">
        <v>6702</v>
      </c>
    </row>
    <row r="94">
      <c r="A94" s="144" t="s">
        <v>5265</v>
      </c>
      <c r="B94" s="144" t="s">
        <v>6511</v>
      </c>
      <c r="C94" s="144" t="s">
        <v>6703</v>
      </c>
      <c r="D94" s="145" t="s">
        <v>6704</v>
      </c>
    </row>
    <row r="95">
      <c r="A95" s="144" t="s">
        <v>6705</v>
      </c>
      <c r="B95" s="144" t="s">
        <v>6511</v>
      </c>
      <c r="C95" s="144" t="s">
        <v>6706</v>
      </c>
      <c r="D95" s="145" t="s">
        <v>6707</v>
      </c>
    </row>
    <row r="96">
      <c r="A96" s="144" t="s">
        <v>5267</v>
      </c>
      <c r="B96" s="144" t="s">
        <v>6511</v>
      </c>
      <c r="C96" s="144" t="s">
        <v>6708</v>
      </c>
      <c r="D96" s="145" t="s">
        <v>6709</v>
      </c>
    </row>
    <row r="97">
      <c r="A97" s="144" t="s">
        <v>5268</v>
      </c>
      <c r="B97" s="144" t="s">
        <v>6511</v>
      </c>
      <c r="C97" s="144" t="s">
        <v>6710</v>
      </c>
      <c r="D97" s="145" t="s">
        <v>6711</v>
      </c>
    </row>
    <row r="98">
      <c r="A98" s="144" t="s">
        <v>5269</v>
      </c>
      <c r="B98" s="144" t="s">
        <v>6511</v>
      </c>
      <c r="C98" s="144" t="s">
        <v>6669</v>
      </c>
      <c r="D98" s="145" t="s">
        <v>6712</v>
      </c>
    </row>
    <row r="99">
      <c r="A99" s="144" t="s">
        <v>5270</v>
      </c>
      <c r="B99" s="144" t="s">
        <v>6511</v>
      </c>
      <c r="C99" s="144" t="s">
        <v>6713</v>
      </c>
      <c r="D99" s="145" t="s">
        <v>6714</v>
      </c>
    </row>
    <row r="100">
      <c r="A100" s="144" t="s">
        <v>6715</v>
      </c>
      <c r="B100" s="144" t="s">
        <v>6511</v>
      </c>
      <c r="C100" s="144" t="s">
        <v>6716</v>
      </c>
      <c r="D100" s="145" t="s">
        <v>6717</v>
      </c>
    </row>
    <row r="101">
      <c r="A101" s="144" t="s">
        <v>6718</v>
      </c>
      <c r="B101" s="144" t="s">
        <v>6511</v>
      </c>
      <c r="C101" s="144" t="s">
        <v>6719</v>
      </c>
      <c r="D101" s="145" t="s">
        <v>6720</v>
      </c>
    </row>
    <row r="102">
      <c r="A102" s="144" t="s">
        <v>6721</v>
      </c>
      <c r="B102" s="144" t="s">
        <v>6511</v>
      </c>
      <c r="C102" s="144" t="s">
        <v>6722</v>
      </c>
      <c r="D102" s="145" t="s">
        <v>6723</v>
      </c>
    </row>
    <row r="103">
      <c r="A103" s="144" t="s">
        <v>6724</v>
      </c>
      <c r="B103" s="144" t="s">
        <v>6511</v>
      </c>
      <c r="C103" s="144" t="s">
        <v>6725</v>
      </c>
      <c r="D103" s="145" t="s">
        <v>6726</v>
      </c>
    </row>
    <row r="104">
      <c r="A104" s="144" t="s">
        <v>6727</v>
      </c>
      <c r="B104" s="144" t="s">
        <v>6511</v>
      </c>
      <c r="C104" s="144" t="s">
        <v>6728</v>
      </c>
      <c r="D104" s="145" t="s">
        <v>6729</v>
      </c>
    </row>
    <row r="105">
      <c r="A105" s="144" t="s">
        <v>6730</v>
      </c>
      <c r="B105" s="144" t="s">
        <v>6511</v>
      </c>
      <c r="C105" s="144" t="s">
        <v>6608</v>
      </c>
      <c r="D105" s="145" t="s">
        <v>6731</v>
      </c>
    </row>
    <row r="106">
      <c r="A106" s="144" t="s">
        <v>6732</v>
      </c>
      <c r="B106" s="144" t="s">
        <v>6511</v>
      </c>
      <c r="C106" s="144" t="s">
        <v>6733</v>
      </c>
      <c r="D106" s="145" t="s">
        <v>6734</v>
      </c>
    </row>
    <row r="107">
      <c r="A107" s="144" t="s">
        <v>6735</v>
      </c>
      <c r="B107" s="144" t="s">
        <v>6511</v>
      </c>
      <c r="C107" s="144" t="s">
        <v>6736</v>
      </c>
      <c r="D107" s="145" t="s">
        <v>6737</v>
      </c>
    </row>
    <row r="108">
      <c r="A108" s="144" t="s">
        <v>6738</v>
      </c>
      <c r="B108" s="144" t="s">
        <v>6511</v>
      </c>
      <c r="C108" s="144" t="s">
        <v>6739</v>
      </c>
      <c r="D108" s="145" t="s">
        <v>6740</v>
      </c>
    </row>
    <row r="109">
      <c r="A109" s="144" t="s">
        <v>6741</v>
      </c>
      <c r="B109" s="144" t="s">
        <v>6511</v>
      </c>
      <c r="C109" s="144" t="s">
        <v>6742</v>
      </c>
      <c r="D109" s="145" t="s">
        <v>6743</v>
      </c>
    </row>
    <row r="110">
      <c r="A110" s="144" t="s">
        <v>6744</v>
      </c>
      <c r="B110" s="144" t="s">
        <v>6511</v>
      </c>
      <c r="C110" s="144" t="s">
        <v>6745</v>
      </c>
      <c r="D110" s="145" t="s">
        <v>6746</v>
      </c>
    </row>
    <row r="111">
      <c r="A111" s="144" t="s">
        <v>6747</v>
      </c>
      <c r="B111" s="144" t="s">
        <v>6511</v>
      </c>
      <c r="C111" s="144" t="s">
        <v>6748</v>
      </c>
      <c r="D111" s="145" t="s">
        <v>6749</v>
      </c>
    </row>
    <row r="112">
      <c r="A112" s="144" t="s">
        <v>6750</v>
      </c>
      <c r="B112" s="144" t="s">
        <v>6511</v>
      </c>
      <c r="C112" s="144" t="s">
        <v>6751</v>
      </c>
      <c r="D112" s="145" t="s">
        <v>6752</v>
      </c>
    </row>
    <row r="113">
      <c r="A113" s="144" t="s">
        <v>6753</v>
      </c>
      <c r="B113" s="144" t="s">
        <v>6511</v>
      </c>
      <c r="C113" s="144" t="s">
        <v>6754</v>
      </c>
      <c r="D113" s="145" t="s">
        <v>6755</v>
      </c>
    </row>
    <row r="114">
      <c r="A114" s="144" t="s">
        <v>6756</v>
      </c>
      <c r="B114" s="144" t="s">
        <v>6511</v>
      </c>
      <c r="C114" s="144" t="s">
        <v>6574</v>
      </c>
      <c r="D114" s="145" t="s">
        <v>6757</v>
      </c>
    </row>
    <row r="115">
      <c r="A115" s="144" t="s">
        <v>6758</v>
      </c>
      <c r="B115" s="144" t="s">
        <v>6511</v>
      </c>
      <c r="C115" s="144" t="s">
        <v>6669</v>
      </c>
      <c r="D115" s="145" t="s">
        <v>6759</v>
      </c>
    </row>
    <row r="116">
      <c r="A116" s="144" t="s">
        <v>6760</v>
      </c>
      <c r="B116" s="144" t="s">
        <v>6511</v>
      </c>
      <c r="C116" s="144" t="s">
        <v>6761</v>
      </c>
      <c r="D116" s="145" t="s">
        <v>6762</v>
      </c>
    </row>
    <row r="117">
      <c r="A117" s="144" t="s">
        <v>6763</v>
      </c>
      <c r="B117" s="144" t="s">
        <v>6511</v>
      </c>
      <c r="C117" s="144" t="s">
        <v>6764</v>
      </c>
      <c r="D117" s="145" t="s">
        <v>6765</v>
      </c>
    </row>
    <row r="118">
      <c r="A118" s="144" t="s">
        <v>6766</v>
      </c>
      <c r="B118" s="144" t="s">
        <v>6511</v>
      </c>
      <c r="C118" s="144" t="s">
        <v>6767</v>
      </c>
      <c r="D118" s="145" t="s">
        <v>6768</v>
      </c>
    </row>
    <row r="119">
      <c r="A119" s="144" t="s">
        <v>6769</v>
      </c>
      <c r="B119" s="144" t="s">
        <v>6511</v>
      </c>
      <c r="C119" s="144" t="s">
        <v>6685</v>
      </c>
      <c r="D119" s="145" t="s">
        <v>6770</v>
      </c>
    </row>
    <row r="120">
      <c r="A120" s="144" t="s">
        <v>6771</v>
      </c>
      <c r="B120" s="144" t="s">
        <v>6511</v>
      </c>
      <c r="C120" s="144" t="s">
        <v>6772</v>
      </c>
      <c r="D120" s="145" t="s">
        <v>6773</v>
      </c>
    </row>
    <row r="121">
      <c r="A121" s="144" t="s">
        <v>6774</v>
      </c>
      <c r="B121" s="144" t="s">
        <v>6511</v>
      </c>
      <c r="C121" s="144" t="s">
        <v>6775</v>
      </c>
      <c r="D121" s="145" t="s">
        <v>6776</v>
      </c>
    </row>
    <row r="122">
      <c r="A122" s="144" t="s">
        <v>6777</v>
      </c>
      <c r="B122" s="144" t="s">
        <v>6511</v>
      </c>
      <c r="C122" s="144" t="s">
        <v>6778</v>
      </c>
      <c r="D122" s="145" t="s">
        <v>6779</v>
      </c>
    </row>
    <row r="123">
      <c r="A123" s="144" t="s">
        <v>6780</v>
      </c>
      <c r="B123" s="144" t="s">
        <v>6511</v>
      </c>
      <c r="C123" s="144" t="s">
        <v>6781</v>
      </c>
      <c r="D123" s="145" t="s">
        <v>6782</v>
      </c>
    </row>
    <row r="124">
      <c r="A124" s="144" t="s">
        <v>6783</v>
      </c>
      <c r="B124" s="144" t="s">
        <v>6511</v>
      </c>
      <c r="C124" s="144" t="s">
        <v>6688</v>
      </c>
      <c r="D124" s="145" t="s">
        <v>6784</v>
      </c>
    </row>
    <row r="125">
      <c r="A125" s="144" t="s">
        <v>6785</v>
      </c>
      <c r="B125" s="144" t="s">
        <v>6511</v>
      </c>
      <c r="C125" s="144" t="s">
        <v>6688</v>
      </c>
      <c r="D125" s="145" t="s">
        <v>6786</v>
      </c>
    </row>
    <row r="126">
      <c r="A126" s="144" t="s">
        <v>6787</v>
      </c>
      <c r="B126" s="144" t="s">
        <v>6511</v>
      </c>
      <c r="C126" s="144" t="s">
        <v>6788</v>
      </c>
      <c r="D126" s="145" t="s">
        <v>6789</v>
      </c>
    </row>
    <row r="127">
      <c r="A127" s="144" t="s">
        <v>6790</v>
      </c>
      <c r="B127" s="144" t="s">
        <v>6511</v>
      </c>
      <c r="C127" s="144" t="s">
        <v>6791</v>
      </c>
      <c r="D127" s="145" t="s">
        <v>6792</v>
      </c>
    </row>
    <row r="128">
      <c r="A128" s="144" t="s">
        <v>6793</v>
      </c>
      <c r="B128" s="144" t="s">
        <v>6511</v>
      </c>
      <c r="C128" s="144" t="s">
        <v>6794</v>
      </c>
      <c r="D128" s="145" t="s">
        <v>6795</v>
      </c>
    </row>
    <row r="129">
      <c r="A129" s="144" t="s">
        <v>6796</v>
      </c>
      <c r="B129" s="144" t="s">
        <v>6511</v>
      </c>
      <c r="C129" s="144" t="s">
        <v>6797</v>
      </c>
      <c r="D129" s="145" t="s">
        <v>6798</v>
      </c>
    </row>
    <row r="130">
      <c r="A130" s="144" t="s">
        <v>6799</v>
      </c>
      <c r="B130" s="144" t="s">
        <v>6511</v>
      </c>
      <c r="C130" s="144" t="s">
        <v>6800</v>
      </c>
      <c r="D130" s="145" t="s">
        <v>6801</v>
      </c>
    </row>
    <row r="131">
      <c r="A131" s="144" t="s">
        <v>6802</v>
      </c>
      <c r="B131" s="144" t="s">
        <v>6511</v>
      </c>
      <c r="C131" s="144" t="s">
        <v>6803</v>
      </c>
      <c r="D131" s="145" t="s">
        <v>6804</v>
      </c>
    </row>
    <row r="132">
      <c r="A132" s="144" t="s">
        <v>6805</v>
      </c>
      <c r="B132" s="144" t="s">
        <v>6511</v>
      </c>
      <c r="C132" s="144" t="s">
        <v>6806</v>
      </c>
      <c r="D132" s="145" t="s">
        <v>6807</v>
      </c>
    </row>
    <row r="133">
      <c r="A133" s="144" t="s">
        <v>6808</v>
      </c>
      <c r="B133" s="144" t="s">
        <v>6511</v>
      </c>
      <c r="C133" s="144" t="s">
        <v>6809</v>
      </c>
      <c r="D133" s="145" t="s">
        <v>6810</v>
      </c>
    </row>
    <row r="134">
      <c r="A134" s="144" t="s">
        <v>6811</v>
      </c>
      <c r="B134" s="144" t="s">
        <v>6511</v>
      </c>
      <c r="C134" s="144" t="s">
        <v>6812</v>
      </c>
      <c r="D134" s="145" t="s">
        <v>6813</v>
      </c>
    </row>
    <row r="135">
      <c r="A135" s="144" t="s">
        <v>6814</v>
      </c>
      <c r="B135" s="144" t="s">
        <v>6511</v>
      </c>
      <c r="C135" s="144" t="s">
        <v>6815</v>
      </c>
      <c r="D135" s="145" t="s">
        <v>6816</v>
      </c>
    </row>
    <row r="136">
      <c r="A136" s="144" t="s">
        <v>6817</v>
      </c>
      <c r="B136" s="144" t="s">
        <v>6511</v>
      </c>
      <c r="C136" s="144" t="s">
        <v>6818</v>
      </c>
      <c r="D136" s="145" t="s">
        <v>6819</v>
      </c>
    </row>
    <row r="137">
      <c r="A137" s="144" t="s">
        <v>6820</v>
      </c>
      <c r="B137" s="144" t="s">
        <v>6511</v>
      </c>
      <c r="C137" s="144" t="s">
        <v>6821</v>
      </c>
      <c r="D137" s="145" t="s">
        <v>6822</v>
      </c>
    </row>
    <row r="138">
      <c r="A138" s="144" t="s">
        <v>6823</v>
      </c>
      <c r="B138" s="144" t="s">
        <v>6511</v>
      </c>
      <c r="C138" s="144" t="s">
        <v>6824</v>
      </c>
      <c r="D138" s="145" t="s">
        <v>6825</v>
      </c>
    </row>
    <row r="139">
      <c r="A139" s="144" t="s">
        <v>6826</v>
      </c>
      <c r="B139" s="144" t="s">
        <v>6511</v>
      </c>
      <c r="C139" s="144" t="s">
        <v>6623</v>
      </c>
      <c r="D139" s="145" t="s">
        <v>6827</v>
      </c>
    </row>
    <row r="140">
      <c r="A140" s="144" t="s">
        <v>6828</v>
      </c>
      <c r="B140" s="144" t="s">
        <v>6511</v>
      </c>
      <c r="C140" s="144" t="s">
        <v>6829</v>
      </c>
      <c r="D140" s="145" t="s">
        <v>6830</v>
      </c>
    </row>
    <row r="141">
      <c r="A141" s="144" t="s">
        <v>6831</v>
      </c>
      <c r="B141" s="144" t="s">
        <v>6511</v>
      </c>
      <c r="C141" s="144" t="s">
        <v>6812</v>
      </c>
      <c r="D141" s="145" t="s">
        <v>6832</v>
      </c>
    </row>
    <row r="142">
      <c r="A142" s="144" t="s">
        <v>6833</v>
      </c>
      <c r="B142" s="144" t="s">
        <v>6511</v>
      </c>
      <c r="C142" s="144" t="s">
        <v>6834</v>
      </c>
      <c r="D142" s="145" t="s">
        <v>6835</v>
      </c>
    </row>
    <row r="143">
      <c r="A143" s="144" t="s">
        <v>6836</v>
      </c>
      <c r="B143" s="144" t="s">
        <v>6511</v>
      </c>
      <c r="C143" s="144" t="s">
        <v>6837</v>
      </c>
      <c r="D143" s="145" t="s">
        <v>6838</v>
      </c>
    </row>
    <row r="144">
      <c r="A144" s="144" t="s">
        <v>6839</v>
      </c>
      <c r="B144" s="144" t="s">
        <v>6511</v>
      </c>
      <c r="C144" s="144" t="s">
        <v>6840</v>
      </c>
      <c r="D144" s="145" t="s">
        <v>6841</v>
      </c>
    </row>
    <row r="145">
      <c r="A145" s="144" t="s">
        <v>6842</v>
      </c>
      <c r="B145" s="144" t="s">
        <v>6511</v>
      </c>
      <c r="C145" s="144" t="s">
        <v>6843</v>
      </c>
      <c r="D145" s="145" t="s">
        <v>6844</v>
      </c>
    </row>
    <row r="146">
      <c r="A146" s="144" t="s">
        <v>6845</v>
      </c>
      <c r="B146" s="144" t="s">
        <v>6511</v>
      </c>
      <c r="C146" s="144" t="s">
        <v>6846</v>
      </c>
      <c r="D146" s="145" t="s">
        <v>6847</v>
      </c>
    </row>
    <row r="147">
      <c r="A147" s="144" t="s">
        <v>6848</v>
      </c>
      <c r="B147" s="144" t="s">
        <v>6511</v>
      </c>
      <c r="C147" s="144" t="s">
        <v>6533</v>
      </c>
      <c r="D147" s="145" t="s">
        <v>6849</v>
      </c>
    </row>
    <row r="148">
      <c r="A148" s="144" t="s">
        <v>6850</v>
      </c>
      <c r="B148" s="144" t="s">
        <v>6511</v>
      </c>
      <c r="C148" s="144" t="s">
        <v>6851</v>
      </c>
      <c r="D148" s="145" t="s">
        <v>6852</v>
      </c>
    </row>
    <row r="149">
      <c r="A149" s="144" t="s">
        <v>6853</v>
      </c>
      <c r="B149" s="144" t="s">
        <v>6511</v>
      </c>
      <c r="C149" s="144" t="s">
        <v>6710</v>
      </c>
      <c r="D149" s="145" t="s">
        <v>6854</v>
      </c>
    </row>
    <row r="150">
      <c r="A150" s="144" t="s">
        <v>6855</v>
      </c>
      <c r="B150" s="144" t="s">
        <v>6511</v>
      </c>
      <c r="C150" s="144" t="s">
        <v>6529</v>
      </c>
      <c r="D150" s="145" t="s">
        <v>6856</v>
      </c>
    </row>
    <row r="151">
      <c r="A151" s="144" t="s">
        <v>6857</v>
      </c>
      <c r="B151" s="144" t="s">
        <v>6511</v>
      </c>
      <c r="C151" s="144" t="s">
        <v>6858</v>
      </c>
      <c r="D151" s="145" t="s">
        <v>6859</v>
      </c>
    </row>
    <row r="152">
      <c r="A152" s="144" t="s">
        <v>6860</v>
      </c>
      <c r="B152" s="144" t="s">
        <v>6511</v>
      </c>
      <c r="C152" s="144" t="s">
        <v>6663</v>
      </c>
      <c r="D152" s="145" t="s">
        <v>6861</v>
      </c>
    </row>
    <row r="153">
      <c r="A153" s="144" t="s">
        <v>6862</v>
      </c>
      <c r="B153" s="144" t="s">
        <v>6511</v>
      </c>
      <c r="C153" s="144" t="s">
        <v>6863</v>
      </c>
      <c r="D153" s="145" t="s">
        <v>6864</v>
      </c>
    </row>
    <row r="154">
      <c r="A154" s="144" t="s">
        <v>6865</v>
      </c>
      <c r="B154" s="144" t="s">
        <v>6511</v>
      </c>
      <c r="C154" s="144" t="s">
        <v>6866</v>
      </c>
      <c r="D154" s="145" t="s">
        <v>6867</v>
      </c>
    </row>
    <row r="155">
      <c r="A155" s="144" t="s">
        <v>6868</v>
      </c>
      <c r="B155" s="144" t="s">
        <v>6511</v>
      </c>
      <c r="C155" s="144" t="s">
        <v>6869</v>
      </c>
      <c r="D155" s="145" t="s">
        <v>6870</v>
      </c>
    </row>
    <row r="156">
      <c r="A156" s="144" t="s">
        <v>6871</v>
      </c>
      <c r="B156" s="144" t="s">
        <v>6511</v>
      </c>
      <c r="C156" s="144" t="s">
        <v>6872</v>
      </c>
      <c r="D156" s="145" t="s">
        <v>6873</v>
      </c>
    </row>
    <row r="157">
      <c r="A157" s="144" t="s">
        <v>6874</v>
      </c>
      <c r="B157" s="144" t="s">
        <v>6511</v>
      </c>
      <c r="C157" s="144" t="s">
        <v>6650</v>
      </c>
      <c r="D157" s="145" t="s">
        <v>6875</v>
      </c>
    </row>
    <row r="158">
      <c r="A158" s="144" t="s">
        <v>6876</v>
      </c>
      <c r="B158" s="144" t="s">
        <v>6511</v>
      </c>
      <c r="C158" s="144" t="s">
        <v>6877</v>
      </c>
      <c r="D158" s="145" t="s">
        <v>6878</v>
      </c>
    </row>
    <row r="159">
      <c r="A159" s="144" t="s">
        <v>6879</v>
      </c>
      <c r="B159" s="144" t="s">
        <v>6511</v>
      </c>
      <c r="C159" s="144" t="s">
        <v>6791</v>
      </c>
      <c r="D159" s="145" t="s">
        <v>6880</v>
      </c>
    </row>
    <row r="160">
      <c r="A160" s="144" t="s">
        <v>6881</v>
      </c>
      <c r="B160" s="144" t="s">
        <v>6511</v>
      </c>
      <c r="C160" s="144" t="s">
        <v>6739</v>
      </c>
      <c r="D160" s="145" t="s">
        <v>6882</v>
      </c>
    </row>
    <row r="161">
      <c r="A161" s="144" t="s">
        <v>6883</v>
      </c>
      <c r="B161" s="144" t="s">
        <v>6511</v>
      </c>
      <c r="C161" s="144" t="s">
        <v>6884</v>
      </c>
      <c r="D161" s="145" t="s">
        <v>6885</v>
      </c>
    </row>
    <row r="162">
      <c r="A162" s="144" t="s">
        <v>6886</v>
      </c>
      <c r="B162" s="144" t="s">
        <v>6511</v>
      </c>
      <c r="C162" s="144" t="s">
        <v>6887</v>
      </c>
      <c r="D162" s="145" t="s">
        <v>6888</v>
      </c>
    </row>
    <row r="163">
      <c r="A163" s="144" t="s">
        <v>6889</v>
      </c>
      <c r="B163" s="144" t="s">
        <v>6511</v>
      </c>
      <c r="C163" s="144" t="s">
        <v>6890</v>
      </c>
      <c r="D163" s="145" t="s">
        <v>6891</v>
      </c>
    </row>
    <row r="164">
      <c r="A164" s="144" t="s">
        <v>6892</v>
      </c>
      <c r="B164" s="144" t="s">
        <v>6511</v>
      </c>
      <c r="C164" s="144" t="s">
        <v>6893</v>
      </c>
      <c r="D164" s="145" t="s">
        <v>6894</v>
      </c>
    </row>
    <row r="165">
      <c r="A165" s="144" t="s">
        <v>6895</v>
      </c>
      <c r="B165" s="144" t="s">
        <v>6511</v>
      </c>
      <c r="C165" s="144" t="s">
        <v>6896</v>
      </c>
      <c r="D165" s="145" t="s">
        <v>6897</v>
      </c>
    </row>
    <row r="166">
      <c r="A166" s="144" t="s">
        <v>6898</v>
      </c>
      <c r="B166" s="144" t="s">
        <v>6511</v>
      </c>
      <c r="C166" s="144" t="s">
        <v>6537</v>
      </c>
      <c r="D166" s="145" t="s">
        <v>6899</v>
      </c>
    </row>
    <row r="167">
      <c r="A167" s="144" t="s">
        <v>6900</v>
      </c>
      <c r="B167" s="144" t="s">
        <v>6511</v>
      </c>
      <c r="C167" s="144" t="s">
        <v>6650</v>
      </c>
      <c r="D167" s="145" t="s">
        <v>6901</v>
      </c>
    </row>
    <row r="168">
      <c r="A168" s="144" t="s">
        <v>6902</v>
      </c>
      <c r="B168" s="144" t="s">
        <v>6511</v>
      </c>
      <c r="C168" s="144" t="s">
        <v>6903</v>
      </c>
      <c r="D168" s="145" t="s">
        <v>6904</v>
      </c>
    </row>
    <row r="169">
      <c r="A169" s="144" t="s">
        <v>6905</v>
      </c>
      <c r="B169" s="144" t="s">
        <v>6511</v>
      </c>
      <c r="C169" s="144" t="s">
        <v>6906</v>
      </c>
      <c r="D169" s="145" t="s">
        <v>6907</v>
      </c>
    </row>
    <row r="170">
      <c r="A170" s="144" t="s">
        <v>6908</v>
      </c>
      <c r="B170" s="144" t="s">
        <v>6511</v>
      </c>
      <c r="C170" s="144" t="s">
        <v>6564</v>
      </c>
      <c r="D170" s="145" t="s">
        <v>6909</v>
      </c>
    </row>
    <row r="171">
      <c r="A171" s="144" t="s">
        <v>6910</v>
      </c>
      <c r="B171" s="144" t="s">
        <v>6511</v>
      </c>
      <c r="C171" s="144" t="s">
        <v>6911</v>
      </c>
      <c r="D171" s="145" t="s">
        <v>6912</v>
      </c>
    </row>
    <row r="172">
      <c r="A172" s="144" t="s">
        <v>6913</v>
      </c>
      <c r="B172" s="144" t="s">
        <v>6511</v>
      </c>
      <c r="C172" s="144" t="s">
        <v>6914</v>
      </c>
      <c r="D172" s="145" t="s">
        <v>6915</v>
      </c>
    </row>
    <row r="173">
      <c r="A173" s="144" t="s">
        <v>6916</v>
      </c>
      <c r="B173" s="144" t="s">
        <v>6511</v>
      </c>
      <c r="C173" s="144" t="s">
        <v>6917</v>
      </c>
      <c r="D173" s="145" t="s">
        <v>6918</v>
      </c>
    </row>
    <row r="174">
      <c r="A174" s="144" t="s">
        <v>6919</v>
      </c>
      <c r="B174" s="144" t="s">
        <v>6511</v>
      </c>
      <c r="C174" s="144" t="s">
        <v>6663</v>
      </c>
      <c r="D174" s="145" t="s">
        <v>6920</v>
      </c>
    </row>
    <row r="175">
      <c r="A175" s="144" t="s">
        <v>6921</v>
      </c>
      <c r="B175" s="144" t="s">
        <v>6511</v>
      </c>
      <c r="C175" s="144" t="s">
        <v>6922</v>
      </c>
      <c r="D175" s="145" t="s">
        <v>6923</v>
      </c>
    </row>
    <row r="176">
      <c r="A176" s="144" t="s">
        <v>6924</v>
      </c>
      <c r="B176" s="144" t="s">
        <v>6511</v>
      </c>
      <c r="C176" s="144" t="s">
        <v>6638</v>
      </c>
      <c r="D176" s="145" t="s">
        <v>6925</v>
      </c>
    </row>
    <row r="177">
      <c r="A177" s="144" t="s">
        <v>6926</v>
      </c>
      <c r="B177" s="144" t="s">
        <v>6511</v>
      </c>
      <c r="C177" s="144" t="s">
        <v>6733</v>
      </c>
      <c r="D177" s="145" t="s">
        <v>6927</v>
      </c>
    </row>
    <row r="178">
      <c r="A178" s="144" t="s">
        <v>6928</v>
      </c>
      <c r="B178" s="144" t="s">
        <v>6511</v>
      </c>
      <c r="C178" s="144" t="s">
        <v>6929</v>
      </c>
      <c r="D178" s="145" t="s">
        <v>6930</v>
      </c>
    </row>
    <row r="179">
      <c r="A179" s="144" t="s">
        <v>6931</v>
      </c>
      <c r="B179" s="144" t="s">
        <v>6511</v>
      </c>
      <c r="C179" s="144" t="s">
        <v>6932</v>
      </c>
      <c r="D179" s="145" t="s">
        <v>6933</v>
      </c>
    </row>
    <row r="180">
      <c r="A180" s="144" t="s">
        <v>6934</v>
      </c>
      <c r="B180" s="144" t="s">
        <v>6511</v>
      </c>
      <c r="C180" s="144" t="s">
        <v>6935</v>
      </c>
      <c r="D180" s="145" t="s">
        <v>6936</v>
      </c>
    </row>
    <row r="181">
      <c r="A181" s="144" t="s">
        <v>6937</v>
      </c>
      <c r="B181" s="144" t="s">
        <v>6511</v>
      </c>
      <c r="C181" s="144" t="s">
        <v>6582</v>
      </c>
      <c r="D181" s="145" t="s">
        <v>6938</v>
      </c>
    </row>
    <row r="182">
      <c r="A182" s="144" t="s">
        <v>6939</v>
      </c>
      <c r="B182" s="144" t="s">
        <v>6511</v>
      </c>
      <c r="C182" s="144" t="s">
        <v>6940</v>
      </c>
      <c r="D182" s="145" t="s">
        <v>6941</v>
      </c>
    </row>
    <row r="183">
      <c r="A183" s="144" t="s">
        <v>6942</v>
      </c>
      <c r="B183" s="144" t="s">
        <v>6511</v>
      </c>
      <c r="C183" s="144" t="s">
        <v>6943</v>
      </c>
      <c r="D183" s="145" t="s">
        <v>6944</v>
      </c>
    </row>
    <row r="184">
      <c r="A184" s="144" t="s">
        <v>6945</v>
      </c>
      <c r="B184" s="144" t="s">
        <v>6511</v>
      </c>
      <c r="C184" s="144" t="s">
        <v>6946</v>
      </c>
      <c r="D184" s="145" t="s">
        <v>6947</v>
      </c>
    </row>
    <row r="185">
      <c r="A185" s="144" t="s">
        <v>6948</v>
      </c>
      <c r="B185" s="144" t="s">
        <v>6511</v>
      </c>
      <c r="C185" s="144" t="s">
        <v>6949</v>
      </c>
      <c r="D185" s="145" t="s">
        <v>6950</v>
      </c>
    </row>
    <row r="186">
      <c r="A186" s="144" t="s">
        <v>6951</v>
      </c>
      <c r="B186" s="144" t="s">
        <v>6511</v>
      </c>
      <c r="C186" s="144" t="s">
        <v>6952</v>
      </c>
      <c r="D186" s="145" t="s">
        <v>6953</v>
      </c>
    </row>
    <row r="187">
      <c r="A187" s="144" t="s">
        <v>6954</v>
      </c>
      <c r="B187" s="144" t="s">
        <v>6511</v>
      </c>
      <c r="C187" s="144" t="s">
        <v>6955</v>
      </c>
      <c r="D187" s="145" t="s">
        <v>6956</v>
      </c>
    </row>
    <row r="188">
      <c r="A188" s="144" t="s">
        <v>6957</v>
      </c>
      <c r="B188" s="144" t="s">
        <v>6511</v>
      </c>
      <c r="C188" s="144" t="s">
        <v>6958</v>
      </c>
      <c r="D188" s="145" t="s">
        <v>6959</v>
      </c>
    </row>
    <row r="189">
      <c r="A189" s="144" t="s">
        <v>6960</v>
      </c>
      <c r="B189" s="144" t="s">
        <v>6511</v>
      </c>
      <c r="C189" s="144" t="s">
        <v>6754</v>
      </c>
      <c r="D189" s="145" t="s">
        <v>6961</v>
      </c>
    </row>
    <row r="190">
      <c r="A190" s="144" t="s">
        <v>6962</v>
      </c>
      <c r="B190" s="144" t="s">
        <v>6511</v>
      </c>
      <c r="C190" s="144" t="s">
        <v>6963</v>
      </c>
      <c r="D190" s="145" t="s">
        <v>6964</v>
      </c>
    </row>
    <row r="191">
      <c r="A191" s="144" t="s">
        <v>6965</v>
      </c>
      <c r="B191" s="144" t="s">
        <v>6511</v>
      </c>
      <c r="C191" s="144" t="s">
        <v>6966</v>
      </c>
      <c r="D191" s="145" t="s">
        <v>6967</v>
      </c>
    </row>
    <row r="192">
      <c r="A192" s="144" t="s">
        <v>6968</v>
      </c>
      <c r="B192" s="144" t="s">
        <v>6511</v>
      </c>
      <c r="C192" s="144" t="s">
        <v>6969</v>
      </c>
      <c r="D192" s="145" t="s">
        <v>6970</v>
      </c>
    </row>
    <row r="193">
      <c r="A193" s="144" t="s">
        <v>6971</v>
      </c>
      <c r="B193" s="144" t="s">
        <v>6511</v>
      </c>
      <c r="C193" s="144" t="s">
        <v>6972</v>
      </c>
      <c r="D193" s="145" t="s">
        <v>6973</v>
      </c>
    </row>
    <row r="194">
      <c r="A194" s="144" t="s">
        <v>6974</v>
      </c>
      <c r="B194" s="144" t="s">
        <v>6511</v>
      </c>
      <c r="C194" s="144" t="s">
        <v>6975</v>
      </c>
      <c r="D194" s="145" t="s">
        <v>6976</v>
      </c>
    </row>
    <row r="195">
      <c r="A195" s="144" t="s">
        <v>6977</v>
      </c>
      <c r="B195" s="144" t="s">
        <v>6511</v>
      </c>
      <c r="C195" s="144" t="s">
        <v>6978</v>
      </c>
      <c r="D195" s="145" t="s">
        <v>6979</v>
      </c>
    </row>
    <row r="196">
      <c r="A196" s="144" t="s">
        <v>6980</v>
      </c>
      <c r="B196" s="144" t="s">
        <v>6511</v>
      </c>
      <c r="C196" s="144" t="s">
        <v>6946</v>
      </c>
      <c r="D196" s="145" t="s">
        <v>6981</v>
      </c>
    </row>
    <row r="197">
      <c r="A197" s="144" t="s">
        <v>6982</v>
      </c>
      <c r="B197" s="144" t="s">
        <v>6511</v>
      </c>
      <c r="C197" s="144" t="s">
        <v>6983</v>
      </c>
      <c r="D197" s="145" t="s">
        <v>6984</v>
      </c>
    </row>
    <row r="198">
      <c r="A198" s="144" t="s">
        <v>6985</v>
      </c>
      <c r="B198" s="144" t="s">
        <v>6511</v>
      </c>
      <c r="C198" s="144" t="s">
        <v>6986</v>
      </c>
      <c r="D198" s="145" t="s">
        <v>6987</v>
      </c>
    </row>
    <row r="199">
      <c r="A199" s="144" t="s">
        <v>6988</v>
      </c>
      <c r="B199" s="144" t="s">
        <v>6511</v>
      </c>
      <c r="C199" s="144" t="s">
        <v>6989</v>
      </c>
      <c r="D199" s="145" t="s">
        <v>6990</v>
      </c>
    </row>
    <row r="200">
      <c r="A200" s="144" t="s">
        <v>6991</v>
      </c>
      <c r="B200" s="144" t="s">
        <v>6511</v>
      </c>
      <c r="C200" s="144" t="s">
        <v>6992</v>
      </c>
      <c r="D200" s="145" t="s">
        <v>6993</v>
      </c>
    </row>
    <row r="201">
      <c r="A201" s="144" t="s">
        <v>6994</v>
      </c>
      <c r="B201" s="144" t="s">
        <v>6511</v>
      </c>
      <c r="C201" s="144" t="s">
        <v>6995</v>
      </c>
      <c r="D201" s="145" t="s">
        <v>6996</v>
      </c>
    </row>
    <row r="202">
      <c r="A202" s="144" t="s">
        <v>6997</v>
      </c>
      <c r="B202" s="144" t="s">
        <v>6511</v>
      </c>
      <c r="C202" s="144" t="s">
        <v>6998</v>
      </c>
      <c r="D202" s="145" t="s">
        <v>6999</v>
      </c>
    </row>
    <row r="203">
      <c r="A203" s="144" t="s">
        <v>7000</v>
      </c>
      <c r="B203" s="144" t="s">
        <v>6511</v>
      </c>
      <c r="C203" s="144" t="s">
        <v>7001</v>
      </c>
      <c r="D203" s="145" t="s">
        <v>7002</v>
      </c>
    </row>
    <row r="204">
      <c r="A204" s="144" t="s">
        <v>7003</v>
      </c>
      <c r="B204" s="144" t="s">
        <v>6511</v>
      </c>
      <c r="C204" s="144" t="s">
        <v>7004</v>
      </c>
      <c r="D204" s="145" t="s">
        <v>7005</v>
      </c>
    </row>
    <row r="205">
      <c r="A205" s="144" t="s">
        <v>7006</v>
      </c>
      <c r="B205" s="144" t="s">
        <v>6511</v>
      </c>
      <c r="C205" s="144" t="s">
        <v>7007</v>
      </c>
      <c r="D205" s="145" t="s">
        <v>7008</v>
      </c>
    </row>
    <row r="206">
      <c r="A206" s="144" t="s">
        <v>7009</v>
      </c>
      <c r="B206" s="144" t="s">
        <v>6511</v>
      </c>
      <c r="C206" s="144" t="s">
        <v>6643</v>
      </c>
      <c r="D206" s="145" t="s">
        <v>7010</v>
      </c>
    </row>
    <row r="207">
      <c r="A207" s="144" t="s">
        <v>7011</v>
      </c>
      <c r="B207" s="144" t="s">
        <v>6511</v>
      </c>
      <c r="C207" s="144" t="s">
        <v>6877</v>
      </c>
      <c r="D207" s="145" t="s">
        <v>7012</v>
      </c>
    </row>
    <row r="208">
      <c r="A208" s="144" t="s">
        <v>7013</v>
      </c>
      <c r="B208" s="144" t="s">
        <v>6511</v>
      </c>
      <c r="C208" s="144" t="s">
        <v>7014</v>
      </c>
      <c r="D208" s="145" t="s">
        <v>7015</v>
      </c>
    </row>
    <row r="209">
      <c r="A209" s="144" t="s">
        <v>7016</v>
      </c>
      <c r="B209" s="144" t="s">
        <v>6511</v>
      </c>
      <c r="C209" s="144" t="s">
        <v>7017</v>
      </c>
      <c r="D209" s="145" t="s">
        <v>7018</v>
      </c>
    </row>
    <row r="210">
      <c r="A210" s="144" t="s">
        <v>7019</v>
      </c>
      <c r="B210" s="144" t="s">
        <v>6511</v>
      </c>
      <c r="C210" s="144" t="s">
        <v>7020</v>
      </c>
      <c r="D210" s="145" t="s">
        <v>7021</v>
      </c>
    </row>
    <row r="211">
      <c r="A211" s="144" t="s">
        <v>7022</v>
      </c>
      <c r="B211" s="144" t="s">
        <v>6511</v>
      </c>
      <c r="C211" s="144" t="s">
        <v>7023</v>
      </c>
      <c r="D211" s="145" t="s">
        <v>7024</v>
      </c>
    </row>
    <row r="212">
      <c r="A212" s="144" t="s">
        <v>7025</v>
      </c>
      <c r="B212" s="144" t="s">
        <v>6511</v>
      </c>
      <c r="C212" s="144" t="s">
        <v>7026</v>
      </c>
      <c r="D212" s="145" t="s">
        <v>7027</v>
      </c>
    </row>
    <row r="213">
      <c r="A213" s="144" t="s">
        <v>7028</v>
      </c>
      <c r="B213" s="144" t="s">
        <v>6511</v>
      </c>
      <c r="C213" s="144" t="s">
        <v>6935</v>
      </c>
      <c r="D213" s="145" t="s">
        <v>7029</v>
      </c>
    </row>
    <row r="214">
      <c r="A214" s="144" t="s">
        <v>7030</v>
      </c>
      <c r="B214" s="144" t="s">
        <v>6511</v>
      </c>
      <c r="C214" s="144" t="s">
        <v>6932</v>
      </c>
      <c r="D214" s="145" t="s">
        <v>7031</v>
      </c>
    </row>
    <row r="215">
      <c r="A215" s="144" t="s">
        <v>7032</v>
      </c>
      <c r="B215" s="144" t="s">
        <v>6511</v>
      </c>
      <c r="C215" s="144" t="s">
        <v>7033</v>
      </c>
      <c r="D215" s="145" t="s">
        <v>7034</v>
      </c>
    </row>
    <row r="216">
      <c r="A216" s="144" t="s">
        <v>7035</v>
      </c>
      <c r="B216" s="144" t="s">
        <v>6511</v>
      </c>
      <c r="C216" s="144" t="s">
        <v>7036</v>
      </c>
      <c r="D216" s="145" t="s">
        <v>7037</v>
      </c>
    </row>
    <row r="217">
      <c r="A217" s="144" t="s">
        <v>7038</v>
      </c>
      <c r="B217" s="144" t="s">
        <v>6511</v>
      </c>
      <c r="C217" s="144" t="s">
        <v>7039</v>
      </c>
      <c r="D217" s="145" t="s">
        <v>7040</v>
      </c>
    </row>
    <row r="218">
      <c r="A218" s="144" t="s">
        <v>7041</v>
      </c>
      <c r="B218" s="144" t="s">
        <v>6511</v>
      </c>
      <c r="C218" s="144" t="s">
        <v>6614</v>
      </c>
      <c r="D218" s="145" t="s">
        <v>7042</v>
      </c>
    </row>
    <row r="219">
      <c r="A219" s="144" t="s">
        <v>7043</v>
      </c>
      <c r="B219" s="144" t="s">
        <v>6511</v>
      </c>
      <c r="C219" s="144" t="s">
        <v>7044</v>
      </c>
      <c r="D219" s="145" t="s">
        <v>7045</v>
      </c>
    </row>
    <row r="220">
      <c r="A220" s="144" t="s">
        <v>7046</v>
      </c>
      <c r="B220" s="144" t="s">
        <v>6511</v>
      </c>
      <c r="C220" s="144" t="s">
        <v>7047</v>
      </c>
      <c r="D220" s="145" t="s">
        <v>7048</v>
      </c>
    </row>
    <row r="221">
      <c r="A221" s="144" t="s">
        <v>7049</v>
      </c>
      <c r="B221" s="144" t="s">
        <v>6511</v>
      </c>
      <c r="C221" s="144" t="s">
        <v>6932</v>
      </c>
      <c r="D221" s="145" t="s">
        <v>7050</v>
      </c>
    </row>
    <row r="222">
      <c r="A222" s="144" t="s">
        <v>7051</v>
      </c>
      <c r="B222" s="144" t="s">
        <v>6511</v>
      </c>
      <c r="C222" s="144" t="s">
        <v>7052</v>
      </c>
      <c r="D222" s="145" t="s">
        <v>7053</v>
      </c>
    </row>
    <row r="223">
      <c r="A223" s="144" t="s">
        <v>7054</v>
      </c>
      <c r="B223" s="144" t="s">
        <v>6511</v>
      </c>
      <c r="C223" s="144" t="s">
        <v>7055</v>
      </c>
      <c r="D223" s="145" t="s">
        <v>7056</v>
      </c>
    </row>
    <row r="224">
      <c r="A224" s="144" t="s">
        <v>7057</v>
      </c>
      <c r="B224" s="144" t="s">
        <v>6511</v>
      </c>
      <c r="C224" s="144" t="s">
        <v>7058</v>
      </c>
      <c r="D224" s="145" t="s">
        <v>7059</v>
      </c>
    </row>
    <row r="225">
      <c r="A225" s="144" t="s">
        <v>7060</v>
      </c>
      <c r="B225" s="144" t="s">
        <v>6511</v>
      </c>
      <c r="C225" s="144" t="s">
        <v>7061</v>
      </c>
      <c r="D225" s="145" t="s">
        <v>7062</v>
      </c>
    </row>
    <row r="226">
      <c r="A226" s="144" t="s">
        <v>7063</v>
      </c>
      <c r="B226" s="144" t="s">
        <v>6511</v>
      </c>
      <c r="C226" s="144" t="s">
        <v>7064</v>
      </c>
      <c r="D226" s="145" t="s">
        <v>7065</v>
      </c>
    </row>
    <row r="227">
      <c r="A227" s="144" t="s">
        <v>7066</v>
      </c>
      <c r="B227" s="144" t="s">
        <v>6511</v>
      </c>
      <c r="C227" s="144" t="s">
        <v>6596</v>
      </c>
      <c r="D227" s="145" t="s">
        <v>7067</v>
      </c>
    </row>
    <row r="228">
      <c r="A228" s="144" t="s">
        <v>7068</v>
      </c>
      <c r="B228" s="144" t="s">
        <v>6511</v>
      </c>
      <c r="C228" s="144" t="s">
        <v>7069</v>
      </c>
      <c r="D228" s="145" t="s">
        <v>7070</v>
      </c>
    </row>
    <row r="229">
      <c r="A229" s="144" t="s">
        <v>7071</v>
      </c>
      <c r="B229" s="144" t="s">
        <v>6511</v>
      </c>
      <c r="C229" s="144" t="s">
        <v>6812</v>
      </c>
      <c r="D229" s="145" t="s">
        <v>7072</v>
      </c>
    </row>
    <row r="230">
      <c r="A230" s="144" t="s">
        <v>7073</v>
      </c>
      <c r="B230" s="144" t="s">
        <v>6511</v>
      </c>
      <c r="C230" s="144" t="s">
        <v>7074</v>
      </c>
      <c r="D230" s="145" t="s">
        <v>7075</v>
      </c>
    </row>
    <row r="231">
      <c r="A231" s="144" t="s">
        <v>7076</v>
      </c>
      <c r="B231" s="144" t="s">
        <v>6511</v>
      </c>
      <c r="C231" s="144" t="s">
        <v>7077</v>
      </c>
      <c r="D231" s="145" t="s">
        <v>7078</v>
      </c>
    </row>
    <row r="232">
      <c r="A232" s="144" t="s">
        <v>7079</v>
      </c>
      <c r="B232" s="144" t="s">
        <v>6511</v>
      </c>
      <c r="C232" s="144" t="s">
        <v>7080</v>
      </c>
      <c r="D232" s="145" t="s">
        <v>7081</v>
      </c>
    </row>
    <row r="233">
      <c r="A233" s="144" t="s">
        <v>7082</v>
      </c>
      <c r="B233" s="144" t="s">
        <v>6511</v>
      </c>
      <c r="C233" s="144" t="s">
        <v>7083</v>
      </c>
      <c r="D233" s="145" t="s">
        <v>7084</v>
      </c>
    </row>
    <row r="234">
      <c r="A234" s="144" t="s">
        <v>7085</v>
      </c>
      <c r="B234" s="144" t="s">
        <v>6511</v>
      </c>
      <c r="C234" s="144" t="s">
        <v>6527</v>
      </c>
      <c r="D234" s="145" t="s">
        <v>7086</v>
      </c>
    </row>
    <row r="235">
      <c r="A235" s="144" t="s">
        <v>7087</v>
      </c>
      <c r="B235" s="144" t="s">
        <v>6511</v>
      </c>
      <c r="C235" s="144" t="s">
        <v>6606</v>
      </c>
      <c r="D235" s="145" t="s">
        <v>7088</v>
      </c>
    </row>
    <row r="236">
      <c r="A236" s="144" t="s">
        <v>7089</v>
      </c>
      <c r="B236" s="144" t="s">
        <v>6511</v>
      </c>
      <c r="C236" s="144" t="s">
        <v>7090</v>
      </c>
      <c r="D236" s="145" t="s">
        <v>7091</v>
      </c>
    </row>
    <row r="237">
      <c r="A237" s="144" t="s">
        <v>7092</v>
      </c>
      <c r="B237" s="144" t="s">
        <v>6511</v>
      </c>
      <c r="C237" s="144" t="s">
        <v>6815</v>
      </c>
      <c r="D237" s="145" t="s">
        <v>7093</v>
      </c>
    </row>
    <row r="238">
      <c r="A238" s="144" t="s">
        <v>7094</v>
      </c>
      <c r="B238" s="144" t="s">
        <v>6511</v>
      </c>
      <c r="C238" s="144" t="s">
        <v>6663</v>
      </c>
      <c r="D238" s="145" t="s">
        <v>7095</v>
      </c>
    </row>
    <row r="239">
      <c r="A239" s="144" t="s">
        <v>7096</v>
      </c>
      <c r="B239" s="144" t="s">
        <v>6511</v>
      </c>
      <c r="C239" s="144" t="s">
        <v>7097</v>
      </c>
      <c r="D239" s="145" t="s">
        <v>7098</v>
      </c>
    </row>
    <row r="240">
      <c r="A240" s="144" t="s">
        <v>7099</v>
      </c>
      <c r="B240" s="144" t="s">
        <v>6511</v>
      </c>
      <c r="C240" s="144" t="s">
        <v>6688</v>
      </c>
      <c r="D240" s="145" t="s">
        <v>7100</v>
      </c>
    </row>
    <row r="241">
      <c r="A241" s="144" t="s">
        <v>7101</v>
      </c>
      <c r="B241" s="144" t="s">
        <v>6511</v>
      </c>
      <c r="C241" s="144" t="s">
        <v>7102</v>
      </c>
      <c r="D241" s="145" t="s">
        <v>7103</v>
      </c>
    </row>
    <row r="242">
      <c r="A242" s="144" t="s">
        <v>7104</v>
      </c>
      <c r="B242" s="144" t="s">
        <v>6511</v>
      </c>
      <c r="C242" s="144" t="s">
        <v>7105</v>
      </c>
      <c r="D242" s="145" t="s">
        <v>7106</v>
      </c>
    </row>
    <row r="243">
      <c r="A243" s="144" t="s">
        <v>7107</v>
      </c>
      <c r="B243" s="144" t="s">
        <v>6511</v>
      </c>
      <c r="C243" s="144" t="s">
        <v>7108</v>
      </c>
      <c r="D243" s="145" t="s">
        <v>7109</v>
      </c>
    </row>
    <row r="244">
      <c r="A244" s="144" t="s">
        <v>7110</v>
      </c>
      <c r="B244" s="144" t="s">
        <v>6511</v>
      </c>
      <c r="C244" s="144" t="s">
        <v>6549</v>
      </c>
      <c r="D244" s="145" t="s">
        <v>7111</v>
      </c>
    </row>
    <row r="245">
      <c r="A245" s="144" t="s">
        <v>7112</v>
      </c>
      <c r="B245" s="144" t="s">
        <v>6511</v>
      </c>
      <c r="C245" s="144" t="s">
        <v>7113</v>
      </c>
      <c r="D245" s="145" t="s">
        <v>7114</v>
      </c>
    </row>
    <row r="246">
      <c r="A246" s="144" t="s">
        <v>7115</v>
      </c>
      <c r="B246" s="144" t="s">
        <v>6511</v>
      </c>
      <c r="C246" s="144" t="s">
        <v>7116</v>
      </c>
      <c r="D246" s="145" t="s">
        <v>7117</v>
      </c>
    </row>
    <row r="247">
      <c r="A247" s="144" t="s">
        <v>7118</v>
      </c>
      <c r="B247" s="144" t="s">
        <v>6511</v>
      </c>
      <c r="C247" s="144" t="s">
        <v>6969</v>
      </c>
      <c r="D247" s="145" t="s">
        <v>7119</v>
      </c>
    </row>
    <row r="248">
      <c r="A248" s="144" t="s">
        <v>7120</v>
      </c>
      <c r="B248" s="144" t="s">
        <v>6511</v>
      </c>
      <c r="C248" s="144" t="s">
        <v>7121</v>
      </c>
      <c r="D248" s="145" t="s">
        <v>7122</v>
      </c>
    </row>
    <row r="249">
      <c r="A249" s="144" t="s">
        <v>7123</v>
      </c>
      <c r="B249" s="144" t="s">
        <v>6511</v>
      </c>
      <c r="C249" s="144" t="s">
        <v>7108</v>
      </c>
      <c r="D249" s="145" t="s">
        <v>7124</v>
      </c>
    </row>
    <row r="250">
      <c r="A250" s="144" t="s">
        <v>7125</v>
      </c>
      <c r="B250" s="144" t="s">
        <v>6511</v>
      </c>
      <c r="C250" s="144" t="s">
        <v>7126</v>
      </c>
      <c r="D250" s="145" t="s">
        <v>7127</v>
      </c>
    </row>
    <row r="251">
      <c r="A251" s="144" t="s">
        <v>7128</v>
      </c>
      <c r="B251" s="144" t="s">
        <v>6511</v>
      </c>
      <c r="C251" s="144" t="s">
        <v>6772</v>
      </c>
      <c r="D251" s="145" t="s">
        <v>7129</v>
      </c>
    </row>
    <row r="252">
      <c r="A252" s="144" t="s">
        <v>7130</v>
      </c>
      <c r="B252" s="144" t="s">
        <v>6511</v>
      </c>
      <c r="C252" s="144" t="s">
        <v>7131</v>
      </c>
      <c r="D252" s="145" t="s">
        <v>7132</v>
      </c>
    </row>
    <row r="253">
      <c r="A253" s="144" t="s">
        <v>7133</v>
      </c>
      <c r="B253" s="144" t="s">
        <v>6511</v>
      </c>
      <c r="C253" s="144" t="s">
        <v>7134</v>
      </c>
      <c r="D253" s="145" t="s">
        <v>7135</v>
      </c>
    </row>
    <row r="254">
      <c r="A254" s="144" t="s">
        <v>7136</v>
      </c>
      <c r="B254" s="144" t="s">
        <v>6511</v>
      </c>
      <c r="C254" s="144" t="s">
        <v>7137</v>
      </c>
      <c r="D254" s="145" t="s">
        <v>7138</v>
      </c>
    </row>
    <row r="255">
      <c r="A255" s="144" t="s">
        <v>7139</v>
      </c>
      <c r="B255" s="144" t="s">
        <v>6511</v>
      </c>
      <c r="C255" s="144" t="s">
        <v>7140</v>
      </c>
      <c r="D255" s="145" t="s">
        <v>7141</v>
      </c>
    </row>
    <row r="256">
      <c r="A256" s="144" t="s">
        <v>7142</v>
      </c>
      <c r="B256" s="144" t="s">
        <v>6511</v>
      </c>
      <c r="C256" s="144" t="s">
        <v>7143</v>
      </c>
      <c r="D256" s="145" t="s">
        <v>7144</v>
      </c>
    </row>
    <row r="257">
      <c r="A257" s="144" t="s">
        <v>7145</v>
      </c>
      <c r="B257" s="144" t="s">
        <v>6511</v>
      </c>
      <c r="C257" s="144" t="s">
        <v>7146</v>
      </c>
      <c r="D257" s="145" t="s">
        <v>7147</v>
      </c>
    </row>
    <row r="258">
      <c r="A258" s="144" t="s">
        <v>7148</v>
      </c>
      <c r="B258" s="144" t="s">
        <v>6511</v>
      </c>
      <c r="C258" s="144" t="s">
        <v>7149</v>
      </c>
      <c r="D258" s="145" t="s">
        <v>7150</v>
      </c>
    </row>
    <row r="259">
      <c r="A259" s="144" t="s">
        <v>7151</v>
      </c>
      <c r="B259" s="144" t="s">
        <v>6511</v>
      </c>
      <c r="C259" s="144" t="s">
        <v>7152</v>
      </c>
      <c r="D259" s="145" t="s">
        <v>7153</v>
      </c>
    </row>
    <row r="260">
      <c r="A260" s="144" t="s">
        <v>7154</v>
      </c>
      <c r="B260" s="144" t="s">
        <v>6511</v>
      </c>
      <c r="C260" s="144" t="s">
        <v>7155</v>
      </c>
      <c r="D260" s="145" t="s">
        <v>7156</v>
      </c>
    </row>
    <row r="261">
      <c r="A261" s="144" t="s">
        <v>7157</v>
      </c>
      <c r="B261" s="144" t="s">
        <v>6511</v>
      </c>
      <c r="C261" s="144" t="s">
        <v>6764</v>
      </c>
      <c r="D261" s="145" t="s">
        <v>7158</v>
      </c>
    </row>
    <row r="262">
      <c r="A262" s="144" t="s">
        <v>7159</v>
      </c>
      <c r="B262" s="144" t="s">
        <v>6511</v>
      </c>
      <c r="C262" s="144" t="s">
        <v>6963</v>
      </c>
      <c r="D262" s="145" t="s">
        <v>7160</v>
      </c>
    </row>
    <row r="263">
      <c r="A263" s="144" t="s">
        <v>7161</v>
      </c>
      <c r="B263" s="144" t="s">
        <v>6511</v>
      </c>
      <c r="C263" s="144" t="s">
        <v>6803</v>
      </c>
      <c r="D263" s="145" t="s">
        <v>7162</v>
      </c>
    </row>
    <row r="264">
      <c r="A264" s="144" t="s">
        <v>7163</v>
      </c>
      <c r="B264" s="144" t="s">
        <v>6511</v>
      </c>
      <c r="C264" s="144" t="s">
        <v>7164</v>
      </c>
      <c r="D264" s="145" t="s">
        <v>7165</v>
      </c>
    </row>
    <row r="265">
      <c r="A265" s="144" t="s">
        <v>7166</v>
      </c>
      <c r="B265" s="144" t="s">
        <v>6511</v>
      </c>
      <c r="C265" s="144" t="s">
        <v>6969</v>
      </c>
      <c r="D265" s="145" t="s">
        <v>7167</v>
      </c>
    </row>
    <row r="266">
      <c r="A266" s="144" t="s">
        <v>7168</v>
      </c>
      <c r="B266" s="144" t="s">
        <v>6511</v>
      </c>
      <c r="C266" s="144" t="s">
        <v>7169</v>
      </c>
      <c r="D266" s="145" t="s">
        <v>7170</v>
      </c>
    </row>
    <row r="267">
      <c r="A267" s="144" t="s">
        <v>7171</v>
      </c>
      <c r="B267" s="144" t="s">
        <v>6511</v>
      </c>
      <c r="C267" s="144" t="s">
        <v>7172</v>
      </c>
      <c r="D267" s="145" t="s">
        <v>7173</v>
      </c>
    </row>
    <row r="268">
      <c r="A268" s="144" t="s">
        <v>7174</v>
      </c>
      <c r="B268" s="144" t="s">
        <v>6511</v>
      </c>
      <c r="C268" s="144" t="s">
        <v>7175</v>
      </c>
      <c r="D268" s="145" t="s">
        <v>7176</v>
      </c>
    </row>
    <row r="269">
      <c r="A269" s="144" t="s">
        <v>7177</v>
      </c>
      <c r="B269" s="144" t="s">
        <v>6511</v>
      </c>
      <c r="C269" s="144" t="s">
        <v>6701</v>
      </c>
      <c r="D269" s="145" t="s">
        <v>7178</v>
      </c>
    </row>
    <row r="270">
      <c r="A270" s="144" t="s">
        <v>7179</v>
      </c>
      <c r="B270" s="144" t="s">
        <v>6511</v>
      </c>
      <c r="C270" s="144" t="s">
        <v>7180</v>
      </c>
      <c r="D270" s="145" t="s">
        <v>7181</v>
      </c>
    </row>
    <row r="271">
      <c r="A271" s="144" t="s">
        <v>7182</v>
      </c>
      <c r="B271" s="144" t="s">
        <v>6511</v>
      </c>
      <c r="C271" s="144" t="s">
        <v>6683</v>
      </c>
      <c r="D271" s="145" t="s">
        <v>7183</v>
      </c>
    </row>
    <row r="272">
      <c r="A272" s="144" t="s">
        <v>7184</v>
      </c>
      <c r="B272" s="144" t="s">
        <v>6511</v>
      </c>
      <c r="C272" s="144" t="s">
        <v>7185</v>
      </c>
      <c r="D272" s="145" t="s">
        <v>7186</v>
      </c>
    </row>
    <row r="273">
      <c r="A273" s="144" t="s">
        <v>7187</v>
      </c>
      <c r="B273" s="144" t="s">
        <v>6511</v>
      </c>
      <c r="C273" s="144" t="s">
        <v>7188</v>
      </c>
      <c r="D273" s="145" t="s">
        <v>7189</v>
      </c>
    </row>
    <row r="274">
      <c r="A274" s="144" t="s">
        <v>7190</v>
      </c>
      <c r="B274" s="144" t="s">
        <v>6511</v>
      </c>
      <c r="C274" s="144" t="s">
        <v>7191</v>
      </c>
      <c r="D274" s="145" t="s">
        <v>7192</v>
      </c>
    </row>
    <row r="275">
      <c r="A275" s="144" t="s">
        <v>7193</v>
      </c>
      <c r="B275" s="144" t="s">
        <v>6511</v>
      </c>
      <c r="C275" s="144" t="s">
        <v>7191</v>
      </c>
      <c r="D275" s="145" t="s">
        <v>7194</v>
      </c>
    </row>
    <row r="276">
      <c r="A276" s="144" t="s">
        <v>7195</v>
      </c>
      <c r="B276" s="144" t="s">
        <v>6511</v>
      </c>
      <c r="C276" s="144" t="s">
        <v>7196</v>
      </c>
      <c r="D276" s="145" t="s">
        <v>7197</v>
      </c>
    </row>
    <row r="277">
      <c r="A277" s="144" t="s">
        <v>7198</v>
      </c>
      <c r="B277" s="144" t="s">
        <v>6511</v>
      </c>
      <c r="C277" s="144" t="s">
        <v>7199</v>
      </c>
      <c r="D277" s="145" t="s">
        <v>7200</v>
      </c>
    </row>
    <row r="278">
      <c r="A278" s="144" t="s">
        <v>7201</v>
      </c>
      <c r="B278" s="144" t="s">
        <v>6511</v>
      </c>
      <c r="C278" s="144" t="s">
        <v>7202</v>
      </c>
      <c r="D278" s="145" t="s">
        <v>7203</v>
      </c>
    </row>
    <row r="279">
      <c r="A279" s="144" t="s">
        <v>7204</v>
      </c>
      <c r="B279" s="144" t="s">
        <v>6511</v>
      </c>
      <c r="C279" s="144" t="s">
        <v>7205</v>
      </c>
      <c r="D279" s="145" t="s">
        <v>7206</v>
      </c>
    </row>
    <row r="280">
      <c r="A280" s="144" t="s">
        <v>7207</v>
      </c>
      <c r="B280" s="144" t="s">
        <v>6511</v>
      </c>
      <c r="C280" s="144" t="s">
        <v>6884</v>
      </c>
      <c r="D280" s="145" t="s">
        <v>7208</v>
      </c>
    </row>
    <row r="281">
      <c r="A281" s="144" t="s">
        <v>7209</v>
      </c>
      <c r="B281" s="144" t="s">
        <v>6511</v>
      </c>
      <c r="C281" s="144" t="s">
        <v>7210</v>
      </c>
      <c r="D281" s="145" t="s">
        <v>7211</v>
      </c>
    </row>
    <row r="282">
      <c r="A282" s="144" t="s">
        <v>7212</v>
      </c>
      <c r="B282" s="144" t="s">
        <v>6511</v>
      </c>
      <c r="C282" s="144" t="s">
        <v>7213</v>
      </c>
      <c r="D282" s="145" t="s">
        <v>7214</v>
      </c>
    </row>
    <row r="283">
      <c r="A283" s="144" t="s">
        <v>7215</v>
      </c>
      <c r="B283" s="144" t="s">
        <v>6511</v>
      </c>
      <c r="C283" s="144" t="s">
        <v>7216</v>
      </c>
      <c r="D283" s="145" t="s">
        <v>7217</v>
      </c>
    </row>
    <row r="284">
      <c r="A284" s="144" t="s">
        <v>7218</v>
      </c>
      <c r="B284" s="144" t="s">
        <v>6511</v>
      </c>
      <c r="C284" s="144" t="s">
        <v>7219</v>
      </c>
      <c r="D284" s="145" t="s">
        <v>7220</v>
      </c>
    </row>
    <row r="285">
      <c r="A285" s="144" t="s">
        <v>7221</v>
      </c>
      <c r="B285" s="144" t="s">
        <v>6511</v>
      </c>
      <c r="C285" s="144" t="s">
        <v>7222</v>
      </c>
      <c r="D285" s="145" t="s">
        <v>7223</v>
      </c>
    </row>
    <row r="286">
      <c r="A286" s="144" t="s">
        <v>7224</v>
      </c>
      <c r="B286" s="144" t="s">
        <v>6511</v>
      </c>
      <c r="C286" s="144" t="s">
        <v>6574</v>
      </c>
      <c r="D286" s="145" t="s">
        <v>7225</v>
      </c>
    </row>
    <row r="287">
      <c r="A287" s="144" t="s">
        <v>7226</v>
      </c>
      <c r="B287" s="144" t="s">
        <v>6511</v>
      </c>
      <c r="C287" s="144" t="s">
        <v>7227</v>
      </c>
      <c r="D287" s="145" t="s">
        <v>7228</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s>
  <drawing r:id="rId28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0"/>
  </cols>
  <sheetData>
    <row r="1">
      <c r="A1" s="146" t="s">
        <v>7229</v>
      </c>
    </row>
  </sheetData>
  <drawing r:id="rId1"/>
</worksheet>
</file>